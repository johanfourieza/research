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720" yWindow="345" windowWidth="17955" windowHeight="8220"/>
  </bookViews>
  <sheets>
    <sheet name="Main" sheetId="1" r:id="rId1"/>
    <sheet name="Strings" sheetId="3" r:id="rId2"/>
  </sheets>
  <calcPr calcId="125725"/>
</workbook>
</file>

<file path=xl/calcChain.xml><?xml version="1.0" encoding="utf-8"?>
<calcChain xmlns="http://schemas.openxmlformats.org/spreadsheetml/2006/main">
  <c r="H2" i="3"/>
  <c r="J11"/>
  <c r="J37"/>
  <c r="J51"/>
  <c r="J76"/>
  <c r="J84"/>
  <c r="J88"/>
  <c r="J89"/>
  <c r="J122"/>
  <c r="J123"/>
  <c r="J169"/>
  <c r="J206"/>
  <c r="J227"/>
  <c r="J230"/>
  <c r="J231"/>
  <c r="J233"/>
  <c r="J278"/>
  <c r="J346"/>
  <c r="J403"/>
  <c r="J418"/>
  <c r="J432"/>
  <c r="J451"/>
  <c r="J464"/>
  <c r="J472"/>
  <c r="J501"/>
  <c r="J519"/>
  <c r="J523"/>
  <c r="J529"/>
  <c r="J552"/>
  <c r="J554"/>
  <c r="J555"/>
  <c r="J580"/>
  <c r="J597"/>
  <c r="J638"/>
  <c r="J644"/>
  <c r="J648"/>
  <c r="J649"/>
  <c r="J663"/>
  <c r="J696"/>
  <c r="J700"/>
  <c r="J761"/>
  <c r="J762"/>
  <c r="J786"/>
  <c r="J794"/>
  <c r="J846"/>
  <c r="J850"/>
  <c r="J877"/>
  <c r="J894"/>
  <c r="J903"/>
  <c r="J909"/>
  <c r="J920"/>
  <c r="J948"/>
  <c r="J950"/>
  <c r="J973"/>
  <c r="J979"/>
  <c r="J980"/>
  <c r="J1004"/>
  <c r="J1005"/>
  <c r="J1026"/>
  <c r="J1029"/>
  <c r="J1041"/>
  <c r="J1045"/>
  <c r="J1079"/>
  <c r="J1104"/>
  <c r="J1116"/>
  <c r="J1119"/>
  <c r="J1123"/>
  <c r="J1156"/>
  <c r="J1163"/>
  <c r="J1187"/>
  <c r="J1192"/>
  <c r="J1201"/>
  <c r="J1257"/>
  <c r="J1292"/>
  <c r="J1311"/>
  <c r="J1312"/>
  <c r="J1318"/>
  <c r="J1322"/>
  <c r="J1327"/>
  <c r="J1329"/>
  <c r="J1332"/>
  <c r="J1376"/>
  <c r="J1405"/>
  <c r="J1407"/>
  <c r="J1432"/>
  <c r="J1441"/>
  <c r="J1454"/>
  <c r="J1467"/>
  <c r="J1482"/>
  <c r="J1512"/>
  <c r="J1522"/>
  <c r="J1524"/>
  <c r="J1536"/>
  <c r="J1550"/>
  <c r="J1593"/>
  <c r="J1602"/>
  <c r="J1658"/>
  <c r="J1684"/>
  <c r="J1686"/>
  <c r="J1747"/>
  <c r="J1754"/>
  <c r="J1756"/>
  <c r="J1766"/>
  <c r="J1794"/>
  <c r="J1797"/>
  <c r="J1804"/>
  <c r="J1817"/>
  <c r="J1820"/>
  <c r="J1828"/>
  <c r="J1834"/>
  <c r="J1837"/>
  <c r="J1838"/>
  <c r="J1839"/>
  <c r="J1840"/>
  <c r="J1841"/>
  <c r="J1874"/>
  <c r="J1899"/>
  <c r="J1907"/>
  <c r="J1971"/>
  <c r="J1999"/>
  <c r="J2010"/>
  <c r="J2068"/>
  <c r="J2069"/>
  <c r="J2081"/>
  <c r="J2087"/>
  <c r="J2111"/>
  <c r="J2112"/>
  <c r="J2113"/>
  <c r="J2122"/>
  <c r="J2145"/>
  <c r="J2174"/>
  <c r="J2181"/>
  <c r="J2184"/>
  <c r="J2201"/>
  <c r="J2216"/>
  <c r="J2221"/>
  <c r="J2237"/>
  <c r="J2251"/>
  <c r="J2256"/>
  <c r="J2258"/>
  <c r="J2279"/>
  <c r="J2289"/>
  <c r="J2"/>
  <c r="H1562"/>
  <c r="J1562" s="1"/>
  <c r="H1563"/>
  <c r="J1563" s="1"/>
  <c r="H1564"/>
  <c r="J1564" s="1"/>
  <c r="H1565"/>
  <c r="J1565" s="1"/>
  <c r="H1566"/>
  <c r="J1566" s="1"/>
  <c r="H1567"/>
  <c r="J1567" s="1"/>
  <c r="H1568"/>
  <c r="J1568" s="1"/>
  <c r="H1569"/>
  <c r="J1569" s="1"/>
  <c r="H1570"/>
  <c r="J1570" s="1"/>
  <c r="H1571"/>
  <c r="J1571" s="1"/>
  <c r="H1572"/>
  <c r="J1572" s="1"/>
  <c r="H1573"/>
  <c r="J1573" s="1"/>
  <c r="H1574"/>
  <c r="J1574" s="1"/>
  <c r="H1575"/>
  <c r="J1575" s="1"/>
  <c r="H1576"/>
  <c r="J1576" s="1"/>
  <c r="H1577"/>
  <c r="J1577" s="1"/>
  <c r="H1578"/>
  <c r="J1578" s="1"/>
  <c r="H1579"/>
  <c r="J1579" s="1"/>
  <c r="H1580"/>
  <c r="J1580" s="1"/>
  <c r="H1581"/>
  <c r="J1581" s="1"/>
  <c r="H1582"/>
  <c r="J1582" s="1"/>
  <c r="H1583"/>
  <c r="J1583" s="1"/>
  <c r="H1584"/>
  <c r="J1584" s="1"/>
  <c r="H1585"/>
  <c r="J1585" s="1"/>
  <c r="H1586"/>
  <c r="J1586" s="1"/>
  <c r="H1587"/>
  <c r="J1587" s="1"/>
  <c r="H1588"/>
  <c r="J1588" s="1"/>
  <c r="H1589"/>
  <c r="J1589" s="1"/>
  <c r="H1590"/>
  <c r="J1590" s="1"/>
  <c r="H1591"/>
  <c r="J1591" s="1"/>
  <c r="H1592"/>
  <c r="J1592" s="1"/>
  <c r="H1594"/>
  <c r="J1594" s="1"/>
  <c r="H1595"/>
  <c r="J1595" s="1"/>
  <c r="H1596"/>
  <c r="J1596" s="1"/>
  <c r="H1597"/>
  <c r="J1597" s="1"/>
  <c r="H1598"/>
  <c r="J1598" s="1"/>
  <c r="H1599"/>
  <c r="J1599" s="1"/>
  <c r="H1600"/>
  <c r="J1600" s="1"/>
  <c r="H1601"/>
  <c r="J1601" s="1"/>
  <c r="H1603"/>
  <c r="J1603" s="1"/>
  <c r="H1604"/>
  <c r="J1604" s="1"/>
  <c r="H1605"/>
  <c r="J1605" s="1"/>
  <c r="H1606"/>
  <c r="J1606" s="1"/>
  <c r="H1607"/>
  <c r="J1607" s="1"/>
  <c r="H1608"/>
  <c r="J1608" s="1"/>
  <c r="H1609"/>
  <c r="J1609" s="1"/>
  <c r="H1610"/>
  <c r="J1610" s="1"/>
  <c r="H1611"/>
  <c r="J1611" s="1"/>
  <c r="H1612"/>
  <c r="J1612" s="1"/>
  <c r="H1613"/>
  <c r="J1613" s="1"/>
  <c r="H1614"/>
  <c r="J1614" s="1"/>
  <c r="H1615"/>
  <c r="J1615" s="1"/>
  <c r="H1616"/>
  <c r="J1616" s="1"/>
  <c r="H1617"/>
  <c r="J1617" s="1"/>
  <c r="H1618"/>
  <c r="J1618" s="1"/>
  <c r="H1619"/>
  <c r="J1619" s="1"/>
  <c r="H1620"/>
  <c r="J1620" s="1"/>
  <c r="H1621"/>
  <c r="J1621" s="1"/>
  <c r="H1622"/>
  <c r="J1622" s="1"/>
  <c r="H1623"/>
  <c r="J1623" s="1"/>
  <c r="H1624"/>
  <c r="J1624" s="1"/>
  <c r="H1625"/>
  <c r="J1625" s="1"/>
  <c r="H1626"/>
  <c r="J1626" s="1"/>
  <c r="H1627"/>
  <c r="J1627" s="1"/>
  <c r="H1628"/>
  <c r="J1628" s="1"/>
  <c r="H1629"/>
  <c r="J1629" s="1"/>
  <c r="H1630"/>
  <c r="J1630" s="1"/>
  <c r="H1631"/>
  <c r="J1631" s="1"/>
  <c r="H1632"/>
  <c r="J1632" s="1"/>
  <c r="H1633"/>
  <c r="J1633" s="1"/>
  <c r="H1634"/>
  <c r="J1634" s="1"/>
  <c r="H1635"/>
  <c r="J1635" s="1"/>
  <c r="H1636"/>
  <c r="J1636" s="1"/>
  <c r="H1637"/>
  <c r="J1637" s="1"/>
  <c r="H1638"/>
  <c r="J1638" s="1"/>
  <c r="H1639"/>
  <c r="J1639" s="1"/>
  <c r="H1640"/>
  <c r="J1640" s="1"/>
  <c r="H1641"/>
  <c r="J1641" s="1"/>
  <c r="H1642"/>
  <c r="J1642" s="1"/>
  <c r="H1643"/>
  <c r="J1643" s="1"/>
  <c r="H1644"/>
  <c r="J1644" s="1"/>
  <c r="H1645"/>
  <c r="J1645" s="1"/>
  <c r="H1646"/>
  <c r="J1646" s="1"/>
  <c r="H1647"/>
  <c r="J1647" s="1"/>
  <c r="H1648"/>
  <c r="J1648" s="1"/>
  <c r="H1649"/>
  <c r="J1649" s="1"/>
  <c r="H1650"/>
  <c r="J1650" s="1"/>
  <c r="H1651"/>
  <c r="J1651" s="1"/>
  <c r="H1652"/>
  <c r="J1652" s="1"/>
  <c r="H1653"/>
  <c r="J1653" s="1"/>
  <c r="H1654"/>
  <c r="J1654" s="1"/>
  <c r="H1655"/>
  <c r="J1655" s="1"/>
  <c r="H1656"/>
  <c r="J1656" s="1"/>
  <c r="H1657"/>
  <c r="J1657" s="1"/>
  <c r="H1659"/>
  <c r="J1659" s="1"/>
  <c r="H1660"/>
  <c r="J1660" s="1"/>
  <c r="H1661"/>
  <c r="J1661" s="1"/>
  <c r="H1662"/>
  <c r="J1662" s="1"/>
  <c r="H1663"/>
  <c r="J1663" s="1"/>
  <c r="H1664"/>
  <c r="J1664" s="1"/>
  <c r="H1665"/>
  <c r="J1665" s="1"/>
  <c r="H1666"/>
  <c r="J1666" s="1"/>
  <c r="H1667"/>
  <c r="J1667" s="1"/>
  <c r="H1668"/>
  <c r="J1668" s="1"/>
  <c r="H1669"/>
  <c r="J1669" s="1"/>
  <c r="H1670"/>
  <c r="J1670" s="1"/>
  <c r="H1671"/>
  <c r="J1671" s="1"/>
  <c r="H1672"/>
  <c r="J1672" s="1"/>
  <c r="H1673"/>
  <c r="J1673" s="1"/>
  <c r="H1674"/>
  <c r="J1674" s="1"/>
  <c r="H1675"/>
  <c r="J1675" s="1"/>
  <c r="H1676"/>
  <c r="J1676" s="1"/>
  <c r="H1677"/>
  <c r="J1677" s="1"/>
  <c r="H1678"/>
  <c r="J1678" s="1"/>
  <c r="H1679"/>
  <c r="J1679" s="1"/>
  <c r="H1680"/>
  <c r="J1680" s="1"/>
  <c r="H1681"/>
  <c r="J1681" s="1"/>
  <c r="H1682"/>
  <c r="J1682" s="1"/>
  <c r="H1683"/>
  <c r="J1683" s="1"/>
  <c r="H1685"/>
  <c r="J1685" s="1"/>
  <c r="H1687"/>
  <c r="J1687" s="1"/>
  <c r="H1688"/>
  <c r="J1688" s="1"/>
  <c r="H1689"/>
  <c r="J1689" s="1"/>
  <c r="H1690"/>
  <c r="J1690" s="1"/>
  <c r="H1691"/>
  <c r="J1691" s="1"/>
  <c r="H1692"/>
  <c r="J1692" s="1"/>
  <c r="H1693"/>
  <c r="J1693" s="1"/>
  <c r="H1694"/>
  <c r="J1694" s="1"/>
  <c r="H1695"/>
  <c r="J1695" s="1"/>
  <c r="H1696"/>
  <c r="J1696" s="1"/>
  <c r="H1697"/>
  <c r="J1697" s="1"/>
  <c r="H1698"/>
  <c r="J1698" s="1"/>
  <c r="H1699"/>
  <c r="J1699" s="1"/>
  <c r="H1700"/>
  <c r="J1700" s="1"/>
  <c r="H1701"/>
  <c r="J1701" s="1"/>
  <c r="H1702"/>
  <c r="J1702" s="1"/>
  <c r="H1703"/>
  <c r="J1703" s="1"/>
  <c r="H1704"/>
  <c r="J1704" s="1"/>
  <c r="H1705"/>
  <c r="J1705" s="1"/>
  <c r="H1706"/>
  <c r="J1706" s="1"/>
  <c r="H1707"/>
  <c r="J1707" s="1"/>
  <c r="H1708"/>
  <c r="J1708" s="1"/>
  <c r="H1709"/>
  <c r="J1709" s="1"/>
  <c r="H1710"/>
  <c r="J1710" s="1"/>
  <c r="H1711"/>
  <c r="J1711" s="1"/>
  <c r="H1712"/>
  <c r="J1712" s="1"/>
  <c r="H1713"/>
  <c r="J1713" s="1"/>
  <c r="H1714"/>
  <c r="J1714" s="1"/>
  <c r="H1715"/>
  <c r="J1715" s="1"/>
  <c r="H1716"/>
  <c r="J1716" s="1"/>
  <c r="H1717"/>
  <c r="J1717" s="1"/>
  <c r="H1718"/>
  <c r="J1718" s="1"/>
  <c r="H1719"/>
  <c r="J1719" s="1"/>
  <c r="H1720"/>
  <c r="J1720" s="1"/>
  <c r="H1721"/>
  <c r="J1721" s="1"/>
  <c r="H1722"/>
  <c r="J1722" s="1"/>
  <c r="H1723"/>
  <c r="J1723" s="1"/>
  <c r="H1724"/>
  <c r="J1724" s="1"/>
  <c r="H1725"/>
  <c r="J1725" s="1"/>
  <c r="H1726"/>
  <c r="J1726" s="1"/>
  <c r="H1727"/>
  <c r="J1727" s="1"/>
  <c r="H1728"/>
  <c r="J1728" s="1"/>
  <c r="H1729"/>
  <c r="J1729" s="1"/>
  <c r="H1730"/>
  <c r="J1730" s="1"/>
  <c r="H1731"/>
  <c r="J1731" s="1"/>
  <c r="H1732"/>
  <c r="J1732" s="1"/>
  <c r="H1733"/>
  <c r="J1733" s="1"/>
  <c r="H1734"/>
  <c r="J1734" s="1"/>
  <c r="H1735"/>
  <c r="J1735" s="1"/>
  <c r="H1736"/>
  <c r="J1736" s="1"/>
  <c r="H1737"/>
  <c r="J1737" s="1"/>
  <c r="H1738"/>
  <c r="J1738" s="1"/>
  <c r="H1739"/>
  <c r="J1739" s="1"/>
  <c r="H1740"/>
  <c r="J1740" s="1"/>
  <c r="H1741"/>
  <c r="J1741" s="1"/>
  <c r="H1742"/>
  <c r="J1742" s="1"/>
  <c r="H1743"/>
  <c r="J1743" s="1"/>
  <c r="H1744"/>
  <c r="J1744" s="1"/>
  <c r="H1745"/>
  <c r="J1745" s="1"/>
  <c r="H1746"/>
  <c r="J1746" s="1"/>
  <c r="H1748"/>
  <c r="J1748" s="1"/>
  <c r="H1749"/>
  <c r="J1749" s="1"/>
  <c r="H1750"/>
  <c r="J1750" s="1"/>
  <c r="H1751"/>
  <c r="J1751" s="1"/>
  <c r="H1752"/>
  <c r="J1752" s="1"/>
  <c r="H1753"/>
  <c r="J1753" s="1"/>
  <c r="H1755"/>
  <c r="J1755" s="1"/>
  <c r="H1757"/>
  <c r="J1757" s="1"/>
  <c r="H1758"/>
  <c r="J1758" s="1"/>
  <c r="H1759"/>
  <c r="J1759" s="1"/>
  <c r="H1760"/>
  <c r="J1760" s="1"/>
  <c r="H1761"/>
  <c r="J1761" s="1"/>
  <c r="H1762"/>
  <c r="J1762" s="1"/>
  <c r="H1763"/>
  <c r="J1763" s="1"/>
  <c r="H1764"/>
  <c r="J1764" s="1"/>
  <c r="H1765"/>
  <c r="J1765" s="1"/>
  <c r="H1767"/>
  <c r="J1767" s="1"/>
  <c r="H1768"/>
  <c r="J1768" s="1"/>
  <c r="H1769"/>
  <c r="J1769" s="1"/>
  <c r="H1770"/>
  <c r="J1770" s="1"/>
  <c r="H1771"/>
  <c r="J1771" s="1"/>
  <c r="H1772"/>
  <c r="J1772" s="1"/>
  <c r="H1773"/>
  <c r="J1773" s="1"/>
  <c r="H1774"/>
  <c r="J1774" s="1"/>
  <c r="H1775"/>
  <c r="J1775" s="1"/>
  <c r="H1776"/>
  <c r="J1776" s="1"/>
  <c r="H1777"/>
  <c r="J1777" s="1"/>
  <c r="H1778"/>
  <c r="J1778" s="1"/>
  <c r="H1779"/>
  <c r="J1779" s="1"/>
  <c r="H1780"/>
  <c r="J1780" s="1"/>
  <c r="H1781"/>
  <c r="J1781" s="1"/>
  <c r="H1782"/>
  <c r="J1782" s="1"/>
  <c r="H1783"/>
  <c r="J1783" s="1"/>
  <c r="H1784"/>
  <c r="J1784" s="1"/>
  <c r="H1785"/>
  <c r="J1785" s="1"/>
  <c r="H1786"/>
  <c r="J1786" s="1"/>
  <c r="H1787"/>
  <c r="J1787" s="1"/>
  <c r="H1788"/>
  <c r="J1788" s="1"/>
  <c r="H1789"/>
  <c r="J1789" s="1"/>
  <c r="H1790"/>
  <c r="J1790" s="1"/>
  <c r="H1791"/>
  <c r="J1791" s="1"/>
  <c r="H1792"/>
  <c r="J1792" s="1"/>
  <c r="H1793"/>
  <c r="J1793" s="1"/>
  <c r="H1795"/>
  <c r="J1795" s="1"/>
  <c r="H1796"/>
  <c r="J1796" s="1"/>
  <c r="H1798"/>
  <c r="J1798" s="1"/>
  <c r="H1799"/>
  <c r="J1799" s="1"/>
  <c r="H1800"/>
  <c r="J1800" s="1"/>
  <c r="H1801"/>
  <c r="J1801" s="1"/>
  <c r="H1802"/>
  <c r="J1802" s="1"/>
  <c r="H1803"/>
  <c r="J1803" s="1"/>
  <c r="H1805"/>
  <c r="J1805" s="1"/>
  <c r="H1806"/>
  <c r="J1806" s="1"/>
  <c r="H1807"/>
  <c r="J1807" s="1"/>
  <c r="H1808"/>
  <c r="J1808" s="1"/>
  <c r="H1809"/>
  <c r="J1809" s="1"/>
  <c r="H1810"/>
  <c r="J1810" s="1"/>
  <c r="H1811"/>
  <c r="J1811" s="1"/>
  <c r="H1812"/>
  <c r="J1812" s="1"/>
  <c r="H1813"/>
  <c r="J1813" s="1"/>
  <c r="H1814"/>
  <c r="J1814" s="1"/>
  <c r="H1815"/>
  <c r="J1815" s="1"/>
  <c r="H1816"/>
  <c r="J1816" s="1"/>
  <c r="H1818"/>
  <c r="J1818" s="1"/>
  <c r="H1819"/>
  <c r="J1819" s="1"/>
  <c r="H1821"/>
  <c r="J1821" s="1"/>
  <c r="H1822"/>
  <c r="J1822" s="1"/>
  <c r="H1823"/>
  <c r="J1823" s="1"/>
  <c r="H1824"/>
  <c r="J1824" s="1"/>
  <c r="H1825"/>
  <c r="J1825" s="1"/>
  <c r="H1826"/>
  <c r="J1826" s="1"/>
  <c r="H1827"/>
  <c r="J1827" s="1"/>
  <c r="H1829"/>
  <c r="J1829" s="1"/>
  <c r="H1830"/>
  <c r="J1830" s="1"/>
  <c r="H1831"/>
  <c r="J1831" s="1"/>
  <c r="H1832"/>
  <c r="J1832" s="1"/>
  <c r="H1833"/>
  <c r="J1833" s="1"/>
  <c r="H1835"/>
  <c r="J1835" s="1"/>
  <c r="H1836"/>
  <c r="J1836" s="1"/>
  <c r="H1842"/>
  <c r="J1842" s="1"/>
  <c r="H1843"/>
  <c r="J1843" s="1"/>
  <c r="H1844"/>
  <c r="J1844" s="1"/>
  <c r="H1845"/>
  <c r="J1845" s="1"/>
  <c r="H1846"/>
  <c r="J1846" s="1"/>
  <c r="H1847"/>
  <c r="J1847" s="1"/>
  <c r="H1848"/>
  <c r="J1848" s="1"/>
  <c r="H1849"/>
  <c r="J1849" s="1"/>
  <c r="H1850"/>
  <c r="J1850" s="1"/>
  <c r="H1851"/>
  <c r="J1851" s="1"/>
  <c r="H1852"/>
  <c r="J1852" s="1"/>
  <c r="H1853"/>
  <c r="J1853" s="1"/>
  <c r="H1854"/>
  <c r="J1854" s="1"/>
  <c r="H1855"/>
  <c r="J1855" s="1"/>
  <c r="H1856"/>
  <c r="J1856" s="1"/>
  <c r="H1857"/>
  <c r="J1857" s="1"/>
  <c r="H1858"/>
  <c r="J1858" s="1"/>
  <c r="H1859"/>
  <c r="J1859" s="1"/>
  <c r="H1860"/>
  <c r="J1860" s="1"/>
  <c r="H1861"/>
  <c r="J1861" s="1"/>
  <c r="H1862"/>
  <c r="J1862" s="1"/>
  <c r="H1863"/>
  <c r="J1863" s="1"/>
  <c r="H1864"/>
  <c r="J1864" s="1"/>
  <c r="H1865"/>
  <c r="J1865" s="1"/>
  <c r="H1866"/>
  <c r="J1866" s="1"/>
  <c r="H1867"/>
  <c r="J1867" s="1"/>
  <c r="H1868"/>
  <c r="J1868" s="1"/>
  <c r="H1869"/>
  <c r="J1869" s="1"/>
  <c r="H1870"/>
  <c r="J1870" s="1"/>
  <c r="H1871"/>
  <c r="J1871" s="1"/>
  <c r="H1872"/>
  <c r="J1872" s="1"/>
  <c r="H1873"/>
  <c r="J1873" s="1"/>
  <c r="H1875"/>
  <c r="J1875" s="1"/>
  <c r="H1876"/>
  <c r="J1876" s="1"/>
  <c r="H1877"/>
  <c r="J1877" s="1"/>
  <c r="H1878"/>
  <c r="J1878" s="1"/>
  <c r="H1879"/>
  <c r="J1879" s="1"/>
  <c r="H1880"/>
  <c r="J1880" s="1"/>
  <c r="H1881"/>
  <c r="J1881" s="1"/>
  <c r="H1882"/>
  <c r="J1882" s="1"/>
  <c r="H1883"/>
  <c r="J1883" s="1"/>
  <c r="H1884"/>
  <c r="J1884" s="1"/>
  <c r="H1885"/>
  <c r="J1885" s="1"/>
  <c r="H1886"/>
  <c r="J1886" s="1"/>
  <c r="H1887"/>
  <c r="J1887" s="1"/>
  <c r="H1888"/>
  <c r="J1888" s="1"/>
  <c r="H1889"/>
  <c r="J1889" s="1"/>
  <c r="H1890"/>
  <c r="J1890" s="1"/>
  <c r="H1891"/>
  <c r="J1891" s="1"/>
  <c r="H1892"/>
  <c r="J1892" s="1"/>
  <c r="H1893"/>
  <c r="J1893" s="1"/>
  <c r="H1894"/>
  <c r="J1894" s="1"/>
  <c r="H1895"/>
  <c r="J1895" s="1"/>
  <c r="H1896"/>
  <c r="J1896" s="1"/>
  <c r="H1897"/>
  <c r="J1897" s="1"/>
  <c r="H1898"/>
  <c r="J1898" s="1"/>
  <c r="H1900"/>
  <c r="J1900" s="1"/>
  <c r="H1901"/>
  <c r="J1901" s="1"/>
  <c r="H1902"/>
  <c r="J1902" s="1"/>
  <c r="H1903"/>
  <c r="J1903" s="1"/>
  <c r="H1904"/>
  <c r="J1904" s="1"/>
  <c r="H1905"/>
  <c r="J1905" s="1"/>
  <c r="H1906"/>
  <c r="J1906" s="1"/>
  <c r="H1908"/>
  <c r="J1908" s="1"/>
  <c r="H1909"/>
  <c r="J1909" s="1"/>
  <c r="H1910"/>
  <c r="J1910" s="1"/>
  <c r="H1911"/>
  <c r="J1911" s="1"/>
  <c r="H1912"/>
  <c r="J1912" s="1"/>
  <c r="H1913"/>
  <c r="J1913" s="1"/>
  <c r="H1914"/>
  <c r="J1914" s="1"/>
  <c r="H1915"/>
  <c r="J1915" s="1"/>
  <c r="H1916"/>
  <c r="J1916" s="1"/>
  <c r="H1917"/>
  <c r="J1917" s="1"/>
  <c r="H1918"/>
  <c r="J1918" s="1"/>
  <c r="H1919"/>
  <c r="J1919" s="1"/>
  <c r="H1920"/>
  <c r="J1920" s="1"/>
  <c r="H1921"/>
  <c r="J1921" s="1"/>
  <c r="H1922"/>
  <c r="J1922" s="1"/>
  <c r="H1923"/>
  <c r="J1923" s="1"/>
  <c r="H1924"/>
  <c r="J1924" s="1"/>
  <c r="H1925"/>
  <c r="J1925" s="1"/>
  <c r="H1926"/>
  <c r="J1926" s="1"/>
  <c r="H1927"/>
  <c r="J1927" s="1"/>
  <c r="H1928"/>
  <c r="J1928" s="1"/>
  <c r="H1929"/>
  <c r="J1929" s="1"/>
  <c r="H1930"/>
  <c r="J1930" s="1"/>
  <c r="H1931"/>
  <c r="J1931" s="1"/>
  <c r="H1932"/>
  <c r="J1932" s="1"/>
  <c r="H1933"/>
  <c r="J1933" s="1"/>
  <c r="H1934"/>
  <c r="J1934" s="1"/>
  <c r="H1935"/>
  <c r="J1935" s="1"/>
  <c r="H1936"/>
  <c r="J1936" s="1"/>
  <c r="H1937"/>
  <c r="J1937" s="1"/>
  <c r="H1938"/>
  <c r="J1938" s="1"/>
  <c r="H1939"/>
  <c r="J1939" s="1"/>
  <c r="H1940"/>
  <c r="J1940" s="1"/>
  <c r="H1941"/>
  <c r="J1941" s="1"/>
  <c r="H1942"/>
  <c r="J1942" s="1"/>
  <c r="H1943"/>
  <c r="J1943" s="1"/>
  <c r="H1944"/>
  <c r="J1944" s="1"/>
  <c r="H1945"/>
  <c r="J1945" s="1"/>
  <c r="H1946"/>
  <c r="J1946" s="1"/>
  <c r="H1947"/>
  <c r="J1947" s="1"/>
  <c r="H1948"/>
  <c r="J1948" s="1"/>
  <c r="H1949"/>
  <c r="J1949" s="1"/>
  <c r="H1950"/>
  <c r="J1950" s="1"/>
  <c r="H1951"/>
  <c r="J1951" s="1"/>
  <c r="H1952"/>
  <c r="J1952" s="1"/>
  <c r="H1953"/>
  <c r="J1953" s="1"/>
  <c r="H1954"/>
  <c r="J1954" s="1"/>
  <c r="H1955"/>
  <c r="J1955" s="1"/>
  <c r="H1956"/>
  <c r="J1956" s="1"/>
  <c r="H1957"/>
  <c r="J1957" s="1"/>
  <c r="H1958"/>
  <c r="J1958" s="1"/>
  <c r="H1959"/>
  <c r="J1959" s="1"/>
  <c r="H1960"/>
  <c r="J1960" s="1"/>
  <c r="H1961"/>
  <c r="J1961" s="1"/>
  <c r="H1962"/>
  <c r="J1962" s="1"/>
  <c r="H1963"/>
  <c r="J1963" s="1"/>
  <c r="H1964"/>
  <c r="J1964" s="1"/>
  <c r="H1965"/>
  <c r="J1965" s="1"/>
  <c r="H1966"/>
  <c r="J1966" s="1"/>
  <c r="H1967"/>
  <c r="J1967" s="1"/>
  <c r="H1968"/>
  <c r="J1968" s="1"/>
  <c r="H1969"/>
  <c r="J1969" s="1"/>
  <c r="H1970"/>
  <c r="J1970" s="1"/>
  <c r="H1972"/>
  <c r="J1972" s="1"/>
  <c r="H1973"/>
  <c r="J1973" s="1"/>
  <c r="H1974"/>
  <c r="J1974" s="1"/>
  <c r="H1975"/>
  <c r="J1975" s="1"/>
  <c r="H1976"/>
  <c r="J1976" s="1"/>
  <c r="H1977"/>
  <c r="J1977" s="1"/>
  <c r="H1978"/>
  <c r="J1978" s="1"/>
  <c r="H1979"/>
  <c r="J1979" s="1"/>
  <c r="H1980"/>
  <c r="J1980" s="1"/>
  <c r="H1981"/>
  <c r="J1981" s="1"/>
  <c r="H1982"/>
  <c r="J1982" s="1"/>
  <c r="H1983"/>
  <c r="J1983" s="1"/>
  <c r="H1984"/>
  <c r="J1984" s="1"/>
  <c r="H1985"/>
  <c r="J1985" s="1"/>
  <c r="H1986"/>
  <c r="J1986" s="1"/>
  <c r="H1987"/>
  <c r="J1987" s="1"/>
  <c r="H1988"/>
  <c r="J1988" s="1"/>
  <c r="H1989"/>
  <c r="J1989" s="1"/>
  <c r="H1990"/>
  <c r="J1990" s="1"/>
  <c r="H1991"/>
  <c r="J1991" s="1"/>
  <c r="H1992"/>
  <c r="J1992" s="1"/>
  <c r="H1993"/>
  <c r="J1993" s="1"/>
  <c r="H1994"/>
  <c r="J1994" s="1"/>
  <c r="H1995"/>
  <c r="J1995" s="1"/>
  <c r="H1996"/>
  <c r="J1996" s="1"/>
  <c r="H1997"/>
  <c r="J1997" s="1"/>
  <c r="H1998"/>
  <c r="J1998" s="1"/>
  <c r="H2000"/>
  <c r="J2000" s="1"/>
  <c r="H2001"/>
  <c r="J2001" s="1"/>
  <c r="H2002"/>
  <c r="J2002" s="1"/>
  <c r="H2003"/>
  <c r="J2003" s="1"/>
  <c r="H2004"/>
  <c r="J2004" s="1"/>
  <c r="H2005"/>
  <c r="J2005" s="1"/>
  <c r="H2006"/>
  <c r="J2006" s="1"/>
  <c r="H2007"/>
  <c r="J2007" s="1"/>
  <c r="H2008"/>
  <c r="J2008" s="1"/>
  <c r="H2009"/>
  <c r="J2009" s="1"/>
  <c r="H2011"/>
  <c r="J2011" s="1"/>
  <c r="H2012"/>
  <c r="J2012" s="1"/>
  <c r="H2013"/>
  <c r="J2013" s="1"/>
  <c r="H2014"/>
  <c r="J2014" s="1"/>
  <c r="H2015"/>
  <c r="J2015" s="1"/>
  <c r="H2016"/>
  <c r="J2016" s="1"/>
  <c r="H2017"/>
  <c r="J2017" s="1"/>
  <c r="H2018"/>
  <c r="J2018" s="1"/>
  <c r="H2019"/>
  <c r="J2019" s="1"/>
  <c r="H2020"/>
  <c r="J2020" s="1"/>
  <c r="H2021"/>
  <c r="J2021" s="1"/>
  <c r="H2022"/>
  <c r="J2022" s="1"/>
  <c r="H2023"/>
  <c r="J2023" s="1"/>
  <c r="H2024"/>
  <c r="J2024" s="1"/>
  <c r="H2025"/>
  <c r="J2025" s="1"/>
  <c r="H2026"/>
  <c r="J2026" s="1"/>
  <c r="H2027"/>
  <c r="J2027" s="1"/>
  <c r="H2028"/>
  <c r="J2028" s="1"/>
  <c r="H2029"/>
  <c r="J2029" s="1"/>
  <c r="H2030"/>
  <c r="J2030" s="1"/>
  <c r="H2031"/>
  <c r="J2031" s="1"/>
  <c r="H2032"/>
  <c r="J2032" s="1"/>
  <c r="H2033"/>
  <c r="J2033" s="1"/>
  <c r="H2034"/>
  <c r="J2034" s="1"/>
  <c r="H2035"/>
  <c r="J2035" s="1"/>
  <c r="H2036"/>
  <c r="J2036" s="1"/>
  <c r="H2037"/>
  <c r="J2037" s="1"/>
  <c r="H2038"/>
  <c r="J2038" s="1"/>
  <c r="H2039"/>
  <c r="J2039" s="1"/>
  <c r="H2040"/>
  <c r="J2040" s="1"/>
  <c r="H2041"/>
  <c r="J2041" s="1"/>
  <c r="H2042"/>
  <c r="J2042" s="1"/>
  <c r="H2043"/>
  <c r="J2043" s="1"/>
  <c r="H2044"/>
  <c r="J2044" s="1"/>
  <c r="H2045"/>
  <c r="J2045" s="1"/>
  <c r="H2046"/>
  <c r="J2046" s="1"/>
  <c r="H2047"/>
  <c r="J2047" s="1"/>
  <c r="H2048"/>
  <c r="J2048" s="1"/>
  <c r="H2049"/>
  <c r="J2049" s="1"/>
  <c r="H2050"/>
  <c r="J2050" s="1"/>
  <c r="H2051"/>
  <c r="J2051" s="1"/>
  <c r="H2052"/>
  <c r="J2052" s="1"/>
  <c r="H2053"/>
  <c r="J2053" s="1"/>
  <c r="H2054"/>
  <c r="J2054" s="1"/>
  <c r="H2055"/>
  <c r="J2055" s="1"/>
  <c r="H2056"/>
  <c r="J2056" s="1"/>
  <c r="H2057"/>
  <c r="J2057" s="1"/>
  <c r="H2058"/>
  <c r="J2058" s="1"/>
  <c r="H2059"/>
  <c r="J2059" s="1"/>
  <c r="H2060"/>
  <c r="J2060" s="1"/>
  <c r="H2061"/>
  <c r="J2061" s="1"/>
  <c r="H2062"/>
  <c r="J2062" s="1"/>
  <c r="H2063"/>
  <c r="J2063" s="1"/>
  <c r="H2064"/>
  <c r="J2064" s="1"/>
  <c r="H2065"/>
  <c r="J2065" s="1"/>
  <c r="H2066"/>
  <c r="J2066" s="1"/>
  <c r="H2067"/>
  <c r="J2067" s="1"/>
  <c r="H2070"/>
  <c r="J2070" s="1"/>
  <c r="H2071"/>
  <c r="J2071" s="1"/>
  <c r="H2072"/>
  <c r="J2072" s="1"/>
  <c r="H2073"/>
  <c r="J2073" s="1"/>
  <c r="H2074"/>
  <c r="J2074" s="1"/>
  <c r="H2075"/>
  <c r="J2075" s="1"/>
  <c r="H2076"/>
  <c r="J2076" s="1"/>
  <c r="H2077"/>
  <c r="J2077" s="1"/>
  <c r="H2078"/>
  <c r="J2078" s="1"/>
  <c r="H2079"/>
  <c r="J2079" s="1"/>
  <c r="H2080"/>
  <c r="J2080" s="1"/>
  <c r="H2082"/>
  <c r="J2082" s="1"/>
  <c r="H2083"/>
  <c r="J2083" s="1"/>
  <c r="H2084"/>
  <c r="J2084" s="1"/>
  <c r="H2085"/>
  <c r="J2085" s="1"/>
  <c r="H2086"/>
  <c r="J2086" s="1"/>
  <c r="H2088"/>
  <c r="J2088" s="1"/>
  <c r="H2089"/>
  <c r="J2089" s="1"/>
  <c r="H2090"/>
  <c r="J2090" s="1"/>
  <c r="H2091"/>
  <c r="J2091" s="1"/>
  <c r="H2092"/>
  <c r="J2092" s="1"/>
  <c r="H2093"/>
  <c r="J2093" s="1"/>
  <c r="H2094"/>
  <c r="J2094" s="1"/>
  <c r="H2095"/>
  <c r="J2095" s="1"/>
  <c r="H2096"/>
  <c r="J2096" s="1"/>
  <c r="H2097"/>
  <c r="J2097" s="1"/>
  <c r="H2098"/>
  <c r="J2098" s="1"/>
  <c r="H2099"/>
  <c r="J2099" s="1"/>
  <c r="H2100"/>
  <c r="J2100" s="1"/>
  <c r="H2101"/>
  <c r="J2101" s="1"/>
  <c r="H2102"/>
  <c r="J2102" s="1"/>
  <c r="H2103"/>
  <c r="J2103" s="1"/>
  <c r="H2104"/>
  <c r="J2104" s="1"/>
  <c r="H2105"/>
  <c r="J2105" s="1"/>
  <c r="H2106"/>
  <c r="J2106" s="1"/>
  <c r="H2107"/>
  <c r="J2107" s="1"/>
  <c r="H2108"/>
  <c r="J2108" s="1"/>
  <c r="H2109"/>
  <c r="J2109" s="1"/>
  <c r="H2110"/>
  <c r="J2110" s="1"/>
  <c r="H2114"/>
  <c r="J2114" s="1"/>
  <c r="H2115"/>
  <c r="J2115" s="1"/>
  <c r="H2116"/>
  <c r="J2116" s="1"/>
  <c r="H2117"/>
  <c r="J2117" s="1"/>
  <c r="H2118"/>
  <c r="J2118" s="1"/>
  <c r="H2119"/>
  <c r="J2119" s="1"/>
  <c r="H2120"/>
  <c r="J2120" s="1"/>
  <c r="H2121"/>
  <c r="J2121" s="1"/>
  <c r="H2123"/>
  <c r="J2123" s="1"/>
  <c r="H2124"/>
  <c r="J2124" s="1"/>
  <c r="H2125"/>
  <c r="J2125" s="1"/>
  <c r="H2126"/>
  <c r="J2126" s="1"/>
  <c r="H2127"/>
  <c r="J2127" s="1"/>
  <c r="H2128"/>
  <c r="J2128" s="1"/>
  <c r="H2129"/>
  <c r="J2129" s="1"/>
  <c r="H2130"/>
  <c r="J2130" s="1"/>
  <c r="H2131"/>
  <c r="J2131" s="1"/>
  <c r="H2132"/>
  <c r="J2132" s="1"/>
  <c r="H2133"/>
  <c r="J2133" s="1"/>
  <c r="H2134"/>
  <c r="J2134" s="1"/>
  <c r="H2135"/>
  <c r="J2135" s="1"/>
  <c r="H2136"/>
  <c r="J2136" s="1"/>
  <c r="H2137"/>
  <c r="J2137" s="1"/>
  <c r="H2138"/>
  <c r="J2138" s="1"/>
  <c r="H2139"/>
  <c r="J2139" s="1"/>
  <c r="H2140"/>
  <c r="J2140" s="1"/>
  <c r="H2141"/>
  <c r="J2141" s="1"/>
  <c r="H2142"/>
  <c r="J2142" s="1"/>
  <c r="H2143"/>
  <c r="J2143" s="1"/>
  <c r="H2144"/>
  <c r="J2144" s="1"/>
  <c r="H2146"/>
  <c r="J2146" s="1"/>
  <c r="H2147"/>
  <c r="J2147" s="1"/>
  <c r="H2148"/>
  <c r="J2148" s="1"/>
  <c r="H2149"/>
  <c r="J2149" s="1"/>
  <c r="H2150"/>
  <c r="J2150" s="1"/>
  <c r="H2151"/>
  <c r="J2151" s="1"/>
  <c r="H2152"/>
  <c r="J2152" s="1"/>
  <c r="H2153"/>
  <c r="J2153" s="1"/>
  <c r="H2154"/>
  <c r="J2154" s="1"/>
  <c r="H2155"/>
  <c r="J2155" s="1"/>
  <c r="H2156"/>
  <c r="J2156" s="1"/>
  <c r="H2157"/>
  <c r="J2157" s="1"/>
  <c r="H2158"/>
  <c r="J2158" s="1"/>
  <c r="H2159"/>
  <c r="J2159" s="1"/>
  <c r="H2160"/>
  <c r="J2160" s="1"/>
  <c r="H2161"/>
  <c r="J2161" s="1"/>
  <c r="H2162"/>
  <c r="J2162" s="1"/>
  <c r="H2163"/>
  <c r="J2163" s="1"/>
  <c r="H2164"/>
  <c r="J2164" s="1"/>
  <c r="H2165"/>
  <c r="J2165" s="1"/>
  <c r="H2166"/>
  <c r="J2166" s="1"/>
  <c r="H2167"/>
  <c r="J2167" s="1"/>
  <c r="H2168"/>
  <c r="J2168" s="1"/>
  <c r="H2169"/>
  <c r="J2169" s="1"/>
  <c r="H2170"/>
  <c r="J2170" s="1"/>
  <c r="H2171"/>
  <c r="J2171" s="1"/>
  <c r="H2172"/>
  <c r="J2172" s="1"/>
  <c r="H2173"/>
  <c r="J2173" s="1"/>
  <c r="H2175"/>
  <c r="J2175" s="1"/>
  <c r="H2176"/>
  <c r="J2176" s="1"/>
  <c r="H2177"/>
  <c r="J2177" s="1"/>
  <c r="H2178"/>
  <c r="J2178" s="1"/>
  <c r="H2179"/>
  <c r="J2179" s="1"/>
  <c r="H2180"/>
  <c r="J2180" s="1"/>
  <c r="H2182"/>
  <c r="J2182" s="1"/>
  <c r="H2183"/>
  <c r="J2183" s="1"/>
  <c r="H2185"/>
  <c r="J2185" s="1"/>
  <c r="H2186"/>
  <c r="J2186" s="1"/>
  <c r="H2187"/>
  <c r="J2187" s="1"/>
  <c r="H2188"/>
  <c r="J2188" s="1"/>
  <c r="H2189"/>
  <c r="J2189" s="1"/>
  <c r="H2190"/>
  <c r="J2190" s="1"/>
  <c r="H2191"/>
  <c r="J2191" s="1"/>
  <c r="H2192"/>
  <c r="J2192" s="1"/>
  <c r="H2193"/>
  <c r="J2193" s="1"/>
  <c r="H2194"/>
  <c r="J2194" s="1"/>
  <c r="H2195"/>
  <c r="J2195" s="1"/>
  <c r="H2196"/>
  <c r="J2196" s="1"/>
  <c r="H2197"/>
  <c r="J2197" s="1"/>
  <c r="H2198"/>
  <c r="J2198" s="1"/>
  <c r="H2199"/>
  <c r="J2199" s="1"/>
  <c r="H2200"/>
  <c r="J2200" s="1"/>
  <c r="H2202"/>
  <c r="J2202" s="1"/>
  <c r="H2203"/>
  <c r="J2203" s="1"/>
  <c r="H2204"/>
  <c r="J2204" s="1"/>
  <c r="H2205"/>
  <c r="J2205" s="1"/>
  <c r="H2206"/>
  <c r="J2206" s="1"/>
  <c r="H2207"/>
  <c r="J2207" s="1"/>
  <c r="H2208"/>
  <c r="J2208" s="1"/>
  <c r="H2209"/>
  <c r="J2209" s="1"/>
  <c r="H2210"/>
  <c r="J2210" s="1"/>
  <c r="H2211"/>
  <c r="J2211" s="1"/>
  <c r="H2212"/>
  <c r="J2212" s="1"/>
  <c r="H2213"/>
  <c r="J2213" s="1"/>
  <c r="H2214"/>
  <c r="J2214" s="1"/>
  <c r="H2215"/>
  <c r="J2215" s="1"/>
  <c r="H2217"/>
  <c r="J2217" s="1"/>
  <c r="H2218"/>
  <c r="J2218" s="1"/>
  <c r="H2219"/>
  <c r="J2219" s="1"/>
  <c r="H2220"/>
  <c r="J2220" s="1"/>
  <c r="H2222"/>
  <c r="J2222" s="1"/>
  <c r="H2223"/>
  <c r="J2223" s="1"/>
  <c r="H2224"/>
  <c r="J2224" s="1"/>
  <c r="H2225"/>
  <c r="J2225" s="1"/>
  <c r="H2226"/>
  <c r="J2226" s="1"/>
  <c r="H2227"/>
  <c r="J2227" s="1"/>
  <c r="H2228"/>
  <c r="J2228" s="1"/>
  <c r="H2229"/>
  <c r="J2229" s="1"/>
  <c r="H2230"/>
  <c r="J2230" s="1"/>
  <c r="H2231"/>
  <c r="J2231" s="1"/>
  <c r="H2232"/>
  <c r="J2232" s="1"/>
  <c r="H2233"/>
  <c r="J2233" s="1"/>
  <c r="H2234"/>
  <c r="J2234" s="1"/>
  <c r="H2235"/>
  <c r="J2235" s="1"/>
  <c r="H2236"/>
  <c r="J2236" s="1"/>
  <c r="H2238"/>
  <c r="J2238" s="1"/>
  <c r="H2239"/>
  <c r="J2239" s="1"/>
  <c r="H2240"/>
  <c r="J2240" s="1"/>
  <c r="H2241"/>
  <c r="J2241" s="1"/>
  <c r="H2242"/>
  <c r="J2242" s="1"/>
  <c r="H2243"/>
  <c r="J2243" s="1"/>
  <c r="H2244"/>
  <c r="J2244" s="1"/>
  <c r="H2245"/>
  <c r="J2245" s="1"/>
  <c r="H2246"/>
  <c r="J2246" s="1"/>
  <c r="H2247"/>
  <c r="J2247" s="1"/>
  <c r="H2248"/>
  <c r="J2248" s="1"/>
  <c r="H2249"/>
  <c r="J2249" s="1"/>
  <c r="H2250"/>
  <c r="J2250" s="1"/>
  <c r="H2252"/>
  <c r="J2252" s="1"/>
  <c r="H2253"/>
  <c r="J2253" s="1"/>
  <c r="H2254"/>
  <c r="J2254" s="1"/>
  <c r="H2255"/>
  <c r="J2255" s="1"/>
  <c r="H2257"/>
  <c r="J2257" s="1"/>
  <c r="H2259"/>
  <c r="J2259" s="1"/>
  <c r="H2260"/>
  <c r="J2260" s="1"/>
  <c r="H2261"/>
  <c r="J2261" s="1"/>
  <c r="H2262"/>
  <c r="J2262" s="1"/>
  <c r="H2263"/>
  <c r="J2263" s="1"/>
  <c r="H2264"/>
  <c r="J2264" s="1"/>
  <c r="H2265"/>
  <c r="J2265" s="1"/>
  <c r="H2266"/>
  <c r="J2266" s="1"/>
  <c r="H2267"/>
  <c r="J2267" s="1"/>
  <c r="H2268"/>
  <c r="J2268" s="1"/>
  <c r="H2269"/>
  <c r="J2269" s="1"/>
  <c r="H2270"/>
  <c r="J2270" s="1"/>
  <c r="H2271"/>
  <c r="J2271" s="1"/>
  <c r="H2272"/>
  <c r="J2272" s="1"/>
  <c r="H2273"/>
  <c r="J2273" s="1"/>
  <c r="H2274"/>
  <c r="J2274" s="1"/>
  <c r="H2275"/>
  <c r="J2275" s="1"/>
  <c r="H2276"/>
  <c r="J2276" s="1"/>
  <c r="H2277"/>
  <c r="J2277" s="1"/>
  <c r="H2278"/>
  <c r="J2278" s="1"/>
  <c r="H2280"/>
  <c r="J2280" s="1"/>
  <c r="H2281"/>
  <c r="J2281" s="1"/>
  <c r="H2282"/>
  <c r="J2282" s="1"/>
  <c r="H2283"/>
  <c r="J2283" s="1"/>
  <c r="H2284"/>
  <c r="J2284" s="1"/>
  <c r="H2285"/>
  <c r="J2285" s="1"/>
  <c r="H2286"/>
  <c r="J2286" s="1"/>
  <c r="H2287"/>
  <c r="J2287" s="1"/>
  <c r="H2288"/>
  <c r="J2288" s="1"/>
  <c r="H2290"/>
  <c r="J2290" s="1"/>
  <c r="H2291"/>
  <c r="J2291" s="1"/>
  <c r="H2292"/>
  <c r="J2292" s="1"/>
  <c r="H2293"/>
  <c r="J2293" s="1"/>
  <c r="H2294"/>
  <c r="J2294" s="1"/>
  <c r="H2295"/>
  <c r="J2295" s="1"/>
  <c r="H2296"/>
  <c r="J2296" s="1"/>
  <c r="H2297"/>
  <c r="J2297" s="1"/>
  <c r="H2298"/>
  <c r="J2298" s="1"/>
  <c r="H2299"/>
  <c r="J2299" s="1"/>
  <c r="H2300"/>
  <c r="J2300" s="1"/>
  <c r="H2301"/>
  <c r="J2301" s="1"/>
  <c r="H2302"/>
  <c r="J2302" s="1"/>
  <c r="H2303"/>
  <c r="J2303" s="1"/>
  <c r="H2304"/>
  <c r="J2304" s="1"/>
  <c r="H2305"/>
  <c r="J2305" s="1"/>
  <c r="H2306"/>
  <c r="J2306" s="1"/>
  <c r="H2307"/>
  <c r="J2307" s="1"/>
  <c r="H2308"/>
  <c r="J2308" s="1"/>
  <c r="H2309"/>
  <c r="J2309" s="1"/>
  <c r="H2310"/>
  <c r="J2310" s="1"/>
  <c r="H2311"/>
  <c r="J2311" s="1"/>
  <c r="H2312"/>
  <c r="J2312" s="1"/>
  <c r="H2313"/>
  <c r="J2313" s="1"/>
  <c r="H2314"/>
  <c r="J2314" s="1"/>
  <c r="H2315"/>
  <c r="J2315" s="1"/>
  <c r="H2316"/>
  <c r="J2316" s="1"/>
  <c r="H2317"/>
  <c r="J2317" s="1"/>
  <c r="H2318"/>
  <c r="J2318" s="1"/>
  <c r="H2319"/>
  <c r="J2319" s="1"/>
  <c r="H2320"/>
  <c r="J2320" s="1"/>
  <c r="H2321"/>
  <c r="J2321" s="1"/>
  <c r="H2322"/>
  <c r="J2322" s="1"/>
  <c r="H2323"/>
  <c r="J2323" s="1"/>
  <c r="H2324"/>
  <c r="J2324" s="1"/>
  <c r="H2325"/>
  <c r="J2325" s="1"/>
  <c r="H2326"/>
  <c r="J2326" s="1"/>
  <c r="H2327"/>
  <c r="J2327" s="1"/>
  <c r="H2328"/>
  <c r="J2328" s="1"/>
  <c r="H2329"/>
  <c r="J2329" s="1"/>
  <c r="H2330"/>
  <c r="J2330" s="1"/>
  <c r="H2331"/>
  <c r="J2331" s="1"/>
  <c r="H2332"/>
  <c r="J2332" s="1"/>
  <c r="H2333"/>
  <c r="J2333" s="1"/>
  <c r="H2334"/>
  <c r="J2334" s="1"/>
  <c r="H2335"/>
  <c r="J2335" s="1"/>
  <c r="H2336"/>
  <c r="J2336" s="1"/>
  <c r="H2337"/>
  <c r="J2337" s="1"/>
  <c r="H2338"/>
  <c r="J2338" s="1"/>
  <c r="H2339"/>
  <c r="J2339" s="1"/>
  <c r="H2340"/>
  <c r="J2340" s="1"/>
  <c r="H2341"/>
  <c r="J2341" s="1"/>
  <c r="H2342"/>
  <c r="J2342" s="1"/>
  <c r="H2343"/>
  <c r="J2343" s="1"/>
  <c r="H2344"/>
  <c r="J2344" s="1"/>
  <c r="H2345"/>
  <c r="J2345" s="1"/>
  <c r="H2346"/>
  <c r="J2346" s="1"/>
  <c r="H2347"/>
  <c r="J2347" s="1"/>
  <c r="H2348"/>
  <c r="J2348" s="1"/>
  <c r="H2349"/>
  <c r="J2349" s="1"/>
  <c r="H2350"/>
  <c r="J2350" s="1"/>
  <c r="H2351"/>
  <c r="J2351" s="1"/>
  <c r="H2352"/>
  <c r="J2352" s="1"/>
  <c r="H2353"/>
  <c r="J2353" s="1"/>
  <c r="H2354"/>
  <c r="J2354" s="1"/>
  <c r="H2355"/>
  <c r="J2355" s="1"/>
  <c r="H2356"/>
  <c r="J2356" s="1"/>
  <c r="H2357"/>
  <c r="J2357" s="1"/>
  <c r="H2358"/>
  <c r="J2358" s="1"/>
  <c r="H2359"/>
  <c r="J2359" s="1"/>
  <c r="H2360"/>
  <c r="J2360" s="1"/>
  <c r="H2361"/>
  <c r="J2361" s="1"/>
  <c r="H2362"/>
  <c r="J2362" s="1"/>
  <c r="H2363"/>
  <c r="J2363" s="1"/>
  <c r="H2364"/>
  <c r="J2364" s="1"/>
  <c r="H2365"/>
  <c r="J2365" s="1"/>
  <c r="H2366"/>
  <c r="J2366" s="1"/>
  <c r="H2367"/>
  <c r="J2367" s="1"/>
  <c r="H2368"/>
  <c r="J2368" s="1"/>
  <c r="H2369"/>
  <c r="J2369" s="1"/>
  <c r="H2370"/>
  <c r="J2370" s="1"/>
  <c r="H2371"/>
  <c r="J2371" s="1"/>
  <c r="H2372"/>
  <c r="J2372" s="1"/>
  <c r="H2373"/>
  <c r="J2373" s="1"/>
  <c r="H2374"/>
  <c r="J2374" s="1"/>
  <c r="H2375"/>
  <c r="J2375" s="1"/>
  <c r="H2376"/>
  <c r="J2376" s="1"/>
  <c r="H2377"/>
  <c r="J2377" s="1"/>
  <c r="H2378"/>
  <c r="J2378" s="1"/>
  <c r="H2379"/>
  <c r="J2379" s="1"/>
  <c r="H2380"/>
  <c r="J2380" s="1"/>
  <c r="H2381"/>
  <c r="J2381" s="1"/>
  <c r="H2382"/>
  <c r="J2382" s="1"/>
  <c r="H2383"/>
  <c r="J2383" s="1"/>
  <c r="H2384"/>
  <c r="J2384" s="1"/>
  <c r="H2385"/>
  <c r="J2385" s="1"/>
  <c r="H2386"/>
  <c r="J2386" s="1"/>
  <c r="H2387"/>
  <c r="J2387" s="1"/>
  <c r="H2388"/>
  <c r="J2388" s="1"/>
  <c r="H2389"/>
  <c r="J2389" s="1"/>
  <c r="H2390"/>
  <c r="J2390" s="1"/>
  <c r="H2391"/>
  <c r="J2391" s="1"/>
  <c r="H2392"/>
  <c r="J2392" s="1"/>
  <c r="H2393"/>
  <c r="J2393" s="1"/>
  <c r="H2394"/>
  <c r="J2394" s="1"/>
  <c r="H2395"/>
  <c r="J2395" s="1"/>
  <c r="H2396"/>
  <c r="J2396" s="1"/>
  <c r="H2397"/>
  <c r="J2397" s="1"/>
  <c r="H2398"/>
  <c r="J2398" s="1"/>
  <c r="H2399"/>
  <c r="J2399" s="1"/>
  <c r="H2400"/>
  <c r="J2400" s="1"/>
  <c r="H2401"/>
  <c r="J2401" s="1"/>
  <c r="H2402"/>
  <c r="J2402" s="1"/>
  <c r="H2403"/>
  <c r="J2403" s="1"/>
  <c r="H2404"/>
  <c r="J2404" s="1"/>
  <c r="H2405"/>
  <c r="J2405" s="1"/>
  <c r="H2406"/>
  <c r="J2406" s="1"/>
  <c r="H2407"/>
  <c r="J2407" s="1"/>
  <c r="H2408"/>
  <c r="J2408" s="1"/>
  <c r="H2409"/>
  <c r="J2409" s="1"/>
  <c r="H2410"/>
  <c r="J2410" s="1"/>
  <c r="H2411"/>
  <c r="J2411" s="1"/>
  <c r="H2412"/>
  <c r="J2412" s="1"/>
  <c r="H2413"/>
  <c r="J2413" s="1"/>
  <c r="H2414"/>
  <c r="J2414" s="1"/>
  <c r="H2415"/>
  <c r="J2415" s="1"/>
  <c r="H2416"/>
  <c r="J2416" s="1"/>
  <c r="H2417"/>
  <c r="J2417" s="1"/>
  <c r="H2418"/>
  <c r="J2418" s="1"/>
  <c r="H2419"/>
  <c r="J2419" s="1"/>
  <c r="H2420"/>
  <c r="J2420" s="1"/>
  <c r="H2421"/>
  <c r="J2421" s="1"/>
  <c r="H2422"/>
  <c r="J2422" s="1"/>
  <c r="H2423"/>
  <c r="J2423" s="1"/>
  <c r="H2424"/>
  <c r="J2424" s="1"/>
  <c r="H2425"/>
  <c r="J2425" s="1"/>
  <c r="H2426"/>
  <c r="J2426" s="1"/>
  <c r="H2427"/>
  <c r="J2427" s="1"/>
  <c r="H2428"/>
  <c r="J2428" s="1"/>
  <c r="H2429"/>
  <c r="J2429" s="1"/>
  <c r="H2430"/>
  <c r="J2430" s="1"/>
  <c r="H2431"/>
  <c r="J2431" s="1"/>
  <c r="H2432"/>
  <c r="J2432" s="1"/>
  <c r="H2433"/>
  <c r="J2433" s="1"/>
  <c r="H2434"/>
  <c r="J2434" s="1"/>
  <c r="H2435"/>
  <c r="J2435" s="1"/>
  <c r="H2436"/>
  <c r="J2436" s="1"/>
  <c r="H2437"/>
  <c r="J2437" s="1"/>
  <c r="H2438"/>
  <c r="J2438" s="1"/>
  <c r="H2439"/>
  <c r="J2439" s="1"/>
  <c r="H2440"/>
  <c r="J2440" s="1"/>
  <c r="H2441"/>
  <c r="J2441" s="1"/>
  <c r="H2442"/>
  <c r="J2442" s="1"/>
  <c r="H2443"/>
  <c r="J2443" s="1"/>
  <c r="H2444"/>
  <c r="J2444" s="1"/>
  <c r="H2445"/>
  <c r="J2445" s="1"/>
  <c r="H2446"/>
  <c r="J2446" s="1"/>
  <c r="H2447"/>
  <c r="J2447" s="1"/>
  <c r="H2448"/>
  <c r="J2448" s="1"/>
  <c r="H2449"/>
  <c r="J2449" s="1"/>
  <c r="H2450"/>
  <c r="J2450" s="1"/>
  <c r="H2451"/>
  <c r="J2451" s="1"/>
  <c r="H3"/>
  <c r="J3" s="1"/>
  <c r="H4"/>
  <c r="J4" s="1"/>
  <c r="H5"/>
  <c r="J5" s="1"/>
  <c r="H6"/>
  <c r="J6" s="1"/>
  <c r="H7"/>
  <c r="J7" s="1"/>
  <c r="H8"/>
  <c r="J8" s="1"/>
  <c r="H9"/>
  <c r="J9" s="1"/>
  <c r="H10"/>
  <c r="J10" s="1"/>
  <c r="H12"/>
  <c r="J12" s="1"/>
  <c r="H13"/>
  <c r="J13" s="1"/>
  <c r="H14"/>
  <c r="J14" s="1"/>
  <c r="H15"/>
  <c r="J15" s="1"/>
  <c r="H16"/>
  <c r="J16" s="1"/>
  <c r="H17"/>
  <c r="J17" s="1"/>
  <c r="H18"/>
  <c r="J18" s="1"/>
  <c r="H19"/>
  <c r="J19" s="1"/>
  <c r="H20"/>
  <c r="J20" s="1"/>
  <c r="H21"/>
  <c r="J21" s="1"/>
  <c r="H22"/>
  <c r="J22" s="1"/>
  <c r="H23"/>
  <c r="J23" s="1"/>
  <c r="H24"/>
  <c r="J24" s="1"/>
  <c r="H25"/>
  <c r="J25" s="1"/>
  <c r="H26"/>
  <c r="J26" s="1"/>
  <c r="H27"/>
  <c r="J27" s="1"/>
  <c r="H28"/>
  <c r="J28" s="1"/>
  <c r="H29"/>
  <c r="J29" s="1"/>
  <c r="H30"/>
  <c r="J30" s="1"/>
  <c r="H31"/>
  <c r="J31" s="1"/>
  <c r="H32"/>
  <c r="J32" s="1"/>
  <c r="H33"/>
  <c r="J33" s="1"/>
  <c r="H34"/>
  <c r="J34" s="1"/>
  <c r="H35"/>
  <c r="J35" s="1"/>
  <c r="H36"/>
  <c r="J36" s="1"/>
  <c r="H38"/>
  <c r="J38" s="1"/>
  <c r="H39"/>
  <c r="J39" s="1"/>
  <c r="H40"/>
  <c r="J40" s="1"/>
  <c r="H41"/>
  <c r="J41" s="1"/>
  <c r="H42"/>
  <c r="J42" s="1"/>
  <c r="H43"/>
  <c r="J43" s="1"/>
  <c r="H44"/>
  <c r="J44" s="1"/>
  <c r="H45"/>
  <c r="J45" s="1"/>
  <c r="H46"/>
  <c r="J46" s="1"/>
  <c r="H47"/>
  <c r="J47" s="1"/>
  <c r="H48"/>
  <c r="J48" s="1"/>
  <c r="H49"/>
  <c r="J49" s="1"/>
  <c r="H50"/>
  <c r="J50" s="1"/>
  <c r="H52"/>
  <c r="J52" s="1"/>
  <c r="H53"/>
  <c r="J53" s="1"/>
  <c r="H54"/>
  <c r="J54" s="1"/>
  <c r="H55"/>
  <c r="J55" s="1"/>
  <c r="H56"/>
  <c r="J56" s="1"/>
  <c r="H57"/>
  <c r="J57" s="1"/>
  <c r="H58"/>
  <c r="J58" s="1"/>
  <c r="H59"/>
  <c r="J59" s="1"/>
  <c r="H60"/>
  <c r="J60" s="1"/>
  <c r="H61"/>
  <c r="J61" s="1"/>
  <c r="H62"/>
  <c r="J62" s="1"/>
  <c r="H63"/>
  <c r="J63" s="1"/>
  <c r="H64"/>
  <c r="J64" s="1"/>
  <c r="H65"/>
  <c r="J65" s="1"/>
  <c r="H66"/>
  <c r="J66" s="1"/>
  <c r="H67"/>
  <c r="J67" s="1"/>
  <c r="H68"/>
  <c r="J68" s="1"/>
  <c r="H69"/>
  <c r="J69" s="1"/>
  <c r="H70"/>
  <c r="J70" s="1"/>
  <c r="H71"/>
  <c r="J71" s="1"/>
  <c r="H72"/>
  <c r="J72" s="1"/>
  <c r="H73"/>
  <c r="J73" s="1"/>
  <c r="H74"/>
  <c r="J74" s="1"/>
  <c r="H75"/>
  <c r="J75" s="1"/>
  <c r="H77"/>
  <c r="J77" s="1"/>
  <c r="H78"/>
  <c r="J78" s="1"/>
  <c r="H79"/>
  <c r="J79" s="1"/>
  <c r="H80"/>
  <c r="J80" s="1"/>
  <c r="H81"/>
  <c r="J81" s="1"/>
  <c r="H82"/>
  <c r="J82" s="1"/>
  <c r="H83"/>
  <c r="J83" s="1"/>
  <c r="H85"/>
  <c r="J85" s="1"/>
  <c r="H86"/>
  <c r="J86" s="1"/>
  <c r="H87"/>
  <c r="J87" s="1"/>
  <c r="H90"/>
  <c r="J90" s="1"/>
  <c r="H91"/>
  <c r="J91" s="1"/>
  <c r="H92"/>
  <c r="J92" s="1"/>
  <c r="H93"/>
  <c r="J93" s="1"/>
  <c r="H94"/>
  <c r="J94" s="1"/>
  <c r="H95"/>
  <c r="J95" s="1"/>
  <c r="H96"/>
  <c r="J96" s="1"/>
  <c r="H97"/>
  <c r="J97" s="1"/>
  <c r="H98"/>
  <c r="J98" s="1"/>
  <c r="H99"/>
  <c r="J99" s="1"/>
  <c r="H100"/>
  <c r="J100" s="1"/>
  <c r="H101"/>
  <c r="J101" s="1"/>
  <c r="H102"/>
  <c r="J102" s="1"/>
  <c r="H103"/>
  <c r="J103" s="1"/>
  <c r="H104"/>
  <c r="J104" s="1"/>
  <c r="H105"/>
  <c r="J105" s="1"/>
  <c r="H106"/>
  <c r="J106" s="1"/>
  <c r="H107"/>
  <c r="J107" s="1"/>
  <c r="H108"/>
  <c r="J108" s="1"/>
  <c r="H109"/>
  <c r="J109" s="1"/>
  <c r="H110"/>
  <c r="J110" s="1"/>
  <c r="H111"/>
  <c r="J111" s="1"/>
  <c r="H112"/>
  <c r="J112" s="1"/>
  <c r="H113"/>
  <c r="J113" s="1"/>
  <c r="H114"/>
  <c r="J114" s="1"/>
  <c r="H115"/>
  <c r="J115" s="1"/>
  <c r="H116"/>
  <c r="J116" s="1"/>
  <c r="H117"/>
  <c r="J117" s="1"/>
  <c r="H118"/>
  <c r="J118" s="1"/>
  <c r="H119"/>
  <c r="J119" s="1"/>
  <c r="H120"/>
  <c r="J120" s="1"/>
  <c r="H121"/>
  <c r="J121" s="1"/>
  <c r="H124"/>
  <c r="J124" s="1"/>
  <c r="H125"/>
  <c r="J125" s="1"/>
  <c r="H126"/>
  <c r="J126" s="1"/>
  <c r="H127"/>
  <c r="J127" s="1"/>
  <c r="H128"/>
  <c r="J128" s="1"/>
  <c r="H129"/>
  <c r="J129" s="1"/>
  <c r="H130"/>
  <c r="J130" s="1"/>
  <c r="H131"/>
  <c r="J131" s="1"/>
  <c r="H132"/>
  <c r="J132" s="1"/>
  <c r="H133"/>
  <c r="J133" s="1"/>
  <c r="H134"/>
  <c r="J134" s="1"/>
  <c r="H135"/>
  <c r="J135" s="1"/>
  <c r="H136"/>
  <c r="J136" s="1"/>
  <c r="H137"/>
  <c r="J137" s="1"/>
  <c r="H138"/>
  <c r="J138" s="1"/>
  <c r="H139"/>
  <c r="J139" s="1"/>
  <c r="H140"/>
  <c r="J140" s="1"/>
  <c r="H141"/>
  <c r="J141" s="1"/>
  <c r="H142"/>
  <c r="J142" s="1"/>
  <c r="H143"/>
  <c r="J143" s="1"/>
  <c r="H144"/>
  <c r="J144" s="1"/>
  <c r="H145"/>
  <c r="J145" s="1"/>
  <c r="H146"/>
  <c r="J146" s="1"/>
  <c r="H147"/>
  <c r="J147" s="1"/>
  <c r="H148"/>
  <c r="J148" s="1"/>
  <c r="H149"/>
  <c r="J149" s="1"/>
  <c r="H150"/>
  <c r="J150" s="1"/>
  <c r="H151"/>
  <c r="J151" s="1"/>
  <c r="H152"/>
  <c r="J152" s="1"/>
  <c r="H153"/>
  <c r="J153" s="1"/>
  <c r="H154"/>
  <c r="J154" s="1"/>
  <c r="H155"/>
  <c r="J155" s="1"/>
  <c r="H156"/>
  <c r="J156" s="1"/>
  <c r="H157"/>
  <c r="J157" s="1"/>
  <c r="H158"/>
  <c r="J158" s="1"/>
  <c r="H159"/>
  <c r="J159" s="1"/>
  <c r="H160"/>
  <c r="J160" s="1"/>
  <c r="H161"/>
  <c r="J161" s="1"/>
  <c r="H162"/>
  <c r="J162" s="1"/>
  <c r="H163"/>
  <c r="J163" s="1"/>
  <c r="H164"/>
  <c r="J164" s="1"/>
  <c r="H165"/>
  <c r="J165" s="1"/>
  <c r="H166"/>
  <c r="J166" s="1"/>
  <c r="H167"/>
  <c r="J167" s="1"/>
  <c r="H168"/>
  <c r="J168" s="1"/>
  <c r="H170"/>
  <c r="J170" s="1"/>
  <c r="H171"/>
  <c r="J171" s="1"/>
  <c r="H172"/>
  <c r="J172" s="1"/>
  <c r="H173"/>
  <c r="J173" s="1"/>
  <c r="H174"/>
  <c r="J174" s="1"/>
  <c r="H175"/>
  <c r="J175" s="1"/>
  <c r="H176"/>
  <c r="J176" s="1"/>
  <c r="H177"/>
  <c r="J177" s="1"/>
  <c r="H178"/>
  <c r="J178" s="1"/>
  <c r="H179"/>
  <c r="J179" s="1"/>
  <c r="H180"/>
  <c r="J180" s="1"/>
  <c r="H181"/>
  <c r="J181" s="1"/>
  <c r="H182"/>
  <c r="J182" s="1"/>
  <c r="H183"/>
  <c r="J183" s="1"/>
  <c r="H184"/>
  <c r="J184" s="1"/>
  <c r="H185"/>
  <c r="J185" s="1"/>
  <c r="H186"/>
  <c r="J186" s="1"/>
  <c r="H187"/>
  <c r="J187" s="1"/>
  <c r="H188"/>
  <c r="J188" s="1"/>
  <c r="H189"/>
  <c r="J189" s="1"/>
  <c r="H190"/>
  <c r="J190" s="1"/>
  <c r="H191"/>
  <c r="J191" s="1"/>
  <c r="H192"/>
  <c r="J192" s="1"/>
  <c r="H193"/>
  <c r="J193" s="1"/>
  <c r="H194"/>
  <c r="J194" s="1"/>
  <c r="H195"/>
  <c r="J195" s="1"/>
  <c r="H196"/>
  <c r="J196" s="1"/>
  <c r="H197"/>
  <c r="J197" s="1"/>
  <c r="H198"/>
  <c r="J198" s="1"/>
  <c r="H199"/>
  <c r="J199" s="1"/>
  <c r="H200"/>
  <c r="J200" s="1"/>
  <c r="H201"/>
  <c r="J201" s="1"/>
  <c r="H202"/>
  <c r="J202" s="1"/>
  <c r="H203"/>
  <c r="J203" s="1"/>
  <c r="H204"/>
  <c r="J204" s="1"/>
  <c r="H205"/>
  <c r="J205" s="1"/>
  <c r="H207"/>
  <c r="J207" s="1"/>
  <c r="H208"/>
  <c r="J208" s="1"/>
  <c r="H209"/>
  <c r="J209" s="1"/>
  <c r="H210"/>
  <c r="J210" s="1"/>
  <c r="H211"/>
  <c r="J211" s="1"/>
  <c r="H212"/>
  <c r="J212" s="1"/>
  <c r="H213"/>
  <c r="J213" s="1"/>
  <c r="H214"/>
  <c r="J214" s="1"/>
  <c r="H215"/>
  <c r="J215" s="1"/>
  <c r="H216"/>
  <c r="J216" s="1"/>
  <c r="H217"/>
  <c r="J217" s="1"/>
  <c r="H218"/>
  <c r="J218" s="1"/>
  <c r="H219"/>
  <c r="J219" s="1"/>
  <c r="H220"/>
  <c r="J220" s="1"/>
  <c r="H221"/>
  <c r="J221" s="1"/>
  <c r="H222"/>
  <c r="J222" s="1"/>
  <c r="H223"/>
  <c r="J223" s="1"/>
  <c r="H224"/>
  <c r="J224" s="1"/>
  <c r="H225"/>
  <c r="J225" s="1"/>
  <c r="H226"/>
  <c r="J226" s="1"/>
  <c r="H228"/>
  <c r="J228" s="1"/>
  <c r="H229"/>
  <c r="J229" s="1"/>
  <c r="H232"/>
  <c r="J232" s="1"/>
  <c r="H234"/>
  <c r="J234" s="1"/>
  <c r="H235"/>
  <c r="J235" s="1"/>
  <c r="H236"/>
  <c r="J236" s="1"/>
  <c r="H237"/>
  <c r="J237" s="1"/>
  <c r="H238"/>
  <c r="J238" s="1"/>
  <c r="H239"/>
  <c r="J239" s="1"/>
  <c r="H240"/>
  <c r="J240" s="1"/>
  <c r="H241"/>
  <c r="J241" s="1"/>
  <c r="H242"/>
  <c r="J242" s="1"/>
  <c r="H243"/>
  <c r="J243" s="1"/>
  <c r="H244"/>
  <c r="J244" s="1"/>
  <c r="H245"/>
  <c r="J245" s="1"/>
  <c r="H246"/>
  <c r="J246" s="1"/>
  <c r="H247"/>
  <c r="J247" s="1"/>
  <c r="H248"/>
  <c r="J248" s="1"/>
  <c r="H249"/>
  <c r="J249" s="1"/>
  <c r="H250"/>
  <c r="J250" s="1"/>
  <c r="H251"/>
  <c r="J251" s="1"/>
  <c r="H252"/>
  <c r="J252" s="1"/>
  <c r="H253"/>
  <c r="J253" s="1"/>
  <c r="H254"/>
  <c r="J254" s="1"/>
  <c r="H255"/>
  <c r="J255" s="1"/>
  <c r="H256"/>
  <c r="J256" s="1"/>
  <c r="H257"/>
  <c r="J257" s="1"/>
  <c r="H258"/>
  <c r="J258" s="1"/>
  <c r="H259"/>
  <c r="J259" s="1"/>
  <c r="H260"/>
  <c r="J260" s="1"/>
  <c r="H261"/>
  <c r="J261" s="1"/>
  <c r="H262"/>
  <c r="J262" s="1"/>
  <c r="H263"/>
  <c r="J263" s="1"/>
  <c r="H264"/>
  <c r="J264" s="1"/>
  <c r="H265"/>
  <c r="J265" s="1"/>
  <c r="H266"/>
  <c r="J266" s="1"/>
  <c r="H267"/>
  <c r="J267" s="1"/>
  <c r="H268"/>
  <c r="J268" s="1"/>
  <c r="H269"/>
  <c r="J269" s="1"/>
  <c r="H270"/>
  <c r="J270" s="1"/>
  <c r="H271"/>
  <c r="J271" s="1"/>
  <c r="H272"/>
  <c r="J272" s="1"/>
  <c r="H273"/>
  <c r="J273" s="1"/>
  <c r="H274"/>
  <c r="J274" s="1"/>
  <c r="H275"/>
  <c r="J275" s="1"/>
  <c r="H276"/>
  <c r="J276" s="1"/>
  <c r="H277"/>
  <c r="J277" s="1"/>
  <c r="H279"/>
  <c r="J279" s="1"/>
  <c r="H280"/>
  <c r="J280" s="1"/>
  <c r="H281"/>
  <c r="J281" s="1"/>
  <c r="H282"/>
  <c r="J282" s="1"/>
  <c r="H283"/>
  <c r="J283" s="1"/>
  <c r="H284"/>
  <c r="J284" s="1"/>
  <c r="H285"/>
  <c r="J285" s="1"/>
  <c r="H286"/>
  <c r="J286" s="1"/>
  <c r="H287"/>
  <c r="J287" s="1"/>
  <c r="H288"/>
  <c r="J288" s="1"/>
  <c r="H289"/>
  <c r="J289" s="1"/>
  <c r="H290"/>
  <c r="J290" s="1"/>
  <c r="H291"/>
  <c r="J291" s="1"/>
  <c r="H292"/>
  <c r="J292" s="1"/>
  <c r="H293"/>
  <c r="J293" s="1"/>
  <c r="H294"/>
  <c r="J294" s="1"/>
  <c r="H295"/>
  <c r="J295" s="1"/>
  <c r="H296"/>
  <c r="J296" s="1"/>
  <c r="H297"/>
  <c r="J297" s="1"/>
  <c r="H298"/>
  <c r="J298" s="1"/>
  <c r="H299"/>
  <c r="J299" s="1"/>
  <c r="H300"/>
  <c r="J300" s="1"/>
  <c r="H301"/>
  <c r="J301" s="1"/>
  <c r="H302"/>
  <c r="J302" s="1"/>
  <c r="H303"/>
  <c r="J303" s="1"/>
  <c r="H304"/>
  <c r="J304" s="1"/>
  <c r="H305"/>
  <c r="J305" s="1"/>
  <c r="H306"/>
  <c r="J306" s="1"/>
  <c r="H307"/>
  <c r="J307" s="1"/>
  <c r="H308"/>
  <c r="J308" s="1"/>
  <c r="H309"/>
  <c r="J309" s="1"/>
  <c r="H310"/>
  <c r="J310" s="1"/>
  <c r="H311"/>
  <c r="J311" s="1"/>
  <c r="H312"/>
  <c r="J312" s="1"/>
  <c r="H313"/>
  <c r="J313" s="1"/>
  <c r="H314"/>
  <c r="J314" s="1"/>
  <c r="H315"/>
  <c r="J315" s="1"/>
  <c r="H316"/>
  <c r="J316" s="1"/>
  <c r="H317"/>
  <c r="J317" s="1"/>
  <c r="H318"/>
  <c r="J318" s="1"/>
  <c r="H319"/>
  <c r="J319" s="1"/>
  <c r="H320"/>
  <c r="J320" s="1"/>
  <c r="H321"/>
  <c r="J321" s="1"/>
  <c r="H322"/>
  <c r="J322" s="1"/>
  <c r="H323"/>
  <c r="J323" s="1"/>
  <c r="H324"/>
  <c r="J324" s="1"/>
  <c r="H325"/>
  <c r="J325" s="1"/>
  <c r="H326"/>
  <c r="J326" s="1"/>
  <c r="H327"/>
  <c r="J327" s="1"/>
  <c r="H328"/>
  <c r="J328" s="1"/>
  <c r="H329"/>
  <c r="J329" s="1"/>
  <c r="H330"/>
  <c r="J330" s="1"/>
  <c r="H331"/>
  <c r="J331" s="1"/>
  <c r="H332"/>
  <c r="J332" s="1"/>
  <c r="H333"/>
  <c r="J333" s="1"/>
  <c r="H334"/>
  <c r="J334" s="1"/>
  <c r="H335"/>
  <c r="J335" s="1"/>
  <c r="H336"/>
  <c r="J336" s="1"/>
  <c r="H337"/>
  <c r="J337" s="1"/>
  <c r="H338"/>
  <c r="J338" s="1"/>
  <c r="H339"/>
  <c r="J339" s="1"/>
  <c r="H340"/>
  <c r="J340" s="1"/>
  <c r="H341"/>
  <c r="J341" s="1"/>
  <c r="H342"/>
  <c r="J342" s="1"/>
  <c r="H343"/>
  <c r="J343" s="1"/>
  <c r="H344"/>
  <c r="J344" s="1"/>
  <c r="H345"/>
  <c r="J345" s="1"/>
  <c r="H347"/>
  <c r="J347" s="1"/>
  <c r="H348"/>
  <c r="J348" s="1"/>
  <c r="H349"/>
  <c r="J349" s="1"/>
  <c r="H350"/>
  <c r="J350" s="1"/>
  <c r="H351"/>
  <c r="J351" s="1"/>
  <c r="H352"/>
  <c r="J352" s="1"/>
  <c r="H353"/>
  <c r="J353" s="1"/>
  <c r="H354"/>
  <c r="J354" s="1"/>
  <c r="H355"/>
  <c r="J355" s="1"/>
  <c r="H356"/>
  <c r="J356" s="1"/>
  <c r="H357"/>
  <c r="J357" s="1"/>
  <c r="H358"/>
  <c r="J358" s="1"/>
  <c r="H359"/>
  <c r="J359" s="1"/>
  <c r="H360"/>
  <c r="J360" s="1"/>
  <c r="H361"/>
  <c r="J361" s="1"/>
  <c r="H362"/>
  <c r="J362" s="1"/>
  <c r="H363"/>
  <c r="J363" s="1"/>
  <c r="H364"/>
  <c r="J364" s="1"/>
  <c r="H365"/>
  <c r="J365" s="1"/>
  <c r="H366"/>
  <c r="J366" s="1"/>
  <c r="H367"/>
  <c r="J367" s="1"/>
  <c r="H368"/>
  <c r="J368" s="1"/>
  <c r="H369"/>
  <c r="J369" s="1"/>
  <c r="H370"/>
  <c r="J370" s="1"/>
  <c r="H371"/>
  <c r="J371" s="1"/>
  <c r="H372"/>
  <c r="J372" s="1"/>
  <c r="H373"/>
  <c r="J373" s="1"/>
  <c r="H374"/>
  <c r="J374" s="1"/>
  <c r="H375"/>
  <c r="J375" s="1"/>
  <c r="H376"/>
  <c r="J376" s="1"/>
  <c r="H377"/>
  <c r="J377" s="1"/>
  <c r="H378"/>
  <c r="J378" s="1"/>
  <c r="H379"/>
  <c r="J379" s="1"/>
  <c r="H380"/>
  <c r="J380" s="1"/>
  <c r="H381"/>
  <c r="J381" s="1"/>
  <c r="H382"/>
  <c r="J382" s="1"/>
  <c r="H383"/>
  <c r="J383" s="1"/>
  <c r="H384"/>
  <c r="J384" s="1"/>
  <c r="H385"/>
  <c r="J385" s="1"/>
  <c r="H386"/>
  <c r="J386" s="1"/>
  <c r="H387"/>
  <c r="J387" s="1"/>
  <c r="H388"/>
  <c r="J388" s="1"/>
  <c r="H389"/>
  <c r="J389" s="1"/>
  <c r="H390"/>
  <c r="J390" s="1"/>
  <c r="H391"/>
  <c r="J391" s="1"/>
  <c r="H392"/>
  <c r="J392" s="1"/>
  <c r="H393"/>
  <c r="J393" s="1"/>
  <c r="H394"/>
  <c r="J394" s="1"/>
  <c r="H395"/>
  <c r="J395" s="1"/>
  <c r="H396"/>
  <c r="J396" s="1"/>
  <c r="H397"/>
  <c r="J397" s="1"/>
  <c r="H398"/>
  <c r="J398" s="1"/>
  <c r="H399"/>
  <c r="J399" s="1"/>
  <c r="H400"/>
  <c r="J400" s="1"/>
  <c r="H401"/>
  <c r="J401" s="1"/>
  <c r="H402"/>
  <c r="J402" s="1"/>
  <c r="H404"/>
  <c r="J404" s="1"/>
  <c r="H405"/>
  <c r="J405" s="1"/>
  <c r="H406"/>
  <c r="J406" s="1"/>
  <c r="H407"/>
  <c r="J407" s="1"/>
  <c r="H408"/>
  <c r="J408" s="1"/>
  <c r="H409"/>
  <c r="J409" s="1"/>
  <c r="H410"/>
  <c r="J410" s="1"/>
  <c r="H411"/>
  <c r="J411" s="1"/>
  <c r="H412"/>
  <c r="J412" s="1"/>
  <c r="H413"/>
  <c r="J413" s="1"/>
  <c r="H414"/>
  <c r="J414" s="1"/>
  <c r="H415"/>
  <c r="J415" s="1"/>
  <c r="H416"/>
  <c r="J416" s="1"/>
  <c r="H417"/>
  <c r="J417" s="1"/>
  <c r="H419"/>
  <c r="J419" s="1"/>
  <c r="H420"/>
  <c r="J420" s="1"/>
  <c r="H421"/>
  <c r="J421" s="1"/>
  <c r="H422"/>
  <c r="J422" s="1"/>
  <c r="H423"/>
  <c r="J423" s="1"/>
  <c r="H424"/>
  <c r="J424" s="1"/>
  <c r="H425"/>
  <c r="J425" s="1"/>
  <c r="H426"/>
  <c r="J426" s="1"/>
  <c r="H427"/>
  <c r="J427" s="1"/>
  <c r="H428"/>
  <c r="J428" s="1"/>
  <c r="H429"/>
  <c r="J429" s="1"/>
  <c r="H430"/>
  <c r="J430" s="1"/>
  <c r="H431"/>
  <c r="J431" s="1"/>
  <c r="H433"/>
  <c r="J433" s="1"/>
  <c r="H434"/>
  <c r="J434" s="1"/>
  <c r="H435"/>
  <c r="J435" s="1"/>
  <c r="H436"/>
  <c r="J436" s="1"/>
  <c r="H437"/>
  <c r="J437" s="1"/>
  <c r="H438"/>
  <c r="J438" s="1"/>
  <c r="H439"/>
  <c r="J439" s="1"/>
  <c r="H440"/>
  <c r="J440" s="1"/>
  <c r="H441"/>
  <c r="J441" s="1"/>
  <c r="H442"/>
  <c r="J442" s="1"/>
  <c r="H443"/>
  <c r="J443" s="1"/>
  <c r="H444"/>
  <c r="J444" s="1"/>
  <c r="H445"/>
  <c r="J445" s="1"/>
  <c r="H446"/>
  <c r="J446" s="1"/>
  <c r="H447"/>
  <c r="J447" s="1"/>
  <c r="H448"/>
  <c r="J448" s="1"/>
  <c r="H449"/>
  <c r="J449" s="1"/>
  <c r="H450"/>
  <c r="J450" s="1"/>
  <c r="H452"/>
  <c r="J452" s="1"/>
  <c r="H453"/>
  <c r="J453" s="1"/>
  <c r="H454"/>
  <c r="J454" s="1"/>
  <c r="H455"/>
  <c r="J455" s="1"/>
  <c r="H456"/>
  <c r="J456" s="1"/>
  <c r="H457"/>
  <c r="J457" s="1"/>
  <c r="H458"/>
  <c r="J458" s="1"/>
  <c r="H459"/>
  <c r="J459" s="1"/>
  <c r="H460"/>
  <c r="J460" s="1"/>
  <c r="H461"/>
  <c r="J461" s="1"/>
  <c r="H462"/>
  <c r="J462" s="1"/>
  <c r="H463"/>
  <c r="J463" s="1"/>
  <c r="H465"/>
  <c r="J465" s="1"/>
  <c r="H466"/>
  <c r="J466" s="1"/>
  <c r="H467"/>
  <c r="J467" s="1"/>
  <c r="H468"/>
  <c r="J468" s="1"/>
  <c r="H469"/>
  <c r="J469" s="1"/>
  <c r="H470"/>
  <c r="J470" s="1"/>
  <c r="H471"/>
  <c r="J471" s="1"/>
  <c r="H473"/>
  <c r="J473" s="1"/>
  <c r="H474"/>
  <c r="J474" s="1"/>
  <c r="H475"/>
  <c r="J475" s="1"/>
  <c r="H476"/>
  <c r="J476" s="1"/>
  <c r="H477"/>
  <c r="J477" s="1"/>
  <c r="H478"/>
  <c r="J478" s="1"/>
  <c r="H479"/>
  <c r="J479" s="1"/>
  <c r="H480"/>
  <c r="J480" s="1"/>
  <c r="H481"/>
  <c r="J481" s="1"/>
  <c r="H482"/>
  <c r="J482" s="1"/>
  <c r="H483"/>
  <c r="J483" s="1"/>
  <c r="H484"/>
  <c r="J484" s="1"/>
  <c r="H485"/>
  <c r="J485" s="1"/>
  <c r="H486"/>
  <c r="J486" s="1"/>
  <c r="H487"/>
  <c r="J487" s="1"/>
  <c r="H488"/>
  <c r="J488" s="1"/>
  <c r="H489"/>
  <c r="J489" s="1"/>
  <c r="H490"/>
  <c r="J490" s="1"/>
  <c r="H491"/>
  <c r="J491" s="1"/>
  <c r="H492"/>
  <c r="J492" s="1"/>
  <c r="H493"/>
  <c r="J493" s="1"/>
  <c r="H494"/>
  <c r="J494" s="1"/>
  <c r="H495"/>
  <c r="J495" s="1"/>
  <c r="H496"/>
  <c r="J496" s="1"/>
  <c r="H497"/>
  <c r="J497" s="1"/>
  <c r="H498"/>
  <c r="J498" s="1"/>
  <c r="H499"/>
  <c r="J499" s="1"/>
  <c r="H500"/>
  <c r="J500" s="1"/>
  <c r="H502"/>
  <c r="J502" s="1"/>
  <c r="H503"/>
  <c r="J503" s="1"/>
  <c r="H504"/>
  <c r="J504" s="1"/>
  <c r="H505"/>
  <c r="J505" s="1"/>
  <c r="H506"/>
  <c r="J506" s="1"/>
  <c r="H507"/>
  <c r="J507" s="1"/>
  <c r="H508"/>
  <c r="J508" s="1"/>
  <c r="H509"/>
  <c r="J509" s="1"/>
  <c r="H510"/>
  <c r="J510" s="1"/>
  <c r="H511"/>
  <c r="J511" s="1"/>
  <c r="H512"/>
  <c r="J512" s="1"/>
  <c r="H513"/>
  <c r="J513" s="1"/>
  <c r="H514"/>
  <c r="J514" s="1"/>
  <c r="H515"/>
  <c r="J515" s="1"/>
  <c r="H516"/>
  <c r="J516" s="1"/>
  <c r="H517"/>
  <c r="J517" s="1"/>
  <c r="H518"/>
  <c r="J518" s="1"/>
  <c r="H520"/>
  <c r="J520" s="1"/>
  <c r="H521"/>
  <c r="J521" s="1"/>
  <c r="H522"/>
  <c r="J522" s="1"/>
  <c r="H524"/>
  <c r="J524" s="1"/>
  <c r="H525"/>
  <c r="J525" s="1"/>
  <c r="H526"/>
  <c r="J526" s="1"/>
  <c r="H527"/>
  <c r="J527" s="1"/>
  <c r="H528"/>
  <c r="J528" s="1"/>
  <c r="H530"/>
  <c r="J530" s="1"/>
  <c r="H531"/>
  <c r="J531" s="1"/>
  <c r="H532"/>
  <c r="J532" s="1"/>
  <c r="H533"/>
  <c r="J533" s="1"/>
  <c r="H534"/>
  <c r="J534" s="1"/>
  <c r="H535"/>
  <c r="J535" s="1"/>
  <c r="H536"/>
  <c r="J536" s="1"/>
  <c r="H537"/>
  <c r="J537" s="1"/>
  <c r="H538"/>
  <c r="J538" s="1"/>
  <c r="H539"/>
  <c r="J539" s="1"/>
  <c r="H540"/>
  <c r="J540" s="1"/>
  <c r="H541"/>
  <c r="J541" s="1"/>
  <c r="H542"/>
  <c r="J542" s="1"/>
  <c r="H543"/>
  <c r="J543" s="1"/>
  <c r="H544"/>
  <c r="J544" s="1"/>
  <c r="H545"/>
  <c r="J545" s="1"/>
  <c r="H546"/>
  <c r="J546" s="1"/>
  <c r="H547"/>
  <c r="J547" s="1"/>
  <c r="H548"/>
  <c r="J548" s="1"/>
  <c r="H549"/>
  <c r="J549" s="1"/>
  <c r="H550"/>
  <c r="J550" s="1"/>
  <c r="H551"/>
  <c r="J551" s="1"/>
  <c r="H553"/>
  <c r="J553" s="1"/>
  <c r="H556"/>
  <c r="J556" s="1"/>
  <c r="H557"/>
  <c r="J557" s="1"/>
  <c r="H558"/>
  <c r="J558" s="1"/>
  <c r="H559"/>
  <c r="J559" s="1"/>
  <c r="H560"/>
  <c r="J560" s="1"/>
  <c r="H561"/>
  <c r="J561" s="1"/>
  <c r="H562"/>
  <c r="J562" s="1"/>
  <c r="H563"/>
  <c r="J563" s="1"/>
  <c r="H564"/>
  <c r="J564" s="1"/>
  <c r="H565"/>
  <c r="J565" s="1"/>
  <c r="H566"/>
  <c r="J566" s="1"/>
  <c r="H567"/>
  <c r="J567" s="1"/>
  <c r="H568"/>
  <c r="J568" s="1"/>
  <c r="H569"/>
  <c r="J569" s="1"/>
  <c r="H570"/>
  <c r="J570" s="1"/>
  <c r="H571"/>
  <c r="J571" s="1"/>
  <c r="H572"/>
  <c r="J572" s="1"/>
  <c r="H573"/>
  <c r="J573" s="1"/>
  <c r="H574"/>
  <c r="J574" s="1"/>
  <c r="H575"/>
  <c r="J575" s="1"/>
  <c r="H576"/>
  <c r="J576" s="1"/>
  <c r="H577"/>
  <c r="J577" s="1"/>
  <c r="H578"/>
  <c r="J578" s="1"/>
  <c r="H579"/>
  <c r="J579" s="1"/>
  <c r="H581"/>
  <c r="J581" s="1"/>
  <c r="H582"/>
  <c r="J582" s="1"/>
  <c r="H583"/>
  <c r="J583" s="1"/>
  <c r="H584"/>
  <c r="J584" s="1"/>
  <c r="H585"/>
  <c r="J585" s="1"/>
  <c r="H586"/>
  <c r="J586" s="1"/>
  <c r="H587"/>
  <c r="J587" s="1"/>
  <c r="H588"/>
  <c r="J588" s="1"/>
  <c r="H589"/>
  <c r="J589" s="1"/>
  <c r="H590"/>
  <c r="J590" s="1"/>
  <c r="H591"/>
  <c r="J591" s="1"/>
  <c r="H592"/>
  <c r="J592" s="1"/>
  <c r="H593"/>
  <c r="J593" s="1"/>
  <c r="H594"/>
  <c r="J594" s="1"/>
  <c r="H595"/>
  <c r="J595" s="1"/>
  <c r="H596"/>
  <c r="J596" s="1"/>
  <c r="H598"/>
  <c r="J598" s="1"/>
  <c r="H599"/>
  <c r="J599" s="1"/>
  <c r="H600"/>
  <c r="J600" s="1"/>
  <c r="H601"/>
  <c r="J601" s="1"/>
  <c r="H602"/>
  <c r="J602" s="1"/>
  <c r="H603"/>
  <c r="J603" s="1"/>
  <c r="H604"/>
  <c r="J604" s="1"/>
  <c r="H605"/>
  <c r="J605" s="1"/>
  <c r="H606"/>
  <c r="J606" s="1"/>
  <c r="H607"/>
  <c r="J607" s="1"/>
  <c r="H608"/>
  <c r="J608" s="1"/>
  <c r="H609"/>
  <c r="J609" s="1"/>
  <c r="H610"/>
  <c r="J610" s="1"/>
  <c r="H611"/>
  <c r="J611" s="1"/>
  <c r="H612"/>
  <c r="J612" s="1"/>
  <c r="H613"/>
  <c r="J613" s="1"/>
  <c r="H614"/>
  <c r="J614" s="1"/>
  <c r="H615"/>
  <c r="J615" s="1"/>
  <c r="H616"/>
  <c r="J616" s="1"/>
  <c r="H617"/>
  <c r="J617" s="1"/>
  <c r="H618"/>
  <c r="J618" s="1"/>
  <c r="H619"/>
  <c r="J619" s="1"/>
  <c r="H620"/>
  <c r="J620" s="1"/>
  <c r="H621"/>
  <c r="J621" s="1"/>
  <c r="H622"/>
  <c r="J622" s="1"/>
  <c r="H623"/>
  <c r="J623" s="1"/>
  <c r="H624"/>
  <c r="J624" s="1"/>
  <c r="H625"/>
  <c r="J625" s="1"/>
  <c r="H626"/>
  <c r="J626" s="1"/>
  <c r="H627"/>
  <c r="J627" s="1"/>
  <c r="H628"/>
  <c r="J628" s="1"/>
  <c r="H629"/>
  <c r="J629" s="1"/>
  <c r="H630"/>
  <c r="J630" s="1"/>
  <c r="H631"/>
  <c r="J631" s="1"/>
  <c r="H632"/>
  <c r="J632" s="1"/>
  <c r="H633"/>
  <c r="J633" s="1"/>
  <c r="H634"/>
  <c r="J634" s="1"/>
  <c r="H635"/>
  <c r="J635" s="1"/>
  <c r="H636"/>
  <c r="J636" s="1"/>
  <c r="H637"/>
  <c r="J637" s="1"/>
  <c r="H639"/>
  <c r="J639" s="1"/>
  <c r="H640"/>
  <c r="J640" s="1"/>
  <c r="H641"/>
  <c r="J641" s="1"/>
  <c r="H642"/>
  <c r="J642" s="1"/>
  <c r="H643"/>
  <c r="J643" s="1"/>
  <c r="H645"/>
  <c r="J645" s="1"/>
  <c r="H646"/>
  <c r="J646" s="1"/>
  <c r="H647"/>
  <c r="J647" s="1"/>
  <c r="H650"/>
  <c r="J650" s="1"/>
  <c r="H651"/>
  <c r="J651" s="1"/>
  <c r="H652"/>
  <c r="J652" s="1"/>
  <c r="H653"/>
  <c r="J653" s="1"/>
  <c r="H654"/>
  <c r="J654" s="1"/>
  <c r="H655"/>
  <c r="J655" s="1"/>
  <c r="H656"/>
  <c r="J656" s="1"/>
  <c r="H657"/>
  <c r="J657" s="1"/>
  <c r="H658"/>
  <c r="J658" s="1"/>
  <c r="H659"/>
  <c r="J659" s="1"/>
  <c r="H660"/>
  <c r="J660" s="1"/>
  <c r="H661"/>
  <c r="J661" s="1"/>
  <c r="H662"/>
  <c r="J662" s="1"/>
  <c r="H664"/>
  <c r="J664" s="1"/>
  <c r="H665"/>
  <c r="J665" s="1"/>
  <c r="H666"/>
  <c r="J666" s="1"/>
  <c r="H667"/>
  <c r="J667" s="1"/>
  <c r="H668"/>
  <c r="J668" s="1"/>
  <c r="H669"/>
  <c r="J669" s="1"/>
  <c r="H670"/>
  <c r="J670" s="1"/>
  <c r="H671"/>
  <c r="J671" s="1"/>
  <c r="H672"/>
  <c r="J672" s="1"/>
  <c r="H673"/>
  <c r="J673" s="1"/>
  <c r="H674"/>
  <c r="J674" s="1"/>
  <c r="H675"/>
  <c r="J675" s="1"/>
  <c r="H676"/>
  <c r="J676" s="1"/>
  <c r="H677"/>
  <c r="J677" s="1"/>
  <c r="H678"/>
  <c r="J678" s="1"/>
  <c r="H679"/>
  <c r="J679" s="1"/>
  <c r="H680"/>
  <c r="J680" s="1"/>
  <c r="H681"/>
  <c r="J681" s="1"/>
  <c r="H682"/>
  <c r="J682" s="1"/>
  <c r="H683"/>
  <c r="J683" s="1"/>
  <c r="H684"/>
  <c r="J684" s="1"/>
  <c r="H685"/>
  <c r="J685" s="1"/>
  <c r="H686"/>
  <c r="J686" s="1"/>
  <c r="H687"/>
  <c r="J687" s="1"/>
  <c r="H688"/>
  <c r="J688" s="1"/>
  <c r="H689"/>
  <c r="J689" s="1"/>
  <c r="H690"/>
  <c r="J690" s="1"/>
  <c r="H691"/>
  <c r="J691" s="1"/>
  <c r="H692"/>
  <c r="J692" s="1"/>
  <c r="H693"/>
  <c r="J693" s="1"/>
  <c r="H694"/>
  <c r="J694" s="1"/>
  <c r="H695"/>
  <c r="J695" s="1"/>
  <c r="H697"/>
  <c r="J697" s="1"/>
  <c r="H698"/>
  <c r="J698" s="1"/>
  <c r="H699"/>
  <c r="J699" s="1"/>
  <c r="H701"/>
  <c r="J701" s="1"/>
  <c r="H702"/>
  <c r="J702" s="1"/>
  <c r="H703"/>
  <c r="J703" s="1"/>
  <c r="H704"/>
  <c r="J704" s="1"/>
  <c r="H705"/>
  <c r="J705" s="1"/>
  <c r="H706"/>
  <c r="J706" s="1"/>
  <c r="H707"/>
  <c r="J707" s="1"/>
  <c r="H708"/>
  <c r="J708" s="1"/>
  <c r="H709"/>
  <c r="J709" s="1"/>
  <c r="H710"/>
  <c r="J710" s="1"/>
  <c r="H711"/>
  <c r="J711" s="1"/>
  <c r="H712"/>
  <c r="J712" s="1"/>
  <c r="H713"/>
  <c r="J713" s="1"/>
  <c r="H714"/>
  <c r="J714" s="1"/>
  <c r="H715"/>
  <c r="J715" s="1"/>
  <c r="H716"/>
  <c r="J716" s="1"/>
  <c r="H717"/>
  <c r="J717" s="1"/>
  <c r="H718"/>
  <c r="J718" s="1"/>
  <c r="H719"/>
  <c r="J719" s="1"/>
  <c r="H720"/>
  <c r="J720" s="1"/>
  <c r="H721"/>
  <c r="J721" s="1"/>
  <c r="H722"/>
  <c r="J722" s="1"/>
  <c r="H723"/>
  <c r="J723" s="1"/>
  <c r="H724"/>
  <c r="J724" s="1"/>
  <c r="H725"/>
  <c r="J725" s="1"/>
  <c r="H726"/>
  <c r="J726" s="1"/>
  <c r="H727"/>
  <c r="J727" s="1"/>
  <c r="H728"/>
  <c r="J728" s="1"/>
  <c r="H729"/>
  <c r="J729" s="1"/>
  <c r="H730"/>
  <c r="J730" s="1"/>
  <c r="H731"/>
  <c r="J731" s="1"/>
  <c r="H732"/>
  <c r="J732" s="1"/>
  <c r="H733"/>
  <c r="J733" s="1"/>
  <c r="H734"/>
  <c r="J734" s="1"/>
  <c r="H735"/>
  <c r="J735" s="1"/>
  <c r="H736"/>
  <c r="J736" s="1"/>
  <c r="H737"/>
  <c r="J737" s="1"/>
  <c r="H738"/>
  <c r="J738" s="1"/>
  <c r="H739"/>
  <c r="J739" s="1"/>
  <c r="H740"/>
  <c r="J740" s="1"/>
  <c r="H741"/>
  <c r="J741" s="1"/>
  <c r="H742"/>
  <c r="J742" s="1"/>
  <c r="H743"/>
  <c r="J743" s="1"/>
  <c r="H744"/>
  <c r="J744" s="1"/>
  <c r="H745"/>
  <c r="J745" s="1"/>
  <c r="H746"/>
  <c r="J746" s="1"/>
  <c r="H747"/>
  <c r="J747" s="1"/>
  <c r="H748"/>
  <c r="J748" s="1"/>
  <c r="H749"/>
  <c r="J749" s="1"/>
  <c r="H750"/>
  <c r="J750" s="1"/>
  <c r="H751"/>
  <c r="J751" s="1"/>
  <c r="H752"/>
  <c r="J752" s="1"/>
  <c r="H753"/>
  <c r="J753" s="1"/>
  <c r="H754"/>
  <c r="J754" s="1"/>
  <c r="H755"/>
  <c r="J755" s="1"/>
  <c r="H756"/>
  <c r="J756" s="1"/>
  <c r="H757"/>
  <c r="J757" s="1"/>
  <c r="H758"/>
  <c r="J758" s="1"/>
  <c r="H759"/>
  <c r="J759" s="1"/>
  <c r="H760"/>
  <c r="J760" s="1"/>
  <c r="H763"/>
  <c r="J763" s="1"/>
  <c r="H764"/>
  <c r="J764" s="1"/>
  <c r="H765"/>
  <c r="J765" s="1"/>
  <c r="H766"/>
  <c r="J766" s="1"/>
  <c r="H767"/>
  <c r="J767" s="1"/>
  <c r="H768"/>
  <c r="J768" s="1"/>
  <c r="H769"/>
  <c r="J769" s="1"/>
  <c r="H770"/>
  <c r="J770" s="1"/>
  <c r="H771"/>
  <c r="J771" s="1"/>
  <c r="H772"/>
  <c r="J772" s="1"/>
  <c r="H773"/>
  <c r="J773" s="1"/>
  <c r="H774"/>
  <c r="J774" s="1"/>
  <c r="H775"/>
  <c r="J775" s="1"/>
  <c r="H776"/>
  <c r="J776" s="1"/>
  <c r="H777"/>
  <c r="J777" s="1"/>
  <c r="H778"/>
  <c r="J778" s="1"/>
  <c r="H779"/>
  <c r="J779" s="1"/>
  <c r="H780"/>
  <c r="J780" s="1"/>
  <c r="H781"/>
  <c r="J781" s="1"/>
  <c r="H782"/>
  <c r="J782" s="1"/>
  <c r="H783"/>
  <c r="J783" s="1"/>
  <c r="H784"/>
  <c r="J784" s="1"/>
  <c r="H785"/>
  <c r="J785" s="1"/>
  <c r="H787"/>
  <c r="J787" s="1"/>
  <c r="H788"/>
  <c r="J788" s="1"/>
  <c r="H789"/>
  <c r="J789" s="1"/>
  <c r="H790"/>
  <c r="J790" s="1"/>
  <c r="H791"/>
  <c r="J791" s="1"/>
  <c r="H792"/>
  <c r="J792" s="1"/>
  <c r="H793"/>
  <c r="J793" s="1"/>
  <c r="H795"/>
  <c r="J795" s="1"/>
  <c r="H796"/>
  <c r="J796" s="1"/>
  <c r="H797"/>
  <c r="J797" s="1"/>
  <c r="H798"/>
  <c r="J798" s="1"/>
  <c r="H799"/>
  <c r="J799" s="1"/>
  <c r="H800"/>
  <c r="J800" s="1"/>
  <c r="H801"/>
  <c r="J801" s="1"/>
  <c r="H802"/>
  <c r="J802" s="1"/>
  <c r="H803"/>
  <c r="J803" s="1"/>
  <c r="H804"/>
  <c r="J804" s="1"/>
  <c r="H805"/>
  <c r="J805" s="1"/>
  <c r="H806"/>
  <c r="J806" s="1"/>
  <c r="H807"/>
  <c r="J807" s="1"/>
  <c r="H808"/>
  <c r="J808" s="1"/>
  <c r="H809"/>
  <c r="J809" s="1"/>
  <c r="H810"/>
  <c r="J810" s="1"/>
  <c r="H811"/>
  <c r="J811" s="1"/>
  <c r="H812"/>
  <c r="J812" s="1"/>
  <c r="H813"/>
  <c r="J813" s="1"/>
  <c r="H814"/>
  <c r="J814" s="1"/>
  <c r="H815"/>
  <c r="J815" s="1"/>
  <c r="H816"/>
  <c r="J816" s="1"/>
  <c r="H817"/>
  <c r="J817" s="1"/>
  <c r="H818"/>
  <c r="J818" s="1"/>
  <c r="H819"/>
  <c r="J819" s="1"/>
  <c r="H820"/>
  <c r="J820" s="1"/>
  <c r="H821"/>
  <c r="J821" s="1"/>
  <c r="H822"/>
  <c r="J822" s="1"/>
  <c r="H823"/>
  <c r="J823" s="1"/>
  <c r="H824"/>
  <c r="J824" s="1"/>
  <c r="H825"/>
  <c r="J825" s="1"/>
  <c r="H826"/>
  <c r="J826" s="1"/>
  <c r="H827"/>
  <c r="J827" s="1"/>
  <c r="H828"/>
  <c r="J828" s="1"/>
  <c r="H829"/>
  <c r="J829" s="1"/>
  <c r="H830"/>
  <c r="J830" s="1"/>
  <c r="H831"/>
  <c r="J831" s="1"/>
  <c r="H832"/>
  <c r="J832" s="1"/>
  <c r="H833"/>
  <c r="J833" s="1"/>
  <c r="H834"/>
  <c r="J834" s="1"/>
  <c r="H835"/>
  <c r="J835" s="1"/>
  <c r="H836"/>
  <c r="J836" s="1"/>
  <c r="H837"/>
  <c r="J837" s="1"/>
  <c r="H838"/>
  <c r="J838" s="1"/>
  <c r="H839"/>
  <c r="J839" s="1"/>
  <c r="H840"/>
  <c r="J840" s="1"/>
  <c r="H841"/>
  <c r="J841" s="1"/>
  <c r="H842"/>
  <c r="J842" s="1"/>
  <c r="H843"/>
  <c r="J843" s="1"/>
  <c r="H844"/>
  <c r="J844" s="1"/>
  <c r="H845"/>
  <c r="J845" s="1"/>
  <c r="H847"/>
  <c r="J847" s="1"/>
  <c r="H848"/>
  <c r="J848" s="1"/>
  <c r="H849"/>
  <c r="J849" s="1"/>
  <c r="H851"/>
  <c r="J851" s="1"/>
  <c r="H852"/>
  <c r="J852" s="1"/>
  <c r="H853"/>
  <c r="J853" s="1"/>
  <c r="H854"/>
  <c r="J854" s="1"/>
  <c r="H855"/>
  <c r="J855" s="1"/>
  <c r="H856"/>
  <c r="J856" s="1"/>
  <c r="H857"/>
  <c r="J857" s="1"/>
  <c r="H858"/>
  <c r="J858" s="1"/>
  <c r="H859"/>
  <c r="J859" s="1"/>
  <c r="H860"/>
  <c r="J860" s="1"/>
  <c r="H861"/>
  <c r="J861" s="1"/>
  <c r="H862"/>
  <c r="J862" s="1"/>
  <c r="H863"/>
  <c r="J863" s="1"/>
  <c r="H864"/>
  <c r="J864" s="1"/>
  <c r="H865"/>
  <c r="J865" s="1"/>
  <c r="H866"/>
  <c r="J866" s="1"/>
  <c r="H867"/>
  <c r="J867" s="1"/>
  <c r="H868"/>
  <c r="J868" s="1"/>
  <c r="H869"/>
  <c r="J869" s="1"/>
  <c r="H870"/>
  <c r="J870" s="1"/>
  <c r="H871"/>
  <c r="J871" s="1"/>
  <c r="H872"/>
  <c r="J872" s="1"/>
  <c r="H873"/>
  <c r="J873" s="1"/>
  <c r="H874"/>
  <c r="J874" s="1"/>
  <c r="H875"/>
  <c r="J875" s="1"/>
  <c r="H876"/>
  <c r="J876" s="1"/>
  <c r="H878"/>
  <c r="J878" s="1"/>
  <c r="H879"/>
  <c r="J879" s="1"/>
  <c r="H880"/>
  <c r="J880" s="1"/>
  <c r="H881"/>
  <c r="J881" s="1"/>
  <c r="H882"/>
  <c r="J882" s="1"/>
  <c r="H883"/>
  <c r="J883" s="1"/>
  <c r="H884"/>
  <c r="J884" s="1"/>
  <c r="H885"/>
  <c r="J885" s="1"/>
  <c r="H886"/>
  <c r="J886" s="1"/>
  <c r="H887"/>
  <c r="J887" s="1"/>
  <c r="H888"/>
  <c r="J888" s="1"/>
  <c r="H889"/>
  <c r="J889" s="1"/>
  <c r="H890"/>
  <c r="J890" s="1"/>
  <c r="H891"/>
  <c r="J891" s="1"/>
  <c r="H892"/>
  <c r="J892" s="1"/>
  <c r="H893"/>
  <c r="J893" s="1"/>
  <c r="H895"/>
  <c r="J895" s="1"/>
  <c r="H896"/>
  <c r="J896" s="1"/>
  <c r="H897"/>
  <c r="J897" s="1"/>
  <c r="H898"/>
  <c r="J898" s="1"/>
  <c r="H899"/>
  <c r="J899" s="1"/>
  <c r="H900"/>
  <c r="J900" s="1"/>
  <c r="H901"/>
  <c r="J901" s="1"/>
  <c r="H902"/>
  <c r="J902" s="1"/>
  <c r="H904"/>
  <c r="J904" s="1"/>
  <c r="H905"/>
  <c r="J905" s="1"/>
  <c r="H906"/>
  <c r="J906" s="1"/>
  <c r="H907"/>
  <c r="J907" s="1"/>
  <c r="H908"/>
  <c r="J908" s="1"/>
  <c r="H910"/>
  <c r="J910" s="1"/>
  <c r="H911"/>
  <c r="J911" s="1"/>
  <c r="H912"/>
  <c r="J912" s="1"/>
  <c r="H913"/>
  <c r="J913" s="1"/>
  <c r="H914"/>
  <c r="J914" s="1"/>
  <c r="H915"/>
  <c r="J915" s="1"/>
  <c r="H916"/>
  <c r="J916" s="1"/>
  <c r="H917"/>
  <c r="J917" s="1"/>
  <c r="H918"/>
  <c r="J918" s="1"/>
  <c r="H919"/>
  <c r="J919" s="1"/>
  <c r="H921"/>
  <c r="J921" s="1"/>
  <c r="H922"/>
  <c r="J922" s="1"/>
  <c r="H923"/>
  <c r="J923" s="1"/>
  <c r="H924"/>
  <c r="J924" s="1"/>
  <c r="H925"/>
  <c r="J925" s="1"/>
  <c r="H926"/>
  <c r="J926" s="1"/>
  <c r="H927"/>
  <c r="J927" s="1"/>
  <c r="H928"/>
  <c r="J928" s="1"/>
  <c r="H929"/>
  <c r="J929" s="1"/>
  <c r="H930"/>
  <c r="J930" s="1"/>
  <c r="H931"/>
  <c r="J931" s="1"/>
  <c r="H932"/>
  <c r="J932" s="1"/>
  <c r="H933"/>
  <c r="J933" s="1"/>
  <c r="H934"/>
  <c r="J934" s="1"/>
  <c r="H935"/>
  <c r="J935" s="1"/>
  <c r="H936"/>
  <c r="J936" s="1"/>
  <c r="H937"/>
  <c r="J937" s="1"/>
  <c r="H938"/>
  <c r="J938" s="1"/>
  <c r="H939"/>
  <c r="J939" s="1"/>
  <c r="H940"/>
  <c r="J940" s="1"/>
  <c r="H941"/>
  <c r="J941" s="1"/>
  <c r="H942"/>
  <c r="J942" s="1"/>
  <c r="H943"/>
  <c r="J943" s="1"/>
  <c r="H944"/>
  <c r="J944" s="1"/>
  <c r="H945"/>
  <c r="J945" s="1"/>
  <c r="H946"/>
  <c r="J946" s="1"/>
  <c r="H947"/>
  <c r="J947" s="1"/>
  <c r="H949"/>
  <c r="J949" s="1"/>
  <c r="H951"/>
  <c r="J951" s="1"/>
  <c r="H952"/>
  <c r="J952" s="1"/>
  <c r="H953"/>
  <c r="J953" s="1"/>
  <c r="H954"/>
  <c r="J954" s="1"/>
  <c r="H955"/>
  <c r="J955" s="1"/>
  <c r="H956"/>
  <c r="J956" s="1"/>
  <c r="H957"/>
  <c r="J957" s="1"/>
  <c r="H958"/>
  <c r="J958" s="1"/>
  <c r="H959"/>
  <c r="J959" s="1"/>
  <c r="H960"/>
  <c r="J960" s="1"/>
  <c r="H961"/>
  <c r="J961" s="1"/>
  <c r="H962"/>
  <c r="J962" s="1"/>
  <c r="H963"/>
  <c r="J963" s="1"/>
  <c r="H964"/>
  <c r="J964" s="1"/>
  <c r="H965"/>
  <c r="J965" s="1"/>
  <c r="H966"/>
  <c r="J966" s="1"/>
  <c r="H967"/>
  <c r="J967" s="1"/>
  <c r="H968"/>
  <c r="J968" s="1"/>
  <c r="H969"/>
  <c r="J969" s="1"/>
  <c r="H970"/>
  <c r="J970" s="1"/>
  <c r="H971"/>
  <c r="J971" s="1"/>
  <c r="H972"/>
  <c r="J972" s="1"/>
  <c r="H974"/>
  <c r="J974" s="1"/>
  <c r="H975"/>
  <c r="J975" s="1"/>
  <c r="H976"/>
  <c r="J976" s="1"/>
  <c r="H977"/>
  <c r="J977" s="1"/>
  <c r="H978"/>
  <c r="J978" s="1"/>
  <c r="H981"/>
  <c r="J981" s="1"/>
  <c r="H982"/>
  <c r="J982" s="1"/>
  <c r="H983"/>
  <c r="J983" s="1"/>
  <c r="H984"/>
  <c r="J984" s="1"/>
  <c r="H985"/>
  <c r="J985" s="1"/>
  <c r="H986"/>
  <c r="J986" s="1"/>
  <c r="H987"/>
  <c r="J987" s="1"/>
  <c r="H988"/>
  <c r="J988" s="1"/>
  <c r="H989"/>
  <c r="J989" s="1"/>
  <c r="H990"/>
  <c r="J990" s="1"/>
  <c r="H991"/>
  <c r="J991" s="1"/>
  <c r="H992"/>
  <c r="J992" s="1"/>
  <c r="H993"/>
  <c r="J993" s="1"/>
  <c r="H994"/>
  <c r="J994" s="1"/>
  <c r="H995"/>
  <c r="J995" s="1"/>
  <c r="H996"/>
  <c r="J996" s="1"/>
  <c r="H997"/>
  <c r="J997" s="1"/>
  <c r="H998"/>
  <c r="J998" s="1"/>
  <c r="H999"/>
  <c r="J999" s="1"/>
  <c r="H1000"/>
  <c r="J1000" s="1"/>
  <c r="H1001"/>
  <c r="J1001" s="1"/>
  <c r="H1002"/>
  <c r="J1002" s="1"/>
  <c r="H1003"/>
  <c r="J1003" s="1"/>
  <c r="H1006"/>
  <c r="J1006" s="1"/>
  <c r="H1007"/>
  <c r="J1007" s="1"/>
  <c r="H1008"/>
  <c r="J1008" s="1"/>
  <c r="H1009"/>
  <c r="J1009" s="1"/>
  <c r="H1010"/>
  <c r="J1010" s="1"/>
  <c r="H1011"/>
  <c r="J1011" s="1"/>
  <c r="H1012"/>
  <c r="J1012" s="1"/>
  <c r="H1013"/>
  <c r="J1013" s="1"/>
  <c r="H1014"/>
  <c r="J1014" s="1"/>
  <c r="H1015"/>
  <c r="J1015" s="1"/>
  <c r="H1016"/>
  <c r="J1016" s="1"/>
  <c r="H1017"/>
  <c r="J1017" s="1"/>
  <c r="H1018"/>
  <c r="J1018" s="1"/>
  <c r="H1019"/>
  <c r="J1019" s="1"/>
  <c r="H1020"/>
  <c r="J1020" s="1"/>
  <c r="H1021"/>
  <c r="J1021" s="1"/>
  <c r="H1022"/>
  <c r="J1022" s="1"/>
  <c r="H1023"/>
  <c r="J1023" s="1"/>
  <c r="H1024"/>
  <c r="J1024" s="1"/>
  <c r="H1025"/>
  <c r="J1025" s="1"/>
  <c r="H1027"/>
  <c r="J1027" s="1"/>
  <c r="H1028"/>
  <c r="J1028" s="1"/>
  <c r="H1030"/>
  <c r="J1030" s="1"/>
  <c r="H1031"/>
  <c r="J1031" s="1"/>
  <c r="H1032"/>
  <c r="J1032" s="1"/>
  <c r="H1033"/>
  <c r="J1033" s="1"/>
  <c r="H1034"/>
  <c r="J1034" s="1"/>
  <c r="H1035"/>
  <c r="J1035" s="1"/>
  <c r="H1036"/>
  <c r="J1036" s="1"/>
  <c r="H1037"/>
  <c r="J1037" s="1"/>
  <c r="H1038"/>
  <c r="J1038" s="1"/>
  <c r="H1039"/>
  <c r="J1039" s="1"/>
  <c r="H1040"/>
  <c r="J1040" s="1"/>
  <c r="H1042"/>
  <c r="J1042" s="1"/>
  <c r="H1043"/>
  <c r="J1043" s="1"/>
  <c r="H1044"/>
  <c r="J1044" s="1"/>
  <c r="H1046"/>
  <c r="J1046" s="1"/>
  <c r="H1047"/>
  <c r="J1047" s="1"/>
  <c r="H1048"/>
  <c r="J1048" s="1"/>
  <c r="H1049"/>
  <c r="J1049" s="1"/>
  <c r="H1050"/>
  <c r="J1050" s="1"/>
  <c r="H1051"/>
  <c r="J1051" s="1"/>
  <c r="H1052"/>
  <c r="J1052" s="1"/>
  <c r="H1053"/>
  <c r="J1053" s="1"/>
  <c r="H1054"/>
  <c r="J1054" s="1"/>
  <c r="H1055"/>
  <c r="J1055" s="1"/>
  <c r="H1056"/>
  <c r="J1056" s="1"/>
  <c r="H1057"/>
  <c r="J1057" s="1"/>
  <c r="H1058"/>
  <c r="J1058" s="1"/>
  <c r="H1059"/>
  <c r="J1059" s="1"/>
  <c r="H1060"/>
  <c r="J1060" s="1"/>
  <c r="H1061"/>
  <c r="J1061" s="1"/>
  <c r="H1062"/>
  <c r="J1062" s="1"/>
  <c r="H1063"/>
  <c r="J1063" s="1"/>
  <c r="H1064"/>
  <c r="J1064" s="1"/>
  <c r="H1065"/>
  <c r="J1065" s="1"/>
  <c r="H1066"/>
  <c r="J1066" s="1"/>
  <c r="H1067"/>
  <c r="J1067" s="1"/>
  <c r="H1068"/>
  <c r="J1068" s="1"/>
  <c r="H1069"/>
  <c r="J1069" s="1"/>
  <c r="H1070"/>
  <c r="J1070" s="1"/>
  <c r="H1071"/>
  <c r="J1071" s="1"/>
  <c r="H1072"/>
  <c r="J1072" s="1"/>
  <c r="H1073"/>
  <c r="J1073" s="1"/>
  <c r="H1074"/>
  <c r="J1074" s="1"/>
  <c r="H1075"/>
  <c r="J1075" s="1"/>
  <c r="H1076"/>
  <c r="J1076" s="1"/>
  <c r="H1077"/>
  <c r="J1077" s="1"/>
  <c r="H1078"/>
  <c r="J1078" s="1"/>
  <c r="H1080"/>
  <c r="J1080" s="1"/>
  <c r="H1081"/>
  <c r="J1081" s="1"/>
  <c r="H1082"/>
  <c r="J1082" s="1"/>
  <c r="H1083"/>
  <c r="J1083" s="1"/>
  <c r="H1084"/>
  <c r="J1084" s="1"/>
  <c r="H1085"/>
  <c r="J1085" s="1"/>
  <c r="H1086"/>
  <c r="J1086" s="1"/>
  <c r="H1087"/>
  <c r="J1087" s="1"/>
  <c r="H1088"/>
  <c r="J1088" s="1"/>
  <c r="H1089"/>
  <c r="J1089" s="1"/>
  <c r="H1090"/>
  <c r="J1090" s="1"/>
  <c r="H1091"/>
  <c r="J1091" s="1"/>
  <c r="H1092"/>
  <c r="J1092" s="1"/>
  <c r="H1093"/>
  <c r="J1093" s="1"/>
  <c r="H1094"/>
  <c r="J1094" s="1"/>
  <c r="H1095"/>
  <c r="J1095" s="1"/>
  <c r="H1096"/>
  <c r="J1096" s="1"/>
  <c r="H1097"/>
  <c r="J1097" s="1"/>
  <c r="H1098"/>
  <c r="J1098" s="1"/>
  <c r="H1099"/>
  <c r="J1099" s="1"/>
  <c r="H1100"/>
  <c r="J1100" s="1"/>
  <c r="H1101"/>
  <c r="J1101" s="1"/>
  <c r="H1102"/>
  <c r="J1102" s="1"/>
  <c r="H1103"/>
  <c r="J1103" s="1"/>
  <c r="H1105"/>
  <c r="J1105" s="1"/>
  <c r="H1106"/>
  <c r="J1106" s="1"/>
  <c r="H1107"/>
  <c r="J1107" s="1"/>
  <c r="H1108"/>
  <c r="J1108" s="1"/>
  <c r="H1109"/>
  <c r="J1109" s="1"/>
  <c r="H1110"/>
  <c r="J1110" s="1"/>
  <c r="H1111"/>
  <c r="J1111" s="1"/>
  <c r="H1112"/>
  <c r="J1112" s="1"/>
  <c r="H1113"/>
  <c r="J1113" s="1"/>
  <c r="H1114"/>
  <c r="J1114" s="1"/>
  <c r="H1115"/>
  <c r="J1115" s="1"/>
  <c r="H1117"/>
  <c r="J1117" s="1"/>
  <c r="H1118"/>
  <c r="J1118" s="1"/>
  <c r="H1120"/>
  <c r="J1120" s="1"/>
  <c r="H1121"/>
  <c r="J1121" s="1"/>
  <c r="H1122"/>
  <c r="J1122" s="1"/>
  <c r="H1124"/>
  <c r="J1124" s="1"/>
  <c r="H1125"/>
  <c r="J1125" s="1"/>
  <c r="H1126"/>
  <c r="J1126" s="1"/>
  <c r="H1127"/>
  <c r="J1127" s="1"/>
  <c r="H1128"/>
  <c r="J1128" s="1"/>
  <c r="H1129"/>
  <c r="J1129" s="1"/>
  <c r="H1130"/>
  <c r="J1130" s="1"/>
  <c r="H1131"/>
  <c r="J1131" s="1"/>
  <c r="H1132"/>
  <c r="J1132" s="1"/>
  <c r="H1133"/>
  <c r="J1133" s="1"/>
  <c r="H1134"/>
  <c r="J1134" s="1"/>
  <c r="H1135"/>
  <c r="J1135" s="1"/>
  <c r="H1136"/>
  <c r="J1136" s="1"/>
  <c r="H1137"/>
  <c r="J1137" s="1"/>
  <c r="H1138"/>
  <c r="J1138" s="1"/>
  <c r="H1139"/>
  <c r="J1139" s="1"/>
  <c r="H1140"/>
  <c r="J1140" s="1"/>
  <c r="H1141"/>
  <c r="J1141" s="1"/>
  <c r="H1142"/>
  <c r="J1142" s="1"/>
  <c r="H1143"/>
  <c r="J1143" s="1"/>
  <c r="H1144"/>
  <c r="J1144" s="1"/>
  <c r="H1145"/>
  <c r="J1145" s="1"/>
  <c r="H1146"/>
  <c r="J1146" s="1"/>
  <c r="H1147"/>
  <c r="J1147" s="1"/>
  <c r="H1148"/>
  <c r="J1148" s="1"/>
  <c r="H1149"/>
  <c r="J1149" s="1"/>
  <c r="H1150"/>
  <c r="J1150" s="1"/>
  <c r="H1151"/>
  <c r="J1151" s="1"/>
  <c r="H1152"/>
  <c r="J1152" s="1"/>
  <c r="H1153"/>
  <c r="J1153" s="1"/>
  <c r="H1154"/>
  <c r="J1154" s="1"/>
  <c r="H1155"/>
  <c r="J1155" s="1"/>
  <c r="H1157"/>
  <c r="J1157" s="1"/>
  <c r="H1158"/>
  <c r="J1158" s="1"/>
  <c r="H1159"/>
  <c r="J1159" s="1"/>
  <c r="H1160"/>
  <c r="J1160" s="1"/>
  <c r="H1161"/>
  <c r="J1161" s="1"/>
  <c r="H1162"/>
  <c r="J1162" s="1"/>
  <c r="H1164"/>
  <c r="J1164" s="1"/>
  <c r="H1165"/>
  <c r="J1165" s="1"/>
  <c r="H1166"/>
  <c r="J1166" s="1"/>
  <c r="H1167"/>
  <c r="J1167" s="1"/>
  <c r="H1168"/>
  <c r="J1168" s="1"/>
  <c r="H1169"/>
  <c r="J1169" s="1"/>
  <c r="H1170"/>
  <c r="J1170" s="1"/>
  <c r="H1171"/>
  <c r="J1171" s="1"/>
  <c r="H1172"/>
  <c r="J1172" s="1"/>
  <c r="H1173"/>
  <c r="J1173" s="1"/>
  <c r="H1174"/>
  <c r="J1174" s="1"/>
  <c r="H1175"/>
  <c r="J1175" s="1"/>
  <c r="H1176"/>
  <c r="J1176" s="1"/>
  <c r="H1177"/>
  <c r="J1177" s="1"/>
  <c r="H1178"/>
  <c r="J1178" s="1"/>
  <c r="H1179"/>
  <c r="J1179" s="1"/>
  <c r="H1180"/>
  <c r="J1180" s="1"/>
  <c r="H1181"/>
  <c r="J1181" s="1"/>
  <c r="H1182"/>
  <c r="J1182" s="1"/>
  <c r="H1183"/>
  <c r="J1183" s="1"/>
  <c r="H1184"/>
  <c r="J1184" s="1"/>
  <c r="H1185"/>
  <c r="J1185" s="1"/>
  <c r="H1186"/>
  <c r="J1186" s="1"/>
  <c r="H1188"/>
  <c r="J1188" s="1"/>
  <c r="H1189"/>
  <c r="J1189" s="1"/>
  <c r="H1190"/>
  <c r="J1190" s="1"/>
  <c r="H1191"/>
  <c r="J1191" s="1"/>
  <c r="H1193"/>
  <c r="J1193" s="1"/>
  <c r="H1194"/>
  <c r="J1194" s="1"/>
  <c r="H1195"/>
  <c r="J1195" s="1"/>
  <c r="H1196"/>
  <c r="J1196" s="1"/>
  <c r="H1197"/>
  <c r="J1197" s="1"/>
  <c r="H1198"/>
  <c r="J1198" s="1"/>
  <c r="H1199"/>
  <c r="J1199" s="1"/>
  <c r="H1200"/>
  <c r="J1200" s="1"/>
  <c r="H1202"/>
  <c r="J1202" s="1"/>
  <c r="H1203"/>
  <c r="J1203" s="1"/>
  <c r="H1204"/>
  <c r="J1204" s="1"/>
  <c r="H1205"/>
  <c r="J1205" s="1"/>
  <c r="H1206"/>
  <c r="J1206" s="1"/>
  <c r="H1207"/>
  <c r="J1207" s="1"/>
  <c r="H1208"/>
  <c r="J1208" s="1"/>
  <c r="H1209"/>
  <c r="J1209" s="1"/>
  <c r="H1210"/>
  <c r="J1210" s="1"/>
  <c r="H1211"/>
  <c r="J1211" s="1"/>
  <c r="H1212"/>
  <c r="J1212" s="1"/>
  <c r="H1213"/>
  <c r="J1213" s="1"/>
  <c r="H1214"/>
  <c r="J1214" s="1"/>
  <c r="H1215"/>
  <c r="J1215" s="1"/>
  <c r="H1216"/>
  <c r="J1216" s="1"/>
  <c r="H1217"/>
  <c r="J1217" s="1"/>
  <c r="H1218"/>
  <c r="J1218" s="1"/>
  <c r="H1219"/>
  <c r="J1219" s="1"/>
  <c r="H1220"/>
  <c r="J1220" s="1"/>
  <c r="H1221"/>
  <c r="J1221" s="1"/>
  <c r="H1222"/>
  <c r="J1222" s="1"/>
  <c r="H1223"/>
  <c r="J1223" s="1"/>
  <c r="H1224"/>
  <c r="J1224" s="1"/>
  <c r="H1225"/>
  <c r="J1225" s="1"/>
  <c r="H1226"/>
  <c r="J1226" s="1"/>
  <c r="H1227"/>
  <c r="J1227" s="1"/>
  <c r="H1228"/>
  <c r="J1228" s="1"/>
  <c r="H1229"/>
  <c r="J1229" s="1"/>
  <c r="H1230"/>
  <c r="J1230" s="1"/>
  <c r="H1231"/>
  <c r="J1231" s="1"/>
  <c r="H1232"/>
  <c r="J1232" s="1"/>
  <c r="H1233"/>
  <c r="J1233" s="1"/>
  <c r="H1234"/>
  <c r="J1234" s="1"/>
  <c r="H1235"/>
  <c r="J1235" s="1"/>
  <c r="H1236"/>
  <c r="J1236" s="1"/>
  <c r="H1237"/>
  <c r="J1237" s="1"/>
  <c r="H1238"/>
  <c r="J1238" s="1"/>
  <c r="H1239"/>
  <c r="J1239" s="1"/>
  <c r="H1240"/>
  <c r="J1240" s="1"/>
  <c r="H1241"/>
  <c r="J1241" s="1"/>
  <c r="H1242"/>
  <c r="J1242" s="1"/>
  <c r="H1243"/>
  <c r="J1243" s="1"/>
  <c r="H1244"/>
  <c r="J1244" s="1"/>
  <c r="H1245"/>
  <c r="J1245" s="1"/>
  <c r="H1246"/>
  <c r="J1246" s="1"/>
  <c r="H1247"/>
  <c r="J1247" s="1"/>
  <c r="H1248"/>
  <c r="J1248" s="1"/>
  <c r="H1249"/>
  <c r="J1249" s="1"/>
  <c r="H1250"/>
  <c r="J1250" s="1"/>
  <c r="H1251"/>
  <c r="J1251" s="1"/>
  <c r="H1252"/>
  <c r="J1252" s="1"/>
  <c r="H1253"/>
  <c r="J1253" s="1"/>
  <c r="H1254"/>
  <c r="J1254" s="1"/>
  <c r="H1255"/>
  <c r="J1255" s="1"/>
  <c r="H1256"/>
  <c r="J1256" s="1"/>
  <c r="H1258"/>
  <c r="J1258" s="1"/>
  <c r="H1259"/>
  <c r="J1259" s="1"/>
  <c r="H1260"/>
  <c r="J1260" s="1"/>
  <c r="H1261"/>
  <c r="J1261" s="1"/>
  <c r="H1262"/>
  <c r="J1262" s="1"/>
  <c r="H1263"/>
  <c r="J1263" s="1"/>
  <c r="H1264"/>
  <c r="J1264" s="1"/>
  <c r="H1265"/>
  <c r="J1265" s="1"/>
  <c r="H1266"/>
  <c r="J1266" s="1"/>
  <c r="H1267"/>
  <c r="J1267" s="1"/>
  <c r="H1268"/>
  <c r="J1268" s="1"/>
  <c r="H1269"/>
  <c r="J1269" s="1"/>
  <c r="H1270"/>
  <c r="J1270" s="1"/>
  <c r="H1271"/>
  <c r="J1271" s="1"/>
  <c r="H1272"/>
  <c r="J1272" s="1"/>
  <c r="H1273"/>
  <c r="J1273" s="1"/>
  <c r="H1274"/>
  <c r="J1274" s="1"/>
  <c r="H1275"/>
  <c r="J1275" s="1"/>
  <c r="H1276"/>
  <c r="J1276" s="1"/>
  <c r="H1277"/>
  <c r="J1277" s="1"/>
  <c r="H1278"/>
  <c r="J1278" s="1"/>
  <c r="H1279"/>
  <c r="J1279" s="1"/>
  <c r="H1280"/>
  <c r="J1280" s="1"/>
  <c r="H1281"/>
  <c r="J1281" s="1"/>
  <c r="H1282"/>
  <c r="J1282" s="1"/>
  <c r="H1283"/>
  <c r="J1283" s="1"/>
  <c r="H1284"/>
  <c r="J1284" s="1"/>
  <c r="H1285"/>
  <c r="J1285" s="1"/>
  <c r="H1286"/>
  <c r="J1286" s="1"/>
  <c r="H1287"/>
  <c r="J1287" s="1"/>
  <c r="H1288"/>
  <c r="J1288" s="1"/>
  <c r="H1289"/>
  <c r="J1289" s="1"/>
  <c r="H1290"/>
  <c r="J1290" s="1"/>
  <c r="H1291"/>
  <c r="J1291" s="1"/>
  <c r="H1293"/>
  <c r="J1293" s="1"/>
  <c r="H1294"/>
  <c r="J1294" s="1"/>
  <c r="H1295"/>
  <c r="J1295" s="1"/>
  <c r="H1296"/>
  <c r="J1296" s="1"/>
  <c r="H1297"/>
  <c r="J1297" s="1"/>
  <c r="H1298"/>
  <c r="J1298" s="1"/>
  <c r="H1299"/>
  <c r="J1299" s="1"/>
  <c r="H1300"/>
  <c r="J1300" s="1"/>
  <c r="H1301"/>
  <c r="J1301" s="1"/>
  <c r="H1302"/>
  <c r="J1302" s="1"/>
  <c r="H1303"/>
  <c r="J1303" s="1"/>
  <c r="H1304"/>
  <c r="J1304" s="1"/>
  <c r="H1305"/>
  <c r="J1305" s="1"/>
  <c r="H1306"/>
  <c r="J1306" s="1"/>
  <c r="H1307"/>
  <c r="J1307" s="1"/>
  <c r="H1308"/>
  <c r="J1308" s="1"/>
  <c r="H1309"/>
  <c r="J1309" s="1"/>
  <c r="H1310"/>
  <c r="J1310" s="1"/>
  <c r="H1313"/>
  <c r="J1313" s="1"/>
  <c r="H1314"/>
  <c r="J1314" s="1"/>
  <c r="H1315"/>
  <c r="J1315" s="1"/>
  <c r="H1316"/>
  <c r="J1316" s="1"/>
  <c r="H1317"/>
  <c r="J1317" s="1"/>
  <c r="H1319"/>
  <c r="J1319" s="1"/>
  <c r="H1320"/>
  <c r="J1320" s="1"/>
  <c r="H1321"/>
  <c r="J1321" s="1"/>
  <c r="H1323"/>
  <c r="J1323" s="1"/>
  <c r="H1324"/>
  <c r="J1324" s="1"/>
  <c r="H1325"/>
  <c r="J1325" s="1"/>
  <c r="H1326"/>
  <c r="J1326" s="1"/>
  <c r="H1328"/>
  <c r="J1328" s="1"/>
  <c r="H1330"/>
  <c r="J1330" s="1"/>
  <c r="H1331"/>
  <c r="J1331" s="1"/>
  <c r="H1333"/>
  <c r="J1333" s="1"/>
  <c r="H1334"/>
  <c r="J1334" s="1"/>
  <c r="H1335"/>
  <c r="J1335" s="1"/>
  <c r="H1336"/>
  <c r="J1336" s="1"/>
  <c r="H1337"/>
  <c r="J1337" s="1"/>
  <c r="H1338"/>
  <c r="J1338" s="1"/>
  <c r="H1339"/>
  <c r="J1339" s="1"/>
  <c r="H1340"/>
  <c r="J1340" s="1"/>
  <c r="H1341"/>
  <c r="J1341" s="1"/>
  <c r="H1342"/>
  <c r="J1342" s="1"/>
  <c r="H1343"/>
  <c r="J1343" s="1"/>
  <c r="H1344"/>
  <c r="J1344" s="1"/>
  <c r="H1345"/>
  <c r="J1345" s="1"/>
  <c r="H1346"/>
  <c r="J1346" s="1"/>
  <c r="H1347"/>
  <c r="J1347" s="1"/>
  <c r="H1348"/>
  <c r="J1348" s="1"/>
  <c r="H1349"/>
  <c r="J1349" s="1"/>
  <c r="H1350"/>
  <c r="J1350" s="1"/>
  <c r="H1351"/>
  <c r="J1351" s="1"/>
  <c r="H1352"/>
  <c r="J1352" s="1"/>
  <c r="H1353"/>
  <c r="J1353" s="1"/>
  <c r="H1354"/>
  <c r="J1354" s="1"/>
  <c r="H1355"/>
  <c r="J1355" s="1"/>
  <c r="H1356"/>
  <c r="J1356" s="1"/>
  <c r="H1357"/>
  <c r="J1357" s="1"/>
  <c r="H1358"/>
  <c r="J1358" s="1"/>
  <c r="H1359"/>
  <c r="J1359" s="1"/>
  <c r="H1360"/>
  <c r="J1360" s="1"/>
  <c r="H1361"/>
  <c r="J1361" s="1"/>
  <c r="H1362"/>
  <c r="J1362" s="1"/>
  <c r="H1363"/>
  <c r="J1363" s="1"/>
  <c r="H1364"/>
  <c r="J1364" s="1"/>
  <c r="H1365"/>
  <c r="J1365" s="1"/>
  <c r="H1366"/>
  <c r="J1366" s="1"/>
  <c r="H1367"/>
  <c r="J1367" s="1"/>
  <c r="H1368"/>
  <c r="J1368" s="1"/>
  <c r="H1369"/>
  <c r="J1369" s="1"/>
  <c r="H1370"/>
  <c r="J1370" s="1"/>
  <c r="H1371"/>
  <c r="J1371" s="1"/>
  <c r="H1372"/>
  <c r="J1372" s="1"/>
  <c r="H1373"/>
  <c r="J1373" s="1"/>
  <c r="H1374"/>
  <c r="J1374" s="1"/>
  <c r="H1375"/>
  <c r="J1375" s="1"/>
  <c r="H1377"/>
  <c r="J1377" s="1"/>
  <c r="H1378"/>
  <c r="J1378" s="1"/>
  <c r="H1379"/>
  <c r="J1379" s="1"/>
  <c r="H1380"/>
  <c r="J1380" s="1"/>
  <c r="H1381"/>
  <c r="J1381" s="1"/>
  <c r="H1382"/>
  <c r="J1382" s="1"/>
  <c r="H1383"/>
  <c r="J1383" s="1"/>
  <c r="H1384"/>
  <c r="J1384" s="1"/>
  <c r="H1385"/>
  <c r="J1385" s="1"/>
  <c r="H1386"/>
  <c r="J1386" s="1"/>
  <c r="H1387"/>
  <c r="J1387" s="1"/>
  <c r="H1388"/>
  <c r="J1388" s="1"/>
  <c r="H1389"/>
  <c r="J1389" s="1"/>
  <c r="H1390"/>
  <c r="J1390" s="1"/>
  <c r="H1391"/>
  <c r="J1391" s="1"/>
  <c r="H1392"/>
  <c r="J1392" s="1"/>
  <c r="H1393"/>
  <c r="J1393" s="1"/>
  <c r="H1394"/>
  <c r="J1394" s="1"/>
  <c r="H1395"/>
  <c r="J1395" s="1"/>
  <c r="H1396"/>
  <c r="J1396" s="1"/>
  <c r="H1397"/>
  <c r="J1397" s="1"/>
  <c r="H1398"/>
  <c r="J1398" s="1"/>
  <c r="H1399"/>
  <c r="J1399" s="1"/>
  <c r="H1400"/>
  <c r="J1400" s="1"/>
  <c r="H1401"/>
  <c r="J1401" s="1"/>
  <c r="H1402"/>
  <c r="J1402" s="1"/>
  <c r="H1403"/>
  <c r="J1403" s="1"/>
  <c r="H1404"/>
  <c r="J1404" s="1"/>
  <c r="H1406"/>
  <c r="J1406" s="1"/>
  <c r="H1408"/>
  <c r="J1408" s="1"/>
  <c r="H1409"/>
  <c r="J1409" s="1"/>
  <c r="H1410"/>
  <c r="J1410" s="1"/>
  <c r="H1411"/>
  <c r="J1411" s="1"/>
  <c r="H1412"/>
  <c r="J1412" s="1"/>
  <c r="H1413"/>
  <c r="J1413" s="1"/>
  <c r="H1414"/>
  <c r="J1414" s="1"/>
  <c r="H1415"/>
  <c r="J1415" s="1"/>
  <c r="H1416"/>
  <c r="J1416" s="1"/>
  <c r="H1417"/>
  <c r="J1417" s="1"/>
  <c r="H1418"/>
  <c r="J1418" s="1"/>
  <c r="H1419"/>
  <c r="J1419" s="1"/>
  <c r="H1420"/>
  <c r="J1420" s="1"/>
  <c r="H1421"/>
  <c r="J1421" s="1"/>
  <c r="H1422"/>
  <c r="J1422" s="1"/>
  <c r="H1423"/>
  <c r="J1423" s="1"/>
  <c r="H1424"/>
  <c r="J1424" s="1"/>
  <c r="H1425"/>
  <c r="J1425" s="1"/>
  <c r="H1426"/>
  <c r="J1426" s="1"/>
  <c r="H1427"/>
  <c r="J1427" s="1"/>
  <c r="H1428"/>
  <c r="J1428" s="1"/>
  <c r="H1429"/>
  <c r="J1429" s="1"/>
  <c r="H1430"/>
  <c r="J1430" s="1"/>
  <c r="H1431"/>
  <c r="J1431" s="1"/>
  <c r="H1433"/>
  <c r="J1433" s="1"/>
  <c r="H1434"/>
  <c r="J1434" s="1"/>
  <c r="H1435"/>
  <c r="J1435" s="1"/>
  <c r="H1436"/>
  <c r="J1436" s="1"/>
  <c r="H1437"/>
  <c r="J1437" s="1"/>
  <c r="H1438"/>
  <c r="J1438" s="1"/>
  <c r="H1439"/>
  <c r="J1439" s="1"/>
  <c r="H1440"/>
  <c r="J1440" s="1"/>
  <c r="H1442"/>
  <c r="J1442" s="1"/>
  <c r="H1443"/>
  <c r="J1443" s="1"/>
  <c r="H1444"/>
  <c r="J1444" s="1"/>
  <c r="H1445"/>
  <c r="J1445" s="1"/>
  <c r="H1446"/>
  <c r="J1446" s="1"/>
  <c r="H1447"/>
  <c r="J1447" s="1"/>
  <c r="H1448"/>
  <c r="J1448" s="1"/>
  <c r="H1449"/>
  <c r="J1449" s="1"/>
  <c r="H1450"/>
  <c r="J1450" s="1"/>
  <c r="H1451"/>
  <c r="J1451" s="1"/>
  <c r="H1452"/>
  <c r="J1452" s="1"/>
  <c r="H1453"/>
  <c r="J1453" s="1"/>
  <c r="H1455"/>
  <c r="J1455" s="1"/>
  <c r="H1456"/>
  <c r="J1456" s="1"/>
  <c r="H1457"/>
  <c r="J1457" s="1"/>
  <c r="H1458"/>
  <c r="J1458" s="1"/>
  <c r="H1459"/>
  <c r="J1459" s="1"/>
  <c r="H1460"/>
  <c r="J1460" s="1"/>
  <c r="H1461"/>
  <c r="J1461" s="1"/>
  <c r="H1462"/>
  <c r="J1462" s="1"/>
  <c r="H1463"/>
  <c r="J1463" s="1"/>
  <c r="H1464"/>
  <c r="J1464" s="1"/>
  <c r="H1465"/>
  <c r="J1465" s="1"/>
  <c r="H1466"/>
  <c r="J1466" s="1"/>
  <c r="H1468"/>
  <c r="J1468" s="1"/>
  <c r="H1469"/>
  <c r="J1469" s="1"/>
  <c r="H1470"/>
  <c r="J1470" s="1"/>
  <c r="H1471"/>
  <c r="J1471" s="1"/>
  <c r="H1472"/>
  <c r="J1472" s="1"/>
  <c r="H1473"/>
  <c r="J1473" s="1"/>
  <c r="H1474"/>
  <c r="J1474" s="1"/>
  <c r="H1475"/>
  <c r="J1475" s="1"/>
  <c r="H1476"/>
  <c r="J1476" s="1"/>
  <c r="H1477"/>
  <c r="J1477" s="1"/>
  <c r="H1478"/>
  <c r="J1478" s="1"/>
  <c r="H1479"/>
  <c r="J1479" s="1"/>
  <c r="H1480"/>
  <c r="J1480" s="1"/>
  <c r="H1481"/>
  <c r="J1481" s="1"/>
  <c r="H1483"/>
  <c r="J1483" s="1"/>
  <c r="H1484"/>
  <c r="J1484" s="1"/>
  <c r="H1485"/>
  <c r="J1485" s="1"/>
  <c r="H1486"/>
  <c r="J1486" s="1"/>
  <c r="H1487"/>
  <c r="J1487" s="1"/>
  <c r="H1488"/>
  <c r="J1488" s="1"/>
  <c r="H1489"/>
  <c r="J1489" s="1"/>
  <c r="H1490"/>
  <c r="J1490" s="1"/>
  <c r="H1491"/>
  <c r="J1491" s="1"/>
  <c r="H1492"/>
  <c r="J1492" s="1"/>
  <c r="H1493"/>
  <c r="J1493" s="1"/>
  <c r="H1494"/>
  <c r="J1494" s="1"/>
  <c r="H1495"/>
  <c r="J1495" s="1"/>
  <c r="H1496"/>
  <c r="J1496" s="1"/>
  <c r="H1497"/>
  <c r="J1497" s="1"/>
  <c r="H1498"/>
  <c r="J1498" s="1"/>
  <c r="H1499"/>
  <c r="J1499" s="1"/>
  <c r="H1500"/>
  <c r="J1500" s="1"/>
  <c r="H1501"/>
  <c r="J1501" s="1"/>
  <c r="H1502"/>
  <c r="J1502" s="1"/>
  <c r="H1503"/>
  <c r="J1503" s="1"/>
  <c r="H1504"/>
  <c r="J1504" s="1"/>
  <c r="H1505"/>
  <c r="J1505" s="1"/>
  <c r="H1506"/>
  <c r="J1506" s="1"/>
  <c r="H1507"/>
  <c r="J1507" s="1"/>
  <c r="H1508"/>
  <c r="J1508" s="1"/>
  <c r="H1509"/>
  <c r="J1509" s="1"/>
  <c r="H1510"/>
  <c r="J1510" s="1"/>
  <c r="H1511"/>
  <c r="J1511" s="1"/>
  <c r="H1513"/>
  <c r="J1513" s="1"/>
  <c r="H1514"/>
  <c r="J1514" s="1"/>
  <c r="H1515"/>
  <c r="J1515" s="1"/>
  <c r="H1516"/>
  <c r="J1516" s="1"/>
  <c r="H1517"/>
  <c r="J1517" s="1"/>
  <c r="H1518"/>
  <c r="J1518" s="1"/>
  <c r="H1519"/>
  <c r="J1519" s="1"/>
  <c r="H1520"/>
  <c r="J1520" s="1"/>
  <c r="H1521"/>
  <c r="J1521" s="1"/>
  <c r="H1523"/>
  <c r="J1523" s="1"/>
  <c r="H1525"/>
  <c r="J1525" s="1"/>
  <c r="H1526"/>
  <c r="J1526" s="1"/>
  <c r="H1527"/>
  <c r="J1527" s="1"/>
  <c r="H1528"/>
  <c r="J1528" s="1"/>
  <c r="H1529"/>
  <c r="J1529" s="1"/>
  <c r="H1530"/>
  <c r="J1530" s="1"/>
  <c r="H1531"/>
  <c r="J1531" s="1"/>
  <c r="H1532"/>
  <c r="J1532" s="1"/>
  <c r="H1533"/>
  <c r="J1533" s="1"/>
  <c r="H1534"/>
  <c r="J1534" s="1"/>
  <c r="H1535"/>
  <c r="J1535" s="1"/>
  <c r="H1537"/>
  <c r="J1537" s="1"/>
  <c r="H1538"/>
  <c r="J1538" s="1"/>
  <c r="H1539"/>
  <c r="J1539" s="1"/>
  <c r="H1540"/>
  <c r="J1540" s="1"/>
  <c r="H1541"/>
  <c r="J1541" s="1"/>
  <c r="H1542"/>
  <c r="J1542" s="1"/>
  <c r="H1543"/>
  <c r="J1543" s="1"/>
  <c r="H1544"/>
  <c r="J1544" s="1"/>
  <c r="H1545"/>
  <c r="J1545" s="1"/>
  <c r="H1546"/>
  <c r="J1546" s="1"/>
  <c r="H1547"/>
  <c r="J1547" s="1"/>
  <c r="H1548"/>
  <c r="J1548" s="1"/>
  <c r="H1549"/>
  <c r="J1549" s="1"/>
  <c r="H1551"/>
  <c r="J1551" s="1"/>
  <c r="H1552"/>
  <c r="J1552" s="1"/>
  <c r="H1553"/>
  <c r="J1553" s="1"/>
  <c r="H1554"/>
  <c r="J1554" s="1"/>
  <c r="H1555"/>
  <c r="J1555" s="1"/>
  <c r="H1556"/>
  <c r="J1556" s="1"/>
  <c r="H1557"/>
  <c r="J1557" s="1"/>
  <c r="H1558"/>
  <c r="J1558" s="1"/>
  <c r="H1559"/>
  <c r="J1559" s="1"/>
  <c r="H1560"/>
  <c r="J1560" s="1"/>
  <c r="H1561"/>
  <c r="J1561" s="1"/>
  <c r="C2" i="1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44"/>
  <c r="E1045"/>
  <c r="E1046"/>
  <c r="E1047"/>
  <c r="E1048"/>
  <c r="E1049"/>
  <c r="E1050"/>
  <c r="E1051"/>
  <c r="E1052"/>
  <c r="E1053"/>
  <c r="E1054"/>
  <c r="E1055"/>
  <c r="E1056"/>
  <c r="E1057"/>
  <c r="E1058"/>
  <c r="E1059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01"/>
  <c r="E1102"/>
  <c r="E1103"/>
  <c r="E1104"/>
  <c r="E1105"/>
  <c r="E1106"/>
  <c r="E1107"/>
  <c r="E1108"/>
  <c r="E1109"/>
  <c r="E1110"/>
  <c r="E1111"/>
  <c r="E1112"/>
  <c r="E1113"/>
  <c r="E1114"/>
  <c r="E1115"/>
  <c r="E1116"/>
  <c r="E1117"/>
  <c r="E1118"/>
  <c r="E1119"/>
  <c r="E1120"/>
  <c r="E1121"/>
  <c r="E1122"/>
  <c r="E1123"/>
  <c r="E1124"/>
  <c r="E1125"/>
  <c r="E1126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53"/>
  <c r="E1154"/>
  <c r="E1155"/>
  <c r="E1156"/>
  <c r="E1157"/>
  <c r="E1158"/>
  <c r="E1159"/>
  <c r="E1160"/>
  <c r="E1161"/>
  <c r="E1162"/>
  <c r="E1163"/>
  <c r="E1164"/>
  <c r="E1165"/>
  <c r="E1166"/>
  <c r="E1167"/>
  <c r="E1168"/>
  <c r="E1169"/>
  <c r="E1170"/>
  <c r="E1171"/>
  <c r="E1172"/>
  <c r="E1173"/>
  <c r="E1174"/>
  <c r="E1175"/>
  <c r="E1176"/>
  <c r="E1177"/>
  <c r="E1178"/>
  <c r="E1179"/>
  <c r="E1180"/>
  <c r="E1181"/>
  <c r="E1182"/>
  <c r="E1183"/>
  <c r="E1184"/>
  <c r="E1185"/>
  <c r="E1186"/>
  <c r="E1187"/>
  <c r="E1188"/>
  <c r="E1189"/>
  <c r="E1190"/>
  <c r="E1191"/>
  <c r="E1192"/>
  <c r="E1193"/>
  <c r="E1194"/>
  <c r="E1195"/>
  <c r="E1196"/>
  <c r="E1197"/>
  <c r="E1198"/>
  <c r="E1199"/>
  <c r="E1200"/>
  <c r="E1201"/>
  <c r="E1202"/>
  <c r="E1203"/>
  <c r="E1204"/>
  <c r="E1205"/>
  <c r="E1206"/>
  <c r="E1207"/>
  <c r="E1208"/>
  <c r="E1209"/>
  <c r="E1210"/>
  <c r="E1211"/>
  <c r="E1212"/>
  <c r="E1213"/>
  <c r="E1214"/>
  <c r="E1215"/>
  <c r="E1216"/>
  <c r="E1217"/>
  <c r="E1218"/>
  <c r="E1219"/>
  <c r="E1220"/>
  <c r="E1221"/>
  <c r="E1222"/>
  <c r="E1223"/>
  <c r="E1224"/>
  <c r="E1225"/>
  <c r="E1226"/>
  <c r="E1227"/>
  <c r="E1228"/>
  <c r="E1229"/>
  <c r="E1230"/>
  <c r="E1231"/>
  <c r="E1232"/>
  <c r="E1233"/>
  <c r="E1234"/>
  <c r="E1235"/>
  <c r="E1236"/>
  <c r="E1237"/>
  <c r="E1238"/>
  <c r="E1239"/>
  <c r="E1240"/>
  <c r="E1241"/>
  <c r="E1242"/>
  <c r="E1243"/>
  <c r="E1244"/>
  <c r="E1245"/>
  <c r="E1246"/>
  <c r="E1247"/>
  <c r="E1248"/>
  <c r="E1249"/>
  <c r="E1250"/>
  <c r="E1251"/>
  <c r="E1252"/>
  <c r="E1253"/>
  <c r="E1254"/>
  <c r="E1255"/>
  <c r="E1256"/>
  <c r="E1257"/>
  <c r="E1258"/>
  <c r="E1259"/>
  <c r="E1260"/>
  <c r="E1261"/>
  <c r="E1262"/>
  <c r="E1263"/>
  <c r="E1264"/>
  <c r="E1265"/>
  <c r="E1266"/>
  <c r="E1267"/>
  <c r="E1268"/>
  <c r="E1269"/>
  <c r="E1270"/>
  <c r="E1271"/>
  <c r="E1272"/>
  <c r="E1273"/>
  <c r="E1274"/>
  <c r="E1275"/>
  <c r="E1276"/>
  <c r="E1277"/>
  <c r="E1278"/>
  <c r="E1279"/>
  <c r="E1280"/>
  <c r="E1281"/>
  <c r="E1282"/>
  <c r="E1283"/>
  <c r="E1284"/>
  <c r="E1285"/>
  <c r="E1286"/>
  <c r="E1287"/>
  <c r="E1288"/>
  <c r="E1289"/>
  <c r="E1290"/>
  <c r="E1291"/>
  <c r="E1292"/>
  <c r="E1293"/>
  <c r="E1294"/>
  <c r="E1295"/>
  <c r="E1296"/>
  <c r="E1297"/>
  <c r="E1298"/>
  <c r="E1299"/>
  <c r="E1300"/>
  <c r="E1301"/>
  <c r="E1302"/>
  <c r="E1303"/>
  <c r="E1304"/>
  <c r="E1305"/>
  <c r="E1306"/>
  <c r="E1307"/>
  <c r="E1308"/>
  <c r="E1309"/>
  <c r="E1310"/>
  <c r="E1311"/>
  <c r="E1312"/>
  <c r="E1313"/>
  <c r="E1314"/>
  <c r="E1315"/>
  <c r="E1316"/>
  <c r="E1317"/>
  <c r="E1318"/>
  <c r="E1319"/>
  <c r="E1320"/>
  <c r="E1321"/>
  <c r="E1322"/>
  <c r="E1323"/>
  <c r="E1324"/>
  <c r="E1325"/>
  <c r="E1326"/>
  <c r="E1327"/>
  <c r="E1328"/>
  <c r="E1329"/>
  <c r="E1330"/>
  <c r="E1331"/>
  <c r="E1332"/>
  <c r="E1333"/>
  <c r="E1334"/>
  <c r="E1335"/>
  <c r="E1336"/>
  <c r="E1337"/>
  <c r="E1338"/>
  <c r="E1339"/>
  <c r="E1340"/>
  <c r="E1341"/>
  <c r="E1342"/>
  <c r="E1343"/>
  <c r="E1344"/>
  <c r="E1345"/>
  <c r="E1346"/>
  <c r="E1347"/>
  <c r="E1348"/>
  <c r="E1349"/>
  <c r="E1350"/>
  <c r="E1351"/>
  <c r="E1352"/>
  <c r="E1353"/>
  <c r="E1354"/>
  <c r="E1355"/>
  <c r="E1356"/>
  <c r="E1357"/>
  <c r="E1358"/>
  <c r="E1359"/>
  <c r="E1360"/>
  <c r="E1361"/>
  <c r="E1362"/>
  <c r="E1363"/>
  <c r="E1364"/>
  <c r="E1365"/>
  <c r="E1366"/>
  <c r="E1367"/>
  <c r="E1368"/>
  <c r="E1369"/>
  <c r="E1370"/>
  <c r="E1371"/>
  <c r="E1372"/>
  <c r="E1373"/>
  <c r="E1374"/>
  <c r="E1375"/>
  <c r="E1376"/>
  <c r="E1377"/>
  <c r="E1378"/>
  <c r="E1379"/>
  <c r="E1380"/>
  <c r="E1381"/>
  <c r="E1382"/>
  <c r="E1383"/>
  <c r="E1384"/>
  <c r="E1385"/>
  <c r="E1386"/>
  <c r="E1387"/>
  <c r="E1388"/>
  <c r="E1389"/>
  <c r="E1390"/>
  <c r="E1391"/>
  <c r="E1392"/>
  <c r="E1393"/>
  <c r="E1394"/>
  <c r="E1395"/>
  <c r="E1396"/>
  <c r="E1397"/>
  <c r="E1398"/>
  <c r="E1399"/>
  <c r="E1400"/>
  <c r="E1401"/>
  <c r="E1402"/>
  <c r="E1403"/>
  <c r="E1404"/>
  <c r="E1405"/>
  <c r="E1406"/>
  <c r="E1407"/>
  <c r="E1408"/>
  <c r="E1409"/>
  <c r="E1410"/>
  <c r="E1411"/>
  <c r="E1412"/>
  <c r="E1413"/>
  <c r="E1414"/>
  <c r="E1415"/>
  <c r="E1416"/>
  <c r="E1417"/>
  <c r="E1418"/>
  <c r="E1419"/>
  <c r="E1420"/>
  <c r="E1421"/>
  <c r="E1422"/>
  <c r="E1423"/>
  <c r="E1424"/>
  <c r="E1425"/>
  <c r="E1426"/>
  <c r="E1427"/>
  <c r="E1428"/>
  <c r="E1429"/>
  <c r="E1430"/>
  <c r="E1431"/>
  <c r="E1432"/>
  <c r="E1433"/>
  <c r="E1434"/>
  <c r="E1435"/>
  <c r="E1436"/>
  <c r="E1437"/>
  <c r="E1438"/>
  <c r="E1439"/>
  <c r="E1440"/>
  <c r="E1441"/>
  <c r="E1442"/>
  <c r="E1443"/>
  <c r="E1444"/>
  <c r="E1445"/>
  <c r="E1446"/>
  <c r="E1447"/>
  <c r="E1448"/>
  <c r="E1449"/>
  <c r="E1450"/>
  <c r="E1451"/>
  <c r="E1452"/>
  <c r="E1453"/>
  <c r="E1454"/>
  <c r="E1455"/>
  <c r="E1456"/>
  <c r="E1457"/>
  <c r="E1458"/>
  <c r="E1459"/>
  <c r="E1460"/>
  <c r="E1461"/>
  <c r="E1462"/>
  <c r="E1463"/>
  <c r="E1464"/>
  <c r="E1465"/>
  <c r="E1466"/>
  <c r="E1467"/>
  <c r="E1468"/>
  <c r="E1469"/>
  <c r="E1470"/>
  <c r="E1471"/>
  <c r="E1472"/>
  <c r="E1473"/>
  <c r="E1474"/>
  <c r="E1475"/>
  <c r="E1476"/>
  <c r="E1477"/>
  <c r="E1478"/>
  <c r="E1479"/>
  <c r="E1480"/>
  <c r="E1481"/>
  <c r="E1482"/>
  <c r="E1483"/>
  <c r="E1484"/>
  <c r="E1485"/>
  <c r="E1486"/>
  <c r="E1487"/>
  <c r="E1488"/>
  <c r="E1489"/>
  <c r="E1490"/>
  <c r="E1491"/>
  <c r="E1492"/>
  <c r="E1493"/>
  <c r="E1494"/>
  <c r="E1495"/>
  <c r="E1496"/>
  <c r="E1497"/>
  <c r="E1498"/>
  <c r="E1499"/>
  <c r="E1500"/>
  <c r="E1501"/>
  <c r="E1502"/>
  <c r="E1503"/>
  <c r="E1504"/>
  <c r="E1505"/>
  <c r="E1506"/>
  <c r="E1507"/>
  <c r="E1508"/>
  <c r="E1509"/>
  <c r="E1510"/>
  <c r="E1511"/>
  <c r="E1512"/>
  <c r="E1513"/>
  <c r="E1514"/>
  <c r="E1515"/>
  <c r="E1516"/>
  <c r="E1517"/>
  <c r="E1518"/>
  <c r="E1519"/>
  <c r="E1520"/>
  <c r="E1521"/>
  <c r="E1522"/>
  <c r="E1523"/>
  <c r="E1524"/>
  <c r="E1525"/>
  <c r="E1526"/>
  <c r="E1527"/>
  <c r="E1528"/>
  <c r="E1529"/>
  <c r="E1530"/>
  <c r="E1531"/>
  <c r="E1532"/>
  <c r="E1533"/>
  <c r="E1534"/>
  <c r="E1535"/>
  <c r="E1536"/>
  <c r="E1537"/>
  <c r="E1538"/>
  <c r="E1539"/>
  <c r="E1540"/>
  <c r="E1541"/>
  <c r="E1542"/>
  <c r="E1543"/>
  <c r="E1544"/>
  <c r="E1545"/>
  <c r="E1546"/>
  <c r="E1547"/>
  <c r="E1548"/>
  <c r="E1549"/>
  <c r="E1550"/>
  <c r="E1551"/>
  <c r="E1552"/>
  <c r="E1553"/>
  <c r="E1554"/>
  <c r="E1555"/>
  <c r="E1556"/>
  <c r="E1557"/>
  <c r="E1558"/>
  <c r="E1559"/>
  <c r="E1560"/>
  <c r="E1561"/>
  <c r="E1562"/>
  <c r="E1563"/>
  <c r="E1564"/>
  <c r="E1565"/>
  <c r="E1566"/>
  <c r="E1567"/>
  <c r="E1568"/>
  <c r="E1569"/>
  <c r="E1570"/>
  <c r="E1571"/>
  <c r="E1572"/>
  <c r="E1573"/>
  <c r="E1574"/>
  <c r="E1575"/>
  <c r="E1576"/>
  <c r="E1577"/>
  <c r="E1578"/>
  <c r="E1579"/>
  <c r="E1580"/>
  <c r="E1581"/>
  <c r="E1582"/>
  <c r="E1583"/>
  <c r="E1584"/>
  <c r="E1585"/>
  <c r="E1586"/>
  <c r="E1587"/>
  <c r="E1588"/>
  <c r="E1589"/>
  <c r="E1590"/>
  <c r="E1591"/>
  <c r="E1592"/>
  <c r="E1593"/>
  <c r="E1594"/>
  <c r="E1595"/>
  <c r="E1596"/>
  <c r="E1597"/>
  <c r="E1598"/>
  <c r="E1599"/>
  <c r="E1600"/>
  <c r="E1601"/>
  <c r="E1602"/>
  <c r="E1603"/>
  <c r="E1604"/>
  <c r="E1605"/>
  <c r="E1606"/>
  <c r="E1607"/>
  <c r="E1608"/>
  <c r="E1609"/>
  <c r="E1610"/>
  <c r="E1611"/>
  <c r="E1612"/>
  <c r="E1613"/>
  <c r="E1614"/>
  <c r="E1615"/>
  <c r="E1616"/>
  <c r="E1617"/>
  <c r="E1618"/>
  <c r="E1619"/>
  <c r="E1620"/>
  <c r="E1621"/>
  <c r="E1622"/>
  <c r="E1623"/>
  <c r="E1624"/>
  <c r="E1625"/>
  <c r="E1626"/>
  <c r="E1627"/>
  <c r="E1628"/>
  <c r="E1629"/>
  <c r="E1630"/>
  <c r="E1631"/>
  <c r="E1632"/>
  <c r="E1633"/>
  <c r="E1634"/>
  <c r="E1635"/>
  <c r="E1636"/>
  <c r="E1637"/>
  <c r="E1638"/>
  <c r="E1639"/>
  <c r="E1640"/>
  <c r="E1641"/>
  <c r="E1642"/>
  <c r="E1643"/>
  <c r="E1644"/>
  <c r="E1645"/>
  <c r="E1646"/>
  <c r="E1647"/>
  <c r="E1648"/>
  <c r="E1649"/>
  <c r="E1650"/>
  <c r="E1651"/>
  <c r="E1652"/>
  <c r="E1653"/>
  <c r="E1654"/>
  <c r="E1655"/>
  <c r="E1656"/>
  <c r="E1657"/>
  <c r="E1658"/>
  <c r="E1659"/>
  <c r="E1660"/>
  <c r="E1661"/>
  <c r="E1662"/>
  <c r="E1663"/>
  <c r="E1664"/>
  <c r="E1665"/>
  <c r="E1666"/>
  <c r="E1667"/>
  <c r="E1668"/>
  <c r="E1669"/>
  <c r="E1670"/>
  <c r="E1671"/>
  <c r="E1672"/>
  <c r="E1673"/>
  <c r="E1674"/>
  <c r="E1675"/>
  <c r="E1676"/>
  <c r="E1677"/>
  <c r="E1678"/>
  <c r="E1679"/>
  <c r="E1680"/>
  <c r="E1681"/>
  <c r="E1682"/>
  <c r="E1683"/>
  <c r="E1684"/>
  <c r="E1685"/>
  <c r="E1686"/>
  <c r="E1687"/>
  <c r="E1688"/>
  <c r="E1689"/>
  <c r="E1690"/>
  <c r="E1691"/>
  <c r="E1692"/>
  <c r="E1693"/>
  <c r="E1694"/>
  <c r="E1695"/>
  <c r="E1696"/>
  <c r="E1697"/>
  <c r="E1698"/>
  <c r="E1699"/>
  <c r="E1700"/>
  <c r="E1701"/>
  <c r="E1702"/>
  <c r="E1703"/>
  <c r="E1704"/>
  <c r="E1705"/>
  <c r="E1706"/>
  <c r="E1707"/>
  <c r="E1708"/>
  <c r="E1709"/>
  <c r="E1710"/>
  <c r="E1711"/>
  <c r="E1712"/>
  <c r="E1713"/>
  <c r="E1714"/>
  <c r="E1715"/>
  <c r="E1716"/>
  <c r="E1717"/>
  <c r="E1718"/>
  <c r="E1719"/>
  <c r="E1720"/>
  <c r="E1721"/>
  <c r="E1722"/>
  <c r="E1723"/>
  <c r="E1724"/>
  <c r="E1725"/>
  <c r="E1726"/>
  <c r="E1727"/>
  <c r="E1728"/>
  <c r="E1729"/>
  <c r="E1730"/>
  <c r="E1731"/>
  <c r="E1732"/>
  <c r="E1733"/>
  <c r="E1734"/>
  <c r="E1735"/>
  <c r="E1736"/>
  <c r="E1737"/>
  <c r="E1738"/>
  <c r="E1739"/>
  <c r="E1740"/>
  <c r="E1741"/>
  <c r="E1742"/>
  <c r="E1743"/>
  <c r="E1744"/>
  <c r="E1745"/>
  <c r="E1746"/>
  <c r="E1747"/>
  <c r="E1748"/>
  <c r="E1749"/>
  <c r="E1750"/>
  <c r="E1751"/>
  <c r="E1752"/>
  <c r="E1753"/>
  <c r="E1754"/>
  <c r="E1755"/>
  <c r="E1756"/>
  <c r="E1757"/>
  <c r="E1758"/>
  <c r="E1759"/>
  <c r="E1760"/>
  <c r="E1761"/>
  <c r="E1762"/>
  <c r="E1763"/>
  <c r="E1764"/>
  <c r="E1765"/>
  <c r="E1766"/>
  <c r="E1767"/>
  <c r="E1768"/>
  <c r="E1769"/>
  <c r="E1770"/>
  <c r="E1771"/>
  <c r="E1772"/>
  <c r="E1773"/>
  <c r="E1774"/>
  <c r="E1775"/>
  <c r="E1776"/>
  <c r="E1777"/>
  <c r="E1778"/>
  <c r="E1779"/>
  <c r="E1780"/>
  <c r="E1781"/>
  <c r="E1782"/>
  <c r="E1783"/>
  <c r="E1784"/>
  <c r="E1785"/>
  <c r="E1786"/>
  <c r="E1787"/>
  <c r="E1788"/>
  <c r="E1789"/>
  <c r="E1790"/>
  <c r="E1791"/>
  <c r="E1792"/>
  <c r="E1793"/>
  <c r="E1794"/>
  <c r="E1795"/>
  <c r="E1796"/>
  <c r="E1797"/>
  <c r="E1798"/>
  <c r="E1799"/>
  <c r="E1800"/>
  <c r="E1801"/>
  <c r="E1802"/>
  <c r="E1803"/>
  <c r="E1804"/>
  <c r="E1805"/>
  <c r="E1806"/>
  <c r="E1807"/>
  <c r="E1808"/>
  <c r="E1809"/>
  <c r="E1810"/>
  <c r="E1811"/>
  <c r="E1812"/>
  <c r="E1813"/>
  <c r="E1814"/>
  <c r="E1815"/>
  <c r="E1816"/>
  <c r="E1817"/>
  <c r="E1818"/>
  <c r="E1819"/>
  <c r="E1820"/>
  <c r="E1821"/>
  <c r="E1822"/>
  <c r="E1823"/>
  <c r="E1824"/>
  <c r="E1825"/>
  <c r="E1826"/>
  <c r="E1827"/>
  <c r="E1828"/>
  <c r="E1829"/>
  <c r="E1830"/>
  <c r="E1831"/>
  <c r="E1832"/>
  <c r="E1833"/>
  <c r="E1834"/>
  <c r="E1835"/>
  <c r="E1836"/>
  <c r="E1837"/>
  <c r="E1838"/>
  <c r="E1839"/>
  <c r="E1840"/>
  <c r="E1841"/>
  <c r="E1842"/>
  <c r="E1843"/>
  <c r="E1844"/>
  <c r="E1845"/>
  <c r="E1846"/>
  <c r="E1847"/>
  <c r="E1848"/>
  <c r="E1849"/>
  <c r="E1850"/>
  <c r="E1851"/>
  <c r="E1852"/>
  <c r="E1853"/>
  <c r="E1854"/>
  <c r="E1855"/>
  <c r="E1856"/>
  <c r="E1857"/>
  <c r="E1858"/>
  <c r="E1859"/>
  <c r="E1860"/>
  <c r="E1861"/>
  <c r="E1862"/>
  <c r="E1863"/>
  <c r="E1864"/>
  <c r="E1865"/>
  <c r="E1866"/>
  <c r="E1867"/>
  <c r="E1868"/>
  <c r="E1869"/>
  <c r="E1870"/>
  <c r="E1871"/>
  <c r="E1872"/>
  <c r="E1873"/>
  <c r="E1874"/>
  <c r="E1875"/>
  <c r="E1876"/>
  <c r="E1877"/>
  <c r="E1878"/>
  <c r="E1879"/>
  <c r="E1880"/>
  <c r="E1881"/>
  <c r="E1882"/>
  <c r="E1883"/>
  <c r="E1884"/>
  <c r="E1885"/>
  <c r="E1886"/>
  <c r="E1887"/>
  <c r="E1888"/>
  <c r="E1889"/>
  <c r="E1890"/>
  <c r="E1891"/>
  <c r="E1892"/>
  <c r="E1893"/>
  <c r="E1894"/>
  <c r="E1895"/>
  <c r="E1896"/>
  <c r="E1897"/>
  <c r="E1898"/>
  <c r="E1899"/>
  <c r="E1900"/>
  <c r="E1901"/>
  <c r="E1902"/>
  <c r="E1903"/>
  <c r="E1904"/>
  <c r="E1905"/>
  <c r="E1906"/>
  <c r="E1907"/>
  <c r="E1908"/>
  <c r="E1909"/>
  <c r="E1910"/>
  <c r="E1911"/>
  <c r="E1912"/>
  <c r="E1913"/>
  <c r="E1914"/>
  <c r="E1915"/>
  <c r="E1916"/>
  <c r="E1917"/>
  <c r="E1918"/>
  <c r="E1919"/>
  <c r="E1920"/>
  <c r="E1921"/>
  <c r="E1922"/>
  <c r="E1923"/>
  <c r="E1924"/>
  <c r="E1925"/>
  <c r="E1926"/>
  <c r="E1927"/>
  <c r="E1928"/>
  <c r="E1929"/>
  <c r="E1930"/>
  <c r="E1931"/>
  <c r="E1932"/>
  <c r="E1933"/>
  <c r="E1934"/>
  <c r="E1935"/>
  <c r="E1936"/>
  <c r="E1937"/>
  <c r="E1938"/>
  <c r="E1939"/>
  <c r="E1940"/>
  <c r="E1941"/>
  <c r="E1942"/>
  <c r="E1943"/>
  <c r="E1944"/>
  <c r="E1945"/>
  <c r="E1946"/>
  <c r="E1947"/>
  <c r="E1948"/>
  <c r="E1949"/>
  <c r="E1950"/>
  <c r="E1951"/>
  <c r="E1952"/>
  <c r="E1953"/>
  <c r="E1954"/>
  <c r="E1955"/>
  <c r="E1956"/>
  <c r="E1957"/>
  <c r="E1958"/>
  <c r="E1959"/>
  <c r="E1960"/>
  <c r="E1961"/>
  <c r="E1962"/>
  <c r="E1963"/>
  <c r="E1964"/>
  <c r="E1965"/>
  <c r="E1966"/>
  <c r="E1967"/>
  <c r="E1968"/>
  <c r="E1969"/>
  <c r="E1970"/>
  <c r="E1971"/>
  <c r="E1972"/>
  <c r="E1973"/>
  <c r="E1974"/>
  <c r="E1975"/>
  <c r="E1976"/>
  <c r="E1977"/>
  <c r="E1978"/>
  <c r="E1979"/>
  <c r="E1980"/>
  <c r="E1981"/>
  <c r="E1982"/>
  <c r="E1983"/>
  <c r="E1984"/>
  <c r="E1985"/>
  <c r="E1986"/>
  <c r="E1987"/>
  <c r="E1988"/>
  <c r="E1989"/>
  <c r="E1990"/>
  <c r="E1991"/>
  <c r="E1992"/>
  <c r="E1993"/>
  <c r="E1994"/>
  <c r="E1995"/>
  <c r="E1996"/>
  <c r="E1997"/>
  <c r="E1998"/>
  <c r="E1999"/>
  <c r="E2000"/>
  <c r="E2001"/>
  <c r="E2002"/>
  <c r="E2003"/>
  <c r="E2004"/>
  <c r="E2005"/>
  <c r="E2006"/>
  <c r="E2007"/>
  <c r="E2008"/>
  <c r="E2009"/>
  <c r="E2010"/>
  <c r="E2011"/>
  <c r="E2012"/>
  <c r="E2013"/>
  <c r="E2014"/>
  <c r="E2015"/>
  <c r="E2016"/>
  <c r="E2017"/>
  <c r="E2018"/>
  <c r="E2019"/>
  <c r="E2020"/>
  <c r="E2021"/>
  <c r="E2022"/>
  <c r="E2023"/>
  <c r="E2024"/>
  <c r="E2025"/>
  <c r="E2026"/>
  <c r="E2027"/>
  <c r="E2028"/>
  <c r="E2029"/>
  <c r="E2030"/>
  <c r="E2031"/>
  <c r="E2032"/>
  <c r="E2033"/>
  <c r="E2034"/>
  <c r="E2035"/>
  <c r="E2036"/>
  <c r="E2037"/>
  <c r="E2038"/>
  <c r="E2039"/>
  <c r="E2040"/>
  <c r="E2041"/>
  <c r="E2042"/>
  <c r="E2043"/>
  <c r="E2044"/>
  <c r="E2045"/>
  <c r="E2046"/>
  <c r="E2047"/>
  <c r="E2048"/>
  <c r="E2049"/>
  <c r="E2050"/>
  <c r="E2051"/>
  <c r="E2052"/>
  <c r="E2053"/>
  <c r="E2054"/>
  <c r="E2055"/>
  <c r="E2056"/>
  <c r="E2057"/>
  <c r="E2058"/>
  <c r="E2059"/>
  <c r="E2060"/>
  <c r="E2061"/>
  <c r="E2062"/>
  <c r="E2063"/>
  <c r="E2064"/>
  <c r="E2065"/>
  <c r="E2066"/>
  <c r="E2067"/>
  <c r="E2068"/>
  <c r="E2069"/>
  <c r="E2070"/>
  <c r="E2071"/>
  <c r="E2072"/>
  <c r="E2073"/>
  <c r="E2074"/>
  <c r="E2075"/>
  <c r="E2076"/>
  <c r="E2077"/>
  <c r="E2078"/>
  <c r="E2079"/>
  <c r="E2080"/>
  <c r="E2081"/>
  <c r="E2082"/>
  <c r="E2083"/>
  <c r="E2084"/>
  <c r="E2085"/>
  <c r="E2086"/>
  <c r="E2087"/>
  <c r="E2088"/>
  <c r="E2089"/>
  <c r="E2090"/>
  <c r="E2091"/>
  <c r="E2092"/>
  <c r="E2093"/>
  <c r="E2094"/>
  <c r="E2095"/>
  <c r="E2096"/>
  <c r="E2097"/>
  <c r="E2098"/>
  <c r="E2099"/>
  <c r="E2100"/>
  <c r="E2101"/>
  <c r="E2102"/>
  <c r="E2103"/>
  <c r="E2104"/>
  <c r="E2105"/>
  <c r="E2106"/>
  <c r="E2107"/>
  <c r="E2108"/>
  <c r="E2109"/>
  <c r="E2110"/>
  <c r="E2111"/>
  <c r="E2112"/>
  <c r="E2113"/>
  <c r="E2114"/>
  <c r="E2115"/>
  <c r="E2116"/>
  <c r="E2117"/>
  <c r="E2118"/>
  <c r="E2119"/>
  <c r="E2120"/>
  <c r="E2121"/>
  <c r="E2122"/>
  <c r="E2123"/>
  <c r="E2124"/>
  <c r="E2125"/>
  <c r="E2126"/>
  <c r="E2127"/>
  <c r="E2128"/>
  <c r="E2129"/>
  <c r="E2130"/>
  <c r="E2131"/>
  <c r="E2132"/>
  <c r="E2133"/>
  <c r="E2134"/>
  <c r="E2135"/>
  <c r="E2136"/>
  <c r="E2137"/>
  <c r="E2138"/>
  <c r="E2139"/>
  <c r="E2140"/>
  <c r="E2141"/>
  <c r="E2142"/>
  <c r="E2143"/>
  <c r="E2144"/>
  <c r="E2145"/>
  <c r="E2146"/>
  <c r="E2147"/>
  <c r="E2148"/>
  <c r="E2149"/>
  <c r="E2150"/>
  <c r="E2151"/>
  <c r="E2152"/>
  <c r="E2153"/>
  <c r="E2154"/>
  <c r="E2155"/>
  <c r="E2156"/>
  <c r="E2157"/>
  <c r="E2158"/>
  <c r="E2159"/>
  <c r="E2160"/>
  <c r="E2161"/>
  <c r="E2162"/>
  <c r="E2163"/>
  <c r="E2164"/>
  <c r="E2165"/>
  <c r="E2166"/>
  <c r="E2167"/>
  <c r="E2168"/>
  <c r="E2169"/>
  <c r="E2170"/>
  <c r="E2171"/>
  <c r="E2172"/>
  <c r="E2173"/>
  <c r="E2174"/>
  <c r="E2175"/>
  <c r="E2176"/>
  <c r="E2177"/>
  <c r="E2178"/>
  <c r="E2179"/>
  <c r="E2180"/>
  <c r="E2181"/>
  <c r="E2182"/>
  <c r="E2183"/>
  <c r="E2184"/>
  <c r="E2185"/>
  <c r="E2186"/>
  <c r="E2187"/>
  <c r="E2188"/>
  <c r="E2189"/>
  <c r="E2190"/>
  <c r="E2191"/>
  <c r="E2192"/>
  <c r="E2193"/>
  <c r="E2194"/>
  <c r="E2195"/>
  <c r="E2196"/>
  <c r="E2197"/>
  <c r="E2198"/>
  <c r="E2199"/>
  <c r="E2200"/>
  <c r="E2201"/>
  <c r="E2202"/>
  <c r="E2203"/>
  <c r="E2204"/>
  <c r="E2205"/>
  <c r="E2206"/>
  <c r="E2207"/>
  <c r="E2208"/>
  <c r="E2209"/>
  <c r="E2210"/>
  <c r="E2211"/>
  <c r="E2212"/>
  <c r="E2213"/>
  <c r="E2214"/>
  <c r="E2215"/>
  <c r="E2216"/>
  <c r="E2217"/>
  <c r="E2218"/>
  <c r="E2219"/>
  <c r="E2220"/>
  <c r="E2221"/>
  <c r="E2222"/>
  <c r="E2223"/>
  <c r="E2224"/>
  <c r="E2225"/>
  <c r="E2226"/>
  <c r="E2227"/>
  <c r="E2228"/>
  <c r="E2229"/>
  <c r="E2230"/>
  <c r="E2231"/>
  <c r="E2232"/>
  <c r="E2233"/>
  <c r="E2234"/>
  <c r="E2235"/>
  <c r="E2236"/>
  <c r="E2237"/>
  <c r="E2238"/>
  <c r="E2239"/>
  <c r="E2240"/>
  <c r="E2241"/>
  <c r="E2242"/>
  <c r="E2243"/>
  <c r="E2244"/>
  <c r="E2245"/>
  <c r="E2246"/>
  <c r="E2247"/>
  <c r="E2248"/>
  <c r="E2249"/>
  <c r="E2250"/>
  <c r="E2251"/>
  <c r="E2252"/>
  <c r="E2253"/>
  <c r="E2254"/>
  <c r="E2255"/>
  <c r="E2256"/>
  <c r="E2257"/>
  <c r="E2258"/>
  <c r="E2259"/>
  <c r="E2260"/>
  <c r="E2261"/>
  <c r="E2262"/>
  <c r="E2263"/>
  <c r="E2264"/>
  <c r="E2265"/>
  <c r="E2266"/>
  <c r="E2267"/>
  <c r="E2268"/>
  <c r="E2269"/>
  <c r="E2270"/>
  <c r="E2271"/>
  <c r="E2272"/>
  <c r="E2273"/>
  <c r="E2274"/>
  <c r="E2275"/>
  <c r="E2276"/>
  <c r="E2277"/>
  <c r="E2278"/>
  <c r="E2279"/>
  <c r="E2280"/>
  <c r="E2281"/>
  <c r="E2282"/>
  <c r="E2283"/>
  <c r="E2284"/>
  <c r="E2285"/>
  <c r="E2286"/>
  <c r="E2287"/>
  <c r="E2288"/>
  <c r="E2289"/>
  <c r="E2290"/>
  <c r="E2291"/>
  <c r="E2292"/>
  <c r="E2293"/>
  <c r="E2294"/>
  <c r="E2295"/>
  <c r="E2296"/>
  <c r="E2297"/>
  <c r="E2298"/>
  <c r="E2299"/>
  <c r="E2300"/>
  <c r="E2301"/>
  <c r="E2302"/>
  <c r="E2303"/>
  <c r="E2304"/>
  <c r="E2305"/>
  <c r="E2306"/>
  <c r="E2307"/>
  <c r="E2308"/>
  <c r="E2309"/>
  <c r="E2310"/>
  <c r="E2311"/>
  <c r="E2312"/>
  <c r="E2313"/>
  <c r="E2314"/>
  <c r="E2"/>
  <c r="C801"/>
  <c r="C1050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2208"/>
  <c r="C2209"/>
  <c r="C2210"/>
  <c r="C2211"/>
  <c r="C2212"/>
  <c r="C2213"/>
  <c r="C2214"/>
  <c r="C2215"/>
  <c r="C2216"/>
  <c r="C2217"/>
  <c r="C2218"/>
  <c r="C2219"/>
  <c r="C2220"/>
  <c r="C2221"/>
  <c r="C2222"/>
  <c r="C2223"/>
  <c r="C2224"/>
  <c r="C2225"/>
  <c r="C2226"/>
  <c r="C2227"/>
  <c r="C2228"/>
  <c r="C2229"/>
  <c r="C2230"/>
  <c r="C2231"/>
  <c r="C2232"/>
  <c r="C2233"/>
  <c r="C2234"/>
  <c r="C2235"/>
  <c r="C2236"/>
  <c r="C2237"/>
  <c r="C2238"/>
  <c r="C2239"/>
  <c r="C2240"/>
  <c r="C2241"/>
  <c r="C2242"/>
  <c r="C2243"/>
  <c r="C2244"/>
  <c r="C2245"/>
  <c r="C2246"/>
  <c r="C2247"/>
  <c r="C2248"/>
  <c r="C2249"/>
  <c r="C2250"/>
  <c r="C2251"/>
  <c r="C2252"/>
  <c r="C2253"/>
  <c r="C2254"/>
  <c r="C2255"/>
  <c r="C2256"/>
  <c r="C2257"/>
  <c r="C2258"/>
  <c r="C2259"/>
  <c r="C2260"/>
  <c r="C2261"/>
  <c r="C2262"/>
  <c r="C2263"/>
  <c r="C2264"/>
  <c r="C2265"/>
  <c r="C2266"/>
  <c r="C2267"/>
  <c r="C2268"/>
  <c r="C2269"/>
  <c r="C2270"/>
  <c r="C2271"/>
  <c r="C2272"/>
  <c r="C2273"/>
  <c r="C2274"/>
  <c r="C2275"/>
  <c r="C2276"/>
  <c r="C2277"/>
  <c r="C2278"/>
  <c r="C2279"/>
  <c r="C2280"/>
  <c r="C2281"/>
  <c r="C2282"/>
  <c r="C2283"/>
  <c r="C2284"/>
  <c r="C2285"/>
  <c r="C2286"/>
  <c r="C2287"/>
  <c r="C2288"/>
  <c r="C2289"/>
  <c r="C2290"/>
  <c r="C2291"/>
  <c r="C2292"/>
  <c r="C2293"/>
  <c r="C2294"/>
  <c r="C2295"/>
  <c r="C2296"/>
  <c r="C2297"/>
  <c r="C2298"/>
  <c r="C2299"/>
  <c r="C2300"/>
  <c r="C2301"/>
  <c r="C2302"/>
  <c r="C2303"/>
  <c r="C2304"/>
  <c r="C2305"/>
  <c r="C2306"/>
  <c r="C2307"/>
  <c r="C2308"/>
  <c r="C2309"/>
  <c r="C2310"/>
  <c r="C2311"/>
  <c r="C2312"/>
  <c r="C2313"/>
  <c r="C2314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1708"/>
  <c r="B1709"/>
  <c r="B1710"/>
  <c r="B1711"/>
  <c r="B1712"/>
  <c r="B1713"/>
  <c r="B1714"/>
  <c r="B1715"/>
  <c r="B1716"/>
  <c r="B1717"/>
  <c r="B1718"/>
  <c r="B1719"/>
  <c r="B1720"/>
  <c r="B1721"/>
  <c r="B1722"/>
  <c r="B1723"/>
  <c r="B1724"/>
  <c r="B1725"/>
  <c r="B1726"/>
  <c r="B1727"/>
  <c r="B1728"/>
  <c r="B1729"/>
  <c r="B1730"/>
  <c r="B1731"/>
  <c r="B1732"/>
  <c r="B1733"/>
  <c r="B1734"/>
  <c r="B1735"/>
  <c r="B1736"/>
  <c r="B1737"/>
  <c r="B1738"/>
  <c r="B1739"/>
  <c r="B1740"/>
  <c r="B1741"/>
  <c r="B1742"/>
  <c r="B1743"/>
  <c r="B1744"/>
  <c r="B1745"/>
  <c r="B1746"/>
  <c r="B1747"/>
  <c r="B1748"/>
  <c r="B1749"/>
  <c r="B1750"/>
  <c r="B1751"/>
  <c r="B1752"/>
  <c r="B1753"/>
  <c r="B1754"/>
  <c r="B1755"/>
  <c r="B1756"/>
  <c r="B1757"/>
  <c r="B1758"/>
  <c r="B1759"/>
  <c r="B1760"/>
  <c r="B1761"/>
  <c r="B1762"/>
  <c r="B1763"/>
  <c r="B1764"/>
  <c r="B1765"/>
  <c r="B1766"/>
  <c r="B1767"/>
  <c r="B1768"/>
  <c r="B1769"/>
  <c r="B1770"/>
  <c r="B1771"/>
  <c r="B1772"/>
  <c r="B1773"/>
  <c r="B1774"/>
  <c r="B1775"/>
  <c r="B1776"/>
  <c r="B1777"/>
  <c r="B1778"/>
  <c r="B1779"/>
  <c r="B1780"/>
  <c r="B1781"/>
  <c r="B1782"/>
  <c r="B1783"/>
  <c r="B1784"/>
  <c r="B1785"/>
  <c r="B1786"/>
  <c r="B1787"/>
  <c r="B1788"/>
  <c r="B1789"/>
  <c r="B1790"/>
  <c r="B1791"/>
  <c r="B1792"/>
  <c r="B1793"/>
  <c r="B1794"/>
  <c r="B1795"/>
  <c r="B1796"/>
  <c r="B1797"/>
  <c r="B1798"/>
  <c r="B1799"/>
  <c r="B1800"/>
  <c r="B1801"/>
  <c r="B1802"/>
  <c r="B1803"/>
  <c r="B1804"/>
  <c r="B1805"/>
  <c r="B1806"/>
  <c r="B1807"/>
  <c r="B1808"/>
  <c r="B1809"/>
  <c r="B1810"/>
  <c r="B1811"/>
  <c r="B1812"/>
  <c r="B1813"/>
  <c r="B1814"/>
  <c r="B1815"/>
  <c r="B1816"/>
  <c r="B1817"/>
  <c r="B1818"/>
  <c r="B1819"/>
  <c r="B1820"/>
  <c r="B1821"/>
  <c r="B1822"/>
  <c r="B1823"/>
  <c r="B1824"/>
  <c r="B1825"/>
  <c r="B1826"/>
  <c r="B1827"/>
  <c r="B1828"/>
  <c r="B1829"/>
  <c r="B1830"/>
  <c r="B1831"/>
  <c r="B1832"/>
  <c r="B1833"/>
  <c r="B1834"/>
  <c r="B1835"/>
  <c r="B1836"/>
  <c r="B1837"/>
  <c r="B1838"/>
  <c r="B1839"/>
  <c r="B1840"/>
  <c r="B1841"/>
  <c r="B1842"/>
  <c r="B1843"/>
  <c r="B1844"/>
  <c r="B1845"/>
  <c r="B1846"/>
  <c r="B1847"/>
  <c r="B1848"/>
  <c r="B1849"/>
  <c r="B1850"/>
  <c r="B1851"/>
  <c r="B1852"/>
  <c r="B1853"/>
  <c r="B1854"/>
  <c r="B1855"/>
  <c r="B1856"/>
  <c r="B1857"/>
  <c r="B1858"/>
  <c r="B1859"/>
  <c r="B1860"/>
  <c r="B1861"/>
  <c r="B1862"/>
  <c r="B1863"/>
  <c r="B1864"/>
  <c r="B1865"/>
  <c r="B1866"/>
  <c r="B1867"/>
  <c r="B1868"/>
  <c r="B1869"/>
  <c r="B1870"/>
  <c r="B1871"/>
  <c r="B1872"/>
  <c r="B1873"/>
  <c r="B1874"/>
  <c r="B1875"/>
  <c r="B1876"/>
  <c r="B1877"/>
  <c r="B1878"/>
  <c r="B1879"/>
  <c r="B1880"/>
  <c r="B1881"/>
  <c r="B1882"/>
  <c r="B1883"/>
  <c r="B1884"/>
  <c r="B1885"/>
  <c r="B1886"/>
  <c r="B1887"/>
  <c r="B1888"/>
  <c r="B1889"/>
  <c r="B1890"/>
  <c r="B1891"/>
  <c r="B1892"/>
  <c r="B1893"/>
  <c r="B1894"/>
  <c r="B1895"/>
  <c r="B1896"/>
  <c r="B1897"/>
  <c r="B1898"/>
  <c r="B1899"/>
  <c r="B1900"/>
  <c r="B1901"/>
  <c r="B1902"/>
  <c r="B1903"/>
  <c r="B1904"/>
  <c r="B1905"/>
  <c r="B1906"/>
  <c r="B1907"/>
  <c r="B1908"/>
  <c r="B1909"/>
  <c r="B1910"/>
  <c r="B1911"/>
  <c r="B1912"/>
  <c r="B1913"/>
  <c r="B1914"/>
  <c r="B1915"/>
  <c r="B1916"/>
  <c r="B1917"/>
  <c r="B1918"/>
  <c r="B1919"/>
  <c r="B1920"/>
  <c r="B1921"/>
  <c r="B1922"/>
  <c r="B1923"/>
  <c r="B1924"/>
  <c r="B1925"/>
  <c r="B1926"/>
  <c r="B1927"/>
  <c r="B1928"/>
  <c r="B1929"/>
  <c r="B1930"/>
  <c r="B1931"/>
  <c r="B1932"/>
  <c r="B1933"/>
  <c r="B1934"/>
  <c r="B1935"/>
  <c r="B1936"/>
  <c r="B1937"/>
  <c r="B1938"/>
  <c r="B1939"/>
  <c r="B1940"/>
  <c r="B1941"/>
  <c r="B1942"/>
  <c r="B1943"/>
  <c r="B1944"/>
  <c r="B1945"/>
  <c r="B1946"/>
  <c r="B1947"/>
  <c r="B1948"/>
  <c r="B1949"/>
  <c r="B1950"/>
  <c r="B1951"/>
  <c r="B1952"/>
  <c r="B1953"/>
  <c r="B1954"/>
  <c r="B1955"/>
  <c r="B1956"/>
  <c r="B1957"/>
  <c r="B1958"/>
  <c r="B1959"/>
  <c r="B1960"/>
  <c r="B1961"/>
  <c r="B1962"/>
  <c r="B1963"/>
  <c r="B1964"/>
  <c r="B1965"/>
  <c r="B1966"/>
  <c r="B1967"/>
  <c r="B1968"/>
  <c r="B1969"/>
  <c r="B1970"/>
  <c r="B1971"/>
  <c r="B1972"/>
  <c r="B1973"/>
  <c r="B1974"/>
  <c r="B1975"/>
  <c r="B1976"/>
  <c r="B1977"/>
  <c r="B1978"/>
  <c r="B1979"/>
  <c r="B1980"/>
  <c r="B1981"/>
  <c r="B1982"/>
  <c r="B1983"/>
  <c r="B1984"/>
  <c r="B1985"/>
  <c r="B1986"/>
  <c r="B1987"/>
  <c r="B1988"/>
  <c r="B1989"/>
  <c r="B1990"/>
  <c r="B1991"/>
  <c r="B1992"/>
  <c r="B1993"/>
  <c r="B1994"/>
  <c r="B1995"/>
  <c r="B1996"/>
  <c r="B1997"/>
  <c r="B1998"/>
  <c r="B1999"/>
  <c r="B2000"/>
  <c r="B2001"/>
  <c r="B2002"/>
  <c r="B2003"/>
  <c r="B2004"/>
  <c r="B2005"/>
  <c r="B2006"/>
  <c r="B2007"/>
  <c r="B2008"/>
  <c r="B2009"/>
  <c r="B2010"/>
  <c r="B2011"/>
  <c r="B2012"/>
  <c r="B2013"/>
  <c r="B2014"/>
  <c r="B2015"/>
  <c r="B2016"/>
  <c r="B2017"/>
  <c r="B2018"/>
  <c r="B2019"/>
  <c r="B2020"/>
  <c r="B2021"/>
  <c r="B2022"/>
  <c r="B2023"/>
  <c r="B2024"/>
  <c r="B2025"/>
  <c r="B2026"/>
  <c r="B2027"/>
  <c r="B2028"/>
  <c r="B2029"/>
  <c r="B2030"/>
  <c r="B2031"/>
  <c r="B2032"/>
  <c r="B2033"/>
  <c r="B2034"/>
  <c r="B2035"/>
  <c r="B2036"/>
  <c r="B2037"/>
  <c r="B2038"/>
  <c r="B2039"/>
  <c r="B2040"/>
  <c r="B2041"/>
  <c r="B2042"/>
  <c r="B2043"/>
  <c r="B2044"/>
  <c r="B2045"/>
  <c r="B2046"/>
  <c r="B2047"/>
  <c r="B2048"/>
  <c r="B2049"/>
  <c r="B2050"/>
  <c r="B2051"/>
  <c r="B2052"/>
  <c r="B2053"/>
  <c r="B2054"/>
  <c r="B2055"/>
  <c r="B2056"/>
  <c r="B2057"/>
  <c r="B2058"/>
  <c r="B2059"/>
  <c r="B2060"/>
  <c r="B2061"/>
  <c r="B2062"/>
  <c r="B2063"/>
  <c r="B2064"/>
  <c r="B2065"/>
  <c r="B2066"/>
  <c r="B2067"/>
  <c r="B2068"/>
  <c r="B2069"/>
  <c r="B2070"/>
  <c r="B2071"/>
  <c r="B2072"/>
  <c r="B2073"/>
  <c r="B2074"/>
  <c r="B2075"/>
  <c r="B2076"/>
  <c r="B2077"/>
  <c r="B2078"/>
  <c r="B2079"/>
  <c r="B2080"/>
  <c r="B2081"/>
  <c r="B2082"/>
  <c r="B2083"/>
  <c r="B2084"/>
  <c r="B2085"/>
  <c r="B2086"/>
  <c r="B2087"/>
  <c r="B2088"/>
  <c r="B2089"/>
  <c r="B2090"/>
  <c r="B2091"/>
  <c r="B2092"/>
  <c r="B2093"/>
  <c r="B2094"/>
  <c r="B2095"/>
  <c r="B2096"/>
  <c r="B2097"/>
  <c r="B2098"/>
  <c r="B2099"/>
  <c r="B2100"/>
  <c r="B2101"/>
  <c r="B2102"/>
  <c r="B2103"/>
  <c r="B2104"/>
  <c r="B2105"/>
  <c r="B2106"/>
  <c r="B2107"/>
  <c r="B2108"/>
  <c r="B2109"/>
  <c r="B2110"/>
  <c r="B2111"/>
  <c r="B2112"/>
  <c r="B2113"/>
  <c r="B2114"/>
  <c r="B2115"/>
  <c r="B2116"/>
  <c r="B2117"/>
  <c r="B2118"/>
  <c r="B2119"/>
  <c r="B2120"/>
  <c r="B2121"/>
  <c r="B2122"/>
  <c r="B2123"/>
  <c r="B2124"/>
  <c r="B2125"/>
  <c r="B2126"/>
  <c r="B2127"/>
  <c r="B2128"/>
  <c r="B2129"/>
  <c r="B2130"/>
  <c r="B2131"/>
  <c r="B2132"/>
  <c r="B2133"/>
  <c r="B2134"/>
  <c r="B2135"/>
  <c r="B2136"/>
  <c r="B2137"/>
  <c r="B2138"/>
  <c r="B2139"/>
  <c r="B2140"/>
  <c r="B2141"/>
  <c r="B2142"/>
  <c r="B2143"/>
  <c r="B2144"/>
  <c r="B2145"/>
  <c r="B2146"/>
  <c r="B2147"/>
  <c r="B2148"/>
  <c r="B2149"/>
  <c r="B2150"/>
  <c r="B2151"/>
  <c r="B2152"/>
  <c r="B2153"/>
  <c r="B2154"/>
  <c r="B2155"/>
  <c r="B2156"/>
  <c r="B2157"/>
  <c r="B2158"/>
  <c r="B2159"/>
  <c r="B2160"/>
  <c r="B2161"/>
  <c r="B2162"/>
  <c r="B2163"/>
  <c r="B2164"/>
  <c r="B2165"/>
  <c r="B2166"/>
  <c r="B2167"/>
  <c r="B2168"/>
  <c r="B2169"/>
  <c r="B2170"/>
  <c r="B2171"/>
  <c r="B2172"/>
  <c r="B2173"/>
  <c r="B2174"/>
  <c r="B2175"/>
  <c r="B2176"/>
  <c r="B2177"/>
  <c r="B2178"/>
  <c r="B2179"/>
  <c r="B2180"/>
  <c r="B2181"/>
  <c r="B2182"/>
  <c r="B2183"/>
  <c r="B2184"/>
  <c r="B2185"/>
  <c r="B2186"/>
  <c r="B2187"/>
  <c r="B2188"/>
  <c r="B2189"/>
  <c r="B2190"/>
  <c r="B2191"/>
  <c r="B2192"/>
  <c r="B2193"/>
  <c r="B2194"/>
  <c r="B2195"/>
  <c r="B2196"/>
  <c r="B2197"/>
  <c r="B2198"/>
  <c r="B2199"/>
  <c r="B2200"/>
  <c r="B2201"/>
  <c r="B2202"/>
  <c r="B2203"/>
  <c r="B2204"/>
  <c r="B2205"/>
  <c r="B2206"/>
  <c r="B2207"/>
  <c r="B2208"/>
  <c r="B2209"/>
  <c r="B2210"/>
  <c r="B2211"/>
  <c r="B2212"/>
  <c r="B2213"/>
  <c r="B2214"/>
  <c r="B2215"/>
  <c r="B2216"/>
  <c r="B2217"/>
  <c r="B2218"/>
  <c r="B2219"/>
  <c r="B2220"/>
  <c r="B2221"/>
  <c r="B2222"/>
  <c r="B2223"/>
  <c r="B2224"/>
  <c r="B2225"/>
  <c r="B2226"/>
  <c r="B2227"/>
  <c r="B2228"/>
  <c r="B2229"/>
  <c r="B2230"/>
  <c r="B2231"/>
  <c r="B2232"/>
  <c r="B2233"/>
  <c r="B2234"/>
  <c r="B2235"/>
  <c r="B2236"/>
  <c r="B2237"/>
  <c r="B2238"/>
  <c r="B2239"/>
  <c r="B2240"/>
  <c r="B2241"/>
  <c r="B2242"/>
  <c r="B2243"/>
  <c r="B2244"/>
  <c r="B2245"/>
  <c r="B2246"/>
  <c r="B2247"/>
  <c r="B2248"/>
  <c r="B2249"/>
  <c r="B2250"/>
  <c r="B2251"/>
  <c r="B2252"/>
  <c r="B2253"/>
  <c r="B2254"/>
  <c r="B2255"/>
  <c r="B2256"/>
  <c r="B2257"/>
  <c r="B2258"/>
  <c r="B2259"/>
  <c r="B2260"/>
  <c r="B2261"/>
  <c r="B2262"/>
  <c r="B2263"/>
  <c r="B2264"/>
  <c r="B2265"/>
  <c r="B2266"/>
  <c r="B2267"/>
  <c r="B2268"/>
  <c r="B2269"/>
  <c r="B2270"/>
  <c r="B2271"/>
  <c r="B2272"/>
  <c r="B2273"/>
  <c r="B2274"/>
  <c r="B2275"/>
  <c r="B2276"/>
  <c r="B2277"/>
  <c r="B2278"/>
  <c r="B2279"/>
  <c r="B2280"/>
  <c r="B2281"/>
  <c r="B2282"/>
  <c r="B2283"/>
  <c r="B2284"/>
  <c r="B2285"/>
  <c r="B2286"/>
  <c r="B2287"/>
  <c r="B2288"/>
  <c r="B2289"/>
  <c r="B2290"/>
  <c r="B2291"/>
  <c r="B2292"/>
  <c r="B2293"/>
  <c r="B2294"/>
  <c r="B2295"/>
  <c r="B2296"/>
  <c r="B2297"/>
  <c r="B2298"/>
  <c r="B2299"/>
  <c r="B2300"/>
  <c r="B2301"/>
  <c r="B2302"/>
  <c r="B2303"/>
  <c r="B2304"/>
  <c r="B2305"/>
  <c r="B2306"/>
  <c r="B2307"/>
  <c r="B2308"/>
  <c r="B2309"/>
  <c r="B2310"/>
  <c r="B2311"/>
  <c r="B2312"/>
  <c r="B2313"/>
  <c r="B2314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H1050" s="1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1754"/>
  <c r="G1755"/>
  <c r="G1756"/>
  <c r="G1757"/>
  <c r="G1758"/>
  <c r="G1759"/>
  <c r="G1760"/>
  <c r="G1761"/>
  <c r="G1762"/>
  <c r="G1763"/>
  <c r="G1764"/>
  <c r="G1765"/>
  <c r="G1766"/>
  <c r="G1767"/>
  <c r="G1768"/>
  <c r="G1769"/>
  <c r="G1770"/>
  <c r="G1771"/>
  <c r="G1772"/>
  <c r="G1773"/>
  <c r="G1774"/>
  <c r="G1775"/>
  <c r="G1776"/>
  <c r="G1777"/>
  <c r="G1778"/>
  <c r="G1779"/>
  <c r="G1780"/>
  <c r="G1781"/>
  <c r="G1782"/>
  <c r="G1783"/>
  <c r="G1784"/>
  <c r="G1785"/>
  <c r="G1786"/>
  <c r="G1787"/>
  <c r="G1788"/>
  <c r="G1789"/>
  <c r="G1790"/>
  <c r="G1791"/>
  <c r="G1792"/>
  <c r="G1793"/>
  <c r="G1794"/>
  <c r="G1795"/>
  <c r="G1796"/>
  <c r="G1797"/>
  <c r="G1798"/>
  <c r="G1799"/>
  <c r="G1800"/>
  <c r="G1801"/>
  <c r="G1802"/>
  <c r="G1803"/>
  <c r="G1804"/>
  <c r="G1805"/>
  <c r="G1806"/>
  <c r="G1807"/>
  <c r="G1808"/>
  <c r="G1809"/>
  <c r="G1810"/>
  <c r="G1811"/>
  <c r="G1812"/>
  <c r="G1813"/>
  <c r="G1814"/>
  <c r="G1815"/>
  <c r="G1816"/>
  <c r="G1817"/>
  <c r="G1818"/>
  <c r="G1819"/>
  <c r="G1820"/>
  <c r="G1821"/>
  <c r="G1822"/>
  <c r="G1823"/>
  <c r="G1824"/>
  <c r="G1825"/>
  <c r="G1826"/>
  <c r="G1827"/>
  <c r="G1828"/>
  <c r="G1829"/>
  <c r="G1830"/>
  <c r="G1831"/>
  <c r="G1832"/>
  <c r="G1833"/>
  <c r="G1834"/>
  <c r="G1835"/>
  <c r="G1836"/>
  <c r="G1837"/>
  <c r="G1838"/>
  <c r="G1839"/>
  <c r="G1840"/>
  <c r="G1841"/>
  <c r="G1842"/>
  <c r="G1843"/>
  <c r="G1844"/>
  <c r="G1845"/>
  <c r="G1846"/>
  <c r="G1847"/>
  <c r="G1848"/>
  <c r="G1849"/>
  <c r="G1850"/>
  <c r="G1851"/>
  <c r="G1852"/>
  <c r="G1853"/>
  <c r="G1854"/>
  <c r="G1855"/>
  <c r="G1856"/>
  <c r="G1857"/>
  <c r="G1858"/>
  <c r="G1859"/>
  <c r="G1860"/>
  <c r="G1861"/>
  <c r="G1862"/>
  <c r="G1863"/>
  <c r="G1864"/>
  <c r="G1865"/>
  <c r="G1866"/>
  <c r="G1867"/>
  <c r="G1868"/>
  <c r="G1869"/>
  <c r="G1870"/>
  <c r="G1871"/>
  <c r="G1872"/>
  <c r="G1873"/>
  <c r="G1874"/>
  <c r="G1875"/>
  <c r="G1876"/>
  <c r="G1877"/>
  <c r="G1878"/>
  <c r="G1879"/>
  <c r="G1880"/>
  <c r="G1881"/>
  <c r="G1882"/>
  <c r="G1883"/>
  <c r="G1884"/>
  <c r="G1885"/>
  <c r="G1886"/>
  <c r="G1887"/>
  <c r="G1888"/>
  <c r="G1889"/>
  <c r="G1890"/>
  <c r="G1891"/>
  <c r="G1892"/>
  <c r="G1893"/>
  <c r="G1894"/>
  <c r="G1895"/>
  <c r="G1896"/>
  <c r="G1897"/>
  <c r="G1898"/>
  <c r="G1899"/>
  <c r="G1900"/>
  <c r="G1901"/>
  <c r="G1902"/>
  <c r="G1903"/>
  <c r="G1904"/>
  <c r="G1905"/>
  <c r="G1906"/>
  <c r="G1907"/>
  <c r="G1908"/>
  <c r="G1909"/>
  <c r="G1910"/>
  <c r="G1911"/>
  <c r="G1912"/>
  <c r="G1913"/>
  <c r="G1914"/>
  <c r="G1915"/>
  <c r="G1916"/>
  <c r="G1917"/>
  <c r="G1918"/>
  <c r="G1919"/>
  <c r="G1920"/>
  <c r="G1921"/>
  <c r="G1922"/>
  <c r="G1923"/>
  <c r="G1924"/>
  <c r="G1925"/>
  <c r="G1926"/>
  <c r="G1927"/>
  <c r="G1928"/>
  <c r="G1929"/>
  <c r="G1930"/>
  <c r="G1931"/>
  <c r="G1932"/>
  <c r="G1933"/>
  <c r="G1934"/>
  <c r="G1935"/>
  <c r="G1936"/>
  <c r="G1937"/>
  <c r="G1938"/>
  <c r="G1939"/>
  <c r="G1940"/>
  <c r="G1941"/>
  <c r="G1942"/>
  <c r="G1943"/>
  <c r="G1944"/>
  <c r="G1945"/>
  <c r="G1946"/>
  <c r="G1947"/>
  <c r="G1948"/>
  <c r="G1949"/>
  <c r="G1950"/>
  <c r="G1951"/>
  <c r="G1952"/>
  <c r="G1953"/>
  <c r="G1954"/>
  <c r="G1955"/>
  <c r="G1956"/>
  <c r="G1957"/>
  <c r="G1958"/>
  <c r="G1959"/>
  <c r="G1960"/>
  <c r="G1961"/>
  <c r="G1962"/>
  <c r="G1963"/>
  <c r="G1964"/>
  <c r="G1965"/>
  <c r="G1966"/>
  <c r="G1967"/>
  <c r="G1968"/>
  <c r="G1969"/>
  <c r="G1970"/>
  <c r="G1971"/>
  <c r="G1972"/>
  <c r="G1973"/>
  <c r="G1974"/>
  <c r="G1975"/>
  <c r="G1976"/>
  <c r="G1977"/>
  <c r="G1978"/>
  <c r="G1979"/>
  <c r="G1980"/>
  <c r="G1981"/>
  <c r="G1982"/>
  <c r="G1983"/>
  <c r="G1984"/>
  <c r="G1985"/>
  <c r="G1986"/>
  <c r="G1987"/>
  <c r="G1988"/>
  <c r="G1989"/>
  <c r="G1990"/>
  <c r="G1991"/>
  <c r="G1992"/>
  <c r="G1993"/>
  <c r="G1994"/>
  <c r="G1995"/>
  <c r="G1996"/>
  <c r="G1997"/>
  <c r="G1998"/>
  <c r="G1999"/>
  <c r="G2000"/>
  <c r="G2001"/>
  <c r="G2002"/>
  <c r="G2003"/>
  <c r="G2004"/>
  <c r="G2005"/>
  <c r="G2006"/>
  <c r="G2007"/>
  <c r="G2008"/>
  <c r="G2009"/>
  <c r="G2010"/>
  <c r="G2011"/>
  <c r="G2012"/>
  <c r="G2013"/>
  <c r="G2014"/>
  <c r="G2015"/>
  <c r="G2016"/>
  <c r="G2017"/>
  <c r="G2018"/>
  <c r="G2019"/>
  <c r="G2020"/>
  <c r="G2021"/>
  <c r="G2022"/>
  <c r="G2023"/>
  <c r="G2024"/>
  <c r="G2025"/>
  <c r="G2026"/>
  <c r="G2027"/>
  <c r="G2028"/>
  <c r="G2029"/>
  <c r="G2030"/>
  <c r="G2031"/>
  <c r="G2032"/>
  <c r="G2033"/>
  <c r="G2034"/>
  <c r="G2035"/>
  <c r="G2036"/>
  <c r="G2037"/>
  <c r="G2038"/>
  <c r="G2039"/>
  <c r="G2040"/>
  <c r="G2041"/>
  <c r="G2042"/>
  <c r="G2043"/>
  <c r="G2044"/>
  <c r="G2045"/>
  <c r="G2046"/>
  <c r="G2047"/>
  <c r="G2048"/>
  <c r="G2049"/>
  <c r="G2050"/>
  <c r="G2051"/>
  <c r="G2052"/>
  <c r="G2053"/>
  <c r="G2054"/>
  <c r="G2055"/>
  <c r="G2056"/>
  <c r="G2057"/>
  <c r="G2058"/>
  <c r="G2059"/>
  <c r="G2060"/>
  <c r="G2061"/>
  <c r="G2062"/>
  <c r="G2063"/>
  <c r="G2064"/>
  <c r="G2065"/>
  <c r="G2066"/>
  <c r="G2067"/>
  <c r="G2068"/>
  <c r="G2069"/>
  <c r="G2070"/>
  <c r="G2071"/>
  <c r="G2072"/>
  <c r="G2073"/>
  <c r="G2074"/>
  <c r="G2075"/>
  <c r="G2076"/>
  <c r="G2077"/>
  <c r="G2078"/>
  <c r="G2079"/>
  <c r="G2080"/>
  <c r="G2081"/>
  <c r="G2082"/>
  <c r="G2083"/>
  <c r="G2084"/>
  <c r="G2085"/>
  <c r="G2086"/>
  <c r="G2087"/>
  <c r="G2088"/>
  <c r="G2089"/>
  <c r="G2090"/>
  <c r="G2091"/>
  <c r="G2092"/>
  <c r="G2093"/>
  <c r="G2094"/>
  <c r="G2095"/>
  <c r="G2096"/>
  <c r="G2097"/>
  <c r="G2098"/>
  <c r="G2099"/>
  <c r="G2100"/>
  <c r="G2101"/>
  <c r="G2102"/>
  <c r="G2103"/>
  <c r="G2104"/>
  <c r="G2105"/>
  <c r="G2106"/>
  <c r="G2107"/>
  <c r="G2108"/>
  <c r="G2109"/>
  <c r="G2110"/>
  <c r="G2111"/>
  <c r="G2112"/>
  <c r="G2113"/>
  <c r="G2114"/>
  <c r="G2115"/>
  <c r="G2116"/>
  <c r="G2117"/>
  <c r="G2118"/>
  <c r="G2119"/>
  <c r="G2120"/>
  <c r="G2121"/>
  <c r="G2122"/>
  <c r="G2123"/>
  <c r="G2124"/>
  <c r="G2125"/>
  <c r="G2126"/>
  <c r="G2127"/>
  <c r="G2128"/>
  <c r="G2129"/>
  <c r="G2130"/>
  <c r="G2131"/>
  <c r="G2132"/>
  <c r="G2133"/>
  <c r="G2134"/>
  <c r="G2135"/>
  <c r="G2136"/>
  <c r="G2137"/>
  <c r="G2138"/>
  <c r="G2139"/>
  <c r="G2140"/>
  <c r="G2141"/>
  <c r="G2142"/>
  <c r="G2143"/>
  <c r="G2144"/>
  <c r="G2145"/>
  <c r="G2146"/>
  <c r="G2147"/>
  <c r="G2148"/>
  <c r="G2149"/>
  <c r="G2150"/>
  <c r="G2151"/>
  <c r="G2152"/>
  <c r="G2153"/>
  <c r="G2154"/>
  <c r="G2155"/>
  <c r="G2156"/>
  <c r="G2157"/>
  <c r="G2158"/>
  <c r="G2159"/>
  <c r="G2160"/>
  <c r="G2161"/>
  <c r="G2162"/>
  <c r="G2163"/>
  <c r="G2164"/>
  <c r="G2165"/>
  <c r="G2166"/>
  <c r="G2167"/>
  <c r="G2168"/>
  <c r="G2169"/>
  <c r="G2170"/>
  <c r="G2171"/>
  <c r="G2172"/>
  <c r="G2173"/>
  <c r="G2174"/>
  <c r="G2175"/>
  <c r="G2176"/>
  <c r="G2177"/>
  <c r="G2178"/>
  <c r="G2179"/>
  <c r="G2180"/>
  <c r="G2181"/>
  <c r="G2182"/>
  <c r="G2183"/>
  <c r="G2184"/>
  <c r="G2185"/>
  <c r="G2186"/>
  <c r="G2187"/>
  <c r="G2188"/>
  <c r="G2189"/>
  <c r="G2190"/>
  <c r="G2191"/>
  <c r="G2192"/>
  <c r="G2193"/>
  <c r="G2194"/>
  <c r="G2195"/>
  <c r="G2196"/>
  <c r="G2197"/>
  <c r="G2198"/>
  <c r="G2199"/>
  <c r="G2200"/>
  <c r="G2201"/>
  <c r="G2202"/>
  <c r="G2203"/>
  <c r="G2204"/>
  <c r="G2205"/>
  <c r="G2206"/>
  <c r="G2207"/>
  <c r="G2208"/>
  <c r="G2209"/>
  <c r="G2210"/>
  <c r="G2211"/>
  <c r="G2212"/>
  <c r="G2213"/>
  <c r="G2214"/>
  <c r="G2215"/>
  <c r="G2216"/>
  <c r="G2217"/>
  <c r="G2218"/>
  <c r="G2219"/>
  <c r="G2220"/>
  <c r="G2221"/>
  <c r="G2222"/>
  <c r="G2223"/>
  <c r="G2224"/>
  <c r="G2225"/>
  <c r="G2226"/>
  <c r="G2227"/>
  <c r="G2228"/>
  <c r="G2229"/>
  <c r="G2230"/>
  <c r="G2231"/>
  <c r="G2232"/>
  <c r="G2233"/>
  <c r="G2234"/>
  <c r="G2235"/>
  <c r="G2236"/>
  <c r="G2237"/>
  <c r="G2238"/>
  <c r="G2239"/>
  <c r="G2240"/>
  <c r="G2241"/>
  <c r="G2242"/>
  <c r="G2243"/>
  <c r="G2244"/>
  <c r="G2245"/>
  <c r="G2246"/>
  <c r="G2247"/>
  <c r="G2248"/>
  <c r="G2249"/>
  <c r="G2250"/>
  <c r="G2251"/>
  <c r="G2252"/>
  <c r="G2253"/>
  <c r="G2254"/>
  <c r="G2255"/>
  <c r="G2256"/>
  <c r="G2257"/>
  <c r="G2258"/>
  <c r="G2259"/>
  <c r="G2260"/>
  <c r="G2261"/>
  <c r="G2262"/>
  <c r="G2263"/>
  <c r="G2264"/>
  <c r="G2265"/>
  <c r="G2266"/>
  <c r="G2267"/>
  <c r="G2268"/>
  <c r="G2269"/>
  <c r="G2270"/>
  <c r="G2271"/>
  <c r="G2272"/>
  <c r="G2273"/>
  <c r="G2274"/>
  <c r="G2275"/>
  <c r="G2276"/>
  <c r="G2277"/>
  <c r="G2278"/>
  <c r="G2279"/>
  <c r="G2280"/>
  <c r="G2281"/>
  <c r="G2282"/>
  <c r="G2283"/>
  <c r="G2284"/>
  <c r="G2285"/>
  <c r="G2286"/>
  <c r="G2287"/>
  <c r="G2288"/>
  <c r="G2289"/>
  <c r="G2290"/>
  <c r="G2291"/>
  <c r="G2292"/>
  <c r="G2293"/>
  <c r="G2294"/>
  <c r="G2295"/>
  <c r="G2296"/>
  <c r="G2297"/>
  <c r="G2298"/>
  <c r="G2299"/>
  <c r="G2300"/>
  <c r="G2301"/>
  <c r="G2302"/>
  <c r="G2303"/>
  <c r="G2304"/>
  <c r="G2305"/>
  <c r="G2306"/>
  <c r="G2307"/>
  <c r="G2308"/>
  <c r="G2309"/>
  <c r="G2310"/>
  <c r="G2311"/>
  <c r="G2312"/>
  <c r="G2313"/>
  <c r="G2314"/>
  <c r="G2"/>
  <c r="AI2"/>
  <c r="AI3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2"/>
  <c r="AI23"/>
  <c r="AI24"/>
  <c r="AI25"/>
  <c r="AI26"/>
  <c r="AI27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4"/>
  <c r="AI66"/>
  <c r="AI67"/>
  <c r="AI68"/>
  <c r="AI69"/>
  <c r="AI70"/>
  <c r="AI71"/>
  <c r="AI72"/>
  <c r="AI73"/>
  <c r="AI74"/>
  <c r="AI75"/>
  <c r="AI76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2"/>
  <c r="AI103"/>
  <c r="AI104"/>
  <c r="AI105"/>
  <c r="AI106"/>
  <c r="AI108"/>
  <c r="AI109"/>
  <c r="AI110"/>
  <c r="AI111"/>
  <c r="AI113"/>
  <c r="AI114"/>
  <c r="AI115"/>
  <c r="AI116"/>
  <c r="AI118"/>
  <c r="AI120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6"/>
  <c r="AI157"/>
  <c r="AI158"/>
  <c r="AI159"/>
  <c r="AI160"/>
  <c r="AI161"/>
  <c r="AI162"/>
  <c r="AI163"/>
  <c r="AI164"/>
  <c r="AI165"/>
  <c r="AI166"/>
  <c r="AI167"/>
  <c r="AI168"/>
  <c r="AI169"/>
  <c r="AI170"/>
  <c r="AI171"/>
  <c r="AI172"/>
  <c r="AI173"/>
  <c r="AI174"/>
  <c r="AI175"/>
  <c r="AI176"/>
  <c r="AI177"/>
  <c r="AI178"/>
  <c r="AI179"/>
  <c r="AI180"/>
  <c r="AI181"/>
  <c r="AI182"/>
  <c r="AI183"/>
  <c r="AI184"/>
  <c r="AI185"/>
  <c r="AI186"/>
  <c r="AI187"/>
  <c r="AI188"/>
  <c r="AI189"/>
  <c r="AI190"/>
  <c r="AI191"/>
  <c r="AI193"/>
  <c r="AI194"/>
  <c r="AI195"/>
  <c r="AI196"/>
  <c r="AI197"/>
  <c r="AI198"/>
  <c r="AI199"/>
  <c r="AI200"/>
  <c r="AI201"/>
  <c r="AI202"/>
  <c r="AI203"/>
  <c r="AI204"/>
  <c r="AI206"/>
  <c r="AI207"/>
  <c r="AI208"/>
  <c r="AI209"/>
  <c r="AI210"/>
  <c r="AI211"/>
  <c r="AI212"/>
  <c r="AI213"/>
  <c r="AI214"/>
  <c r="AI215"/>
  <c r="AI216"/>
  <c r="AI217"/>
  <c r="AI218"/>
  <c r="AI219"/>
  <c r="AI220"/>
  <c r="AI221"/>
  <c r="AI222"/>
  <c r="AI223"/>
  <c r="AI224"/>
  <c r="AI225"/>
  <c r="AI226"/>
  <c r="AI227"/>
  <c r="AI228"/>
  <c r="AI229"/>
  <c r="AI230"/>
  <c r="AI231"/>
  <c r="AI232"/>
  <c r="AI233"/>
  <c r="AI236"/>
  <c r="AI237"/>
  <c r="AI239"/>
  <c r="AI240"/>
  <c r="AI241"/>
  <c r="AI242"/>
  <c r="AI243"/>
  <c r="AI244"/>
  <c r="AI245"/>
  <c r="AI246"/>
  <c r="AI247"/>
  <c r="AI248"/>
  <c r="AI249"/>
  <c r="AI250"/>
  <c r="AI251"/>
  <c r="AI252"/>
  <c r="AI253"/>
  <c r="AI254"/>
  <c r="AI255"/>
  <c r="AI256"/>
  <c r="AI257"/>
  <c r="AI258"/>
  <c r="AI259"/>
  <c r="AI260"/>
  <c r="AI261"/>
  <c r="AI262"/>
  <c r="AI263"/>
  <c r="AI264"/>
  <c r="AI265"/>
  <c r="AI266"/>
  <c r="AI267"/>
  <c r="AI268"/>
  <c r="AI269"/>
  <c r="AI270"/>
  <c r="AI271"/>
  <c r="AI272"/>
  <c r="AI273"/>
  <c r="AI274"/>
  <c r="AI275"/>
  <c r="AI276"/>
  <c r="AI277"/>
  <c r="AI278"/>
  <c r="AI279"/>
  <c r="AI280"/>
  <c r="AI281"/>
  <c r="AI282"/>
  <c r="AI283"/>
  <c r="AI284"/>
  <c r="AI285"/>
  <c r="AI286"/>
  <c r="AI287"/>
  <c r="AI288"/>
  <c r="AI289"/>
  <c r="AI290"/>
  <c r="AI291"/>
  <c r="AI292"/>
  <c r="AI293"/>
  <c r="AI294"/>
  <c r="AI295"/>
  <c r="AI296"/>
  <c r="AI297"/>
  <c r="AI298"/>
  <c r="AI299"/>
  <c r="AI300"/>
  <c r="AI301"/>
  <c r="AI302"/>
  <c r="AI303"/>
  <c r="AI304"/>
  <c r="AI305"/>
  <c r="AI306"/>
  <c r="AI307"/>
  <c r="AI308"/>
  <c r="AI309"/>
  <c r="AI310"/>
  <c r="AI311"/>
  <c r="AI312"/>
  <c r="AI313"/>
  <c r="AI314"/>
  <c r="AI315"/>
  <c r="AI316"/>
  <c r="AI317"/>
  <c r="AI318"/>
  <c r="AI319"/>
  <c r="AI320"/>
  <c r="AI321"/>
  <c r="AI322"/>
  <c r="AI323"/>
  <c r="AI324"/>
  <c r="AI325"/>
  <c r="AI326"/>
  <c r="AI327"/>
  <c r="AI328"/>
  <c r="AI329"/>
  <c r="AI330"/>
  <c r="AI331"/>
  <c r="AI332"/>
  <c r="AI333"/>
  <c r="AI334"/>
  <c r="AI335"/>
  <c r="AI336"/>
  <c r="AI337"/>
  <c r="AI338"/>
  <c r="AI339"/>
  <c r="AI340"/>
  <c r="AI341"/>
  <c r="AI342"/>
  <c r="AI343"/>
  <c r="AI344"/>
  <c r="AI346"/>
  <c r="AI347"/>
  <c r="AI348"/>
  <c r="AI349"/>
  <c r="AI350"/>
  <c r="AI352"/>
  <c r="AI353"/>
  <c r="AI354"/>
  <c r="AI356"/>
  <c r="AI357"/>
  <c r="AI359"/>
  <c r="AI360"/>
  <c r="AI362"/>
  <c r="AI363"/>
  <c r="AI365"/>
  <c r="AI366"/>
  <c r="AI367"/>
  <c r="AI368"/>
  <c r="AI369"/>
  <c r="AI370"/>
  <c r="AI371"/>
  <c r="AI372"/>
  <c r="AI373"/>
  <c r="AI374"/>
  <c r="AI375"/>
  <c r="AI376"/>
  <c r="AI377"/>
  <c r="AI378"/>
  <c r="AI379"/>
  <c r="AI380"/>
  <c r="AI381"/>
  <c r="AI382"/>
  <c r="AI383"/>
  <c r="AI384"/>
  <c r="AI385"/>
  <c r="AI386"/>
  <c r="AI387"/>
  <c r="AI388"/>
  <c r="AI389"/>
  <c r="AI390"/>
  <c r="AI391"/>
  <c r="AI392"/>
  <c r="AI393"/>
  <c r="AI394"/>
  <c r="AI395"/>
  <c r="AI396"/>
  <c r="AI397"/>
  <c r="AI398"/>
  <c r="AI399"/>
  <c r="AI400"/>
  <c r="AI401"/>
  <c r="AI402"/>
  <c r="AI403"/>
  <c r="AI404"/>
  <c r="AI405"/>
  <c r="AI406"/>
  <c r="AI407"/>
  <c r="AI408"/>
  <c r="AI409"/>
  <c r="AI410"/>
  <c r="AI411"/>
  <c r="AI412"/>
  <c r="AI413"/>
  <c r="AI414"/>
  <c r="AI415"/>
  <c r="AI416"/>
  <c r="AI417"/>
  <c r="AI418"/>
  <c r="AI419"/>
  <c r="AI420"/>
  <c r="AI421"/>
  <c r="AI422"/>
  <c r="AI423"/>
  <c r="AI424"/>
  <c r="AI425"/>
  <c r="AI426"/>
  <c r="AI427"/>
  <c r="AI428"/>
  <c r="AI430"/>
  <c r="AI431"/>
  <c r="AI432"/>
  <c r="AI433"/>
  <c r="AI434"/>
  <c r="AI435"/>
  <c r="AI436"/>
  <c r="AI437"/>
  <c r="AI438"/>
  <c r="AI439"/>
  <c r="AI440"/>
  <c r="AI441"/>
  <c r="AI442"/>
  <c r="AI443"/>
  <c r="AI444"/>
  <c r="AI445"/>
  <c r="AI446"/>
  <c r="AI447"/>
  <c r="AI448"/>
  <c r="AI449"/>
  <c r="AI450"/>
  <c r="AI451"/>
  <c r="AI452"/>
  <c r="AI453"/>
  <c r="AI454"/>
  <c r="AI455"/>
  <c r="AI456"/>
  <c r="AI457"/>
  <c r="AI458"/>
  <c r="AI459"/>
  <c r="AI460"/>
  <c r="AI461"/>
  <c r="AI462"/>
  <c r="AI463"/>
  <c r="AI464"/>
  <c r="AI465"/>
  <c r="AI466"/>
  <c r="AI467"/>
  <c r="AI468"/>
  <c r="AI469"/>
  <c r="AI470"/>
  <c r="AI471"/>
  <c r="AI472"/>
  <c r="AI473"/>
  <c r="AI474"/>
  <c r="AI475"/>
  <c r="AI476"/>
  <c r="AI477"/>
  <c r="AI478"/>
  <c r="AI479"/>
  <c r="AI480"/>
  <c r="AI481"/>
  <c r="AI482"/>
  <c r="AI483"/>
  <c r="AI484"/>
  <c r="AI485"/>
  <c r="AI486"/>
  <c r="AI487"/>
  <c r="AI488"/>
  <c r="AI489"/>
  <c r="AI490"/>
  <c r="AI491"/>
  <c r="AI492"/>
  <c r="AI493"/>
  <c r="AI494"/>
  <c r="AI495"/>
  <c r="AI496"/>
  <c r="AI497"/>
  <c r="AI498"/>
  <c r="AI499"/>
  <c r="AI500"/>
  <c r="AI501"/>
  <c r="AI502"/>
  <c r="AI503"/>
  <c r="AI504"/>
  <c r="AI505"/>
  <c r="AI506"/>
  <c r="AI507"/>
  <c r="AI508"/>
  <c r="AI509"/>
  <c r="AI510"/>
  <c r="AI511"/>
  <c r="AI512"/>
  <c r="AI513"/>
  <c r="AI514"/>
  <c r="AI515"/>
  <c r="AI516"/>
  <c r="AI517"/>
  <c r="AI518"/>
  <c r="AI519"/>
  <c r="AI520"/>
  <c r="AI521"/>
  <c r="AI522"/>
  <c r="AI523"/>
  <c r="AI524"/>
  <c r="AI525"/>
  <c r="AI526"/>
  <c r="AI527"/>
  <c r="AI528"/>
  <c r="AI529"/>
  <c r="AI530"/>
  <c r="AI531"/>
  <c r="AI532"/>
  <c r="AI533"/>
  <c r="AI534"/>
  <c r="AI535"/>
  <c r="AI536"/>
  <c r="AI537"/>
  <c r="AI538"/>
  <c r="AI539"/>
  <c r="AI540"/>
  <c r="AI541"/>
  <c r="AI542"/>
  <c r="AI543"/>
  <c r="AI544"/>
  <c r="AI545"/>
  <c r="AI546"/>
  <c r="AI547"/>
  <c r="AI548"/>
  <c r="AI549"/>
  <c r="AI550"/>
  <c r="AI551"/>
  <c r="AI552"/>
  <c r="AI553"/>
  <c r="AI554"/>
  <c r="AI555"/>
  <c r="AI556"/>
  <c r="AI557"/>
  <c r="AI558"/>
  <c r="AI559"/>
  <c r="AI560"/>
  <c r="AI561"/>
  <c r="AI562"/>
  <c r="AI563"/>
  <c r="AI564"/>
  <c r="AI565"/>
  <c r="AI566"/>
  <c r="AI567"/>
  <c r="AI568"/>
  <c r="AI569"/>
  <c r="AI570"/>
  <c r="AI571"/>
  <c r="AI572"/>
  <c r="AI573"/>
  <c r="AI574"/>
  <c r="AI575"/>
  <c r="AI576"/>
  <c r="AI577"/>
  <c r="AI578"/>
  <c r="AI579"/>
  <c r="AI580"/>
  <c r="AI581"/>
  <c r="AI582"/>
  <c r="AI583"/>
  <c r="AI584"/>
  <c r="AI585"/>
  <c r="AI586"/>
  <c r="AI587"/>
  <c r="AI588"/>
  <c r="AI589"/>
  <c r="AI590"/>
  <c r="AI591"/>
  <c r="AI592"/>
  <c r="AI593"/>
  <c r="AI594"/>
  <c r="AI595"/>
  <c r="AI596"/>
  <c r="AI597"/>
  <c r="AI598"/>
  <c r="AI599"/>
  <c r="AI600"/>
  <c r="AI601"/>
  <c r="AI602"/>
  <c r="AI603"/>
  <c r="AI604"/>
  <c r="AI605"/>
  <c r="AI606"/>
  <c r="AI607"/>
  <c r="AI608"/>
  <c r="AI609"/>
  <c r="AI610"/>
  <c r="AI611"/>
  <c r="AI612"/>
  <c r="AI613"/>
  <c r="AI614"/>
  <c r="AI615"/>
  <c r="AI616"/>
  <c r="AI617"/>
  <c r="AI618"/>
  <c r="AI619"/>
  <c r="AI620"/>
  <c r="AI621"/>
  <c r="AI622"/>
  <c r="AI623"/>
  <c r="AI624"/>
  <c r="AI625"/>
  <c r="AI626"/>
  <c r="AI627"/>
  <c r="AI628"/>
  <c r="AI629"/>
  <c r="AI630"/>
  <c r="AI631"/>
  <c r="AI632"/>
  <c r="AI633"/>
  <c r="AI634"/>
  <c r="AI635"/>
  <c r="AI636"/>
  <c r="AI637"/>
  <c r="AI638"/>
  <c r="AI639"/>
  <c r="AI640"/>
  <c r="AI641"/>
  <c r="AI642"/>
  <c r="AI643"/>
  <c r="AI644"/>
  <c r="AI645"/>
  <c r="AI646"/>
  <c r="AI647"/>
  <c r="AI648"/>
  <c r="AI649"/>
  <c r="AI650"/>
  <c r="AI651"/>
  <c r="AI652"/>
  <c r="AI653"/>
  <c r="AI654"/>
  <c r="AI655"/>
  <c r="AI656"/>
  <c r="AI657"/>
  <c r="AI658"/>
  <c r="AI659"/>
  <c r="AI660"/>
  <c r="AI661"/>
  <c r="AI662"/>
  <c r="AI663"/>
  <c r="AI664"/>
  <c r="AI665"/>
  <c r="AI666"/>
  <c r="AI667"/>
  <c r="AI668"/>
  <c r="AI669"/>
  <c r="AI670"/>
  <c r="AI671"/>
  <c r="AI672"/>
  <c r="AI673"/>
  <c r="AI674"/>
  <c r="AI675"/>
  <c r="AI676"/>
  <c r="AI677"/>
  <c r="AI678"/>
  <c r="AI679"/>
  <c r="AI680"/>
  <c r="AI681"/>
  <c r="AI682"/>
  <c r="AI683"/>
  <c r="AI684"/>
  <c r="AI685"/>
  <c r="AI686"/>
  <c r="AI687"/>
  <c r="AI688"/>
  <c r="AI689"/>
  <c r="AI690"/>
  <c r="AI691"/>
  <c r="AI692"/>
  <c r="AI693"/>
  <c r="AI694"/>
  <c r="AI695"/>
  <c r="AI696"/>
  <c r="AI697"/>
  <c r="AI698"/>
  <c r="AI699"/>
  <c r="AI700"/>
  <c r="AI701"/>
  <c r="AI702"/>
  <c r="AI703"/>
  <c r="AI704"/>
  <c r="AI705"/>
  <c r="AI706"/>
  <c r="AI707"/>
  <c r="AI708"/>
  <c r="AI709"/>
  <c r="AI710"/>
  <c r="AI711"/>
  <c r="AI712"/>
  <c r="AI713"/>
  <c r="AI714"/>
  <c r="AI715"/>
  <c r="AI716"/>
  <c r="AI717"/>
  <c r="AI718"/>
  <c r="AI719"/>
  <c r="AI720"/>
  <c r="AI721"/>
  <c r="AI722"/>
  <c r="AI723"/>
  <c r="AI724"/>
  <c r="AI725"/>
  <c r="AI726"/>
  <c r="AI727"/>
  <c r="AI728"/>
  <c r="AI729"/>
  <c r="AI730"/>
  <c r="AI731"/>
  <c r="AI732"/>
  <c r="AI733"/>
  <c r="AI734"/>
  <c r="AI735"/>
  <c r="AI736"/>
  <c r="AI737"/>
  <c r="AI738"/>
  <c r="AI739"/>
  <c r="AI740"/>
  <c r="AI741"/>
  <c r="AI742"/>
  <c r="AI743"/>
  <c r="AI744"/>
  <c r="AI745"/>
  <c r="AI746"/>
  <c r="AI747"/>
  <c r="AI748"/>
  <c r="AI749"/>
  <c r="AI750"/>
  <c r="AI751"/>
  <c r="AI752"/>
  <c r="AI753"/>
  <c r="AI754"/>
  <c r="AI755"/>
  <c r="AI756"/>
  <c r="AI757"/>
  <c r="AI758"/>
  <c r="AI759"/>
  <c r="AI760"/>
  <c r="AI761"/>
  <c r="AI762"/>
  <c r="AI763"/>
  <c r="AI764"/>
  <c r="AI765"/>
  <c r="AI766"/>
  <c r="AI767"/>
  <c r="AI768"/>
  <c r="AI769"/>
  <c r="AI770"/>
  <c r="AI771"/>
  <c r="AI772"/>
  <c r="AI773"/>
  <c r="AI774"/>
  <c r="AI775"/>
  <c r="AI776"/>
  <c r="AI777"/>
  <c r="AI778"/>
  <c r="AI779"/>
  <c r="AI780"/>
  <c r="AI781"/>
  <c r="AI782"/>
  <c r="AI783"/>
  <c r="AI784"/>
  <c r="AI785"/>
  <c r="AI786"/>
  <c r="AI787"/>
  <c r="AI788"/>
  <c r="AI789"/>
  <c r="AI790"/>
  <c r="AI791"/>
  <c r="AI792"/>
  <c r="AI793"/>
  <c r="AI794"/>
  <c r="AI795"/>
  <c r="AI796"/>
  <c r="AI797"/>
  <c r="AI798"/>
  <c r="AI799"/>
  <c r="AI800"/>
  <c r="AI801"/>
  <c r="AI802"/>
  <c r="AI803"/>
  <c r="AI804"/>
  <c r="AI805"/>
  <c r="AI806"/>
  <c r="AI807"/>
  <c r="AI808"/>
  <c r="AI809"/>
  <c r="AI810"/>
  <c r="AI811"/>
  <c r="AI812"/>
  <c r="AI813"/>
  <c r="AI814"/>
  <c r="AI815"/>
  <c r="AI816"/>
  <c r="AI817"/>
  <c r="AI818"/>
  <c r="AI819"/>
  <c r="AI820"/>
  <c r="AI821"/>
  <c r="AI822"/>
  <c r="AI823"/>
  <c r="AI824"/>
  <c r="AI825"/>
  <c r="AI826"/>
  <c r="AI827"/>
  <c r="AI828"/>
  <c r="AI829"/>
  <c r="AI830"/>
  <c r="AI831"/>
  <c r="AI832"/>
  <c r="AI833"/>
  <c r="AI834"/>
  <c r="AI835"/>
  <c r="AI836"/>
  <c r="AI837"/>
  <c r="AI838"/>
  <c r="AI839"/>
  <c r="AI840"/>
  <c r="AI841"/>
  <c r="AI842"/>
  <c r="AI843"/>
  <c r="AI844"/>
  <c r="AI845"/>
  <c r="AI846"/>
  <c r="AI847"/>
  <c r="AI848"/>
  <c r="AI849"/>
  <c r="AI850"/>
  <c r="AI851"/>
  <c r="AI852"/>
  <c r="AI853"/>
  <c r="AI854"/>
  <c r="AI855"/>
  <c r="AI856"/>
  <c r="AI857"/>
  <c r="AI858"/>
  <c r="AI859"/>
  <c r="AI860"/>
  <c r="AI861"/>
  <c r="AI862"/>
  <c r="AI863"/>
  <c r="AI864"/>
  <c r="AI865"/>
  <c r="AI866"/>
  <c r="AI867"/>
  <c r="AI868"/>
  <c r="AI869"/>
  <c r="AI870"/>
  <c r="AI871"/>
  <c r="AI872"/>
  <c r="AI873"/>
  <c r="AI874"/>
  <c r="AI875"/>
  <c r="AI876"/>
  <c r="AI877"/>
  <c r="AI878"/>
  <c r="AI879"/>
  <c r="AI880"/>
  <c r="AI881"/>
  <c r="AI882"/>
  <c r="AI883"/>
  <c r="AI884"/>
  <c r="AI885"/>
  <c r="AI886"/>
  <c r="AI887"/>
  <c r="AI888"/>
  <c r="AI889"/>
  <c r="AI890"/>
  <c r="AI891"/>
  <c r="AI892"/>
  <c r="AI893"/>
  <c r="AI894"/>
  <c r="AI895"/>
  <c r="AI896"/>
  <c r="AI897"/>
  <c r="AI898"/>
  <c r="AI899"/>
  <c r="AI900"/>
  <c r="AI901"/>
  <c r="AI902"/>
  <c r="AI903"/>
  <c r="AI904"/>
  <c r="AI905"/>
  <c r="AI906"/>
  <c r="AI907"/>
  <c r="AI908"/>
  <c r="AI909"/>
  <c r="AI910"/>
  <c r="AI911"/>
  <c r="AI912"/>
  <c r="AI913"/>
  <c r="AI914"/>
  <c r="AI915"/>
  <c r="AI916"/>
  <c r="AI917"/>
  <c r="AI918"/>
  <c r="AI919"/>
  <c r="AI920"/>
  <c r="AI921"/>
  <c r="AI922"/>
  <c r="AI923"/>
  <c r="AI924"/>
  <c r="AI925"/>
  <c r="AI926"/>
  <c r="AI927"/>
  <c r="AI928"/>
  <c r="AI929"/>
  <c r="AI930"/>
  <c r="AI931"/>
  <c r="AI932"/>
  <c r="AI933"/>
  <c r="AI934"/>
  <c r="AI935"/>
  <c r="AI936"/>
  <c r="AI937"/>
  <c r="AI938"/>
  <c r="AI939"/>
  <c r="AI940"/>
  <c r="AI941"/>
  <c r="AI942"/>
  <c r="AI943"/>
  <c r="AI944"/>
  <c r="AI945"/>
  <c r="AI946"/>
  <c r="AI947"/>
  <c r="AI948"/>
  <c r="AI949"/>
  <c r="AI950"/>
  <c r="AI951"/>
  <c r="AI952"/>
  <c r="AI953"/>
  <c r="AI954"/>
  <c r="AI955"/>
  <c r="AI956"/>
  <c r="AI957"/>
  <c r="AI958"/>
  <c r="AI959"/>
  <c r="AI960"/>
  <c r="AI961"/>
  <c r="AI962"/>
  <c r="AI963"/>
  <c r="AI964"/>
  <c r="AI965"/>
  <c r="AI966"/>
  <c r="AI967"/>
  <c r="AI968"/>
  <c r="AI969"/>
  <c r="AI970"/>
  <c r="AI971"/>
  <c r="AI972"/>
  <c r="AI973"/>
  <c r="AI974"/>
  <c r="AI975"/>
  <c r="AI976"/>
  <c r="AI977"/>
  <c r="AI978"/>
  <c r="AI979"/>
  <c r="AI980"/>
  <c r="AI981"/>
  <c r="AI982"/>
  <c r="AI983"/>
  <c r="AI984"/>
  <c r="AI985"/>
  <c r="AI986"/>
  <c r="AI987"/>
  <c r="AI988"/>
  <c r="AI989"/>
  <c r="AI990"/>
  <c r="AI991"/>
  <c r="AI992"/>
  <c r="AI993"/>
  <c r="AI994"/>
  <c r="AI995"/>
  <c r="AI996"/>
  <c r="AI997"/>
  <c r="AI998"/>
  <c r="AI999"/>
  <c r="AI1000"/>
  <c r="AI1001"/>
  <c r="AI1002"/>
  <c r="AI1003"/>
  <c r="AI1004"/>
  <c r="AI1005"/>
  <c r="AI1006"/>
  <c r="AI1007"/>
  <c r="AI1008"/>
  <c r="AI1009"/>
  <c r="AI1010"/>
  <c r="AI1011"/>
  <c r="AI1012"/>
  <c r="AI1013"/>
  <c r="AI1014"/>
  <c r="AI1015"/>
  <c r="AI1016"/>
  <c r="AI1017"/>
  <c r="AI1018"/>
  <c r="AI1019"/>
  <c r="AI1020"/>
  <c r="AI1021"/>
  <c r="AI1022"/>
  <c r="AI1023"/>
  <c r="AI1024"/>
  <c r="AI1025"/>
  <c r="AI1026"/>
  <c r="AI1027"/>
  <c r="AI1028"/>
  <c r="AI1029"/>
  <c r="AI1030"/>
  <c r="AI1031"/>
  <c r="AI1032"/>
  <c r="AI1033"/>
  <c r="AI1034"/>
  <c r="AI1035"/>
  <c r="AI1036"/>
  <c r="AI1037"/>
  <c r="AI1038"/>
  <c r="AI1039"/>
  <c r="AI1040"/>
  <c r="AI1041"/>
  <c r="AI1042"/>
  <c r="AI1043"/>
  <c r="AI1044"/>
  <c r="AI1045"/>
  <c r="AI1046"/>
  <c r="AI1047"/>
  <c r="AI1048"/>
  <c r="AI1049"/>
  <c r="AI1050"/>
  <c r="AI1051"/>
  <c r="AI1052"/>
  <c r="AI1053"/>
  <c r="AI1054"/>
  <c r="AI1055"/>
  <c r="AI1056"/>
  <c r="AI1057"/>
  <c r="AI1058"/>
  <c r="AI1059"/>
  <c r="AI1060"/>
  <c r="AI1061"/>
  <c r="AI1062"/>
  <c r="AI1063"/>
  <c r="AI1064"/>
  <c r="AI1065"/>
  <c r="AI1066"/>
  <c r="AI1067"/>
  <c r="AI1068"/>
  <c r="AI1069"/>
  <c r="AI1070"/>
  <c r="AI1071"/>
  <c r="AI1072"/>
  <c r="AI1073"/>
  <c r="AI1074"/>
  <c r="AI1075"/>
  <c r="AI1076"/>
  <c r="AI1077"/>
  <c r="AI1078"/>
  <c r="AI1079"/>
  <c r="AI1080"/>
  <c r="AI1081"/>
  <c r="AI1082"/>
  <c r="AI1083"/>
  <c r="AI1084"/>
  <c r="AI1085"/>
  <c r="AI1086"/>
  <c r="AI1087"/>
  <c r="AI1088"/>
  <c r="AI1089"/>
  <c r="AI1090"/>
  <c r="AI1091"/>
  <c r="AI1092"/>
  <c r="AI1093"/>
  <c r="AI1094"/>
  <c r="AI1095"/>
  <c r="AI1096"/>
  <c r="AI1097"/>
  <c r="AI1098"/>
  <c r="AI1099"/>
  <c r="AI1100"/>
  <c r="AI1101"/>
  <c r="AI1102"/>
  <c r="AI1103"/>
  <c r="AI1104"/>
  <c r="AI1105"/>
  <c r="AI1106"/>
  <c r="AI1107"/>
  <c r="AI1108"/>
  <c r="AI1109"/>
  <c r="AI1110"/>
  <c r="AI1111"/>
  <c r="AI1112"/>
  <c r="AI1113"/>
  <c r="AI1114"/>
  <c r="AI1115"/>
  <c r="AI1116"/>
  <c r="AI1117"/>
  <c r="AI1118"/>
  <c r="AI1119"/>
  <c r="AI1120"/>
  <c r="AI1121"/>
  <c r="AI1122"/>
  <c r="AI1123"/>
  <c r="AI1124"/>
  <c r="AI1125"/>
  <c r="AI1126"/>
  <c r="AI1127"/>
  <c r="AI1128"/>
  <c r="AI1129"/>
  <c r="AI1130"/>
  <c r="AI1131"/>
  <c r="AI1132"/>
  <c r="AI1133"/>
  <c r="AI1134"/>
  <c r="AI1135"/>
  <c r="AI1136"/>
  <c r="AI1137"/>
  <c r="AI1138"/>
  <c r="AI1139"/>
  <c r="AI1140"/>
  <c r="AI1141"/>
  <c r="AI1142"/>
  <c r="AI1143"/>
  <c r="AI1144"/>
  <c r="AI1145"/>
  <c r="AI1146"/>
  <c r="AI1147"/>
  <c r="AI1148"/>
  <c r="AI1149"/>
  <c r="AI1150"/>
  <c r="AI1151"/>
  <c r="AI1152"/>
  <c r="AI1153"/>
  <c r="AI1154"/>
  <c r="AI1155"/>
  <c r="AI1156"/>
  <c r="AI1157"/>
  <c r="AI1158"/>
  <c r="AI1159"/>
  <c r="AI1160"/>
  <c r="AI1161"/>
  <c r="AI1162"/>
  <c r="AI1163"/>
  <c r="AI1164"/>
  <c r="AI1165"/>
  <c r="AI1166"/>
  <c r="AI1167"/>
  <c r="AI1168"/>
  <c r="AI1169"/>
  <c r="AI1170"/>
  <c r="AI1171"/>
  <c r="AI1172"/>
  <c r="AI1173"/>
  <c r="AI1174"/>
  <c r="AI1175"/>
  <c r="AI1176"/>
  <c r="AI1177"/>
  <c r="AI1178"/>
  <c r="AI1179"/>
  <c r="AI1180"/>
  <c r="AI1181"/>
  <c r="AI1182"/>
  <c r="AI1183"/>
  <c r="AI1184"/>
  <c r="AI1185"/>
  <c r="AI1186"/>
  <c r="AI1187"/>
  <c r="AI1188"/>
  <c r="AI1189"/>
  <c r="AI1190"/>
  <c r="AI1191"/>
  <c r="AI1192"/>
  <c r="AI1193"/>
  <c r="AI1194"/>
  <c r="AI1195"/>
  <c r="AI1196"/>
  <c r="AI1197"/>
  <c r="AI1198"/>
  <c r="AI1199"/>
  <c r="AI1200"/>
  <c r="AI1201"/>
  <c r="AI1202"/>
  <c r="AI1203"/>
  <c r="AI1204"/>
  <c r="AI1205"/>
  <c r="AI1206"/>
  <c r="AI1207"/>
  <c r="AI1208"/>
  <c r="AI1209"/>
  <c r="AI1210"/>
  <c r="AI1211"/>
  <c r="AI1212"/>
  <c r="AI1213"/>
  <c r="AI1214"/>
  <c r="AI1215"/>
  <c r="AI1216"/>
  <c r="AI1217"/>
  <c r="AI1218"/>
  <c r="AI1219"/>
  <c r="AI1220"/>
  <c r="AI1221"/>
  <c r="AI1222"/>
  <c r="AI1223"/>
  <c r="AI1224"/>
  <c r="AI1225"/>
  <c r="AI1226"/>
  <c r="AI1227"/>
  <c r="AI1228"/>
  <c r="AI1229"/>
  <c r="AI1230"/>
  <c r="AI1231"/>
  <c r="AI1232"/>
  <c r="AI1233"/>
  <c r="AI1234"/>
  <c r="AI1235"/>
  <c r="AI1236"/>
  <c r="AI1237"/>
  <c r="AI1238"/>
  <c r="AI1239"/>
  <c r="AI1240"/>
  <c r="AI1241"/>
  <c r="AI1242"/>
  <c r="AI1243"/>
  <c r="AI1244"/>
  <c r="AI1245"/>
  <c r="AI1246"/>
  <c r="AI1247"/>
  <c r="AI1248"/>
  <c r="AI1249"/>
  <c r="AI1250"/>
  <c r="AI1251"/>
  <c r="AI1252"/>
  <c r="AI1253"/>
  <c r="AI1254"/>
  <c r="AI1255"/>
  <c r="AI1256"/>
  <c r="AI1257"/>
  <c r="AI1258"/>
  <c r="AI1259"/>
  <c r="AI1260"/>
  <c r="AI1261"/>
  <c r="AI1262"/>
  <c r="AI1263"/>
  <c r="AI1264"/>
  <c r="AI1265"/>
  <c r="AI1266"/>
  <c r="AI1267"/>
  <c r="AI1268"/>
  <c r="AI1269"/>
  <c r="AI1270"/>
  <c r="AI1271"/>
  <c r="AI1272"/>
  <c r="AI1273"/>
  <c r="AI1274"/>
  <c r="AI1275"/>
  <c r="AI1276"/>
  <c r="AI1277"/>
  <c r="AI1278"/>
  <c r="AI1279"/>
  <c r="AI1280"/>
  <c r="AI1281"/>
  <c r="AI1282"/>
  <c r="AI1283"/>
  <c r="AI1284"/>
  <c r="AI1285"/>
  <c r="AI1286"/>
  <c r="AI1287"/>
  <c r="AI1288"/>
  <c r="AI1289"/>
  <c r="AI1290"/>
  <c r="AI1291"/>
  <c r="AI1292"/>
  <c r="AI1293"/>
  <c r="AI1294"/>
  <c r="AI1295"/>
  <c r="AI1296"/>
  <c r="AI1297"/>
  <c r="AI1298"/>
  <c r="AI1299"/>
  <c r="AI1300"/>
  <c r="AI1301"/>
  <c r="AI1302"/>
  <c r="AI1303"/>
  <c r="AI1304"/>
  <c r="AI1305"/>
  <c r="AI1306"/>
  <c r="AI1307"/>
  <c r="AI1308"/>
  <c r="AI1309"/>
  <c r="AI1310"/>
  <c r="AI1311"/>
  <c r="AI1312"/>
  <c r="AI1313"/>
  <c r="AI1314"/>
  <c r="AI1315"/>
  <c r="AI1316"/>
  <c r="AI1317"/>
  <c r="AI1318"/>
  <c r="AI1319"/>
  <c r="AI1320"/>
  <c r="AI1321"/>
  <c r="AI1322"/>
  <c r="AI1323"/>
  <c r="AI1324"/>
  <c r="AI1325"/>
  <c r="AI1326"/>
  <c r="AI1327"/>
  <c r="AI1328"/>
  <c r="AI1329"/>
  <c r="AI1330"/>
  <c r="AI1331"/>
  <c r="AI1332"/>
  <c r="AI1333"/>
  <c r="AI1334"/>
  <c r="AI1335"/>
  <c r="AI1336"/>
  <c r="AI1337"/>
  <c r="AI1338"/>
  <c r="AI1339"/>
  <c r="AI1340"/>
  <c r="AI1341"/>
  <c r="AI1342"/>
  <c r="AI1343"/>
  <c r="AI1344"/>
  <c r="AI1345"/>
  <c r="AI1346"/>
  <c r="AI1347"/>
  <c r="AI1348"/>
  <c r="AI1349"/>
  <c r="AI1350"/>
  <c r="AI1351"/>
  <c r="AI1352"/>
  <c r="AI1353"/>
  <c r="AI1354"/>
  <c r="AI1355"/>
  <c r="AI1356"/>
  <c r="AI1357"/>
  <c r="AI1358"/>
  <c r="AI1359"/>
  <c r="AI1360"/>
  <c r="AI1361"/>
  <c r="AI1362"/>
  <c r="AI1363"/>
  <c r="AI1364"/>
  <c r="AI1365"/>
  <c r="AI1366"/>
  <c r="AI1367"/>
  <c r="AI1368"/>
  <c r="AI1369"/>
  <c r="AI1370"/>
  <c r="AI1371"/>
  <c r="AI1372"/>
  <c r="AI1373"/>
  <c r="AI1374"/>
  <c r="AI1375"/>
  <c r="AI1376"/>
  <c r="AI1377"/>
  <c r="AI1378"/>
  <c r="AI1379"/>
  <c r="AI1380"/>
  <c r="AI1381"/>
  <c r="AI1382"/>
  <c r="AI1383"/>
  <c r="AI1384"/>
  <c r="AI1385"/>
  <c r="AI1386"/>
  <c r="AI1387"/>
  <c r="AI1388"/>
  <c r="AI1389"/>
  <c r="AI1390"/>
  <c r="AI1391"/>
  <c r="AI1393"/>
  <c r="AI1394"/>
  <c r="AI1395"/>
  <c r="AI1396"/>
  <c r="AI1397"/>
  <c r="AI1398"/>
  <c r="AI1399"/>
  <c r="AI1400"/>
  <c r="AI1401"/>
  <c r="AI1402"/>
  <c r="AI1403"/>
  <c r="AI1404"/>
  <c r="AI1405"/>
  <c r="AI1406"/>
  <c r="AI1407"/>
  <c r="AI1408"/>
  <c r="AI1409"/>
  <c r="AI1410"/>
  <c r="AI1411"/>
  <c r="AI1412"/>
  <c r="AI1413"/>
  <c r="AI1414"/>
  <c r="AI1416"/>
  <c r="AI1417"/>
  <c r="AI1418"/>
  <c r="AI1419"/>
  <c r="AI1420"/>
  <c r="AI1421"/>
  <c r="AI1422"/>
  <c r="AI1423"/>
  <c r="AI1424"/>
  <c r="AI1425"/>
  <c r="AI1426"/>
  <c r="AI1427"/>
  <c r="AI1428"/>
  <c r="AI1429"/>
  <c r="AI1430"/>
  <c r="AI1431"/>
  <c r="AI1432"/>
  <c r="AI1433"/>
  <c r="AI1435"/>
  <c r="AI1436"/>
  <c r="AI1437"/>
  <c r="AI1438"/>
  <c r="AI1439"/>
  <c r="AI1440"/>
  <c r="AI1441"/>
  <c r="AI1442"/>
  <c r="AI1443"/>
  <c r="AI1446"/>
  <c r="AI1447"/>
  <c r="AI1448"/>
  <c r="AI1449"/>
  <c r="AI1450"/>
  <c r="AI1451"/>
  <c r="AI1452"/>
  <c r="AI1454"/>
  <c r="AI1455"/>
  <c r="AI1456"/>
  <c r="AI1457"/>
  <c r="AI1458"/>
  <c r="AI1459"/>
  <c r="AI1460"/>
  <c r="AI1461"/>
  <c r="AI1462"/>
  <c r="AI1463"/>
  <c r="AI1464"/>
  <c r="AI1465"/>
  <c r="AI1466"/>
  <c r="AI1467"/>
  <c r="AI1468"/>
  <c r="AI1469"/>
  <c r="AI1470"/>
  <c r="AI1471"/>
  <c r="AI1472"/>
  <c r="AI1473"/>
  <c r="AI1474"/>
  <c r="AI1475"/>
  <c r="AI1476"/>
  <c r="AI1477"/>
  <c r="AI1478"/>
  <c r="AI1479"/>
  <c r="AI1480"/>
  <c r="AI1481"/>
  <c r="AI1482"/>
  <c r="AI1483"/>
  <c r="AI1484"/>
  <c r="AI1485"/>
  <c r="AI1486"/>
  <c r="AI1487"/>
  <c r="AI1488"/>
  <c r="AI1489"/>
  <c r="AI1490"/>
  <c r="AI1491"/>
  <c r="AI1492"/>
  <c r="AI1493"/>
  <c r="AI1494"/>
  <c r="AI1495"/>
  <c r="AI1496"/>
  <c r="AI1497"/>
  <c r="AI1498"/>
  <c r="AI1499"/>
  <c r="AI1500"/>
  <c r="AI1501"/>
  <c r="AI1502"/>
  <c r="AI1503"/>
  <c r="AI1504"/>
  <c r="AI1505"/>
  <c r="AI1506"/>
  <c r="AI1507"/>
  <c r="AI1508"/>
  <c r="AI1509"/>
  <c r="AI1510"/>
  <c r="AI1511"/>
  <c r="AI1512"/>
  <c r="AI1513"/>
  <c r="AI1514"/>
  <c r="AI1515"/>
  <c r="AI1516"/>
  <c r="AI1517"/>
  <c r="AI1518"/>
  <c r="AI1519"/>
  <c r="AI1520"/>
  <c r="AI1521"/>
  <c r="AI1522"/>
  <c r="AI1523"/>
  <c r="AI1524"/>
  <c r="AI1525"/>
  <c r="AI1526"/>
  <c r="AI1527"/>
  <c r="AI1528"/>
  <c r="AI1529"/>
  <c r="AI1530"/>
  <c r="AI1531"/>
  <c r="AI1532"/>
  <c r="AI1533"/>
  <c r="AI1534"/>
  <c r="AI1535"/>
  <c r="AI1536"/>
  <c r="AI1537"/>
  <c r="AI1538"/>
  <c r="AI1539"/>
  <c r="AI1540"/>
  <c r="AI1541"/>
  <c r="AI1542"/>
  <c r="AI1543"/>
  <c r="AI1544"/>
  <c r="AI1545"/>
  <c r="AI1546"/>
  <c r="AI1547"/>
  <c r="AI1548"/>
  <c r="AI1549"/>
  <c r="AI1550"/>
  <c r="AI1551"/>
  <c r="AI1552"/>
  <c r="AI1553"/>
  <c r="AI1554"/>
  <c r="AI1555"/>
  <c r="AI1556"/>
  <c r="AI1557"/>
  <c r="AI1558"/>
  <c r="AI1559"/>
  <c r="AI1560"/>
  <c r="AI1561"/>
  <c r="AI1562"/>
  <c r="AI1563"/>
  <c r="AI1564"/>
  <c r="AI1565"/>
  <c r="AI1566"/>
  <c r="AI1567"/>
  <c r="AI1568"/>
  <c r="AI1569"/>
  <c r="AI1570"/>
  <c r="AI1571"/>
  <c r="AI1572"/>
  <c r="AI1573"/>
  <c r="AI1574"/>
  <c r="AI1575"/>
  <c r="AI1576"/>
  <c r="AI1577"/>
  <c r="AI1578"/>
  <c r="AI1579"/>
  <c r="AI1580"/>
  <c r="AI1581"/>
  <c r="AI1582"/>
  <c r="AI1583"/>
  <c r="AI1584"/>
  <c r="AI1585"/>
  <c r="AI1586"/>
  <c r="AI1587"/>
  <c r="AI1588"/>
  <c r="AI1589"/>
  <c r="AI1590"/>
  <c r="AI1591"/>
  <c r="AI1592"/>
  <c r="AI1593"/>
  <c r="AI1594"/>
  <c r="AI1595"/>
  <c r="AI1596"/>
  <c r="AI1597"/>
  <c r="AI1598"/>
  <c r="AI1599"/>
  <c r="AI1600"/>
  <c r="AI1601"/>
  <c r="AI1602"/>
  <c r="AI1603"/>
  <c r="AI1604"/>
  <c r="AI1605"/>
  <c r="AI1606"/>
  <c r="AI1607"/>
  <c r="AI1608"/>
  <c r="AI1609"/>
  <c r="AI1610"/>
  <c r="AI1611"/>
  <c r="AI1612"/>
  <c r="AI1613"/>
  <c r="AI1614"/>
  <c r="AI1615"/>
  <c r="AI1616"/>
  <c r="AI1617"/>
  <c r="AI1618"/>
  <c r="AI1619"/>
  <c r="AI1620"/>
  <c r="AI1621"/>
  <c r="AI1622"/>
  <c r="AI1623"/>
  <c r="AI1624"/>
  <c r="AI1625"/>
  <c r="AI1626"/>
  <c r="AI1627"/>
  <c r="AI1628"/>
  <c r="AI1629"/>
  <c r="AI1630"/>
  <c r="AI1631"/>
  <c r="AI1632"/>
  <c r="AI1633"/>
  <c r="AI1634"/>
  <c r="AI1635"/>
  <c r="AI1636"/>
  <c r="AI1637"/>
  <c r="AI1638"/>
  <c r="AI1639"/>
  <c r="AI1640"/>
  <c r="AI1641"/>
  <c r="AI1642"/>
  <c r="AI1643"/>
  <c r="AI1644"/>
  <c r="AI1645"/>
  <c r="AI1646"/>
  <c r="AI1647"/>
  <c r="AI1648"/>
  <c r="AI1649"/>
  <c r="AI1650"/>
  <c r="AI1651"/>
  <c r="AI1652"/>
  <c r="AI1653"/>
  <c r="AI1654"/>
  <c r="AI1655"/>
  <c r="AI1656"/>
  <c r="AI1657"/>
  <c r="AI1658"/>
  <c r="AI1659"/>
  <c r="AI1660"/>
  <c r="AI1661"/>
  <c r="AI1662"/>
  <c r="AI1663"/>
  <c r="AI1664"/>
  <c r="AI1665"/>
  <c r="AI1666"/>
  <c r="AI1667"/>
  <c r="AI1668"/>
  <c r="AI1669"/>
  <c r="AI1670"/>
  <c r="AI1671"/>
  <c r="AI1672"/>
  <c r="AI1673"/>
  <c r="AI1674"/>
  <c r="AI1675"/>
  <c r="AI1676"/>
  <c r="AI1677"/>
  <c r="AI1678"/>
  <c r="AI1679"/>
  <c r="AI1680"/>
  <c r="AI1681"/>
  <c r="AI1682"/>
  <c r="AI1683"/>
  <c r="AI1684"/>
  <c r="AI1685"/>
  <c r="AI1686"/>
  <c r="AI1687"/>
  <c r="AI1688"/>
  <c r="AI1689"/>
  <c r="AI1690"/>
  <c r="AI1691"/>
  <c r="AI1692"/>
  <c r="AI1693"/>
  <c r="AI1694"/>
  <c r="AI1695"/>
  <c r="AI1696"/>
  <c r="AI1697"/>
  <c r="AI1698"/>
  <c r="AI1699"/>
  <c r="AI1700"/>
  <c r="AI1701"/>
  <c r="AI1702"/>
  <c r="AI1703"/>
  <c r="AI1704"/>
  <c r="AI1705"/>
  <c r="AI1706"/>
  <c r="AI1707"/>
  <c r="AI1708"/>
  <c r="AI1709"/>
  <c r="AI1710"/>
  <c r="AI1711"/>
  <c r="AI1712"/>
  <c r="AI1713"/>
  <c r="AI1714"/>
  <c r="AI1715"/>
  <c r="AI1716"/>
  <c r="AI1717"/>
  <c r="AI1718"/>
  <c r="AI1719"/>
  <c r="AI1720"/>
  <c r="AI1721"/>
  <c r="AI1722"/>
  <c r="AI1723"/>
  <c r="AI1724"/>
  <c r="AI1725"/>
  <c r="AI1726"/>
  <c r="AI1727"/>
  <c r="AI1728"/>
  <c r="AI1729"/>
  <c r="AI1730"/>
  <c r="AI1731"/>
  <c r="AI1732"/>
  <c r="AI1733"/>
  <c r="AI1734"/>
  <c r="AI1735"/>
  <c r="AI1736"/>
  <c r="AI1737"/>
  <c r="AI1738"/>
  <c r="AI1739"/>
  <c r="AI1740"/>
  <c r="AI1741"/>
  <c r="AI1742"/>
  <c r="AI1743"/>
  <c r="AI1744"/>
  <c r="AI1745"/>
  <c r="AI1746"/>
  <c r="AI1747"/>
  <c r="AI1748"/>
  <c r="AI1749"/>
  <c r="AI1750"/>
  <c r="AI1751"/>
  <c r="AI1752"/>
  <c r="AI1753"/>
  <c r="AI1754"/>
  <c r="AI1755"/>
  <c r="AI1756"/>
  <c r="AI1757"/>
  <c r="AI1758"/>
  <c r="AI1759"/>
  <c r="AI1760"/>
  <c r="AI1761"/>
  <c r="AI1762"/>
  <c r="AI1763"/>
  <c r="AI1764"/>
  <c r="AI1765"/>
  <c r="AI1766"/>
  <c r="AI1767"/>
  <c r="AI1768"/>
  <c r="AI1769"/>
  <c r="AI1770"/>
  <c r="AI1771"/>
  <c r="AI1772"/>
  <c r="AI1773"/>
  <c r="AI1774"/>
  <c r="AI1775"/>
  <c r="AI1776"/>
  <c r="AI1777"/>
  <c r="AI1778"/>
  <c r="AI1779"/>
  <c r="AI1780"/>
  <c r="AI1781"/>
  <c r="AI1782"/>
  <c r="AI1783"/>
  <c r="AI1784"/>
  <c r="AI1785"/>
  <c r="AI1786"/>
  <c r="AI1787"/>
  <c r="AI1788"/>
  <c r="AI1789"/>
  <c r="AI1790"/>
  <c r="AI1791"/>
  <c r="AI1792"/>
  <c r="AI1793"/>
  <c r="AI1794"/>
  <c r="AI1795"/>
  <c r="AI1796"/>
  <c r="AI1797"/>
  <c r="AI1798"/>
  <c r="AI1799"/>
  <c r="AI1800"/>
  <c r="AI1801"/>
  <c r="AI1802"/>
  <c r="AI1803"/>
  <c r="AI1804"/>
  <c r="AI1805"/>
  <c r="AI1806"/>
  <c r="AI1807"/>
  <c r="AI1808"/>
  <c r="AI1809"/>
  <c r="AI1810"/>
  <c r="AI1811"/>
  <c r="AI1812"/>
  <c r="AI1813"/>
  <c r="AI1814"/>
  <c r="AI1815"/>
  <c r="AI1816"/>
  <c r="AI1817"/>
  <c r="AI1818"/>
  <c r="AI1819"/>
  <c r="AI1820"/>
  <c r="AI1821"/>
  <c r="AI1822"/>
  <c r="AI1823"/>
  <c r="AI1824"/>
  <c r="AI1825"/>
  <c r="AI1826"/>
  <c r="AI1827"/>
  <c r="AI1828"/>
  <c r="AI1829"/>
  <c r="AI1830"/>
  <c r="AI1831"/>
  <c r="AI1832"/>
  <c r="AI1833"/>
  <c r="AI1834"/>
  <c r="AI1835"/>
  <c r="AI1836"/>
  <c r="AI1837"/>
  <c r="AI1838"/>
  <c r="AI1839"/>
  <c r="AI1840"/>
  <c r="AI1841"/>
  <c r="AI1842"/>
  <c r="AI1843"/>
  <c r="AI1844"/>
  <c r="AI1845"/>
  <c r="AI1846"/>
  <c r="AI1847"/>
  <c r="AI1848"/>
  <c r="AI1849"/>
  <c r="AI1850"/>
  <c r="AI1851"/>
  <c r="AI1852"/>
  <c r="AI1853"/>
  <c r="AI1854"/>
  <c r="AI1855"/>
  <c r="AI1856"/>
  <c r="AI1857"/>
  <c r="AI1858"/>
  <c r="AI1859"/>
  <c r="AI1860"/>
  <c r="AI1861"/>
  <c r="AI1862"/>
  <c r="AI1863"/>
  <c r="AI1864"/>
  <c r="AI1865"/>
  <c r="AI1866"/>
  <c r="AI1867"/>
  <c r="AI1868"/>
  <c r="AI1869"/>
  <c r="AI1870"/>
  <c r="AI1871"/>
  <c r="AI1872"/>
  <c r="AI1873"/>
  <c r="AI1874"/>
  <c r="AI1875"/>
  <c r="AI1876"/>
  <c r="AI1877"/>
  <c r="AI1878"/>
  <c r="AI1879"/>
  <c r="AI1880"/>
  <c r="AI1881"/>
  <c r="AI1882"/>
  <c r="AI1883"/>
  <c r="AI1884"/>
  <c r="AI1885"/>
  <c r="AI1886"/>
  <c r="AI1887"/>
  <c r="AI1888"/>
  <c r="AI1889"/>
  <c r="AI1890"/>
  <c r="AI1891"/>
  <c r="AI1892"/>
  <c r="AI1893"/>
  <c r="AI1894"/>
  <c r="AI1895"/>
  <c r="AI1896"/>
  <c r="AI1897"/>
  <c r="AI1898"/>
  <c r="AI1899"/>
  <c r="AI1900"/>
  <c r="AI1901"/>
  <c r="AI1902"/>
  <c r="AI1903"/>
  <c r="AI1904"/>
  <c r="AI1905"/>
  <c r="AI1906"/>
  <c r="AI1907"/>
  <c r="AI1908"/>
  <c r="AI1909"/>
  <c r="AI1910"/>
  <c r="AI1911"/>
  <c r="AI1912"/>
  <c r="AI1913"/>
  <c r="AI1914"/>
  <c r="AI1915"/>
  <c r="AI1917"/>
  <c r="AI1918"/>
  <c r="AI1919"/>
  <c r="AI1920"/>
  <c r="AI1921"/>
  <c r="AI1922"/>
  <c r="AI1923"/>
  <c r="AI1924"/>
  <c r="AI1925"/>
  <c r="AI1926"/>
  <c r="AI1927"/>
  <c r="AI1928"/>
  <c r="AI1929"/>
  <c r="AI1930"/>
  <c r="AI1931"/>
  <c r="AI1932"/>
  <c r="AI1933"/>
  <c r="AI1934"/>
  <c r="AI1935"/>
  <c r="AI1936"/>
  <c r="AI1937"/>
  <c r="AI1938"/>
  <c r="AI1939"/>
  <c r="AI1940"/>
  <c r="AI1941"/>
  <c r="AI1942"/>
  <c r="AI1943"/>
  <c r="AI1944"/>
  <c r="AI1945"/>
  <c r="AI1946"/>
  <c r="AI1947"/>
  <c r="AI1948"/>
  <c r="AI1949"/>
  <c r="AI1950"/>
  <c r="AI1951"/>
  <c r="AI1952"/>
  <c r="AI1953"/>
  <c r="AI1954"/>
  <c r="AI1955"/>
  <c r="AI1956"/>
  <c r="AI1957"/>
  <c r="AI1958"/>
  <c r="AI1959"/>
  <c r="AI1960"/>
  <c r="AI1961"/>
  <c r="AI1962"/>
  <c r="AI1963"/>
  <c r="AI1964"/>
  <c r="AI1965"/>
  <c r="AI1966"/>
  <c r="AI1967"/>
  <c r="AI1968"/>
  <c r="AI1969"/>
  <c r="AI1970"/>
  <c r="AI1971"/>
  <c r="AI1972"/>
  <c r="AI1973"/>
  <c r="AI1974"/>
  <c r="AI1975"/>
  <c r="AI1976"/>
  <c r="AI1977"/>
  <c r="AI1978"/>
  <c r="AI1979"/>
  <c r="AI1980"/>
  <c r="AI1981"/>
  <c r="AI1982"/>
  <c r="AI1983"/>
  <c r="AI1984"/>
  <c r="AI1985"/>
  <c r="AI1986"/>
  <c r="AI1987"/>
  <c r="AI1988"/>
  <c r="AI1989"/>
  <c r="AI1990"/>
  <c r="AI1991"/>
  <c r="AI1992"/>
  <c r="AI1993"/>
  <c r="AI1994"/>
  <c r="AI1995"/>
  <c r="AI1996"/>
  <c r="AI1997"/>
  <c r="AI1998"/>
  <c r="AI1999"/>
  <c r="AI2000"/>
  <c r="AI2001"/>
  <c r="AI2002"/>
  <c r="AI2003"/>
  <c r="AI2004"/>
  <c r="AI2005"/>
  <c r="AI2006"/>
  <c r="AI2007"/>
  <c r="AI2008"/>
  <c r="AI2009"/>
  <c r="AI2010"/>
  <c r="AI2011"/>
  <c r="AI2012"/>
  <c r="AI2013"/>
  <c r="AI2014"/>
  <c r="AI2015"/>
  <c r="AI2016"/>
  <c r="AI2017"/>
  <c r="AI2018"/>
  <c r="AI2019"/>
  <c r="AI2020"/>
  <c r="AI2021"/>
  <c r="AI2022"/>
  <c r="AI2023"/>
  <c r="AI2024"/>
  <c r="AI2025"/>
  <c r="AI2026"/>
  <c r="AI2027"/>
  <c r="AI2028"/>
  <c r="AI2029"/>
  <c r="AI2030"/>
  <c r="AI2031"/>
  <c r="AI2032"/>
  <c r="AI2033"/>
  <c r="AI2034"/>
  <c r="AI2035"/>
  <c r="AI2036"/>
  <c r="AI2037"/>
  <c r="AI2038"/>
  <c r="AI2039"/>
  <c r="AI2040"/>
  <c r="AI2041"/>
  <c r="AI2042"/>
  <c r="AI2043"/>
  <c r="AI2044"/>
  <c r="AI2045"/>
  <c r="AI2046"/>
  <c r="AI2047"/>
  <c r="AI2048"/>
  <c r="AI2049"/>
  <c r="AI2050"/>
  <c r="AI2051"/>
  <c r="AI2052"/>
  <c r="AI2053"/>
  <c r="AI2054"/>
  <c r="AI2055"/>
  <c r="AI2056"/>
  <c r="AI2057"/>
  <c r="AI2058"/>
  <c r="AI2059"/>
  <c r="AI2060"/>
  <c r="AI2061"/>
  <c r="AI2062"/>
  <c r="AI2063"/>
  <c r="AI2064"/>
  <c r="AI2065"/>
  <c r="AI2066"/>
  <c r="AI2067"/>
  <c r="AI2068"/>
  <c r="AI2069"/>
  <c r="AI2070"/>
  <c r="AI2071"/>
  <c r="AI2072"/>
  <c r="AI2073"/>
  <c r="AI2074"/>
  <c r="AI2075"/>
  <c r="AI2076"/>
  <c r="AI2077"/>
  <c r="AI2078"/>
  <c r="AI2079"/>
  <c r="AI2080"/>
  <c r="AI2081"/>
  <c r="AI2082"/>
  <c r="AI2083"/>
  <c r="AI2084"/>
  <c r="AI2085"/>
  <c r="AI2086"/>
  <c r="AI2087"/>
  <c r="AI2088"/>
  <c r="AI2089"/>
  <c r="AI2090"/>
  <c r="AI2091"/>
  <c r="AI2092"/>
  <c r="AI2093"/>
  <c r="AI2094"/>
  <c r="AI2095"/>
  <c r="AI2096"/>
  <c r="AI2097"/>
  <c r="AI2098"/>
  <c r="AI2099"/>
  <c r="AI2100"/>
  <c r="AI2101"/>
  <c r="AI2102"/>
  <c r="AI2103"/>
  <c r="AI2104"/>
  <c r="AI2105"/>
  <c r="AI2106"/>
  <c r="AI2107"/>
  <c r="AI2108"/>
  <c r="AI2109"/>
  <c r="AI2110"/>
  <c r="AI2111"/>
  <c r="AI2112"/>
  <c r="AI2113"/>
  <c r="AI2114"/>
  <c r="AI2115"/>
  <c r="AI2116"/>
  <c r="AI2117"/>
  <c r="AI2118"/>
  <c r="AI2119"/>
  <c r="AI2120"/>
  <c r="AI2121"/>
  <c r="AI2122"/>
  <c r="AI2123"/>
  <c r="AI2124"/>
  <c r="AI2125"/>
  <c r="AI2126"/>
  <c r="AI2127"/>
  <c r="AI2128"/>
  <c r="AI2129"/>
  <c r="AI2130"/>
  <c r="AI2131"/>
  <c r="AI2132"/>
  <c r="AI2133"/>
  <c r="AI2134"/>
  <c r="AI2135"/>
  <c r="AI2136"/>
  <c r="AI2137"/>
  <c r="AI2138"/>
  <c r="AI2139"/>
  <c r="AI2140"/>
  <c r="AI2141"/>
  <c r="AI2142"/>
  <c r="AI2143"/>
  <c r="AI2144"/>
  <c r="AI2145"/>
  <c r="AI2146"/>
  <c r="AI2147"/>
  <c r="AI2148"/>
  <c r="AI2149"/>
  <c r="AI2150"/>
  <c r="AI2151"/>
  <c r="AI2152"/>
  <c r="AI2153"/>
  <c r="AI2154"/>
  <c r="AI2155"/>
  <c r="AI2156"/>
  <c r="AI2157"/>
  <c r="AI2158"/>
  <c r="AI2159"/>
  <c r="AI2160"/>
  <c r="AI2161"/>
  <c r="AI2162"/>
  <c r="AI2163"/>
  <c r="AI2164"/>
  <c r="AI2165"/>
  <c r="AI2166"/>
  <c r="AI2167"/>
  <c r="AI2168"/>
  <c r="AI2169"/>
  <c r="AI2170"/>
  <c r="AI2171"/>
  <c r="AI2172"/>
  <c r="AI2173"/>
  <c r="AI2174"/>
  <c r="AI2175"/>
  <c r="AI2176"/>
  <c r="AI2177"/>
  <c r="AI2178"/>
  <c r="AI2179"/>
  <c r="AI2180"/>
  <c r="AI2181"/>
  <c r="AI2182"/>
  <c r="AI2183"/>
  <c r="AI2184"/>
  <c r="AI2185"/>
  <c r="AI2186"/>
  <c r="AI2187"/>
  <c r="AI2188"/>
  <c r="AI2189"/>
  <c r="AI2190"/>
  <c r="AI2191"/>
  <c r="AI2192"/>
  <c r="AI2193"/>
  <c r="AI2194"/>
  <c r="AI2195"/>
  <c r="AI2196"/>
  <c r="AI2197"/>
  <c r="AI2198"/>
  <c r="AI2199"/>
  <c r="AI2200"/>
  <c r="AI2201"/>
  <c r="AI2202"/>
  <c r="AI2203"/>
  <c r="AI2204"/>
  <c r="AI2205"/>
  <c r="AI2206"/>
  <c r="AI2207"/>
  <c r="AI2208"/>
  <c r="AI2209"/>
  <c r="AI2210"/>
  <c r="AI2211"/>
  <c r="AI2212"/>
  <c r="AI2213"/>
  <c r="AI2214"/>
  <c r="AI2215"/>
  <c r="AI2216"/>
  <c r="AI2217"/>
  <c r="AI2218"/>
  <c r="AI2219"/>
  <c r="AI2220"/>
  <c r="AI2221"/>
  <c r="AI2222"/>
  <c r="AI2223"/>
  <c r="AI2224"/>
  <c r="AI2225"/>
  <c r="AI2226"/>
  <c r="AI2227"/>
  <c r="AI2228"/>
  <c r="AI2229"/>
  <c r="AI2230"/>
  <c r="AI2231"/>
  <c r="AI2232"/>
  <c r="AI2233"/>
  <c r="AI2234"/>
  <c r="AI2235"/>
  <c r="AI2236"/>
  <c r="AI2237"/>
  <c r="AI2238"/>
  <c r="AI2239"/>
  <c r="AI2240"/>
  <c r="AI2241"/>
  <c r="AI2242"/>
  <c r="AI2243"/>
  <c r="AI2244"/>
  <c r="AI2245"/>
  <c r="AI2246"/>
  <c r="AI2247"/>
  <c r="AI2248"/>
  <c r="AI2249"/>
  <c r="AI2250"/>
  <c r="AI2251"/>
  <c r="AI2252"/>
  <c r="AI2253"/>
  <c r="AI2254"/>
  <c r="AI2255"/>
  <c r="AI2256"/>
  <c r="AI2257"/>
  <c r="AI2258"/>
  <c r="AI2259"/>
  <c r="AI2260"/>
  <c r="AI2261"/>
  <c r="AI2262"/>
  <c r="AI2263"/>
  <c r="AI2264"/>
  <c r="AI2265"/>
  <c r="AI2266"/>
  <c r="AI2267"/>
  <c r="AI2268"/>
  <c r="AI2269"/>
  <c r="AI2270"/>
  <c r="AI2271"/>
  <c r="AI2272"/>
  <c r="AI2273"/>
  <c r="AI2274"/>
  <c r="AI2275"/>
  <c r="AI2276"/>
  <c r="AI2277"/>
  <c r="AI2278"/>
  <c r="AI2279"/>
  <c r="AI2280"/>
  <c r="AI2281"/>
  <c r="AI2282"/>
  <c r="AI2283"/>
  <c r="AI2284"/>
  <c r="AI2285"/>
  <c r="AI2286"/>
  <c r="AI2287"/>
  <c r="AI2288"/>
  <c r="AI2289"/>
  <c r="AI2290"/>
  <c r="AI2291"/>
  <c r="AI2292"/>
  <c r="AI2293"/>
  <c r="AI2294"/>
  <c r="AI2295"/>
  <c r="AI2296"/>
  <c r="AI2297"/>
  <c r="AI2298"/>
  <c r="AI2299"/>
  <c r="AI2300"/>
  <c r="AI2301"/>
  <c r="AI2302"/>
  <c r="AI2303"/>
  <c r="AI2304"/>
  <c r="AI2305"/>
  <c r="AI2306"/>
  <c r="AI2307"/>
  <c r="AI2308"/>
  <c r="AI2309"/>
  <c r="AI2310"/>
  <c r="AI2311"/>
  <c r="AI2312"/>
  <c r="AI2313"/>
  <c r="AI2314"/>
  <c r="AI2315"/>
  <c r="AI2316"/>
  <c r="AI2317"/>
  <c r="AI2318"/>
  <c r="AI2319"/>
  <c r="AI2320"/>
  <c r="AI2321"/>
  <c r="AI2322"/>
  <c r="AI2323"/>
  <c r="AI2324"/>
  <c r="AI2325"/>
  <c r="AI2326"/>
  <c r="AI2327"/>
  <c r="AI2328"/>
  <c r="AI2329"/>
  <c r="AI2330"/>
  <c r="AI2331"/>
  <c r="AI2332"/>
  <c r="AI2333"/>
  <c r="AI2334"/>
  <c r="AI2335"/>
  <c r="AI2336"/>
  <c r="AI2337"/>
  <c r="AI2338"/>
  <c r="AI2339"/>
  <c r="AI2340"/>
  <c r="AI2341"/>
  <c r="AI2342"/>
  <c r="AI2343"/>
  <c r="AI2344"/>
  <c r="AI2345"/>
  <c r="AI2346"/>
  <c r="AI2347"/>
  <c r="AI2348"/>
  <c r="AI2349"/>
  <c r="AI2350"/>
  <c r="AI2351"/>
  <c r="AI2352"/>
  <c r="AI2353"/>
  <c r="AI2354"/>
  <c r="AI2355"/>
  <c r="AI2356"/>
  <c r="AI2357"/>
  <c r="AI2358"/>
  <c r="AI2359"/>
  <c r="AI2360"/>
  <c r="AI2361"/>
  <c r="AI2362"/>
  <c r="AI2363"/>
  <c r="AI2364"/>
  <c r="AI2365"/>
  <c r="AI2366"/>
  <c r="AI2367"/>
  <c r="AI2368"/>
  <c r="AI2369"/>
  <c r="AI2370"/>
  <c r="AI2371"/>
  <c r="AI2372"/>
  <c r="AI2373"/>
  <c r="AI2374"/>
  <c r="AI2375"/>
  <c r="AI2376"/>
  <c r="AI2377"/>
  <c r="AI2378"/>
  <c r="AI2379"/>
  <c r="AI2380"/>
  <c r="AI2381"/>
  <c r="AI2382"/>
  <c r="AI2383"/>
  <c r="AI2384"/>
  <c r="AI2385"/>
  <c r="AI2386"/>
  <c r="AI2387"/>
  <c r="AI2388"/>
  <c r="AI2389"/>
  <c r="AI2390"/>
  <c r="AI2391"/>
  <c r="AI2392"/>
  <c r="AI2393"/>
  <c r="AI2394"/>
  <c r="AI2395"/>
  <c r="AI2396"/>
  <c r="AI2397"/>
  <c r="AI2398"/>
  <c r="AI2399"/>
  <c r="AI2400"/>
  <c r="AI2401"/>
  <c r="AI2402"/>
  <c r="AI2403"/>
  <c r="AI2404"/>
  <c r="AI2405"/>
  <c r="AI2406"/>
  <c r="AI2407"/>
  <c r="AI2408"/>
  <c r="AI2409"/>
  <c r="AI2410"/>
  <c r="AI2411"/>
  <c r="AI2412"/>
  <c r="AI2413"/>
  <c r="AI2414"/>
  <c r="AI2415"/>
  <c r="AI2416"/>
  <c r="AI2417"/>
  <c r="AI2418"/>
  <c r="AI2419"/>
  <c r="AI2420"/>
  <c r="AI2421"/>
  <c r="AI2422"/>
  <c r="AI2423"/>
  <c r="AI2424"/>
  <c r="AI2425"/>
  <c r="AI2426"/>
  <c r="AI2427"/>
  <c r="AI2428"/>
  <c r="AI2429"/>
  <c r="AI2430"/>
  <c r="AI2431"/>
  <c r="AI2432"/>
  <c r="AI2433"/>
  <c r="AI2434"/>
  <c r="AI2435"/>
  <c r="AI2436"/>
  <c r="AI2437"/>
  <c r="AI2438"/>
  <c r="AI2439"/>
  <c r="AI2440"/>
  <c r="AI2441"/>
  <c r="AI2442"/>
  <c r="AI2443"/>
  <c r="AI2444"/>
  <c r="AI2445"/>
  <c r="AI2446"/>
  <c r="AI2447"/>
  <c r="AI2448"/>
  <c r="AI2449"/>
  <c r="AI2450"/>
  <c r="AI2451"/>
  <c r="AI2452"/>
  <c r="AI2453"/>
  <c r="AI2454"/>
  <c r="AI2455"/>
  <c r="AI2456"/>
  <c r="AI2457"/>
  <c r="AI2458"/>
  <c r="AI2459"/>
  <c r="AI2460"/>
  <c r="AI2461"/>
  <c r="AI2462"/>
  <c r="AI2463"/>
  <c r="AI2464"/>
  <c r="AI2465"/>
  <c r="AI2466"/>
  <c r="AI2467"/>
  <c r="AI2468"/>
  <c r="AI2469"/>
  <c r="AI2470"/>
  <c r="AI2471"/>
  <c r="AI2472"/>
  <c r="AI2473"/>
  <c r="V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477"/>
  <c r="V478"/>
  <c r="V479"/>
  <c r="V480"/>
  <c r="V481"/>
  <c r="V482"/>
  <c r="V483"/>
  <c r="V484"/>
  <c r="V485"/>
  <c r="V486"/>
  <c r="V487"/>
  <c r="V488"/>
  <c r="V489"/>
  <c r="V490"/>
  <c r="V491"/>
  <c r="V492"/>
  <c r="V493"/>
  <c r="V494"/>
  <c r="V495"/>
  <c r="V496"/>
  <c r="V497"/>
  <c r="V498"/>
  <c r="V499"/>
  <c r="V500"/>
  <c r="V501"/>
  <c r="V502"/>
  <c r="V503"/>
  <c r="V504"/>
  <c r="V505"/>
  <c r="V506"/>
  <c r="V507"/>
  <c r="V508"/>
  <c r="V509"/>
  <c r="V510"/>
  <c r="V511"/>
  <c r="V512"/>
  <c r="V513"/>
  <c r="V514"/>
  <c r="V515"/>
  <c r="V516"/>
  <c r="V517"/>
  <c r="V518"/>
  <c r="V519"/>
  <c r="V520"/>
  <c r="V521"/>
  <c r="V522"/>
  <c r="V523"/>
  <c r="V524"/>
  <c r="V525"/>
  <c r="V526"/>
  <c r="V527"/>
  <c r="V528"/>
  <c r="V529"/>
  <c r="V530"/>
  <c r="V531"/>
  <c r="V532"/>
  <c r="V533"/>
  <c r="V534"/>
  <c r="V535"/>
  <c r="V536"/>
  <c r="V537"/>
  <c r="V538"/>
  <c r="V539"/>
  <c r="V540"/>
  <c r="V541"/>
  <c r="V542"/>
  <c r="V543"/>
  <c r="V544"/>
  <c r="V545"/>
  <c r="V546"/>
  <c r="V547"/>
  <c r="V548"/>
  <c r="V549"/>
  <c r="V550"/>
  <c r="V551"/>
  <c r="V552"/>
  <c r="V553"/>
  <c r="V554"/>
  <c r="V555"/>
  <c r="V556"/>
  <c r="V557"/>
  <c r="V558"/>
  <c r="V559"/>
  <c r="V560"/>
  <c r="V561"/>
  <c r="V562"/>
  <c r="V563"/>
  <c r="V564"/>
  <c r="V565"/>
  <c r="V566"/>
  <c r="V567"/>
  <c r="V568"/>
  <c r="V569"/>
  <c r="V570"/>
  <c r="V571"/>
  <c r="V572"/>
  <c r="V573"/>
  <c r="V574"/>
  <c r="V575"/>
  <c r="V576"/>
  <c r="V577"/>
  <c r="V578"/>
  <c r="V579"/>
  <c r="V580"/>
  <c r="V581"/>
  <c r="V582"/>
  <c r="V583"/>
  <c r="V584"/>
  <c r="V585"/>
  <c r="V586"/>
  <c r="V587"/>
  <c r="V588"/>
  <c r="V589"/>
  <c r="V590"/>
  <c r="V591"/>
  <c r="V592"/>
  <c r="V593"/>
  <c r="V594"/>
  <c r="V595"/>
  <c r="V596"/>
  <c r="V597"/>
  <c r="V598"/>
  <c r="V599"/>
  <c r="V600"/>
  <c r="V601"/>
  <c r="V602"/>
  <c r="V603"/>
  <c r="V604"/>
  <c r="V605"/>
  <c r="V606"/>
  <c r="V607"/>
  <c r="V608"/>
  <c r="V609"/>
  <c r="V610"/>
  <c r="V611"/>
  <c r="V612"/>
  <c r="V613"/>
  <c r="V614"/>
  <c r="V615"/>
  <c r="V616"/>
  <c r="V617"/>
  <c r="V618"/>
  <c r="V619"/>
  <c r="V620"/>
  <c r="V621"/>
  <c r="V622"/>
  <c r="V623"/>
  <c r="V624"/>
  <c r="V625"/>
  <c r="V626"/>
  <c r="V627"/>
  <c r="V628"/>
  <c r="V629"/>
  <c r="V630"/>
  <c r="V631"/>
  <c r="V632"/>
  <c r="V633"/>
  <c r="V634"/>
  <c r="V635"/>
  <c r="V636"/>
  <c r="V637"/>
  <c r="V638"/>
  <c r="V639"/>
  <c r="V640"/>
  <c r="V641"/>
  <c r="V642"/>
  <c r="V643"/>
  <c r="V644"/>
  <c r="V645"/>
  <c r="V646"/>
  <c r="V647"/>
  <c r="V648"/>
  <c r="V649"/>
  <c r="V650"/>
  <c r="V651"/>
  <c r="V652"/>
  <c r="V653"/>
  <c r="V654"/>
  <c r="V655"/>
  <c r="V656"/>
  <c r="V657"/>
  <c r="V658"/>
  <c r="V659"/>
  <c r="V660"/>
  <c r="V661"/>
  <c r="V662"/>
  <c r="V663"/>
  <c r="V664"/>
  <c r="V665"/>
  <c r="V666"/>
  <c r="V667"/>
  <c r="V668"/>
  <c r="V669"/>
  <c r="V670"/>
  <c r="V671"/>
  <c r="V672"/>
  <c r="V673"/>
  <c r="V674"/>
  <c r="V675"/>
  <c r="V676"/>
  <c r="V677"/>
  <c r="V678"/>
  <c r="V679"/>
  <c r="V680"/>
  <c r="V681"/>
  <c r="V682"/>
  <c r="V683"/>
  <c r="V684"/>
  <c r="V685"/>
  <c r="V686"/>
  <c r="V687"/>
  <c r="V688"/>
  <c r="V689"/>
  <c r="V690"/>
  <c r="V691"/>
  <c r="V692"/>
  <c r="V693"/>
  <c r="V694"/>
  <c r="V695"/>
  <c r="V696"/>
  <c r="V697"/>
  <c r="V698"/>
  <c r="V699"/>
  <c r="V700"/>
  <c r="V701"/>
  <c r="V702"/>
  <c r="V703"/>
  <c r="V704"/>
  <c r="V705"/>
  <c r="V706"/>
  <c r="V707"/>
  <c r="V708"/>
  <c r="V709"/>
  <c r="V710"/>
  <c r="V711"/>
  <c r="V712"/>
  <c r="V713"/>
  <c r="V714"/>
  <c r="V715"/>
  <c r="V716"/>
  <c r="V717"/>
  <c r="V718"/>
  <c r="V719"/>
  <c r="V720"/>
  <c r="V721"/>
  <c r="V722"/>
  <c r="V723"/>
  <c r="V724"/>
  <c r="V725"/>
  <c r="V726"/>
  <c r="V727"/>
  <c r="V728"/>
  <c r="V729"/>
  <c r="V730"/>
  <c r="V731"/>
  <c r="V732"/>
  <c r="V733"/>
  <c r="V734"/>
  <c r="V735"/>
  <c r="V736"/>
  <c r="V737"/>
  <c r="V738"/>
  <c r="V739"/>
  <c r="V740"/>
  <c r="V741"/>
  <c r="V742"/>
  <c r="V743"/>
  <c r="V744"/>
  <c r="V745"/>
  <c r="V746"/>
  <c r="V747"/>
  <c r="V748"/>
  <c r="V749"/>
  <c r="V750"/>
  <c r="V751"/>
  <c r="V752"/>
  <c r="V753"/>
  <c r="V754"/>
  <c r="V755"/>
  <c r="V756"/>
  <c r="V757"/>
  <c r="V758"/>
  <c r="V759"/>
  <c r="V760"/>
  <c r="V761"/>
  <c r="V762"/>
  <c r="V763"/>
  <c r="V764"/>
  <c r="V765"/>
  <c r="V766"/>
  <c r="V767"/>
  <c r="V768"/>
  <c r="V769"/>
  <c r="V770"/>
  <c r="V771"/>
  <c r="V772"/>
  <c r="V773"/>
  <c r="V774"/>
  <c r="V775"/>
  <c r="V776"/>
  <c r="V777"/>
  <c r="V778"/>
  <c r="V779"/>
  <c r="V780"/>
  <c r="V781"/>
  <c r="V782"/>
  <c r="V783"/>
  <c r="V784"/>
  <c r="V785"/>
  <c r="V786"/>
  <c r="V787"/>
  <c r="V788"/>
  <c r="V789"/>
  <c r="V790"/>
  <c r="V791"/>
  <c r="V792"/>
  <c r="V793"/>
  <c r="V794"/>
  <c r="V795"/>
  <c r="V796"/>
  <c r="V797"/>
  <c r="V798"/>
  <c r="V799"/>
  <c r="V800"/>
  <c r="V801"/>
  <c r="V802"/>
  <c r="V803"/>
  <c r="V804"/>
  <c r="V805"/>
  <c r="V806"/>
  <c r="V807"/>
  <c r="V808"/>
  <c r="V809"/>
  <c r="V810"/>
  <c r="V811"/>
  <c r="V812"/>
  <c r="V813"/>
  <c r="V814"/>
  <c r="V815"/>
  <c r="V816"/>
  <c r="V817"/>
  <c r="V818"/>
  <c r="V819"/>
  <c r="V820"/>
  <c r="V821"/>
  <c r="V822"/>
  <c r="V823"/>
  <c r="V824"/>
  <c r="V825"/>
  <c r="V826"/>
  <c r="V827"/>
  <c r="V828"/>
  <c r="V829"/>
  <c r="V830"/>
  <c r="V831"/>
  <c r="V832"/>
  <c r="V833"/>
  <c r="V834"/>
  <c r="V835"/>
  <c r="V836"/>
  <c r="V837"/>
  <c r="V838"/>
  <c r="V839"/>
  <c r="V840"/>
  <c r="V841"/>
  <c r="V842"/>
  <c r="V843"/>
  <c r="V844"/>
  <c r="V845"/>
  <c r="V846"/>
  <c r="V847"/>
  <c r="V848"/>
  <c r="V849"/>
  <c r="V850"/>
  <c r="V851"/>
  <c r="V852"/>
  <c r="V853"/>
  <c r="V854"/>
  <c r="V855"/>
  <c r="V856"/>
  <c r="V857"/>
  <c r="V858"/>
  <c r="V859"/>
  <c r="V860"/>
  <c r="V861"/>
  <c r="V862"/>
  <c r="V863"/>
  <c r="V864"/>
  <c r="V865"/>
  <c r="V866"/>
  <c r="V867"/>
  <c r="V868"/>
  <c r="V869"/>
  <c r="V870"/>
  <c r="V871"/>
  <c r="V872"/>
  <c r="V873"/>
  <c r="V874"/>
  <c r="V875"/>
  <c r="V876"/>
  <c r="V877"/>
  <c r="V878"/>
  <c r="V879"/>
  <c r="V880"/>
  <c r="V881"/>
  <c r="V882"/>
  <c r="V883"/>
  <c r="V884"/>
  <c r="V885"/>
  <c r="V886"/>
  <c r="V887"/>
  <c r="V888"/>
  <c r="V889"/>
  <c r="V890"/>
  <c r="V891"/>
  <c r="V892"/>
  <c r="V893"/>
  <c r="V894"/>
  <c r="V895"/>
  <c r="V896"/>
  <c r="V897"/>
  <c r="V898"/>
  <c r="V899"/>
  <c r="V900"/>
  <c r="V901"/>
  <c r="V902"/>
  <c r="V903"/>
  <c r="V904"/>
  <c r="V905"/>
  <c r="V906"/>
  <c r="V907"/>
  <c r="V908"/>
  <c r="V909"/>
  <c r="V910"/>
  <c r="V911"/>
  <c r="V912"/>
  <c r="V913"/>
  <c r="V914"/>
  <c r="V915"/>
  <c r="V916"/>
  <c r="V917"/>
  <c r="V918"/>
  <c r="V919"/>
  <c r="V920"/>
  <c r="V921"/>
  <c r="V922"/>
  <c r="V923"/>
  <c r="V924"/>
  <c r="V925"/>
  <c r="V926"/>
  <c r="V927"/>
  <c r="V928"/>
  <c r="V929"/>
  <c r="V930"/>
  <c r="V931"/>
  <c r="V932"/>
  <c r="V933"/>
  <c r="V934"/>
  <c r="V935"/>
  <c r="V936"/>
  <c r="V937"/>
  <c r="V938"/>
  <c r="V939"/>
  <c r="V940"/>
  <c r="V941"/>
  <c r="V942"/>
  <c r="V943"/>
  <c r="V944"/>
  <c r="V945"/>
  <c r="V946"/>
  <c r="V947"/>
  <c r="V948"/>
  <c r="V949"/>
  <c r="V950"/>
  <c r="V951"/>
  <c r="V952"/>
  <c r="V953"/>
  <c r="V954"/>
  <c r="V955"/>
  <c r="V956"/>
  <c r="V957"/>
  <c r="V958"/>
  <c r="V959"/>
  <c r="V960"/>
  <c r="V961"/>
  <c r="V962"/>
  <c r="V963"/>
  <c r="V964"/>
  <c r="V965"/>
  <c r="V966"/>
  <c r="V967"/>
  <c r="V968"/>
  <c r="V969"/>
  <c r="V970"/>
  <c r="V971"/>
  <c r="V972"/>
  <c r="V973"/>
  <c r="V974"/>
  <c r="V975"/>
  <c r="V976"/>
  <c r="V977"/>
  <c r="V978"/>
  <c r="V979"/>
  <c r="V980"/>
  <c r="V981"/>
  <c r="V982"/>
  <c r="V983"/>
  <c r="V984"/>
  <c r="V985"/>
  <c r="V986"/>
  <c r="V987"/>
  <c r="V988"/>
  <c r="V989"/>
  <c r="V990"/>
  <c r="V991"/>
  <c r="V992"/>
  <c r="V993"/>
  <c r="V994"/>
  <c r="V995"/>
  <c r="V996"/>
  <c r="V997"/>
  <c r="V998"/>
  <c r="V999"/>
  <c r="V1000"/>
  <c r="V1001"/>
  <c r="V1002"/>
  <c r="V1003"/>
  <c r="V1004"/>
  <c r="V1005"/>
  <c r="V1006"/>
  <c r="V1007"/>
  <c r="V1008"/>
  <c r="V1009"/>
  <c r="V1010"/>
  <c r="V1011"/>
  <c r="V1012"/>
  <c r="V1013"/>
  <c r="V1014"/>
  <c r="V1015"/>
  <c r="V1016"/>
  <c r="V1017"/>
  <c r="V1018"/>
  <c r="V1019"/>
  <c r="V1020"/>
  <c r="V1021"/>
  <c r="V1022"/>
  <c r="V1023"/>
  <c r="V1024"/>
  <c r="V1025"/>
  <c r="V1026"/>
  <c r="V1027"/>
  <c r="V1028"/>
  <c r="V1029"/>
  <c r="V1030"/>
  <c r="V1031"/>
  <c r="V1032"/>
  <c r="V1033"/>
  <c r="V1034"/>
  <c r="V1035"/>
  <c r="V1036"/>
  <c r="V1037"/>
  <c r="V1038"/>
  <c r="V1039"/>
  <c r="V1040"/>
  <c r="V1041"/>
  <c r="V1042"/>
  <c r="V1043"/>
  <c r="V1044"/>
  <c r="V1045"/>
  <c r="V1046"/>
  <c r="V1047"/>
  <c r="V1048"/>
  <c r="V1049"/>
  <c r="V1050"/>
  <c r="V1051"/>
  <c r="V1052"/>
  <c r="V1053"/>
  <c r="V1054"/>
  <c r="V1055"/>
  <c r="V1056"/>
  <c r="V1057"/>
  <c r="V1058"/>
  <c r="V1059"/>
  <c r="V1060"/>
  <c r="V1061"/>
  <c r="V1062"/>
  <c r="V1063"/>
  <c r="V1064"/>
  <c r="V1065"/>
  <c r="V1066"/>
  <c r="V1067"/>
  <c r="V1068"/>
  <c r="V1069"/>
  <c r="V1070"/>
  <c r="V1071"/>
  <c r="V1072"/>
  <c r="V1073"/>
  <c r="V1074"/>
  <c r="V1075"/>
  <c r="V1076"/>
  <c r="V1077"/>
  <c r="V1078"/>
  <c r="V1079"/>
  <c r="V1080"/>
  <c r="V1081"/>
  <c r="V1082"/>
  <c r="V1083"/>
  <c r="V1084"/>
  <c r="V1085"/>
  <c r="V1086"/>
  <c r="V1087"/>
  <c r="V1088"/>
  <c r="V1089"/>
  <c r="V1090"/>
  <c r="V1091"/>
  <c r="V1092"/>
  <c r="V1093"/>
  <c r="V1094"/>
  <c r="V1095"/>
  <c r="V1096"/>
  <c r="V1097"/>
  <c r="V1098"/>
  <c r="V1099"/>
  <c r="V1100"/>
  <c r="V1101"/>
  <c r="V1102"/>
  <c r="V1103"/>
  <c r="V1104"/>
  <c r="V1105"/>
  <c r="V1106"/>
  <c r="V1107"/>
  <c r="V1108"/>
  <c r="V1109"/>
  <c r="V1110"/>
  <c r="V1111"/>
  <c r="V1112"/>
  <c r="V1113"/>
  <c r="V1114"/>
  <c r="V1115"/>
  <c r="V1116"/>
  <c r="V1117"/>
  <c r="V1118"/>
  <c r="V1119"/>
  <c r="V1120"/>
  <c r="V1121"/>
  <c r="V1122"/>
  <c r="V1123"/>
  <c r="V1124"/>
  <c r="V1125"/>
  <c r="V1126"/>
  <c r="V1127"/>
  <c r="V1128"/>
  <c r="V1129"/>
  <c r="V1130"/>
  <c r="V1131"/>
  <c r="V1132"/>
  <c r="V1133"/>
  <c r="V1134"/>
  <c r="V1135"/>
  <c r="V1136"/>
  <c r="V1137"/>
  <c r="V1138"/>
  <c r="V1139"/>
  <c r="V1140"/>
  <c r="V1141"/>
  <c r="V1142"/>
  <c r="V1143"/>
  <c r="V1144"/>
  <c r="V1145"/>
  <c r="V1146"/>
  <c r="V1147"/>
  <c r="V1148"/>
  <c r="V1149"/>
  <c r="V1150"/>
  <c r="V1151"/>
  <c r="V1152"/>
  <c r="V1153"/>
  <c r="V1154"/>
  <c r="V1155"/>
  <c r="V1156"/>
  <c r="V1157"/>
  <c r="V1158"/>
  <c r="V1159"/>
  <c r="V1160"/>
  <c r="V1161"/>
  <c r="V1162"/>
  <c r="V1163"/>
  <c r="V1164"/>
  <c r="V1165"/>
  <c r="V1166"/>
  <c r="V1167"/>
  <c r="V1168"/>
  <c r="V1169"/>
  <c r="V1170"/>
  <c r="V1171"/>
  <c r="V1172"/>
  <c r="V1173"/>
  <c r="V1174"/>
  <c r="V1175"/>
  <c r="V1176"/>
  <c r="V1177"/>
  <c r="V1178"/>
  <c r="V1179"/>
  <c r="V1180"/>
  <c r="V1181"/>
  <c r="V1182"/>
  <c r="V1183"/>
  <c r="V1184"/>
  <c r="V1185"/>
  <c r="V1186"/>
  <c r="V1187"/>
  <c r="V1188"/>
  <c r="V1189"/>
  <c r="V1190"/>
  <c r="V1191"/>
  <c r="V1192"/>
  <c r="V1193"/>
  <c r="V1194"/>
  <c r="V1195"/>
  <c r="V1196"/>
  <c r="V1197"/>
  <c r="V1198"/>
  <c r="V1199"/>
  <c r="V1200"/>
  <c r="V1201"/>
  <c r="V1202"/>
  <c r="V1203"/>
  <c r="V1204"/>
  <c r="V1205"/>
  <c r="V1206"/>
  <c r="V1207"/>
  <c r="V1208"/>
  <c r="V1209"/>
  <c r="V1210"/>
  <c r="V1211"/>
  <c r="V1212"/>
  <c r="V1213"/>
  <c r="V1214"/>
  <c r="V1215"/>
  <c r="V1216"/>
  <c r="V1217"/>
  <c r="V1218"/>
  <c r="V1219"/>
  <c r="V1220"/>
  <c r="V1221"/>
  <c r="V1222"/>
  <c r="V1223"/>
  <c r="V1224"/>
  <c r="V1225"/>
  <c r="V1226"/>
  <c r="V1227"/>
  <c r="V1228"/>
  <c r="V1229"/>
  <c r="V1230"/>
  <c r="V1231"/>
  <c r="V1232"/>
  <c r="V1233"/>
  <c r="V1234"/>
  <c r="V1235"/>
  <c r="V1236"/>
  <c r="V1237"/>
  <c r="V1238"/>
  <c r="V1239"/>
  <c r="V1240"/>
  <c r="V1241"/>
  <c r="V1242"/>
  <c r="V1243"/>
  <c r="V1244"/>
  <c r="V1245"/>
  <c r="V1246"/>
  <c r="V1247"/>
  <c r="V1248"/>
  <c r="V1249"/>
  <c r="V1250"/>
  <c r="V1251"/>
  <c r="V1252"/>
  <c r="V1253"/>
  <c r="V1254"/>
  <c r="V1255"/>
  <c r="V1256"/>
  <c r="V1257"/>
  <c r="V1258"/>
  <c r="V1259"/>
  <c r="V1260"/>
  <c r="V1261"/>
  <c r="V1262"/>
  <c r="V1263"/>
  <c r="V1264"/>
  <c r="V1265"/>
  <c r="V1266"/>
  <c r="V1267"/>
  <c r="V1268"/>
  <c r="V1269"/>
  <c r="V1270"/>
  <c r="V1271"/>
  <c r="V1272"/>
  <c r="V1273"/>
  <c r="V1274"/>
  <c r="V1275"/>
  <c r="V1276"/>
  <c r="V1277"/>
  <c r="V1278"/>
  <c r="V1279"/>
  <c r="V1280"/>
  <c r="V1281"/>
  <c r="V1282"/>
  <c r="V1283"/>
  <c r="V1284"/>
  <c r="V1286"/>
  <c r="V1287"/>
  <c r="V1288"/>
  <c r="V1289"/>
  <c r="V1290"/>
  <c r="V1291"/>
  <c r="V1292"/>
  <c r="V1293"/>
  <c r="V1294"/>
  <c r="V1295"/>
  <c r="V1296"/>
  <c r="V1297"/>
  <c r="V1298"/>
  <c r="V1299"/>
  <c r="V1300"/>
  <c r="V1301"/>
  <c r="V1302"/>
  <c r="V1303"/>
  <c r="V1304"/>
  <c r="V1305"/>
  <c r="V1306"/>
  <c r="V1307"/>
  <c r="V1308"/>
  <c r="V1309"/>
  <c r="V1310"/>
  <c r="V1311"/>
  <c r="V1312"/>
  <c r="V1313"/>
  <c r="V1314"/>
  <c r="V1315"/>
  <c r="V1316"/>
  <c r="V1317"/>
  <c r="V1318"/>
  <c r="V1319"/>
  <c r="V1320"/>
  <c r="V1321"/>
  <c r="V1322"/>
  <c r="V1323"/>
  <c r="V1324"/>
  <c r="V1325"/>
  <c r="V1326"/>
  <c r="V1327"/>
  <c r="V1328"/>
  <c r="V1329"/>
  <c r="V1330"/>
  <c r="V1331"/>
  <c r="V1332"/>
  <c r="V1333"/>
  <c r="V1334"/>
  <c r="V1335"/>
  <c r="V1336"/>
  <c r="V1337"/>
  <c r="V1338"/>
  <c r="V1339"/>
  <c r="V1340"/>
  <c r="V1341"/>
  <c r="V1342"/>
  <c r="V1343"/>
  <c r="V1344"/>
  <c r="V1345"/>
  <c r="V1346"/>
  <c r="V1347"/>
  <c r="V1348"/>
  <c r="V1349"/>
  <c r="V1350"/>
  <c r="V1351"/>
  <c r="V1352"/>
  <c r="V1353"/>
  <c r="V1354"/>
  <c r="V1355"/>
  <c r="V1356"/>
  <c r="V1357"/>
  <c r="V1358"/>
  <c r="V1359"/>
  <c r="V1360"/>
  <c r="V1361"/>
  <c r="V1362"/>
  <c r="V1363"/>
  <c r="V1364"/>
  <c r="V1365"/>
  <c r="V1366"/>
  <c r="V1367"/>
  <c r="V1368"/>
  <c r="V1369"/>
  <c r="V1370"/>
  <c r="V1371"/>
  <c r="V1372"/>
  <c r="V1373"/>
  <c r="V1374"/>
  <c r="V1375"/>
  <c r="V1376"/>
  <c r="V1377"/>
  <c r="V1378"/>
  <c r="V1379"/>
  <c r="V1380"/>
  <c r="V1381"/>
  <c r="V1382"/>
  <c r="V1383"/>
  <c r="V1384"/>
  <c r="V1385"/>
  <c r="V1386"/>
  <c r="V1387"/>
  <c r="V1388"/>
  <c r="V1389"/>
  <c r="V1390"/>
  <c r="V1391"/>
  <c r="V1392"/>
  <c r="V1393"/>
  <c r="V1394"/>
  <c r="V1395"/>
  <c r="V1396"/>
  <c r="V1397"/>
  <c r="V1398"/>
  <c r="V1399"/>
  <c r="V1400"/>
  <c r="V1401"/>
  <c r="V1402"/>
  <c r="V1403"/>
  <c r="V1404"/>
  <c r="V1405"/>
  <c r="V1406"/>
  <c r="V1407"/>
  <c r="V1408"/>
  <c r="V1409"/>
  <c r="V1410"/>
  <c r="V1411"/>
  <c r="V1412"/>
  <c r="V1413"/>
  <c r="V1414"/>
  <c r="V1415"/>
  <c r="V1416"/>
  <c r="V1417"/>
  <c r="V1418"/>
  <c r="V1419"/>
  <c r="V1420"/>
  <c r="V1421"/>
  <c r="V1422"/>
  <c r="V1423"/>
  <c r="V1424"/>
  <c r="V1425"/>
  <c r="V1426"/>
  <c r="V1427"/>
  <c r="V1428"/>
  <c r="V1429"/>
  <c r="V1430"/>
  <c r="V1431"/>
  <c r="V1432"/>
  <c r="V1433"/>
  <c r="V1434"/>
  <c r="V1435"/>
  <c r="V1436"/>
  <c r="V1437"/>
  <c r="V1438"/>
  <c r="V1439"/>
  <c r="V1440"/>
  <c r="V1441"/>
  <c r="V1442"/>
  <c r="V1443"/>
  <c r="V1444"/>
  <c r="V1445"/>
  <c r="V1446"/>
  <c r="V1447"/>
  <c r="V1448"/>
  <c r="V1449"/>
  <c r="V1450"/>
  <c r="V1451"/>
  <c r="V1452"/>
  <c r="V1453"/>
  <c r="V1454"/>
  <c r="V1455"/>
  <c r="V1456"/>
  <c r="V1457"/>
  <c r="V1458"/>
  <c r="V1459"/>
  <c r="V1460"/>
  <c r="V1461"/>
  <c r="V1462"/>
  <c r="V1463"/>
  <c r="V1464"/>
  <c r="V1465"/>
  <c r="V1466"/>
  <c r="V1467"/>
  <c r="V1468"/>
  <c r="V1469"/>
  <c r="V1470"/>
  <c r="V1471"/>
  <c r="V1472"/>
  <c r="V1473"/>
  <c r="V1474"/>
  <c r="V1475"/>
  <c r="V1476"/>
  <c r="V1477"/>
  <c r="V1478"/>
  <c r="V1479"/>
  <c r="V1480"/>
  <c r="V1481"/>
  <c r="V1482"/>
  <c r="V1483"/>
  <c r="V1484"/>
  <c r="V1485"/>
  <c r="V1486"/>
  <c r="V1487"/>
  <c r="V1488"/>
  <c r="V1489"/>
  <c r="V1490"/>
  <c r="V1491"/>
  <c r="V1492"/>
  <c r="V1493"/>
  <c r="V1494"/>
  <c r="V1495"/>
  <c r="V1496"/>
  <c r="V1497"/>
  <c r="V1498"/>
  <c r="V1499"/>
  <c r="V1500"/>
  <c r="V1501"/>
  <c r="V1502"/>
  <c r="V1503"/>
  <c r="V1504"/>
  <c r="V1505"/>
  <c r="V1506"/>
  <c r="V1507"/>
  <c r="V1508"/>
  <c r="V1509"/>
  <c r="V1510"/>
  <c r="V1511"/>
  <c r="V1512"/>
  <c r="V1513"/>
  <c r="V1514"/>
  <c r="V1515"/>
  <c r="V1516"/>
  <c r="V1517"/>
  <c r="V1518"/>
  <c r="V1519"/>
  <c r="V1520"/>
  <c r="V1521"/>
  <c r="V1522"/>
  <c r="V1523"/>
  <c r="V1524"/>
  <c r="V1525"/>
  <c r="V1526"/>
  <c r="V1527"/>
  <c r="V1528"/>
  <c r="V1529"/>
  <c r="V1530"/>
  <c r="V1531"/>
  <c r="V1532"/>
  <c r="V1533"/>
  <c r="V1534"/>
  <c r="V1535"/>
  <c r="V1536"/>
  <c r="V1537"/>
  <c r="V1538"/>
  <c r="V1539"/>
  <c r="V1540"/>
  <c r="V1541"/>
  <c r="V1542"/>
  <c r="V1543"/>
  <c r="V1544"/>
  <c r="V1545"/>
  <c r="V1546"/>
  <c r="V1547"/>
  <c r="V1548"/>
  <c r="V1549"/>
  <c r="V1550"/>
  <c r="V1551"/>
  <c r="V1552"/>
  <c r="V1553"/>
  <c r="V1554"/>
  <c r="V1555"/>
  <c r="V1556"/>
  <c r="V1557"/>
  <c r="V1558"/>
  <c r="V1559"/>
  <c r="V1560"/>
  <c r="V1561"/>
  <c r="V1562"/>
  <c r="V1563"/>
  <c r="V1564"/>
  <c r="V1565"/>
  <c r="V1566"/>
  <c r="V1567"/>
  <c r="V1568"/>
  <c r="V1569"/>
  <c r="V1570"/>
  <c r="V1571"/>
  <c r="V1572"/>
  <c r="V1573"/>
  <c r="V1574"/>
  <c r="V1575"/>
  <c r="V1576"/>
  <c r="V1577"/>
  <c r="V1578"/>
  <c r="V1579"/>
  <c r="V1580"/>
  <c r="V1581"/>
  <c r="V1582"/>
  <c r="V1583"/>
  <c r="V1584"/>
  <c r="V1585"/>
  <c r="V1586"/>
  <c r="V1587"/>
  <c r="V1588"/>
  <c r="V1589"/>
  <c r="V1590"/>
  <c r="V1591"/>
  <c r="V1592"/>
  <c r="V1593"/>
  <c r="V1594"/>
  <c r="V1595"/>
  <c r="V1596"/>
  <c r="V1597"/>
  <c r="V1598"/>
  <c r="V1599"/>
  <c r="V1600"/>
  <c r="V1601"/>
  <c r="V1602"/>
  <c r="V1603"/>
  <c r="V1604"/>
  <c r="V1605"/>
  <c r="V1606"/>
  <c r="V1607"/>
  <c r="V1608"/>
  <c r="V1609"/>
  <c r="V1610"/>
  <c r="V1611"/>
  <c r="V1612"/>
  <c r="V1613"/>
  <c r="V1614"/>
  <c r="V1615"/>
  <c r="V1616"/>
  <c r="V1617"/>
  <c r="V1618"/>
  <c r="V1619"/>
  <c r="V1620"/>
  <c r="V1621"/>
  <c r="V1622"/>
  <c r="V1623"/>
  <c r="V1624"/>
  <c r="V1625"/>
  <c r="V1626"/>
  <c r="V1627"/>
  <c r="V1628"/>
  <c r="V1629"/>
  <c r="V1630"/>
  <c r="V1631"/>
  <c r="V1632"/>
  <c r="V1633"/>
  <c r="V1634"/>
  <c r="V1635"/>
  <c r="V1636"/>
  <c r="V1637"/>
  <c r="V1638"/>
  <c r="V1639"/>
  <c r="V1640"/>
  <c r="V1641"/>
  <c r="V1642"/>
  <c r="V1643"/>
  <c r="V1644"/>
  <c r="V1645"/>
  <c r="V1646"/>
  <c r="V1647"/>
  <c r="V1648"/>
  <c r="V1649"/>
  <c r="V1650"/>
  <c r="V1651"/>
  <c r="V1652"/>
  <c r="V1653"/>
  <c r="V1654"/>
  <c r="V1655"/>
  <c r="V1656"/>
  <c r="V1657"/>
  <c r="V1658"/>
  <c r="V1659"/>
  <c r="V1660"/>
  <c r="V1661"/>
  <c r="V1662"/>
  <c r="V1663"/>
  <c r="V1664"/>
  <c r="V1665"/>
  <c r="V1666"/>
  <c r="V1667"/>
  <c r="V1668"/>
  <c r="V1669"/>
  <c r="V1670"/>
  <c r="V1671"/>
  <c r="V1672"/>
  <c r="V1673"/>
  <c r="V1674"/>
  <c r="V1675"/>
  <c r="V1676"/>
  <c r="V1677"/>
  <c r="V1678"/>
  <c r="V1679"/>
  <c r="V1680"/>
  <c r="V1681"/>
  <c r="V1682"/>
  <c r="V1683"/>
  <c r="V1684"/>
  <c r="V1685"/>
  <c r="V1686"/>
  <c r="V1687"/>
  <c r="V1688"/>
  <c r="V1689"/>
  <c r="V1690"/>
  <c r="V1691"/>
  <c r="V1692"/>
  <c r="V1693"/>
  <c r="V1694"/>
  <c r="V1695"/>
  <c r="V1696"/>
  <c r="V1697"/>
  <c r="V1698"/>
  <c r="V1699"/>
  <c r="V1700"/>
  <c r="V1701"/>
  <c r="V1702"/>
  <c r="V1703"/>
  <c r="V1704"/>
  <c r="V1705"/>
  <c r="V1706"/>
  <c r="V1707"/>
  <c r="V1708"/>
  <c r="V1709"/>
  <c r="V1710"/>
  <c r="V1711"/>
  <c r="V1712"/>
  <c r="V1713"/>
  <c r="V1714"/>
  <c r="V1715"/>
  <c r="V1716"/>
  <c r="V1717"/>
  <c r="V1718"/>
  <c r="V1719"/>
  <c r="V1720"/>
  <c r="V1721"/>
  <c r="V1722"/>
  <c r="V1723"/>
  <c r="V1724"/>
  <c r="V1725"/>
  <c r="V1726"/>
  <c r="V1727"/>
  <c r="V1728"/>
  <c r="V1729"/>
  <c r="V1730"/>
  <c r="V1731"/>
  <c r="V1732"/>
  <c r="V1733"/>
  <c r="V1734"/>
  <c r="V1735"/>
  <c r="V1736"/>
  <c r="V1737"/>
  <c r="V1738"/>
  <c r="V1739"/>
  <c r="V1740"/>
  <c r="V1741"/>
  <c r="V1742"/>
  <c r="V1743"/>
  <c r="V1744"/>
  <c r="V1745"/>
  <c r="V1746"/>
  <c r="V1747"/>
  <c r="V1748"/>
  <c r="V1749"/>
  <c r="V1750"/>
  <c r="V1751"/>
  <c r="V1752"/>
  <c r="V1753"/>
  <c r="V1754"/>
  <c r="V1755"/>
  <c r="V1756"/>
  <c r="V1757"/>
  <c r="V1758"/>
  <c r="V1759"/>
  <c r="V1760"/>
  <c r="V1761"/>
  <c r="V1762"/>
  <c r="V1763"/>
  <c r="V1764"/>
  <c r="V1765"/>
  <c r="V1766"/>
  <c r="V1767"/>
  <c r="V1768"/>
  <c r="V1769"/>
  <c r="V1770"/>
  <c r="V1771"/>
  <c r="V1772"/>
  <c r="V1773"/>
  <c r="V1774"/>
  <c r="V1775"/>
  <c r="V1776"/>
  <c r="V1777"/>
  <c r="V1778"/>
  <c r="V1779"/>
  <c r="V1780"/>
  <c r="V1781"/>
  <c r="V1782"/>
  <c r="V1783"/>
  <c r="V1784"/>
  <c r="V1785"/>
  <c r="V1786"/>
  <c r="V1787"/>
  <c r="V1788"/>
  <c r="V1789"/>
  <c r="V1790"/>
  <c r="V1791"/>
  <c r="V1792"/>
  <c r="V1793"/>
  <c r="V1794"/>
  <c r="V1795"/>
  <c r="V1796"/>
  <c r="V1797"/>
  <c r="V1798"/>
  <c r="V1799"/>
  <c r="V1800"/>
  <c r="V1801"/>
  <c r="V1802"/>
  <c r="V1803"/>
  <c r="V1804"/>
  <c r="V1805"/>
  <c r="V1806"/>
  <c r="V1807"/>
  <c r="V1808"/>
  <c r="V1809"/>
  <c r="V1810"/>
  <c r="V1811"/>
  <c r="V1812"/>
  <c r="V1813"/>
  <c r="V1814"/>
  <c r="V1815"/>
  <c r="V1816"/>
  <c r="V1817"/>
  <c r="V1818"/>
  <c r="V1819"/>
  <c r="V1820"/>
  <c r="V1821"/>
  <c r="V1822"/>
  <c r="V1823"/>
  <c r="V1824"/>
  <c r="V1825"/>
  <c r="V1826"/>
  <c r="V1827"/>
  <c r="V1828"/>
  <c r="V1829"/>
  <c r="V1830"/>
  <c r="V1831"/>
  <c r="V1832"/>
  <c r="V1833"/>
  <c r="V1834"/>
  <c r="V1835"/>
  <c r="V1836"/>
  <c r="V1837"/>
  <c r="V1838"/>
  <c r="V1839"/>
  <c r="V1840"/>
  <c r="V1841"/>
  <c r="V1842"/>
  <c r="V1843"/>
  <c r="V1844"/>
  <c r="V1845"/>
  <c r="V1846"/>
  <c r="V1847"/>
  <c r="V1848"/>
  <c r="V1849"/>
  <c r="V1850"/>
  <c r="V1851"/>
  <c r="V1852"/>
  <c r="V1853"/>
  <c r="V1854"/>
  <c r="V1855"/>
  <c r="V1856"/>
  <c r="V1857"/>
  <c r="V1858"/>
  <c r="V1859"/>
  <c r="V1860"/>
  <c r="V1861"/>
  <c r="V1862"/>
  <c r="V1863"/>
  <c r="V1864"/>
  <c r="V1865"/>
  <c r="V1866"/>
  <c r="V1867"/>
  <c r="V1868"/>
  <c r="V1869"/>
  <c r="V1870"/>
  <c r="V1871"/>
  <c r="V1872"/>
  <c r="V1873"/>
  <c r="V1874"/>
  <c r="V1875"/>
  <c r="V1876"/>
  <c r="V1877"/>
  <c r="V1878"/>
  <c r="V1879"/>
  <c r="V1880"/>
  <c r="V1881"/>
  <c r="V1882"/>
  <c r="V1883"/>
  <c r="V1884"/>
  <c r="V1885"/>
  <c r="V1886"/>
  <c r="V1887"/>
  <c r="V1888"/>
  <c r="V1889"/>
  <c r="V1890"/>
  <c r="V1891"/>
  <c r="V1892"/>
  <c r="V1893"/>
  <c r="V1894"/>
  <c r="V1895"/>
  <c r="V1896"/>
  <c r="V1897"/>
  <c r="V1898"/>
  <c r="V1899"/>
  <c r="V1900"/>
  <c r="V1901"/>
  <c r="V1902"/>
  <c r="V1903"/>
  <c r="V1904"/>
  <c r="V1905"/>
  <c r="V1906"/>
  <c r="V1907"/>
  <c r="V1908"/>
  <c r="V1909"/>
  <c r="V1910"/>
  <c r="V1911"/>
  <c r="V1912"/>
  <c r="V1913"/>
  <c r="V1914"/>
  <c r="V1915"/>
  <c r="V1916"/>
  <c r="V1917"/>
  <c r="V1918"/>
  <c r="V1919"/>
  <c r="V1920"/>
  <c r="V1921"/>
  <c r="V1922"/>
  <c r="V1923"/>
  <c r="V1924"/>
  <c r="V1925"/>
  <c r="V1926"/>
  <c r="V1927"/>
  <c r="V1928"/>
  <c r="V1929"/>
  <c r="V1930"/>
  <c r="V1931"/>
  <c r="V1932"/>
  <c r="V1933"/>
  <c r="V1934"/>
  <c r="V1935"/>
  <c r="V1936"/>
  <c r="V1937"/>
  <c r="V1938"/>
  <c r="V1939"/>
  <c r="V1940"/>
  <c r="V1941"/>
  <c r="V1942"/>
  <c r="V1943"/>
  <c r="V1944"/>
  <c r="V1945"/>
  <c r="V1946"/>
  <c r="V1947"/>
  <c r="V1948"/>
  <c r="V1949"/>
  <c r="V1950"/>
  <c r="V1951"/>
  <c r="V1952"/>
  <c r="V1953"/>
  <c r="V1954"/>
  <c r="V1955"/>
  <c r="V1956"/>
  <c r="V1957"/>
  <c r="V1958"/>
  <c r="V1959"/>
  <c r="V1960"/>
  <c r="V1961"/>
  <c r="V1962"/>
  <c r="V1963"/>
  <c r="V1964"/>
  <c r="V1965"/>
  <c r="V1966"/>
  <c r="V1967"/>
  <c r="V1968"/>
  <c r="V1969"/>
  <c r="V1970"/>
  <c r="V1971"/>
  <c r="V1972"/>
  <c r="V1973"/>
  <c r="V1974"/>
  <c r="V1975"/>
  <c r="V1976"/>
  <c r="V1977"/>
  <c r="V1978"/>
  <c r="V1979"/>
  <c r="V1980"/>
  <c r="V1981"/>
  <c r="V1982"/>
  <c r="V1983"/>
  <c r="V1984"/>
  <c r="V1985"/>
  <c r="V1986"/>
  <c r="V1987"/>
  <c r="V1988"/>
  <c r="V1989"/>
  <c r="V1990"/>
  <c r="V1991"/>
  <c r="V1992"/>
  <c r="V1993"/>
  <c r="V1994"/>
  <c r="V1995"/>
  <c r="V1996"/>
  <c r="V1997"/>
  <c r="V1998"/>
  <c r="V1999"/>
  <c r="V2000"/>
  <c r="V2001"/>
  <c r="V2002"/>
  <c r="V2003"/>
  <c r="V2004"/>
  <c r="V2005"/>
  <c r="V2006"/>
  <c r="V2007"/>
  <c r="V2008"/>
  <c r="V2009"/>
  <c r="V2010"/>
  <c r="V2011"/>
  <c r="V2012"/>
  <c r="V2013"/>
  <c r="V2014"/>
  <c r="V2015"/>
  <c r="V2016"/>
  <c r="V2017"/>
  <c r="V2018"/>
  <c r="V2019"/>
  <c r="V2020"/>
  <c r="V2021"/>
  <c r="V2022"/>
  <c r="V2023"/>
  <c r="V2024"/>
  <c r="V2025"/>
  <c r="V2026"/>
  <c r="V2027"/>
  <c r="V2028"/>
  <c r="V2029"/>
  <c r="V2030"/>
  <c r="V2031"/>
  <c r="V2032"/>
  <c r="V2033"/>
  <c r="V2034"/>
  <c r="V2035"/>
  <c r="V2036"/>
  <c r="V2037"/>
  <c r="V2038"/>
  <c r="V2039"/>
  <c r="V2040"/>
  <c r="V2041"/>
  <c r="V2042"/>
  <c r="V2043"/>
  <c r="V2044"/>
  <c r="V2045"/>
  <c r="V2046"/>
  <c r="V2047"/>
  <c r="V2048"/>
  <c r="V2049"/>
  <c r="V2050"/>
  <c r="V2051"/>
  <c r="V2052"/>
  <c r="V2053"/>
  <c r="V2054"/>
  <c r="V2055"/>
  <c r="V2056"/>
  <c r="V2057"/>
  <c r="V2058"/>
  <c r="V2059"/>
  <c r="V2060"/>
  <c r="V2061"/>
  <c r="V2062"/>
  <c r="V2063"/>
  <c r="V2064"/>
  <c r="V2065"/>
  <c r="V2066"/>
  <c r="V2067"/>
  <c r="V2068"/>
  <c r="V2069"/>
  <c r="V2070"/>
  <c r="V2071"/>
  <c r="V2072"/>
  <c r="V2073"/>
  <c r="V2074"/>
  <c r="V2075"/>
  <c r="V2076"/>
  <c r="V2077"/>
  <c r="V2078"/>
  <c r="V2079"/>
  <c r="V2080"/>
  <c r="V2081"/>
  <c r="V2082"/>
  <c r="V2083"/>
  <c r="V2084"/>
  <c r="V2085"/>
  <c r="V2086"/>
  <c r="V2087"/>
  <c r="V2088"/>
  <c r="V2089"/>
  <c r="V2090"/>
  <c r="V2091"/>
  <c r="V2092"/>
  <c r="V2093"/>
  <c r="V2094"/>
  <c r="V2095"/>
  <c r="V2096"/>
  <c r="V2097"/>
  <c r="V2098"/>
  <c r="V2099"/>
  <c r="V2100"/>
  <c r="V2101"/>
  <c r="V2102"/>
  <c r="V2103"/>
  <c r="V2104"/>
  <c r="V2105"/>
  <c r="V2106"/>
  <c r="V2107"/>
  <c r="V2108"/>
  <c r="V2109"/>
  <c r="V2110"/>
  <c r="V2111"/>
  <c r="V2112"/>
  <c r="V2113"/>
  <c r="V2114"/>
  <c r="V2115"/>
  <c r="V2116"/>
  <c r="V2117"/>
  <c r="V2118"/>
  <c r="V2119"/>
  <c r="V2120"/>
  <c r="V2121"/>
  <c r="V2122"/>
  <c r="V2123"/>
  <c r="V2124"/>
  <c r="V2125"/>
  <c r="V2126"/>
  <c r="V2127"/>
  <c r="V2128"/>
  <c r="V2129"/>
  <c r="V2130"/>
  <c r="V2131"/>
  <c r="V2132"/>
  <c r="V2133"/>
  <c r="V2134"/>
  <c r="V2135"/>
  <c r="V2136"/>
  <c r="V2137"/>
  <c r="V2138"/>
  <c r="V2139"/>
  <c r="V2140"/>
  <c r="V2141"/>
  <c r="V2142"/>
  <c r="V2143"/>
  <c r="V2144"/>
  <c r="V2145"/>
  <c r="V2146"/>
  <c r="V2147"/>
  <c r="V2148"/>
  <c r="V2149"/>
  <c r="V2150"/>
  <c r="V2151"/>
  <c r="V2152"/>
  <c r="V2153"/>
  <c r="V2154"/>
  <c r="V2155"/>
  <c r="V2156"/>
  <c r="V2157"/>
  <c r="V2158"/>
  <c r="V2159"/>
  <c r="V2160"/>
  <c r="V2161"/>
  <c r="V2162"/>
  <c r="V2163"/>
  <c r="V2164"/>
  <c r="V2165"/>
  <c r="V2166"/>
  <c r="V2167"/>
  <c r="V2168"/>
  <c r="V2169"/>
  <c r="V2170"/>
  <c r="V2171"/>
  <c r="V2172"/>
  <c r="V2173"/>
  <c r="V2174"/>
  <c r="V2175"/>
  <c r="V2176"/>
  <c r="V2177"/>
  <c r="V2178"/>
  <c r="V2179"/>
  <c r="V2180"/>
  <c r="V2181"/>
  <c r="V2182"/>
  <c r="V2183"/>
  <c r="V2184"/>
  <c r="V2185"/>
  <c r="V2186"/>
  <c r="V2187"/>
  <c r="V2188"/>
  <c r="V2189"/>
  <c r="V2190"/>
  <c r="V2191"/>
  <c r="V2192"/>
  <c r="V2193"/>
  <c r="V2194"/>
  <c r="V2195"/>
  <c r="V2196"/>
  <c r="V2197"/>
  <c r="V2198"/>
  <c r="V2199"/>
  <c r="V2200"/>
  <c r="V2201"/>
  <c r="V2202"/>
  <c r="V2203"/>
  <c r="V2204"/>
  <c r="V2205"/>
  <c r="V2206"/>
  <c r="V2207"/>
  <c r="V2208"/>
  <c r="V2209"/>
  <c r="V2210"/>
  <c r="V2211"/>
  <c r="V2212"/>
  <c r="V2213"/>
  <c r="V2214"/>
  <c r="V2215"/>
  <c r="V2216"/>
  <c r="V2217"/>
  <c r="V2218"/>
  <c r="V2219"/>
  <c r="V2220"/>
  <c r="V2221"/>
  <c r="V2222"/>
  <c r="V2223"/>
  <c r="V2224"/>
  <c r="V2225"/>
  <c r="V2226"/>
  <c r="V2227"/>
  <c r="V2228"/>
  <c r="V2229"/>
  <c r="V2230"/>
  <c r="V2231"/>
  <c r="V2232"/>
  <c r="V2233"/>
  <c r="V2234"/>
  <c r="V2235"/>
  <c r="V2236"/>
  <c r="V2237"/>
  <c r="V2238"/>
  <c r="V2239"/>
  <c r="V2240"/>
  <c r="V2241"/>
  <c r="V2242"/>
  <c r="V2243"/>
  <c r="V2244"/>
  <c r="V2245"/>
  <c r="V2246"/>
  <c r="V2247"/>
  <c r="V2248"/>
  <c r="V2249"/>
  <c r="V2250"/>
  <c r="V2251"/>
  <c r="V2252"/>
  <c r="V2253"/>
  <c r="V2254"/>
  <c r="V2255"/>
  <c r="V2256"/>
  <c r="V2257"/>
  <c r="V2258"/>
  <c r="V2259"/>
  <c r="V2260"/>
  <c r="V2261"/>
  <c r="V2262"/>
  <c r="V2263"/>
  <c r="V2264"/>
  <c r="V2265"/>
  <c r="V2266"/>
  <c r="V2267"/>
  <c r="V2268"/>
  <c r="V2269"/>
  <c r="V2270"/>
  <c r="V2271"/>
  <c r="V2272"/>
  <c r="V2273"/>
  <c r="V2274"/>
  <c r="V2275"/>
  <c r="V2276"/>
  <c r="V2277"/>
  <c r="V2278"/>
  <c r="V2279"/>
  <c r="V2280"/>
  <c r="V2281"/>
  <c r="V2282"/>
  <c r="V2283"/>
  <c r="V2284"/>
  <c r="V2285"/>
  <c r="V2286"/>
  <c r="V2287"/>
  <c r="V2288"/>
  <c r="V2289"/>
  <c r="V2290"/>
  <c r="V2291"/>
  <c r="V2292"/>
  <c r="V2293"/>
  <c r="V2294"/>
  <c r="V2295"/>
  <c r="V2296"/>
  <c r="V2297"/>
  <c r="V2298"/>
  <c r="V2299"/>
  <c r="V2300"/>
  <c r="V2301"/>
  <c r="V2302"/>
  <c r="V2303"/>
  <c r="V2304"/>
  <c r="V2305"/>
  <c r="V2306"/>
  <c r="V2307"/>
  <c r="V2308"/>
  <c r="V2309"/>
  <c r="V2310"/>
  <c r="V2311"/>
  <c r="V2312"/>
  <c r="V2313"/>
  <c r="V2314"/>
  <c r="V2315"/>
  <c r="V2316"/>
  <c r="V2317"/>
  <c r="V2318"/>
  <c r="V2319"/>
  <c r="V2320"/>
  <c r="V2321"/>
  <c r="V2322"/>
  <c r="V2323"/>
  <c r="V2324"/>
  <c r="V2325"/>
  <c r="V2326"/>
  <c r="V2327"/>
  <c r="V2328"/>
  <c r="V2329"/>
  <c r="V2330"/>
  <c r="V2331"/>
  <c r="V2332"/>
  <c r="V2333"/>
  <c r="V2334"/>
  <c r="V2335"/>
  <c r="V2336"/>
  <c r="V2337"/>
  <c r="V2338"/>
  <c r="V2339"/>
  <c r="V2340"/>
  <c r="V2341"/>
  <c r="V2342"/>
  <c r="V2343"/>
  <c r="V2344"/>
  <c r="V2345"/>
  <c r="V2346"/>
  <c r="V2347"/>
  <c r="V2348"/>
  <c r="V2349"/>
  <c r="V2350"/>
  <c r="V2351"/>
  <c r="V2352"/>
  <c r="V2353"/>
  <c r="V2354"/>
  <c r="V2355"/>
  <c r="V2356"/>
  <c r="V2357"/>
  <c r="V2358"/>
  <c r="V2359"/>
  <c r="V2360"/>
  <c r="V2361"/>
  <c r="V2362"/>
  <c r="V2363"/>
  <c r="V2364"/>
  <c r="V2365"/>
  <c r="V2366"/>
  <c r="V2367"/>
  <c r="V2368"/>
  <c r="V2369"/>
  <c r="V2370"/>
  <c r="V2371"/>
  <c r="V2372"/>
  <c r="V2373"/>
  <c r="V2374"/>
  <c r="V2375"/>
  <c r="V2376"/>
  <c r="V2377"/>
  <c r="V2378"/>
  <c r="V2379"/>
  <c r="V2380"/>
  <c r="V2381"/>
  <c r="V2382"/>
  <c r="V2383"/>
  <c r="V2384"/>
  <c r="V2385"/>
  <c r="V2386"/>
  <c r="V2387"/>
  <c r="V2388"/>
  <c r="V2389"/>
  <c r="V2390"/>
  <c r="V2391"/>
  <c r="V2392"/>
  <c r="V2393"/>
  <c r="V2394"/>
  <c r="V2395"/>
  <c r="V2396"/>
  <c r="V2397"/>
  <c r="V2398"/>
  <c r="V2399"/>
  <c r="V2400"/>
  <c r="V2401"/>
  <c r="V2402"/>
  <c r="V2403"/>
  <c r="V2404"/>
  <c r="V2405"/>
  <c r="V2406"/>
  <c r="V2407"/>
  <c r="V2408"/>
  <c r="V2409"/>
  <c r="V2410"/>
  <c r="V2411"/>
  <c r="V2412"/>
  <c r="V2413"/>
  <c r="V2414"/>
  <c r="V2415"/>
  <c r="V2416"/>
  <c r="V2417"/>
  <c r="V2418"/>
  <c r="V2419"/>
  <c r="V2420"/>
  <c r="V2421"/>
  <c r="V2422"/>
  <c r="V2423"/>
  <c r="V2424"/>
  <c r="V2425"/>
  <c r="V2426"/>
  <c r="V2427"/>
  <c r="V2428"/>
  <c r="V2429"/>
  <c r="V2430"/>
  <c r="V2431"/>
  <c r="V2432"/>
  <c r="V2433"/>
  <c r="V2434"/>
  <c r="V2435"/>
  <c r="V2436"/>
  <c r="V2437"/>
  <c r="V2438"/>
  <c r="V2439"/>
  <c r="V2440"/>
  <c r="V2441"/>
  <c r="V2442"/>
  <c r="V2443"/>
  <c r="V2444"/>
  <c r="V2445"/>
  <c r="V2446"/>
  <c r="V2447"/>
  <c r="V2448"/>
  <c r="V2449"/>
  <c r="V2450"/>
  <c r="V2451"/>
  <c r="V2452"/>
  <c r="V2453"/>
  <c r="V2454"/>
  <c r="V2455"/>
  <c r="V2456"/>
  <c r="V2457"/>
  <c r="V2458"/>
  <c r="V2459"/>
  <c r="V2460"/>
  <c r="V2461"/>
  <c r="V2462"/>
  <c r="V2463"/>
  <c r="V2464"/>
  <c r="V2465"/>
  <c r="V2466"/>
  <c r="V2467"/>
  <c r="V2468"/>
  <c r="V2469"/>
  <c r="V2470"/>
  <c r="V2471"/>
  <c r="V2472"/>
  <c r="V2473"/>
  <c r="V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7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S271"/>
  <c r="S272"/>
  <c r="S273"/>
  <c r="S274"/>
  <c r="S275"/>
  <c r="S276"/>
  <c r="S277"/>
  <c r="S278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1"/>
  <c r="S302"/>
  <c r="S303"/>
  <c r="S304"/>
  <c r="S305"/>
  <c r="S306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349"/>
  <c r="S350"/>
  <c r="S351"/>
  <c r="S352"/>
  <c r="S353"/>
  <c r="S354"/>
  <c r="S355"/>
  <c r="S356"/>
  <c r="S357"/>
  <c r="S358"/>
  <c r="S359"/>
  <c r="S360"/>
  <c r="S361"/>
  <c r="S362"/>
  <c r="S363"/>
  <c r="S364"/>
  <c r="S365"/>
  <c r="S366"/>
  <c r="S367"/>
  <c r="S368"/>
  <c r="S369"/>
  <c r="S370"/>
  <c r="S371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08"/>
  <c r="S409"/>
  <c r="S410"/>
  <c r="S411"/>
  <c r="S412"/>
  <c r="S413"/>
  <c r="S414"/>
  <c r="S415"/>
  <c r="S416"/>
  <c r="S417"/>
  <c r="S418"/>
  <c r="S419"/>
  <c r="S420"/>
  <c r="S421"/>
  <c r="S422"/>
  <c r="S423"/>
  <c r="S424"/>
  <c r="S425"/>
  <c r="S426"/>
  <c r="S427"/>
  <c r="S428"/>
  <c r="S429"/>
  <c r="S430"/>
  <c r="S431"/>
  <c r="S432"/>
  <c r="S433"/>
  <c r="S434"/>
  <c r="S435"/>
  <c r="S436"/>
  <c r="S437"/>
  <c r="S438"/>
  <c r="S439"/>
  <c r="S440"/>
  <c r="S441"/>
  <c r="S442"/>
  <c r="S443"/>
  <c r="S444"/>
  <c r="S445"/>
  <c r="S446"/>
  <c r="S447"/>
  <c r="S448"/>
  <c r="S449"/>
  <c r="S450"/>
  <c r="S451"/>
  <c r="S452"/>
  <c r="S453"/>
  <c r="S454"/>
  <c r="S455"/>
  <c r="S456"/>
  <c r="S457"/>
  <c r="S458"/>
  <c r="S459"/>
  <c r="S460"/>
  <c r="S461"/>
  <c r="S462"/>
  <c r="S463"/>
  <c r="S464"/>
  <c r="S465"/>
  <c r="S466"/>
  <c r="S467"/>
  <c r="S468"/>
  <c r="S469"/>
  <c r="S470"/>
  <c r="S471"/>
  <c r="S472"/>
  <c r="S473"/>
  <c r="S474"/>
  <c r="S475"/>
  <c r="S476"/>
  <c r="S477"/>
  <c r="S478"/>
  <c r="S479"/>
  <c r="S480"/>
  <c r="S481"/>
  <c r="S482"/>
  <c r="S483"/>
  <c r="S484"/>
  <c r="S485"/>
  <c r="S486"/>
  <c r="S487"/>
  <c r="S488"/>
  <c r="S489"/>
  <c r="S490"/>
  <c r="S491"/>
  <c r="S492"/>
  <c r="S493"/>
  <c r="S494"/>
  <c r="S495"/>
  <c r="S496"/>
  <c r="S497"/>
  <c r="S498"/>
  <c r="S499"/>
  <c r="S500"/>
  <c r="S501"/>
  <c r="S502"/>
  <c r="S503"/>
  <c r="S504"/>
  <c r="S505"/>
  <c r="S506"/>
  <c r="S507"/>
  <c r="S508"/>
  <c r="S509"/>
  <c r="S510"/>
  <c r="S511"/>
  <c r="S512"/>
  <c r="S513"/>
  <c r="S514"/>
  <c r="S515"/>
  <c r="S516"/>
  <c r="S517"/>
  <c r="S518"/>
  <c r="S519"/>
  <c r="S520"/>
  <c r="S521"/>
  <c r="S522"/>
  <c r="S523"/>
  <c r="S524"/>
  <c r="S525"/>
  <c r="S526"/>
  <c r="S527"/>
  <c r="S528"/>
  <c r="S529"/>
  <c r="S530"/>
  <c r="S531"/>
  <c r="S532"/>
  <c r="S533"/>
  <c r="S534"/>
  <c r="S535"/>
  <c r="S536"/>
  <c r="S537"/>
  <c r="S538"/>
  <c r="S539"/>
  <c r="S540"/>
  <c r="S541"/>
  <c r="S542"/>
  <c r="S543"/>
  <c r="S544"/>
  <c r="S545"/>
  <c r="S546"/>
  <c r="S547"/>
  <c r="S548"/>
  <c r="S549"/>
  <c r="S550"/>
  <c r="S551"/>
  <c r="S552"/>
  <c r="S553"/>
  <c r="S554"/>
  <c r="S555"/>
  <c r="S556"/>
  <c r="S557"/>
  <c r="S558"/>
  <c r="S559"/>
  <c r="S560"/>
  <c r="S561"/>
  <c r="S562"/>
  <c r="S563"/>
  <c r="S564"/>
  <c r="S565"/>
  <c r="S566"/>
  <c r="S567"/>
  <c r="S568"/>
  <c r="S569"/>
  <c r="S570"/>
  <c r="S571"/>
  <c r="S572"/>
  <c r="S573"/>
  <c r="S574"/>
  <c r="S575"/>
  <c r="S576"/>
  <c r="S577"/>
  <c r="S578"/>
  <c r="S579"/>
  <c r="S580"/>
  <c r="S581"/>
  <c r="S582"/>
  <c r="S583"/>
  <c r="S584"/>
  <c r="S585"/>
  <c r="S586"/>
  <c r="S587"/>
  <c r="S588"/>
  <c r="S589"/>
  <c r="S590"/>
  <c r="S591"/>
  <c r="S592"/>
  <c r="S593"/>
  <c r="S594"/>
  <c r="S595"/>
  <c r="S596"/>
  <c r="S597"/>
  <c r="S598"/>
  <c r="S599"/>
  <c r="S600"/>
  <c r="S601"/>
  <c r="S602"/>
  <c r="S603"/>
  <c r="S604"/>
  <c r="S605"/>
  <c r="S606"/>
  <c r="S607"/>
  <c r="S608"/>
  <c r="S609"/>
  <c r="S610"/>
  <c r="S611"/>
  <c r="S612"/>
  <c r="S613"/>
  <c r="S614"/>
  <c r="S615"/>
  <c r="S616"/>
  <c r="S617"/>
  <c r="S618"/>
  <c r="S619"/>
  <c r="S620"/>
  <c r="S621"/>
  <c r="S622"/>
  <c r="S623"/>
  <c r="S624"/>
  <c r="S625"/>
  <c r="S626"/>
  <c r="S627"/>
  <c r="S628"/>
  <c r="S629"/>
  <c r="S630"/>
  <c r="S631"/>
  <c r="S632"/>
  <c r="S633"/>
  <c r="S634"/>
  <c r="S635"/>
  <c r="S636"/>
  <c r="S637"/>
  <c r="S638"/>
  <c r="S639"/>
  <c r="S640"/>
  <c r="S641"/>
  <c r="S642"/>
  <c r="S643"/>
  <c r="S644"/>
  <c r="S645"/>
  <c r="S646"/>
  <c r="S647"/>
  <c r="S648"/>
  <c r="S649"/>
  <c r="S650"/>
  <c r="S651"/>
  <c r="S652"/>
  <c r="S653"/>
  <c r="S654"/>
  <c r="S655"/>
  <c r="S656"/>
  <c r="S657"/>
  <c r="S658"/>
  <c r="S659"/>
  <c r="S660"/>
  <c r="S661"/>
  <c r="S662"/>
  <c r="S663"/>
  <c r="S664"/>
  <c r="S665"/>
  <c r="S666"/>
  <c r="S667"/>
  <c r="S668"/>
  <c r="S669"/>
  <c r="S670"/>
  <c r="S671"/>
  <c r="S672"/>
  <c r="S673"/>
  <c r="S674"/>
  <c r="S675"/>
  <c r="S676"/>
  <c r="S677"/>
  <c r="S678"/>
  <c r="S679"/>
  <c r="S680"/>
  <c r="S681"/>
  <c r="S682"/>
  <c r="S683"/>
  <c r="S684"/>
  <c r="S685"/>
  <c r="S686"/>
  <c r="S687"/>
  <c r="S688"/>
  <c r="S689"/>
  <c r="S690"/>
  <c r="S691"/>
  <c r="S692"/>
  <c r="S693"/>
  <c r="S694"/>
  <c r="S695"/>
  <c r="S696"/>
  <c r="S697"/>
  <c r="S698"/>
  <c r="S699"/>
  <c r="S700"/>
  <c r="S701"/>
  <c r="S702"/>
  <c r="S703"/>
  <c r="S704"/>
  <c r="S705"/>
  <c r="S706"/>
  <c r="S707"/>
  <c r="S708"/>
  <c r="S709"/>
  <c r="S710"/>
  <c r="S711"/>
  <c r="S712"/>
  <c r="S713"/>
  <c r="S714"/>
  <c r="S715"/>
  <c r="S716"/>
  <c r="S717"/>
  <c r="S718"/>
  <c r="S719"/>
  <c r="S720"/>
  <c r="S721"/>
  <c r="S722"/>
  <c r="S723"/>
  <c r="S724"/>
  <c r="S725"/>
  <c r="S726"/>
  <c r="S727"/>
  <c r="S728"/>
  <c r="S729"/>
  <c r="S730"/>
  <c r="S731"/>
  <c r="S732"/>
  <c r="S733"/>
  <c r="S734"/>
  <c r="S735"/>
  <c r="S736"/>
  <c r="S737"/>
  <c r="S738"/>
  <c r="S739"/>
  <c r="S740"/>
  <c r="S741"/>
  <c r="S742"/>
  <c r="S743"/>
  <c r="S744"/>
  <c r="S745"/>
  <c r="S746"/>
  <c r="S747"/>
  <c r="S748"/>
  <c r="S749"/>
  <c r="S750"/>
  <c r="S751"/>
  <c r="S752"/>
  <c r="S753"/>
  <c r="S754"/>
  <c r="S755"/>
  <c r="S756"/>
  <c r="S757"/>
  <c r="S758"/>
  <c r="S759"/>
  <c r="S760"/>
  <c r="S761"/>
  <c r="S762"/>
  <c r="S763"/>
  <c r="S764"/>
  <c r="S765"/>
  <c r="S766"/>
  <c r="S767"/>
  <c r="S768"/>
  <c r="S769"/>
  <c r="S770"/>
  <c r="S771"/>
  <c r="S772"/>
  <c r="S773"/>
  <c r="S774"/>
  <c r="S775"/>
  <c r="S776"/>
  <c r="S777"/>
  <c r="S778"/>
  <c r="S779"/>
  <c r="S780"/>
  <c r="S781"/>
  <c r="S782"/>
  <c r="S783"/>
  <c r="S784"/>
  <c r="S785"/>
  <c r="S786"/>
  <c r="S787"/>
  <c r="S788"/>
  <c r="S789"/>
  <c r="S790"/>
  <c r="S791"/>
  <c r="S792"/>
  <c r="S793"/>
  <c r="S794"/>
  <c r="S795"/>
  <c r="S796"/>
  <c r="S797"/>
  <c r="S798"/>
  <c r="S799"/>
  <c r="S800"/>
  <c r="S801"/>
  <c r="S802"/>
  <c r="S803"/>
  <c r="S804"/>
  <c r="S805"/>
  <c r="S806"/>
  <c r="S807"/>
  <c r="S808"/>
  <c r="S809"/>
  <c r="S810"/>
  <c r="S811"/>
  <c r="S812"/>
  <c r="S813"/>
  <c r="S814"/>
  <c r="S815"/>
  <c r="S816"/>
  <c r="S817"/>
  <c r="S818"/>
  <c r="S819"/>
  <c r="S820"/>
  <c r="S821"/>
  <c r="S822"/>
  <c r="S823"/>
  <c r="S824"/>
  <c r="S825"/>
  <c r="S826"/>
  <c r="S827"/>
  <c r="S828"/>
  <c r="S829"/>
  <c r="S830"/>
  <c r="S831"/>
  <c r="S832"/>
  <c r="S833"/>
  <c r="S834"/>
  <c r="S835"/>
  <c r="S836"/>
  <c r="S837"/>
  <c r="S838"/>
  <c r="S839"/>
  <c r="S840"/>
  <c r="S841"/>
  <c r="S842"/>
  <c r="S843"/>
  <c r="S844"/>
  <c r="S845"/>
  <c r="S846"/>
  <c r="S847"/>
  <c r="S848"/>
  <c r="S849"/>
  <c r="S850"/>
  <c r="S851"/>
  <c r="S852"/>
  <c r="S853"/>
  <c r="S854"/>
  <c r="S855"/>
  <c r="S856"/>
  <c r="S857"/>
  <c r="S858"/>
  <c r="S859"/>
  <c r="S860"/>
  <c r="S861"/>
  <c r="S862"/>
  <c r="S863"/>
  <c r="S864"/>
  <c r="S865"/>
  <c r="S866"/>
  <c r="S867"/>
  <c r="S868"/>
  <c r="S869"/>
  <c r="S870"/>
  <c r="S871"/>
  <c r="S872"/>
  <c r="S873"/>
  <c r="S874"/>
  <c r="S875"/>
  <c r="S876"/>
  <c r="S877"/>
  <c r="S878"/>
  <c r="S879"/>
  <c r="S880"/>
  <c r="S881"/>
  <c r="S882"/>
  <c r="S883"/>
  <c r="S884"/>
  <c r="S885"/>
  <c r="S886"/>
  <c r="S887"/>
  <c r="S888"/>
  <c r="S889"/>
  <c r="S890"/>
  <c r="S891"/>
  <c r="S892"/>
  <c r="S893"/>
  <c r="S894"/>
  <c r="S895"/>
  <c r="S896"/>
  <c r="S897"/>
  <c r="S898"/>
  <c r="S899"/>
  <c r="S900"/>
  <c r="S901"/>
  <c r="S902"/>
  <c r="S903"/>
  <c r="S904"/>
  <c r="S905"/>
  <c r="S906"/>
  <c r="S907"/>
  <c r="S908"/>
  <c r="S909"/>
  <c r="S910"/>
  <c r="S911"/>
  <c r="S912"/>
  <c r="S913"/>
  <c r="S914"/>
  <c r="S915"/>
  <c r="S916"/>
  <c r="S917"/>
  <c r="S918"/>
  <c r="S919"/>
  <c r="S920"/>
  <c r="S921"/>
  <c r="S922"/>
  <c r="S923"/>
  <c r="S924"/>
  <c r="S925"/>
  <c r="S926"/>
  <c r="S927"/>
  <c r="S928"/>
  <c r="S929"/>
  <c r="S930"/>
  <c r="S931"/>
  <c r="S932"/>
  <c r="S933"/>
  <c r="S934"/>
  <c r="S935"/>
  <c r="S936"/>
  <c r="S937"/>
  <c r="S938"/>
  <c r="S939"/>
  <c r="S940"/>
  <c r="S941"/>
  <c r="S942"/>
  <c r="S943"/>
  <c r="S944"/>
  <c r="S945"/>
  <c r="S946"/>
  <c r="S947"/>
  <c r="S948"/>
  <c r="S949"/>
  <c r="S950"/>
  <c r="S951"/>
  <c r="S952"/>
  <c r="S953"/>
  <c r="S954"/>
  <c r="S955"/>
  <c r="S956"/>
  <c r="S957"/>
  <c r="S958"/>
  <c r="S959"/>
  <c r="S960"/>
  <c r="S961"/>
  <c r="S962"/>
  <c r="S963"/>
  <c r="S964"/>
  <c r="S965"/>
  <c r="S966"/>
  <c r="S967"/>
  <c r="S968"/>
  <c r="S969"/>
  <c r="S970"/>
  <c r="S971"/>
  <c r="S972"/>
  <c r="S973"/>
  <c r="S974"/>
  <c r="S975"/>
  <c r="S976"/>
  <c r="S977"/>
  <c r="S978"/>
  <c r="S979"/>
  <c r="S980"/>
  <c r="S981"/>
  <c r="S982"/>
  <c r="S983"/>
  <c r="S984"/>
  <c r="S985"/>
  <c r="S986"/>
  <c r="S987"/>
  <c r="S988"/>
  <c r="S989"/>
  <c r="S990"/>
  <c r="S991"/>
  <c r="S992"/>
  <c r="S993"/>
  <c r="S994"/>
  <c r="S995"/>
  <c r="S996"/>
  <c r="S997"/>
  <c r="S998"/>
  <c r="S999"/>
  <c r="S1000"/>
  <c r="S1001"/>
  <c r="S1002"/>
  <c r="S1003"/>
  <c r="S1004"/>
  <c r="S1005"/>
  <c r="S1006"/>
  <c r="S1007"/>
  <c r="S1008"/>
  <c r="S1009"/>
  <c r="S1010"/>
  <c r="S1011"/>
  <c r="S1012"/>
  <c r="S1013"/>
  <c r="S1014"/>
  <c r="S1015"/>
  <c r="S1016"/>
  <c r="S1017"/>
  <c r="S1018"/>
  <c r="S1019"/>
  <c r="S1020"/>
  <c r="S1021"/>
  <c r="S1022"/>
  <c r="S1023"/>
  <c r="S1024"/>
  <c r="S1025"/>
  <c r="S1026"/>
  <c r="S1027"/>
  <c r="S1028"/>
  <c r="S1029"/>
  <c r="S1030"/>
  <c r="S1031"/>
  <c r="S1032"/>
  <c r="S1033"/>
  <c r="S1034"/>
  <c r="S1035"/>
  <c r="S1036"/>
  <c r="S1037"/>
  <c r="S1038"/>
  <c r="S1039"/>
  <c r="S1040"/>
  <c r="S1041"/>
  <c r="S1042"/>
  <c r="S1043"/>
  <c r="S1044"/>
  <c r="S1045"/>
  <c r="S1046"/>
  <c r="S1047"/>
  <c r="S1048"/>
  <c r="S1049"/>
  <c r="S1050"/>
  <c r="S1051"/>
  <c r="S1052"/>
  <c r="S1053"/>
  <c r="S1054"/>
  <c r="S1055"/>
  <c r="S1056"/>
  <c r="S1057"/>
  <c r="S1058"/>
  <c r="S1059"/>
  <c r="S1060"/>
  <c r="S1061"/>
  <c r="S1062"/>
  <c r="S1063"/>
  <c r="S1064"/>
  <c r="S1065"/>
  <c r="S1066"/>
  <c r="S1067"/>
  <c r="S1068"/>
  <c r="S1069"/>
  <c r="S1070"/>
  <c r="S1071"/>
  <c r="S1072"/>
  <c r="S1073"/>
  <c r="S1074"/>
  <c r="S1075"/>
  <c r="S1076"/>
  <c r="S1077"/>
  <c r="S1078"/>
  <c r="S1079"/>
  <c r="S1080"/>
  <c r="S1081"/>
  <c r="S1082"/>
  <c r="S1083"/>
  <c r="S1084"/>
  <c r="S1085"/>
  <c r="S1086"/>
  <c r="S1087"/>
  <c r="S1088"/>
  <c r="S1089"/>
  <c r="S1090"/>
  <c r="S1091"/>
  <c r="S1092"/>
  <c r="S1093"/>
  <c r="S1094"/>
  <c r="S1095"/>
  <c r="S1096"/>
  <c r="S1097"/>
  <c r="S1098"/>
  <c r="S1099"/>
  <c r="S1100"/>
  <c r="S1101"/>
  <c r="S1102"/>
  <c r="S1103"/>
  <c r="S1104"/>
  <c r="S1105"/>
  <c r="S1106"/>
  <c r="S1107"/>
  <c r="S1108"/>
  <c r="S1109"/>
  <c r="S1110"/>
  <c r="S1111"/>
  <c r="S1112"/>
  <c r="S1113"/>
  <c r="S1114"/>
  <c r="S1115"/>
  <c r="S1116"/>
  <c r="S1117"/>
  <c r="S1118"/>
  <c r="S1119"/>
  <c r="S1120"/>
  <c r="S1121"/>
  <c r="S1122"/>
  <c r="S1123"/>
  <c r="S1124"/>
  <c r="S1125"/>
  <c r="S1126"/>
  <c r="S1127"/>
  <c r="S1128"/>
  <c r="S1129"/>
  <c r="S1130"/>
  <c r="S1131"/>
  <c r="S1132"/>
  <c r="S1133"/>
  <c r="S1134"/>
  <c r="S1135"/>
  <c r="S1136"/>
  <c r="S1137"/>
  <c r="S1138"/>
  <c r="S1139"/>
  <c r="S1140"/>
  <c r="S1141"/>
  <c r="S1142"/>
  <c r="S1143"/>
  <c r="S1144"/>
  <c r="S1145"/>
  <c r="S1146"/>
  <c r="S1147"/>
  <c r="S1148"/>
  <c r="S1149"/>
  <c r="S1150"/>
  <c r="S1151"/>
  <c r="S1152"/>
  <c r="S1153"/>
  <c r="S1154"/>
  <c r="S1155"/>
  <c r="S1156"/>
  <c r="S1157"/>
  <c r="S1158"/>
  <c r="S1159"/>
  <c r="S1160"/>
  <c r="S1161"/>
  <c r="S1162"/>
  <c r="S1163"/>
  <c r="S1164"/>
  <c r="S1165"/>
  <c r="S1166"/>
  <c r="S1167"/>
  <c r="S1168"/>
  <c r="S1169"/>
  <c r="S1170"/>
  <c r="S1171"/>
  <c r="S1172"/>
  <c r="S1173"/>
  <c r="S1174"/>
  <c r="S1175"/>
  <c r="S1176"/>
  <c r="S1177"/>
  <c r="S1178"/>
  <c r="S1179"/>
  <c r="S1180"/>
  <c r="S1181"/>
  <c r="S1182"/>
  <c r="S1183"/>
  <c r="S1184"/>
  <c r="S1185"/>
  <c r="S1186"/>
  <c r="S1187"/>
  <c r="S1188"/>
  <c r="S1189"/>
  <c r="S1190"/>
  <c r="S1191"/>
  <c r="S1192"/>
  <c r="S1193"/>
  <c r="S1194"/>
  <c r="S1195"/>
  <c r="S1196"/>
  <c r="S1197"/>
  <c r="S1198"/>
  <c r="S1199"/>
  <c r="S1200"/>
  <c r="S1201"/>
  <c r="S1202"/>
  <c r="S1203"/>
  <c r="S1204"/>
  <c r="S1205"/>
  <c r="S1206"/>
  <c r="S1207"/>
  <c r="S1208"/>
  <c r="S1209"/>
  <c r="S1210"/>
  <c r="S1211"/>
  <c r="S1212"/>
  <c r="S1213"/>
  <c r="S1214"/>
  <c r="S1215"/>
  <c r="S1216"/>
  <c r="S1217"/>
  <c r="S1218"/>
  <c r="S1219"/>
  <c r="S1220"/>
  <c r="S1221"/>
  <c r="S1222"/>
  <c r="S1223"/>
  <c r="S1224"/>
  <c r="S1225"/>
  <c r="S1226"/>
  <c r="S1227"/>
  <c r="S1228"/>
  <c r="S1229"/>
  <c r="S1230"/>
  <c r="S1231"/>
  <c r="S1232"/>
  <c r="S1233"/>
  <c r="S1234"/>
  <c r="S1235"/>
  <c r="S1236"/>
  <c r="S1237"/>
  <c r="S1238"/>
  <c r="S1239"/>
  <c r="S1240"/>
  <c r="S1241"/>
  <c r="S1242"/>
  <c r="S1243"/>
  <c r="S1244"/>
  <c r="S1245"/>
  <c r="S1246"/>
  <c r="S1247"/>
  <c r="S1248"/>
  <c r="S1249"/>
  <c r="S1250"/>
  <c r="S1251"/>
  <c r="S1252"/>
  <c r="S1253"/>
  <c r="S1254"/>
  <c r="S1255"/>
  <c r="S1256"/>
  <c r="S1257"/>
  <c r="S1258"/>
  <c r="S1259"/>
  <c r="S1260"/>
  <c r="S1261"/>
  <c r="S1262"/>
  <c r="S1263"/>
  <c r="S1264"/>
  <c r="S1265"/>
  <c r="S1266"/>
  <c r="S1267"/>
  <c r="S1268"/>
  <c r="S1269"/>
  <c r="S1270"/>
  <c r="S1271"/>
  <c r="S1272"/>
  <c r="S1273"/>
  <c r="S1274"/>
  <c r="S1275"/>
  <c r="S1276"/>
  <c r="S1277"/>
  <c r="S1278"/>
  <c r="S1279"/>
  <c r="S1280"/>
  <c r="S1281"/>
  <c r="S1282"/>
  <c r="S1283"/>
  <c r="S1284"/>
  <c r="S1285"/>
  <c r="S1286"/>
  <c r="S1287"/>
  <c r="S1288"/>
  <c r="S1289"/>
  <c r="S1290"/>
  <c r="S1291"/>
  <c r="S1292"/>
  <c r="S1293"/>
  <c r="S1294"/>
  <c r="S1295"/>
  <c r="S1296"/>
  <c r="S1297"/>
  <c r="S1298"/>
  <c r="S1299"/>
  <c r="S1300"/>
  <c r="S1301"/>
  <c r="S1302"/>
  <c r="S1303"/>
  <c r="S1304"/>
  <c r="S1305"/>
  <c r="S1306"/>
  <c r="S1307"/>
  <c r="S1308"/>
  <c r="S1309"/>
  <c r="S1310"/>
  <c r="S1311"/>
  <c r="S1312"/>
  <c r="S1313"/>
  <c r="S1314"/>
  <c r="S1315"/>
  <c r="S1316"/>
  <c r="S1317"/>
  <c r="S1318"/>
  <c r="S1319"/>
  <c r="S1320"/>
  <c r="S1321"/>
  <c r="S1322"/>
  <c r="S1323"/>
  <c r="S1324"/>
  <c r="S1325"/>
  <c r="S1326"/>
  <c r="S1327"/>
  <c r="S1328"/>
  <c r="S1330"/>
  <c r="S1331"/>
  <c r="S1333"/>
  <c r="S1334"/>
  <c r="S1335"/>
  <c r="S1336"/>
  <c r="S1337"/>
  <c r="S1338"/>
  <c r="S1339"/>
  <c r="S1340"/>
  <c r="S1341"/>
  <c r="S1342"/>
  <c r="S1343"/>
  <c r="S1344"/>
  <c r="S1345"/>
  <c r="S1346"/>
  <c r="S1347"/>
  <c r="S1348"/>
  <c r="S1349"/>
  <c r="S1350"/>
  <c r="S1351"/>
  <c r="S1352"/>
  <c r="S1353"/>
  <c r="S1354"/>
  <c r="S1355"/>
  <c r="S1356"/>
  <c r="S1357"/>
  <c r="S1359"/>
  <c r="S1360"/>
  <c r="S1361"/>
  <c r="S1362"/>
  <c r="S1363"/>
  <c r="S1364"/>
  <c r="S1365"/>
  <c r="S1366"/>
  <c r="S1367"/>
  <c r="S1368"/>
  <c r="S1369"/>
  <c r="S1370"/>
  <c r="S1371"/>
  <c r="S1372"/>
  <c r="S1373"/>
  <c r="S1374"/>
  <c r="S1375"/>
  <c r="S1376"/>
  <c r="S1377"/>
  <c r="S1378"/>
  <c r="S1379"/>
  <c r="S1380"/>
  <c r="S1381"/>
  <c r="S1382"/>
  <c r="S1383"/>
  <c r="S1384"/>
  <c r="S1385"/>
  <c r="S1386"/>
  <c r="S1387"/>
  <c r="S1388"/>
  <c r="S1389"/>
  <c r="S1390"/>
  <c r="S1391"/>
  <c r="S1392"/>
  <c r="S1393"/>
  <c r="S1394"/>
  <c r="S1395"/>
  <c r="S1396"/>
  <c r="S1397"/>
  <c r="S1398"/>
  <c r="S1399"/>
  <c r="S1400"/>
  <c r="S1401"/>
  <c r="S1402"/>
  <c r="S1403"/>
  <c r="S1404"/>
  <c r="S1405"/>
  <c r="S1406"/>
  <c r="S1407"/>
  <c r="S1408"/>
  <c r="S1409"/>
  <c r="S1410"/>
  <c r="S1411"/>
  <c r="S1412"/>
  <c r="S1413"/>
  <c r="S1414"/>
  <c r="S1415"/>
  <c r="S1416"/>
  <c r="S1417"/>
  <c r="S1418"/>
  <c r="S1419"/>
  <c r="S1420"/>
  <c r="S1421"/>
  <c r="S1422"/>
  <c r="S1423"/>
  <c r="S1424"/>
  <c r="S1425"/>
  <c r="S1426"/>
  <c r="S1427"/>
  <c r="S1428"/>
  <c r="S1429"/>
  <c r="S1430"/>
  <c r="S1431"/>
  <c r="S1432"/>
  <c r="S1433"/>
  <c r="S1434"/>
  <c r="S1435"/>
  <c r="S1436"/>
  <c r="S1437"/>
  <c r="S1438"/>
  <c r="S1439"/>
  <c r="S1440"/>
  <c r="S1441"/>
  <c r="S1442"/>
  <c r="S1443"/>
  <c r="S1444"/>
  <c r="S1445"/>
  <c r="S1446"/>
  <c r="S1447"/>
  <c r="S1448"/>
  <c r="S1449"/>
  <c r="S1450"/>
  <c r="S1451"/>
  <c r="S1452"/>
  <c r="S1453"/>
  <c r="S1454"/>
  <c r="S1455"/>
  <c r="S1456"/>
  <c r="S1457"/>
  <c r="S1458"/>
  <c r="S1459"/>
  <c r="S1460"/>
  <c r="S1461"/>
  <c r="S1462"/>
  <c r="S1463"/>
  <c r="S1464"/>
  <c r="S1465"/>
  <c r="S1466"/>
  <c r="S1467"/>
  <c r="S1468"/>
  <c r="S1469"/>
  <c r="S1470"/>
  <c r="S1471"/>
  <c r="S1472"/>
  <c r="S1473"/>
  <c r="S1474"/>
  <c r="S1475"/>
  <c r="S1476"/>
  <c r="S1477"/>
  <c r="S1478"/>
  <c r="S1479"/>
  <c r="S1480"/>
  <c r="S1481"/>
  <c r="S1482"/>
  <c r="S1483"/>
  <c r="S1484"/>
  <c r="S1485"/>
  <c r="S1486"/>
  <c r="S1487"/>
  <c r="S1488"/>
  <c r="S1489"/>
  <c r="S1490"/>
  <c r="S1491"/>
  <c r="S1492"/>
  <c r="S1493"/>
  <c r="S1494"/>
  <c r="S1495"/>
  <c r="S1496"/>
  <c r="S1497"/>
  <c r="S1498"/>
  <c r="S1499"/>
  <c r="S1500"/>
  <c r="S1501"/>
  <c r="S1502"/>
  <c r="S1503"/>
  <c r="S1504"/>
  <c r="S1505"/>
  <c r="S1506"/>
  <c r="S1507"/>
  <c r="S1508"/>
  <c r="S1509"/>
  <c r="S1510"/>
  <c r="S1511"/>
  <c r="S1512"/>
  <c r="S1513"/>
  <c r="S1514"/>
  <c r="S1515"/>
  <c r="S1516"/>
  <c r="S1517"/>
  <c r="S1518"/>
  <c r="S1519"/>
  <c r="S1520"/>
  <c r="S1521"/>
  <c r="S1522"/>
  <c r="S1523"/>
  <c r="S1524"/>
  <c r="S1525"/>
  <c r="S1526"/>
  <c r="S1527"/>
  <c r="S1528"/>
  <c r="S1529"/>
  <c r="S1530"/>
  <c r="S1531"/>
  <c r="S1532"/>
  <c r="S1533"/>
  <c r="S1534"/>
  <c r="S1535"/>
  <c r="S1536"/>
  <c r="S1537"/>
  <c r="S1538"/>
  <c r="S1539"/>
  <c r="S1540"/>
  <c r="S1541"/>
  <c r="S1542"/>
  <c r="S1543"/>
  <c r="S1544"/>
  <c r="S1545"/>
  <c r="S1546"/>
  <c r="S1547"/>
  <c r="S1548"/>
  <c r="S1549"/>
  <c r="S1550"/>
  <c r="S1551"/>
  <c r="S1552"/>
  <c r="S1553"/>
  <c r="S1554"/>
  <c r="S1555"/>
  <c r="S1556"/>
  <c r="S1557"/>
  <c r="S1558"/>
  <c r="S1559"/>
  <c r="S1560"/>
  <c r="S1561"/>
  <c r="S1562"/>
  <c r="S1563"/>
  <c r="S1564"/>
  <c r="S1565"/>
  <c r="S1566"/>
  <c r="S1567"/>
  <c r="S1568"/>
  <c r="S1569"/>
  <c r="S1570"/>
  <c r="S1571"/>
  <c r="S1572"/>
  <c r="S1573"/>
  <c r="S1574"/>
  <c r="S1575"/>
  <c r="S1576"/>
  <c r="S1577"/>
  <c r="S1578"/>
  <c r="S1579"/>
  <c r="S1580"/>
  <c r="S1581"/>
  <c r="S1582"/>
  <c r="S1583"/>
  <c r="S1584"/>
  <c r="S1585"/>
  <c r="S1586"/>
  <c r="S1587"/>
  <c r="S1588"/>
  <c r="S1589"/>
  <c r="S1590"/>
  <c r="S1591"/>
  <c r="S1592"/>
  <c r="S1593"/>
  <c r="S1594"/>
  <c r="S1595"/>
  <c r="S1596"/>
  <c r="S1597"/>
  <c r="S1598"/>
  <c r="S1599"/>
  <c r="S1600"/>
  <c r="S1601"/>
  <c r="S1602"/>
  <c r="S1603"/>
  <c r="S1604"/>
  <c r="S1605"/>
  <c r="S1606"/>
  <c r="S1607"/>
  <c r="S1608"/>
  <c r="S1609"/>
  <c r="S1610"/>
  <c r="S1611"/>
  <c r="S1612"/>
  <c r="S1613"/>
  <c r="S1614"/>
  <c r="S1615"/>
  <c r="S1616"/>
  <c r="S1617"/>
  <c r="S1618"/>
  <c r="S1619"/>
  <c r="S1620"/>
  <c r="S1621"/>
  <c r="S1622"/>
  <c r="S1623"/>
  <c r="S1624"/>
  <c r="S1625"/>
  <c r="S1626"/>
  <c r="S1627"/>
  <c r="S1628"/>
  <c r="S1629"/>
  <c r="S1630"/>
  <c r="S1631"/>
  <c r="S1632"/>
  <c r="S1633"/>
  <c r="S1634"/>
  <c r="S1635"/>
  <c r="S1636"/>
  <c r="S1637"/>
  <c r="S1638"/>
  <c r="S1639"/>
  <c r="S1640"/>
  <c r="S1641"/>
  <c r="S1642"/>
  <c r="S1643"/>
  <c r="S1644"/>
  <c r="S1645"/>
  <c r="S1646"/>
  <c r="S1647"/>
  <c r="S1648"/>
  <c r="S1649"/>
  <c r="S1650"/>
  <c r="S1651"/>
  <c r="S1652"/>
  <c r="S1653"/>
  <c r="S1654"/>
  <c r="S1655"/>
  <c r="S1656"/>
  <c r="S1657"/>
  <c r="S1658"/>
  <c r="S1659"/>
  <c r="S1660"/>
  <c r="S1661"/>
  <c r="S1662"/>
  <c r="S1663"/>
  <c r="S1664"/>
  <c r="S1665"/>
  <c r="S1666"/>
  <c r="S1667"/>
  <c r="S1668"/>
  <c r="S1669"/>
  <c r="S1670"/>
  <c r="S1671"/>
  <c r="S1672"/>
  <c r="S1673"/>
  <c r="S1674"/>
  <c r="S1675"/>
  <c r="S1676"/>
  <c r="S1677"/>
  <c r="S1678"/>
  <c r="S1679"/>
  <c r="S1680"/>
  <c r="S1681"/>
  <c r="S1682"/>
  <c r="S1683"/>
  <c r="S1684"/>
  <c r="S1685"/>
  <c r="S1686"/>
  <c r="S1687"/>
  <c r="S1688"/>
  <c r="S1689"/>
  <c r="S1690"/>
  <c r="S1691"/>
  <c r="S1692"/>
  <c r="S1693"/>
  <c r="S1694"/>
  <c r="S1695"/>
  <c r="S1696"/>
  <c r="S1697"/>
  <c r="S1698"/>
  <c r="S1699"/>
  <c r="S1700"/>
  <c r="S1701"/>
  <c r="S1702"/>
  <c r="S1703"/>
  <c r="S1704"/>
  <c r="S1705"/>
  <c r="S1706"/>
  <c r="S1707"/>
  <c r="S1708"/>
  <c r="S1709"/>
  <c r="S1710"/>
  <c r="S1711"/>
  <c r="S1712"/>
  <c r="S1713"/>
  <c r="S1714"/>
  <c r="S1715"/>
  <c r="S1716"/>
  <c r="S1717"/>
  <c r="S1718"/>
  <c r="S1719"/>
  <c r="S1720"/>
  <c r="S1721"/>
  <c r="S1722"/>
  <c r="S1723"/>
  <c r="S1724"/>
  <c r="S1725"/>
  <c r="S1726"/>
  <c r="S1727"/>
  <c r="S1728"/>
  <c r="S1729"/>
  <c r="S1730"/>
  <c r="S1731"/>
  <c r="S1732"/>
  <c r="S1733"/>
  <c r="S1734"/>
  <c r="S1735"/>
  <c r="S1736"/>
  <c r="S1737"/>
  <c r="S1738"/>
  <c r="S1739"/>
  <c r="S1740"/>
  <c r="S1741"/>
  <c r="S1742"/>
  <c r="S1743"/>
  <c r="S1744"/>
  <c r="S1745"/>
  <c r="S1746"/>
  <c r="S1747"/>
  <c r="S1748"/>
  <c r="S1749"/>
  <c r="S1750"/>
  <c r="S1751"/>
  <c r="S1752"/>
  <c r="S1753"/>
  <c r="S1754"/>
  <c r="S1755"/>
  <c r="S1756"/>
  <c r="S1757"/>
  <c r="S1758"/>
  <c r="S1759"/>
  <c r="S1760"/>
  <c r="S1761"/>
  <c r="S1762"/>
  <c r="S1763"/>
  <c r="S1764"/>
  <c r="S1765"/>
  <c r="S1766"/>
  <c r="S1767"/>
  <c r="S1768"/>
  <c r="S1769"/>
  <c r="S1770"/>
  <c r="S1771"/>
  <c r="S1772"/>
  <c r="S1773"/>
  <c r="S1774"/>
  <c r="S1775"/>
  <c r="S1776"/>
  <c r="S1777"/>
  <c r="S1778"/>
  <c r="S1779"/>
  <c r="S1780"/>
  <c r="S1781"/>
  <c r="S1782"/>
  <c r="S1783"/>
  <c r="S1784"/>
  <c r="S1785"/>
  <c r="S1786"/>
  <c r="S1787"/>
  <c r="S1788"/>
  <c r="S1789"/>
  <c r="S1790"/>
  <c r="S1791"/>
  <c r="S1792"/>
  <c r="S1793"/>
  <c r="S1794"/>
  <c r="S1795"/>
  <c r="S1796"/>
  <c r="S1797"/>
  <c r="S1798"/>
  <c r="S1799"/>
  <c r="S1800"/>
  <c r="S1801"/>
  <c r="S1802"/>
  <c r="S1803"/>
  <c r="S1804"/>
  <c r="S1805"/>
  <c r="S1806"/>
  <c r="S1807"/>
  <c r="S1808"/>
  <c r="S1809"/>
  <c r="S1810"/>
  <c r="S1811"/>
  <c r="S1812"/>
  <c r="S1813"/>
  <c r="S1814"/>
  <c r="S1815"/>
  <c r="S1816"/>
  <c r="S1817"/>
  <c r="S1818"/>
  <c r="S1819"/>
  <c r="S1820"/>
  <c r="S1821"/>
  <c r="S1822"/>
  <c r="S1823"/>
  <c r="S1824"/>
  <c r="S1825"/>
  <c r="S1826"/>
  <c r="S1827"/>
  <c r="S1828"/>
  <c r="S1829"/>
  <c r="S1830"/>
  <c r="S1831"/>
  <c r="S1832"/>
  <c r="S1833"/>
  <c r="S1834"/>
  <c r="S1835"/>
  <c r="S1836"/>
  <c r="S1837"/>
  <c r="S1838"/>
  <c r="S1839"/>
  <c r="S1840"/>
  <c r="S1841"/>
  <c r="S1842"/>
  <c r="S1843"/>
  <c r="S1844"/>
  <c r="S1845"/>
  <c r="S1846"/>
  <c r="S1847"/>
  <c r="S1848"/>
  <c r="S1849"/>
  <c r="S1850"/>
  <c r="S1851"/>
  <c r="S1852"/>
  <c r="S1853"/>
  <c r="S1854"/>
  <c r="S1855"/>
  <c r="S1856"/>
  <c r="S1857"/>
  <c r="S1858"/>
  <c r="S1859"/>
  <c r="S1860"/>
  <c r="S1861"/>
  <c r="S1862"/>
  <c r="S1863"/>
  <c r="S1864"/>
  <c r="S1865"/>
  <c r="S1866"/>
  <c r="S1867"/>
  <c r="S1868"/>
  <c r="S1869"/>
  <c r="S1870"/>
  <c r="S1871"/>
  <c r="S1872"/>
  <c r="S1873"/>
  <c r="S1874"/>
  <c r="S1875"/>
  <c r="S1876"/>
  <c r="S1877"/>
  <c r="S1878"/>
  <c r="S1879"/>
  <c r="S1880"/>
  <c r="S1881"/>
  <c r="S1882"/>
  <c r="S1883"/>
  <c r="S1884"/>
  <c r="S1885"/>
  <c r="S1886"/>
  <c r="S1887"/>
  <c r="S1888"/>
  <c r="S1889"/>
  <c r="S1890"/>
  <c r="S1891"/>
  <c r="S1892"/>
  <c r="S1893"/>
  <c r="S1894"/>
  <c r="S1895"/>
  <c r="S1896"/>
  <c r="S1897"/>
  <c r="S1898"/>
  <c r="S1899"/>
  <c r="S1900"/>
  <c r="S1901"/>
  <c r="S1902"/>
  <c r="S1903"/>
  <c r="S1904"/>
  <c r="S1905"/>
  <c r="S1906"/>
  <c r="S1907"/>
  <c r="S1908"/>
  <c r="S1909"/>
  <c r="S1910"/>
  <c r="S1911"/>
  <c r="S1912"/>
  <c r="S1913"/>
  <c r="S1914"/>
  <c r="S1915"/>
  <c r="S1916"/>
  <c r="S1917"/>
  <c r="S1918"/>
  <c r="S1919"/>
  <c r="S1920"/>
  <c r="S1921"/>
  <c r="S1922"/>
  <c r="S1923"/>
  <c r="S1924"/>
  <c r="S1925"/>
  <c r="S1926"/>
  <c r="S1927"/>
  <c r="S1928"/>
  <c r="S1929"/>
  <c r="S1930"/>
  <c r="S1931"/>
  <c r="S1932"/>
  <c r="S1933"/>
  <c r="S1934"/>
  <c r="S1935"/>
  <c r="S1936"/>
  <c r="S1937"/>
  <c r="S1938"/>
  <c r="S1939"/>
  <c r="S1940"/>
  <c r="S1941"/>
  <c r="S1942"/>
  <c r="S1943"/>
  <c r="S1944"/>
  <c r="S1945"/>
  <c r="S1946"/>
  <c r="S1947"/>
  <c r="S1948"/>
  <c r="S1949"/>
  <c r="S1950"/>
  <c r="S1951"/>
  <c r="S1952"/>
  <c r="S1953"/>
  <c r="S1954"/>
  <c r="S1955"/>
  <c r="S1956"/>
  <c r="S1957"/>
  <c r="S1958"/>
  <c r="S1959"/>
  <c r="S1960"/>
  <c r="S1961"/>
  <c r="S1962"/>
  <c r="S1963"/>
  <c r="S1964"/>
  <c r="S1965"/>
  <c r="S1966"/>
  <c r="S1967"/>
  <c r="S1968"/>
  <c r="S1969"/>
  <c r="S1970"/>
  <c r="S1971"/>
  <c r="S1972"/>
  <c r="S1973"/>
  <c r="S1974"/>
  <c r="S1975"/>
  <c r="S1976"/>
  <c r="S1977"/>
  <c r="S1978"/>
  <c r="S1979"/>
  <c r="S1980"/>
  <c r="S1981"/>
  <c r="S1982"/>
  <c r="S1983"/>
  <c r="S1984"/>
  <c r="S1985"/>
  <c r="S1986"/>
  <c r="S1987"/>
  <c r="S1988"/>
  <c r="S1989"/>
  <c r="S1990"/>
  <c r="S1991"/>
  <c r="S1992"/>
  <c r="S1993"/>
  <c r="S1994"/>
  <c r="S1995"/>
  <c r="S1996"/>
  <c r="S1997"/>
  <c r="S1998"/>
  <c r="S1999"/>
  <c r="S2000"/>
  <c r="S2001"/>
  <c r="S2002"/>
  <c r="S2003"/>
  <c r="S2004"/>
  <c r="S2005"/>
  <c r="S2006"/>
  <c r="S2007"/>
  <c r="S2008"/>
  <c r="S2009"/>
  <c r="S2010"/>
  <c r="S2011"/>
  <c r="S2012"/>
  <c r="S2013"/>
  <c r="S2014"/>
  <c r="S2015"/>
  <c r="S2016"/>
  <c r="S2017"/>
  <c r="S2018"/>
  <c r="S2019"/>
  <c r="S2020"/>
  <c r="S2021"/>
  <c r="S2022"/>
  <c r="S2023"/>
  <c r="S2024"/>
  <c r="S2025"/>
  <c r="S2026"/>
  <c r="S2027"/>
  <c r="S2028"/>
  <c r="S2029"/>
  <c r="S2030"/>
  <c r="S2031"/>
  <c r="S2032"/>
  <c r="S2033"/>
  <c r="S2034"/>
  <c r="S2035"/>
  <c r="S2036"/>
  <c r="S2037"/>
  <c r="S2038"/>
  <c r="S2039"/>
  <c r="S2040"/>
  <c r="S2041"/>
  <c r="S2042"/>
  <c r="S2043"/>
  <c r="S2044"/>
  <c r="S2045"/>
  <c r="S2046"/>
  <c r="S2047"/>
  <c r="S2048"/>
  <c r="S2049"/>
  <c r="S2050"/>
  <c r="S2051"/>
  <c r="S2052"/>
  <c r="S2053"/>
  <c r="S2054"/>
  <c r="S2055"/>
  <c r="S2056"/>
  <c r="S2057"/>
  <c r="S2058"/>
  <c r="S2059"/>
  <c r="S2060"/>
  <c r="S2061"/>
  <c r="S2062"/>
  <c r="S2063"/>
  <c r="S2064"/>
  <c r="S2065"/>
  <c r="S2066"/>
  <c r="S2067"/>
  <c r="S2069"/>
  <c r="S2070"/>
  <c r="S2071"/>
  <c r="S2072"/>
  <c r="S2073"/>
  <c r="S2074"/>
  <c r="S2075"/>
  <c r="S2076"/>
  <c r="S2077"/>
  <c r="S2078"/>
  <c r="S2079"/>
  <c r="S2081"/>
  <c r="S2082"/>
  <c r="S2083"/>
  <c r="S2084"/>
  <c r="S2085"/>
  <c r="S2086"/>
  <c r="S2087"/>
  <c r="S2088"/>
  <c r="S2089"/>
  <c r="S2090"/>
  <c r="S2091"/>
  <c r="S2092"/>
  <c r="S2093"/>
  <c r="S2094"/>
  <c r="S2095"/>
  <c r="S2096"/>
  <c r="S2097"/>
  <c r="S2098"/>
  <c r="S2099"/>
  <c r="S2100"/>
  <c r="S2101"/>
  <c r="S2102"/>
  <c r="S2103"/>
  <c r="S2104"/>
  <c r="S2105"/>
  <c r="S2106"/>
  <c r="S2107"/>
  <c r="S2108"/>
  <c r="S2109"/>
  <c r="S2110"/>
  <c r="S2111"/>
  <c r="S2112"/>
  <c r="S2113"/>
  <c r="S2114"/>
  <c r="S2115"/>
  <c r="S2116"/>
  <c r="S2117"/>
  <c r="S2118"/>
  <c r="S2119"/>
  <c r="S2120"/>
  <c r="S2121"/>
  <c r="S2122"/>
  <c r="S2123"/>
  <c r="S2124"/>
  <c r="S2125"/>
  <c r="S2126"/>
  <c r="S2127"/>
  <c r="S2128"/>
  <c r="S2129"/>
  <c r="S2130"/>
  <c r="S2131"/>
  <c r="S2132"/>
  <c r="S2133"/>
  <c r="S2134"/>
  <c r="S2135"/>
  <c r="S2136"/>
  <c r="S2137"/>
  <c r="S2138"/>
  <c r="S2139"/>
  <c r="S2140"/>
  <c r="S2141"/>
  <c r="S2142"/>
  <c r="S2143"/>
  <c r="S2144"/>
  <c r="S2145"/>
  <c r="S2146"/>
  <c r="S2147"/>
  <c r="S2148"/>
  <c r="S2149"/>
  <c r="S2150"/>
  <c r="S2151"/>
  <c r="S2152"/>
  <c r="S2153"/>
  <c r="S2154"/>
  <c r="S2155"/>
  <c r="S2156"/>
  <c r="S2157"/>
  <c r="S2158"/>
  <c r="S2159"/>
  <c r="S2160"/>
  <c r="S2161"/>
  <c r="S2162"/>
  <c r="S2163"/>
  <c r="S2164"/>
  <c r="S2165"/>
  <c r="S2166"/>
  <c r="S2167"/>
  <c r="S2168"/>
  <c r="S2169"/>
  <c r="S2170"/>
  <c r="S2171"/>
  <c r="S2172"/>
  <c r="S2173"/>
  <c r="S2174"/>
  <c r="S2175"/>
  <c r="S2176"/>
  <c r="S2177"/>
  <c r="S2178"/>
  <c r="S2179"/>
  <c r="S2180"/>
  <c r="S2181"/>
  <c r="S2182"/>
  <c r="S2183"/>
  <c r="S2184"/>
  <c r="S2185"/>
  <c r="S2186"/>
  <c r="S2187"/>
  <c r="S2188"/>
  <c r="S2189"/>
  <c r="S2190"/>
  <c r="S2191"/>
  <c r="S2192"/>
  <c r="S2193"/>
  <c r="S2194"/>
  <c r="S2195"/>
  <c r="S2196"/>
  <c r="S2197"/>
  <c r="S2198"/>
  <c r="S2199"/>
  <c r="S2200"/>
  <c r="S2201"/>
  <c r="S2202"/>
  <c r="S2203"/>
  <c r="S2204"/>
  <c r="S2205"/>
  <c r="S2206"/>
  <c r="S2207"/>
  <c r="S2208"/>
  <c r="S2209"/>
  <c r="S2210"/>
  <c r="S2211"/>
  <c r="S2212"/>
  <c r="S2213"/>
  <c r="S2214"/>
  <c r="S2215"/>
  <c r="S2216"/>
  <c r="S2217"/>
  <c r="S2218"/>
  <c r="S2219"/>
  <c r="S2220"/>
  <c r="S2221"/>
  <c r="S2222"/>
  <c r="S2223"/>
  <c r="S2224"/>
  <c r="S2225"/>
  <c r="S2226"/>
  <c r="S2227"/>
  <c r="S2228"/>
  <c r="S2229"/>
  <c r="S2230"/>
  <c r="S2231"/>
  <c r="S2232"/>
  <c r="S2233"/>
  <c r="S2234"/>
  <c r="S2235"/>
  <c r="S2236"/>
  <c r="S2237"/>
  <c r="S2238"/>
  <c r="S2239"/>
  <c r="S2240"/>
  <c r="S2241"/>
  <c r="S2242"/>
  <c r="S2243"/>
  <c r="S2244"/>
  <c r="S2245"/>
  <c r="S2246"/>
  <c r="S2247"/>
  <c r="S2248"/>
  <c r="S2249"/>
  <c r="S2250"/>
  <c r="S2251"/>
  <c r="S2252"/>
  <c r="S2253"/>
  <c r="S2254"/>
  <c r="S2255"/>
  <c r="S2256"/>
  <c r="S2257"/>
  <c r="S2258"/>
  <c r="S2259"/>
  <c r="S2260"/>
  <c r="S2261"/>
  <c r="S2262"/>
  <c r="S2263"/>
  <c r="S2264"/>
  <c r="S2265"/>
  <c r="S2266"/>
  <c r="S2267"/>
  <c r="S2268"/>
  <c r="S2269"/>
  <c r="S2270"/>
  <c r="S2271"/>
  <c r="S2272"/>
  <c r="S2273"/>
  <c r="S2274"/>
  <c r="S2275"/>
  <c r="S2276"/>
  <c r="S2277"/>
  <c r="S2278"/>
  <c r="S2279"/>
  <c r="S2280"/>
  <c r="S2281"/>
  <c r="S2282"/>
  <c r="S2283"/>
  <c r="S2284"/>
  <c r="S2285"/>
  <c r="S2286"/>
  <c r="S2287"/>
  <c r="S2288"/>
  <c r="S2289"/>
  <c r="S2290"/>
  <c r="S2291"/>
  <c r="S2292"/>
  <c r="S2293"/>
  <c r="S2294"/>
  <c r="S2295"/>
  <c r="S2296"/>
  <c r="S2297"/>
  <c r="S2298"/>
  <c r="S2299"/>
  <c r="S2300"/>
  <c r="S2301"/>
  <c r="S2302"/>
  <c r="S2303"/>
  <c r="S2304"/>
  <c r="S2305"/>
  <c r="S2306"/>
  <c r="S2307"/>
  <c r="S2308"/>
  <c r="S2309"/>
  <c r="S2310"/>
  <c r="S2311"/>
  <c r="S2312"/>
  <c r="S2313"/>
  <c r="S2314"/>
  <c r="S2315"/>
  <c r="S2316"/>
  <c r="S2317"/>
  <c r="S2318"/>
  <c r="S2319"/>
  <c r="S2320"/>
  <c r="S2321"/>
  <c r="S2322"/>
  <c r="S2323"/>
  <c r="S2324"/>
  <c r="S2325"/>
  <c r="S2326"/>
  <c r="S2327"/>
  <c r="S2328"/>
  <c r="S2329"/>
  <c r="S2330"/>
  <c r="S2331"/>
  <c r="S2332"/>
  <c r="S2333"/>
  <c r="S2334"/>
  <c r="S2335"/>
  <c r="S2336"/>
  <c r="S2337"/>
  <c r="S2338"/>
  <c r="S2339"/>
  <c r="S2340"/>
  <c r="S2341"/>
  <c r="S2342"/>
  <c r="S2343"/>
  <c r="S2344"/>
  <c r="S2345"/>
  <c r="S2346"/>
  <c r="S2347"/>
  <c r="S2348"/>
  <c r="S2349"/>
  <c r="S2350"/>
  <c r="S2351"/>
  <c r="S2352"/>
  <c r="S2353"/>
  <c r="S2354"/>
  <c r="S2355"/>
  <c r="S2356"/>
  <c r="S2357"/>
  <c r="S2358"/>
  <c r="S2359"/>
  <c r="S2360"/>
  <c r="S2361"/>
  <c r="S2362"/>
  <c r="S2363"/>
  <c r="S2364"/>
  <c r="S2365"/>
  <c r="S2366"/>
  <c r="S2367"/>
  <c r="S2368"/>
  <c r="S2369"/>
  <c r="S2370"/>
  <c r="S2371"/>
  <c r="S2372"/>
  <c r="S2373"/>
  <c r="S2374"/>
  <c r="S2375"/>
  <c r="S2376"/>
  <c r="S2377"/>
  <c r="S2378"/>
  <c r="S2379"/>
  <c r="S2380"/>
  <c r="S2381"/>
  <c r="S2382"/>
  <c r="S2383"/>
  <c r="S2384"/>
  <c r="S2385"/>
  <c r="S2386"/>
  <c r="S2387"/>
  <c r="S2388"/>
  <c r="S2389"/>
  <c r="S2390"/>
  <c r="S2391"/>
  <c r="S2392"/>
  <c r="S2393"/>
  <c r="S2394"/>
  <c r="S2395"/>
  <c r="S2396"/>
  <c r="S2397"/>
  <c r="S2398"/>
  <c r="S2399"/>
  <c r="S2400"/>
  <c r="S2401"/>
  <c r="S2402"/>
  <c r="S2403"/>
  <c r="S2404"/>
  <c r="S2405"/>
  <c r="S2406"/>
  <c r="S2407"/>
  <c r="S2408"/>
  <c r="S2409"/>
  <c r="S2410"/>
  <c r="S2411"/>
  <c r="S2412"/>
  <c r="S2413"/>
  <c r="S2414"/>
  <c r="S2415"/>
  <c r="S2416"/>
  <c r="S2417"/>
  <c r="S2418"/>
  <c r="S2419"/>
  <c r="S2420"/>
  <c r="S2421"/>
  <c r="S2422"/>
  <c r="S2423"/>
  <c r="S2424"/>
  <c r="S2425"/>
  <c r="S2426"/>
  <c r="S2427"/>
  <c r="S2428"/>
  <c r="S2429"/>
  <c r="S2430"/>
  <c r="S2431"/>
  <c r="S2432"/>
  <c r="S2433"/>
  <c r="S2434"/>
  <c r="S2435"/>
  <c r="S2436"/>
  <c r="S2437"/>
  <c r="S2438"/>
  <c r="S2439"/>
  <c r="S2440"/>
  <c r="S2441"/>
  <c r="S2442"/>
  <c r="S2443"/>
  <c r="S2444"/>
  <c r="S2445"/>
  <c r="S2446"/>
  <c r="S2447"/>
  <c r="S2448"/>
  <c r="S2449"/>
  <c r="S2450"/>
  <c r="S2451"/>
  <c r="S2452"/>
  <c r="S2453"/>
  <c r="S2454"/>
  <c r="S2455"/>
  <c r="S2456"/>
  <c r="S2457"/>
  <c r="S2458"/>
  <c r="S2459"/>
  <c r="S2460"/>
  <c r="S2461"/>
  <c r="S2462"/>
  <c r="S2463"/>
  <c r="S2464"/>
  <c r="S2465"/>
  <c r="S2466"/>
  <c r="S2467"/>
  <c r="S2468"/>
  <c r="S2469"/>
  <c r="S2470"/>
  <c r="S2471"/>
  <c r="S2472"/>
  <c r="S2473"/>
  <c r="S2474"/>
  <c r="S2475"/>
  <c r="S2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5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6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K1147"/>
  <c r="K1148"/>
  <c r="K1149"/>
  <c r="K1150"/>
  <c r="K1151"/>
  <c r="K1152"/>
  <c r="K1153"/>
  <c r="K1154"/>
  <c r="K1155"/>
  <c r="K1156"/>
  <c r="K1157"/>
  <c r="K1158"/>
  <c r="K1159"/>
  <c r="K1160"/>
  <c r="K1161"/>
  <c r="K1162"/>
  <c r="K1163"/>
  <c r="K1164"/>
  <c r="K1165"/>
  <c r="K1166"/>
  <c r="K1167"/>
  <c r="K1168"/>
  <c r="K1169"/>
  <c r="K1170"/>
  <c r="K1171"/>
  <c r="K1172"/>
  <c r="K1173"/>
  <c r="K1174"/>
  <c r="K1175"/>
  <c r="K1176"/>
  <c r="K1177"/>
  <c r="K1178"/>
  <c r="K1179"/>
  <c r="K1180"/>
  <c r="K1181"/>
  <c r="K1182"/>
  <c r="K1183"/>
  <c r="K1184"/>
  <c r="K1185"/>
  <c r="K1186"/>
  <c r="K1187"/>
  <c r="K1188"/>
  <c r="K1189"/>
  <c r="K1190"/>
  <c r="K1191"/>
  <c r="K1192"/>
  <c r="K1193"/>
  <c r="K1194"/>
  <c r="K1195"/>
  <c r="K1196"/>
  <c r="K1197"/>
  <c r="K1198"/>
  <c r="K1199"/>
  <c r="K1200"/>
  <c r="K1201"/>
  <c r="K1202"/>
  <c r="K1203"/>
  <c r="K1204"/>
  <c r="K1205"/>
  <c r="K1206"/>
  <c r="K1207"/>
  <c r="K1208"/>
  <c r="K1209"/>
  <c r="K1210"/>
  <c r="K1211"/>
  <c r="K1212"/>
  <c r="K1213"/>
  <c r="K1214"/>
  <c r="K1215"/>
  <c r="K1216"/>
  <c r="K1217"/>
  <c r="K1218"/>
  <c r="K1219"/>
  <c r="K1220"/>
  <c r="K1221"/>
  <c r="K1222"/>
  <c r="K1223"/>
  <c r="K1224"/>
  <c r="K1225"/>
  <c r="K1226"/>
  <c r="K1227"/>
  <c r="K1228"/>
  <c r="K1229"/>
  <c r="K1230"/>
  <c r="K1231"/>
  <c r="K1232"/>
  <c r="K1233"/>
  <c r="K1234"/>
  <c r="K1235"/>
  <c r="K1236"/>
  <c r="K1237"/>
  <c r="K1238"/>
  <c r="K1239"/>
  <c r="K1240"/>
  <c r="K1241"/>
  <c r="K1242"/>
  <c r="K1243"/>
  <c r="K1244"/>
  <c r="K1245"/>
  <c r="K1246"/>
  <c r="K1247"/>
  <c r="K1248"/>
  <c r="K1249"/>
  <c r="K1250"/>
  <c r="K1251"/>
  <c r="K1252"/>
  <c r="K1253"/>
  <c r="K1254"/>
  <c r="K1255"/>
  <c r="K1256"/>
  <c r="K1257"/>
  <c r="K1258"/>
  <c r="K1259"/>
  <c r="K1260"/>
  <c r="K1261"/>
  <c r="K1262"/>
  <c r="K1263"/>
  <c r="K1264"/>
  <c r="K1265"/>
  <c r="K1266"/>
  <c r="K1267"/>
  <c r="K1268"/>
  <c r="K1269"/>
  <c r="K1270"/>
  <c r="K1271"/>
  <c r="K1272"/>
  <c r="K1273"/>
  <c r="K1274"/>
  <c r="K1275"/>
  <c r="K1276"/>
  <c r="K1277"/>
  <c r="K1278"/>
  <c r="K1279"/>
  <c r="K1280"/>
  <c r="K1281"/>
  <c r="K1282"/>
  <c r="K1283"/>
  <c r="K1284"/>
  <c r="K1285"/>
  <c r="K1286"/>
  <c r="K1287"/>
  <c r="K1288"/>
  <c r="K1289"/>
  <c r="K1290"/>
  <c r="K1291"/>
  <c r="K1292"/>
  <c r="K1293"/>
  <c r="K1294"/>
  <c r="K1295"/>
  <c r="K1296"/>
  <c r="K1297"/>
  <c r="K1298"/>
  <c r="K1299"/>
  <c r="K1300"/>
  <c r="K1301"/>
  <c r="K1302"/>
  <c r="K1303"/>
  <c r="K1304"/>
  <c r="K1305"/>
  <c r="K1306"/>
  <c r="K1307"/>
  <c r="K1308"/>
  <c r="K1309"/>
  <c r="K1310"/>
  <c r="K1311"/>
  <c r="K1312"/>
  <c r="K1313"/>
  <c r="K1314"/>
  <c r="K1315"/>
  <c r="K1316"/>
  <c r="K1317"/>
  <c r="K1318"/>
  <c r="K1319"/>
  <c r="K1320"/>
  <c r="K1321"/>
  <c r="K1322"/>
  <c r="K1323"/>
  <c r="K1324"/>
  <c r="K1325"/>
  <c r="K1326"/>
  <c r="K1327"/>
  <c r="K1328"/>
  <c r="K1329"/>
  <c r="K1330"/>
  <c r="K1331"/>
  <c r="K1332"/>
  <c r="K1333"/>
  <c r="K1334"/>
  <c r="K1335"/>
  <c r="K1336"/>
  <c r="K1337"/>
  <c r="K1338"/>
  <c r="K1339"/>
  <c r="K1340"/>
  <c r="K1341"/>
  <c r="K1342"/>
  <c r="K1343"/>
  <c r="K1344"/>
  <c r="K1345"/>
  <c r="K1346"/>
  <c r="K1347"/>
  <c r="K1348"/>
  <c r="K1349"/>
  <c r="K1350"/>
  <c r="K1351"/>
  <c r="K1352"/>
  <c r="K1353"/>
  <c r="K1354"/>
  <c r="K1355"/>
  <c r="K1356"/>
  <c r="K1357"/>
  <c r="K1358"/>
  <c r="K1359"/>
  <c r="K1360"/>
  <c r="K1361"/>
  <c r="K1362"/>
  <c r="K1363"/>
  <c r="K1364"/>
  <c r="K1365"/>
  <c r="K1366"/>
  <c r="K1367"/>
  <c r="K1368"/>
  <c r="K1369"/>
  <c r="K1370"/>
  <c r="K1371"/>
  <c r="K1372"/>
  <c r="K1373"/>
  <c r="K1374"/>
  <c r="K1375"/>
  <c r="K1376"/>
  <c r="K1377"/>
  <c r="K1378"/>
  <c r="K1379"/>
  <c r="K1380"/>
  <c r="K1381"/>
  <c r="K1382"/>
  <c r="K1383"/>
  <c r="K1384"/>
  <c r="K1385"/>
  <c r="K1386"/>
  <c r="K1387"/>
  <c r="K1388"/>
  <c r="K1389"/>
  <c r="K1390"/>
  <c r="K1391"/>
  <c r="K1392"/>
  <c r="K1393"/>
  <c r="K1394"/>
  <c r="K1395"/>
  <c r="K1396"/>
  <c r="K1397"/>
  <c r="K1398"/>
  <c r="K1399"/>
  <c r="K1400"/>
  <c r="K1401"/>
  <c r="K1402"/>
  <c r="K1403"/>
  <c r="K1404"/>
  <c r="K1405"/>
  <c r="K1406"/>
  <c r="K1407"/>
  <c r="K1408"/>
  <c r="K1409"/>
  <c r="K1410"/>
  <c r="K1411"/>
  <c r="K1412"/>
  <c r="K1413"/>
  <c r="K1414"/>
  <c r="K1415"/>
  <c r="K1416"/>
  <c r="K1417"/>
  <c r="K1418"/>
  <c r="K1419"/>
  <c r="K1420"/>
  <c r="K1421"/>
  <c r="K1422"/>
  <c r="K1423"/>
  <c r="K1424"/>
  <c r="K1425"/>
  <c r="K1426"/>
  <c r="K1427"/>
  <c r="K1428"/>
  <c r="K1429"/>
  <c r="K1430"/>
  <c r="K1431"/>
  <c r="K1432"/>
  <c r="K1433"/>
  <c r="K1434"/>
  <c r="K1435"/>
  <c r="K1436"/>
  <c r="K1437"/>
  <c r="K1438"/>
  <c r="K1439"/>
  <c r="K1440"/>
  <c r="K1441"/>
  <c r="K1442"/>
  <c r="K1443"/>
  <c r="K1444"/>
  <c r="K1445"/>
  <c r="K1446"/>
  <c r="K1447"/>
  <c r="K1448"/>
  <c r="K1449"/>
  <c r="K1450"/>
  <c r="K1451"/>
  <c r="K1452"/>
  <c r="K1453"/>
  <c r="K1454"/>
  <c r="K1455"/>
  <c r="K1456"/>
  <c r="K1457"/>
  <c r="K1458"/>
  <c r="K1459"/>
  <c r="K1460"/>
  <c r="K1461"/>
  <c r="K1462"/>
  <c r="K1463"/>
  <c r="K1464"/>
  <c r="K1465"/>
  <c r="K1466"/>
  <c r="K1467"/>
  <c r="K1468"/>
  <c r="K1469"/>
  <c r="K1470"/>
  <c r="K1471"/>
  <c r="K1472"/>
  <c r="K1473"/>
  <c r="K1474"/>
  <c r="K1475"/>
  <c r="K1476"/>
  <c r="K1477"/>
  <c r="K1478"/>
  <c r="K1479"/>
  <c r="K1480"/>
  <c r="K1481"/>
  <c r="K1482"/>
  <c r="K1483"/>
  <c r="K1484"/>
  <c r="K1485"/>
  <c r="K1486"/>
  <c r="K1487"/>
  <c r="K1488"/>
  <c r="K1489"/>
  <c r="K1490"/>
  <c r="K1491"/>
  <c r="K1492"/>
  <c r="K1493"/>
  <c r="K1494"/>
  <c r="K1495"/>
  <c r="K1496"/>
  <c r="K1497"/>
  <c r="K1498"/>
  <c r="K1499"/>
  <c r="K1500"/>
  <c r="K1501"/>
  <c r="K1502"/>
  <c r="K1503"/>
  <c r="K1504"/>
  <c r="K1505"/>
  <c r="K1506"/>
  <c r="K1507"/>
  <c r="K1508"/>
  <c r="K1509"/>
  <c r="K1510"/>
  <c r="K1511"/>
  <c r="K1512"/>
  <c r="K1513"/>
  <c r="K1514"/>
  <c r="K1515"/>
  <c r="K1516"/>
  <c r="K1517"/>
  <c r="K1518"/>
  <c r="K1519"/>
  <c r="K1520"/>
  <c r="K1521"/>
  <c r="K1522"/>
  <c r="K1523"/>
  <c r="K1524"/>
  <c r="K1525"/>
  <c r="K1526"/>
  <c r="K1527"/>
  <c r="K1528"/>
  <c r="K1529"/>
  <c r="K1530"/>
  <c r="K1531"/>
  <c r="K1532"/>
  <c r="K1533"/>
  <c r="K1534"/>
  <c r="K1535"/>
  <c r="K1536"/>
  <c r="K1537"/>
  <c r="K1538"/>
  <c r="K1539"/>
  <c r="K1540"/>
  <c r="K1541"/>
  <c r="K1542"/>
  <c r="K1543"/>
  <c r="K1544"/>
  <c r="K1545"/>
  <c r="K1546"/>
  <c r="K1547"/>
  <c r="K1548"/>
  <c r="K1549"/>
  <c r="K1550"/>
  <c r="K1551"/>
  <c r="K1552"/>
  <c r="K1553"/>
  <c r="K1554"/>
  <c r="K1555"/>
  <c r="K1556"/>
  <c r="K1557"/>
  <c r="K1558"/>
  <c r="K1559"/>
  <c r="K1560"/>
  <c r="K1561"/>
  <c r="K1562"/>
  <c r="K1563"/>
  <c r="K1564"/>
  <c r="K1565"/>
  <c r="K1566"/>
  <c r="K1567"/>
  <c r="K1568"/>
  <c r="K1569"/>
  <c r="K1570"/>
  <c r="K1571"/>
  <c r="K1572"/>
  <c r="K1573"/>
  <c r="K1574"/>
  <c r="K1575"/>
  <c r="K1576"/>
  <c r="K1577"/>
  <c r="K1578"/>
  <c r="K1579"/>
  <c r="K1580"/>
  <c r="K1581"/>
  <c r="K1582"/>
  <c r="K1583"/>
  <c r="K1584"/>
  <c r="K1585"/>
  <c r="K1586"/>
  <c r="K1587"/>
  <c r="K1588"/>
  <c r="K1589"/>
  <c r="K1590"/>
  <c r="K1591"/>
  <c r="K1592"/>
  <c r="K1593"/>
  <c r="K1594"/>
  <c r="K1595"/>
  <c r="K1596"/>
  <c r="K1597"/>
  <c r="K1598"/>
  <c r="K1599"/>
  <c r="K1600"/>
  <c r="K1601"/>
  <c r="K1602"/>
  <c r="K1603"/>
  <c r="K1604"/>
  <c r="K1605"/>
  <c r="K1606"/>
  <c r="K1607"/>
  <c r="K1608"/>
  <c r="K1609"/>
  <c r="K1610"/>
  <c r="K1611"/>
  <c r="K1612"/>
  <c r="K1613"/>
  <c r="K1614"/>
  <c r="K1615"/>
  <c r="K1616"/>
  <c r="K1617"/>
  <c r="K1618"/>
  <c r="K1619"/>
  <c r="K1620"/>
  <c r="K1621"/>
  <c r="K1622"/>
  <c r="K1623"/>
  <c r="K1624"/>
  <c r="K1625"/>
  <c r="K1626"/>
  <c r="K1627"/>
  <c r="K1628"/>
  <c r="K1629"/>
  <c r="K1630"/>
  <c r="K1631"/>
  <c r="K1632"/>
  <c r="K1633"/>
  <c r="K1634"/>
  <c r="K1635"/>
  <c r="K1636"/>
  <c r="K1637"/>
  <c r="K1638"/>
  <c r="K1639"/>
  <c r="K1640"/>
  <c r="K1641"/>
  <c r="K1642"/>
  <c r="K1643"/>
  <c r="K1644"/>
  <c r="K1645"/>
  <c r="K1646"/>
  <c r="K1647"/>
  <c r="K1648"/>
  <c r="K1649"/>
  <c r="K1650"/>
  <c r="K1651"/>
  <c r="K1652"/>
  <c r="K1653"/>
  <c r="K1654"/>
  <c r="K1655"/>
  <c r="K1656"/>
  <c r="K1657"/>
  <c r="K1658"/>
  <c r="K1659"/>
  <c r="K1660"/>
  <c r="K1661"/>
  <c r="K1662"/>
  <c r="K1663"/>
  <c r="K1664"/>
  <c r="K1665"/>
  <c r="K1666"/>
  <c r="K1667"/>
  <c r="K1668"/>
  <c r="K1669"/>
  <c r="K1670"/>
  <c r="K1671"/>
  <c r="K1672"/>
  <c r="K1673"/>
  <c r="K1674"/>
  <c r="K1675"/>
  <c r="K1676"/>
  <c r="K1677"/>
  <c r="K1678"/>
  <c r="K1679"/>
  <c r="K1680"/>
  <c r="K1681"/>
  <c r="K1682"/>
  <c r="K1683"/>
  <c r="K1684"/>
  <c r="K1685"/>
  <c r="K1686"/>
  <c r="K1687"/>
  <c r="K1688"/>
  <c r="K1689"/>
  <c r="K1690"/>
  <c r="K1691"/>
  <c r="K1692"/>
  <c r="K1693"/>
  <c r="K1694"/>
  <c r="K1695"/>
  <c r="K1696"/>
  <c r="K1697"/>
  <c r="K1698"/>
  <c r="K1699"/>
  <c r="K1700"/>
  <c r="K1701"/>
  <c r="K1702"/>
  <c r="K1703"/>
  <c r="K1704"/>
  <c r="K1705"/>
  <c r="K1706"/>
  <c r="K1707"/>
  <c r="K1708"/>
  <c r="K1709"/>
  <c r="K1710"/>
  <c r="K1711"/>
  <c r="K1712"/>
  <c r="K1713"/>
  <c r="K1714"/>
  <c r="K1715"/>
  <c r="K1716"/>
  <c r="K1717"/>
  <c r="K1718"/>
  <c r="K1719"/>
  <c r="K1720"/>
  <c r="K1721"/>
  <c r="K1722"/>
  <c r="K1723"/>
  <c r="K1724"/>
  <c r="K1725"/>
  <c r="K1726"/>
  <c r="K1727"/>
  <c r="K1728"/>
  <c r="K1729"/>
  <c r="K1730"/>
  <c r="K1731"/>
  <c r="K1732"/>
  <c r="K1733"/>
  <c r="K1734"/>
  <c r="K1735"/>
  <c r="K1736"/>
  <c r="K1737"/>
  <c r="K1738"/>
  <c r="K1739"/>
  <c r="K1740"/>
  <c r="K1741"/>
  <c r="K1742"/>
  <c r="K1743"/>
  <c r="K1744"/>
  <c r="K1745"/>
  <c r="K1746"/>
  <c r="K1747"/>
  <c r="K1748"/>
  <c r="K1749"/>
  <c r="K1750"/>
  <c r="K1751"/>
  <c r="K1752"/>
  <c r="K1753"/>
  <c r="K1754"/>
  <c r="K1755"/>
  <c r="K1756"/>
  <c r="K1757"/>
  <c r="K1758"/>
  <c r="K1759"/>
  <c r="K1760"/>
  <c r="K1761"/>
  <c r="K1762"/>
  <c r="K1763"/>
  <c r="K1764"/>
  <c r="K1765"/>
  <c r="K1766"/>
  <c r="K1767"/>
  <c r="K1768"/>
  <c r="K1769"/>
  <c r="K1770"/>
  <c r="K1771"/>
  <c r="K1772"/>
  <c r="K1773"/>
  <c r="K1774"/>
  <c r="K1775"/>
  <c r="K1776"/>
  <c r="K1777"/>
  <c r="K1778"/>
  <c r="K1779"/>
  <c r="K1780"/>
  <c r="K1781"/>
  <c r="K1782"/>
  <c r="K1783"/>
  <c r="K1784"/>
  <c r="K1785"/>
  <c r="K1786"/>
  <c r="K1787"/>
  <c r="K1788"/>
  <c r="K1789"/>
  <c r="K1790"/>
  <c r="K1791"/>
  <c r="K1792"/>
  <c r="K1793"/>
  <c r="K1794"/>
  <c r="K1795"/>
  <c r="K1796"/>
  <c r="K1797"/>
  <c r="K1798"/>
  <c r="K1799"/>
  <c r="K1800"/>
  <c r="K1801"/>
  <c r="K1802"/>
  <c r="K1803"/>
  <c r="K1804"/>
  <c r="K1805"/>
  <c r="K1806"/>
  <c r="K1807"/>
  <c r="K1808"/>
  <c r="K1809"/>
  <c r="K1810"/>
  <c r="K1811"/>
  <c r="K1812"/>
  <c r="K1813"/>
  <c r="K1814"/>
  <c r="K1815"/>
  <c r="K1816"/>
  <c r="K1817"/>
  <c r="K1818"/>
  <c r="K1819"/>
  <c r="K1820"/>
  <c r="K1821"/>
  <c r="K1822"/>
  <c r="K1823"/>
  <c r="K1824"/>
  <c r="K1825"/>
  <c r="K1826"/>
  <c r="K1827"/>
  <c r="K1828"/>
  <c r="K1829"/>
  <c r="K1830"/>
  <c r="K1831"/>
  <c r="K1832"/>
  <c r="K1833"/>
  <c r="K1834"/>
  <c r="K1835"/>
  <c r="K1836"/>
  <c r="K1837"/>
  <c r="K1838"/>
  <c r="K1839"/>
  <c r="K1840"/>
  <c r="K1841"/>
  <c r="K1842"/>
  <c r="K1843"/>
  <c r="K1844"/>
  <c r="K1845"/>
  <c r="K1846"/>
  <c r="K1847"/>
  <c r="K1848"/>
  <c r="K1849"/>
  <c r="K1850"/>
  <c r="K1851"/>
  <c r="K1852"/>
  <c r="K1853"/>
  <c r="K1854"/>
  <c r="K1855"/>
  <c r="K1856"/>
  <c r="K1857"/>
  <c r="K1858"/>
  <c r="K1859"/>
  <c r="K1860"/>
  <c r="K1861"/>
  <c r="K1862"/>
  <c r="K1863"/>
  <c r="K1864"/>
  <c r="K1865"/>
  <c r="K1866"/>
  <c r="K1867"/>
  <c r="K1868"/>
  <c r="K1869"/>
  <c r="K1870"/>
  <c r="K1871"/>
  <c r="K1872"/>
  <c r="K1873"/>
  <c r="K1874"/>
  <c r="K1875"/>
  <c r="K1876"/>
  <c r="K1877"/>
  <c r="K1878"/>
  <c r="K1879"/>
  <c r="K1880"/>
  <c r="K1881"/>
  <c r="K1882"/>
  <c r="K1883"/>
  <c r="K1884"/>
  <c r="K1885"/>
  <c r="K1886"/>
  <c r="K1887"/>
  <c r="K1888"/>
  <c r="K1889"/>
  <c r="K1890"/>
  <c r="K1891"/>
  <c r="K1892"/>
  <c r="K1893"/>
  <c r="K1894"/>
  <c r="K1895"/>
  <c r="K1896"/>
  <c r="K1897"/>
  <c r="K1898"/>
  <c r="K1899"/>
  <c r="K1900"/>
  <c r="K1901"/>
  <c r="K1902"/>
  <c r="K1903"/>
  <c r="K1904"/>
  <c r="K1905"/>
  <c r="K1906"/>
  <c r="K1907"/>
  <c r="K1908"/>
  <c r="K1909"/>
  <c r="K1910"/>
  <c r="K1911"/>
  <c r="K1912"/>
  <c r="K1913"/>
  <c r="K1914"/>
  <c r="K1915"/>
  <c r="K1916"/>
  <c r="K1917"/>
  <c r="K1918"/>
  <c r="K1919"/>
  <c r="K1920"/>
  <c r="K1921"/>
  <c r="K1922"/>
  <c r="K1923"/>
  <c r="K1924"/>
  <c r="K1925"/>
  <c r="K1926"/>
  <c r="K1927"/>
  <c r="K1928"/>
  <c r="K1929"/>
  <c r="K1930"/>
  <c r="K1931"/>
  <c r="K1932"/>
  <c r="K1933"/>
  <c r="K1934"/>
  <c r="K1935"/>
  <c r="K1936"/>
  <c r="K1937"/>
  <c r="K1938"/>
  <c r="K1939"/>
  <c r="K1940"/>
  <c r="K1941"/>
  <c r="K1942"/>
  <c r="K1943"/>
  <c r="K1944"/>
  <c r="K1945"/>
  <c r="K1946"/>
  <c r="K1947"/>
  <c r="K1948"/>
  <c r="K1949"/>
  <c r="K1950"/>
  <c r="K1951"/>
  <c r="K1952"/>
  <c r="K1953"/>
  <c r="K1954"/>
  <c r="K1955"/>
  <c r="K1956"/>
  <c r="K1957"/>
  <c r="K1958"/>
  <c r="K1959"/>
  <c r="K1960"/>
  <c r="K1961"/>
  <c r="K1962"/>
  <c r="K1963"/>
  <c r="K1964"/>
  <c r="K1965"/>
  <c r="K1966"/>
  <c r="K1967"/>
  <c r="K1968"/>
  <c r="K1969"/>
  <c r="K1970"/>
  <c r="K1971"/>
  <c r="K1972"/>
  <c r="K1973"/>
  <c r="K1974"/>
  <c r="K1975"/>
  <c r="K1976"/>
  <c r="K1977"/>
  <c r="K1978"/>
  <c r="K1979"/>
  <c r="K1980"/>
  <c r="K1981"/>
  <c r="K1982"/>
  <c r="K1983"/>
  <c r="K1984"/>
  <c r="K1985"/>
  <c r="K1986"/>
  <c r="K1987"/>
  <c r="K1988"/>
  <c r="K1989"/>
  <c r="K1990"/>
  <c r="K1991"/>
  <c r="K1992"/>
  <c r="K1993"/>
  <c r="K1994"/>
  <c r="K1995"/>
  <c r="K1996"/>
  <c r="K1997"/>
  <c r="K1998"/>
  <c r="K1999"/>
  <c r="K2000"/>
  <c r="K2001"/>
  <c r="K2002"/>
  <c r="K2003"/>
  <c r="K2004"/>
  <c r="K2005"/>
  <c r="K2006"/>
  <c r="K2007"/>
  <c r="K2008"/>
  <c r="K2009"/>
  <c r="K2010"/>
  <c r="K2011"/>
  <c r="K2012"/>
  <c r="K2013"/>
  <c r="K2014"/>
  <c r="K2015"/>
  <c r="K2016"/>
  <c r="K2017"/>
  <c r="K2018"/>
  <c r="K2019"/>
  <c r="K2020"/>
  <c r="K2021"/>
  <c r="K2022"/>
  <c r="K2023"/>
  <c r="K2024"/>
  <c r="K2025"/>
  <c r="K2026"/>
  <c r="K2027"/>
  <c r="K2028"/>
  <c r="K2029"/>
  <c r="K2030"/>
  <c r="K2031"/>
  <c r="K2032"/>
  <c r="K2033"/>
  <c r="K2034"/>
  <c r="K2035"/>
  <c r="K2036"/>
  <c r="K2037"/>
  <c r="K2038"/>
  <c r="K2039"/>
  <c r="K2040"/>
  <c r="K2041"/>
  <c r="K2042"/>
  <c r="K2043"/>
  <c r="K2044"/>
  <c r="K2045"/>
  <c r="K2046"/>
  <c r="K2047"/>
  <c r="K2048"/>
  <c r="K2049"/>
  <c r="K2050"/>
  <c r="K2051"/>
  <c r="K2052"/>
  <c r="K2053"/>
  <c r="K2054"/>
  <c r="K2055"/>
  <c r="K2056"/>
  <c r="K2057"/>
  <c r="K2058"/>
  <c r="K2059"/>
  <c r="K2060"/>
  <c r="K2061"/>
  <c r="K2062"/>
  <c r="K2063"/>
  <c r="K2064"/>
  <c r="K2065"/>
  <c r="K2066"/>
  <c r="K2067"/>
  <c r="K2068"/>
  <c r="K2069"/>
  <c r="K2070"/>
  <c r="K2071"/>
  <c r="K2072"/>
  <c r="K2073"/>
  <c r="K2074"/>
  <c r="K2075"/>
  <c r="K2076"/>
  <c r="K2077"/>
  <c r="K2078"/>
  <c r="K2079"/>
  <c r="K2080"/>
  <c r="K2081"/>
  <c r="K2082"/>
  <c r="K2083"/>
  <c r="K2084"/>
  <c r="K2085"/>
  <c r="K2086"/>
  <c r="K2087"/>
  <c r="K2088"/>
  <c r="K2089"/>
  <c r="K2090"/>
  <c r="K2091"/>
  <c r="K2092"/>
  <c r="K2093"/>
  <c r="K2094"/>
  <c r="K2095"/>
  <c r="K2096"/>
  <c r="K2097"/>
  <c r="K2098"/>
  <c r="K2099"/>
  <c r="K2100"/>
  <c r="K2101"/>
  <c r="K2102"/>
  <c r="K2103"/>
  <c r="K2104"/>
  <c r="K2105"/>
  <c r="K2106"/>
  <c r="K2107"/>
  <c r="K2108"/>
  <c r="K2109"/>
  <c r="K2110"/>
  <c r="K2111"/>
  <c r="K2112"/>
  <c r="K2113"/>
  <c r="K2114"/>
  <c r="K2115"/>
  <c r="K2116"/>
  <c r="K2117"/>
  <c r="K2118"/>
  <c r="K2119"/>
  <c r="K2120"/>
  <c r="K2121"/>
  <c r="K2122"/>
  <c r="K2123"/>
  <c r="K2124"/>
  <c r="K2125"/>
  <c r="K2126"/>
  <c r="K2127"/>
  <c r="K2128"/>
  <c r="K2129"/>
  <c r="K2130"/>
  <c r="K2131"/>
  <c r="K2132"/>
  <c r="K2133"/>
  <c r="K2134"/>
  <c r="K2135"/>
  <c r="K2136"/>
  <c r="K2137"/>
  <c r="K2138"/>
  <c r="K2139"/>
  <c r="K2140"/>
  <c r="K2141"/>
  <c r="K2142"/>
  <c r="K2143"/>
  <c r="K2144"/>
  <c r="K2145"/>
  <c r="K2146"/>
  <c r="K2147"/>
  <c r="K2148"/>
  <c r="K2149"/>
  <c r="K2150"/>
  <c r="K2151"/>
  <c r="K2152"/>
  <c r="K2153"/>
  <c r="K2154"/>
  <c r="K2155"/>
  <c r="K2156"/>
  <c r="K2157"/>
  <c r="K2158"/>
  <c r="K2159"/>
  <c r="K2160"/>
  <c r="K2161"/>
  <c r="K2162"/>
  <c r="K2163"/>
  <c r="K2164"/>
  <c r="K2165"/>
  <c r="K2166"/>
  <c r="K2167"/>
  <c r="K2168"/>
  <c r="K2169"/>
  <c r="K2170"/>
  <c r="K2171"/>
  <c r="K2172"/>
  <c r="K2173"/>
  <c r="K2174"/>
  <c r="K2175"/>
  <c r="K2176"/>
  <c r="K2177"/>
  <c r="K2178"/>
  <c r="K2179"/>
  <c r="K2180"/>
  <c r="K2181"/>
  <c r="K2182"/>
  <c r="K2183"/>
  <c r="K2184"/>
  <c r="K2185"/>
  <c r="K2186"/>
  <c r="K2187"/>
  <c r="K2188"/>
  <c r="K2189"/>
  <c r="K2190"/>
  <c r="K2191"/>
  <c r="K2192"/>
  <c r="K2193"/>
  <c r="K2194"/>
  <c r="K2195"/>
  <c r="K2196"/>
  <c r="K2197"/>
  <c r="K2198"/>
  <c r="K2199"/>
  <c r="K2200"/>
  <c r="K2201"/>
  <c r="K2202"/>
  <c r="K2203"/>
  <c r="K2204"/>
  <c r="K2205"/>
  <c r="K2206"/>
  <c r="K2207"/>
  <c r="K2208"/>
  <c r="K2209"/>
  <c r="K2210"/>
  <c r="K2211"/>
  <c r="K2212"/>
  <c r="K2213"/>
  <c r="K2214"/>
  <c r="K2215"/>
  <c r="K2216"/>
  <c r="K2217"/>
  <c r="K2218"/>
  <c r="K2219"/>
  <c r="K2220"/>
  <c r="K2221"/>
  <c r="K2222"/>
  <c r="K2223"/>
  <c r="K2224"/>
  <c r="K2225"/>
  <c r="K2226"/>
  <c r="K2227"/>
  <c r="K2228"/>
  <c r="K2229"/>
  <c r="K2230"/>
  <c r="K2231"/>
  <c r="K2232"/>
  <c r="K2233"/>
  <c r="K2234"/>
  <c r="K2235"/>
  <c r="K2236"/>
  <c r="K2237"/>
  <c r="K2238"/>
  <c r="K2239"/>
  <c r="K2240"/>
  <c r="K2241"/>
  <c r="K2242"/>
  <c r="K2243"/>
  <c r="K2244"/>
  <c r="K2245"/>
  <c r="K2246"/>
  <c r="K2247"/>
  <c r="K2248"/>
  <c r="K2249"/>
  <c r="K2250"/>
  <c r="K2251"/>
  <c r="K2252"/>
  <c r="K2253"/>
  <c r="K2254"/>
  <c r="K2255"/>
  <c r="K2256"/>
  <c r="K2257"/>
  <c r="K2258"/>
  <c r="K2259"/>
  <c r="K2260"/>
  <c r="K2261"/>
  <c r="K2262"/>
  <c r="K2263"/>
  <c r="K2264"/>
  <c r="K2265"/>
  <c r="K2266"/>
  <c r="K2267"/>
  <c r="K2268"/>
  <c r="K2269"/>
  <c r="K2270"/>
  <c r="K2271"/>
  <c r="K2272"/>
  <c r="K2273"/>
  <c r="K2274"/>
  <c r="K2275"/>
  <c r="K2276"/>
  <c r="K2277"/>
  <c r="K2278"/>
  <c r="K2279"/>
  <c r="K2280"/>
  <c r="K2281"/>
  <c r="K2282"/>
  <c r="K2283"/>
  <c r="K2284"/>
  <c r="K2285"/>
  <c r="K2286"/>
  <c r="K2287"/>
  <c r="K2288"/>
  <c r="K2289"/>
  <c r="K2290"/>
  <c r="K2291"/>
  <c r="K2292"/>
  <c r="K2293"/>
  <c r="K2294"/>
  <c r="K2295"/>
  <c r="K2296"/>
  <c r="K2297"/>
  <c r="K2298"/>
  <c r="K2299"/>
  <c r="K2300"/>
  <c r="K2301"/>
  <c r="K2302"/>
  <c r="K2303"/>
  <c r="K2304"/>
  <c r="K2305"/>
  <c r="K2306"/>
  <c r="K2307"/>
  <c r="K2308"/>
  <c r="K2309"/>
  <c r="K2310"/>
  <c r="K2311"/>
  <c r="K2312"/>
  <c r="K2313"/>
  <c r="K2314"/>
  <c r="K2315"/>
  <c r="K2316"/>
  <c r="K2317"/>
  <c r="K2318"/>
  <c r="K2319"/>
  <c r="K2320"/>
  <c r="K2321"/>
  <c r="K2322"/>
  <c r="K2323"/>
  <c r="K2324"/>
  <c r="K2325"/>
  <c r="K2326"/>
  <c r="K2327"/>
  <c r="K2328"/>
  <c r="K2329"/>
  <c r="K2330"/>
  <c r="K2331"/>
  <c r="K2332"/>
  <c r="K2333"/>
  <c r="K2334"/>
  <c r="K2335"/>
  <c r="K2336"/>
  <c r="K2337"/>
  <c r="K2338"/>
  <c r="K2339"/>
  <c r="K2340"/>
  <c r="K2341"/>
  <c r="K2342"/>
  <c r="K2343"/>
  <c r="K2344"/>
  <c r="K2345"/>
  <c r="K2346"/>
  <c r="K2347"/>
  <c r="K2348"/>
  <c r="K2349"/>
  <c r="K2350"/>
  <c r="K2351"/>
  <c r="K2352"/>
  <c r="K2353"/>
  <c r="K2354"/>
  <c r="K2355"/>
  <c r="K2356"/>
  <c r="K2357"/>
  <c r="K2358"/>
  <c r="K2359"/>
  <c r="K2360"/>
  <c r="K2361"/>
  <c r="K2362"/>
  <c r="K2363"/>
  <c r="K2364"/>
  <c r="K2365"/>
  <c r="K2366"/>
  <c r="K2367"/>
  <c r="K2368"/>
  <c r="K2369"/>
  <c r="K2370"/>
  <c r="K2371"/>
  <c r="K2372"/>
  <c r="K2373"/>
  <c r="K2374"/>
  <c r="K2375"/>
  <c r="K2376"/>
  <c r="K2377"/>
  <c r="K2378"/>
  <c r="K2379"/>
  <c r="K2380"/>
  <c r="K2381"/>
  <c r="K2382"/>
  <c r="K2383"/>
  <c r="K2384"/>
  <c r="K2385"/>
  <c r="K2386"/>
  <c r="K2387"/>
  <c r="K2388"/>
  <c r="K2389"/>
  <c r="K2390"/>
  <c r="K2391"/>
  <c r="K2392"/>
  <c r="K2393"/>
  <c r="K2394"/>
  <c r="K2395"/>
  <c r="K2396"/>
  <c r="K2397"/>
  <c r="K2398"/>
  <c r="K2399"/>
  <c r="K2400"/>
  <c r="K2401"/>
  <c r="K2402"/>
  <c r="K2403"/>
  <c r="K2404"/>
  <c r="K2405"/>
  <c r="K2406"/>
  <c r="K2407"/>
  <c r="K2408"/>
  <c r="K2409"/>
  <c r="K2410"/>
  <c r="K2411"/>
  <c r="K2412"/>
  <c r="K2413"/>
  <c r="K2414"/>
  <c r="K2415"/>
  <c r="K2416"/>
  <c r="K2417"/>
  <c r="K2418"/>
  <c r="K2419"/>
  <c r="K2420"/>
  <c r="K2421"/>
  <c r="K2422"/>
  <c r="K2423"/>
  <c r="K2424"/>
  <c r="K2425"/>
  <c r="K2426"/>
  <c r="K2427"/>
  <c r="K2428"/>
  <c r="K2429"/>
  <c r="K2430"/>
  <c r="K2431"/>
  <c r="K2432"/>
  <c r="K2433"/>
  <c r="K2434"/>
  <c r="K2435"/>
  <c r="K2436"/>
  <c r="K2437"/>
  <c r="K2438"/>
  <c r="K2439"/>
  <c r="K2440"/>
  <c r="K2441"/>
  <c r="K2442"/>
  <c r="K2443"/>
  <c r="K2444"/>
  <c r="K2445"/>
  <c r="K2446"/>
  <c r="K2447"/>
  <c r="K2448"/>
  <c r="K2449"/>
  <c r="K2450"/>
  <c r="K2451"/>
  <c r="K2452"/>
  <c r="K2453"/>
  <c r="K2454"/>
  <c r="K2455"/>
  <c r="K2456"/>
  <c r="K2457"/>
  <c r="K2458"/>
  <c r="K2459"/>
  <c r="K2460"/>
  <c r="K2461"/>
  <c r="K2462"/>
  <c r="K2463"/>
  <c r="K2464"/>
  <c r="K2465"/>
  <c r="K2466"/>
  <c r="K2467"/>
  <c r="K2468"/>
  <c r="K2469"/>
  <c r="K2470"/>
  <c r="K2471"/>
  <c r="K2472"/>
  <c r="K2473"/>
  <c r="K2474"/>
  <c r="K2475"/>
  <c r="K2476"/>
  <c r="K2477"/>
  <c r="K2478"/>
  <c r="K2479"/>
  <c r="K2480"/>
  <c r="K2481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2"/>
  <c r="O7"/>
  <c r="N3"/>
  <c r="Q3" s="1"/>
  <c r="N4"/>
  <c r="Q4" s="1"/>
  <c r="N5"/>
  <c r="N6"/>
  <c r="Q6" s="1"/>
  <c r="N7"/>
  <c r="Q7" s="1"/>
  <c r="N8"/>
  <c r="Q8" s="1"/>
  <c r="N9"/>
  <c r="Q9" s="1"/>
  <c r="N10"/>
  <c r="Q10" s="1"/>
  <c r="N14"/>
  <c r="Q14" s="1"/>
  <c r="N16"/>
  <c r="Q16" s="1"/>
  <c r="N15"/>
  <c r="Q15" s="1"/>
  <c r="N24"/>
  <c r="Q24" s="1"/>
  <c r="N20"/>
  <c r="Q20" s="1"/>
  <c r="N21"/>
  <c r="Q21" s="1"/>
  <c r="N23"/>
  <c r="Q23" s="1"/>
  <c r="N18"/>
  <c r="N25"/>
  <c r="Q25" s="1"/>
  <c r="N19"/>
  <c r="Q19" s="1"/>
  <c r="N22"/>
  <c r="N26"/>
  <c r="Q26" s="1"/>
  <c r="N11"/>
  <c r="Q11" s="1"/>
  <c r="N12"/>
  <c r="Q12" s="1"/>
  <c r="N13"/>
  <c r="Q13" s="1"/>
  <c r="N17"/>
  <c r="N27"/>
  <c r="Q27" s="1"/>
  <c r="N31"/>
  <c r="N32"/>
  <c r="Q32" s="1"/>
  <c r="N30"/>
  <c r="N33"/>
  <c r="Q33" s="1"/>
  <c r="N29"/>
  <c r="Q29" s="1"/>
  <c r="N28"/>
  <c r="N35"/>
  <c r="N37"/>
  <c r="N36"/>
  <c r="Q36" s="1"/>
  <c r="N34"/>
  <c r="N38"/>
  <c r="N41"/>
  <c r="N42"/>
  <c r="N47"/>
  <c r="N39"/>
  <c r="N40"/>
  <c r="N43"/>
  <c r="N46"/>
  <c r="Q46" s="1"/>
  <c r="N48"/>
  <c r="N45"/>
  <c r="N44"/>
  <c r="N54"/>
  <c r="Q54" s="1"/>
  <c r="N50"/>
  <c r="N56"/>
  <c r="N59"/>
  <c r="Q59" s="1"/>
  <c r="N49"/>
  <c r="N58"/>
  <c r="Q58" s="1"/>
  <c r="N55"/>
  <c r="Q55" s="1"/>
  <c r="N51"/>
  <c r="N52"/>
  <c r="Q52" s="1"/>
  <c r="N53"/>
  <c r="Q53" s="1"/>
  <c r="N57"/>
  <c r="Q57" s="1"/>
  <c r="N62"/>
  <c r="Q62" s="1"/>
  <c r="N61"/>
  <c r="N60"/>
  <c r="Q60" s="1"/>
  <c r="N65"/>
  <c r="Q65" s="1"/>
  <c r="N66"/>
  <c r="Q66" s="1"/>
  <c r="N64"/>
  <c r="Q64" s="1"/>
  <c r="N63"/>
  <c r="N67"/>
  <c r="N83"/>
  <c r="Q83" s="1"/>
  <c r="N82"/>
  <c r="Q82" s="1"/>
  <c r="N76"/>
  <c r="Q76" s="1"/>
  <c r="N80"/>
  <c r="N81"/>
  <c r="Q81" s="1"/>
  <c r="N79"/>
  <c r="Q79" s="1"/>
  <c r="N77"/>
  <c r="Q77" s="1"/>
  <c r="N78"/>
  <c r="Q78" s="1"/>
  <c r="N73"/>
  <c r="Q73" s="1"/>
  <c r="N68"/>
  <c r="Q68" s="1"/>
  <c r="N69"/>
  <c r="Q69" s="1"/>
  <c r="N71"/>
  <c r="Q71" s="1"/>
  <c r="N72"/>
  <c r="Q72" s="1"/>
  <c r="N74"/>
  <c r="Q74" s="1"/>
  <c r="N70"/>
  <c r="N75"/>
  <c r="N84"/>
  <c r="N85"/>
  <c r="Q85" s="1"/>
  <c r="N89"/>
  <c r="N87"/>
  <c r="N88"/>
  <c r="N92"/>
  <c r="Q92" s="1"/>
  <c r="N86"/>
  <c r="N90"/>
  <c r="N91"/>
  <c r="Q91" s="1"/>
  <c r="N95"/>
  <c r="Q95" s="1"/>
  <c r="N97"/>
  <c r="Q97" s="1"/>
  <c r="N93"/>
  <c r="Q93" s="1"/>
  <c r="N96"/>
  <c r="Q96" s="1"/>
  <c r="N98"/>
  <c r="Q98" s="1"/>
  <c r="N94"/>
  <c r="Q94" s="1"/>
  <c r="N101"/>
  <c r="Q101" s="1"/>
  <c r="N99"/>
  <c r="N102"/>
  <c r="Q102" s="1"/>
  <c r="N103"/>
  <c r="Q103" s="1"/>
  <c r="N104"/>
  <c r="Q104" s="1"/>
  <c r="N106"/>
  <c r="Q106" s="1"/>
  <c r="N100"/>
  <c r="N105"/>
  <c r="Q105" s="1"/>
  <c r="N107"/>
  <c r="N108"/>
  <c r="Q108" s="1"/>
  <c r="N115"/>
  <c r="Q115" s="1"/>
  <c r="N118"/>
  <c r="Q118" s="1"/>
  <c r="N114"/>
  <c r="Q114" s="1"/>
  <c r="N116"/>
  <c r="Q116" s="1"/>
  <c r="N113"/>
  <c r="Q113" s="1"/>
  <c r="N122"/>
  <c r="N110"/>
  <c r="Q110" s="1"/>
  <c r="N119"/>
  <c r="N117"/>
  <c r="Q117" s="1"/>
  <c r="N111"/>
  <c r="Q111" s="1"/>
  <c r="N121"/>
  <c r="Q121" s="1"/>
  <c r="N123"/>
  <c r="Q123" s="1"/>
  <c r="N109"/>
  <c r="Q109" s="1"/>
  <c r="N120"/>
  <c r="N112"/>
  <c r="Q112" s="1"/>
  <c r="N146"/>
  <c r="N129"/>
  <c r="Q129" s="1"/>
  <c r="N126"/>
  <c r="N136"/>
  <c r="N125"/>
  <c r="N124"/>
  <c r="N128"/>
  <c r="N154"/>
  <c r="N147"/>
  <c r="Q147" s="1"/>
  <c r="N165"/>
  <c r="N151"/>
  <c r="Q151" s="1"/>
  <c r="N163"/>
  <c r="N162"/>
  <c r="N134"/>
  <c r="N157"/>
  <c r="Q157" s="1"/>
  <c r="N138"/>
  <c r="Q138" s="1"/>
  <c r="N178"/>
  <c r="Q178" s="1"/>
  <c r="N131"/>
  <c r="N160"/>
  <c r="N167"/>
  <c r="Q167" s="1"/>
  <c r="N174"/>
  <c r="N143"/>
  <c r="N175"/>
  <c r="Q175" s="1"/>
  <c r="N148"/>
  <c r="Q148" s="1"/>
  <c r="N177"/>
  <c r="Q177" s="1"/>
  <c r="N161"/>
  <c r="Q161" s="1"/>
  <c r="N149"/>
  <c r="N135"/>
  <c r="Q135" s="1"/>
  <c r="N130"/>
  <c r="Q130" s="1"/>
  <c r="N144"/>
  <c r="N132"/>
  <c r="N127"/>
  <c r="N159"/>
  <c r="N166"/>
  <c r="N171"/>
  <c r="N141"/>
  <c r="N172"/>
  <c r="N155"/>
  <c r="Q155" s="1"/>
  <c r="N164"/>
  <c r="Q164" s="1"/>
  <c r="N168"/>
  <c r="Q168" s="1"/>
  <c r="N158"/>
  <c r="N133"/>
  <c r="N137"/>
  <c r="N170"/>
  <c r="Q170" s="1"/>
  <c r="N150"/>
  <c r="N176"/>
  <c r="Q176" s="1"/>
  <c r="N169"/>
  <c r="Q169" s="1"/>
  <c r="N156"/>
  <c r="N153"/>
  <c r="Q153" s="1"/>
  <c r="N139"/>
  <c r="N152"/>
  <c r="Q152" s="1"/>
  <c r="N140"/>
  <c r="Q140" s="1"/>
  <c r="N142"/>
  <c r="N173"/>
  <c r="N145"/>
  <c r="N182"/>
  <c r="N179"/>
  <c r="Q179" s="1"/>
  <c r="N191"/>
  <c r="Q191" s="1"/>
  <c r="N186"/>
  <c r="Q186" s="1"/>
  <c r="N181"/>
  <c r="N180"/>
  <c r="N184"/>
  <c r="N183"/>
  <c r="Q183" s="1"/>
  <c r="N188"/>
  <c r="N190"/>
  <c r="Q190" s="1"/>
  <c r="N189"/>
  <c r="N185"/>
  <c r="Q185" s="1"/>
  <c r="N187"/>
  <c r="N192"/>
  <c r="Q192" s="1"/>
  <c r="N197"/>
  <c r="N196"/>
  <c r="N195"/>
  <c r="Q195" s="1"/>
  <c r="N194"/>
  <c r="N193"/>
  <c r="N205"/>
  <c r="Q205" s="1"/>
  <c r="N202"/>
  <c r="Q202" s="1"/>
  <c r="N199"/>
  <c r="N206"/>
  <c r="N207"/>
  <c r="N198"/>
  <c r="N204"/>
  <c r="Q204" s="1"/>
  <c r="N200"/>
  <c r="Q200" s="1"/>
  <c r="N201"/>
  <c r="Q201" s="1"/>
  <c r="N203"/>
  <c r="N208"/>
  <c r="N213"/>
  <c r="Q213" s="1"/>
  <c r="N214"/>
  <c r="Q214" s="1"/>
  <c r="N209"/>
  <c r="Q209" s="1"/>
  <c r="N211"/>
  <c r="N212"/>
  <c r="Q212" s="1"/>
  <c r="N215"/>
  <c r="N216"/>
  <c r="N217"/>
  <c r="N210"/>
  <c r="N218"/>
  <c r="Q218" s="1"/>
  <c r="N221"/>
  <c r="N220"/>
  <c r="Q220" s="1"/>
  <c r="N219"/>
  <c r="Q219" s="1"/>
  <c r="N222"/>
  <c r="N227"/>
  <c r="N230"/>
  <c r="N231"/>
  <c r="Q231" s="1"/>
  <c r="N237"/>
  <c r="Q237" s="1"/>
  <c r="N232"/>
  <c r="Q232" s="1"/>
  <c r="N233"/>
  <c r="Q233" s="1"/>
  <c r="N228"/>
  <c r="Q228" s="1"/>
  <c r="N225"/>
  <c r="Q225" s="1"/>
  <c r="N235"/>
  <c r="N238"/>
  <c r="Q238" s="1"/>
  <c r="N224"/>
  <c r="N239"/>
  <c r="Q239" s="1"/>
  <c r="N229"/>
  <c r="Q229" s="1"/>
  <c r="N226"/>
  <c r="Q226" s="1"/>
  <c r="N234"/>
  <c r="N240"/>
  <c r="Q240" s="1"/>
  <c r="N223"/>
  <c r="N236"/>
  <c r="Q236" s="1"/>
  <c r="N241"/>
  <c r="N242"/>
  <c r="Q242" s="1"/>
  <c r="N243"/>
  <c r="Q243" s="1"/>
  <c r="N244"/>
  <c r="Q244" s="1"/>
  <c r="N245"/>
  <c r="Q245" s="1"/>
  <c r="N246"/>
  <c r="Q246" s="1"/>
  <c r="N251"/>
  <c r="Q251" s="1"/>
  <c r="N249"/>
  <c r="Q249" s="1"/>
  <c r="N248"/>
  <c r="Q248" s="1"/>
  <c r="N250"/>
  <c r="Q250" s="1"/>
  <c r="N247"/>
  <c r="N253"/>
  <c r="Q253" s="1"/>
  <c r="N254"/>
  <c r="Q254" s="1"/>
  <c r="N252"/>
  <c r="Q252" s="1"/>
  <c r="N255"/>
  <c r="N256"/>
  <c r="Q256" s="1"/>
  <c r="N257"/>
  <c r="N258"/>
  <c r="N265"/>
  <c r="Q265" s="1"/>
  <c r="N262"/>
  <c r="Q262" s="1"/>
  <c r="N263"/>
  <c r="Q263" s="1"/>
  <c r="N260"/>
  <c r="Q260" s="1"/>
  <c r="N264"/>
  <c r="N261"/>
  <c r="Q261" s="1"/>
  <c r="N259"/>
  <c r="Q259" s="1"/>
  <c r="N268"/>
  <c r="N267"/>
  <c r="Q267" s="1"/>
  <c r="N266"/>
  <c r="N271"/>
  <c r="Q271" s="1"/>
  <c r="N270"/>
  <c r="Q270" s="1"/>
  <c r="N269"/>
  <c r="N272"/>
  <c r="Q272" s="1"/>
  <c r="N273"/>
  <c r="Q273" s="1"/>
  <c r="N278"/>
  <c r="N279"/>
  <c r="Q279" s="1"/>
  <c r="N281"/>
  <c r="Q281" s="1"/>
  <c r="N283"/>
  <c r="Q283" s="1"/>
  <c r="N276"/>
  <c r="Q276" s="1"/>
  <c r="N274"/>
  <c r="Q274" s="1"/>
  <c r="N275"/>
  <c r="Q275" s="1"/>
  <c r="N280"/>
  <c r="Q280" s="1"/>
  <c r="N282"/>
  <c r="N277"/>
  <c r="N284"/>
  <c r="N289"/>
  <c r="N297"/>
  <c r="Q297" s="1"/>
  <c r="N288"/>
  <c r="N294"/>
  <c r="N287"/>
  <c r="Q287" s="1"/>
  <c r="N290"/>
  <c r="N285"/>
  <c r="N295"/>
  <c r="N286"/>
  <c r="Q286" s="1"/>
  <c r="N292"/>
  <c r="Q292" s="1"/>
  <c r="N296"/>
  <c r="N291"/>
  <c r="N293"/>
  <c r="Q293" s="1"/>
  <c r="N301"/>
  <c r="N300"/>
  <c r="N306"/>
  <c r="N304"/>
  <c r="N299"/>
  <c r="N303"/>
  <c r="Q303" s="1"/>
  <c r="N305"/>
  <c r="N302"/>
  <c r="Q302" s="1"/>
  <c r="N307"/>
  <c r="N298"/>
  <c r="Q298" s="1"/>
  <c r="N309"/>
  <c r="N308"/>
  <c r="N320"/>
  <c r="Q320" s="1"/>
  <c r="N316"/>
  <c r="N321"/>
  <c r="Q321" s="1"/>
  <c r="N311"/>
  <c r="N315"/>
  <c r="N313"/>
  <c r="Q313" s="1"/>
  <c r="N314"/>
  <c r="N312"/>
  <c r="Q312" s="1"/>
  <c r="N317"/>
  <c r="Q317" s="1"/>
  <c r="N310"/>
  <c r="Q310" s="1"/>
  <c r="N319"/>
  <c r="N322"/>
  <c r="Q322" s="1"/>
  <c r="N318"/>
  <c r="N323"/>
  <c r="Q323" s="1"/>
  <c r="N326"/>
  <c r="Q326" s="1"/>
  <c r="N324"/>
  <c r="N325"/>
  <c r="Q325" s="1"/>
  <c r="N327"/>
  <c r="Q327" s="1"/>
  <c r="N354"/>
  <c r="Q354" s="1"/>
  <c r="N333"/>
  <c r="N342"/>
  <c r="N364"/>
  <c r="N339"/>
  <c r="N340"/>
  <c r="N358"/>
  <c r="Q358" s="1"/>
  <c r="N332"/>
  <c r="Q332" s="1"/>
  <c r="N346"/>
  <c r="N348"/>
  <c r="Q348" s="1"/>
  <c r="N338"/>
  <c r="N356"/>
  <c r="Q356" s="1"/>
  <c r="N355"/>
  <c r="Q355" s="1"/>
  <c r="N362"/>
  <c r="Q362" s="1"/>
  <c r="N361"/>
  <c r="Q361" s="1"/>
  <c r="N341"/>
  <c r="Q341" s="1"/>
  <c r="N337"/>
  <c r="Q337" s="1"/>
  <c r="N343"/>
  <c r="Q343" s="1"/>
  <c r="N334"/>
  <c r="Q334" s="1"/>
  <c r="N363"/>
  <c r="N351"/>
  <c r="Q351" s="1"/>
  <c r="N350"/>
  <c r="Q350" s="1"/>
  <c r="N328"/>
  <c r="N331"/>
  <c r="N347"/>
  <c r="Q347" s="1"/>
  <c r="N360"/>
  <c r="N345"/>
  <c r="Q345" s="1"/>
  <c r="N353"/>
  <c r="Q353" s="1"/>
  <c r="N349"/>
  <c r="N352"/>
  <c r="Q352" s="1"/>
  <c r="N357"/>
  <c r="Q357" s="1"/>
  <c r="N335"/>
  <c r="N336"/>
  <c r="N344"/>
  <c r="Q344" s="1"/>
  <c r="N329"/>
  <c r="N330"/>
  <c r="Q330" s="1"/>
  <c r="N359"/>
  <c r="Q359" s="1"/>
  <c r="N365"/>
  <c r="Q365" s="1"/>
  <c r="N366"/>
  <c r="Q366" s="1"/>
  <c r="N369"/>
  <c r="Q369" s="1"/>
  <c r="N370"/>
  <c r="Q370" s="1"/>
  <c r="N367"/>
  <c r="Q367" s="1"/>
  <c r="N371"/>
  <c r="Q371" s="1"/>
  <c r="N368"/>
  <c r="Q368" s="1"/>
  <c r="N384"/>
  <c r="N378"/>
  <c r="N385"/>
  <c r="Q385" s="1"/>
  <c r="N381"/>
  <c r="Q381" s="1"/>
  <c r="N376"/>
  <c r="Q376" s="1"/>
  <c r="N383"/>
  <c r="Q383" s="1"/>
  <c r="N374"/>
  <c r="N380"/>
  <c r="Q380" s="1"/>
  <c r="N377"/>
  <c r="Q377" s="1"/>
  <c r="N373"/>
  <c r="N375"/>
  <c r="N379"/>
  <c r="Q379" s="1"/>
  <c r="N382"/>
  <c r="Q382" s="1"/>
  <c r="N390"/>
  <c r="Q390" s="1"/>
  <c r="N389"/>
  <c r="N388"/>
  <c r="N391"/>
  <c r="Q391" s="1"/>
  <c r="N386"/>
  <c r="Q386" s="1"/>
  <c r="N372"/>
  <c r="Q372" s="1"/>
  <c r="N387"/>
  <c r="Q387" s="1"/>
  <c r="N396"/>
  <c r="Q396" s="1"/>
  <c r="N393"/>
  <c r="N394"/>
  <c r="N399"/>
  <c r="N397"/>
  <c r="Q397" s="1"/>
  <c r="N398"/>
  <c r="Q398" s="1"/>
  <c r="N395"/>
  <c r="N392"/>
  <c r="Q392" s="1"/>
  <c r="N405"/>
  <c r="N407"/>
  <c r="N408"/>
  <c r="N409"/>
  <c r="Q409" s="1"/>
  <c r="N401"/>
  <c r="Q401" s="1"/>
  <c r="N403"/>
  <c r="Q403" s="1"/>
  <c r="N404"/>
  <c r="N406"/>
  <c r="Q406" s="1"/>
  <c r="N402"/>
  <c r="N400"/>
  <c r="N436"/>
  <c r="N437"/>
  <c r="Q437" s="1"/>
  <c r="N435"/>
  <c r="Q435" s="1"/>
  <c r="N438"/>
  <c r="Q438" s="1"/>
  <c r="N434"/>
  <c r="N415"/>
  <c r="N416"/>
  <c r="N414"/>
  <c r="N417"/>
  <c r="N418"/>
  <c r="Q418" s="1"/>
  <c r="N419"/>
  <c r="N421"/>
  <c r="Q421" s="1"/>
  <c r="N420"/>
  <c r="Q420" s="1"/>
  <c r="N423"/>
  <c r="Q423" s="1"/>
  <c r="N422"/>
  <c r="Q422" s="1"/>
  <c r="N427"/>
  <c r="Q427" s="1"/>
  <c r="N426"/>
  <c r="Q426" s="1"/>
  <c r="N429"/>
  <c r="Q429" s="1"/>
  <c r="N428"/>
  <c r="Q428" s="1"/>
  <c r="N424"/>
  <c r="N425"/>
  <c r="N431"/>
  <c r="Q431" s="1"/>
  <c r="N430"/>
  <c r="Q430" s="1"/>
  <c r="N433"/>
  <c r="Q433" s="1"/>
  <c r="N432"/>
  <c r="Q432" s="1"/>
  <c r="N439"/>
  <c r="Q439" s="1"/>
  <c r="N440"/>
  <c r="Q440" s="1"/>
  <c r="N441"/>
  <c r="N444"/>
  <c r="Q444" s="1"/>
  <c r="N445"/>
  <c r="Q445" s="1"/>
  <c r="N450"/>
  <c r="Q450" s="1"/>
  <c r="N446"/>
  <c r="Q446" s="1"/>
  <c r="N449"/>
  <c r="Q449" s="1"/>
  <c r="N447"/>
  <c r="Q447" s="1"/>
  <c r="N443"/>
  <c r="Q443" s="1"/>
  <c r="N442"/>
  <c r="Q442" s="1"/>
  <c r="N448"/>
  <c r="Q448" s="1"/>
  <c r="N451"/>
  <c r="N457"/>
  <c r="N460"/>
  <c r="Q460" s="1"/>
  <c r="N461"/>
  <c r="N464"/>
  <c r="Q464" s="1"/>
  <c r="N475"/>
  <c r="N455"/>
  <c r="Q455" s="1"/>
  <c r="N471"/>
  <c r="Q471" s="1"/>
  <c r="N456"/>
  <c r="N477"/>
  <c r="N476"/>
  <c r="Q476" s="1"/>
  <c r="N458"/>
  <c r="N462"/>
  <c r="N468"/>
  <c r="N470"/>
  <c r="Q470" s="1"/>
  <c r="N454"/>
  <c r="Q454" s="1"/>
  <c r="N469"/>
  <c r="Q469" s="1"/>
  <c r="N463"/>
  <c r="Q463" s="1"/>
  <c r="N472"/>
  <c r="N466"/>
  <c r="N473"/>
  <c r="Q473" s="1"/>
  <c r="N474"/>
  <c r="N478"/>
  <c r="Q478" s="1"/>
  <c r="N467"/>
  <c r="Q467" s="1"/>
  <c r="N453"/>
  <c r="N465"/>
  <c r="N459"/>
  <c r="Q459" s="1"/>
  <c r="N452"/>
  <c r="Q452" s="1"/>
  <c r="N488"/>
  <c r="Q488" s="1"/>
  <c r="N491"/>
  <c r="N489"/>
  <c r="N486"/>
  <c r="N487"/>
  <c r="N482"/>
  <c r="Q482" s="1"/>
  <c r="N481"/>
  <c r="N484"/>
  <c r="Q484" s="1"/>
  <c r="N485"/>
  <c r="N480"/>
  <c r="N479"/>
  <c r="Q479" s="1"/>
  <c r="N490"/>
  <c r="Q490" s="1"/>
  <c r="N483"/>
  <c r="N496"/>
  <c r="Q496" s="1"/>
  <c r="N505"/>
  <c r="Q505" s="1"/>
  <c r="N504"/>
  <c r="N500"/>
  <c r="N499"/>
  <c r="Q499" s="1"/>
  <c r="N503"/>
  <c r="Q503" s="1"/>
  <c r="N492"/>
  <c r="Q492" s="1"/>
  <c r="N501"/>
  <c r="N497"/>
  <c r="N494"/>
  <c r="N498"/>
  <c r="Q498" s="1"/>
  <c r="N502"/>
  <c r="Q502" s="1"/>
  <c r="N495"/>
  <c r="Q495" s="1"/>
  <c r="N493"/>
  <c r="N510"/>
  <c r="Q510" s="1"/>
  <c r="N509"/>
  <c r="Q509" s="1"/>
  <c r="N521"/>
  <c r="Q521" s="1"/>
  <c r="N516"/>
  <c r="Q516" s="1"/>
  <c r="N515"/>
  <c r="N512"/>
  <c r="N514"/>
  <c r="Q514" s="1"/>
  <c r="N519"/>
  <c r="Q519" s="1"/>
  <c r="N506"/>
  <c r="Q506" s="1"/>
  <c r="N522"/>
  <c r="Q522" s="1"/>
  <c r="N518"/>
  <c r="Q518" s="1"/>
  <c r="N517"/>
  <c r="Q517" s="1"/>
  <c r="N513"/>
  <c r="Q513" s="1"/>
  <c r="N524"/>
  <c r="Q524" s="1"/>
  <c r="N511"/>
  <c r="Q511" s="1"/>
  <c r="N508"/>
  <c r="Q508" s="1"/>
  <c r="N507"/>
  <c r="N523"/>
  <c r="Q523" s="1"/>
  <c r="N520"/>
  <c r="Q520" s="1"/>
  <c r="N525"/>
  <c r="Q525" s="1"/>
  <c r="N526"/>
  <c r="N528"/>
  <c r="Q528" s="1"/>
  <c r="N527"/>
  <c r="Q527" s="1"/>
  <c r="N533"/>
  <c r="Q533" s="1"/>
  <c r="N530"/>
  <c r="N529"/>
  <c r="Q529" s="1"/>
  <c r="N532"/>
  <c r="Q532" s="1"/>
  <c r="N531"/>
  <c r="Q531" s="1"/>
  <c r="N535"/>
  <c r="Q535" s="1"/>
  <c r="N534"/>
  <c r="N537"/>
  <c r="N538"/>
  <c r="N539"/>
  <c r="Q539" s="1"/>
  <c r="N536"/>
  <c r="Q536" s="1"/>
  <c r="N546"/>
  <c r="Q546" s="1"/>
  <c r="N549"/>
  <c r="N550"/>
  <c r="Q550" s="1"/>
  <c r="N551"/>
  <c r="Q551" s="1"/>
  <c r="N540"/>
  <c r="N542"/>
  <c r="N547"/>
  <c r="Q547" s="1"/>
  <c r="N548"/>
  <c r="Q548" s="1"/>
  <c r="N543"/>
  <c r="Q543" s="1"/>
  <c r="N541"/>
  <c r="N545"/>
  <c r="Q545" s="1"/>
  <c r="N544"/>
  <c r="N552"/>
  <c r="N589"/>
  <c r="N562"/>
  <c r="N563"/>
  <c r="N566"/>
  <c r="N553"/>
  <c r="N557"/>
  <c r="N554"/>
  <c r="N582"/>
  <c r="N585"/>
  <c r="Q585" s="1"/>
  <c r="N564"/>
  <c r="N556"/>
  <c r="Q556" s="1"/>
  <c r="N559"/>
  <c r="N558"/>
  <c r="N588"/>
  <c r="N567"/>
  <c r="Q567" s="1"/>
  <c r="N581"/>
  <c r="N587"/>
  <c r="Q587" s="1"/>
  <c r="N583"/>
  <c r="N570"/>
  <c r="N572"/>
  <c r="Q572" s="1"/>
  <c r="N586"/>
  <c r="Q586" s="1"/>
  <c r="N555"/>
  <c r="N568"/>
  <c r="N573"/>
  <c r="N576"/>
  <c r="N565"/>
  <c r="N579"/>
  <c r="Q579" s="1"/>
  <c r="N577"/>
  <c r="Q577" s="1"/>
  <c r="N578"/>
  <c r="N584"/>
  <c r="Q584" s="1"/>
  <c r="N571"/>
  <c r="Q571" s="1"/>
  <c r="N580"/>
  <c r="N561"/>
  <c r="N575"/>
  <c r="N590"/>
  <c r="N569"/>
  <c r="N560"/>
  <c r="N574"/>
  <c r="N591"/>
  <c r="N593"/>
  <c r="Q593" s="1"/>
  <c r="N592"/>
  <c r="N594"/>
  <c r="Q594" s="1"/>
  <c r="N596"/>
  <c r="N595"/>
  <c r="Q595" s="1"/>
  <c r="N597"/>
  <c r="Q597" s="1"/>
  <c r="N598"/>
  <c r="Q598" s="1"/>
  <c r="N601"/>
  <c r="N599"/>
  <c r="Q599" s="1"/>
  <c r="N600"/>
  <c r="Q600" s="1"/>
  <c r="N603"/>
  <c r="N602"/>
  <c r="Q602" s="1"/>
  <c r="N604"/>
  <c r="Q604" s="1"/>
  <c r="N605"/>
  <c r="Q605" s="1"/>
  <c r="N607"/>
  <c r="Q607" s="1"/>
  <c r="N606"/>
  <c r="N611"/>
  <c r="N610"/>
  <c r="Q610" s="1"/>
  <c r="N609"/>
  <c r="N608"/>
  <c r="N617"/>
  <c r="N634"/>
  <c r="N621"/>
  <c r="N620"/>
  <c r="Q620" s="1"/>
  <c r="N616"/>
  <c r="Q616" s="1"/>
  <c r="N612"/>
  <c r="N613"/>
  <c r="Q613" s="1"/>
  <c r="N619"/>
  <c r="Q619" s="1"/>
  <c r="N639"/>
  <c r="Q639" s="1"/>
  <c r="N623"/>
  <c r="N625"/>
  <c r="Q625" s="1"/>
  <c r="N630"/>
  <c r="Q630" s="1"/>
  <c r="N636"/>
  <c r="N629"/>
  <c r="N632"/>
  <c r="N631"/>
  <c r="Q631" s="1"/>
  <c r="N633"/>
  <c r="N635"/>
  <c r="Q635" s="1"/>
  <c r="N626"/>
  <c r="Q626" s="1"/>
  <c r="N628"/>
  <c r="N640"/>
  <c r="N638"/>
  <c r="Q638" s="1"/>
  <c r="N641"/>
  <c r="Q641" s="1"/>
  <c r="N615"/>
  <c r="N624"/>
  <c r="N627"/>
  <c r="N614"/>
  <c r="Q614" s="1"/>
  <c r="N622"/>
  <c r="N637"/>
  <c r="N618"/>
  <c r="N642"/>
  <c r="Q642" s="1"/>
  <c r="N643"/>
  <c r="Q643" s="1"/>
  <c r="N644"/>
  <c r="Q644" s="1"/>
  <c r="N645"/>
  <c r="Q645" s="1"/>
  <c r="N646"/>
  <c r="N647"/>
  <c r="Q647" s="1"/>
  <c r="N649"/>
  <c r="Q649" s="1"/>
  <c r="N648"/>
  <c r="N654"/>
  <c r="Q654" s="1"/>
  <c r="N659"/>
  <c r="N658"/>
  <c r="Q658" s="1"/>
  <c r="N656"/>
  <c r="N653"/>
  <c r="Q653" s="1"/>
  <c r="N652"/>
  <c r="N650"/>
  <c r="N657"/>
  <c r="N655"/>
  <c r="Q655" s="1"/>
  <c r="N651"/>
  <c r="N660"/>
  <c r="Q660" s="1"/>
  <c r="N664"/>
  <c r="N668"/>
  <c r="N663"/>
  <c r="Q663" s="1"/>
  <c r="N667"/>
  <c r="Q667" s="1"/>
  <c r="N662"/>
  <c r="Q662" s="1"/>
  <c r="N665"/>
  <c r="N666"/>
  <c r="Q666" s="1"/>
  <c r="N670"/>
  <c r="Q670" s="1"/>
  <c r="N661"/>
  <c r="Q661" s="1"/>
  <c r="N669"/>
  <c r="Q669" s="1"/>
  <c r="N671"/>
  <c r="Q671" s="1"/>
  <c r="N672"/>
  <c r="Q672" s="1"/>
  <c r="N696"/>
  <c r="Q696" s="1"/>
  <c r="N694"/>
  <c r="Q694" s="1"/>
  <c r="N689"/>
  <c r="Q689" s="1"/>
  <c r="N681"/>
  <c r="Q681" s="1"/>
  <c r="N699"/>
  <c r="Q699" s="1"/>
  <c r="N677"/>
  <c r="Q677" s="1"/>
  <c r="N678"/>
  <c r="Q678" s="1"/>
  <c r="N688"/>
  <c r="Q688" s="1"/>
  <c r="N682"/>
  <c r="Q682" s="1"/>
  <c r="N692"/>
  <c r="Q692" s="1"/>
  <c r="N685"/>
  <c r="Q685" s="1"/>
  <c r="N679"/>
  <c r="N676"/>
  <c r="Q676" s="1"/>
  <c r="N695"/>
  <c r="Q695" s="1"/>
  <c r="N690"/>
  <c r="Q690" s="1"/>
  <c r="N686"/>
  <c r="Q686" s="1"/>
  <c r="N680"/>
  <c r="Q680" s="1"/>
  <c r="N698"/>
  <c r="Q698" s="1"/>
  <c r="N674"/>
  <c r="Q674" s="1"/>
  <c r="N691"/>
  <c r="N697"/>
  <c r="Q697" s="1"/>
  <c r="N675"/>
  <c r="Q675" s="1"/>
  <c r="N684"/>
  <c r="Q684" s="1"/>
  <c r="N700"/>
  <c r="Q700" s="1"/>
  <c r="N701"/>
  <c r="Q701" s="1"/>
  <c r="N673"/>
  <c r="Q673" s="1"/>
  <c r="N687"/>
  <c r="Q687" s="1"/>
  <c r="N683"/>
  <c r="Q683" s="1"/>
  <c r="N693"/>
  <c r="Q693" s="1"/>
  <c r="N702"/>
  <c r="Q702" s="1"/>
  <c r="N703"/>
  <c r="Q703" s="1"/>
  <c r="N704"/>
  <c r="N705"/>
  <c r="N706"/>
  <c r="N707"/>
  <c r="Q707" s="1"/>
  <c r="N708"/>
  <c r="N709"/>
  <c r="Q709" s="1"/>
  <c r="N710"/>
  <c r="N713"/>
  <c r="N714"/>
  <c r="Q714" s="1"/>
  <c r="N711"/>
  <c r="N712"/>
  <c r="N715"/>
  <c r="Q715" s="1"/>
  <c r="N716"/>
  <c r="Q716" s="1"/>
  <c r="N726"/>
  <c r="N721"/>
  <c r="N725"/>
  <c r="Q725" s="1"/>
  <c r="N728"/>
  <c r="Q728" s="1"/>
  <c r="N724"/>
  <c r="Q724" s="1"/>
  <c r="N723"/>
  <c r="N719"/>
  <c r="Q719" s="1"/>
  <c r="N717"/>
  <c r="N727"/>
  <c r="N729"/>
  <c r="Q729" s="1"/>
  <c r="N722"/>
  <c r="Q722" s="1"/>
  <c r="N718"/>
  <c r="Q718" s="1"/>
  <c r="N720"/>
  <c r="Q720" s="1"/>
  <c r="N730"/>
  <c r="Q730" s="1"/>
  <c r="N731"/>
  <c r="N732"/>
  <c r="Q732" s="1"/>
  <c r="N733"/>
  <c r="Q733" s="1"/>
  <c r="N734"/>
  <c r="Q734" s="1"/>
  <c r="N735"/>
  <c r="Q735" s="1"/>
  <c r="N736"/>
  <c r="Q736" s="1"/>
  <c r="N738"/>
  <c r="Q738" s="1"/>
  <c r="N739"/>
  <c r="Q739" s="1"/>
  <c r="N737"/>
  <c r="N742"/>
  <c r="N743"/>
  <c r="Q743" s="1"/>
  <c r="N744"/>
  <c r="N740"/>
  <c r="Q740" s="1"/>
  <c r="N741"/>
  <c r="Q741" s="1"/>
  <c r="N746"/>
  <c r="Q746" s="1"/>
  <c r="N745"/>
  <c r="Q745" s="1"/>
  <c r="N749"/>
  <c r="Q749" s="1"/>
  <c r="N747"/>
  <c r="N748"/>
  <c r="Q748" s="1"/>
  <c r="N750"/>
  <c r="N751"/>
  <c r="Q751" s="1"/>
  <c r="N752"/>
  <c r="Q752" s="1"/>
  <c r="N753"/>
  <c r="Q753" s="1"/>
  <c r="N754"/>
  <c r="N755"/>
  <c r="Q755" s="1"/>
  <c r="N759"/>
  <c r="Q759" s="1"/>
  <c r="N756"/>
  <c r="Q756" s="1"/>
  <c r="N757"/>
  <c r="Q757" s="1"/>
  <c r="N758"/>
  <c r="Q758" s="1"/>
  <c r="N762"/>
  <c r="N760"/>
  <c r="Q760" s="1"/>
  <c r="N761"/>
  <c r="Q761" s="1"/>
  <c r="N763"/>
  <c r="N772"/>
  <c r="N773"/>
  <c r="N780"/>
  <c r="Q780" s="1"/>
  <c r="N783"/>
  <c r="Q783" s="1"/>
  <c r="N787"/>
  <c r="N795"/>
  <c r="N796"/>
  <c r="Q796" s="1"/>
  <c r="N775"/>
  <c r="N791"/>
  <c r="N794"/>
  <c r="Q794" s="1"/>
  <c r="N793"/>
  <c r="Q793" s="1"/>
  <c r="N800"/>
  <c r="Q800" s="1"/>
  <c r="N799"/>
  <c r="Q799" s="1"/>
  <c r="N801"/>
  <c r="Q801" s="1"/>
  <c r="N789"/>
  <c r="Q789" s="1"/>
  <c r="N764"/>
  <c r="Q764" s="1"/>
  <c r="N784"/>
  <c r="N777"/>
  <c r="Q777" s="1"/>
  <c r="N768"/>
  <c r="N802"/>
  <c r="N782"/>
  <c r="Q782" s="1"/>
  <c r="N769"/>
  <c r="Q769" s="1"/>
  <c r="N774"/>
  <c r="N770"/>
  <c r="Q770" s="1"/>
  <c r="N785"/>
  <c r="Q785" s="1"/>
  <c r="N781"/>
  <c r="Q781" s="1"/>
  <c r="N779"/>
  <c r="Q779" s="1"/>
  <c r="N790"/>
  <c r="N792"/>
  <c r="Q792" s="1"/>
  <c r="N778"/>
  <c r="N771"/>
  <c r="Q771" s="1"/>
  <c r="N786"/>
  <c r="N788"/>
  <c r="Q788" s="1"/>
  <c r="N797"/>
  <c r="Q797" s="1"/>
  <c r="N766"/>
  <c r="Q766" s="1"/>
  <c r="N765"/>
  <c r="N776"/>
  <c r="Q776" s="1"/>
  <c r="N798"/>
  <c r="Q798" s="1"/>
  <c r="N767"/>
  <c r="N803"/>
  <c r="N804"/>
  <c r="Q804" s="1"/>
  <c r="N806"/>
  <c r="N805"/>
  <c r="Q805" s="1"/>
  <c r="N808"/>
  <c r="Q808" s="1"/>
  <c r="N807"/>
  <c r="N811"/>
  <c r="Q811" s="1"/>
  <c r="N810"/>
  <c r="Q810" s="1"/>
  <c r="N809"/>
  <c r="N812"/>
  <c r="Q812" s="1"/>
  <c r="N823"/>
  <c r="N813"/>
  <c r="Q813" s="1"/>
  <c r="N820"/>
  <c r="Q820" s="1"/>
  <c r="N818"/>
  <c r="Q818" s="1"/>
  <c r="N814"/>
  <c r="Q814" s="1"/>
  <c r="N819"/>
  <c r="Q819" s="1"/>
  <c r="N817"/>
  <c r="Q817" s="1"/>
  <c r="N821"/>
  <c r="Q821" s="1"/>
  <c r="N822"/>
  <c r="Q822" s="1"/>
  <c r="N815"/>
  <c r="Q815" s="1"/>
  <c r="N816"/>
  <c r="Q816" s="1"/>
  <c r="N827"/>
  <c r="Q827" s="1"/>
  <c r="N843"/>
  <c r="N840"/>
  <c r="Q840" s="1"/>
  <c r="N847"/>
  <c r="Q847" s="1"/>
  <c r="N835"/>
  <c r="N836"/>
  <c r="Q836" s="1"/>
  <c r="N842"/>
  <c r="Q842" s="1"/>
  <c r="N852"/>
  <c r="Q852" s="1"/>
  <c r="N837"/>
  <c r="Q837" s="1"/>
  <c r="N855"/>
  <c r="N826"/>
  <c r="Q826" s="1"/>
  <c r="N824"/>
  <c r="Q824" s="1"/>
  <c r="N834"/>
  <c r="Q834" s="1"/>
  <c r="N828"/>
  <c r="Q828" s="1"/>
  <c r="N829"/>
  <c r="Q829" s="1"/>
  <c r="N854"/>
  <c r="Q854" s="1"/>
  <c r="N833"/>
  <c r="Q833" s="1"/>
  <c r="N825"/>
  <c r="N846"/>
  <c r="Q846" s="1"/>
  <c r="N844"/>
  <c r="N850"/>
  <c r="Q850" s="1"/>
  <c r="N832"/>
  <c r="Q832" s="1"/>
  <c r="N830"/>
  <c r="Q830" s="1"/>
  <c r="N851"/>
  <c r="Q851" s="1"/>
  <c r="N856"/>
  <c r="N831"/>
  <c r="N845"/>
  <c r="N853"/>
  <c r="Q853" s="1"/>
  <c r="N838"/>
  <c r="Q838" s="1"/>
  <c r="N839"/>
  <c r="N841"/>
  <c r="N848"/>
  <c r="Q848" s="1"/>
  <c r="N849"/>
  <c r="Q849" s="1"/>
  <c r="N857"/>
  <c r="N858"/>
  <c r="N860"/>
  <c r="Q860" s="1"/>
  <c r="N859"/>
  <c r="Q859" s="1"/>
  <c r="N861"/>
  <c r="Q861" s="1"/>
  <c r="N862"/>
  <c r="Q862" s="1"/>
  <c r="N878"/>
  <c r="Q878" s="1"/>
  <c r="N866"/>
  <c r="Q866" s="1"/>
  <c r="N871"/>
  <c r="Q871" s="1"/>
  <c r="N869"/>
  <c r="Q869" s="1"/>
  <c r="N863"/>
  <c r="N865"/>
  <c r="N879"/>
  <c r="Q879" s="1"/>
  <c r="N874"/>
  <c r="N877"/>
  <c r="N870"/>
  <c r="Q870" s="1"/>
  <c r="N867"/>
  <c r="Q867" s="1"/>
  <c r="N872"/>
  <c r="N873"/>
  <c r="Q873" s="1"/>
  <c r="N876"/>
  <c r="Q876" s="1"/>
  <c r="N868"/>
  <c r="N864"/>
  <c r="Q864" s="1"/>
  <c r="N875"/>
  <c r="N880"/>
  <c r="Q880" s="1"/>
  <c r="N882"/>
  <c r="Q882" s="1"/>
  <c r="N881"/>
  <c r="Q881" s="1"/>
  <c r="N893"/>
  <c r="Q893" s="1"/>
  <c r="N889"/>
  <c r="Q889" s="1"/>
  <c r="N888"/>
  <c r="N894"/>
  <c r="Q894" s="1"/>
  <c r="N883"/>
  <c r="Q883" s="1"/>
  <c r="N884"/>
  <c r="Q884" s="1"/>
  <c r="N891"/>
  <c r="Q891" s="1"/>
  <c r="N892"/>
  <c r="Q892" s="1"/>
  <c r="N885"/>
  <c r="Q885" s="1"/>
  <c r="N887"/>
  <c r="Q887" s="1"/>
  <c r="N890"/>
  <c r="N886"/>
  <c r="Q886" s="1"/>
  <c r="N895"/>
  <c r="N896"/>
  <c r="N897"/>
  <c r="Q897" s="1"/>
  <c r="N899"/>
  <c r="Q899" s="1"/>
  <c r="N898"/>
  <c r="Q898" s="1"/>
  <c r="N901"/>
  <c r="Q901" s="1"/>
  <c r="N900"/>
  <c r="N902"/>
  <c r="N903"/>
  <c r="N904"/>
  <c r="N908"/>
  <c r="Q908" s="1"/>
  <c r="N905"/>
  <c r="Q905" s="1"/>
  <c r="N906"/>
  <c r="N907"/>
  <c r="N909"/>
  <c r="N910"/>
  <c r="N920"/>
  <c r="Q920" s="1"/>
  <c r="N916"/>
  <c r="N914"/>
  <c r="N913"/>
  <c r="Q913" s="1"/>
  <c r="N929"/>
  <c r="Q929" s="1"/>
  <c r="N921"/>
  <c r="Q921" s="1"/>
  <c r="N911"/>
  <c r="N912"/>
  <c r="Q912" s="1"/>
  <c r="N919"/>
  <c r="Q919" s="1"/>
  <c r="N923"/>
  <c r="Q923" s="1"/>
  <c r="N927"/>
  <c r="Q927" s="1"/>
  <c r="N915"/>
  <c r="Q915" s="1"/>
  <c r="N930"/>
  <c r="Q930" s="1"/>
  <c r="N925"/>
  <c r="N926"/>
  <c r="Q926" s="1"/>
  <c r="N918"/>
  <c r="N922"/>
  <c r="Q922" s="1"/>
  <c r="N924"/>
  <c r="Q924" s="1"/>
  <c r="N928"/>
  <c r="Q928" s="1"/>
  <c r="N917"/>
  <c r="Q917" s="1"/>
  <c r="N933"/>
  <c r="N935"/>
  <c r="Q935" s="1"/>
  <c r="N934"/>
  <c r="Q934" s="1"/>
  <c r="N953"/>
  <c r="N940"/>
  <c r="N947"/>
  <c r="N943"/>
  <c r="Q943" s="1"/>
  <c r="N945"/>
  <c r="Q945" s="1"/>
  <c r="N937"/>
  <c r="Q937" s="1"/>
  <c r="N960"/>
  <c r="N956"/>
  <c r="N951"/>
  <c r="Q951" s="1"/>
  <c r="N949"/>
  <c r="Q949" s="1"/>
  <c r="N939"/>
  <c r="Q939" s="1"/>
  <c r="N954"/>
  <c r="N957"/>
  <c r="Q957" s="1"/>
  <c r="N942"/>
  <c r="Q942" s="1"/>
  <c r="N948"/>
  <c r="Q948" s="1"/>
  <c r="N941"/>
  <c r="N950"/>
  <c r="N955"/>
  <c r="N944"/>
  <c r="Q944" s="1"/>
  <c r="N959"/>
  <c r="Q959" s="1"/>
  <c r="N952"/>
  <c r="Q952" s="1"/>
  <c r="N936"/>
  <c r="Q936" s="1"/>
  <c r="N938"/>
  <c r="Q938" s="1"/>
  <c r="N958"/>
  <c r="Q958" s="1"/>
  <c r="N946"/>
  <c r="N961"/>
  <c r="Q961" s="1"/>
  <c r="N932"/>
  <c r="Q932" s="1"/>
  <c r="N931"/>
  <c r="N964"/>
  <c r="Q964" s="1"/>
  <c r="N967"/>
  <c r="Q967" s="1"/>
  <c r="N968"/>
  <c r="N963"/>
  <c r="Q963" s="1"/>
  <c r="N965"/>
  <c r="N962"/>
  <c r="Q962" s="1"/>
  <c r="N966"/>
  <c r="Q966" s="1"/>
  <c r="N971"/>
  <c r="Q971" s="1"/>
  <c r="N969"/>
  <c r="Q969" s="1"/>
  <c r="N970"/>
  <c r="Q970" s="1"/>
  <c r="N979"/>
  <c r="Q979" s="1"/>
  <c r="N977"/>
  <c r="Q977" s="1"/>
  <c r="N978"/>
  <c r="Q978" s="1"/>
  <c r="N975"/>
  <c r="Q975" s="1"/>
  <c r="N976"/>
  <c r="Q976" s="1"/>
  <c r="N980"/>
  <c r="Q980" s="1"/>
  <c r="N988"/>
  <c r="N991"/>
  <c r="Q991" s="1"/>
  <c r="N982"/>
  <c r="N986"/>
  <c r="Q986" s="1"/>
  <c r="N981"/>
  <c r="N990"/>
  <c r="N983"/>
  <c r="N989"/>
  <c r="N985"/>
  <c r="Q985" s="1"/>
  <c r="N984"/>
  <c r="Q984" s="1"/>
  <c r="N987"/>
  <c r="Q987" s="1"/>
  <c r="N992"/>
  <c r="N993"/>
  <c r="Q993" s="1"/>
  <c r="N994"/>
  <c r="N996"/>
  <c r="Q996" s="1"/>
  <c r="N995"/>
  <c r="N997"/>
  <c r="N999"/>
  <c r="Q999" s="1"/>
  <c r="N1001"/>
  <c r="Q1001" s="1"/>
  <c r="N1002"/>
  <c r="N1003"/>
  <c r="Q1003" s="1"/>
  <c r="N1000"/>
  <c r="Q1000" s="1"/>
  <c r="N998"/>
  <c r="N1005"/>
  <c r="N1006"/>
  <c r="N1004"/>
  <c r="N1007"/>
  <c r="Q1007" s="1"/>
  <c r="N1009"/>
  <c r="N1008"/>
  <c r="Q1008" s="1"/>
  <c r="N974"/>
  <c r="Q974" s="1"/>
  <c r="N972"/>
  <c r="N973"/>
  <c r="Q973" s="1"/>
  <c r="N1011"/>
  <c r="Q1011" s="1"/>
  <c r="N1012"/>
  <c r="N1010"/>
  <c r="N1014"/>
  <c r="Q1014" s="1"/>
  <c r="N1013"/>
  <c r="Q1013" s="1"/>
  <c r="N1017"/>
  <c r="Q1017" s="1"/>
  <c r="N1015"/>
  <c r="Q1015" s="1"/>
  <c r="N1016"/>
  <c r="Q1016" s="1"/>
  <c r="N1018"/>
  <c r="Q1018" s="1"/>
  <c r="N1020"/>
  <c r="N1019"/>
  <c r="N1030"/>
  <c r="Q1030" s="1"/>
  <c r="N1024"/>
  <c r="Q1024" s="1"/>
  <c r="N1026"/>
  <c r="Q1026" s="1"/>
  <c r="N1023"/>
  <c r="Q1023" s="1"/>
  <c r="N1025"/>
  <c r="N1028"/>
  <c r="Q1028" s="1"/>
  <c r="N1029"/>
  <c r="Q1029" s="1"/>
  <c r="N1022"/>
  <c r="N1027"/>
  <c r="Q1027" s="1"/>
  <c r="N1021"/>
  <c r="N1031"/>
  <c r="N1033"/>
  <c r="Q1033" s="1"/>
  <c r="N1037"/>
  <c r="Q1037" s="1"/>
  <c r="N1032"/>
  <c r="N1039"/>
  <c r="N1036"/>
  <c r="Q1036" s="1"/>
  <c r="N1038"/>
  <c r="Q1038" s="1"/>
  <c r="N1041"/>
  <c r="Q1041" s="1"/>
  <c r="N1034"/>
  <c r="N1040"/>
  <c r="Q1040" s="1"/>
  <c r="N1042"/>
  <c r="Q1042" s="1"/>
  <c r="N1035"/>
  <c r="N1049"/>
  <c r="Q1049" s="1"/>
  <c r="N1048"/>
  <c r="Q1048" s="1"/>
  <c r="N1043"/>
  <c r="Q1043" s="1"/>
  <c r="N1047"/>
  <c r="Q1047" s="1"/>
  <c r="N1044"/>
  <c r="Q1044" s="1"/>
  <c r="N1046"/>
  <c r="Q1046" s="1"/>
  <c r="N1045"/>
  <c r="Q1045" s="1"/>
  <c r="N1051"/>
  <c r="N1050"/>
  <c r="Q1050" s="1"/>
  <c r="N1057"/>
  <c r="Q1057" s="1"/>
  <c r="N1060"/>
  <c r="Q1060" s="1"/>
  <c r="N1058"/>
  <c r="Q1058" s="1"/>
  <c r="N1055"/>
  <c r="Q1055" s="1"/>
  <c r="N1052"/>
  <c r="N1054"/>
  <c r="Q1054" s="1"/>
  <c r="N1059"/>
  <c r="N1053"/>
  <c r="Q1053" s="1"/>
  <c r="N1056"/>
  <c r="Q1056" s="1"/>
  <c r="N1061"/>
  <c r="N1062"/>
  <c r="Q1062" s="1"/>
  <c r="N1064"/>
  <c r="N1065"/>
  <c r="Q1065" s="1"/>
  <c r="N1066"/>
  <c r="N1063"/>
  <c r="N1072"/>
  <c r="Q1072" s="1"/>
  <c r="N1076"/>
  <c r="Q1076" s="1"/>
  <c r="N1077"/>
  <c r="Q1077" s="1"/>
  <c r="N1070"/>
  <c r="Q1070" s="1"/>
  <c r="N1073"/>
  <c r="Q1073" s="1"/>
  <c r="N1075"/>
  <c r="Q1075" s="1"/>
  <c r="N1068"/>
  <c r="Q1068" s="1"/>
  <c r="N1067"/>
  <c r="N1071"/>
  <c r="Q1071" s="1"/>
  <c r="N1079"/>
  <c r="N1074"/>
  <c r="Q1074" s="1"/>
  <c r="N1078"/>
  <c r="N1069"/>
  <c r="Q1069" s="1"/>
  <c r="N1080"/>
  <c r="Q1080" s="1"/>
  <c r="N1087"/>
  <c r="N1092"/>
  <c r="Q1092" s="1"/>
  <c r="N1094"/>
  <c r="Q1094" s="1"/>
  <c r="N1090"/>
  <c r="Q1090" s="1"/>
  <c r="N1100"/>
  <c r="N1093"/>
  <c r="Q1093" s="1"/>
  <c r="N1098"/>
  <c r="N1099"/>
  <c r="Q1099" s="1"/>
  <c r="N1088"/>
  <c r="Q1088" s="1"/>
  <c r="N1082"/>
  <c r="Q1082" s="1"/>
  <c r="N412"/>
  <c r="Q412" s="1"/>
  <c r="N410"/>
  <c r="N1081"/>
  <c r="N1097"/>
  <c r="N1091"/>
  <c r="Q1091" s="1"/>
  <c r="N1086"/>
  <c r="Q1086" s="1"/>
  <c r="N1085"/>
  <c r="Q1085" s="1"/>
  <c r="N1083"/>
  <c r="N1084"/>
  <c r="Q1084" s="1"/>
  <c r="N1096"/>
  <c r="Q1096" s="1"/>
  <c r="N411"/>
  <c r="Q411" s="1"/>
  <c r="N1095"/>
  <c r="Q1095" s="1"/>
  <c r="N413"/>
  <c r="N1089"/>
  <c r="Q1089" s="1"/>
  <c r="N1107"/>
  <c r="Q1107" s="1"/>
  <c r="N1106"/>
  <c r="N1102"/>
  <c r="Q1102" s="1"/>
  <c r="N1110"/>
  <c r="Q1110" s="1"/>
  <c r="N1103"/>
  <c r="N1104"/>
  <c r="Q1104" s="1"/>
  <c r="N1105"/>
  <c r="Q1105" s="1"/>
  <c r="N1109"/>
  <c r="N1108"/>
  <c r="N1112"/>
  <c r="Q1112" s="1"/>
  <c r="N1101"/>
  <c r="Q1101" s="1"/>
  <c r="N1114"/>
  <c r="Q1114" s="1"/>
  <c r="N1111"/>
  <c r="Q1111" s="1"/>
  <c r="N1115"/>
  <c r="Q1115" s="1"/>
  <c r="N1113"/>
  <c r="Q1113" s="1"/>
  <c r="N1116"/>
  <c r="N1117"/>
  <c r="Q1117" s="1"/>
  <c r="N1122"/>
  <c r="Q1122" s="1"/>
  <c r="N1119"/>
  <c r="N1121"/>
  <c r="N1120"/>
  <c r="N1123"/>
  <c r="Q1123" s="1"/>
  <c r="N1118"/>
  <c r="Q1118" s="1"/>
  <c r="N1124"/>
  <c r="Q1124" s="1"/>
  <c r="N1125"/>
  <c r="Q1125" s="1"/>
  <c r="N1126"/>
  <c r="Q1126" s="1"/>
  <c r="N1132"/>
  <c r="Q1132" s="1"/>
  <c r="N1133"/>
  <c r="Q1133" s="1"/>
  <c r="N1131"/>
  <c r="N1128"/>
  <c r="N1130"/>
  <c r="Q1130" s="1"/>
  <c r="N1127"/>
  <c r="Q1127" s="1"/>
  <c r="N1129"/>
  <c r="Q1129" s="1"/>
  <c r="N1135"/>
  <c r="Q1135" s="1"/>
  <c r="N1134"/>
  <c r="Q1134" s="1"/>
  <c r="N1136"/>
  <c r="Q1136" s="1"/>
  <c r="N1137"/>
  <c r="Q1137" s="1"/>
  <c r="N1139"/>
  <c r="N1138"/>
  <c r="Q1138" s="1"/>
  <c r="N1141"/>
  <c r="Q1141" s="1"/>
  <c r="N1140"/>
  <c r="Q1140" s="1"/>
  <c r="N1149"/>
  <c r="Q1149" s="1"/>
  <c r="N1151"/>
  <c r="Q1151" s="1"/>
  <c r="N1150"/>
  <c r="Q1150" s="1"/>
  <c r="N1144"/>
  <c r="Q1144" s="1"/>
  <c r="N1145"/>
  <c r="Q1145" s="1"/>
  <c r="N1148"/>
  <c r="Q1148" s="1"/>
  <c r="N1143"/>
  <c r="Q1143" s="1"/>
  <c r="N1146"/>
  <c r="Q1146" s="1"/>
  <c r="N1142"/>
  <c r="Q1142" s="1"/>
  <c r="N1147"/>
  <c r="Q1147" s="1"/>
  <c r="N1153"/>
  <c r="N1152"/>
  <c r="N1154"/>
  <c r="Q1154" s="1"/>
  <c r="N1156"/>
  <c r="Q1156" s="1"/>
  <c r="N1155"/>
  <c r="N1182"/>
  <c r="Q1182" s="1"/>
  <c r="N1158"/>
  <c r="N1189"/>
  <c r="N1190"/>
  <c r="Q1190" s="1"/>
  <c r="N1173"/>
  <c r="N1167"/>
  <c r="N1175"/>
  <c r="Q1175" s="1"/>
  <c r="N1170"/>
  <c r="Q1170" s="1"/>
  <c r="N1186"/>
  <c r="N1187"/>
  <c r="N1191"/>
  <c r="Q1191" s="1"/>
  <c r="N1164"/>
  <c r="Q1164" s="1"/>
  <c r="N1176"/>
  <c r="N1180"/>
  <c r="N1168"/>
  <c r="Q1168" s="1"/>
  <c r="N1169"/>
  <c r="N1188"/>
  <c r="Q1188" s="1"/>
  <c r="N1179"/>
  <c r="N1184"/>
  <c r="Q1184" s="1"/>
  <c r="N1192"/>
  <c r="Q1192" s="1"/>
  <c r="N1162"/>
  <c r="Q1162" s="1"/>
  <c r="N1178"/>
  <c r="N1181"/>
  <c r="Q1181" s="1"/>
  <c r="N1157"/>
  <c r="N1160"/>
  <c r="N1166"/>
  <c r="N1161"/>
  <c r="N1193"/>
  <c r="N1165"/>
  <c r="N1171"/>
  <c r="Q1171" s="1"/>
  <c r="N1163"/>
  <c r="Q1163" s="1"/>
  <c r="N1183"/>
  <c r="N1177"/>
  <c r="N1159"/>
  <c r="Q1159" s="1"/>
  <c r="N1172"/>
  <c r="N1174"/>
  <c r="Q1174" s="1"/>
  <c r="N1185"/>
  <c r="Q1185" s="1"/>
  <c r="N1194"/>
  <c r="Q1194" s="1"/>
  <c r="N1195"/>
  <c r="Q1195" s="1"/>
  <c r="N1196"/>
  <c r="Q1196" s="1"/>
  <c r="N1197"/>
  <c r="Q1197" s="1"/>
  <c r="N1199"/>
  <c r="Q1199" s="1"/>
  <c r="N1198"/>
  <c r="Q1198" s="1"/>
  <c r="N1200"/>
  <c r="Q1200" s="1"/>
  <c r="N1202"/>
  <c r="Q1202" s="1"/>
  <c r="N1205"/>
  <c r="N1201"/>
  <c r="N1203"/>
  <c r="N1204"/>
  <c r="Q1204" s="1"/>
  <c r="N1209"/>
  <c r="N1207"/>
  <c r="N1208"/>
  <c r="N1206"/>
  <c r="N1210"/>
  <c r="N1212"/>
  <c r="N1211"/>
  <c r="Q1211" s="1"/>
  <c r="N1215"/>
  <c r="Q1215" s="1"/>
  <c r="N1213"/>
  <c r="N1214"/>
  <c r="N1230"/>
  <c r="N1227"/>
  <c r="Q1227" s="1"/>
  <c r="N1235"/>
  <c r="N1237"/>
  <c r="Q1237" s="1"/>
  <c r="N1233"/>
  <c r="N1229"/>
  <c r="Q1229" s="1"/>
  <c r="N1223"/>
  <c r="Q1223" s="1"/>
  <c r="N1220"/>
  <c r="Q1220" s="1"/>
  <c r="N1225"/>
  <c r="N1231"/>
  <c r="N1232"/>
  <c r="Q1232" s="1"/>
  <c r="N1228"/>
  <c r="N1224"/>
  <c r="N1226"/>
  <c r="Q1226" s="1"/>
  <c r="N1222"/>
  <c r="Q1222" s="1"/>
  <c r="N1236"/>
  <c r="Q1236" s="1"/>
  <c r="N1234"/>
  <c r="Q1234" s="1"/>
  <c r="N1216"/>
  <c r="N1218"/>
  <c r="Q1218" s="1"/>
  <c r="N1221"/>
  <c r="Q1221" s="1"/>
  <c r="N1217"/>
  <c r="N1219"/>
  <c r="Q1219" s="1"/>
  <c r="N1238"/>
  <c r="N1242"/>
  <c r="Q1242" s="1"/>
  <c r="N1245"/>
  <c r="Q1245" s="1"/>
  <c r="N1239"/>
  <c r="N1244"/>
  <c r="Q1244" s="1"/>
  <c r="N1240"/>
  <c r="N1241"/>
  <c r="N1243"/>
  <c r="N1248"/>
  <c r="N1247"/>
  <c r="Q1247" s="1"/>
  <c r="N1246"/>
  <c r="Q1246" s="1"/>
  <c r="N1249"/>
  <c r="Q1249" s="1"/>
  <c r="N1255"/>
  <c r="Q1255" s="1"/>
  <c r="N1250"/>
  <c r="N1251"/>
  <c r="Q1251" s="1"/>
  <c r="N1253"/>
  <c r="Q1253" s="1"/>
  <c r="N1252"/>
  <c r="Q1252" s="1"/>
  <c r="N1254"/>
  <c r="Q1254" s="1"/>
  <c r="N1256"/>
  <c r="Q1256" s="1"/>
  <c r="N1257"/>
  <c r="N1258"/>
  <c r="N1261"/>
  <c r="Q1261" s="1"/>
  <c r="N1263"/>
  <c r="Q1263" s="1"/>
  <c r="N1262"/>
  <c r="Q1262" s="1"/>
  <c r="N1260"/>
  <c r="Q1260" s="1"/>
  <c r="N1259"/>
  <c r="N1264"/>
  <c r="Q1264" s="1"/>
  <c r="N1268"/>
  <c r="Q1268" s="1"/>
  <c r="N1272"/>
  <c r="Q1272" s="1"/>
  <c r="N1269"/>
  <c r="N1274"/>
  <c r="Q1274" s="1"/>
  <c r="N1279"/>
  <c r="N1280"/>
  <c r="N1277"/>
  <c r="N1278"/>
  <c r="N1265"/>
  <c r="Q1265" s="1"/>
  <c r="N1270"/>
  <c r="N1266"/>
  <c r="Q1266" s="1"/>
  <c r="N1282"/>
  <c r="N1271"/>
  <c r="N1276"/>
  <c r="N1273"/>
  <c r="Q1273" s="1"/>
  <c r="N1281"/>
  <c r="N1267"/>
  <c r="Q1267" s="1"/>
  <c r="N1275"/>
  <c r="Q1275" s="1"/>
  <c r="N1319"/>
  <c r="Q1319" s="1"/>
  <c r="N1291"/>
  <c r="Q1291" s="1"/>
  <c r="N1284"/>
  <c r="Q1284" s="1"/>
  <c r="N1286"/>
  <c r="Q1286" s="1"/>
  <c r="N1293"/>
  <c r="Q1293" s="1"/>
  <c r="N1296"/>
  <c r="Q1296" s="1"/>
  <c r="N1297"/>
  <c r="Q1297" s="1"/>
  <c r="N1324"/>
  <c r="Q1324" s="1"/>
  <c r="N1331"/>
  <c r="Q1331" s="1"/>
  <c r="N1306"/>
  <c r="Q1306" s="1"/>
  <c r="N1333"/>
  <c r="Q1333" s="1"/>
  <c r="N1315"/>
  <c r="Q1315" s="1"/>
  <c r="N1318"/>
  <c r="Q1318" s="1"/>
  <c r="N1320"/>
  <c r="Q1320" s="1"/>
  <c r="N1322"/>
  <c r="Q1322" s="1"/>
  <c r="N1323"/>
  <c r="Q1323" s="1"/>
  <c r="N1300"/>
  <c r="Q1300" s="1"/>
  <c r="N1301"/>
  <c r="N1304"/>
  <c r="Q1304" s="1"/>
  <c r="N1285"/>
  <c r="Q1285" s="1"/>
  <c r="N1313"/>
  <c r="N1312"/>
  <c r="Q1312" s="1"/>
  <c r="N1316"/>
  <c r="Q1316" s="1"/>
  <c r="N1314"/>
  <c r="N1325"/>
  <c r="Q1325" s="1"/>
  <c r="N1294"/>
  <c r="Q1294" s="1"/>
  <c r="N1299"/>
  <c r="Q1299" s="1"/>
  <c r="N1330"/>
  <c r="Q1330" s="1"/>
  <c r="N1287"/>
  <c r="N1289"/>
  <c r="Q1289" s="1"/>
  <c r="N1329"/>
  <c r="Q1329" s="1"/>
  <c r="N1283"/>
  <c r="N1305"/>
  <c r="Q1305" s="1"/>
  <c r="N1307"/>
  <c r="Q1307" s="1"/>
  <c r="N1302"/>
  <c r="Q1302" s="1"/>
  <c r="N1328"/>
  <c r="Q1328" s="1"/>
  <c r="N1332"/>
  <c r="N1292"/>
  <c r="N1295"/>
  <c r="Q1295" s="1"/>
  <c r="N1327"/>
  <c r="Q1327" s="1"/>
  <c r="N1288"/>
  <c r="Q1288" s="1"/>
  <c r="N1303"/>
  <c r="Q1303" s="1"/>
  <c r="N1309"/>
  <c r="Q1309" s="1"/>
  <c r="N1308"/>
  <c r="Q1308" s="1"/>
  <c r="N1317"/>
  <c r="Q1317" s="1"/>
  <c r="N1290"/>
  <c r="Q1290" s="1"/>
  <c r="N1311"/>
  <c r="N1321"/>
  <c r="Q1321" s="1"/>
  <c r="N1298"/>
  <c r="Q1298" s="1"/>
  <c r="N1310"/>
  <c r="Q1310" s="1"/>
  <c r="N1326"/>
  <c r="Q1326" s="1"/>
  <c r="N1334"/>
  <c r="Q1334" s="1"/>
  <c r="N1404"/>
  <c r="Q1404" s="1"/>
  <c r="N1359"/>
  <c r="Q1359" s="1"/>
  <c r="N1362"/>
  <c r="Q1362" s="1"/>
  <c r="N1346"/>
  <c r="Q1346" s="1"/>
  <c r="N1405"/>
  <c r="Q1405" s="1"/>
  <c r="N1361"/>
  <c r="Q1361" s="1"/>
  <c r="N1399"/>
  <c r="N1403"/>
  <c r="Q1403" s="1"/>
  <c r="N1337"/>
  <c r="Q1337" s="1"/>
  <c r="N1377"/>
  <c r="Q1377" s="1"/>
  <c r="N1368"/>
  <c r="Q1368" s="1"/>
  <c r="N1344"/>
  <c r="N1349"/>
  <c r="Q1349" s="1"/>
  <c r="N1352"/>
  <c r="Q1352" s="1"/>
  <c r="N1356"/>
  <c r="Q1356" s="1"/>
  <c r="N1394"/>
  <c r="Q1394" s="1"/>
  <c r="N1391"/>
  <c r="Q1391" s="1"/>
  <c r="N1347"/>
  <c r="N1400"/>
  <c r="Q1400" s="1"/>
  <c r="N1402"/>
  <c r="Q1402" s="1"/>
  <c r="N1381"/>
  <c r="Q1381" s="1"/>
  <c r="N1363"/>
  <c r="Q1363" s="1"/>
  <c r="N1366"/>
  <c r="Q1366" s="1"/>
  <c r="N1385"/>
  <c r="Q1385" s="1"/>
  <c r="N1393"/>
  <c r="Q1393" s="1"/>
  <c r="N1380"/>
  <c r="Q1380" s="1"/>
  <c r="N1407"/>
  <c r="Q1407" s="1"/>
  <c r="N1345"/>
  <c r="Q1345" s="1"/>
  <c r="N1392"/>
  <c r="Q1392" s="1"/>
  <c r="N1335"/>
  <c r="Q1335" s="1"/>
  <c r="N1357"/>
  <c r="Q1357" s="1"/>
  <c r="N1388"/>
  <c r="Q1388" s="1"/>
  <c r="N1341"/>
  <c r="Q1341" s="1"/>
  <c r="N1378"/>
  <c r="Q1378" s="1"/>
  <c r="N1379"/>
  <c r="Q1379" s="1"/>
  <c r="N1389"/>
  <c r="Q1389" s="1"/>
  <c r="N1401"/>
  <c r="Q1401" s="1"/>
  <c r="N1374"/>
  <c r="Q1374" s="1"/>
  <c r="N1348"/>
  <c r="Q1348" s="1"/>
  <c r="N1355"/>
  <c r="Q1355" s="1"/>
  <c r="N1370"/>
  <c r="Q1370" s="1"/>
  <c r="N1365"/>
  <c r="N1376"/>
  <c r="Q1376" s="1"/>
  <c r="N1375"/>
  <c r="N1372"/>
  <c r="Q1372" s="1"/>
  <c r="N1373"/>
  <c r="Q1373" s="1"/>
  <c r="N1367"/>
  <c r="Q1367" s="1"/>
  <c r="N1358"/>
  <c r="N1353"/>
  <c r="Q1353" s="1"/>
  <c r="N1364"/>
  <c r="Q1364" s="1"/>
  <c r="N1369"/>
  <c r="Q1369" s="1"/>
  <c r="N1360"/>
  <c r="Q1360" s="1"/>
  <c r="N1340"/>
  <c r="Q1340" s="1"/>
  <c r="N1371"/>
  <c r="Q1371" s="1"/>
  <c r="N1351"/>
  <c r="N1354"/>
  <c r="Q1354" s="1"/>
  <c r="N1382"/>
  <c r="Q1382" s="1"/>
  <c r="N1395"/>
  <c r="N1397"/>
  <c r="Q1397" s="1"/>
  <c r="N1398"/>
  <c r="Q1398" s="1"/>
  <c r="N1343"/>
  <c r="Q1343" s="1"/>
  <c r="N1387"/>
  <c r="Q1387" s="1"/>
  <c r="N1339"/>
  <c r="Q1339" s="1"/>
  <c r="N1383"/>
  <c r="Q1383" s="1"/>
  <c r="N1406"/>
  <c r="N1350"/>
  <c r="Q1350" s="1"/>
  <c r="N1408"/>
  <c r="Q1408" s="1"/>
  <c r="N1390"/>
  <c r="Q1390" s="1"/>
  <c r="N1384"/>
  <c r="Q1384" s="1"/>
  <c r="N1386"/>
  <c r="Q1386" s="1"/>
  <c r="N1396"/>
  <c r="Q1396" s="1"/>
  <c r="N1342"/>
  <c r="Q1342" s="1"/>
  <c r="N1338"/>
  <c r="Q1338" s="1"/>
  <c r="N1336"/>
  <c r="Q1336" s="1"/>
  <c r="N1418"/>
  <c r="N1411"/>
  <c r="N1415"/>
  <c r="Q1415" s="1"/>
  <c r="N1420"/>
  <c r="Q1420" s="1"/>
  <c r="N1425"/>
  <c r="Q1425" s="1"/>
  <c r="N1409"/>
  <c r="N1424"/>
  <c r="Q1424" s="1"/>
  <c r="N1421"/>
  <c r="Q1421" s="1"/>
  <c r="N1431"/>
  <c r="Q1431" s="1"/>
  <c r="N1422"/>
  <c r="N1436"/>
  <c r="N1439"/>
  <c r="Q1439" s="1"/>
  <c r="N1450"/>
  <c r="Q1450" s="1"/>
  <c r="N1455"/>
  <c r="N1438"/>
  <c r="N1442"/>
  <c r="Q1442" s="1"/>
  <c r="N1456"/>
  <c r="Q1456" s="1"/>
  <c r="N1454"/>
  <c r="N1437"/>
  <c r="Q1437" s="1"/>
  <c r="N1441"/>
  <c r="Q1441" s="1"/>
  <c r="N1444"/>
  <c r="Q1444" s="1"/>
  <c r="N1433"/>
  <c r="N1448"/>
  <c r="N1435"/>
  <c r="N1452"/>
  <c r="Q1452" s="1"/>
  <c r="N1427"/>
  <c r="N1459"/>
  <c r="N1447"/>
  <c r="Q1447" s="1"/>
  <c r="N1430"/>
  <c r="Q1430" s="1"/>
  <c r="N1460"/>
  <c r="Q1460" s="1"/>
  <c r="N1410"/>
  <c r="Q1410" s="1"/>
  <c r="N1429"/>
  <c r="Q1429" s="1"/>
  <c r="N1426"/>
  <c r="N1458"/>
  <c r="N1451"/>
  <c r="Q1451" s="1"/>
  <c r="N1440"/>
  <c r="N1445"/>
  <c r="N1446"/>
  <c r="N1434"/>
  <c r="N1432"/>
  <c r="N1412"/>
  <c r="N1413"/>
  <c r="Q1413" s="1"/>
  <c r="N1449"/>
  <c r="Q1449" s="1"/>
  <c r="N1414"/>
  <c r="Q1414" s="1"/>
  <c r="N1417"/>
  <c r="N1453"/>
  <c r="Q1453" s="1"/>
  <c r="N1457"/>
  <c r="Q1457" s="1"/>
  <c r="N1419"/>
  <c r="Q1419" s="1"/>
  <c r="N1423"/>
  <c r="N1428"/>
  <c r="N1416"/>
  <c r="Q1416" s="1"/>
  <c r="N1443"/>
  <c r="N1461"/>
  <c r="Q1461" s="1"/>
  <c r="N1462"/>
  <c r="Q1462" s="1"/>
  <c r="N1464"/>
  <c r="Q1464" s="1"/>
  <c r="N1463"/>
  <c r="N1465"/>
  <c r="N1469"/>
  <c r="Q1469" s="1"/>
  <c r="N1467"/>
  <c r="Q1467" s="1"/>
  <c r="N1468"/>
  <c r="Q1468" s="1"/>
  <c r="N1466"/>
  <c r="Q1466" s="1"/>
  <c r="N1470"/>
  <c r="Q1470" s="1"/>
  <c r="N1472"/>
  <c r="Q1472" s="1"/>
  <c r="N1471"/>
  <c r="Q1471" s="1"/>
  <c r="N1474"/>
  <c r="Q1474" s="1"/>
  <c r="N1473"/>
  <c r="Q1473" s="1"/>
  <c r="N1475"/>
  <c r="Q1475" s="1"/>
  <c r="N1480"/>
  <c r="N1478"/>
  <c r="N1477"/>
  <c r="Q1477" s="1"/>
  <c r="N1479"/>
  <c r="Q1479" s="1"/>
  <c r="N1476"/>
  <c r="N1481"/>
  <c r="N1482"/>
  <c r="N1484"/>
  <c r="Q1484" s="1"/>
  <c r="N1483"/>
  <c r="Q1483" s="1"/>
  <c r="N1485"/>
  <c r="Q1485" s="1"/>
  <c r="N1486"/>
  <c r="Q1486" s="1"/>
  <c r="N1488"/>
  <c r="Q1488" s="1"/>
  <c r="N1490"/>
  <c r="Q1490" s="1"/>
  <c r="N1487"/>
  <c r="Q1487" s="1"/>
  <c r="N1489"/>
  <c r="N1492"/>
  <c r="N1494"/>
  <c r="Q1494" s="1"/>
  <c r="N1493"/>
  <c r="Q1493" s="1"/>
  <c r="N1491"/>
  <c r="N1500"/>
  <c r="Q1500" s="1"/>
  <c r="N1503"/>
  <c r="N1502"/>
  <c r="Q1502" s="1"/>
  <c r="N1497"/>
  <c r="N1495"/>
  <c r="N1506"/>
  <c r="Q1506" s="1"/>
  <c r="N1501"/>
  <c r="Q1501" s="1"/>
  <c r="N1499"/>
  <c r="N1498"/>
  <c r="N1496"/>
  <c r="N1505"/>
  <c r="N1504"/>
  <c r="Q1504" s="1"/>
  <c r="N1507"/>
  <c r="Q1507" s="1"/>
  <c r="N1508"/>
  <c r="Q1508" s="1"/>
  <c r="N1509"/>
  <c r="N1510"/>
  <c r="N1517"/>
  <c r="Q1517" s="1"/>
  <c r="N1513"/>
  <c r="Q1513" s="1"/>
  <c r="N1514"/>
  <c r="Q1514" s="1"/>
  <c r="N1515"/>
  <c r="N1512"/>
  <c r="N1516"/>
  <c r="Q1516" s="1"/>
  <c r="N1511"/>
  <c r="N1519"/>
  <c r="N1521"/>
  <c r="Q1521" s="1"/>
  <c r="N1531"/>
  <c r="N1527"/>
  <c r="Q1527" s="1"/>
  <c r="N1529"/>
  <c r="N1526"/>
  <c r="N1528"/>
  <c r="N1518"/>
  <c r="N1520"/>
  <c r="N1530"/>
  <c r="N1524"/>
  <c r="Q1524" s="1"/>
  <c r="N1525"/>
  <c r="N1523"/>
  <c r="Q1523" s="1"/>
  <c r="N1522"/>
  <c r="N1533"/>
  <c r="Q1533" s="1"/>
  <c r="N1532"/>
  <c r="Q1532" s="1"/>
  <c r="N1534"/>
  <c r="N1535"/>
  <c r="Q1535" s="1"/>
  <c r="N1536"/>
  <c r="Q1536" s="1"/>
  <c r="N1541"/>
  <c r="N1538"/>
  <c r="N1542"/>
  <c r="N1539"/>
  <c r="Q1539" s="1"/>
  <c r="N1540"/>
  <c r="Q1540" s="1"/>
  <c r="N1537"/>
  <c r="Q1537" s="1"/>
  <c r="N1556"/>
  <c r="N1561"/>
  <c r="N1554"/>
  <c r="Q1554" s="1"/>
  <c r="N1559"/>
  <c r="Q1559" s="1"/>
  <c r="N1552"/>
  <c r="N1565"/>
  <c r="Q1565" s="1"/>
  <c r="N1546"/>
  <c r="Q1546" s="1"/>
  <c r="N1558"/>
  <c r="Q1558" s="1"/>
  <c r="N1549"/>
  <c r="N1564"/>
  <c r="N1544"/>
  <c r="Q1544" s="1"/>
  <c r="N1562"/>
  <c r="N1553"/>
  <c r="Q1553" s="1"/>
  <c r="N1550"/>
  <c r="Q1550" s="1"/>
  <c r="N1548"/>
  <c r="Q1548" s="1"/>
  <c r="N1555"/>
  <c r="Q1555" s="1"/>
  <c r="N1563"/>
  <c r="N1560"/>
  <c r="N1566"/>
  <c r="Q1566" s="1"/>
  <c r="N1557"/>
  <c r="N1569"/>
  <c r="Q1569" s="1"/>
  <c r="N1567"/>
  <c r="N1543"/>
  <c r="Q1543" s="1"/>
  <c r="N1545"/>
  <c r="N1547"/>
  <c r="Q1547" s="1"/>
  <c r="N1551"/>
  <c r="Q1551" s="1"/>
  <c r="N1568"/>
  <c r="Q1568" s="1"/>
  <c r="N1586"/>
  <c r="Q1586" s="1"/>
  <c r="N1581"/>
  <c r="Q1581" s="1"/>
  <c r="N1588"/>
  <c r="Q1588" s="1"/>
  <c r="N1570"/>
  <c r="N1571"/>
  <c r="Q1571" s="1"/>
  <c r="N1582"/>
  <c r="Q1582" s="1"/>
  <c r="N1589"/>
  <c r="Q1589" s="1"/>
  <c r="N1578"/>
  <c r="Q1578" s="1"/>
  <c r="N1584"/>
  <c r="Q1584" s="1"/>
  <c r="N1573"/>
  <c r="Q1573" s="1"/>
  <c r="N1574"/>
  <c r="Q1574" s="1"/>
  <c r="N1580"/>
  <c r="Q1580" s="1"/>
  <c r="N1579"/>
  <c r="Q1579" s="1"/>
  <c r="N1575"/>
  <c r="Q1575" s="1"/>
  <c r="N1576"/>
  <c r="Q1576" s="1"/>
  <c r="N1585"/>
  <c r="Q1585" s="1"/>
  <c r="N1572"/>
  <c r="Q1572" s="1"/>
  <c r="N1587"/>
  <c r="Q1587" s="1"/>
  <c r="N1577"/>
  <c r="Q1577" s="1"/>
  <c r="N1583"/>
  <c r="N1590"/>
  <c r="N1591"/>
  <c r="N1595"/>
  <c r="Q1595" s="1"/>
  <c r="N1592"/>
  <c r="Q1592" s="1"/>
  <c r="N1596"/>
  <c r="Q1596" s="1"/>
  <c r="N1594"/>
  <c r="Q1594" s="1"/>
  <c r="N1593"/>
  <c r="N1597"/>
  <c r="Q1597" s="1"/>
  <c r="N1598"/>
  <c r="Q1598" s="1"/>
  <c r="N1602"/>
  <c r="Q1602" s="1"/>
  <c r="N1601"/>
  <c r="Q1601" s="1"/>
  <c r="N1600"/>
  <c r="N1599"/>
  <c r="Q1599" s="1"/>
  <c r="N1604"/>
  <c r="Q1604" s="1"/>
  <c r="N1603"/>
  <c r="N1605"/>
  <c r="Q1605" s="1"/>
  <c r="N1608"/>
  <c r="N1607"/>
  <c r="N1606"/>
  <c r="N1621"/>
  <c r="Q1621" s="1"/>
  <c r="N1635"/>
  <c r="Q1635" s="1"/>
  <c r="N1645"/>
  <c r="Q1645" s="1"/>
  <c r="N1647"/>
  <c r="Q1647" s="1"/>
  <c r="N1639"/>
  <c r="Q1639" s="1"/>
  <c r="N1612"/>
  <c r="N1617"/>
  <c r="Q1617" s="1"/>
  <c r="N1641"/>
  <c r="N1642"/>
  <c r="Q1642" s="1"/>
  <c r="N1620"/>
  <c r="N1632"/>
  <c r="Q1632" s="1"/>
  <c r="N1630"/>
  <c r="N1622"/>
  <c r="Q1622" s="1"/>
  <c r="N1609"/>
  <c r="Q1609" s="1"/>
  <c r="N1636"/>
  <c r="Q1636" s="1"/>
  <c r="N1638"/>
  <c r="Q1638" s="1"/>
  <c r="N1640"/>
  <c r="Q1640" s="1"/>
  <c r="N1625"/>
  <c r="N1637"/>
  <c r="Q1637" s="1"/>
  <c r="N1615"/>
  <c r="N1629"/>
  <c r="Q1629" s="1"/>
  <c r="N1619"/>
  <c r="Q1619" s="1"/>
  <c r="N1614"/>
  <c r="Q1614" s="1"/>
  <c r="N1646"/>
  <c r="N1618"/>
  <c r="N1611"/>
  <c r="N1643"/>
  <c r="Q1643" s="1"/>
  <c r="N1633"/>
  <c r="Q1633" s="1"/>
  <c r="N1631"/>
  <c r="Q1631" s="1"/>
  <c r="N1634"/>
  <c r="Q1634" s="1"/>
  <c r="N1644"/>
  <c r="Q1644" s="1"/>
  <c r="N1616"/>
  <c r="Q1616" s="1"/>
  <c r="N1613"/>
  <c r="Q1613" s="1"/>
  <c r="N1610"/>
  <c r="Q1610" s="1"/>
  <c r="N1624"/>
  <c r="N1626"/>
  <c r="Q1626" s="1"/>
  <c r="N1623"/>
  <c r="N1627"/>
  <c r="Q1627" s="1"/>
  <c r="N1628"/>
  <c r="Q1628" s="1"/>
  <c r="N1648"/>
  <c r="Q1648" s="1"/>
  <c r="N1649"/>
  <c r="Q1649" s="1"/>
  <c r="N1651"/>
  <c r="Q1651" s="1"/>
  <c r="N1650"/>
  <c r="Q1650" s="1"/>
  <c r="N1653"/>
  <c r="Q1653" s="1"/>
  <c r="N1652"/>
  <c r="N1663"/>
  <c r="Q1663" s="1"/>
  <c r="N1655"/>
  <c r="Q1655" s="1"/>
  <c r="N1654"/>
  <c r="N1656"/>
  <c r="Q1656" s="1"/>
  <c r="N1659"/>
  <c r="N1660"/>
  <c r="Q1660" s="1"/>
  <c r="N1662"/>
  <c r="Q1662" s="1"/>
  <c r="N1661"/>
  <c r="N1657"/>
  <c r="N1658"/>
  <c r="N1664"/>
  <c r="N1665"/>
  <c r="Q1665" s="1"/>
  <c r="N1668"/>
  <c r="Q1668" s="1"/>
  <c r="N1667"/>
  <c r="Q1667" s="1"/>
  <c r="N1666"/>
  <c r="Q1666" s="1"/>
  <c r="N1669"/>
  <c r="N1670"/>
  <c r="Q1670" s="1"/>
  <c r="N1671"/>
  <c r="Q1671" s="1"/>
  <c r="N1673"/>
  <c r="Q1673" s="1"/>
  <c r="N1676"/>
  <c r="Q1676" s="1"/>
  <c r="N1682"/>
  <c r="Q1682" s="1"/>
  <c r="N1678"/>
  <c r="Q1678" s="1"/>
  <c r="N1686"/>
  <c r="Q1686" s="1"/>
  <c r="N1681"/>
  <c r="Q1681" s="1"/>
  <c r="N1677"/>
  <c r="Q1677" s="1"/>
  <c r="N1685"/>
  <c r="Q1685" s="1"/>
  <c r="N1675"/>
  <c r="N1679"/>
  <c r="Q1679" s="1"/>
  <c r="N1672"/>
  <c r="Q1672" s="1"/>
  <c r="N1684"/>
  <c r="N1680"/>
  <c r="N1683"/>
  <c r="Q1683" s="1"/>
  <c r="N1674"/>
  <c r="Q1674" s="1"/>
  <c r="N1687"/>
  <c r="Q1687" s="1"/>
  <c r="N1688"/>
  <c r="Q1688" s="1"/>
  <c r="N1722"/>
  <c r="Q1722" s="1"/>
  <c r="N1695"/>
  <c r="N1689"/>
  <c r="N1700"/>
  <c r="N1711"/>
  <c r="Q1711" s="1"/>
  <c r="N1693"/>
  <c r="N1706"/>
  <c r="N1707"/>
  <c r="N1723"/>
  <c r="N1704"/>
  <c r="Q1704" s="1"/>
  <c r="N1691"/>
  <c r="Q1691" s="1"/>
  <c r="N1716"/>
  <c r="N1719"/>
  <c r="Q1719" s="1"/>
  <c r="N1713"/>
  <c r="Q1713" s="1"/>
  <c r="N1697"/>
  <c r="Q1697" s="1"/>
  <c r="N1690"/>
  <c r="Q1690" s="1"/>
  <c r="N1701"/>
  <c r="Q1701" s="1"/>
  <c r="N1694"/>
  <c r="Q1694" s="1"/>
  <c r="N1699"/>
  <c r="Q1699" s="1"/>
  <c r="N1720"/>
  <c r="Q1720" s="1"/>
  <c r="N1703"/>
  <c r="Q1703" s="1"/>
  <c r="N1708"/>
  <c r="N1696"/>
  <c r="N1715"/>
  <c r="N1714"/>
  <c r="Q1714" s="1"/>
  <c r="N1712"/>
  <c r="Q1712" s="1"/>
  <c r="N1709"/>
  <c r="Q1709" s="1"/>
  <c r="N1698"/>
  <c r="Q1698" s="1"/>
  <c r="N1718"/>
  <c r="N1717"/>
  <c r="Q1717" s="1"/>
  <c r="N1692"/>
  <c r="N1710"/>
  <c r="Q1710" s="1"/>
  <c r="N1721"/>
  <c r="N1702"/>
  <c r="Q1702" s="1"/>
  <c r="N1705"/>
  <c r="Q1705" s="1"/>
  <c r="N1725"/>
  <c r="N1724"/>
  <c r="Q1724" s="1"/>
  <c r="N1726"/>
  <c r="N1727"/>
  <c r="Q1727" s="1"/>
  <c r="N1730"/>
  <c r="Q1730" s="1"/>
  <c r="N1728"/>
  <c r="Q1728" s="1"/>
  <c r="N1729"/>
  <c r="Q1729" s="1"/>
  <c r="N1735"/>
  <c r="Q1735" s="1"/>
  <c r="N1733"/>
  <c r="Q1733" s="1"/>
  <c r="N1732"/>
  <c r="Q1732" s="1"/>
  <c r="N1736"/>
  <c r="Q1736" s="1"/>
  <c r="N1731"/>
  <c r="N1738"/>
  <c r="Q1738" s="1"/>
  <c r="N1734"/>
  <c r="Q1734" s="1"/>
  <c r="N1737"/>
  <c r="Q1737" s="1"/>
  <c r="N1739"/>
  <c r="Q1739" s="1"/>
  <c r="N1762"/>
  <c r="Q1762" s="1"/>
  <c r="N1763"/>
  <c r="N1767"/>
  <c r="Q1767" s="1"/>
  <c r="N1766"/>
  <c r="N1743"/>
  <c r="N1749"/>
  <c r="Q1749" s="1"/>
  <c r="N1746"/>
  <c r="N1753"/>
  <c r="Q1753" s="1"/>
  <c r="N1764"/>
  <c r="Q1764" s="1"/>
  <c r="N1740"/>
  <c r="Q1740" s="1"/>
  <c r="N1758"/>
  <c r="N1760"/>
  <c r="Q1760" s="1"/>
  <c r="N1752"/>
  <c r="N1751"/>
  <c r="Q1751" s="1"/>
  <c r="N1759"/>
  <c r="N1744"/>
  <c r="N1754"/>
  <c r="N1755"/>
  <c r="Q1755" s="1"/>
  <c r="N1745"/>
  <c r="Q1745" s="1"/>
  <c r="N1741"/>
  <c r="Q1741" s="1"/>
  <c r="N1747"/>
  <c r="Q1747" s="1"/>
  <c r="N1742"/>
  <c r="Q1742" s="1"/>
  <c r="N1748"/>
  <c r="Q1748" s="1"/>
  <c r="N1750"/>
  <c r="Q1750" s="1"/>
  <c r="N1765"/>
  <c r="Q1765" s="1"/>
  <c r="N1761"/>
  <c r="Q1761" s="1"/>
  <c r="N1757"/>
  <c r="N1756"/>
  <c r="Q1756" s="1"/>
  <c r="N1777"/>
  <c r="Q1777" s="1"/>
  <c r="N1786"/>
  <c r="Q1786" s="1"/>
  <c r="N1779"/>
  <c r="Q1779" s="1"/>
  <c r="N1768"/>
  <c r="Q1768" s="1"/>
  <c r="N1792"/>
  <c r="Q1792" s="1"/>
  <c r="N1773"/>
  <c r="Q1773" s="1"/>
  <c r="N1794"/>
  <c r="Q1794" s="1"/>
  <c r="N1778"/>
  <c r="Q1778" s="1"/>
  <c r="N1781"/>
  <c r="Q1781" s="1"/>
  <c r="N1793"/>
  <c r="Q1793" s="1"/>
  <c r="N1771"/>
  <c r="Q1771" s="1"/>
  <c r="N1783"/>
  <c r="Q1783" s="1"/>
  <c r="N1775"/>
  <c r="Q1775" s="1"/>
  <c r="N1788"/>
  <c r="Q1788" s="1"/>
  <c r="N1785"/>
  <c r="Q1785" s="1"/>
  <c r="N1782"/>
  <c r="Q1782" s="1"/>
  <c r="N1769"/>
  <c r="N1790"/>
  <c r="Q1790" s="1"/>
  <c r="N1784"/>
  <c r="Q1784" s="1"/>
  <c r="N1772"/>
  <c r="Q1772" s="1"/>
  <c r="N1789"/>
  <c r="Q1789" s="1"/>
  <c r="N1791"/>
  <c r="Q1791" s="1"/>
  <c r="N1787"/>
  <c r="Q1787" s="1"/>
  <c r="N1774"/>
  <c r="Q1774" s="1"/>
  <c r="N1780"/>
  <c r="Q1780" s="1"/>
  <c r="N1776"/>
  <c r="Q1776" s="1"/>
  <c r="N1770"/>
  <c r="Q1770" s="1"/>
  <c r="N1795"/>
  <c r="N1798"/>
  <c r="Q1798" s="1"/>
  <c r="N1799"/>
  <c r="N1800"/>
  <c r="Q1800" s="1"/>
  <c r="N1796"/>
  <c r="N1802"/>
  <c r="Q1802" s="1"/>
  <c r="N1801"/>
  <c r="Q1801" s="1"/>
  <c r="N1797"/>
  <c r="N1804"/>
  <c r="Q1804" s="1"/>
  <c r="N1803"/>
  <c r="Q1803" s="1"/>
  <c r="N1805"/>
  <c r="Q1805" s="1"/>
  <c r="N1807"/>
  <c r="Q1807" s="1"/>
  <c r="N1809"/>
  <c r="Q1809" s="1"/>
  <c r="N1808"/>
  <c r="Q1808" s="1"/>
  <c r="N1806"/>
  <c r="Q1806" s="1"/>
  <c r="N1811"/>
  <c r="N1812"/>
  <c r="Q1812" s="1"/>
  <c r="N1810"/>
  <c r="N1813"/>
  <c r="Q1813" s="1"/>
  <c r="N1814"/>
  <c r="Q1814" s="1"/>
  <c r="N1816"/>
  <c r="Q1816" s="1"/>
  <c r="N1815"/>
  <c r="Q1815" s="1"/>
  <c r="N1817"/>
  <c r="Q1817" s="1"/>
  <c r="N1818"/>
  <c r="Q1818" s="1"/>
  <c r="N1829"/>
  <c r="Q1829" s="1"/>
  <c r="N1831"/>
  <c r="Q1831" s="1"/>
  <c r="N1832"/>
  <c r="N1830"/>
  <c r="Q1830" s="1"/>
  <c r="N1819"/>
  <c r="Q1819" s="1"/>
  <c r="N1824"/>
  <c r="Q1824" s="1"/>
  <c r="N1821"/>
  <c r="Q1821" s="1"/>
  <c r="N1827"/>
  <c r="Q1827" s="1"/>
  <c r="N1820"/>
  <c r="Q1820" s="1"/>
  <c r="N1828"/>
  <c r="Q1828" s="1"/>
  <c r="N1826"/>
  <c r="Q1826" s="1"/>
  <c r="N1822"/>
  <c r="Q1822" s="1"/>
  <c r="N1825"/>
  <c r="Q1825" s="1"/>
  <c r="N1823"/>
  <c r="Q1823" s="1"/>
  <c r="N1833"/>
  <c r="N1834"/>
  <c r="Q1834" s="1"/>
  <c r="N1837"/>
  <c r="N1835"/>
  <c r="Q1835" s="1"/>
  <c r="N1836"/>
  <c r="N1838"/>
  <c r="Q1838" s="1"/>
  <c r="N1840"/>
  <c r="Q1840" s="1"/>
  <c r="N1839"/>
  <c r="Q1839" s="1"/>
  <c r="N1841"/>
  <c r="Q1841" s="1"/>
  <c r="N1842"/>
  <c r="Q1842" s="1"/>
  <c r="N1844"/>
  <c r="N1849"/>
  <c r="N1843"/>
  <c r="N1845"/>
  <c r="Q1845" s="1"/>
  <c r="N1847"/>
  <c r="Q1847" s="1"/>
  <c r="N1848"/>
  <c r="N1846"/>
  <c r="N1862"/>
  <c r="N1856"/>
  <c r="Q1856" s="1"/>
  <c r="N1857"/>
  <c r="Q1857" s="1"/>
  <c r="N1851"/>
  <c r="Q1851" s="1"/>
  <c r="N1861"/>
  <c r="Q1861" s="1"/>
  <c r="N1853"/>
  <c r="Q1853" s="1"/>
  <c r="N1860"/>
  <c r="Q1860" s="1"/>
  <c r="N1859"/>
  <c r="Q1859" s="1"/>
  <c r="N1850"/>
  <c r="Q1850" s="1"/>
  <c r="N1854"/>
  <c r="N1852"/>
  <c r="Q1852" s="1"/>
  <c r="N1855"/>
  <c r="N1858"/>
  <c r="N1863"/>
  <c r="Q1863" s="1"/>
  <c r="N1865"/>
  <c r="N1864"/>
  <c r="Q1864" s="1"/>
  <c r="N1886"/>
  <c r="N1875"/>
  <c r="N1900"/>
  <c r="Q1900" s="1"/>
  <c r="N1901"/>
  <c r="Q1901" s="1"/>
  <c r="N1871"/>
  <c r="Q1871" s="1"/>
  <c r="N1883"/>
  <c r="Q1883" s="1"/>
  <c r="N1905"/>
  <c r="Q1905" s="1"/>
  <c r="N1874"/>
  <c r="N1903"/>
  <c r="N1887"/>
  <c r="Q1887" s="1"/>
  <c r="N1881"/>
  <c r="Q1881" s="1"/>
  <c r="N1898"/>
  <c r="Q1898" s="1"/>
  <c r="N1879"/>
  <c r="N1867"/>
  <c r="Q1867" s="1"/>
  <c r="N1884"/>
  <c r="Q1884" s="1"/>
  <c r="N1870"/>
  <c r="Q1870" s="1"/>
  <c r="N1895"/>
  <c r="Q1895" s="1"/>
  <c r="N1866"/>
  <c r="N1880"/>
  <c r="Q1880" s="1"/>
  <c r="N1909"/>
  <c r="Q1909" s="1"/>
  <c r="N1897"/>
  <c r="Q1897" s="1"/>
  <c r="N1882"/>
  <c r="Q1882" s="1"/>
  <c r="N1885"/>
  <c r="Q1885" s="1"/>
  <c r="N1888"/>
  <c r="Q1888" s="1"/>
  <c r="N1906"/>
  <c r="Q1906" s="1"/>
  <c r="N1868"/>
  <c r="Q1868" s="1"/>
  <c r="N1869"/>
  <c r="Q1869" s="1"/>
  <c r="N1889"/>
  <c r="Q1889" s="1"/>
  <c r="N1907"/>
  <c r="Q1907" s="1"/>
  <c r="N1908"/>
  <c r="Q1908" s="1"/>
  <c r="N1902"/>
  <c r="Q1902" s="1"/>
  <c r="N1904"/>
  <c r="Q1904" s="1"/>
  <c r="N1891"/>
  <c r="Q1891" s="1"/>
  <c r="N1893"/>
  <c r="N1894"/>
  <c r="N1896"/>
  <c r="N1892"/>
  <c r="Q1892" s="1"/>
  <c r="N1878"/>
  <c r="Q1878" s="1"/>
  <c r="N1873"/>
  <c r="N1872"/>
  <c r="N1890"/>
  <c r="N1877"/>
  <c r="N1899"/>
  <c r="Q1899" s="1"/>
  <c r="N1876"/>
  <c r="Q1876" s="1"/>
  <c r="N1914"/>
  <c r="Q1914" s="1"/>
  <c r="N1913"/>
  <c r="N1911"/>
  <c r="N1912"/>
  <c r="Q1912" s="1"/>
  <c r="N1910"/>
  <c r="N1915"/>
  <c r="Q1915" s="1"/>
  <c r="N1916"/>
  <c r="Q1916" s="1"/>
  <c r="N1919"/>
  <c r="N1921"/>
  <c r="Q1921" s="1"/>
  <c r="N1924"/>
  <c r="N1925"/>
  <c r="Q1925" s="1"/>
  <c r="N1920"/>
  <c r="Q1920" s="1"/>
  <c r="N1923"/>
  <c r="N1918"/>
  <c r="Q1918" s="1"/>
  <c r="N1922"/>
  <c r="Q1922" s="1"/>
  <c r="N1917"/>
  <c r="N1928"/>
  <c r="Q1928" s="1"/>
  <c r="N1926"/>
  <c r="N1931"/>
  <c r="N1929"/>
  <c r="Q1929" s="1"/>
  <c r="N1927"/>
  <c r="Q1927" s="1"/>
  <c r="N1932"/>
  <c r="N1933"/>
  <c r="Q1933" s="1"/>
  <c r="N1930"/>
  <c r="Q1930" s="1"/>
  <c r="N1946"/>
  <c r="Q1946" s="1"/>
  <c r="N1943"/>
  <c r="N1951"/>
  <c r="Q1951" s="1"/>
  <c r="N1940"/>
  <c r="Q1940" s="1"/>
  <c r="N1936"/>
  <c r="Q1936" s="1"/>
  <c r="N1939"/>
  <c r="Q1939" s="1"/>
  <c r="N1948"/>
  <c r="N1945"/>
  <c r="Q1945" s="1"/>
  <c r="N1938"/>
  <c r="Q1938" s="1"/>
  <c r="N1944"/>
  <c r="Q1944" s="1"/>
  <c r="N1942"/>
  <c r="Q1942" s="1"/>
  <c r="N1937"/>
  <c r="Q1937" s="1"/>
  <c r="N1941"/>
  <c r="N1950"/>
  <c r="Q1950" s="1"/>
  <c r="N1935"/>
  <c r="Q1935" s="1"/>
  <c r="N1949"/>
  <c r="N1934"/>
  <c r="N1947"/>
  <c r="Q1947" s="1"/>
  <c r="N1952"/>
  <c r="N1953"/>
  <c r="Q1953" s="1"/>
  <c r="N1954"/>
  <c r="Q1954" s="1"/>
  <c r="N1955"/>
  <c r="N1957"/>
  <c r="Q1957" s="1"/>
  <c r="N1956"/>
  <c r="N1958"/>
  <c r="Q1958" s="1"/>
  <c r="N1959"/>
  <c r="N1960"/>
  <c r="Q1960" s="1"/>
  <c r="N1962"/>
  <c r="Q1962" s="1"/>
  <c r="N1968"/>
  <c r="Q1968" s="1"/>
  <c r="N1961"/>
  <c r="N1966"/>
  <c r="N1967"/>
  <c r="Q1967" s="1"/>
  <c r="N1964"/>
  <c r="Q1964" s="1"/>
  <c r="N1963"/>
  <c r="Q1963" s="1"/>
  <c r="N1965"/>
  <c r="Q1965" s="1"/>
  <c r="N1970"/>
  <c r="N1971"/>
  <c r="N1969"/>
  <c r="N1991"/>
  <c r="N1990"/>
  <c r="Q1990" s="1"/>
  <c r="N1987"/>
  <c r="N1974"/>
  <c r="Q1974" s="1"/>
  <c r="N1988"/>
  <c r="N1981"/>
  <c r="Q1981" s="1"/>
  <c r="N1985"/>
  <c r="N1986"/>
  <c r="Q1986" s="1"/>
  <c r="N1977"/>
  <c r="Q1977" s="1"/>
  <c r="N1972"/>
  <c r="N1978"/>
  <c r="Q1978" s="1"/>
  <c r="N1989"/>
  <c r="Q1989" s="1"/>
  <c r="N1983"/>
  <c r="Q1983" s="1"/>
  <c r="N1992"/>
  <c r="Q1992" s="1"/>
  <c r="N1982"/>
  <c r="Q1982" s="1"/>
  <c r="N1980"/>
  <c r="Q1980" s="1"/>
  <c r="N1976"/>
  <c r="N1979"/>
  <c r="N1975"/>
  <c r="Q1975" s="1"/>
  <c r="N1973"/>
  <c r="N1984"/>
  <c r="Q1984" s="1"/>
  <c r="N2010"/>
  <c r="Q2010" s="1"/>
  <c r="N2011"/>
  <c r="Q2011" s="1"/>
  <c r="N2007"/>
  <c r="Q2007" s="1"/>
  <c r="N2028"/>
  <c r="Q2028" s="1"/>
  <c r="N1999"/>
  <c r="Q1999" s="1"/>
  <c r="N1998"/>
  <c r="N1996"/>
  <c r="N2015"/>
  <c r="Q2015" s="1"/>
  <c r="N2002"/>
  <c r="Q2002" s="1"/>
  <c r="N2021"/>
  <c r="Q2021" s="1"/>
  <c r="N2009"/>
  <c r="Q2009" s="1"/>
  <c r="N2006"/>
  <c r="Q2006" s="1"/>
  <c r="N2005"/>
  <c r="Q2005" s="1"/>
  <c r="N2017"/>
  <c r="Q2017" s="1"/>
  <c r="N2016"/>
  <c r="N2004"/>
  <c r="Q2004" s="1"/>
  <c r="N2027"/>
  <c r="Q2027" s="1"/>
  <c r="N2029"/>
  <c r="N2000"/>
  <c r="N1995"/>
  <c r="N2022"/>
  <c r="N2012"/>
  <c r="N2013"/>
  <c r="N2026"/>
  <c r="N2019"/>
  <c r="N2018"/>
  <c r="Q2018" s="1"/>
  <c r="N2020"/>
  <c r="N2008"/>
  <c r="N1993"/>
  <c r="Q1993" s="1"/>
  <c r="N2003"/>
  <c r="Q2003" s="1"/>
  <c r="N2024"/>
  <c r="N1997"/>
  <c r="Q1997" s="1"/>
  <c r="N2001"/>
  <c r="N1994"/>
  <c r="Q1994" s="1"/>
  <c r="N2023"/>
  <c r="N2025"/>
  <c r="Q2025" s="1"/>
  <c r="N2014"/>
  <c r="Q2014" s="1"/>
  <c r="N2036"/>
  <c r="Q2036" s="1"/>
  <c r="N2057"/>
  <c r="Q2057" s="1"/>
  <c r="N2056"/>
  <c r="N2030"/>
  <c r="N2054"/>
  <c r="Q2054" s="1"/>
  <c r="N2043"/>
  <c r="Q2043" s="1"/>
  <c r="N2040"/>
  <c r="Q2040" s="1"/>
  <c r="N2031"/>
  <c r="Q2031" s="1"/>
  <c r="N2037"/>
  <c r="Q2037" s="1"/>
  <c r="N2035"/>
  <c r="Q2035" s="1"/>
  <c r="N2032"/>
  <c r="Q2032" s="1"/>
  <c r="N2050"/>
  <c r="Q2050" s="1"/>
  <c r="N2039"/>
  <c r="N2042"/>
  <c r="Q2042" s="1"/>
  <c r="N2051"/>
  <c r="N2046"/>
  <c r="Q2046" s="1"/>
  <c r="N2045"/>
  <c r="Q2045" s="1"/>
  <c r="N2038"/>
  <c r="N2049"/>
  <c r="Q2049" s="1"/>
  <c r="N2034"/>
  <c r="N2033"/>
  <c r="Q2033" s="1"/>
  <c r="N2041"/>
  <c r="Q2041" s="1"/>
  <c r="N2055"/>
  <c r="Q2055" s="1"/>
  <c r="N2047"/>
  <c r="Q2047" s="1"/>
  <c r="N2048"/>
  <c r="N2052"/>
  <c r="N2053"/>
  <c r="Q2053" s="1"/>
  <c r="N2044"/>
  <c r="N2062"/>
  <c r="Q2062" s="1"/>
  <c r="N2061"/>
  <c r="N2059"/>
  <c r="Q2059" s="1"/>
  <c r="N2063"/>
  <c r="Q2063" s="1"/>
  <c r="N2060"/>
  <c r="N2058"/>
  <c r="N2075"/>
  <c r="N2073"/>
  <c r="N2082"/>
  <c r="N2070"/>
  <c r="Q2070" s="1"/>
  <c r="N2066"/>
  <c r="N2080"/>
  <c r="Q2080" s="1"/>
  <c r="N2069"/>
  <c r="N2074"/>
  <c r="N2065"/>
  <c r="N2076"/>
  <c r="Q2076" s="1"/>
  <c r="N2078"/>
  <c r="Q2078" s="1"/>
  <c r="N2071"/>
  <c r="Q2071" s="1"/>
  <c r="N2084"/>
  <c r="N2087"/>
  <c r="N2083"/>
  <c r="N2072"/>
  <c r="Q2072" s="1"/>
  <c r="N2086"/>
  <c r="N2077"/>
  <c r="Q2077" s="1"/>
  <c r="N2085"/>
  <c r="Q2085" s="1"/>
  <c r="N2068"/>
  <c r="Q2068" s="1"/>
  <c r="N2067"/>
  <c r="Q2067" s="1"/>
  <c r="N2081"/>
  <c r="Q2081" s="1"/>
  <c r="N2064"/>
  <c r="Q2064" s="1"/>
  <c r="N2079"/>
  <c r="N2090"/>
  <c r="Q2090" s="1"/>
  <c r="N2091"/>
  <c r="N2088"/>
  <c r="N2089"/>
  <c r="N2099"/>
  <c r="Q2099" s="1"/>
  <c r="N2101"/>
  <c r="N2096"/>
  <c r="Q2096" s="1"/>
  <c r="N2102"/>
  <c r="N2093"/>
  <c r="N2098"/>
  <c r="Q2098" s="1"/>
  <c r="N2103"/>
  <c r="N2097"/>
  <c r="N2095"/>
  <c r="N2100"/>
  <c r="N2094"/>
  <c r="N2092"/>
  <c r="Q2092" s="1"/>
  <c r="N2128"/>
  <c r="Q2128" s="1"/>
  <c r="N2110"/>
  <c r="N2126"/>
  <c r="Q2126" s="1"/>
  <c r="N2124"/>
  <c r="Q2124" s="1"/>
  <c r="N2122"/>
  <c r="N2133"/>
  <c r="Q2133" s="1"/>
  <c r="N2117"/>
  <c r="Q2117" s="1"/>
  <c r="N2132"/>
  <c r="Q2132" s="1"/>
  <c r="N2116"/>
  <c r="Q2116" s="1"/>
  <c r="N2115"/>
  <c r="N2131"/>
  <c r="Q2131" s="1"/>
  <c r="N2105"/>
  <c r="Q2105" s="1"/>
  <c r="N2107"/>
  <c r="N2125"/>
  <c r="Q2125" s="1"/>
  <c r="N2123"/>
  <c r="Q2123" s="1"/>
  <c r="N2111"/>
  <c r="N2104"/>
  <c r="N2114"/>
  <c r="Q2114" s="1"/>
  <c r="N2119"/>
  <c r="Q2119" s="1"/>
  <c r="N2134"/>
  <c r="Q2134" s="1"/>
  <c r="N2112"/>
  <c r="Q2112" s="1"/>
  <c r="N2106"/>
  <c r="Q2106" s="1"/>
  <c r="N2118"/>
  <c r="Q2118" s="1"/>
  <c r="N2127"/>
  <c r="Q2127" s="1"/>
  <c r="N2109"/>
  <c r="Q2109" s="1"/>
  <c r="N2108"/>
  <c r="Q2108" s="1"/>
  <c r="N2113"/>
  <c r="Q2113" s="1"/>
  <c r="N2121"/>
  <c r="Q2121" s="1"/>
  <c r="N2120"/>
  <c r="N2130"/>
  <c r="Q2130" s="1"/>
  <c r="N2129"/>
  <c r="Q2129" s="1"/>
  <c r="N2139"/>
  <c r="N2137"/>
  <c r="Q2137" s="1"/>
  <c r="N2138"/>
  <c r="Q2138" s="1"/>
  <c r="N2148"/>
  <c r="Q2148" s="1"/>
  <c r="N2145"/>
  <c r="Q2145" s="1"/>
  <c r="N2147"/>
  <c r="Q2147" s="1"/>
  <c r="N2135"/>
  <c r="Q2135" s="1"/>
  <c r="N2146"/>
  <c r="Q2146" s="1"/>
  <c r="N2136"/>
  <c r="Q2136" s="1"/>
  <c r="N2140"/>
  <c r="Q2140" s="1"/>
  <c r="N2143"/>
  <c r="Q2143" s="1"/>
  <c r="N2144"/>
  <c r="Q2144" s="1"/>
  <c r="N2142"/>
  <c r="Q2142" s="1"/>
  <c r="N2141"/>
  <c r="N2150"/>
  <c r="Q2150" s="1"/>
  <c r="N2151"/>
  <c r="N2149"/>
  <c r="Q2149" s="1"/>
  <c r="N2152"/>
  <c r="Q2152" s="1"/>
  <c r="N2176"/>
  <c r="Q2176" s="1"/>
  <c r="N2156"/>
  <c r="Q2156" s="1"/>
  <c r="N2154"/>
  <c r="Q2154" s="1"/>
  <c r="N2165"/>
  <c r="N2159"/>
  <c r="Q2159" s="1"/>
  <c r="N2175"/>
  <c r="Q2175" s="1"/>
  <c r="N2157"/>
  <c r="Q2157" s="1"/>
  <c r="N2166"/>
  <c r="Q2166" s="1"/>
  <c r="N2153"/>
  <c r="Q2153" s="1"/>
  <c r="N2170"/>
  <c r="Q2170" s="1"/>
  <c r="N2167"/>
  <c r="N2192"/>
  <c r="Q2192" s="1"/>
  <c r="N2191"/>
  <c r="N2173"/>
  <c r="Q2173" s="1"/>
  <c r="N2182"/>
  <c r="Q2182" s="1"/>
  <c r="N2181"/>
  <c r="N2160"/>
  <c r="Q2160" s="1"/>
  <c r="N2162"/>
  <c r="Q2162" s="1"/>
  <c r="N2168"/>
  <c r="Q2168" s="1"/>
  <c r="N2172"/>
  <c r="Q2172" s="1"/>
  <c r="N2155"/>
  <c r="Q2155" s="1"/>
  <c r="N2183"/>
  <c r="Q2183" s="1"/>
  <c r="N2180"/>
  <c r="Q2180" s="1"/>
  <c r="N2179"/>
  <c r="N2186"/>
  <c r="Q2186" s="1"/>
  <c r="N2178"/>
  <c r="N2188"/>
  <c r="Q2188" s="1"/>
  <c r="N2174"/>
  <c r="N2187"/>
  <c r="N2164"/>
  <c r="Q2164" s="1"/>
  <c r="N2161"/>
  <c r="Q2161" s="1"/>
  <c r="N2193"/>
  <c r="Q2193" s="1"/>
  <c r="N2158"/>
  <c r="N2184"/>
  <c r="Q2184" s="1"/>
  <c r="N2177"/>
  <c r="Q2177" s="1"/>
  <c r="N2169"/>
  <c r="Q2169" s="1"/>
  <c r="N2189"/>
  <c r="N2185"/>
  <c r="Q2185" s="1"/>
  <c r="N2171"/>
  <c r="Q2171" s="1"/>
  <c r="N2163"/>
  <c r="Q2163" s="1"/>
  <c r="N2190"/>
  <c r="Q2190" s="1"/>
  <c r="N2207"/>
  <c r="Q2207" s="1"/>
  <c r="N2209"/>
  <c r="N2203"/>
  <c r="Q2203" s="1"/>
  <c r="N2194"/>
  <c r="N2198"/>
  <c r="Q2198" s="1"/>
  <c r="N2205"/>
  <c r="Q2205" s="1"/>
  <c r="N2208"/>
  <c r="Q2208" s="1"/>
  <c r="N2197"/>
  <c r="Q2197" s="1"/>
  <c r="N2195"/>
  <c r="N2200"/>
  <c r="Q2200" s="1"/>
  <c r="N2196"/>
  <c r="Q2196" s="1"/>
  <c r="N2201"/>
  <c r="Q2201" s="1"/>
  <c r="N2206"/>
  <c r="N2204"/>
  <c r="N2199"/>
  <c r="N2202"/>
  <c r="Q2202" s="1"/>
  <c r="N2210"/>
  <c r="Q2210" s="1"/>
  <c r="N2212"/>
  <c r="Q2212" s="1"/>
  <c r="N2211"/>
  <c r="Q2211" s="1"/>
  <c r="N2213"/>
  <c r="N2214"/>
  <c r="Q2214" s="1"/>
  <c r="N2228"/>
  <c r="Q2228" s="1"/>
  <c r="N2217"/>
  <c r="Q2217" s="1"/>
  <c r="N2220"/>
  <c r="N2219"/>
  <c r="Q2219" s="1"/>
  <c r="N2233"/>
  <c r="Q2233" s="1"/>
  <c r="N2253"/>
  <c r="Q2253" s="1"/>
  <c r="N2254"/>
  <c r="Q2254" s="1"/>
  <c r="N2251"/>
  <c r="Q2251" s="1"/>
  <c r="N2235"/>
  <c r="Q2235" s="1"/>
  <c r="N2240"/>
  <c r="N2241"/>
  <c r="Q2241" s="1"/>
  <c r="N2247"/>
  <c r="Q2247" s="1"/>
  <c r="N2244"/>
  <c r="N2242"/>
  <c r="N2222"/>
  <c r="Q2222" s="1"/>
  <c r="N2239"/>
  <c r="Q2239" s="1"/>
  <c r="N2231"/>
  <c r="Q2231" s="1"/>
  <c r="N2250"/>
  <c r="Q2250" s="1"/>
  <c r="N2252"/>
  <c r="Q2252" s="1"/>
  <c r="N2243"/>
  <c r="Q2243" s="1"/>
  <c r="N2229"/>
  <c r="Q2229" s="1"/>
  <c r="N2236"/>
  <c r="Q2236" s="1"/>
  <c r="N2227"/>
  <c r="N2218"/>
  <c r="N2249"/>
  <c r="Q2249" s="1"/>
  <c r="N2246"/>
  <c r="Q2246" s="1"/>
  <c r="N2221"/>
  <c r="Q2221" s="1"/>
  <c r="N2255"/>
  <c r="Q2255" s="1"/>
  <c r="N2245"/>
  <c r="Q2245" s="1"/>
  <c r="N2216"/>
  <c r="Q2216" s="1"/>
  <c r="N2225"/>
  <c r="Q2225" s="1"/>
  <c r="N2237"/>
  <c r="Q2237" s="1"/>
  <c r="N2223"/>
  <c r="Q2223" s="1"/>
  <c r="N2230"/>
  <c r="Q2230" s="1"/>
  <c r="N2248"/>
  <c r="N2238"/>
  <c r="N2224"/>
  <c r="Q2224" s="1"/>
  <c r="N2215"/>
  <c r="Q2215" s="1"/>
  <c r="N2234"/>
  <c r="Q2234" s="1"/>
  <c r="N2232"/>
  <c r="Q2232" s="1"/>
  <c r="N2226"/>
  <c r="N2256"/>
  <c r="N2264"/>
  <c r="Q2264" s="1"/>
  <c r="N2263"/>
  <c r="Q2263" s="1"/>
  <c r="N2261"/>
  <c r="Q2261" s="1"/>
  <c r="N2259"/>
  <c r="Q2259" s="1"/>
  <c r="N2265"/>
  <c r="Q2265" s="1"/>
  <c r="N2262"/>
  <c r="Q2262" s="1"/>
  <c r="N2260"/>
  <c r="Q2260" s="1"/>
  <c r="N2257"/>
  <c r="Q2257" s="1"/>
  <c r="N2258"/>
  <c r="Q2258" s="1"/>
  <c r="N2266"/>
  <c r="Q2266" s="1"/>
  <c r="N2267"/>
  <c r="Q2267" s="1"/>
  <c r="N2268"/>
  <c r="Q2268" s="1"/>
  <c r="N2269"/>
  <c r="Q2269" s="1"/>
  <c r="N2272"/>
  <c r="N2274"/>
  <c r="Q2274" s="1"/>
  <c r="N2273"/>
  <c r="Q2273" s="1"/>
  <c r="N2270"/>
  <c r="Q2270" s="1"/>
  <c r="N2275"/>
  <c r="Q2275" s="1"/>
  <c r="N2271"/>
  <c r="Q2271" s="1"/>
  <c r="N2276"/>
  <c r="Q2276" s="1"/>
  <c r="N2277"/>
  <c r="N2278"/>
  <c r="Q2278" s="1"/>
  <c r="N2280"/>
  <c r="Q2280" s="1"/>
  <c r="N2279"/>
  <c r="N2281"/>
  <c r="Q2281" s="1"/>
  <c r="N2282"/>
  <c r="Q2282" s="1"/>
  <c r="N2283"/>
  <c r="N2284"/>
  <c r="N2285"/>
  <c r="Q2285" s="1"/>
  <c r="N2287"/>
  <c r="N2296"/>
  <c r="Q2296" s="1"/>
  <c r="N2295"/>
  <c r="Q2295" s="1"/>
  <c r="N2289"/>
  <c r="N2297"/>
  <c r="Q2297" s="1"/>
  <c r="N2293"/>
  <c r="Q2293" s="1"/>
  <c r="N2290"/>
  <c r="Q2290" s="1"/>
  <c r="N2291"/>
  <c r="Q2291" s="1"/>
  <c r="N2292"/>
  <c r="Q2292" s="1"/>
  <c r="N2286"/>
  <c r="Q2286" s="1"/>
  <c r="N2288"/>
  <c r="N2294"/>
  <c r="N2298"/>
  <c r="Q2298" s="1"/>
  <c r="N2299"/>
  <c r="Q2299" s="1"/>
  <c r="N2300"/>
  <c r="N2301"/>
  <c r="Q2301" s="1"/>
  <c r="N2303"/>
  <c r="Q2303" s="1"/>
  <c r="N2302"/>
  <c r="N2306"/>
  <c r="Q2306" s="1"/>
  <c r="N2304"/>
  <c r="Q2304" s="1"/>
  <c r="N2307"/>
  <c r="Q2307" s="1"/>
  <c r="N2308"/>
  <c r="Q2308" s="1"/>
  <c r="N2305"/>
  <c r="N2310"/>
  <c r="Q2310" s="1"/>
  <c r="N2309"/>
  <c r="Q2309" s="1"/>
  <c r="N2311"/>
  <c r="Q2311" s="1"/>
  <c r="N2312"/>
  <c r="Q2312" s="1"/>
  <c r="N2314"/>
  <c r="Q2314" s="1"/>
  <c r="N2313"/>
  <c r="Q2313" s="1"/>
  <c r="N2"/>
  <c r="O3"/>
  <c r="O4"/>
  <c r="O5"/>
  <c r="O6"/>
  <c r="O8"/>
  <c r="O9"/>
  <c r="O10"/>
  <c r="O14"/>
  <c r="O16"/>
  <c r="O15"/>
  <c r="O24"/>
  <c r="O20"/>
  <c r="O21"/>
  <c r="O23"/>
  <c r="O18"/>
  <c r="O25"/>
  <c r="O19"/>
  <c r="O22"/>
  <c r="O26"/>
  <c r="O11"/>
  <c r="O12"/>
  <c r="O13"/>
  <c r="O17"/>
  <c r="O27"/>
  <c r="O31"/>
  <c r="O32"/>
  <c r="O30"/>
  <c r="O33"/>
  <c r="O29"/>
  <c r="O28"/>
  <c r="O35"/>
  <c r="O37"/>
  <c r="O36"/>
  <c r="O34"/>
  <c r="O38"/>
  <c r="O41"/>
  <c r="O42"/>
  <c r="O47"/>
  <c r="O39"/>
  <c r="O40"/>
  <c r="O43"/>
  <c r="O46"/>
  <c r="O48"/>
  <c r="O45"/>
  <c r="O44"/>
  <c r="O54"/>
  <c r="O50"/>
  <c r="O56"/>
  <c r="O59"/>
  <c r="O49"/>
  <c r="O58"/>
  <c r="O55"/>
  <c r="O51"/>
  <c r="O52"/>
  <c r="O53"/>
  <c r="O57"/>
  <c r="O62"/>
  <c r="O61"/>
  <c r="O60"/>
  <c r="O65"/>
  <c r="O66"/>
  <c r="O64"/>
  <c r="O63"/>
  <c r="O67"/>
  <c r="O83"/>
  <c r="O82"/>
  <c r="O76"/>
  <c r="O80"/>
  <c r="O81"/>
  <c r="O79"/>
  <c r="O77"/>
  <c r="O78"/>
  <c r="O73"/>
  <c r="O68"/>
  <c r="O69"/>
  <c r="O71"/>
  <c r="O72"/>
  <c r="O74"/>
  <c r="O70"/>
  <c r="O75"/>
  <c r="O84"/>
  <c r="O85"/>
  <c r="O89"/>
  <c r="O87"/>
  <c r="O88"/>
  <c r="O92"/>
  <c r="O86"/>
  <c r="O90"/>
  <c r="O91"/>
  <c r="O95"/>
  <c r="O97"/>
  <c r="O93"/>
  <c r="O96"/>
  <c r="O98"/>
  <c r="O94"/>
  <c r="O101"/>
  <c r="O99"/>
  <c r="O102"/>
  <c r="O103"/>
  <c r="O104"/>
  <c r="O106"/>
  <c r="O100"/>
  <c r="O105"/>
  <c r="O107"/>
  <c r="O108"/>
  <c r="O115"/>
  <c r="O118"/>
  <c r="O114"/>
  <c r="O116"/>
  <c r="O113"/>
  <c r="O122"/>
  <c r="O110"/>
  <c r="O119"/>
  <c r="O117"/>
  <c r="O111"/>
  <c r="O121"/>
  <c r="O123"/>
  <c r="O109"/>
  <c r="O120"/>
  <c r="O112"/>
  <c r="O146"/>
  <c r="O129"/>
  <c r="O126"/>
  <c r="O136"/>
  <c r="O125"/>
  <c r="O124"/>
  <c r="O128"/>
  <c r="O154"/>
  <c r="O147"/>
  <c r="O165"/>
  <c r="O151"/>
  <c r="O163"/>
  <c r="O162"/>
  <c r="O134"/>
  <c r="O157"/>
  <c r="O138"/>
  <c r="O178"/>
  <c r="O131"/>
  <c r="O160"/>
  <c r="O167"/>
  <c r="O174"/>
  <c r="O143"/>
  <c r="O175"/>
  <c r="O148"/>
  <c r="O177"/>
  <c r="O161"/>
  <c r="O149"/>
  <c r="O135"/>
  <c r="O130"/>
  <c r="O144"/>
  <c r="O132"/>
  <c r="O127"/>
  <c r="O159"/>
  <c r="O166"/>
  <c r="O171"/>
  <c r="O141"/>
  <c r="O172"/>
  <c r="O155"/>
  <c r="O164"/>
  <c r="O168"/>
  <c r="O158"/>
  <c r="O133"/>
  <c r="O137"/>
  <c r="O170"/>
  <c r="O150"/>
  <c r="O176"/>
  <c r="O169"/>
  <c r="O156"/>
  <c r="O153"/>
  <c r="O139"/>
  <c r="O152"/>
  <c r="O140"/>
  <c r="O142"/>
  <c r="O173"/>
  <c r="O145"/>
  <c r="O182"/>
  <c r="O179"/>
  <c r="O191"/>
  <c r="O186"/>
  <c r="O181"/>
  <c r="O180"/>
  <c r="O184"/>
  <c r="O183"/>
  <c r="O188"/>
  <c r="O190"/>
  <c r="O189"/>
  <c r="O185"/>
  <c r="O187"/>
  <c r="O192"/>
  <c r="O197"/>
  <c r="O196"/>
  <c r="O195"/>
  <c r="O194"/>
  <c r="O193"/>
  <c r="O205"/>
  <c r="O202"/>
  <c r="O199"/>
  <c r="O206"/>
  <c r="O207"/>
  <c r="O198"/>
  <c r="O204"/>
  <c r="O200"/>
  <c r="O201"/>
  <c r="O203"/>
  <c r="O208"/>
  <c r="O213"/>
  <c r="O214"/>
  <c r="O209"/>
  <c r="O211"/>
  <c r="O212"/>
  <c r="O215"/>
  <c r="O216"/>
  <c r="O217"/>
  <c r="O210"/>
  <c r="O218"/>
  <c r="O221"/>
  <c r="O220"/>
  <c r="O219"/>
  <c r="O222"/>
  <c r="O227"/>
  <c r="O230"/>
  <c r="O231"/>
  <c r="O237"/>
  <c r="O232"/>
  <c r="O233"/>
  <c r="O228"/>
  <c r="O225"/>
  <c r="O235"/>
  <c r="O238"/>
  <c r="O224"/>
  <c r="O239"/>
  <c r="O229"/>
  <c r="O226"/>
  <c r="O234"/>
  <c r="O240"/>
  <c r="O223"/>
  <c r="O236"/>
  <c r="O241"/>
  <c r="O242"/>
  <c r="O243"/>
  <c r="O244"/>
  <c r="O245"/>
  <c r="O246"/>
  <c r="O251"/>
  <c r="O249"/>
  <c r="O248"/>
  <c r="O250"/>
  <c r="O247"/>
  <c r="O253"/>
  <c r="O254"/>
  <c r="O252"/>
  <c r="O255"/>
  <c r="O256"/>
  <c r="O257"/>
  <c r="O258"/>
  <c r="O265"/>
  <c r="O262"/>
  <c r="O263"/>
  <c r="O260"/>
  <c r="O264"/>
  <c r="O261"/>
  <c r="O259"/>
  <c r="O268"/>
  <c r="O267"/>
  <c r="O266"/>
  <c r="O271"/>
  <c r="O270"/>
  <c r="O269"/>
  <c r="O272"/>
  <c r="O273"/>
  <c r="O278"/>
  <c r="O279"/>
  <c r="O281"/>
  <c r="O283"/>
  <c r="O276"/>
  <c r="O274"/>
  <c r="O275"/>
  <c r="O280"/>
  <c r="O282"/>
  <c r="O277"/>
  <c r="O284"/>
  <c r="O289"/>
  <c r="O297"/>
  <c r="O288"/>
  <c r="O294"/>
  <c r="O287"/>
  <c r="O290"/>
  <c r="O285"/>
  <c r="O295"/>
  <c r="O286"/>
  <c r="O292"/>
  <c r="O296"/>
  <c r="O291"/>
  <c r="O293"/>
  <c r="O301"/>
  <c r="O300"/>
  <c r="O306"/>
  <c r="O304"/>
  <c r="O299"/>
  <c r="O303"/>
  <c r="O305"/>
  <c r="O302"/>
  <c r="O307"/>
  <c r="O298"/>
  <c r="O309"/>
  <c r="O308"/>
  <c r="O320"/>
  <c r="O316"/>
  <c r="O321"/>
  <c r="O311"/>
  <c r="O315"/>
  <c r="O313"/>
  <c r="O314"/>
  <c r="O312"/>
  <c r="O317"/>
  <c r="O310"/>
  <c r="O319"/>
  <c r="O322"/>
  <c r="O318"/>
  <c r="O323"/>
  <c r="O326"/>
  <c r="O324"/>
  <c r="O325"/>
  <c r="O327"/>
  <c r="O354"/>
  <c r="O333"/>
  <c r="O342"/>
  <c r="O364"/>
  <c r="O339"/>
  <c r="O340"/>
  <c r="O358"/>
  <c r="O332"/>
  <c r="O346"/>
  <c r="O348"/>
  <c r="O338"/>
  <c r="O356"/>
  <c r="O355"/>
  <c r="O362"/>
  <c r="O361"/>
  <c r="O341"/>
  <c r="O337"/>
  <c r="O343"/>
  <c r="O334"/>
  <c r="O363"/>
  <c r="O351"/>
  <c r="O350"/>
  <c r="O328"/>
  <c r="O331"/>
  <c r="O347"/>
  <c r="O360"/>
  <c r="O345"/>
  <c r="O353"/>
  <c r="O349"/>
  <c r="O352"/>
  <c r="O357"/>
  <c r="O335"/>
  <c r="O336"/>
  <c r="O344"/>
  <c r="O329"/>
  <c r="O330"/>
  <c r="O359"/>
  <c r="O365"/>
  <c r="O366"/>
  <c r="O369"/>
  <c r="O370"/>
  <c r="O367"/>
  <c r="O371"/>
  <c r="O368"/>
  <c r="O384"/>
  <c r="O378"/>
  <c r="O385"/>
  <c r="O381"/>
  <c r="O376"/>
  <c r="O383"/>
  <c r="O374"/>
  <c r="O380"/>
  <c r="O377"/>
  <c r="O373"/>
  <c r="O375"/>
  <c r="O379"/>
  <c r="O382"/>
  <c r="O390"/>
  <c r="O389"/>
  <c r="O388"/>
  <c r="O391"/>
  <c r="O386"/>
  <c r="O372"/>
  <c r="O387"/>
  <c r="O396"/>
  <c r="O393"/>
  <c r="O394"/>
  <c r="O399"/>
  <c r="O397"/>
  <c r="O398"/>
  <c r="O395"/>
  <c r="O392"/>
  <c r="O405"/>
  <c r="O407"/>
  <c r="O408"/>
  <c r="O409"/>
  <c r="O401"/>
  <c r="O403"/>
  <c r="O404"/>
  <c r="O406"/>
  <c r="O402"/>
  <c r="O400"/>
  <c r="O436"/>
  <c r="O437"/>
  <c r="O435"/>
  <c r="O438"/>
  <c r="O434"/>
  <c r="O415"/>
  <c r="O416"/>
  <c r="O414"/>
  <c r="O417"/>
  <c r="O418"/>
  <c r="O419"/>
  <c r="O421"/>
  <c r="O420"/>
  <c r="O423"/>
  <c r="O422"/>
  <c r="O427"/>
  <c r="O426"/>
  <c r="O429"/>
  <c r="O428"/>
  <c r="O424"/>
  <c r="O425"/>
  <c r="O431"/>
  <c r="O430"/>
  <c r="O433"/>
  <c r="O432"/>
  <c r="O439"/>
  <c r="O440"/>
  <c r="O441"/>
  <c r="O444"/>
  <c r="O445"/>
  <c r="O450"/>
  <c r="O446"/>
  <c r="O449"/>
  <c r="O447"/>
  <c r="O443"/>
  <c r="O442"/>
  <c r="O448"/>
  <c r="O451"/>
  <c r="O457"/>
  <c r="O460"/>
  <c r="O461"/>
  <c r="O464"/>
  <c r="O475"/>
  <c r="O455"/>
  <c r="O471"/>
  <c r="O456"/>
  <c r="O477"/>
  <c r="O476"/>
  <c r="O458"/>
  <c r="O462"/>
  <c r="O468"/>
  <c r="O470"/>
  <c r="O454"/>
  <c r="O469"/>
  <c r="O463"/>
  <c r="O472"/>
  <c r="O466"/>
  <c r="O473"/>
  <c r="O474"/>
  <c r="O478"/>
  <c r="O467"/>
  <c r="O453"/>
  <c r="O465"/>
  <c r="O459"/>
  <c r="O452"/>
  <c r="O488"/>
  <c r="O491"/>
  <c r="O489"/>
  <c r="O486"/>
  <c r="O487"/>
  <c r="O482"/>
  <c r="O481"/>
  <c r="O484"/>
  <c r="O485"/>
  <c r="O480"/>
  <c r="O479"/>
  <c r="O490"/>
  <c r="O483"/>
  <c r="O496"/>
  <c r="O505"/>
  <c r="O504"/>
  <c r="O500"/>
  <c r="O499"/>
  <c r="O503"/>
  <c r="O492"/>
  <c r="O501"/>
  <c r="O497"/>
  <c r="O494"/>
  <c r="O498"/>
  <c r="O502"/>
  <c r="O495"/>
  <c r="O493"/>
  <c r="O510"/>
  <c r="O509"/>
  <c r="O521"/>
  <c r="O516"/>
  <c r="O515"/>
  <c r="O512"/>
  <c r="O514"/>
  <c r="O519"/>
  <c r="O506"/>
  <c r="O522"/>
  <c r="O518"/>
  <c r="O517"/>
  <c r="O513"/>
  <c r="O524"/>
  <c r="O511"/>
  <c r="O508"/>
  <c r="O507"/>
  <c r="O523"/>
  <c r="O520"/>
  <c r="O525"/>
  <c r="O526"/>
  <c r="O528"/>
  <c r="O527"/>
  <c r="O533"/>
  <c r="O530"/>
  <c r="O529"/>
  <c r="O532"/>
  <c r="O531"/>
  <c r="O535"/>
  <c r="O534"/>
  <c r="O537"/>
  <c r="O538"/>
  <c r="O539"/>
  <c r="O536"/>
  <c r="O546"/>
  <c r="O549"/>
  <c r="O550"/>
  <c r="O551"/>
  <c r="O540"/>
  <c r="O542"/>
  <c r="O547"/>
  <c r="O548"/>
  <c r="O543"/>
  <c r="O541"/>
  <c r="O545"/>
  <c r="O544"/>
  <c r="O552"/>
  <c r="O589"/>
  <c r="O562"/>
  <c r="O563"/>
  <c r="O566"/>
  <c r="O553"/>
  <c r="O557"/>
  <c r="O554"/>
  <c r="O582"/>
  <c r="O585"/>
  <c r="O564"/>
  <c r="O556"/>
  <c r="O559"/>
  <c r="O558"/>
  <c r="O588"/>
  <c r="O567"/>
  <c r="O581"/>
  <c r="O587"/>
  <c r="O583"/>
  <c r="O570"/>
  <c r="O572"/>
  <c r="O586"/>
  <c r="O555"/>
  <c r="O568"/>
  <c r="O573"/>
  <c r="O576"/>
  <c r="O565"/>
  <c r="O579"/>
  <c r="O577"/>
  <c r="O578"/>
  <c r="O584"/>
  <c r="O571"/>
  <c r="O580"/>
  <c r="O561"/>
  <c r="O575"/>
  <c r="O590"/>
  <c r="O569"/>
  <c r="O560"/>
  <c r="O574"/>
  <c r="O591"/>
  <c r="O593"/>
  <c r="O592"/>
  <c r="O594"/>
  <c r="O596"/>
  <c r="O595"/>
  <c r="O597"/>
  <c r="O598"/>
  <c r="O601"/>
  <c r="O599"/>
  <c r="O600"/>
  <c r="O603"/>
  <c r="O602"/>
  <c r="O604"/>
  <c r="O605"/>
  <c r="O607"/>
  <c r="O606"/>
  <c r="O611"/>
  <c r="O610"/>
  <c r="O609"/>
  <c r="O608"/>
  <c r="O617"/>
  <c r="O634"/>
  <c r="O621"/>
  <c r="O620"/>
  <c r="O616"/>
  <c r="O612"/>
  <c r="O613"/>
  <c r="O619"/>
  <c r="O639"/>
  <c r="O623"/>
  <c r="O625"/>
  <c r="O630"/>
  <c r="O636"/>
  <c r="O629"/>
  <c r="O632"/>
  <c r="O631"/>
  <c r="O633"/>
  <c r="O635"/>
  <c r="O626"/>
  <c r="O628"/>
  <c r="O640"/>
  <c r="O638"/>
  <c r="O641"/>
  <c r="O615"/>
  <c r="O624"/>
  <c r="O627"/>
  <c r="O614"/>
  <c r="O622"/>
  <c r="O637"/>
  <c r="O618"/>
  <c r="O642"/>
  <c r="O643"/>
  <c r="O644"/>
  <c r="O645"/>
  <c r="O646"/>
  <c r="O647"/>
  <c r="O649"/>
  <c r="O648"/>
  <c r="O654"/>
  <c r="O659"/>
  <c r="O658"/>
  <c r="O656"/>
  <c r="O653"/>
  <c r="O652"/>
  <c r="O650"/>
  <c r="O657"/>
  <c r="O655"/>
  <c r="O651"/>
  <c r="O660"/>
  <c r="O664"/>
  <c r="O668"/>
  <c r="O663"/>
  <c r="O667"/>
  <c r="O662"/>
  <c r="O665"/>
  <c r="O666"/>
  <c r="O670"/>
  <c r="O661"/>
  <c r="O669"/>
  <c r="O671"/>
  <c r="O672"/>
  <c r="O696"/>
  <c r="O694"/>
  <c r="O689"/>
  <c r="O681"/>
  <c r="O699"/>
  <c r="O677"/>
  <c r="O678"/>
  <c r="O688"/>
  <c r="O682"/>
  <c r="O692"/>
  <c r="O685"/>
  <c r="O679"/>
  <c r="O676"/>
  <c r="O695"/>
  <c r="O690"/>
  <c r="O686"/>
  <c r="O680"/>
  <c r="O698"/>
  <c r="O674"/>
  <c r="O691"/>
  <c r="O697"/>
  <c r="O675"/>
  <c r="O684"/>
  <c r="O700"/>
  <c r="O701"/>
  <c r="O673"/>
  <c r="O687"/>
  <c r="O683"/>
  <c r="O693"/>
  <c r="O702"/>
  <c r="O703"/>
  <c r="O704"/>
  <c r="O705"/>
  <c r="O706"/>
  <c r="O707"/>
  <c r="O708"/>
  <c r="O709"/>
  <c r="O710"/>
  <c r="O713"/>
  <c r="O714"/>
  <c r="O711"/>
  <c r="O712"/>
  <c r="O715"/>
  <c r="O716"/>
  <c r="O726"/>
  <c r="O721"/>
  <c r="O725"/>
  <c r="O728"/>
  <c r="O724"/>
  <c r="O723"/>
  <c r="O719"/>
  <c r="O717"/>
  <c r="O727"/>
  <c r="O729"/>
  <c r="O722"/>
  <c r="O718"/>
  <c r="O720"/>
  <c r="O730"/>
  <c r="O731"/>
  <c r="O732"/>
  <c r="O733"/>
  <c r="O734"/>
  <c r="O735"/>
  <c r="O736"/>
  <c r="O738"/>
  <c r="O739"/>
  <c r="O737"/>
  <c r="O742"/>
  <c r="O743"/>
  <c r="O744"/>
  <c r="O740"/>
  <c r="O741"/>
  <c r="O746"/>
  <c r="O745"/>
  <c r="O749"/>
  <c r="O747"/>
  <c r="O748"/>
  <c r="O750"/>
  <c r="O751"/>
  <c r="O752"/>
  <c r="O753"/>
  <c r="O754"/>
  <c r="O755"/>
  <c r="O759"/>
  <c r="O756"/>
  <c r="O757"/>
  <c r="O758"/>
  <c r="O762"/>
  <c r="O760"/>
  <c r="O761"/>
  <c r="O763"/>
  <c r="O772"/>
  <c r="O773"/>
  <c r="O780"/>
  <c r="O783"/>
  <c r="O787"/>
  <c r="O795"/>
  <c r="O796"/>
  <c r="O775"/>
  <c r="O791"/>
  <c r="O794"/>
  <c r="O793"/>
  <c r="O800"/>
  <c r="O799"/>
  <c r="O801"/>
  <c r="O789"/>
  <c r="O764"/>
  <c r="O784"/>
  <c r="O777"/>
  <c r="O768"/>
  <c r="O802"/>
  <c r="O782"/>
  <c r="O769"/>
  <c r="O774"/>
  <c r="O770"/>
  <c r="O785"/>
  <c r="O781"/>
  <c r="O779"/>
  <c r="O790"/>
  <c r="O792"/>
  <c r="O778"/>
  <c r="O771"/>
  <c r="O786"/>
  <c r="O788"/>
  <c r="O797"/>
  <c r="O766"/>
  <c r="O765"/>
  <c r="O776"/>
  <c r="O798"/>
  <c r="O767"/>
  <c r="O803"/>
  <c r="O804"/>
  <c r="O806"/>
  <c r="O805"/>
  <c r="O808"/>
  <c r="O807"/>
  <c r="O811"/>
  <c r="O810"/>
  <c r="O809"/>
  <c r="O812"/>
  <c r="O823"/>
  <c r="O813"/>
  <c r="O820"/>
  <c r="O818"/>
  <c r="O814"/>
  <c r="O819"/>
  <c r="O817"/>
  <c r="O821"/>
  <c r="O822"/>
  <c r="O815"/>
  <c r="O816"/>
  <c r="O827"/>
  <c r="O843"/>
  <c r="O840"/>
  <c r="O847"/>
  <c r="O835"/>
  <c r="O836"/>
  <c r="O842"/>
  <c r="O852"/>
  <c r="O837"/>
  <c r="O855"/>
  <c r="O826"/>
  <c r="O824"/>
  <c r="O834"/>
  <c r="O828"/>
  <c r="O829"/>
  <c r="O854"/>
  <c r="O833"/>
  <c r="O825"/>
  <c r="O846"/>
  <c r="O844"/>
  <c r="O850"/>
  <c r="O832"/>
  <c r="O830"/>
  <c r="O851"/>
  <c r="O856"/>
  <c r="O831"/>
  <c r="O845"/>
  <c r="O853"/>
  <c r="O838"/>
  <c r="O839"/>
  <c r="O841"/>
  <c r="O848"/>
  <c r="O849"/>
  <c r="O857"/>
  <c r="O858"/>
  <c r="O860"/>
  <c r="O859"/>
  <c r="O861"/>
  <c r="O862"/>
  <c r="O878"/>
  <c r="O866"/>
  <c r="O871"/>
  <c r="O869"/>
  <c r="O863"/>
  <c r="O865"/>
  <c r="O879"/>
  <c r="O874"/>
  <c r="O877"/>
  <c r="O870"/>
  <c r="O867"/>
  <c r="O872"/>
  <c r="O873"/>
  <c r="O876"/>
  <c r="O868"/>
  <c r="O864"/>
  <c r="O875"/>
  <c r="O880"/>
  <c r="O882"/>
  <c r="O881"/>
  <c r="O893"/>
  <c r="O889"/>
  <c r="O888"/>
  <c r="O894"/>
  <c r="O883"/>
  <c r="O884"/>
  <c r="O891"/>
  <c r="O892"/>
  <c r="O885"/>
  <c r="O887"/>
  <c r="O890"/>
  <c r="O886"/>
  <c r="O895"/>
  <c r="O896"/>
  <c r="O897"/>
  <c r="O899"/>
  <c r="O898"/>
  <c r="O901"/>
  <c r="O900"/>
  <c r="O902"/>
  <c r="O903"/>
  <c r="O904"/>
  <c r="O908"/>
  <c r="O905"/>
  <c r="O906"/>
  <c r="O907"/>
  <c r="O909"/>
  <c r="O910"/>
  <c r="O920"/>
  <c r="O916"/>
  <c r="O914"/>
  <c r="O913"/>
  <c r="O929"/>
  <c r="O921"/>
  <c r="O911"/>
  <c r="O912"/>
  <c r="O919"/>
  <c r="O923"/>
  <c r="O927"/>
  <c r="O915"/>
  <c r="O930"/>
  <c r="O925"/>
  <c r="O926"/>
  <c r="O918"/>
  <c r="O922"/>
  <c r="O924"/>
  <c r="O928"/>
  <c r="O917"/>
  <c r="O933"/>
  <c r="O935"/>
  <c r="O934"/>
  <c r="O953"/>
  <c r="O940"/>
  <c r="O947"/>
  <c r="O943"/>
  <c r="O945"/>
  <c r="O937"/>
  <c r="O960"/>
  <c r="O956"/>
  <c r="O951"/>
  <c r="O949"/>
  <c r="O939"/>
  <c r="O954"/>
  <c r="O957"/>
  <c r="O942"/>
  <c r="O948"/>
  <c r="O941"/>
  <c r="O950"/>
  <c r="O955"/>
  <c r="O944"/>
  <c r="O959"/>
  <c r="O952"/>
  <c r="O936"/>
  <c r="O938"/>
  <c r="O958"/>
  <c r="O946"/>
  <c r="O961"/>
  <c r="O932"/>
  <c r="O931"/>
  <c r="O964"/>
  <c r="O967"/>
  <c r="O968"/>
  <c r="O963"/>
  <c r="O965"/>
  <c r="O962"/>
  <c r="O966"/>
  <c r="O971"/>
  <c r="O969"/>
  <c r="O970"/>
  <c r="O979"/>
  <c r="O977"/>
  <c r="O978"/>
  <c r="O975"/>
  <c r="O976"/>
  <c r="O980"/>
  <c r="O988"/>
  <c r="O991"/>
  <c r="O982"/>
  <c r="O986"/>
  <c r="O981"/>
  <c r="O990"/>
  <c r="O983"/>
  <c r="O989"/>
  <c r="O985"/>
  <c r="O984"/>
  <c r="O987"/>
  <c r="O992"/>
  <c r="O993"/>
  <c r="O994"/>
  <c r="O996"/>
  <c r="O995"/>
  <c r="O997"/>
  <c r="O999"/>
  <c r="O1001"/>
  <c r="O1002"/>
  <c r="O1003"/>
  <c r="O1000"/>
  <c r="O998"/>
  <c r="O1005"/>
  <c r="O1006"/>
  <c r="O1004"/>
  <c r="O1007"/>
  <c r="O1009"/>
  <c r="O1008"/>
  <c r="O974"/>
  <c r="O972"/>
  <c r="O973"/>
  <c r="O1011"/>
  <c r="O1012"/>
  <c r="O1010"/>
  <c r="O1014"/>
  <c r="O1013"/>
  <c r="O1017"/>
  <c r="O1015"/>
  <c r="O1016"/>
  <c r="O1018"/>
  <c r="O1020"/>
  <c r="O1019"/>
  <c r="O1030"/>
  <c r="O1024"/>
  <c r="O1026"/>
  <c r="O1023"/>
  <c r="O1025"/>
  <c r="O1028"/>
  <c r="O1029"/>
  <c r="O1022"/>
  <c r="O1027"/>
  <c r="O1021"/>
  <c r="O1031"/>
  <c r="O1033"/>
  <c r="O1037"/>
  <c r="O1032"/>
  <c r="O1039"/>
  <c r="O1036"/>
  <c r="O1038"/>
  <c r="O1041"/>
  <c r="O1034"/>
  <c r="O1040"/>
  <c r="O1042"/>
  <c r="O1035"/>
  <c r="O1049"/>
  <c r="O1048"/>
  <c r="O1043"/>
  <c r="O1047"/>
  <c r="O1044"/>
  <c r="O1046"/>
  <c r="O1045"/>
  <c r="O1051"/>
  <c r="O1050"/>
  <c r="O1057"/>
  <c r="O1060"/>
  <c r="O1058"/>
  <c r="O1055"/>
  <c r="O1052"/>
  <c r="O1054"/>
  <c r="O1059"/>
  <c r="O1053"/>
  <c r="O1056"/>
  <c r="O1061"/>
  <c r="O1062"/>
  <c r="O1064"/>
  <c r="O1065"/>
  <c r="O1066"/>
  <c r="O1063"/>
  <c r="O1072"/>
  <c r="O1076"/>
  <c r="O1077"/>
  <c r="O1070"/>
  <c r="O1073"/>
  <c r="O1075"/>
  <c r="O1068"/>
  <c r="O1067"/>
  <c r="O1071"/>
  <c r="O1079"/>
  <c r="O1074"/>
  <c r="O1078"/>
  <c r="O1069"/>
  <c r="O1080"/>
  <c r="O1087"/>
  <c r="O1092"/>
  <c r="O1094"/>
  <c r="O1090"/>
  <c r="O1100"/>
  <c r="O1093"/>
  <c r="O1098"/>
  <c r="O1099"/>
  <c r="O1088"/>
  <c r="O1082"/>
  <c r="O412"/>
  <c r="O410"/>
  <c r="O1081"/>
  <c r="O1097"/>
  <c r="O1091"/>
  <c r="O1086"/>
  <c r="O1085"/>
  <c r="O1083"/>
  <c r="O1084"/>
  <c r="O1096"/>
  <c r="O411"/>
  <c r="O1095"/>
  <c r="O413"/>
  <c r="O1089"/>
  <c r="O1107"/>
  <c r="O1106"/>
  <c r="O1102"/>
  <c r="O1110"/>
  <c r="O1103"/>
  <c r="O1104"/>
  <c r="O1105"/>
  <c r="O1109"/>
  <c r="O1108"/>
  <c r="O1112"/>
  <c r="O1101"/>
  <c r="O1114"/>
  <c r="O1111"/>
  <c r="O1115"/>
  <c r="O1113"/>
  <c r="O1116"/>
  <c r="O1117"/>
  <c r="O1122"/>
  <c r="O1119"/>
  <c r="O1121"/>
  <c r="O1120"/>
  <c r="O1123"/>
  <c r="O1118"/>
  <c r="O1124"/>
  <c r="O1125"/>
  <c r="O1126"/>
  <c r="O1132"/>
  <c r="O1133"/>
  <c r="O1131"/>
  <c r="O1128"/>
  <c r="O1130"/>
  <c r="O1127"/>
  <c r="O1129"/>
  <c r="O1135"/>
  <c r="O1134"/>
  <c r="O1136"/>
  <c r="O1137"/>
  <c r="O1139"/>
  <c r="O1138"/>
  <c r="O1141"/>
  <c r="O1140"/>
  <c r="O1149"/>
  <c r="O1151"/>
  <c r="O1150"/>
  <c r="O1144"/>
  <c r="O1145"/>
  <c r="O1148"/>
  <c r="O1143"/>
  <c r="O1146"/>
  <c r="O1142"/>
  <c r="O1147"/>
  <c r="O1153"/>
  <c r="O1152"/>
  <c r="O1154"/>
  <c r="O1156"/>
  <c r="O1155"/>
  <c r="O1182"/>
  <c r="O1158"/>
  <c r="O1189"/>
  <c r="O1190"/>
  <c r="O1173"/>
  <c r="O1167"/>
  <c r="O1175"/>
  <c r="O1170"/>
  <c r="O1186"/>
  <c r="O1187"/>
  <c r="O1191"/>
  <c r="O1164"/>
  <c r="O1176"/>
  <c r="O1180"/>
  <c r="O1168"/>
  <c r="O1169"/>
  <c r="O1188"/>
  <c r="O1179"/>
  <c r="O1184"/>
  <c r="O1192"/>
  <c r="O1162"/>
  <c r="O1178"/>
  <c r="O1181"/>
  <c r="O1157"/>
  <c r="O1160"/>
  <c r="O1166"/>
  <c r="O1161"/>
  <c r="O1193"/>
  <c r="O1165"/>
  <c r="O1171"/>
  <c r="O1163"/>
  <c r="O1183"/>
  <c r="O1177"/>
  <c r="O1159"/>
  <c r="O1172"/>
  <c r="O1174"/>
  <c r="O1185"/>
  <c r="O1194"/>
  <c r="O1195"/>
  <c r="O1196"/>
  <c r="O1197"/>
  <c r="O1199"/>
  <c r="O1198"/>
  <c r="O1200"/>
  <c r="O1202"/>
  <c r="O1205"/>
  <c r="O1201"/>
  <c r="O1203"/>
  <c r="O1204"/>
  <c r="O1209"/>
  <c r="O1207"/>
  <c r="O1208"/>
  <c r="O1206"/>
  <c r="O1210"/>
  <c r="O1212"/>
  <c r="O1211"/>
  <c r="O1215"/>
  <c r="O1213"/>
  <c r="O1214"/>
  <c r="O1230"/>
  <c r="O1227"/>
  <c r="O1235"/>
  <c r="O1237"/>
  <c r="O1233"/>
  <c r="O1229"/>
  <c r="O1223"/>
  <c r="O1220"/>
  <c r="O1225"/>
  <c r="O1231"/>
  <c r="O1232"/>
  <c r="O1228"/>
  <c r="O1224"/>
  <c r="O1226"/>
  <c r="O1222"/>
  <c r="O1236"/>
  <c r="O1234"/>
  <c r="O1216"/>
  <c r="O1218"/>
  <c r="O1221"/>
  <c r="O1217"/>
  <c r="O1219"/>
  <c r="O1238"/>
  <c r="O1242"/>
  <c r="O1245"/>
  <c r="O1239"/>
  <c r="O1244"/>
  <c r="O1240"/>
  <c r="O1241"/>
  <c r="O1243"/>
  <c r="O1248"/>
  <c r="O1247"/>
  <c r="O1246"/>
  <c r="O1249"/>
  <c r="O1255"/>
  <c r="O1250"/>
  <c r="O1251"/>
  <c r="O1253"/>
  <c r="O1252"/>
  <c r="O1254"/>
  <c r="O1256"/>
  <c r="O1257"/>
  <c r="O1258"/>
  <c r="O1261"/>
  <c r="O1263"/>
  <c r="O1262"/>
  <c r="O1260"/>
  <c r="O1259"/>
  <c r="O1264"/>
  <c r="O1268"/>
  <c r="O1272"/>
  <c r="O1269"/>
  <c r="O1274"/>
  <c r="O1279"/>
  <c r="O1280"/>
  <c r="O1277"/>
  <c r="O1278"/>
  <c r="O1265"/>
  <c r="O1270"/>
  <c r="O1266"/>
  <c r="O1282"/>
  <c r="O1271"/>
  <c r="O1276"/>
  <c r="O1273"/>
  <c r="O1281"/>
  <c r="O1267"/>
  <c r="O1275"/>
  <c r="O1319"/>
  <c r="O1291"/>
  <c r="O1284"/>
  <c r="O1286"/>
  <c r="O1293"/>
  <c r="O1296"/>
  <c r="O1297"/>
  <c r="O1324"/>
  <c r="O1331"/>
  <c r="O1306"/>
  <c r="O1333"/>
  <c r="O1315"/>
  <c r="O1318"/>
  <c r="O1320"/>
  <c r="O1322"/>
  <c r="O1323"/>
  <c r="O1300"/>
  <c r="O1301"/>
  <c r="O1304"/>
  <c r="O1285"/>
  <c r="O1313"/>
  <c r="O1312"/>
  <c r="O1316"/>
  <c r="O1314"/>
  <c r="O1325"/>
  <c r="O1294"/>
  <c r="O1299"/>
  <c r="O1330"/>
  <c r="O1287"/>
  <c r="O1289"/>
  <c r="O1329"/>
  <c r="O1283"/>
  <c r="O1305"/>
  <c r="O1307"/>
  <c r="O1302"/>
  <c r="O1328"/>
  <c r="O1332"/>
  <c r="O1292"/>
  <c r="O1295"/>
  <c r="O1327"/>
  <c r="O1288"/>
  <c r="O1303"/>
  <c r="O1309"/>
  <c r="O1308"/>
  <c r="O1317"/>
  <c r="O1290"/>
  <c r="O1311"/>
  <c r="O1321"/>
  <c r="O1298"/>
  <c r="O1310"/>
  <c r="O1326"/>
  <c r="O1334"/>
  <c r="O1404"/>
  <c r="O1359"/>
  <c r="O1362"/>
  <c r="O1346"/>
  <c r="O1405"/>
  <c r="O1361"/>
  <c r="O1399"/>
  <c r="O1403"/>
  <c r="O1337"/>
  <c r="O1377"/>
  <c r="O1368"/>
  <c r="O1344"/>
  <c r="O1349"/>
  <c r="O1352"/>
  <c r="O1356"/>
  <c r="O1394"/>
  <c r="O1391"/>
  <c r="O1347"/>
  <c r="O1400"/>
  <c r="O1402"/>
  <c r="O1381"/>
  <c r="O1363"/>
  <c r="O1366"/>
  <c r="O1385"/>
  <c r="O1393"/>
  <c r="O1380"/>
  <c r="O1407"/>
  <c r="O1345"/>
  <c r="O1392"/>
  <c r="O1335"/>
  <c r="O1357"/>
  <c r="O1388"/>
  <c r="O1341"/>
  <c r="O1378"/>
  <c r="O1379"/>
  <c r="O1389"/>
  <c r="O1401"/>
  <c r="O1374"/>
  <c r="O1348"/>
  <c r="O1355"/>
  <c r="O1370"/>
  <c r="O1365"/>
  <c r="O1376"/>
  <c r="O1375"/>
  <c r="O1372"/>
  <c r="O1373"/>
  <c r="O1367"/>
  <c r="O1358"/>
  <c r="O1353"/>
  <c r="O1364"/>
  <c r="O1369"/>
  <c r="O1360"/>
  <c r="O1340"/>
  <c r="O1371"/>
  <c r="O1351"/>
  <c r="O1354"/>
  <c r="O1382"/>
  <c r="O1395"/>
  <c r="O1397"/>
  <c r="O1398"/>
  <c r="O1343"/>
  <c r="O1387"/>
  <c r="O1339"/>
  <c r="O1383"/>
  <c r="O1406"/>
  <c r="O1350"/>
  <c r="O1408"/>
  <c r="O1390"/>
  <c r="O1384"/>
  <c r="O1386"/>
  <c r="O1396"/>
  <c r="O1342"/>
  <c r="O1338"/>
  <c r="O1336"/>
  <c r="O1418"/>
  <c r="O1411"/>
  <c r="O1415"/>
  <c r="O1420"/>
  <c r="O1425"/>
  <c r="O1409"/>
  <c r="O1424"/>
  <c r="O1421"/>
  <c r="O1431"/>
  <c r="O1422"/>
  <c r="O1436"/>
  <c r="O1439"/>
  <c r="O1450"/>
  <c r="O1455"/>
  <c r="O1438"/>
  <c r="O1442"/>
  <c r="O1456"/>
  <c r="O1454"/>
  <c r="O1437"/>
  <c r="O1441"/>
  <c r="O1444"/>
  <c r="O1433"/>
  <c r="O1448"/>
  <c r="O1435"/>
  <c r="O1452"/>
  <c r="O1427"/>
  <c r="O1459"/>
  <c r="O1447"/>
  <c r="O1430"/>
  <c r="O1460"/>
  <c r="O1410"/>
  <c r="O1429"/>
  <c r="O1426"/>
  <c r="O1458"/>
  <c r="O1451"/>
  <c r="O1440"/>
  <c r="O1445"/>
  <c r="O1446"/>
  <c r="O1434"/>
  <c r="O1432"/>
  <c r="O1412"/>
  <c r="O1413"/>
  <c r="O1449"/>
  <c r="O1414"/>
  <c r="O1417"/>
  <c r="O1453"/>
  <c r="O1457"/>
  <c r="O1419"/>
  <c r="O1423"/>
  <c r="O1428"/>
  <c r="O1416"/>
  <c r="O1443"/>
  <c r="O1461"/>
  <c r="O1462"/>
  <c r="O1464"/>
  <c r="O1463"/>
  <c r="O1465"/>
  <c r="O1469"/>
  <c r="O1467"/>
  <c r="O1468"/>
  <c r="O1466"/>
  <c r="O1470"/>
  <c r="O1472"/>
  <c r="O1471"/>
  <c r="O1474"/>
  <c r="O1473"/>
  <c r="O1475"/>
  <c r="O1480"/>
  <c r="O1478"/>
  <c r="O1477"/>
  <c r="O1479"/>
  <c r="O1476"/>
  <c r="O1481"/>
  <c r="O1482"/>
  <c r="O1484"/>
  <c r="O1483"/>
  <c r="O1485"/>
  <c r="O1486"/>
  <c r="O1488"/>
  <c r="O1490"/>
  <c r="O1487"/>
  <c r="O1489"/>
  <c r="O1492"/>
  <c r="O1494"/>
  <c r="O1493"/>
  <c r="O1491"/>
  <c r="O1500"/>
  <c r="O1503"/>
  <c r="O1502"/>
  <c r="O1497"/>
  <c r="O1495"/>
  <c r="O1506"/>
  <c r="O1501"/>
  <c r="O1499"/>
  <c r="O1498"/>
  <c r="O1496"/>
  <c r="O1505"/>
  <c r="O1504"/>
  <c r="O1507"/>
  <c r="O1508"/>
  <c r="O1509"/>
  <c r="O1510"/>
  <c r="O1517"/>
  <c r="O1513"/>
  <c r="O1514"/>
  <c r="O1515"/>
  <c r="O1512"/>
  <c r="O1516"/>
  <c r="O1511"/>
  <c r="O1519"/>
  <c r="O1521"/>
  <c r="O1531"/>
  <c r="O1527"/>
  <c r="O1529"/>
  <c r="O1526"/>
  <c r="O1528"/>
  <c r="O1518"/>
  <c r="O1520"/>
  <c r="O1530"/>
  <c r="O1524"/>
  <c r="O1525"/>
  <c r="O1523"/>
  <c r="O1522"/>
  <c r="O1533"/>
  <c r="O1532"/>
  <c r="O1534"/>
  <c r="O1535"/>
  <c r="O1536"/>
  <c r="O1541"/>
  <c r="O1538"/>
  <c r="O1542"/>
  <c r="O1539"/>
  <c r="O1540"/>
  <c r="O1537"/>
  <c r="O1556"/>
  <c r="O1561"/>
  <c r="O1554"/>
  <c r="O1559"/>
  <c r="O1552"/>
  <c r="O1565"/>
  <c r="O1546"/>
  <c r="O1558"/>
  <c r="O1549"/>
  <c r="O1564"/>
  <c r="O1544"/>
  <c r="O1562"/>
  <c r="O1553"/>
  <c r="O1550"/>
  <c r="O1548"/>
  <c r="O1555"/>
  <c r="O1563"/>
  <c r="O1560"/>
  <c r="O1566"/>
  <c r="O1557"/>
  <c r="O1569"/>
  <c r="O1567"/>
  <c r="O1543"/>
  <c r="O1545"/>
  <c r="O1547"/>
  <c r="O1551"/>
  <c r="O1568"/>
  <c r="O1586"/>
  <c r="O1581"/>
  <c r="O1588"/>
  <c r="O1570"/>
  <c r="O1571"/>
  <c r="O1582"/>
  <c r="O1589"/>
  <c r="O1578"/>
  <c r="O1584"/>
  <c r="O1573"/>
  <c r="O1574"/>
  <c r="O1580"/>
  <c r="O1579"/>
  <c r="O1575"/>
  <c r="O1576"/>
  <c r="O1585"/>
  <c r="O1572"/>
  <c r="O1587"/>
  <c r="O1577"/>
  <c r="O1583"/>
  <c r="O1590"/>
  <c r="O1591"/>
  <c r="O1595"/>
  <c r="O1592"/>
  <c r="O1596"/>
  <c r="O1594"/>
  <c r="O1593"/>
  <c r="O1597"/>
  <c r="O1598"/>
  <c r="O1602"/>
  <c r="O1601"/>
  <c r="O1600"/>
  <c r="O1599"/>
  <c r="O1604"/>
  <c r="O1603"/>
  <c r="O1605"/>
  <c r="O1608"/>
  <c r="O1607"/>
  <c r="O1606"/>
  <c r="O1621"/>
  <c r="O1635"/>
  <c r="O1645"/>
  <c r="O1647"/>
  <c r="O1639"/>
  <c r="O1612"/>
  <c r="O1617"/>
  <c r="O1641"/>
  <c r="O1642"/>
  <c r="O1620"/>
  <c r="O1632"/>
  <c r="O1630"/>
  <c r="O1622"/>
  <c r="O1609"/>
  <c r="O1636"/>
  <c r="O1638"/>
  <c r="O1640"/>
  <c r="O1625"/>
  <c r="O1637"/>
  <c r="O1615"/>
  <c r="O1629"/>
  <c r="O1619"/>
  <c r="O1614"/>
  <c r="O1646"/>
  <c r="O1618"/>
  <c r="O1611"/>
  <c r="O1643"/>
  <c r="O1633"/>
  <c r="O1631"/>
  <c r="O1634"/>
  <c r="O1644"/>
  <c r="O1616"/>
  <c r="O1613"/>
  <c r="O1610"/>
  <c r="O1624"/>
  <c r="O1626"/>
  <c r="O1623"/>
  <c r="O1627"/>
  <c r="O1628"/>
  <c r="O1648"/>
  <c r="O1649"/>
  <c r="O1651"/>
  <c r="O1650"/>
  <c r="O1653"/>
  <c r="O1652"/>
  <c r="O1663"/>
  <c r="O1655"/>
  <c r="O1654"/>
  <c r="O1656"/>
  <c r="O1659"/>
  <c r="O1660"/>
  <c r="O1662"/>
  <c r="O1661"/>
  <c r="O1657"/>
  <c r="O1658"/>
  <c r="O1664"/>
  <c r="O1665"/>
  <c r="O1668"/>
  <c r="O1667"/>
  <c r="O1666"/>
  <c r="O1669"/>
  <c r="O1670"/>
  <c r="O1671"/>
  <c r="O1673"/>
  <c r="O1676"/>
  <c r="O1682"/>
  <c r="O1678"/>
  <c r="O1686"/>
  <c r="O1681"/>
  <c r="O1677"/>
  <c r="O1685"/>
  <c r="O1675"/>
  <c r="O1679"/>
  <c r="O1672"/>
  <c r="O1684"/>
  <c r="O1680"/>
  <c r="O1683"/>
  <c r="O1674"/>
  <c r="O1687"/>
  <c r="O1688"/>
  <c r="O1722"/>
  <c r="O1695"/>
  <c r="O1689"/>
  <c r="O1700"/>
  <c r="O1711"/>
  <c r="O1693"/>
  <c r="O1706"/>
  <c r="O1707"/>
  <c r="O1723"/>
  <c r="O1704"/>
  <c r="O1691"/>
  <c r="O1716"/>
  <c r="O1719"/>
  <c r="O1713"/>
  <c r="O1697"/>
  <c r="O1690"/>
  <c r="O1701"/>
  <c r="O1694"/>
  <c r="O1699"/>
  <c r="O1720"/>
  <c r="O1703"/>
  <c r="O1708"/>
  <c r="O1696"/>
  <c r="O1715"/>
  <c r="O1714"/>
  <c r="O1712"/>
  <c r="O1709"/>
  <c r="O1698"/>
  <c r="O1718"/>
  <c r="O1717"/>
  <c r="O1692"/>
  <c r="O1710"/>
  <c r="O1721"/>
  <c r="O1702"/>
  <c r="O1705"/>
  <c r="O1725"/>
  <c r="O1724"/>
  <c r="O1726"/>
  <c r="O1727"/>
  <c r="O1730"/>
  <c r="O1728"/>
  <c r="O1729"/>
  <c r="O1735"/>
  <c r="O1733"/>
  <c r="O1732"/>
  <c r="O1736"/>
  <c r="O1731"/>
  <c r="O1738"/>
  <c r="O1734"/>
  <c r="O1737"/>
  <c r="O1739"/>
  <c r="O1762"/>
  <c r="O1763"/>
  <c r="O1767"/>
  <c r="O1766"/>
  <c r="O1743"/>
  <c r="O1749"/>
  <c r="O1746"/>
  <c r="O1753"/>
  <c r="O1764"/>
  <c r="O1740"/>
  <c r="O1758"/>
  <c r="O1760"/>
  <c r="O1752"/>
  <c r="O1751"/>
  <c r="O1759"/>
  <c r="O1744"/>
  <c r="O1754"/>
  <c r="O1755"/>
  <c r="O1745"/>
  <c r="O1741"/>
  <c r="O1747"/>
  <c r="O1742"/>
  <c r="O1748"/>
  <c r="O1750"/>
  <c r="O1765"/>
  <c r="O1761"/>
  <c r="O1757"/>
  <c r="O1756"/>
  <c r="O1777"/>
  <c r="O1786"/>
  <c r="O1779"/>
  <c r="O1768"/>
  <c r="O1792"/>
  <c r="O1773"/>
  <c r="O1794"/>
  <c r="O1778"/>
  <c r="O1781"/>
  <c r="O1793"/>
  <c r="O1771"/>
  <c r="O1783"/>
  <c r="O1775"/>
  <c r="O1788"/>
  <c r="O1785"/>
  <c r="O1782"/>
  <c r="O1769"/>
  <c r="O1790"/>
  <c r="O1784"/>
  <c r="O1772"/>
  <c r="O1789"/>
  <c r="O1791"/>
  <c r="O1787"/>
  <c r="O1774"/>
  <c r="O1780"/>
  <c r="O1776"/>
  <c r="O1770"/>
  <c r="O1795"/>
  <c r="O1798"/>
  <c r="O1799"/>
  <c r="O1800"/>
  <c r="O1796"/>
  <c r="O1802"/>
  <c r="O1801"/>
  <c r="O1797"/>
  <c r="O1804"/>
  <c r="O1803"/>
  <c r="O1805"/>
  <c r="O1807"/>
  <c r="O1809"/>
  <c r="O1808"/>
  <c r="O1806"/>
  <c r="O1811"/>
  <c r="O1812"/>
  <c r="O1810"/>
  <c r="O1813"/>
  <c r="O1814"/>
  <c r="O1816"/>
  <c r="O1815"/>
  <c r="O1817"/>
  <c r="O1818"/>
  <c r="O1829"/>
  <c r="O1831"/>
  <c r="O1832"/>
  <c r="O1830"/>
  <c r="O1819"/>
  <c r="O1824"/>
  <c r="O1821"/>
  <c r="O1827"/>
  <c r="O1820"/>
  <c r="O1828"/>
  <c r="O1826"/>
  <c r="O1822"/>
  <c r="O1825"/>
  <c r="O1823"/>
  <c r="O1833"/>
  <c r="O1834"/>
  <c r="O1837"/>
  <c r="O1835"/>
  <c r="O1836"/>
  <c r="O1838"/>
  <c r="O1840"/>
  <c r="O1839"/>
  <c r="O1841"/>
  <c r="O1842"/>
  <c r="O1844"/>
  <c r="O1849"/>
  <c r="O1843"/>
  <c r="O1845"/>
  <c r="O1847"/>
  <c r="O1848"/>
  <c r="O1846"/>
  <c r="O1862"/>
  <c r="O1856"/>
  <c r="O1857"/>
  <c r="O1851"/>
  <c r="O1861"/>
  <c r="O1853"/>
  <c r="O1860"/>
  <c r="O1859"/>
  <c r="O1850"/>
  <c r="O1854"/>
  <c r="O1852"/>
  <c r="O1855"/>
  <c r="O1858"/>
  <c r="O1863"/>
  <c r="O1865"/>
  <c r="O1864"/>
  <c r="O1886"/>
  <c r="O1875"/>
  <c r="O1900"/>
  <c r="O1901"/>
  <c r="O1871"/>
  <c r="O1883"/>
  <c r="O1905"/>
  <c r="O1874"/>
  <c r="O1903"/>
  <c r="O1887"/>
  <c r="O1881"/>
  <c r="O1898"/>
  <c r="O1879"/>
  <c r="O1867"/>
  <c r="O1884"/>
  <c r="O1870"/>
  <c r="O1895"/>
  <c r="O1866"/>
  <c r="O1880"/>
  <c r="O1909"/>
  <c r="O1897"/>
  <c r="O1882"/>
  <c r="O1885"/>
  <c r="O1888"/>
  <c r="O1906"/>
  <c r="O1868"/>
  <c r="O1869"/>
  <c r="O1889"/>
  <c r="O1907"/>
  <c r="O1908"/>
  <c r="O1902"/>
  <c r="O1904"/>
  <c r="O1891"/>
  <c r="O1893"/>
  <c r="O1894"/>
  <c r="O1896"/>
  <c r="O1892"/>
  <c r="O1878"/>
  <c r="O1873"/>
  <c r="O1872"/>
  <c r="O1890"/>
  <c r="O1877"/>
  <c r="O1899"/>
  <c r="O1876"/>
  <c r="O1914"/>
  <c r="O1913"/>
  <c r="O1911"/>
  <c r="O1912"/>
  <c r="O1910"/>
  <c r="O1915"/>
  <c r="O1916"/>
  <c r="O1919"/>
  <c r="O1921"/>
  <c r="O1924"/>
  <c r="O1925"/>
  <c r="O1920"/>
  <c r="O1923"/>
  <c r="O1918"/>
  <c r="O1922"/>
  <c r="O1917"/>
  <c r="O1928"/>
  <c r="O1926"/>
  <c r="O1931"/>
  <c r="O1929"/>
  <c r="O1927"/>
  <c r="O1932"/>
  <c r="O1933"/>
  <c r="O1930"/>
  <c r="O1946"/>
  <c r="O1943"/>
  <c r="O1951"/>
  <c r="O1940"/>
  <c r="O1936"/>
  <c r="O1939"/>
  <c r="O1948"/>
  <c r="O1945"/>
  <c r="O1938"/>
  <c r="O1944"/>
  <c r="O1942"/>
  <c r="O1937"/>
  <c r="O1941"/>
  <c r="O1950"/>
  <c r="O1935"/>
  <c r="O1949"/>
  <c r="O1934"/>
  <c r="O1947"/>
  <c r="O1952"/>
  <c r="O1953"/>
  <c r="O1954"/>
  <c r="O1955"/>
  <c r="O1957"/>
  <c r="O1956"/>
  <c r="O1958"/>
  <c r="O1959"/>
  <c r="O1960"/>
  <c r="O1962"/>
  <c r="O1968"/>
  <c r="O1961"/>
  <c r="O1966"/>
  <c r="O1967"/>
  <c r="O1964"/>
  <c r="O1963"/>
  <c r="O1965"/>
  <c r="O1970"/>
  <c r="O1971"/>
  <c r="O1969"/>
  <c r="O1991"/>
  <c r="O1990"/>
  <c r="O1987"/>
  <c r="O1974"/>
  <c r="O1988"/>
  <c r="O1981"/>
  <c r="O1985"/>
  <c r="O1986"/>
  <c r="O1977"/>
  <c r="O1972"/>
  <c r="O1978"/>
  <c r="O1989"/>
  <c r="O1983"/>
  <c r="O1992"/>
  <c r="O1982"/>
  <c r="O1980"/>
  <c r="O1976"/>
  <c r="O1979"/>
  <c r="O1975"/>
  <c r="O1973"/>
  <c r="O1984"/>
  <c r="O2010"/>
  <c r="O2011"/>
  <c r="O2007"/>
  <c r="O2028"/>
  <c r="O1999"/>
  <c r="O1998"/>
  <c r="O1996"/>
  <c r="O2015"/>
  <c r="O2002"/>
  <c r="O2021"/>
  <c r="O2009"/>
  <c r="O2006"/>
  <c r="O2005"/>
  <c r="O2017"/>
  <c r="O2016"/>
  <c r="O2004"/>
  <c r="O2027"/>
  <c r="O2029"/>
  <c r="O2000"/>
  <c r="O1995"/>
  <c r="O2022"/>
  <c r="O2012"/>
  <c r="O2013"/>
  <c r="O2026"/>
  <c r="O2019"/>
  <c r="O2018"/>
  <c r="O2020"/>
  <c r="O2008"/>
  <c r="O1993"/>
  <c r="O2003"/>
  <c r="O2024"/>
  <c r="O1997"/>
  <c r="O2001"/>
  <c r="O1994"/>
  <c r="O2023"/>
  <c r="O2025"/>
  <c r="O2014"/>
  <c r="O2036"/>
  <c r="O2057"/>
  <c r="O2056"/>
  <c r="O2030"/>
  <c r="O2054"/>
  <c r="O2043"/>
  <c r="O2040"/>
  <c r="O2031"/>
  <c r="O2037"/>
  <c r="O2035"/>
  <c r="O2032"/>
  <c r="O2050"/>
  <c r="O2039"/>
  <c r="O2042"/>
  <c r="O2051"/>
  <c r="O2046"/>
  <c r="O2045"/>
  <c r="O2038"/>
  <c r="O2049"/>
  <c r="O2034"/>
  <c r="O2033"/>
  <c r="O2041"/>
  <c r="O2055"/>
  <c r="O2047"/>
  <c r="O2048"/>
  <c r="O2052"/>
  <c r="O2053"/>
  <c r="O2044"/>
  <c r="O2062"/>
  <c r="O2061"/>
  <c r="O2059"/>
  <c r="O2063"/>
  <c r="O2060"/>
  <c r="O2058"/>
  <c r="O2075"/>
  <c r="O2073"/>
  <c r="O2082"/>
  <c r="O2070"/>
  <c r="O2066"/>
  <c r="O2080"/>
  <c r="O2069"/>
  <c r="O2074"/>
  <c r="O2065"/>
  <c r="O2076"/>
  <c r="O2078"/>
  <c r="O2071"/>
  <c r="O2084"/>
  <c r="O2087"/>
  <c r="O2083"/>
  <c r="O2072"/>
  <c r="O2086"/>
  <c r="O2077"/>
  <c r="O2085"/>
  <c r="O2068"/>
  <c r="O2067"/>
  <c r="O2081"/>
  <c r="O2064"/>
  <c r="O2079"/>
  <c r="O2090"/>
  <c r="O2091"/>
  <c r="O2088"/>
  <c r="O2089"/>
  <c r="O2099"/>
  <c r="O2101"/>
  <c r="O2096"/>
  <c r="O2102"/>
  <c r="O2093"/>
  <c r="O2098"/>
  <c r="O2103"/>
  <c r="O2097"/>
  <c r="O2095"/>
  <c r="O2100"/>
  <c r="O2094"/>
  <c r="O2092"/>
  <c r="O2128"/>
  <c r="O2110"/>
  <c r="O2126"/>
  <c r="O2124"/>
  <c r="O2122"/>
  <c r="O2133"/>
  <c r="O2117"/>
  <c r="O2132"/>
  <c r="O2116"/>
  <c r="O2115"/>
  <c r="O2131"/>
  <c r="O2105"/>
  <c r="O2107"/>
  <c r="O2125"/>
  <c r="O2123"/>
  <c r="O2111"/>
  <c r="O2104"/>
  <c r="O2114"/>
  <c r="O2119"/>
  <c r="O2134"/>
  <c r="O2112"/>
  <c r="O2106"/>
  <c r="O2118"/>
  <c r="O2127"/>
  <c r="O2109"/>
  <c r="O2108"/>
  <c r="O2113"/>
  <c r="O2121"/>
  <c r="O2120"/>
  <c r="O2130"/>
  <c r="O2129"/>
  <c r="O2139"/>
  <c r="O2137"/>
  <c r="O2138"/>
  <c r="O2148"/>
  <c r="O2145"/>
  <c r="O2147"/>
  <c r="O2135"/>
  <c r="O2146"/>
  <c r="O2136"/>
  <c r="O2140"/>
  <c r="O2143"/>
  <c r="O2144"/>
  <c r="O2142"/>
  <c r="O2141"/>
  <c r="O2150"/>
  <c r="O2151"/>
  <c r="O2149"/>
  <c r="O2152"/>
  <c r="O2176"/>
  <c r="O2156"/>
  <c r="O2154"/>
  <c r="O2165"/>
  <c r="O2159"/>
  <c r="O2175"/>
  <c r="O2157"/>
  <c r="O2166"/>
  <c r="O2153"/>
  <c r="O2170"/>
  <c r="O2167"/>
  <c r="O2192"/>
  <c r="O2191"/>
  <c r="O2173"/>
  <c r="O2182"/>
  <c r="O2181"/>
  <c r="O2160"/>
  <c r="O2162"/>
  <c r="O2168"/>
  <c r="O2172"/>
  <c r="O2155"/>
  <c r="O2183"/>
  <c r="O2180"/>
  <c r="O2179"/>
  <c r="O2186"/>
  <c r="O2178"/>
  <c r="O2188"/>
  <c r="O2174"/>
  <c r="O2187"/>
  <c r="O2164"/>
  <c r="O2161"/>
  <c r="O2193"/>
  <c r="O2158"/>
  <c r="O2184"/>
  <c r="O2177"/>
  <c r="O2169"/>
  <c r="O2189"/>
  <c r="O2185"/>
  <c r="O2171"/>
  <c r="O2163"/>
  <c r="O2190"/>
  <c r="O2207"/>
  <c r="O2209"/>
  <c r="O2203"/>
  <c r="O2194"/>
  <c r="O2198"/>
  <c r="O2205"/>
  <c r="O2208"/>
  <c r="O2197"/>
  <c r="O2195"/>
  <c r="O2200"/>
  <c r="O2196"/>
  <c r="O2201"/>
  <c r="O2206"/>
  <c r="O2204"/>
  <c r="O2199"/>
  <c r="O2202"/>
  <c r="O2210"/>
  <c r="O2212"/>
  <c r="O2211"/>
  <c r="O2213"/>
  <c r="O2214"/>
  <c r="O2228"/>
  <c r="O2217"/>
  <c r="O2220"/>
  <c r="O2219"/>
  <c r="O2233"/>
  <c r="O2253"/>
  <c r="O2254"/>
  <c r="O2251"/>
  <c r="O2235"/>
  <c r="O2240"/>
  <c r="O2241"/>
  <c r="O2247"/>
  <c r="O2244"/>
  <c r="O2242"/>
  <c r="O2222"/>
  <c r="O2239"/>
  <c r="O2231"/>
  <c r="O2250"/>
  <c r="O2252"/>
  <c r="O2243"/>
  <c r="O2229"/>
  <c r="O2236"/>
  <c r="O2227"/>
  <c r="O2218"/>
  <c r="O2249"/>
  <c r="O2246"/>
  <c r="O2221"/>
  <c r="O2255"/>
  <c r="O2245"/>
  <c r="O2216"/>
  <c r="O2225"/>
  <c r="O2237"/>
  <c r="O2223"/>
  <c r="O2230"/>
  <c r="O2248"/>
  <c r="O2238"/>
  <c r="O2224"/>
  <c r="O2215"/>
  <c r="O2234"/>
  <c r="O2232"/>
  <c r="O2226"/>
  <c r="O2256"/>
  <c r="O2264"/>
  <c r="O2263"/>
  <c r="O2261"/>
  <c r="O2259"/>
  <c r="O2265"/>
  <c r="O2262"/>
  <c r="O2260"/>
  <c r="O2257"/>
  <c r="O2258"/>
  <c r="O2266"/>
  <c r="O2267"/>
  <c r="O2268"/>
  <c r="O2269"/>
  <c r="O2272"/>
  <c r="O2274"/>
  <c r="O2273"/>
  <c r="O2270"/>
  <c r="O2275"/>
  <c r="O2271"/>
  <c r="O2276"/>
  <c r="O2277"/>
  <c r="O2278"/>
  <c r="O2280"/>
  <c r="O2279"/>
  <c r="O2281"/>
  <c r="O2282"/>
  <c r="O2283"/>
  <c r="O2284"/>
  <c r="O2285"/>
  <c r="O2287"/>
  <c r="O2296"/>
  <c r="O2295"/>
  <c r="O2289"/>
  <c r="O2297"/>
  <c r="O2293"/>
  <c r="O2290"/>
  <c r="O2291"/>
  <c r="O2292"/>
  <c r="O2286"/>
  <c r="O2288"/>
  <c r="O2294"/>
  <c r="O2298"/>
  <c r="O2299"/>
  <c r="O2300"/>
  <c r="O2301"/>
  <c r="O2303"/>
  <c r="O2302"/>
  <c r="O2306"/>
  <c r="O2304"/>
  <c r="O2307"/>
  <c r="O2308"/>
  <c r="O2305"/>
  <c r="O2310"/>
  <c r="O2309"/>
  <c r="O2311"/>
  <c r="O2312"/>
  <c r="O2314"/>
  <c r="O2313"/>
  <c r="O2"/>
  <c r="Q2288" l="1"/>
  <c r="Q2279"/>
  <c r="Q2256"/>
  <c r="Q2240"/>
  <c r="Q2199"/>
  <c r="Q2179"/>
  <c r="Q2181"/>
  <c r="Q2165"/>
  <c r="Q2104"/>
  <c r="Q2122"/>
  <c r="Q2095"/>
  <c r="Q2084"/>
  <c r="Q2066"/>
  <c r="Q2056"/>
  <c r="Q2287"/>
  <c r="Q2272"/>
  <c r="Q2238"/>
  <c r="Q2218"/>
  <c r="Q2206"/>
  <c r="Q2195"/>
  <c r="Q2178"/>
  <c r="Q2151"/>
  <c r="Q2094"/>
  <c r="Q2103"/>
  <c r="Q2088"/>
  <c r="Q2083"/>
  <c r="Q2069"/>
  <c r="Q2082"/>
  <c r="Q2060"/>
  <c r="Q2305"/>
  <c r="Q2300"/>
  <c r="Q2284"/>
  <c r="Q2242"/>
  <c r="Q2174"/>
  <c r="Q2141"/>
  <c r="Q2120"/>
  <c r="Q2107"/>
  <c r="Q2093"/>
  <c r="Q2086"/>
  <c r="Q2065"/>
  <c r="Q2075"/>
  <c r="Q2302"/>
  <c r="Q2283"/>
  <c r="Q2226"/>
  <c r="Q2244"/>
  <c r="Q2204"/>
  <c r="Q2209"/>
  <c r="Q2167"/>
  <c r="Q2139"/>
  <c r="Q2111"/>
  <c r="Q2097"/>
  <c r="Q2102"/>
  <c r="Q2089"/>
  <c r="Q2079"/>
  <c r="Q2074"/>
  <c r="Q2058"/>
  <c r="Q2061"/>
  <c r="Q2052"/>
  <c r="Q2294"/>
  <c r="Q2289"/>
  <c r="Q2277"/>
  <c r="Q2248"/>
  <c r="Q2227"/>
  <c r="Q2220"/>
  <c r="Q2213"/>
  <c r="Q2194"/>
  <c r="Q2189"/>
  <c r="Q2158"/>
  <c r="Q2187"/>
  <c r="Q2191"/>
  <c r="Q2115"/>
  <c r="Q2110"/>
  <c r="Q2100"/>
  <c r="Q2101"/>
  <c r="Q2091"/>
  <c r="Q2087"/>
  <c r="Q2073"/>
  <c r="Q319"/>
  <c r="Q309"/>
  <c r="Q291"/>
  <c r="Q284"/>
  <c r="Q217"/>
  <c r="Q208"/>
  <c r="Q194"/>
  <c r="Q180"/>
  <c r="Q142"/>
  <c r="Q158"/>
  <c r="Q125"/>
  <c r="Q119"/>
  <c r="Q84"/>
  <c r="Q44"/>
  <c r="Q42"/>
  <c r="Q31"/>
  <c r="Q2"/>
  <c r="Q2038"/>
  <c r="Q2023"/>
  <c r="Q2024"/>
  <c r="Q2020"/>
  <c r="Q2013"/>
  <c r="Q2000"/>
  <c r="Q2016"/>
  <c r="Q1996"/>
  <c r="Q1973"/>
  <c r="Q1969"/>
  <c r="Q1961"/>
  <c r="Q1959"/>
  <c r="Q1955"/>
  <c r="Q1943"/>
  <c r="Q1932"/>
  <c r="Q1926"/>
  <c r="Q1924"/>
  <c r="Q1913"/>
  <c r="Q1877"/>
  <c r="Q1893"/>
  <c r="Q1866"/>
  <c r="Q1875"/>
  <c r="Q1854"/>
  <c r="Q1844"/>
  <c r="Q1837"/>
  <c r="Q1796"/>
  <c r="Q1795"/>
  <c r="Q1744"/>
  <c r="Q1766"/>
  <c r="Q1731"/>
  <c r="Q1692"/>
  <c r="Q1696"/>
  <c r="Q1706"/>
  <c r="Q1689"/>
  <c r="Q1684"/>
  <c r="Q1658"/>
  <c r="Q1624"/>
  <c r="Q1607"/>
  <c r="Q1591"/>
  <c r="Q1563"/>
  <c r="Q1549"/>
  <c r="Q1552"/>
  <c r="Q1556"/>
  <c r="Q1542"/>
  <c r="Q1522"/>
  <c r="Q1530"/>
  <c r="Q1526"/>
  <c r="Q1512"/>
  <c r="Q1498"/>
  <c r="Q1495"/>
  <c r="Q1492"/>
  <c r="Q1434"/>
  <c r="Q1459"/>
  <c r="Q1448"/>
  <c r="Q1438"/>
  <c r="Q1436"/>
  <c r="Q1406"/>
  <c r="Q1332"/>
  <c r="Q1287"/>
  <c r="Q1313"/>
  <c r="Q1277"/>
  <c r="Q1269"/>
  <c r="Q1259"/>
  <c r="Q1250"/>
  <c r="Q1240"/>
  <c r="Q1228"/>
  <c r="Q1214"/>
  <c r="Q1212"/>
  <c r="Q1207"/>
  <c r="Q1201"/>
  <c r="Q1172"/>
  <c r="Q1161"/>
  <c r="Q1189"/>
  <c r="Q1119"/>
  <c r="Q413"/>
  <c r="Q1098"/>
  <c r="Q1064"/>
  <c r="Q1034"/>
  <c r="Q1039"/>
  <c r="Q1031"/>
  <c r="Q1020"/>
  <c r="Q1012"/>
  <c r="Q1004"/>
  <c r="Q994"/>
  <c r="Q990"/>
  <c r="Q955"/>
  <c r="Q940"/>
  <c r="Q933"/>
  <c r="Q906"/>
  <c r="Q903"/>
  <c r="Q895"/>
  <c r="Q875"/>
  <c r="Q877"/>
  <c r="Q863"/>
  <c r="Q844"/>
  <c r="Q809"/>
  <c r="Q803"/>
  <c r="Q765"/>
  <c r="Q786"/>
  <c r="Q790"/>
  <c r="Q802"/>
  <c r="Q775"/>
  <c r="Q763"/>
  <c r="Q737"/>
  <c r="Q731"/>
  <c r="Q713"/>
  <c r="Q651"/>
  <c r="Q652"/>
  <c r="Q659"/>
  <c r="Q622"/>
  <c r="Q615"/>
  <c r="Q628"/>
  <c r="Q608"/>
  <c r="Q606"/>
  <c r="Q601"/>
  <c r="Q596"/>
  <c r="Q591"/>
  <c r="Q590"/>
  <c r="Q568"/>
  <c r="Q570"/>
  <c r="Q554"/>
  <c r="Q563"/>
  <c r="Q544"/>
  <c r="Q534"/>
  <c r="Q512"/>
  <c r="Q501"/>
  <c r="Q500"/>
  <c r="Q483"/>
  <c r="Q485"/>
  <c r="Q487"/>
  <c r="Q453"/>
  <c r="Q462"/>
  <c r="Q456"/>
  <c r="Q451"/>
  <c r="Q415"/>
  <c r="Q399"/>
  <c r="Q388"/>
  <c r="Q335"/>
  <c r="Q331"/>
  <c r="Q363"/>
  <c r="Q364"/>
  <c r="Q316"/>
  <c r="Q300"/>
  <c r="Q296"/>
  <c r="Q285"/>
  <c r="Q288"/>
  <c r="Q277"/>
  <c r="Q269"/>
  <c r="Q264"/>
  <c r="Q255"/>
  <c r="Q247"/>
  <c r="Q223"/>
  <c r="Q235"/>
  <c r="Q227"/>
  <c r="Q221"/>
  <c r="Q216"/>
  <c r="Q203"/>
  <c r="Q198"/>
  <c r="Q187"/>
  <c r="Q188"/>
  <c r="Q181"/>
  <c r="Q182"/>
  <c r="Q156"/>
  <c r="Q141"/>
  <c r="Q127"/>
  <c r="Q163"/>
  <c r="Q154"/>
  <c r="Q136"/>
  <c r="Q107"/>
  <c r="Q90"/>
  <c r="Q87"/>
  <c r="Q75"/>
  <c r="Q80"/>
  <c r="Q67"/>
  <c r="Q56"/>
  <c r="Q45"/>
  <c r="Q40"/>
  <c r="Q41"/>
  <c r="Q37"/>
  <c r="Q2008"/>
  <c r="Q1911"/>
  <c r="Q1894"/>
  <c r="Q1849"/>
  <c r="Q1769"/>
  <c r="Q1743"/>
  <c r="Q1707"/>
  <c r="Q1675"/>
  <c r="Q1603"/>
  <c r="Q1593"/>
  <c r="Q1567"/>
  <c r="Q1564"/>
  <c r="Q1531"/>
  <c r="Q1503"/>
  <c r="Q1443"/>
  <c r="Q1432"/>
  <c r="Q1395"/>
  <c r="Q1281"/>
  <c r="Q1217"/>
  <c r="Q1225"/>
  <c r="Q1203"/>
  <c r="Q1157"/>
  <c r="Q1169"/>
  <c r="Q1153"/>
  <c r="Q1116"/>
  <c r="Q1079"/>
  <c r="Q982"/>
  <c r="Q916"/>
  <c r="Q904"/>
  <c r="Q807"/>
  <c r="Q772"/>
  <c r="Q742"/>
  <c r="Q708"/>
  <c r="Q679"/>
  <c r="Q650"/>
  <c r="Q640"/>
  <c r="Q580"/>
  <c r="Q573"/>
  <c r="Q559"/>
  <c r="Q465"/>
  <c r="Q2026"/>
  <c r="Q1991"/>
  <c r="Q1931"/>
  <c r="Q1873"/>
  <c r="Q1848"/>
  <c r="Q1810"/>
  <c r="Q1754"/>
  <c r="Q1700"/>
  <c r="Q1680"/>
  <c r="Q1664"/>
  <c r="Q1615"/>
  <c r="Q1630"/>
  <c r="Q1606"/>
  <c r="Q1528"/>
  <c r="Q1496"/>
  <c r="Q1476"/>
  <c r="Q1480"/>
  <c r="Q1463"/>
  <c r="Q1347"/>
  <c r="Q1301"/>
  <c r="Q1282"/>
  <c r="Q1241"/>
  <c r="Q1233"/>
  <c r="Q1208"/>
  <c r="Q1193"/>
  <c r="Q1109"/>
  <c r="Q1022"/>
  <c r="Q1019"/>
  <c r="Q972"/>
  <c r="Q983"/>
  <c r="Q960"/>
  <c r="Q865"/>
  <c r="Q856"/>
  <c r="Q835"/>
  <c r="Q784"/>
  <c r="Q787"/>
  <c r="Q717"/>
  <c r="Q637"/>
  <c r="Q633"/>
  <c r="Q611"/>
  <c r="Q581"/>
  <c r="Q566"/>
  <c r="Q552"/>
  <c r="Q540"/>
  <c r="Q537"/>
  <c r="Q480"/>
  <c r="Q491"/>
  <c r="Q468"/>
  <c r="Q475"/>
  <c r="Q419"/>
  <c r="Q402"/>
  <c r="Q405"/>
  <c r="Q384"/>
  <c r="Q336"/>
  <c r="Q346"/>
  <c r="Q306"/>
  <c r="Q294"/>
  <c r="Q266"/>
  <c r="Q230"/>
  <c r="Q211"/>
  <c r="Q199"/>
  <c r="Q150"/>
  <c r="Q159"/>
  <c r="Q174"/>
  <c r="Q99"/>
  <c r="Q88"/>
  <c r="Q43"/>
  <c r="Q2044"/>
  <c r="Q2034"/>
  <c r="Q2030"/>
  <c r="Q2001"/>
  <c r="Q2019"/>
  <c r="Q2022"/>
  <c r="Q1979"/>
  <c r="Q1972"/>
  <c r="Q1970"/>
  <c r="Q1956"/>
  <c r="Q1949"/>
  <c r="Q1917"/>
  <c r="Q1919"/>
  <c r="Q1872"/>
  <c r="Q1896"/>
  <c r="Q1874"/>
  <c r="Q1855"/>
  <c r="Q1846"/>
  <c r="Q1843"/>
  <c r="Q1836"/>
  <c r="Q1833"/>
  <c r="Q1832"/>
  <c r="Q1799"/>
  <c r="Q1763"/>
  <c r="Q1721"/>
  <c r="Q1718"/>
  <c r="Q1723"/>
  <c r="Q1669"/>
  <c r="Q1661"/>
  <c r="Q1652"/>
  <c r="Q1623"/>
  <c r="Q1618"/>
  <c r="Q1600"/>
  <c r="Q1583"/>
  <c r="Q1570"/>
  <c r="Q1541"/>
  <c r="Q1525"/>
  <c r="Q1518"/>
  <c r="Q1511"/>
  <c r="Q1509"/>
  <c r="Q1505"/>
  <c r="Q1481"/>
  <c r="Q1478"/>
  <c r="Q1465"/>
  <c r="Q1423"/>
  <c r="Q1417"/>
  <c r="Q1412"/>
  <c r="Q1445"/>
  <c r="Q1426"/>
  <c r="Q1418"/>
  <c r="Q1351"/>
  <c r="Q1399"/>
  <c r="Q1311"/>
  <c r="Q1271"/>
  <c r="Q1279"/>
  <c r="Q1257"/>
  <c r="Q1243"/>
  <c r="Q1239"/>
  <c r="Q1216"/>
  <c r="Q1231"/>
  <c r="Q1206"/>
  <c r="Q1177"/>
  <c r="Q1165"/>
  <c r="Q1160"/>
  <c r="Q1176"/>
  <c r="Q1186"/>
  <c r="Q1173"/>
  <c r="Q1152"/>
  <c r="Q1131"/>
  <c r="Q1120"/>
  <c r="Q1108"/>
  <c r="Q1103"/>
  <c r="Q1081"/>
  <c r="Q1100"/>
  <c r="Q1087"/>
  <c r="Q1066"/>
  <c r="Q1061"/>
  <c r="Q1025"/>
  <c r="Q1009"/>
  <c r="Q1005"/>
  <c r="Q1002"/>
  <c r="Q995"/>
  <c r="Q992"/>
  <c r="Q989"/>
  <c r="Q931"/>
  <c r="Q941"/>
  <c r="Q954"/>
  <c r="Q956"/>
  <c r="Q911"/>
  <c r="Q914"/>
  <c r="Q909"/>
  <c r="Q900"/>
  <c r="Q890"/>
  <c r="Q888"/>
  <c r="Q868"/>
  <c r="Q857"/>
  <c r="Q839"/>
  <c r="Q831"/>
  <c r="Q825"/>
  <c r="Q855"/>
  <c r="Q843"/>
  <c r="Q823"/>
  <c r="Q806"/>
  <c r="Q778"/>
  <c r="Q795"/>
  <c r="Q773"/>
  <c r="Q727"/>
  <c r="Q726"/>
  <c r="Q711"/>
  <c r="Q705"/>
  <c r="Q664"/>
  <c r="Q657"/>
  <c r="Q656"/>
  <c r="Q648"/>
  <c r="Q618"/>
  <c r="Q627"/>
  <c r="Q629"/>
  <c r="Q623"/>
  <c r="Q612"/>
  <c r="Q634"/>
  <c r="Q592"/>
  <c r="Q560"/>
  <c r="Q561"/>
  <c r="Q578"/>
  <c r="Q576"/>
  <c r="Q558"/>
  <c r="Q553"/>
  <c r="Q589"/>
  <c r="Q541"/>
  <c r="Q542"/>
  <c r="Q549"/>
  <c r="Q538"/>
  <c r="Q493"/>
  <c r="Q494"/>
  <c r="Q481"/>
  <c r="Q489"/>
  <c r="Q472"/>
  <c r="Q441"/>
  <c r="Q424"/>
  <c r="Q414"/>
  <c r="Q400"/>
  <c r="Q407"/>
  <c r="Q393"/>
  <c r="Q373"/>
  <c r="Q378"/>
  <c r="Q360"/>
  <c r="Q340"/>
  <c r="Q333"/>
  <c r="Q324"/>
  <c r="Q311"/>
  <c r="Q308"/>
  <c r="Q304"/>
  <c r="Q289"/>
  <c r="Q257"/>
  <c r="Q241"/>
  <c r="Q234"/>
  <c r="Q224"/>
  <c r="Q210"/>
  <c r="Q206"/>
  <c r="Q193"/>
  <c r="Q197"/>
  <c r="Q189"/>
  <c r="Q184"/>
  <c r="Q173"/>
  <c r="Q139"/>
  <c r="Q133"/>
  <c r="Q166"/>
  <c r="Q144"/>
  <c r="Q143"/>
  <c r="Q131"/>
  <c r="Q134"/>
  <c r="Q165"/>
  <c r="Q124"/>
  <c r="Q100"/>
  <c r="Q61"/>
  <c r="Q49"/>
  <c r="Q47"/>
  <c r="Q34"/>
  <c r="Q28"/>
  <c r="Q22"/>
  <c r="Q5"/>
  <c r="Q2051"/>
  <c r="Q1995"/>
  <c r="Q1976"/>
  <c r="Q1988"/>
  <c r="Q1966"/>
  <c r="Q1952"/>
  <c r="Q1948"/>
  <c r="Q1865"/>
  <c r="Q1752"/>
  <c r="Q1725"/>
  <c r="Q1715"/>
  <c r="Q1716"/>
  <c r="Q1654"/>
  <c r="Q1646"/>
  <c r="Q1641"/>
  <c r="Q1560"/>
  <c r="Q1561"/>
  <c r="Q1440"/>
  <c r="Q1435"/>
  <c r="Q1365"/>
  <c r="Q1292"/>
  <c r="Q1278"/>
  <c r="Q1224"/>
  <c r="Q1230"/>
  <c r="Q1183"/>
  <c r="Q1155"/>
  <c r="Q1121"/>
  <c r="Q410"/>
  <c r="Q1052"/>
  <c r="Q1010"/>
  <c r="Q998"/>
  <c r="Q968"/>
  <c r="Q947"/>
  <c r="Q925"/>
  <c r="Q907"/>
  <c r="Q896"/>
  <c r="Q791"/>
  <c r="Q762"/>
  <c r="Q747"/>
  <c r="Q704"/>
  <c r="Q691"/>
  <c r="Q624"/>
  <c r="Q636"/>
  <c r="Q617"/>
  <c r="Q569"/>
  <c r="Q582"/>
  <c r="Q497"/>
  <c r="Q474"/>
  <c r="Q477"/>
  <c r="Q457"/>
  <c r="Q416"/>
  <c r="Q349"/>
  <c r="Q339"/>
  <c r="Q314"/>
  <c r="Q305"/>
  <c r="Q295"/>
  <c r="Q172"/>
  <c r="Q162"/>
  <c r="Q146"/>
  <c r="Q51"/>
  <c r="Q2048"/>
  <c r="Q2039"/>
  <c r="Q2012"/>
  <c r="Q2029"/>
  <c r="Q1998"/>
  <c r="Q1985"/>
  <c r="Q1987"/>
  <c r="Q1971"/>
  <c r="Q1934"/>
  <c r="Q1941"/>
  <c r="Q1923"/>
  <c r="Q1910"/>
  <c r="Q1890"/>
  <c r="Q1879"/>
  <c r="Q1903"/>
  <c r="Q1886"/>
  <c r="Q1858"/>
  <c r="Q1862"/>
  <c r="Q1811"/>
  <c r="Q1797"/>
  <c r="Q1757"/>
  <c r="Q1759"/>
  <c r="Q1758"/>
  <c r="Q1746"/>
  <c r="Q1726"/>
  <c r="Q1708"/>
  <c r="Q1693"/>
  <c r="Q1695"/>
  <c r="Q1657"/>
  <c r="Q1659"/>
  <c r="Q1611"/>
  <c r="Q1625"/>
  <c r="Q1620"/>
  <c r="Q1612"/>
  <c r="Q1608"/>
  <c r="Q1590"/>
  <c r="Q1545"/>
  <c r="Q1557"/>
  <c r="Q1562"/>
  <c r="Q1538"/>
  <c r="Q1534"/>
  <c r="Q1520"/>
  <c r="Q1529"/>
  <c r="Q1519"/>
  <c r="Q1515"/>
  <c r="Q1510"/>
  <c r="Q1499"/>
  <c r="Q1497"/>
  <c r="Q1491"/>
  <c r="Q1489"/>
  <c r="Q1482"/>
  <c r="Q1428"/>
  <c r="Q1446"/>
  <c r="Q1458"/>
  <c r="Q1427"/>
  <c r="Q1433"/>
  <c r="Q1454"/>
  <c r="Q1455"/>
  <c r="Q1422"/>
  <c r="Q1409"/>
  <c r="Q1411"/>
  <c r="Q1358"/>
  <c r="Q1375"/>
  <c r="Q1344"/>
  <c r="Q1283"/>
  <c r="Q1314"/>
  <c r="Q1276"/>
  <c r="Q1270"/>
  <c r="Q1280"/>
  <c r="Q1258"/>
  <c r="Q1248"/>
  <c r="Q1238"/>
  <c r="Q1235"/>
  <c r="Q1213"/>
  <c r="Q1210"/>
  <c r="Q1209"/>
  <c r="Q1205"/>
  <c r="Q1166"/>
  <c r="Q1178"/>
  <c r="Q1179"/>
  <c r="Q1180"/>
  <c r="Q1187"/>
  <c r="Q1167"/>
  <c r="Q1158"/>
  <c r="Q1139"/>
  <c r="Q1128"/>
  <c r="Q1106"/>
  <c r="Q1083"/>
  <c r="Q1097"/>
  <c r="Q1078"/>
  <c r="Q1067"/>
  <c r="Q1063"/>
  <c r="Q1059"/>
  <c r="Q1051"/>
  <c r="Q1035"/>
  <c r="Q1032"/>
  <c r="Q1021"/>
  <c r="Q1006"/>
  <c r="Q997"/>
  <c r="Q981"/>
  <c r="Q988"/>
  <c r="Q965"/>
  <c r="Q946"/>
  <c r="Q950"/>
  <c r="Q953"/>
  <c r="Q918"/>
  <c r="Q910"/>
  <c r="Q902"/>
  <c r="Q872"/>
  <c r="Q874"/>
  <c r="Q858"/>
  <c r="Q841"/>
  <c r="Q845"/>
  <c r="Q767"/>
  <c r="Q774"/>
  <c r="Q768"/>
  <c r="Q754"/>
  <c r="Q750"/>
  <c r="Q744"/>
  <c r="Q723"/>
  <c r="Q721"/>
  <c r="Q712"/>
  <c r="Q710"/>
  <c r="Q706"/>
  <c r="Q665"/>
  <c r="Q668"/>
  <c r="Q646"/>
  <c r="Q632"/>
  <c r="Q621"/>
  <c r="Q609"/>
  <c r="Q603"/>
  <c r="Q574"/>
  <c r="Q575"/>
  <c r="Q565"/>
  <c r="Q555"/>
  <c r="Q583"/>
  <c r="Q588"/>
  <c r="Q564"/>
  <c r="Q557"/>
  <c r="Q562"/>
  <c r="Q530"/>
  <c r="Q526"/>
  <c r="Q507"/>
  <c r="Q515"/>
  <c r="Q504"/>
  <c r="Q486"/>
  <c r="Q466"/>
  <c r="Q458"/>
  <c r="Q461"/>
  <c r="Q425"/>
  <c r="Q417"/>
  <c r="Q434"/>
  <c r="Q436"/>
  <c r="Q404"/>
  <c r="Q408"/>
  <c r="Q395"/>
  <c r="Q394"/>
  <c r="Q389"/>
  <c r="Q375"/>
  <c r="Q374"/>
  <c r="Q329"/>
  <c r="Q328"/>
  <c r="Q338"/>
  <c r="Q342"/>
  <c r="Q318"/>
  <c r="Q315"/>
  <c r="Q307"/>
  <c r="Q299"/>
  <c r="Q301"/>
  <c r="Q290"/>
  <c r="Q282"/>
  <c r="Q278"/>
  <c r="Q268"/>
  <c r="Q258"/>
  <c r="Q222"/>
  <c r="Q215"/>
  <c r="Q207"/>
  <c r="Q196"/>
  <c r="Q145"/>
  <c r="Q137"/>
  <c r="Q171"/>
  <c r="Q132"/>
  <c r="Q149"/>
  <c r="Q160"/>
  <c r="Q128"/>
  <c r="Q126"/>
  <c r="Q120"/>
  <c r="Q122"/>
  <c r="Q86"/>
  <c r="Q89"/>
  <c r="Q70"/>
  <c r="Q63"/>
  <c r="Q50"/>
  <c r="Q48"/>
  <c r="Q39"/>
  <c r="Q38"/>
  <c r="Q35"/>
  <c r="Q30"/>
  <c r="Q17"/>
  <c r="Q18"/>
  <c r="H2"/>
  <c r="H2311"/>
  <c r="H2307"/>
  <c r="H2303"/>
  <c r="H2299"/>
  <c r="H2295"/>
  <c r="H2291"/>
  <c r="H2287"/>
  <c r="H2283"/>
  <c r="H2279"/>
  <c r="H2275"/>
  <c r="H2271"/>
  <c r="H2267"/>
  <c r="H2263"/>
  <c r="H2259"/>
  <c r="H2255"/>
  <c r="H2251"/>
  <c r="H2247"/>
  <c r="H2243"/>
  <c r="H2239"/>
  <c r="H2235"/>
  <c r="H2231"/>
  <c r="H2227"/>
  <c r="H2223"/>
  <c r="H2219"/>
  <c r="H2216"/>
  <c r="H2212"/>
  <c r="H2208"/>
  <c r="H2204"/>
  <c r="H2200"/>
  <c r="H2196"/>
  <c r="H2192"/>
  <c r="H2188"/>
  <c r="H2184"/>
  <c r="H2180"/>
  <c r="H2176"/>
  <c r="H2172"/>
  <c r="H2168"/>
  <c r="H2166"/>
  <c r="H2162"/>
  <c r="H2158"/>
  <c r="H2154"/>
  <c r="H2150"/>
  <c r="H2146"/>
  <c r="H2142"/>
  <c r="H2138"/>
  <c r="H2134"/>
  <c r="H2130"/>
  <c r="H2126"/>
  <c r="H2122"/>
  <c r="H2118"/>
  <c r="H2114"/>
  <c r="H2110"/>
  <c r="H2106"/>
  <c r="H2102"/>
  <c r="H2098"/>
  <c r="H2094"/>
  <c r="H2090"/>
  <c r="H2086"/>
  <c r="H2082"/>
  <c r="H2078"/>
  <c r="H2074"/>
  <c r="H2070"/>
  <c r="H2066"/>
  <c r="H2062"/>
  <c r="H2058"/>
  <c r="H2054"/>
  <c r="H2050"/>
  <c r="H2046"/>
  <c r="H2042"/>
  <c r="H2038"/>
  <c r="H2034"/>
  <c r="H2030"/>
  <c r="H2026"/>
  <c r="H2022"/>
  <c r="H2018"/>
  <c r="H2014"/>
  <c r="H2010"/>
  <c r="H2006"/>
  <c r="H2002"/>
  <c r="H1998"/>
  <c r="H1994"/>
  <c r="H1990"/>
  <c r="H1986"/>
  <c r="H1982"/>
  <c r="H1978"/>
  <c r="H1974"/>
  <c r="H1970"/>
  <c r="H1966"/>
  <c r="H1962"/>
  <c r="H1958"/>
  <c r="H1954"/>
  <c r="H1950"/>
  <c r="H1946"/>
  <c r="H1942"/>
  <c r="H1938"/>
  <c r="H1934"/>
  <c r="H1930"/>
  <c r="H1926"/>
  <c r="H1922"/>
  <c r="H1918"/>
  <c r="H1914"/>
  <c r="H1910"/>
  <c r="H1906"/>
  <c r="H1902"/>
  <c r="H1898"/>
  <c r="H1894"/>
  <c r="H1890"/>
  <c r="H1886"/>
  <c r="H1882"/>
  <c r="H1878"/>
  <c r="H1874"/>
  <c r="H1870"/>
  <c r="H1866"/>
  <c r="H1862"/>
  <c r="H1858"/>
  <c r="H1855"/>
  <c r="H1851"/>
  <c r="H1847"/>
  <c r="H1843"/>
  <c r="H1839"/>
  <c r="H1835"/>
  <c r="H1831"/>
  <c r="H1827"/>
  <c r="H1823"/>
  <c r="H1819"/>
  <c r="H1815"/>
  <c r="H1811"/>
  <c r="H1807"/>
  <c r="H1803"/>
  <c r="H1799"/>
  <c r="H1795"/>
  <c r="H1791"/>
  <c r="H1787"/>
  <c r="H1783"/>
  <c r="H1779"/>
  <c r="H1775"/>
  <c r="H1771"/>
  <c r="H1767"/>
  <c r="H1763"/>
  <c r="H1759"/>
  <c r="H1755"/>
  <c r="H1751"/>
  <c r="H1747"/>
  <c r="H1743"/>
  <c r="H1739"/>
  <c r="H1735"/>
  <c r="H1731"/>
  <c r="H1727"/>
  <c r="H1723"/>
  <c r="H1719"/>
  <c r="H1715"/>
  <c r="H1711"/>
  <c r="H1707"/>
  <c r="H1703"/>
  <c r="H1699"/>
  <c r="H1695"/>
  <c r="H1691"/>
  <c r="H1687"/>
  <c r="H1683"/>
  <c r="H1679"/>
  <c r="H1675"/>
  <c r="H1671"/>
  <c r="H1667"/>
  <c r="H1663"/>
  <c r="H1659"/>
  <c r="H1655"/>
  <c r="H1651"/>
  <c r="H1647"/>
  <c r="H1643"/>
  <c r="H1639"/>
  <c r="H1635"/>
  <c r="H1631"/>
  <c r="H1627"/>
  <c r="H1623"/>
  <c r="H1619"/>
  <c r="H1615"/>
  <c r="H1611"/>
  <c r="H1607"/>
  <c r="H1603"/>
  <c r="H1599"/>
  <c r="H1595"/>
  <c r="H1591"/>
  <c r="H1587"/>
  <c r="H1583"/>
  <c r="H1579"/>
  <c r="H1575"/>
  <c r="H1571"/>
  <c r="H1567"/>
  <c r="H1563"/>
  <c r="H1559"/>
  <c r="H1555"/>
  <c r="H1551"/>
  <c r="H1547"/>
  <c r="H1543"/>
  <c r="H1539"/>
  <c r="H1535"/>
  <c r="H1531"/>
  <c r="H1527"/>
  <c r="H1523"/>
  <c r="H1519"/>
  <c r="H1515"/>
  <c r="H1512"/>
  <c r="H1508"/>
  <c r="H1504"/>
  <c r="H1500"/>
  <c r="H1496"/>
  <c r="H1492"/>
  <c r="H1488"/>
  <c r="H1484"/>
  <c r="H1480"/>
  <c r="H1476"/>
  <c r="H1472"/>
  <c r="H1468"/>
  <c r="H1464"/>
  <c r="H1460"/>
  <c r="H1456"/>
  <c r="H1452"/>
  <c r="H1448"/>
  <c r="H1444"/>
  <c r="H1440"/>
  <c r="H1436"/>
  <c r="H1432"/>
  <c r="H1428"/>
  <c r="H1424"/>
  <c r="H1420"/>
  <c r="H1416"/>
  <c r="H1412"/>
  <c r="H1408"/>
  <c r="H1404"/>
  <c r="H1400"/>
  <c r="H1396"/>
  <c r="H1392"/>
  <c r="H1388"/>
  <c r="H1384"/>
  <c r="H1380"/>
  <c r="H1376"/>
  <c r="H1372"/>
  <c r="H1368"/>
  <c r="H1364"/>
  <c r="H1360"/>
  <c r="H1356"/>
  <c r="H1352"/>
  <c r="H1348"/>
  <c r="H1344"/>
  <c r="H1340"/>
  <c r="H1336"/>
  <c r="H1332"/>
  <c r="H1328"/>
  <c r="H1324"/>
  <c r="H1320"/>
  <c r="H1316"/>
  <c r="H1312"/>
  <c r="H1308"/>
  <c r="H1304"/>
  <c r="H1300"/>
  <c r="H1296"/>
  <c r="H1292"/>
  <c r="H1288"/>
  <c r="H1284"/>
  <c r="H1280"/>
  <c r="H1276"/>
  <c r="H1272"/>
  <c r="H1268"/>
  <c r="H1264"/>
  <c r="H1260"/>
  <c r="H1256"/>
  <c r="H1252"/>
  <c r="H1248"/>
  <c r="H1244"/>
  <c r="H1240"/>
  <c r="H1236"/>
  <c r="H1232"/>
  <c r="H1228"/>
  <c r="H1224"/>
  <c r="H1220"/>
  <c r="H1216"/>
  <c r="H1212"/>
  <c r="H1208"/>
  <c r="H1204"/>
  <c r="H1200"/>
  <c r="H1196"/>
  <c r="H1192"/>
  <c r="H1188"/>
  <c r="H1184"/>
  <c r="H1180"/>
  <c r="H1176"/>
  <c r="H1172"/>
  <c r="H1168"/>
  <c r="H1164"/>
  <c r="H1160"/>
  <c r="H1156"/>
  <c r="H1152"/>
  <c r="H1148"/>
  <c r="H1144"/>
  <c r="H1140"/>
  <c r="H1136"/>
  <c r="H1132"/>
  <c r="H1128"/>
  <c r="H1124"/>
  <c r="H1120"/>
  <c r="H1116"/>
  <c r="H1112"/>
  <c r="H1108"/>
  <c r="H1104"/>
  <c r="H1100"/>
  <c r="H1094"/>
  <c r="H1090"/>
  <c r="H1086"/>
  <c r="H1082"/>
  <c r="H1078"/>
  <c r="H1074"/>
  <c r="H1070"/>
  <c r="H1066"/>
  <c r="H1062"/>
  <c r="H1058"/>
  <c r="H1054"/>
  <c r="H1049"/>
  <c r="H1045"/>
  <c r="H1041"/>
  <c r="H1037"/>
  <c r="H1033"/>
  <c r="H1029"/>
  <c r="H1025"/>
  <c r="H1021"/>
  <c r="H1017"/>
  <c r="H1013"/>
  <c r="H1009"/>
  <c r="H1005"/>
  <c r="H1001"/>
  <c r="H997"/>
  <c r="H993"/>
  <c r="H989"/>
  <c r="H985"/>
  <c r="H2312"/>
  <c r="H2308"/>
  <c r="H2304"/>
  <c r="H2300"/>
  <c r="H2296"/>
  <c r="H2292"/>
  <c r="H2288"/>
  <c r="H2284"/>
  <c r="H2280"/>
  <c r="H2276"/>
  <c r="H2272"/>
  <c r="H2268"/>
  <c r="H2264"/>
  <c r="H2260"/>
  <c r="H2256"/>
  <c r="H2252"/>
  <c r="H2248"/>
  <c r="H2244"/>
  <c r="H2240"/>
  <c r="H2236"/>
  <c r="H2232"/>
  <c r="H2228"/>
  <c r="H2224"/>
  <c r="H2220"/>
  <c r="H2217"/>
  <c r="H2213"/>
  <c r="H2209"/>
  <c r="H2205"/>
  <c r="H2201"/>
  <c r="H2197"/>
  <c r="H2193"/>
  <c r="H2189"/>
  <c r="H2185"/>
  <c r="H2181"/>
  <c r="H2177"/>
  <c r="H2173"/>
  <c r="H2169"/>
  <c r="H2163"/>
  <c r="H2159"/>
  <c r="H2155"/>
  <c r="H2151"/>
  <c r="H2147"/>
  <c r="H2143"/>
  <c r="H2139"/>
  <c r="H2135"/>
  <c r="H2131"/>
  <c r="H2127"/>
  <c r="H2123"/>
  <c r="H2119"/>
  <c r="H2115"/>
  <c r="H2111"/>
  <c r="H2107"/>
  <c r="H2103"/>
  <c r="H2099"/>
  <c r="H2095"/>
  <c r="H2091"/>
  <c r="H2087"/>
  <c r="H2083"/>
  <c r="H2079"/>
  <c r="H2075"/>
  <c r="H2071"/>
  <c r="H2067"/>
  <c r="H2063"/>
  <c r="H2059"/>
  <c r="H2055"/>
  <c r="H2051"/>
  <c r="H2047"/>
  <c r="H2043"/>
  <c r="H2039"/>
  <c r="H2035"/>
  <c r="H2031"/>
  <c r="H2027"/>
  <c r="H2023"/>
  <c r="H2019"/>
  <c r="H2015"/>
  <c r="H2011"/>
  <c r="H2007"/>
  <c r="H2003"/>
  <c r="H1999"/>
  <c r="H1995"/>
  <c r="H1991"/>
  <c r="H1987"/>
  <c r="H1983"/>
  <c r="H1979"/>
  <c r="H1975"/>
  <c r="H1971"/>
  <c r="H1967"/>
  <c r="H1963"/>
  <c r="H1959"/>
  <c r="H1955"/>
  <c r="H1951"/>
  <c r="H1947"/>
  <c r="H1943"/>
  <c r="H1939"/>
  <c r="H1935"/>
  <c r="H1931"/>
  <c r="H1927"/>
  <c r="H1923"/>
  <c r="H1919"/>
  <c r="H1915"/>
  <c r="H1911"/>
  <c r="H1907"/>
  <c r="H1903"/>
  <c r="H1899"/>
  <c r="H1895"/>
  <c r="H1891"/>
  <c r="H1887"/>
  <c r="H1883"/>
  <c r="H1879"/>
  <c r="H1875"/>
  <c r="H1871"/>
  <c r="H1867"/>
  <c r="H1863"/>
  <c r="H1859"/>
  <c r="H1856"/>
  <c r="H1852"/>
  <c r="H1848"/>
  <c r="H1844"/>
  <c r="H1840"/>
  <c r="H1836"/>
  <c r="H1832"/>
  <c r="H1828"/>
  <c r="H1824"/>
  <c r="H1820"/>
  <c r="H1816"/>
  <c r="H1812"/>
  <c r="H1808"/>
  <c r="H1804"/>
  <c r="H1800"/>
  <c r="H1796"/>
  <c r="H1792"/>
  <c r="H1788"/>
  <c r="H1784"/>
  <c r="H1780"/>
  <c r="H1776"/>
  <c r="H1772"/>
  <c r="H1768"/>
  <c r="H1764"/>
  <c r="H1760"/>
  <c r="H1756"/>
  <c r="H1752"/>
  <c r="H1748"/>
  <c r="H1744"/>
  <c r="H1740"/>
  <c r="H1736"/>
  <c r="H1732"/>
  <c r="H1728"/>
  <c r="H1724"/>
  <c r="H1720"/>
  <c r="H1716"/>
  <c r="H1712"/>
  <c r="H1708"/>
  <c r="H1704"/>
  <c r="H1700"/>
  <c r="H1696"/>
  <c r="H1692"/>
  <c r="H1688"/>
  <c r="H1684"/>
  <c r="H1680"/>
  <c r="H1676"/>
  <c r="H1672"/>
  <c r="H1668"/>
  <c r="H1664"/>
  <c r="H1660"/>
  <c r="H1656"/>
  <c r="H1652"/>
  <c r="H1648"/>
  <c r="H1644"/>
  <c r="H1640"/>
  <c r="H1636"/>
  <c r="H1632"/>
  <c r="H1628"/>
  <c r="H1624"/>
  <c r="H1620"/>
  <c r="H1616"/>
  <c r="H1612"/>
  <c r="H1608"/>
  <c r="H1604"/>
  <c r="H1600"/>
  <c r="H1596"/>
  <c r="H1592"/>
  <c r="H1588"/>
  <c r="H1584"/>
  <c r="H1580"/>
  <c r="H1576"/>
  <c r="H1572"/>
  <c r="H1568"/>
  <c r="H1564"/>
  <c r="H1560"/>
  <c r="H1556"/>
  <c r="H1552"/>
  <c r="H1548"/>
  <c r="H1544"/>
  <c r="H1540"/>
  <c r="H1536"/>
  <c r="H1532"/>
  <c r="H1528"/>
  <c r="H1524"/>
  <c r="H1520"/>
  <c r="H1516"/>
  <c r="H1513"/>
  <c r="H1509"/>
  <c r="H1505"/>
  <c r="H1501"/>
  <c r="H1497"/>
  <c r="H1493"/>
  <c r="H1489"/>
  <c r="H1485"/>
  <c r="H1481"/>
  <c r="H1477"/>
  <c r="H1473"/>
  <c r="H1469"/>
  <c r="H1465"/>
  <c r="H1461"/>
  <c r="H1457"/>
  <c r="H1453"/>
  <c r="H1449"/>
  <c r="H1445"/>
  <c r="H1441"/>
  <c r="H1437"/>
  <c r="H1433"/>
  <c r="H1429"/>
  <c r="H1425"/>
  <c r="H1421"/>
  <c r="H1417"/>
  <c r="H1413"/>
  <c r="H1409"/>
  <c r="H1405"/>
  <c r="H1401"/>
  <c r="H1397"/>
  <c r="H1393"/>
  <c r="H1389"/>
  <c r="H1385"/>
  <c r="H1381"/>
  <c r="H1377"/>
  <c r="H1373"/>
  <c r="H1369"/>
  <c r="H1365"/>
  <c r="H1361"/>
  <c r="H1357"/>
  <c r="H1353"/>
  <c r="H1349"/>
  <c r="H1345"/>
  <c r="H1341"/>
  <c r="H1337"/>
  <c r="H1333"/>
  <c r="H1329"/>
  <c r="H1325"/>
  <c r="H1321"/>
  <c r="H1317"/>
  <c r="H1313"/>
  <c r="H1309"/>
  <c r="H1305"/>
  <c r="H1301"/>
  <c r="H1297"/>
  <c r="H1293"/>
  <c r="H1289"/>
  <c r="H1285"/>
  <c r="H1281"/>
  <c r="H1277"/>
  <c r="H1273"/>
  <c r="H1269"/>
  <c r="H1265"/>
  <c r="H1261"/>
  <c r="H1257"/>
  <c r="H1253"/>
  <c r="H1249"/>
  <c r="H1245"/>
  <c r="H1241"/>
  <c r="H1237"/>
  <c r="H1233"/>
  <c r="H1229"/>
  <c r="H1225"/>
  <c r="H1221"/>
  <c r="H1217"/>
  <c r="H1213"/>
  <c r="H1209"/>
  <c r="H1205"/>
  <c r="H1201"/>
  <c r="H1197"/>
  <c r="H1193"/>
  <c r="H1189"/>
  <c r="H1185"/>
  <c r="H1181"/>
  <c r="H1177"/>
  <c r="H1173"/>
  <c r="H1169"/>
  <c r="H1165"/>
  <c r="H1161"/>
  <c r="H1157"/>
  <c r="H1153"/>
  <c r="H1149"/>
  <c r="H1145"/>
  <c r="H1141"/>
  <c r="H1137"/>
  <c r="H1133"/>
  <c r="H1129"/>
  <c r="H1125"/>
  <c r="H1121"/>
  <c r="H1117"/>
  <c r="H1113"/>
  <c r="H1109"/>
  <c r="H1105"/>
  <c r="H1101"/>
  <c r="H1097"/>
  <c r="H1095"/>
  <c r="H1091"/>
  <c r="H1087"/>
  <c r="H1083"/>
  <c r="H1079"/>
  <c r="H1075"/>
  <c r="H1071"/>
  <c r="H1067"/>
  <c r="H1063"/>
  <c r="H1059"/>
  <c r="H1055"/>
  <c r="H1051"/>
  <c r="H1046"/>
  <c r="H1042"/>
  <c r="H1038"/>
  <c r="H1034"/>
  <c r="H1030"/>
  <c r="H1026"/>
  <c r="H1022"/>
  <c r="H1018"/>
  <c r="H1014"/>
  <c r="H1010"/>
  <c r="H1006"/>
  <c r="H1002"/>
  <c r="H998"/>
  <c r="H994"/>
  <c r="H990"/>
  <c r="H986"/>
  <c r="H982"/>
  <c r="H2313"/>
  <c r="H2309"/>
  <c r="H2305"/>
  <c r="H2301"/>
  <c r="H2297"/>
  <c r="H2293"/>
  <c r="H2289"/>
  <c r="H2285"/>
  <c r="H2281"/>
  <c r="H2277"/>
  <c r="H2273"/>
  <c r="H2269"/>
  <c r="H2265"/>
  <c r="H2261"/>
  <c r="H2257"/>
  <c r="H2253"/>
  <c r="H2249"/>
  <c r="H2245"/>
  <c r="H2241"/>
  <c r="H2237"/>
  <c r="H2233"/>
  <c r="H2229"/>
  <c r="H2225"/>
  <c r="H2221"/>
  <c r="H2218"/>
  <c r="H2214"/>
  <c r="H2210"/>
  <c r="H2206"/>
  <c r="H2202"/>
  <c r="H2198"/>
  <c r="H2194"/>
  <c r="H2190"/>
  <c r="H2186"/>
  <c r="H2182"/>
  <c r="H2178"/>
  <c r="H2174"/>
  <c r="H2170"/>
  <c r="H2164"/>
  <c r="H2160"/>
  <c r="H2156"/>
  <c r="H2152"/>
  <c r="H2148"/>
  <c r="H2144"/>
  <c r="H2140"/>
  <c r="H2136"/>
  <c r="H2132"/>
  <c r="H2128"/>
  <c r="H2124"/>
  <c r="H2120"/>
  <c r="H2116"/>
  <c r="H2112"/>
  <c r="H2108"/>
  <c r="H2104"/>
  <c r="H2100"/>
  <c r="H2096"/>
  <c r="H2092"/>
  <c r="H2088"/>
  <c r="H2084"/>
  <c r="H2080"/>
  <c r="H2076"/>
  <c r="H2072"/>
  <c r="H2068"/>
  <c r="H2064"/>
  <c r="H2060"/>
  <c r="H2056"/>
  <c r="H2052"/>
  <c r="H2048"/>
  <c r="H2044"/>
  <c r="H2040"/>
  <c r="H2036"/>
  <c r="H2032"/>
  <c r="H2028"/>
  <c r="H2024"/>
  <c r="H2020"/>
  <c r="H2016"/>
  <c r="H2012"/>
  <c r="H2008"/>
  <c r="H2004"/>
  <c r="H2000"/>
  <c r="H1996"/>
  <c r="H1992"/>
  <c r="H1988"/>
  <c r="H1984"/>
  <c r="H1980"/>
  <c r="H1976"/>
  <c r="H1972"/>
  <c r="H1968"/>
  <c r="H1964"/>
  <c r="H1960"/>
  <c r="H1956"/>
  <c r="H1952"/>
  <c r="H1948"/>
  <c r="H1944"/>
  <c r="H1940"/>
  <c r="H1936"/>
  <c r="H1932"/>
  <c r="H1928"/>
  <c r="H1924"/>
  <c r="H1920"/>
  <c r="H1916"/>
  <c r="H1912"/>
  <c r="H1908"/>
  <c r="H1904"/>
  <c r="H1900"/>
  <c r="H1896"/>
  <c r="H1892"/>
  <c r="H1888"/>
  <c r="H1884"/>
  <c r="H1880"/>
  <c r="H1876"/>
  <c r="H1872"/>
  <c r="H1868"/>
  <c r="H1864"/>
  <c r="H1860"/>
  <c r="H1857"/>
  <c r="H1853"/>
  <c r="H1849"/>
  <c r="H1845"/>
  <c r="H1841"/>
  <c r="H1837"/>
  <c r="H1833"/>
  <c r="H1829"/>
  <c r="H1825"/>
  <c r="H1821"/>
  <c r="H1817"/>
  <c r="H1813"/>
  <c r="H1809"/>
  <c r="H1805"/>
  <c r="H1801"/>
  <c r="H1797"/>
  <c r="H1793"/>
  <c r="H1789"/>
  <c r="H1785"/>
  <c r="H1781"/>
  <c r="H1777"/>
  <c r="H1773"/>
  <c r="H1769"/>
  <c r="H1765"/>
  <c r="H1761"/>
  <c r="H1757"/>
  <c r="H1753"/>
  <c r="H1749"/>
  <c r="H1745"/>
  <c r="H1741"/>
  <c r="H1737"/>
  <c r="H1733"/>
  <c r="H1729"/>
  <c r="H1725"/>
  <c r="H1721"/>
  <c r="H1717"/>
  <c r="H1713"/>
  <c r="H1709"/>
  <c r="H1705"/>
  <c r="H1701"/>
  <c r="H1697"/>
  <c r="H1693"/>
  <c r="H1689"/>
  <c r="H1685"/>
  <c r="H1681"/>
  <c r="H1677"/>
  <c r="H1673"/>
  <c r="H1669"/>
  <c r="H1665"/>
  <c r="H1661"/>
  <c r="H1657"/>
  <c r="H1653"/>
  <c r="H1649"/>
  <c r="H1645"/>
  <c r="H1641"/>
  <c r="H1637"/>
  <c r="H1633"/>
  <c r="H1629"/>
  <c r="H1625"/>
  <c r="H1621"/>
  <c r="H1617"/>
  <c r="H1613"/>
  <c r="H1609"/>
  <c r="H1605"/>
  <c r="H1601"/>
  <c r="H1597"/>
  <c r="H1593"/>
  <c r="H1589"/>
  <c r="H1585"/>
  <c r="H1581"/>
  <c r="H1577"/>
  <c r="H1573"/>
  <c r="H1569"/>
  <c r="H1565"/>
  <c r="H1561"/>
  <c r="H1557"/>
  <c r="H1553"/>
  <c r="H1549"/>
  <c r="H1545"/>
  <c r="H1541"/>
  <c r="H1537"/>
  <c r="H1533"/>
  <c r="H1529"/>
  <c r="H1525"/>
  <c r="H1521"/>
  <c r="H1517"/>
  <c r="H1510"/>
  <c r="H1506"/>
  <c r="H1502"/>
  <c r="H1498"/>
  <c r="H1494"/>
  <c r="H1490"/>
  <c r="H1486"/>
  <c r="H1482"/>
  <c r="H1478"/>
  <c r="H1474"/>
  <c r="H1470"/>
  <c r="H1466"/>
  <c r="H1462"/>
  <c r="H1458"/>
  <c r="H1454"/>
  <c r="H1450"/>
  <c r="H1446"/>
  <c r="H1442"/>
  <c r="H1438"/>
  <c r="H1434"/>
  <c r="H1430"/>
  <c r="H1426"/>
  <c r="H1422"/>
  <c r="H1418"/>
  <c r="H1414"/>
  <c r="H1410"/>
  <c r="H1406"/>
  <c r="H1402"/>
  <c r="H1398"/>
  <c r="H1394"/>
  <c r="H1390"/>
  <c r="H1386"/>
  <c r="H1382"/>
  <c r="H1378"/>
  <c r="H1374"/>
  <c r="H1370"/>
  <c r="H1366"/>
  <c r="H1362"/>
  <c r="H1358"/>
  <c r="H1354"/>
  <c r="H1350"/>
  <c r="H1346"/>
  <c r="H1342"/>
  <c r="H1338"/>
  <c r="H1334"/>
  <c r="H1330"/>
  <c r="H1326"/>
  <c r="H1322"/>
  <c r="H1318"/>
  <c r="H1314"/>
  <c r="H1310"/>
  <c r="H1306"/>
  <c r="H1302"/>
  <c r="H1298"/>
  <c r="H1294"/>
  <c r="H1290"/>
  <c r="H1286"/>
  <c r="H1282"/>
  <c r="H1278"/>
  <c r="H1274"/>
  <c r="H1270"/>
  <c r="H1266"/>
  <c r="H1262"/>
  <c r="H1258"/>
  <c r="H1254"/>
  <c r="H1250"/>
  <c r="H1246"/>
  <c r="H1242"/>
  <c r="H1238"/>
  <c r="H1234"/>
  <c r="H1230"/>
  <c r="H1226"/>
  <c r="H1222"/>
  <c r="H1218"/>
  <c r="H1214"/>
  <c r="H1210"/>
  <c r="H1206"/>
  <c r="H1202"/>
  <c r="H1198"/>
  <c r="H1194"/>
  <c r="H1190"/>
  <c r="H1186"/>
  <c r="H1182"/>
  <c r="H1178"/>
  <c r="H1174"/>
  <c r="H1170"/>
  <c r="H1166"/>
  <c r="H1162"/>
  <c r="H1158"/>
  <c r="H1154"/>
  <c r="H1150"/>
  <c r="H1146"/>
  <c r="H1142"/>
  <c r="H1138"/>
  <c r="H1134"/>
  <c r="H1130"/>
  <c r="H1126"/>
  <c r="H1122"/>
  <c r="H1118"/>
  <c r="H1114"/>
  <c r="H1110"/>
  <c r="H1106"/>
  <c r="H1102"/>
  <c r="H1098"/>
  <c r="H1096"/>
  <c r="H1092"/>
  <c r="H1088"/>
  <c r="H1084"/>
  <c r="H1080"/>
  <c r="H1076"/>
  <c r="H1072"/>
  <c r="H1068"/>
  <c r="H1064"/>
  <c r="H1060"/>
  <c r="H1056"/>
  <c r="H1052"/>
  <c r="H1047"/>
  <c r="H1043"/>
  <c r="H1039"/>
  <c r="H1035"/>
  <c r="H1031"/>
  <c r="H1027"/>
  <c r="H1023"/>
  <c r="H1019"/>
  <c r="H1015"/>
  <c r="H1011"/>
  <c r="H1007"/>
  <c r="H1003"/>
  <c r="H999"/>
  <c r="H995"/>
  <c r="H991"/>
  <c r="H2314"/>
  <c r="H2310"/>
  <c r="H2306"/>
  <c r="H2302"/>
  <c r="H2298"/>
  <c r="H2294"/>
  <c r="H2290"/>
  <c r="H2286"/>
  <c r="H2282"/>
  <c r="H2278"/>
  <c r="H2274"/>
  <c r="H2270"/>
  <c r="H2266"/>
  <c r="H2262"/>
  <c r="H2258"/>
  <c r="H2254"/>
  <c r="H2250"/>
  <c r="H2246"/>
  <c r="H2242"/>
  <c r="H2238"/>
  <c r="H2234"/>
  <c r="H2230"/>
  <c r="H2226"/>
  <c r="H2222"/>
  <c r="H2215"/>
  <c r="H2211"/>
  <c r="H2207"/>
  <c r="H2203"/>
  <c r="H2199"/>
  <c r="H2195"/>
  <c r="H2191"/>
  <c r="H2187"/>
  <c r="H2183"/>
  <c r="H2179"/>
  <c r="H2175"/>
  <c r="H2171"/>
  <c r="H2167"/>
  <c r="H2165"/>
  <c r="H2161"/>
  <c r="H2157"/>
  <c r="H2153"/>
  <c r="H2149"/>
  <c r="H2145"/>
  <c r="H2141"/>
  <c r="H2137"/>
  <c r="H2133"/>
  <c r="H2129"/>
  <c r="H2125"/>
  <c r="H2121"/>
  <c r="H2117"/>
  <c r="H2113"/>
  <c r="H2109"/>
  <c r="H2105"/>
  <c r="H2101"/>
  <c r="H2097"/>
  <c r="H2093"/>
  <c r="H2089"/>
  <c r="H2085"/>
  <c r="H2081"/>
  <c r="H2077"/>
  <c r="H2073"/>
  <c r="H2069"/>
  <c r="H2065"/>
  <c r="H2061"/>
  <c r="H2057"/>
  <c r="H2053"/>
  <c r="H2049"/>
  <c r="H2045"/>
  <c r="H2041"/>
  <c r="H2037"/>
  <c r="H2033"/>
  <c r="H2029"/>
  <c r="H2025"/>
  <c r="H2021"/>
  <c r="H2017"/>
  <c r="H2013"/>
  <c r="H2009"/>
  <c r="H2005"/>
  <c r="H2001"/>
  <c r="H1997"/>
  <c r="H1993"/>
  <c r="H1989"/>
  <c r="H1985"/>
  <c r="H1981"/>
  <c r="H1977"/>
  <c r="H1973"/>
  <c r="H1969"/>
  <c r="H1965"/>
  <c r="H1961"/>
  <c r="H1957"/>
  <c r="H1953"/>
  <c r="H1949"/>
  <c r="H1945"/>
  <c r="H1941"/>
  <c r="H1937"/>
  <c r="H1933"/>
  <c r="H1929"/>
  <c r="H1925"/>
  <c r="H1921"/>
  <c r="H1917"/>
  <c r="H1913"/>
  <c r="H1909"/>
  <c r="H1905"/>
  <c r="H1901"/>
  <c r="H1897"/>
  <c r="H1893"/>
  <c r="H1889"/>
  <c r="H1885"/>
  <c r="H1881"/>
  <c r="H1877"/>
  <c r="H1873"/>
  <c r="H1869"/>
  <c r="H1865"/>
  <c r="H1861"/>
  <c r="H1854"/>
  <c r="H1850"/>
  <c r="H1846"/>
  <c r="H1842"/>
  <c r="H1838"/>
  <c r="H1834"/>
  <c r="H1830"/>
  <c r="H1826"/>
  <c r="H1822"/>
  <c r="H1818"/>
  <c r="H1814"/>
  <c r="H1810"/>
  <c r="H1806"/>
  <c r="H1802"/>
  <c r="H1798"/>
  <c r="H1794"/>
  <c r="H1790"/>
  <c r="H1786"/>
  <c r="H1782"/>
  <c r="H1778"/>
  <c r="H1774"/>
  <c r="H1770"/>
  <c r="H1766"/>
  <c r="H1762"/>
  <c r="H1758"/>
  <c r="H1754"/>
  <c r="H1750"/>
  <c r="H1746"/>
  <c r="H1742"/>
  <c r="H1738"/>
  <c r="H1734"/>
  <c r="H1730"/>
  <c r="H1726"/>
  <c r="H1722"/>
  <c r="H1718"/>
  <c r="H1714"/>
  <c r="H1710"/>
  <c r="H1706"/>
  <c r="H1702"/>
  <c r="H1698"/>
  <c r="H1694"/>
  <c r="H1690"/>
  <c r="H1686"/>
  <c r="H1682"/>
  <c r="H1678"/>
  <c r="H1674"/>
  <c r="H1670"/>
  <c r="H1666"/>
  <c r="H1662"/>
  <c r="H1658"/>
  <c r="H1654"/>
  <c r="H1650"/>
  <c r="H1646"/>
  <c r="H1642"/>
  <c r="H1638"/>
  <c r="H1634"/>
  <c r="H1630"/>
  <c r="H1626"/>
  <c r="H1622"/>
  <c r="H1618"/>
  <c r="H1614"/>
  <c r="H1610"/>
  <c r="H1606"/>
  <c r="H1602"/>
  <c r="H1598"/>
  <c r="H1594"/>
  <c r="H1590"/>
  <c r="H1586"/>
  <c r="H1582"/>
  <c r="H1578"/>
  <c r="H1574"/>
  <c r="H1570"/>
  <c r="H1566"/>
  <c r="H1562"/>
  <c r="H1558"/>
  <c r="H1554"/>
  <c r="H1550"/>
  <c r="H1546"/>
  <c r="H1542"/>
  <c r="H1538"/>
  <c r="H1534"/>
  <c r="H1530"/>
  <c r="H1526"/>
  <c r="H1522"/>
  <c r="H1518"/>
  <c r="H1514"/>
  <c r="H1511"/>
  <c r="H1507"/>
  <c r="H1503"/>
  <c r="H1499"/>
  <c r="H1495"/>
  <c r="H1491"/>
  <c r="H1487"/>
  <c r="H1483"/>
  <c r="H1479"/>
  <c r="H1475"/>
  <c r="H1471"/>
  <c r="H1467"/>
  <c r="H1463"/>
  <c r="H1459"/>
  <c r="H1455"/>
  <c r="H1451"/>
  <c r="H1447"/>
  <c r="H1443"/>
  <c r="H1439"/>
  <c r="H1435"/>
  <c r="H1431"/>
  <c r="H1427"/>
  <c r="H1423"/>
  <c r="H1419"/>
  <c r="H1415"/>
  <c r="H1411"/>
  <c r="H1407"/>
  <c r="H1403"/>
  <c r="H1399"/>
  <c r="H1395"/>
  <c r="H1391"/>
  <c r="H1387"/>
  <c r="H1383"/>
  <c r="H1379"/>
  <c r="H1375"/>
  <c r="H1371"/>
  <c r="H1367"/>
  <c r="H1363"/>
  <c r="H1359"/>
  <c r="H1355"/>
  <c r="H1351"/>
  <c r="H1347"/>
  <c r="H1343"/>
  <c r="H1339"/>
  <c r="H1335"/>
  <c r="H1331"/>
  <c r="H1327"/>
  <c r="H1323"/>
  <c r="H1319"/>
  <c r="H1315"/>
  <c r="H1311"/>
  <c r="H1307"/>
  <c r="H1303"/>
  <c r="H1299"/>
  <c r="H1295"/>
  <c r="H1291"/>
  <c r="H1287"/>
  <c r="H1283"/>
  <c r="H1279"/>
  <c r="H1275"/>
  <c r="H1271"/>
  <c r="H1267"/>
  <c r="H1263"/>
  <c r="H1259"/>
  <c r="H1255"/>
  <c r="H1251"/>
  <c r="H1247"/>
  <c r="H1243"/>
  <c r="H1239"/>
  <c r="H1235"/>
  <c r="H1231"/>
  <c r="H1227"/>
  <c r="H1223"/>
  <c r="H1219"/>
  <c r="H1215"/>
  <c r="H1211"/>
  <c r="H1207"/>
  <c r="H1203"/>
  <c r="H1199"/>
  <c r="H1195"/>
  <c r="H1191"/>
  <c r="H1187"/>
  <c r="H1183"/>
  <c r="H1179"/>
  <c r="H1175"/>
  <c r="H1171"/>
  <c r="H1167"/>
  <c r="H1163"/>
  <c r="H1159"/>
  <c r="H1155"/>
  <c r="H1151"/>
  <c r="H1147"/>
  <c r="H1143"/>
  <c r="H1139"/>
  <c r="H1135"/>
  <c r="H1131"/>
  <c r="H1127"/>
  <c r="H1123"/>
  <c r="H1119"/>
  <c r="H1115"/>
  <c r="H1111"/>
  <c r="H1107"/>
  <c r="H1103"/>
  <c r="H1099"/>
  <c r="H1093"/>
  <c r="H1089"/>
  <c r="H1085"/>
  <c r="H1081"/>
  <c r="H1077"/>
  <c r="H1073"/>
  <c r="H1069"/>
  <c r="H1065"/>
  <c r="H1061"/>
  <c r="H1057"/>
  <c r="H1053"/>
  <c r="H1048"/>
  <c r="H1044"/>
  <c r="H1040"/>
  <c r="H1036"/>
  <c r="H1032"/>
  <c r="H1028"/>
  <c r="H1024"/>
  <c r="H1020"/>
  <c r="H1016"/>
  <c r="H1012"/>
  <c r="H1008"/>
  <c r="H1004"/>
  <c r="H1000"/>
  <c r="H996"/>
  <c r="H992"/>
  <c r="H988"/>
  <c r="H984"/>
  <c r="H980"/>
  <c r="H976"/>
  <c r="H972"/>
  <c r="H968"/>
  <c r="H964"/>
  <c r="H960"/>
  <c r="H956"/>
  <c r="H952"/>
  <c r="H948"/>
  <c r="H944"/>
  <c r="H940"/>
  <c r="H936"/>
  <c r="H930"/>
  <c r="H926"/>
  <c r="H922"/>
  <c r="H918"/>
  <c r="H914"/>
  <c r="H910"/>
  <c r="H906"/>
  <c r="H902"/>
  <c r="H898"/>
  <c r="H894"/>
  <c r="H890"/>
  <c r="H886"/>
  <c r="H882"/>
  <c r="H878"/>
  <c r="H874"/>
  <c r="H870"/>
  <c r="H866"/>
  <c r="H862"/>
  <c r="H858"/>
  <c r="H854"/>
  <c r="H850"/>
  <c r="H846"/>
  <c r="H842"/>
  <c r="H838"/>
  <c r="H834"/>
  <c r="H830"/>
  <c r="H824"/>
  <c r="H820"/>
  <c r="H816"/>
  <c r="H812"/>
  <c r="H808"/>
  <c r="H804"/>
  <c r="H800"/>
  <c r="H796"/>
  <c r="H792"/>
  <c r="H788"/>
  <c r="H784"/>
  <c r="H780"/>
  <c r="H776"/>
  <c r="H772"/>
  <c r="H768"/>
  <c r="H764"/>
  <c r="H760"/>
  <c r="H756"/>
  <c r="H752"/>
  <c r="H748"/>
  <c r="H744"/>
  <c r="H740"/>
  <c r="H736"/>
  <c r="H732"/>
  <c r="H728"/>
  <c r="H724"/>
  <c r="H720"/>
  <c r="H716"/>
  <c r="H712"/>
  <c r="H708"/>
  <c r="H704"/>
  <c r="H700"/>
  <c r="H696"/>
  <c r="H692"/>
  <c r="H688"/>
  <c r="H684"/>
  <c r="H680"/>
  <c r="H676"/>
  <c r="H672"/>
  <c r="H668"/>
  <c r="H664"/>
  <c r="H660"/>
  <c r="H656"/>
  <c r="H652"/>
  <c r="H648"/>
  <c r="H644"/>
  <c r="H640"/>
  <c r="H637"/>
  <c r="H633"/>
  <c r="H629"/>
  <c r="H625"/>
  <c r="H621"/>
  <c r="H617"/>
  <c r="H614"/>
  <c r="H610"/>
  <c r="H606"/>
  <c r="H602"/>
  <c r="H598"/>
  <c r="H594"/>
  <c r="H590"/>
  <c r="H586"/>
  <c r="H580"/>
  <c r="H576"/>
  <c r="H572"/>
  <c r="H568"/>
  <c r="H564"/>
  <c r="H560"/>
  <c r="H556"/>
  <c r="H552"/>
  <c r="H548"/>
  <c r="H544"/>
  <c r="H540"/>
  <c r="H536"/>
  <c r="H532"/>
  <c r="H528"/>
  <c r="H524"/>
  <c r="H520"/>
  <c r="H516"/>
  <c r="H512"/>
  <c r="H508"/>
  <c r="H504"/>
  <c r="H500"/>
  <c r="H496"/>
  <c r="H492"/>
  <c r="H488"/>
  <c r="H484"/>
  <c r="H480"/>
  <c r="H476"/>
  <c r="H472"/>
  <c r="H468"/>
  <c r="H465"/>
  <c r="H461"/>
  <c r="H457"/>
  <c r="H453"/>
  <c r="H449"/>
  <c r="H445"/>
  <c r="H441"/>
  <c r="H437"/>
  <c r="H433"/>
  <c r="H429"/>
  <c r="H425"/>
  <c r="H421"/>
  <c r="H417"/>
  <c r="H413"/>
  <c r="H409"/>
  <c r="H406"/>
  <c r="H402"/>
  <c r="H399"/>
  <c r="H395"/>
  <c r="H391"/>
  <c r="H387"/>
  <c r="H383"/>
  <c r="H379"/>
  <c r="H375"/>
  <c r="H371"/>
  <c r="H367"/>
  <c r="H363"/>
  <c r="H359"/>
  <c r="H355"/>
  <c r="H351"/>
  <c r="H347"/>
  <c r="H343"/>
  <c r="H339"/>
  <c r="H335"/>
  <c r="H329"/>
  <c r="H325"/>
  <c r="H321"/>
  <c r="H317"/>
  <c r="H313"/>
  <c r="H309"/>
  <c r="H305"/>
  <c r="H301"/>
  <c r="H297"/>
  <c r="H293"/>
  <c r="H289"/>
  <c r="H285"/>
  <c r="H281"/>
  <c r="H277"/>
  <c r="H273"/>
  <c r="H269"/>
  <c r="H265"/>
  <c r="H261"/>
  <c r="H257"/>
  <c r="H253"/>
  <c r="H249"/>
  <c r="H245"/>
  <c r="H241"/>
  <c r="H237"/>
  <c r="H233"/>
  <c r="H229"/>
  <c r="H225"/>
  <c r="H221"/>
  <c r="H217"/>
  <c r="H213"/>
  <c r="H209"/>
  <c r="H205"/>
  <c r="H201"/>
  <c r="H197"/>
  <c r="H193"/>
  <c r="H189"/>
  <c r="H185"/>
  <c r="H181"/>
  <c r="H177"/>
  <c r="H173"/>
  <c r="H169"/>
  <c r="H165"/>
  <c r="H161"/>
  <c r="H157"/>
  <c r="H153"/>
  <c r="H149"/>
  <c r="H145"/>
  <c r="H141"/>
  <c r="H137"/>
  <c r="H133"/>
  <c r="H129"/>
  <c r="H125"/>
  <c r="H121"/>
  <c r="H117"/>
  <c r="H113"/>
  <c r="H109"/>
  <c r="H105"/>
  <c r="H101"/>
  <c r="H97"/>
  <c r="H93"/>
  <c r="H89"/>
  <c r="H85"/>
  <c r="H81"/>
  <c r="H77"/>
  <c r="H73"/>
  <c r="H69"/>
  <c r="H65"/>
  <c r="H61"/>
  <c r="H57"/>
  <c r="H53"/>
  <c r="H49"/>
  <c r="H45"/>
  <c r="H41"/>
  <c r="H37"/>
  <c r="H33"/>
  <c r="H29"/>
  <c r="H25"/>
  <c r="H21"/>
  <c r="H17"/>
  <c r="H13"/>
  <c r="H9"/>
  <c r="H5"/>
  <c r="H981"/>
  <c r="H977"/>
  <c r="H973"/>
  <c r="H969"/>
  <c r="H965"/>
  <c r="H961"/>
  <c r="H957"/>
  <c r="H953"/>
  <c r="H949"/>
  <c r="H945"/>
  <c r="H941"/>
  <c r="H937"/>
  <c r="H931"/>
  <c r="H927"/>
  <c r="H923"/>
  <c r="H919"/>
  <c r="H915"/>
  <c r="H911"/>
  <c r="H907"/>
  <c r="H903"/>
  <c r="H899"/>
  <c r="H895"/>
  <c r="H891"/>
  <c r="H887"/>
  <c r="H883"/>
  <c r="H879"/>
  <c r="H875"/>
  <c r="H871"/>
  <c r="H867"/>
  <c r="H863"/>
  <c r="H859"/>
  <c r="H855"/>
  <c r="H851"/>
  <c r="H847"/>
  <c r="H843"/>
  <c r="H839"/>
  <c r="H835"/>
  <c r="H831"/>
  <c r="H827"/>
  <c r="H825"/>
  <c r="H821"/>
  <c r="H817"/>
  <c r="H813"/>
  <c r="H809"/>
  <c r="H805"/>
  <c r="H801"/>
  <c r="H797"/>
  <c r="H793"/>
  <c r="H789"/>
  <c r="H785"/>
  <c r="H781"/>
  <c r="H777"/>
  <c r="H773"/>
  <c r="H769"/>
  <c r="H765"/>
  <c r="H761"/>
  <c r="H757"/>
  <c r="H753"/>
  <c r="H749"/>
  <c r="H745"/>
  <c r="H741"/>
  <c r="H737"/>
  <c r="H733"/>
  <c r="H729"/>
  <c r="H725"/>
  <c r="H721"/>
  <c r="H717"/>
  <c r="H713"/>
  <c r="H709"/>
  <c r="H705"/>
  <c r="H701"/>
  <c r="H697"/>
  <c r="H693"/>
  <c r="H689"/>
  <c r="H685"/>
  <c r="H681"/>
  <c r="H677"/>
  <c r="H673"/>
  <c r="H669"/>
  <c r="H665"/>
  <c r="H661"/>
  <c r="H657"/>
  <c r="H653"/>
  <c r="H649"/>
  <c r="H645"/>
  <c r="H641"/>
  <c r="H634"/>
  <c r="H630"/>
  <c r="H626"/>
  <c r="H622"/>
  <c r="H618"/>
  <c r="H611"/>
  <c r="H607"/>
  <c r="H603"/>
  <c r="H599"/>
  <c r="H595"/>
  <c r="H591"/>
  <c r="H587"/>
  <c r="H581"/>
  <c r="H577"/>
  <c r="H573"/>
  <c r="H569"/>
  <c r="H565"/>
  <c r="H561"/>
  <c r="H557"/>
  <c r="H553"/>
  <c r="H549"/>
  <c r="H545"/>
  <c r="H541"/>
  <c r="H537"/>
  <c r="H533"/>
  <c r="H529"/>
  <c r="H525"/>
  <c r="H521"/>
  <c r="H517"/>
  <c r="H513"/>
  <c r="H509"/>
  <c r="H505"/>
  <c r="H501"/>
  <c r="H497"/>
  <c r="H493"/>
  <c r="H489"/>
  <c r="H485"/>
  <c r="H481"/>
  <c r="H477"/>
  <c r="H473"/>
  <c r="H469"/>
  <c r="H462"/>
  <c r="H458"/>
  <c r="H454"/>
  <c r="H450"/>
  <c r="H446"/>
  <c r="H442"/>
  <c r="H438"/>
  <c r="H434"/>
  <c r="H430"/>
  <c r="H426"/>
  <c r="H422"/>
  <c r="H418"/>
  <c r="H414"/>
  <c r="H410"/>
  <c r="H407"/>
  <c r="H403"/>
  <c r="H400"/>
  <c r="H396"/>
  <c r="H392"/>
  <c r="H388"/>
  <c r="H384"/>
  <c r="H380"/>
  <c r="H376"/>
  <c r="H372"/>
  <c r="H368"/>
  <c r="H364"/>
  <c r="H360"/>
  <c r="H356"/>
  <c r="H352"/>
  <c r="H348"/>
  <c r="H344"/>
  <c r="H340"/>
  <c r="H336"/>
  <c r="H332"/>
  <c r="H330"/>
  <c r="H326"/>
  <c r="H322"/>
  <c r="H318"/>
  <c r="H314"/>
  <c r="H310"/>
  <c r="H306"/>
  <c r="H302"/>
  <c r="H298"/>
  <c r="H294"/>
  <c r="H290"/>
  <c r="H286"/>
  <c r="H282"/>
  <c r="H278"/>
  <c r="H274"/>
  <c r="H270"/>
  <c r="H266"/>
  <c r="H262"/>
  <c r="H258"/>
  <c r="H254"/>
  <c r="H250"/>
  <c r="H246"/>
  <c r="H242"/>
  <c r="H238"/>
  <c r="H234"/>
  <c r="H230"/>
  <c r="H226"/>
  <c r="H222"/>
  <c r="H218"/>
  <c r="H214"/>
  <c r="H210"/>
  <c r="H206"/>
  <c r="H202"/>
  <c r="H198"/>
  <c r="H194"/>
  <c r="H190"/>
  <c r="H186"/>
  <c r="H182"/>
  <c r="H178"/>
  <c r="H174"/>
  <c r="H170"/>
  <c r="H166"/>
  <c r="H162"/>
  <c r="H158"/>
  <c r="H154"/>
  <c r="H150"/>
  <c r="H146"/>
  <c r="H142"/>
  <c r="H138"/>
  <c r="H134"/>
  <c r="H130"/>
  <c r="H126"/>
  <c r="H122"/>
  <c r="H118"/>
  <c r="H114"/>
  <c r="H110"/>
  <c r="H106"/>
  <c r="H102"/>
  <c r="H98"/>
  <c r="H94"/>
  <c r="H90"/>
  <c r="H86"/>
  <c r="H82"/>
  <c r="H78"/>
  <c r="H74"/>
  <c r="H70"/>
  <c r="H66"/>
  <c r="H62"/>
  <c r="H58"/>
  <c r="H54"/>
  <c r="H50"/>
  <c r="H46"/>
  <c r="H42"/>
  <c r="H38"/>
  <c r="H34"/>
  <c r="H30"/>
  <c r="H26"/>
  <c r="H22"/>
  <c r="H18"/>
  <c r="H14"/>
  <c r="H10"/>
  <c r="H6"/>
  <c r="H978"/>
  <c r="H974"/>
  <c r="H970"/>
  <c r="H966"/>
  <c r="H962"/>
  <c r="H958"/>
  <c r="H954"/>
  <c r="H950"/>
  <c r="H946"/>
  <c r="H942"/>
  <c r="H938"/>
  <c r="H934"/>
  <c r="H932"/>
  <c r="H928"/>
  <c r="H924"/>
  <c r="H920"/>
  <c r="H916"/>
  <c r="H912"/>
  <c r="H908"/>
  <c r="H904"/>
  <c r="H900"/>
  <c r="H896"/>
  <c r="H892"/>
  <c r="H888"/>
  <c r="H884"/>
  <c r="H880"/>
  <c r="H876"/>
  <c r="H872"/>
  <c r="H868"/>
  <c r="H864"/>
  <c r="H860"/>
  <c r="H856"/>
  <c r="H852"/>
  <c r="H848"/>
  <c r="H844"/>
  <c r="H840"/>
  <c r="H836"/>
  <c r="H832"/>
  <c r="H828"/>
  <c r="H826"/>
  <c r="H822"/>
  <c r="H818"/>
  <c r="H814"/>
  <c r="H810"/>
  <c r="H806"/>
  <c r="H802"/>
  <c r="H798"/>
  <c r="H794"/>
  <c r="H790"/>
  <c r="H786"/>
  <c r="H782"/>
  <c r="H778"/>
  <c r="H774"/>
  <c r="H770"/>
  <c r="H766"/>
  <c r="H762"/>
  <c r="H758"/>
  <c r="H754"/>
  <c r="H750"/>
  <c r="H746"/>
  <c r="H742"/>
  <c r="H738"/>
  <c r="H734"/>
  <c r="H730"/>
  <c r="H726"/>
  <c r="H722"/>
  <c r="H718"/>
  <c r="H714"/>
  <c r="H710"/>
  <c r="H706"/>
  <c r="H702"/>
  <c r="H698"/>
  <c r="H694"/>
  <c r="H690"/>
  <c r="H686"/>
  <c r="H682"/>
  <c r="H678"/>
  <c r="H674"/>
  <c r="H670"/>
  <c r="H666"/>
  <c r="H662"/>
  <c r="H658"/>
  <c r="H654"/>
  <c r="H650"/>
  <c r="H646"/>
  <c r="H642"/>
  <c r="H638"/>
  <c r="H635"/>
  <c r="H631"/>
  <c r="H627"/>
  <c r="H623"/>
  <c r="H619"/>
  <c r="H615"/>
  <c r="H612"/>
  <c r="H608"/>
  <c r="H604"/>
  <c r="H600"/>
  <c r="H596"/>
  <c r="H592"/>
  <c r="H588"/>
  <c r="H584"/>
  <c r="H582"/>
  <c r="H578"/>
  <c r="H574"/>
  <c r="H570"/>
  <c r="H566"/>
  <c r="H562"/>
  <c r="H558"/>
  <c r="H554"/>
  <c r="H550"/>
  <c r="H546"/>
  <c r="H542"/>
  <c r="H538"/>
  <c r="H534"/>
  <c r="H530"/>
  <c r="H526"/>
  <c r="H522"/>
  <c r="H518"/>
  <c r="H514"/>
  <c r="H510"/>
  <c r="H506"/>
  <c r="H502"/>
  <c r="H498"/>
  <c r="H494"/>
  <c r="H490"/>
  <c r="H486"/>
  <c r="H482"/>
  <c r="H478"/>
  <c r="H474"/>
  <c r="H470"/>
  <c r="H466"/>
  <c r="H463"/>
  <c r="H459"/>
  <c r="H455"/>
  <c r="H451"/>
  <c r="H447"/>
  <c r="H443"/>
  <c r="H439"/>
  <c r="H435"/>
  <c r="H431"/>
  <c r="H427"/>
  <c r="H423"/>
  <c r="H419"/>
  <c r="H415"/>
  <c r="H411"/>
  <c r="H408"/>
  <c r="H404"/>
  <c r="H397"/>
  <c r="H393"/>
  <c r="H389"/>
  <c r="H385"/>
  <c r="H381"/>
  <c r="H377"/>
  <c r="H373"/>
  <c r="H369"/>
  <c r="H365"/>
  <c r="H361"/>
  <c r="H357"/>
  <c r="H353"/>
  <c r="H349"/>
  <c r="H345"/>
  <c r="H341"/>
  <c r="H337"/>
  <c r="H333"/>
  <c r="H331"/>
  <c r="H327"/>
  <c r="H323"/>
  <c r="H319"/>
  <c r="H315"/>
  <c r="H311"/>
  <c r="H307"/>
  <c r="H303"/>
  <c r="H299"/>
  <c r="H295"/>
  <c r="H291"/>
  <c r="H287"/>
  <c r="H283"/>
  <c r="H279"/>
  <c r="H275"/>
  <c r="H271"/>
  <c r="H267"/>
  <c r="H263"/>
  <c r="H259"/>
  <c r="H255"/>
  <c r="H251"/>
  <c r="H247"/>
  <c r="H243"/>
  <c r="H239"/>
  <c r="H235"/>
  <c r="H231"/>
  <c r="H227"/>
  <c r="H223"/>
  <c r="H219"/>
  <c r="H215"/>
  <c r="H211"/>
  <c r="H207"/>
  <c r="H203"/>
  <c r="H199"/>
  <c r="H195"/>
  <c r="H191"/>
  <c r="H187"/>
  <c r="H183"/>
  <c r="H179"/>
  <c r="H175"/>
  <c r="H171"/>
  <c r="H167"/>
  <c r="H163"/>
  <c r="H159"/>
  <c r="H155"/>
  <c r="H151"/>
  <c r="H147"/>
  <c r="H143"/>
  <c r="H139"/>
  <c r="H135"/>
  <c r="H131"/>
  <c r="H127"/>
  <c r="H123"/>
  <c r="H119"/>
  <c r="H115"/>
  <c r="H111"/>
  <c r="H107"/>
  <c r="H103"/>
  <c r="H99"/>
  <c r="H95"/>
  <c r="H91"/>
  <c r="H87"/>
  <c r="H83"/>
  <c r="H79"/>
  <c r="H75"/>
  <c r="H71"/>
  <c r="H67"/>
  <c r="H63"/>
  <c r="H59"/>
  <c r="H55"/>
  <c r="H51"/>
  <c r="H47"/>
  <c r="H43"/>
  <c r="H39"/>
  <c r="H35"/>
  <c r="H31"/>
  <c r="H27"/>
  <c r="H23"/>
  <c r="H19"/>
  <c r="H15"/>
  <c r="H11"/>
  <c r="H7"/>
  <c r="H3"/>
  <c r="H987"/>
  <c r="H983"/>
  <c r="H979"/>
  <c r="H975"/>
  <c r="H971"/>
  <c r="H967"/>
  <c r="H963"/>
  <c r="H959"/>
  <c r="H955"/>
  <c r="H951"/>
  <c r="H947"/>
  <c r="H943"/>
  <c r="H939"/>
  <c r="H935"/>
  <c r="H933"/>
  <c r="H929"/>
  <c r="H925"/>
  <c r="H921"/>
  <c r="H917"/>
  <c r="H913"/>
  <c r="H909"/>
  <c r="H905"/>
  <c r="H901"/>
  <c r="H897"/>
  <c r="H893"/>
  <c r="H889"/>
  <c r="H885"/>
  <c r="H881"/>
  <c r="H877"/>
  <c r="H873"/>
  <c r="H869"/>
  <c r="H865"/>
  <c r="H861"/>
  <c r="H857"/>
  <c r="H853"/>
  <c r="H849"/>
  <c r="H845"/>
  <c r="H841"/>
  <c r="H837"/>
  <c r="H833"/>
  <c r="H829"/>
  <c r="H823"/>
  <c r="H819"/>
  <c r="H815"/>
  <c r="H811"/>
  <c r="H807"/>
  <c r="H803"/>
  <c r="H799"/>
  <c r="H795"/>
  <c r="H791"/>
  <c r="H787"/>
  <c r="H783"/>
  <c r="H779"/>
  <c r="H775"/>
  <c r="H771"/>
  <c r="H767"/>
  <c r="H763"/>
  <c r="H759"/>
  <c r="H755"/>
  <c r="H751"/>
  <c r="H747"/>
  <c r="H743"/>
  <c r="H739"/>
  <c r="H735"/>
  <c r="H731"/>
  <c r="H727"/>
  <c r="H723"/>
  <c r="H719"/>
  <c r="H715"/>
  <c r="H711"/>
  <c r="H707"/>
  <c r="H703"/>
  <c r="H699"/>
  <c r="H695"/>
  <c r="H691"/>
  <c r="H687"/>
  <c r="H683"/>
  <c r="H679"/>
  <c r="H675"/>
  <c r="H671"/>
  <c r="H667"/>
  <c r="H663"/>
  <c r="H659"/>
  <c r="H655"/>
  <c r="H651"/>
  <c r="H647"/>
  <c r="H643"/>
  <c r="H639"/>
  <c r="H636"/>
  <c r="H632"/>
  <c r="H628"/>
  <c r="H624"/>
  <c r="H620"/>
  <c r="H616"/>
  <c r="H613"/>
  <c r="H609"/>
  <c r="H605"/>
  <c r="H601"/>
  <c r="H597"/>
  <c r="H593"/>
  <c r="H589"/>
  <c r="H585"/>
  <c r="H583"/>
  <c r="H579"/>
  <c r="H575"/>
  <c r="H571"/>
  <c r="H567"/>
  <c r="H563"/>
  <c r="H559"/>
  <c r="H555"/>
  <c r="H551"/>
  <c r="H547"/>
  <c r="H543"/>
  <c r="H539"/>
  <c r="H535"/>
  <c r="H531"/>
  <c r="H527"/>
  <c r="H523"/>
  <c r="H519"/>
  <c r="H515"/>
  <c r="H511"/>
  <c r="H507"/>
  <c r="H503"/>
  <c r="H499"/>
  <c r="H495"/>
  <c r="H491"/>
  <c r="H487"/>
  <c r="H483"/>
  <c r="H479"/>
  <c r="H475"/>
  <c r="H471"/>
  <c r="H467"/>
  <c r="H464"/>
  <c r="H460"/>
  <c r="H456"/>
  <c r="H452"/>
  <c r="H448"/>
  <c r="H444"/>
  <c r="H440"/>
  <c r="H436"/>
  <c r="H432"/>
  <c r="H428"/>
  <c r="H424"/>
  <c r="H420"/>
  <c r="H416"/>
  <c r="H412"/>
  <c r="H405"/>
  <c r="H401"/>
  <c r="H398"/>
  <c r="H394"/>
  <c r="H390"/>
  <c r="H386"/>
  <c r="H382"/>
  <c r="H378"/>
  <c r="H374"/>
  <c r="H370"/>
  <c r="H366"/>
  <c r="H362"/>
  <c r="H358"/>
  <c r="H354"/>
  <c r="H350"/>
  <c r="H346"/>
  <c r="H342"/>
  <c r="H338"/>
  <c r="H334"/>
  <c r="H328"/>
  <c r="H324"/>
  <c r="H320"/>
  <c r="H316"/>
  <c r="H312"/>
  <c r="H308"/>
  <c r="H304"/>
  <c r="H300"/>
  <c r="H296"/>
  <c r="H292"/>
  <c r="H288"/>
  <c r="H284"/>
  <c r="H280"/>
  <c r="H276"/>
  <c r="H272"/>
  <c r="H268"/>
  <c r="H264"/>
  <c r="H260"/>
  <c r="H256"/>
  <c r="H252"/>
  <c r="H248"/>
  <c r="H244"/>
  <c r="H240"/>
  <c r="H236"/>
  <c r="H232"/>
  <c r="H228"/>
  <c r="H224"/>
  <c r="H220"/>
  <c r="H216"/>
  <c r="H212"/>
  <c r="H208"/>
  <c r="H204"/>
  <c r="H200"/>
  <c r="H196"/>
  <c r="H192"/>
  <c r="H188"/>
  <c r="H184"/>
  <c r="H180"/>
  <c r="H176"/>
  <c r="H172"/>
  <c r="H168"/>
  <c r="H164"/>
  <c r="H160"/>
  <c r="H156"/>
  <c r="H152"/>
  <c r="H148"/>
  <c r="H144"/>
  <c r="H140"/>
  <c r="H136"/>
  <c r="H132"/>
  <c r="H128"/>
  <c r="H124"/>
  <c r="H120"/>
  <c r="H116"/>
  <c r="H112"/>
  <c r="H108"/>
  <c r="H104"/>
  <c r="H100"/>
  <c r="H96"/>
  <c r="H92"/>
  <c r="H88"/>
  <c r="H84"/>
  <c r="H80"/>
  <c r="H76"/>
  <c r="H72"/>
  <c r="H68"/>
  <c r="H64"/>
  <c r="H60"/>
  <c r="H56"/>
  <c r="H52"/>
  <c r="H48"/>
  <c r="H44"/>
  <c r="H40"/>
  <c r="H36"/>
  <c r="H32"/>
  <c r="H28"/>
  <c r="H24"/>
  <c r="H20"/>
  <c r="H16"/>
  <c r="H12"/>
  <c r="H8"/>
  <c r="H4"/>
</calcChain>
</file>

<file path=xl/comments1.xml><?xml version="1.0" encoding="utf-8"?>
<comments xmlns="http://schemas.openxmlformats.org/spreadsheetml/2006/main">
  <authors>
    <author>Elize Rich</author>
    <author>Christie</author>
    <author>Marlies</author>
    <author>Silke</author>
    <author>Lisa</author>
    <author>Celeste</author>
    <author>Fharga</author>
  </authors>
  <commentList>
    <comment ref="G1" authorId="0">
      <text>
        <r>
          <rPr>
            <b/>
            <sz val="9"/>
            <color indexed="81"/>
            <rFont val="Tahoma"/>
            <charset val="1"/>
          </rPr>
          <t>Elize Rich:</t>
        </r>
        <r>
          <rPr>
            <sz val="9"/>
            <color indexed="81"/>
            <rFont val="Tahoma"/>
            <charset val="1"/>
          </rPr>
          <t xml:space="preserve">
Assuming "a1" if not specified otherwise.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Elize Rich:
converted to string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8" authorId="1">
      <text>
        <r>
          <rPr>
            <b/>
            <sz val="9"/>
            <color indexed="81"/>
            <rFont val="Tahoma"/>
            <family val="2"/>
          </rPr>
          <t>Christie:</t>
        </r>
        <r>
          <rPr>
            <sz val="9"/>
            <color indexed="81"/>
            <rFont val="Tahoma"/>
            <family val="2"/>
          </rPr>
          <t xml:space="preserve">
Only family from Stellenbosch
</t>
        </r>
      </text>
    </comment>
    <comment ref="F575" authorId="0">
      <text>
        <r>
          <rPr>
            <b/>
            <sz val="9"/>
            <color indexed="81"/>
            <rFont val="Tahoma"/>
            <family val="2"/>
          </rPr>
          <t>Elize Rich:</t>
        </r>
        <r>
          <rPr>
            <sz val="9"/>
            <color indexed="81"/>
            <rFont val="Tahoma"/>
            <family val="2"/>
          </rPr>
          <t xml:space="preserve">
Geen info om mee te match in SAF</t>
        </r>
      </text>
    </comment>
    <comment ref="W642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sister of Hans Dons de Lange</t>
        </r>
      </text>
    </comment>
    <comment ref="AK646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BUT DID NOT STAY THERE FOR LONG
</t>
        </r>
      </text>
    </comment>
    <comment ref="AY646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WIDOW OF MARTHINUS CHRISTOFFEL BARNARD</t>
        </r>
      </text>
    </comment>
    <comment ref="AK647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FARM CALBASFONTEIN WAS PUT UNDER HIS NAME ON 18/06/1849</t>
        </r>
      </text>
    </comment>
    <comment ref="AK649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FARM " DE ZANDFONTEIN' WAS PUT UNDER HIS NAME</t>
        </r>
      </text>
    </comment>
    <comment ref="X651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THE PARENTS IN LAW OF ADRIAAN DIRK DE LANGE, SON OF HANS DONS DE LANGE</t>
        </r>
      </text>
    </comment>
    <comment ref="AO651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WIDOW OF PIETER LOOTS</t>
        </r>
      </text>
    </comment>
    <comment ref="X652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WIDOW OF HERMANUS LAMBERTUS POTGIETER</t>
        </r>
      </text>
    </comment>
    <comment ref="P656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BATTLE OF THE WHITE-MFOLOZI</t>
        </r>
      </text>
    </comment>
    <comment ref="AJ656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BUT COULD HAVE JOINED RETIEF IN FEBRUARY 1837</t>
        </r>
      </text>
    </comment>
    <comment ref="X658" authorId="2">
      <text>
        <r>
          <rPr>
            <b/>
            <sz val="9"/>
            <color indexed="81"/>
            <rFont val="Tahoma"/>
            <family val="2"/>
          </rPr>
          <t>Marlies: 
she married K.P. LANDMAN</t>
        </r>
      </text>
    </comment>
    <comment ref="P660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WITH RETIEF AND GROUP </t>
        </r>
      </text>
    </comment>
    <comment ref="AG660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ALSO HAVE OTHER PROPERTY: FARM VARKENSKUIL, OOS-RIETRIVIER, SOMERSET</t>
        </r>
      </text>
    </comment>
    <comment ref="AO660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DAUGHTER OF FIELD COMMANDOR ALBANY CORNELIS MEYER AND SHE REMARRIED ON 28/05/1840 WITH LOURENS BADENHORST b2c10d3</t>
        </r>
      </text>
    </comment>
    <comment ref="AF661" authorId="2">
      <text>
        <r>
          <rPr>
            <b/>
            <sz val="9"/>
            <color indexed="81"/>
            <rFont val="Tahoma"/>
            <family val="2"/>
          </rPr>
          <t>Marlies:
"Vrisch Gewaagd" and "Goede Hoop"</t>
        </r>
      </text>
    </comment>
    <comment ref="X662" authorId="2">
      <text>
        <r>
          <rPr>
            <b/>
            <sz val="9"/>
            <color indexed="81"/>
            <rFont val="Tahoma"/>
            <family val="2"/>
          </rPr>
          <t>Marlies:
WIDOW OF MATTHYS HENDRIK MARAIS</t>
        </r>
      </text>
    </comment>
    <comment ref="AJ662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THEN HIM AND HIS WIFE LIVED ON A FARM CLOSE TO AMERSFOORT WHERE HE AND HIS FIRST WIFE PASSED AWAY AND WERE BURRIED</t>
        </r>
      </text>
    </comment>
    <comment ref="AF664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IN 1835 THEY LIVED IN BRAKRIVIER</t>
        </r>
      </text>
    </comment>
    <comment ref="X669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SHE REMARRIES WITH ANDRIES LOIUS LOMBAARD</t>
        </r>
      </text>
    </comment>
    <comment ref="AH669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BUT IN CASE THEY MOVED WITH HIS PARENTS THEN AROUND MARCH 1838
</t>
        </r>
      </text>
    </comment>
    <comment ref="A670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MARRIED TO ?</t>
        </r>
      </text>
    </comment>
    <comment ref="AO674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WIDOW OF JOHANNES PETRUS DU BUISSON</t>
        </r>
      </text>
    </comment>
    <comment ref="AZ674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WIDOW OF A.J. VENTER</t>
        </r>
      </text>
    </comment>
    <comment ref="AH678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MOST PROBABLY BEGIN 1836</t>
        </r>
      </text>
    </comment>
    <comment ref="D679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WIDOW OF PIETER DANIEL DU PREEZ</t>
        </r>
      </text>
    </comment>
    <comment ref="AZ680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WIDOW OF LUCAS CORNELIS VILJOEN</t>
        </r>
      </text>
    </comment>
    <comment ref="AH681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BUT MOST PROBABLY AFTER 1839</t>
        </r>
      </text>
    </comment>
    <comment ref="AK681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THE FARM "VAALKOP" IN OHRIGSTAD WAS PUT UINDER HIS NAME ON 27/01/1846</t>
        </r>
      </text>
    </comment>
    <comment ref="AJ686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BUT JOIN POTGIETER'S SUPPORTERS IN POTCHEFSTROOM</t>
        </r>
      </text>
    </comment>
    <comment ref="AO686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WIDOW OF DE LANGE</t>
        </r>
      </text>
    </comment>
    <comment ref="AO687" authorId="3">
      <text>
        <r>
          <rPr>
            <b/>
            <sz val="9"/>
            <color indexed="81"/>
            <rFont val="Tahoma"/>
            <family val="2"/>
          </rPr>
          <t>Silke:</t>
        </r>
        <r>
          <rPr>
            <sz val="9"/>
            <color indexed="81"/>
            <rFont val="Tahoma"/>
            <family val="2"/>
          </rPr>
          <t xml:space="preserve">
WIDOW OF FRANCOIS DU TOIT</t>
        </r>
      </text>
    </comment>
    <comment ref="AZ687" authorId="3">
      <text>
        <r>
          <rPr>
            <b/>
            <sz val="9"/>
            <color indexed="81"/>
            <rFont val="Tahoma"/>
            <family val="2"/>
          </rPr>
          <t>Silke:</t>
        </r>
        <r>
          <rPr>
            <sz val="9"/>
            <color indexed="81"/>
            <rFont val="Tahoma"/>
            <family val="2"/>
          </rPr>
          <t xml:space="preserve">
WIDOW OF J. VAN VUUREN</t>
        </r>
      </text>
    </comment>
    <comment ref="AO688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WIDOW OF PIET MOOLMAN</t>
        </r>
      </text>
    </comment>
    <comment ref="AK689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THE FARMS " Bronkhorstfontein at the Renosterrivier" and " Kortfontein at the Kosterfontein" were put under his name on 31/07/1838 and 07/12/1839 and then "Buffelsdrif at the Sandriver in Ohrigstad" on 17/09/1845</t>
        </r>
      </text>
    </comment>
    <comment ref="AO690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A YOUNGER SISTER OF A.H. POTGIETER</t>
        </r>
      </text>
    </comment>
    <comment ref="BA690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WIDOW OF HENDRIK PRELLER</t>
        </r>
      </text>
    </comment>
    <comment ref="BJ692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WIDOW OF G.P. VREY</t>
        </r>
      </text>
    </comment>
    <comment ref="AK694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FARMS "OOG VAN MOOIRIVIER" IN POTCHEFSTROOM AND "HOOGPOORT" WERE PUT UNDER HIS NAME ON 03/06/1839 AND 14/02/1847 RESPECTIVELY</t>
        </r>
      </text>
    </comment>
    <comment ref="AK695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THE FARMS "VLAKHOEK" AT  MAGALIESBERG AND "VLAKPLAATS" WERE PUT UNDER HIS NAME ON 13/07/1840 AND 14/02/1846 </t>
        </r>
      </text>
    </comment>
    <comment ref="AF696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LATER IN BRAKRIVIER, SOMERSET
</t>
        </r>
      </text>
    </comment>
    <comment ref="AK696" authorId="2">
      <text>
        <r>
          <rPr>
            <b/>
            <sz val="9"/>
            <color indexed="81"/>
            <rFont val="Tahoma"/>
            <family val="2"/>
          </rPr>
          <t>Marlies:</t>
        </r>
        <r>
          <rPr>
            <sz val="9"/>
            <color indexed="81"/>
            <rFont val="Tahoma"/>
            <family val="2"/>
          </rPr>
          <t xml:space="preserve">
LATER IN ZEERUST</t>
        </r>
      </text>
    </comment>
    <comment ref="AH701" authorId="3">
      <text>
        <r>
          <rPr>
            <b/>
            <sz val="9"/>
            <color indexed="81"/>
            <rFont val="Tahoma"/>
            <family val="2"/>
          </rPr>
          <t>Silke:</t>
        </r>
        <r>
          <rPr>
            <sz val="9"/>
            <color indexed="81"/>
            <rFont val="Tahoma"/>
            <family val="2"/>
          </rPr>
          <t xml:space="preserve">
HE LEAVES WITH 5 DOMESTIC HELPERS, 26 HORSES, 68 COWS, 24 CALVES, 87 OXEN, 2000 SHEEP, 331 GOATS AND 2 WAGGONS</t>
        </r>
      </text>
    </comment>
    <comment ref="AO701" authorId="3">
      <text>
        <r>
          <rPr>
            <b/>
            <sz val="9"/>
            <color indexed="81"/>
            <rFont val="Tahoma"/>
            <family val="2"/>
          </rPr>
          <t>Silke:</t>
        </r>
        <r>
          <rPr>
            <sz val="9"/>
            <color indexed="81"/>
            <rFont val="Tahoma"/>
            <family val="2"/>
          </rPr>
          <t xml:space="preserve">
SHE REMARRIES WITH JOHAN PHILIP ZIETSMAN AND GERRIT JACOBUS NAUDE</t>
        </r>
      </text>
    </comment>
    <comment ref="A705" authorId="3">
      <text>
        <r>
          <rPr>
            <sz val="9"/>
            <color indexed="81"/>
            <rFont val="Tahoma"/>
            <family val="2"/>
          </rPr>
          <t>Marlies:
WIDOW OF PIETER JOUBERT AND DAUGHTHER OF HAASBROEK FOREFATHERS</t>
        </r>
      </text>
    </comment>
    <comment ref="X706" authorId="3">
      <text>
        <r>
          <rPr>
            <b/>
            <sz val="9"/>
            <color indexed="81"/>
            <rFont val="Tahoma"/>
            <family val="2"/>
          </rPr>
          <t>Silke:</t>
        </r>
        <r>
          <rPr>
            <sz val="9"/>
            <color indexed="81"/>
            <rFont val="Tahoma"/>
            <family val="2"/>
          </rPr>
          <t xml:space="preserve">
ALSO SPELT ALBERTINA MARGARETHA SMITH</t>
        </r>
      </text>
    </comment>
    <comment ref="AO708" authorId="4">
      <text>
        <r>
          <rPr>
            <sz val="9"/>
            <color indexed="81"/>
            <rFont val="Tahoma"/>
            <family val="2"/>
          </rPr>
          <t xml:space="preserve">Marlies:
WIDOW OF LUKAS CORNELIS JOHANNES KLOPPER
</t>
        </r>
      </text>
    </comment>
    <comment ref="A709" authorId="4">
      <text>
        <r>
          <rPr>
            <b/>
            <sz val="9"/>
            <color indexed="81"/>
            <rFont val="Tahoma"/>
            <family val="2"/>
          </rPr>
          <t>Marlies:
MOST PROBABLY ARRIVED IN PORT NATAL WITH OTHER GERMANS IN 1839</t>
        </r>
      </text>
    </comment>
    <comment ref="AO710" authorId="4">
      <text>
        <r>
          <rPr>
            <sz val="9"/>
            <color indexed="81"/>
            <rFont val="Tahoma"/>
            <family val="2"/>
          </rPr>
          <t xml:space="preserve">Marlies:
ALSO CALLED ANTJIE BOTHA. WIDOW OF HENDRIK BEZUIDENHOUT AND P.J.H. BOTHA. SURVIVED THE TREGARDT- MOVE
</t>
        </r>
      </text>
    </comment>
    <comment ref="A800" authorId="0">
      <text>
        <r>
          <rPr>
            <b/>
            <sz val="9"/>
            <color indexed="81"/>
            <rFont val="Tahoma"/>
            <family val="2"/>
          </rPr>
          <t>Elize Rich:
Geen match in SAF</t>
        </r>
      </text>
    </comment>
    <comment ref="A801" authorId="0">
      <text>
        <r>
          <rPr>
            <b/>
            <sz val="9"/>
            <color indexed="81"/>
            <rFont val="Tahoma"/>
            <family val="2"/>
          </rPr>
          <t>Elize Rich:</t>
        </r>
        <r>
          <rPr>
            <sz val="9"/>
            <color indexed="81"/>
            <rFont val="Tahoma"/>
            <family val="2"/>
          </rPr>
          <t xml:space="preserve">
Geen match in SAF</t>
        </r>
      </text>
    </comment>
    <comment ref="A802" authorId="0">
      <text>
        <r>
          <rPr>
            <b/>
            <sz val="9"/>
            <color indexed="81"/>
            <rFont val="Tahoma"/>
            <family val="2"/>
          </rPr>
          <t>Elize Rich:</t>
        </r>
        <r>
          <rPr>
            <sz val="9"/>
            <color indexed="81"/>
            <rFont val="Tahoma"/>
            <family val="2"/>
          </rPr>
          <t xml:space="preserve">
Geen match in SAF</t>
        </r>
      </text>
    </comment>
    <comment ref="A879" authorId="0">
      <text>
        <r>
          <rPr>
            <b/>
            <sz val="9"/>
            <color indexed="81"/>
            <rFont val="Tahoma"/>
            <family val="2"/>
          </rPr>
          <t>Elize Rich:</t>
        </r>
        <r>
          <rPr>
            <sz val="9"/>
            <color indexed="81"/>
            <rFont val="Tahoma"/>
            <family val="2"/>
          </rPr>
          <t xml:space="preserve">
Verander van Klopper(s) om te match met SAF</t>
        </r>
      </text>
    </comment>
    <comment ref="A902" authorId="0">
      <text>
        <r>
          <rPr>
            <b/>
            <sz val="9"/>
            <color indexed="81"/>
            <rFont val="Tahoma"/>
            <family val="2"/>
          </rPr>
          <t>Elize Rich:</t>
        </r>
        <r>
          <rPr>
            <sz val="9"/>
            <color indexed="81"/>
            <rFont val="Tahoma"/>
            <family val="2"/>
          </rPr>
          <t xml:space="preserve">
Geen match in SAF</t>
        </r>
      </text>
    </comment>
    <comment ref="D927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NOT SURE ABOUT THESE FACTS</t>
        </r>
      </text>
    </comment>
    <comment ref="D962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LEADER</t>
        </r>
      </text>
    </comment>
    <comment ref="A1009" authorId="0">
      <text>
        <r>
          <rPr>
            <b/>
            <sz val="9"/>
            <color indexed="81"/>
            <rFont val="Tahoma"/>
            <family val="2"/>
          </rPr>
          <t>Elize Rich:</t>
        </r>
        <r>
          <rPr>
            <sz val="9"/>
            <color indexed="81"/>
            <rFont val="Tahoma"/>
            <family val="2"/>
          </rPr>
          <t xml:space="preserve">
Geen match in SAF</t>
        </r>
      </text>
    </comment>
    <comment ref="A1050" authorId="0">
      <text>
        <r>
          <rPr>
            <b/>
            <sz val="9"/>
            <color indexed="81"/>
            <rFont val="Tahoma"/>
            <family val="2"/>
          </rPr>
          <t>Elize Rich:</t>
        </r>
        <r>
          <rPr>
            <sz val="9"/>
            <color indexed="81"/>
            <rFont val="Tahoma"/>
            <family val="2"/>
          </rPr>
          <t xml:space="preserve">
Verander van Maré om te match met SAF</t>
        </r>
      </text>
    </comment>
    <comment ref="A1051" authorId="0">
      <text>
        <r>
          <rPr>
            <b/>
            <sz val="9"/>
            <color indexed="81"/>
            <rFont val="Tahoma"/>
            <family val="2"/>
          </rPr>
          <t>Elize Rich:</t>
        </r>
        <r>
          <rPr>
            <sz val="9"/>
            <color indexed="81"/>
            <rFont val="Tahoma"/>
            <family val="2"/>
          </rPr>
          <t xml:space="preserve">
Geen match in SAF</t>
        </r>
      </text>
    </comment>
    <comment ref="AJ1255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POSSIBLY ONLY LEFT AFER APRIL 1837 WITH ANOTHER TREK GROUP</t>
        </r>
      </text>
    </comment>
    <comment ref="AF1256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LATER PROBABLY WINTERBERG, ALBANY</t>
        </r>
      </text>
    </comment>
    <comment ref="D1265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BAREND PIETERS</t>
        </r>
      </text>
    </comment>
    <comment ref="D1266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BAREND PIETERS</t>
        </r>
      </text>
    </comment>
    <comment ref="D1267" authorId="2">
      <text>
        <r>
          <rPr>
            <b/>
            <sz val="9"/>
            <color indexed="81"/>
            <rFont val="Tahoma"/>
            <charset val="1"/>
          </rPr>
          <t>STAMVADER WAS BAREND PIETERS</t>
        </r>
      </text>
    </comment>
    <comment ref="D1268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BAREND PIETERS</t>
        </r>
      </text>
    </comment>
    <comment ref="D1269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BAREND PIETERS</t>
        </r>
      </text>
    </comment>
    <comment ref="D1270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BAREND PIETERS</t>
        </r>
      </text>
    </comment>
    <comment ref="D1271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BAREND PIETERS</t>
        </r>
      </text>
    </comment>
    <comment ref="D1272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BAREND PIETERS</t>
        </r>
      </text>
    </comment>
    <comment ref="D1273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BAREND PIETERS</t>
        </r>
      </text>
    </comment>
    <comment ref="D1274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barthold pietersen</t>
        </r>
      </text>
    </comment>
    <comment ref="D1275" authorId="2">
      <text>
        <r>
          <rPr>
            <b/>
            <sz val="9"/>
            <color indexed="81"/>
            <rFont val="Tahoma"/>
            <charset val="1"/>
          </rPr>
          <t>STAMVADER WAS BARTHOLD PIETERSEN</t>
        </r>
      </text>
    </comment>
    <comment ref="D1276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BARTHOLD PIETERSEN</t>
        </r>
      </text>
    </comment>
    <comment ref="D1277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BARTHOLD PIETERSEN</t>
        </r>
      </text>
    </comment>
    <comment ref="D1278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BARTHOLD PIETERSEN</t>
        </r>
      </text>
    </comment>
    <comment ref="D1279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BARTHOLD PIETERSEN</t>
        </r>
      </text>
    </comment>
    <comment ref="D1280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BARTHOLD PIETERSEN</t>
        </r>
      </text>
    </comment>
    <comment ref="D1281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STAMVADER WAS ROELOF PIETERSE</t>
        </r>
      </text>
    </comment>
    <comment ref="D1313" authorId="2">
      <text>
        <r>
          <rPr>
            <b/>
            <sz val="9"/>
            <color indexed="81"/>
            <rFont val="Tahoma"/>
            <charset val="1"/>
          </rPr>
          <t>VOORTREKKER LEADER AND KOMMANDANT</t>
        </r>
      </text>
    </comment>
    <comment ref="AO1319" authorId="2">
      <text>
        <r>
          <rPr>
            <b/>
            <sz val="9"/>
            <color indexed="81"/>
            <rFont val="Tahoma"/>
            <charset val="1"/>
          </rPr>
          <t>Marlies:</t>
        </r>
        <r>
          <rPr>
            <sz val="9"/>
            <color indexed="81"/>
            <rFont val="Tahoma"/>
            <charset val="1"/>
          </rPr>
          <t xml:space="preserve">
WIDOW OF VAN DER MERWE</t>
        </r>
      </text>
    </comment>
    <comment ref="AV1679" authorId="5">
      <text>
        <r>
          <rPr>
            <b/>
            <sz val="9"/>
            <color indexed="81"/>
            <rFont val="Tahoma"/>
            <charset val="1"/>
          </rPr>
          <t>Celeste:</t>
        </r>
        <r>
          <rPr>
            <sz val="9"/>
            <color indexed="81"/>
            <rFont val="Tahoma"/>
            <charset val="1"/>
          </rPr>
          <t xml:space="preserve">
THE DATE IS JULY 1901
</t>
        </r>
      </text>
    </comment>
    <comment ref="A1688" authorId="0">
      <text>
        <r>
          <rPr>
            <b/>
            <sz val="9"/>
            <color indexed="81"/>
            <rFont val="Tahoma"/>
            <family val="2"/>
          </rPr>
          <t>Elize Rich:</t>
        </r>
        <r>
          <rPr>
            <sz val="9"/>
            <color indexed="81"/>
            <rFont val="Tahoma"/>
            <family val="2"/>
          </rPr>
          <t xml:space="preserve">
No match in SAF</t>
        </r>
      </text>
    </comment>
    <comment ref="D1758" authorId="5">
      <text>
        <r>
          <rPr>
            <b/>
            <sz val="9"/>
            <color indexed="81"/>
            <rFont val="Tahoma"/>
            <charset val="1"/>
          </rPr>
          <t>Celeste:</t>
        </r>
        <r>
          <rPr>
            <sz val="9"/>
            <color indexed="81"/>
            <rFont val="Tahoma"/>
            <charset val="1"/>
          </rPr>
          <t xml:space="preserve">
SEE SARA SCHEEPERS
</t>
        </r>
      </text>
    </comment>
    <comment ref="F1821" authorId="6">
      <text>
        <r>
          <rPr>
            <b/>
            <sz val="8"/>
            <color indexed="81"/>
            <rFont val="Tahoma"/>
            <family val="2"/>
          </rPr>
          <t>Fharga:</t>
        </r>
        <r>
          <rPr>
            <sz val="8"/>
            <color indexed="81"/>
            <rFont val="Tahoma"/>
            <family val="2"/>
          </rPr>
          <t xml:space="preserve">
THE FIRST CODE IS ACCORDING TO De V AND SAG, WHILE THE SECOND CODE IS ACCORDING TO J.R. UYS</t>
        </r>
      </text>
    </comment>
    <comment ref="A1829" authorId="6">
      <text>
        <r>
          <rPr>
            <b/>
            <sz val="8"/>
            <color indexed="81"/>
            <rFont val="Tahoma"/>
            <family val="2"/>
          </rPr>
          <t>Fharga:</t>
        </r>
        <r>
          <rPr>
            <sz val="8"/>
            <color indexed="81"/>
            <rFont val="Tahoma"/>
            <family val="2"/>
          </rPr>
          <t xml:space="preserve">
THE FIRST FIVE FAMILIES DID NOT TAKE PART IN THE GROOT TREK.</t>
        </r>
      </text>
    </comment>
    <comment ref="F1844" authorId="5">
      <text>
        <r>
          <rPr>
            <b/>
            <sz val="9"/>
            <color indexed="81"/>
            <rFont val="Tahoma"/>
            <family val="2"/>
          </rPr>
          <t>Celeste:</t>
        </r>
        <r>
          <rPr>
            <sz val="9"/>
            <color indexed="81"/>
            <rFont val="Tahoma"/>
            <family val="2"/>
          </rPr>
          <t xml:space="preserve">
BETWEEN d4 AND d5</t>
        </r>
      </text>
    </comment>
    <comment ref="A1862" authorId="0">
      <text>
        <r>
          <rPr>
            <b/>
            <sz val="9"/>
            <color indexed="81"/>
            <rFont val="Tahoma"/>
            <family val="2"/>
          </rPr>
          <t>Elize Rich:</t>
        </r>
        <r>
          <rPr>
            <sz val="9"/>
            <color indexed="81"/>
            <rFont val="Tahoma"/>
            <family val="2"/>
          </rPr>
          <t xml:space="preserve">
No match in SAF</t>
        </r>
      </text>
    </comment>
    <comment ref="A2301" authorId="0">
      <text>
        <r>
          <rPr>
            <b/>
            <sz val="9"/>
            <color indexed="81"/>
            <rFont val="Tahoma"/>
            <family val="2"/>
          </rPr>
          <t>Elize Rich:</t>
        </r>
        <r>
          <rPr>
            <sz val="9"/>
            <color indexed="81"/>
            <rFont val="Tahoma"/>
            <family val="2"/>
          </rPr>
          <t xml:space="preserve">
No match in SAF</t>
        </r>
      </text>
    </comment>
  </commentList>
</comments>
</file>

<file path=xl/sharedStrings.xml><?xml version="1.0" encoding="utf-8"?>
<sst xmlns="http://schemas.openxmlformats.org/spreadsheetml/2006/main" count="53728" uniqueCount="15992">
  <si>
    <t>SURNAME</t>
  </si>
  <si>
    <t>NAME</t>
  </si>
  <si>
    <t>MOVE ON</t>
  </si>
  <si>
    <t>MOVE WITH</t>
  </si>
  <si>
    <t>ALBACH</t>
  </si>
  <si>
    <t xml:space="preserve">IZAK </t>
  </si>
  <si>
    <t>PARIS, FRANCE</t>
  </si>
  <si>
    <t>BORN (*)</t>
  </si>
  <si>
    <r>
      <t>BAPTISED (</t>
    </r>
    <r>
      <rPr>
        <b/>
        <sz val="11"/>
        <color theme="1"/>
        <rFont val="Calibri"/>
        <family val="2"/>
      </rPr>
      <t>≈)</t>
    </r>
  </si>
  <si>
    <r>
      <t>DIED (</t>
    </r>
    <r>
      <rPr>
        <b/>
        <sz val="11"/>
        <color theme="1"/>
        <rFont val="Calibri"/>
        <family val="2"/>
      </rPr>
      <t>†)</t>
    </r>
  </si>
  <si>
    <t>M. DATE</t>
  </si>
  <si>
    <t>M. PLACE</t>
  </si>
  <si>
    <t>M. TO</t>
  </si>
  <si>
    <t>BEAUFORT WEST</t>
  </si>
  <si>
    <t>DELAGOA BAY</t>
  </si>
  <si>
    <t>20/5/1838 - 16/6/1838</t>
  </si>
  <si>
    <t>BRAKRIVIER</t>
  </si>
  <si>
    <t>SEPT 1835</t>
  </si>
  <si>
    <t>TREGARDT</t>
  </si>
  <si>
    <t>LOURENS MARTHINUS</t>
  </si>
  <si>
    <t>ALBERTS</t>
  </si>
  <si>
    <t>28/11/1804 - 29/11/1804</t>
  </si>
  <si>
    <t>12/05/1805</t>
  </si>
  <si>
    <t>GRAAFF-REINETT</t>
  </si>
  <si>
    <t>KROONSTAD</t>
  </si>
  <si>
    <t>BATISED PLACE</t>
  </si>
  <si>
    <r>
      <t>PLACE (</t>
    </r>
    <r>
      <rPr>
        <b/>
        <sz val="11"/>
        <color theme="1"/>
        <rFont val="Calibri"/>
        <family val="2"/>
      </rPr>
      <t>†)</t>
    </r>
  </si>
  <si>
    <t>MOVE TO</t>
  </si>
  <si>
    <t>CRADOCK</t>
  </si>
  <si>
    <t>APRIL 1837</t>
  </si>
  <si>
    <t>JOHANNES</t>
  </si>
  <si>
    <t>BLOEMFONTEIN</t>
  </si>
  <si>
    <t>SWELLENDAM</t>
  </si>
  <si>
    <t>09/09/1832</t>
  </si>
  <si>
    <t>02/12/1821</t>
  </si>
  <si>
    <t>08/10/1825</t>
  </si>
  <si>
    <t>06/04/1806</t>
  </si>
  <si>
    <t>07/12/1866</t>
  </si>
  <si>
    <t>02/05/1838 - 19/05/1838</t>
  </si>
  <si>
    <t xml:space="preserve">ALBERTS </t>
  </si>
  <si>
    <t>JOHANNES JOACHIM</t>
  </si>
  <si>
    <t>14/07/1807</t>
  </si>
  <si>
    <t>21/02/1808</t>
  </si>
  <si>
    <t>11/12/1854</t>
  </si>
  <si>
    <t>03/09/1826</t>
  </si>
  <si>
    <t>TRANSGARIEP</t>
  </si>
  <si>
    <t>APPEL</t>
  </si>
  <si>
    <t>JOHANNES HENDRICUS</t>
  </si>
  <si>
    <t>CAPE TOWN</t>
  </si>
  <si>
    <t>30/08/1764 - 31/08/1764</t>
  </si>
  <si>
    <t>07/09/1766</t>
  </si>
  <si>
    <t>CALEDON RIVER</t>
  </si>
  <si>
    <t>04/09/1856</t>
  </si>
  <si>
    <t>UITENHAGE</t>
  </si>
  <si>
    <t>APPELGRYN</t>
  </si>
  <si>
    <t>ANDRIES CORNELIS</t>
  </si>
  <si>
    <t>14/06/1814</t>
  </si>
  <si>
    <t>25/08/1816</t>
  </si>
  <si>
    <t>20/12/1854</t>
  </si>
  <si>
    <t>04/02/1838</t>
  </si>
  <si>
    <t>COLESBERG</t>
  </si>
  <si>
    <t>JAN 1845 - MAY 1846</t>
  </si>
  <si>
    <t>AUCAMP</t>
  </si>
  <si>
    <t>JAN CHRISTOFFEL</t>
  </si>
  <si>
    <t>13/07/1812 - 14/07/1812</t>
  </si>
  <si>
    <t>04/11/1864</t>
  </si>
  <si>
    <t>01/10/1833</t>
  </si>
  <si>
    <t>RUSTENBURG</t>
  </si>
  <si>
    <t>SOMERSET</t>
  </si>
  <si>
    <t>JOHAN DIEDERIK</t>
  </si>
  <si>
    <t>16/03/1800</t>
  </si>
  <si>
    <t>KWAMATHIWANE</t>
  </si>
  <si>
    <t>06/02/1838</t>
  </si>
  <si>
    <t>02/12/1825</t>
  </si>
  <si>
    <t>GRAAFF-REINET</t>
  </si>
  <si>
    <t>19/06/1827</t>
  </si>
  <si>
    <t>17/06/1805</t>
  </si>
  <si>
    <t>10/11/1805</t>
  </si>
  <si>
    <t>BADENHORST</t>
  </si>
  <si>
    <t>CASPER HENDRIK</t>
  </si>
  <si>
    <t>24/10/1822</t>
  </si>
  <si>
    <t>WAKKERSTROOM</t>
  </si>
  <si>
    <t>28/07/1892</t>
  </si>
  <si>
    <t>PIETERMARTIZBURG</t>
  </si>
  <si>
    <t>15/10/1842</t>
  </si>
  <si>
    <t>22/02/1826</t>
  </si>
  <si>
    <t>16/07/1826</t>
  </si>
  <si>
    <t>BAPTISE PLACE</t>
  </si>
  <si>
    <t>30/12/1874</t>
  </si>
  <si>
    <t>MARCH 1838</t>
  </si>
  <si>
    <t>NATAL</t>
  </si>
  <si>
    <t>CASPER HENDRIK JR</t>
  </si>
  <si>
    <t>21/05/1804</t>
  </si>
  <si>
    <t>HEIDELBERG</t>
  </si>
  <si>
    <t>03/11/1875</t>
  </si>
  <si>
    <t>06/07/1828</t>
  </si>
  <si>
    <t>15/03/1809</t>
  </si>
  <si>
    <t>19/03/1809</t>
  </si>
  <si>
    <t>19/09/1886</t>
  </si>
  <si>
    <t>1840-1841</t>
  </si>
  <si>
    <t>CASPER HENDRIK SR</t>
  </si>
  <si>
    <t>25/10/1801</t>
  </si>
  <si>
    <t>02/04/1779</t>
  </si>
  <si>
    <t>03/09/1786</t>
  </si>
  <si>
    <t xml:space="preserve">CHRISTIAAN GERHARDUS JOHANNES </t>
  </si>
  <si>
    <t>02/10/1817</t>
  </si>
  <si>
    <t>06/10/1817</t>
  </si>
  <si>
    <t>23/03/1844</t>
  </si>
  <si>
    <t>DELGOASBERG (1846)</t>
  </si>
  <si>
    <t>CORNELIS JACOBUS</t>
  </si>
  <si>
    <t>09/08/1806</t>
  </si>
  <si>
    <t>28/09/1806</t>
  </si>
  <si>
    <t>JACOBSDAL</t>
  </si>
  <si>
    <t>28/08/1871</t>
  </si>
  <si>
    <t>08/11/1829</t>
  </si>
  <si>
    <t>27/04/1857</t>
  </si>
  <si>
    <t>DECEMBER 1834</t>
  </si>
  <si>
    <t>DIRK STEPHANUS PETRUS</t>
  </si>
  <si>
    <t>27/02/1809</t>
  </si>
  <si>
    <t>09/03/1809</t>
  </si>
  <si>
    <t>MIDDELBURG</t>
  </si>
  <si>
    <t>04/06/1879</t>
  </si>
  <si>
    <t>HENDRIK</t>
  </si>
  <si>
    <t>04/03/1816</t>
  </si>
  <si>
    <t>11/06/1816</t>
  </si>
  <si>
    <t>IRENE</t>
  </si>
  <si>
    <t>04/07/1836</t>
  </si>
  <si>
    <t>07/06/1816</t>
  </si>
  <si>
    <t xml:space="preserve">BIRTH PLACE </t>
  </si>
  <si>
    <t>ELANDSHOEK</t>
  </si>
  <si>
    <t>19/08/18898</t>
  </si>
  <si>
    <t>JULY 1836 - 1840</t>
  </si>
  <si>
    <t>HENDRIK GERHARDUS JOHANNES</t>
  </si>
  <si>
    <t>15/01/1809</t>
  </si>
  <si>
    <t>LYDENBURG</t>
  </si>
  <si>
    <t>11/03/1864</t>
  </si>
  <si>
    <t>25/09/1819</t>
  </si>
  <si>
    <t>09/04/1820</t>
  </si>
  <si>
    <t>BELFAST</t>
  </si>
  <si>
    <t>HENDRIK JACOBUS</t>
  </si>
  <si>
    <t>POTCHEFSTROOM</t>
  </si>
  <si>
    <t>22/12/1884</t>
  </si>
  <si>
    <t>21/02/1838  - 1845</t>
  </si>
  <si>
    <t>HENDRIK JOHANNES</t>
  </si>
  <si>
    <t>20/03/1805</t>
  </si>
  <si>
    <t>02/11/1805</t>
  </si>
  <si>
    <t>BLOEMHOF</t>
  </si>
  <si>
    <t>19/07/1883</t>
  </si>
  <si>
    <t>05/08/1827</t>
  </si>
  <si>
    <t>27/04/1840</t>
  </si>
  <si>
    <t>1846-1851</t>
  </si>
  <si>
    <t>JACOBUS PETRUS</t>
  </si>
  <si>
    <t>11/12/1785</t>
  </si>
  <si>
    <t>25/01/1815</t>
  </si>
  <si>
    <t>22/01/1794</t>
  </si>
  <si>
    <t>OHRIGSTAD</t>
  </si>
  <si>
    <t>JAN WILHELMUS WESSELS</t>
  </si>
  <si>
    <t>14/12/1818</t>
  </si>
  <si>
    <t>CALEDON</t>
  </si>
  <si>
    <t>03/01/1819</t>
  </si>
  <si>
    <t>OVS</t>
  </si>
  <si>
    <t>28/10/1866</t>
  </si>
  <si>
    <t>04/04/1840</t>
  </si>
  <si>
    <t>24/02/1823</t>
  </si>
  <si>
    <t>APRIL 1840 - AUGUST 1841</t>
  </si>
  <si>
    <t>LOURENS SR</t>
  </si>
  <si>
    <t>15/02/1800</t>
  </si>
  <si>
    <t>TULBACH</t>
  </si>
  <si>
    <t>PIETERMARITZBURG</t>
  </si>
  <si>
    <t>LOURENS PETRUS</t>
  </si>
  <si>
    <t>01/07/1818</t>
  </si>
  <si>
    <t>04/10/1818</t>
  </si>
  <si>
    <t>06/10/1865</t>
  </si>
  <si>
    <t>26/08/1838</t>
  </si>
  <si>
    <t>LYDENBYRG, UTRECHT, WAKKERSTROOM</t>
  </si>
  <si>
    <t>PETRUS JACOBUS</t>
  </si>
  <si>
    <t>22/03/1807</t>
  </si>
  <si>
    <t>30/06/1811</t>
  </si>
  <si>
    <t xml:space="preserve">BANTJES </t>
  </si>
  <si>
    <t>JAN GERRITSE</t>
  </si>
  <si>
    <t>08/07/1817</t>
  </si>
  <si>
    <t>06/10/1887</t>
  </si>
  <si>
    <t>23/09/1838</t>
  </si>
  <si>
    <t>BEAUFORT-WEST</t>
  </si>
  <si>
    <t>NATAL, OHRIGSTAD (1846)</t>
  </si>
  <si>
    <t>DECEMBER 1836</t>
  </si>
  <si>
    <t>VOORTREKKERSLAER</t>
  </si>
  <si>
    <t>BARNARD</t>
  </si>
  <si>
    <t>JACOB FREDERIK</t>
  </si>
  <si>
    <t>28/08/1808</t>
  </si>
  <si>
    <t>WINBURG</t>
  </si>
  <si>
    <t>JAN MATTHIAM</t>
  </si>
  <si>
    <t>21/10/1838</t>
  </si>
  <si>
    <t>MARTHINUS CHRISTOFFEL</t>
  </si>
  <si>
    <t>19/12/1784</t>
  </si>
  <si>
    <t>25/03/1804</t>
  </si>
  <si>
    <t>24/11/1820</t>
  </si>
  <si>
    <t>MARTHINUS CHRISTOFFEL JR</t>
  </si>
  <si>
    <t>22/12/1814</t>
  </si>
  <si>
    <t>GEORGE</t>
  </si>
  <si>
    <t>27/03/1815</t>
  </si>
  <si>
    <t>PETRUS JOHANNES</t>
  </si>
  <si>
    <t>27/07/1816</t>
  </si>
  <si>
    <t>05/01/1817</t>
  </si>
  <si>
    <t>01/01/1851</t>
  </si>
  <si>
    <t>WILLEM HENDRIK</t>
  </si>
  <si>
    <t>03/11/1782</t>
  </si>
  <si>
    <t>06/04/1811</t>
  </si>
  <si>
    <t>05/12/1790</t>
  </si>
  <si>
    <t>1840'S</t>
  </si>
  <si>
    <t>BASSON</t>
  </si>
  <si>
    <t>MATTHYS MICHIEL</t>
  </si>
  <si>
    <t>25/11/1801</t>
  </si>
  <si>
    <t>03/07/1825</t>
  </si>
  <si>
    <t>08/08/1808</t>
  </si>
  <si>
    <t>12/06/1837</t>
  </si>
  <si>
    <t>NICOLAAS JOHANNES SALOMON</t>
  </si>
  <si>
    <t>22/06/1800</t>
  </si>
  <si>
    <t>26/12/1824</t>
  </si>
  <si>
    <t>S.M. DATE</t>
  </si>
  <si>
    <t>S.M. PLACE</t>
  </si>
  <si>
    <t>S.M. TO</t>
  </si>
  <si>
    <t>T.M. PLACE</t>
  </si>
  <si>
    <t>T.M. DATE</t>
  </si>
  <si>
    <t>T.M. TO</t>
  </si>
  <si>
    <t>WILLEM DIEDERIK</t>
  </si>
  <si>
    <t>21/03/1815</t>
  </si>
  <si>
    <t>01/10/1861</t>
  </si>
  <si>
    <t>16/06/1839</t>
  </si>
  <si>
    <t>14/04/1891</t>
  </si>
  <si>
    <t>NATAL - POTCHEFSTROOM</t>
  </si>
  <si>
    <t>WILLEM JOHANNES</t>
  </si>
  <si>
    <t>06/01/1799</t>
  </si>
  <si>
    <t>03/04/1820</t>
  </si>
  <si>
    <t>19/09/1802</t>
  </si>
  <si>
    <t>?</t>
  </si>
  <si>
    <t>BEETGE</t>
  </si>
  <si>
    <t>JOHANNES ANDRIES</t>
  </si>
  <si>
    <t>12/11/1797</t>
  </si>
  <si>
    <t>12/09/1854</t>
  </si>
  <si>
    <t>07/09/1828</t>
  </si>
  <si>
    <t>04/05/1840</t>
  </si>
  <si>
    <t xml:space="preserve">BEKKER </t>
  </si>
  <si>
    <t>ADRIAAN</t>
  </si>
  <si>
    <t>17/04/1791</t>
  </si>
  <si>
    <t>10/08/1812</t>
  </si>
  <si>
    <t>04/05/1823</t>
  </si>
  <si>
    <t>20/09/1801</t>
  </si>
  <si>
    <t>POTCHEFSTROOM (1842)</t>
  </si>
  <si>
    <t>14/04/1798</t>
  </si>
  <si>
    <t>08/04/1822</t>
  </si>
  <si>
    <t>01/06/1806</t>
  </si>
  <si>
    <t>21/02/1796</t>
  </si>
  <si>
    <t>JUNE 1836</t>
  </si>
  <si>
    <t>HENDRIK MARTHINUS</t>
  </si>
  <si>
    <t>KLERKSDORP</t>
  </si>
  <si>
    <t>19/10/1794</t>
  </si>
  <si>
    <t>06/10/1822</t>
  </si>
  <si>
    <t>SOMERSET-OOS</t>
  </si>
  <si>
    <t>08/06/1828</t>
  </si>
  <si>
    <t>EARLY 1838</t>
  </si>
  <si>
    <t>JOHANNES JURGEN SR</t>
  </si>
  <si>
    <t>02/10/1799</t>
  </si>
  <si>
    <t>14/05/1840</t>
  </si>
  <si>
    <t>11/10/1798</t>
  </si>
  <si>
    <t>MARCH 1839</t>
  </si>
  <si>
    <t>BEKKER</t>
  </si>
  <si>
    <t>JOHANNES JURGEN JR</t>
  </si>
  <si>
    <t>26/12/1806</t>
  </si>
  <si>
    <t>07/05/1826</t>
  </si>
  <si>
    <t>NATAL  (1839)</t>
  </si>
  <si>
    <t>NATAL (1839)</t>
  </si>
  <si>
    <t>J.A. ENSLIN</t>
  </si>
  <si>
    <t>MARTHINUS</t>
  </si>
  <si>
    <t>24/12/1794</t>
  </si>
  <si>
    <t>09/03/1803</t>
  </si>
  <si>
    <t>OCTOBER 1831</t>
  </si>
  <si>
    <t>JAN DU PLESSIS</t>
  </si>
  <si>
    <t>MARTHINUS JOHANNES</t>
  </si>
  <si>
    <t>21/11/1814</t>
  </si>
  <si>
    <t>22/10/1815</t>
  </si>
  <si>
    <t>26/12/1836</t>
  </si>
  <si>
    <t>14/11/1802</t>
  </si>
  <si>
    <t>04/01/1823</t>
  </si>
  <si>
    <t>NOVEMBER 1837</t>
  </si>
  <si>
    <t>ROELOF HENDRIK</t>
  </si>
  <si>
    <t>19/11/1812</t>
  </si>
  <si>
    <t>NORTH OF ORANGE RIVER</t>
  </si>
  <si>
    <t>25/09/1837</t>
  </si>
  <si>
    <t>25/12/1832</t>
  </si>
  <si>
    <t>DECEMBER 1836 - SEPTEMBER 1837</t>
  </si>
  <si>
    <t>RYNIER JOHANNES</t>
  </si>
  <si>
    <t>30/10/1809</t>
  </si>
  <si>
    <t>05/05/1811</t>
  </si>
  <si>
    <t>26/02/1832</t>
  </si>
  <si>
    <t>BESTER</t>
  </si>
  <si>
    <t>C 1791</t>
  </si>
  <si>
    <t>EARLY 1837</t>
  </si>
  <si>
    <t>ANDRIES NICOLAAS</t>
  </si>
  <si>
    <t>03/03/1793</t>
  </si>
  <si>
    <t>BLOUKRANS, NATAL</t>
  </si>
  <si>
    <t>17/02/1838</t>
  </si>
  <si>
    <t>10/07/1814</t>
  </si>
  <si>
    <t>04/04/1797</t>
  </si>
  <si>
    <t>08/10/1817</t>
  </si>
  <si>
    <t>28/12/1817</t>
  </si>
  <si>
    <t>16/10/1836</t>
  </si>
  <si>
    <t>HERMANUS JACOBUS</t>
  </si>
  <si>
    <t>30/03/1799</t>
  </si>
  <si>
    <t>05/04/1828</t>
  </si>
  <si>
    <t>LATE 1837</t>
  </si>
  <si>
    <t>LOURENS RASMUS</t>
  </si>
  <si>
    <t>01/12/1815</t>
  </si>
  <si>
    <t>21/07/1816</t>
  </si>
  <si>
    <t>1848/1849</t>
  </si>
  <si>
    <t>08/12/1833</t>
  </si>
  <si>
    <t>LATE 1838</t>
  </si>
  <si>
    <t>02/09/1879</t>
  </si>
  <si>
    <t>01/06/1834</t>
  </si>
  <si>
    <t>PAUL DIRK</t>
  </si>
  <si>
    <t>15/12/1788</t>
  </si>
  <si>
    <t>PORT NATAL</t>
  </si>
  <si>
    <t>18/04/1808</t>
  </si>
  <si>
    <t>04/04/1795</t>
  </si>
  <si>
    <t>11/08/1868</t>
  </si>
  <si>
    <t>NATAL, WEENEN</t>
  </si>
  <si>
    <t>PAUL MICHIEL</t>
  </si>
  <si>
    <t>02/22/1823</t>
  </si>
  <si>
    <t>30/05/1824</t>
  </si>
  <si>
    <t>07/07/1847</t>
  </si>
  <si>
    <t>C 1826</t>
  </si>
  <si>
    <t>GRAHAMSTAD</t>
  </si>
  <si>
    <t>15/04/1811</t>
  </si>
  <si>
    <t>SPITSKOP, LADISMITH, NATAL</t>
  </si>
  <si>
    <t>03/09/1876</t>
  </si>
  <si>
    <t>14/02/1830</t>
  </si>
  <si>
    <t>05/11/1815</t>
  </si>
  <si>
    <t>06/08/1889</t>
  </si>
  <si>
    <t>SEPT 1837</t>
  </si>
  <si>
    <t>LUCAS J MEYER</t>
  </si>
  <si>
    <t>NATAL (HARRISMITH)</t>
  </si>
  <si>
    <t>14/04/1814</t>
  </si>
  <si>
    <t>28/08/1814</t>
  </si>
  <si>
    <t>16/09/1822</t>
  </si>
  <si>
    <t>30/11/1822</t>
  </si>
  <si>
    <t>26/02/1842</t>
  </si>
  <si>
    <t>ALBANY</t>
  </si>
  <si>
    <t>NATAL (1843)</t>
  </si>
  <si>
    <t>THEUNIS CHRISTIAAN</t>
  </si>
  <si>
    <t>26/11/1797</t>
  </si>
  <si>
    <t>21/04/1799</t>
  </si>
  <si>
    <t>MARCH 1837</t>
  </si>
  <si>
    <t>WILLEM ABRAHAM</t>
  </si>
  <si>
    <t>20/07/1825</t>
  </si>
  <si>
    <t>26/02/1826</t>
  </si>
  <si>
    <t>BEUKES</t>
  </si>
  <si>
    <t>CORNELIUS JOHANNES</t>
  </si>
  <si>
    <t>18/11/1787</t>
  </si>
  <si>
    <t>21/05/1874</t>
  </si>
  <si>
    <t>13/07/1806</t>
  </si>
  <si>
    <t>BEFORE SEPT 1837</t>
  </si>
  <si>
    <t>GERT RUDOLPH</t>
  </si>
  <si>
    <t>EARLY 1840'S</t>
  </si>
  <si>
    <t xml:space="preserve">HENDRIK GERHARDUS    </t>
  </si>
  <si>
    <t>16/10/1813</t>
  </si>
  <si>
    <t>03/04/1814</t>
  </si>
  <si>
    <t>BEAUFORT</t>
  </si>
  <si>
    <t>26/12/1833</t>
  </si>
  <si>
    <t>BEUFORT</t>
  </si>
  <si>
    <t>12/11/1813</t>
  </si>
  <si>
    <t>TWEEFONTEIN, WINBURG</t>
  </si>
  <si>
    <t>07/11/1841</t>
  </si>
  <si>
    <t>J</t>
  </si>
  <si>
    <t>BINNELAND</t>
  </si>
  <si>
    <t>JACOBUS CORNELIS</t>
  </si>
  <si>
    <t>C 1805</t>
  </si>
  <si>
    <t>1859-1865</t>
  </si>
  <si>
    <t>11/09/1825</t>
  </si>
  <si>
    <t>04/02/1810</t>
  </si>
  <si>
    <t>A.H. POTGIETER</t>
  </si>
  <si>
    <t>JOHANNES ANDREAS</t>
  </si>
  <si>
    <t>04/04/1779</t>
  </si>
  <si>
    <t>29/04/1798</t>
  </si>
  <si>
    <t>07/10/1822</t>
  </si>
  <si>
    <t>05/08/1832</t>
  </si>
  <si>
    <t>BEFORE 1840</t>
  </si>
  <si>
    <t>POTCHEFSTROOM (1840)</t>
  </si>
  <si>
    <t>MATTHEUS GERHARDUS</t>
  </si>
  <si>
    <t>05/01/1809</t>
  </si>
  <si>
    <t>31/01/1836</t>
  </si>
  <si>
    <t>JULY 1837</t>
  </si>
  <si>
    <t>BEZUIDENHOUT</t>
  </si>
  <si>
    <t>COENRAAD</t>
  </si>
  <si>
    <t>05/10/1804</t>
  </si>
  <si>
    <t>21/04/1805</t>
  </si>
  <si>
    <t>WORCESTER</t>
  </si>
  <si>
    <t>03/07/1830</t>
  </si>
  <si>
    <t>25/09/1836</t>
  </si>
  <si>
    <t>CORNELIS JOHANNES</t>
  </si>
  <si>
    <t>19/05/1803</t>
  </si>
  <si>
    <t>26/10/1803</t>
  </si>
  <si>
    <t>04/01/1824</t>
  </si>
  <si>
    <t>01/08/1840 - OCTOBER 1845</t>
  </si>
  <si>
    <t>DANIEL PIETER</t>
  </si>
  <si>
    <t>19/11/1813</t>
  </si>
  <si>
    <t>11/08/1814</t>
  </si>
  <si>
    <t>BETHLEHEM</t>
  </si>
  <si>
    <t>25/12/1835</t>
  </si>
  <si>
    <t>17/12/1835</t>
  </si>
  <si>
    <t>03/11/1838</t>
  </si>
  <si>
    <t>21/06/1822</t>
  </si>
  <si>
    <t>18/12/1822</t>
  </si>
  <si>
    <t>03/04/1837 - 17/02/1838</t>
  </si>
  <si>
    <t>JACOB DE KLERK</t>
  </si>
  <si>
    <t>24/09/1798</t>
  </si>
  <si>
    <t>04/04/1819</t>
  </si>
  <si>
    <t>14/04/1799</t>
  </si>
  <si>
    <t>PIETERMARITZBURG (1841)</t>
  </si>
  <si>
    <t>FREDERIK JACOBUS</t>
  </si>
  <si>
    <t>29/07/1825</t>
  </si>
  <si>
    <t>21/08/1825</t>
  </si>
  <si>
    <t>30/10/1831</t>
  </si>
  <si>
    <t>NATAL (1841)</t>
  </si>
  <si>
    <t>GEORG DIEDERIK</t>
  </si>
  <si>
    <t>10/03/1820</t>
  </si>
  <si>
    <t>13/01/1822</t>
  </si>
  <si>
    <t>VRYHEID, NATAL</t>
  </si>
  <si>
    <t>26/11/1890</t>
  </si>
  <si>
    <t>06/02/1825</t>
  </si>
  <si>
    <t>16/07/1855</t>
  </si>
  <si>
    <t xml:space="preserve">BEAUFORT </t>
  </si>
  <si>
    <t>GERRIT PIETER</t>
  </si>
  <si>
    <t>APRIL/MAY 1838</t>
  </si>
  <si>
    <t>P.D. JACOBS</t>
  </si>
  <si>
    <t>11/09/1816</t>
  </si>
  <si>
    <t>14/12/1816</t>
  </si>
  <si>
    <t>24/10/1839</t>
  </si>
  <si>
    <t>06/02/1844</t>
  </si>
  <si>
    <t>10/06/1818</t>
  </si>
  <si>
    <t>12/01/1819</t>
  </si>
  <si>
    <t>JEREMIAS JESAIAS</t>
  </si>
  <si>
    <t>01/08/1819</t>
  </si>
  <si>
    <t>23/01/1820</t>
  </si>
  <si>
    <t>19/05/1850</t>
  </si>
  <si>
    <t>JOHANNES SR</t>
  </si>
  <si>
    <t>11/06/1777</t>
  </si>
  <si>
    <t>15/02/1801</t>
  </si>
  <si>
    <t>04/02/1778</t>
  </si>
  <si>
    <t>09/06/1838</t>
  </si>
  <si>
    <t>MATTHYS MARTHINUS</t>
  </si>
  <si>
    <t>29/10/1806</t>
  </si>
  <si>
    <t>13/04/1807</t>
  </si>
  <si>
    <t>17/05/1809</t>
  </si>
  <si>
    <t>11/03/1810</t>
  </si>
  <si>
    <t>MAY 1843</t>
  </si>
  <si>
    <t>PIETER CHRISTIAAN</t>
  </si>
  <si>
    <t>02/05/1817</t>
  </si>
  <si>
    <t>11/04/1819</t>
  </si>
  <si>
    <t>WINBURG (1842)</t>
  </si>
  <si>
    <t>PIETER LODEWYK</t>
  </si>
  <si>
    <t>19/06/1817</t>
  </si>
  <si>
    <t>03/03/1818</t>
  </si>
  <si>
    <t>01/01/1879</t>
  </si>
  <si>
    <t>06/09/1835</t>
  </si>
  <si>
    <t>28/06/1886</t>
  </si>
  <si>
    <t>TRANSGARIEP, OHRIGSTAD</t>
  </si>
  <si>
    <t>STEPHANUS MARTHINUS</t>
  </si>
  <si>
    <t>02/02/1824</t>
  </si>
  <si>
    <t>20/06/1824</t>
  </si>
  <si>
    <t>04/08/1847</t>
  </si>
  <si>
    <t>WYNAND CAREL</t>
  </si>
  <si>
    <t>24/04/1829</t>
  </si>
  <si>
    <t>WYNAND FREDERIK</t>
  </si>
  <si>
    <t>26/07/1778</t>
  </si>
  <si>
    <t>BLOUKRANS RIVER, NATAL</t>
  </si>
  <si>
    <t>15/04/1796</t>
  </si>
  <si>
    <t>22/06/1807</t>
  </si>
  <si>
    <t>01/05/1791</t>
  </si>
  <si>
    <t>BIERMAN</t>
  </si>
  <si>
    <t>FEBRUARY 1838</t>
  </si>
  <si>
    <t>MARTHINA MARIA</t>
  </si>
  <si>
    <t>FAMILY</t>
  </si>
  <si>
    <t>BODENSTEIN</t>
  </si>
  <si>
    <t>28/02/1796</t>
  </si>
  <si>
    <t>SUIKERBOSRAND</t>
  </si>
  <si>
    <t>C 1848</t>
  </si>
  <si>
    <t>07/04/1817</t>
  </si>
  <si>
    <t>JOHANNES CASPER</t>
  </si>
  <si>
    <t>02/08/1819</t>
  </si>
  <si>
    <t>15/08/1819</t>
  </si>
  <si>
    <t>06/01/1844</t>
  </si>
  <si>
    <t>03/02/1826</t>
  </si>
  <si>
    <t>02/10/1826</t>
  </si>
  <si>
    <t>BOOYSEN</t>
  </si>
  <si>
    <t>CORNELIS HERMANUS ZACHARIAS</t>
  </si>
  <si>
    <t>23/07/1809</t>
  </si>
  <si>
    <t>22/06/1843</t>
  </si>
  <si>
    <t>29/11/1843</t>
  </si>
  <si>
    <t>1847-1849</t>
  </si>
  <si>
    <t>H.S. LOMBAARD</t>
  </si>
  <si>
    <t xml:space="preserve">DIRK   </t>
  </si>
  <si>
    <t>15/07/1798</t>
  </si>
  <si>
    <t>02/03/1823</t>
  </si>
  <si>
    <t>OCTOBER 1837</t>
  </si>
  <si>
    <t>KAREL LANDMAN</t>
  </si>
  <si>
    <t>FRANS ABRAHAM</t>
  </si>
  <si>
    <t>06/03/1803</t>
  </si>
  <si>
    <t>1848-1849</t>
  </si>
  <si>
    <t>07/01/1821</t>
  </si>
  <si>
    <t>06/05/1846</t>
  </si>
  <si>
    <t>JAN GERHARDUS LODEWIKUS</t>
  </si>
  <si>
    <t>05/07/1817</t>
  </si>
  <si>
    <t>BAPTISED PLACE</t>
  </si>
  <si>
    <t>17/01/1841-27/07/1842</t>
  </si>
  <si>
    <t>14/12/1788</t>
  </si>
  <si>
    <t>12/11/1815</t>
  </si>
  <si>
    <t>8/12/1796</t>
  </si>
  <si>
    <t>JONATHAN DAVID WILHELMUS</t>
  </si>
  <si>
    <t>25/05/1817</t>
  </si>
  <si>
    <t>FEBRUARY 1842</t>
  </si>
  <si>
    <t>NATAL (1842)</t>
  </si>
  <si>
    <t>PETRUS GERHARDUS</t>
  </si>
  <si>
    <t>15/03/1811</t>
  </si>
  <si>
    <t>24/03/1811</t>
  </si>
  <si>
    <t>14/09/1837</t>
  </si>
  <si>
    <t>02/07/1832</t>
  </si>
  <si>
    <t>BORNMAN</t>
  </si>
  <si>
    <t>CHRISTIAAN HIERMONIMUS</t>
  </si>
  <si>
    <t>01/01/1812</t>
  </si>
  <si>
    <t>04/04/1831</t>
  </si>
  <si>
    <t>20/11/1838</t>
  </si>
  <si>
    <t>GRAAFF-REINET/BEAUFORT</t>
  </si>
  <si>
    <t>2/10/1837-20/11/1838</t>
  </si>
  <si>
    <t xml:space="preserve">JACOBUS JOHANNES </t>
  </si>
  <si>
    <t>17/06/1819</t>
  </si>
  <si>
    <t>18/07/1819</t>
  </si>
  <si>
    <t>WINBURG (1844)</t>
  </si>
  <si>
    <t>JOHAN CHRISTIAAN</t>
  </si>
  <si>
    <t>31/01/1789</t>
  </si>
  <si>
    <t>05/12/1862</t>
  </si>
  <si>
    <t>29/06/1809</t>
  </si>
  <si>
    <t>24/07/1813</t>
  </si>
  <si>
    <t>TULBAGH</t>
  </si>
  <si>
    <t>04/12/1814</t>
  </si>
  <si>
    <t>30/11/1834</t>
  </si>
  <si>
    <t>SAND RIVER</t>
  </si>
  <si>
    <t>23/08/1838</t>
  </si>
  <si>
    <t>13/01/1839</t>
  </si>
  <si>
    <t>LEENDERT</t>
  </si>
  <si>
    <t>22/08/1823</t>
  </si>
  <si>
    <t>20/03/1824</t>
  </si>
  <si>
    <t>TRANSORANJE</t>
  </si>
  <si>
    <t>MEYNERT JACOBUS</t>
  </si>
  <si>
    <t>20/06/1825</t>
  </si>
  <si>
    <t>18/09/1825</t>
  </si>
  <si>
    <t>14/04/1849</t>
  </si>
  <si>
    <t>C 1832</t>
  </si>
  <si>
    <t>CHRISTOFFEL HENDRIK</t>
  </si>
  <si>
    <t>23/12/1814</t>
  </si>
  <si>
    <t>30/01/1815</t>
  </si>
  <si>
    <t>10/07/1836</t>
  </si>
  <si>
    <t>KNYSNA</t>
  </si>
  <si>
    <t>08/08/1818</t>
  </si>
  <si>
    <t>07/03/1819</t>
  </si>
  <si>
    <t>PHILIPPOLIS</t>
  </si>
  <si>
    <t>26/10/1862</t>
  </si>
  <si>
    <t>FAURESMITH</t>
  </si>
  <si>
    <t>HANS JURGEN</t>
  </si>
  <si>
    <t>24/10/1895</t>
  </si>
  <si>
    <t>15/06/1846</t>
  </si>
  <si>
    <t>RIETRIVIER</t>
  </si>
  <si>
    <t>JACOBUS NICOLAAS SR</t>
  </si>
  <si>
    <t>03/04/1785</t>
  </si>
  <si>
    <t>15/09/1844</t>
  </si>
  <si>
    <t>01/03/1807</t>
  </si>
  <si>
    <t>JACOBUS NICOLAAS JR</t>
  </si>
  <si>
    <t>31/01/1808</t>
  </si>
  <si>
    <t>21/04/1881</t>
  </si>
  <si>
    <t>03/11/1827</t>
  </si>
  <si>
    <t>16/12/1878</t>
  </si>
  <si>
    <t>26/05/1880</t>
  </si>
  <si>
    <t>JOHAN CHRISTOFFEL</t>
  </si>
  <si>
    <t>05/09/1811</t>
  </si>
  <si>
    <t>19/11/1889</t>
  </si>
  <si>
    <t>13/06/1837</t>
  </si>
  <si>
    <t>02/02/1821</t>
  </si>
  <si>
    <t>28/11/1896</t>
  </si>
  <si>
    <t>SEPTEMBER 1840</t>
  </si>
  <si>
    <t>JOHANNES STEPHANUS</t>
  </si>
  <si>
    <t>03/01/1821</t>
  </si>
  <si>
    <t>08/04/1821</t>
  </si>
  <si>
    <t>24/07/1893</t>
  </si>
  <si>
    <t>27/01/1840</t>
  </si>
  <si>
    <t>22/05/1822</t>
  </si>
  <si>
    <t>LADYSMITH, NATAL</t>
  </si>
  <si>
    <t>03/06/1859</t>
  </si>
  <si>
    <t>05/08/1882</t>
  </si>
  <si>
    <t>WEENEN</t>
  </si>
  <si>
    <t>29/08/1883</t>
  </si>
  <si>
    <t>29/03/1801</t>
  </si>
  <si>
    <t>14/01/1838</t>
  </si>
  <si>
    <t>06/05/1813</t>
  </si>
  <si>
    <t>01/08/1813</t>
  </si>
  <si>
    <t>09/11/1863</t>
  </si>
  <si>
    <t>01/04/1835</t>
  </si>
  <si>
    <t>27/09/1817</t>
  </si>
  <si>
    <t>03/12/1786</t>
  </si>
  <si>
    <t>05/02/1862</t>
  </si>
  <si>
    <t>13/10/1811</t>
  </si>
  <si>
    <t>13/05/1863</t>
  </si>
  <si>
    <t>BOSMAN</t>
  </si>
  <si>
    <t>HERMANUS STEPHANUS</t>
  </si>
  <si>
    <t>08/11/1795</t>
  </si>
  <si>
    <t>BIRTH PLACE</t>
  </si>
  <si>
    <t>NUMBER</t>
  </si>
  <si>
    <t>MAGDALENA MARIA</t>
  </si>
  <si>
    <t>HESTER CECILIA MAGDALENA</t>
  </si>
  <si>
    <t>LUCAS</t>
  </si>
  <si>
    <t>OLIVIER</t>
  </si>
  <si>
    <t xml:space="preserve">ANNA HELENA </t>
  </si>
  <si>
    <t>LA GRANGE</t>
  </si>
  <si>
    <t>PETRONELLA HERMINA SUSANNA</t>
  </si>
  <si>
    <t xml:space="preserve">SUSANNA CATHARINA </t>
  </si>
  <si>
    <t>KROUKAMP</t>
  </si>
  <si>
    <t xml:space="preserve">ELISABETH MARIA </t>
  </si>
  <si>
    <t>LABUSCHAGNE</t>
  </si>
  <si>
    <t xml:space="preserve">GEERTRUIDA MARTHA </t>
  </si>
  <si>
    <t>NAUDE</t>
  </si>
  <si>
    <t xml:space="preserve">GESINA JOHANNA </t>
  </si>
  <si>
    <t>DE LANGE</t>
  </si>
  <si>
    <t xml:space="preserve">JUDITH JACOBA </t>
  </si>
  <si>
    <t>DU PREEZ</t>
  </si>
  <si>
    <t xml:space="preserve">CATHARINA ALETTA </t>
  </si>
  <si>
    <t>VAN DEN BERG</t>
  </si>
  <si>
    <t>CHRISTINA GEERTRUIDA</t>
  </si>
  <si>
    <t>NAGEL</t>
  </si>
  <si>
    <t>VAN STADEN</t>
  </si>
  <si>
    <t>VAN ZYL</t>
  </si>
  <si>
    <t>KRITZINGER</t>
  </si>
  <si>
    <t>KLEINSMIT</t>
  </si>
  <si>
    <t>SWART</t>
  </si>
  <si>
    <t>KNOETSE</t>
  </si>
  <si>
    <t>MARIA MAGDALENA</t>
  </si>
  <si>
    <t>ISABELLA HESTER</t>
  </si>
  <si>
    <t>MARIA CATHARINA</t>
  </si>
  <si>
    <t xml:space="preserve">SUSANNA ELISABETH </t>
  </si>
  <si>
    <t>DIRKJE CORNELIA</t>
  </si>
  <si>
    <t xml:space="preserve">CATHARINA FROULINA </t>
  </si>
  <si>
    <t xml:space="preserve">ANNA PETRONELLA </t>
  </si>
  <si>
    <t>ANNA ELISABETH</t>
  </si>
  <si>
    <t>MARIA ELISABETH</t>
  </si>
  <si>
    <t>CORNELIA CAROLINA CHRISTINA RACHEL ELISABETH</t>
  </si>
  <si>
    <t xml:space="preserve">THYSINA GERMINA CLASINA </t>
  </si>
  <si>
    <t>NIEUWENHUIZEN</t>
  </si>
  <si>
    <t>SPRUYT</t>
  </si>
  <si>
    <t>BOTHA</t>
  </si>
  <si>
    <t>TERBLANCHE</t>
  </si>
  <si>
    <t>GOUWS</t>
  </si>
  <si>
    <t>VAN DEVENTER</t>
  </si>
  <si>
    <t>JOOSTE</t>
  </si>
  <si>
    <t>SCHOEMAN</t>
  </si>
  <si>
    <t>SNYMAN</t>
  </si>
  <si>
    <t>VILJOEN</t>
  </si>
  <si>
    <t>FOUCHE</t>
  </si>
  <si>
    <t>SMIT</t>
  </si>
  <si>
    <t>SWIEGERS</t>
  </si>
  <si>
    <t>HARTMAN</t>
  </si>
  <si>
    <t>ERASMUS</t>
  </si>
  <si>
    <t>VOSLOO</t>
  </si>
  <si>
    <t>PRETORIUS</t>
  </si>
  <si>
    <t>PIETERSE</t>
  </si>
  <si>
    <t>MARIA MAGDALENA ELISABETH</t>
  </si>
  <si>
    <t>ALETTA FREDRIKA</t>
  </si>
  <si>
    <t xml:space="preserve">ANNA SOPHIA </t>
  </si>
  <si>
    <t>MAGDALENA CHRISTINA</t>
  </si>
  <si>
    <t xml:space="preserve">SUSANNA </t>
  </si>
  <si>
    <t>MARIA SALOME</t>
  </si>
  <si>
    <t>MAGDALENA JOHANNA JACOBA</t>
  </si>
  <si>
    <t>ELISABETH JACOMINA</t>
  </si>
  <si>
    <t>JOHANNA CORNELIA</t>
  </si>
  <si>
    <t>MAGDALENA CATHARINA</t>
  </si>
  <si>
    <t>PETRONELLA CATHARINA</t>
  </si>
  <si>
    <t>EMMERELDA HESTER</t>
  </si>
  <si>
    <t>SUSARA MARIA</t>
  </si>
  <si>
    <t xml:space="preserve">JOHANNA </t>
  </si>
  <si>
    <t xml:space="preserve">MARTHA ANNA ALETTA </t>
  </si>
  <si>
    <t>MARIA PETRONELLA ELIZABETH</t>
  </si>
  <si>
    <t xml:space="preserve">HESTER MARIA </t>
  </si>
  <si>
    <t xml:space="preserve">JACOMINA HENDRINA </t>
  </si>
  <si>
    <t>SUSANNA JOHANNA CHRISTINA</t>
  </si>
  <si>
    <t>MARGARETHA LOUISA</t>
  </si>
  <si>
    <t>APPOLONIA CATHARINA</t>
  </si>
  <si>
    <t>CATHARINA MARIA</t>
  </si>
  <si>
    <t xml:space="preserve">MARGARETHA MARIA </t>
  </si>
  <si>
    <t>LOMBARD</t>
  </si>
  <si>
    <t>MEYER</t>
  </si>
  <si>
    <t>PRINSLOO</t>
  </si>
  <si>
    <t>VAN ROOYEN</t>
  </si>
  <si>
    <t>NEL</t>
  </si>
  <si>
    <t>BROEKMAN</t>
  </si>
  <si>
    <t>VAN DER MERWE</t>
  </si>
  <si>
    <t>BOTES</t>
  </si>
  <si>
    <t>SNYDERS</t>
  </si>
  <si>
    <t>VIVIERS</t>
  </si>
  <si>
    <t>ENGELBRECHT</t>
  </si>
  <si>
    <t>ANNA SUSANNA MAGDALENA</t>
  </si>
  <si>
    <t>SUSANNA DOROTHEA CHRISTINA</t>
  </si>
  <si>
    <t xml:space="preserve">ISOBELLA ELISABETH </t>
  </si>
  <si>
    <t>ALETTA CATHARINA</t>
  </si>
  <si>
    <t>RACHEL MARIA JACOMINA</t>
  </si>
  <si>
    <t>GEERTRUIDA JOHANNA</t>
  </si>
  <si>
    <t>MARGARETHA SUSANNA</t>
  </si>
  <si>
    <t>JOHANNA HELENA</t>
  </si>
  <si>
    <t>HEYLTJIE MAGDALENA</t>
  </si>
  <si>
    <t>ANNA MARGARETHA</t>
  </si>
  <si>
    <t>JOHANNA CATHARINA</t>
  </si>
  <si>
    <t>MARTHA MARIA MAGDALENA</t>
  </si>
  <si>
    <t>MARIA DOROTHEA</t>
  </si>
  <si>
    <t>HENDRIKA ELSABE</t>
  </si>
  <si>
    <t>ZACHARYA JACOMINA</t>
  </si>
  <si>
    <t>SUSANNA PETRONELLA</t>
  </si>
  <si>
    <t>ELISABETH CECILIA</t>
  </si>
  <si>
    <t>MARTHA ELISABETH</t>
  </si>
  <si>
    <t>JUDITH CORNELIA ETRESIA</t>
  </si>
  <si>
    <t>ELSJE MARGARETHA JOHANNA</t>
  </si>
  <si>
    <t>BRITS</t>
  </si>
  <si>
    <t>POTGIETER</t>
  </si>
  <si>
    <t>BOOYSENS</t>
  </si>
  <si>
    <t>JANSEN</t>
  </si>
  <si>
    <t>VENTER</t>
  </si>
  <si>
    <t>GREYLING</t>
  </si>
  <si>
    <t>OOSTHUIZEN</t>
  </si>
  <si>
    <t>VERSTER</t>
  </si>
  <si>
    <t>LAS</t>
  </si>
  <si>
    <t>KRAAY</t>
  </si>
  <si>
    <t>LEA ELISABETH</t>
  </si>
  <si>
    <t>HESTER HERMINA</t>
  </si>
  <si>
    <t>MAGDALENA GEERTRUIDA</t>
  </si>
  <si>
    <t>LEA</t>
  </si>
  <si>
    <t xml:space="preserve">MARHTA JOHANNA </t>
  </si>
  <si>
    <t>CATHARINA WILHELMINA</t>
  </si>
  <si>
    <t>CATHARINA ELISABETH</t>
  </si>
  <si>
    <t>ANNA CATHARINA SUSANNA</t>
  </si>
  <si>
    <t>CATHARINA PETRONELLA</t>
  </si>
  <si>
    <t>HENDRINA JOHANNA</t>
  </si>
  <si>
    <t>MARIA ALETTA PETRONELLA</t>
  </si>
  <si>
    <t>JACOMINA HENDRINA</t>
  </si>
  <si>
    <t>HESTER SUSANNA</t>
  </si>
  <si>
    <t>PETRONELLA CATHARINA ALETTA</t>
  </si>
  <si>
    <t>MAGDALEN SUSANNA MARIA</t>
  </si>
  <si>
    <t>ANNA CATHARINA WILHELMINA</t>
  </si>
  <si>
    <t>JOHANNA FREDERIKA</t>
  </si>
  <si>
    <t>JOHANNA MARIA CATHARINA</t>
  </si>
  <si>
    <t xml:space="preserve">RACHEL JACOBA </t>
  </si>
  <si>
    <t>CORNELIA CAROLINA</t>
  </si>
  <si>
    <t>MOUTON</t>
  </si>
  <si>
    <t>MAREE</t>
  </si>
  <si>
    <t>FOURIE</t>
  </si>
  <si>
    <t>JOUBERT</t>
  </si>
  <si>
    <t>VAN ASWEGEN</t>
  </si>
  <si>
    <t>VAN NIEKERK</t>
  </si>
  <si>
    <t>STEYL</t>
  </si>
  <si>
    <t>NORTJE</t>
  </si>
  <si>
    <t>CATHARINA L</t>
  </si>
  <si>
    <t>ANNA DOROTHEA</t>
  </si>
  <si>
    <t>CORNELIA MARGARETHA</t>
  </si>
  <si>
    <t>JACOBA ISABELLA ELISABETH</t>
  </si>
  <si>
    <t>MARTHA MARIA CATHARINA</t>
  </si>
  <si>
    <t>ALETTA HELENA</t>
  </si>
  <si>
    <t>ADRIANA PETRONELLA GERTRUIDA</t>
  </si>
  <si>
    <t>ANNA HERMINA ALETTA</t>
  </si>
  <si>
    <t>JACOMINA LOUISA</t>
  </si>
  <si>
    <t>DU TOIT</t>
  </si>
  <si>
    <t>SCHOONBEE</t>
  </si>
  <si>
    <t>KRIEK</t>
  </si>
  <si>
    <t>UYS</t>
  </si>
  <si>
    <t>DE BEER</t>
  </si>
  <si>
    <t>DAVEL</t>
  </si>
  <si>
    <t>BRONKHORST</t>
  </si>
  <si>
    <t>MOSTERT</t>
  </si>
  <si>
    <t>VAN HEERDEN</t>
  </si>
  <si>
    <t>VAN WYK</t>
  </si>
  <si>
    <t>LOUW</t>
  </si>
  <si>
    <t>CLAASEN</t>
  </si>
  <si>
    <t>LIEBENBERG</t>
  </si>
  <si>
    <t>LOTTER</t>
  </si>
  <si>
    <t>MINNIE</t>
  </si>
  <si>
    <t>CLAASSENS</t>
  </si>
  <si>
    <t>ROOS</t>
  </si>
  <si>
    <t>LAMPRECHT</t>
  </si>
  <si>
    <t>PERRY</t>
  </si>
  <si>
    <t>KEMP</t>
  </si>
  <si>
    <t>SMITH</t>
  </si>
  <si>
    <t>GEERTRUIDA JACOBA</t>
  </si>
  <si>
    <t>LEENTJIE  MAGDALENA</t>
  </si>
  <si>
    <t>JOACHIMINA CATHARINA ELISABETH</t>
  </si>
  <si>
    <t>SOPHIA CATHARINA</t>
  </si>
  <si>
    <t>MARIA CATHARINA BARENDINA</t>
  </si>
  <si>
    <t>JOHANNA DOROTHEA</t>
  </si>
  <si>
    <t>JOHANNA  SUSANNA</t>
  </si>
  <si>
    <t>HILLETJIE ELISABETH</t>
  </si>
  <si>
    <t>MARGARETHA C</t>
  </si>
  <si>
    <t xml:space="preserve">HESTER JOHANNA </t>
  </si>
  <si>
    <t>SUSARA JOHANNA</t>
  </si>
  <si>
    <t>ANNA SOPHIA</t>
  </si>
  <si>
    <t>GERBRECHT MARIA</t>
  </si>
  <si>
    <t>MARTHA MAGDALENA</t>
  </si>
  <si>
    <t>DOROTHEA MARIA</t>
  </si>
  <si>
    <t>GESIE</t>
  </si>
  <si>
    <t>SUSANNA CATHARINA JOHANNA</t>
  </si>
  <si>
    <t>ELISABETH CATHARINA ADRIANA</t>
  </si>
  <si>
    <t>MARTHA LOUISA</t>
  </si>
  <si>
    <t xml:space="preserve">ALETTA FRANCINA JACOBA </t>
  </si>
  <si>
    <t>ELISABETH JOHANNA</t>
  </si>
  <si>
    <t>HESTER ELISABETH LORETTHA</t>
  </si>
  <si>
    <t>MARTHA ELISABETH MAGDALENA</t>
  </si>
  <si>
    <t>MARIA CATHARINA MARTHA GLOUDINA</t>
  </si>
  <si>
    <t>GEERTRUIDA ELISABETH</t>
  </si>
  <si>
    <t>LOUISA</t>
  </si>
  <si>
    <t>ANNA CATHARINA</t>
  </si>
  <si>
    <t>ALETTA SOPHIA</t>
  </si>
  <si>
    <t>THERON</t>
  </si>
  <si>
    <t>HATTINGH</t>
  </si>
  <si>
    <t>JOHANNA ELISABETH</t>
  </si>
  <si>
    <t>F.M. PLACE</t>
  </si>
  <si>
    <t>F.M. DATE</t>
  </si>
  <si>
    <t>F.M. TO</t>
  </si>
  <si>
    <t>LOURENS</t>
  </si>
  <si>
    <t>MARTHA HELENA</t>
  </si>
  <si>
    <t>a1</t>
  </si>
  <si>
    <t>a1b1</t>
  </si>
  <si>
    <t>GERRIT ANDRIES (JACOBUS)</t>
  </si>
  <si>
    <t>b1c5d2</t>
  </si>
  <si>
    <t>b2c2</t>
  </si>
  <si>
    <t>b4c4d6e11</t>
  </si>
  <si>
    <t>b3c2d1</t>
  </si>
  <si>
    <t>b2c2d2e2</t>
  </si>
  <si>
    <t>b1</t>
  </si>
  <si>
    <t>b4c2d2</t>
  </si>
  <si>
    <t>b6c6</t>
  </si>
  <si>
    <t>b3c9d7e2</t>
  </si>
  <si>
    <t>b2c10d3e3</t>
  </si>
  <si>
    <t>b10c2d4</t>
  </si>
  <si>
    <t>b2c2d2e1</t>
  </si>
  <si>
    <t>b2c2d2</t>
  </si>
  <si>
    <t>b1c7d6</t>
  </si>
  <si>
    <t>b2c2d4e2</t>
  </si>
  <si>
    <t>b2c2d2e9</t>
  </si>
  <si>
    <t>b2c2d3e2</t>
  </si>
  <si>
    <t>b2c2d3e4</t>
  </si>
  <si>
    <t>b2c2d4e1</t>
  </si>
  <si>
    <t>b2c2d2e7</t>
  </si>
  <si>
    <t>b2c2d2e4</t>
  </si>
  <si>
    <t>b2c2d4e3</t>
  </si>
  <si>
    <t>b2c5d4e2</t>
  </si>
  <si>
    <t>04/07/1819</t>
  </si>
  <si>
    <t>b2c2d3e1</t>
  </si>
  <si>
    <t>b2c2d4</t>
  </si>
  <si>
    <t>b2c8d2e2</t>
  </si>
  <si>
    <t>a1b3c4</t>
  </si>
  <si>
    <t>b2c10d3</t>
  </si>
  <si>
    <t>b2c10d3e1</t>
  </si>
  <si>
    <t>b3c3d3e3f7</t>
  </si>
  <si>
    <t>b2c2d2e3</t>
  </si>
  <si>
    <t>b1c4d2e6f7</t>
  </si>
  <si>
    <t>b1c3d3</t>
  </si>
  <si>
    <t>b2c4d9e2</t>
  </si>
  <si>
    <t>b2c4d9e3</t>
  </si>
  <si>
    <t>b2c4d9</t>
  </si>
  <si>
    <t>b2c4d11e3</t>
  </si>
  <si>
    <t>b4c2d10</t>
  </si>
  <si>
    <t>b1c2d4e3f6</t>
  </si>
  <si>
    <t>b1c2d4e2f3</t>
  </si>
  <si>
    <t>b1c2d4e3f4</t>
  </si>
  <si>
    <t>a6b6</t>
  </si>
  <si>
    <t>b1c2d4e3f2g1</t>
  </si>
  <si>
    <t>b1c2d4e2f1</t>
  </si>
  <si>
    <t>b1c2d4e3f5</t>
  </si>
  <si>
    <t>b4c1d1e11</t>
  </si>
  <si>
    <t>b1c12d1</t>
  </si>
  <si>
    <t>b4c1d1e6</t>
  </si>
  <si>
    <t>b7c4d3e7</t>
  </si>
  <si>
    <t>b6c3d1e2</t>
  </si>
  <si>
    <t>b4c1d10</t>
  </si>
  <si>
    <t>b4c1d10e5</t>
  </si>
  <si>
    <t>b4c1d1e9</t>
  </si>
  <si>
    <t>b4c2d2e5</t>
  </si>
  <si>
    <t>b6c3d1e12</t>
  </si>
  <si>
    <t>b6c3d5e3</t>
  </si>
  <si>
    <t>b6c3d1e11</t>
  </si>
  <si>
    <t>b6c3d1e10</t>
  </si>
  <si>
    <t>ANDRIES</t>
  </si>
  <si>
    <t>b4c3d3</t>
  </si>
  <si>
    <t>b3c5d4</t>
  </si>
  <si>
    <t>b1c3d4e3</t>
  </si>
  <si>
    <t>b4c3d4e3</t>
  </si>
  <si>
    <t>b1c2d5</t>
  </si>
  <si>
    <t>a1b2c2d2e4</t>
  </si>
  <si>
    <t>b4c3d4e2</t>
  </si>
  <si>
    <t>b4c3d3e3</t>
  </si>
  <si>
    <t>b4c3d1</t>
  </si>
  <si>
    <t>b3c3d6e3</t>
  </si>
  <si>
    <t>b4c3d1e4</t>
  </si>
  <si>
    <t>b4c3d2e2</t>
  </si>
  <si>
    <t>a3b1c6</t>
  </si>
  <si>
    <t>b4c3d4e1</t>
  </si>
  <si>
    <t>b4c3d6e3</t>
  </si>
  <si>
    <t>b4c3d6</t>
  </si>
  <si>
    <t>b9c5d5e7</t>
  </si>
  <si>
    <t>b4c3d4e7</t>
  </si>
  <si>
    <t>b1c2d5e5</t>
  </si>
  <si>
    <t>b1c2d2e4</t>
  </si>
  <si>
    <t>b1c2d2</t>
  </si>
  <si>
    <t>b9c1d2e1</t>
  </si>
  <si>
    <t>b4c6d9e8</t>
  </si>
  <si>
    <t>b4c6d9e7</t>
  </si>
  <si>
    <t>b4c2d3e4f4</t>
  </si>
  <si>
    <t>b4c6d9e5</t>
  </si>
  <si>
    <t>b4c6d9e5f2</t>
  </si>
  <si>
    <t>b4c6d9e2f3</t>
  </si>
  <si>
    <t>b4c6d9e1f1</t>
  </si>
  <si>
    <t>b4c6d9e2f2</t>
  </si>
  <si>
    <t>b4c2d2e1f4g3</t>
  </si>
  <si>
    <t>a2</t>
  </si>
  <si>
    <t>a2b6c2d2</t>
  </si>
  <si>
    <t>a2b1</t>
  </si>
  <si>
    <t>b4c6d9e10</t>
  </si>
  <si>
    <t>a2b4</t>
  </si>
  <si>
    <t>b4c2d2e1f4g2</t>
  </si>
  <si>
    <t>b4c2d2e1f4g5</t>
  </si>
  <si>
    <t>a2b2</t>
  </si>
  <si>
    <t>b4c2d3e4</t>
  </si>
  <si>
    <t>b2</t>
  </si>
  <si>
    <t>b2c1</t>
  </si>
  <si>
    <t>b1c2</t>
  </si>
  <si>
    <t>b3c4d5e7</t>
  </si>
  <si>
    <t>b2c2d6</t>
  </si>
  <si>
    <t>b3c4d7e5</t>
  </si>
  <si>
    <t>b2c2d3</t>
  </si>
  <si>
    <t>b5c2</t>
  </si>
  <si>
    <t>b3c4d5e8</t>
  </si>
  <si>
    <t>b3c1d2e4f5</t>
  </si>
  <si>
    <t>b3c1d2e4f6</t>
  </si>
  <si>
    <t>b1c7</t>
  </si>
  <si>
    <t>b1c4</t>
  </si>
  <si>
    <t>bc9</t>
  </si>
  <si>
    <t>b1c10</t>
  </si>
  <si>
    <t>b1c3d9</t>
  </si>
  <si>
    <t>b2c4d7e9</t>
  </si>
  <si>
    <t>b1c3d10</t>
  </si>
  <si>
    <t>b3c1</t>
  </si>
  <si>
    <t>b8c3d3e6</t>
  </si>
  <si>
    <t>b3c1d1</t>
  </si>
  <si>
    <t>b3c1d3</t>
  </si>
  <si>
    <t>b6c4d4e4</t>
  </si>
  <si>
    <t>b3c1d5</t>
  </si>
  <si>
    <t>b3c1d4</t>
  </si>
  <si>
    <t>b3c3</t>
  </si>
  <si>
    <t>b7c6d1</t>
  </si>
  <si>
    <t>15/11/1795</t>
  </si>
  <si>
    <t>09/03/1881</t>
  </si>
  <si>
    <t>STELLENBOSCH</t>
  </si>
  <si>
    <t>02/02/1817</t>
  </si>
  <si>
    <t>SARA SUSANNA</t>
  </si>
  <si>
    <t>HAUMAN</t>
  </si>
  <si>
    <t>20/06/1790</t>
  </si>
  <si>
    <t>27/08/1877</t>
  </si>
  <si>
    <t>VICTORIA-WES - POTCEFSTROOM</t>
  </si>
  <si>
    <t>ANDRIES STEPHANUS</t>
  </si>
  <si>
    <t>b2c4d2</t>
  </si>
  <si>
    <t>31/08/1803</t>
  </si>
  <si>
    <t>13/10/1805</t>
  </si>
  <si>
    <t>MODDERRIVIER</t>
  </si>
  <si>
    <t>15/12/1854</t>
  </si>
  <si>
    <t>06/08/1826</t>
  </si>
  <si>
    <t>CORNELIA ELISABETH</t>
  </si>
  <si>
    <t>b1c3d6e6</t>
  </si>
  <si>
    <t>26/12/1834</t>
  </si>
  <si>
    <t>26/02/1809</t>
  </si>
  <si>
    <t>ANTHONIE JOHANNES</t>
  </si>
  <si>
    <t>b2c6d2</t>
  </si>
  <si>
    <t>08/04/1827</t>
  </si>
  <si>
    <t xml:space="preserve">ANNA JOHANNA </t>
  </si>
  <si>
    <t>30/09/1832</t>
  </si>
  <si>
    <t>ENGELA FRANCINA</t>
  </si>
  <si>
    <t>ANTHONIE JOHANNES LOURENS</t>
  </si>
  <si>
    <t>08/03/1804</t>
  </si>
  <si>
    <t>30/03/1874</t>
  </si>
  <si>
    <t>04/04/1825</t>
  </si>
  <si>
    <t>01/07/1838</t>
  </si>
  <si>
    <t>ANTHONIE JOHANNES STEPHANUS</t>
  </si>
  <si>
    <t>b2c5d4</t>
  </si>
  <si>
    <t>22/12/1812</t>
  </si>
  <si>
    <t>10/01/1814</t>
  </si>
  <si>
    <t>03/07/1837</t>
  </si>
  <si>
    <t>CATHARINA JOHANNA SUSANNA</t>
  </si>
  <si>
    <t>BARNARD HENDRIK</t>
  </si>
  <si>
    <t>b2c2d1e4</t>
  </si>
  <si>
    <t>08/09/1818</t>
  </si>
  <si>
    <t>05/10/1818</t>
  </si>
  <si>
    <t>15/12/1858</t>
  </si>
  <si>
    <t>BOSCHKOP</t>
  </si>
  <si>
    <t xml:space="preserve">CHRISTINA CAROLINA MARGARETHA </t>
  </si>
  <si>
    <t>LE ROUX</t>
  </si>
  <si>
    <t>23/11/1819</t>
  </si>
  <si>
    <t>10/08/1824</t>
  </si>
  <si>
    <t>CAREL FREDERIK</t>
  </si>
  <si>
    <t>b2c7</t>
  </si>
  <si>
    <t>30/03/1783</t>
  </si>
  <si>
    <t>18/03/1804</t>
  </si>
  <si>
    <t>ALETTA JOHANNA</t>
  </si>
  <si>
    <t>GEERTRUIDA MAGDALENA HAVENGA</t>
  </si>
  <si>
    <t>04/08/1869</t>
  </si>
  <si>
    <t>DAVID PETRUS</t>
  </si>
  <si>
    <t>b2c1d3e1</t>
  </si>
  <si>
    <t>10/11/1817</t>
  </si>
  <si>
    <t>01/02/1818</t>
  </si>
  <si>
    <t>HARRISMITH</t>
  </si>
  <si>
    <t>29/12/1883</t>
  </si>
  <si>
    <t>05/01/1840</t>
  </si>
  <si>
    <t xml:space="preserve">ANNA CATHARINA </t>
  </si>
  <si>
    <t>BREITENBACH</t>
  </si>
  <si>
    <t>05/06/1821</t>
  </si>
  <si>
    <t>21/10/1821</t>
  </si>
  <si>
    <t>FREDERIK JOHANNES JACOBUS</t>
  </si>
  <si>
    <t>b2c6d3</t>
  </si>
  <si>
    <t>05/02/1827</t>
  </si>
  <si>
    <t xml:space="preserve">FREDERIKA JOHANNA </t>
  </si>
  <si>
    <t>BIRK</t>
  </si>
  <si>
    <t>07/03/1830</t>
  </si>
  <si>
    <t>ELSJE DOROTHEA</t>
  </si>
  <si>
    <t>KOORTS</t>
  </si>
  <si>
    <t>08/04/1848</t>
  </si>
  <si>
    <t>SUSANNA FRANCINA</t>
  </si>
  <si>
    <t>SCHUTTE</t>
  </si>
  <si>
    <t>VAALRIVIER</t>
  </si>
  <si>
    <t>BEFORE 1838</t>
  </si>
  <si>
    <t>VAN EMMENES</t>
  </si>
  <si>
    <t>DE VLAMINGH</t>
  </si>
  <si>
    <t>JACOBUS ABRAHAM ADRIAAN</t>
  </si>
  <si>
    <t>b2c5d5</t>
  </si>
  <si>
    <t>11/01/1817</t>
  </si>
  <si>
    <t>31/03/1819</t>
  </si>
  <si>
    <t>A.H. POTGIETER POTCHEFSTROOM</t>
  </si>
  <si>
    <t>05/12/1840</t>
  </si>
  <si>
    <t>ALETTA PETRONELLA CATHARINA</t>
  </si>
  <si>
    <t>JAN JACOBUS</t>
  </si>
  <si>
    <t>b2c1d7</t>
  </si>
  <si>
    <t>26/08/1800</t>
  </si>
  <si>
    <t>08/03/1801</t>
  </si>
  <si>
    <t>28/06/1865</t>
  </si>
  <si>
    <t>BLOEMFONTEIN (VERMOOR)</t>
  </si>
  <si>
    <t>06/03/1825</t>
  </si>
  <si>
    <t>MAGDALENA ADRIANA FRANCINA CAROLINA</t>
  </si>
  <si>
    <t>a1b1c2d5e2</t>
  </si>
  <si>
    <t>05/02/1809</t>
  </si>
  <si>
    <t>30/07/1889</t>
  </si>
  <si>
    <t>ROELOF JOHANNES</t>
  </si>
  <si>
    <t>b2c6d6</t>
  </si>
  <si>
    <t>10/08/1814</t>
  </si>
  <si>
    <t xml:space="preserve"> BEFORE JUNE 1838</t>
  </si>
  <si>
    <t xml:space="preserve">BOTES </t>
  </si>
  <si>
    <t>WIETSE</t>
  </si>
  <si>
    <t>b2c1d3e2</t>
  </si>
  <si>
    <t>07/11/1818</t>
  </si>
  <si>
    <t>12/08/1819</t>
  </si>
  <si>
    <t>MARIA HELENA ABIGAEL</t>
  </si>
  <si>
    <t>DEYSEL</t>
  </si>
  <si>
    <t>LATE 1830'S</t>
  </si>
  <si>
    <t>b2c1d1e1</t>
  </si>
  <si>
    <t>25/11/1813</t>
  </si>
  <si>
    <t>PAARL</t>
  </si>
  <si>
    <t>30/01/1814</t>
  </si>
  <si>
    <t>02/04/1877</t>
  </si>
  <si>
    <t>07/07/1834</t>
  </si>
  <si>
    <t>MARIA MAGDALENA CATHARINA</t>
  </si>
  <si>
    <t>MARIA SUSANNA</t>
  </si>
  <si>
    <t>LINDEQUE</t>
  </si>
  <si>
    <t>02/04/1838</t>
  </si>
  <si>
    <t>WIETSE LOURENS</t>
  </si>
  <si>
    <t>b2c6d4</t>
  </si>
  <si>
    <t>18/01/1807</t>
  </si>
  <si>
    <t>07/01/1827</t>
  </si>
  <si>
    <t xml:space="preserve">JOHANNA PETRONELLA </t>
  </si>
  <si>
    <t>MODDERFONTEIN</t>
  </si>
  <si>
    <t>WIETZ</t>
  </si>
  <si>
    <t>b2c1d7e1</t>
  </si>
  <si>
    <t>28/12/1825</t>
  </si>
  <si>
    <t>03/07/1826</t>
  </si>
  <si>
    <t>07/07/1892</t>
  </si>
  <si>
    <t>MARIA MAGDALENA MARAIS</t>
  </si>
  <si>
    <t>EARLY 1830'S</t>
  </si>
  <si>
    <t>BRANDFORT</t>
  </si>
  <si>
    <t>ALWYN PETRUS</t>
  </si>
  <si>
    <t>a1b5c9d1e7</t>
  </si>
  <si>
    <t>02/08/1801</t>
  </si>
  <si>
    <t>30/11/1823</t>
  </si>
  <si>
    <t>ANNA MARGARETHA CATHARINA</t>
  </si>
  <si>
    <t>a1b2c4d10e2</t>
  </si>
  <si>
    <t>a1b1c7d1e9f1</t>
  </si>
  <si>
    <t>27/12/1819</t>
  </si>
  <si>
    <t>19/08/1820</t>
  </si>
  <si>
    <t>CORNELIA JOHANNA CHRISTINA STOOP</t>
  </si>
  <si>
    <t>PIETERMARITZBURG (1844)</t>
  </si>
  <si>
    <t>ANDRIES HENDRIK</t>
  </si>
  <si>
    <t>a1b1c7d1e2f1</t>
  </si>
  <si>
    <t>02/04/1799</t>
  </si>
  <si>
    <t>EVA MARIA ENGELBRECHT</t>
  </si>
  <si>
    <t>CAREL HENDRIK</t>
  </si>
  <si>
    <t>COETZER</t>
  </si>
  <si>
    <t>BEFORE 02/11/1837</t>
  </si>
  <si>
    <t>CHRISTIAAN</t>
  </si>
  <si>
    <t>a1b2c4d5e4</t>
  </si>
  <si>
    <t>07/02/1779</t>
  </si>
  <si>
    <t>18/08/1799</t>
  </si>
  <si>
    <t xml:space="preserve">CHRISTINA ELISABETH </t>
  </si>
  <si>
    <t>VAN AARDE</t>
  </si>
  <si>
    <t>05/07/1818</t>
  </si>
  <si>
    <t xml:space="preserve">MAGDALENA SUSANNA </t>
  </si>
  <si>
    <t>CHRISTIAAN THEUNIS GERRIT(SE)</t>
  </si>
  <si>
    <t>a1b1c2d7e1f4</t>
  </si>
  <si>
    <t>13/10/1799</t>
  </si>
  <si>
    <t>18/09/1810</t>
  </si>
  <si>
    <t>05/01/1839</t>
  </si>
  <si>
    <t>JOHANNA MAGDALENA</t>
  </si>
  <si>
    <t>b2c5d4e1f4g6</t>
  </si>
  <si>
    <t>CHRISTOFFEL FRANCOIS</t>
  </si>
  <si>
    <t>a1b1c4d5e4f4</t>
  </si>
  <si>
    <t>04/12/1826</t>
  </si>
  <si>
    <t xml:space="preserve">ANNA CHRISTINA CORNELIA </t>
  </si>
  <si>
    <t>b3c4d1e13f2</t>
  </si>
  <si>
    <t>02/08/1808</t>
  </si>
  <si>
    <t>CHRISTOFFEL JACOBUS</t>
  </si>
  <si>
    <t>a1b1c7d1e9</t>
  </si>
  <si>
    <t>18/11/1792</t>
  </si>
  <si>
    <t>JOHANNA SUSANNA</t>
  </si>
  <si>
    <t>JANSE VAN VUUREN</t>
  </si>
  <si>
    <t>b2c3d9e2</t>
  </si>
  <si>
    <t>02/12/1801</t>
  </si>
  <si>
    <t>26/12/1843</t>
  </si>
  <si>
    <t>25/10/1846</t>
  </si>
  <si>
    <t>b1c7d5e1f4</t>
  </si>
  <si>
    <t>b1c7d2e9</t>
  </si>
  <si>
    <t>18/02/1790</t>
  </si>
  <si>
    <t>06/06/1871</t>
  </si>
  <si>
    <t xml:space="preserve">MARIA DOROTHEA </t>
  </si>
  <si>
    <t>b4c6d7</t>
  </si>
  <si>
    <t>CORNELIS</t>
  </si>
  <si>
    <t>a3b2c7</t>
  </si>
  <si>
    <t>23/09/1839</t>
  </si>
  <si>
    <t>DEBORA SUSANNA SOPHIA</t>
  </si>
  <si>
    <t>MARITZ</t>
  </si>
  <si>
    <t>b1c8d2e3</t>
  </si>
  <si>
    <t>NOTES</t>
  </si>
  <si>
    <t>F</t>
  </si>
  <si>
    <t xml:space="preserve"> 31/07/1913</t>
  </si>
  <si>
    <t xml:space="preserve"> 17/05/1901</t>
  </si>
  <si>
    <t>STIGTER LADISMITH, DOGTER LUCAS MEYER</t>
  </si>
  <si>
    <t>09/12/1816</t>
  </si>
  <si>
    <t>SEPTEMBER 1836</t>
  </si>
  <si>
    <t>DOGTER GERT MARITZ (INLIGTING OP VROU)</t>
  </si>
  <si>
    <t>ERNST ADRIAAN LODEWYK</t>
  </si>
  <si>
    <t>b1c7d1e15</t>
  </si>
  <si>
    <t>12/12/1809</t>
  </si>
  <si>
    <t>18/08/1811</t>
  </si>
  <si>
    <t>20/03/1831</t>
  </si>
  <si>
    <t>HELENA JOHANNA FRANCINA</t>
  </si>
  <si>
    <t>VAN DYK</t>
  </si>
  <si>
    <t>BLOEDRIVIER</t>
  </si>
  <si>
    <t>FREDERIK CHRISTOFFEL</t>
  </si>
  <si>
    <t>b2c9d8e4</t>
  </si>
  <si>
    <t>25/12/1795</t>
  </si>
  <si>
    <t>02/11/1837</t>
  </si>
  <si>
    <t>b2c9d8</t>
  </si>
  <si>
    <t>26/04/1772</t>
  </si>
  <si>
    <t>14/08/1791</t>
  </si>
  <si>
    <t>ANNA MARIA ELISABETH</t>
  </si>
  <si>
    <t>a1b2c4d5e2</t>
  </si>
  <si>
    <t>10/07/1774</t>
  </si>
  <si>
    <t>16/02/1810</t>
  </si>
  <si>
    <t>FREDERIK WILLEM JACOBUS</t>
  </si>
  <si>
    <t>b2c4d1e1f2g2</t>
  </si>
  <si>
    <t>27/10/1824</t>
  </si>
  <si>
    <t>21/07/1825</t>
  </si>
  <si>
    <t>GERHARDUS</t>
  </si>
  <si>
    <t>GLEN LYNDEN</t>
  </si>
  <si>
    <t>MAY 1840</t>
  </si>
  <si>
    <t xml:space="preserve">BOTHA </t>
  </si>
  <si>
    <t>HENDRIK PETRUS</t>
  </si>
  <si>
    <t>b2c4d5e2f1</t>
  </si>
  <si>
    <t>28/12/1813</t>
  </si>
  <si>
    <t>06/03/1814</t>
  </si>
  <si>
    <t>06/10/1834</t>
  </si>
  <si>
    <t>JACOBA ALETTA CATHARINA</t>
  </si>
  <si>
    <t>b5c4d5e6</t>
  </si>
  <si>
    <t>13/12/1818</t>
  </si>
  <si>
    <t>NATAL (1840)</t>
  </si>
  <si>
    <t>HERCULAS DAVID</t>
  </si>
  <si>
    <t>a1b1c7d8e8</t>
  </si>
  <si>
    <t>05/10/1806</t>
  </si>
  <si>
    <t>06/12/1829</t>
  </si>
  <si>
    <t>WILHELMINA HENDRINA</t>
  </si>
  <si>
    <t>01/03/1838</t>
  </si>
  <si>
    <t>JACOBUS</t>
  </si>
  <si>
    <t xml:space="preserve">JACOBUS </t>
  </si>
  <si>
    <t>b2c9d3e10</t>
  </si>
  <si>
    <t>07/02/1880</t>
  </si>
  <si>
    <t>26/12/1829</t>
  </si>
  <si>
    <t>SUSARA JACOBA MARGARETHA</t>
  </si>
  <si>
    <t>WILLEMSE</t>
  </si>
  <si>
    <t>b8c10d3e1</t>
  </si>
  <si>
    <t>26/09/1810</t>
  </si>
  <si>
    <t>JACOBUS CASPARUS</t>
  </si>
  <si>
    <t>b4c9d1f3</t>
  </si>
  <si>
    <t>12/07/1812</t>
  </si>
  <si>
    <t>07/04/1813</t>
  </si>
  <si>
    <t xml:space="preserve">RACHEL SOPHIA ELISABETH </t>
  </si>
  <si>
    <t>a1b1c4d9e3f7</t>
  </si>
  <si>
    <t>04/10/1817</t>
  </si>
  <si>
    <t>26/10/1817</t>
  </si>
  <si>
    <t>19/05/1844</t>
  </si>
  <si>
    <t>OVER ORANGE</t>
  </si>
  <si>
    <t>JACOBUS FREDERIK</t>
  </si>
  <si>
    <t>a1b2c4d1e2f10</t>
  </si>
  <si>
    <t>02/10/1809</t>
  </si>
  <si>
    <t>08/08/1830</t>
  </si>
  <si>
    <t>HESTER JOHANNA CORNELIA</t>
  </si>
  <si>
    <t>b6c8d7e12</t>
  </si>
  <si>
    <t>13/02/1813</t>
  </si>
  <si>
    <t>SUSTER A.H. POTGIETER</t>
  </si>
  <si>
    <t>JACOBUS MATHINUS</t>
  </si>
  <si>
    <t>a1b4c10d10e3</t>
  </si>
  <si>
    <t>04/04/1802</t>
  </si>
  <si>
    <t>08/08/1824</t>
  </si>
  <si>
    <t xml:space="preserve">MARGARETHA DOROTHEA </t>
  </si>
  <si>
    <t>CARELSE</t>
  </si>
  <si>
    <t>b3c2d3</t>
  </si>
  <si>
    <t>01/07/1805</t>
  </si>
  <si>
    <t>02/07/1805</t>
  </si>
  <si>
    <t>02/07/1837</t>
  </si>
  <si>
    <t>STEPHINA ANNA CATHARINA</t>
  </si>
  <si>
    <t>b4c1d10e12</t>
  </si>
  <si>
    <t>09/07/1820</t>
  </si>
  <si>
    <t>10/10/1821</t>
  </si>
  <si>
    <t>JAN ADRIAAN</t>
  </si>
  <si>
    <t>JAN VALENTYN</t>
  </si>
  <si>
    <t>a1b2c4d5e2f2</t>
  </si>
  <si>
    <t>18/11/1815</t>
  </si>
  <si>
    <t>03/02/1833</t>
  </si>
  <si>
    <t>PETRONELLA MAGDALENA</t>
  </si>
  <si>
    <t>JOHAN HENDRIK</t>
  </si>
  <si>
    <t>a3b2c8</t>
  </si>
  <si>
    <t>25/09/1818</t>
  </si>
  <si>
    <t>b3c11d4e5</t>
  </si>
  <si>
    <t>S.P. ERASMUS</t>
  </si>
  <si>
    <t>DOGTER STEPHANUS PETRUS ERASMUS</t>
  </si>
  <si>
    <t>b1c7d9e9f2</t>
  </si>
  <si>
    <t>19/09/1823</t>
  </si>
  <si>
    <t>20/10/1823</t>
  </si>
  <si>
    <t>MAGDALENA ELISABETH</t>
  </si>
  <si>
    <t>b2c9d3e13</t>
  </si>
  <si>
    <t>25/10/1812</t>
  </si>
  <si>
    <t>08/09/1814</t>
  </si>
  <si>
    <t>02/12/1832</t>
  </si>
  <si>
    <t>GEERTRUIDA MARIA</t>
  </si>
  <si>
    <t>BOTMA</t>
  </si>
  <si>
    <t>b5c3d10e8f2</t>
  </si>
  <si>
    <t>06/12/1807</t>
  </si>
  <si>
    <t>JOHANNES CHRISTIAAN</t>
  </si>
  <si>
    <t>b1c7d1e10</t>
  </si>
  <si>
    <t>15/10/1794</t>
  </si>
  <si>
    <t>05/10/1819</t>
  </si>
  <si>
    <t>BLESBERG</t>
  </si>
  <si>
    <t>20/09/1836</t>
  </si>
  <si>
    <t>BEREDDER EERSTE</t>
  </si>
  <si>
    <t>05/03/1837</t>
  </si>
  <si>
    <t>b4c1d1e6f3</t>
  </si>
  <si>
    <t>JOHANNES CHRISTOFFEL</t>
  </si>
  <si>
    <t>a1b2c4d5e2f3</t>
  </si>
  <si>
    <t>12/02/1818</t>
  </si>
  <si>
    <t>11/04/1818</t>
  </si>
  <si>
    <t>20/05/1837</t>
  </si>
  <si>
    <t>MARIA CATHARINA CAROLINA MAGDALENA</t>
  </si>
  <si>
    <t>b9c5d9e1f3</t>
  </si>
  <si>
    <t>JOHANNES HENDRIK</t>
  </si>
  <si>
    <t>JOHANNES JURGEN</t>
  </si>
  <si>
    <t>a1b1c7d8e7</t>
  </si>
  <si>
    <t>08/01/1805</t>
  </si>
  <si>
    <t>20/05/1805</t>
  </si>
  <si>
    <t>ROUXVILLE</t>
  </si>
  <si>
    <t>18/03/1880</t>
  </si>
  <si>
    <t xml:space="preserve">ELISABETH MARGARETHA </t>
  </si>
  <si>
    <t>OPPERMAN</t>
  </si>
  <si>
    <t>JOHANNES LODEWICUS PETRUS</t>
  </si>
  <si>
    <t>a1b5c9d1e2</t>
  </si>
  <si>
    <t>28/06/1789</t>
  </si>
  <si>
    <t>26/12/1809</t>
  </si>
  <si>
    <t xml:space="preserve">JOHANNA CHRISTINA </t>
  </si>
  <si>
    <t>07/02/1819</t>
  </si>
  <si>
    <t>SCHOLTZ</t>
  </si>
  <si>
    <t>a2b2c7d1e1</t>
  </si>
  <si>
    <t xml:space="preserve">NATAL </t>
  </si>
  <si>
    <t>VEGKOP</t>
  </si>
  <si>
    <t>LOURENS JACOBUS</t>
  </si>
  <si>
    <t>a1b1c7d8e9</t>
  </si>
  <si>
    <t>08/04/1880</t>
  </si>
  <si>
    <t>05/10/1829</t>
  </si>
  <si>
    <t xml:space="preserve">JOHANNA ADRIANA </t>
  </si>
  <si>
    <t xml:space="preserve">ANNA SOPHIA CORNELIA JACOBA </t>
  </si>
  <si>
    <t>a1b1c7d1e4f1</t>
  </si>
  <si>
    <t>HILLETJIE LEVINA</t>
  </si>
  <si>
    <t>FALSE RIVER</t>
  </si>
  <si>
    <t>PAUL STEPHANUS</t>
  </si>
  <si>
    <t>b2c4d3e6f3</t>
  </si>
  <si>
    <t>27/11/1811</t>
  </si>
  <si>
    <t>SOUTPANSBERGE</t>
  </si>
  <si>
    <t>01/07/1888</t>
  </si>
  <si>
    <t>SCHOEMANSDAL</t>
  </si>
  <si>
    <t>14/11/1858</t>
  </si>
  <si>
    <t>JACOBA JOHANNA CATHARINA</t>
  </si>
  <si>
    <t>MINNAAR</t>
  </si>
  <si>
    <t>JOHANNA MARIA JACOBA</t>
  </si>
  <si>
    <t>26/11/1847</t>
  </si>
  <si>
    <t>PETRUS HERMANUS</t>
  </si>
  <si>
    <t xml:space="preserve">HELENA DOROTHEA </t>
  </si>
  <si>
    <t>b4c10d11e1</t>
  </si>
  <si>
    <t>02/04/1797</t>
  </si>
  <si>
    <t>30/11/1852</t>
  </si>
  <si>
    <t>08/06/1816</t>
  </si>
  <si>
    <t>GEERTRUY MARGARETHA ELISABETH</t>
  </si>
  <si>
    <t>VAN SCHALKWYK</t>
  </si>
  <si>
    <t>07/12/1817</t>
  </si>
  <si>
    <t xml:space="preserve">HESTER ALETTA </t>
  </si>
  <si>
    <t>26/12/1822</t>
  </si>
  <si>
    <t xml:space="preserve">MARIA SUSANNA </t>
  </si>
  <si>
    <t>BOSHOFF</t>
  </si>
  <si>
    <t>a1b1c4d9e3</t>
  </si>
  <si>
    <t>14/07/1782</t>
  </si>
  <si>
    <t>03/12/1855</t>
  </si>
  <si>
    <t>28/12/1801</t>
  </si>
  <si>
    <t>CAMPHER</t>
  </si>
  <si>
    <t>ALONE</t>
  </si>
  <si>
    <t>a1b4c10d10e1</t>
  </si>
  <si>
    <t>b2c2d1</t>
  </si>
  <si>
    <t>21/12/1801</t>
  </si>
  <si>
    <t>PHILIP RUDOLPH</t>
  </si>
  <si>
    <t>a1b1c7d2e3f1</t>
  </si>
  <si>
    <t>21/09/1800</t>
  </si>
  <si>
    <t>18/12/1875</t>
  </si>
  <si>
    <t>06/01/1822</t>
  </si>
  <si>
    <t>b1c3d4e1f1</t>
  </si>
  <si>
    <t>09/10/1803</t>
  </si>
  <si>
    <t>25/03/1860</t>
  </si>
  <si>
    <t xml:space="preserve">ELISABETH CORNELIA </t>
  </si>
  <si>
    <t>b9c7d14</t>
  </si>
  <si>
    <t>13/08/1812</t>
  </si>
  <si>
    <t>MZILIKAZI</t>
  </si>
  <si>
    <t>20/06/1837</t>
  </si>
  <si>
    <t>J.H. DE LANGE</t>
  </si>
  <si>
    <t>LEADERS</t>
  </si>
  <si>
    <t>b1c7d2e9f3</t>
  </si>
  <si>
    <t>28/08/1821</t>
  </si>
  <si>
    <t>17/10/1821</t>
  </si>
  <si>
    <t>PIETER HENDRIK</t>
  </si>
  <si>
    <t>b2c9d8e6</t>
  </si>
  <si>
    <t>15/03/1799</t>
  </si>
  <si>
    <t>03/08/1800</t>
  </si>
  <si>
    <t>29/04/1838</t>
  </si>
  <si>
    <t>02/09/1821</t>
  </si>
  <si>
    <t>GOOSEN</t>
  </si>
  <si>
    <t>a3b5</t>
  </si>
  <si>
    <t xml:space="preserve">PIETER JOHANNES </t>
  </si>
  <si>
    <t>b2c4d1e2f9</t>
  </si>
  <si>
    <t>20/10/1836</t>
  </si>
  <si>
    <t>02/03/1832</t>
  </si>
  <si>
    <t xml:space="preserve">PETRONELLA MARGARETHA </t>
  </si>
  <si>
    <t>b6c8d7e2f2</t>
  </si>
  <si>
    <t>04/09/1815</t>
  </si>
  <si>
    <t>VEGKOP, DOGTER A.H. POTGIETER</t>
  </si>
  <si>
    <t>02/12/1827</t>
  </si>
  <si>
    <t xml:space="preserve">ANNA CHRISTINA </t>
  </si>
  <si>
    <t>PUTTER</t>
  </si>
  <si>
    <t>PIETER JOHANNES HENDRIK</t>
  </si>
  <si>
    <t>a1b2c4d1e1f3</t>
  </si>
  <si>
    <t>30/03/1794</t>
  </si>
  <si>
    <t>GRAHAMS TOWN</t>
  </si>
  <si>
    <t>08/01/1825</t>
  </si>
  <si>
    <t>ANNA MARIA</t>
  </si>
  <si>
    <t>GEERE</t>
  </si>
  <si>
    <t>23/03/1794</t>
  </si>
  <si>
    <t>SEPTEMBER 1835</t>
  </si>
  <si>
    <t>REYNIER</t>
  </si>
  <si>
    <t>a1b2c9d3e4</t>
  </si>
  <si>
    <t>06/09/1787</t>
  </si>
  <si>
    <t>27/07/1817</t>
  </si>
  <si>
    <t>ISABELLA ELISABETH</t>
  </si>
  <si>
    <t>ROELOF SCHALK</t>
  </si>
  <si>
    <t>b5c9d1e1f4</t>
  </si>
  <si>
    <t>14/03/1816</t>
  </si>
  <si>
    <t>27/03/1836</t>
  </si>
  <si>
    <t>SUSANNA MARGARETHA</t>
  </si>
  <si>
    <t>b4c2d3e4f7</t>
  </si>
  <si>
    <t>08/11/1819</t>
  </si>
  <si>
    <t>17/04/1820</t>
  </si>
  <si>
    <t>GERT MARITZ</t>
  </si>
  <si>
    <t>RUDOLPH PHILIP</t>
  </si>
  <si>
    <t>b1c7d1e12</t>
  </si>
  <si>
    <t>21/07/1801</t>
  </si>
  <si>
    <t>07/04/1869</t>
  </si>
  <si>
    <t>08/07/1827</t>
  </si>
  <si>
    <t>ANNA JACOBA</t>
  </si>
  <si>
    <t>b2c4d1e3f2</t>
  </si>
  <si>
    <t>TRANSORANJE (1845)</t>
  </si>
  <si>
    <t xml:space="preserve">JOHANNA SOPHIA </t>
  </si>
  <si>
    <t>SALOMON PETRUS</t>
  </si>
  <si>
    <t>b1c7d2e9f4</t>
  </si>
  <si>
    <t>12/07/1823</t>
  </si>
  <si>
    <t>01/02/1824</t>
  </si>
  <si>
    <t>14/10/1843</t>
  </si>
  <si>
    <t>MAGDALENA ELIZABETH</t>
  </si>
  <si>
    <t>b3c1d5e14f1</t>
  </si>
  <si>
    <t>b5c9d1e11</t>
  </si>
  <si>
    <t>03/05/1811</t>
  </si>
  <si>
    <t>25/05/1811</t>
  </si>
  <si>
    <t>31/03/1834</t>
  </si>
  <si>
    <t>PIENAAR</t>
  </si>
  <si>
    <t>SCHALK JACOBUS</t>
  </si>
  <si>
    <t>THEUNIS GERHARDUS</t>
  </si>
  <si>
    <t>b1c7d8e6</t>
  </si>
  <si>
    <t>04/11/1804</t>
  </si>
  <si>
    <t>11/06/1867</t>
  </si>
  <si>
    <t>05/08/1821</t>
  </si>
  <si>
    <t>ANNA CORNELIA MARIA</t>
  </si>
  <si>
    <t>ELS</t>
  </si>
  <si>
    <t>FREDERIK ELS</t>
  </si>
  <si>
    <t>THEUNIS JACOBUS</t>
  </si>
  <si>
    <t>b1c7d2e3f1g1</t>
  </si>
  <si>
    <t>09/07/1822</t>
  </si>
  <si>
    <t>05/10/1822</t>
  </si>
  <si>
    <t>05/02/1842</t>
  </si>
  <si>
    <t>MARIA SUSANNA WILHELMINA</t>
  </si>
  <si>
    <t>b3c3d6e6f1</t>
  </si>
  <si>
    <t>04/12/1821</t>
  </si>
  <si>
    <t>UMVOTI</t>
  </si>
  <si>
    <t>08/04/1862</t>
  </si>
  <si>
    <t>THEUNIS JOHANNES</t>
  </si>
  <si>
    <t>a1b2c9d7e6</t>
  </si>
  <si>
    <t>26/10/1800</t>
  </si>
  <si>
    <t>07/01/1885</t>
  </si>
  <si>
    <t>GEERTRUY MARIA</t>
  </si>
  <si>
    <t>b6c5d8</t>
  </si>
  <si>
    <t>15/03/1807</t>
  </si>
  <si>
    <t>ADRIANA JACOBA MARIA</t>
  </si>
  <si>
    <t>DU PLESSIS</t>
  </si>
  <si>
    <t>PLACE (*)</t>
  </si>
  <si>
    <t>JUNE 1829</t>
  </si>
  <si>
    <t>14/05/1888</t>
  </si>
  <si>
    <t>THEUNIS LOUIS</t>
  </si>
  <si>
    <t>b1c7d1e4</t>
  </si>
  <si>
    <t>20/03/1775</t>
  </si>
  <si>
    <t>27/08/1775</t>
  </si>
  <si>
    <t>24/01/1865</t>
  </si>
  <si>
    <t>03/05/1838</t>
  </si>
  <si>
    <t>KROONSTAD (TRANSORANJE)</t>
  </si>
  <si>
    <t>WILLEM</t>
  </si>
  <si>
    <t>a1b2c9d8e1</t>
  </si>
  <si>
    <t>01/12/1790</t>
  </si>
  <si>
    <t>28/10/1792</t>
  </si>
  <si>
    <t>26/05/1817</t>
  </si>
  <si>
    <t>ANNA CHRISTINA MAGDALENA</t>
  </si>
  <si>
    <t>a12b5c2</t>
  </si>
  <si>
    <t>14/11/1804</t>
  </si>
  <si>
    <t>WILLEM ADRIAAN</t>
  </si>
  <si>
    <t>a1b4c10d10e2</t>
  </si>
  <si>
    <t>16/02/1800</t>
  </si>
  <si>
    <t xml:space="preserve">MARIA </t>
  </si>
  <si>
    <t>b1c5d7</t>
  </si>
  <si>
    <t>WILLEM FREDERIK</t>
  </si>
  <si>
    <t>a1b2c4d1e1f2</t>
  </si>
  <si>
    <t>16/06/1791</t>
  </si>
  <si>
    <t>01/09/1822</t>
  </si>
  <si>
    <t>HELENA CATHARINA</t>
  </si>
  <si>
    <t>b2c39d8e8</t>
  </si>
  <si>
    <t>05/05/1805</t>
  </si>
  <si>
    <t>WILLEM JACOBUS</t>
  </si>
  <si>
    <t>a1b5c9d1e6</t>
  </si>
  <si>
    <t>18/11/1798</t>
  </si>
  <si>
    <t>05/01/1823</t>
  </si>
  <si>
    <t>ESTER FRANCINA JACOBA</t>
  </si>
  <si>
    <t>HENNOP</t>
  </si>
  <si>
    <t>b1c1d1</t>
  </si>
  <si>
    <t>22/02/1807</t>
  </si>
  <si>
    <t>04/10/1830</t>
  </si>
  <si>
    <t>ELSJE SOPHIA</t>
  </si>
  <si>
    <t>J.C. ESPAG</t>
  </si>
  <si>
    <t>BOTHMA</t>
  </si>
  <si>
    <t>ABRAHAM CAREL</t>
  </si>
  <si>
    <t>b5c3d10e2f5</t>
  </si>
  <si>
    <t xml:space="preserve">GEERTRUIDA MARIA BARBARA </t>
  </si>
  <si>
    <t>b5c3d10e4f3</t>
  </si>
  <si>
    <t>19/02/1805</t>
  </si>
  <si>
    <t>BLOUKRANS RIVIER, NATAL</t>
  </si>
  <si>
    <t>P. RETIEF</t>
  </si>
  <si>
    <t>BOTHAM</t>
  </si>
  <si>
    <t>b5c3d10e8f5</t>
  </si>
  <si>
    <t>14/06/1813</t>
  </si>
  <si>
    <t>15/06/1853</t>
  </si>
  <si>
    <t>16/10/1831</t>
  </si>
  <si>
    <t>FRANCINA BARENDINA</t>
  </si>
  <si>
    <t>APRIL 1840</t>
  </si>
  <si>
    <t>CHRISTIAAN PETRUS</t>
  </si>
  <si>
    <t>b5c3d4e7f1</t>
  </si>
  <si>
    <t>18/04/1812</t>
  </si>
  <si>
    <t>21/08/1812</t>
  </si>
  <si>
    <t>13/09/1844</t>
  </si>
  <si>
    <t>21/11/1833</t>
  </si>
  <si>
    <t xml:space="preserve">MARIA MARGARETHA </t>
  </si>
  <si>
    <t>14/02/1841</t>
  </si>
  <si>
    <t>CORNELIS ARNOLDUS</t>
  </si>
  <si>
    <t>b5c3d10e7f1</t>
  </si>
  <si>
    <t>15/02/1802</t>
  </si>
  <si>
    <t>01/04/1804</t>
  </si>
  <si>
    <t>08/08/1823</t>
  </si>
  <si>
    <t>CATHARINA WILHELMINA LEVINA</t>
  </si>
  <si>
    <t>b4c3d4</t>
  </si>
  <si>
    <t>20/07/1794</t>
  </si>
  <si>
    <t>MAY 1841</t>
  </si>
  <si>
    <t>CORNELIS CHRISTOFFEL</t>
  </si>
  <si>
    <t>b5c3d10e2f4</t>
  </si>
  <si>
    <t>19/11/1797</t>
  </si>
  <si>
    <t>23/06/1868</t>
  </si>
  <si>
    <t>05/06/1816</t>
  </si>
  <si>
    <t>HELENA LOUISA LOUW</t>
  </si>
  <si>
    <t>CORNELIS STEPHANUS</t>
  </si>
  <si>
    <t>b5c3d10e1f1</t>
  </si>
  <si>
    <t>06/05/1792</t>
  </si>
  <si>
    <t>08/02/1818</t>
  </si>
  <si>
    <t>GEERTRUIDA CATHARINA ERASMUS</t>
  </si>
  <si>
    <t>PRINS ALBERT</t>
  </si>
  <si>
    <t>14/10/1852</t>
  </si>
  <si>
    <t>GERHARDUS CORNELIS</t>
  </si>
  <si>
    <t>b5c3d10e4f2</t>
  </si>
  <si>
    <t>FEBRUARY 1837</t>
  </si>
  <si>
    <t>JAN DANIEL</t>
  </si>
  <si>
    <t>b5c3d10e2f8</t>
  </si>
  <si>
    <t>BEDFORD</t>
  </si>
  <si>
    <t>09/01/1807</t>
  </si>
  <si>
    <t>LADYBRAND</t>
  </si>
  <si>
    <t>18/02/1871</t>
  </si>
  <si>
    <t>MAGDADLENA ELISABETH ANNA MARIA</t>
  </si>
  <si>
    <t xml:space="preserve">CATHARINA SOPHIA </t>
  </si>
  <si>
    <t>LODEWYK</t>
  </si>
  <si>
    <t>b5c3d11</t>
  </si>
  <si>
    <t>24/12/1746</t>
  </si>
  <si>
    <t>07/01/1786</t>
  </si>
  <si>
    <t>KOCK</t>
  </si>
  <si>
    <t>AGE 91?</t>
  </si>
  <si>
    <t>b5c3d4e4f11</t>
  </si>
  <si>
    <t>24/05/1802</t>
  </si>
  <si>
    <t>03/12/1802</t>
  </si>
  <si>
    <t>03/04/1821</t>
  </si>
  <si>
    <t>CORNELIA JOSINA</t>
  </si>
  <si>
    <t>STEENBERG</t>
  </si>
  <si>
    <t>26/01/1834</t>
  </si>
  <si>
    <t>ELSIE JACOBA</t>
  </si>
  <si>
    <t>LODEWYK NICOLAAS</t>
  </si>
  <si>
    <t>b5c3d11e3</t>
  </si>
  <si>
    <t>16/01/1791</t>
  </si>
  <si>
    <t>b5c3d10e7</t>
  </si>
  <si>
    <t>10/10/1781</t>
  </si>
  <si>
    <t>08/12/1782</t>
  </si>
  <si>
    <t>24/07/1864</t>
  </si>
  <si>
    <t>18/01/1801</t>
  </si>
  <si>
    <t>DE WET</t>
  </si>
  <si>
    <t>VELDKORNET</t>
  </si>
  <si>
    <t>PIETER GERHARDUS</t>
  </si>
  <si>
    <t>b5c3d10e7f3</t>
  </si>
  <si>
    <t>04/07/1808</t>
  </si>
  <si>
    <t>KRUGEL</t>
  </si>
  <si>
    <t>b4c2d9e3</t>
  </si>
  <si>
    <t>STEPHANUS ARNOLDUS JOHANNES</t>
  </si>
  <si>
    <t>b5c3d4e7f3</t>
  </si>
  <si>
    <t>10/02/1821</t>
  </si>
  <si>
    <t>01/04/1821</t>
  </si>
  <si>
    <t>08/03/1844</t>
  </si>
  <si>
    <t>ELISABETH AGATHA</t>
  </si>
  <si>
    <t>VERMAAK</t>
  </si>
  <si>
    <t>b2c6d7e3</t>
  </si>
  <si>
    <t>13/03/1824</t>
  </si>
  <si>
    <t>07/09/1824</t>
  </si>
  <si>
    <t>BOUWER</t>
  </si>
  <si>
    <t>DIRK</t>
  </si>
  <si>
    <t>b1c2c5</t>
  </si>
  <si>
    <t>24/10/1709</t>
  </si>
  <si>
    <t>19/07/1812</t>
  </si>
  <si>
    <t>SUSANNA CORNELIA HELENA</t>
  </si>
  <si>
    <t>b12c6</t>
  </si>
  <si>
    <t>12/02/1792</t>
  </si>
  <si>
    <t>14/10/1810</t>
  </si>
  <si>
    <t>JOHANNA ELISABETH BUYS</t>
  </si>
  <si>
    <t>PETRUS FREDERIK BARENDSE</t>
  </si>
  <si>
    <t>b12c1d6</t>
  </si>
  <si>
    <t>30/10/1815</t>
  </si>
  <si>
    <t>PIETER CORNELIS</t>
  </si>
  <si>
    <t>b12c1</t>
  </si>
  <si>
    <t>18/05/1783</t>
  </si>
  <si>
    <t>SKOONFAMILIE, TREGARDT</t>
  </si>
  <si>
    <t>WILLEM CHRISTIAAN</t>
  </si>
  <si>
    <t>a1b11c3d1</t>
  </si>
  <si>
    <t>02/07/1810</t>
  </si>
  <si>
    <t>16/09/1830</t>
  </si>
  <si>
    <t>SUSANNA SOPHIA</t>
  </si>
  <si>
    <t>BREED</t>
  </si>
  <si>
    <t>DAVID</t>
  </si>
  <si>
    <t>16/01/1801</t>
  </si>
  <si>
    <t>01/11/1801</t>
  </si>
  <si>
    <t>ANNA JOHANNA HELENA</t>
  </si>
  <si>
    <t>RUSTENBURUG</t>
  </si>
  <si>
    <t>GERHARDUS CHRISTIAAN</t>
  </si>
  <si>
    <t>b2c5</t>
  </si>
  <si>
    <t>10/07/1797</t>
  </si>
  <si>
    <t>07/03/1824</t>
  </si>
  <si>
    <t>GESINA WILHELMINA</t>
  </si>
  <si>
    <t xml:space="preserve">VENTER </t>
  </si>
  <si>
    <t>b3c9d9e1</t>
  </si>
  <si>
    <t>07/10/1810</t>
  </si>
  <si>
    <t>JACOB</t>
  </si>
  <si>
    <t>27/02/1791</t>
  </si>
  <si>
    <t>03/11/1816</t>
  </si>
  <si>
    <t xml:space="preserve">MARIA JOHANNA </t>
  </si>
  <si>
    <t>a2b5c4d1e1</t>
  </si>
  <si>
    <t>AUGUST 1836</t>
  </si>
  <si>
    <t>H.P. MALAN</t>
  </si>
  <si>
    <t>JACOBUS VAN DEN BERG</t>
  </si>
  <si>
    <t>b2c9</t>
  </si>
  <si>
    <t>30/09/1804</t>
  </si>
  <si>
    <t>04/03/1832</t>
  </si>
  <si>
    <t>ANNA SOPHIA MARGARETHA</t>
  </si>
  <si>
    <t>ROBBERTZE</t>
  </si>
  <si>
    <t>03/08/1840</t>
  </si>
  <si>
    <t>PETRONELLA MARGARETHA</t>
  </si>
  <si>
    <t>DOGTER A.H. POTGIETER</t>
  </si>
  <si>
    <t>CECILIA JACOMINA</t>
  </si>
  <si>
    <t xml:space="preserve">BREED </t>
  </si>
  <si>
    <t xml:space="preserve">JOHANNES </t>
  </si>
  <si>
    <t>14/05/1793</t>
  </si>
  <si>
    <t>08/12/1816</t>
  </si>
  <si>
    <t>HELENA MARIA</t>
  </si>
  <si>
    <t>JOHANNES AUGUSTINUS</t>
  </si>
  <si>
    <t>01/03/1767</t>
  </si>
  <si>
    <t>19/04/1789</t>
  </si>
  <si>
    <t>JOHANNA</t>
  </si>
  <si>
    <t>b3c9d1</t>
  </si>
  <si>
    <t>20/12/1767</t>
  </si>
  <si>
    <t>MAGALIESBERG</t>
  </si>
  <si>
    <t>JOHANNES JACOBUS ARNOLDUS</t>
  </si>
  <si>
    <t>b2c6d1</t>
  </si>
  <si>
    <t>24/03/1823</t>
  </si>
  <si>
    <t>11/09/1823</t>
  </si>
  <si>
    <t xml:space="preserve">HENDRINA CECILIA MAGDALENA </t>
  </si>
  <si>
    <t>PETRUS</t>
  </si>
  <si>
    <t>b2c4</t>
  </si>
  <si>
    <t>06/06/1795</t>
  </si>
  <si>
    <t xml:space="preserve">SUSANNA MARIA </t>
  </si>
  <si>
    <t>b14c10d4</t>
  </si>
  <si>
    <t>PIETER GERT</t>
  </si>
  <si>
    <t>b2c4d1</t>
  </si>
  <si>
    <t>12/01/1822</t>
  </si>
  <si>
    <t>17/03/1822</t>
  </si>
  <si>
    <t>21/01/1843</t>
  </si>
  <si>
    <t>MAGDALENA MARIA ADRIANA</t>
  </si>
  <si>
    <t>WILLEM STERRENBERG</t>
  </si>
  <si>
    <t>b2c6</t>
  </si>
  <si>
    <t>27/12/1799</t>
  </si>
  <si>
    <t xml:space="preserve">MARIA MAGDALENA </t>
  </si>
  <si>
    <t>VISAGIE</t>
  </si>
  <si>
    <t>b1c9d8e10</t>
  </si>
  <si>
    <t>27/12/1807</t>
  </si>
  <si>
    <t>MAGLIESBERG</t>
  </si>
  <si>
    <t>CHRISTIAAN JOSEPH</t>
  </si>
  <si>
    <t>16/10/1796</t>
  </si>
  <si>
    <t>05/05/1816</t>
  </si>
  <si>
    <t>BLIGNAUT</t>
  </si>
  <si>
    <t>b2c4d1e1</t>
  </si>
  <si>
    <t>22/11/1801</t>
  </si>
  <si>
    <t>BREYTENBACH</t>
  </si>
  <si>
    <t xml:space="preserve">IZAK JOHANNES </t>
  </si>
  <si>
    <t>b4c1d4</t>
  </si>
  <si>
    <t>12/03/1819</t>
  </si>
  <si>
    <t>16/05/1819</t>
  </si>
  <si>
    <t>WONDERFONTEIN</t>
  </si>
  <si>
    <t>15/05/1897</t>
  </si>
  <si>
    <t>29/05/1841</t>
  </si>
  <si>
    <t>MARIE ELISABETH</t>
  </si>
  <si>
    <t>b4c2d2e3f7g1</t>
  </si>
  <si>
    <t>17/07/1824</t>
  </si>
  <si>
    <t>J.S. MARITZ</t>
  </si>
  <si>
    <t>JACOB COENRAAD</t>
  </si>
  <si>
    <t>b4c1d5</t>
  </si>
  <si>
    <t>08/02/1822</t>
  </si>
  <si>
    <t>25/12/1882</t>
  </si>
  <si>
    <t>18/03/1843</t>
  </si>
  <si>
    <t xml:space="preserve">MARIA JACOMINA FRANCINA </t>
  </si>
  <si>
    <t>b2c8d5e3</t>
  </si>
  <si>
    <t>25/05/1826</t>
  </si>
  <si>
    <t>13/08/1826</t>
  </si>
  <si>
    <t>END 1836</t>
  </si>
  <si>
    <t>JAN ANDRIES</t>
  </si>
  <si>
    <t>30/08/1823</t>
  </si>
  <si>
    <t xml:space="preserve">ANNA SUSANNA </t>
  </si>
  <si>
    <t>01/05/1849</t>
  </si>
  <si>
    <t>JUNE 1839</t>
  </si>
  <si>
    <t>MOOI RIVER</t>
  </si>
  <si>
    <t>b4c1</t>
  </si>
  <si>
    <t>09/08/1789</t>
  </si>
  <si>
    <t>13/03/1831</t>
  </si>
  <si>
    <t xml:space="preserve">REGINA ELISABETH </t>
  </si>
  <si>
    <t>b4c2c2e3</t>
  </si>
  <si>
    <t>17/10/1796</t>
  </si>
  <si>
    <t>b4c1d1</t>
  </si>
  <si>
    <t>24/03/1813</t>
  </si>
  <si>
    <t>24/07/1814</t>
  </si>
  <si>
    <t>28/05/1812</t>
  </si>
  <si>
    <t>05/06/1836</t>
  </si>
  <si>
    <t>b4c2d2e1f1g4</t>
  </si>
  <si>
    <t>JOHANNES JACOB</t>
  </si>
  <si>
    <t>b4c3</t>
  </si>
  <si>
    <t>04/11/1792</t>
  </si>
  <si>
    <t>END 1837</t>
  </si>
  <si>
    <t>JOHANNES VELTER COENRAAD CORNELIS</t>
  </si>
  <si>
    <t>b4c4</t>
  </si>
  <si>
    <t>01/01/1795</t>
  </si>
  <si>
    <t>01/01/1826</t>
  </si>
  <si>
    <t>ELSIE CORNELIA PETRONELLA</t>
  </si>
  <si>
    <t>17/04/1838</t>
  </si>
  <si>
    <t>G.R. VAN ROOYEN</t>
  </si>
  <si>
    <t>LOUIS LOURENS</t>
  </si>
  <si>
    <t>b6c11</t>
  </si>
  <si>
    <t>22/11/1804</t>
  </si>
  <si>
    <t>DIRKJE CECILIA</t>
  </si>
  <si>
    <t>ELANDS RIVER</t>
  </si>
  <si>
    <t>04/07/1831</t>
  </si>
  <si>
    <t xml:space="preserve">JOHANNA GERDA </t>
  </si>
  <si>
    <t>WYNAND</t>
  </si>
  <si>
    <t>24/04/1803</t>
  </si>
  <si>
    <t>08/10/1838</t>
  </si>
  <si>
    <t>BEFORE 19/06/1838</t>
  </si>
  <si>
    <t>WYNAND JACOBUS</t>
  </si>
  <si>
    <t>b6c7d2</t>
  </si>
  <si>
    <t>22/05/1820</t>
  </si>
  <si>
    <t>19/06/1820</t>
  </si>
  <si>
    <t>ORIGHSTAD (SEPT 1845)</t>
  </si>
  <si>
    <t>CHRISTIAAN PIETER</t>
  </si>
  <si>
    <t>b6c7d10</t>
  </si>
  <si>
    <t>17/05/1792</t>
  </si>
  <si>
    <t>b6c5d1e1</t>
  </si>
  <si>
    <t>15/09/1799</t>
  </si>
  <si>
    <t>SUSANNA JOHANNA</t>
  </si>
  <si>
    <t>10/02/1811</t>
  </si>
  <si>
    <t>GERHARDUS PETRUS</t>
  </si>
  <si>
    <t>DE WIT</t>
  </si>
  <si>
    <t>22/11/1795</t>
  </si>
  <si>
    <t>03/06/1832</t>
  </si>
  <si>
    <t>JANSE VAN RENSBURG</t>
  </si>
  <si>
    <t>JAN</t>
  </si>
  <si>
    <t>b6c3d2e3f2</t>
  </si>
  <si>
    <t>21/10/1803</t>
  </si>
  <si>
    <t>05/02/1804</t>
  </si>
  <si>
    <t>03/08/1869</t>
  </si>
  <si>
    <t>21/01/1825</t>
  </si>
  <si>
    <t>ANNA CECILIA</t>
  </si>
  <si>
    <t>MYBURGH</t>
  </si>
  <si>
    <t>b2c5d4e2f3</t>
  </si>
  <si>
    <t>07/08/1803</t>
  </si>
  <si>
    <t>BOSHOF</t>
  </si>
  <si>
    <t>15/11/1896</t>
  </si>
  <si>
    <t>TREKBOERE</t>
  </si>
  <si>
    <t>MARTHINUS WESSEL</t>
  </si>
  <si>
    <t>b6c10d1E3</t>
  </si>
  <si>
    <t>11/12/1815</t>
  </si>
  <si>
    <t>16/06/1816</t>
  </si>
  <si>
    <t>01/03/1835</t>
  </si>
  <si>
    <t>ANNA DOROTHEA MARIA</t>
  </si>
  <si>
    <t>b6c7d13</t>
  </si>
  <si>
    <t>08/04/1877</t>
  </si>
  <si>
    <t>TREKBOER</t>
  </si>
  <si>
    <t>GYSBERT</t>
  </si>
  <si>
    <t>b6c4</t>
  </si>
  <si>
    <t>07/04/1765</t>
  </si>
  <si>
    <t>JULY 1836</t>
  </si>
  <si>
    <t>MOSAMBIQUE</t>
  </si>
  <si>
    <t>20/05/1787</t>
  </si>
  <si>
    <t>SOPHIA</t>
  </si>
  <si>
    <t>a1b5c7</t>
  </si>
  <si>
    <t>29/03/1761</t>
  </si>
  <si>
    <t>JULY 1838</t>
  </si>
  <si>
    <t>GYSBERT SYBRAND SR</t>
  </si>
  <si>
    <t>b6c4d4</t>
  </si>
  <si>
    <t>18/01/1795</t>
  </si>
  <si>
    <t>20/02/1814</t>
  </si>
  <si>
    <t>JOHANNA MARIA</t>
  </si>
  <si>
    <t>b2c9d7e4</t>
  </si>
  <si>
    <t>J.J. JANSE VAN RENSBURG</t>
  </si>
  <si>
    <t>GYSBERT SYBRAND JR</t>
  </si>
  <si>
    <t>b6c4d4e2</t>
  </si>
  <si>
    <t>27/02/1818</t>
  </si>
  <si>
    <t>12/05/1818</t>
  </si>
  <si>
    <t>07/09/1834</t>
  </si>
  <si>
    <t xml:space="preserve">ELSIE SUSANNA ELISABETH </t>
  </si>
  <si>
    <t>HENDRIK LAMBERT</t>
  </si>
  <si>
    <t>b6c6d2</t>
  </si>
  <si>
    <t>08/05/1804</t>
  </si>
  <si>
    <t>03/11/1804</t>
  </si>
  <si>
    <t>23/11/1828</t>
  </si>
  <si>
    <t>MARIA ELISABETH MAGDALENA</t>
  </si>
  <si>
    <t>GALGRAND</t>
  </si>
  <si>
    <t>b2c4d5e2f7</t>
  </si>
  <si>
    <t>20/04/1820</t>
  </si>
  <si>
    <t>JACOB JOHANNES</t>
  </si>
  <si>
    <t>b6c5d10</t>
  </si>
  <si>
    <t>05/06/1811</t>
  </si>
  <si>
    <t>24/11/1811</t>
  </si>
  <si>
    <t>05/10/1835</t>
  </si>
  <si>
    <t>ELSIE CATHARINA</t>
  </si>
  <si>
    <t>SWANEPOEL</t>
  </si>
  <si>
    <t xml:space="preserve">HESTER HELENA </t>
  </si>
  <si>
    <t>JACOB MATTHEUS</t>
  </si>
  <si>
    <t>b6c4d1</t>
  </si>
  <si>
    <t>21/10/1787</t>
  </si>
  <si>
    <t>21/02/1791</t>
  </si>
  <si>
    <t>26/06/1813</t>
  </si>
  <si>
    <t>ANNA ELEONORA</t>
  </si>
  <si>
    <t>b2c3d1e17</t>
  </si>
  <si>
    <t>24/02/1796</t>
  </si>
  <si>
    <t>JOHANNES GERHARDUS STEPHANUS</t>
  </si>
  <si>
    <t>b6c1d5</t>
  </si>
  <si>
    <t>01/07/1798</t>
  </si>
  <si>
    <t>25/02/1848</t>
  </si>
  <si>
    <t>ANNA SUSANNA</t>
  </si>
  <si>
    <t>b1c1d3e2f1</t>
  </si>
  <si>
    <t>12/04/1800</t>
  </si>
  <si>
    <t>POTGIETER COMMISSION</t>
  </si>
  <si>
    <t>JOHANNES JACOB SR</t>
  </si>
  <si>
    <t>16/04/1769</t>
  </si>
  <si>
    <t>17/05/1797</t>
  </si>
  <si>
    <t>CECILIA MAGDALENA</t>
  </si>
  <si>
    <t>GEEL</t>
  </si>
  <si>
    <t>JOHANNES JACOB JR</t>
  </si>
  <si>
    <t>b6c6d4</t>
  </si>
  <si>
    <t>04/02/1816</t>
  </si>
  <si>
    <t>04/08/1816</t>
  </si>
  <si>
    <t>07/04/1839</t>
  </si>
  <si>
    <t>b1c10d14</t>
  </si>
  <si>
    <t>06/07/1814</t>
  </si>
  <si>
    <t>21/08/1814</t>
  </si>
  <si>
    <t>15/12/1839</t>
  </si>
  <si>
    <t>POTCHEFSTROOM (1839)</t>
  </si>
  <si>
    <t>EARLY 1839?</t>
  </si>
  <si>
    <t>APRIL 1839?</t>
  </si>
  <si>
    <t>LUCAS CORNELIUS</t>
  </si>
  <si>
    <t>b6c1d4</t>
  </si>
  <si>
    <t>14/06/1795</t>
  </si>
  <si>
    <t>15/11/1818</t>
  </si>
  <si>
    <t xml:space="preserve">MARTHA ELISABETH </t>
  </si>
  <si>
    <t>PRETORIA</t>
  </si>
  <si>
    <t>MATTHYS MARTHINUS JOHANNES</t>
  </si>
  <si>
    <t>b6c6d6</t>
  </si>
  <si>
    <t>04/01/1875</t>
  </si>
  <si>
    <t>17/08/1857</t>
  </si>
  <si>
    <t>STOFFELINA JACOBA</t>
  </si>
  <si>
    <t>b1c3d1e4f7g2</t>
  </si>
  <si>
    <t>17/11/1838</t>
  </si>
  <si>
    <t>GREYTOWN</t>
  </si>
  <si>
    <t>04/05/1868</t>
  </si>
  <si>
    <t xml:space="preserve">CATHARINA REGINA </t>
  </si>
  <si>
    <t>b9c7d11e11</t>
  </si>
  <si>
    <t>MARE</t>
  </si>
  <si>
    <t>NICOLAAS JACOBUS</t>
  </si>
  <si>
    <t>b6c4d1e3</t>
  </si>
  <si>
    <t>18/10/1825</t>
  </si>
  <si>
    <t>30/04/1826</t>
  </si>
  <si>
    <t>HESTER</t>
  </si>
  <si>
    <t>RUDOLPH JOHANNES</t>
  </si>
  <si>
    <t>b6c1d5e1</t>
  </si>
  <si>
    <t>16/05/1822</t>
  </si>
  <si>
    <t>07/07/1822</t>
  </si>
  <si>
    <t>23/08/1836</t>
  </si>
  <si>
    <t>MZILIKAZI ATTACK 23/08/1836</t>
  </si>
  <si>
    <t>b6c5d6</t>
  </si>
  <si>
    <t>13/11/1803</t>
  </si>
  <si>
    <t>23/01/1825</t>
  </si>
  <si>
    <t>JOHANNA CHRISTINA</t>
  </si>
  <si>
    <t>b1c2d5e1</t>
  </si>
  <si>
    <t>05/10/1807</t>
  </si>
  <si>
    <t>SAMUEL JOHANNES</t>
  </si>
  <si>
    <t>b6c6d9</t>
  </si>
  <si>
    <t>01/07/1826</t>
  </si>
  <si>
    <t xml:space="preserve"> 06/11/1906</t>
  </si>
  <si>
    <t>20/03/1848</t>
  </si>
  <si>
    <t>HELENA CATHARINA PETRONELLA</t>
  </si>
  <si>
    <t>ODENDAAL</t>
  </si>
  <si>
    <t>b3c1d8e6</t>
  </si>
  <si>
    <t xml:space="preserve"> 05/08/1902</t>
  </si>
  <si>
    <t>SARA JOHANNA</t>
  </si>
  <si>
    <t>b6c1d3</t>
  </si>
  <si>
    <t>01/04/1793</t>
  </si>
  <si>
    <t>24/01/1809</t>
  </si>
  <si>
    <t>HOLTHAUSEN</t>
  </si>
  <si>
    <t>b3c5d1</t>
  </si>
  <si>
    <t>23/04/1785</t>
  </si>
  <si>
    <t>MARCH 1840</t>
  </si>
  <si>
    <t>WONDER RIVER</t>
  </si>
  <si>
    <t>F (EITHER WIDOWED BEFORE OR DURING)</t>
  </si>
  <si>
    <t>b6c6d1</t>
  </si>
  <si>
    <t>20/10/1799</t>
  </si>
  <si>
    <t>05/07/1800</t>
  </si>
  <si>
    <t>08/01/1820</t>
  </si>
  <si>
    <t>HERMINA CHRISTINA</t>
  </si>
  <si>
    <t>a1b1c4d3e2f1</t>
  </si>
  <si>
    <t>11/04/1803</t>
  </si>
  <si>
    <t>BROODRYK</t>
  </si>
  <si>
    <t>b9</t>
  </si>
  <si>
    <t>01/10/1775</t>
  </si>
  <si>
    <t>07/09/1805</t>
  </si>
  <si>
    <t>SNEEUBERG</t>
  </si>
  <si>
    <t>b9c1</t>
  </si>
  <si>
    <t>12/11/1805</t>
  </si>
  <si>
    <t>24/08/1806</t>
  </si>
  <si>
    <t>16/04/1827</t>
  </si>
  <si>
    <t>CHRISTINA MAGDALENA</t>
  </si>
  <si>
    <t>BRUWER</t>
  </si>
  <si>
    <t>EDUARD CHRISTIAAN DANIEL</t>
  </si>
  <si>
    <t>b7c4d12</t>
  </si>
  <si>
    <t>30/05/1823</t>
  </si>
  <si>
    <t>23/04/1820</t>
  </si>
  <si>
    <t>22/09/1899</t>
  </si>
  <si>
    <t>06/06/1840</t>
  </si>
  <si>
    <t>b8c7d4e6</t>
  </si>
  <si>
    <t xml:space="preserve">DEBORAH JOHANNA </t>
  </si>
  <si>
    <t>22/07/1852</t>
  </si>
  <si>
    <t>b7c4d4</t>
  </si>
  <si>
    <t>29/08/1799</t>
  </si>
  <si>
    <t>01/07/1883</t>
  </si>
  <si>
    <t>MARTHA MARIA</t>
  </si>
  <si>
    <t>MOLLER</t>
  </si>
  <si>
    <t>b4c4d2e8</t>
  </si>
  <si>
    <t>22/09/1805</t>
  </si>
  <si>
    <t>24/08/1867</t>
  </si>
  <si>
    <t>SCHALK WILLEM</t>
  </si>
  <si>
    <t>b7c4d7</t>
  </si>
  <si>
    <t>19/03/1806</t>
  </si>
  <si>
    <t>15/08/1806</t>
  </si>
  <si>
    <t>17/09/1844</t>
  </si>
  <si>
    <t>06/01/1828</t>
  </si>
  <si>
    <t>b4c4d6e9</t>
  </si>
  <si>
    <t>DRAKENSTEIN</t>
  </si>
  <si>
    <t>05/11/1797</t>
  </si>
  <si>
    <t>BUCHNER</t>
  </si>
  <si>
    <t>CAREL VALENTYN</t>
  </si>
  <si>
    <t>06/08/1797</t>
  </si>
  <si>
    <t>04/01/1817</t>
  </si>
  <si>
    <t>LANDMAN</t>
  </si>
  <si>
    <t>b2c4d7</t>
  </si>
  <si>
    <t>17/02/1811</t>
  </si>
  <si>
    <t>MARIA JACOBA VAN REENEN</t>
  </si>
  <si>
    <t>VOLKSRAAD, HAWEMEESTER</t>
  </si>
  <si>
    <t>BUITENDAG</t>
  </si>
  <si>
    <t>BAREND MARTHINUS GERHARDUS</t>
  </si>
  <si>
    <t>b3c7d6</t>
  </si>
  <si>
    <t>09/01/1825</t>
  </si>
  <si>
    <t>HILLETJIE MARTHINA MAGDALENA</t>
  </si>
  <si>
    <t>b3c7d3</t>
  </si>
  <si>
    <t>27/06/1817</t>
  </si>
  <si>
    <t>09/11/1817</t>
  </si>
  <si>
    <t>24/12/1837</t>
  </si>
  <si>
    <t>MARIA MAGDALENA JACOBA</t>
  </si>
  <si>
    <t>BLOEMFONTEIN/WINBURG</t>
  </si>
  <si>
    <t>FREDERIK WILLEM COENRAAD</t>
  </si>
  <si>
    <t>b3c7d2</t>
  </si>
  <si>
    <t>22/05/1815</t>
  </si>
  <si>
    <t>28/10/1815</t>
  </si>
  <si>
    <t>03/10/1836</t>
  </si>
  <si>
    <t>JOHANNA PETRONELLA</t>
  </si>
  <si>
    <t>VERMEULEN</t>
  </si>
  <si>
    <t>CORNELIA HENDRINA ALETTA</t>
  </si>
  <si>
    <t>COETZEE</t>
  </si>
  <si>
    <t>MATTHYS JACOBUS</t>
  </si>
  <si>
    <t>b3c7d4</t>
  </si>
  <si>
    <t>18/05/1819</t>
  </si>
  <si>
    <t>24/10/1819</t>
  </si>
  <si>
    <t>ALETTA WILHELMINA</t>
  </si>
  <si>
    <t>A.Z. VISAGIE</t>
  </si>
  <si>
    <t>b2c2d11e9</t>
  </si>
  <si>
    <t>26/10/1806</t>
  </si>
  <si>
    <t>04/11/1827</t>
  </si>
  <si>
    <t>MARGARETHA WILHELMINA</t>
  </si>
  <si>
    <t>ANDRIES PETRUS</t>
  </si>
  <si>
    <t>BURGER</t>
  </si>
  <si>
    <t>JACOBUS JOHANNES SR</t>
  </si>
  <si>
    <t>b2c2d3e8</t>
  </si>
  <si>
    <t>29/04/1795</t>
  </si>
  <si>
    <t>17/05/1795</t>
  </si>
  <si>
    <t>10/05/1849</t>
  </si>
  <si>
    <t>JACOMINA CHRISTINA</t>
  </si>
  <si>
    <t>JACOBUS JOHANNES JR</t>
  </si>
  <si>
    <t>b2c2d3e8f1</t>
  </si>
  <si>
    <t>08/02/1820</t>
  </si>
  <si>
    <t>06/04/1878</t>
  </si>
  <si>
    <t>J.J. BURGER</t>
  </si>
  <si>
    <t xml:space="preserve">SCHALK JOHANNES </t>
  </si>
  <si>
    <t>b2c1d1e8f2</t>
  </si>
  <si>
    <t>02/10/1814</t>
  </si>
  <si>
    <t>VOLKSRAADLID</t>
  </si>
  <si>
    <t>18/12/1814</t>
  </si>
  <si>
    <t>27/06/1836</t>
  </si>
  <si>
    <t xml:space="preserve">ELISABETH JOHANNA </t>
  </si>
  <si>
    <t>VAN JAARSVELD</t>
  </si>
  <si>
    <t>SCHALK WILLEM PETRUS</t>
  </si>
  <si>
    <t>b2c2d9e1</t>
  </si>
  <si>
    <t>10/04/1784</t>
  </si>
  <si>
    <t>16/06/1868</t>
  </si>
  <si>
    <t>07/04/1810</t>
  </si>
  <si>
    <t xml:space="preserve">ELSJE SOPHIA </t>
  </si>
  <si>
    <t>LUBBE</t>
  </si>
  <si>
    <t>15/11/1829</t>
  </si>
  <si>
    <t xml:space="preserve">ALIDA CAROLINA </t>
  </si>
  <si>
    <t>STEENKAMP</t>
  </si>
  <si>
    <t>ALIDA ELISABETH</t>
  </si>
  <si>
    <t>TREK?</t>
  </si>
  <si>
    <t>BUYS</t>
  </si>
  <si>
    <t>BEFORE 1845</t>
  </si>
  <si>
    <t>IZAK SIRK</t>
  </si>
  <si>
    <t>b4c6d7e1</t>
  </si>
  <si>
    <t>DECEMBER 1837</t>
  </si>
  <si>
    <t>LOUIS JACOBUS NEL</t>
  </si>
  <si>
    <t>CERONIO</t>
  </si>
  <si>
    <t>GIDEON PIETER</t>
  </si>
  <si>
    <t>ILE DE FRANCE</t>
  </si>
  <si>
    <t>06/11/1863</t>
  </si>
  <si>
    <t>20/12/1807</t>
  </si>
  <si>
    <t>CAROLINA ROSINA</t>
  </si>
  <si>
    <t>IFFLAND</t>
  </si>
  <si>
    <t>05/02/1826</t>
  </si>
  <si>
    <t xml:space="preserve">JACOMINA ANNA JOHANNA </t>
  </si>
  <si>
    <t>BITES</t>
  </si>
  <si>
    <t>TRANSORANJE (FAURESMITH)</t>
  </si>
  <si>
    <t>21/02/1819</t>
  </si>
  <si>
    <t xml:space="preserve">RACHEL ELISABETH </t>
  </si>
  <si>
    <t>CILLIERS</t>
  </si>
  <si>
    <t>ABRAHAM ALBERTUS</t>
  </si>
  <si>
    <t>b7c1d8e2</t>
  </si>
  <si>
    <t>ROBERTSON</t>
  </si>
  <si>
    <t>24/12/1818</t>
  </si>
  <si>
    <t>28/02/1819</t>
  </si>
  <si>
    <t>28/09/1897</t>
  </si>
  <si>
    <t>08/04/1844</t>
  </si>
  <si>
    <t>ISABELLA</t>
  </si>
  <si>
    <t>WILHELMINA CHRISTINA STOOP</t>
  </si>
  <si>
    <t>TRANSORANJE, NATAL, TRANSORANJE</t>
  </si>
  <si>
    <t>CHARL ARNOLDUS</t>
  </si>
  <si>
    <t>b2c1d7e4</t>
  </si>
  <si>
    <t>KLEIN DRAKENSTEIN</t>
  </si>
  <si>
    <t>07/09/1801</t>
  </si>
  <si>
    <t>LINDLEY</t>
  </si>
  <si>
    <t>04/10/1871</t>
  </si>
  <si>
    <t>06/10/1823</t>
  </si>
  <si>
    <t>ANNA FRANCINA</t>
  </si>
  <si>
    <t>b4c2d1e4f1</t>
  </si>
  <si>
    <t>10/11/1801</t>
  </si>
  <si>
    <t>EARLY 1836</t>
  </si>
  <si>
    <t>A.H. POTGIETER, P. RETIEF</t>
  </si>
  <si>
    <t>15/05/1854</t>
  </si>
  <si>
    <t xml:space="preserve">ALETTA ELISABETH </t>
  </si>
  <si>
    <t>LOOTS</t>
  </si>
  <si>
    <t>SPIRITUAL</t>
  </si>
  <si>
    <t>b2c1d7e4f1</t>
  </si>
  <si>
    <t>30/01/1825</t>
  </si>
  <si>
    <t>27/02/1825</t>
  </si>
  <si>
    <t>23/07/1896</t>
  </si>
  <si>
    <t xml:space="preserve">MARGARETHA JOHANNA </t>
  </si>
  <si>
    <t>CHARL PETRUS</t>
  </si>
  <si>
    <t>b2c1d7e1f2</t>
  </si>
  <si>
    <t>14/07/1820</t>
  </si>
  <si>
    <t>30/07/1820</t>
  </si>
  <si>
    <t>FICKSBURG</t>
  </si>
  <si>
    <t xml:space="preserve">SUSANNA CAROLINA PETRONELLA </t>
  </si>
  <si>
    <t>DU PLOOY</t>
  </si>
  <si>
    <t>JAN GABRIEL</t>
  </si>
  <si>
    <t>b7c1d8</t>
  </si>
  <si>
    <t>23/10/1796</t>
  </si>
  <si>
    <t>ANNA MAGDALENA</t>
  </si>
  <si>
    <t>JOHANNES DANIEL</t>
  </si>
  <si>
    <t>b2c1d7e1f3</t>
  </si>
  <si>
    <t>04/08/1822</t>
  </si>
  <si>
    <t>20/04/1874</t>
  </si>
  <si>
    <t>ALETTA STOFFELINA</t>
  </si>
  <si>
    <t>JANEKE</t>
  </si>
  <si>
    <t>25/07/1795</t>
  </si>
  <si>
    <t>04/10/1795</t>
  </si>
  <si>
    <t>04/09/1876</t>
  </si>
  <si>
    <t>09/08/1871</t>
  </si>
  <si>
    <t>01/06/1816</t>
  </si>
  <si>
    <t>HAUPTFLEISCH</t>
  </si>
  <si>
    <t>09/12/1831</t>
  </si>
  <si>
    <t xml:space="preserve">MAGTELD MARGARETHA </t>
  </si>
  <si>
    <t>MARIA CHRISTINA GEERTRUYDA</t>
  </si>
  <si>
    <t>ROETS</t>
  </si>
  <si>
    <t xml:space="preserve">CILLIERS </t>
  </si>
  <si>
    <t>b2c1d7e3</t>
  </si>
  <si>
    <t>01/09/1799</t>
  </si>
  <si>
    <t>CORNELIA</t>
  </si>
  <si>
    <t>VAN BILJON</t>
  </si>
  <si>
    <t>PIETER ABRAHAM</t>
  </si>
  <si>
    <t>b2c1d7e1f4</t>
  </si>
  <si>
    <t>23/08/1824</t>
  </si>
  <si>
    <t>29/08/1824</t>
  </si>
  <si>
    <t>JACOBA CATHARINA</t>
  </si>
  <si>
    <t>PIETER JOSHUA HENDRIK</t>
  </si>
  <si>
    <t>b7c6d2e2</t>
  </si>
  <si>
    <t>11/07/1837</t>
  </si>
  <si>
    <t>ARIE WILLEM</t>
  </si>
  <si>
    <t>a3b6c10d1e10</t>
  </si>
  <si>
    <t>CHRISTIAAN CORNELIS</t>
  </si>
  <si>
    <t>a3b6c10d1e4</t>
  </si>
  <si>
    <t>03/10/1825</t>
  </si>
  <si>
    <t>ELSJE CATHARINA</t>
  </si>
  <si>
    <t>20/02/1820</t>
  </si>
  <si>
    <t>HENDRIK DANIEL JACOBUS</t>
  </si>
  <si>
    <t>a2b1c3d12</t>
  </si>
  <si>
    <t>ADRIANA SUSANNA CHRISTINA</t>
  </si>
  <si>
    <t>VAN DER ZAND</t>
  </si>
  <si>
    <t>AFTER 1844</t>
  </si>
  <si>
    <t>a3b6c10d1e5</t>
  </si>
  <si>
    <t>23/10/1806</t>
  </si>
  <si>
    <t>01/02/1807</t>
  </si>
  <si>
    <t>02/03/1828</t>
  </si>
  <si>
    <t>JACOBS</t>
  </si>
  <si>
    <t>JOHANNA HENDRINA</t>
  </si>
  <si>
    <t>DE KLERK</t>
  </si>
  <si>
    <t>CLOETE</t>
  </si>
  <si>
    <t>JACOBUS JOHANNES</t>
  </si>
  <si>
    <t>b2c1d4e4f1g12</t>
  </si>
  <si>
    <t>03/12/1811</t>
  </si>
  <si>
    <t>10/12/1837</t>
  </si>
  <si>
    <t>HESTER GEERTRUIDA</t>
  </si>
  <si>
    <t>HOLTSHAUSEN</t>
  </si>
  <si>
    <t>SUSANNA GEERTRUIDA</t>
  </si>
  <si>
    <t>WITWATERSRAND</t>
  </si>
  <si>
    <t>CORNELIS GERHARDUS</t>
  </si>
  <si>
    <t>b7c7d1e5</t>
  </si>
  <si>
    <t>09/02/1794</t>
  </si>
  <si>
    <t>DECEMBER 1843</t>
  </si>
  <si>
    <t>11/11/1812</t>
  </si>
  <si>
    <t>STRYDOM</t>
  </si>
  <si>
    <t>b3c2d1e10</t>
  </si>
  <si>
    <t>SEPTEMBER 1837</t>
  </si>
  <si>
    <t>b7c7d1e5f2</t>
  </si>
  <si>
    <t>25/06/1820</t>
  </si>
  <si>
    <t>26/12/1820</t>
  </si>
  <si>
    <t>MAGDALEN CAROLINA</t>
  </si>
  <si>
    <t>a1b2c3d2e7f6</t>
  </si>
  <si>
    <t>12/07/1820</t>
  </si>
  <si>
    <t>02/10/1820</t>
  </si>
  <si>
    <t>SEPTEMBER 1838</t>
  </si>
  <si>
    <t>DIRK JACOBUS GERHARDUS</t>
  </si>
  <si>
    <t>b7c7d1e5f5</t>
  </si>
  <si>
    <t>05/09/1824</t>
  </si>
  <si>
    <t>b5c3d5e10f3</t>
  </si>
  <si>
    <t>SEPTEMBER 1839</t>
  </si>
  <si>
    <t xml:space="preserve">COETZEE </t>
  </si>
  <si>
    <t>GERRIT JACOBUS EMILIUS</t>
  </si>
  <si>
    <t>b5c6d5e3f1</t>
  </si>
  <si>
    <t>25/11/1816</t>
  </si>
  <si>
    <t>13/04/1817</t>
  </si>
  <si>
    <t>08/10/1873</t>
  </si>
  <si>
    <t>MARIA CATHARINA ELISABETH</t>
  </si>
  <si>
    <t>RAUTENBACH</t>
  </si>
  <si>
    <t>7/08/1815</t>
  </si>
  <si>
    <t>AFTER 1845</t>
  </si>
  <si>
    <t>JAN ABRAHAM</t>
  </si>
  <si>
    <t>b5c5d7e1f2</t>
  </si>
  <si>
    <t>11/10/1808</t>
  </si>
  <si>
    <t>29/01/1809</t>
  </si>
  <si>
    <t>02/08/1829</t>
  </si>
  <si>
    <t>MAGALIESBERG (1840)</t>
  </si>
  <si>
    <t>b5c5d7e1</t>
  </si>
  <si>
    <t>13/04/1784</t>
  </si>
  <si>
    <t>30/08/1805</t>
  </si>
  <si>
    <t xml:space="preserve">HESTER HENDRINA ALETTA </t>
  </si>
  <si>
    <t>*</t>
  </si>
  <si>
    <t xml:space="preserve">MATTHYS ANDRIES STEPHANUS </t>
  </si>
  <si>
    <t>b7c7d1e5f3</t>
  </si>
  <si>
    <t>MAARTEN PETRUS ALBERTUS</t>
  </si>
  <si>
    <t>b5c5d7e1f1</t>
  </si>
  <si>
    <t>20/10/1806</t>
  </si>
  <si>
    <t>27/11/1785</t>
  </si>
  <si>
    <t>02/05/1824</t>
  </si>
  <si>
    <t>01/05/1808</t>
  </si>
  <si>
    <t>30/09/1822</t>
  </si>
  <si>
    <t>17/11/1822</t>
  </si>
  <si>
    <t xml:space="preserve"> 19/11/1919</t>
  </si>
  <si>
    <t>23/04/1843</t>
  </si>
  <si>
    <t>RACHEL JACOBA ELISABETH</t>
  </si>
  <si>
    <t>b5c3d5e10f1</t>
  </si>
  <si>
    <t>05/03/1818</t>
  </si>
  <si>
    <t>14/10/1895</t>
  </si>
  <si>
    <t>OCKERT JACOBUS</t>
  </si>
  <si>
    <t>b7c7d1e8</t>
  </si>
  <si>
    <t>NEWCASTLE</t>
  </si>
  <si>
    <t>21/03/1877</t>
  </si>
  <si>
    <t>11/09/1827</t>
  </si>
  <si>
    <t xml:space="preserve">HESTER ADRIANA </t>
  </si>
  <si>
    <t>b9c6d7</t>
  </si>
  <si>
    <t>12/10/1811</t>
  </si>
  <si>
    <t>26/12/1811</t>
  </si>
  <si>
    <t>PIETER</t>
  </si>
  <si>
    <t>b7c7d1e4</t>
  </si>
  <si>
    <t>09/10/1791</t>
  </si>
  <si>
    <t>MARTHA JOHANNA MARGARETHA</t>
  </si>
  <si>
    <t>VYF JAAR TREK NA WINBURG VAN SOMERSET?</t>
  </si>
  <si>
    <t>12/12/1813</t>
  </si>
  <si>
    <t>JOHANNA ADRIANA</t>
  </si>
  <si>
    <t>KOEKEMOER</t>
  </si>
  <si>
    <t>FRANCINA CATHARINA ELIZABETH</t>
  </si>
  <si>
    <t>GOEDHALS</t>
  </si>
  <si>
    <t>STEPHANUS HERMANUS</t>
  </si>
  <si>
    <t>b7c7d1e7</t>
  </si>
  <si>
    <t>22/07/1798</t>
  </si>
  <si>
    <t>HENDRIKA MARGARETHA</t>
  </si>
  <si>
    <t>b9c6d9</t>
  </si>
  <si>
    <t>28/08/1815</t>
  </si>
  <si>
    <t>GERRIT</t>
  </si>
  <si>
    <t>b1c15</t>
  </si>
  <si>
    <t>17/05/1772</t>
  </si>
  <si>
    <t xml:space="preserve">ELSIE MARIA </t>
  </si>
  <si>
    <t>JORDAAN</t>
  </si>
  <si>
    <t>JUNE 1838</t>
  </si>
  <si>
    <t xml:space="preserve">COETZER </t>
  </si>
  <si>
    <t>GERT JACOBUS LOUIS HOZEA</t>
  </si>
  <si>
    <t>b1c15d8</t>
  </si>
  <si>
    <t>28/01/1817</t>
  </si>
  <si>
    <t>23/03/1817</t>
  </si>
  <si>
    <t>HOOPSTAD</t>
  </si>
  <si>
    <t>10/12/1888</t>
  </si>
  <si>
    <t>ELSIE MARGARETHA CORNELIA</t>
  </si>
  <si>
    <t>RIETFONTEINSPRUIT</t>
  </si>
  <si>
    <t>b1c12d4</t>
  </si>
  <si>
    <t>16/09/1798</t>
  </si>
  <si>
    <t>11/04/1881</t>
  </si>
  <si>
    <t>JACOBA JOHANNA</t>
  </si>
  <si>
    <t>DE BRUYN</t>
  </si>
  <si>
    <t>MARTHA MARIA DOROTHEA</t>
  </si>
  <si>
    <t>HENDRINA CHRISTINA</t>
  </si>
  <si>
    <t>JOHANNES JACOBUS</t>
  </si>
  <si>
    <t>b1c15d2</t>
  </si>
  <si>
    <t>20/03/1796</t>
  </si>
  <si>
    <t>b9c5d10e2</t>
  </si>
  <si>
    <t>b1c8d3</t>
  </si>
  <si>
    <t>07/04/1799</t>
  </si>
  <si>
    <t>25/01/1824</t>
  </si>
  <si>
    <t>GERRTRUYDA PETRONELLA</t>
  </si>
  <si>
    <t>HEYDENRYCH</t>
  </si>
  <si>
    <t>P.L. UYS</t>
  </si>
  <si>
    <t>PHILLIPPUS JEREMIAS SR</t>
  </si>
  <si>
    <t>b1c12</t>
  </si>
  <si>
    <t>16/12/1764</t>
  </si>
  <si>
    <t>15/12/1790</t>
  </si>
  <si>
    <t>CHRISTINA ELISABETH DE BRUYN</t>
  </si>
  <si>
    <t>PHILLIPPUS JEREMIAS JR</t>
  </si>
  <si>
    <t>b1c12d6</t>
  </si>
  <si>
    <t xml:space="preserve">HESTER CECILIA </t>
  </si>
  <si>
    <t>J.M. DE BEER</t>
  </si>
  <si>
    <t>PHILLIPPUS JEREMIAS</t>
  </si>
  <si>
    <t>b1c12d3e2</t>
  </si>
  <si>
    <t>24/11/1819</t>
  </si>
  <si>
    <t>26/12/1819</t>
  </si>
  <si>
    <t>18/06/1898</t>
  </si>
  <si>
    <t>b3c4d2e2f7</t>
  </si>
  <si>
    <t>19/05/1820</t>
  </si>
  <si>
    <t>PIETER SCHALK WILLEM</t>
  </si>
  <si>
    <t>b1c5d8e1</t>
  </si>
  <si>
    <t>08/09/1820</t>
  </si>
  <si>
    <t>29/06/1840</t>
  </si>
  <si>
    <t>ISABELLA CORNELIA</t>
  </si>
  <si>
    <t>b7c2d2e7</t>
  </si>
  <si>
    <t>PIETER WILLEMSE</t>
  </si>
  <si>
    <t>b1c15d7</t>
  </si>
  <si>
    <t>01/05/1836</t>
  </si>
  <si>
    <t>ELISABETH MAGDALENA</t>
  </si>
  <si>
    <t>TRANSVAAL (1840)</t>
  </si>
  <si>
    <t>WENSEL CHRISTOFFEL</t>
  </si>
  <si>
    <t>b1c5d8</t>
  </si>
  <si>
    <t>17/01/1797</t>
  </si>
  <si>
    <t>ELISABETH HELENA</t>
  </si>
  <si>
    <t>BEFORE JUNE 1840</t>
  </si>
  <si>
    <t>14/04/1832</t>
  </si>
  <si>
    <t>MARIA PETRONELLA</t>
  </si>
  <si>
    <t>b6c8d6e2</t>
  </si>
  <si>
    <t>16/05/1856</t>
  </si>
  <si>
    <t>CATHARINA SUSANNA</t>
  </si>
  <si>
    <t>b1c5d8e3</t>
  </si>
  <si>
    <t>16/04/1825</t>
  </si>
  <si>
    <t>15/05/1825</t>
  </si>
  <si>
    <t xml:space="preserve"> 30/03/1909</t>
  </si>
  <si>
    <t>BEFORE JUNE 1841</t>
  </si>
  <si>
    <t>KOCH</t>
  </si>
  <si>
    <t>COMBRINK</t>
  </si>
  <si>
    <t>FREDERIK JOHANNES</t>
  </si>
  <si>
    <t>b2c6d4e2</t>
  </si>
  <si>
    <t xml:space="preserve">ANNA GEERTRUYDA </t>
  </si>
  <si>
    <t>b4c3d2e2f6</t>
  </si>
  <si>
    <t>GERHARDUS HERMANUS JACOBUS</t>
  </si>
  <si>
    <t>25/04/1802</t>
  </si>
  <si>
    <t>03/09/1822</t>
  </si>
  <si>
    <t>SUSANNA JOSINA DOROTHEA</t>
  </si>
  <si>
    <t>b4c3d2e2f4</t>
  </si>
  <si>
    <t>JAN FREDERIK JOHANNES</t>
  </si>
  <si>
    <t>b6c7d4</t>
  </si>
  <si>
    <t>04/03/1827</t>
  </si>
  <si>
    <t>b4c2d5</t>
  </si>
  <si>
    <t>25/04/1791</t>
  </si>
  <si>
    <t>VET RIVIER</t>
  </si>
  <si>
    <t>29/10/1847</t>
  </si>
  <si>
    <t>08/12/1811</t>
  </si>
  <si>
    <t>ANNA ALETTA</t>
  </si>
  <si>
    <t>WAGENMAKERSVALLEI</t>
  </si>
  <si>
    <t>18/09/1791</t>
  </si>
  <si>
    <t>WARDEN</t>
  </si>
  <si>
    <t>14/02/1876</t>
  </si>
  <si>
    <t>JOHANNES NICOLAAS</t>
  </si>
  <si>
    <t>b2c5d4e1</t>
  </si>
  <si>
    <t>11/09/1803</t>
  </si>
  <si>
    <t>14/10/1826</t>
  </si>
  <si>
    <t>ELISABETH MARIA</t>
  </si>
  <si>
    <t>LOTZ</t>
  </si>
  <si>
    <t>NOVEMBER 1845</t>
  </si>
  <si>
    <t>JOUBERTSHOOGTE</t>
  </si>
  <si>
    <t>PETRUS CHRISTIAAN</t>
  </si>
  <si>
    <t>b2c6d8</t>
  </si>
  <si>
    <t>23/07/1812</t>
  </si>
  <si>
    <t>30/08/1812</t>
  </si>
  <si>
    <t>06/03/1836</t>
  </si>
  <si>
    <t>CATHARINA ELISABETH MARGARETHA</t>
  </si>
  <si>
    <t>b4c1d2</t>
  </si>
  <si>
    <t>14/05/1815</t>
  </si>
  <si>
    <t>07/04/1887</t>
  </si>
  <si>
    <t>PHILLIPPUS WILHELMUS</t>
  </si>
  <si>
    <t>b6c7d3</t>
  </si>
  <si>
    <t>28/06/1801</t>
  </si>
  <si>
    <t>11/01/1858</t>
  </si>
  <si>
    <t>03/12/1820</t>
  </si>
  <si>
    <t>HESTER JACOBA</t>
  </si>
  <si>
    <t>STEPHANUS LUCAS</t>
  </si>
  <si>
    <t>30/10/1805</t>
  </si>
  <si>
    <t>25/05/1806</t>
  </si>
  <si>
    <t>UTRECHT</t>
  </si>
  <si>
    <t>26/08/1890</t>
  </si>
  <si>
    <t>05/07/1824</t>
  </si>
  <si>
    <t xml:space="preserve">HESTER JACOMINA </t>
  </si>
  <si>
    <t>02/01/1806</t>
  </si>
  <si>
    <t>DURBAN</t>
  </si>
  <si>
    <t>22/01/1849</t>
  </si>
  <si>
    <t>PETRONELLA CATHARINA SOPHIA</t>
  </si>
  <si>
    <t>ROBBERTSE</t>
  </si>
  <si>
    <t>b1c7d3e2f2</t>
  </si>
  <si>
    <t>13/04/1833</t>
  </si>
  <si>
    <t>07/02/1896</t>
  </si>
  <si>
    <t>WILLEM ANDRIES</t>
  </si>
  <si>
    <t>b6c8d2</t>
  </si>
  <si>
    <t>15/06/1800</t>
  </si>
  <si>
    <t>08/11/1822</t>
  </si>
  <si>
    <t>MARIA JOHANNA</t>
  </si>
  <si>
    <t>OHRIGSTAD (1846)</t>
  </si>
  <si>
    <t>JAN CHRISTIAAN JOHANNES</t>
  </si>
  <si>
    <t>14/02/1801</t>
  </si>
  <si>
    <t>26/05/1805</t>
  </si>
  <si>
    <t>10/11/1851</t>
  </si>
  <si>
    <t>03/03/1822</t>
  </si>
  <si>
    <t>ANNA CORNELIA ELISABETH</t>
  </si>
  <si>
    <t>a2b9c6d4</t>
  </si>
  <si>
    <t>28/09/1800</t>
  </si>
  <si>
    <t>LAAS</t>
  </si>
  <si>
    <t>K.P. LANDMAN</t>
  </si>
  <si>
    <t>CRAFFORD</t>
  </si>
  <si>
    <t>ADOLPH JOHANNES JUSTUS</t>
  </si>
  <si>
    <t>b3c3d7</t>
  </si>
  <si>
    <t>25/02/1834</t>
  </si>
  <si>
    <t>a2b1c4d3</t>
  </si>
  <si>
    <t>NATAL, MAGALIESBERG</t>
  </si>
  <si>
    <t>JACOB DANIEL ADRIAAN</t>
  </si>
  <si>
    <t>b3c3d6</t>
  </si>
  <si>
    <t>04/10/1808</t>
  </si>
  <si>
    <t>SUSARA ELISABETH JOHANNA</t>
  </si>
  <si>
    <t>21/08/1837</t>
  </si>
  <si>
    <t>CRONJE</t>
  </si>
  <si>
    <t>ABRAHAM MARTHINUS</t>
  </si>
  <si>
    <t>b3c8d1e2</t>
  </si>
  <si>
    <t>30/07/1815</t>
  </si>
  <si>
    <t>21/01/1816</t>
  </si>
  <si>
    <t>16/07/1875</t>
  </si>
  <si>
    <t>21/08/1836</t>
  </si>
  <si>
    <t>LOUISA PETRONELLA</t>
  </si>
  <si>
    <t>DE JAGER</t>
  </si>
  <si>
    <t>b1c9d2e9</t>
  </si>
  <si>
    <t>a1b2c2d2e3f3</t>
  </si>
  <si>
    <t>15/03/1838</t>
  </si>
  <si>
    <t>ANDRIES SR</t>
  </si>
  <si>
    <t>05/11/1786</t>
  </si>
  <si>
    <t>13/04/1858</t>
  </si>
  <si>
    <t>JANUARY 1807</t>
  </si>
  <si>
    <t>VAN COLLER</t>
  </si>
  <si>
    <t>19/03/1838</t>
  </si>
  <si>
    <t>CAREL PIETER</t>
  </si>
  <si>
    <t>b3c8d1e4</t>
  </si>
  <si>
    <t>25/03/1820</t>
  </si>
  <si>
    <t>ELSABE CORNELIA SUSARA MARIA</t>
  </si>
  <si>
    <t>b3c3d3e3f9</t>
  </si>
  <si>
    <t>29/05/1826</t>
  </si>
  <si>
    <t>b3c5d2</t>
  </si>
  <si>
    <t>14/09/1783</t>
  </si>
  <si>
    <t>01/08/1807</t>
  </si>
  <si>
    <t>SUSANNA ELIZABETH</t>
  </si>
  <si>
    <t>JUNE1838</t>
  </si>
  <si>
    <t>LEEUSPRUIT</t>
  </si>
  <si>
    <t>CORNELIS ADRIAAN LODEWIKUS</t>
  </si>
  <si>
    <t>b3c5d3e7</t>
  </si>
  <si>
    <t>22/02/1818</t>
  </si>
  <si>
    <t>GROBLER</t>
  </si>
  <si>
    <t>CORNELIS DOUW</t>
  </si>
  <si>
    <t>b3c5d2e5</t>
  </si>
  <si>
    <t>23/05/1815</t>
  </si>
  <si>
    <t>25/12/1815</t>
  </si>
  <si>
    <t>CATHARINA MARIA ALETTA</t>
  </si>
  <si>
    <t>DANIEL LODEWICUS</t>
  </si>
  <si>
    <t>b3c5d2e6</t>
  </si>
  <si>
    <t>HELENA MARIA J</t>
  </si>
  <si>
    <t>GRIESEL</t>
  </si>
  <si>
    <t>ANNA CATHARINA ELISABETH</t>
  </si>
  <si>
    <t>b3c5d2e4</t>
  </si>
  <si>
    <t>26/04/1813</t>
  </si>
  <si>
    <t>20/03/1814</t>
  </si>
  <si>
    <t xml:space="preserve">GEERTRUYDA JACOBA </t>
  </si>
  <si>
    <t>DECEMBER 1839</t>
  </si>
  <si>
    <t>b3c5d4e1</t>
  </si>
  <si>
    <t>21/10/1806</t>
  </si>
  <si>
    <t>21/06/1807</t>
  </si>
  <si>
    <t xml:space="preserve"> 01/04/1901</t>
  </si>
  <si>
    <t>25/12/1831</t>
  </si>
  <si>
    <t>DINA JUDITH GEERTRUYDA WOUTERINA</t>
  </si>
  <si>
    <t>a1b3</t>
  </si>
  <si>
    <t>12/09/1812</t>
  </si>
  <si>
    <t xml:space="preserve"> 02/04/1901</t>
  </si>
  <si>
    <t>GENL A.P. CRONJE</t>
  </si>
  <si>
    <t>JOHANNES JOSEPHUS</t>
  </si>
  <si>
    <t>b3c5d11e2</t>
  </si>
  <si>
    <t>13/03/1823</t>
  </si>
  <si>
    <t>05/10/1823</t>
  </si>
  <si>
    <t>OHRIGSTAD (1845)</t>
  </si>
  <si>
    <t>b3c8d1</t>
  </si>
  <si>
    <t>14/11/1788</t>
  </si>
  <si>
    <t>KLIP RIVER</t>
  </si>
  <si>
    <t>11/01/1851</t>
  </si>
  <si>
    <t>ELISABETH CATHARINA</t>
  </si>
  <si>
    <t>b3c2d1e3</t>
  </si>
  <si>
    <t>27/10/1789</t>
  </si>
  <si>
    <t>02/10/1843</t>
  </si>
  <si>
    <t>b3c8d1e6</t>
  </si>
  <si>
    <t>20/05/1825</t>
  </si>
  <si>
    <t>02/10/1825</t>
  </si>
  <si>
    <t>07/04/1881</t>
  </si>
  <si>
    <t>CORNELIA GEERTRUYDA</t>
  </si>
  <si>
    <t>b1c11d6e2</t>
  </si>
  <si>
    <t>SUSANNA MARIA</t>
  </si>
  <si>
    <t>b3c6</t>
  </si>
  <si>
    <t>08/04/1753</t>
  </si>
  <si>
    <t>06/04/1838</t>
  </si>
  <si>
    <t>19/07/1772</t>
  </si>
  <si>
    <t xml:space="preserve">LODEWYK </t>
  </si>
  <si>
    <t>16/10/1746</t>
  </si>
  <si>
    <t>NOVEMBER 1836</t>
  </si>
  <si>
    <t>DANNHAUSER</t>
  </si>
  <si>
    <t>THOMAS RICHARD</t>
  </si>
  <si>
    <t>b6</t>
  </si>
  <si>
    <t>14/06/1801</t>
  </si>
  <si>
    <t>09/11/1801</t>
  </si>
  <si>
    <t>02/01/1825</t>
  </si>
  <si>
    <t>JANSEN VAN RENSBURG</t>
  </si>
  <si>
    <t>b1c1d7e4</t>
  </si>
  <si>
    <t>15/03/1803</t>
  </si>
  <si>
    <t>BEFORE 1841</t>
  </si>
  <si>
    <t>ALETTA</t>
  </si>
  <si>
    <t>b2c6d2e3f4</t>
  </si>
  <si>
    <t>JOHANNES ABRAHAM HENDRIK</t>
  </si>
  <si>
    <t>12/08/1817</t>
  </si>
  <si>
    <t>22/06/1818</t>
  </si>
  <si>
    <t>05/07/1834</t>
  </si>
  <si>
    <t>HURTER</t>
  </si>
  <si>
    <t>a2b2c2</t>
  </si>
  <si>
    <t>07/02/1857</t>
  </si>
  <si>
    <t>SUSARA JACOBA CATHARINA</t>
  </si>
  <si>
    <t>b3c2</t>
  </si>
  <si>
    <t>06/10/1782</t>
  </si>
  <si>
    <t>03/07/1806</t>
  </si>
  <si>
    <t xml:space="preserve">MARTHA MAGDALENA </t>
  </si>
  <si>
    <t>18/07/1813</t>
  </si>
  <si>
    <t>SUSTER VAN LEIER</t>
  </si>
  <si>
    <t>JOHANNES ESAIAS</t>
  </si>
  <si>
    <t>01/07/1814</t>
  </si>
  <si>
    <t>22/07/1817</t>
  </si>
  <si>
    <t>30/06/1863</t>
  </si>
  <si>
    <t>04/10/1834</t>
  </si>
  <si>
    <t>CHRISTINA WILHELMINA</t>
  </si>
  <si>
    <t>VAN IMWEGEN</t>
  </si>
  <si>
    <t>03/1821</t>
  </si>
  <si>
    <t>KLIP RIVER, NATAL</t>
  </si>
  <si>
    <t>19/02/1858</t>
  </si>
  <si>
    <t>WILLEM JOHANNES IZAK</t>
  </si>
  <si>
    <t>b3c2d4</t>
  </si>
  <si>
    <t>01/07/1820</t>
  </si>
  <si>
    <t>08/01/1821</t>
  </si>
  <si>
    <t>HEILBRON</t>
  </si>
  <si>
    <t>15/11/1874</t>
  </si>
  <si>
    <t>ELISABETH HERMINA</t>
  </si>
  <si>
    <t>b2c4d4</t>
  </si>
  <si>
    <t>08/02/1823</t>
  </si>
  <si>
    <t>11/05/1823</t>
  </si>
  <si>
    <t>HOPE TOWN</t>
  </si>
  <si>
    <t>ABRAHAM SAMUEL JACOBUS</t>
  </si>
  <si>
    <t>a2b6c6d5e2</t>
  </si>
  <si>
    <t>03/09/1819</t>
  </si>
  <si>
    <t>05/12/1819</t>
  </si>
  <si>
    <t>b6c6d8</t>
  </si>
  <si>
    <t>PIETERMARITZBURG (1842)</t>
  </si>
  <si>
    <t>ADRIAAN CAREL</t>
  </si>
  <si>
    <t>a2b5c4d8</t>
  </si>
  <si>
    <t>05/12/1784</t>
  </si>
  <si>
    <t>21/10/1810</t>
  </si>
  <si>
    <t>ALETTTA CATHARINA</t>
  </si>
  <si>
    <t>b5c6d6e1</t>
  </si>
  <si>
    <t>05/06/1825</t>
  </si>
  <si>
    <t>SUSARA ALETTA DOROTHEA</t>
  </si>
  <si>
    <t>WAGENAAR</t>
  </si>
  <si>
    <t>a2b9c3</t>
  </si>
  <si>
    <t>ARNOLDUS STEPHANUS</t>
  </si>
  <si>
    <t>a2b5c7d5</t>
  </si>
  <si>
    <t>10/02/1788</t>
  </si>
  <si>
    <t>25/03/1810</t>
  </si>
  <si>
    <t>MULLER</t>
  </si>
  <si>
    <t>BAVIAANS RIVER</t>
  </si>
  <si>
    <t xml:space="preserve">DE BEER </t>
  </si>
  <si>
    <t>BAREND PETRUS</t>
  </si>
  <si>
    <t>a2b6c7d2</t>
  </si>
  <si>
    <t>02/11/1790</t>
  </si>
  <si>
    <t>29/05/1808</t>
  </si>
  <si>
    <t xml:space="preserve">HENDRINA CECILIA </t>
  </si>
  <si>
    <t xml:space="preserve">GESINA JOHANNA HELENA </t>
  </si>
  <si>
    <t>GOUS</t>
  </si>
  <si>
    <t>CHRISTIAAN MARTHINUS SR</t>
  </si>
  <si>
    <t>a2b5c7d3</t>
  </si>
  <si>
    <t>15/07/1783</t>
  </si>
  <si>
    <t xml:space="preserve">MARTHA CORNELIA </t>
  </si>
  <si>
    <t>b4c12d6</t>
  </si>
  <si>
    <t>12/08/1838</t>
  </si>
  <si>
    <t>ALETTA WILHELMINA CATHARINA</t>
  </si>
  <si>
    <t>BENADE</t>
  </si>
  <si>
    <t>CHRISTIAAN MARTHINUS JR</t>
  </si>
  <si>
    <t>a2b5c7d3e3</t>
  </si>
  <si>
    <t>25/02/1810</t>
  </si>
  <si>
    <t>03/02/1828</t>
  </si>
  <si>
    <t>HESTER CAROLINA</t>
  </si>
  <si>
    <t>b5c7d1e5</t>
  </si>
  <si>
    <t>09/04/1846</t>
  </si>
  <si>
    <t>CATHARINA ALETTA MARIA</t>
  </si>
  <si>
    <t>07/02/1850</t>
  </si>
  <si>
    <t xml:space="preserve">ANNA ELISABETH </t>
  </si>
  <si>
    <t>BOSCH</t>
  </si>
  <si>
    <t>FREDERIK COENRAAD</t>
  </si>
  <si>
    <t>a2b6c7d1e1</t>
  </si>
  <si>
    <t>10/06/1811</t>
  </si>
  <si>
    <t>20/06/1811</t>
  </si>
  <si>
    <t>08/05/1831</t>
  </si>
  <si>
    <t xml:space="preserve">CHRISTINA JOHANNA </t>
  </si>
  <si>
    <t>HORN</t>
  </si>
  <si>
    <t>a2b6c5d7</t>
  </si>
  <si>
    <t>04/03/1792</t>
  </si>
  <si>
    <t>HENDRIKA JACOBA</t>
  </si>
  <si>
    <t>HENDRIK STEPHANUS</t>
  </si>
  <si>
    <t>a2b5c7d1e9</t>
  </si>
  <si>
    <t xml:space="preserve">JOHANNA LOUISA </t>
  </si>
  <si>
    <t>KRUGER</t>
  </si>
  <si>
    <t>b2c8d1e2</t>
  </si>
  <si>
    <t>CATHARINA CORNELIA</t>
  </si>
  <si>
    <t>b4c3d1e2</t>
  </si>
  <si>
    <t>a2b6c6d7</t>
  </si>
  <si>
    <t>30/11/1802</t>
  </si>
  <si>
    <t>CHRISTINA HELENA</t>
  </si>
  <si>
    <t>b2c1d9</t>
  </si>
  <si>
    <t>GAMKA</t>
  </si>
  <si>
    <t>01/09/1803</t>
  </si>
  <si>
    <t>26/10/1805</t>
  </si>
  <si>
    <t>07/07/1865</t>
  </si>
  <si>
    <t>a2b6c6d5e3</t>
  </si>
  <si>
    <t>10/08/1821</t>
  </si>
  <si>
    <t>07/10/1821</t>
  </si>
  <si>
    <t>JAN MATTHYS</t>
  </si>
  <si>
    <t>a2b5c4d8e1</t>
  </si>
  <si>
    <t>02/03/1834</t>
  </si>
  <si>
    <t>ELSIE MAGDALENA</t>
  </si>
  <si>
    <t>P.J. COETSER</t>
  </si>
  <si>
    <t>a2b5c4d5e4</t>
  </si>
  <si>
    <t>17/08/1813</t>
  </si>
  <si>
    <t>01/01/1815</t>
  </si>
  <si>
    <t>08/06/1834</t>
  </si>
  <si>
    <t>CATHARINA JOHANNA GEERTRUIDA</t>
  </si>
  <si>
    <t>HEFER</t>
  </si>
  <si>
    <t>JOHAN ADAM</t>
  </si>
  <si>
    <t>a2b5c7d3e5</t>
  </si>
  <si>
    <t>28/06/1813</t>
  </si>
  <si>
    <t>31/10/1813</t>
  </si>
  <si>
    <t>07/11/1836</t>
  </si>
  <si>
    <t>ELISABETH WILHELMINA GEERTRUIDA JOHANNA</t>
  </si>
  <si>
    <t>VAN LOCHERENBERG</t>
  </si>
  <si>
    <t>03/09/1816</t>
  </si>
  <si>
    <t>a2b5c7d1e8</t>
  </si>
  <si>
    <t>10/08/1811</t>
  </si>
  <si>
    <t>WATERBERG</t>
  </si>
  <si>
    <t>08/02/1894</t>
  </si>
  <si>
    <t>25/10/1830</t>
  </si>
  <si>
    <t>THEUNISSINA CHRISTINA WILHELMINA CATHARINA ENGELA</t>
  </si>
  <si>
    <t>JOHANNES FREDERIK</t>
  </si>
  <si>
    <t>a2b5c4d8e2</t>
  </si>
  <si>
    <t>26/04/1814</t>
  </si>
  <si>
    <t>26/12/1814</t>
  </si>
  <si>
    <t>02/09/1838</t>
  </si>
  <si>
    <t>a1b4c1d8e5</t>
  </si>
  <si>
    <t>b5c2d1</t>
  </si>
  <si>
    <t>14/05/1851</t>
  </si>
  <si>
    <t>a2b5c7d9</t>
  </si>
  <si>
    <t>16/05/1802</t>
  </si>
  <si>
    <t xml:space="preserve">MARTHA LOUISA </t>
  </si>
  <si>
    <t>b3c9d2e2</t>
  </si>
  <si>
    <t>16/10/1808</t>
  </si>
  <si>
    <t>15/02/1824</t>
  </si>
  <si>
    <t>03/09/1845</t>
  </si>
  <si>
    <t>MARIA JACOBA MAGDALENA</t>
  </si>
  <si>
    <t>JOSEPH ERASMUS</t>
  </si>
  <si>
    <t>a2b6c5d8e4</t>
  </si>
  <si>
    <t>29/03/1822</t>
  </si>
  <si>
    <t xml:space="preserve">ANNA CECILIA </t>
  </si>
  <si>
    <t>HEYNEKE</t>
  </si>
  <si>
    <t>01/05/1850</t>
  </si>
  <si>
    <t>a2b6c5d8e2</t>
  </si>
  <si>
    <t>15/07/1818</t>
  </si>
  <si>
    <t>04/12/1818</t>
  </si>
  <si>
    <t>13/08/1837</t>
  </si>
  <si>
    <t>GESINA C</t>
  </si>
  <si>
    <t>MARTHA SOPHIA</t>
  </si>
  <si>
    <t>MATTHYS ADAM</t>
  </si>
  <si>
    <t>a1b9c5</t>
  </si>
  <si>
    <t>09/11/1766</t>
  </si>
  <si>
    <t>GEERTRUIDA JUDITH</t>
  </si>
  <si>
    <t>MATTHYS ANDRIES</t>
  </si>
  <si>
    <t>18/10/1807</t>
  </si>
  <si>
    <t>15/06/1829</t>
  </si>
  <si>
    <t>MATTHYS CHRISTOFFEL JOHANNES</t>
  </si>
  <si>
    <t>a2b6c5d7e1</t>
  </si>
  <si>
    <t>01/11/1815</t>
  </si>
  <si>
    <t>08/07/1816</t>
  </si>
  <si>
    <t xml:space="preserve">ISABELLA CATHARINA JOHANNA </t>
  </si>
  <si>
    <t>DORPHLING</t>
  </si>
  <si>
    <t>ELISABETH ADRIANA</t>
  </si>
  <si>
    <t>MATTHYS JOHANNES STEPHANUS</t>
  </si>
  <si>
    <t>a2b9c5d2</t>
  </si>
  <si>
    <t>04/10/1801</t>
  </si>
  <si>
    <t>13/08/1820</t>
  </si>
  <si>
    <t>RACHEL SUSANNA</t>
  </si>
  <si>
    <t>EVA MARIA CATHARINA</t>
  </si>
  <si>
    <t>b5c3d10e8f1</t>
  </si>
  <si>
    <t>09/11/1805</t>
  </si>
  <si>
    <t>18/05/1806</t>
  </si>
  <si>
    <t>a2b6c6d5</t>
  </si>
  <si>
    <t>27/12/1798</t>
  </si>
  <si>
    <t>27/10/1816</t>
  </si>
  <si>
    <t>SAMUEL JACOBUS</t>
  </si>
  <si>
    <t>a2b5c9d3e3</t>
  </si>
  <si>
    <t>13/04/1815</t>
  </si>
  <si>
    <t>07/06/1815</t>
  </si>
  <si>
    <t>09/08/1861</t>
  </si>
  <si>
    <t>25/12/1836</t>
  </si>
  <si>
    <t>NICOLASINA SUSANNA</t>
  </si>
  <si>
    <t>12/09/1819</t>
  </si>
  <si>
    <t xml:space="preserve"> 01/09/1900</t>
  </si>
  <si>
    <t>a2b6c5d8</t>
  </si>
  <si>
    <t>14/04/1793</t>
  </si>
  <si>
    <t>01/08/1878</t>
  </si>
  <si>
    <t>07/08/1814</t>
  </si>
  <si>
    <t>ANNA JOHANNA ISABELLA</t>
  </si>
  <si>
    <t>a2b6c6d7e2</t>
  </si>
  <si>
    <t>04/06/1825</t>
  </si>
  <si>
    <t>06/10/1847</t>
  </si>
  <si>
    <t>HANSJE ALETTA</t>
  </si>
  <si>
    <t>b1c6d6e11</t>
  </si>
  <si>
    <t>LADYSMITH</t>
  </si>
  <si>
    <t>JACOBA</t>
  </si>
  <si>
    <t>a2b5c7d1</t>
  </si>
  <si>
    <t>10/01/1779</t>
  </si>
  <si>
    <t>JACOMINA ELISABETH</t>
  </si>
  <si>
    <t>b5c3d5e6</t>
  </si>
  <si>
    <t>09/09/1821</t>
  </si>
  <si>
    <t>b2c3d4e4</t>
  </si>
  <si>
    <t>a2b5c7d1e4</t>
  </si>
  <si>
    <t>05/11/825</t>
  </si>
  <si>
    <t>b4c1d8e3</t>
  </si>
  <si>
    <t>21/09/1810</t>
  </si>
  <si>
    <t>03/02/1811</t>
  </si>
  <si>
    <t>ZACHARIAS JACOBUS</t>
  </si>
  <si>
    <t>a2b5c7d5e2</t>
  </si>
  <si>
    <t>15/09/1814</t>
  </si>
  <si>
    <t>26/02/1815</t>
  </si>
  <si>
    <t>15/05/1836</t>
  </si>
  <si>
    <t>b2c3d6e5f4</t>
  </si>
  <si>
    <t>NATAL, POTCHEFSTROOM</t>
  </si>
  <si>
    <t>ZACHARIAS JOHANNES</t>
  </si>
  <si>
    <t>a2b5c13d4</t>
  </si>
  <si>
    <t>a2b5c13d7</t>
  </si>
  <si>
    <t>a2b5c11d1</t>
  </si>
  <si>
    <t>04/09/1788</t>
  </si>
  <si>
    <t>02/04/1815</t>
  </si>
  <si>
    <t>ZACHARYA G</t>
  </si>
  <si>
    <t>NOVEMBER 1840</t>
  </si>
  <si>
    <t>14/07/1816</t>
  </si>
  <si>
    <t>GREEFF</t>
  </si>
  <si>
    <t>01/06/1800</t>
  </si>
  <si>
    <t>16/10/1800</t>
  </si>
  <si>
    <t>30/06/1822</t>
  </si>
  <si>
    <t>SOPHIA ELISABETH FREDERIKA</t>
  </si>
  <si>
    <t>a2b19</t>
  </si>
  <si>
    <t>18/11/1810</t>
  </si>
  <si>
    <t>JANUARY 1836</t>
  </si>
  <si>
    <t>ZACHARIAS JOSEPH</t>
  </si>
  <si>
    <t>a2b6c9d4</t>
  </si>
  <si>
    <t>23/12/1801</t>
  </si>
  <si>
    <t>16/03/1802</t>
  </si>
  <si>
    <t>07/09/1823</t>
  </si>
  <si>
    <t>ANNA CHRISTINA HERMINA</t>
  </si>
  <si>
    <t>22/09/1833</t>
  </si>
  <si>
    <t>ANNA ELISABETH BENADE</t>
  </si>
  <si>
    <t>07/01/1817</t>
  </si>
  <si>
    <t>12/03/1780</t>
  </si>
  <si>
    <t>LOURENS JR</t>
  </si>
  <si>
    <t>b2c10</t>
  </si>
  <si>
    <t>23/03/1801</t>
  </si>
  <si>
    <t>03/03/1839</t>
  </si>
  <si>
    <t>28/05/1841</t>
  </si>
  <si>
    <t>a3b1c6d2e5f3</t>
  </si>
  <si>
    <t>30/10/1775</t>
  </si>
  <si>
    <t>CATHARINA ELIZABETH</t>
  </si>
  <si>
    <t>MOOLMAN</t>
  </si>
  <si>
    <t>13/07/1830</t>
  </si>
  <si>
    <t>JACOBUS NICOLAAS</t>
  </si>
  <si>
    <t>MARTHINUS CHRISTOFFEL SR</t>
  </si>
  <si>
    <t>b2c4d11</t>
  </si>
  <si>
    <t>BARNARD JACOBUS SR</t>
  </si>
  <si>
    <t>BARNARD JACOBUS JR</t>
  </si>
  <si>
    <t>06/01/1793</t>
  </si>
  <si>
    <t>27/12/1838</t>
  </si>
  <si>
    <t>WIT-MFOLOZI, NATL</t>
  </si>
  <si>
    <t>17/01/1813</t>
  </si>
  <si>
    <t>09/10/1796</t>
  </si>
  <si>
    <t>OCTOBER 1838</t>
  </si>
  <si>
    <t>A.W.J. PRETORIUS</t>
  </si>
  <si>
    <t>13/04/1785</t>
  </si>
  <si>
    <t>STAATSPRESIDENT OVS</t>
  </si>
  <si>
    <t>21/04/1784</t>
  </si>
  <si>
    <t>19/08/1788</t>
  </si>
  <si>
    <t>COLONY</t>
  </si>
  <si>
    <t>CHRISTOFFEL JACOBUS THEUNIS</t>
  </si>
  <si>
    <t>DAVID ADOLPH MICHIEL</t>
  </si>
  <si>
    <t>b410d10e5</t>
  </si>
  <si>
    <t>26/03/1879</t>
  </si>
  <si>
    <t>09/10/1825</t>
  </si>
  <si>
    <t>27/04/1893</t>
  </si>
  <si>
    <t>GERHARDUS STEPHANUS</t>
  </si>
  <si>
    <t>a1b2c9d3e4f1</t>
  </si>
  <si>
    <t>09/08/1818</t>
  </si>
  <si>
    <t>ALETTA JOHANNA LAURENTIA ABRAMA</t>
  </si>
  <si>
    <t>10/02/1899</t>
  </si>
  <si>
    <t>b5c6d6e4</t>
  </si>
  <si>
    <t>05/05/1812</t>
  </si>
  <si>
    <t>05/10/1812</t>
  </si>
  <si>
    <t>JAN ANDRIES NICOLAAS</t>
  </si>
  <si>
    <t>HENDRIK LAMBERTUS</t>
  </si>
  <si>
    <t>b6c5</t>
  </si>
  <si>
    <t>27/02/1768</t>
  </si>
  <si>
    <t>17/04/1768</t>
  </si>
  <si>
    <t>22/01/1792</t>
  </si>
  <si>
    <t>02/06/1822</t>
  </si>
  <si>
    <t>GEERTRUY ALETTA</t>
  </si>
  <si>
    <t>CAREL JOHANNES</t>
  </si>
  <si>
    <t>b1c12d3e4</t>
  </si>
  <si>
    <t>12/09/1824</t>
  </si>
  <si>
    <t>JOHANNA MARTINA REGINA</t>
  </si>
  <si>
    <t>HENDRIK PETRUS JACOBUS</t>
  </si>
  <si>
    <t>04/09/1814</t>
  </si>
  <si>
    <t>26/05/1839</t>
  </si>
  <si>
    <t>a2b5c4d5e5</t>
  </si>
  <si>
    <t>04/05/1816</t>
  </si>
  <si>
    <t>HENDRIK PIETER JACOBUS</t>
  </si>
  <si>
    <t>a2b6c5d7e3</t>
  </si>
  <si>
    <t>11/02/1823</t>
  </si>
  <si>
    <t>16/03/1823</t>
  </si>
  <si>
    <t>20/12/1877</t>
  </si>
  <si>
    <t>HESTER ALETTA MARIA</t>
  </si>
  <si>
    <t>a2b5c7d5e1</t>
  </si>
  <si>
    <t>07/01/1811</t>
  </si>
  <si>
    <t>07/03/1876</t>
  </si>
  <si>
    <t>07/12/1823</t>
  </si>
  <si>
    <t>JOHANNES MATTHYS</t>
  </si>
  <si>
    <t>MATTHYS JOHANNES</t>
  </si>
  <si>
    <t>19/03/1897</t>
  </si>
  <si>
    <t>08/06/1875</t>
  </si>
  <si>
    <t>22/07/1811</t>
  </si>
  <si>
    <t>SAMUEL JACOBUS SR</t>
  </si>
  <si>
    <t>25/10/1797</t>
  </si>
  <si>
    <t>VAN STADENSDRIF</t>
  </si>
  <si>
    <t>02/02/1872</t>
  </si>
  <si>
    <t>02/10/1796</t>
  </si>
  <si>
    <t>16/12/1864</t>
  </si>
  <si>
    <t>JOHANNA ISABELLA  JACOBA</t>
  </si>
  <si>
    <t>019/04/1835</t>
  </si>
  <si>
    <t>30/08/1835</t>
  </si>
  <si>
    <t>SAMUEL JACOBUS JR</t>
  </si>
  <si>
    <t>a2b6c5d9e5</t>
  </si>
  <si>
    <t>04/12/1825</t>
  </si>
  <si>
    <t>21/03/1826</t>
  </si>
  <si>
    <t>24/05/1885</t>
  </si>
  <si>
    <t>27/03/1854</t>
  </si>
  <si>
    <t>MARGARETHA SOPHIA JANETTA</t>
  </si>
  <si>
    <t>16/12/1807</t>
  </si>
  <si>
    <t>ZACHARIAS CHRISTIAAN JR</t>
  </si>
  <si>
    <t>30/03/1801</t>
  </si>
  <si>
    <t>12/01/1823</t>
  </si>
  <si>
    <t xml:space="preserve">JOHANNA MARIA </t>
  </si>
  <si>
    <t>ZACHARIAS CHRISTIAAN SR</t>
  </si>
  <si>
    <t>19/08/1785</t>
  </si>
  <si>
    <t>a1b5c10d1e1</t>
  </si>
  <si>
    <t>13/01/1795</t>
  </si>
  <si>
    <t>26/08/1795</t>
  </si>
  <si>
    <t>01/08/1883</t>
  </si>
  <si>
    <t>01/11/1825</t>
  </si>
  <si>
    <t>26/12/1825</t>
  </si>
  <si>
    <t>AMERFOORT</t>
  </si>
  <si>
    <t>31/03/1908</t>
  </si>
  <si>
    <t>JANUARY 1844</t>
  </si>
  <si>
    <t>SUSANNA PETRONELLA JOHANNA</t>
  </si>
  <si>
    <t>b2c3d5e13f1</t>
  </si>
  <si>
    <t>03/10/1826</t>
  </si>
  <si>
    <t>WAKERSTROOM</t>
  </si>
  <si>
    <t>18/02/1869</t>
  </si>
  <si>
    <t>NATAL (1845)</t>
  </si>
  <si>
    <t>27/08/1872</t>
  </si>
  <si>
    <t>a1b5c5d1</t>
  </si>
  <si>
    <t>JOHANNA JACOBA</t>
  </si>
  <si>
    <t>a1b5c5d1e6</t>
  </si>
  <si>
    <t>04/12/1823</t>
  </si>
  <si>
    <t>07/08/1885</t>
  </si>
  <si>
    <t>24/04/1842</t>
  </si>
  <si>
    <t>DE BRUIN</t>
  </si>
  <si>
    <t>09/12/1822</t>
  </si>
  <si>
    <t>30/07/1893</t>
  </si>
  <si>
    <t>APRIL 1842</t>
  </si>
  <si>
    <t>a1b5c5d8</t>
  </si>
  <si>
    <t>13/12/1814</t>
  </si>
  <si>
    <t>09/04/1815</t>
  </si>
  <si>
    <t>04/08/1833</t>
  </si>
  <si>
    <t>ROODEPOORT</t>
  </si>
  <si>
    <t>01/12/1896</t>
  </si>
  <si>
    <t>SMITHFIELD</t>
  </si>
  <si>
    <t>a1b5c5d1e2</t>
  </si>
  <si>
    <t>01/10/1816</t>
  </si>
  <si>
    <t>NEETHLING</t>
  </si>
  <si>
    <t>14/03/1840</t>
  </si>
  <si>
    <t>NATAL, SMITHFIELD</t>
  </si>
  <si>
    <t>15/03/1840</t>
  </si>
  <si>
    <t>16/10/1816</t>
  </si>
  <si>
    <t>20/04/1817</t>
  </si>
  <si>
    <t xml:space="preserve">DE BRUYN </t>
  </si>
  <si>
    <t>a1b5c1d9</t>
  </si>
  <si>
    <t>10/03/1799</t>
  </si>
  <si>
    <t>25/08/1799</t>
  </si>
  <si>
    <t>LICHTENBURG</t>
  </si>
  <si>
    <t>23/09/1890</t>
  </si>
  <si>
    <t>13/09/1818</t>
  </si>
  <si>
    <t>PHILIPINA MARIA CHARLOTTA</t>
  </si>
  <si>
    <t>b1c4d5</t>
  </si>
  <si>
    <t>02/11/1806</t>
  </si>
  <si>
    <t>10/06/1875</t>
  </si>
  <si>
    <t>a1b5c5d1e5</t>
  </si>
  <si>
    <t>03/07/1822</t>
  </si>
  <si>
    <t>03/11/1822</t>
  </si>
  <si>
    <t>21/04/1844</t>
  </si>
  <si>
    <t>KLOPPER</t>
  </si>
  <si>
    <t>LOUISA MARGARETHA</t>
  </si>
  <si>
    <t>DE WINNAAR</t>
  </si>
  <si>
    <t>ANDREAS JOHANNES</t>
  </si>
  <si>
    <t>b1c9d1</t>
  </si>
  <si>
    <t>08/10/1774</t>
  </si>
  <si>
    <t>25/04/1854</t>
  </si>
  <si>
    <t>b7c2d2</t>
  </si>
  <si>
    <t>25/12/1782</t>
  </si>
  <si>
    <t>12/05/1838</t>
  </si>
  <si>
    <t>02/06/1827</t>
  </si>
  <si>
    <t>ELIZABETH ELSJE</t>
  </si>
  <si>
    <t>b1c11d6</t>
  </si>
  <si>
    <t>07/09/1817</t>
  </si>
  <si>
    <t>CORNELIA GEERTRUIDA</t>
  </si>
  <si>
    <t>b5c2d3e2</t>
  </si>
  <si>
    <t>MLAZIRIVER</t>
  </si>
  <si>
    <t>CHRISTIAAN LODEWIKUS</t>
  </si>
  <si>
    <t>b1c9d1e4</t>
  </si>
  <si>
    <t>02/08/1807</t>
  </si>
  <si>
    <t>29/11/1807</t>
  </si>
  <si>
    <t>07/07/1891</t>
  </si>
  <si>
    <t>17/11/1831</t>
  </si>
  <si>
    <t>b1c10d1e3f9</t>
  </si>
  <si>
    <t>b1c11d7</t>
  </si>
  <si>
    <t>02/04/1792</t>
  </si>
  <si>
    <t>04/10/1863</t>
  </si>
  <si>
    <t>a3b1c6d8e4</t>
  </si>
  <si>
    <t>GERHARDUS WILHELMUS</t>
  </si>
  <si>
    <t>b1c11d5e3</t>
  </si>
  <si>
    <t>11/03/1808</t>
  </si>
  <si>
    <t>18/05/1809</t>
  </si>
  <si>
    <t>MARIA ELISABETH PETRONELLA FRANCINA</t>
  </si>
  <si>
    <t>b11c4d10</t>
  </si>
  <si>
    <t>16/05/1877</t>
  </si>
  <si>
    <t xml:space="preserve">JOHANNA CATHARINA </t>
  </si>
  <si>
    <t>J.S. MARITZ/G.J RUDOLPH</t>
  </si>
  <si>
    <t>IZAK</t>
  </si>
  <si>
    <t>b1c11d7e4</t>
  </si>
  <si>
    <t>18/08/1822</t>
  </si>
  <si>
    <t>16/09/1910</t>
  </si>
  <si>
    <t>26/10/1845</t>
  </si>
  <si>
    <t>ELISABETH MARGARETHA HERMINA</t>
  </si>
  <si>
    <t>SPIES</t>
  </si>
  <si>
    <t>27/11/1907</t>
  </si>
  <si>
    <t xml:space="preserve">J.G. </t>
  </si>
  <si>
    <t>b1c11d5e?</t>
  </si>
  <si>
    <t>&gt;16</t>
  </si>
  <si>
    <t>b1c11d6e3</t>
  </si>
  <si>
    <t>24/03/1822</t>
  </si>
  <si>
    <t>23/05/1822</t>
  </si>
  <si>
    <t>HESTER MAGDALENA</t>
  </si>
  <si>
    <t>b6c9d4e1f2</t>
  </si>
  <si>
    <t>JOHANNES WILHELMUS</t>
  </si>
  <si>
    <t>b1c11d5e7</t>
  </si>
  <si>
    <t>04/01/1818</t>
  </si>
  <si>
    <t>23/09/1902</t>
  </si>
  <si>
    <t xml:space="preserve">SUSANNA SOPHIA </t>
  </si>
  <si>
    <t>06/04/1822</t>
  </si>
  <si>
    <t>DOGTER K.LANDMAN</t>
  </si>
  <si>
    <t>LODEWYK SR</t>
  </si>
  <si>
    <t>b1c11d5</t>
  </si>
  <si>
    <t>03/02/1782</t>
  </si>
  <si>
    <t>04/12/1803</t>
  </si>
  <si>
    <t>ENGELA ADRIANA</t>
  </si>
  <si>
    <t>b3c7d5</t>
  </si>
  <si>
    <t>23/05/1783</t>
  </si>
  <si>
    <t>09/04/1838</t>
  </si>
  <si>
    <t>LODEWYK JOHANNES</t>
  </si>
  <si>
    <t>b1c11d5e2</t>
  </si>
  <si>
    <t>LODEWYK JR</t>
  </si>
  <si>
    <t>18/08/1818</t>
  </si>
  <si>
    <t>31/10/1818</t>
  </si>
  <si>
    <t>SUSARA ELISABETH</t>
  </si>
  <si>
    <t>b3c7d7e4</t>
  </si>
  <si>
    <t>06/11/1810</t>
  </si>
  <si>
    <t>b1c11d6e1</t>
  </si>
  <si>
    <t>15/05/1806</t>
  </si>
  <si>
    <t>06/04/1823</t>
  </si>
  <si>
    <t xml:space="preserve">ISABELLA ALETTA </t>
  </si>
  <si>
    <t>b16c4d6</t>
  </si>
  <si>
    <t>LODEWYK PETRUS</t>
  </si>
  <si>
    <t>b1c11d7e1</t>
  </si>
  <si>
    <t>31/08/1816</t>
  </si>
  <si>
    <t>26/01/1817</t>
  </si>
  <si>
    <t>16/03/1839</t>
  </si>
  <si>
    <t>SUSANNA</t>
  </si>
  <si>
    <t>b3c3d1e2f6</t>
  </si>
  <si>
    <t>01/01/1878</t>
  </si>
  <si>
    <t>LOUIS</t>
  </si>
  <si>
    <t>b9c3d5</t>
  </si>
  <si>
    <t>08/10/1775</t>
  </si>
  <si>
    <t>27/09/1795</t>
  </si>
  <si>
    <t>FRANCINA</t>
  </si>
  <si>
    <t>STEYN</t>
  </si>
  <si>
    <t>02/07/1838</t>
  </si>
  <si>
    <t>L</t>
  </si>
  <si>
    <t>26/06/1838</t>
  </si>
  <si>
    <t>BRITA</t>
  </si>
  <si>
    <t>b8c8d2</t>
  </si>
  <si>
    <t>b8c3d5e1</t>
  </si>
  <si>
    <t>19/09/1797</t>
  </si>
  <si>
    <t>MARGARETHA ALIDA</t>
  </si>
  <si>
    <t>27/06/1838</t>
  </si>
  <si>
    <t>LOURENS JOSEPHUS</t>
  </si>
  <si>
    <t>b9c3d5e1f3</t>
  </si>
  <si>
    <t>25/11/1825</t>
  </si>
  <si>
    <t>19/02/1826</t>
  </si>
  <si>
    <t>FRANS ABRAHAM JURGEN</t>
  </si>
  <si>
    <t>b3</t>
  </si>
  <si>
    <t>18/12/1809</t>
  </si>
  <si>
    <t>UMSINGA</t>
  </si>
  <si>
    <t>15/08/1877</t>
  </si>
  <si>
    <t>26/12/1830</t>
  </si>
  <si>
    <t xml:space="preserve">SUSANNA MARGARETHA </t>
  </si>
  <si>
    <t>b6c2d1e3f3</t>
  </si>
  <si>
    <t>22/11/1807</t>
  </si>
  <si>
    <t>14/07/1886</t>
  </si>
  <si>
    <t>KLAAS MARTHINUS</t>
  </si>
  <si>
    <t>20/04/1801</t>
  </si>
  <si>
    <t>15/05/1883</t>
  </si>
  <si>
    <t>03/01/1825</t>
  </si>
  <si>
    <t>MARIA ELISABETH MARGARETHA</t>
  </si>
  <si>
    <t>27/12/1889</t>
  </si>
  <si>
    <t>ABRAHAM</t>
  </si>
  <si>
    <t>ABRAHAM JOHANNES</t>
  </si>
  <si>
    <t>b6c3d7</t>
  </si>
  <si>
    <t>03/11/1797</t>
  </si>
  <si>
    <t>02/09/1798</t>
  </si>
  <si>
    <t>06/10/1843</t>
  </si>
  <si>
    <t>CORNELIA AGATHA WILHELMINA</t>
  </si>
  <si>
    <t>HASSELBACH</t>
  </si>
  <si>
    <t>BAREND JACOBUS</t>
  </si>
  <si>
    <t>b6c3d17</t>
  </si>
  <si>
    <t>06/01/1819</t>
  </si>
  <si>
    <t>24/03/1819</t>
  </si>
  <si>
    <t>07/06/1840</t>
  </si>
  <si>
    <t>SARA ISABELLA ELISABETH</t>
  </si>
  <si>
    <t>a1b5c4d3e9</t>
  </si>
  <si>
    <t>15/01/1824</t>
  </si>
  <si>
    <t>b6c3d11</t>
  </si>
  <si>
    <t>08/01/1826</t>
  </si>
  <si>
    <t>MARIA JACOMINA</t>
  </si>
  <si>
    <t>b6c3d12</t>
  </si>
  <si>
    <t>22/05/1808</t>
  </si>
  <si>
    <t>07/10/1826</t>
  </si>
  <si>
    <t>b6c10d1e7</t>
  </si>
  <si>
    <t>25/11/1810</t>
  </si>
  <si>
    <t>19/08/1811</t>
  </si>
  <si>
    <t>JACOB SR</t>
  </si>
  <si>
    <t xml:space="preserve">DE KLERK </t>
  </si>
  <si>
    <t>b6c3</t>
  </si>
  <si>
    <t>25/04/1757</t>
  </si>
  <si>
    <t>02/02/1783</t>
  </si>
  <si>
    <t>26/01/1797</t>
  </si>
  <si>
    <t>TAS</t>
  </si>
  <si>
    <t>JACOB JR</t>
  </si>
  <si>
    <t>b6c3d5</t>
  </si>
  <si>
    <t>18/12/1791</t>
  </si>
  <si>
    <t>25/11/1792</t>
  </si>
  <si>
    <t>12/05/1881</t>
  </si>
  <si>
    <t>b1c9d2e1</t>
  </si>
  <si>
    <t>23/04/1793</t>
  </si>
  <si>
    <t>20/02/1868</t>
  </si>
  <si>
    <t>KLERKSDROP</t>
  </si>
  <si>
    <t>1 (11)</t>
  </si>
  <si>
    <t>b6c3d5e5</t>
  </si>
  <si>
    <t>10/02/1824</t>
  </si>
  <si>
    <t>MARIA SOPHIA</t>
  </si>
  <si>
    <t>LANDDROS, LYDENBURG</t>
  </si>
  <si>
    <t>b6c3d13</t>
  </si>
  <si>
    <t>23/04/1810</t>
  </si>
  <si>
    <t>23/05/1830</t>
  </si>
  <si>
    <t>b10c2d1e4</t>
  </si>
  <si>
    <t>b4c1d8e6</t>
  </si>
  <si>
    <t>22/11/1815</t>
  </si>
  <si>
    <t>03/03/1816</t>
  </si>
  <si>
    <t>28/04/1832</t>
  </si>
  <si>
    <t>MARIA ANNA CHRISTINA</t>
  </si>
  <si>
    <t>a2b3c7</t>
  </si>
  <si>
    <t>16/03/1794</t>
  </si>
  <si>
    <t>09/01/1815</t>
  </si>
  <si>
    <t>HESTER ELIZABETH LORET</t>
  </si>
  <si>
    <t>a2b5c7</t>
  </si>
  <si>
    <t>GRAHAMSTOWN</t>
  </si>
  <si>
    <t>04/04/1824</t>
  </si>
  <si>
    <t xml:space="preserve">ELIZABETH MAGDALENA </t>
  </si>
  <si>
    <t xml:space="preserve">DE LANGE </t>
  </si>
  <si>
    <t>07/03/1773</t>
  </si>
  <si>
    <t>11/04/1790</t>
  </si>
  <si>
    <t>L.J MEYER/J.H. DE LANGE</t>
  </si>
  <si>
    <t>GESINA</t>
  </si>
  <si>
    <t>a2b10</t>
  </si>
  <si>
    <t>04/04/1836</t>
  </si>
  <si>
    <t>06/02/1842</t>
  </si>
  <si>
    <t>GROBBELAAR</t>
  </si>
  <si>
    <t>MID 1837</t>
  </si>
  <si>
    <t>ADRIAAN JACOBUS</t>
  </si>
  <si>
    <t>a2c10c3</t>
  </si>
  <si>
    <t>01/10/1801</t>
  </si>
  <si>
    <t>09/01/1820</t>
  </si>
  <si>
    <t>a2b3c11</t>
  </si>
  <si>
    <t>28/10/1804</t>
  </si>
  <si>
    <t>ADRIAAN JACOBUS JR</t>
  </si>
  <si>
    <t>a2b10c3d1</t>
  </si>
  <si>
    <t>21/02/1821</t>
  </si>
  <si>
    <t>CRACODCK</t>
  </si>
  <si>
    <t>07/04/1821</t>
  </si>
  <si>
    <t>CATHARINA ALETTA</t>
  </si>
  <si>
    <t>MARNEWICK</t>
  </si>
  <si>
    <t>15/01/1823</t>
  </si>
  <si>
    <t>a2b10c6</t>
  </si>
  <si>
    <t>16/09/1808</t>
  </si>
  <si>
    <t>23/10/1808</t>
  </si>
  <si>
    <t>MYNHARDT</t>
  </si>
  <si>
    <t>a2b3c6</t>
  </si>
  <si>
    <t>20/07/1817</t>
  </si>
  <si>
    <t>PETRONELLA</t>
  </si>
  <si>
    <t>b2c3d4e9</t>
  </si>
  <si>
    <t xml:space="preserve">CATHARINA CORNELIA </t>
  </si>
  <si>
    <t>b3c3d6e5</t>
  </si>
  <si>
    <t>19/10/1874</t>
  </si>
  <si>
    <t>LEADER</t>
  </si>
  <si>
    <t>a2b3c7d1</t>
  </si>
  <si>
    <t>02/11/1815</t>
  </si>
  <si>
    <t>CARLETONVILLE</t>
  </si>
  <si>
    <t>12/07/1884</t>
  </si>
  <si>
    <t>JACOBA FRANSIENA WILHELMINA</t>
  </si>
  <si>
    <t>ROBERTUS BURNET</t>
  </si>
  <si>
    <t>a2b10c5</t>
  </si>
  <si>
    <t>24/04/1806</t>
  </si>
  <si>
    <t>25/08/1880</t>
  </si>
  <si>
    <t>03/12/1826</t>
  </si>
  <si>
    <t xml:space="preserve">ENGELA MARGARETHA </t>
  </si>
  <si>
    <t>b3c3d7e11</t>
  </si>
  <si>
    <t>04/03/1810</t>
  </si>
  <si>
    <t>18/08/1880</t>
  </si>
  <si>
    <t>DE LA REY</t>
  </si>
  <si>
    <t>JACOBUS HERCULAS</t>
  </si>
  <si>
    <t>VET RIVER</t>
  </si>
  <si>
    <t>29/07/1858</t>
  </si>
  <si>
    <t>SWELLENSAM</t>
  </si>
  <si>
    <t>13/07/1823</t>
  </si>
  <si>
    <t>b2c1d3</t>
  </si>
  <si>
    <t>10/02/1805</t>
  </si>
  <si>
    <t>DELPORT</t>
  </si>
  <si>
    <t>b6c2d1e1</t>
  </si>
  <si>
    <t>14/05/1797</t>
  </si>
  <si>
    <t>ELIZABETH JACOBA</t>
  </si>
  <si>
    <t>JACOBUS PETRUS DANIEL</t>
  </si>
  <si>
    <t>b6c2d1e1f1</t>
  </si>
  <si>
    <t>16/03/1818</t>
  </si>
  <si>
    <t>20/09/1818</t>
  </si>
  <si>
    <t>ALETTA CATHARINA MARTHA</t>
  </si>
  <si>
    <t>a1b1c4d3e2</t>
  </si>
  <si>
    <t>17/02/1822</t>
  </si>
  <si>
    <t>b3c6d3e8</t>
  </si>
  <si>
    <t>09/01/1821</t>
  </si>
  <si>
    <t>20/03/1821</t>
  </si>
  <si>
    <t>ELISABETH JOHANNA PETRONELLA</t>
  </si>
  <si>
    <t>PETRUS JOHANNES LEOPOLDUS</t>
  </si>
  <si>
    <t>b6c2d1e1f3</t>
  </si>
  <si>
    <t>10/07/1822</t>
  </si>
  <si>
    <t>POTCHEFSTROOM (1844)</t>
  </si>
  <si>
    <t>VOLCKERT JOHANNES</t>
  </si>
  <si>
    <t>b3c14d7</t>
  </si>
  <si>
    <t>02/11/1817</t>
  </si>
  <si>
    <t>ANNA BARBARA</t>
  </si>
  <si>
    <t>DE NECKER</t>
  </si>
  <si>
    <t>ADRIAAN FRANCOIS</t>
  </si>
  <si>
    <t>16/04/1800</t>
  </si>
  <si>
    <t>MARTHA HERMINA</t>
  </si>
  <si>
    <t>03/10/1824</t>
  </si>
  <si>
    <t>JOHANNES DANIEL JACOBUS</t>
  </si>
  <si>
    <t>b2c1d1e2</t>
  </si>
  <si>
    <t>04/06/1803</t>
  </si>
  <si>
    <t>PIETER HENDRIKUS</t>
  </si>
  <si>
    <t>b2c1d1</t>
  </si>
  <si>
    <t>21/09/1771</t>
  </si>
  <si>
    <t>17/02/1799</t>
  </si>
  <si>
    <t>PIETER JOSUA</t>
  </si>
  <si>
    <t>b2c1d1e3</t>
  </si>
  <si>
    <t>02/10/1808</t>
  </si>
  <si>
    <t>05/06/1892</t>
  </si>
  <si>
    <t>JOHANNA MARGARETHA</t>
  </si>
  <si>
    <t>20/07/1837</t>
  </si>
  <si>
    <t>DE VILLIERS</t>
  </si>
  <si>
    <t>JACOB PIETER DANIEL</t>
  </si>
  <si>
    <t>a3b6c4d1e3f1</t>
  </si>
  <si>
    <t>FRANSCHHOEK</t>
  </si>
  <si>
    <t>30/05/1802</t>
  </si>
  <si>
    <t>25/07/1802</t>
  </si>
  <si>
    <t>04/09/1830</t>
  </si>
  <si>
    <t>21/08/1813</t>
  </si>
  <si>
    <t>21/07/1894</t>
  </si>
  <si>
    <t>TOBIAS JAN</t>
  </si>
  <si>
    <t>02/11/1783</t>
  </si>
  <si>
    <t>HENDRINA MARGARETHA</t>
  </si>
  <si>
    <t>a2b2c1d4e5</t>
  </si>
  <si>
    <t>DE WAAL</t>
  </si>
  <si>
    <t>DANIEL JACOBUS</t>
  </si>
  <si>
    <t>b3c3d8e5</t>
  </si>
  <si>
    <t>31/03/1823</t>
  </si>
  <si>
    <t>04/1823</t>
  </si>
  <si>
    <t>09/07/1885</t>
  </si>
  <si>
    <t>16/08/1847</t>
  </si>
  <si>
    <t xml:space="preserve">REGINA CATHARINA </t>
  </si>
  <si>
    <t>KRIEL</t>
  </si>
  <si>
    <t>b9c2d5e4</t>
  </si>
  <si>
    <t>01/04/1829</t>
  </si>
  <si>
    <t>19/06/1873</t>
  </si>
  <si>
    <t>29/12/1873</t>
  </si>
  <si>
    <t>25/10/1836</t>
  </si>
  <si>
    <t>VREDE</t>
  </si>
  <si>
    <t>DANIEL THEODORUS</t>
  </si>
  <si>
    <t>b17c8d2</t>
  </si>
  <si>
    <t>06/08/1820</t>
  </si>
  <si>
    <t>PARYS</t>
  </si>
  <si>
    <t xml:space="preserve"> 12/01/1900</t>
  </si>
  <si>
    <t>09/09/1845</t>
  </si>
  <si>
    <t>CATHARINA CLASINA</t>
  </si>
  <si>
    <t>a3b1c6d5e4f8</t>
  </si>
  <si>
    <t>11/01/1827</t>
  </si>
  <si>
    <t>15/04/1827</t>
  </si>
  <si>
    <t>VREDEFORT</t>
  </si>
  <si>
    <t xml:space="preserve"> 03/06/1901</t>
  </si>
  <si>
    <t>JOHANNES AREND</t>
  </si>
  <si>
    <t>b3c3d8e7</t>
  </si>
  <si>
    <t>b2c13d1e8f3g2</t>
  </si>
  <si>
    <t>29/11/1821</t>
  </si>
  <si>
    <t>15/01/1899</t>
  </si>
  <si>
    <t>PIETER JACOBUS</t>
  </si>
  <si>
    <t>b3c3d8e6</t>
  </si>
  <si>
    <t>19/10/1824</t>
  </si>
  <si>
    <t>28/02/1848</t>
  </si>
  <si>
    <t>b1c8d6e3</t>
  </si>
  <si>
    <t>02/12/1831</t>
  </si>
  <si>
    <t>15/01/1832</t>
  </si>
  <si>
    <t>CHRISTOFFEL JOHANNES</t>
  </si>
  <si>
    <t>b1c2d3e2f7</t>
  </si>
  <si>
    <t>31/08/1806</t>
  </si>
  <si>
    <t>19/04/1807</t>
  </si>
  <si>
    <t>08/02/1829</t>
  </si>
  <si>
    <t>b7c2d2e2</t>
  </si>
  <si>
    <t>HENDRIK FRANCOIS</t>
  </si>
  <si>
    <t>b1c2d3e2f11</t>
  </si>
  <si>
    <t>21/03/1816</t>
  </si>
  <si>
    <t>JACOBUS IGNATIUS</t>
  </si>
  <si>
    <t>b1c2d5e5f4</t>
  </si>
  <si>
    <t>28/04/1821</t>
  </si>
  <si>
    <t>20/05/1821</t>
  </si>
  <si>
    <t>30/03/1899</t>
  </si>
  <si>
    <t>08/10/1842</t>
  </si>
  <si>
    <t>ANNA CATHARINA CECILIA</t>
  </si>
  <si>
    <t>15/03/1866</t>
  </si>
  <si>
    <t>05/08/1867</t>
  </si>
  <si>
    <t>CATHARINA SUSANNA ELIZABETH</t>
  </si>
  <si>
    <t>AUGUSTUS 1847</t>
  </si>
  <si>
    <t xml:space="preserve"> 02/08/1911</t>
  </si>
  <si>
    <t>BETHAL</t>
  </si>
  <si>
    <t>JOHANNES MARTHINUS</t>
  </si>
  <si>
    <t>b1c2d5e5f1</t>
  </si>
  <si>
    <t>15/02/1815</t>
  </si>
  <si>
    <t>14/01/1816</t>
  </si>
  <si>
    <t xml:space="preserve">ANNA MARGARETHA </t>
  </si>
  <si>
    <t>b1c2d3e2</t>
  </si>
  <si>
    <t>15/09/1776</t>
  </si>
  <si>
    <t>10/05/1778</t>
  </si>
  <si>
    <t>PIETER RUDOLPH</t>
  </si>
  <si>
    <t>b1c2d3e2f1</t>
  </si>
  <si>
    <t>05/07/1795</t>
  </si>
  <si>
    <t>HESTER ELIZABETH</t>
  </si>
  <si>
    <t>15/12/1824</t>
  </si>
  <si>
    <t>MARTHA CATHARINA</t>
  </si>
  <si>
    <t>WOEST</t>
  </si>
  <si>
    <t>P. RETIEF, JAN DU PLESSIS</t>
  </si>
  <si>
    <t>CAREL STEPHANUS</t>
  </si>
  <si>
    <t>b1c5</t>
  </si>
  <si>
    <t>17/08/1802</t>
  </si>
  <si>
    <t>06/05/1804</t>
  </si>
  <si>
    <t>HESTER JOHANNA MAGDALENA CHRISTINA</t>
  </si>
  <si>
    <t>b7c2d6</t>
  </si>
  <si>
    <t>JAN HENDRIK</t>
  </si>
  <si>
    <t>CANGO</t>
  </si>
  <si>
    <t>26/02/1797</t>
  </si>
  <si>
    <t>ZASTRON</t>
  </si>
  <si>
    <t>10/03/1874</t>
  </si>
  <si>
    <t>PHILIPPINA SUSANNA</t>
  </si>
  <si>
    <t>KOTZE</t>
  </si>
  <si>
    <t>16/05/1798</t>
  </si>
  <si>
    <t>18/06/1869</t>
  </si>
  <si>
    <t>ZASTRON?</t>
  </si>
  <si>
    <t>ABRAHAM FREDERIK</t>
  </si>
  <si>
    <t>b1c4d3e1</t>
  </si>
  <si>
    <t>09/11/1807</t>
  </si>
  <si>
    <t>05/07/1828</t>
  </si>
  <si>
    <t>10/07/1828</t>
  </si>
  <si>
    <t>CORNELIA MARIA SOPHIA</t>
  </si>
  <si>
    <t>ELOFF</t>
  </si>
  <si>
    <t>18/03/1808</t>
  </si>
  <si>
    <t>b1c4d3</t>
  </si>
  <si>
    <t>27/01/1782</t>
  </si>
  <si>
    <t>JONKER</t>
  </si>
  <si>
    <t>08/04/1808</t>
  </si>
  <si>
    <t>FREDERIK FRANCOIS</t>
  </si>
  <si>
    <t>03/08/1817</t>
  </si>
  <si>
    <t>24/08/1821</t>
  </si>
  <si>
    <t>HESTER REGINA</t>
  </si>
  <si>
    <t>DOLPHINA GEERTRUYDA</t>
  </si>
  <si>
    <t>MARTHINUS JACOBUS JURGEN</t>
  </si>
  <si>
    <t>12/01/1821</t>
  </si>
  <si>
    <t>115/07/1821</t>
  </si>
  <si>
    <t>MAGDALENA MARGARETHA ELISABETH</t>
  </si>
  <si>
    <t>DORFLING</t>
  </si>
  <si>
    <t>JACOB BERNARD</t>
  </si>
  <si>
    <t>b4</t>
  </si>
  <si>
    <t>12/12/1790</t>
  </si>
  <si>
    <t xml:space="preserve">ISABELLA CATHARINA MARIA </t>
  </si>
  <si>
    <t>b1c3d6e10f1</t>
  </si>
  <si>
    <t>12/04/1801</t>
  </si>
  <si>
    <t>DREYER</t>
  </si>
  <si>
    <t>CHRISTIAAN LOURENS SR</t>
  </si>
  <si>
    <t>b4c1d3</t>
  </si>
  <si>
    <t>16/08/1787</t>
  </si>
  <si>
    <t>03/07/1788</t>
  </si>
  <si>
    <t>16/08/1807</t>
  </si>
  <si>
    <t>CHRISTINA</t>
  </si>
  <si>
    <t>b2c1d4e2f1</t>
  </si>
  <si>
    <t>10/02/1793</t>
  </si>
  <si>
    <t>04/05/1851</t>
  </si>
  <si>
    <t>SUSANNA CATHARINA</t>
  </si>
  <si>
    <t xml:space="preserve"> </t>
  </si>
  <si>
    <t xml:space="preserve">CHRISTIAAN </t>
  </si>
  <si>
    <t>b4c1d3e4</t>
  </si>
  <si>
    <t>19/08/1814</t>
  </si>
  <si>
    <t>23/04/1815</t>
  </si>
  <si>
    <t>b1c1d4e6f2</t>
  </si>
  <si>
    <t xml:space="preserve">DREYER </t>
  </si>
  <si>
    <t>JOHANNES PHILIPPUS</t>
  </si>
  <si>
    <t>b4c1d4e4</t>
  </si>
  <si>
    <t>21/09/1823</t>
  </si>
  <si>
    <t>08/02/1824</t>
  </si>
  <si>
    <t>SUSANNA JACOBA</t>
  </si>
  <si>
    <t>b3c1d10e2</t>
  </si>
  <si>
    <t>LUCAS CORNELIS</t>
  </si>
  <si>
    <t>b4c1d3e7</t>
  </si>
  <si>
    <t>10/12/1820</t>
  </si>
  <si>
    <t>29/07/1821</t>
  </si>
  <si>
    <t>31/05/1880</t>
  </si>
  <si>
    <t>1808/1839</t>
  </si>
  <si>
    <t>b4c2d2e1f1g6</t>
  </si>
  <si>
    <t>b4c1d1e3</t>
  </si>
  <si>
    <t>28/01/1819</t>
  </si>
  <si>
    <t>09/09/1838</t>
  </si>
  <si>
    <t>ANNA JACOMINA</t>
  </si>
  <si>
    <t>ROELOF PETRUS GERHARDUS</t>
  </si>
  <si>
    <t>01/12/1793</t>
  </si>
  <si>
    <t>18/07/1874</t>
  </si>
  <si>
    <t>18/07/1814</t>
  </si>
  <si>
    <t>HESTER MARTHA ALETTA</t>
  </si>
  <si>
    <t>b2c4d3e7</t>
  </si>
  <si>
    <t>THOMAS FREDERIK</t>
  </si>
  <si>
    <t>b4c1d1e2</t>
  </si>
  <si>
    <t>22/12/1815</t>
  </si>
  <si>
    <t>05/07/1889</t>
  </si>
  <si>
    <t>31/07/1836</t>
  </si>
  <si>
    <t>SUSANNA JACOBA HENDRIKA ADRIANA</t>
  </si>
  <si>
    <t>b5c2d2e1f2</t>
  </si>
  <si>
    <t>03/11/1821</t>
  </si>
  <si>
    <t>04/06/1881</t>
  </si>
  <si>
    <t>CHRISTINA MARIA</t>
  </si>
  <si>
    <t>HERMAN</t>
  </si>
  <si>
    <t>11/09/1895</t>
  </si>
  <si>
    <t>b3c1d3e2</t>
  </si>
  <si>
    <t>21/06/1810</t>
  </si>
  <si>
    <t>29/04/1812</t>
  </si>
  <si>
    <t>THOMAS FREDERIK HERMANUS</t>
  </si>
  <si>
    <t>b4c1d5e4</t>
  </si>
  <si>
    <t>28/08/1825</t>
  </si>
  <si>
    <t>BOOMPLAATS</t>
  </si>
  <si>
    <t>04/09/1848</t>
  </si>
  <si>
    <t>GEERTRUIDA JACOBA ELISABETH</t>
  </si>
  <si>
    <t>b1c7d9e4</t>
  </si>
  <si>
    <t>NATAL, TRANSORANJE</t>
  </si>
  <si>
    <t>b1c5c12e3</t>
  </si>
  <si>
    <t>18/02/1791</t>
  </si>
  <si>
    <t>ZAR</t>
  </si>
  <si>
    <t>11/05/1812</t>
  </si>
  <si>
    <t>MARIA ELIZABETH</t>
  </si>
  <si>
    <t>16/03/1792</t>
  </si>
  <si>
    <t>06/03/1823</t>
  </si>
  <si>
    <t>05/01/1824</t>
  </si>
  <si>
    <t>a2b7c1d6</t>
  </si>
  <si>
    <t>17/11/1805</t>
  </si>
  <si>
    <t>01/03/1825</t>
  </si>
  <si>
    <t>CORNELIA CATHARINA</t>
  </si>
  <si>
    <t>20/06/1808</t>
  </si>
  <si>
    <t>03/10/1808</t>
  </si>
  <si>
    <t>A.H. POTGIETER, POTCHEFSTROOM</t>
  </si>
  <si>
    <t>03/06/1838</t>
  </si>
  <si>
    <t>b1c7d5e6f2</t>
  </si>
  <si>
    <t>24/06/1804</t>
  </si>
  <si>
    <t>20/01/1895</t>
  </si>
  <si>
    <t>06/11/1831</t>
  </si>
  <si>
    <t>MARIA HENDRIKA</t>
  </si>
  <si>
    <t>BEYERS</t>
  </si>
  <si>
    <t>BAREND CHRISTOFFEL</t>
  </si>
  <si>
    <t>b6c1d10e1f1</t>
  </si>
  <si>
    <t>05/03/1825</t>
  </si>
  <si>
    <t>10/04/1825</t>
  </si>
  <si>
    <t>13/09/1848</t>
  </si>
  <si>
    <t>SUSANNA ALETTA CATHARINA MAGDALENA</t>
  </si>
  <si>
    <t>b7c2d2e8</t>
  </si>
  <si>
    <t>ALETTA MAGDALENA</t>
  </si>
  <si>
    <t>b6c8d6e3f4</t>
  </si>
  <si>
    <t>30/12/1826</t>
  </si>
  <si>
    <t>02/04/1827</t>
  </si>
  <si>
    <t>b6c1d10e2</t>
  </si>
  <si>
    <t>08/10/1871</t>
  </si>
  <si>
    <t>a1b4c1d8e2</t>
  </si>
  <si>
    <t>27/08/1894</t>
  </si>
  <si>
    <t>BROER, JAN DU PLESSIS</t>
  </si>
  <si>
    <t>BAREND JACOBUS GERT WESSEL</t>
  </si>
  <si>
    <t>b6c1d1e17</t>
  </si>
  <si>
    <t>01/021821</t>
  </si>
  <si>
    <t>23/04/1821</t>
  </si>
  <si>
    <t>20/05/1838</t>
  </si>
  <si>
    <t xml:space="preserve">ELSIE JOHANNA </t>
  </si>
  <si>
    <t>HENNING</t>
  </si>
  <si>
    <t>GERBRECHT ELIZABETH L.</t>
  </si>
  <si>
    <t>VAN DER WALT</t>
  </si>
  <si>
    <t>BAREND</t>
  </si>
  <si>
    <t>CASPER JEREMIAS</t>
  </si>
  <si>
    <t>b6c1d4e8</t>
  </si>
  <si>
    <t>04/10/1889</t>
  </si>
  <si>
    <t>ANNA MARIA ETRESIA</t>
  </si>
  <si>
    <t>03/08/1828</t>
  </si>
  <si>
    <t>CHARL FRANCOIS</t>
  </si>
  <si>
    <t>b1c7d5e2f2g1</t>
  </si>
  <si>
    <t>01/05/1823</t>
  </si>
  <si>
    <t>29/06/1898</t>
  </si>
  <si>
    <t>CHRISTINA JACOMINA</t>
  </si>
  <si>
    <t>NIEMAND</t>
  </si>
  <si>
    <t>27/02/1832</t>
  </si>
  <si>
    <t>17/06/1898</t>
  </si>
  <si>
    <t>FRANCOIS JACOB LOUIS</t>
  </si>
  <si>
    <t>b6c1d4e1f6</t>
  </si>
  <si>
    <t>22/10/1821</t>
  </si>
  <si>
    <t>08/03/1840</t>
  </si>
  <si>
    <t>JOHANNA JACOMINA</t>
  </si>
  <si>
    <t>FRANCOIS JACOBUS</t>
  </si>
  <si>
    <t>b1c7d5e2f3</t>
  </si>
  <si>
    <t xml:space="preserve">MAGDALENA MARIA </t>
  </si>
  <si>
    <t>WILKEN</t>
  </si>
  <si>
    <t>20/10/1804</t>
  </si>
  <si>
    <t>FREDERIK</t>
  </si>
  <si>
    <t>b6c1d9</t>
  </si>
  <si>
    <t>15/03/1778</t>
  </si>
  <si>
    <t>17/01/1804</t>
  </si>
  <si>
    <t>b6c1d4e9</t>
  </si>
  <si>
    <t>14/12/1881</t>
  </si>
  <si>
    <t>b6c8d7e10</t>
  </si>
  <si>
    <t>10/05/1808</t>
  </si>
  <si>
    <t>16/101808</t>
  </si>
  <si>
    <t>HELENA</t>
  </si>
  <si>
    <t>b6c1d10e1</t>
  </si>
  <si>
    <t>21/02/1877</t>
  </si>
  <si>
    <t>b1c5d6e3</t>
  </si>
  <si>
    <t>b6c1d1e10</t>
  </si>
  <si>
    <t>21/10/1804</t>
  </si>
  <si>
    <t>CATHARINA HELENA</t>
  </si>
  <si>
    <t>29/07/1810</t>
  </si>
  <si>
    <t>29/04/1878</t>
  </si>
  <si>
    <t>NATAL, TRANSORANJE, RUSTENBURG</t>
  </si>
  <si>
    <t>JAN HARM PIETER IGNATIUS MICHAEL</t>
  </si>
  <si>
    <t>b6c1d4e1</t>
  </si>
  <si>
    <t>16/12/1792</t>
  </si>
  <si>
    <t>02/12/1810</t>
  </si>
  <si>
    <t>b6c8d7e3</t>
  </si>
  <si>
    <t>01/09/1794</t>
  </si>
  <si>
    <t>03/10/1851</t>
  </si>
  <si>
    <t>05/05/1852</t>
  </si>
  <si>
    <t>JAN HARMEN PIETER IGNATIUS MICHAEL</t>
  </si>
  <si>
    <t>b6c1d4e1f2</t>
  </si>
  <si>
    <t>08/08/1814</t>
  </si>
  <si>
    <t>29/01/1815</t>
  </si>
  <si>
    <t>07/12/1873</t>
  </si>
  <si>
    <t>05/02/1832</t>
  </si>
  <si>
    <t>14/04/1811</t>
  </si>
  <si>
    <t>JOSEPH ALBERTUS</t>
  </si>
  <si>
    <t>b1c7d5e2f2</t>
  </si>
  <si>
    <t>09/08/1800</t>
  </si>
  <si>
    <t>07/09/1800</t>
  </si>
  <si>
    <t xml:space="preserve">JEANETTA HELENA MARTHA </t>
  </si>
  <si>
    <t>a1b3c6d8e4</t>
  </si>
  <si>
    <t>08/09/1806</t>
  </si>
  <si>
    <t>05/04/1807</t>
  </si>
  <si>
    <t>03/01/1869</t>
  </si>
  <si>
    <t>HESTER MARGARETHA</t>
  </si>
  <si>
    <t>ZAAYMAN</t>
  </si>
  <si>
    <t>02/05/1836</t>
  </si>
  <si>
    <t>31/01/1879</t>
  </si>
  <si>
    <t xml:space="preserve">HESTER CATHARINA </t>
  </si>
  <si>
    <t>LEONARD</t>
  </si>
  <si>
    <t>LOURENS ANDRIES STEPHANUS</t>
  </si>
  <si>
    <t>b6c1d4e1f1</t>
  </si>
  <si>
    <t>11/08/1811</t>
  </si>
  <si>
    <t>22/03/1812</t>
  </si>
  <si>
    <t>04/03/1890</t>
  </si>
  <si>
    <t>07/11/1830</t>
  </si>
  <si>
    <t>b6c8d7e2f1</t>
  </si>
  <si>
    <t>29/11/1813</t>
  </si>
  <si>
    <t>b6c1d1e11</t>
  </si>
  <si>
    <t>16/06/1806</t>
  </si>
  <si>
    <t>19/10/1806</t>
  </si>
  <si>
    <t>SOUTPANSLAAGTE</t>
  </si>
  <si>
    <t>19/03/1870</t>
  </si>
  <si>
    <t>ANNA MAGDALENA SOPHIA FRANCINA</t>
  </si>
  <si>
    <t>06/02/1831</t>
  </si>
  <si>
    <t>SUSANNA CATHARINA PETRONELLA</t>
  </si>
  <si>
    <t>11/03/1814</t>
  </si>
  <si>
    <t>23/03/1870</t>
  </si>
  <si>
    <t>b6c1d4e2</t>
  </si>
  <si>
    <t>23/02/1794</t>
  </si>
  <si>
    <t>04/10/1813</t>
  </si>
  <si>
    <t>CATHARINA LEVINA</t>
  </si>
  <si>
    <t>b6c1d1e6</t>
  </si>
  <si>
    <t>09/08/1795</t>
  </si>
  <si>
    <t>LOURENS STEPHANUS SR</t>
  </si>
  <si>
    <t>b6c1d1e7</t>
  </si>
  <si>
    <t>04/02/1846</t>
  </si>
  <si>
    <t>08/02/877</t>
  </si>
  <si>
    <t>11/03/1820</t>
  </si>
  <si>
    <t>b7c2d5</t>
  </si>
  <si>
    <t>04/10/1800</t>
  </si>
  <si>
    <t>NATAL, RUSTENBURG</t>
  </si>
  <si>
    <t>PIETER GERT WESSEL</t>
  </si>
  <si>
    <t>b6c1d4e2f4</t>
  </si>
  <si>
    <t>26/02/1820</t>
  </si>
  <si>
    <t>03/07/1820</t>
  </si>
  <si>
    <t>CONCENTRATION CAMP, POTCHEFSTROOM</t>
  </si>
  <si>
    <t>22/04/1838</t>
  </si>
  <si>
    <t>SOPHIA MARGARETHA ELISABETH</t>
  </si>
  <si>
    <t>21/06/1821</t>
  </si>
  <si>
    <t>PIETER IGNATIUS</t>
  </si>
  <si>
    <t>b6c1d4e3</t>
  </si>
  <si>
    <t>25/09/1796</t>
  </si>
  <si>
    <t>15/07/1879</t>
  </si>
  <si>
    <t>ENGELA PETRONELLA</t>
  </si>
  <si>
    <t>b6c1d1e8</t>
  </si>
  <si>
    <t>06/04/1800</t>
  </si>
  <si>
    <t>A.H. POTGIETER/JAN DU PLESSIS</t>
  </si>
  <si>
    <t xml:space="preserve">DU PLESSIS </t>
  </si>
  <si>
    <t>PIETER THEUNIS CHRISTIAAN</t>
  </si>
  <si>
    <t>b6c1d1e7f2</t>
  </si>
  <si>
    <t>24/05/1824</t>
  </si>
  <si>
    <t>22/08/1824</t>
  </si>
  <si>
    <t>29/04/1890</t>
  </si>
  <si>
    <t>13/06/1843</t>
  </si>
  <si>
    <t>18/05/1844</t>
  </si>
  <si>
    <t>PIETER WILLEM ABRAHAM</t>
  </si>
  <si>
    <t>b6c1d1e9f1</t>
  </si>
  <si>
    <t>23/08/1825</t>
  </si>
  <si>
    <t xml:space="preserve">HESTER SOFIA </t>
  </si>
  <si>
    <t>b1c7d4e6</t>
  </si>
  <si>
    <t>05/07/1783</t>
  </si>
  <si>
    <t>22/03/1801</t>
  </si>
  <si>
    <t xml:space="preserve">ELISABETH HELENA </t>
  </si>
  <si>
    <t>18/12/1833</t>
  </si>
  <si>
    <t>b6c1d1e3</t>
  </si>
  <si>
    <t>15/10/1876</t>
  </si>
  <si>
    <t>04/10/1824</t>
  </si>
  <si>
    <t>KLOPPERS</t>
  </si>
  <si>
    <t>b7c2d8</t>
  </si>
  <si>
    <t>04/09/1807</t>
  </si>
  <si>
    <t>05/12/1875</t>
  </si>
  <si>
    <t>WILLEM JACOBUS IGNATIUS MICHIEL</t>
  </si>
  <si>
    <t>b6c1d10e10</t>
  </si>
  <si>
    <t>13/04/1819</t>
  </si>
  <si>
    <t>28/07/1819</t>
  </si>
  <si>
    <t xml:space="preserve">MARIA CATHARINA </t>
  </si>
  <si>
    <t>b4c1d1e9f1</t>
  </si>
  <si>
    <t>WYNAND LOUW</t>
  </si>
  <si>
    <t>b1c5d16e4</t>
  </si>
  <si>
    <t>16/10/1803</t>
  </si>
  <si>
    <t>23/10/1865</t>
  </si>
  <si>
    <t>CLANWILLIAM</t>
  </si>
  <si>
    <t>03/03/1833</t>
  </si>
  <si>
    <t xml:space="preserve">MARIA JACOBA </t>
  </si>
  <si>
    <t>b8c6d1e2</t>
  </si>
  <si>
    <t>09/10/1814</t>
  </si>
  <si>
    <t>a2b6c8</t>
  </si>
  <si>
    <t>25/04/1824</t>
  </si>
  <si>
    <t>12/07/1824</t>
  </si>
  <si>
    <t>ELISABETH JOHANNA ISABELLA FRANCINA</t>
  </si>
  <si>
    <t>MAY 1838</t>
  </si>
  <si>
    <t>BLOEMFONTIEN</t>
  </si>
  <si>
    <t>CHRISTOFFEL CORNELIS</t>
  </si>
  <si>
    <t>a2b9c1</t>
  </si>
  <si>
    <t>03/09/1809</t>
  </si>
  <si>
    <t>MARGARETHA SOPHIA JOHANNA</t>
  </si>
  <si>
    <t>b6c5d7</t>
  </si>
  <si>
    <t>02/02/1806</t>
  </si>
  <si>
    <t>CORNELIS JOHANNES FREDERIK</t>
  </si>
  <si>
    <t>a2b8c2</t>
  </si>
  <si>
    <t>03/12/1809</t>
  </si>
  <si>
    <t>19/07/1871</t>
  </si>
  <si>
    <t>08/07/1837</t>
  </si>
  <si>
    <t>CORNELIS MICHIEL SR</t>
  </si>
  <si>
    <t>a2b6</t>
  </si>
  <si>
    <t>27/12/1853</t>
  </si>
  <si>
    <t>HENDRINA CECILIA</t>
  </si>
  <si>
    <t>CORNELIS MICHIEL JR</t>
  </si>
  <si>
    <t>a2b6c2</t>
  </si>
  <si>
    <t>20/04/1777</t>
  </si>
  <si>
    <t>07/10/1833</t>
  </si>
  <si>
    <t>b6c2d5e2</t>
  </si>
  <si>
    <t>02/03/1816</t>
  </si>
  <si>
    <t>CORNELIS WILLEM</t>
  </si>
  <si>
    <t>a2b10c2</t>
  </si>
  <si>
    <t>26/12/1813</t>
  </si>
  <si>
    <t>13/02/1814</t>
  </si>
  <si>
    <t>JOHANNA MARGARETHA JACOBA SUSARA</t>
  </si>
  <si>
    <t>DIRK WOUTER SR</t>
  </si>
  <si>
    <t>06/12/1789</t>
  </si>
  <si>
    <t>27/10/1868</t>
  </si>
  <si>
    <t>09/10/1811</t>
  </si>
  <si>
    <t xml:space="preserve">CORNELIA SUSANNA </t>
  </si>
  <si>
    <t>ROUX</t>
  </si>
  <si>
    <t>23/10/1868</t>
  </si>
  <si>
    <t>BLOED RIVER, KEER TERUG KOLONIE TOE</t>
  </si>
  <si>
    <t>DIRK WOUTER JR</t>
  </si>
  <si>
    <t>a2b10c4</t>
  </si>
  <si>
    <t>16/11/1817</t>
  </si>
  <si>
    <t>01/08/1889</t>
  </si>
  <si>
    <t xml:space="preserve">MARIA LOUISA </t>
  </si>
  <si>
    <t>BEUAFORT</t>
  </si>
  <si>
    <t>27/06/1864</t>
  </si>
  <si>
    <t>RACHEL ELISABETH LASYA</t>
  </si>
  <si>
    <t>PIETERSEN</t>
  </si>
  <si>
    <t>09/11/1892</t>
  </si>
  <si>
    <t>GERHARDUS ANDRIES</t>
  </si>
  <si>
    <t>a2b17</t>
  </si>
  <si>
    <t>17/10/1802</t>
  </si>
  <si>
    <t>06/07/1822</t>
  </si>
  <si>
    <t>ELSJE JOHANNA MAGDALENA</t>
  </si>
  <si>
    <t>a1b3c9</t>
  </si>
  <si>
    <t>15/01/1775</t>
  </si>
  <si>
    <t>14/02/1796</t>
  </si>
  <si>
    <t>b6c1d1</t>
  </si>
  <si>
    <t>13/04/1760</t>
  </si>
  <si>
    <t>05/05/1835</t>
  </si>
  <si>
    <t>a1b3c5d1</t>
  </si>
  <si>
    <t>23/06/1795</t>
  </si>
  <si>
    <t>08/07/1845</t>
  </si>
  <si>
    <t>ANNA MARIA MARGRITHA</t>
  </si>
  <si>
    <t>PELSER</t>
  </si>
  <si>
    <t>LEENDERT HENDRIK</t>
  </si>
  <si>
    <t>a2b9</t>
  </si>
  <si>
    <t>08/02/1786</t>
  </si>
  <si>
    <t>23/09/1862</t>
  </si>
  <si>
    <t>05/06/1808</t>
  </si>
  <si>
    <t>ESTERHUIZEN</t>
  </si>
  <si>
    <t>06/03/1819</t>
  </si>
  <si>
    <t>15/06/1840</t>
  </si>
  <si>
    <t>HOUGH</t>
  </si>
  <si>
    <t>PIETER HENDRIK RUDOLPH</t>
  </si>
  <si>
    <t>a2b10c3</t>
  </si>
  <si>
    <t>02/04/1837</t>
  </si>
  <si>
    <t xml:space="preserve">MARTHA CHRISTINA C </t>
  </si>
  <si>
    <t>b4c1d5e4f7g1</t>
  </si>
  <si>
    <t>21/06/1824</t>
  </si>
  <si>
    <t>12/10/1881</t>
  </si>
  <si>
    <t>08/05/1846</t>
  </si>
  <si>
    <t>20/12/1824</t>
  </si>
  <si>
    <t>18/02/1881</t>
  </si>
  <si>
    <t>ONDER-BOESMANSRIVIER</t>
  </si>
  <si>
    <t>BAREND GERHARDUS</t>
  </si>
  <si>
    <t>b6c4d2e6f8</t>
  </si>
  <si>
    <t>20/06/1813</t>
  </si>
  <si>
    <t>05/09/1813</t>
  </si>
  <si>
    <t>14/01/1892</t>
  </si>
  <si>
    <t>WILHELMINA GEZINA</t>
  </si>
  <si>
    <t>LEMOENSTROOM</t>
  </si>
  <si>
    <t>09/09/1894</t>
  </si>
  <si>
    <t>CASPER PHILIPPUS</t>
  </si>
  <si>
    <t>b6c4d2e6f5</t>
  </si>
  <si>
    <t>GEERTRUIDA CATHARINA SUSANNA</t>
  </si>
  <si>
    <t>b2c2d2e5</t>
  </si>
  <si>
    <t>15/09/1811</t>
  </si>
  <si>
    <t>23/10/1811</t>
  </si>
  <si>
    <t>NATAL, WINBURG</t>
  </si>
  <si>
    <t>16/06/1838</t>
  </si>
  <si>
    <t>WILLEMIEN PETRONELLA CHRISTINA</t>
  </si>
  <si>
    <t>WYK</t>
  </si>
  <si>
    <t>DISTRIK</t>
  </si>
  <si>
    <t>SWARTBERG</t>
  </si>
  <si>
    <t>SWARTRUGGENS</t>
  </si>
  <si>
    <t>TARKA</t>
  </si>
  <si>
    <t>ONDERDUIWENHOKS RIVER</t>
  </si>
  <si>
    <t>GAMTOOS</t>
  </si>
  <si>
    <t>BEAUFORT-WES</t>
  </si>
  <si>
    <t>NUWEVELD</t>
  </si>
  <si>
    <t>ONDER-SEEKOEISRIVIER</t>
  </si>
  <si>
    <t>BO-BOESMANSRIVIER</t>
  </si>
  <si>
    <t>BAVIAANSRIVIER</t>
  </si>
  <si>
    <t>LANGEBERG</t>
  </si>
  <si>
    <t>ONDER-RIVERSONDEREND</t>
  </si>
  <si>
    <t>OOS-RIETRIVIER</t>
  </si>
  <si>
    <t>KOONAP</t>
  </si>
  <si>
    <t>BREEDERIVIER</t>
  </si>
  <si>
    <t>UITVLUGT</t>
  </si>
  <si>
    <t>WINTERVELD</t>
  </si>
  <si>
    <t>AGTER-SNEEUBERG</t>
  </si>
  <si>
    <t>MOSSELBANKSRIVIER</t>
  </si>
  <si>
    <t>KOUP</t>
  </si>
  <si>
    <t>VISRIVIER</t>
  </si>
  <si>
    <t>KLAAS SMITSRIVIER</t>
  </si>
  <si>
    <t>SWAGERSHOEK</t>
  </si>
  <si>
    <t>BRUINTJIESHOOGTE</t>
  </si>
  <si>
    <t>KLEIN-ROGGEVELD</t>
  </si>
  <si>
    <t>VOOR-KOGMANSKLOOF</t>
  </si>
  <si>
    <t>NUWE HANTAM</t>
  </si>
  <si>
    <t>WINTERHOEK</t>
  </si>
  <si>
    <t>OP-SNEEUBERG</t>
  </si>
  <si>
    <t>BO-DUIVENHOKSRIVIER</t>
  </si>
  <si>
    <t>VALSCHRIVIER</t>
  </si>
  <si>
    <t>WINTERBERG</t>
  </si>
  <si>
    <t>ONDER-DUIVENHOKSRIVIER</t>
  </si>
  <si>
    <t>TRADOUW</t>
  </si>
  <si>
    <t>LA DAUPHINE</t>
  </si>
  <si>
    <t>ROGGEVELD</t>
  </si>
  <si>
    <t>DANIEL JOHANNES LODEWICUS HERMANUS</t>
  </si>
  <si>
    <t>b6c4d2e10</t>
  </si>
  <si>
    <t>KANGO</t>
  </si>
  <si>
    <t>WEENEN, POTCHEFSTROOM</t>
  </si>
  <si>
    <t>b4c2d1e3f8</t>
  </si>
  <si>
    <t>21/10/1819</t>
  </si>
  <si>
    <t>STERKFONTEIN</t>
  </si>
  <si>
    <t>12/01/1889</t>
  </si>
  <si>
    <t xml:space="preserve">MARTHA JOHANNA SUSANNA </t>
  </si>
  <si>
    <t>b1c9d14e3f6</t>
  </si>
  <si>
    <t>12/10/1825</t>
  </si>
  <si>
    <t>20/07/1898</t>
  </si>
  <si>
    <t>b6c4d2e6f1g1</t>
  </si>
  <si>
    <t>09/04/1813</t>
  </si>
  <si>
    <t>19/09/1813</t>
  </si>
  <si>
    <t>05/05/1833</t>
  </si>
  <si>
    <t>a1b5c8d2e3</t>
  </si>
  <si>
    <t>15/07/1850</t>
  </si>
  <si>
    <t>CORNELIA JOHANNA HENDRINA</t>
  </si>
  <si>
    <t>b2c1d2e2f3</t>
  </si>
  <si>
    <t>24/01/1807</t>
  </si>
  <si>
    <t>23/08/1807</t>
  </si>
  <si>
    <t>23/07/1874</t>
  </si>
  <si>
    <t>DOROTHEA ELISABETH MARIA</t>
  </si>
  <si>
    <t>GEYER</t>
  </si>
  <si>
    <t>16/03/1840</t>
  </si>
  <si>
    <t>SUSANNA CATHARINA JOHANNA MAGDALENA</t>
  </si>
  <si>
    <t>JOHANNES LODEWICUS</t>
  </si>
  <si>
    <t>JOHANNES PETRUS</t>
  </si>
  <si>
    <t>b4c2d1e3</t>
  </si>
  <si>
    <t>28/02/1802</t>
  </si>
  <si>
    <t xml:space="preserve">ANNA MARTHA ELISABETH </t>
  </si>
  <si>
    <t>HERBST</t>
  </si>
  <si>
    <t>06/10/1787</t>
  </si>
  <si>
    <t>b6c4d2e10f1</t>
  </si>
  <si>
    <t>08/05/1803</t>
  </si>
  <si>
    <t>b6c1d3e1</t>
  </si>
  <si>
    <t>25/04/1807</t>
  </si>
  <si>
    <t>b4c1d5e4f3</t>
  </si>
  <si>
    <t>03/05/1795</t>
  </si>
  <si>
    <t>18/04/1819</t>
  </si>
  <si>
    <t>b4c2d1e3f3</t>
  </si>
  <si>
    <t>28/08/1805</t>
  </si>
  <si>
    <t>CATHARINA MAGDALENA</t>
  </si>
  <si>
    <t>NORTIER</t>
  </si>
  <si>
    <t>PIETER DANIEL ANDREAS SALOMON</t>
  </si>
  <si>
    <t>b6c4d2e10f5</t>
  </si>
  <si>
    <t>01/07/1807</t>
  </si>
  <si>
    <t>19/08/1809</t>
  </si>
  <si>
    <t>TZANEEN</t>
  </si>
  <si>
    <t>05/10/1889</t>
  </si>
  <si>
    <t>LOUISA JOHANNA MARGARETHA</t>
  </si>
  <si>
    <t>FEBRUARY 1836</t>
  </si>
  <si>
    <t>WILHELMINA PETRONELLA CHRISTINA</t>
  </si>
  <si>
    <t>b5c3d7</t>
  </si>
  <si>
    <t>27/08/1809</t>
  </si>
  <si>
    <t>GEERTRUIDA ALETTA</t>
  </si>
  <si>
    <t>b4c1d5e4f7</t>
  </si>
  <si>
    <t>04/11/1802</t>
  </si>
  <si>
    <t>10/04/1803</t>
  </si>
  <si>
    <t>18/08/1875</t>
  </si>
  <si>
    <t>21/08/1823</t>
  </si>
  <si>
    <t>URSULA MAGDALENA</t>
  </si>
  <si>
    <t>14/09/1807</t>
  </si>
  <si>
    <t>OCTOBER 1847</t>
  </si>
  <si>
    <t>14/12/1848</t>
  </si>
  <si>
    <t>SCHEEPERS</t>
  </si>
  <si>
    <t>22/09/1817</t>
  </si>
  <si>
    <t>06/10/1855</t>
  </si>
  <si>
    <t>CATHARINA ELISABETH BARBARA</t>
  </si>
  <si>
    <t>BRITZ</t>
  </si>
  <si>
    <t>SALOMON JOHANNES</t>
  </si>
  <si>
    <t>b4c1d5e3f7</t>
  </si>
  <si>
    <t>20/03/1808</t>
  </si>
  <si>
    <t>HESTER ANGENITHA</t>
  </si>
  <si>
    <t>ALBERTUS HENDRIK ADRIAAN</t>
  </si>
  <si>
    <t>b5c7d1e1f4</t>
  </si>
  <si>
    <t>02/10/1810</t>
  </si>
  <si>
    <t>26/11/1810</t>
  </si>
  <si>
    <t>14/03/1885</t>
  </si>
  <si>
    <t>22/03/1836</t>
  </si>
  <si>
    <t>BARBARA JACOMINA MARGARETHA</t>
  </si>
  <si>
    <t>29/08/1816</t>
  </si>
  <si>
    <t>11/09/1879</t>
  </si>
  <si>
    <t>MAGDALENA CATHARINA GESINA</t>
  </si>
  <si>
    <t>28/12/1823</t>
  </si>
  <si>
    <t>09/01/1824</t>
  </si>
  <si>
    <t>19/04.1807</t>
  </si>
  <si>
    <t>BETHULIE</t>
  </si>
  <si>
    <t>28/03/1878</t>
  </si>
  <si>
    <t>b1c6d10e5</t>
  </si>
  <si>
    <t>08/12/1889</t>
  </si>
  <si>
    <t>03/09/1827</t>
  </si>
  <si>
    <t>27/07/1809</t>
  </si>
  <si>
    <t>05/10/1810</t>
  </si>
  <si>
    <t>01/02/1864</t>
  </si>
  <si>
    <t>b6c7d3e6</t>
  </si>
  <si>
    <t>14/05/1804</t>
  </si>
  <si>
    <t>09/09/1804</t>
  </si>
  <si>
    <t>11/09/1873</t>
  </si>
  <si>
    <t>JACOMINA JACOBA</t>
  </si>
  <si>
    <t>CVILJOEN</t>
  </si>
  <si>
    <t>30/10/1808</t>
  </si>
  <si>
    <t>07/10/1845</t>
  </si>
  <si>
    <t>COERTZE</t>
  </si>
  <si>
    <t>27/03/1830</t>
  </si>
  <si>
    <t>17/10/1830</t>
  </si>
  <si>
    <t xml:space="preserve"> 15-08-1901</t>
  </si>
  <si>
    <t>DANIEL PETRUS</t>
  </si>
  <si>
    <t>b6c7d3e10</t>
  </si>
  <si>
    <t>16/12/1814</t>
  </si>
  <si>
    <t>05/02/1815</t>
  </si>
  <si>
    <t>06/09/1884</t>
  </si>
  <si>
    <t>06/07/1835</t>
  </si>
  <si>
    <t>OBERHOLSTER</t>
  </si>
  <si>
    <t>24/06/1817</t>
  </si>
  <si>
    <t>19/04/1858</t>
  </si>
  <si>
    <t>06/06/1859</t>
  </si>
  <si>
    <t>ELIZABETH JOHANNA JACOBA</t>
  </si>
  <si>
    <t xml:space="preserve"> 04/12/1914</t>
  </si>
  <si>
    <t>FRANCOIS ARNOLDUS</t>
  </si>
  <si>
    <t>b6c7d2e3</t>
  </si>
  <si>
    <t>20/11/1791</t>
  </si>
  <si>
    <t>02/03/1822</t>
  </si>
  <si>
    <t>ANNA CHRISTINA</t>
  </si>
  <si>
    <t>02/10/1803</t>
  </si>
  <si>
    <t>06/08/1875</t>
  </si>
  <si>
    <t>b6c7d1e1</t>
  </si>
  <si>
    <t>02/07/1786</t>
  </si>
  <si>
    <t>ELSIE SUSANNA</t>
  </si>
  <si>
    <t>25/04/1787</t>
  </si>
  <si>
    <t>16/02/1788</t>
  </si>
  <si>
    <t>29/11/1862</t>
  </si>
  <si>
    <t>b6c7d1e1f3</t>
  </si>
  <si>
    <t>31/12/1808</t>
  </si>
  <si>
    <t>27/11/1809</t>
  </si>
  <si>
    <t>28/09/1881</t>
  </si>
  <si>
    <t>31/01/1832</t>
  </si>
  <si>
    <t>GEERTRUYDA MARGARETHA ELIZABETH BOTHA</t>
  </si>
  <si>
    <t>17/06/1817</t>
  </si>
  <si>
    <t>24/08/1851</t>
  </si>
  <si>
    <t>16/01/1854</t>
  </si>
  <si>
    <t>RICHMOND</t>
  </si>
  <si>
    <t>05/03/1826</t>
  </si>
  <si>
    <t>RIET RIVER</t>
  </si>
  <si>
    <t>04/08/1857</t>
  </si>
  <si>
    <t>FRANCOIS PETRUS JACOBUS</t>
  </si>
  <si>
    <t>b6c7d3e3</t>
  </si>
  <si>
    <t>30/08/1797</t>
  </si>
  <si>
    <t>21/01/1798</t>
  </si>
  <si>
    <t>MAGDALENA PETRONELLA</t>
  </si>
  <si>
    <t>GERHARDUS JOHANNES</t>
  </si>
  <si>
    <t>b1c6d10e1f2</t>
  </si>
  <si>
    <t>18/09/1817</t>
  </si>
  <si>
    <t>12/10/1817</t>
  </si>
  <si>
    <t>19/04/1899</t>
  </si>
  <si>
    <t>16/07/1836</t>
  </si>
  <si>
    <t>ANNA SOPHIA PRETORIUS</t>
  </si>
  <si>
    <t>28/12/1810</t>
  </si>
  <si>
    <t>23/07/1811</t>
  </si>
  <si>
    <t>VRYBURG</t>
  </si>
  <si>
    <t>18/06/1891</t>
  </si>
  <si>
    <t xml:space="preserve">ADRIANA SALOMINA </t>
  </si>
  <si>
    <t>HENDRIK LODEWIKUS</t>
  </si>
  <si>
    <t>b6c7d3e9</t>
  </si>
  <si>
    <t>KAMDEBO</t>
  </si>
  <si>
    <t>30/05/1813</t>
  </si>
  <si>
    <t>07/04/1859</t>
  </si>
  <si>
    <t>06/02/1817</t>
  </si>
  <si>
    <t>14/02/1863</t>
  </si>
  <si>
    <t>JACOBUS ANDRIES</t>
  </si>
  <si>
    <t>b6c7d3e12</t>
  </si>
  <si>
    <t>01/12/1817</t>
  </si>
  <si>
    <t>23/03/1818</t>
  </si>
  <si>
    <t>15/01/1885</t>
  </si>
  <si>
    <t>HUWELIKSHOF, COLESBERG</t>
  </si>
  <si>
    <t>05/08/1838</t>
  </si>
  <si>
    <t xml:space="preserve">ELIZABETH JOHANNA </t>
  </si>
  <si>
    <t>23/09/1820</t>
  </si>
  <si>
    <t>24/06/1821</t>
  </si>
  <si>
    <t>19/01/1851</t>
  </si>
  <si>
    <t>LOUISA SOPHIA</t>
  </si>
  <si>
    <t>07/04/1834</t>
  </si>
  <si>
    <t>20/04/1835</t>
  </si>
  <si>
    <t>JAN JACOB</t>
  </si>
  <si>
    <t>b6c7d3e11</t>
  </si>
  <si>
    <t>07/10/1816</t>
  </si>
  <si>
    <t>02/10/1887</t>
  </si>
  <si>
    <t>27/08/1837</t>
  </si>
  <si>
    <t>HELENA PETRONELLA</t>
  </si>
  <si>
    <t>18/08/1816</t>
  </si>
  <si>
    <t>06/08/1884</t>
  </si>
  <si>
    <t>JOHANNES HERMANUS (JAN)</t>
  </si>
  <si>
    <t>b6c7d1e1f2</t>
  </si>
  <si>
    <t>08/01/1807</t>
  </si>
  <si>
    <t>27/07/1807</t>
  </si>
  <si>
    <t>b2c4d10</t>
  </si>
  <si>
    <t>27/12/1817</t>
  </si>
  <si>
    <t xml:space="preserve">DU TOIT </t>
  </si>
  <si>
    <t>b1c6d10e1f4</t>
  </si>
  <si>
    <t>28/10/1821</t>
  </si>
  <si>
    <t>10/11/1822</t>
  </si>
  <si>
    <t>17/06/1892</t>
  </si>
  <si>
    <t>SUSARA JOHANNA SUSANNA ELIZABETH</t>
  </si>
  <si>
    <t>09/02/1823</t>
  </si>
  <si>
    <t>25/03/1862</t>
  </si>
  <si>
    <t>04/08/1862</t>
  </si>
  <si>
    <t xml:space="preserve">CATHARINA SUSANNA JOHANNA </t>
  </si>
  <si>
    <t>12/11/1885</t>
  </si>
  <si>
    <t>15/03/1886</t>
  </si>
  <si>
    <t>MARTHA JOHANNA</t>
  </si>
  <si>
    <t>NICOLAAS JOHANNES</t>
  </si>
  <si>
    <t>b5c7d1e1f5</t>
  </si>
  <si>
    <t>16/08/1813</t>
  </si>
  <si>
    <t>02/01/1814</t>
  </si>
  <si>
    <t>21/01/1881</t>
  </si>
  <si>
    <t>08/07/1832</t>
  </si>
  <si>
    <t>SARA JOHANNA JOSINA</t>
  </si>
  <si>
    <t>HANTAM</t>
  </si>
  <si>
    <t>09/10/1816</t>
  </si>
  <si>
    <t>23/07/1859</t>
  </si>
  <si>
    <t>PETRUS HENDRIK STEPHANUS</t>
  </si>
  <si>
    <t>b1c6d10e2f2</t>
  </si>
  <si>
    <t>25/02/1821</t>
  </si>
  <si>
    <t xml:space="preserve"> 26/02/1902</t>
  </si>
  <si>
    <t>16/10/1898</t>
  </si>
  <si>
    <t>KONSENTRASIEKAMP</t>
  </si>
  <si>
    <t>ROELOF PETRUS</t>
  </si>
  <si>
    <t>b1c6d10e2</t>
  </si>
  <si>
    <t>13/11/1796</t>
  </si>
  <si>
    <t>29/05/1880</t>
  </si>
  <si>
    <t>SARA JOHANNA DOROTHEA</t>
  </si>
  <si>
    <t>a2b1c7</t>
  </si>
  <si>
    <t>31/10/1802</t>
  </si>
  <si>
    <t>28/01/1882</t>
  </si>
  <si>
    <t>THOMAS ARNOLDUS</t>
  </si>
  <si>
    <t>b6d7d3</t>
  </si>
  <si>
    <t>10/01/1767</t>
  </si>
  <si>
    <t>17/01/1768</t>
  </si>
  <si>
    <t>14/10/1792</t>
  </si>
  <si>
    <t>MARGARETHA CAROLINA</t>
  </si>
  <si>
    <t>10/03/1773</t>
  </si>
  <si>
    <t>11/02/1810</t>
  </si>
  <si>
    <t>RACHEL GEERTRUY</t>
  </si>
  <si>
    <t>MOMBERG</t>
  </si>
  <si>
    <t>07/11/1790</t>
  </si>
  <si>
    <t>b6c7d3e4</t>
  </si>
  <si>
    <t>26/02/1800</t>
  </si>
  <si>
    <t>30/03/1800</t>
  </si>
  <si>
    <t>24/11/1875</t>
  </si>
  <si>
    <t>08/10/1820</t>
  </si>
  <si>
    <t>27/01/1866</t>
  </si>
  <si>
    <t>01/08/1866</t>
  </si>
  <si>
    <t>ELIZABETH GEERTRUYDA PETRONELLA</t>
  </si>
  <si>
    <t>13/12/1816</t>
  </si>
  <si>
    <t>17/08/1817</t>
  </si>
  <si>
    <t>27/04/1887</t>
  </si>
  <si>
    <t>DUVENHAGE</t>
  </si>
  <si>
    <t>ABRAHAM CHRISTIAAN</t>
  </si>
  <si>
    <t>b1c1</t>
  </si>
  <si>
    <t>17/02/1798</t>
  </si>
  <si>
    <t>SUSANNA MAGDALENA</t>
  </si>
  <si>
    <t>VICTOR</t>
  </si>
  <si>
    <t>b1c4d2e2f8</t>
  </si>
  <si>
    <t>JAN GEORGE</t>
  </si>
  <si>
    <t>b1c1d2</t>
  </si>
  <si>
    <t>26/05/1887</t>
  </si>
  <si>
    <t>13/04/1844</t>
  </si>
  <si>
    <t>b1c3</t>
  </si>
  <si>
    <t>29/11/1800</t>
  </si>
  <si>
    <t>GESINA CHRISTINA REGINA</t>
  </si>
  <si>
    <t>b1c4d2e2f10</t>
  </si>
  <si>
    <t>29/03/1807</t>
  </si>
  <si>
    <t>JOHANNES THEUNIS</t>
  </si>
  <si>
    <t>01/07/1799</t>
  </si>
  <si>
    <t>14/07/1799</t>
  </si>
  <si>
    <t>01/01/1820</t>
  </si>
  <si>
    <t>JANNETJIE</t>
  </si>
  <si>
    <t>b1c4d2e2f9</t>
  </si>
  <si>
    <t>JAMES</t>
  </si>
  <si>
    <t>ERNST HENDRIK</t>
  </si>
  <si>
    <t>b1c9</t>
  </si>
  <si>
    <t>06/11/1816</t>
  </si>
  <si>
    <t>JOACHIMINA ELISABETH CATHARINA</t>
  </si>
  <si>
    <t>31/05/1890</t>
  </si>
  <si>
    <t>05/11/1818</t>
  </si>
  <si>
    <t xml:space="preserve">MARTHA CATHARINA </t>
  </si>
  <si>
    <t>02/03/1898</t>
  </si>
  <si>
    <t>OCTOBER 1839</t>
  </si>
  <si>
    <t xml:space="preserve">PETRUS JOHANNES </t>
  </si>
  <si>
    <t>16/06/1819</t>
  </si>
  <si>
    <t>19/03/1820</t>
  </si>
  <si>
    <t>MOUNTJOY</t>
  </si>
  <si>
    <t xml:space="preserve">HESTER SOPHIA </t>
  </si>
  <si>
    <t>20/06/1840</t>
  </si>
  <si>
    <t>a1b5c8d7e2</t>
  </si>
  <si>
    <t>13/09/1821</t>
  </si>
  <si>
    <t>PHILIPPUS ARNOLDUS</t>
  </si>
  <si>
    <t>02/11/1824</t>
  </si>
  <si>
    <t>20/02/1825</t>
  </si>
  <si>
    <t xml:space="preserve">SAREL JOHANNES </t>
  </si>
  <si>
    <t>b1c3d2</t>
  </si>
  <si>
    <t>22/08/1822</t>
  </si>
  <si>
    <t>11/04/1840</t>
  </si>
  <si>
    <t>A.H. POTGIETER LAER</t>
  </si>
  <si>
    <t>SUSANNA CORNELIA</t>
  </si>
  <si>
    <t>JACOBSZ</t>
  </si>
  <si>
    <t>07/01/1823</t>
  </si>
  <si>
    <t>11/04/1817</t>
  </si>
  <si>
    <t>15/06/1817</t>
  </si>
  <si>
    <t>07/05/1895</t>
  </si>
  <si>
    <t>23/08/1835</t>
  </si>
  <si>
    <t>ELSJE SOPHIA DOROTHEA</t>
  </si>
  <si>
    <t>CORNELIS WILHELMUS</t>
  </si>
  <si>
    <t>20/10/1793</t>
  </si>
  <si>
    <t>08/12/1878</t>
  </si>
  <si>
    <t>FREDERIK CHRISTIAAN</t>
  </si>
  <si>
    <t>b1c6</t>
  </si>
  <si>
    <t>13/12/1801</t>
  </si>
  <si>
    <t>14/0/41823</t>
  </si>
  <si>
    <t>MAGDALNA CATHARINA</t>
  </si>
  <si>
    <t>FREDERIK NICOLAAS</t>
  </si>
  <si>
    <t>b5</t>
  </si>
  <si>
    <t>27/04/1777</t>
  </si>
  <si>
    <t>20/11/1803</t>
  </si>
  <si>
    <t>a1b5c1d3</t>
  </si>
  <si>
    <t xml:space="preserve">ELS </t>
  </si>
  <si>
    <t>10/05/1813</t>
  </si>
  <si>
    <t>29/08/1813</t>
  </si>
  <si>
    <t>WILHELMINA HERMINA ELSIE</t>
  </si>
  <si>
    <t>b1c3d4</t>
  </si>
  <si>
    <t>02/08/1818</t>
  </si>
  <si>
    <t>12/09/1818</t>
  </si>
  <si>
    <t>01/03/1889</t>
  </si>
  <si>
    <t>MAGDALENA MARTHA</t>
  </si>
  <si>
    <t>ADRIAAN STEPHANUS</t>
  </si>
  <si>
    <t>a4b2c3d5</t>
  </si>
  <si>
    <t>10/11/1815</t>
  </si>
  <si>
    <t>04/09/1816</t>
  </si>
  <si>
    <t>07/08/1836</t>
  </si>
  <si>
    <t>ANNA CATHARINA JOHANNA</t>
  </si>
  <si>
    <t>a4b3c10</t>
  </si>
  <si>
    <t>03/09/1820</t>
  </si>
  <si>
    <t>a4b3c2d9</t>
  </si>
  <si>
    <t>05/06/1818</t>
  </si>
  <si>
    <t>14/09/1818</t>
  </si>
  <si>
    <t>CAROLUS LOURENS</t>
  </si>
  <si>
    <t>a4b3c3d3</t>
  </si>
  <si>
    <t>07/02/1813</t>
  </si>
  <si>
    <t>01/09/1833</t>
  </si>
  <si>
    <t xml:space="preserve">MARIA WILHELMINA HELENA </t>
  </si>
  <si>
    <t>b3c1d9e2</t>
  </si>
  <si>
    <t>11/08/1816</t>
  </si>
  <si>
    <t>EDUARD JOHANNES</t>
  </si>
  <si>
    <t>a2b1c4d5</t>
  </si>
  <si>
    <t>22/10/1799</t>
  </si>
  <si>
    <t>03/08/1823</t>
  </si>
  <si>
    <t xml:space="preserve">BARBARA JACOBA </t>
  </si>
  <si>
    <t>MEINTJIES</t>
  </si>
  <si>
    <t>POTCHEFSTROM</t>
  </si>
  <si>
    <t>GERHARDUS SR</t>
  </si>
  <si>
    <t>a4b2c3</t>
  </si>
  <si>
    <t>15/04/1804</t>
  </si>
  <si>
    <t>b2c14d10e2</t>
  </si>
  <si>
    <t>27/05/1787</t>
  </si>
  <si>
    <t>GERHARDUS JR</t>
  </si>
  <si>
    <t>a4b2c3d8</t>
  </si>
  <si>
    <t>CRADCOCK</t>
  </si>
  <si>
    <t>06/06/1821</t>
  </si>
  <si>
    <t>29/02/1821</t>
  </si>
  <si>
    <t>STANDERTON</t>
  </si>
  <si>
    <t xml:space="preserve"> 11/07/1904</t>
  </si>
  <si>
    <t>23/05/1841</t>
  </si>
  <si>
    <t>ANNA MARIA ELIZABETH</t>
  </si>
  <si>
    <t>a4b2c5d3</t>
  </si>
  <si>
    <t>17/03/1820</t>
  </si>
  <si>
    <t>22/10/1820</t>
  </si>
  <si>
    <t>29/01/1837</t>
  </si>
  <si>
    <t>JOHANNA HENDRIKA CHRISTINA</t>
  </si>
  <si>
    <t>b5c2d3</t>
  </si>
  <si>
    <t>GERRIT JOHANNES JACOBUS</t>
  </si>
  <si>
    <t>a4b2c3d2</t>
  </si>
  <si>
    <t>a2b1c4d7</t>
  </si>
  <si>
    <t>25/10/1807</t>
  </si>
  <si>
    <t>24/06/1832</t>
  </si>
  <si>
    <t>04/06/1837</t>
  </si>
  <si>
    <t>ELSIE</t>
  </si>
  <si>
    <t>a4b2c3d4</t>
  </si>
  <si>
    <t>12/03/1814</t>
  </si>
  <si>
    <t>01/11/1835</t>
  </si>
  <si>
    <t xml:space="preserve">ANNA PETRONELLA JOHANNA </t>
  </si>
  <si>
    <t>b2c14d9e2f5</t>
  </si>
  <si>
    <t>a4b2c3d3</t>
  </si>
  <si>
    <t>ENSLIN</t>
  </si>
  <si>
    <t>b7c1</t>
  </si>
  <si>
    <t>12/06/1800</t>
  </si>
  <si>
    <t>MARICO</t>
  </si>
  <si>
    <t>FAMILY/P.  RETIEF</t>
  </si>
  <si>
    <t>ABRAHAM STEPHANUS</t>
  </si>
  <si>
    <t>b6c2d3e8</t>
  </si>
  <si>
    <t>21/12/1833</t>
  </si>
  <si>
    <t>ANTONIE PHILIPPUS</t>
  </si>
  <si>
    <t>b3c1d2e12</t>
  </si>
  <si>
    <t>L.J. MEYER/JAN DU PLESSIS/P.A. OPPERMAN</t>
  </si>
  <si>
    <t>17/08/1834</t>
  </si>
  <si>
    <t>MICHIELINA CATHARINA</t>
  </si>
  <si>
    <t>BALTHASAR JOHANNES</t>
  </si>
  <si>
    <t>b3c1d2e7</t>
  </si>
  <si>
    <t>02/08/1795</t>
  </si>
  <si>
    <t>28/04/1868</t>
  </si>
  <si>
    <t>b7c3</t>
  </si>
  <si>
    <t>08/09/1805</t>
  </si>
  <si>
    <t>ORANJEVILLE</t>
  </si>
  <si>
    <t>17/05/1853</t>
  </si>
  <si>
    <t>P.A. OPPERMAN</t>
  </si>
  <si>
    <t>b3c2d2e10</t>
  </si>
  <si>
    <t>18/10/1801</t>
  </si>
  <si>
    <t>CAROLUS JOHANNES</t>
  </si>
  <si>
    <t>b3c10d5</t>
  </si>
  <si>
    <t>12/02/1803</t>
  </si>
  <si>
    <t>05/05/1879</t>
  </si>
  <si>
    <t>a3b1c1d8e2</t>
  </si>
  <si>
    <t>03/05/1801</t>
  </si>
  <si>
    <t>17/06/1837</t>
  </si>
  <si>
    <t>IN LAER</t>
  </si>
  <si>
    <t>JACOBA ADRIANA JACOMINA</t>
  </si>
  <si>
    <t>b1c13d8</t>
  </si>
  <si>
    <t>b3c12d1e3</t>
  </si>
  <si>
    <t>CHRISTOFFEL PETRUS JOHANNES</t>
  </si>
  <si>
    <t>b3c10d6</t>
  </si>
  <si>
    <t>16/08/1806</t>
  </si>
  <si>
    <t>b3c8d4e2</t>
  </si>
  <si>
    <t>14/08/1841</t>
  </si>
  <si>
    <t>COERT</t>
  </si>
  <si>
    <t>b3c9d1e5</t>
  </si>
  <si>
    <t>a1b5c3</t>
  </si>
  <si>
    <t>b6c1d1e1f3</t>
  </si>
  <si>
    <t>09/11/1816</t>
  </si>
  <si>
    <t xml:space="preserve"> 12/04/1900</t>
  </si>
  <si>
    <t>01/09/1839</t>
  </si>
  <si>
    <t>MARIA FRANCINA ELISABETH</t>
  </si>
  <si>
    <t>b1c9d14e3f1</t>
  </si>
  <si>
    <t>28/01/1820</t>
  </si>
  <si>
    <t>14/04/1893</t>
  </si>
  <si>
    <t>01/09/1837</t>
  </si>
  <si>
    <t>DANIEL BALTHAZAR</t>
  </si>
  <si>
    <t>b3c1d4e5</t>
  </si>
  <si>
    <t>01/06/1794</t>
  </si>
  <si>
    <t>ANNA JOHANNA MARIA</t>
  </si>
  <si>
    <t>b3c6d3e1</t>
  </si>
  <si>
    <t>06/04/1797</t>
  </si>
  <si>
    <t>DANIEL ELARDUS</t>
  </si>
  <si>
    <t>b3c12d1e1</t>
  </si>
  <si>
    <t>01/02/1804</t>
  </si>
  <si>
    <t>25/05/1878</t>
  </si>
  <si>
    <t>GOUD</t>
  </si>
  <si>
    <t>ENGELA WILHELMINA CHRISTINA</t>
  </si>
  <si>
    <t>b3c12d3e5</t>
  </si>
  <si>
    <t>SUSARA MARGARETHA</t>
  </si>
  <si>
    <t>b3c12d3</t>
  </si>
  <si>
    <t>10/07/1807</t>
  </si>
  <si>
    <t>CORNELIA JACOBA SUSANNA</t>
  </si>
  <si>
    <t>13/11/1791</t>
  </si>
  <si>
    <t>b6c2d2e4</t>
  </si>
  <si>
    <t>02/09/1827</t>
  </si>
  <si>
    <t>HESTER DOROTHEA</t>
  </si>
  <si>
    <t>14/02/1852</t>
  </si>
  <si>
    <t>MARIA HELENA ELISABETH</t>
  </si>
  <si>
    <t>b3c2d2e11</t>
  </si>
  <si>
    <t>28/09/1803</t>
  </si>
  <si>
    <t>GLEN-LYNDEN</t>
  </si>
  <si>
    <t>07/12/1828</t>
  </si>
  <si>
    <t>HESTER ELISABETH LORET</t>
  </si>
  <si>
    <t>JACOB LOURENS CAROLUS</t>
  </si>
  <si>
    <t>b3c9d1e2</t>
  </si>
  <si>
    <t>02/11/1801</t>
  </si>
  <si>
    <t>04/02/1821</t>
  </si>
  <si>
    <t>b3c10d4</t>
  </si>
  <si>
    <t>05/12/1802</t>
  </si>
  <si>
    <t>11/05/1806</t>
  </si>
  <si>
    <t>JACOBUS JOHANNES PETRUS</t>
  </si>
  <si>
    <t>b6c2d2e2f2</t>
  </si>
  <si>
    <t>29/08/1821</t>
  </si>
  <si>
    <t>MARIA MARGARETHA CATHARINA</t>
  </si>
  <si>
    <t>b1c5d6e3f1</t>
  </si>
  <si>
    <t>15/03/1825</t>
  </si>
  <si>
    <t>JACOBUS LOURENS RASMUS</t>
  </si>
  <si>
    <t>b3c9d2e3</t>
  </si>
  <si>
    <t>MARIA ISABELLA</t>
  </si>
  <si>
    <t>13/08/1818</t>
  </si>
  <si>
    <t>27/12/1818</t>
  </si>
  <si>
    <t>b3c2d4e3</t>
  </si>
  <si>
    <t>03/01/1790</t>
  </si>
  <si>
    <t>ADELAIDE</t>
  </si>
  <si>
    <t>11/11/1868</t>
  </si>
  <si>
    <t>28/04/1811</t>
  </si>
  <si>
    <t>HESTER CORNELIA</t>
  </si>
  <si>
    <t>b1c7d10e4</t>
  </si>
  <si>
    <t>07/05/1797</t>
  </si>
  <si>
    <t>JOHANNES JURGEN CORNELIS</t>
  </si>
  <si>
    <t>b3c2d6e11</t>
  </si>
  <si>
    <t>03/05/1812</t>
  </si>
  <si>
    <t xml:space="preserve">HENDRINA JOHANNA </t>
  </si>
  <si>
    <t>ESTERHUYSE</t>
  </si>
  <si>
    <t>JOHANNES LUCAS ALBERTUS</t>
  </si>
  <si>
    <t>b6c1d7e7</t>
  </si>
  <si>
    <t>20/10/1815</t>
  </si>
  <si>
    <t>18/03/1816</t>
  </si>
  <si>
    <t>ANNA MARGARETHA JOHANNA ELISABETH</t>
  </si>
  <si>
    <t>PRINGLE</t>
  </si>
  <si>
    <t>LOURENS ABRAHAM</t>
  </si>
  <si>
    <t>b3c12d1</t>
  </si>
  <si>
    <t>17/12/1780</t>
  </si>
  <si>
    <t>10/08/1800</t>
  </si>
  <si>
    <t xml:space="preserve">HELENA GEERTRUYDA </t>
  </si>
  <si>
    <t>LOUISA FRANCINA</t>
  </si>
  <si>
    <t>22/08/1819</t>
  </si>
  <si>
    <t>LOURENS JOHANNES</t>
  </si>
  <si>
    <t>b3c2d2e9</t>
  </si>
  <si>
    <t>JOHANNA ELISABETH MARIA</t>
  </si>
  <si>
    <t>VAN STRATEN</t>
  </si>
  <si>
    <t>b3c2d6e8</t>
  </si>
  <si>
    <t>07/11/1813</t>
  </si>
  <si>
    <t>GEERTRUIDA CHRISTINA</t>
  </si>
  <si>
    <t>b10c6d7e1</t>
  </si>
  <si>
    <t>b3c5d3e1</t>
  </si>
  <si>
    <t>27/09/1789</t>
  </si>
  <si>
    <t>28/11/1836</t>
  </si>
  <si>
    <t xml:space="preserve">JOHANNA HENDRINA </t>
  </si>
  <si>
    <t>b3c1d4e6</t>
  </si>
  <si>
    <t>13/04/1797</t>
  </si>
  <si>
    <t>14/07/1859</t>
  </si>
  <si>
    <t>MAY 1816</t>
  </si>
  <si>
    <t>CORNELIA DOROTHEA</t>
  </si>
  <si>
    <t>HELENA DOROTHEA</t>
  </si>
  <si>
    <t>b4c1d10e2</t>
  </si>
  <si>
    <t>22/04/1802</t>
  </si>
  <si>
    <t>12/05/1863</t>
  </si>
  <si>
    <t>b3c5d3e3f1</t>
  </si>
  <si>
    <t>06/05/1816</t>
  </si>
  <si>
    <t>04/10/1819</t>
  </si>
  <si>
    <t>25/03/1850</t>
  </si>
  <si>
    <t>MARIA MAGDALENA ELIZABETH</t>
  </si>
  <si>
    <t>APRIL 1838</t>
  </si>
  <si>
    <t>MICHIEL COENRAAD</t>
  </si>
  <si>
    <t>b3c5d3e1f5</t>
  </si>
  <si>
    <t>06/07/1824</t>
  </si>
  <si>
    <t>PETRONELLA DOROTHA MARIA</t>
  </si>
  <si>
    <t>b3c5d3e2</t>
  </si>
  <si>
    <t>23/04/1791</t>
  </si>
  <si>
    <t>AUGUST 1838</t>
  </si>
  <si>
    <t>PETRUS FRANCOIS</t>
  </si>
  <si>
    <t>09/05/1802</t>
  </si>
  <si>
    <t>b3c9d4e6</t>
  </si>
  <si>
    <t>1904/1818</t>
  </si>
  <si>
    <t>b7c1d4e6f2</t>
  </si>
  <si>
    <t>OCTOBER 1841</t>
  </si>
  <si>
    <t>PETRUS RASMUS</t>
  </si>
  <si>
    <t>b3c2d4e5f2</t>
  </si>
  <si>
    <t>21/01/1817</t>
  </si>
  <si>
    <t>24/08/1817</t>
  </si>
  <si>
    <t>08/12/1886</t>
  </si>
  <si>
    <t xml:space="preserve">MARIA ALETTA JOHANNA </t>
  </si>
  <si>
    <t>b4c3d5e1</t>
  </si>
  <si>
    <t>23/07/1818</t>
  </si>
  <si>
    <t>07/10/1818</t>
  </si>
  <si>
    <t>15/08/1897</t>
  </si>
  <si>
    <t>PHILIPPUS JOHANNES LODEWICUS</t>
  </si>
  <si>
    <t>b3c5d3e6</t>
  </si>
  <si>
    <t>11/03/1823</t>
  </si>
  <si>
    <t>SUSANNA SARA JACOBA</t>
  </si>
  <si>
    <t>PIETER ERNST</t>
  </si>
  <si>
    <t>b3c12d4e2</t>
  </si>
  <si>
    <t>18/12/1816</t>
  </si>
  <si>
    <t>KRAAIRIVIER</t>
  </si>
  <si>
    <t>PIETER JOHANNES</t>
  </si>
  <si>
    <t>b3c4d8e?</t>
  </si>
  <si>
    <t>ELISABETH</t>
  </si>
  <si>
    <t xml:space="preserve">ERASMUS </t>
  </si>
  <si>
    <t>b3c5d3e3</t>
  </si>
  <si>
    <t>24/02/1793</t>
  </si>
  <si>
    <t>GROBLERSDAL</t>
  </si>
  <si>
    <t>23/12/1849</t>
  </si>
  <si>
    <t>18/05/1817</t>
  </si>
  <si>
    <t>26/05/1798</t>
  </si>
  <si>
    <t>15/10/1854</t>
  </si>
  <si>
    <t>PIETER RASMUS</t>
  </si>
  <si>
    <t>b3c2d4e2f1</t>
  </si>
  <si>
    <t>06/09/1829</t>
  </si>
  <si>
    <t>a3b1c6d2e6f2</t>
  </si>
  <si>
    <t>10/04/1814</t>
  </si>
  <si>
    <t>MEREBANK</t>
  </si>
  <si>
    <t xml:space="preserve"> 10/09/1901</t>
  </si>
  <si>
    <t>LUCAS MEYER</t>
  </si>
  <si>
    <t>STEPHANUS PETRUS</t>
  </si>
  <si>
    <t>b3c12d4</t>
  </si>
  <si>
    <t>20/04/1788</t>
  </si>
  <si>
    <t>28/01/1847</t>
  </si>
  <si>
    <t>SEPTEMBER 1812</t>
  </si>
  <si>
    <t>MARTHA WILHELMINA ZACHARYA</t>
  </si>
  <si>
    <t>b7c4d5</t>
  </si>
  <si>
    <t>04/05/1846</t>
  </si>
  <si>
    <t>b3c2e13</t>
  </si>
  <si>
    <t>07/08/1831</t>
  </si>
  <si>
    <t>PETRONELLA CHRISTINA</t>
  </si>
  <si>
    <t>ERWEE</t>
  </si>
  <si>
    <t>ANDRIES JOHANNES</t>
  </si>
  <si>
    <t>17/04/1802</t>
  </si>
  <si>
    <t>03/08/1894</t>
  </si>
  <si>
    <t>HUMAN</t>
  </si>
  <si>
    <t>b5c6d8</t>
  </si>
  <si>
    <t>14/06/1895</t>
  </si>
  <si>
    <t>15/06/1838</t>
  </si>
  <si>
    <t>ESPAG</t>
  </si>
  <si>
    <t>HENDRIK JOACHIM JOHANNES</t>
  </si>
  <si>
    <t>b6c1</t>
  </si>
  <si>
    <t>24/09/1817</t>
  </si>
  <si>
    <t>18/01/1818</t>
  </si>
  <si>
    <t>MARIA JACOMINA ELISABETH PETRONELLA</t>
  </si>
  <si>
    <t>JOACHIM CHRISTOFFEL</t>
  </si>
  <si>
    <t>15/12/1782</t>
  </si>
  <si>
    <t>05/08/1810</t>
  </si>
  <si>
    <t>RACHEL CATHARINA</t>
  </si>
  <si>
    <t>a3b1c6d2e2</t>
  </si>
  <si>
    <t>27/04/1783</t>
  </si>
  <si>
    <t>BAREND DANIEL</t>
  </si>
  <si>
    <t>06/01/1839</t>
  </si>
  <si>
    <t>b3c2d5e1f3</t>
  </si>
  <si>
    <t>01/07/1815</t>
  </si>
  <si>
    <t>03/04/1837</t>
  </si>
  <si>
    <t>BANADIE</t>
  </si>
  <si>
    <t>b1c1d5</t>
  </si>
  <si>
    <t>28/10/1816</t>
  </si>
  <si>
    <t>b3c2d6e7</t>
  </si>
  <si>
    <t>BUITENDACH</t>
  </si>
  <si>
    <t>14/10/1821</t>
  </si>
  <si>
    <t>26/12/1821</t>
  </si>
  <si>
    <t>JESAIAS</t>
  </si>
  <si>
    <t>b3c2d6e3f1</t>
  </si>
  <si>
    <t>02/05/1820</t>
  </si>
  <si>
    <t>17/05/1820</t>
  </si>
  <si>
    <t>EVERT</t>
  </si>
  <si>
    <t>DINGANE (24/12/1838)</t>
  </si>
  <si>
    <t>MICHIEL DANIEL PIETER EGBERT</t>
  </si>
  <si>
    <t>20/02/1822</t>
  </si>
  <si>
    <t>10/03/1822</t>
  </si>
  <si>
    <t>FAASEN</t>
  </si>
  <si>
    <t>COENRAAD HENDRIK</t>
  </si>
  <si>
    <t>b3c8d5e1</t>
  </si>
  <si>
    <t>DAL JOSAPHAT</t>
  </si>
  <si>
    <t>13/02/1815</t>
  </si>
  <si>
    <t>03/06/1815</t>
  </si>
  <si>
    <t>24/04/1836</t>
  </si>
  <si>
    <t>11/01/1818</t>
  </si>
  <si>
    <t>15/03/1818</t>
  </si>
  <si>
    <t>MAGALIESBERG (1845)</t>
  </si>
  <si>
    <t>FERREIRA</t>
  </si>
  <si>
    <t>MARTHINUS GERRIT THOMAS</t>
  </si>
  <si>
    <t>b9c2d1</t>
  </si>
  <si>
    <t>27/06/1801</t>
  </si>
  <si>
    <t>MARX</t>
  </si>
  <si>
    <t>b3c7d1</t>
  </si>
  <si>
    <t>16/04/1806</t>
  </si>
  <si>
    <t>MARTHINUS PHILIPPUS CORNELIS</t>
  </si>
  <si>
    <t>28/09/1811</t>
  </si>
  <si>
    <t>17/11/1811</t>
  </si>
  <si>
    <t>14/12/1875</t>
  </si>
  <si>
    <t>MARIA CATHARINA PETRONELLA</t>
  </si>
  <si>
    <t>HOWELL</t>
  </si>
  <si>
    <t>22/06/1819</t>
  </si>
  <si>
    <t>23/10/1877</t>
  </si>
  <si>
    <t>MARTHINUS STEPHANUS</t>
  </si>
  <si>
    <t>b9c1d6</t>
  </si>
  <si>
    <t>02/02/1810</t>
  </si>
  <si>
    <t xml:space="preserve">ALETTA </t>
  </si>
  <si>
    <t>26/03/1815</t>
  </si>
  <si>
    <t>FICK</t>
  </si>
  <si>
    <t>ANTHONIE FREDERIK</t>
  </si>
  <si>
    <t>b6c4d9</t>
  </si>
  <si>
    <t>16/06/1801</t>
  </si>
  <si>
    <t>03/03/1827</t>
  </si>
  <si>
    <t>ALBERTYN</t>
  </si>
  <si>
    <t>BEDROG</t>
  </si>
  <si>
    <t>JOHAN IZAK JACOBUS</t>
  </si>
  <si>
    <t>b6c1d2e2</t>
  </si>
  <si>
    <t>22/09/1816</t>
  </si>
  <si>
    <t>15/02/1817</t>
  </si>
  <si>
    <t>22/09/1892</t>
  </si>
  <si>
    <t>05/05/1837</t>
  </si>
  <si>
    <t>SUSANNA CHRISTINA JOHANNA</t>
  </si>
  <si>
    <t>FOORD</t>
  </si>
  <si>
    <t>SCOTLAND</t>
  </si>
  <si>
    <t>*SPECIAL*</t>
  </si>
  <si>
    <t>10/12/1824</t>
  </si>
  <si>
    <t>HELLMOND</t>
  </si>
  <si>
    <t>BAVIAAANSRIVIER</t>
  </si>
  <si>
    <t>GEERTRUYDA</t>
  </si>
  <si>
    <t>WILLEM IGNATIUS</t>
  </si>
  <si>
    <t>21/11/1825</t>
  </si>
  <si>
    <t>31/03/1845</t>
  </si>
  <si>
    <t>b3c6d12e4</t>
  </si>
  <si>
    <t>GUSTAVUS WILHEMUS</t>
  </si>
  <si>
    <t>b6c2d2e8</t>
  </si>
  <si>
    <t>27/11/1808</t>
  </si>
  <si>
    <t>20/01/1809</t>
  </si>
  <si>
    <t>06/10/1828</t>
  </si>
  <si>
    <t>MAY 1837</t>
  </si>
  <si>
    <t>JACOBUS PAULUS</t>
  </si>
  <si>
    <t>b6c2d2e7</t>
  </si>
  <si>
    <t>26/09/1806</t>
  </si>
  <si>
    <t>25/06/1876</t>
  </si>
  <si>
    <t>LOUIS JOACHIM</t>
  </si>
  <si>
    <t>b6c2d6e5</t>
  </si>
  <si>
    <t>02/05/1819</t>
  </si>
  <si>
    <t>01/10/1835</t>
  </si>
  <si>
    <t>LOUISA JOHANNA</t>
  </si>
  <si>
    <t>VORSTER</t>
  </si>
  <si>
    <t>13/04/1840</t>
  </si>
  <si>
    <t>CATHARINA FREDRIKA</t>
  </si>
  <si>
    <t>WALTMAN</t>
  </si>
  <si>
    <t>PIETER MARTHINUS</t>
  </si>
  <si>
    <t>b6c2d6e2</t>
  </si>
  <si>
    <t>16/08/1812</t>
  </si>
  <si>
    <t>01/04/1898</t>
  </si>
  <si>
    <t>25/12/1834</t>
  </si>
  <si>
    <t>ELSIE ADRIANA</t>
  </si>
  <si>
    <t>14/11/1814</t>
  </si>
  <si>
    <t>MAKWASSIE</t>
  </si>
  <si>
    <t xml:space="preserve"> 04/06/1914</t>
  </si>
  <si>
    <t>STEPHANUS</t>
  </si>
  <si>
    <t>b6c2d6e1</t>
  </si>
  <si>
    <t>02/04/1832</t>
  </si>
  <si>
    <t>STEPHANUS JACOBUS</t>
  </si>
  <si>
    <t>b6c2d3e2</t>
  </si>
  <si>
    <t>12/02/1802</t>
  </si>
  <si>
    <t>08/05/1825</t>
  </si>
  <si>
    <t>SUSANNA GEERTRUYDA</t>
  </si>
  <si>
    <t>ALBERTUS JACOBUS</t>
  </si>
  <si>
    <t>BARTHOLOMEUS JACOBUS</t>
  </si>
  <si>
    <t>b14c3d12</t>
  </si>
  <si>
    <t>11/04/1802</t>
  </si>
  <si>
    <t>DE KOKER</t>
  </si>
  <si>
    <t>06/04/1840</t>
  </si>
  <si>
    <t>b6c1d3e2</t>
  </si>
  <si>
    <t>30/03/1812</t>
  </si>
  <si>
    <t>CECILIA JOHANNA WILHELMINA</t>
  </si>
  <si>
    <t>BENADIE</t>
  </si>
  <si>
    <t>b14c6d2</t>
  </si>
  <si>
    <t>JACOBA SUSANNA</t>
  </si>
  <si>
    <t>SPETEMBER 1837</t>
  </si>
  <si>
    <t>DAVID GERHARDUS</t>
  </si>
  <si>
    <t>b14c3d8e1</t>
  </si>
  <si>
    <t>15/11/1815</t>
  </si>
  <si>
    <t>22/12/1816</t>
  </si>
  <si>
    <t>01/04/1869</t>
  </si>
  <si>
    <t>HEYLA MAGDALENA</t>
  </si>
  <si>
    <t>15/05/1827</t>
  </si>
  <si>
    <t>DECEMBER 1842</t>
  </si>
  <si>
    <t>DAVID JOHANNES</t>
  </si>
  <si>
    <t>b14c2d3e3</t>
  </si>
  <si>
    <t>05/06/1813</t>
  </si>
  <si>
    <t>11/08/1833</t>
  </si>
  <si>
    <t>ANNA CATHARINA MARIA</t>
  </si>
  <si>
    <t>DAVID STEPHANUS SR</t>
  </si>
  <si>
    <t>b14c2d1</t>
  </si>
  <si>
    <t>07/03/1784</t>
  </si>
  <si>
    <t>ISABELLA ELIZABETH</t>
  </si>
  <si>
    <t>b5c4d6</t>
  </si>
  <si>
    <t>16/03/1788</t>
  </si>
  <si>
    <t>23/06/1838</t>
  </si>
  <si>
    <t>DAVID STEPHANUS JR</t>
  </si>
  <si>
    <t>b14c2d1e4</t>
  </si>
  <si>
    <t>13/01/1813</t>
  </si>
  <si>
    <t>28/02/1813</t>
  </si>
  <si>
    <t>D.S FOURIE</t>
  </si>
  <si>
    <t>DAVID WILLEM EZRA</t>
  </si>
  <si>
    <t>b14c3d5e4</t>
  </si>
  <si>
    <t>30/11/1817</t>
  </si>
  <si>
    <t>04/04/1818</t>
  </si>
  <si>
    <t>18/09/1865</t>
  </si>
  <si>
    <t>SUSANNA MARIA ELIZABETH</t>
  </si>
  <si>
    <t xml:space="preserve">FOURIE </t>
  </si>
  <si>
    <t>DIRK BERNARD PETRUS</t>
  </si>
  <si>
    <t>b16c4d8</t>
  </si>
  <si>
    <t>07/07/1815</t>
  </si>
  <si>
    <t>18/01/1835</t>
  </si>
  <si>
    <t>a3b1d6e2e6f4</t>
  </si>
  <si>
    <t>15/10/1886</t>
  </si>
  <si>
    <t>L.J. MEYER</t>
  </si>
  <si>
    <t>DECEMBER 1888</t>
  </si>
  <si>
    <t>HERMANUS</t>
  </si>
  <si>
    <t>b16c3</t>
  </si>
  <si>
    <t>27/02/1774</t>
  </si>
  <si>
    <t>23/11/1800</t>
  </si>
  <si>
    <t xml:space="preserve">ANNA LOUISA </t>
  </si>
  <si>
    <t>25/09/1803</t>
  </si>
  <si>
    <t>JOHANNA MARIA CHARLOTTE</t>
  </si>
  <si>
    <t>HERMANUS CASPARUS JOHANNES</t>
  </si>
  <si>
    <t>b16c3d5</t>
  </si>
  <si>
    <t>11/10/1810</t>
  </si>
  <si>
    <t>a1b5c4d5</t>
  </si>
  <si>
    <t>HERMANUS NICOLAAS</t>
  </si>
  <si>
    <t>b16c4d5</t>
  </si>
  <si>
    <t>13/10/1806</t>
  </si>
  <si>
    <t>b1c11d5e6</t>
  </si>
  <si>
    <t>G.J. RUDOLPH</t>
  </si>
  <si>
    <t>b6c1d3e5</t>
  </si>
  <si>
    <t>13/05/1830</t>
  </si>
  <si>
    <t>ELSJE MAGDALENA JOHANNA</t>
  </si>
  <si>
    <t>b2c3d3e2f3g5</t>
  </si>
  <si>
    <t>JOHANNES LOUIS</t>
  </si>
  <si>
    <t>b16c4d4</t>
  </si>
  <si>
    <t>15/12/1804</t>
  </si>
  <si>
    <t>02/04/1826</t>
  </si>
  <si>
    <t>b5c4d3e4</t>
  </si>
  <si>
    <t>JOSEPH JOHANNES</t>
  </si>
  <si>
    <t>b19c5d2</t>
  </si>
  <si>
    <t>02/04/1795</t>
  </si>
  <si>
    <t>05/06/1882</t>
  </si>
  <si>
    <t>04/06/1820</t>
  </si>
  <si>
    <t>VAN EEDEN</t>
  </si>
  <si>
    <t>b4c7d6e2</t>
  </si>
  <si>
    <t>12/07/1801</t>
  </si>
  <si>
    <t>KAFFERKUILSRIVIER</t>
  </si>
  <si>
    <t>b16c5d2e2</t>
  </si>
  <si>
    <t>09/12/1823</t>
  </si>
  <si>
    <t xml:space="preserve"> 10/01/1920</t>
  </si>
  <si>
    <t>02/06/1845</t>
  </si>
  <si>
    <t>VAN LOGGERENBERG</t>
  </si>
  <si>
    <t>LOUIS JOHANNES</t>
  </si>
  <si>
    <t>b6c1d1e1</t>
  </si>
  <si>
    <t>03/12/1797</t>
  </si>
  <si>
    <t>07/08/1876</t>
  </si>
  <si>
    <t>ALIDA MARIA</t>
  </si>
  <si>
    <t>19/06/1877</t>
  </si>
  <si>
    <t>b6c1d3e3</t>
  </si>
  <si>
    <t>03/06/1881</t>
  </si>
  <si>
    <t>19/04/1835</t>
  </si>
  <si>
    <t>SARA JOHANNES</t>
  </si>
  <si>
    <t>b3c8d1e3</t>
  </si>
  <si>
    <t>SUSANNA MAGDALENA HERCULINA</t>
  </si>
  <si>
    <t>LOIUS LUCAS</t>
  </si>
  <si>
    <t>b16c3d6</t>
  </si>
  <si>
    <t>03/07/1814</t>
  </si>
  <si>
    <t>17/07/1814</t>
  </si>
  <si>
    <t>MARTHA ELIZABETH</t>
  </si>
  <si>
    <t>REYNEKE</t>
  </si>
  <si>
    <t>LOUIS THEUNIS</t>
  </si>
  <si>
    <t>b16c4d2</t>
  </si>
  <si>
    <t>30/10/1802</t>
  </si>
  <si>
    <t>ENGELA ADRIANA ALETTA</t>
  </si>
  <si>
    <t>ONDER-BOESMANSRIVIER and then BO- BOESMANSRIVIER</t>
  </si>
  <si>
    <t>UITENHAGE and then SOMERSET</t>
  </si>
  <si>
    <t>BETWEEN END 1836 AND MARCH 1837</t>
  </si>
  <si>
    <t>GERT J. RUDOLPH or J.S. MARITZ</t>
  </si>
  <si>
    <t>WEENEN, NATAL</t>
  </si>
  <si>
    <t>MARCUS JOHANNES</t>
  </si>
  <si>
    <t>b17c2d1</t>
  </si>
  <si>
    <t>GRAAFF- REINET</t>
  </si>
  <si>
    <t>ANNA CATHARINA LASYA</t>
  </si>
  <si>
    <t>ELIZABETH JOSINA</t>
  </si>
  <si>
    <t>WEIDEMAN</t>
  </si>
  <si>
    <t xml:space="preserve">MARTHINUS JACOBUS </t>
  </si>
  <si>
    <t>b14c2d3e2</t>
  </si>
  <si>
    <t>18/05/1811</t>
  </si>
  <si>
    <t>05/04/1812</t>
  </si>
  <si>
    <t>between 1847-1850</t>
  </si>
  <si>
    <t>24/01/1836</t>
  </si>
  <si>
    <t>HESTER ELIZABETH DOROTHEA</t>
  </si>
  <si>
    <t>before 1842</t>
  </si>
  <si>
    <t>MATTHYS DANIEL</t>
  </si>
  <si>
    <t>b6c1d3e8</t>
  </si>
  <si>
    <t>21/08/1824</t>
  </si>
  <si>
    <t>MARIA WILHELMINA</t>
  </si>
  <si>
    <t xml:space="preserve">PETRUZ JACOBUS </t>
  </si>
  <si>
    <t>b14c2d3e1</t>
  </si>
  <si>
    <t>26/12/1810</t>
  </si>
  <si>
    <t>06/07/1829</t>
  </si>
  <si>
    <t>b16c3d4</t>
  </si>
  <si>
    <t>11/06/1810</t>
  </si>
  <si>
    <t xml:space="preserve">MAGDALENA MARIA SOPHIA </t>
  </si>
  <si>
    <t>b16c4</t>
  </si>
  <si>
    <t>23/05/1797</t>
  </si>
  <si>
    <t>11/05/1777</t>
  </si>
  <si>
    <t>BO- BOESMANRIVIER</t>
  </si>
  <si>
    <t xml:space="preserve">GERT J. RUDOLPH </t>
  </si>
  <si>
    <t>PETRUSSTEPHANUS ZACHARIAS</t>
  </si>
  <si>
    <t>b14c2d1e9</t>
  </si>
  <si>
    <t>24/07/1822</t>
  </si>
  <si>
    <t>22/01/1901</t>
  </si>
  <si>
    <t xml:space="preserve">CECILIA JACOBA </t>
  </si>
  <si>
    <t>VAN DER WESTHUIZEN</t>
  </si>
  <si>
    <t>ALETTA MARIA</t>
  </si>
  <si>
    <t xml:space="preserve">SCHWARTZ </t>
  </si>
  <si>
    <t>PHILIPPUS JACOBUS</t>
  </si>
  <si>
    <t>b15c1d5</t>
  </si>
  <si>
    <t>30/10/1803</t>
  </si>
  <si>
    <t>08/06/1826</t>
  </si>
  <si>
    <t>b1c7d9e1</t>
  </si>
  <si>
    <t>25/03/1872</t>
  </si>
  <si>
    <t xml:space="preserve">CORNELIA </t>
  </si>
  <si>
    <t>UITENHAGE then SOMERSET</t>
  </si>
  <si>
    <t>STAMVADER VAN DIE Fourie- FAMILIE</t>
  </si>
  <si>
    <t>PHILIPPUS RUDOLPH</t>
  </si>
  <si>
    <t>b6c1d3e7</t>
  </si>
  <si>
    <t>21/07/1822</t>
  </si>
  <si>
    <t>ANNA MAGARETHA GERTRUIDA</t>
  </si>
  <si>
    <t>b2c3d3e2f2g1</t>
  </si>
  <si>
    <t>WILLEM ANDRIES JOHANNES</t>
  </si>
  <si>
    <t>b14c3d13</t>
  </si>
  <si>
    <t>21/09/1805</t>
  </si>
  <si>
    <t>b7c3d6e2</t>
  </si>
  <si>
    <t>FRONEMAN</t>
  </si>
  <si>
    <t>CAROLUS ANTONIE FREDERICUS</t>
  </si>
  <si>
    <t>18/07/1805</t>
  </si>
  <si>
    <t xml:space="preserve">GESINA CATHARINA </t>
  </si>
  <si>
    <t>b10c9</t>
  </si>
  <si>
    <t>24/10/1815</t>
  </si>
  <si>
    <t>P.A. OPPERMAN OR LUCAS JOHANNES MEYER OR RETIEF</t>
  </si>
  <si>
    <t>b7</t>
  </si>
  <si>
    <t>26/07/1807</t>
  </si>
  <si>
    <t>15/10/1807</t>
  </si>
  <si>
    <t>12/12/1817</t>
  </si>
  <si>
    <t>DAGGABOERSNEK IN BAVIAANSRIVIER</t>
  </si>
  <si>
    <t>P.A. OPPERMAN OR L.J. MEYER</t>
  </si>
  <si>
    <t>FARM BLOEMHOEK</t>
  </si>
  <si>
    <t>TOOK PART IN BLOOD RIVER</t>
  </si>
  <si>
    <t>JOHANNES COENRAAD JONAS</t>
  </si>
  <si>
    <t>b8</t>
  </si>
  <si>
    <t>20/05/1812</t>
  </si>
  <si>
    <t>06/09/1812</t>
  </si>
  <si>
    <t xml:space="preserve">VEGLAER,NATAL </t>
  </si>
  <si>
    <t>02/11/1835</t>
  </si>
  <si>
    <t>b1c6d2e5f4</t>
  </si>
  <si>
    <t>05/09/1817</t>
  </si>
  <si>
    <t>LUCAN J. MEYER</t>
  </si>
  <si>
    <t>CAREL FREDERIK CHRISTOFFEL</t>
  </si>
  <si>
    <t>b6c10</t>
  </si>
  <si>
    <t>03/09/1811</t>
  </si>
  <si>
    <t>07/10/1811</t>
  </si>
  <si>
    <t>09/06/1901</t>
  </si>
  <si>
    <t>LOUISA GESINA</t>
  </si>
  <si>
    <t>b1c2d4e6f8</t>
  </si>
  <si>
    <t>06/02/1815</t>
  </si>
  <si>
    <t>25/10/1815</t>
  </si>
  <si>
    <t>BEFORE SEPTEMBER 1843</t>
  </si>
  <si>
    <t>NATAL THEN POTCHEFSTROOM</t>
  </si>
  <si>
    <t>WILLEM GEORGE</t>
  </si>
  <si>
    <t>b6c7</t>
  </si>
  <si>
    <t>18/08/1803</t>
  </si>
  <si>
    <t>RIETFONTEIM, HEIDELBERG</t>
  </si>
  <si>
    <t>05/12/1880</t>
  </si>
  <si>
    <t>06/01/1825</t>
  </si>
  <si>
    <t>CATHARINA WILHELMINA FRANCINA</t>
  </si>
  <si>
    <t>b1c2d4e3f7</t>
  </si>
  <si>
    <t>08/08/1812</t>
  </si>
  <si>
    <t>27/12/1812</t>
  </si>
  <si>
    <t>BEFORE 12/06/1837</t>
  </si>
  <si>
    <t>GELDENHUYS</t>
  </si>
  <si>
    <t>a2b3c2</t>
  </si>
  <si>
    <t>07/12/1813</t>
  </si>
  <si>
    <t xml:space="preserve">MARIA ELIZABETH </t>
  </si>
  <si>
    <t>b2c4d5e2f6</t>
  </si>
  <si>
    <t>BEFORE 1844</t>
  </si>
  <si>
    <t xml:space="preserve">NATAL AND THEN CARLETONVILLE </t>
  </si>
  <si>
    <t>GILDENHUIZEN</t>
  </si>
  <si>
    <t>b6c3d5e8f3</t>
  </si>
  <si>
    <t>23/12/1819</t>
  </si>
  <si>
    <t>18/06/1820</t>
  </si>
  <si>
    <t>DEELKRAAL,TRANSVAAL</t>
  </si>
  <si>
    <t>JUNE 1866</t>
  </si>
  <si>
    <t xml:space="preserve">KLEIN-MAGALIESBERG </t>
  </si>
  <si>
    <t>SON OF PIETER ARNOLDUS GILDENHUIZEN WHO WAS BORN IN 1795</t>
  </si>
  <si>
    <t>GEYSER</t>
  </si>
  <si>
    <t>HENDRIK JOSEPHUS</t>
  </si>
  <si>
    <t>b1c10d1e1</t>
  </si>
  <si>
    <t>24/02/1806</t>
  </si>
  <si>
    <t>KANGO (OUDTSHOORN)</t>
  </si>
  <si>
    <t>WIFE'S PARENTS OR BROTHERS</t>
  </si>
  <si>
    <t>NORTHWARDS</t>
  </si>
  <si>
    <t>GERMANY</t>
  </si>
  <si>
    <t>08/10/1827</t>
  </si>
  <si>
    <t>JOHANNA ELIZABETH</t>
  </si>
  <si>
    <t>ANDRIES EVERT STEPHANUS</t>
  </si>
  <si>
    <t>b3c10d1e4</t>
  </si>
  <si>
    <t>07/02/1818</t>
  </si>
  <si>
    <t>01/01/1837</t>
  </si>
  <si>
    <t>05/09/1819</t>
  </si>
  <si>
    <t>AMARENTIA RACHEL DOROTHEA</t>
  </si>
  <si>
    <t xml:space="preserve">GESINA ANNA CHRISTINA </t>
  </si>
  <si>
    <t>b3c2d11e8</t>
  </si>
  <si>
    <t>b3c4d5e5</t>
  </si>
  <si>
    <t>08/10/1797</t>
  </si>
  <si>
    <t>10/05/1829</t>
  </si>
  <si>
    <t>PETRONELLA SUSANNA</t>
  </si>
  <si>
    <t>b2c6d2e3f3</t>
  </si>
  <si>
    <t>03/10/1813</t>
  </si>
  <si>
    <t>JACOB JOSEPH</t>
  </si>
  <si>
    <t>b3c4d1e4f5</t>
  </si>
  <si>
    <t>24/01/1821</t>
  </si>
  <si>
    <t>02/11/1821</t>
  </si>
  <si>
    <t>10/04/1884</t>
  </si>
  <si>
    <t>PETRONALLE ZACHARIA (OR CATHARINA)</t>
  </si>
  <si>
    <t>02/06/1825</t>
  </si>
  <si>
    <t>24/09/1911</t>
  </si>
  <si>
    <t>BEFORE APRIL 1840</t>
  </si>
  <si>
    <t>JACOB MARTHINUS</t>
  </si>
  <si>
    <t>b3c4d1e4</t>
  </si>
  <si>
    <t>23/10/1791</t>
  </si>
  <si>
    <t>06/10/1860</t>
  </si>
  <si>
    <t xml:space="preserve">MARIA (MIETJIE) ELIZABETH </t>
  </si>
  <si>
    <t>b19c5d1</t>
  </si>
  <si>
    <t>13/10/1793</t>
  </si>
  <si>
    <t>GROOT- SWARTBERG</t>
  </si>
  <si>
    <t>BETWEEN 1836 AND JUNE 1837</t>
  </si>
  <si>
    <t>WIDOWED MIETJIE LIVED IN MAGALIESBERG</t>
  </si>
  <si>
    <t>MARTHINUS GERHARDUS</t>
  </si>
  <si>
    <t>b3c10d1e2</t>
  </si>
  <si>
    <t>12/05/1810</t>
  </si>
  <si>
    <t>13/01/ 1811</t>
  </si>
  <si>
    <t>JANSE VAN VURREN</t>
  </si>
  <si>
    <t>b2c4d4e1f5</t>
  </si>
  <si>
    <t>1837/8</t>
  </si>
  <si>
    <t xml:space="preserve">PETRUS ANDRIES </t>
  </si>
  <si>
    <t>b3c10d1</t>
  </si>
  <si>
    <t>14/04/1781</t>
  </si>
  <si>
    <t>25/01/1844</t>
  </si>
  <si>
    <t>SARA JOSINA</t>
  </si>
  <si>
    <t>b2c4d12</t>
  </si>
  <si>
    <t>05/11/1775</t>
  </si>
  <si>
    <t>b10c1</t>
  </si>
  <si>
    <t>03/04.1830</t>
  </si>
  <si>
    <t>HESTER MARIA</t>
  </si>
  <si>
    <t>b3c4d1e4f2</t>
  </si>
  <si>
    <t>20/10/1833</t>
  </si>
  <si>
    <t>HELENA JOSINA</t>
  </si>
  <si>
    <t>BETWEEN AUGUST 1836 AND JUNE 1837</t>
  </si>
  <si>
    <t>J.A. ENSLIN AND LATER PIET RETIEF</t>
  </si>
  <si>
    <t>b3c4d1e1f8</t>
  </si>
  <si>
    <t>04/07/1820</t>
  </si>
  <si>
    <t>10/09/1820</t>
  </si>
  <si>
    <t>b6c6d1e1</t>
  </si>
  <si>
    <t>BEFORE MARCH 1842</t>
  </si>
  <si>
    <t>15/02/1818</t>
  </si>
  <si>
    <t>b1c1d1e6</t>
  </si>
  <si>
    <t>17/10/1813</t>
  </si>
  <si>
    <t>SUSANNA JOSINA</t>
  </si>
  <si>
    <t>05/01/1844</t>
  </si>
  <si>
    <t>23/12/1844</t>
  </si>
  <si>
    <t>VAN BERGH</t>
  </si>
  <si>
    <t>a1b1c2d3</t>
  </si>
  <si>
    <t>J.H. (HANS DONS) DE LANGE</t>
  </si>
  <si>
    <t>GAMTOOSRIVIER</t>
  </si>
  <si>
    <t>b11c2d1</t>
  </si>
  <si>
    <t>20/08/1799</t>
  </si>
  <si>
    <t>22/12/1799</t>
  </si>
  <si>
    <t>MARIA ALETTA</t>
  </si>
  <si>
    <t>06/04/1829</t>
  </si>
  <si>
    <t>JOHANNA DOROTHEA ELIZABETH</t>
  </si>
  <si>
    <t>MEYERS</t>
  </si>
  <si>
    <t>b1c6d2e5f2</t>
  </si>
  <si>
    <t>30/01/1813</t>
  </si>
  <si>
    <t>GRAAF- REINET</t>
  </si>
  <si>
    <t>05/06/1814</t>
  </si>
  <si>
    <t xml:space="preserve">PIET RETIEF (HIS STEP FATHER) </t>
  </si>
  <si>
    <t>ARNOLDUS JACOBUS</t>
  </si>
  <si>
    <t>b3c4d8</t>
  </si>
  <si>
    <t>25/01/1807</t>
  </si>
  <si>
    <t>RIETFONTEIN, BLOEMFONTEIN</t>
  </si>
  <si>
    <t>10/06/1879</t>
  </si>
  <si>
    <t>JANETTA CATHARINA</t>
  </si>
  <si>
    <t>MAGDALENA MARIA DOROTHEA MARGARETHA</t>
  </si>
  <si>
    <t>SUSANNA MARIA MARGARETHA</t>
  </si>
  <si>
    <t>RIETVALLEI</t>
  </si>
  <si>
    <t xml:space="preserve">BAREND CHRISTIAAN </t>
  </si>
  <si>
    <t>b9c3</t>
  </si>
  <si>
    <t>03/04/1784</t>
  </si>
  <si>
    <t>20/05/1804</t>
  </si>
  <si>
    <t xml:space="preserve">HESTER ANTHOINETTE </t>
  </si>
  <si>
    <t>END MARCH 1838</t>
  </si>
  <si>
    <t>b11c2d6</t>
  </si>
  <si>
    <t>08/03/1812</t>
  </si>
  <si>
    <t>07/10/1830</t>
  </si>
  <si>
    <t>MARGARETHA JOHANNA MARIA</t>
  </si>
  <si>
    <t>03/11/1814</t>
  </si>
  <si>
    <t>MORGENZON</t>
  </si>
  <si>
    <t xml:space="preserve">18/07/1877 </t>
  </si>
  <si>
    <t>NATAL AND THEN LATER IN TRANSVAAL</t>
  </si>
  <si>
    <t>HENDRIK BALTHASAR</t>
  </si>
  <si>
    <t>03/02/1821</t>
  </si>
  <si>
    <t>02/07/1821</t>
  </si>
  <si>
    <t>b11c2d3 (or d1?)e1</t>
  </si>
  <si>
    <t>22/09/1823</t>
  </si>
  <si>
    <t>05/07/1901</t>
  </si>
  <si>
    <t>23/10/1843</t>
  </si>
  <si>
    <t>CECILIA JOHANNA</t>
  </si>
  <si>
    <t>b1c6d8e2f4</t>
  </si>
  <si>
    <t>14/08/1880</t>
  </si>
  <si>
    <t>10/09/1831</t>
  </si>
  <si>
    <t>JOHANNES ARNOLDUS</t>
  </si>
  <si>
    <t>28/05/1775</t>
  </si>
  <si>
    <t>03/06/1798</t>
  </si>
  <si>
    <t xml:space="preserve">ANNA MARIA </t>
  </si>
  <si>
    <t>b9c1d1e2</t>
  </si>
  <si>
    <t>19/11/1820</t>
  </si>
  <si>
    <t>b9c4d6</t>
  </si>
  <si>
    <t>19/05/1817</t>
  </si>
  <si>
    <t>29/06/1817</t>
  </si>
  <si>
    <t>BALKFONTEIN, BOTHAVILLE</t>
  </si>
  <si>
    <t>11/09/1901</t>
  </si>
  <si>
    <t>06/09/1840</t>
  </si>
  <si>
    <t>21/11/1821</t>
  </si>
  <si>
    <t>BALKFONTEIN,BOTHAVILLE</t>
  </si>
  <si>
    <t>20/04/1884</t>
  </si>
  <si>
    <t>14/11/1884</t>
  </si>
  <si>
    <t>ADRIANA OCKERLINA</t>
  </si>
  <si>
    <t>POTCHEFSTROOM THEN BOTHAVILLE</t>
  </si>
  <si>
    <t>b11c2d2</t>
  </si>
  <si>
    <t>17/09/1801</t>
  </si>
  <si>
    <t>18/05/1823</t>
  </si>
  <si>
    <t>04/05/2806</t>
  </si>
  <si>
    <t>STEPHANUS GERHARDUS</t>
  </si>
  <si>
    <t>b9c3d4</t>
  </si>
  <si>
    <t>08/08/1813</t>
  </si>
  <si>
    <t>11/04/1814</t>
  </si>
  <si>
    <t>14/11/1819</t>
  </si>
  <si>
    <t>KOPFONTEIN, BOSHOF</t>
  </si>
  <si>
    <t>07/11/1881</t>
  </si>
  <si>
    <t>BEFORE FEBRUARY 1840</t>
  </si>
  <si>
    <t>06/09/1804</t>
  </si>
  <si>
    <t xml:space="preserve">TULBAGH </t>
  </si>
  <si>
    <t>04/03/1805</t>
  </si>
  <si>
    <t>JAN HARMSE</t>
  </si>
  <si>
    <t>b7c6</t>
  </si>
  <si>
    <t>28/04/1814</t>
  </si>
  <si>
    <t>JAKKALSDAM, BLOEMFONTEIN</t>
  </si>
  <si>
    <t>06/09/1857</t>
  </si>
  <si>
    <t>MARIA LOUISA</t>
  </si>
  <si>
    <t>MARAIS</t>
  </si>
  <si>
    <t>CEORT NICOLAAS</t>
  </si>
  <si>
    <t>b6c6d3</t>
  </si>
  <si>
    <t>01/10/1803</t>
  </si>
  <si>
    <t>18/11/1804</t>
  </si>
  <si>
    <t>GROOT-MARICO</t>
  </si>
  <si>
    <t>13/08/1810</t>
  </si>
  <si>
    <t>14/08/1811</t>
  </si>
  <si>
    <t>20/10/1811</t>
  </si>
  <si>
    <t>28/05/1885</t>
  </si>
  <si>
    <t xml:space="preserve">JOHANNA SUSANNA CATHARINA </t>
  </si>
  <si>
    <t>29/11/1840</t>
  </si>
  <si>
    <t>ALETTA JOHANNA CATHARINA</t>
  </si>
  <si>
    <t>15/08/1891</t>
  </si>
  <si>
    <t>DOUW GERBRAND</t>
  </si>
  <si>
    <t>b6c2d2e3</t>
  </si>
  <si>
    <t>30/01/1811</t>
  </si>
  <si>
    <t>29/09/1811</t>
  </si>
  <si>
    <t>28/01/1864</t>
  </si>
  <si>
    <t>NEELTJIE CHRISTINA</t>
  </si>
  <si>
    <t>27/07/1810</t>
  </si>
  <si>
    <t>SOMERSET/CRADOCK</t>
  </si>
  <si>
    <t>BEFORE JULY 1838</t>
  </si>
  <si>
    <t>FREDERIK ALBERTUS</t>
  </si>
  <si>
    <t>30/03/1810</t>
  </si>
  <si>
    <t>16/10/1810</t>
  </si>
  <si>
    <t>BEAUFORT(WES)</t>
  </si>
  <si>
    <t>03/04/1831</t>
  </si>
  <si>
    <t>FREDERIK JOHANNES NICOLAAS ANDRIES</t>
  </si>
  <si>
    <t>b9c5d4</t>
  </si>
  <si>
    <t>04/06/1809</t>
  </si>
  <si>
    <t>05/05/1893</t>
  </si>
  <si>
    <t xml:space="preserve">CORNELIA JOHANNA ELIZABETH </t>
  </si>
  <si>
    <t>b5c4d5e2</t>
  </si>
  <si>
    <t>25/10/1809</t>
  </si>
  <si>
    <t>b2c5d4e1f4g5</t>
  </si>
  <si>
    <t>BETWEEN 26/12/1835 AND 14/01/1838</t>
  </si>
  <si>
    <t>GERRIT HENDRIK</t>
  </si>
  <si>
    <t>b5c4d10e2</t>
  </si>
  <si>
    <t>30/04/1823</t>
  </si>
  <si>
    <t>04/10/1823</t>
  </si>
  <si>
    <t>24/04/1901</t>
  </si>
  <si>
    <t>27/08/1849</t>
  </si>
  <si>
    <t>MAGDALENA STOFFELINA</t>
  </si>
  <si>
    <t>03/08/1824</t>
  </si>
  <si>
    <t>07/03/1901</t>
  </si>
  <si>
    <t>1838/9</t>
  </si>
  <si>
    <t>HENDRIK CHRISTOFFEL IGNATIUS</t>
  </si>
  <si>
    <t>b5c4d15</t>
  </si>
  <si>
    <t>02/04/1809</t>
  </si>
  <si>
    <t>14/12/1892</t>
  </si>
  <si>
    <t>15/08/1830</t>
  </si>
  <si>
    <t>JACOBA MARGARETHA</t>
  </si>
  <si>
    <t>28/08/1811</t>
  </si>
  <si>
    <t>10/12/1868</t>
  </si>
  <si>
    <t>HENDRIK FREDERIK</t>
  </si>
  <si>
    <t>b6c1d5e5</t>
  </si>
  <si>
    <t>20/05/1824</t>
  </si>
  <si>
    <t>02/01/1898</t>
  </si>
  <si>
    <t>22/05/1858</t>
  </si>
  <si>
    <t>ELIZABETH HERMINA MARIA</t>
  </si>
  <si>
    <t>ERMELO</t>
  </si>
  <si>
    <t>12/06/1906</t>
  </si>
  <si>
    <t>POTCHEFSTROOM THEN MIDDELBURG</t>
  </si>
  <si>
    <t>HENDRIK MICHAEL</t>
  </si>
  <si>
    <t>b6c1d3e4</t>
  </si>
  <si>
    <t>18/04/1892</t>
  </si>
  <si>
    <t>05/10/1834</t>
  </si>
  <si>
    <t>HELENA HENDRIKA SUSANNA</t>
  </si>
  <si>
    <t>08/08/1815</t>
  </si>
  <si>
    <t>06/06/1888</t>
  </si>
  <si>
    <t>b6c2d6e3</t>
  </si>
  <si>
    <t>06/05/1818</t>
  </si>
  <si>
    <t>06/07/1818</t>
  </si>
  <si>
    <t>14/02/1889</t>
  </si>
  <si>
    <t>MARIA CATHARINA MARGARETHA</t>
  </si>
  <si>
    <t xml:space="preserve">CHRISTINA GERTRUIDA MAGDALENA </t>
  </si>
  <si>
    <t>08/03/1871</t>
  </si>
  <si>
    <t xml:space="preserve">ANNA MARIA JACOMINA </t>
  </si>
  <si>
    <t>10/10/1815</t>
  </si>
  <si>
    <t>CAROLINA SUSANNA</t>
  </si>
  <si>
    <t>SECOND HALF OF 1837</t>
  </si>
  <si>
    <t>JACOBUS CHRISTOFFEL POTGIETER</t>
  </si>
  <si>
    <t>NATAL THEN RUSTENBURG</t>
  </si>
  <si>
    <t>JAN ADRIAAN PIETER</t>
  </si>
  <si>
    <t>14/02/1819</t>
  </si>
  <si>
    <t>WARMBAD</t>
  </si>
  <si>
    <t>18/09/1868</t>
  </si>
  <si>
    <t>14/07/1839</t>
  </si>
  <si>
    <t>POTCHEFSTROOM THEN WARMBAD</t>
  </si>
  <si>
    <t>b6c1d2</t>
  </si>
  <si>
    <t>14/03/1784</t>
  </si>
  <si>
    <t xml:space="preserve">MOOIRIVIER, POTCHEFSTROOM (?) </t>
  </si>
  <si>
    <t>02/09/1839</t>
  </si>
  <si>
    <t xml:space="preserve">PIETER DANIEL </t>
  </si>
  <si>
    <t>21/05/1775</t>
  </si>
  <si>
    <t>ZWARTBERG</t>
  </si>
  <si>
    <t>GEORGE (OUDTSHOORN)</t>
  </si>
  <si>
    <t>SECOND HALF OF 1838 (?)</t>
  </si>
  <si>
    <t>HER CHILDREN (?)</t>
  </si>
  <si>
    <t>JOHANNES ESIAS</t>
  </si>
  <si>
    <t>b5c4d10e1</t>
  </si>
  <si>
    <t>20/07/1820</t>
  </si>
  <si>
    <t>29/04/1821</t>
  </si>
  <si>
    <t>15/09/1887</t>
  </si>
  <si>
    <t>25/08/1860</t>
  </si>
  <si>
    <t>WILHELMINA ELIZABETH</t>
  </si>
  <si>
    <t>29/09/1893</t>
  </si>
  <si>
    <t>TRANSORANJE THEN HEIDELBERG,ZAR</t>
  </si>
  <si>
    <t>JOHANNES HERMANUS</t>
  </si>
  <si>
    <t>07/01/1804</t>
  </si>
  <si>
    <t>30/03/1806</t>
  </si>
  <si>
    <t>04/07/1825</t>
  </si>
  <si>
    <t>CECILIA CATHARINA ELIZABETH</t>
  </si>
  <si>
    <t>b6c2d11</t>
  </si>
  <si>
    <t>18/05/1808</t>
  </si>
  <si>
    <t>UITENHAGE THEN CRADOCK</t>
  </si>
  <si>
    <t>BEFORE JULY 1840</t>
  </si>
  <si>
    <t>b6c2d6</t>
  </si>
  <si>
    <t>23/12/1795</t>
  </si>
  <si>
    <t>28/05/1976</t>
  </si>
  <si>
    <t>29/07/1798</t>
  </si>
  <si>
    <t>GEERTRUYDA MARIA MAGDALENA</t>
  </si>
  <si>
    <t>b6c8d7e11</t>
  </si>
  <si>
    <t xml:space="preserve">HELENA CATHARINA </t>
  </si>
  <si>
    <t>OLIFANTSRIVIER, GEORGE</t>
  </si>
  <si>
    <t>06/11/1813</t>
  </si>
  <si>
    <t>GEMSBOKHEUVEL, ERMELO</t>
  </si>
  <si>
    <t>09/09/1892</t>
  </si>
  <si>
    <t>17/04/1836</t>
  </si>
  <si>
    <t xml:space="preserve">BAL(H)ARINA JOHANNA </t>
  </si>
  <si>
    <t>11/10/1813</t>
  </si>
  <si>
    <t>13/02.1814</t>
  </si>
  <si>
    <t>07/12/1887</t>
  </si>
  <si>
    <t xml:space="preserve">UNKNOWN </t>
  </si>
  <si>
    <t>VETRIVIER,POTCHEFSTROOM</t>
  </si>
  <si>
    <t>HOLTSHAUZEN</t>
  </si>
  <si>
    <t>JOHANNES NICOLAAS HERMANUS</t>
  </si>
  <si>
    <t>11/06/1807</t>
  </si>
  <si>
    <t>20/10/1808</t>
  </si>
  <si>
    <t>11/03/1886</t>
  </si>
  <si>
    <t>05/10/1828</t>
  </si>
  <si>
    <t>MAGTELD CHRISTINA</t>
  </si>
  <si>
    <t>28/01/1821</t>
  </si>
  <si>
    <t>04/03/1821</t>
  </si>
  <si>
    <t>20/04/1861</t>
  </si>
  <si>
    <t>ALETTA GERTRUIDA</t>
  </si>
  <si>
    <t>20/08/1814</t>
  </si>
  <si>
    <t>11/05/1892</t>
  </si>
  <si>
    <t>GEORGE THEN BEAUFORT</t>
  </si>
  <si>
    <t>BEFORE 1842</t>
  </si>
  <si>
    <t>b9c13</t>
  </si>
  <si>
    <t>19/06/1786</t>
  </si>
  <si>
    <t>26/10/1787</t>
  </si>
  <si>
    <t>DIEDERIK JOHANNES</t>
  </si>
  <si>
    <t>MULDER</t>
  </si>
  <si>
    <t>a1b5c7d1</t>
  </si>
  <si>
    <t>23/01/1785</t>
  </si>
  <si>
    <t>IN THE COLONY</t>
  </si>
  <si>
    <t>b9c11d4</t>
  </si>
  <si>
    <t>16/05/1812</t>
  </si>
  <si>
    <t>06/07/1812</t>
  </si>
  <si>
    <t>17/03/1898</t>
  </si>
  <si>
    <t>01/01/1831</t>
  </si>
  <si>
    <t xml:space="preserve">NEELTIE CORNELIA SUSANNA </t>
  </si>
  <si>
    <t>b1c4d1e2</t>
  </si>
  <si>
    <t>06/07/1810</t>
  </si>
  <si>
    <t>01/09/1811</t>
  </si>
  <si>
    <t>19/04/1863</t>
  </si>
  <si>
    <t xml:space="preserve">MARIA ELIZABETH SUSANNA </t>
  </si>
  <si>
    <t>23/08/1820</t>
  </si>
  <si>
    <t>TAAIBOSCHFONTEIN, SENEKAL</t>
  </si>
  <si>
    <t>14/04/1889</t>
  </si>
  <si>
    <t>SENEKAL</t>
  </si>
  <si>
    <t>LOUISA ALETTA</t>
  </si>
  <si>
    <t>25/11/1833</t>
  </si>
  <si>
    <t>22/09/1906</t>
  </si>
  <si>
    <t>NATAL THEN SENEKAL</t>
  </si>
  <si>
    <t>18/08/1814</t>
  </si>
  <si>
    <t>29/07/1879</t>
  </si>
  <si>
    <t>23/12/1832</t>
  </si>
  <si>
    <t>DOROTHEA REGINA</t>
  </si>
  <si>
    <t>03/08/1846</t>
  </si>
  <si>
    <t>03/05/1848</t>
  </si>
  <si>
    <t>NICOLAAS MARTHINUS JOHANNES</t>
  </si>
  <si>
    <t>b6c6d5</t>
  </si>
  <si>
    <t>11/05/1810</t>
  </si>
  <si>
    <t>13/11/1835</t>
  </si>
  <si>
    <t>MARIA ISABELLA GEERTRUIDA MAGDALENA</t>
  </si>
  <si>
    <t>BETWEEN MAY 1842 AND MAY 1844</t>
  </si>
  <si>
    <t>PAULUS JOHANNES</t>
  </si>
  <si>
    <t>b5c4d10</t>
  </si>
  <si>
    <t>06/05/1796</t>
  </si>
  <si>
    <t>22/11/1796</t>
  </si>
  <si>
    <t>BRONKHORSTSPRUIT</t>
  </si>
  <si>
    <t>16/03/1873</t>
  </si>
  <si>
    <t>02/07/1820</t>
  </si>
  <si>
    <t xml:space="preserve">JOHANNA HELENA </t>
  </si>
  <si>
    <t>10/02/1890</t>
  </si>
  <si>
    <t>SWELLENDAM THEN SOMERSET</t>
  </si>
  <si>
    <t>BEFORE 1836</t>
  </si>
  <si>
    <t>TRANSORANJE AND THEN BRONKHORSTSPRUIT</t>
  </si>
  <si>
    <t>PAULUS STEPHANUS</t>
  </si>
  <si>
    <t>b6c1d3e6</t>
  </si>
  <si>
    <t>07/11/1816</t>
  </si>
  <si>
    <t>10/06/1838</t>
  </si>
  <si>
    <t xml:space="preserve">JOHANNA HELENA PETRONELLA </t>
  </si>
  <si>
    <t>07/11/1821</t>
  </si>
  <si>
    <t>13/09/1880</t>
  </si>
  <si>
    <t>29/08/1881</t>
  </si>
  <si>
    <t xml:space="preserve">GROBLER </t>
  </si>
  <si>
    <t>b6c5d4</t>
  </si>
  <si>
    <t>20/03/1797</t>
  </si>
  <si>
    <t>RIETPOL (?), RENOSTERPOORT, SOUTPANSBERG</t>
  </si>
  <si>
    <t>20 FEBRUARY OR MAY 1883</t>
  </si>
  <si>
    <t>PELZER</t>
  </si>
  <si>
    <t>08/02/1807</t>
  </si>
  <si>
    <t>BETWEEN OCTOBER 1839 AND MARCH 1842</t>
  </si>
  <si>
    <t>PIETER SCHALK</t>
  </si>
  <si>
    <t>b9c11d2</t>
  </si>
  <si>
    <t>09/25/1805</t>
  </si>
  <si>
    <t>ANNA JOHANNA JACOBA</t>
  </si>
  <si>
    <t>b3c1d5e4f3</t>
  </si>
  <si>
    <t>b4c4d1e2</t>
  </si>
  <si>
    <t>BOSCHFONTEIN, PIETERMARITZBURG</t>
  </si>
  <si>
    <t>25/08/1871</t>
  </si>
  <si>
    <t>BETWEEN 25/08/1837 AND 26/06/1838</t>
  </si>
  <si>
    <t>PMB, NATAL</t>
  </si>
  <si>
    <t>RENIER NICOLAAS JOHANNES</t>
  </si>
  <si>
    <t>b6c10d2</t>
  </si>
  <si>
    <t>19/12/1809</t>
  </si>
  <si>
    <t>KWAMATHIWANE (MURDERED)</t>
  </si>
  <si>
    <t>ZACHARIA MARIA</t>
  </si>
  <si>
    <t>27/11/1817</t>
  </si>
  <si>
    <t>1837 ?</t>
  </si>
  <si>
    <t>STEPHANUS JOHANNES</t>
  </si>
  <si>
    <t>b6c1d5e2</t>
  </si>
  <si>
    <t>22/11/1818</t>
  </si>
  <si>
    <t>DE WITTEKRANS</t>
  </si>
  <si>
    <t>15/04/1887</t>
  </si>
  <si>
    <t>03/10/1838</t>
  </si>
  <si>
    <t>ANNA HENDRINA</t>
  </si>
  <si>
    <t>04/12/1829</t>
  </si>
  <si>
    <t>12/07/1876</t>
  </si>
  <si>
    <t>22/05/1877</t>
  </si>
  <si>
    <t>DIRKIE SUSARA ISABELLA</t>
  </si>
  <si>
    <t>01/09/1830</t>
  </si>
  <si>
    <t>20/08/1882</t>
  </si>
  <si>
    <t>05/02/1883</t>
  </si>
  <si>
    <t>JOHANNA WILHELMINA CHRISTINA</t>
  </si>
  <si>
    <t>FISCHER</t>
  </si>
  <si>
    <t>01/07/1897</t>
  </si>
  <si>
    <t>PRETORIA AND WAKKERSTROOM</t>
  </si>
  <si>
    <t>30/04/1815</t>
  </si>
  <si>
    <t>03/09/1815</t>
  </si>
  <si>
    <t>01/10/1888</t>
  </si>
  <si>
    <t xml:space="preserve">ANNA MAGDALENA </t>
  </si>
  <si>
    <t>13/07/1864</t>
  </si>
  <si>
    <t>OTTO</t>
  </si>
  <si>
    <t>19/09/1895</t>
  </si>
  <si>
    <t>BEFORE MARCH 1840</t>
  </si>
  <si>
    <t>POTCHEFSTROOM AND THEN MIDDELBURG</t>
  </si>
  <si>
    <t>WILLEM PIETER</t>
  </si>
  <si>
    <t>b6c2d8</t>
  </si>
  <si>
    <t>24/04/1800</t>
  </si>
  <si>
    <t>29/06/1800</t>
  </si>
  <si>
    <t>12/12/1869</t>
  </si>
  <si>
    <t>07/11/1824</t>
  </si>
  <si>
    <t>b1c15d4</t>
  </si>
  <si>
    <t>05/09/1873</t>
  </si>
  <si>
    <t>GROENEWALD</t>
  </si>
  <si>
    <t>a1b1c5d6e2</t>
  </si>
  <si>
    <t>14/10/1808</t>
  </si>
  <si>
    <t xml:space="preserve">PORT NATAL </t>
  </si>
  <si>
    <t>12/08/1842</t>
  </si>
  <si>
    <t>PMB</t>
  </si>
  <si>
    <t>05/10/1840</t>
  </si>
  <si>
    <t>MAGDALENA JOHANNA SUSANNA ALETTA</t>
  </si>
  <si>
    <t>b1c7d7e5f1</t>
  </si>
  <si>
    <t>30/10/1820</t>
  </si>
  <si>
    <t>GROVE</t>
  </si>
  <si>
    <t>HERMANUS GERHARDUS</t>
  </si>
  <si>
    <t>b3c9d5</t>
  </si>
  <si>
    <t>02/06/1794</t>
  </si>
  <si>
    <t>13/07/1794</t>
  </si>
  <si>
    <t>MAGALIESBURG</t>
  </si>
  <si>
    <t>08/11/1856</t>
  </si>
  <si>
    <t>02/07/1815</t>
  </si>
  <si>
    <t>ROSSOUW</t>
  </si>
  <si>
    <t>04/10/1840</t>
  </si>
  <si>
    <t>23/11/1840</t>
  </si>
  <si>
    <t>ERASMUS b3c8d4e2</t>
  </si>
  <si>
    <t>04/12/1841</t>
  </si>
  <si>
    <t>b4c2d2e1f1g5</t>
  </si>
  <si>
    <t>PRETORIUSKLOOF, VOOR-SNEEUBERG</t>
  </si>
  <si>
    <t>MID1838</t>
  </si>
  <si>
    <t>NATAL THEN OVS THEN MAGALIESBERG</t>
  </si>
  <si>
    <t>GRUENDLINGH</t>
  </si>
  <si>
    <t>b8c1</t>
  </si>
  <si>
    <t>16/10/1791</t>
  </si>
  <si>
    <t xml:space="preserve">BEATRIX ELIZABETH JOHANNA </t>
  </si>
  <si>
    <t>01/06/1835</t>
  </si>
  <si>
    <t xml:space="preserve">ELIZABETH MARGARETHA </t>
  </si>
  <si>
    <t>THEUNISSEN</t>
  </si>
  <si>
    <t>SOMERSET THEN CRADOCK</t>
  </si>
  <si>
    <t>BETWEEN END 1837 AND 1840</t>
  </si>
  <si>
    <t>TRANSORANJE THEN POTCHEFSTROOM</t>
  </si>
  <si>
    <t>HAASBROEK</t>
  </si>
  <si>
    <t xml:space="preserve">MARTHA MARGARETHA </t>
  </si>
  <si>
    <t>21/06/1788</t>
  </si>
  <si>
    <t>28/02/1859</t>
  </si>
  <si>
    <t>PIETER JOUBERT</t>
  </si>
  <si>
    <t>b5c7d7</t>
  </si>
  <si>
    <t>15/01/1783</t>
  </si>
  <si>
    <t xml:space="preserve">SWELLENDAM </t>
  </si>
  <si>
    <t>MOST PROBABLY A.H. POTGIETER</t>
  </si>
  <si>
    <t>HAMMAN</t>
  </si>
  <si>
    <t>JACOBUS JOHANNES SR.</t>
  </si>
  <si>
    <t>b5c1</t>
  </si>
  <si>
    <t>16/11/1788</t>
  </si>
  <si>
    <t>ELANDSRIVIER, PRETORIA</t>
  </si>
  <si>
    <t>10/05/1852</t>
  </si>
  <si>
    <t>04/11/1821</t>
  </si>
  <si>
    <t>ALBERDINA MAGDALENA</t>
  </si>
  <si>
    <t>a9b1</t>
  </si>
  <si>
    <t>08/06/1804</t>
  </si>
  <si>
    <t>14/10/1804</t>
  </si>
  <si>
    <t>WITNEK?</t>
  </si>
  <si>
    <t>JACOBUS JOHANNES JR.</t>
  </si>
  <si>
    <t>b5c1d2</t>
  </si>
  <si>
    <t>JOHANNA PETRONELLA JACOBA</t>
  </si>
  <si>
    <t>HAMMES</t>
  </si>
  <si>
    <t>04/06/1797</t>
  </si>
  <si>
    <t>05/01/1878</t>
  </si>
  <si>
    <t>14/05/1826</t>
  </si>
  <si>
    <t xml:space="preserve">ELSE MARIANNE </t>
  </si>
  <si>
    <t>ROUVIERRE</t>
  </si>
  <si>
    <t>SOOILAER, MARITZDAM, NATAL</t>
  </si>
  <si>
    <t>27/08/1838</t>
  </si>
  <si>
    <t>RACHEL ELIZABETH ALIDA</t>
  </si>
  <si>
    <t>b6c3d9</t>
  </si>
  <si>
    <t>10/09/1807</t>
  </si>
  <si>
    <t>14/04/1887</t>
  </si>
  <si>
    <t>NATAL THEN HARRISMITH BLOEMFONTEIN/WINBURG</t>
  </si>
  <si>
    <t>HANSMEYER</t>
  </si>
  <si>
    <t>JOSEPH</t>
  </si>
  <si>
    <t>28/04/1813</t>
  </si>
  <si>
    <t>09/11/1855</t>
  </si>
  <si>
    <t>15/02/1841</t>
  </si>
  <si>
    <t>ALETTA LETITIA/ MARIA</t>
  </si>
  <si>
    <t>b9c7d16</t>
  </si>
  <si>
    <t>13/03/1816</t>
  </si>
  <si>
    <t>15/07/1899</t>
  </si>
  <si>
    <t>HE LEFT IN 1839, HIS WIFE 1836 WITH HER PARENTS</t>
  </si>
  <si>
    <t>HANSONIUS</t>
  </si>
  <si>
    <t>AEGIDIUS ANTHONIE</t>
  </si>
  <si>
    <t>15/06/1788</t>
  </si>
  <si>
    <t>06/02/1820</t>
  </si>
  <si>
    <t>ENGELA BEATRIX</t>
  </si>
  <si>
    <t>20/07/1840</t>
  </si>
  <si>
    <t>AROUND 1840</t>
  </si>
  <si>
    <t>HARMSE</t>
  </si>
  <si>
    <t>BARTHOLOMEUS</t>
  </si>
  <si>
    <t>25/09/1759</t>
  </si>
  <si>
    <t>KRUL/ KRIEL</t>
  </si>
  <si>
    <t>BEAUFORT/COLESBERG</t>
  </si>
  <si>
    <t>A.H.POTGIETER (?)</t>
  </si>
  <si>
    <t>BARTHOLOMEUS ROELOF JACOBUS</t>
  </si>
  <si>
    <t>b10c9d10</t>
  </si>
  <si>
    <t>28/09/1823</t>
  </si>
  <si>
    <t>MARIA JACOBA</t>
  </si>
  <si>
    <t>A.H. POTGIETER (?)</t>
  </si>
  <si>
    <t>CHRISTIAAN BAREND STEPHANUS</t>
  </si>
  <si>
    <t>b10c6d4</t>
  </si>
  <si>
    <t>25/11/1793</t>
  </si>
  <si>
    <t>05/11/1814</t>
  </si>
  <si>
    <t>IN 1839</t>
  </si>
  <si>
    <t>DANIEL JOHANNES HENDRIK</t>
  </si>
  <si>
    <t>b10c6d6</t>
  </si>
  <si>
    <t>b10c9d7</t>
  </si>
  <si>
    <t>HARTZENBERG</t>
  </si>
  <si>
    <t xml:space="preserve">CHRISTIAAN SR. </t>
  </si>
  <si>
    <t>b11c4</t>
  </si>
  <si>
    <t>CHRISTIAAN JACOBUS</t>
  </si>
  <si>
    <t>b11c1d3</t>
  </si>
  <si>
    <t>DEWALD LAMBERTUS</t>
  </si>
  <si>
    <t>b11c1d9</t>
  </si>
  <si>
    <t>FRANCOIS MARTHINUS</t>
  </si>
  <si>
    <t>b8c7d4e1</t>
  </si>
  <si>
    <t>b11c1d6</t>
  </si>
  <si>
    <t>JACOBUS GERHARDUS</t>
  </si>
  <si>
    <t>b11c1d5</t>
  </si>
  <si>
    <t>JACOBUS JOHANNES GERHARDUS</t>
  </si>
  <si>
    <t>b11c1d2e2</t>
  </si>
  <si>
    <t>b11c1d2</t>
  </si>
  <si>
    <t>JOHANNES DEWALD(T)</t>
  </si>
  <si>
    <t>b8c7d4</t>
  </si>
  <si>
    <t xml:space="preserve">JOHANNES DEWALD </t>
  </si>
  <si>
    <t>b8c7d4e7</t>
  </si>
  <si>
    <t>b11c1d3e1</t>
  </si>
  <si>
    <t>b11c1d2e1</t>
  </si>
  <si>
    <t xml:space="preserve">JOHANNES MICHIEL </t>
  </si>
  <si>
    <t>b11c1d2e3</t>
  </si>
  <si>
    <t>HAVEMANN</t>
  </si>
  <si>
    <t>JOHANN HEINRICH CARL</t>
  </si>
  <si>
    <t>HAVENGA</t>
  </si>
  <si>
    <t>b3c4</t>
  </si>
  <si>
    <t>HEINE</t>
  </si>
  <si>
    <t>CASPER HEINRICH</t>
  </si>
  <si>
    <t>HELBERG</t>
  </si>
  <si>
    <t>HELLBERG</t>
  </si>
  <si>
    <t>JOHANNES ZACHARYAS</t>
  </si>
  <si>
    <t xml:space="preserve">JAN HENDRIK </t>
  </si>
  <si>
    <t>ABRAHAM JACOBUS</t>
  </si>
  <si>
    <t>b1c1d8</t>
  </si>
  <si>
    <t>JAN PHILIP CAREL</t>
  </si>
  <si>
    <t xml:space="preserve">CHRISTIAAN FREDERIK </t>
  </si>
  <si>
    <t>CHRISTIAAN SERVAAS</t>
  </si>
  <si>
    <t>b5c1d1</t>
  </si>
  <si>
    <t>JOHAN CHRISTIAAN JACOBUS</t>
  </si>
  <si>
    <t>JOHAN GEORGE</t>
  </si>
  <si>
    <t>MARTHINUS JOHANNES HENDRIK</t>
  </si>
  <si>
    <t>b3c5</t>
  </si>
  <si>
    <t>15/10/1797</t>
  </si>
  <si>
    <t>b10c9d1</t>
  </si>
  <si>
    <t>UNKNOWN BUT PROBABLY BEGINNING 1836</t>
  </si>
  <si>
    <t>13/05/1838</t>
  </si>
  <si>
    <t>KOUP.</t>
  </si>
  <si>
    <t>06/08/1814</t>
  </si>
  <si>
    <t>FRANCINA GEERTRUYDA SUSARA</t>
  </si>
  <si>
    <t xml:space="preserve">FRANCINA </t>
  </si>
  <si>
    <t>BEAUFORT (?)</t>
  </si>
  <si>
    <t xml:space="preserve">ANNA JACOBA </t>
  </si>
  <si>
    <t>28/04/1818</t>
  </si>
  <si>
    <t>23/08/1818</t>
  </si>
  <si>
    <t xml:space="preserve">MAGDALENA JOSINA </t>
  </si>
  <si>
    <t>ZOUTPANSBERG</t>
  </si>
  <si>
    <t>20/10/1776</t>
  </si>
  <si>
    <t>20/07/1807</t>
  </si>
  <si>
    <t>20/04/1814</t>
  </si>
  <si>
    <t>22/05/1814</t>
  </si>
  <si>
    <t>12/01/1801</t>
  </si>
  <si>
    <t>13/12/1820</t>
  </si>
  <si>
    <t>23/04/1812</t>
  </si>
  <si>
    <t>23/09/1794</t>
  </si>
  <si>
    <t>17/02/1793</t>
  </si>
  <si>
    <t>03/05/1825</t>
  </si>
  <si>
    <t>14/11/1823</t>
  </si>
  <si>
    <t>05/04/1824</t>
  </si>
  <si>
    <t>15/01/1819</t>
  </si>
  <si>
    <t>28/05/1823</t>
  </si>
  <si>
    <t>14/07/1823</t>
  </si>
  <si>
    <t>16/08/1819</t>
  </si>
  <si>
    <t>29/03/1800</t>
  </si>
  <si>
    <t>ca 1812</t>
  </si>
  <si>
    <t>29/04/1811</t>
  </si>
  <si>
    <t>26/05/1811</t>
  </si>
  <si>
    <t>11/03/1803</t>
  </si>
  <si>
    <t>11/12/1811</t>
  </si>
  <si>
    <t>02/06/1790</t>
  </si>
  <si>
    <t>15/11/1790</t>
  </si>
  <si>
    <t>08/01/1816</t>
  </si>
  <si>
    <t>29/08/1808</t>
  </si>
  <si>
    <t>20/11/1824</t>
  </si>
  <si>
    <t>30/10/1821</t>
  </si>
  <si>
    <t>28/11/1802</t>
  </si>
  <si>
    <t>10/07/1811</t>
  </si>
  <si>
    <t>03/05/1820</t>
  </si>
  <si>
    <t>16/07/1820</t>
  </si>
  <si>
    <t>JOHANNA GUSTAVA</t>
  </si>
  <si>
    <t>MACHTELD (MAGDALENA) GEERTRUIDA</t>
  </si>
  <si>
    <t>b6c2d9</t>
  </si>
  <si>
    <t>04/02/1827</t>
  </si>
  <si>
    <t>25/01/1839</t>
  </si>
  <si>
    <t>25/05/1834</t>
  </si>
  <si>
    <t>ELSABE MARGARETHA</t>
  </si>
  <si>
    <t>b1c7d9</t>
  </si>
  <si>
    <t>23/05/1883</t>
  </si>
  <si>
    <t xml:space="preserve">SUSARA ALETTA </t>
  </si>
  <si>
    <t>b9c2d11e5</t>
  </si>
  <si>
    <t>SOMER</t>
  </si>
  <si>
    <t>02/07/1826</t>
  </si>
  <si>
    <t>JACOMINA ELIZABETH</t>
  </si>
  <si>
    <t>SCHAAPKRAAL, HARRISMITH</t>
  </si>
  <si>
    <t>28/11/1890</t>
  </si>
  <si>
    <t xml:space="preserve">MARGARETHA JOHANNA SOPHIA </t>
  </si>
  <si>
    <t>b2c9d12e5f7</t>
  </si>
  <si>
    <t>26/04/1826</t>
  </si>
  <si>
    <t>01/09/1875</t>
  </si>
  <si>
    <t>04/05/1812</t>
  </si>
  <si>
    <t xml:space="preserve">MAGDALENA ELIZABETH </t>
  </si>
  <si>
    <t>SAAILAER, NATAL</t>
  </si>
  <si>
    <t>24/06/1838</t>
  </si>
  <si>
    <t>27/09/1812</t>
  </si>
  <si>
    <t>ANNA ELIZABETH</t>
  </si>
  <si>
    <t>RETIEF</t>
  </si>
  <si>
    <t>b4c7d1e1</t>
  </si>
  <si>
    <t>27/01/1797</t>
  </si>
  <si>
    <t>05/02/1797</t>
  </si>
  <si>
    <t>GROENVLEI, LINDLEY</t>
  </si>
  <si>
    <t>09/09/1891</t>
  </si>
  <si>
    <t>SUSANNA HELENA</t>
  </si>
  <si>
    <t>16/06/1840</t>
  </si>
  <si>
    <t>DAGERAAD, UTRECHT</t>
  </si>
  <si>
    <t>10/06/1897</t>
  </si>
  <si>
    <t>PMB.</t>
  </si>
  <si>
    <t>31/04/1840</t>
  </si>
  <si>
    <t xml:space="preserve">GEERTRUIDA SUSANNA </t>
  </si>
  <si>
    <t>b6c1d10e7</t>
  </si>
  <si>
    <t>ca 1823</t>
  </si>
  <si>
    <t>11/01/1896</t>
  </si>
  <si>
    <t>01/10/1891</t>
  </si>
  <si>
    <t>b1c5d6e5f2</t>
  </si>
  <si>
    <t>ca 1831</t>
  </si>
  <si>
    <t>01/08/1879</t>
  </si>
  <si>
    <t>HESTER MARIA MAGDALENA</t>
  </si>
  <si>
    <t>MAREE/ MARE</t>
  </si>
  <si>
    <t>15/05/1822</t>
  </si>
  <si>
    <t>20/11/1907</t>
  </si>
  <si>
    <t>WATERVAL, RUSTENBURG</t>
  </si>
  <si>
    <t>25/12/1871</t>
  </si>
  <si>
    <t>15/04/1821</t>
  </si>
  <si>
    <t>ELIZABETH MARGARETHA</t>
  </si>
  <si>
    <t>RIEKERT</t>
  </si>
  <si>
    <t>24/11/1880</t>
  </si>
  <si>
    <t>SCHOEMANSDAL (?)</t>
  </si>
  <si>
    <t>06/02/1832</t>
  </si>
  <si>
    <t>MARTHA MARIA MARGARETHA</t>
  </si>
  <si>
    <t>26/07/1829</t>
  </si>
  <si>
    <t>JOHANNA GEERTRUYDA</t>
  </si>
  <si>
    <t>SIEBRITS</t>
  </si>
  <si>
    <t>15/08/1881</t>
  </si>
  <si>
    <t>02/02/1812</t>
  </si>
  <si>
    <t xml:space="preserve">MARTHA SOPHIA </t>
  </si>
  <si>
    <t>BLAAUWKRANS</t>
  </si>
  <si>
    <t>03/08/1850</t>
  </si>
  <si>
    <t>PUTFONTEIN, BENONI</t>
  </si>
  <si>
    <t>16/11/1893</t>
  </si>
  <si>
    <t>HENDRINA MAGDALENA</t>
  </si>
  <si>
    <t>AGTER-SNEEUBERG, CRADOCK</t>
  </si>
  <si>
    <t>PATRYSFONTEIN, FORT BEAUFORT</t>
  </si>
  <si>
    <t>27/05/1825</t>
  </si>
  <si>
    <t>04/07/1849</t>
  </si>
  <si>
    <t>ANNA MARIA CHARLOTTA</t>
  </si>
  <si>
    <t>27/04/1806</t>
  </si>
  <si>
    <t>ALETTA FRANCINA</t>
  </si>
  <si>
    <t>BEFORE 07/04/1817</t>
  </si>
  <si>
    <t>21/09/1868</t>
  </si>
  <si>
    <t>b1c1d9e4</t>
  </si>
  <si>
    <t>11/12/1831</t>
  </si>
  <si>
    <t>FABER</t>
  </si>
  <si>
    <t>ca 1805</t>
  </si>
  <si>
    <t>PIET RETIEF</t>
  </si>
  <si>
    <t>30/11/1898</t>
  </si>
  <si>
    <t>MARIA MAGDALENA SOPHIA</t>
  </si>
  <si>
    <t>21/08/1817</t>
  </si>
  <si>
    <t>DECEMBER 1845</t>
  </si>
  <si>
    <t>CATHARINA</t>
  </si>
  <si>
    <t>BEFORE NOVEMBER 1837</t>
  </si>
  <si>
    <t>NATAL THEN FARM STRYDPOORTFONTEIN</t>
  </si>
  <si>
    <t>1837 (?)</t>
  </si>
  <si>
    <t>BETWEEN APRIL 1837 AND SEPTEMBER 1839</t>
  </si>
  <si>
    <t>ca 1837</t>
  </si>
  <si>
    <t>BETWEEN 16/07/1837 AND 11/07/1840</t>
  </si>
  <si>
    <t>BEFORE 02/11/1837, PROBABLY OCTOBER 1837</t>
  </si>
  <si>
    <t>NATAL (?)</t>
  </si>
  <si>
    <t>JAN DU PLESSIS (?)</t>
  </si>
  <si>
    <t>ZEEKOEIRIVIER</t>
  </si>
  <si>
    <t>APPARENTLY JUST THE FAMILY</t>
  </si>
  <si>
    <t>SEEKOEIRIVIER</t>
  </si>
  <si>
    <t>ONLY THEIR FAMILY</t>
  </si>
  <si>
    <t xml:space="preserve">UNKNOWN BUT ca OCTOBER 1837 </t>
  </si>
  <si>
    <t>PROBABLY OCTOBER 1837</t>
  </si>
  <si>
    <t>PROBABLY JAN DU PLESSIS</t>
  </si>
  <si>
    <t>BEFORE 1839</t>
  </si>
  <si>
    <t>AFTER JUNE 1842</t>
  </si>
  <si>
    <t>POSSIBLY GRAAFF-REINET</t>
  </si>
  <si>
    <t>ca 1839</t>
  </si>
  <si>
    <t>SEPTERMBER 1836</t>
  </si>
  <si>
    <t>OLIFANTSRIVIER, OHRIGSTAD</t>
  </si>
  <si>
    <t xml:space="preserve">P.D. </t>
  </si>
  <si>
    <t>ELSJE MARIA MAGDALENA</t>
  </si>
  <si>
    <t>BETWEEN 10/05/1840 AND 14/04/1844</t>
  </si>
  <si>
    <t>ST MARY, PE</t>
  </si>
  <si>
    <t>31/03/1835</t>
  </si>
  <si>
    <t>SUSANNA ESTHER</t>
  </si>
  <si>
    <t>TEE</t>
  </si>
  <si>
    <t>BEGINNING 1838 (?)</t>
  </si>
  <si>
    <t>AGTER- MAGALIESBURG</t>
  </si>
  <si>
    <t>SOMERSET (?)</t>
  </si>
  <si>
    <t xml:space="preserve">ca BEGINNING 1838 </t>
  </si>
  <si>
    <t>MAYBE POTCHEFSTROOM</t>
  </si>
  <si>
    <t>PETRONELLA ELIZABETH</t>
  </si>
  <si>
    <t>27/11/1827</t>
  </si>
  <si>
    <t>04/02/1890</t>
  </si>
  <si>
    <t>APPARENTLY BEFORE JANUARY 1840</t>
  </si>
  <si>
    <t>POSSIBLY BEAUFORT</t>
  </si>
  <si>
    <t>BEFORE OCTOBER 1840</t>
  </si>
  <si>
    <t>HELENA MARIA JOHANNA</t>
  </si>
  <si>
    <t xml:space="preserve">GRIESEL </t>
  </si>
  <si>
    <t>BEFORE APRIL 1842</t>
  </si>
  <si>
    <t>ANNA JACOBA FRANCINA</t>
  </si>
  <si>
    <t>VAN DER LINDE</t>
  </si>
  <si>
    <t>HILLETJE LEVINA CATHARINA</t>
  </si>
  <si>
    <t>b7c7</t>
  </si>
  <si>
    <t>08/03/1818</t>
  </si>
  <si>
    <t>GRAAFF-REINET (?)</t>
  </si>
  <si>
    <t>HIS FATHER LEFT APRIL 1842</t>
  </si>
  <si>
    <t>WINBURG THEN BLOEMFONTEIN</t>
  </si>
  <si>
    <t>VOORSNEEUBERG</t>
  </si>
  <si>
    <t>BETWEEN 04/12/1836 AND 10/04/1842</t>
  </si>
  <si>
    <t>1840s</t>
  </si>
  <si>
    <t xml:space="preserve">APPARENTLY EARLY 1840s </t>
  </si>
  <si>
    <t xml:space="preserve">ca1831 </t>
  </si>
  <si>
    <t>14/11/1898</t>
  </si>
  <si>
    <t>CORNELIS FREDERIK</t>
  </si>
  <si>
    <t>b6c2d2</t>
  </si>
  <si>
    <t>31/10/1801</t>
  </si>
  <si>
    <t>SWARTLAND (MALMESBURY)</t>
  </si>
  <si>
    <t>07/11/1802</t>
  </si>
  <si>
    <t>19/05/1887</t>
  </si>
  <si>
    <t xml:space="preserve">JACOMINA WILHELMINA </t>
  </si>
  <si>
    <t>b1c7d8e1f1</t>
  </si>
  <si>
    <t>20/09/1837</t>
  </si>
  <si>
    <t>BEFORE 03/10/1841</t>
  </si>
  <si>
    <t xml:space="preserve">ANNA ELIZABETH </t>
  </si>
  <si>
    <t>b8c7d4e5</t>
  </si>
  <si>
    <t>11/09/1821</t>
  </si>
  <si>
    <t>JAN ERNST</t>
  </si>
  <si>
    <t>b6c2d1</t>
  </si>
  <si>
    <t>22/01/1800</t>
  </si>
  <si>
    <t>25/12/1800</t>
  </si>
  <si>
    <t>06/05/1832</t>
  </si>
  <si>
    <t>ANTHONIE WILLEM</t>
  </si>
  <si>
    <t>b2c1d2</t>
  </si>
  <si>
    <t>03/03/1824</t>
  </si>
  <si>
    <t>13/02/1825</t>
  </si>
  <si>
    <t>10/09/1855</t>
  </si>
  <si>
    <t>MOSERT</t>
  </si>
  <si>
    <t xml:space="preserve">JOHANNES CHRISTOFFEL SR. </t>
  </si>
  <si>
    <t>30/09/1821</t>
  </si>
  <si>
    <t xml:space="preserve">CECILIA ANNA </t>
  </si>
  <si>
    <t>b3c2d9e6</t>
  </si>
  <si>
    <t>10/02/1808</t>
  </si>
  <si>
    <t>JOHANNES CHRISTOFFEL JR.</t>
  </si>
  <si>
    <t>06/09/1822</t>
  </si>
  <si>
    <t>29/12/1822</t>
  </si>
  <si>
    <t>03/11/1847</t>
  </si>
  <si>
    <t>VERMAAS</t>
  </si>
  <si>
    <t>before 24/07/1852</t>
  </si>
  <si>
    <t>VAN DER SCHYFF</t>
  </si>
  <si>
    <t>19/02/1809</t>
  </si>
  <si>
    <t>HOLTZHAUSEN</t>
  </si>
  <si>
    <t>HILLEGERT</t>
  </si>
  <si>
    <t>b3c1d10</t>
  </si>
  <si>
    <t>08/02/1801</t>
  </si>
  <si>
    <t>05/05/1822</t>
  </si>
  <si>
    <t>b1c8d1e4f1</t>
  </si>
  <si>
    <t>ALTO, ONDER-BOESMANSRIVIER</t>
  </si>
  <si>
    <t xml:space="preserve">LOUIS LORENS </t>
  </si>
  <si>
    <t>b3c3d1e1</t>
  </si>
  <si>
    <t>25/02/1813</t>
  </si>
  <si>
    <t>22/09/1839</t>
  </si>
  <si>
    <t>PROBABLY P.D. JACOBS</t>
  </si>
  <si>
    <t>b3c3d1e3</t>
  </si>
  <si>
    <t>03/12/1816</t>
  </si>
  <si>
    <t>09/03/1817</t>
  </si>
  <si>
    <t>LINDLEYSPOORT, RUSTENBURG</t>
  </si>
  <si>
    <t>18/05/1896</t>
  </si>
  <si>
    <t>08/10/1819</t>
  </si>
  <si>
    <t>24/05/1820</t>
  </si>
  <si>
    <t>MAY 1878</t>
  </si>
  <si>
    <t>BEFORE 04/03/1840</t>
  </si>
  <si>
    <t>DORSLANDTREK OKAVANGO</t>
  </si>
  <si>
    <t>06/11/1878</t>
  </si>
  <si>
    <t xml:space="preserve">ELIZABETH JOHANNA CATHARINA </t>
  </si>
  <si>
    <t>24/09/1843</t>
  </si>
  <si>
    <t>06/05/1844</t>
  </si>
  <si>
    <t>OVAMBOLAND</t>
  </si>
  <si>
    <t>06/07/1887</t>
  </si>
  <si>
    <t>29/06/1888</t>
  </si>
  <si>
    <t xml:space="preserve">HESTER MAGDALENA </t>
  </si>
  <si>
    <t>ALMANSKRAAL, VRYSTAAT</t>
  </si>
  <si>
    <t>16/02/1893</t>
  </si>
  <si>
    <t xml:space="preserve">WILHELMINA HENDRINA </t>
  </si>
  <si>
    <t>CHRISTIAAN WYNAND</t>
  </si>
  <si>
    <t xml:space="preserve">JOHANNES WILLEM </t>
  </si>
  <si>
    <t>MICHIEL FREDERIK</t>
  </si>
  <si>
    <t>b1c5d3</t>
  </si>
  <si>
    <t>b3c6d5</t>
  </si>
  <si>
    <t>b3c6d4</t>
  </si>
  <si>
    <t>18/05/1777</t>
  </si>
  <si>
    <t>06/10/1799</t>
  </si>
  <si>
    <t xml:space="preserve">ENGELA MARIA JOHANNA </t>
  </si>
  <si>
    <t>16/05/1773</t>
  </si>
  <si>
    <t>KOGMANSKLOOF</t>
  </si>
  <si>
    <t>LATER BEAUFORT</t>
  </si>
  <si>
    <t>06/10/1804</t>
  </si>
  <si>
    <t xml:space="preserve">BEFORE 1841 </t>
  </si>
  <si>
    <t xml:space="preserve">(?) ELIZABETH JOHANNA </t>
  </si>
  <si>
    <t>09/02/1821</t>
  </si>
  <si>
    <t>09/06/1839</t>
  </si>
  <si>
    <t xml:space="preserve">SIBELLA SUSANNA MARIA </t>
  </si>
  <si>
    <t>DUVENAGE</t>
  </si>
  <si>
    <t xml:space="preserve">ELIZABETH HENDRIKA </t>
  </si>
  <si>
    <t xml:space="preserve">KUHN </t>
  </si>
  <si>
    <t>08/04/1810</t>
  </si>
  <si>
    <t>GROOTSWARTBERG</t>
  </si>
  <si>
    <t>BEAUFORT THEN PROBABLY ORANJE</t>
  </si>
  <si>
    <t>21/10/1789</t>
  </si>
  <si>
    <t>0CTOBER 1809</t>
  </si>
  <si>
    <t xml:space="preserve">SARA MARIA </t>
  </si>
  <si>
    <t>MARTHA CATHARINA JOACHIMINA</t>
  </si>
  <si>
    <t xml:space="preserve">(?) HESTER CHRISTINA </t>
  </si>
  <si>
    <t>HUGO</t>
  </si>
  <si>
    <t>FRANCOIS PHILIPPUS</t>
  </si>
  <si>
    <t>JACOBUS JOHANNES PETRUS PAULUS</t>
  </si>
  <si>
    <t>PETRUS PAULUS</t>
  </si>
  <si>
    <t>b3c4d6e9</t>
  </si>
  <si>
    <t>b3c1d2e1f1</t>
  </si>
  <si>
    <t>b3c1d2e1f6</t>
  </si>
  <si>
    <t>JOHANNA REGINA</t>
  </si>
  <si>
    <t>TRANSVAAL</t>
  </si>
  <si>
    <t xml:space="preserve">WILHELMINA PETRONELLA CHRISTINA </t>
  </si>
  <si>
    <t>10/12/1816</t>
  </si>
  <si>
    <t>15/12/1816</t>
  </si>
  <si>
    <t xml:space="preserve">ELSJE SUSANNA DOROTHEA MAGDALENA </t>
  </si>
  <si>
    <t>10/07/1821</t>
  </si>
  <si>
    <t xml:space="preserve">CECILIA </t>
  </si>
  <si>
    <t>PETRUS GERHARDUS SR.</t>
  </si>
  <si>
    <t>b5c7d1</t>
  </si>
  <si>
    <t>23/10/1797</t>
  </si>
  <si>
    <t>JOHANNA SUSSANA</t>
  </si>
  <si>
    <t>b1c5d2e6</t>
  </si>
  <si>
    <t>03/07/1804</t>
  </si>
  <si>
    <t>P.L UYS</t>
  </si>
  <si>
    <t>CAREL PHILIPPUS</t>
  </si>
  <si>
    <t>b5c1d5e6</t>
  </si>
  <si>
    <t>14/10/1787</t>
  </si>
  <si>
    <t>01/04/1809</t>
  </si>
  <si>
    <t>AGTER-KOUE BOKKEVELD IN NUWEVELD</t>
  </si>
  <si>
    <t xml:space="preserve">HELENA ELIZABETH </t>
  </si>
  <si>
    <t>b5c1d6e2</t>
  </si>
  <si>
    <t>06/05/1787</t>
  </si>
  <si>
    <t>NOOITGEDACHT, JACOBSDAL (?)</t>
  </si>
  <si>
    <t>16/10/1872</t>
  </si>
  <si>
    <t xml:space="preserve">LOUISA SOPHIA </t>
  </si>
  <si>
    <t xml:space="preserve">JACOBS </t>
  </si>
  <si>
    <t>b1c1d7e10</t>
  </si>
  <si>
    <t>06/10/1792</t>
  </si>
  <si>
    <t>AFTER 30/07/1837</t>
  </si>
  <si>
    <t>ONDER-RIETRIVIER IN JACOBSDAL</t>
  </si>
  <si>
    <t>DANIEL</t>
  </si>
  <si>
    <t>b5c3d11e1</t>
  </si>
  <si>
    <t>08/03/1791</t>
  </si>
  <si>
    <t>08/06/1791</t>
  </si>
  <si>
    <t>KQUAGGAFONTEIN, BOSHOF</t>
  </si>
  <si>
    <t>03/12/1876</t>
  </si>
  <si>
    <t>16/04/1815</t>
  </si>
  <si>
    <t>CATHARINA SUSANNA PETRONELLA</t>
  </si>
  <si>
    <t xml:space="preserve">DANIEL JACOBUS </t>
  </si>
  <si>
    <t>DANIEL ROELOF SR.</t>
  </si>
  <si>
    <t>DANIEL ROELOF JR.</t>
  </si>
  <si>
    <t>DAVID STEPHANUS</t>
  </si>
  <si>
    <t>DAVID STEPHANUS (P. SEUN)</t>
  </si>
  <si>
    <t>GABRIEL GERHARDUS NICOLAAS</t>
  </si>
  <si>
    <t>GERT PETRUS</t>
  </si>
  <si>
    <t>JACOBS(Z)</t>
  </si>
  <si>
    <t xml:space="preserve">JAN </t>
  </si>
  <si>
    <t>JAN ABRAHAM GERHARDUS</t>
  </si>
  <si>
    <t>MICHIEL CHRISTIAAN</t>
  </si>
  <si>
    <t>PAULUS PETRUS</t>
  </si>
  <si>
    <t>PETRUS CASPARUS</t>
  </si>
  <si>
    <t>PETRUS JOHANNES FRANCOIS</t>
  </si>
  <si>
    <t>PHILIPUS</t>
  </si>
  <si>
    <t xml:space="preserve">PHILIPPUS JOHANNES </t>
  </si>
  <si>
    <t>PHILIPPUS PAUL JACOBUS</t>
  </si>
  <si>
    <t xml:space="preserve">PIETER DANIEL SR. </t>
  </si>
  <si>
    <t>PIETER DANIEL JR.</t>
  </si>
  <si>
    <t>RASMUS STEPHANUS LOURENS PETRUS</t>
  </si>
  <si>
    <t>SALOMON JACOBUS</t>
  </si>
  <si>
    <t>SALOMON JACOBUS LOIUS</t>
  </si>
  <si>
    <t>SAREL (CAREL) FRANCOIS</t>
  </si>
  <si>
    <t>SIMON PETRUS JOHAN</t>
  </si>
  <si>
    <t>WILLEM DANIEL</t>
  </si>
  <si>
    <t>WILLEM JOHAN</t>
  </si>
  <si>
    <t>b5c3d11e1f4</t>
  </si>
  <si>
    <t>b5c3d12e1</t>
  </si>
  <si>
    <t>b5c3d8e4</t>
  </si>
  <si>
    <t>b5c3d8e4f5</t>
  </si>
  <si>
    <t>b5c1d6e5</t>
  </si>
  <si>
    <t>b5c3d8e1f(?)</t>
  </si>
  <si>
    <t>b5c3d8e1f7</t>
  </si>
  <si>
    <t>b5c3d8e1f3</t>
  </si>
  <si>
    <t>b2c3d11e7</t>
  </si>
  <si>
    <t>b6c3d1</t>
  </si>
  <si>
    <t>b5c3d12e9</t>
  </si>
  <si>
    <t>b5c3d11e2</t>
  </si>
  <si>
    <t>b5c1d7e7f5</t>
  </si>
  <si>
    <t>b5c1d10e6</t>
  </si>
  <si>
    <t>b5c3d11e1f2</t>
  </si>
  <si>
    <t>b5c1d5e2f6</t>
  </si>
  <si>
    <t>b5c1d6e3</t>
  </si>
  <si>
    <t>b5c1d5e4f6</t>
  </si>
  <si>
    <t>b5c3d11e2f3</t>
  </si>
  <si>
    <t>b5c3d11e1f1</t>
  </si>
  <si>
    <t>b5c1d9e1f2</t>
  </si>
  <si>
    <t>b5c3d8e1</t>
  </si>
  <si>
    <t>b5c3d8e1f2</t>
  </si>
  <si>
    <t>b5c1d9e1</t>
  </si>
  <si>
    <t>b5c1d5e5f4</t>
  </si>
  <si>
    <t>b5c3d12</t>
  </si>
  <si>
    <t>b5c3d12e6</t>
  </si>
  <si>
    <t>b5c3d8e4f6</t>
  </si>
  <si>
    <t>b2c9d2</t>
  </si>
  <si>
    <t>b5c1d6e9</t>
  </si>
  <si>
    <t>b2c9d3</t>
  </si>
  <si>
    <t>12/05/1820</t>
  </si>
  <si>
    <t>28/02/1821</t>
  </si>
  <si>
    <t>FRANCINA CAROLINA</t>
  </si>
  <si>
    <t>17/11/1799</t>
  </si>
  <si>
    <t xml:space="preserve">MARIA SUSANNA ELIZABETH </t>
  </si>
  <si>
    <t>BEAUFORT(?)</t>
  </si>
  <si>
    <t>JACOB DE KLERK (?)</t>
  </si>
  <si>
    <t>SARA CHRISTINA JOHANNE</t>
  </si>
  <si>
    <t>19/02/1792</t>
  </si>
  <si>
    <t>07/03/1812</t>
  </si>
  <si>
    <t>29/11/1824</t>
  </si>
  <si>
    <t>12/06/1825</t>
  </si>
  <si>
    <t xml:space="preserve">POTCHEFSTROOM </t>
  </si>
  <si>
    <t>JACOBSDAL, OVS</t>
  </si>
  <si>
    <t>03/11/1863</t>
  </si>
  <si>
    <t>GRAFF-REINET</t>
  </si>
  <si>
    <t>04/05/1817</t>
  </si>
  <si>
    <t>1839 (?)</t>
  </si>
  <si>
    <t>PIETER DANIEL JACOBS (HIS FATHER)</t>
  </si>
  <si>
    <t>31/10/1817</t>
  </si>
  <si>
    <t>PETRONELLA JACOBA FRANCINA</t>
  </si>
  <si>
    <t>03/11/1839</t>
  </si>
  <si>
    <t>POTCHEFSTROOM THEN HEIDELBERG</t>
  </si>
  <si>
    <t>03/04/1850</t>
  </si>
  <si>
    <t>ELIZABETH MAGDALENA</t>
  </si>
  <si>
    <t>MARIA JOHANNA HENDRIKA</t>
  </si>
  <si>
    <t>HATTING</t>
  </si>
  <si>
    <t>31/05/1809</t>
  </si>
  <si>
    <t>30/09/1809</t>
  </si>
  <si>
    <t xml:space="preserve">FAURESMITH, OVS </t>
  </si>
  <si>
    <t>27/06/1877</t>
  </si>
  <si>
    <t>17/07/1830</t>
  </si>
  <si>
    <t>b14c2d1e5</t>
  </si>
  <si>
    <t>BOSHOF, OVS</t>
  </si>
  <si>
    <t>16/07/1864</t>
  </si>
  <si>
    <t>18/12/1865</t>
  </si>
  <si>
    <t xml:space="preserve">HENDRINA MAGDALENA </t>
  </si>
  <si>
    <t>BOSHOF THEN FAURESMITH</t>
  </si>
  <si>
    <t>30/05/1814</t>
  </si>
  <si>
    <t>28/02/1836</t>
  </si>
  <si>
    <t xml:space="preserve">MARTHA ETRESIA </t>
  </si>
  <si>
    <t>08/01/1812</t>
  </si>
  <si>
    <t>11/10/1812</t>
  </si>
  <si>
    <t>02/02/1834</t>
  </si>
  <si>
    <t>b3c12d4e3</t>
  </si>
  <si>
    <t>08/03/1817</t>
  </si>
  <si>
    <t>26/06/1817</t>
  </si>
  <si>
    <t>04/08/1839</t>
  </si>
  <si>
    <t xml:space="preserve">JOHANNA SUSANNA MAGDALENA </t>
  </si>
  <si>
    <t>b3c7d10e2</t>
  </si>
  <si>
    <t>SWARTLAND</t>
  </si>
  <si>
    <t>BEFORE 04/08/1839</t>
  </si>
  <si>
    <t>WINBURG THEN HARRISMITH</t>
  </si>
  <si>
    <t>24/05/1817</t>
  </si>
  <si>
    <t>13/07/1817</t>
  </si>
  <si>
    <t>CAROLINA ELIZABETH</t>
  </si>
  <si>
    <t xml:space="preserve">NEL </t>
  </si>
  <si>
    <t>24/07/1825</t>
  </si>
  <si>
    <t>KROKODILDRIFT, ELANDSRIVIER, SCHOEMANSDAL</t>
  </si>
  <si>
    <t>CORNELIA JOHANNA SUSARA</t>
  </si>
  <si>
    <t>SOUTPANSBERG (?)</t>
  </si>
  <si>
    <t xml:space="preserve">ANNA JACOMINA </t>
  </si>
  <si>
    <t>20/01/1793</t>
  </si>
  <si>
    <t>09/08/1860</t>
  </si>
  <si>
    <t>05/03/1815</t>
  </si>
  <si>
    <t xml:space="preserve">JOHANNA ELIZABETH </t>
  </si>
  <si>
    <t xml:space="preserve">CATHARINA MARIA </t>
  </si>
  <si>
    <t>27/09/1822</t>
  </si>
  <si>
    <t>15/03/1823</t>
  </si>
  <si>
    <t xml:space="preserve">HILLETJIE MAGDALENA </t>
  </si>
  <si>
    <t>11/08/1799</t>
  </si>
  <si>
    <t>20/07/1822</t>
  </si>
  <si>
    <t>BETWEEN 25/12/1836 AND APRIL 1842</t>
  </si>
  <si>
    <t xml:space="preserve">MARTHA JOHANNA </t>
  </si>
  <si>
    <t>29/10/1786</t>
  </si>
  <si>
    <t>02/03/1811</t>
  </si>
  <si>
    <t>BETWEEN APRIL 1837 AND OCTOBER 1838</t>
  </si>
  <si>
    <t>S.P. ERASMUS (?)</t>
  </si>
  <si>
    <t>15/03/1817</t>
  </si>
  <si>
    <t>007/07/1817</t>
  </si>
  <si>
    <t>04/03/1838</t>
  </si>
  <si>
    <t xml:space="preserve">HOUGH </t>
  </si>
  <si>
    <t>BLOEMFONTEIN THEN CAPE COLONY</t>
  </si>
  <si>
    <t>12/04/1864</t>
  </si>
  <si>
    <t>JUDITH MAGDALENA</t>
  </si>
  <si>
    <t>ROBINSON</t>
  </si>
  <si>
    <t>29/03/1806</t>
  </si>
  <si>
    <t>14/09/1806</t>
  </si>
  <si>
    <t>EARLY 1840S</t>
  </si>
  <si>
    <t xml:space="preserve">TRANSORANJE </t>
  </si>
  <si>
    <t>11/10/1789</t>
  </si>
  <si>
    <t>08/09/1811</t>
  </si>
  <si>
    <t>ANNA MARIA JACOBA</t>
  </si>
  <si>
    <t>VAN RENSBURG</t>
  </si>
  <si>
    <t>BAREND DANIEL THEODORUS JANSE</t>
  </si>
  <si>
    <t>b1c5d7e10</t>
  </si>
  <si>
    <t>6/2/1824</t>
  </si>
  <si>
    <t>23/11/1824</t>
  </si>
  <si>
    <t>FREDERIK RUDOLPH JANSE</t>
  </si>
  <si>
    <t>b1c5d7e6</t>
  </si>
  <si>
    <t>4/11/1811</t>
  </si>
  <si>
    <t>22/8/1812</t>
  </si>
  <si>
    <t>GYSBERT SYBRAND JOHANNES JANSE</t>
  </si>
  <si>
    <t>b1c2d3e1f6</t>
  </si>
  <si>
    <t>7/8/1824</t>
  </si>
  <si>
    <t>6/2/1825</t>
  </si>
  <si>
    <t>HENDRIK CHRISTOFFEL JANSE</t>
  </si>
  <si>
    <t>b5c5d8</t>
  </si>
  <si>
    <t>21/1/1800</t>
  </si>
  <si>
    <t>9/3/1800</t>
  </si>
  <si>
    <t>b1c1d4e5f1</t>
  </si>
  <si>
    <t>19/9/1819</t>
  </si>
  <si>
    <t>5/12/1819</t>
  </si>
  <si>
    <t>b1c1d4e5</t>
  </si>
  <si>
    <t>29/1/1792</t>
  </si>
  <si>
    <t>b1c1d4e2f1</t>
  </si>
  <si>
    <t>2/12/1810</t>
  </si>
  <si>
    <t>HENDRIK JOHANNES JANSE</t>
  </si>
  <si>
    <t>4/8/1808</t>
  </si>
  <si>
    <t>3/9/1809</t>
  </si>
  <si>
    <t>HENDRIK NICOLAAS JANSE</t>
  </si>
  <si>
    <t>b1c1d4e6f1</t>
  </si>
  <si>
    <t>11/5/1815</t>
  </si>
  <si>
    <t>27/7/1816</t>
  </si>
  <si>
    <t>JACOBUS JOHANNES JANSE</t>
  </si>
  <si>
    <t>b5c4d2e5</t>
  </si>
  <si>
    <t>18/3/1812</t>
  </si>
  <si>
    <t>17/12/1812</t>
  </si>
  <si>
    <t>JOHANNES FREDERIK JANSE (LANG HANS)</t>
  </si>
  <si>
    <t>b1c5d2e9</t>
  </si>
  <si>
    <t>DISTRIK SWELLENDAM</t>
  </si>
  <si>
    <t>20/12/1810</t>
  </si>
  <si>
    <t>1/7/1811</t>
  </si>
  <si>
    <t>JOHANNES JACOBUS JANSE (LANG HANS)</t>
  </si>
  <si>
    <t>b1c2d3e1</t>
  </si>
  <si>
    <t>12/8/1779</t>
  </si>
  <si>
    <t>25/12/1779</t>
  </si>
  <si>
    <t>JOHANNES LODEWIKUS JANSE</t>
  </si>
  <si>
    <t>b1c1e4d5f3</t>
  </si>
  <si>
    <t>13/3/1824</t>
  </si>
  <si>
    <t>23/1/1825</t>
  </si>
  <si>
    <t>JOHANNES LODEWYK</t>
  </si>
  <si>
    <t>b5c2d2e1f1</t>
  </si>
  <si>
    <t>11/9/1819</t>
  </si>
  <si>
    <t>21/5/1820</t>
  </si>
  <si>
    <t>JOHANNES NICOLAAS JANSE</t>
  </si>
  <si>
    <t>b5c2d2e1</t>
  </si>
  <si>
    <t>21/4/1793</t>
  </si>
  <si>
    <t>JOSEPHUS CORNELIS JANSE</t>
  </si>
  <si>
    <t>b1c1d7e8</t>
  </si>
  <si>
    <t>3/1/1815</t>
  </si>
  <si>
    <t>30/1/1815</t>
  </si>
  <si>
    <t>LUCAS MARTHINUS JANSE</t>
  </si>
  <si>
    <t>b5c5d2e2</t>
  </si>
  <si>
    <t>5/10/1820</t>
  </si>
  <si>
    <t>4/3/1821</t>
  </si>
  <si>
    <t>b5c5d9</t>
  </si>
  <si>
    <t>11/3/1803</t>
  </si>
  <si>
    <t>LUCAS WILLEM JANSE</t>
  </si>
  <si>
    <t>b1c1d4e6</t>
  </si>
  <si>
    <t>28/9/1794</t>
  </si>
  <si>
    <t>NICOLAAS JANSE</t>
  </si>
  <si>
    <t>b1c1d4e2</t>
  </si>
  <si>
    <t>16/6/1786</t>
  </si>
  <si>
    <t>NICOLAAS JOHANNES JANSE</t>
  </si>
  <si>
    <t>b5c4d4</t>
  </si>
  <si>
    <t>9/5/1784</t>
  </si>
  <si>
    <t>NICOLAAS JOHANNES JANSE JR.</t>
  </si>
  <si>
    <t>b4c1d1e6f1</t>
  </si>
  <si>
    <t>NICOLAAS MARTHINUS JANSE</t>
  </si>
  <si>
    <t>b5c5d2</t>
  </si>
  <si>
    <t>21/12/1783</t>
  </si>
  <si>
    <t>PETRUS JOHANNES JANSE</t>
  </si>
  <si>
    <t>b5c2d2e4</t>
  </si>
  <si>
    <t>28/7/1799</t>
  </si>
  <si>
    <t>b5c2d2e1f3</t>
  </si>
  <si>
    <t>18/10/1824</t>
  </si>
  <si>
    <t>13/2/1825</t>
  </si>
  <si>
    <t>PETRUS NICOLAAS JANSE</t>
  </si>
  <si>
    <t>b5c4d2e4</t>
  </si>
  <si>
    <t>27/4/1810</t>
  </si>
  <si>
    <t>REYNIER JANSE</t>
  </si>
  <si>
    <t>b1c3d16</t>
  </si>
  <si>
    <t>19/5/1794</t>
  </si>
  <si>
    <t>STEPHANUS HENDRIK JANSE</t>
  </si>
  <si>
    <t>b1c1d4e13</t>
  </si>
  <si>
    <t>27/8/1812</t>
  </si>
  <si>
    <t>6/6/1813</t>
  </si>
  <si>
    <t>STEPHANUS JANSE (LUCAS WILLEM SEUN)</t>
  </si>
  <si>
    <t>b1c1d4e6f3</t>
  </si>
  <si>
    <t>1819-1829</t>
  </si>
  <si>
    <t>STEPHANUS JOHANNES JANSE</t>
  </si>
  <si>
    <t>b5c4d4e3</t>
  </si>
  <si>
    <t>24/10/1813</t>
  </si>
  <si>
    <t>b1c1d4e2f3</t>
  </si>
  <si>
    <t>21/6/1811</t>
  </si>
  <si>
    <t>20/3/1814</t>
  </si>
  <si>
    <t>WILLEM (L.SEUN)</t>
  </si>
  <si>
    <t>b1c1d4e6f</t>
  </si>
  <si>
    <t>WILLEM CORNELIS JANSE</t>
  </si>
  <si>
    <t>b1c1d4e15</t>
  </si>
  <si>
    <t>16/5/1818</t>
  </si>
  <si>
    <t>2/2/1819</t>
  </si>
  <si>
    <t>WILLEM HENDRIK JANSE</t>
  </si>
  <si>
    <t>b5c4d4e2</t>
  </si>
  <si>
    <t>3/3/1811</t>
  </si>
  <si>
    <t>26/5/1809</t>
  </si>
  <si>
    <t>7/11/1813</t>
  </si>
  <si>
    <t>WILLEM JACOBUS JANSE</t>
  </si>
  <si>
    <t>18/6/1820</t>
  </si>
  <si>
    <t>21/1/1827</t>
  </si>
  <si>
    <t>ANDRIES IGNATIUS MARTHINUS</t>
  </si>
  <si>
    <t>b10c2d7</t>
  </si>
  <si>
    <t>19/1/1804</t>
  </si>
  <si>
    <t>8/4/1804</t>
  </si>
  <si>
    <t>CHRISTIAAN STEPHANUS</t>
  </si>
  <si>
    <t>b8c6d3e4</t>
  </si>
  <si>
    <t>22/5/1817</t>
  </si>
  <si>
    <t>10/8/1817</t>
  </si>
  <si>
    <t>b8c6d3</t>
  </si>
  <si>
    <t>10/4/1791</t>
  </si>
  <si>
    <t>b10c2d2</t>
  </si>
  <si>
    <t>26/3/1809</t>
  </si>
  <si>
    <t>b8c6d1e7</t>
  </si>
  <si>
    <t>22/6/1821</t>
  </si>
  <si>
    <t>30/9/1821</t>
  </si>
  <si>
    <t>b8c1d5e5</t>
  </si>
  <si>
    <t>12/11/1818</t>
  </si>
  <si>
    <t>18/4/1819</t>
  </si>
  <si>
    <t>b8c1d3e2</t>
  </si>
  <si>
    <t>20/1/1811</t>
  </si>
  <si>
    <t>b10c2d2e1</t>
  </si>
  <si>
    <t>12/10/1810</t>
  </si>
  <si>
    <t>b4c1d2e1</t>
  </si>
  <si>
    <t>24/3/1812</t>
  </si>
  <si>
    <t>6/7/1812</t>
  </si>
  <si>
    <t>b10c2d3e1</t>
  </si>
  <si>
    <t>17/9/1809</t>
  </si>
  <si>
    <t>6/11/1809</t>
  </si>
  <si>
    <t>DIRK REYNIER</t>
  </si>
  <si>
    <t>b10c2d2e4</t>
  </si>
  <si>
    <t>3/5/1816</t>
  </si>
  <si>
    <t>15/2/1817</t>
  </si>
  <si>
    <t>ELEMANS JOACHIM</t>
  </si>
  <si>
    <t>b8c3d1e9</t>
  </si>
  <si>
    <t>22/7/1821</t>
  </si>
  <si>
    <t>5/8/1821</t>
  </si>
  <si>
    <t>b8c1d2</t>
  </si>
  <si>
    <t>17/2/1782</t>
  </si>
  <si>
    <t>GERRIT HILGARD</t>
  </si>
  <si>
    <t>b8c1d3e4</t>
  </si>
  <si>
    <t>17/4/1813</t>
  </si>
  <si>
    <t>17/7/1814</t>
  </si>
  <si>
    <t>GERRIT REYNIER</t>
  </si>
  <si>
    <t>b8c6d1</t>
  </si>
  <si>
    <t>2/3/1788</t>
  </si>
  <si>
    <t>GERRIT THOMAS</t>
  </si>
  <si>
    <t>b8c3d1e3</t>
  </si>
  <si>
    <t>7/12/1809</t>
  </si>
  <si>
    <t>b8c3d1</t>
  </si>
  <si>
    <t>3/11/1782</t>
  </si>
  <si>
    <t>GYSBERTUS</t>
  </si>
  <si>
    <t>b4c1d8</t>
  </si>
  <si>
    <t>9/11/1798</t>
  </si>
  <si>
    <t>IGNATIUS MARTHINUS</t>
  </si>
  <si>
    <t>b8c3d1e7</t>
  </si>
  <si>
    <t>26/5/1817</t>
  </si>
  <si>
    <t>25/12/1817</t>
  </si>
  <si>
    <t>b10c2d3</t>
  </si>
  <si>
    <t>4/1/1789</t>
  </si>
  <si>
    <t>IZAK PETRUS</t>
  </si>
  <si>
    <t>b10c2d2e7</t>
  </si>
  <si>
    <t>12/8/1822</t>
  </si>
  <si>
    <t>12/1/1823</t>
  </si>
  <si>
    <t>LUCAS MARTHINUS</t>
  </si>
  <si>
    <t>b8c1d3e3</t>
  </si>
  <si>
    <t>5/8/1810</t>
  </si>
  <si>
    <t>13/1/1811</t>
  </si>
  <si>
    <t>PETRUS HENDRIK</t>
  </si>
  <si>
    <t>b8c6d1e8</t>
  </si>
  <si>
    <t>9/11/1824</t>
  </si>
  <si>
    <t>16/1/1825</t>
  </si>
  <si>
    <t>b8c3d1e4</t>
  </si>
  <si>
    <t>19/8/1811</t>
  </si>
  <si>
    <t>ROELOF JOHANNES JURGEN</t>
  </si>
  <si>
    <t>b8c3d1e5</t>
  </si>
  <si>
    <t>ROELOF THEUNIS JOHANNES</t>
  </si>
  <si>
    <t>b8c6d12</t>
  </si>
  <si>
    <t>12/3/1809</t>
  </si>
  <si>
    <t>STEPHANUS CHRISTIAAN</t>
  </si>
  <si>
    <t>b8c6d1e6</t>
  </si>
  <si>
    <t>16/9/1819</t>
  </si>
  <si>
    <t>THEODORUS CORNELIS</t>
  </si>
  <si>
    <t>b8c3b1e2</t>
  </si>
  <si>
    <t>13/3/1808</t>
  </si>
  <si>
    <t>GERHARDUS GERT COENRAAD (GERRIT)</t>
  </si>
  <si>
    <t>b2c3d3e2f3g2</t>
  </si>
  <si>
    <t>11/2/1821</t>
  </si>
  <si>
    <t>b2c3d3e2f3</t>
  </si>
  <si>
    <t>16/2/1800</t>
  </si>
  <si>
    <t>JOHANNES ADOLPH</t>
  </si>
  <si>
    <t>b2c3d2e1f9</t>
  </si>
  <si>
    <t>12/4/1814</t>
  </si>
  <si>
    <t>20/11/1814</t>
  </si>
  <si>
    <t>PHILIPPUS LODEWICUS</t>
  </si>
  <si>
    <t>b2c3d3e2f6</t>
  </si>
  <si>
    <t>12/12/1807</t>
  </si>
  <si>
    <t>1/2/1809</t>
  </si>
  <si>
    <t>b2c3d3e2f2</t>
  </si>
  <si>
    <t>1/4/1798</t>
  </si>
  <si>
    <t>TOBIAS GERHARDUS</t>
  </si>
  <si>
    <t>b2c3d2e1f1</t>
  </si>
  <si>
    <t>26/12/1799</t>
  </si>
  <si>
    <t>CHRISTIAAN JOHANNES</t>
  </si>
  <si>
    <t>b1c2d6e5f2</t>
  </si>
  <si>
    <t>CHRISTIAAN PHILIP</t>
  </si>
  <si>
    <t>b1c2d6e5</t>
  </si>
  <si>
    <t>b1c2d6e9f2</t>
  </si>
  <si>
    <t>HERMANUS JOHANNES</t>
  </si>
  <si>
    <t>b1c2d6e11f5</t>
  </si>
  <si>
    <t>23/12/1810</t>
  </si>
  <si>
    <t>5/6/1811</t>
  </si>
  <si>
    <t>b1c2d6e10f2</t>
  </si>
  <si>
    <t>7/11/1802</t>
  </si>
  <si>
    <t>b1c2d6e9f1</t>
  </si>
  <si>
    <t>2/5/1805</t>
  </si>
  <si>
    <t>11/5/1806</t>
  </si>
  <si>
    <t>b1c2d6e11f1</t>
  </si>
  <si>
    <t>b1c2d6e5f1</t>
  </si>
  <si>
    <t>10/8/1794</t>
  </si>
  <si>
    <t>b1c2d64f4</t>
  </si>
  <si>
    <t>b1c2d6e5f3</t>
  </si>
  <si>
    <t>4/8/1803</t>
  </si>
  <si>
    <t>JOHANNES JURIE</t>
  </si>
  <si>
    <t>b1c2d6e8f3</t>
  </si>
  <si>
    <t>8/11/1806</t>
  </si>
  <si>
    <t>2/8/1807</t>
  </si>
  <si>
    <t>MARTHINUS JACOBUS</t>
  </si>
  <si>
    <t>b1c2d6e4f4g2</t>
  </si>
  <si>
    <t>24/7/1822</t>
  </si>
  <si>
    <t>6/10/1822</t>
  </si>
  <si>
    <t>b1c2d7e1f2</t>
  </si>
  <si>
    <t>b6c2d8e5</t>
  </si>
  <si>
    <t>18/5/1807</t>
  </si>
  <si>
    <t>MARTHINUS PETRUS</t>
  </si>
  <si>
    <t>b1c2d7e1</t>
  </si>
  <si>
    <t>9/7/1775</t>
  </si>
  <si>
    <t>NICOLAAS HERMANUS</t>
  </si>
  <si>
    <t>b1c2d6e4f8</t>
  </si>
  <si>
    <t>2/7/1808</t>
  </si>
  <si>
    <t>26/11/1809</t>
  </si>
  <si>
    <t>1/3/1772</t>
  </si>
  <si>
    <t>b1c2d6e6f1g4</t>
  </si>
  <si>
    <t>8/11/1825</t>
  </si>
  <si>
    <t>29/1/1826</t>
  </si>
  <si>
    <t>b1c2d7e1f8</t>
  </si>
  <si>
    <t>29/5/1823</t>
  </si>
  <si>
    <t>21/3/1824</t>
  </si>
  <si>
    <t>PETRUS JOHANNES JR.</t>
  </si>
  <si>
    <t>b1c2d6e10f3g1</t>
  </si>
  <si>
    <t>16/6/1823</t>
  </si>
  <si>
    <t>28/9/1823</t>
  </si>
  <si>
    <t>PETRUS JOHANNES SR.</t>
  </si>
  <si>
    <t>b1c2d6e10f3</t>
  </si>
  <si>
    <t>10/9/1804</t>
  </si>
  <si>
    <t>5/5/1805</t>
  </si>
  <si>
    <t>PHILIPPUS THEUNIS</t>
  </si>
  <si>
    <t>b1c2d6e9f1g1</t>
  </si>
  <si>
    <t>25/8/1825</t>
  </si>
  <si>
    <t>2/10/1825</t>
  </si>
  <si>
    <t>?b1c2d6e9f3?</t>
  </si>
  <si>
    <t>5/8/1809</t>
  </si>
  <si>
    <t>b1c2d6e9</t>
  </si>
  <si>
    <t>20/12/1778</t>
  </si>
  <si>
    <t>b1c2d6</t>
  </si>
  <si>
    <t>17/6/1820</t>
  </si>
  <si>
    <t>5/11/1820</t>
  </si>
  <si>
    <t>FRANCOIS CORNELIUS</t>
  </si>
  <si>
    <t>b1c8</t>
  </si>
  <si>
    <t>13/5/1804</t>
  </si>
  <si>
    <t>JACOB ABRAHAM</t>
  </si>
  <si>
    <t>28/10/1787</t>
  </si>
  <si>
    <t>b1c11</t>
  </si>
  <si>
    <t>4/3/1810</t>
  </si>
  <si>
    <t>VAN TONDER</t>
  </si>
  <si>
    <t>b3c3d2e1</t>
  </si>
  <si>
    <t>3/1/1809</t>
  </si>
  <si>
    <t>16/7/1809</t>
  </si>
  <si>
    <t>b7c1d4</t>
  </si>
  <si>
    <t>27/9/1792</t>
  </si>
  <si>
    <t xml:space="preserve">ANDRIES JOHANNES </t>
  </si>
  <si>
    <t>b3c2d3e1</t>
  </si>
  <si>
    <t>7/6/1807</t>
  </si>
  <si>
    <t>26/3/1808</t>
  </si>
  <si>
    <t>ANDRIES JOHANNES JACOBUS</t>
  </si>
  <si>
    <t>b7c1d4e1</t>
  </si>
  <si>
    <t>10/11/1811</t>
  </si>
  <si>
    <t>CORNELIS JOHANNES PETRUS</t>
  </si>
  <si>
    <t>b3c1d2e5f3</t>
  </si>
  <si>
    <t>23/4/1876</t>
  </si>
  <si>
    <t>CORNELIS WYNAND</t>
  </si>
  <si>
    <t>b3c2d3e6</t>
  </si>
  <si>
    <t>15/10/1818</t>
  </si>
  <si>
    <t>11/4/1819</t>
  </si>
  <si>
    <t>b7c5d3</t>
  </si>
  <si>
    <t>8/10/1797</t>
  </si>
  <si>
    <t>JACOB JOHANNES PETRUS</t>
  </si>
  <si>
    <t>b3c2d3e4</t>
  </si>
  <si>
    <t>6/10/1811</t>
  </si>
  <si>
    <t>27/10/1857</t>
  </si>
  <si>
    <t>KAAPSTAD</t>
  </si>
  <si>
    <t>23/1/1788</t>
  </si>
  <si>
    <t>24/11/1855</t>
  </si>
  <si>
    <t>ROELOF CHRISTOFFEL</t>
  </si>
  <si>
    <t>b3c8d6</t>
  </si>
  <si>
    <t>5/4/1807</t>
  </si>
  <si>
    <t>24/3/1888</t>
  </si>
  <si>
    <t>b3c2d2</t>
  </si>
  <si>
    <t>29/11/1778</t>
  </si>
  <si>
    <t>WILLEM MARTHINUS</t>
  </si>
  <si>
    <t>b3c1d2e4</t>
  </si>
  <si>
    <t>28/3/1793</t>
  </si>
  <si>
    <t>12/5/1793</t>
  </si>
  <si>
    <t>VAN VUUREN</t>
  </si>
  <si>
    <t>CHRISTOFFEL JOHANNES JANSE</t>
  </si>
  <si>
    <t>b2c4d83f7</t>
  </si>
  <si>
    <t>23/10/1825</t>
  </si>
  <si>
    <t>RIETFONTEIN, POTCHEFSTROOM</t>
  </si>
  <si>
    <t>16/2/1903</t>
  </si>
  <si>
    <t>DANIEL JANSE</t>
  </si>
  <si>
    <t>b2c3d8</t>
  </si>
  <si>
    <t>7/9/1767</t>
  </si>
  <si>
    <t>DANIEL JOHANNES MARTHINUS JANSE</t>
  </si>
  <si>
    <t>b2c4d5e7f2</t>
  </si>
  <si>
    <t>29/10/1820</t>
  </si>
  <si>
    <t>KONSENTRASIEKAMP, NYLSTROOM</t>
  </si>
  <si>
    <t>21/8/1901</t>
  </si>
  <si>
    <t>DANIEL RUDOPLH JANSE</t>
  </si>
  <si>
    <t>b2c4d5e6f2</t>
  </si>
  <si>
    <t>24/4/1819</t>
  </si>
  <si>
    <t>KONSENTRASIEKAMP, MIDDELBURG TVL.</t>
  </si>
  <si>
    <t>17/4/1902</t>
  </si>
  <si>
    <t>b2c4d5e6</t>
  </si>
  <si>
    <t>5/11/1790</t>
  </si>
  <si>
    <t>WILGEBOOMSPRUIT, MARICO</t>
  </si>
  <si>
    <t>VOOR 1869</t>
  </si>
  <si>
    <t>DAVID SCHALK JANSE</t>
  </si>
  <si>
    <t>b2c4d8e3f5</t>
  </si>
  <si>
    <t>4/4/1822</t>
  </si>
  <si>
    <t>DRIEFONTEIN, POTCHEFSTROOM</t>
  </si>
  <si>
    <t>4/4/1889</t>
  </si>
  <si>
    <t>GERHARDUS JOHANNES JANSE</t>
  </si>
  <si>
    <t>b2c4d3e3f5</t>
  </si>
  <si>
    <t>22/9/1814</t>
  </si>
  <si>
    <t>BULTFONTEIN, KROONSTAD</t>
  </si>
  <si>
    <t>13/3/1863</t>
  </si>
  <si>
    <t>GERRIT (GERT) JOHANNES JANSE</t>
  </si>
  <si>
    <t>b2c4d8e3f4</t>
  </si>
  <si>
    <t>24/2/1820</t>
  </si>
  <si>
    <t>BUFFELSHOEK NO. 629, POTCHEFSTROOM</t>
  </si>
  <si>
    <t>12/8/1886</t>
  </si>
  <si>
    <t>HENDRIK LOURENS JANSE</t>
  </si>
  <si>
    <t>b2c4d3e3f2</t>
  </si>
  <si>
    <t>2/4/1806</t>
  </si>
  <si>
    <t>20/4/1806</t>
  </si>
  <si>
    <t>SMITHFIELD, OVS</t>
  </si>
  <si>
    <t>12/9/1860</t>
  </si>
  <si>
    <t>HESTER JANSE (WEDUWEE RUDOLPH J.BRONKHORST)</t>
  </si>
  <si>
    <t>26/9/1773</t>
  </si>
  <si>
    <t>JACOBUS JEREMIAS JANSE</t>
  </si>
  <si>
    <t>b2c4d8e3f2</t>
  </si>
  <si>
    <t>2/11/1816</t>
  </si>
  <si>
    <t>WITPOORT, KLIPPLAATSDRIF, VENTERSDORP</t>
  </si>
  <si>
    <t>1/10/1872</t>
  </si>
  <si>
    <t>JOHANNES GERHARDUS JANSE</t>
  </si>
  <si>
    <t>b2c3d10e6</t>
  </si>
  <si>
    <t>29/12/1812</t>
  </si>
  <si>
    <t>JAKKALSFONTEIN, KLERKSDORP</t>
  </si>
  <si>
    <t>31/1/1888</t>
  </si>
  <si>
    <t>JOHANNES JANSE</t>
  </si>
  <si>
    <t>b2c3d1e4</t>
  </si>
  <si>
    <t>21/9/1783</t>
  </si>
  <si>
    <t>KRANSPOORT, MIDDELBURG</t>
  </si>
  <si>
    <t>24/6/1865</t>
  </si>
  <si>
    <t>JOHANNES MARTHINUS JANSE</t>
  </si>
  <si>
    <t>b2c4d5e7</t>
  </si>
  <si>
    <t>GROOT-SWARTBERG</t>
  </si>
  <si>
    <t>RIETFONTEIN, KLEIN-MARICO</t>
  </si>
  <si>
    <t>16/3/1877</t>
  </si>
  <si>
    <t>JOHANNES MARTINUS JANSE</t>
  </si>
  <si>
    <t>b2c4d5e6f1</t>
  </si>
  <si>
    <t>20/4/1817</t>
  </si>
  <si>
    <t>WITFONTEIN, MARICO</t>
  </si>
  <si>
    <t>7/12/1883</t>
  </si>
  <si>
    <t>JOHANNUS JANSE</t>
  </si>
  <si>
    <t>b2c3d8e1</t>
  </si>
  <si>
    <t>6/4/1794</t>
  </si>
  <si>
    <t>VOOR 1875</t>
  </si>
  <si>
    <t>LOURENS JANSE</t>
  </si>
  <si>
    <t>b2c3d10</t>
  </si>
  <si>
    <t>27/5/1770</t>
  </si>
  <si>
    <t>LOURENS PETRUS JANSE</t>
  </si>
  <si>
    <t>b2c4d10e4</t>
  </si>
  <si>
    <t>6/7/1804</t>
  </si>
  <si>
    <t>21/10/1804 (?)</t>
  </si>
  <si>
    <t>KLIPSPRUIT, WOLMARANSSTAD</t>
  </si>
  <si>
    <t>11/3/1872</t>
  </si>
  <si>
    <t>LUCAS CORNELIS JANSE</t>
  </si>
  <si>
    <t>b2c4d4e1f10</t>
  </si>
  <si>
    <t>14/8/1824</t>
  </si>
  <si>
    <t>b2c4d8e3f6</t>
  </si>
  <si>
    <t>29/9/1823</t>
  </si>
  <si>
    <t>TWEEFONTEIN, WAKKERSTROOM</t>
  </si>
  <si>
    <t>31/1/1895</t>
  </si>
  <si>
    <t>LUCAS GERHARDUS JANSE</t>
  </si>
  <si>
    <t>b2c3d8e7</t>
  </si>
  <si>
    <t>17/6/1819</t>
  </si>
  <si>
    <t>RIETFONTEIN NO.659, POTCHEFSTROOM</t>
  </si>
  <si>
    <t>JULIE 1912</t>
  </si>
  <si>
    <t>LUCAS RUDOLPH JANSE</t>
  </si>
  <si>
    <t>b2c3d10e7</t>
  </si>
  <si>
    <t>26/1/1821</t>
  </si>
  <si>
    <t>DE POORTJE, GATSRAND, POTCHEFSTROOM</t>
  </si>
  <si>
    <t>26/11/1912</t>
  </si>
  <si>
    <t>PETRUS JACOBUS JANSE</t>
  </si>
  <si>
    <t>b2c4d3e3f6</t>
  </si>
  <si>
    <t>29/8/1817</t>
  </si>
  <si>
    <t>KONSENTRASIEKAMP, VREDEFORT</t>
  </si>
  <si>
    <t>5/11/1901</t>
  </si>
  <si>
    <t>b2c4d5e7f4</t>
  </si>
  <si>
    <t>PETRUS LOURENS JANSE</t>
  </si>
  <si>
    <t>b2c3d3e5</t>
  </si>
  <si>
    <t>17/3/1812</t>
  </si>
  <si>
    <t>KOEDOESFONTEIN NO.12, POTCHEFSTROOM</t>
  </si>
  <si>
    <t>3/10/1889</t>
  </si>
  <si>
    <t>ROELOF JOHANNES JANSE</t>
  </si>
  <si>
    <t>b2c3d1e4f1</t>
  </si>
  <si>
    <t>BO-OLIFANTSRIVIER, GEORGE</t>
  </si>
  <si>
    <t>4/3/1814</t>
  </si>
  <si>
    <t>WILLOWKLOOF, VROEER DEEL VAN KRANSPOORT, NABY ESTANCIA, ERMELO</t>
  </si>
  <si>
    <t>1/9/1881</t>
  </si>
  <si>
    <t>ROELOF PETRUS JANSE</t>
  </si>
  <si>
    <t>b2c3d8e8</t>
  </si>
  <si>
    <t>27/3/1821</t>
  </si>
  <si>
    <t>BUFFELSHOEK, POTCHEFSTROOM</t>
  </si>
  <si>
    <t>STEPHANUS JOHANNES JANSE JR.</t>
  </si>
  <si>
    <t>b2c4d5e2f5</t>
  </si>
  <si>
    <t>LEEUDOORNS, WYK ZOUTPAN NO.2, LICHTENBURG</t>
  </si>
  <si>
    <t>1/2/1890</t>
  </si>
  <si>
    <t>STEPHANUS JOHANNES JANSE SR.</t>
  </si>
  <si>
    <t>b2c4d5e2</t>
  </si>
  <si>
    <t>23/10/1781</t>
  </si>
  <si>
    <t>BOSCHFONTEIN, PMB.</t>
  </si>
  <si>
    <t>17/2/1865</t>
  </si>
  <si>
    <t>STEPHANUS PETRUS JANSE JR.</t>
  </si>
  <si>
    <t>b2c4d8e3f1</t>
  </si>
  <si>
    <t>6/7/1814</t>
  </si>
  <si>
    <t>EIGENAARSFONTEIN, POTCHEFSTROOM</t>
  </si>
  <si>
    <t>31/12/1882</t>
  </si>
  <si>
    <t>STEPHANUS PETRUS JANSE SR.</t>
  </si>
  <si>
    <t>b2c4d8e3</t>
  </si>
  <si>
    <t>30/8/1792</t>
  </si>
  <si>
    <t>1/4/1793</t>
  </si>
  <si>
    <t>ROOIPOORTJIE, WYK VAALRIVIER, POTCHEFSTROOM</t>
  </si>
  <si>
    <t>ADRIAAN JACOBUS ADOLPH</t>
  </si>
  <si>
    <t>b1c5d4e6f1</t>
  </si>
  <si>
    <t>30/6/1799</t>
  </si>
  <si>
    <t>KOPPIESFONTEIN, BOSHOF</t>
  </si>
  <si>
    <t>10/8/1869</t>
  </si>
  <si>
    <t>ADRIAAN PIETER</t>
  </si>
  <si>
    <t>b1c5d1e4f3</t>
  </si>
  <si>
    <t>24/3/1804</t>
  </si>
  <si>
    <t>22/9/1805</t>
  </si>
  <si>
    <t>CASPER JAN HENDRIK</t>
  </si>
  <si>
    <t>b1c5d3e1f4g2</t>
  </si>
  <si>
    <t>8/4/1806</t>
  </si>
  <si>
    <t>SCHILPADFONTEIN, CALEDONRIVIER (SMITHFIELD)</t>
  </si>
  <si>
    <t>22/9/1878</t>
  </si>
  <si>
    <t>CORNELIS JOHANNES ABRAHAM</t>
  </si>
  <si>
    <t>b6c8d3e1</t>
  </si>
  <si>
    <t>22/7/1798</t>
  </si>
  <si>
    <t>31/12/1852</t>
  </si>
  <si>
    <t>EINDE JULIE 1836</t>
  </si>
  <si>
    <t>GERRIT JACOBUS</t>
  </si>
  <si>
    <t>1/9/1818</t>
  </si>
  <si>
    <t>20/9/1818</t>
  </si>
  <si>
    <t>RIETVLEI</t>
  </si>
  <si>
    <t>GERRIT MATTHYS</t>
  </si>
  <si>
    <t>b3c8d6e4</t>
  </si>
  <si>
    <t>26/9/1804</t>
  </si>
  <si>
    <t>25/8/1805</t>
  </si>
  <si>
    <t>OVERDAM, HOPETOWN</t>
  </si>
  <si>
    <t>23/2/1859</t>
  </si>
  <si>
    <t>HENDRIK JOHANNES JACOBUS RUDOLPH</t>
  </si>
  <si>
    <t>b1c3d9e6f4</t>
  </si>
  <si>
    <t>4/1/1810</t>
  </si>
  <si>
    <t>31/7/1876</t>
  </si>
  <si>
    <t>HENNING JACOBUS</t>
  </si>
  <si>
    <t>b3c8d6e3</t>
  </si>
  <si>
    <t>ONDER-ROGGEVELD</t>
  </si>
  <si>
    <t>26/10/1802</t>
  </si>
  <si>
    <t>4/9/1803</t>
  </si>
  <si>
    <t>WELTEVREDEN, KOMATIE</t>
  </si>
  <si>
    <t>29/5/1875</t>
  </si>
  <si>
    <t>JACOB PIETER</t>
  </si>
  <si>
    <t>b1c5d1e2f3</t>
  </si>
  <si>
    <t>27/9/1804</t>
  </si>
  <si>
    <t>21/9/1805</t>
  </si>
  <si>
    <t>GLADDEDRIFT, KROONSTAD</t>
  </si>
  <si>
    <t>6/5/1863</t>
  </si>
  <si>
    <t>b1c5d7e8f4</t>
  </si>
  <si>
    <t>JONKERSFONTEIN, SWELLENDAM</t>
  </si>
  <si>
    <t>12/8/1815</t>
  </si>
  <si>
    <t>12/1/1816</t>
  </si>
  <si>
    <t>29/11/1874</t>
  </si>
  <si>
    <t>JOHANNES FREDERICUS</t>
  </si>
  <si>
    <t>b3c1d1e1f5</t>
  </si>
  <si>
    <t>1/9/1814</t>
  </si>
  <si>
    <t>5/4/1815</t>
  </si>
  <si>
    <t>27/7/1889</t>
  </si>
  <si>
    <t>ROELOF DANIEL JR.</t>
  </si>
  <si>
    <t>b1c5d7e9f6</t>
  </si>
  <si>
    <t>3/8/1818</t>
  </si>
  <si>
    <t>21/2/1819</t>
  </si>
  <si>
    <t>VAN WYKSFONTEIN, FAURESMITH</t>
  </si>
  <si>
    <t>8/8/1886</t>
  </si>
  <si>
    <t>ROELOF DANIEL SR.</t>
  </si>
  <si>
    <t>b1c5d7e9</t>
  </si>
  <si>
    <t>5/10/1783</t>
  </si>
  <si>
    <t>SPREEUWPORT, BOSJESSPRUIT (SUIDELIKE TRASORANJE)</t>
  </si>
  <si>
    <t>3/10/1854</t>
  </si>
  <si>
    <t>CASPAR JOHANNES JACOBUS GERT</t>
  </si>
  <si>
    <t>b3c2d11e5</t>
  </si>
  <si>
    <t>BUFFELSVLEI, CANGO</t>
  </si>
  <si>
    <t>11/9/1813</t>
  </si>
  <si>
    <t>13/2/1814</t>
  </si>
  <si>
    <t>b5c1d4e1</t>
  </si>
  <si>
    <t>14/12/1800</t>
  </si>
  <si>
    <t>8/3/1838</t>
  </si>
  <si>
    <t>b3c2d11e3</t>
  </si>
  <si>
    <t>20/9/1809</t>
  </si>
  <si>
    <t>6/12/1809</t>
  </si>
  <si>
    <t>MELKBOS, BETHANIE-SPOORWEGSTASIE, DISTRIK EDENBURG</t>
  </si>
  <si>
    <t>10/4/1906</t>
  </si>
  <si>
    <t>b5c2d2e7</t>
  </si>
  <si>
    <t>31/3/1796</t>
  </si>
  <si>
    <t>19/2/1797</t>
  </si>
  <si>
    <t>ALBERTUS JOHANNES</t>
  </si>
  <si>
    <t>b5c4d1e3f3</t>
  </si>
  <si>
    <t>SUBDISTRIK CRADOCK</t>
  </si>
  <si>
    <t>2/4/1807</t>
  </si>
  <si>
    <t>19/4/1807</t>
  </si>
  <si>
    <t>29/12/1881</t>
  </si>
  <si>
    <t>b5c12d2e2f2</t>
  </si>
  <si>
    <t>26/4/1818</t>
  </si>
  <si>
    <t>9/8/1818</t>
  </si>
  <si>
    <t>DEELFONTEIN, WINBURG</t>
  </si>
  <si>
    <t>1/12/1865</t>
  </si>
  <si>
    <t>b5c11d9e7</t>
  </si>
  <si>
    <t>17/5/1823</t>
  </si>
  <si>
    <t>22/6/1823</t>
  </si>
  <si>
    <t>NEINAVELSPOST, CALEDONRIVIER (SMITHFIELD)</t>
  </si>
  <si>
    <t>6/1/1898</t>
  </si>
  <si>
    <t>BERNHARDUS (BARNARD) GERHARDUS</t>
  </si>
  <si>
    <t>b5c13d7</t>
  </si>
  <si>
    <t>14/12/1794</t>
  </si>
  <si>
    <t>CHRISTIAAN WILLEM</t>
  </si>
  <si>
    <t>b5c13d11</t>
  </si>
  <si>
    <t>27/10/1801</t>
  </si>
  <si>
    <t>3/12/1803</t>
  </si>
  <si>
    <t>VENTERSBURG</t>
  </si>
  <si>
    <t>9/10/1875</t>
  </si>
  <si>
    <t>b5c4d1e11</t>
  </si>
  <si>
    <t>16/12/1810</t>
  </si>
  <si>
    <t>24/3/1811</t>
  </si>
  <si>
    <t>b5c12d4e10</t>
  </si>
  <si>
    <t>14/10/1813</t>
  </si>
  <si>
    <t>VAALBANK, BRANDFORT</t>
  </si>
  <si>
    <t>21/10/1899</t>
  </si>
  <si>
    <t>HERCULAAS PETRUS</t>
  </si>
  <si>
    <t>b5c13d7e5</t>
  </si>
  <si>
    <t>22/7/1825</t>
  </si>
  <si>
    <t>HERCULES FREDERIK</t>
  </si>
  <si>
    <t>b5c11d9e5</t>
  </si>
  <si>
    <t>14/5/1819</t>
  </si>
  <si>
    <t>30/1/1820</t>
  </si>
  <si>
    <t>STERKFONTEIN, BLOEMFONTEIN</t>
  </si>
  <si>
    <t>2/3/1890</t>
  </si>
  <si>
    <t>JACOBUS DANIEL JR.</t>
  </si>
  <si>
    <t>b5c2d1e5f3</t>
  </si>
  <si>
    <t>TOVERWATER, GROOT-SWARTBERG, BEAUFORT</t>
  </si>
  <si>
    <t>1/1/1814</t>
  </si>
  <si>
    <t>7/8/1814</t>
  </si>
  <si>
    <t>WELGEVONDEN, WYK SPELONKEN, ZOUTPANSBERG</t>
  </si>
  <si>
    <t>29/1/1892</t>
  </si>
  <si>
    <t>JACOBUS DANIEL SR.</t>
  </si>
  <si>
    <t>b5c2d1e5</t>
  </si>
  <si>
    <t>15/2/1788</t>
  </si>
  <si>
    <t>b5c4d9e4f2</t>
  </si>
  <si>
    <t>4/2/1820</t>
  </si>
  <si>
    <t>3/4/1820</t>
  </si>
  <si>
    <t>ZUURFONTEIN, BLOEMFONTEIN</t>
  </si>
  <si>
    <t>23/8/1874</t>
  </si>
  <si>
    <t>b5c4d9e4</t>
  </si>
  <si>
    <t>28/6/1795</t>
  </si>
  <si>
    <t>ELANDSKUIL, VENTERSDORP</t>
  </si>
  <si>
    <t>b5c4d11e4</t>
  </si>
  <si>
    <t>13/6/1803</t>
  </si>
  <si>
    <t>21/5/1804</t>
  </si>
  <si>
    <t>JAN ADRIAAN JR.</t>
  </si>
  <si>
    <t>b5c4d2e4f2</t>
  </si>
  <si>
    <t>30/5/1812</t>
  </si>
  <si>
    <t>FAIRPLAY, VREDE (HUIS VAN C. Breytenbach</t>
  </si>
  <si>
    <t>25/4/1892</t>
  </si>
  <si>
    <t>JAN ADRIAAN SR.</t>
  </si>
  <si>
    <t>9/5/1790</t>
  </si>
  <si>
    <t>DRAAIFONTEIN, GROOT-MARCO</t>
  </si>
  <si>
    <t>APRIL 1862</t>
  </si>
  <si>
    <t>b5c13d11e1</t>
  </si>
  <si>
    <t>10/8/1821</t>
  </si>
  <si>
    <t>3/2/1822</t>
  </si>
  <si>
    <t>JAN HERCULES</t>
  </si>
  <si>
    <t>b5c13d5e2</t>
  </si>
  <si>
    <t>RENOSTERBERG, GRAAFF-REINET</t>
  </si>
  <si>
    <t>28/7/1817</t>
  </si>
  <si>
    <t>9/11/1817</t>
  </si>
  <si>
    <t>ELANDSFONTEIN, WINBURG</t>
  </si>
  <si>
    <t>3/2/1890</t>
  </si>
  <si>
    <t>JAN LOUIS</t>
  </si>
  <si>
    <t>b5c2d1e5f1</t>
  </si>
  <si>
    <t>23/4/1809</t>
  </si>
  <si>
    <t>KROMDRAAI, HEIDELBURG, TVL.</t>
  </si>
  <si>
    <t>9/9/1890</t>
  </si>
  <si>
    <t>b5c2d1e8f1</t>
  </si>
  <si>
    <t>13/4/1812</t>
  </si>
  <si>
    <t>JOHANNES ALBERTUS</t>
  </si>
  <si>
    <t>b5c12d14e2</t>
  </si>
  <si>
    <t>WYK BRAKRIVIER, SOMERSET</t>
  </si>
  <si>
    <t>14/4/1818</t>
  </si>
  <si>
    <t>17/2/1883</t>
  </si>
  <si>
    <t>b5c4d2e4f3</t>
  </si>
  <si>
    <t>4/3/1815</t>
  </si>
  <si>
    <t>27/3/1815</t>
  </si>
  <si>
    <t>RONDEHOEK, HARRISMITH</t>
  </si>
  <si>
    <t>25/5/1881</t>
  </si>
  <si>
    <t>JOHANNES PETRUS ADRIAAN</t>
  </si>
  <si>
    <t>b5c4d2e2f6</t>
  </si>
  <si>
    <t>14/7/1818</t>
  </si>
  <si>
    <t>14/3/1819</t>
  </si>
  <si>
    <t>MARCUS ALBERTUS</t>
  </si>
  <si>
    <t>b5c4d2e2</t>
  </si>
  <si>
    <t>30/5/1784</t>
  </si>
  <si>
    <t>MARCUS WYNAND</t>
  </si>
  <si>
    <t>b5c4d2e4f7</t>
  </si>
  <si>
    <t>7/6/1822</t>
  </si>
  <si>
    <t>11 OR 15/8/1822</t>
  </si>
  <si>
    <t>26/8/1857</t>
  </si>
  <si>
    <t>b5c4d2e1</t>
  </si>
  <si>
    <t>30/3/1782</t>
  </si>
  <si>
    <t>PAUL(US) STEPHANUS JR.</t>
  </si>
  <si>
    <t>b5c4d2e5f2</t>
  </si>
  <si>
    <t>4/10/1816</t>
  </si>
  <si>
    <t>3/11/1816</t>
  </si>
  <si>
    <t>ALBION, VREDE</t>
  </si>
  <si>
    <t>16/6/1895</t>
  </si>
  <si>
    <t xml:space="preserve">PAULUS CHRISTOFFEL </t>
  </si>
  <si>
    <t>b5c4d1e10</t>
  </si>
  <si>
    <t>BRUINTJIESHOOGTE, SOMERSET</t>
  </si>
  <si>
    <t>10/4/1808</t>
  </si>
  <si>
    <t>PAULUS STEPHANUS SR.</t>
  </si>
  <si>
    <t>PETRUS (PIETER) ALBERTUS</t>
  </si>
  <si>
    <t>b5c13d5e4</t>
  </si>
  <si>
    <t>5/5/1823</t>
  </si>
  <si>
    <t>11/9/1823</t>
  </si>
  <si>
    <t>STRYDFONTEIN, WINBURG</t>
  </si>
  <si>
    <t>26/10/1879</t>
  </si>
  <si>
    <t>PETRUS ALBERTUS</t>
  </si>
  <si>
    <t>b5c13d5</t>
  </si>
  <si>
    <t>17/4/1790</t>
  </si>
  <si>
    <t>26/2/1792</t>
  </si>
  <si>
    <t>11/1/1858</t>
  </si>
  <si>
    <t>b5c4d9e4f3</t>
  </si>
  <si>
    <t>8/9/1822</t>
  </si>
  <si>
    <t>9/2/1823</t>
  </si>
  <si>
    <t>DISTRIK PRETORIA</t>
  </si>
  <si>
    <t>6/9/1876</t>
  </si>
  <si>
    <t>PETRUS JAN HENDRIK</t>
  </si>
  <si>
    <t>b5c12d4e2</t>
  </si>
  <si>
    <t>3/11/1799</t>
  </si>
  <si>
    <t>PETRUS WILHELMUS</t>
  </si>
  <si>
    <t>b5c4d2e4f4</t>
  </si>
  <si>
    <t>18/1/1817</t>
  </si>
  <si>
    <t>CA.</t>
  </si>
  <si>
    <t>PHILIPPUS ABRAHAM</t>
  </si>
  <si>
    <t>b5c4d1e3f6</t>
  </si>
  <si>
    <t>15/5/1811</t>
  </si>
  <si>
    <t>1/12/1811</t>
  </si>
  <si>
    <t>HARTEBEESFONTEIN, WINBURG</t>
  </si>
  <si>
    <t>8/11/1861</t>
  </si>
  <si>
    <t>PIETER JOHANNES LODEWYK</t>
  </si>
  <si>
    <t>b5c2d1e5f2</t>
  </si>
  <si>
    <t>29/12/1811</t>
  </si>
  <si>
    <t>8/11/1812</t>
  </si>
  <si>
    <t>STRAFFONTEIN, MIDDELBURG</t>
  </si>
  <si>
    <t>18/12/1894</t>
  </si>
  <si>
    <t>b5c4d5e4</t>
  </si>
  <si>
    <t>7/4/1792</t>
  </si>
  <si>
    <t>STEPHANUS ALBERTUS</t>
  </si>
  <si>
    <t>b5c4d2e4f6</t>
  </si>
  <si>
    <t>7/8/1820</t>
  </si>
  <si>
    <t>2/10/1820</t>
  </si>
  <si>
    <t>ELANDSHOEK, CAROLINA</t>
  </si>
  <si>
    <t>14/7/1896</t>
  </si>
  <si>
    <t>b5c2d1e5f5</t>
  </si>
  <si>
    <t>SOETENDALSVLEI, TRAKA, BEAUFORT</t>
  </si>
  <si>
    <t>21/4/1821</t>
  </si>
  <si>
    <t>19/8/1821</t>
  </si>
  <si>
    <t>b5c13d5e3</t>
  </si>
  <si>
    <t>AGTER-RENOSTERBERG, GRAAFF-REINET</t>
  </si>
  <si>
    <t>13/8/1820</t>
  </si>
  <si>
    <t>DOORNDRAAI, WYK ZANDRIVIER, WINBURG</t>
  </si>
  <si>
    <t>19/4/1891</t>
  </si>
  <si>
    <t>b5c4d5e4f1</t>
  </si>
  <si>
    <t>12/5/1816</t>
  </si>
  <si>
    <t>PERSENTPOORT, FOURIESBURG</t>
  </si>
  <si>
    <t>29/7/1892</t>
  </si>
  <si>
    <t>COENRAAD JOHANNES</t>
  </si>
  <si>
    <t>b2c8d5e1</t>
  </si>
  <si>
    <t>BOESMANSRIVIER, UITENHAGE</t>
  </si>
  <si>
    <t>17/6/1822</t>
  </si>
  <si>
    <t>30/6/1822</t>
  </si>
  <si>
    <t>SWAZILAND</t>
  </si>
  <si>
    <t>11/6/1889</t>
  </si>
  <si>
    <t>COENRAAD MARTHINUS</t>
  </si>
  <si>
    <t>b2c8d6</t>
  </si>
  <si>
    <t>22/5/1799</t>
  </si>
  <si>
    <t>b2c6d2e8</t>
  </si>
  <si>
    <t>6/3/1821</t>
  </si>
  <si>
    <t>8/7/1821</t>
  </si>
  <si>
    <t>KLIPPLAATDRIF, MIDDELBURG, TVL.</t>
  </si>
  <si>
    <t>2/5/1779</t>
  </si>
  <si>
    <t>CORNELIS JOHANNES GERHARDUS</t>
  </si>
  <si>
    <t>b2c6d1e5</t>
  </si>
  <si>
    <t>14/8/1812</t>
  </si>
  <si>
    <t>5/9/1812</t>
  </si>
  <si>
    <t>CORNELIS TOBIAS</t>
  </si>
  <si>
    <t>b2c8d2</t>
  </si>
  <si>
    <t>1/10/1787</t>
  </si>
  <si>
    <t>2/11/1788</t>
  </si>
  <si>
    <t>VERMAAKSRAAL, KLIPRIVIER, NATAL</t>
  </si>
  <si>
    <t>22/12/1854</t>
  </si>
  <si>
    <t>FRANS NICOLAAS</t>
  </si>
  <si>
    <t>b2c8d5e2</t>
  </si>
  <si>
    <t>27/7/1824</t>
  </si>
  <si>
    <t>28/8/1824</t>
  </si>
  <si>
    <t>UITKYK, MIDDELBERG, TVL.</t>
  </si>
  <si>
    <t>22/4/1908</t>
  </si>
  <si>
    <t>IZAAK CORNELIS JOHANNES</t>
  </si>
  <si>
    <t>b2c6d1e4</t>
  </si>
  <si>
    <t>23/3/1809</t>
  </si>
  <si>
    <t>11/5/1809</t>
  </si>
  <si>
    <t>JACOBUS STEPHANUS</t>
  </si>
  <si>
    <t>b2c6d1e1</t>
  </si>
  <si>
    <t>14/4/1803</t>
  </si>
  <si>
    <t>b2c6d2e1</t>
  </si>
  <si>
    <t>TSITSIKAMMA</t>
  </si>
  <si>
    <t>7/8/1805</t>
  </si>
  <si>
    <t>11/8/1806</t>
  </si>
  <si>
    <t xml:space="preserve">PMB. </t>
  </si>
  <si>
    <t>JOHANNES CORNELIS</t>
  </si>
  <si>
    <t>b2c6d1e2</t>
  </si>
  <si>
    <t>KLIPPERDRIF, TSITSIKAMMA</t>
  </si>
  <si>
    <t>19/10/1804</t>
  </si>
  <si>
    <t>18/2/1805</t>
  </si>
  <si>
    <t>JOHANNES GERHARDUS</t>
  </si>
  <si>
    <t>b2c6d2e2</t>
  </si>
  <si>
    <t>23/6/1807</t>
  </si>
  <si>
    <t>6/6/1808</t>
  </si>
  <si>
    <t>PERSIKEFONTEIN, BLOEMFONTEIN</t>
  </si>
  <si>
    <t>5 OR 18/4/1881</t>
  </si>
  <si>
    <t>b2c8d5</t>
  </si>
  <si>
    <t>22/6/1795</t>
  </si>
  <si>
    <t>PETRUS THEODORUS</t>
  </si>
  <si>
    <t>b2c6d7</t>
  </si>
  <si>
    <t>27/11/1795</t>
  </si>
  <si>
    <t>SALOMON</t>
  </si>
  <si>
    <t>29/9/1782</t>
  </si>
  <si>
    <t>SALOMON CORNELIS JOHANNES</t>
  </si>
  <si>
    <t>b2c6d2e3</t>
  </si>
  <si>
    <t>9/7/1809</t>
  </si>
  <si>
    <t>SCHOONGEZICHT, MIDDELBURG TVL.</t>
  </si>
  <si>
    <t>26/1/1883</t>
  </si>
  <si>
    <t>HENDRIK CORNELIS WHILHELMUS</t>
  </si>
  <si>
    <t>26/2/1804</t>
  </si>
  <si>
    <t>HARTBEESFONTEIN</t>
  </si>
  <si>
    <t>3/9/1873</t>
  </si>
  <si>
    <t>b3c2d2e4</t>
  </si>
  <si>
    <t>9/8/1803</t>
  </si>
  <si>
    <t>9/10/1803</t>
  </si>
  <si>
    <t>SAREL (CAREL) JOHANNES</t>
  </si>
  <si>
    <t>b3c2d2e3</t>
  </si>
  <si>
    <t>19/11/1801</t>
  </si>
  <si>
    <t>27/12/1801</t>
  </si>
  <si>
    <t>NIDDASFONTEIN, FAURESMITH</t>
  </si>
  <si>
    <t>10/5/1878</t>
  </si>
  <si>
    <t>VERSFELD</t>
  </si>
  <si>
    <t>4/4/1784</t>
  </si>
  <si>
    <t>31/3/1859</t>
  </si>
  <si>
    <t>WILLEM FERDINAND</t>
  </si>
  <si>
    <t>16/8/1811</t>
  </si>
  <si>
    <t>b3c4d2e11f13</t>
  </si>
  <si>
    <t>6/1/1817</t>
  </si>
  <si>
    <t>16/8/1894</t>
  </si>
  <si>
    <t>b3c4d10e2f4</t>
  </si>
  <si>
    <t>18/8/1813</t>
  </si>
  <si>
    <t>11/4/1814</t>
  </si>
  <si>
    <t>b3c4d11e2f5</t>
  </si>
  <si>
    <t>ALBERTUS JOHANNES (BART)</t>
  </si>
  <si>
    <t>b3c4d11e1f4</t>
  </si>
  <si>
    <t>29/12/1806</t>
  </si>
  <si>
    <t>22/1/1807</t>
  </si>
  <si>
    <t>BAREND CHRISTIAAN</t>
  </si>
  <si>
    <t>b3c4d2e11f7</t>
  </si>
  <si>
    <t>21/1/1807</t>
  </si>
  <si>
    <t>25/11/1859</t>
  </si>
  <si>
    <t>CAREL CHRISTOFFEL</t>
  </si>
  <si>
    <t>b4c2d2e3f6g1</t>
  </si>
  <si>
    <t>15/1/1825</t>
  </si>
  <si>
    <t>22/5/1825</t>
  </si>
  <si>
    <t>3/3/1865</t>
  </si>
  <si>
    <t>b4c2d2e3f7</t>
  </si>
  <si>
    <t>30/5/1803</t>
  </si>
  <si>
    <t>6/11/1803</t>
  </si>
  <si>
    <t>1/1/1885</t>
  </si>
  <si>
    <t>CAREL MARTHINUS</t>
  </si>
  <si>
    <t>b4c2d2e1f8</t>
  </si>
  <si>
    <t>19/5/1806</t>
  </si>
  <si>
    <t>CHARL JOHANNES (SAREL)</t>
  </si>
  <si>
    <t>b3c4d2e11f9</t>
  </si>
  <si>
    <t>10/5/1810</t>
  </si>
  <si>
    <t>8/10/1810</t>
  </si>
  <si>
    <t>CHRISTIAAN RUDOLPH</t>
  </si>
  <si>
    <t>b4c2d1e3f5</t>
  </si>
  <si>
    <t>b4c2d2e10f1</t>
  </si>
  <si>
    <t>12/5/1815</t>
  </si>
  <si>
    <t>CHRISTOFFEL JR.</t>
  </si>
  <si>
    <t>b4c2d2e1f1g3</t>
  </si>
  <si>
    <t>29/3/1818</t>
  </si>
  <si>
    <t>29/8/1818</t>
  </si>
  <si>
    <t>226/1890</t>
  </si>
  <si>
    <t>CHRISTOFFEL SR.</t>
  </si>
  <si>
    <t>b4c2d2e1f1</t>
  </si>
  <si>
    <t>19/10/1792</t>
  </si>
  <si>
    <t>CORNELIS HENDRICUS</t>
  </si>
  <si>
    <t>b4c2d2e13</t>
  </si>
  <si>
    <t>30/5/1878</t>
  </si>
  <si>
    <t>DAVID SCHALK</t>
  </si>
  <si>
    <t>b3c4d2e10f2</t>
  </si>
  <si>
    <t>21/3/1805</t>
  </si>
  <si>
    <t>12/5/1805</t>
  </si>
  <si>
    <t>VERMOOR, BLOUKRANSRIVIER, NATAL</t>
  </si>
  <si>
    <t>17/2/1838</t>
  </si>
  <si>
    <t>DIEDERIK ARNOLDUS</t>
  </si>
  <si>
    <t>b4c2d1e10f2</t>
  </si>
  <si>
    <t>25/9/1813</t>
  </si>
  <si>
    <t>23/9/1879</t>
  </si>
  <si>
    <t>FREDERIK JACOBUS ZACHARIAS</t>
  </si>
  <si>
    <t>b3c4d2e11f18</t>
  </si>
  <si>
    <t>18/5/1824</t>
  </si>
  <si>
    <t>3/2/1885</t>
  </si>
  <si>
    <t>GERHARDUS COENRADUS</t>
  </si>
  <si>
    <t>b4c2d2e1f7</t>
  </si>
  <si>
    <t>19/3/1804</t>
  </si>
  <si>
    <t>5/8/1804</t>
  </si>
  <si>
    <t>WATERFORT</t>
  </si>
  <si>
    <t>10/11/1883</t>
  </si>
  <si>
    <t>GIDEON PETRUS</t>
  </si>
  <si>
    <t>b4c2d2e3f6</t>
  </si>
  <si>
    <t>WELTEVREDEN, LYDENBURG</t>
  </si>
  <si>
    <t>7/3/1893</t>
  </si>
  <si>
    <t>b4c2d2e13f2</t>
  </si>
  <si>
    <t>6/2/1822</t>
  </si>
  <si>
    <t>31/3/1822</t>
  </si>
  <si>
    <t>ZWAGERSHOEK, LYDENBURG</t>
  </si>
  <si>
    <t>30/5/1907</t>
  </si>
  <si>
    <t>HENNING JOHANNES</t>
  </si>
  <si>
    <t>b3c4d2e11f15</t>
  </si>
  <si>
    <t>9/5/1820</t>
  </si>
  <si>
    <t>17/8/1881</t>
  </si>
  <si>
    <t>b3c4d2e13f1</t>
  </si>
  <si>
    <t>13/4/1806</t>
  </si>
  <si>
    <t>JAN ALBERTUS</t>
  </si>
  <si>
    <t>b3c4d2e11f1</t>
  </si>
  <si>
    <t>16/9/1798</t>
  </si>
  <si>
    <t>JOHANNES HERCULES</t>
  </si>
  <si>
    <t>b3c4d10e6</t>
  </si>
  <si>
    <t>7/4/1793</t>
  </si>
  <si>
    <t>b4c2d2e1f2g1</t>
  </si>
  <si>
    <t>29/12/1819</t>
  </si>
  <si>
    <t>b4c2d2e1f1g1</t>
  </si>
  <si>
    <t>27/8/1811</t>
  </si>
  <si>
    <t>6/11/1889</t>
  </si>
  <si>
    <t>JOHANNES JACOBUS (JAN)</t>
  </si>
  <si>
    <t>b3c4d11e4f4</t>
  </si>
  <si>
    <t>3/6/1813</t>
  </si>
  <si>
    <t>SOUTPANSDRIFT, BRITS</t>
  </si>
  <si>
    <t>7-9 OKTOBER 1862</t>
  </si>
  <si>
    <t>JOHANNES WILLEM (JAN)</t>
  </si>
  <si>
    <t>b4c2d2e9f2</t>
  </si>
  <si>
    <t>WINTERHOEK, UITENHAGE</t>
  </si>
  <si>
    <t>14/5/1812</t>
  </si>
  <si>
    <t>16/8/1812</t>
  </si>
  <si>
    <t>VERGENOEG, MARICO</t>
  </si>
  <si>
    <t>30/3/1893</t>
  </si>
  <si>
    <t>b4c2d2e1f11</t>
  </si>
  <si>
    <t>8/8/1813</t>
  </si>
  <si>
    <t>4/10/1813</t>
  </si>
  <si>
    <t>LYDENBERG</t>
  </si>
  <si>
    <t>13/6/1860</t>
  </si>
  <si>
    <t>b3c4d10e2f2</t>
  </si>
  <si>
    <t>19/6/1808</t>
  </si>
  <si>
    <t>7/5/1809</t>
  </si>
  <si>
    <t>VERMOOR DEUR LEDE VAN DIE BA GA KEKANE (ONDER HUL KAPTEIN MOKOPANE OFTEWEL "MAKAPAN"), 'N NDEBELESTAM, MOORDDRIF NABY POTGIETERSRUS</t>
  </si>
  <si>
    <t>SEPTEMBER 1854</t>
  </si>
  <si>
    <t>b3c4d2e10f6</t>
  </si>
  <si>
    <t>19/7/1817</t>
  </si>
  <si>
    <t>24/2/1889</t>
  </si>
  <si>
    <t>b3c4d2e3f7</t>
  </si>
  <si>
    <t>7/7/1802</t>
  </si>
  <si>
    <t>VERMOOR AAN DJINDIRIVIER, MOSAMBIEK</t>
  </si>
  <si>
    <t>PIETER NICOLAAS</t>
  </si>
  <si>
    <t>b3c4d2e10f4</t>
  </si>
  <si>
    <t>20/02/1812</t>
  </si>
  <si>
    <t>22/3/1812</t>
  </si>
  <si>
    <t>(VERMOOR) BLOUKRANSRIVIER, NATAL</t>
  </si>
  <si>
    <t>b3c4d2e11f16</t>
  </si>
  <si>
    <t>16/4/1822</t>
  </si>
  <si>
    <t>9/12/1802</t>
  </si>
  <si>
    <t>KONSENTRASIEKAMP, HEIDELBERG, TRANSVAAL</t>
  </si>
  <si>
    <t>11/6/1901</t>
  </si>
  <si>
    <t>b4c2d2e1f2</t>
  </si>
  <si>
    <t>WITKOP, POTCHESTROOM</t>
  </si>
  <si>
    <t>11/10/1873</t>
  </si>
  <si>
    <t>b3c4d2e5</t>
  </si>
  <si>
    <t>17/4/1767</t>
  </si>
  <si>
    <t>WELVERDIEND, PMB., NATAL</t>
  </si>
  <si>
    <t>6/5/1844</t>
  </si>
  <si>
    <t>WILLEM ALBERTUS</t>
  </si>
  <si>
    <t>b3c4d2e10f5</t>
  </si>
  <si>
    <t>8/3/1815</t>
  </si>
  <si>
    <t>25/10/1891</t>
  </si>
  <si>
    <t>WILLEM HERCULES</t>
  </si>
  <si>
    <t>b3c2d2e1f12</t>
  </si>
  <si>
    <t>19/9/1816</t>
  </si>
  <si>
    <t>b3c4d2e11f8</t>
  </si>
  <si>
    <t>17/8/1808</t>
  </si>
  <si>
    <t>WILLEM WOUTER</t>
  </si>
  <si>
    <t>b3c4d2e11f1g1</t>
  </si>
  <si>
    <t>9/10/1822</t>
  </si>
  <si>
    <t>b3c4d2e11</t>
  </si>
  <si>
    <t>30/3/1797</t>
  </si>
  <si>
    <t>VISAG(I)E</t>
  </si>
  <si>
    <t>ARIE ZACHARIAS</t>
  </si>
  <si>
    <t>b1c4d5e2</t>
  </si>
  <si>
    <t>21/4/1788</t>
  </si>
  <si>
    <t>PMB., NATAL</t>
  </si>
  <si>
    <t>CAREL ARON</t>
  </si>
  <si>
    <t>b1c5d4e5f3</t>
  </si>
  <si>
    <t>24/5/1817</t>
  </si>
  <si>
    <t>17/10/1817</t>
  </si>
  <si>
    <t>GERRIT JOHANNES</t>
  </si>
  <si>
    <t>b1c5d4e5f1</t>
  </si>
  <si>
    <t>GERRIT WILLEM</t>
  </si>
  <si>
    <t>b1c4d5e2f2</t>
  </si>
  <si>
    <t>27/9/1818</t>
  </si>
  <si>
    <t>VERMOOR SAAM MET RETIEF EN MANSKAPPE) KWAMATHIWANE</t>
  </si>
  <si>
    <t>6/2/1838</t>
  </si>
  <si>
    <t>GIDEON JACOBUS (JOHANNES)</t>
  </si>
  <si>
    <t>b1c11d14e3f3</t>
  </si>
  <si>
    <t>16/10/1823</t>
  </si>
  <si>
    <t>25/1/1824</t>
  </si>
  <si>
    <t>IZAAK HEREMIAS</t>
  </si>
  <si>
    <t>b1c5d4e5f4</t>
  </si>
  <si>
    <t>25/9/1819</t>
  </si>
  <si>
    <t>b1c5d4e5</t>
  </si>
  <si>
    <t>KLIPRUG, CLANWILLIAM</t>
  </si>
  <si>
    <t>24/10/1792</t>
  </si>
  <si>
    <t>9/12/1792</t>
  </si>
  <si>
    <t>ONDER-DOWNES, CALVINIA, KAAPKOLONIE</t>
  </si>
  <si>
    <t>7/10/1867</t>
  </si>
  <si>
    <t>b1c4d5e2f1</t>
  </si>
  <si>
    <t>12/3/1815</t>
  </si>
  <si>
    <t>5/11/1815</t>
  </si>
  <si>
    <t>SWAVELPOORT, PRETORIA</t>
  </si>
  <si>
    <t>24/3/1884</t>
  </si>
  <si>
    <t>MARTHINUS DAVID</t>
  </si>
  <si>
    <t>b1c11d13e1</t>
  </si>
  <si>
    <t>16/4/1794</t>
  </si>
  <si>
    <t>19/4/1795</t>
  </si>
  <si>
    <t>RUDOLPHUS GERHARDUS</t>
  </si>
  <si>
    <t>b1c11d14e3</t>
  </si>
  <si>
    <t>20/12/1795</t>
  </si>
  <si>
    <t>NABY DIE LATERE VOLKSRUST</t>
  </si>
  <si>
    <t>b1c5d4e5f5</t>
  </si>
  <si>
    <t>24/9/1820</t>
  </si>
  <si>
    <t>28/9/1821</t>
  </si>
  <si>
    <t>b1c5d4e5f6</t>
  </si>
  <si>
    <t>20/7/1823</t>
  </si>
  <si>
    <t>1/10/1824</t>
  </si>
  <si>
    <t>5/1/1857</t>
  </si>
  <si>
    <t>VISSER</t>
  </si>
  <si>
    <t>b2c12d1e4f4g2</t>
  </si>
  <si>
    <t>29/4/1807</t>
  </si>
  <si>
    <t>28/6/1807</t>
  </si>
  <si>
    <t>PLAAITJIESFONTEIN, FAURESMITH</t>
  </si>
  <si>
    <t>b2c12d1e4f4g6</t>
  </si>
  <si>
    <t>WINTERHOEK, BO-SEEKOEIRIVIER</t>
  </si>
  <si>
    <t>9/5/1815</t>
  </si>
  <si>
    <t>SCHRAALFONTEIN, FAURESMITH</t>
  </si>
  <si>
    <t>22/3/1867</t>
  </si>
  <si>
    <t>ERNESTUS JACOBUS</t>
  </si>
  <si>
    <t>b2c12d1e5f5</t>
  </si>
  <si>
    <t>2/2/1793</t>
  </si>
  <si>
    <t>FLORIS JR.</t>
  </si>
  <si>
    <t>b2c12d1e5f6g1</t>
  </si>
  <si>
    <t>18/12/1815 OR 1816</t>
  </si>
  <si>
    <t>21/9/1817 OR 1818</t>
  </si>
  <si>
    <t>FLORIS SR.</t>
  </si>
  <si>
    <t>b2c12d1e5f6</t>
  </si>
  <si>
    <t>16/1/1795</t>
  </si>
  <si>
    <t>9/8/1795</t>
  </si>
  <si>
    <t>GERRIT PETRUS</t>
  </si>
  <si>
    <t>b2c12d1e4f4g8</t>
  </si>
  <si>
    <t>BO-SEEKOEIRIVIER, GRAAFF-REINET</t>
  </si>
  <si>
    <t>12/11/1819</t>
  </si>
  <si>
    <t>17/4/1820</t>
  </si>
  <si>
    <t>LOKSHOEK, FAURESMITH</t>
  </si>
  <si>
    <t>2/8/1879</t>
  </si>
  <si>
    <t>b2c12d1e5f6g2</t>
  </si>
  <si>
    <t>15/7/1817</t>
  </si>
  <si>
    <t>JOHANNES HENDRIK (JAN BOOMPLAATS)</t>
  </si>
  <si>
    <t>b2c12d1e4f6g1</t>
  </si>
  <si>
    <t>4/8/1813</t>
  </si>
  <si>
    <t>3/9/1813</t>
  </si>
  <si>
    <t>PALMIETFONTEIN, DISTRIK KLERKSDORP</t>
  </si>
  <si>
    <t>12/1/1901</t>
  </si>
  <si>
    <t>b2c12d1e5f6g4</t>
  </si>
  <si>
    <t>20 OR 23/8/1821</t>
  </si>
  <si>
    <t>20/9/1822</t>
  </si>
  <si>
    <t>VLOT(H)MAN</t>
  </si>
  <si>
    <t>BAREND JOHANNES</t>
  </si>
  <si>
    <t>17/7/1768</t>
  </si>
  <si>
    <t>b3c12d5</t>
  </si>
  <si>
    <t>13/10/1796</t>
  </si>
  <si>
    <t>3/12/1797</t>
  </si>
  <si>
    <t>b2c6d4e4</t>
  </si>
  <si>
    <t>24/9/1797</t>
  </si>
  <si>
    <t>6/8/1826</t>
  </si>
  <si>
    <t>9/10/1768</t>
  </si>
  <si>
    <t>OUKRAAL, SOMERSET(-OOS)</t>
  </si>
  <si>
    <t>WAHL</t>
  </si>
  <si>
    <t>13/3/1814</t>
  </si>
  <si>
    <t>LUTHERSE KERK, KAAPSTAD</t>
  </si>
  <si>
    <t>24/4/1814</t>
  </si>
  <si>
    <t>27/7/1868</t>
  </si>
  <si>
    <t>WAHLSTRAND</t>
  </si>
  <si>
    <t>PIETER ERNST (OF ERNUSTUS)</t>
  </si>
  <si>
    <t>14/8/1822</t>
  </si>
  <si>
    <t>1/9/1822</t>
  </si>
  <si>
    <t>ROELOF</t>
  </si>
  <si>
    <t>b10c2</t>
  </si>
  <si>
    <t>MARRAYSBURG</t>
  </si>
  <si>
    <t>MODDERFONTEIN, FAURESMITH</t>
  </si>
  <si>
    <t>22/12/1878</t>
  </si>
  <si>
    <t>WENTZEL</t>
  </si>
  <si>
    <t>JOHAN DAVID</t>
  </si>
  <si>
    <t>b3c10</t>
  </si>
  <si>
    <t>24/11/1793</t>
  </si>
  <si>
    <t>WERNER</t>
  </si>
  <si>
    <t>CAREL GODLIEB BENJAMIN</t>
  </si>
  <si>
    <t>24/2/1817</t>
  </si>
  <si>
    <t>11/3/1817</t>
  </si>
  <si>
    <t>WESSELS</t>
  </si>
  <si>
    <t>b2c2d1e2f5</t>
  </si>
  <si>
    <t>27/2/1803</t>
  </si>
  <si>
    <t>FRANSKRAAL,CALEDONRIVIER (LATER SMITHFIELD)</t>
  </si>
  <si>
    <t>20/3/1859</t>
  </si>
  <si>
    <t>HERMANUS WILHELMUS</t>
  </si>
  <si>
    <t>b2c2d1e4f7</t>
  </si>
  <si>
    <t>31/12/1805</t>
  </si>
  <si>
    <t>9/4/1806</t>
  </si>
  <si>
    <t>WINBURG, OVS</t>
  </si>
  <si>
    <t>14/12/1864</t>
  </si>
  <si>
    <t>JAN WILHELMUS WESSEL</t>
  </si>
  <si>
    <t>b2c2d1e4f5g3</t>
  </si>
  <si>
    <t>15/3/1824</t>
  </si>
  <si>
    <t>2/5/1824</t>
  </si>
  <si>
    <t>VAALKRANTZ, WINBERG</t>
  </si>
  <si>
    <t>24/10/1903</t>
  </si>
  <si>
    <t>JOHANNES BERNARDUS</t>
  </si>
  <si>
    <t>b2c2d1e4f1</t>
  </si>
  <si>
    <t>27/3/1796</t>
  </si>
  <si>
    <t>VETRIVIER, OVS</t>
  </si>
  <si>
    <t>JULIE 1843</t>
  </si>
  <si>
    <t>b2c2d1e4f7g1</t>
  </si>
  <si>
    <t>11/12/1825</t>
  </si>
  <si>
    <t>22/1/1826</t>
  </si>
  <si>
    <t>KONSENTRASIEKAMP, BLOEMFONTEIN</t>
  </si>
  <si>
    <t>23/11/1901</t>
  </si>
  <si>
    <t>b2c2d1e4f3g1</t>
  </si>
  <si>
    <t>12/10/1819</t>
  </si>
  <si>
    <t>19/3/1820</t>
  </si>
  <si>
    <t>GROOTVLEI</t>
  </si>
  <si>
    <t>20/9/1873</t>
  </si>
  <si>
    <t>JOHANNES WILHELMUS WESSEL</t>
  </si>
  <si>
    <t>b2c2d1e4f1g1</t>
  </si>
  <si>
    <t>1/6/1818</t>
  </si>
  <si>
    <t>12/7/1818</t>
  </si>
  <si>
    <t>BEESFONTEIN, WINBURG</t>
  </si>
  <si>
    <t>22/10/1856</t>
  </si>
  <si>
    <t>MATTHEUS HENDRICUS</t>
  </si>
  <si>
    <t>b2c2d1e4f1g3</t>
  </si>
  <si>
    <t>1/10/1822</t>
  </si>
  <si>
    <t>7/12/1822</t>
  </si>
  <si>
    <t>5/5/1893</t>
  </si>
  <si>
    <t>b2c2d1e4f3</t>
  </si>
  <si>
    <t>KLEINRIVIERSKLOOF, SWELLENDAM</t>
  </si>
  <si>
    <t>27/7/1799</t>
  </si>
  <si>
    <t>6/10/1799</t>
  </si>
  <si>
    <t>3/5/1857</t>
  </si>
  <si>
    <t>b2c21e4f1g2</t>
  </si>
  <si>
    <t>KWARTELFONTEIN,CALEDON</t>
  </si>
  <si>
    <t>13/11/1819</t>
  </si>
  <si>
    <t>11/12/1819</t>
  </si>
  <si>
    <t>FERN VILLA-LOSIESHUIS (SY EIENDOM). HLOBANESTRAAT, VRYHEID</t>
  </si>
  <si>
    <t>16/9/1905</t>
  </si>
  <si>
    <t>WESSEL HENDRIK</t>
  </si>
  <si>
    <t>b2c2d1e2f6</t>
  </si>
  <si>
    <t>8/9/1805</t>
  </si>
  <si>
    <t>WESSEL JACOBUS</t>
  </si>
  <si>
    <t>b2c2d1e4f5</t>
  </si>
  <si>
    <t>MERRIEFONTEIN, WINBURG</t>
  </si>
  <si>
    <t>25/6/1872</t>
  </si>
  <si>
    <t>FREDERIK WILHELM CHRISTIAAN</t>
  </si>
  <si>
    <t>7/7/1822</t>
  </si>
  <si>
    <t>28/7/1822</t>
  </si>
  <si>
    <t>JOHANNES ADAM</t>
  </si>
  <si>
    <t>b6c8</t>
  </si>
  <si>
    <t>10/7/1810</t>
  </si>
  <si>
    <t>7/7/1866</t>
  </si>
  <si>
    <t>2/8/1772</t>
  </si>
  <si>
    <t>BOSCHPOORT (PLAAS VAN P.J. STRYDOM), CALEDONRIVIER</t>
  </si>
  <si>
    <t>15/11/1861</t>
  </si>
  <si>
    <t>WILMAN(S)</t>
  </si>
  <si>
    <t>9/9/1813</t>
  </si>
  <si>
    <t>8/11/1813</t>
  </si>
  <si>
    <t>WOLHUTER</t>
  </si>
  <si>
    <t>FRANS MATTHYS</t>
  </si>
  <si>
    <t>b4c5</t>
  </si>
  <si>
    <t>18/1/1815</t>
  </si>
  <si>
    <t>LUTHERSE KERK</t>
  </si>
  <si>
    <t>5/2/1815</t>
  </si>
  <si>
    <t>22/3/1899</t>
  </si>
  <si>
    <t>GEORGE CHRISTOFFEL</t>
  </si>
  <si>
    <t>3/7/1798</t>
  </si>
  <si>
    <t>WOLMARANS</t>
  </si>
  <si>
    <t>FREDERIK GEHARDUS ANDREAS</t>
  </si>
  <si>
    <t>b12c2d2</t>
  </si>
  <si>
    <t>31/7/1812</t>
  </si>
  <si>
    <t>5/3/1884</t>
  </si>
  <si>
    <t>CORNELIA MARIA</t>
  </si>
  <si>
    <t>13/11/1826</t>
  </si>
  <si>
    <t>5/8/1844</t>
  </si>
  <si>
    <t>20/08/1845</t>
  </si>
  <si>
    <t>17/6/1828</t>
  </si>
  <si>
    <t>30/12/1828</t>
  </si>
  <si>
    <t>24/11/1870</t>
  </si>
  <si>
    <t>14/8/1831</t>
  </si>
  <si>
    <t>17/1/1898</t>
  </si>
  <si>
    <t>FREDERIK GERHARDUS</t>
  </si>
  <si>
    <t>b12c2</t>
  </si>
  <si>
    <t>RONDEBOSCH, KAAPSTAD</t>
  </si>
  <si>
    <t>15/11/1788</t>
  </si>
  <si>
    <t>23/11/1788</t>
  </si>
  <si>
    <t>BOSCHHOEK, POTCHEFSTROOM</t>
  </si>
  <si>
    <t>28/4/1872</t>
  </si>
  <si>
    <t>GABRIEL MATTHYS</t>
  </si>
  <si>
    <t>b12c2d4</t>
  </si>
  <si>
    <t>2/7/1816</t>
  </si>
  <si>
    <t>23/3/1817</t>
  </si>
  <si>
    <t>RUSTENBERG</t>
  </si>
  <si>
    <t>30/08/1852</t>
  </si>
  <si>
    <t>30/4/1837</t>
  </si>
  <si>
    <t xml:space="preserve">SUSARA MARIA </t>
  </si>
  <si>
    <t>27/11/1819</t>
  </si>
  <si>
    <t>14/5/1820</t>
  </si>
  <si>
    <t>JOHANNES BAREND</t>
  </si>
  <si>
    <t>b12c2d5</t>
  </si>
  <si>
    <t>1/10/1820</t>
  </si>
  <si>
    <t>DERDEPOOT, ZAR</t>
  </si>
  <si>
    <t>16/6/1898</t>
  </si>
  <si>
    <t>SUSARA MARIA MARGHARETHA</t>
  </si>
  <si>
    <t>29/1/1837</t>
  </si>
  <si>
    <t>COLESBURG</t>
  </si>
  <si>
    <t>3/4/1837</t>
  </si>
  <si>
    <t>1/6/1897</t>
  </si>
  <si>
    <t>JOSEPHUS JOHANNES (HERMANUS)</t>
  </si>
  <si>
    <t>b12c2d1</t>
  </si>
  <si>
    <t>4/12/1831</t>
  </si>
  <si>
    <t>MARTHA SALOMINA DOROTHEA</t>
  </si>
  <si>
    <t>5/12/1813</t>
  </si>
  <si>
    <t>7/11/1888</t>
  </si>
  <si>
    <t>JOSEPHUS THEODORUS JOHANNES</t>
  </si>
  <si>
    <t>b12c8d2</t>
  </si>
  <si>
    <t>30/3/1822</t>
  </si>
  <si>
    <t>"MAPOCHS GRONDEN", MIDDLEBERG</t>
  </si>
  <si>
    <t>31/1/1901</t>
  </si>
  <si>
    <t>MARTHA MARGARETHA MAGDALENA</t>
  </si>
  <si>
    <t>MICHIEL JOSIAS DE KOCK</t>
  </si>
  <si>
    <t>b12c2d7</t>
  </si>
  <si>
    <t>9/8/1824</t>
  </si>
  <si>
    <t>24/12/1825</t>
  </si>
  <si>
    <t>NHK POTCHEFSTROOM</t>
  </si>
  <si>
    <t>15/10/1850</t>
  </si>
  <si>
    <t>ALETTA JACOBA</t>
  </si>
  <si>
    <t>21/9/1833</t>
  </si>
  <si>
    <t>22/5/1835</t>
  </si>
  <si>
    <t>ZIETSMAN</t>
  </si>
  <si>
    <t>HERMANUS LAMBERTUS</t>
  </si>
  <si>
    <t>1/9/1819</t>
  </si>
  <si>
    <t>9/4/1820</t>
  </si>
  <si>
    <t>BOSCHMANSKRANS, STANDERTON</t>
  </si>
  <si>
    <t>1/6/1903</t>
  </si>
  <si>
    <t>21/11/1840</t>
  </si>
  <si>
    <t>A3B1C6D2E6F8</t>
  </si>
  <si>
    <t>19/9/1901</t>
  </si>
  <si>
    <t>JOHANNES PHILIP</t>
  </si>
  <si>
    <t>3/10/1813</t>
  </si>
  <si>
    <t>MARIA HENDRINA</t>
  </si>
  <si>
    <t>B3C9D7</t>
  </si>
  <si>
    <t>27/9/1797</t>
  </si>
  <si>
    <t>JOHANNES SIGISMUNDUS</t>
  </si>
  <si>
    <t>15/9/1822</t>
  </si>
  <si>
    <t>27/10/1822</t>
  </si>
  <si>
    <t>TIGER KRANTZ, HELPMEKAAR, DUNDEE, NATAL</t>
  </si>
  <si>
    <t>13/8/1902</t>
  </si>
  <si>
    <t>DINA MARIA</t>
  </si>
  <si>
    <t>B5C7D1E3</t>
  </si>
  <si>
    <t>17/4/1825</t>
  </si>
  <si>
    <t>PAUL HERMANUS</t>
  </si>
  <si>
    <t>18/8/1814</t>
  </si>
  <si>
    <t>6/11/1814</t>
  </si>
  <si>
    <t>ESTCOURT</t>
  </si>
  <si>
    <t>1/7/1892</t>
  </si>
  <si>
    <t>28/12/1835</t>
  </si>
  <si>
    <t>B2D2D1E3F3G2</t>
  </si>
  <si>
    <t>23/7/1819</t>
  </si>
  <si>
    <t>18/8/1819</t>
  </si>
  <si>
    <t>09/11/1813</t>
  </si>
  <si>
    <t>25/12/1837</t>
  </si>
  <si>
    <t>17/10/1820</t>
  </si>
  <si>
    <t xml:space="preserve">CATHARINA SUSANNA </t>
  </si>
  <si>
    <t>23/01/1816</t>
  </si>
  <si>
    <t>23/06/1816</t>
  </si>
  <si>
    <t>27/09/1835</t>
  </si>
  <si>
    <t>HENDRINA MARIA</t>
  </si>
  <si>
    <t>28/05/1824</t>
  </si>
  <si>
    <t>HESTER MARIA PETRONELLA</t>
  </si>
  <si>
    <t xml:space="preserve">SMITH </t>
  </si>
  <si>
    <t xml:space="preserve">SOUTPANSBERG </t>
  </si>
  <si>
    <t>05/11/1780</t>
  </si>
  <si>
    <t>SUIKERBOSRAND, TRANSVAAL</t>
  </si>
  <si>
    <t>12/08/1845</t>
  </si>
  <si>
    <t>a2b7c2d1e2</t>
  </si>
  <si>
    <t>15/01/1785</t>
  </si>
  <si>
    <t>GOEDEVERWACHTING, VEREENIGING</t>
  </si>
  <si>
    <t>11/12/1853</t>
  </si>
  <si>
    <t>SLANGEFONTEIN, NUWEVELD</t>
  </si>
  <si>
    <t>HE WAS THE LEADER FROM BEAUFORT</t>
  </si>
  <si>
    <t>NATAL THEN HEIDELBERG, TRANSVAAL</t>
  </si>
  <si>
    <t>21/08/1807</t>
  </si>
  <si>
    <t>19/06/1854</t>
  </si>
  <si>
    <t xml:space="preserve">ISABELLA ELIZABETH </t>
  </si>
  <si>
    <t>NUWEVELD (?)</t>
  </si>
  <si>
    <t>HIS FATHER P.D. JACOBS</t>
  </si>
  <si>
    <t>POTCHEFSTROOM THEN SUIKERBOSRAND</t>
  </si>
  <si>
    <t>b3c3d6e18</t>
  </si>
  <si>
    <t>26/03/1850</t>
  </si>
  <si>
    <t>08/07/1798</t>
  </si>
  <si>
    <t>13/02/1820</t>
  </si>
  <si>
    <t xml:space="preserve">CHRISTINA MARIA FRANCINA CECILIA </t>
  </si>
  <si>
    <t>SMIT(H)</t>
  </si>
  <si>
    <t>BETWEEN JANUAARY 1837 AND END 1839</t>
  </si>
  <si>
    <t>07/07/1823</t>
  </si>
  <si>
    <t>06/09/1820</t>
  </si>
  <si>
    <t>ANNA CECILIA JACOBA</t>
  </si>
  <si>
    <t>20/07/1766</t>
  </si>
  <si>
    <t>CA 18/12/1841</t>
  </si>
  <si>
    <t>09/11/1794</t>
  </si>
  <si>
    <t>BLOM</t>
  </si>
  <si>
    <t>13/08/1809</t>
  </si>
  <si>
    <t>AROUND JULY 1837</t>
  </si>
  <si>
    <t>07/12/1825</t>
  </si>
  <si>
    <t>27/03/1826</t>
  </si>
  <si>
    <t>KLIPPAN, MIDDELBURG, TRANSVAAL</t>
  </si>
  <si>
    <t>14/09/1902</t>
  </si>
  <si>
    <t>CA 1846</t>
  </si>
  <si>
    <t>23/04/1850</t>
  </si>
  <si>
    <t>19/11/1822</t>
  </si>
  <si>
    <t>08/12/1822</t>
  </si>
  <si>
    <t>BLOUKRANS (?)</t>
  </si>
  <si>
    <t>PIET RETIEF (?)</t>
  </si>
  <si>
    <t>15/07/1787</t>
  </si>
  <si>
    <t>BLOUKRANS</t>
  </si>
  <si>
    <t>23/11/1818</t>
  </si>
  <si>
    <t xml:space="preserve">CHRISTINA CATHARINA </t>
  </si>
  <si>
    <t>VAN BLERK</t>
  </si>
  <si>
    <t>28/08/1804</t>
  </si>
  <si>
    <t>31/03/1805</t>
  </si>
  <si>
    <t xml:space="preserve">JOHANNA ELIZABETH MARGARETHA </t>
  </si>
  <si>
    <t>12/01/1809</t>
  </si>
  <si>
    <t>BETWEEN MARCH 1840 AND APRIL 1843</t>
  </si>
  <si>
    <t>27/01/1804</t>
  </si>
  <si>
    <t>24/11/1804</t>
  </si>
  <si>
    <t>GOEDEHOOP, MIDDELBURG</t>
  </si>
  <si>
    <t xml:space="preserve">MARIA ELISABETH </t>
  </si>
  <si>
    <t>NATAL THEN TRANSORANJE THEN ZAR</t>
  </si>
  <si>
    <t>14/04/1831</t>
  </si>
  <si>
    <t xml:space="preserve">CATHARINA HENDRINA MAGDALENA </t>
  </si>
  <si>
    <t>CORNELIS ALWYN JOHANNES</t>
  </si>
  <si>
    <t>JANSE(N) VAN RENSBURG</t>
  </si>
  <si>
    <t>WILLEM SCHALK JACOBUS</t>
  </si>
  <si>
    <t>b3c1d2</t>
  </si>
  <si>
    <t>b3c7</t>
  </si>
  <si>
    <t>10/10/1779</t>
  </si>
  <si>
    <t>RIETFONTEIN, KROONSTAD</t>
  </si>
  <si>
    <t>25/02/1864</t>
  </si>
  <si>
    <t xml:space="preserve">JOHANNA CECILIA </t>
  </si>
  <si>
    <t>b1c2d1e7</t>
  </si>
  <si>
    <t>06/10/1810</t>
  </si>
  <si>
    <t>06/03/1832</t>
  </si>
  <si>
    <t>BORNMAN(N)</t>
  </si>
  <si>
    <t>b1c3d6e9f6</t>
  </si>
  <si>
    <t>23/04/1797</t>
  </si>
  <si>
    <t>05/09/1821</t>
  </si>
  <si>
    <t>BEFORE JUNE 1839</t>
  </si>
  <si>
    <t>30/05/1812</t>
  </si>
  <si>
    <t>BEFORE 1837</t>
  </si>
  <si>
    <t>AS A FAMILY</t>
  </si>
  <si>
    <t>24/02/1804</t>
  </si>
  <si>
    <t>03/02/1805</t>
  </si>
  <si>
    <t>ANNA CAROLINA BALIE</t>
  </si>
  <si>
    <t>VAN DIE KAAP</t>
  </si>
  <si>
    <t>BEFORE 25/02/1842</t>
  </si>
  <si>
    <t>TRANORANJE THEN POTCHEFSTROOM</t>
  </si>
  <si>
    <t>05/10/1800</t>
  </si>
  <si>
    <t>SUSARA ALBERTA</t>
  </si>
  <si>
    <t xml:space="preserve">VAN DER BANK </t>
  </si>
  <si>
    <t>BEAUFORT THEN GRAHAMSTOWN</t>
  </si>
  <si>
    <t>CORNLIS (F SON)</t>
  </si>
  <si>
    <t>b1c2d8e4</t>
  </si>
  <si>
    <t>27/12/1810</t>
  </si>
  <si>
    <t>02/04/1811</t>
  </si>
  <si>
    <t>05/02/1837</t>
  </si>
  <si>
    <t>SUSARA CATHARINA</t>
  </si>
  <si>
    <t>NIENABER</t>
  </si>
  <si>
    <t>SECOND HALF OF 1839 (?)</t>
  </si>
  <si>
    <t xml:space="preserve">FRANCOIS (FRANS) JACOBUS JR. </t>
  </si>
  <si>
    <t>b1c2d8e1</t>
  </si>
  <si>
    <t>08/12/1805</t>
  </si>
  <si>
    <t>MOLSHOOP, HEILBRON</t>
  </si>
  <si>
    <t xml:space="preserve">ANNA HENDRINA </t>
  </si>
  <si>
    <t>KLEYNGELD</t>
  </si>
  <si>
    <t>26/04/1812</t>
  </si>
  <si>
    <t>BEFORE OCTOBER 1838</t>
  </si>
  <si>
    <t xml:space="preserve">JOHANNA SUSANNA </t>
  </si>
  <si>
    <t>ELIZABETH ALETTA</t>
  </si>
  <si>
    <t xml:space="preserve">FRANCOIS (FRANS) JACOBUS SR. </t>
  </si>
  <si>
    <t>b1c2d8</t>
  </si>
  <si>
    <t>19/04/1783</t>
  </si>
  <si>
    <t>05/11/1854</t>
  </si>
  <si>
    <t>12/02/1804</t>
  </si>
  <si>
    <t>BEFORE OCTOBER 1838 (?)</t>
  </si>
  <si>
    <t>JOSEPH CORNELIS</t>
  </si>
  <si>
    <t>b1c2d8e9</t>
  </si>
  <si>
    <t>06/12/1822</t>
  </si>
  <si>
    <t>04/022/1823</t>
  </si>
  <si>
    <t>23/04/1879</t>
  </si>
  <si>
    <t>03/09/1846</t>
  </si>
  <si>
    <t>JOHANNA SUSANNA PETRONELLA</t>
  </si>
  <si>
    <t>b2c5d2</t>
  </si>
  <si>
    <t>15/06/1828</t>
  </si>
  <si>
    <t>26/12/1828</t>
  </si>
  <si>
    <t>GRAAFF-REINET/ COLESBERG</t>
  </si>
  <si>
    <t>BEFORE 1846</t>
  </si>
  <si>
    <t>POTCHEFSTROOM THEN WINBURG AND BLOEMFONTEIN</t>
  </si>
  <si>
    <t>04/11/1861</t>
  </si>
  <si>
    <t>SOPHIA MAGDALENA</t>
  </si>
  <si>
    <t>CORNELIUS</t>
  </si>
  <si>
    <t>19/06/1826</t>
  </si>
  <si>
    <t>CHRISTOFFEL JOHANNES PETRUS</t>
  </si>
  <si>
    <t>b1c5d6e5</t>
  </si>
  <si>
    <t>DAVID BENJAMIN</t>
  </si>
  <si>
    <t>b1c5d1e12</t>
  </si>
  <si>
    <t>b1c5d1e6</t>
  </si>
  <si>
    <t>GERT</t>
  </si>
  <si>
    <t>b1c5d1e5f1</t>
  </si>
  <si>
    <t>JACOB DANIEL</t>
  </si>
  <si>
    <t>b1c5d1e13</t>
  </si>
  <si>
    <t>b1c5d1e5f2</t>
  </si>
  <si>
    <t>b1c5d1e5</t>
  </si>
  <si>
    <t>LOUIS HOSEA</t>
  </si>
  <si>
    <t>b1c5d1e8</t>
  </si>
  <si>
    <t>PIETER GEORG</t>
  </si>
  <si>
    <t>PIETER WILLEM SR.</t>
  </si>
  <si>
    <t>b1c5d1e4</t>
  </si>
  <si>
    <t>PIETER WILLEM JR.</t>
  </si>
  <si>
    <t>b1c5d1e4f4</t>
  </si>
  <si>
    <t>07/05/1809</t>
  </si>
  <si>
    <t>22/11/1830</t>
  </si>
  <si>
    <t>b7c4d6</t>
  </si>
  <si>
    <t>30/09/1898</t>
  </si>
  <si>
    <t>JAN DU PLESSIS HIS FATHER IN LAW</t>
  </si>
  <si>
    <t>11/11/1804</t>
  </si>
  <si>
    <t>25/08/1805</t>
  </si>
  <si>
    <t>KLIPPAATDRIFT, KROONSTAD</t>
  </si>
  <si>
    <t>23/04/1881</t>
  </si>
  <si>
    <t>27/02/1792</t>
  </si>
  <si>
    <t>13/01/1793</t>
  </si>
  <si>
    <t>TUGELA</t>
  </si>
  <si>
    <t>18/03/1866</t>
  </si>
  <si>
    <t>06/12/1818</t>
  </si>
  <si>
    <t>ALETTA ELIZABETH DOROTHEA</t>
  </si>
  <si>
    <t xml:space="preserve">VAN HEEREN </t>
  </si>
  <si>
    <t>b1c1d5e4</t>
  </si>
  <si>
    <t>15/02/1795</t>
  </si>
  <si>
    <t>PAARDEKRAAL, TARKA</t>
  </si>
  <si>
    <t xml:space="preserve">ALETTA JOHANNA </t>
  </si>
  <si>
    <t>07/04/1822</t>
  </si>
  <si>
    <t>19/05/1822</t>
  </si>
  <si>
    <t>13/04/1890</t>
  </si>
  <si>
    <t>SUSARA ALETTA</t>
  </si>
  <si>
    <t>NOT SURE WHETHER THEY MOVED BETWEEN 1835- 1845</t>
  </si>
  <si>
    <t>22/08/1806</t>
  </si>
  <si>
    <t xml:space="preserve">ELSJE PETRONELLA </t>
  </si>
  <si>
    <t>a1b5c5d7</t>
  </si>
  <si>
    <t>18/10/1810</t>
  </si>
  <si>
    <t>CONCENTRATION CAMP IN SPRINGFONTEIN</t>
  </si>
  <si>
    <t>18/09/1901</t>
  </si>
  <si>
    <t xml:space="preserve">SUSARA SUSANNA </t>
  </si>
  <si>
    <t>08/05/1792</t>
  </si>
  <si>
    <t>03/11/1877</t>
  </si>
  <si>
    <t>15/03/1821</t>
  </si>
  <si>
    <t xml:space="preserve">CATHARINA JOHANNA MARIA </t>
  </si>
  <si>
    <t>b8c2d5e1</t>
  </si>
  <si>
    <t>02/07/1804</t>
  </si>
  <si>
    <t>08/09/1795</t>
  </si>
  <si>
    <t>24/08/1874</t>
  </si>
  <si>
    <t xml:space="preserve">ALETTA JOHANNA LOUISA SOPHIA </t>
  </si>
  <si>
    <t>a1b5c5d5</t>
  </si>
  <si>
    <t>22/10/1804</t>
  </si>
  <si>
    <t>20/03/1803</t>
  </si>
  <si>
    <t>26/08/1804</t>
  </si>
  <si>
    <t xml:space="preserve">ISABELLA CORNELIA </t>
  </si>
  <si>
    <t>b6c8d6e5</t>
  </si>
  <si>
    <t>01/05/1803</t>
  </si>
  <si>
    <t>15/10/1790</t>
  </si>
  <si>
    <t>21/03/1813</t>
  </si>
  <si>
    <t>MULLER (MULDER)</t>
  </si>
  <si>
    <t>b5c7d6</t>
  </si>
  <si>
    <t>BEFORE 23/05/1837</t>
  </si>
  <si>
    <t>06/05/1906</t>
  </si>
  <si>
    <t>SUSARA (SUSANNA) ELIZABETH</t>
  </si>
  <si>
    <t>ADRIAAN JOSUA JACOBUS</t>
  </si>
  <si>
    <t>b10c6d4e2</t>
  </si>
  <si>
    <t>b5c7d1e1</t>
  </si>
  <si>
    <t>b10c9d5e2</t>
  </si>
  <si>
    <t>b5c7d5e2</t>
  </si>
  <si>
    <t>FRANCOIS JACOBUS SR.</t>
  </si>
  <si>
    <t>b10c9d4</t>
  </si>
  <si>
    <t>FRANCOIS JACOBUS JR.</t>
  </si>
  <si>
    <t>b10c9d4e5</t>
  </si>
  <si>
    <t>b10c9d5e9</t>
  </si>
  <si>
    <t>GIDEON JOHANNES</t>
  </si>
  <si>
    <t>b5c7d7e5</t>
  </si>
  <si>
    <t>HENDRIK LODEWYK</t>
  </si>
  <si>
    <t>b10c9d4e7</t>
  </si>
  <si>
    <t>JACOBUS FRANCOIS</t>
  </si>
  <si>
    <t>b8c3d3e2f1</t>
  </si>
  <si>
    <t xml:space="preserve">JAN ABRAHAM </t>
  </si>
  <si>
    <t>b10c4d2e3</t>
  </si>
  <si>
    <t>b10c6d9e7</t>
  </si>
  <si>
    <t>b10c6d7</t>
  </si>
  <si>
    <t>b10c6d7e5</t>
  </si>
  <si>
    <t>JOHANNES BERNHARDUS</t>
  </si>
  <si>
    <t>b5c7d7e9</t>
  </si>
  <si>
    <t>b10c6d9e3</t>
  </si>
  <si>
    <t>JOSUA</t>
  </si>
  <si>
    <t>b10c6d3e2</t>
  </si>
  <si>
    <t>b5c7d4e6</t>
  </si>
  <si>
    <t>b5c7d3e4</t>
  </si>
  <si>
    <t>JOSUA ANDRIES</t>
  </si>
  <si>
    <t>b5c7d7e11</t>
  </si>
  <si>
    <t>JOSUA FRANCOIS</t>
  </si>
  <si>
    <t>b10c6d9e1</t>
  </si>
  <si>
    <t>b10c6d7e6</t>
  </si>
  <si>
    <t>LEENDERT FRANCOIS</t>
  </si>
  <si>
    <t>b5c7d7e3</t>
  </si>
  <si>
    <t>MARTHINUS GODFRIED</t>
  </si>
  <si>
    <t>b8c3d3e2f2</t>
  </si>
  <si>
    <t>PETRUS (PIETER) JACOBUS</t>
  </si>
  <si>
    <t>b10c6d9</t>
  </si>
  <si>
    <t>b5c7d3e6</t>
  </si>
  <si>
    <t>b5c7d7e6</t>
  </si>
  <si>
    <t>b10c9d4e8</t>
  </si>
  <si>
    <t>b10c9d5</t>
  </si>
  <si>
    <t>b10c9d5e3</t>
  </si>
  <si>
    <t>WILLEM FRANCOIS SR.</t>
  </si>
  <si>
    <t>b5c7d5e3</t>
  </si>
  <si>
    <t>WILLEM FRANCOIS JR.</t>
  </si>
  <si>
    <t>b5c7d5e3f1</t>
  </si>
  <si>
    <t xml:space="preserve">ANNA FRANCINA </t>
  </si>
  <si>
    <t>BEFORE SEPTEMBER 1840</t>
  </si>
  <si>
    <t>06/07/1797</t>
  </si>
  <si>
    <t>01/12/1805</t>
  </si>
  <si>
    <t>01/10/1826</t>
  </si>
  <si>
    <t xml:space="preserve">CORNELIA JOHANNA </t>
  </si>
  <si>
    <t>11/11/1810</t>
  </si>
  <si>
    <t>1840S</t>
  </si>
  <si>
    <t>PROBABLY FAMILY TREK</t>
  </si>
  <si>
    <t>LYDENBURG THEN BLOEMFONTEIN</t>
  </si>
  <si>
    <t>MARIA MAGDALENA CHRISTINA WILHELMINA</t>
  </si>
  <si>
    <t>18/03/1807</t>
  </si>
  <si>
    <t>14/01/1889</t>
  </si>
  <si>
    <t>06/05/1827</t>
  </si>
  <si>
    <t>BEFORE SEPTEMBER 1839</t>
  </si>
  <si>
    <t xml:space="preserve">ANNA MARIA CECILIA </t>
  </si>
  <si>
    <t>KRUGEL (KRUGER)</t>
  </si>
  <si>
    <t>15/11/1799</t>
  </si>
  <si>
    <t>15/12/1799</t>
  </si>
  <si>
    <t>02/05/1849</t>
  </si>
  <si>
    <t>MARGARETHA ELIZABETH</t>
  </si>
  <si>
    <t>HOEDSPRUIT</t>
  </si>
  <si>
    <t>04/02/1860</t>
  </si>
  <si>
    <t>COLESBERG (?)</t>
  </si>
  <si>
    <t>WINBURG THEN OHRISGSTAD THEN LYDENBURG</t>
  </si>
  <si>
    <t>23/12/1781</t>
  </si>
  <si>
    <t>WELGEVAL, JACOBSDAL, OVS</t>
  </si>
  <si>
    <t>19/12/1861</t>
  </si>
  <si>
    <t>WELGEVAL, JACOBSDAL</t>
  </si>
  <si>
    <t>PROBABLY A FAMILY TREK</t>
  </si>
  <si>
    <t>30/04/1811</t>
  </si>
  <si>
    <t>08/07/1911</t>
  </si>
  <si>
    <t>29/04/1876</t>
  </si>
  <si>
    <t>24/04/1886</t>
  </si>
  <si>
    <t>25/01/1826</t>
  </si>
  <si>
    <t>09/04/1826</t>
  </si>
  <si>
    <t>ZEERUST</t>
  </si>
  <si>
    <t>03/06/1895</t>
  </si>
  <si>
    <t>01/08/1847</t>
  </si>
  <si>
    <t>HESTER CHRISTINA NICOLASINA</t>
  </si>
  <si>
    <t>13/04/1826</t>
  </si>
  <si>
    <t>GROOT-MARICO, ZEERUST</t>
  </si>
  <si>
    <t>05/08/1900</t>
  </si>
  <si>
    <t>UITENHAGE (?)</t>
  </si>
  <si>
    <t>07/02/1812</t>
  </si>
  <si>
    <t>24/04/1814</t>
  </si>
  <si>
    <t>ROODEWAL</t>
  </si>
  <si>
    <t>16/11/1894</t>
  </si>
  <si>
    <t>14/02/1836</t>
  </si>
  <si>
    <t>30/12/1856</t>
  </si>
  <si>
    <t xml:space="preserve">ELSABE ( ELIZABETH) CORNELIA </t>
  </si>
  <si>
    <t>07/11/1814</t>
  </si>
  <si>
    <t>DRIETFONTEIN, MARICO</t>
  </si>
  <si>
    <t>27/01/1885</t>
  </si>
  <si>
    <t>CHRISTINA ELIZABETH</t>
  </si>
  <si>
    <t>FAMILY TREK (?)</t>
  </si>
  <si>
    <t>TRANSORANJE THEN MARICO</t>
  </si>
  <si>
    <t>08/11/1852</t>
  </si>
  <si>
    <t>SNYGANS</t>
  </si>
  <si>
    <t>03/07/1803</t>
  </si>
  <si>
    <t>1836 OR EARLY 1840S</t>
  </si>
  <si>
    <t>POTCHEFSTROOMTHEN OHRIGSTAD THEN OVS</t>
  </si>
  <si>
    <t>13/04/1775</t>
  </si>
  <si>
    <t xml:space="preserve">RACHEL CORNELIA </t>
  </si>
  <si>
    <t>b2c1d4</t>
  </si>
  <si>
    <t>28/07/1776</t>
  </si>
  <si>
    <t>WINTERBERG (?)</t>
  </si>
  <si>
    <t>ALBANY (?)</t>
  </si>
  <si>
    <t>12/07/1809</t>
  </si>
  <si>
    <t>22/08/1880</t>
  </si>
  <si>
    <t>30/12/1832</t>
  </si>
  <si>
    <t xml:space="preserve">CATHARINA </t>
  </si>
  <si>
    <t>LIVERSAGE</t>
  </si>
  <si>
    <t>SOMERSET OR ALBANY</t>
  </si>
  <si>
    <t>NATAL THEN OVS</t>
  </si>
  <si>
    <t>MAGDALENA MARTHA CORNELIA</t>
  </si>
  <si>
    <t>20/09/1850</t>
  </si>
  <si>
    <t xml:space="preserve">ANNA CORNELIA MARIA </t>
  </si>
  <si>
    <t>MAARTENS</t>
  </si>
  <si>
    <t>a5b1c6d2</t>
  </si>
  <si>
    <t>ca 1827</t>
  </si>
  <si>
    <t>07/04/1861</t>
  </si>
  <si>
    <t>20/01/1862</t>
  </si>
  <si>
    <t>MAGDALENA HENRIETTA ELIZABETH</t>
  </si>
  <si>
    <t>RUDOLPH</t>
  </si>
  <si>
    <t>b1c2d1</t>
  </si>
  <si>
    <t>KOMATI, LYDENBURG</t>
  </si>
  <si>
    <t>05/08/1886</t>
  </si>
  <si>
    <t>29/03/1823</t>
  </si>
  <si>
    <t>31/08/1887</t>
  </si>
  <si>
    <t xml:space="preserve">MAGDALENA MARTHA CORNELIA </t>
  </si>
  <si>
    <t>17/10/1825</t>
  </si>
  <si>
    <t>MOOIPLAATS, PRETORIA</t>
  </si>
  <si>
    <t>17/07/1876</t>
  </si>
  <si>
    <t>1827/8</t>
  </si>
  <si>
    <t>DRIEFONTEIN, ERMELO</t>
  </si>
  <si>
    <t>10/01/1895</t>
  </si>
  <si>
    <t>15/08/1781</t>
  </si>
  <si>
    <t>20/12/1781</t>
  </si>
  <si>
    <t>BLOUKRANSRIVIER</t>
  </si>
  <si>
    <t>12/06/1808</t>
  </si>
  <si>
    <t>12/07/1822</t>
  </si>
  <si>
    <t>SWELLENDAM AND POSSIBLY GRAAFF-REINET OR COLESBERG JUST BEFORE THE TREK</t>
  </si>
  <si>
    <t>M.M. HAASBROEK WITH A.H. POTGIETER</t>
  </si>
  <si>
    <t>04/03/1812</t>
  </si>
  <si>
    <t>19/04/1812</t>
  </si>
  <si>
    <t>BOKKRAAL, ZEERUST</t>
  </si>
  <si>
    <t>06/03/1831</t>
  </si>
  <si>
    <t>SUSARA CHARLOTTE</t>
  </si>
  <si>
    <t>02/11/1812</t>
  </si>
  <si>
    <t>24/04/1871</t>
  </si>
  <si>
    <t>18/04/1834</t>
  </si>
  <si>
    <t>03/10/1830</t>
  </si>
  <si>
    <t>JEANETTA HELENA</t>
  </si>
  <si>
    <t>25/01/1813</t>
  </si>
  <si>
    <t>27/08/1814</t>
  </si>
  <si>
    <t>CA 1882</t>
  </si>
  <si>
    <t>MARIA MAGDALENA MARGARETHA</t>
  </si>
  <si>
    <t>HESTER ALETTA</t>
  </si>
  <si>
    <t>SWELLENDAM THEN COLESBERG</t>
  </si>
  <si>
    <t>WINBURG THEN NATAL</t>
  </si>
  <si>
    <t>06/12/1801</t>
  </si>
  <si>
    <t>10/02/1876</t>
  </si>
  <si>
    <t>CA 1841</t>
  </si>
  <si>
    <t xml:space="preserve">ELIZABETH MARIA </t>
  </si>
  <si>
    <t>24/10/1825</t>
  </si>
  <si>
    <t>APRIL 1847</t>
  </si>
  <si>
    <t>25/08/1808</t>
  </si>
  <si>
    <t>08/05/1843</t>
  </si>
  <si>
    <t xml:space="preserve">ESTER MARIA </t>
  </si>
  <si>
    <t>b3c4d1e4f1</t>
  </si>
  <si>
    <t>04/08/1821</t>
  </si>
  <si>
    <t>22/07/1810</t>
  </si>
  <si>
    <t>14/03/1811</t>
  </si>
  <si>
    <t>25/12/1805</t>
  </si>
  <si>
    <t>BETWEEN APRIL 1842 AND NOVEMBER 1844</t>
  </si>
  <si>
    <t>06/07/1806</t>
  </si>
  <si>
    <t xml:space="preserve">HELENA SUSANNA </t>
  </si>
  <si>
    <t>b3c3d8e2</t>
  </si>
  <si>
    <t>ZOAR</t>
  </si>
  <si>
    <t>29/04/1832</t>
  </si>
  <si>
    <t xml:space="preserve">SUSANNA ELIZABETH </t>
  </si>
  <si>
    <t>19/12/1810</t>
  </si>
  <si>
    <t>29/05/1836</t>
  </si>
  <si>
    <t>JOHANNA HELENA JOSINA</t>
  </si>
  <si>
    <t>SCHEERPOORT</t>
  </si>
  <si>
    <t>19/03/1889</t>
  </si>
  <si>
    <t>03/03/1817</t>
  </si>
  <si>
    <t>DRIEKOP, BLOEMFONTEIN</t>
  </si>
  <si>
    <t>25/11/1897</t>
  </si>
  <si>
    <t>SUSANNA JACOBA SCHEEPERS</t>
  </si>
  <si>
    <t>TRANSORANJE CLOSE TO BLOEMFONTEIN</t>
  </si>
  <si>
    <t xml:space="preserve">CATHARINA ELIZABETH </t>
  </si>
  <si>
    <t>24/11/1816</t>
  </si>
  <si>
    <t>26/12/1816</t>
  </si>
  <si>
    <t>28/08/1856</t>
  </si>
  <si>
    <t>13/12/1836</t>
  </si>
  <si>
    <t xml:space="preserve">GEERTRUYDA CHRISTINA </t>
  </si>
  <si>
    <t>BETWEEN APRIL 1842 AND DESEMBER 1845</t>
  </si>
  <si>
    <t>FAMILY TREK</t>
  </si>
  <si>
    <t>30/04/1784</t>
  </si>
  <si>
    <t>MODDERRIVIER, TRANSORANJE</t>
  </si>
  <si>
    <t>27/12/1844</t>
  </si>
  <si>
    <t>31/05/1835</t>
  </si>
  <si>
    <t>BETWEEN 03/04/1843 AND 27/12/1844</t>
  </si>
  <si>
    <t>10/09/1801</t>
  </si>
  <si>
    <t>06/12/1823</t>
  </si>
  <si>
    <t xml:space="preserve">DOROTHEA REGINA </t>
  </si>
  <si>
    <t xml:space="preserve">VAN EEDEN </t>
  </si>
  <si>
    <t>20/09/1846</t>
  </si>
  <si>
    <t>POSSIBLY BEGINNING 1836</t>
  </si>
  <si>
    <t>08/09/1847</t>
  </si>
  <si>
    <t>02/05/1893</t>
  </si>
  <si>
    <t>04/11/1824</t>
  </si>
  <si>
    <t>JOHAN (JOHANNES) AUGUST</t>
  </si>
  <si>
    <t>11/01/1824</t>
  </si>
  <si>
    <t>SALOMINA HERCULINA</t>
  </si>
  <si>
    <t>GERHARDUS PHILIPPUS</t>
  </si>
  <si>
    <t>b3c5d7</t>
  </si>
  <si>
    <t>29/05/1791</t>
  </si>
  <si>
    <t>b6c9d8e4</t>
  </si>
  <si>
    <t>KABELJOURIVIER, GAMTOOSRIVIER</t>
  </si>
  <si>
    <t>CA APRIL 1837</t>
  </si>
  <si>
    <t>b3c5d7e3</t>
  </si>
  <si>
    <t>08/06/1819</t>
  </si>
  <si>
    <t>22/01/1820</t>
  </si>
  <si>
    <t>BERGVLIET, DUNDEE, NATAL</t>
  </si>
  <si>
    <t>13/11/1899</t>
  </si>
  <si>
    <t>HESTER MARGARETHA ALETTA</t>
  </si>
  <si>
    <t>b3c5d7e2</t>
  </si>
  <si>
    <t>08/01/1818</t>
  </si>
  <si>
    <t>23/03/1898</t>
  </si>
  <si>
    <t>09/03/1838</t>
  </si>
  <si>
    <t>CATHARINA AGATHA</t>
  </si>
  <si>
    <t>a1b2c3d8e10</t>
  </si>
  <si>
    <t>06/09/1819</t>
  </si>
  <si>
    <t>KILLIAN</t>
  </si>
  <si>
    <t>JUSTUS DANIEL</t>
  </si>
  <si>
    <t>b11</t>
  </si>
  <si>
    <t>29/08/1810</t>
  </si>
  <si>
    <t>04/11/1810</t>
  </si>
  <si>
    <t>02/08/1850</t>
  </si>
  <si>
    <t>02/11/1819</t>
  </si>
  <si>
    <t>16/01/1901</t>
  </si>
  <si>
    <t>KLEYNSHANS</t>
  </si>
  <si>
    <t>b9c5</t>
  </si>
  <si>
    <t>01/03/1813</t>
  </si>
  <si>
    <t>19/04/1813</t>
  </si>
  <si>
    <t>10/05/1887</t>
  </si>
  <si>
    <t>23/03/1834</t>
  </si>
  <si>
    <t>BEFORE JUNE 1838</t>
  </si>
  <si>
    <t>CA FEBRUARY 1837</t>
  </si>
  <si>
    <t>PROBABLY PIET RETIEF</t>
  </si>
  <si>
    <t>maybe b7c5d3e1</t>
  </si>
  <si>
    <t>BALTHAZAR MARTHINUS</t>
  </si>
  <si>
    <t>b7c2d7</t>
  </si>
  <si>
    <t>CORNELIS PETRUS</t>
  </si>
  <si>
    <t>b7c4d9</t>
  </si>
  <si>
    <t>HENDRIK COENRAAD ( DE OUDE)</t>
  </si>
  <si>
    <t>b7c2</t>
  </si>
  <si>
    <t>b7c2d4</t>
  </si>
  <si>
    <t>b7c4d2</t>
  </si>
  <si>
    <t>JACOBUS MARTHINUS</t>
  </si>
  <si>
    <t>JACOBUS MARTHINUS LOURENS</t>
  </si>
  <si>
    <t>b8c8d7</t>
  </si>
  <si>
    <t>b7c2d9</t>
  </si>
  <si>
    <t>b8c10</t>
  </si>
  <si>
    <t>b8c10d3</t>
  </si>
  <si>
    <t>LUCAS CORNELIS JOHANNES</t>
  </si>
  <si>
    <t>b8c8d3</t>
  </si>
  <si>
    <t>b7c4d3</t>
  </si>
  <si>
    <t>PETRUS CORNELIS</t>
  </si>
  <si>
    <t>b7c2d10</t>
  </si>
  <si>
    <t>b8c6d7</t>
  </si>
  <si>
    <t>09/02/1820</t>
  </si>
  <si>
    <t>05/03/1820</t>
  </si>
  <si>
    <t>DOORNKLOOF, BAVIAANSRIVIER</t>
  </si>
  <si>
    <t>BEFORE 20/06/1837</t>
  </si>
  <si>
    <t>02/05/1805</t>
  </si>
  <si>
    <t>05/06/1830</t>
  </si>
  <si>
    <t xml:space="preserve">CHRISTINA PETRONELLA </t>
  </si>
  <si>
    <t>03/08/1819</t>
  </si>
  <si>
    <t>09/07/1886</t>
  </si>
  <si>
    <t>ALETTA MARGARETHA FRANCINA</t>
  </si>
  <si>
    <t>a2b9c13d1</t>
  </si>
  <si>
    <t>04/09/1825</t>
  </si>
  <si>
    <t>29/05/1812</t>
  </si>
  <si>
    <t>GEERTRUIDA JACOBA ELIZABETH</t>
  </si>
  <si>
    <t>ROBBERTS</t>
  </si>
  <si>
    <t>BEFORE 26/06/1838</t>
  </si>
  <si>
    <t>NATAL THEN BLOEMFONTEIN AND SMITHFIELD</t>
  </si>
  <si>
    <t>(?) JACOMINS ELIZABETH</t>
  </si>
  <si>
    <t>11/01/1756</t>
  </si>
  <si>
    <t>10/10/1784</t>
  </si>
  <si>
    <t>PROBABLY TARKA</t>
  </si>
  <si>
    <t>PROBABLY A.H. POTGIETER</t>
  </si>
  <si>
    <t>12/05/1799</t>
  </si>
  <si>
    <t xml:space="preserve">MARIA MAGDALENA WILHELMINA JOSEPHA </t>
  </si>
  <si>
    <t>REYNDERS</t>
  </si>
  <si>
    <t>POSSIBLY TARKA</t>
  </si>
  <si>
    <t>12/05/1802</t>
  </si>
  <si>
    <t>HARTEBEESFONTEIN, RUSTENBURG</t>
  </si>
  <si>
    <t>01/09/1876</t>
  </si>
  <si>
    <t>MAYBE ONLY AFTER 1846</t>
  </si>
  <si>
    <t>12/08/1846</t>
  </si>
  <si>
    <t>JACOMINA CAROLINA FREDERIKA</t>
  </si>
  <si>
    <t>RADEMEYER</t>
  </si>
  <si>
    <t>b1c1d7</t>
  </si>
  <si>
    <t>16/02/1820</t>
  </si>
  <si>
    <t>12/03/1820</t>
  </si>
  <si>
    <t>NOVEMBER 1892</t>
  </si>
  <si>
    <t>02/03/1794</t>
  </si>
  <si>
    <t>14/12/1837</t>
  </si>
  <si>
    <t>SOMERSET THEN WINTERBERG</t>
  </si>
  <si>
    <t>NOT SURE WHETHER THEY MOVED BUT IF THEY DID THEN POSSIBLY A FEW DAYS AFTER 14/12/1837</t>
  </si>
  <si>
    <t>17/05/1816</t>
  </si>
  <si>
    <t>PROBABLY WINTERBERG</t>
  </si>
  <si>
    <t>02/07/1816</t>
  </si>
  <si>
    <t>SUSANNA CATHARINA MAGDALENA</t>
  </si>
  <si>
    <t>26/12/1835</t>
  </si>
  <si>
    <t>b6b8d6e4f1</t>
  </si>
  <si>
    <t>30/03/1819</t>
  </si>
  <si>
    <t>13/07/1819</t>
  </si>
  <si>
    <t>CA JULY 1837</t>
  </si>
  <si>
    <t>PROBABLY JACOBUS CHRISTOFFEL POTGIETER</t>
  </si>
  <si>
    <t>04/08/1809</t>
  </si>
  <si>
    <t>17/09/1891</t>
  </si>
  <si>
    <t>BEOFRE 20/06/1837</t>
  </si>
  <si>
    <t>POSSIBLY PIET RETIEF</t>
  </si>
  <si>
    <t xml:space="preserve">NATAL THEN LYDENBURG THEN UTRECHT </t>
  </si>
  <si>
    <t>b2c4d3e1f11</t>
  </si>
  <si>
    <t>21/01/1841</t>
  </si>
  <si>
    <t>07/01/1787</t>
  </si>
  <si>
    <t>26/03/1786</t>
  </si>
  <si>
    <t>SOMERSET THEN WINTERBERG, ALBANY</t>
  </si>
  <si>
    <t>27/06/1808</t>
  </si>
  <si>
    <t>05/12/1830</t>
  </si>
  <si>
    <t>PMB THEN WINBURG</t>
  </si>
  <si>
    <t>01/11/1803</t>
  </si>
  <si>
    <t>KWAMATHIWANE. NATAL</t>
  </si>
  <si>
    <t xml:space="preserve">RACHEL ELIZABETH ALIDA </t>
  </si>
  <si>
    <t>b6c3d8</t>
  </si>
  <si>
    <t>CA JULY 1837 IF THEY MOVED</t>
  </si>
  <si>
    <t>MARIA MARGARETHA</t>
  </si>
  <si>
    <t>06/12/1812</t>
  </si>
  <si>
    <t>07/03/1813</t>
  </si>
  <si>
    <t>04/09/1836</t>
  </si>
  <si>
    <t>15/11/1820</t>
  </si>
  <si>
    <t>BROEDERSTROOM, PRETORIA</t>
  </si>
  <si>
    <t>06/08/1893</t>
  </si>
  <si>
    <t>BAVIAANSRIVER</t>
  </si>
  <si>
    <t>MARGARETHA ALETTA</t>
  </si>
  <si>
    <t>AFTER 09/01/1842</t>
  </si>
  <si>
    <t>FAMILY TREK (?) NOT SURE THAT THEY MOVED</t>
  </si>
  <si>
    <t>JOHAN PHILIPPUS JACOBUS</t>
  </si>
  <si>
    <t>28/10/1809</t>
  </si>
  <si>
    <t>LUTHERAN CHURCH</t>
  </si>
  <si>
    <t>12/11/1809</t>
  </si>
  <si>
    <t>20/01/1828</t>
  </si>
  <si>
    <t>MARTHA ELSJE JOHANNA</t>
  </si>
  <si>
    <t>VISRIVER</t>
  </si>
  <si>
    <t>NATAL THEN TRANSORANJE</t>
  </si>
  <si>
    <t>FRANS WILLEM</t>
  </si>
  <si>
    <t>22/08/1817</t>
  </si>
  <si>
    <t>RICHMOND HOTEL</t>
  </si>
  <si>
    <t>26/08/1902</t>
  </si>
  <si>
    <t>13/07/1838</t>
  </si>
  <si>
    <t xml:space="preserve">GERBRECHTA CHRISTINA </t>
  </si>
  <si>
    <t>14/06/1870</t>
  </si>
  <si>
    <t>HOEKFONTEIN, OP-SNEEUBERG</t>
  </si>
  <si>
    <t>1841/2</t>
  </si>
  <si>
    <t>JAN KOCK</t>
  </si>
  <si>
    <t>TRANSORANJE  THEN BACK TO THE COLONY</t>
  </si>
  <si>
    <t>JOHANNES (JAN) HENRICUS LAMBERTUS</t>
  </si>
  <si>
    <t>28/10/1813</t>
  </si>
  <si>
    <t>15/10/1889</t>
  </si>
  <si>
    <t>13/03/1834</t>
  </si>
  <si>
    <t xml:space="preserve">ELSJE MAGDALENA </t>
  </si>
  <si>
    <t>a1b2c3d2e7f4</t>
  </si>
  <si>
    <t>30/07/1816</t>
  </si>
  <si>
    <t>08/10/1816</t>
  </si>
  <si>
    <t>LUIPAARDSVLEI, AGTER-OP-SNEEUBERG</t>
  </si>
  <si>
    <t>BLOEMFONTEIN THEN POTCHEFSTROOM</t>
  </si>
  <si>
    <t>b1c6d1</t>
  </si>
  <si>
    <t>b1c4d5e3</t>
  </si>
  <si>
    <t>b1c7d3</t>
  </si>
  <si>
    <t xml:space="preserve">JOACHIM MARTHINUS SR. </t>
  </si>
  <si>
    <t>b1c4d1</t>
  </si>
  <si>
    <t xml:space="preserve">JOACHIM MARTHINUS JR. </t>
  </si>
  <si>
    <t>b1c4d1e4</t>
  </si>
  <si>
    <t>JACOBUS MATTYS WYNAND</t>
  </si>
  <si>
    <t>b1c4d8</t>
  </si>
  <si>
    <t>b1c4d9</t>
  </si>
  <si>
    <t>JOHANNES MATTHEUS</t>
  </si>
  <si>
    <t>b1c4d1e5</t>
  </si>
  <si>
    <t>b1c4d1e8</t>
  </si>
  <si>
    <t>b1c4d6</t>
  </si>
  <si>
    <t>ZACHARIAS</t>
  </si>
  <si>
    <t>b1c4d1e7</t>
  </si>
  <si>
    <t>KOOPMAN</t>
  </si>
  <si>
    <t>DAWID</t>
  </si>
  <si>
    <t>b5c3d3</t>
  </si>
  <si>
    <t>JAN MICHIEL</t>
  </si>
  <si>
    <t>WILLEM PETRUS</t>
  </si>
  <si>
    <t>b5c3d8</t>
  </si>
  <si>
    <t>KORFF</t>
  </si>
  <si>
    <t>ABRAHAM JOHANNES ARIE PETRUS</t>
  </si>
  <si>
    <t>b10c4</t>
  </si>
  <si>
    <t>HENDRIK JOHANNES GERHARDUS</t>
  </si>
  <si>
    <t>05/05/1796</t>
  </si>
  <si>
    <t>10/06/1796</t>
  </si>
  <si>
    <t>20/11/1872</t>
  </si>
  <si>
    <t>HESTER SOPHIA</t>
  </si>
  <si>
    <t>b14c8d7</t>
  </si>
  <si>
    <t>SOMERSET THEN TARKA</t>
  </si>
  <si>
    <t>BEOFRE JUNE 1839</t>
  </si>
  <si>
    <t>13/02/1824</t>
  </si>
  <si>
    <t>01/08/1824</t>
  </si>
  <si>
    <t>GEERTRUYDA ALETTA</t>
  </si>
  <si>
    <t>25/07/1819</t>
  </si>
  <si>
    <t xml:space="preserve">ELIZABETH SUSANNA </t>
  </si>
  <si>
    <t>b1c7d2e3f3</t>
  </si>
  <si>
    <t>RIERVALLEI (RIETVLEI)</t>
  </si>
  <si>
    <t>AGTER-SNEEUBERG, SOMERSET THEN SOMERSET</t>
  </si>
  <si>
    <t>LATE 1842 OR EARLY 1842</t>
  </si>
  <si>
    <t xml:space="preserve">GERTRUIDA MARIA </t>
  </si>
  <si>
    <t>08/12/1803</t>
  </si>
  <si>
    <t>CA 1839</t>
  </si>
  <si>
    <t>18/02/1832</t>
  </si>
  <si>
    <t>CA OCTOBER 1837</t>
  </si>
  <si>
    <t>28/06/1790</t>
  </si>
  <si>
    <t>06/08/1809</t>
  </si>
  <si>
    <t xml:space="preserve">NEELTJIE </t>
  </si>
  <si>
    <t>b9c1d7</t>
  </si>
  <si>
    <t>25/12/1791</t>
  </si>
  <si>
    <t>VOOR-SNEEUBERG</t>
  </si>
  <si>
    <t>LATE 1837 OR EARLY 1838</t>
  </si>
  <si>
    <t>01/01/1817</t>
  </si>
  <si>
    <t>17/09/1837</t>
  </si>
  <si>
    <t>RACHEL CATHARINA ELIZABETH</t>
  </si>
  <si>
    <t>b9c6d10</t>
  </si>
  <si>
    <t>26/02/1806</t>
  </si>
  <si>
    <t xml:space="preserve">ISABELLA JOHANNA CATHARINA </t>
  </si>
  <si>
    <t>1839/40</t>
  </si>
  <si>
    <t>11/11/1838</t>
  </si>
  <si>
    <t>22/06/1808</t>
  </si>
  <si>
    <t>21/08/1808</t>
  </si>
  <si>
    <t>BOSPLAAT, KRRONSTAD</t>
  </si>
  <si>
    <t>26/03/1867</t>
  </si>
  <si>
    <t xml:space="preserve">NEELTJIE MARIA </t>
  </si>
  <si>
    <t>BETWEEN 1838 AND 1841</t>
  </si>
  <si>
    <t xml:space="preserve">CECILIA MAGDALENA </t>
  </si>
  <si>
    <t>b6c6d1e2</t>
  </si>
  <si>
    <t>10/02/1819</t>
  </si>
  <si>
    <t>12/04/1819</t>
  </si>
  <si>
    <t>26/12/1855</t>
  </si>
  <si>
    <t>POSTHUMUS</t>
  </si>
  <si>
    <t>BETWEEN END 1840 AND EARLY 1843</t>
  </si>
  <si>
    <t>20/12/1825</t>
  </si>
  <si>
    <t>GREYTOWN, NATAL</t>
  </si>
  <si>
    <t>03/03/1876</t>
  </si>
  <si>
    <t xml:space="preserve">ISABELLA SUSANNA </t>
  </si>
  <si>
    <t>b1c3d6e9f2g1</t>
  </si>
  <si>
    <t>11/01/1872</t>
  </si>
  <si>
    <t>ELANDSKOP, GREYTOWN, NATAL</t>
  </si>
  <si>
    <t>14/10/1872</t>
  </si>
  <si>
    <t>18/05/1800</t>
  </si>
  <si>
    <t>POSSIBLY b6c7d2e2</t>
  </si>
  <si>
    <t>15/05/1814</t>
  </si>
  <si>
    <t>BETWEEN JULY AND NOVEMBER 1838</t>
  </si>
  <si>
    <t>POSSIBLY A.W.J. PRETORIUS</t>
  </si>
  <si>
    <t>22/06/1823</t>
  </si>
  <si>
    <t>RONDEBOSCH, WINBURG</t>
  </si>
  <si>
    <t>24/08/1893</t>
  </si>
  <si>
    <t>b1c3d1e2f1g3</t>
  </si>
  <si>
    <t>22/05/1826</t>
  </si>
  <si>
    <t>01/11/1826 (?)</t>
  </si>
  <si>
    <t>1838 (?)</t>
  </si>
  <si>
    <t>17/06/1792</t>
  </si>
  <si>
    <t>01/10/1814</t>
  </si>
  <si>
    <t>BEFORE 28/09/1837</t>
  </si>
  <si>
    <t>TRANSORANJE (?)</t>
  </si>
  <si>
    <t>FAMILTY TREK (?)</t>
  </si>
  <si>
    <t>22/12/1800</t>
  </si>
  <si>
    <t>D.S. FOURIE (?)</t>
  </si>
  <si>
    <t>18/07/1802</t>
  </si>
  <si>
    <t>26/08/1803</t>
  </si>
  <si>
    <t>RIETRIVIER, TRANSORANJE</t>
  </si>
  <si>
    <t>22/05/1823</t>
  </si>
  <si>
    <t>27/03/1825</t>
  </si>
  <si>
    <t>JOHANNA MARAGRETHA</t>
  </si>
  <si>
    <t>BEFORE JULY 1842</t>
  </si>
  <si>
    <t>18/02/1810</t>
  </si>
  <si>
    <t>19/09/1811</t>
  </si>
  <si>
    <t>NATAL THEN WINBURG AND OHRIGSTAD</t>
  </si>
  <si>
    <t>MARIA CATHARINA SUSANNA JOHANNA</t>
  </si>
  <si>
    <t>GERHARDUS DIRK JOHAN(NES) CHRISTIAAN</t>
  </si>
  <si>
    <t>b2c4d1e2f2</t>
  </si>
  <si>
    <t>01/01/1816</t>
  </si>
  <si>
    <t>ALBERTSZ</t>
  </si>
  <si>
    <t>JACOBUS JOHANNES JURGEN</t>
  </si>
  <si>
    <t>b2c4d1e2</t>
  </si>
  <si>
    <t>27/01/1788</t>
  </si>
  <si>
    <t>KRAAY/ KRAAYENBURG/ VAN KRADENBURG</t>
  </si>
  <si>
    <t>22/10/1802</t>
  </si>
  <si>
    <t>HUIBRECHT ELIZABETH SUSANNA</t>
  </si>
  <si>
    <t>CA END 1837</t>
  </si>
  <si>
    <t>JACBOBUS ALBERTUS</t>
  </si>
  <si>
    <t>b9c2d5</t>
  </si>
  <si>
    <t>31/05/1799</t>
  </si>
  <si>
    <t>KLIPRIVIER, NATAL</t>
  </si>
  <si>
    <t>AUGUST 1865</t>
  </si>
  <si>
    <t xml:space="preserve">ANNA MAGDALENA PETRONELLA </t>
  </si>
  <si>
    <t>b2c10d5</t>
  </si>
  <si>
    <t>07/07/1805</t>
  </si>
  <si>
    <t>AFTER 15 MARCH 1838</t>
  </si>
  <si>
    <t>GROOTVLEI, UMVOTI</t>
  </si>
  <si>
    <t>BADENHORST (?)</t>
  </si>
  <si>
    <t>JOHAN JACOB</t>
  </si>
  <si>
    <t>a1b1c3</t>
  </si>
  <si>
    <t>02/12/1808</t>
  </si>
  <si>
    <t>17/09/1835</t>
  </si>
  <si>
    <t xml:space="preserve">MAGDALENA SALOMINA </t>
  </si>
  <si>
    <t>b1c8d1e1</t>
  </si>
  <si>
    <t>ca 1816</t>
  </si>
  <si>
    <t>KLIPFONTEIN, ONDER-BOSEMANSRIVIER</t>
  </si>
  <si>
    <t>JOHANNES STEPHANUS MARITZ</t>
  </si>
  <si>
    <t>JOHAN(NES) JACOB</t>
  </si>
  <si>
    <t>MATTYS STEPHANUS BENJAMIN</t>
  </si>
  <si>
    <t>a1b1c9</t>
  </si>
  <si>
    <t>PIETER HENDDRIK CORNELIS</t>
  </si>
  <si>
    <t>23/09/1816</t>
  </si>
  <si>
    <t>17/02/1817</t>
  </si>
  <si>
    <t>ZUURFONTEIN, RUSTENBURG</t>
  </si>
  <si>
    <t>11/02/1888</t>
  </si>
  <si>
    <t>02/02/1837</t>
  </si>
  <si>
    <t>b1c7d7e3f1</t>
  </si>
  <si>
    <t>17/05/1815</t>
  </si>
  <si>
    <t>GERRIT REYNIER VAN ROOYEN</t>
  </si>
  <si>
    <t>28/07/1820</t>
  </si>
  <si>
    <t>24/09/1820</t>
  </si>
  <si>
    <t>15/05/1896</t>
  </si>
  <si>
    <t>24/08/1846</t>
  </si>
  <si>
    <t>ELIZABETH ALETTA SOPHIA</t>
  </si>
  <si>
    <t>30/12/1827</t>
  </si>
  <si>
    <t>MEMEL, OVS</t>
  </si>
  <si>
    <t>03/06/1887</t>
  </si>
  <si>
    <t>PROBABLY J.S. MARITZ</t>
  </si>
  <si>
    <t>CHRISTINA JOHANNA PETRONELLA</t>
  </si>
  <si>
    <t>DEMPERS</t>
  </si>
  <si>
    <t>255/10/1778</t>
  </si>
  <si>
    <t>VAN DER WATT</t>
  </si>
  <si>
    <t>19/11/1786</t>
  </si>
  <si>
    <t>04/02/1841</t>
  </si>
  <si>
    <t>GEELHOUTEBOOM, GAMTOOSRIVIER</t>
  </si>
  <si>
    <t>CA END 1840</t>
  </si>
  <si>
    <t>09/08/1842</t>
  </si>
  <si>
    <t>CECILIA JOHANNA JACOBA</t>
  </si>
  <si>
    <t>23/11/1812</t>
  </si>
  <si>
    <t>WITTEBOOM, WENEN, NATAL</t>
  </si>
  <si>
    <t>13/12/1864</t>
  </si>
  <si>
    <t>12/05/1836</t>
  </si>
  <si>
    <t>SUSANNA ELIZABETH JOHANNA</t>
  </si>
  <si>
    <t>MINNE (MINNI/MIENIE)</t>
  </si>
  <si>
    <t>WITTEBOOM, WEENEN</t>
  </si>
  <si>
    <t>28/09/1868</t>
  </si>
  <si>
    <t>HENDRIK (JOHANNES) JACOBUS</t>
  </si>
  <si>
    <t>MOZAMBIQUE</t>
  </si>
  <si>
    <t>END JULY 1836</t>
  </si>
  <si>
    <t>12/05/1825</t>
  </si>
  <si>
    <t>CA END 1835</t>
  </si>
  <si>
    <t>J.J. (LANG HANS) JANSE VAN RENSBURG</t>
  </si>
  <si>
    <t>ANDRIES JACOBUS</t>
  </si>
  <si>
    <t>b4c2d9</t>
  </si>
  <si>
    <t>18/03/1791</t>
  </si>
  <si>
    <t>29/04/1792</t>
  </si>
  <si>
    <t>NATAL THEN OHRIGSTAD</t>
  </si>
  <si>
    <t>04/07/1814</t>
  </si>
  <si>
    <t>a1b5c5d2</t>
  </si>
  <si>
    <t>23/09/1796</t>
  </si>
  <si>
    <t>LANGSPRUIT, NATAL</t>
  </si>
  <si>
    <t>03/09/1839</t>
  </si>
  <si>
    <t>10/07/1842</t>
  </si>
  <si>
    <t>JACOMINA CATHARIANA ELIZABETH</t>
  </si>
  <si>
    <t>CA 1806</t>
  </si>
  <si>
    <t>b7c2d4e2</t>
  </si>
  <si>
    <t>10/05/1801</t>
  </si>
  <si>
    <t>ZOUTPANSDRIFT, RUSTENBURG</t>
  </si>
  <si>
    <t>DECEMBER 1851</t>
  </si>
  <si>
    <t xml:space="preserve">ELSIE FRANCINA </t>
  </si>
  <si>
    <t>a1b2c1d8e5f6</t>
  </si>
  <si>
    <t>23/11/1806</t>
  </si>
  <si>
    <t>HILLETJE LEVINA ETRESIA</t>
  </si>
  <si>
    <t>AGTER-SUURBERG</t>
  </si>
  <si>
    <t>b7c1d1e3</t>
  </si>
  <si>
    <t>DANIEL FREDERIK SR</t>
  </si>
  <si>
    <t>DANIEL FREDERIK JR.</t>
  </si>
  <si>
    <t>b7c2d4e2f2</t>
  </si>
  <si>
    <t>FRANS JOHANNES CHRISTIAAN</t>
  </si>
  <si>
    <t>FRANS JOHANNES</t>
  </si>
  <si>
    <t>b7c2d4e1</t>
  </si>
  <si>
    <t>GERT STEPHANUS JACOBUS</t>
  </si>
  <si>
    <t>b7c2d4e3</t>
  </si>
  <si>
    <t>b8c3d1e2</t>
  </si>
  <si>
    <t>JOHANNES (JOHAN) CHRISTIAAN</t>
  </si>
  <si>
    <t>JOHANNES DIEDERIK</t>
  </si>
  <si>
    <t>b8c3d6e2</t>
  </si>
  <si>
    <t>b8c3d10</t>
  </si>
  <si>
    <t>b8c3d1e1</t>
  </si>
  <si>
    <t>STEPHANUS JOHANNES PAULUS</t>
  </si>
  <si>
    <t>b7c2d4e2f3</t>
  </si>
  <si>
    <t>b7c2d4e4</t>
  </si>
  <si>
    <t>TOBIAS JOHANNES</t>
  </si>
  <si>
    <t>b7c1d1e3f1</t>
  </si>
  <si>
    <t>27/02/1796</t>
  </si>
  <si>
    <t>01/11/1862</t>
  </si>
  <si>
    <t xml:space="preserve">LASYA CHRISTINA </t>
  </si>
  <si>
    <t>BETWEEN DECEMBER 1837 AND CA 1840</t>
  </si>
  <si>
    <t>POTCHEFSTROOM THEN BLOEMFONTEIN</t>
  </si>
  <si>
    <t>07/12/1787</t>
  </si>
  <si>
    <t xml:space="preserve">JOHANNA ALIDA </t>
  </si>
  <si>
    <t>a1b1c2d3e1</t>
  </si>
  <si>
    <t>19/01/1794</t>
  </si>
  <si>
    <t>04/09/1831</t>
  </si>
  <si>
    <t>03/07/1813</t>
  </si>
  <si>
    <t>CA EARLY 1836</t>
  </si>
  <si>
    <t>01/02/1835</t>
  </si>
  <si>
    <t>POSSIBLY A.H.H POTGIETER</t>
  </si>
  <si>
    <t>20/10/1816</t>
  </si>
  <si>
    <t>06/12/1816</t>
  </si>
  <si>
    <t>16/07/1837</t>
  </si>
  <si>
    <t>BEFORE 1835</t>
  </si>
  <si>
    <t>PMB, WINBURG OR OHRIGSTAD</t>
  </si>
  <si>
    <t>13/10/1823</t>
  </si>
  <si>
    <t>ZIRKIA JACOBA JANSEN</t>
  </si>
  <si>
    <t>CAMBEDO</t>
  </si>
  <si>
    <t>BEFORE 31/05/1837</t>
  </si>
  <si>
    <t>20/12/1816</t>
  </si>
  <si>
    <t>11/04/1901</t>
  </si>
  <si>
    <t>25/10/1835</t>
  </si>
  <si>
    <t>b3c4d2d5f3</t>
  </si>
  <si>
    <t>14/12/1817</t>
  </si>
  <si>
    <t>28/02/1887</t>
  </si>
  <si>
    <t>BETWEEN 03/04/1837 AND 31/05/1837</t>
  </si>
  <si>
    <t xml:space="preserve">JACOBA </t>
  </si>
  <si>
    <t>OSSTHUIZEN</t>
  </si>
  <si>
    <t>01/01/1799</t>
  </si>
  <si>
    <t>27/01/1799</t>
  </si>
  <si>
    <t>25/02/1804</t>
  </si>
  <si>
    <t>04/07/1824</t>
  </si>
  <si>
    <t>HEYLTJE MARIA MARGARETHA</t>
  </si>
  <si>
    <t>17/07/1811</t>
  </si>
  <si>
    <t>01/09/1812</t>
  </si>
  <si>
    <t>08/03/1835</t>
  </si>
  <si>
    <t>PETRONELLA JOHANNA SUSANNA</t>
  </si>
  <si>
    <t>b7c3d6e1</t>
  </si>
  <si>
    <t>20/06/1836</t>
  </si>
  <si>
    <t>CORNELIA JOHANNA</t>
  </si>
  <si>
    <t>SLABBERT</t>
  </si>
  <si>
    <t>POSSIBLY A.H. POTIGETER</t>
  </si>
  <si>
    <t>09/10/1809</t>
  </si>
  <si>
    <t>ZONDAGSFONTEIN, STANDERTON</t>
  </si>
  <si>
    <t>13/07/1883</t>
  </si>
  <si>
    <t xml:space="preserve">ALETTA ELIZABETH </t>
  </si>
  <si>
    <t>BETWEEN DECEMBER 1838 AND DECEMBER 1843</t>
  </si>
  <si>
    <t>07/11/1849</t>
  </si>
  <si>
    <t xml:space="preserve">CATHARINA CORNELIA MARTHA </t>
  </si>
  <si>
    <t>17/09/1813</t>
  </si>
  <si>
    <t>07/03/1814</t>
  </si>
  <si>
    <t>GRA</t>
  </si>
  <si>
    <t>CHRISTINA GESINA</t>
  </si>
  <si>
    <t>LOUBSCHER</t>
  </si>
  <si>
    <t>TRANSORANJE AND OHRIGSTAD</t>
  </si>
  <si>
    <t>b8c4</t>
  </si>
  <si>
    <t xml:space="preserve">POTCHEFSTROOM THEN COLONY </t>
  </si>
  <si>
    <t>HUWELIKSHOF COLESBERG</t>
  </si>
  <si>
    <t>07/12/1837</t>
  </si>
  <si>
    <t>MARIA SUSANNA ELIZABETH JOHANNA</t>
  </si>
  <si>
    <t>ITALENI</t>
  </si>
  <si>
    <t>16/01/1819</t>
  </si>
  <si>
    <t>08/01/1810</t>
  </si>
  <si>
    <t>30/08/1810</t>
  </si>
  <si>
    <t>05/051833</t>
  </si>
  <si>
    <t>GEERTRUIDA ZACHARYA MAGDALENA E.</t>
  </si>
  <si>
    <t>21/02/1816</t>
  </si>
  <si>
    <t>NATAL THEN COLESBERG</t>
  </si>
  <si>
    <t xml:space="preserve">SOPHIA MARGARETHA </t>
  </si>
  <si>
    <t>30/03/1782 (?)</t>
  </si>
  <si>
    <t>POSSIBLT AGTER- SNEEUBERG</t>
  </si>
  <si>
    <t>BEFORE MAY 1840</t>
  </si>
  <si>
    <t>POSSIBLY A.H. POTGIETER</t>
  </si>
  <si>
    <t>10/10/1825</t>
  </si>
  <si>
    <t>14/07/1904</t>
  </si>
  <si>
    <t xml:space="preserve">ANNA MARIA ETRESIA </t>
  </si>
  <si>
    <t>26/09/1826</t>
  </si>
  <si>
    <t>08/01/1827</t>
  </si>
  <si>
    <t>JANUARY 1847</t>
  </si>
  <si>
    <t xml:space="preserve">GESINA SUSANNA FREDERIKA WILHELMINA </t>
  </si>
  <si>
    <t>05/05/1831</t>
  </si>
  <si>
    <t>20/07/1901</t>
  </si>
  <si>
    <t>07/06/1806</t>
  </si>
  <si>
    <t>30/11/1806</t>
  </si>
  <si>
    <t xml:space="preserve">HEYLETJE MARIA </t>
  </si>
  <si>
    <t>BEFORE AUGUST 1839 AND POSSIBLY EARLY 1836</t>
  </si>
  <si>
    <t>20/01/1813</t>
  </si>
  <si>
    <t>24/12/1813</t>
  </si>
  <si>
    <t>11/08/1835</t>
  </si>
  <si>
    <t xml:space="preserve">MARIA CATHARINA JOHANNA ISABELLA </t>
  </si>
  <si>
    <t>b2c2d3e9</t>
  </si>
  <si>
    <t>25/02/1817</t>
  </si>
  <si>
    <t>NOOITGEDACHT, BLOEMFONTEIN</t>
  </si>
  <si>
    <t>14/08/1879</t>
  </si>
  <si>
    <t>JOHANNA MARIA BARENDINA</t>
  </si>
  <si>
    <t>BETWEEN DECEMBER 1837 AND 1840</t>
  </si>
  <si>
    <t>ANDRIES MARTHINUS</t>
  </si>
  <si>
    <t>JOHANNES ANDRIES MARTHINUS</t>
  </si>
  <si>
    <t>b2c5d6</t>
  </si>
  <si>
    <t xml:space="preserve">CASPER (JEREMIAS) </t>
  </si>
  <si>
    <t>b2c4d3</t>
  </si>
  <si>
    <t>b2c4d3e4</t>
  </si>
  <si>
    <t>b2c4d3e1f3</t>
  </si>
  <si>
    <t>b2c4d3e2f1</t>
  </si>
  <si>
    <t>CASPER JOHANNES CORNELIS</t>
  </si>
  <si>
    <t>b2c4d1e15</t>
  </si>
  <si>
    <t>FRANS JACOB/JOHANNES</t>
  </si>
  <si>
    <t>b2c8d8e1</t>
  </si>
  <si>
    <t>FRANS JACOB</t>
  </si>
  <si>
    <t>b2c8d4e1</t>
  </si>
  <si>
    <t>FRANS JACOBUS</t>
  </si>
  <si>
    <t>b2c4d6e2</t>
  </si>
  <si>
    <t xml:space="preserve">FRANS LOURENS </t>
  </si>
  <si>
    <t>FRANS MARTHINUS</t>
  </si>
  <si>
    <t>b2c4d1e9</t>
  </si>
  <si>
    <t>b2c5d6e2</t>
  </si>
  <si>
    <t>b2c8d4e3</t>
  </si>
  <si>
    <t>HENDRIK ADRIAAN</t>
  </si>
  <si>
    <t>b2c4d3e1f2</t>
  </si>
  <si>
    <t>JACOBUS CHRISTOFFEL JOHANNES</t>
  </si>
  <si>
    <t>b2c4d3e5</t>
  </si>
  <si>
    <t>JAN HARM</t>
  </si>
  <si>
    <t>b2c4d3e1</t>
  </si>
  <si>
    <t>b2c4d6e1</t>
  </si>
  <si>
    <t>b2c8d4</t>
  </si>
  <si>
    <t>b2c4d3e1f4</t>
  </si>
  <si>
    <t>LEONARDUS PETRUS</t>
  </si>
  <si>
    <t>b2c8d7</t>
  </si>
  <si>
    <t>PIETER WILLEM</t>
  </si>
  <si>
    <t>b2c4d6e8</t>
  </si>
  <si>
    <t>PHILIPPUS ANDREAS</t>
  </si>
  <si>
    <t>b2c4d1e12</t>
  </si>
  <si>
    <t>b2c4d1e1f2</t>
  </si>
  <si>
    <t>b2c8d4e6</t>
  </si>
  <si>
    <t>b1c(?)</t>
  </si>
  <si>
    <t>END OCTOBER 1837</t>
  </si>
  <si>
    <t>14/04/1771</t>
  </si>
  <si>
    <t xml:space="preserve">SARA SALOMINA </t>
  </si>
  <si>
    <t>24/07/1785</t>
  </si>
  <si>
    <t>09/01/1819</t>
  </si>
  <si>
    <t>b2c3d3e2f9</t>
  </si>
  <si>
    <t>13/03/1812</t>
  </si>
  <si>
    <t>22/08/1812</t>
  </si>
  <si>
    <t>HOLFONTEIN, WAKKERSTROOM</t>
  </si>
  <si>
    <t>23/07/1884</t>
  </si>
  <si>
    <t>b3c1d8e1</t>
  </si>
  <si>
    <t>21/04/1811</t>
  </si>
  <si>
    <t>24/02/1782</t>
  </si>
  <si>
    <t xml:space="preserve">SUSANNA ADRIANA </t>
  </si>
  <si>
    <t>02/12/1770</t>
  </si>
  <si>
    <t>KLIPRIVIER (LADYSMITH), NATAL</t>
  </si>
  <si>
    <t>13/02/1860</t>
  </si>
  <si>
    <t>18/11/1801</t>
  </si>
  <si>
    <t>VAALPOORT, HARRISMITH</t>
  </si>
  <si>
    <t>05/04/1872</t>
  </si>
  <si>
    <t>CATHARINA SOPHIA</t>
  </si>
  <si>
    <t>ANNA SUSANNA DUPERETTA</t>
  </si>
  <si>
    <t>07/03/1821</t>
  </si>
  <si>
    <t>21/04/1821</t>
  </si>
  <si>
    <t>05/05/1890</t>
  </si>
  <si>
    <t xml:space="preserve">SUSANNA CATHARINA JOHANNA PETRONELLA </t>
  </si>
  <si>
    <t>b2c4d3e2f2</t>
  </si>
  <si>
    <t>27/03/1827</t>
  </si>
  <si>
    <t>13/01/1825</t>
  </si>
  <si>
    <t>13/05/1850</t>
  </si>
  <si>
    <t>26/02/1823</t>
  </si>
  <si>
    <t>14/04/1823</t>
  </si>
  <si>
    <t>18/03/1889</t>
  </si>
  <si>
    <t>07/04/1845</t>
  </si>
  <si>
    <t>b2c4d2e7f3</t>
  </si>
  <si>
    <t>26/12/1826</t>
  </si>
  <si>
    <t>22/07/1894</t>
  </si>
  <si>
    <t>03/02/1838</t>
  </si>
  <si>
    <t>b8c2d7e2</t>
  </si>
  <si>
    <t>23/06/1817</t>
  </si>
  <si>
    <t>09/08/1807</t>
  </si>
  <si>
    <t>03/03/1805</t>
  </si>
  <si>
    <t>BEZUIDENHOUDTSKRAAL, TARKA</t>
  </si>
  <si>
    <t>01/03/1797</t>
  </si>
  <si>
    <t>17/06/1853</t>
  </si>
  <si>
    <t>b11c4d1</t>
  </si>
  <si>
    <t>23/12/1798</t>
  </si>
  <si>
    <t>09/04/1811</t>
  </si>
  <si>
    <t>01/03/1812</t>
  </si>
  <si>
    <t>MAINS, LADYSMITH, NATAL</t>
  </si>
  <si>
    <t>15/01/1870</t>
  </si>
  <si>
    <t>GEERTRUIDA GESINA CORNELIA</t>
  </si>
  <si>
    <t>03/10/1818</t>
  </si>
  <si>
    <t xml:space="preserve">ALETTA MARIA </t>
  </si>
  <si>
    <t>19/05/1811</t>
  </si>
  <si>
    <t>04/11/1832</t>
  </si>
  <si>
    <t>ANNA MARIA HELENA PETRONELLA</t>
  </si>
  <si>
    <t>BEFORE DECEMBER 1839</t>
  </si>
  <si>
    <t xml:space="preserve">SARA SUSANNA </t>
  </si>
  <si>
    <t>CORNELIA MAGDALENA PETRONELLA</t>
  </si>
  <si>
    <t>b2c4d1e11</t>
  </si>
  <si>
    <t>IF THEY MOVED THEN BEFORE 02/11/1837</t>
  </si>
  <si>
    <t>30/01/1812</t>
  </si>
  <si>
    <t>12/04/1812</t>
  </si>
  <si>
    <t>07/11/1833</t>
  </si>
  <si>
    <t>ANNA MARIA WENZELINA</t>
  </si>
  <si>
    <t>COETSER</t>
  </si>
  <si>
    <t xml:space="preserve">JOHANNA ALETTA GEERTRUIDA </t>
  </si>
  <si>
    <t>06/06/1819</t>
  </si>
  <si>
    <t>08/09/1819</t>
  </si>
  <si>
    <t>25/11/1895</t>
  </si>
  <si>
    <t xml:space="preserve">MAYBE SECOND MARRIAGE TO (?) SUSANNA SOPHIA </t>
  </si>
  <si>
    <t>a3b1c6d5e4f3g4</t>
  </si>
  <si>
    <t>11/03/1845</t>
  </si>
  <si>
    <t>25/05/1845</t>
  </si>
  <si>
    <t>01/01/1914</t>
  </si>
  <si>
    <t>SOMERSET(?)</t>
  </si>
  <si>
    <t>05/11/1805</t>
  </si>
  <si>
    <t>31/03/1806</t>
  </si>
  <si>
    <t>OCTOBER 1868</t>
  </si>
  <si>
    <t>b9c2d11e3</t>
  </si>
  <si>
    <t>FRISGEWAAGD</t>
  </si>
  <si>
    <t>06/02/1874</t>
  </si>
  <si>
    <t>12/05/1816</t>
  </si>
  <si>
    <t xml:space="preserve">GEERTRUIDA GESINA </t>
  </si>
  <si>
    <t xml:space="preserve">HILLETJE (HEYLA) ALETTA ELIZABETH </t>
  </si>
  <si>
    <t>b5c5</t>
  </si>
  <si>
    <t>10/02/1799</t>
  </si>
  <si>
    <t>VALSCHRIVIER, BEHIND DRAKENSBERG</t>
  </si>
  <si>
    <t>CA 1844</t>
  </si>
  <si>
    <t>17/12/1817</t>
  </si>
  <si>
    <t>GESINA ADRIANA WILHELMINA</t>
  </si>
  <si>
    <t>HONINGKLIP, TARKA</t>
  </si>
  <si>
    <t>PROBABLY  JAN DU PLESSIS</t>
  </si>
  <si>
    <t>10/08/1835</t>
  </si>
  <si>
    <t xml:space="preserve">HILLETJE LEVINA </t>
  </si>
  <si>
    <t>b6c1d10e5</t>
  </si>
  <si>
    <t>12/11/1843</t>
  </si>
  <si>
    <t xml:space="preserve">WILHELMINA CECILIA </t>
  </si>
  <si>
    <t>VEGLAER, BOESMANSRIVIER, NATAL</t>
  </si>
  <si>
    <t>20/01/1845</t>
  </si>
  <si>
    <t>24/11/1782</t>
  </si>
  <si>
    <t>JULY 1880</t>
  </si>
  <si>
    <t>18/01/1824</t>
  </si>
  <si>
    <t>10/12/1891</t>
  </si>
  <si>
    <t xml:space="preserve">ALETTA MAGDALENA </t>
  </si>
  <si>
    <t>18/10/1861</t>
  </si>
  <si>
    <t>24/07/1863</t>
  </si>
  <si>
    <t xml:space="preserve">JOHANNA HELENA DOROTHEA </t>
  </si>
  <si>
    <t>b7c2d10e6</t>
  </si>
  <si>
    <t>02/05/1790</t>
  </si>
  <si>
    <t xml:space="preserve">MACHTELD MARGARETHA </t>
  </si>
  <si>
    <t>IF THEY MOVED CA END 1837</t>
  </si>
  <si>
    <t xml:space="preserve">ANNA WILHELMINA CHRISTINA </t>
  </si>
  <si>
    <t xml:space="preserve">MARGARITA </t>
  </si>
  <si>
    <t>24/03/1814</t>
  </si>
  <si>
    <t>04/05/1814</t>
  </si>
  <si>
    <t>GEERTRUIDA GESINA</t>
  </si>
  <si>
    <t>b2c8d8e2</t>
  </si>
  <si>
    <t>02/12/1815</t>
  </si>
  <si>
    <t>10/01/1904</t>
  </si>
  <si>
    <t>GESINA PETRONELLA JOHANNA DUPERETTA</t>
  </si>
  <si>
    <t>SUSANNA ALETTA SOPHIA JOHANNA</t>
  </si>
  <si>
    <t>b11c4d7</t>
  </si>
  <si>
    <t>22/10/1817</t>
  </si>
  <si>
    <t xml:space="preserve">GESINA WILHELMINA JOHANNA ETRESIA </t>
  </si>
  <si>
    <t xml:space="preserve">TARKA </t>
  </si>
  <si>
    <t>CA 1837</t>
  </si>
  <si>
    <t xml:space="preserve">GESINA CORNELIA JACOMINA </t>
  </si>
  <si>
    <t>b2c4d6e1f1</t>
  </si>
  <si>
    <t>26/12/1818</t>
  </si>
  <si>
    <t>26/06/1822</t>
  </si>
  <si>
    <t>02/12/1822</t>
  </si>
  <si>
    <t xml:space="preserve">HENDRINA </t>
  </si>
  <si>
    <t>b4c6d9e2f4</t>
  </si>
  <si>
    <t>23/10/1821</t>
  </si>
  <si>
    <t>07/01/1902</t>
  </si>
  <si>
    <t>ELANDSKRAAL, KLIPRIVIER (LADYSMITH)</t>
  </si>
  <si>
    <t>26/09/1866</t>
  </si>
  <si>
    <t>SUSANNA CATHARINA ELIZABETH</t>
  </si>
  <si>
    <t>b2c5d6e3</t>
  </si>
  <si>
    <t xml:space="preserve">CECILIA JOHANNA </t>
  </si>
  <si>
    <t>26/06/1823</t>
  </si>
  <si>
    <t>25/07/1824</t>
  </si>
  <si>
    <t xml:space="preserve">ALETTA SUSANNA </t>
  </si>
  <si>
    <t>b1c5d6e3f2</t>
  </si>
  <si>
    <t>04/05/1826</t>
  </si>
  <si>
    <t>POSSIBLT TARKA</t>
  </si>
  <si>
    <t>ALETTA MOST PROBABLY LEFT IN FEBRUARY 1837 WITH PIET RETIEF BUT LAFFNIE MOST PROBABLY ONLY LEFT LATER</t>
  </si>
  <si>
    <t>J.P. (JOHANNES PETRUS?)</t>
  </si>
  <si>
    <t>GEORGE (?)</t>
  </si>
  <si>
    <t>A PERSON WITH HIS INITIALS WAS IN 1846 ALREADY IN OHRIGSTAD</t>
  </si>
  <si>
    <t>NOT CERTAIN: b1c2d7e3f1</t>
  </si>
  <si>
    <t>18/08/1832</t>
  </si>
  <si>
    <t>TOBIAS GEORGE</t>
  </si>
  <si>
    <t>NOT CERTAIN: b1c2d7e3</t>
  </si>
  <si>
    <t>10/07/1831</t>
  </si>
  <si>
    <t>MARIA SOPHIA ELIZABETH</t>
  </si>
  <si>
    <t>GEORGE UNTIL APRIL 1841</t>
  </si>
  <si>
    <t>IZAAK JOHANNES</t>
  </si>
  <si>
    <t>b2c10d2</t>
  </si>
  <si>
    <t>JOHAN CAREL PIETER</t>
  </si>
  <si>
    <t>JOHANNES ABRAHAM</t>
  </si>
  <si>
    <t>b2c10d1</t>
  </si>
  <si>
    <t>KAREL (CAREL) PIETER</t>
  </si>
  <si>
    <t>WILLEM ADOLPH</t>
  </si>
  <si>
    <t>b2c1d6</t>
  </si>
  <si>
    <t>12/12/1819</t>
  </si>
  <si>
    <t>17/01/1841</t>
  </si>
  <si>
    <t xml:space="preserve">ELISABETH AGATHA </t>
  </si>
  <si>
    <t>UITENHAGE WHEN HE WAS A BACHELOR</t>
  </si>
  <si>
    <t xml:space="preserve">PMB, NATAL </t>
  </si>
  <si>
    <t>18/05/1812</t>
  </si>
  <si>
    <t>RACHEL MARIA</t>
  </si>
  <si>
    <t>b6c2d1e3f5</t>
  </si>
  <si>
    <t>POSSIBLY ONDER- BOESMANSRIVIER</t>
  </si>
  <si>
    <t>CA END OCTOBER 1837</t>
  </si>
  <si>
    <t>K.P. LANDMAN (?)</t>
  </si>
  <si>
    <t>02/02/1794</t>
  </si>
  <si>
    <t>b1c11d5e1</t>
  </si>
  <si>
    <t>28/11/1804</t>
  </si>
  <si>
    <t>BRAKFONTEIN, ONDER-BOESMANSRIVIER</t>
  </si>
  <si>
    <t>CA NOVEMBER 1836</t>
  </si>
  <si>
    <t>JOHANNES STEPHANUS MARITZ MIGHT HAVE JOINED P.L. UYS LATER</t>
  </si>
  <si>
    <t>12/09/1817</t>
  </si>
  <si>
    <t>STERKSTROOM, DUNDEE</t>
  </si>
  <si>
    <t>23/02/1890</t>
  </si>
  <si>
    <t>16/04/1841</t>
  </si>
  <si>
    <t xml:space="preserve">SUSANNA SOPHIA MARIA </t>
  </si>
  <si>
    <t>b1c11d7e5</t>
  </si>
  <si>
    <t>18/05/1824</t>
  </si>
  <si>
    <t>11/02/1913</t>
  </si>
  <si>
    <t>25/03/1798</t>
  </si>
  <si>
    <t>09/04/1879</t>
  </si>
  <si>
    <t xml:space="preserve">HESTER SALOMINA MARIA FRANSINA </t>
  </si>
  <si>
    <t>a1b2c1d2e5</t>
  </si>
  <si>
    <t>OCTOBER 1837 (?)</t>
  </si>
  <si>
    <t>POSSIBLY K.P. LANDMAN</t>
  </si>
  <si>
    <t>05/03/1796</t>
  </si>
  <si>
    <t>UITHOEK,WASBANK, NATAL</t>
  </si>
  <si>
    <t>02/04/1875</t>
  </si>
  <si>
    <t>14/02/1817</t>
  </si>
  <si>
    <t xml:space="preserve">AGATHA JACOMINA </t>
  </si>
  <si>
    <t>a3b1c6d8e5</t>
  </si>
  <si>
    <t>02/03/1798</t>
  </si>
  <si>
    <t>19/11/1882</t>
  </si>
  <si>
    <t>MELKHOUTEBOOM, OLIFANTSHOEK, ONDERBOESMANSRIVIER</t>
  </si>
  <si>
    <t>05/09/1809</t>
  </si>
  <si>
    <t>06/11/1809</t>
  </si>
  <si>
    <t>24/05/1829</t>
  </si>
  <si>
    <t>OCTOBER1837 (?)</t>
  </si>
  <si>
    <t>04/12/1839</t>
  </si>
  <si>
    <t xml:space="preserve">DOROTHEA JACOBA </t>
  </si>
  <si>
    <t>b4c7d5e1</t>
  </si>
  <si>
    <t>18/04/1815</t>
  </si>
  <si>
    <t>ERNST WILHELM ERICH</t>
  </si>
  <si>
    <t>30/07/1823</t>
  </si>
  <si>
    <t>STITTIN, UMVOTI, NATAL</t>
  </si>
  <si>
    <t>30/09/1857</t>
  </si>
  <si>
    <t>17/08/1843</t>
  </si>
  <si>
    <t>ELIZABETH CATHARINA</t>
  </si>
  <si>
    <t>CA 1840S</t>
  </si>
  <si>
    <t>LANDSBERG</t>
  </si>
  <si>
    <t>FRIEDRICH LUDWIG ERICH</t>
  </si>
  <si>
    <t>04/02/1796</t>
  </si>
  <si>
    <t>12/10/1870</t>
  </si>
  <si>
    <t>13/01/1819</t>
  </si>
  <si>
    <t>DURR</t>
  </si>
  <si>
    <t>11/03/1802</t>
  </si>
  <si>
    <t>09/09/1871</t>
  </si>
  <si>
    <t>POSSIBLY BEFORE 1845</t>
  </si>
  <si>
    <t>JOHAN HEINRICH MARTHINUS</t>
  </si>
  <si>
    <t>04/08/1820</t>
  </si>
  <si>
    <t>22/08/1820</t>
  </si>
  <si>
    <t>02/10/1845</t>
  </si>
  <si>
    <t>20/12/1839</t>
  </si>
  <si>
    <t>JOHANNA HENRIETTE WILHELMINA</t>
  </si>
  <si>
    <t>b3c5d5e3f1</t>
  </si>
  <si>
    <t>06/01/1818</t>
  </si>
  <si>
    <t>CAPE TOWN(?)</t>
  </si>
  <si>
    <t>BEFORE NOVEMBER 1845</t>
  </si>
  <si>
    <t>LAUBSCHER</t>
  </si>
  <si>
    <t>LEMMER</t>
  </si>
  <si>
    <t>JOHANNES HERMANUS RICHART</t>
  </si>
  <si>
    <t>31/12/1801</t>
  </si>
  <si>
    <t>26/04/1802</t>
  </si>
  <si>
    <t>CA 1876 (?)</t>
  </si>
  <si>
    <t>05/06/1826</t>
  </si>
  <si>
    <t xml:space="preserve">CATHARINA ELISABETH </t>
  </si>
  <si>
    <t>b2c10d7</t>
  </si>
  <si>
    <t>LILLIENDAL, BREEDERIVIER</t>
  </si>
  <si>
    <t>BETWEEN OCTOBER 1838 AND OCTOBER 1841</t>
  </si>
  <si>
    <t>HOPETOWN</t>
  </si>
  <si>
    <t>21/05/1853</t>
  </si>
  <si>
    <t xml:space="preserve">SUSANNA MARIA MAGDALENA </t>
  </si>
  <si>
    <t>ABRAHAM HERCULES</t>
  </si>
  <si>
    <t>a2b4c6d4</t>
  </si>
  <si>
    <t>16/03/1803</t>
  </si>
  <si>
    <t>05/06/1803</t>
  </si>
  <si>
    <t>30/11/1883</t>
  </si>
  <si>
    <t>JACOBA JACOMINA</t>
  </si>
  <si>
    <t>17/09/1809</t>
  </si>
  <si>
    <t>09/08/1883</t>
  </si>
  <si>
    <t>SARASRIVIER, TRADOUW</t>
  </si>
  <si>
    <t>JACOBUS JOHANNES FREDERICUS</t>
  </si>
  <si>
    <t>a3b2c3d8e5</t>
  </si>
  <si>
    <t>18/02/1811</t>
  </si>
  <si>
    <t>07/11/1811</t>
  </si>
  <si>
    <t>28/03/1853</t>
  </si>
  <si>
    <t>TRADOUW (?)</t>
  </si>
  <si>
    <t>NICOLAAS CASPARUS</t>
  </si>
  <si>
    <t>a1b2c1d4e3</t>
  </si>
  <si>
    <t>05/06/1802</t>
  </si>
  <si>
    <t xml:space="preserve">LUITJE MARIA </t>
  </si>
  <si>
    <t>LOGGERENBERG</t>
  </si>
  <si>
    <t>b1c7d4</t>
  </si>
  <si>
    <t>09/06/1805</t>
  </si>
  <si>
    <t>MID SEPTEMBER 1836 IF THEY MOVED WITH GERT MARITZ</t>
  </si>
  <si>
    <t>GERT MARITZ (?)</t>
  </si>
  <si>
    <t>NICOLAAS LODEWIKUS</t>
  </si>
  <si>
    <t>a1b3c2d2e2</t>
  </si>
  <si>
    <t>09/06/1813</t>
  </si>
  <si>
    <t>05/07/1813</t>
  </si>
  <si>
    <t>WIT-MFOLOZI</t>
  </si>
  <si>
    <t>03/11/1833</t>
  </si>
  <si>
    <t xml:space="preserve">ANNA JOHANNA MARIA </t>
  </si>
  <si>
    <t>b1c12d3e1</t>
  </si>
  <si>
    <t>CA 1818</t>
  </si>
  <si>
    <t>CA 1838</t>
  </si>
  <si>
    <t xml:space="preserve">LEWIS </t>
  </si>
  <si>
    <t>14/04/1820</t>
  </si>
  <si>
    <t>MILITARY HOSPITAL, STANDERTON</t>
  </si>
  <si>
    <t>05/08/1908 (?)</t>
  </si>
  <si>
    <t>26/05/1840</t>
  </si>
  <si>
    <t>ANNA SUSANNA CATHARINA PAULINA</t>
  </si>
  <si>
    <t>24/05/1852</t>
  </si>
  <si>
    <t>POTCHEFSTROOM AND RUSTENBURG THEN PRETORIA</t>
  </si>
  <si>
    <t>CA 1853</t>
  </si>
  <si>
    <t xml:space="preserve">MARGARETHA CORNELIA </t>
  </si>
  <si>
    <t>14/11/1825</t>
  </si>
  <si>
    <t>13/05/1865</t>
  </si>
  <si>
    <t>CHRISTINA BREGGIE</t>
  </si>
  <si>
    <t>BAREND GODLIEB</t>
  </si>
  <si>
    <t>07/02/1766</t>
  </si>
  <si>
    <t>LIEBENBERGKOPPIE, VRYSTAAT</t>
  </si>
  <si>
    <t>b2c3d1</t>
  </si>
  <si>
    <t>30/03/1771</t>
  </si>
  <si>
    <t>ONDER-SEEKOEIRIVIER OR UITVLUGT</t>
  </si>
  <si>
    <t>b2c4d4e1</t>
  </si>
  <si>
    <t>25/08/1818</t>
  </si>
  <si>
    <t>17/01/1819</t>
  </si>
  <si>
    <t>POSSIBLY NUWE HANTAM</t>
  </si>
  <si>
    <t>GRAAFF-REINET/COLESBERG</t>
  </si>
  <si>
    <t>EALRY 1836</t>
  </si>
  <si>
    <t>SAREL CILLIERS AND A.H. POTGIETER</t>
  </si>
  <si>
    <t>BAREND JOHANNES SR.</t>
  </si>
  <si>
    <t>b2c3d2</t>
  </si>
  <si>
    <t>06/04/1788</t>
  </si>
  <si>
    <t>KWAMATHIWANE, NATAL</t>
  </si>
  <si>
    <t>b1c7d8</t>
  </si>
  <si>
    <t>03/10/1789</t>
  </si>
  <si>
    <t>BLOUKRANSRIVIER, NATAL</t>
  </si>
  <si>
    <t>POSSIBLY UITVLUGT</t>
  </si>
  <si>
    <t>BAREND JOHANNES JR.</t>
  </si>
  <si>
    <t>b2c3d2e6</t>
  </si>
  <si>
    <t>UITVLUGT, GRAAFF-REINET</t>
  </si>
  <si>
    <t>PLAAS KAFFERSPAN, POTCHEFSTROOM</t>
  </si>
  <si>
    <t>30/01/1875</t>
  </si>
  <si>
    <t>29/06/1838</t>
  </si>
  <si>
    <t xml:space="preserve">CHRISTINA </t>
  </si>
  <si>
    <t>NUWEVELD, BEAUFORT</t>
  </si>
  <si>
    <t>CA 1819</t>
  </si>
  <si>
    <t>VENTERSDORP</t>
  </si>
  <si>
    <t>20/09/1882</t>
  </si>
  <si>
    <t xml:space="preserve">SUSANNA CAROLINA </t>
  </si>
  <si>
    <t>30/07/1809</t>
  </si>
  <si>
    <t xml:space="preserve">ANNA JOHANNA PETRONELLA </t>
  </si>
  <si>
    <t>b2c1d7e7</t>
  </si>
  <si>
    <t>20/11/1808</t>
  </si>
  <si>
    <t>UITVLUGT OR NUWE HANTAM</t>
  </si>
  <si>
    <t>EARLY 1836 (?)</t>
  </si>
  <si>
    <t>SAREL CILLIERS AND A.H. POTGIETER (?)</t>
  </si>
  <si>
    <t xml:space="preserve">FRANCINA MARIA JOHANNA </t>
  </si>
  <si>
    <t>PROBABLY NUWE HANTAM</t>
  </si>
  <si>
    <t xml:space="preserve">EARLY 1836 </t>
  </si>
  <si>
    <t xml:space="preserve">SAREL CILLIERS AND A.H. POTGIETER </t>
  </si>
  <si>
    <t xml:space="preserve">DANIEL PETRUS </t>
  </si>
  <si>
    <t>b2c3d2e2</t>
  </si>
  <si>
    <t>08/02/1810</t>
  </si>
  <si>
    <t>PROBABLY BRAKRIVIER</t>
  </si>
  <si>
    <t xml:space="preserve">MARTHA ELIZABETH JOHANNA </t>
  </si>
  <si>
    <t>STRAUSS</t>
  </si>
  <si>
    <t xml:space="preserve">MARIA CHRISTINA HENDRINA </t>
  </si>
  <si>
    <t>LIEBENBERG (?)</t>
  </si>
  <si>
    <t>14/07/1813</t>
  </si>
  <si>
    <t>POSSIBLY ONDER-SEEKOEIRIVIER OR UITVLUGT</t>
  </si>
  <si>
    <t>SAREL CILLIERS AND/OR A.H. POTGIETER</t>
  </si>
  <si>
    <t>b2c3d2e5</t>
  </si>
  <si>
    <t>23/10/1814</t>
  </si>
  <si>
    <t>15/01/1815</t>
  </si>
  <si>
    <t xml:space="preserve">CHRISTINA SUSANNA </t>
  </si>
  <si>
    <t>PROBABLY EARLY 1836</t>
  </si>
  <si>
    <t>b2c3d2e4</t>
  </si>
  <si>
    <t>08/05/1813</t>
  </si>
  <si>
    <t>17/05/1813</t>
  </si>
  <si>
    <t xml:space="preserve">HILLETJE ANNA MAGDALENA </t>
  </si>
  <si>
    <t>b3c1d1e5f4</t>
  </si>
  <si>
    <t>PROBABLY UITVLUGT</t>
  </si>
  <si>
    <t>b2c3d2e8</t>
  </si>
  <si>
    <t>12/09/1822</t>
  </si>
  <si>
    <t>STEPHANUS RUDOLPH</t>
  </si>
  <si>
    <t>b2c4d8</t>
  </si>
  <si>
    <t>30/09/1803</t>
  </si>
  <si>
    <t>b2c5d6e2f3</t>
  </si>
  <si>
    <t>04/12/1806</t>
  </si>
  <si>
    <t>LINDE</t>
  </si>
  <si>
    <t>GEORG FREDERIK</t>
  </si>
  <si>
    <t>b5c8</t>
  </si>
  <si>
    <t>23/12/1804</t>
  </si>
  <si>
    <t>SCHANSKRAAL, BRANDFORT</t>
  </si>
  <si>
    <t>21/07/1877</t>
  </si>
  <si>
    <t>13/08/1830</t>
  </si>
  <si>
    <t xml:space="preserve">MARIA CHRISTINA FRANCINA </t>
  </si>
  <si>
    <t>DE APPELSKRAAL, ONDER-RIVIERSONDEREND</t>
  </si>
  <si>
    <t>SWELLENDAM AND AROUND 1840 COLESBERG</t>
  </si>
  <si>
    <t>CA 1843</t>
  </si>
  <si>
    <t>TRANSORANJE, BRANDFORT</t>
  </si>
  <si>
    <t>GERRIT JOHANNES SR.</t>
  </si>
  <si>
    <t>31/10/1779</t>
  </si>
  <si>
    <t>25/08/1856</t>
  </si>
  <si>
    <t xml:space="preserve">PETRONELLA ELTTA </t>
  </si>
  <si>
    <t>P.L. UYS (?)</t>
  </si>
  <si>
    <t xml:space="preserve">GERRIT JOHANNES jR. </t>
  </si>
  <si>
    <t>b2c10d4</t>
  </si>
  <si>
    <t>14/01/1810</t>
  </si>
  <si>
    <t>23/04/1811</t>
  </si>
  <si>
    <t>21/09/1834</t>
  </si>
  <si>
    <t xml:space="preserve">MARIA FRANCINA </t>
  </si>
  <si>
    <t>KOTZE/COETZEE (?)</t>
  </si>
  <si>
    <t>ANDRIES LOUIS SR.</t>
  </si>
  <si>
    <t>b1c3d6</t>
  </si>
  <si>
    <t>ANDRIES LOUIS JR.</t>
  </si>
  <si>
    <t>b1c3d6e7</t>
  </si>
  <si>
    <t>b3c3d7e10</t>
  </si>
  <si>
    <t>HERMANUS ANTHONIE SR.</t>
  </si>
  <si>
    <t>b3c3d7e3</t>
  </si>
  <si>
    <t xml:space="preserve">HERMANUS ANTHONIE JR. </t>
  </si>
  <si>
    <t>b3c3d7e3f5</t>
  </si>
  <si>
    <t>b3c3d6e6</t>
  </si>
  <si>
    <t>JOHANNES (JAN) ANTHONIE</t>
  </si>
  <si>
    <t>b1c3d6e2</t>
  </si>
  <si>
    <t>CHRISTOFFEL PETRUS FRANCOIS</t>
  </si>
  <si>
    <t>b7c6d2</t>
  </si>
  <si>
    <t>LöTTER</t>
  </si>
  <si>
    <t>b7c6d4</t>
  </si>
  <si>
    <t>WILLEM GODFRIED</t>
  </si>
  <si>
    <t>WILLEM MATTHEUS JOHANNES</t>
  </si>
  <si>
    <t>b7c6d6</t>
  </si>
  <si>
    <t>LOTTERING/LOTRIER</t>
  </si>
  <si>
    <t>CATHARINA HENDRINA ENGELA</t>
  </si>
  <si>
    <t>a2b1c1</t>
  </si>
  <si>
    <t>LOTTERING</t>
  </si>
  <si>
    <t>b1c1d11e3f3</t>
  </si>
  <si>
    <t>RUDOLPH JACOBUS SR.</t>
  </si>
  <si>
    <t>b1c1d11e3</t>
  </si>
  <si>
    <t>RUDOLPH JACOBUS JR.</t>
  </si>
  <si>
    <t>b1c1d11e3f1</t>
  </si>
  <si>
    <t>b12c3d10e4</t>
  </si>
  <si>
    <t>JAN LODEWYK</t>
  </si>
  <si>
    <t>PAULUS WILHELMUS</t>
  </si>
  <si>
    <t>b12c2d4e4</t>
  </si>
  <si>
    <t>LUDICK</t>
  </si>
  <si>
    <t>JEREMIAS CORNELIS JACOBUS</t>
  </si>
  <si>
    <t>WILLEM JOACHIM</t>
  </si>
  <si>
    <t>LUUZ</t>
  </si>
  <si>
    <t xml:space="preserve">ALBERTUS JOHANNES </t>
  </si>
  <si>
    <t>DIEDERIK DANIEL</t>
  </si>
  <si>
    <t>GERHARDUS (GERRIT)</t>
  </si>
  <si>
    <t>JACOBUS HENDRIK FREDERIK</t>
  </si>
  <si>
    <t>12/03/1775</t>
  </si>
  <si>
    <t>23/09/1798</t>
  </si>
  <si>
    <t xml:space="preserve">DE WEGE </t>
  </si>
  <si>
    <t>24/03/1776</t>
  </si>
  <si>
    <t>JANWILLEMSFONTEIN, GAMKA</t>
  </si>
  <si>
    <t>JACOD DE KLERK (?)</t>
  </si>
  <si>
    <t>POSSIBLY BOSHOF, OVS</t>
  </si>
  <si>
    <t>BEFORE 28/09/1837 AND IF THEY MOVED WITH JACOB DE KLERK THEN JULY 1837</t>
  </si>
  <si>
    <t>30/05/1858</t>
  </si>
  <si>
    <t>17/06/1838</t>
  </si>
  <si>
    <t xml:space="preserve">SUSANNA MAGDALENA </t>
  </si>
  <si>
    <t>ESTERHUYSE/ ESTERHUIZE</t>
  </si>
  <si>
    <t>20/05/1820</t>
  </si>
  <si>
    <t>28/09/1837 (?)</t>
  </si>
  <si>
    <t>CA 1847</t>
  </si>
  <si>
    <t>20/10/1803</t>
  </si>
  <si>
    <t>GEERTRUIDA MARIA PETRONELLA</t>
  </si>
  <si>
    <t>CA MID 1837</t>
  </si>
  <si>
    <t>J.H. DE LANGE(?)</t>
  </si>
  <si>
    <t>GESINA DOROTHEA</t>
  </si>
  <si>
    <t>b5c6</t>
  </si>
  <si>
    <t>07/01/1789</t>
  </si>
  <si>
    <t>JAGERSFONTEIN, VISRIVER</t>
  </si>
  <si>
    <t>SECOND HALF 1837</t>
  </si>
  <si>
    <t>20/03/1822</t>
  </si>
  <si>
    <t>RUSTVERWACHT, UTRECHT, NATAL</t>
  </si>
  <si>
    <t>01/07/1913</t>
  </si>
  <si>
    <t>ALETTA JOHANNA ELIZABETH</t>
  </si>
  <si>
    <t xml:space="preserve">NEL  </t>
  </si>
  <si>
    <t>b1c2d4e1f9</t>
  </si>
  <si>
    <t>CA1827</t>
  </si>
  <si>
    <t>SCHOONGEZICHT, THUKELARIVIER, NATAL</t>
  </si>
  <si>
    <t>18/04/1849</t>
  </si>
  <si>
    <t>VISRIVIER (?)</t>
  </si>
  <si>
    <t xml:space="preserve">AGATHA CATHARINA </t>
  </si>
  <si>
    <t>b1c8d1e2f6</t>
  </si>
  <si>
    <t>02/01/1813</t>
  </si>
  <si>
    <t>BETWEEN 1798 AND 1804</t>
  </si>
  <si>
    <t>16/03/1821</t>
  </si>
  <si>
    <t xml:space="preserve">CATHARINA LEVINA </t>
  </si>
  <si>
    <t>VAN AARDT</t>
  </si>
  <si>
    <t>a1b2c7d1e6</t>
  </si>
  <si>
    <t>19/02/1804</t>
  </si>
  <si>
    <t>POSSIBLY SMOORDRIFT, OOS-RIETRIVIER</t>
  </si>
  <si>
    <t>MAY/ JUNE 1838</t>
  </si>
  <si>
    <t>HE WAS POSSIBLY THE LEADER</t>
  </si>
  <si>
    <t>NATA; THEN TRANSVAAL</t>
  </si>
  <si>
    <t>GROOTFONTEIN, BLOEMFONTEIN</t>
  </si>
  <si>
    <t>25/06/1864</t>
  </si>
  <si>
    <t>ENGELA ANNA JOHANNA</t>
  </si>
  <si>
    <t>BEAUFORT-(WEST)</t>
  </si>
  <si>
    <t>06/07/1805</t>
  </si>
  <si>
    <t>30/04/1873</t>
  </si>
  <si>
    <t>CA 1874</t>
  </si>
  <si>
    <t>ISABELLA MARGARETHA</t>
  </si>
  <si>
    <t>b1c3d2e6f2</t>
  </si>
  <si>
    <t>06/03/1808</t>
  </si>
  <si>
    <t>BEOFRE 01/03/1838 AND POSSIBLY IN THE FIRST HALF OF 1837</t>
  </si>
  <si>
    <t>KROMRIVIER, PIET RETIEF, NATAL</t>
  </si>
  <si>
    <t>01/06/1887</t>
  </si>
  <si>
    <t>b2c3d5e4f2</t>
  </si>
  <si>
    <t>10/11/1809</t>
  </si>
  <si>
    <t>BOTHMASGAT, BAVIAANSRIVIER</t>
  </si>
  <si>
    <t>BEFORE 20/06/1837 AND IF THEY MOVED WITH PIET RETIEF THEN FEBRUARY 1837</t>
  </si>
  <si>
    <t>POSSIBLY PIET RETIEF BUT ALSO LOOK UNDER W.G. LOTTER</t>
  </si>
  <si>
    <t>ZEEKOEGAT, PMB</t>
  </si>
  <si>
    <t xml:space="preserve">ELIZABETH LORETTA </t>
  </si>
  <si>
    <t>b3c8d5</t>
  </si>
  <si>
    <t>29/09/1782</t>
  </si>
  <si>
    <t>CA APRIL 1838</t>
  </si>
  <si>
    <t>CATHARINA J</t>
  </si>
  <si>
    <t>HEUNINGVLEI, WAKKERSTROOM</t>
  </si>
  <si>
    <t>29/08/1872</t>
  </si>
  <si>
    <t>ELSJE MARIA ELIZABETH</t>
  </si>
  <si>
    <t>b2c3d5e4f4</t>
  </si>
  <si>
    <t>22/01/1815</t>
  </si>
  <si>
    <t>ACCORDING TO OFFICAIL LIST BEFORE 20/06/1837 BUT COULD HAVE BEEN LATER IF THEY MOVED WITH OPPERMAN</t>
  </si>
  <si>
    <t>PIET RETIEF OR OPPERMAN</t>
  </si>
  <si>
    <t xml:space="preserve">MARTHA FRANCINA </t>
  </si>
  <si>
    <t>b9c4d1e5</t>
  </si>
  <si>
    <t>CA 1825</t>
  </si>
  <si>
    <t>13/10/1877</t>
  </si>
  <si>
    <t>04/11/1799</t>
  </si>
  <si>
    <t>16/03/1817</t>
  </si>
  <si>
    <t>JOACHIM JOHANNES</t>
  </si>
  <si>
    <t>b2c3d1e11</t>
  </si>
  <si>
    <t>23/10/1785</t>
  </si>
  <si>
    <t>03/11/1807</t>
  </si>
  <si>
    <t>BEAUFORT- WEST</t>
  </si>
  <si>
    <t>BEFORE SEPTEMBER 1837</t>
  </si>
  <si>
    <t>TRANSORANJE THEN BACK TO CAPE COLONY AROUND RICHMOND</t>
  </si>
  <si>
    <t>30/06/1829</t>
  </si>
  <si>
    <t>01/10/1820</t>
  </si>
  <si>
    <t>LEEUKRAAL, HEILBRON</t>
  </si>
  <si>
    <t>14/01/1914</t>
  </si>
  <si>
    <t xml:space="preserve">JACOMINA CATHARINA </t>
  </si>
  <si>
    <t xml:space="preserve">WILHELMINA </t>
  </si>
  <si>
    <t>DROSKIE</t>
  </si>
  <si>
    <t>18/06/1792</t>
  </si>
  <si>
    <t xml:space="preserve">JUDITH CHRISTINA </t>
  </si>
  <si>
    <t>POSSIBLY IN 1835</t>
  </si>
  <si>
    <t>PIETERMARITZBURG THEN POTCHEFSTROOM</t>
  </si>
  <si>
    <t>ANNA M.</t>
  </si>
  <si>
    <t>a2b5c5</t>
  </si>
  <si>
    <t>24/10/1790</t>
  </si>
  <si>
    <t>30/10/1816</t>
  </si>
  <si>
    <t>CA 1903</t>
  </si>
  <si>
    <t>14/04/1852</t>
  </si>
  <si>
    <t xml:space="preserve">ANNA MARIA MAGDALENA CATHARINA </t>
  </si>
  <si>
    <t>01/10/1818</t>
  </si>
  <si>
    <t>TWEEFONTEIN, OP-SNEEUBERG</t>
  </si>
  <si>
    <t>PROBABLY A.W.J. PRETORIUS</t>
  </si>
  <si>
    <t>09/12/1797</t>
  </si>
  <si>
    <t>02/03/1867</t>
  </si>
  <si>
    <t>06/04/1816</t>
  </si>
  <si>
    <t>28/05/1799</t>
  </si>
  <si>
    <t>SOMERSET AND BEFORE THAT IN BEAUFORT</t>
  </si>
  <si>
    <t xml:space="preserve">MARTHA ELIZABETH </t>
  </si>
  <si>
    <t>MARGARETHA MAGDALENA ELIZABETH</t>
  </si>
  <si>
    <t>01/03/1795</t>
  </si>
  <si>
    <t>07/08/1813</t>
  </si>
  <si>
    <t>BO-OLIFANTSRIVIER</t>
  </si>
  <si>
    <t>PROBABLY 1838</t>
  </si>
  <si>
    <t>ARIE Z. VISAGIE (?)</t>
  </si>
  <si>
    <t>26/06/1820</t>
  </si>
  <si>
    <t xml:space="preserve">JOHANNA CATHARINA MARIA </t>
  </si>
  <si>
    <t>WINBURG THEN POTCHEFSTROOM</t>
  </si>
  <si>
    <t>08/10/1821</t>
  </si>
  <si>
    <t>25/11/1821</t>
  </si>
  <si>
    <t>GRAAFF-REINET OR COLESBERG</t>
  </si>
  <si>
    <t>15/04/1815</t>
  </si>
  <si>
    <t>18/06/1815</t>
  </si>
  <si>
    <t>CRAUSE</t>
  </si>
  <si>
    <t>BETWEEN JUNE 1841 AND APRIL 1842</t>
  </si>
  <si>
    <t>FAMILTY TREK</t>
  </si>
  <si>
    <t>27/07/1837</t>
  </si>
  <si>
    <t xml:space="preserve">CHRISTINA JOHANNA LOUISA </t>
  </si>
  <si>
    <t>23/09/1809</t>
  </si>
  <si>
    <t xml:space="preserve">JACOBA DOROTHEA </t>
  </si>
  <si>
    <t>08/04/1835</t>
  </si>
  <si>
    <t>CATHARINA BEATRIX</t>
  </si>
  <si>
    <t>KOPPIESFONTEIN, MIDDELBURG</t>
  </si>
  <si>
    <t>11/05/1879</t>
  </si>
  <si>
    <t>CAPE COLONY</t>
  </si>
  <si>
    <t>CA 1813</t>
  </si>
  <si>
    <t>MIDDELBURG, TRANSVAAL</t>
  </si>
  <si>
    <t>23/12/1834</t>
  </si>
  <si>
    <t xml:space="preserve">SARA JACOBA JOHANNA </t>
  </si>
  <si>
    <t>BETWEEN JUNE 1841 AND JANUARY 1842</t>
  </si>
  <si>
    <t xml:space="preserve">SUSANNA JACOBA JOSINA JOHANNA </t>
  </si>
  <si>
    <t>ROSCHER</t>
  </si>
  <si>
    <t>31/05/1823</t>
  </si>
  <si>
    <t>08/06/1823</t>
  </si>
  <si>
    <t>01/04/1875</t>
  </si>
  <si>
    <t>CRADOCK (?)</t>
  </si>
  <si>
    <t>b2c6d5</t>
  </si>
  <si>
    <t>25/04/1797</t>
  </si>
  <si>
    <t>HENDRINA JACOBA MARIA</t>
  </si>
  <si>
    <t>13/04/1802</t>
  </si>
  <si>
    <t>MOOIFONTEIN, BRAKRIVIER</t>
  </si>
  <si>
    <t>PROBABLY EARLY JANUARY 1836</t>
  </si>
  <si>
    <t>MARIA GEERTRUIDA</t>
  </si>
  <si>
    <t>b6c8d7e2f3</t>
  </si>
  <si>
    <t>b2c4d1e4</t>
  </si>
  <si>
    <t>b2c5d3e3</t>
  </si>
  <si>
    <t>PETRUS CORNELIS JACOBUS</t>
  </si>
  <si>
    <t>b2c4d1e6</t>
  </si>
  <si>
    <t>PIETER ANDRIES HENDRIK</t>
  </si>
  <si>
    <t>b2c5d3e4</t>
  </si>
  <si>
    <t>17/11/1798</t>
  </si>
  <si>
    <t>MALAPSTAD, WINBURG</t>
  </si>
  <si>
    <t>08/07/1822</t>
  </si>
  <si>
    <t>08/01/1866</t>
  </si>
  <si>
    <t xml:space="preserve">MAGDALENA ADRIANA </t>
  </si>
  <si>
    <t>13/03/1803</t>
  </si>
  <si>
    <t>QUAGGASFONTEIN, BETHLEHEM</t>
  </si>
  <si>
    <t>05/12/1886</t>
  </si>
  <si>
    <t>06/12/1806</t>
  </si>
  <si>
    <t>15/02/1807</t>
  </si>
  <si>
    <t>THORNTON, NATAL</t>
  </si>
  <si>
    <t>07/05/1890</t>
  </si>
  <si>
    <t xml:space="preserve">PETRONELLA DOROTHEA </t>
  </si>
  <si>
    <t>RAASFONTEIN, TARKA</t>
  </si>
  <si>
    <t xml:space="preserve">MARTHA CATHARINA ALETTA </t>
  </si>
  <si>
    <t>b1c2d3e4</t>
  </si>
  <si>
    <t>11/12/1892</t>
  </si>
  <si>
    <t>KLIPFONTEIN, ROUXVILLE</t>
  </si>
  <si>
    <t>23/10/1894</t>
  </si>
  <si>
    <t xml:space="preserve">MARIA GERTRUIDA MAGDALENA </t>
  </si>
  <si>
    <t>13/03/1815</t>
  </si>
  <si>
    <t>MODDERBULT</t>
  </si>
  <si>
    <t>16/05/1843</t>
  </si>
  <si>
    <t>CA 1840</t>
  </si>
  <si>
    <t>ORANJERIVIER THEN ROUXVILLE</t>
  </si>
  <si>
    <t>06/11/1843</t>
  </si>
  <si>
    <t xml:space="preserve">ANNA ALIDA MAGDALENA </t>
  </si>
  <si>
    <t>31/10/1814</t>
  </si>
  <si>
    <t>VERGENOEGD, GROOT MARICO</t>
  </si>
  <si>
    <t>11/11/1897</t>
  </si>
  <si>
    <t>07/02/1836</t>
  </si>
  <si>
    <t xml:space="preserve">MARIA GESINA CHRISTINA </t>
  </si>
  <si>
    <t>12/09/1816</t>
  </si>
  <si>
    <t>ORANJERIVIER THEN MARICO</t>
  </si>
  <si>
    <t>27/04/1861</t>
  </si>
  <si>
    <t xml:space="preserve">ALIDA MARIA </t>
  </si>
  <si>
    <t>OBERHOLZER</t>
  </si>
  <si>
    <t>27/03/1897</t>
  </si>
  <si>
    <t>25/12/1813</t>
  </si>
  <si>
    <t xml:space="preserve">MARIA SOPHIA </t>
  </si>
  <si>
    <t>08/11/1898</t>
  </si>
  <si>
    <t>BEFORE 1833</t>
  </si>
  <si>
    <t>ORANJERIVIER THEN RUSTENBURG</t>
  </si>
  <si>
    <t>DELAGOABAAI</t>
  </si>
  <si>
    <t>LOUIS TREGARDT</t>
  </si>
  <si>
    <t>PIEK</t>
  </si>
  <si>
    <t>ANDRIES CHRISTOFFEL SR.</t>
  </si>
  <si>
    <t>b10c3</t>
  </si>
  <si>
    <t>18/03/1783</t>
  </si>
  <si>
    <t>04/01/1784</t>
  </si>
  <si>
    <t>RENOSTERRIVIER, PHILIPPOLIS</t>
  </si>
  <si>
    <t>28/11/1858</t>
  </si>
  <si>
    <t>CAROLINA FREDERICA</t>
  </si>
  <si>
    <t>18/07/1787</t>
  </si>
  <si>
    <t>26/09/1864</t>
  </si>
  <si>
    <t xml:space="preserve">ALBANY </t>
  </si>
  <si>
    <t>ANDRIES CHRISTOFFEL JR.</t>
  </si>
  <si>
    <t>b10c3d1</t>
  </si>
  <si>
    <t>OLIFANTSDRIF, KROKODILRIVER</t>
  </si>
  <si>
    <t>OKAUKUEJI (?)</t>
  </si>
  <si>
    <t>1885 (?)</t>
  </si>
  <si>
    <t xml:space="preserve">GEORGE DIEDERIK FREDERIK </t>
  </si>
  <si>
    <t>b10c3d2</t>
  </si>
  <si>
    <t>CA 1808</t>
  </si>
  <si>
    <t>PALMIETFONTEIN, STANDERTON</t>
  </si>
  <si>
    <t>15/09/1886</t>
  </si>
  <si>
    <t xml:space="preserve">MARIA CATHARINA ADRIANA </t>
  </si>
  <si>
    <t>AUGUST 1809</t>
  </si>
  <si>
    <t>12/12/1885</t>
  </si>
  <si>
    <t>BETWEEN 1839 AND 1843</t>
  </si>
  <si>
    <t>ABEL JACOBUS</t>
  </si>
  <si>
    <t>b2c3d7e2f1</t>
  </si>
  <si>
    <t>b2c3d7e5f1</t>
  </si>
  <si>
    <t>JACOB ARNOLDUS</t>
  </si>
  <si>
    <t>b2c3d7e5</t>
  </si>
  <si>
    <t>b2c3d7e10</t>
  </si>
  <si>
    <t>PETRUS ARNOLDUS</t>
  </si>
  <si>
    <t>b2c3d4e5</t>
  </si>
  <si>
    <t>b2c5d6e1f5</t>
  </si>
  <si>
    <t>TROMPSBURG</t>
  </si>
  <si>
    <t>20/11/1903</t>
  </si>
  <si>
    <t>FRANCINA JOHANNA HUIBRECHT</t>
  </si>
  <si>
    <t>RADELPOORT, COLESBERG</t>
  </si>
  <si>
    <t>CA 1817</t>
  </si>
  <si>
    <t>KLEIN- MARSFONTEIN, BETHULIE</t>
  </si>
  <si>
    <t>22/04/1898</t>
  </si>
  <si>
    <t>BETWEEN 1840 AND 1842</t>
  </si>
  <si>
    <t>SMITHFIELD THEN BETHULIE AND TROMPSBURG</t>
  </si>
  <si>
    <t>15/06/1823</t>
  </si>
  <si>
    <t>VISGAT, FAURESMITH</t>
  </si>
  <si>
    <t>14/01/1876</t>
  </si>
  <si>
    <t>03/04/1848</t>
  </si>
  <si>
    <t xml:space="preserve">CORNELIA JACOBA </t>
  </si>
  <si>
    <t>16/08/1831</t>
  </si>
  <si>
    <t>09/06/1870</t>
  </si>
  <si>
    <t>BETWEEN 1840 AND 1842 (?)</t>
  </si>
  <si>
    <t>HIS PARENTS</t>
  </si>
  <si>
    <t>02/06/1871</t>
  </si>
  <si>
    <t>WALDECK</t>
  </si>
  <si>
    <t>OU HANTAM, ROGGEVELD, TULBAGH/ WORCESTER</t>
  </si>
  <si>
    <t>08/07/1801</t>
  </si>
  <si>
    <t>25/12/1801</t>
  </si>
  <si>
    <t>12/10/1852</t>
  </si>
  <si>
    <t>12/04/1822</t>
  </si>
  <si>
    <t xml:space="preserve">ALETTA PETRONELLA </t>
  </si>
  <si>
    <t>BETWEEN 1838 AND 1840</t>
  </si>
  <si>
    <t>DEWETSDORP</t>
  </si>
  <si>
    <t>02/10/1880</t>
  </si>
  <si>
    <t>29/09/1833</t>
  </si>
  <si>
    <t>MARGARETHA JOHANNA ADRIANA</t>
  </si>
  <si>
    <t>BLOEMFONTEIN AND LATER DEWETSDORP</t>
  </si>
  <si>
    <t>23/09/1878</t>
  </si>
  <si>
    <t>30/05/1895</t>
  </si>
  <si>
    <t>NORTH OF ORANJE</t>
  </si>
  <si>
    <t>03/04/1839</t>
  </si>
  <si>
    <t>19/01/1806</t>
  </si>
  <si>
    <t>b1c10d3e4</t>
  </si>
  <si>
    <t>03/05/1790</t>
  </si>
  <si>
    <t>06/02/1791</t>
  </si>
  <si>
    <t>11/01/1809</t>
  </si>
  <si>
    <t>VAALBANK, CALEDONRIVER, SMITHFIELD</t>
  </si>
  <si>
    <t>25/07/1863</t>
  </si>
  <si>
    <t xml:space="preserve">ANNA JACOBA CATHARINA </t>
  </si>
  <si>
    <t>07/03/1853</t>
  </si>
  <si>
    <t xml:space="preserve">ELISABETH SUSANNA </t>
  </si>
  <si>
    <t>VAN HEEVER</t>
  </si>
  <si>
    <t>CA 1835</t>
  </si>
  <si>
    <t>22/01/1855</t>
  </si>
  <si>
    <t xml:space="preserve">JOHANNA MARGARETHA </t>
  </si>
  <si>
    <t>28/10/1839</t>
  </si>
  <si>
    <t>EDENBURG</t>
  </si>
  <si>
    <t>23/03/1871</t>
  </si>
  <si>
    <t>PIETERS</t>
  </si>
  <si>
    <t>BERNHARDUS HERMANUS</t>
  </si>
  <si>
    <t>a1b2c2d2e2</t>
  </si>
  <si>
    <t>CHRISTOFFEL PETRUS</t>
  </si>
  <si>
    <t>a1b2c2d2e8</t>
  </si>
  <si>
    <t>COENRAAD LUCAS</t>
  </si>
  <si>
    <t>a1b2c2d2e3</t>
  </si>
  <si>
    <t>a4b4c1</t>
  </si>
  <si>
    <t>FERDINANDUS ALBERTUS</t>
  </si>
  <si>
    <t>a4b5</t>
  </si>
  <si>
    <t>FERDINANDUS PETRUS</t>
  </si>
  <si>
    <t>a4b5c3</t>
  </si>
  <si>
    <t>a4b4c6</t>
  </si>
  <si>
    <t>HENDRIK JESAIAS/ JOSEPHUS</t>
  </si>
  <si>
    <t>a4b4c8</t>
  </si>
  <si>
    <t>HERMANUS BERN(H)ARDUS SR.</t>
  </si>
  <si>
    <t>a1b2c2d2</t>
  </si>
  <si>
    <t xml:space="preserve">HERMANUS BERN(H)ARDUS </t>
  </si>
  <si>
    <t>a1b2c2d2e5</t>
  </si>
  <si>
    <t>JACOBUS HENDRICUS</t>
  </si>
  <si>
    <t>a1b2c2d2e10</t>
  </si>
  <si>
    <t>PIETERSE(N)</t>
  </si>
  <si>
    <t>a1b2c2d2e6</t>
  </si>
  <si>
    <t>NICOLAAS THEODORUS</t>
  </si>
  <si>
    <t>a4b4c4</t>
  </si>
  <si>
    <t>PETRUS WESSEL</t>
  </si>
  <si>
    <t>a1b2c2d2e9</t>
  </si>
  <si>
    <t xml:space="preserve">PIETERSE </t>
  </si>
  <si>
    <t>a12b2</t>
  </si>
  <si>
    <t>a1b2c2d2e11</t>
  </si>
  <si>
    <t>WILHELMUS JOHANNES</t>
  </si>
  <si>
    <t>a4b4c10</t>
  </si>
  <si>
    <t>05/08/1802</t>
  </si>
  <si>
    <t>KLIPFONTEIN, ONDER-RIVIERSONDEREND</t>
  </si>
  <si>
    <t>UITVLUCHT, BETHLEHEM</t>
  </si>
  <si>
    <t>13/02/1874</t>
  </si>
  <si>
    <t>AFTER 20/11/1837</t>
  </si>
  <si>
    <t>FAMILY TREK(?)</t>
  </si>
  <si>
    <t>23/10/1815</t>
  </si>
  <si>
    <t>07/01/1816</t>
  </si>
  <si>
    <t>MULLERSRUST, BETHLEHEM</t>
  </si>
  <si>
    <t>07/09/1905</t>
  </si>
  <si>
    <t>08/05/1841</t>
  </si>
  <si>
    <t>16/01/1822</t>
  </si>
  <si>
    <t>10/06/1844</t>
  </si>
  <si>
    <t>GOT PERMISSION ON 20/11/1837</t>
  </si>
  <si>
    <t>05/12/1844</t>
  </si>
  <si>
    <t>MARTHA HENDRINA</t>
  </si>
  <si>
    <t>02/12/1826</t>
  </si>
  <si>
    <t>18/02/1827</t>
  </si>
  <si>
    <t>HATTINGSDAL, BETHLEHEM</t>
  </si>
  <si>
    <t>27/01/1899</t>
  </si>
  <si>
    <t>14/03/1890</t>
  </si>
  <si>
    <t>30/11/1828</t>
  </si>
  <si>
    <t xml:space="preserve">CATHARINA MARGARETHA </t>
  </si>
  <si>
    <t>22/04/1810</t>
  </si>
  <si>
    <t>TARENTAAL, POTBERG</t>
  </si>
  <si>
    <t>POSSIBLY A FAMILY TREK</t>
  </si>
  <si>
    <t>11/04/1793</t>
  </si>
  <si>
    <t>RIETFONTEIN, RUSTENBURG</t>
  </si>
  <si>
    <t>10/11/1863</t>
  </si>
  <si>
    <t>25/04/1773</t>
  </si>
  <si>
    <t>04/03/1798</t>
  </si>
  <si>
    <t xml:space="preserve">JOHANNA JOSINA </t>
  </si>
  <si>
    <t>a3b1c1d3e2</t>
  </si>
  <si>
    <t>SOPHIA CATHARINA ALETTA</t>
  </si>
  <si>
    <t>TRANSORANJE THEN NATAL (?)</t>
  </si>
  <si>
    <t>15/03/1804</t>
  </si>
  <si>
    <t>b1c3d6e11f4</t>
  </si>
  <si>
    <t>POSSIBLY EARLY 1836</t>
  </si>
  <si>
    <t xml:space="preserve">ALIDA ALETTA </t>
  </si>
  <si>
    <t>08/05/1819</t>
  </si>
  <si>
    <t xml:space="preserve">WEENEN, NATAL </t>
  </si>
  <si>
    <t>22/10/1894</t>
  </si>
  <si>
    <t>21/09/1806</t>
  </si>
  <si>
    <t>WILKENS</t>
  </si>
  <si>
    <t>POTCHEFSTROOM/ RUSTENBURG</t>
  </si>
  <si>
    <t>18/10/1776</t>
  </si>
  <si>
    <t>24/11/1776</t>
  </si>
  <si>
    <t>PIETERSDAL, BETHLEHEM</t>
  </si>
  <si>
    <t>04/02/1851</t>
  </si>
  <si>
    <t>10/11/1799</t>
  </si>
  <si>
    <t>b3c1d1e4</t>
  </si>
  <si>
    <t>UITDRAAIPAD, BETHLEHEM</t>
  </si>
  <si>
    <t>06/04/1874</t>
  </si>
  <si>
    <t>AS A FAMILY WITH P.L. UYS</t>
  </si>
  <si>
    <t>01/10/1809</t>
  </si>
  <si>
    <t>OPSTAL, BETHLEHEM</t>
  </si>
  <si>
    <t>24/02/1896</t>
  </si>
  <si>
    <t>b1c8d6e5</t>
  </si>
  <si>
    <t>06/10/1820</t>
  </si>
  <si>
    <t>20/04/1823</t>
  </si>
  <si>
    <t>17/05/1891</t>
  </si>
  <si>
    <t>GOT PERMISSION ON 19/10/1837</t>
  </si>
  <si>
    <t>28/05/1820</t>
  </si>
  <si>
    <t>PIETERSDEEL, KROONSTAD</t>
  </si>
  <si>
    <t>29/12/1887</t>
  </si>
  <si>
    <t>28/12/1848</t>
  </si>
  <si>
    <t xml:space="preserve">JOHANNA MAGDALENA </t>
  </si>
  <si>
    <t>FAMILY TREK UNDER HERMANUS BERNARDUS PIETERS</t>
  </si>
  <si>
    <t>06/04/1798</t>
  </si>
  <si>
    <t>03/04/1882</t>
  </si>
  <si>
    <t>23/02/1832</t>
  </si>
  <si>
    <t>b9c1d5e3</t>
  </si>
  <si>
    <t>06/01/1814</t>
  </si>
  <si>
    <t>UITENHAGE IN 1838 AND COEGA IN 1826</t>
  </si>
  <si>
    <t>GERRIT REYNIER VAN ROOYEN (?)</t>
  </si>
  <si>
    <t>06/10/1811</t>
  </si>
  <si>
    <t>KROMDRAAI, LINDLEY</t>
  </si>
  <si>
    <t>22/12/1881</t>
  </si>
  <si>
    <t>13/06/1853</t>
  </si>
  <si>
    <t>SUSARA ALETTA CATHARINA ELIZABETH</t>
  </si>
  <si>
    <t>19/02/1830</t>
  </si>
  <si>
    <t>01/08/1830</t>
  </si>
  <si>
    <t>24/10/1888</t>
  </si>
  <si>
    <t>SUSANNA JULIANA</t>
  </si>
  <si>
    <t>a1b6c3</t>
  </si>
  <si>
    <t>POTCHEFSTROOM THEN NATAL (?)</t>
  </si>
  <si>
    <t>14/10/1817</t>
  </si>
  <si>
    <t>16/05/1840</t>
  </si>
  <si>
    <t xml:space="preserve">HESTER SUSANNA CORNELIA </t>
  </si>
  <si>
    <t>b7c1d8e3</t>
  </si>
  <si>
    <t>POSSIBLY AS A FAMILY</t>
  </si>
  <si>
    <t>25/10/1778</t>
  </si>
  <si>
    <t>29/04/1822</t>
  </si>
  <si>
    <t>ARLINGTON</t>
  </si>
  <si>
    <t>17/12/1901</t>
  </si>
  <si>
    <t>06/08/1842</t>
  </si>
  <si>
    <t>MALAN</t>
  </si>
  <si>
    <t>b6c5d7e6</t>
  </si>
  <si>
    <t>06/12/1825</t>
  </si>
  <si>
    <t>DRIEFONTEIN, LINDLEY</t>
  </si>
  <si>
    <t>10/05/1914</t>
  </si>
  <si>
    <t xml:space="preserve"> PROBABLY KLIPFONTEIN, ONDER-RIVIERSONDEREND</t>
  </si>
  <si>
    <t>16/06/1811</t>
  </si>
  <si>
    <t>ONVERWACHT, RUSTENBURG</t>
  </si>
  <si>
    <t>20/11/1889</t>
  </si>
  <si>
    <t xml:space="preserve">JOHANNA CATHARINA (MARHTA) </t>
  </si>
  <si>
    <t>POTCHEFSTROOM THEN RUSTENBURG</t>
  </si>
  <si>
    <t>b7c8d7e2</t>
  </si>
  <si>
    <t xml:space="preserve">CHRISTIAAN WILHELMUS </t>
  </si>
  <si>
    <t>b1c7d2e4f9</t>
  </si>
  <si>
    <t>b1c6d4e3f2</t>
  </si>
  <si>
    <t>CORNELIS DIRK</t>
  </si>
  <si>
    <t>b1c6d4e7f2</t>
  </si>
  <si>
    <t>EVERT FREDERIK</t>
  </si>
  <si>
    <t>b1c7d7e3f3</t>
  </si>
  <si>
    <t>EVERT FREDERIK SR.</t>
  </si>
  <si>
    <t>b1c7d7e5</t>
  </si>
  <si>
    <t>EVERT FREDERIK JR.</t>
  </si>
  <si>
    <t>b1c7d7e5f3</t>
  </si>
  <si>
    <t>b7c8d7e5f2</t>
  </si>
  <si>
    <t>b7c9d3e6f5</t>
  </si>
  <si>
    <t>GERHARDUS DANIEL</t>
  </si>
  <si>
    <t>b1c8d1e5f11</t>
  </si>
  <si>
    <t>b7c9d8e5</t>
  </si>
  <si>
    <t>b7c8d6e6</t>
  </si>
  <si>
    <t>HERMANUS SR.</t>
  </si>
  <si>
    <t>b7c8d7</t>
  </si>
  <si>
    <t>b7c8d7e2f4</t>
  </si>
  <si>
    <t>HERMANUS PHILIPPUS SR.</t>
  </si>
  <si>
    <t>b7c8d7e5</t>
  </si>
  <si>
    <t>HERMANUS PHILIPPUS JR.</t>
  </si>
  <si>
    <t>b7c8d7e5f1</t>
  </si>
  <si>
    <t>ISAK ANDRIES</t>
  </si>
  <si>
    <t>b1c8d1e2f7</t>
  </si>
  <si>
    <t>IZAK CORNELIUS SR.</t>
  </si>
  <si>
    <t>b1c8d1e4</t>
  </si>
  <si>
    <t>ISAK CORNELIS JR.</t>
  </si>
  <si>
    <t>b1c8d1e4f9</t>
  </si>
  <si>
    <t>IZAK (IZAAC) HERMANUS</t>
  </si>
  <si>
    <t>b1c6d4e7</t>
  </si>
  <si>
    <t xml:space="preserve">JACOBUS CHRISTOFFEL (KOOS GROOTVOET) </t>
  </si>
  <si>
    <t>b7c8d6e4</t>
  </si>
  <si>
    <t>JACOBUS CHRISTOFFEL</t>
  </si>
  <si>
    <t>b7c8d6e3f1</t>
  </si>
  <si>
    <t>b7c8d6e6f1</t>
  </si>
  <si>
    <t>JACOBUS CHRISTOFFEL RUDOLPH</t>
  </si>
  <si>
    <t>b7c8d6e4f4</t>
  </si>
  <si>
    <t>b7c8d7e7 and b7c8d8e7 in SAG</t>
  </si>
  <si>
    <t>JOHAN FREDERIK</t>
  </si>
  <si>
    <t>b1c7d7e3f4</t>
  </si>
  <si>
    <t>b1c8d1e2f5</t>
  </si>
  <si>
    <t>b7c9d3e6f3</t>
  </si>
  <si>
    <t>b1c7d2e4</t>
  </si>
  <si>
    <t>JOHANNES HERMANUS JACOBUS</t>
  </si>
  <si>
    <t>b1c7d2e4f2</t>
  </si>
  <si>
    <t>b7c9d3e6f2</t>
  </si>
  <si>
    <t xml:space="preserve">JOHANNES PETRUS THEODORUS (HANS) </t>
  </si>
  <si>
    <t>b1c6d4e3</t>
  </si>
  <si>
    <t>JOHANNES (THEODORUS)</t>
  </si>
  <si>
    <t>b1c8d1e5</t>
  </si>
  <si>
    <t>JOHANNES THEODORUS</t>
  </si>
  <si>
    <t>b1c8d1e5f2</t>
  </si>
  <si>
    <t>JOHANNES THEODORUS (ISAK SON)</t>
  </si>
  <si>
    <t>b1c8d1e4f4</t>
  </si>
  <si>
    <t>b7c9d3e6</t>
  </si>
  <si>
    <t>b7c9d4e1</t>
  </si>
  <si>
    <t>MATTYS GERHARDUS SR.</t>
  </si>
  <si>
    <t>b1c7d7e3</t>
  </si>
  <si>
    <t>MATTYS GERHARDUS JR.</t>
  </si>
  <si>
    <t>b1c7d7e3f5</t>
  </si>
  <si>
    <t>b7c8d7e9</t>
  </si>
  <si>
    <t>PETRUS DIRK</t>
  </si>
  <si>
    <t>b1c7d2e4f11</t>
  </si>
  <si>
    <t>PETRUS HENDRIK ( ISAK SON)</t>
  </si>
  <si>
    <t>b1c8d1e4f8</t>
  </si>
  <si>
    <t>PETRUS HENDRIK THEUNIS</t>
  </si>
  <si>
    <t>b1c8d3e2</t>
  </si>
  <si>
    <t>PETRUS PHILIPPUS</t>
  </si>
  <si>
    <t>b1c8d1e5f9</t>
  </si>
  <si>
    <t>PHILIPPUS JOHANNES</t>
  </si>
  <si>
    <t>b7c8d6e7</t>
  </si>
  <si>
    <t>PHILIPPUS JOHANNES CHRISTOFFEL</t>
  </si>
  <si>
    <t>b1c7d2e4f5</t>
  </si>
  <si>
    <t>b7c8d6e3</t>
  </si>
  <si>
    <t>b7c8d7e2f5</t>
  </si>
  <si>
    <t>THEODORUS</t>
  </si>
  <si>
    <t>b1c8d1e2f3</t>
  </si>
  <si>
    <t>b7c8d5e9</t>
  </si>
  <si>
    <t>b7c8d7e8</t>
  </si>
  <si>
    <t>PRELLER</t>
  </si>
  <si>
    <t>CAREL FRIEDRICH</t>
  </si>
  <si>
    <t>b5c3d5e10f6</t>
  </si>
  <si>
    <t>ANDRIES WILHELMUS JACOBUS SR.</t>
  </si>
  <si>
    <t>b3c1d5e12</t>
  </si>
  <si>
    <t>ANDRIES WILHELMUS JACOBUS JR.</t>
  </si>
  <si>
    <t>b3c1d5e12f4</t>
  </si>
  <si>
    <t>C(H)AREL (SAREL) JOHANNES</t>
  </si>
  <si>
    <t>b3c1d3e1f7</t>
  </si>
  <si>
    <t>CHAREL STEPHANUS</t>
  </si>
  <si>
    <t>b5c3d5e7f4</t>
  </si>
  <si>
    <t>b3c1d5e12f3</t>
  </si>
  <si>
    <t>b3cc7d4e8</t>
  </si>
  <si>
    <t>b5c3d5e10f5</t>
  </si>
  <si>
    <t>DEWALD JOHANNES</t>
  </si>
  <si>
    <t>b3c1d2e4f4</t>
  </si>
  <si>
    <t>GERHARDUS DIRK</t>
  </si>
  <si>
    <t>b3c1d9e2f9</t>
  </si>
  <si>
    <t>b3c1d5e1f1</t>
  </si>
  <si>
    <t>GERHARDUS PETRUS JACOBUS</t>
  </si>
  <si>
    <t>b3c1d3e1f5</t>
  </si>
  <si>
    <t>b3c1d3e8f3</t>
  </si>
  <si>
    <t>b3c1d3e9f1</t>
  </si>
  <si>
    <t>b3c1d3e9f5</t>
  </si>
  <si>
    <t>GYSBERT JOHANNES ANDRIES</t>
  </si>
  <si>
    <t>b3c7d1e6f9</t>
  </si>
  <si>
    <t>HENDRIK CHRISTIAAN</t>
  </si>
  <si>
    <t>b3c7d1e6f4</t>
  </si>
  <si>
    <t>HENDRIK JACOBUS MATTHYS WYNAND</t>
  </si>
  <si>
    <t>b3c1d3e1f9</t>
  </si>
  <si>
    <t>HENDRIK STEPHANUS SR.</t>
  </si>
  <si>
    <t>b5c3d5e10</t>
  </si>
  <si>
    <t>HENDRIK STEPHANUS JR.</t>
  </si>
  <si>
    <t>b5c3d5e10f4</t>
  </si>
  <si>
    <t xml:space="preserve">HENDRIK STEPHANUS </t>
  </si>
  <si>
    <t>b3c7d1e2f12</t>
  </si>
  <si>
    <t>HENNING PETRUS NICOLAAS (PIET)</t>
  </si>
  <si>
    <t>b3c1d5e13</t>
  </si>
  <si>
    <t>HERCULES ALBERTUS (BART)</t>
  </si>
  <si>
    <t>b3c1d5e15</t>
  </si>
  <si>
    <t>ISAAC JACOBUS</t>
  </si>
  <si>
    <t>b3c7d1e2f1g3</t>
  </si>
  <si>
    <t>b3c7d1e6f8</t>
  </si>
  <si>
    <t>b3c7d1e2f11</t>
  </si>
  <si>
    <t>JAN ADRIAAN VAN DE GRAAFF</t>
  </si>
  <si>
    <t>b5c3d7e3f8</t>
  </si>
  <si>
    <t>b3c1d3e1f6</t>
  </si>
  <si>
    <t>JAN CORNELIS</t>
  </si>
  <si>
    <t>b3c7d1e6f7</t>
  </si>
  <si>
    <t xml:space="preserve">JAN FREDERIK JACOBUS </t>
  </si>
  <si>
    <t>b3c1d1e5f3</t>
  </si>
  <si>
    <t>JOHANNES ADRIAAN</t>
  </si>
  <si>
    <t>b3c1d3e9f9</t>
  </si>
  <si>
    <t>b3c7d1e6</t>
  </si>
  <si>
    <t>b3c1d2e6f3</t>
  </si>
  <si>
    <t>b3c7d1e1f3</t>
  </si>
  <si>
    <t>b3c7d1e2f1</t>
  </si>
  <si>
    <t>JOHANNES JACOBUS CORNELIS</t>
  </si>
  <si>
    <t>b3c7d1e6f2</t>
  </si>
  <si>
    <t>b3c1d6e10f5</t>
  </si>
  <si>
    <t>JOHANNES LODEWICUS JOSEPHUS</t>
  </si>
  <si>
    <t>b3c1d3e8f10</t>
  </si>
  <si>
    <t>b3c1d3e9f4</t>
  </si>
  <si>
    <t>b3c1d5e5f8</t>
  </si>
  <si>
    <t>JOHANNES LODEWYK WYNAND</t>
  </si>
  <si>
    <t>b3c1d5e14</t>
  </si>
  <si>
    <t>JOHANNES PETRUS (JAN JR.)</t>
  </si>
  <si>
    <t>b3c1d9e2f4</t>
  </si>
  <si>
    <t>JOHANNES PETRUS (JAN SR.)</t>
  </si>
  <si>
    <t>b3c1d6e10f2</t>
  </si>
  <si>
    <t>MARTHINUS GERHARDUS PETRUS</t>
  </si>
  <si>
    <t>b3c1d6e10f3</t>
  </si>
  <si>
    <t>MARTHINUS PETRUS WILHELMUS</t>
  </si>
  <si>
    <t>b3c1d5e15f2</t>
  </si>
  <si>
    <t>b3c1d5e1</t>
  </si>
  <si>
    <t>b3c1d3e9f2</t>
  </si>
  <si>
    <t>MARTHINUS WESSEL (SWART MARTIENS)</t>
  </si>
  <si>
    <t>b3c1d5e13f1</t>
  </si>
  <si>
    <t>b3c1d5e5f5</t>
  </si>
  <si>
    <t>b3c1d5e12f1</t>
  </si>
  <si>
    <t>MATTHYS CORNELIS</t>
  </si>
  <si>
    <t>b3c1d2e6</t>
  </si>
  <si>
    <t>MATTHYS VAN AS</t>
  </si>
  <si>
    <t>b3c1d6e10f1</t>
  </si>
  <si>
    <t>MATTHYS WYNAND SR.</t>
  </si>
  <si>
    <t>b3c1d3e9</t>
  </si>
  <si>
    <t>MATTHYS WYNAND JR.</t>
  </si>
  <si>
    <t>b3c1d3e9f3</t>
  </si>
  <si>
    <t>b3c7d1e2f13</t>
  </si>
  <si>
    <t>PETRUS GERHARDUS ( SWART PIET)</t>
  </si>
  <si>
    <t>b3c9d7</t>
  </si>
  <si>
    <t>b3c9d7e1f2</t>
  </si>
  <si>
    <t>b3c9d7e3</t>
  </si>
  <si>
    <t>b3c1d3e1f16</t>
  </si>
  <si>
    <t xml:space="preserve">SYBRAND GERHARDUS </t>
  </si>
  <si>
    <t>b3c7d1e2f6</t>
  </si>
  <si>
    <t>THEUNIS PETRUS</t>
  </si>
  <si>
    <t>b3c1d2e5f5</t>
  </si>
  <si>
    <t>WESSEL MATTHYS</t>
  </si>
  <si>
    <t>b3c7d1e2f14</t>
  </si>
  <si>
    <t>b5c3d7e3</t>
  </si>
  <si>
    <t>WILLEM ANDRIES PETRUS</t>
  </si>
  <si>
    <t>b3c1d3e8f7</t>
  </si>
  <si>
    <t>b5c3d7e3f9</t>
  </si>
  <si>
    <t>WILLEM JURGEN</t>
  </si>
  <si>
    <t>b3c7d1e6f3</t>
  </si>
  <si>
    <t>WILLEM LODEWYK</t>
  </si>
  <si>
    <t>b3c7d1e2f1g1</t>
  </si>
  <si>
    <t>b3c7d1e2f4</t>
  </si>
  <si>
    <t>b3c9d7e1</t>
  </si>
  <si>
    <t>b3c1d3e1f14</t>
  </si>
  <si>
    <t xml:space="preserve">WYNAND JOHANNES </t>
  </si>
  <si>
    <t>b3c1d2e5f2</t>
  </si>
  <si>
    <t>ZACHARIAS ARNOLDUS STEPHANUS</t>
  </si>
  <si>
    <t>b3c1d1e6f6</t>
  </si>
  <si>
    <t>ANTHONIE CHRISTOFFEL</t>
  </si>
  <si>
    <t>b3c3d1e1f5</t>
  </si>
  <si>
    <t>ARIE JACOBUS</t>
  </si>
  <si>
    <t>b3c3d1e14</t>
  </si>
  <si>
    <t>BALTHSAR JOHANNES</t>
  </si>
  <si>
    <t>b3c3d1e1f2</t>
  </si>
  <si>
    <t>CHRISTOFFEL PETRUS JOACHIM</t>
  </si>
  <si>
    <t>b3c3d4e2f6</t>
  </si>
  <si>
    <t>GEORGE DIEDERIK PETRUS</t>
  </si>
  <si>
    <t>b3c3d4e6f6</t>
  </si>
  <si>
    <t>b3c3d1e13</t>
  </si>
  <si>
    <t>b3c3d4e6f3</t>
  </si>
  <si>
    <t>b3c3d4e2f8</t>
  </si>
  <si>
    <t>b3c3d5e2f7</t>
  </si>
  <si>
    <t>b3c3d4e6</t>
  </si>
  <si>
    <t>HENDRIK PETRUS SR.</t>
  </si>
  <si>
    <t>HENDRIK PETRUS JR.</t>
  </si>
  <si>
    <t>b3c3d6e5f3</t>
  </si>
  <si>
    <t>IGNATIUS MICHIEL</t>
  </si>
  <si>
    <t>b3c6d1e5f3</t>
  </si>
  <si>
    <t>b3c6d2e3f2</t>
  </si>
  <si>
    <t>b3c3d6e5f2</t>
  </si>
  <si>
    <t>b3c3d6e6f5</t>
  </si>
  <si>
    <t>b3c6d2e3f5</t>
  </si>
  <si>
    <t>JOACHIM</t>
  </si>
  <si>
    <t>b3c6d2e3</t>
  </si>
  <si>
    <t>JOACHIM (JOACHEMUS) JOHANNES</t>
  </si>
  <si>
    <t>b3c3d6e5f1</t>
  </si>
  <si>
    <t>b3c3d6e6f4</t>
  </si>
  <si>
    <t>b3c3d6e7f2</t>
  </si>
  <si>
    <t>b3c3d6e1</t>
  </si>
  <si>
    <t>b3c6d1e5</t>
  </si>
  <si>
    <t>JOACHIM (JOACHEMUS) JOHANNES PETRUS</t>
  </si>
  <si>
    <t>b3c3d6e1f3</t>
  </si>
  <si>
    <t>JOACHIM PETRUS</t>
  </si>
  <si>
    <t>b3c6d2e1f1</t>
  </si>
  <si>
    <t>b3c3d5e2</t>
  </si>
  <si>
    <t>JOHANNESS ANDRIES</t>
  </si>
  <si>
    <t>b3c6d3e6f2</t>
  </si>
  <si>
    <t>b3c6d1e2f5</t>
  </si>
  <si>
    <t>b3c3d5e2f5</t>
  </si>
  <si>
    <t>JOHANNES PAULUS</t>
  </si>
  <si>
    <t>b3c6d3e7f6</t>
  </si>
  <si>
    <t>KLAAS JACOBUS</t>
  </si>
  <si>
    <t>b3c3d1e13f1</t>
  </si>
  <si>
    <t>MARTHINUS (J. SON)</t>
  </si>
  <si>
    <t>b3c3d5e2f4</t>
  </si>
  <si>
    <t>b3c3d5e1f1</t>
  </si>
  <si>
    <t>b3c6d3e6f1</t>
  </si>
  <si>
    <t>b3c6d1e5f5</t>
  </si>
  <si>
    <t>MARTHINUS LOURENS</t>
  </si>
  <si>
    <t>b3c6d1e2</t>
  </si>
  <si>
    <t>MARTHINUS PETRUS HENDRIK</t>
  </si>
  <si>
    <t>b3c6d1e2f2</t>
  </si>
  <si>
    <t>NICOLAAS (KLAAS)</t>
  </si>
  <si>
    <t>b3c3d6e11</t>
  </si>
  <si>
    <t>NICOLAAS BALTHASAR (KLAAS NUWEVELD)</t>
  </si>
  <si>
    <t>b3c3d5e8</t>
  </si>
  <si>
    <t>NICOLAAS JACOBUS (KLAAS)</t>
  </si>
  <si>
    <t>b3c3d1e19</t>
  </si>
  <si>
    <t xml:space="preserve">NICOLAAS JACOBUS </t>
  </si>
  <si>
    <t>b3c3d1e19f1</t>
  </si>
  <si>
    <t>NICOLAAS PETRUS</t>
  </si>
  <si>
    <t>b3c6d1e5f2</t>
  </si>
  <si>
    <t>b3c3d1e19f2</t>
  </si>
  <si>
    <t>b3c3d1e1f4</t>
  </si>
  <si>
    <t>SALOMON IGNATIUS WILHELM</t>
  </si>
  <si>
    <t>b3c6d2e2f6</t>
  </si>
  <si>
    <t>SALOMON THEODORUS</t>
  </si>
  <si>
    <t>b3c6d2e3f8</t>
  </si>
  <si>
    <t>b3c3d4e2f3</t>
  </si>
  <si>
    <t>b3c3d4e6f1</t>
  </si>
  <si>
    <t>b3c3d5e2f1</t>
  </si>
  <si>
    <t>b3c3d1e1f3</t>
  </si>
  <si>
    <t>b3c3d6e7</t>
  </si>
  <si>
    <t>WILLEM PETRUS( LANG WILLEM AND/OR WILLEM WRAGTAG)</t>
  </si>
  <si>
    <t>probably b3c3d6e7f1</t>
  </si>
  <si>
    <t>b9c4d66e5f1</t>
  </si>
  <si>
    <t>LODEWYK ANDRIES</t>
  </si>
  <si>
    <t>b9c4d6e7</t>
  </si>
  <si>
    <t>PAUL JACOBUS</t>
  </si>
  <si>
    <t>b9c4d6e5</t>
  </si>
  <si>
    <t>19/12/1792</t>
  </si>
  <si>
    <t>SCHOEMANSDAL 16/12/1852</t>
  </si>
  <si>
    <t>27/01/1795</t>
  </si>
  <si>
    <t>07/05/1841</t>
  </si>
  <si>
    <t>COMMANDODRIFT, TARKA</t>
  </si>
  <si>
    <t>END DECEMBER 1835</t>
  </si>
  <si>
    <t>LEASDER OF HIS OWN TREK COMMUNITY</t>
  </si>
  <si>
    <t>BUFFELSHOEK AT MAGALIESBURG (?)</t>
  </si>
  <si>
    <t xml:space="preserve">CA1842 </t>
  </si>
  <si>
    <t>25/05/1852</t>
  </si>
  <si>
    <t>07/07/1852</t>
  </si>
  <si>
    <t>CA 1852</t>
  </si>
  <si>
    <t>14/06/1820</t>
  </si>
  <si>
    <t>"PAKHUIS EN (IN?) DE WOESTYN"</t>
  </si>
  <si>
    <t>10/05/1871</t>
  </si>
  <si>
    <t>26/11/1855</t>
  </si>
  <si>
    <t>18/02/1831</t>
  </si>
  <si>
    <t>31/03/1886</t>
  </si>
  <si>
    <t>GRAHAMSTOWN (?)</t>
  </si>
  <si>
    <t>CA 1840 (?)</t>
  </si>
  <si>
    <t>KROMRIVIER, UITENHAGE</t>
  </si>
  <si>
    <t>07/04/1816</t>
  </si>
  <si>
    <t>03/11/1869</t>
  </si>
  <si>
    <t xml:space="preserve">RACHEEL CATHARINA </t>
  </si>
  <si>
    <t>ESPAG (ESBACH)</t>
  </si>
  <si>
    <t>23/02/1817</t>
  </si>
  <si>
    <t>KLIPFONRTEIN, MIDDELBURG</t>
  </si>
  <si>
    <t>10/07/1881</t>
  </si>
  <si>
    <t>NATAL THEN OHRIGSTAD THEN LYDENBURG THEN UTRECHT</t>
  </si>
  <si>
    <t>31/07/1825</t>
  </si>
  <si>
    <t>MAPOCHSGRONDEN, MIDDELBURG</t>
  </si>
  <si>
    <t>08/09/1899</t>
  </si>
  <si>
    <t xml:space="preserve">MAGDALENA MARIA CATHARINA </t>
  </si>
  <si>
    <t>22/03/1820</t>
  </si>
  <si>
    <t>MAPOCHSGRONDEN</t>
  </si>
  <si>
    <t>27/01/1900</t>
  </si>
  <si>
    <t>14/12/1819</t>
  </si>
  <si>
    <t>ZYFERFONTEIN</t>
  </si>
  <si>
    <t>10/05/1897</t>
  </si>
  <si>
    <t>12/06/1841</t>
  </si>
  <si>
    <t>ANTONETTA ALETTA JOHANNA</t>
  </si>
  <si>
    <t>17/07/1823</t>
  </si>
  <si>
    <t>17/07/1883</t>
  </si>
  <si>
    <t>PROBABLY 26/04/1838</t>
  </si>
  <si>
    <t xml:space="preserve">GERRIT REYNIER VAN ROOYEN </t>
  </si>
  <si>
    <t>04/02/1884</t>
  </si>
  <si>
    <t>13/01/1799</t>
  </si>
  <si>
    <t>23/02/1800</t>
  </si>
  <si>
    <t>BRAKFONTEIN, UTRECHT</t>
  </si>
  <si>
    <t>16/04/1863</t>
  </si>
  <si>
    <t xml:space="preserve">ELSJE JOHANNA MARTHINA </t>
  </si>
  <si>
    <t>b2c3d8e2</t>
  </si>
  <si>
    <t>19/08/1801</t>
  </si>
  <si>
    <t>26/07/1867</t>
  </si>
  <si>
    <t>DE BEGA, ONDER- BOESMANSRIVIER</t>
  </si>
  <si>
    <t>29/07/1824</t>
  </si>
  <si>
    <t>SANDSPRUIT, NYLSTROOM</t>
  </si>
  <si>
    <t>15/10/1883</t>
  </si>
  <si>
    <t>b10c2d2e1f1</t>
  </si>
  <si>
    <t>15/04/1830</t>
  </si>
  <si>
    <t>DOORNHOEK</t>
  </si>
  <si>
    <t>31/03/1879</t>
  </si>
  <si>
    <t xml:space="preserve">ELIZABETH SUSANNA JOHANNA </t>
  </si>
  <si>
    <t>30/09/1825</t>
  </si>
  <si>
    <t>DOORNHOEK, NYLSTROOM (?)</t>
  </si>
  <si>
    <t xml:space="preserve">SOMERSET </t>
  </si>
  <si>
    <t>A.H. POTGIETER, HIS UNCLE</t>
  </si>
  <si>
    <t>28/03/1823</t>
  </si>
  <si>
    <t>12/12/1824</t>
  </si>
  <si>
    <t>11/11/1883</t>
  </si>
  <si>
    <t>22/05/1847</t>
  </si>
  <si>
    <t xml:space="preserve">PETRONELLA CATHARINA JOHANNA ALETTA </t>
  </si>
  <si>
    <t>b2c4d3e4f3</t>
  </si>
  <si>
    <t>CA 1829</t>
  </si>
  <si>
    <t xml:space="preserve">NATAL THEN HARRISMITH </t>
  </si>
  <si>
    <t>21/07/1823</t>
  </si>
  <si>
    <t>MIDDELBURG (FARM), CALEDONRIVIER  (SMITHFIELD)</t>
  </si>
  <si>
    <t>24/09/1875</t>
  </si>
  <si>
    <t>CA 1845</t>
  </si>
  <si>
    <t xml:space="preserve">ELIZABETH ANNA MARIA FREDERIKA </t>
  </si>
  <si>
    <t>30/07/1827</t>
  </si>
  <si>
    <t>27/01/1828</t>
  </si>
  <si>
    <t>18/01/1888</t>
  </si>
  <si>
    <t>COEGA (?)</t>
  </si>
  <si>
    <t>05/12/1803</t>
  </si>
  <si>
    <t>29/01/1804</t>
  </si>
  <si>
    <t>15/02/1874</t>
  </si>
  <si>
    <t>b1c5d2e10</t>
  </si>
  <si>
    <t>13/10/1809</t>
  </si>
  <si>
    <t>24/12/1809</t>
  </si>
  <si>
    <t>PROBABLY P.L. UYS</t>
  </si>
  <si>
    <t>15/01/1806</t>
  </si>
  <si>
    <t>05/07/1825</t>
  </si>
  <si>
    <t xml:space="preserve">ANNA MARIA PETRONELLA </t>
  </si>
  <si>
    <t>b7c2d13</t>
  </si>
  <si>
    <t>BEFORE APRIL 1841</t>
  </si>
  <si>
    <t>13/10/1765</t>
  </si>
  <si>
    <t>GROOTVADERSBOS, SWELLENDAM</t>
  </si>
  <si>
    <t>10/08/1766</t>
  </si>
  <si>
    <t>SCHOEMANSDAL, SOUTPANSBERG</t>
  </si>
  <si>
    <t>14/11/1773</t>
  </si>
  <si>
    <t>18/05/1802</t>
  </si>
  <si>
    <t>ANDRIES HENDRIK POTGIETER</t>
  </si>
  <si>
    <t>16/02/1803</t>
  </si>
  <si>
    <t>06/05/1781</t>
  </si>
  <si>
    <t>08/08/1806</t>
  </si>
  <si>
    <t xml:space="preserve">GEERTRUYDA </t>
  </si>
  <si>
    <t>10/08/1787</t>
  </si>
  <si>
    <t>29/04/1760</t>
  </si>
  <si>
    <t>22/02/1761</t>
  </si>
  <si>
    <t xml:space="preserve">COMMANDODRIFT, TARKA </t>
  </si>
  <si>
    <t>24/02/1821</t>
  </si>
  <si>
    <t>03/11/1899</t>
  </si>
  <si>
    <t>JOHANNA MAGDALENA ELIZABETH</t>
  </si>
  <si>
    <t>30/03/1897</t>
  </si>
  <si>
    <t>19/08/1797</t>
  </si>
  <si>
    <t>MAPELASTAD, WATERBERG</t>
  </si>
  <si>
    <t>04/03/1817</t>
  </si>
  <si>
    <t xml:space="preserve">CORNELIA (NEELTJE) ELISABETH </t>
  </si>
  <si>
    <t>b2c9d8e5</t>
  </si>
  <si>
    <t>BEAUFONTEIN, MELKPOORT</t>
  </si>
  <si>
    <t>CA 1798</t>
  </si>
  <si>
    <t>24/06/1798</t>
  </si>
  <si>
    <t>05/01/1870</t>
  </si>
  <si>
    <t>TWEERIVIER, RUSTENBURG</t>
  </si>
  <si>
    <t>14/07/1897</t>
  </si>
  <si>
    <t xml:space="preserve">JANNETJE LEVINA CATHARINA FRANCINA </t>
  </si>
  <si>
    <t>VIOOLSBERG, GRAAFF-REINET</t>
  </si>
  <si>
    <t>07/08/1823</t>
  </si>
  <si>
    <t>29/09/1873</t>
  </si>
  <si>
    <t>TARKA (?)</t>
  </si>
  <si>
    <t>23/11/1873</t>
  </si>
  <si>
    <t xml:space="preserve">HESTER MARIA CHRISTINA </t>
  </si>
  <si>
    <t>26/11/1853</t>
  </si>
  <si>
    <t>21/02/1914</t>
  </si>
  <si>
    <t>02/12/1816</t>
  </si>
  <si>
    <t>CONGASKRAAL, ONDER-BOESMANSRIVIER</t>
  </si>
  <si>
    <t>PROBABLY NOVEMBER 1836</t>
  </si>
  <si>
    <t>POSSIBLY JOHANNES STEPHANUS MARITZ</t>
  </si>
  <si>
    <t>11/05/1783</t>
  </si>
  <si>
    <t xml:space="preserve">JOHANNA JACOBA </t>
  </si>
  <si>
    <t>26/04/1789</t>
  </si>
  <si>
    <t>BEFORE 02/02/1837</t>
  </si>
  <si>
    <t>POSSIBLY JOHANNES STEPHANUS MARITZ (?)</t>
  </si>
  <si>
    <t>19/08/1818</t>
  </si>
  <si>
    <t>25/04/1819</t>
  </si>
  <si>
    <t>CALEDONRIVIER</t>
  </si>
  <si>
    <t>07/09/1886</t>
  </si>
  <si>
    <t>02/08/1846</t>
  </si>
  <si>
    <t>POSSIBLY BEFORE 02/02/1837</t>
  </si>
  <si>
    <t xml:space="preserve">POSSIBLY JOHANNES STEPHANUS MARITZ </t>
  </si>
  <si>
    <t xml:space="preserve">MARIA CHRISTINA JOHANNA </t>
  </si>
  <si>
    <t>17/07/1795</t>
  </si>
  <si>
    <t>KAFFERSKRAAL, MARICO</t>
  </si>
  <si>
    <t>10/05/1856</t>
  </si>
  <si>
    <t>05/11/1820 OR 25/06/1822 (?)</t>
  </si>
  <si>
    <t xml:space="preserve">CATHARINA JOHANNA SUSANNA </t>
  </si>
  <si>
    <t>NELL</t>
  </si>
  <si>
    <t>23/03/1806</t>
  </si>
  <si>
    <t>J.C. ESPAG (ESBACH)</t>
  </si>
  <si>
    <t xml:space="preserve">GEERTRUIDA MARIA </t>
  </si>
  <si>
    <t xml:space="preserve">BEESTEKRAL, TARKA </t>
  </si>
  <si>
    <t>HE WAS A LEADER</t>
  </si>
  <si>
    <t>b1c7d9e5</t>
  </si>
  <si>
    <t>POSSIBLY PALINGKLOOF, TARKA</t>
  </si>
  <si>
    <t>31/05/1825</t>
  </si>
  <si>
    <t>29/08/1826</t>
  </si>
  <si>
    <t>MARIA CHRISTINA CORNELIAWILHELMINA</t>
  </si>
  <si>
    <t>14/02/1866</t>
  </si>
  <si>
    <t>1840 (?)</t>
  </si>
  <si>
    <t>PIET RETIEF AREA</t>
  </si>
  <si>
    <t>27/01/1847</t>
  </si>
  <si>
    <t>31/12/1848</t>
  </si>
  <si>
    <t>KLIPVOOR, PRETORIA</t>
  </si>
  <si>
    <t>11/04/1878</t>
  </si>
  <si>
    <t>20/07/1830</t>
  </si>
  <si>
    <t>MARIA CHRISTINA CORNELIA WILHELMINA</t>
  </si>
  <si>
    <t>14/05/1900</t>
  </si>
  <si>
    <t>NATAL THEN PRETORIA</t>
  </si>
  <si>
    <t>11/05/1800</t>
  </si>
  <si>
    <t>STERKLOOP, SANDRIVIER, SOUTPANSBERG</t>
  </si>
  <si>
    <t>03/04/1873</t>
  </si>
  <si>
    <t>01/09/1816</t>
  </si>
  <si>
    <t>JULY 1853</t>
  </si>
  <si>
    <t>END 1835</t>
  </si>
  <si>
    <t>SOUTPANSBERG</t>
  </si>
  <si>
    <t>CA 1854</t>
  </si>
  <si>
    <t>19/07/1816</t>
  </si>
  <si>
    <t>16/05/1823</t>
  </si>
  <si>
    <t>25/03/1915</t>
  </si>
  <si>
    <t>02/08/1824</t>
  </si>
  <si>
    <t>CONCENTRATION CAMP, MAFIKENG</t>
  </si>
  <si>
    <t>26/11/1901</t>
  </si>
  <si>
    <t>POSSIBLY NOVEMBER 1836</t>
  </si>
  <si>
    <t>JOHANNES STEPHANUS MARITZ (?)</t>
  </si>
  <si>
    <t>07/11/1809</t>
  </si>
  <si>
    <t>09/11/1809</t>
  </si>
  <si>
    <t xml:space="preserve">ANNA ALBERTINA </t>
  </si>
  <si>
    <t>b1c11d5e8</t>
  </si>
  <si>
    <t>31/12/1819</t>
  </si>
  <si>
    <t xml:space="preserve">JOHANNES STEPHANUS MARITZ </t>
  </si>
  <si>
    <t>MARIA G. (?)</t>
  </si>
  <si>
    <t>KLEINFONTEIN, KLIPRIVIER, NATAL</t>
  </si>
  <si>
    <t>27/09/1896</t>
  </si>
  <si>
    <t>ISABELLA ALETTA ELISABETH</t>
  </si>
  <si>
    <t>b3c3d7e3f4</t>
  </si>
  <si>
    <t>18/09/1820</t>
  </si>
  <si>
    <t>KLEINFONTEIN, LADYSMITH</t>
  </si>
  <si>
    <t>06/03/1901</t>
  </si>
  <si>
    <t>POSSIBLY JAN DU PLESSIS</t>
  </si>
  <si>
    <t>14/03/1779</t>
  </si>
  <si>
    <t>26/06/1803</t>
  </si>
  <si>
    <t>EMERENTIA HESTER</t>
  </si>
  <si>
    <t>28/03/1784</t>
  </si>
  <si>
    <t>CA 1840 IF THEY MOVED WITH THEIR CHILDREN</t>
  </si>
  <si>
    <t>MARICO (?)</t>
  </si>
  <si>
    <t>BALFOUR</t>
  </si>
  <si>
    <t>27/09/1878</t>
  </si>
  <si>
    <t>M.C.</t>
  </si>
  <si>
    <t>28/05/1815</t>
  </si>
  <si>
    <t>16/07/1815</t>
  </si>
  <si>
    <t>BEFORE 1928</t>
  </si>
  <si>
    <t>09/07/1837</t>
  </si>
  <si>
    <t>b3c3d7e3f1</t>
  </si>
  <si>
    <t>BEFORE 1857</t>
  </si>
  <si>
    <t>04/02/1857</t>
  </si>
  <si>
    <t xml:space="preserve">SUSARA JANETTA </t>
  </si>
  <si>
    <t>CA 1842</t>
  </si>
  <si>
    <t xml:space="preserve">MARTHA MARIA </t>
  </si>
  <si>
    <t>06/06/1784</t>
  </si>
  <si>
    <t>ALBANY  THEN COEGA, UITENHAGE</t>
  </si>
  <si>
    <t>CA 1816</t>
  </si>
  <si>
    <t>23/12/1838</t>
  </si>
  <si>
    <t>b2c3</t>
  </si>
  <si>
    <t>01/11/1785</t>
  </si>
  <si>
    <t>02/05/1807</t>
  </si>
  <si>
    <t xml:space="preserve">JOHANNA ELISABETH </t>
  </si>
  <si>
    <t>STROEBEL</t>
  </si>
  <si>
    <t>03/05/1789</t>
  </si>
  <si>
    <t>COEGA</t>
  </si>
  <si>
    <t>POSSIBLY JOHANNES THEODORUS</t>
  </si>
  <si>
    <t>POSSIBLY UTRECHT</t>
  </si>
  <si>
    <t>08/05/1810</t>
  </si>
  <si>
    <t>UITHOEK, UTRECHT</t>
  </si>
  <si>
    <t>23/12/1874</t>
  </si>
  <si>
    <t>SONDAGSRIVIER, COEGA</t>
  </si>
  <si>
    <t>UITENHAGE IN 1839 THEY WERE IN CRADOCK</t>
  </si>
  <si>
    <t>NATAL THEN UTRECHT</t>
  </si>
  <si>
    <t>14/08/1812</t>
  </si>
  <si>
    <t>NOVEMBER 1836 (?)</t>
  </si>
  <si>
    <t>28/02/1794</t>
  </si>
  <si>
    <t>HARRISMITH, NATAL</t>
  </si>
  <si>
    <t>31/10/1875</t>
  </si>
  <si>
    <t xml:space="preserve">POTGIETER </t>
  </si>
  <si>
    <t>b1c7d2e10</t>
  </si>
  <si>
    <t>07/12/1790</t>
  </si>
  <si>
    <t>30/01/1865</t>
  </si>
  <si>
    <t>MARIA ELISABETH BARBARA</t>
  </si>
  <si>
    <t>NELSON</t>
  </si>
  <si>
    <t>19/04/1891</t>
  </si>
  <si>
    <t>17/02/1797</t>
  </si>
  <si>
    <t>BEFORE 1902</t>
  </si>
  <si>
    <t>03/05/1823</t>
  </si>
  <si>
    <t>b1c4d2e6f4</t>
  </si>
  <si>
    <t>20/01/1840</t>
  </si>
  <si>
    <t>PROBABLY 1837</t>
  </si>
  <si>
    <t xml:space="preserve">GEERTRUIDA MARIA MAGDALENA </t>
  </si>
  <si>
    <t>b2c2d4e4</t>
  </si>
  <si>
    <t>20/12/1820</t>
  </si>
  <si>
    <t>06/01/1821</t>
  </si>
  <si>
    <t>03/10/1794</t>
  </si>
  <si>
    <t>CA 1868</t>
  </si>
  <si>
    <t xml:space="preserve">ELSJE MAGDALENA ADRIANA </t>
  </si>
  <si>
    <t>08/11/1797</t>
  </si>
  <si>
    <t>19/04/1825</t>
  </si>
  <si>
    <t>STERKSTROOM, RUSTENBURG</t>
  </si>
  <si>
    <t>09/05/1897</t>
  </si>
  <si>
    <t>02/10/1831</t>
  </si>
  <si>
    <t>STERKSTROOM, TUSTENBURG</t>
  </si>
  <si>
    <t>29/01/1892</t>
  </si>
  <si>
    <t xml:space="preserve">CATHARINA BEATRIX </t>
  </si>
  <si>
    <t>NUWEJAARSDRIF</t>
  </si>
  <si>
    <t>18/08/1804</t>
  </si>
  <si>
    <t>BEGKOP</t>
  </si>
  <si>
    <t>CA 20/10/1836</t>
  </si>
  <si>
    <t xml:space="preserve">JACOBA MARIA </t>
  </si>
  <si>
    <t>A.H. POGIETER</t>
  </si>
  <si>
    <t>26/12/1831</t>
  </si>
  <si>
    <t xml:space="preserve">HESTER JACOBA </t>
  </si>
  <si>
    <t>23/01/1814</t>
  </si>
  <si>
    <t>11/11/1824</t>
  </si>
  <si>
    <t xml:space="preserve">ROOIDAM, JACOBSDAL </t>
  </si>
  <si>
    <t>02/09/1884</t>
  </si>
  <si>
    <t xml:space="preserve">SUSARA JOHANNA JOSINA </t>
  </si>
  <si>
    <t>08/11/1816</t>
  </si>
  <si>
    <t>NOOITGEDACHT, CALEDONRIVIER</t>
  </si>
  <si>
    <t>03/06/1863</t>
  </si>
  <si>
    <t>15/08/1783</t>
  </si>
  <si>
    <t>23/04/1786</t>
  </si>
  <si>
    <t>MAURITZKRAAL, UITENHAGE</t>
  </si>
  <si>
    <t>29/01/1860</t>
  </si>
  <si>
    <t xml:space="preserve">ADRIANA ANGENETHA </t>
  </si>
  <si>
    <t>NATAL THEN VAAL</t>
  </si>
  <si>
    <t xml:space="preserve">SARA JOHANNA </t>
  </si>
  <si>
    <t>JANSE(N) VAN VUUREN</t>
  </si>
  <si>
    <t>b2c4d5e2f2</t>
  </si>
  <si>
    <t>SWELLEMDAM</t>
  </si>
  <si>
    <t>14/08/1807</t>
  </si>
  <si>
    <t>19/03/1869</t>
  </si>
  <si>
    <t>14/12/1820</t>
  </si>
  <si>
    <t>11/02/1821</t>
  </si>
  <si>
    <t>POTCHEFSTROOM- CONCENTRATION CAMP</t>
  </si>
  <si>
    <t>20/12/1901</t>
  </si>
  <si>
    <t>WILHELMINA JACOBA</t>
  </si>
  <si>
    <t>CA 1826</t>
  </si>
  <si>
    <t>KATJESPRUIT, KOLWASIE (?)</t>
  </si>
  <si>
    <t xml:space="preserve">18/08/1880 </t>
  </si>
  <si>
    <t>POSSIBLY COEGA</t>
  </si>
  <si>
    <t>POSSIBLY WITH FAMILY</t>
  </si>
  <si>
    <t xml:space="preserve">PETRONELLA FREDERIKA </t>
  </si>
  <si>
    <t>14/08/1808</t>
  </si>
  <si>
    <t>26/12/1808</t>
  </si>
  <si>
    <t>23/10/1871</t>
  </si>
  <si>
    <t>ELISABETH GEERTRUIDA PETRONELLA</t>
  </si>
  <si>
    <t>b6c1d10e1f4</t>
  </si>
  <si>
    <t>CA OCTOBER  1837</t>
  </si>
  <si>
    <t xml:space="preserve">JAN DU PLESSIS </t>
  </si>
  <si>
    <t>RAATH</t>
  </si>
  <si>
    <t>ROODEKOPPIES, RUSTENBYRG</t>
  </si>
  <si>
    <t>05/09/1880</t>
  </si>
  <si>
    <t>06/09/1813</t>
  </si>
  <si>
    <t>18/11/1813</t>
  </si>
  <si>
    <t>CA 1834</t>
  </si>
  <si>
    <t>17/12/1815</t>
  </si>
  <si>
    <t>GLEN LYDEN</t>
  </si>
  <si>
    <t>SOUTPANSBERG AREA</t>
  </si>
  <si>
    <t>22/01/1797</t>
  </si>
  <si>
    <t>b1c5d6e1</t>
  </si>
  <si>
    <t>02/03/1800</t>
  </si>
  <si>
    <t>PALINGKLOOF, TARKA</t>
  </si>
  <si>
    <t>PROBABLY WITH JACOBUS CHRISTOFFEL POTGIETER</t>
  </si>
  <si>
    <t>COMMANDODRIFT, CRADOCK</t>
  </si>
  <si>
    <t>24/12/1822</t>
  </si>
  <si>
    <t>23/04/1823</t>
  </si>
  <si>
    <t>MAKAPAANSGROT</t>
  </si>
  <si>
    <t>06/11/1854</t>
  </si>
  <si>
    <t>05/02/1844</t>
  </si>
  <si>
    <t>ELSJE MARIA ALETTA</t>
  </si>
  <si>
    <t>23/12/1824</t>
  </si>
  <si>
    <t>PROBABLY COMMANDODRIFT, TARKA</t>
  </si>
  <si>
    <t>NORTH OF NYLSTROOM</t>
  </si>
  <si>
    <t>01/10/1805</t>
  </si>
  <si>
    <t>22/06/1806</t>
  </si>
  <si>
    <t>GROOTHOEK, UTRECHT</t>
  </si>
  <si>
    <t>04/06/1892</t>
  </si>
  <si>
    <t>06/06/1833</t>
  </si>
  <si>
    <t xml:space="preserve">MAGDALENA SOPHIA JACOMINA </t>
  </si>
  <si>
    <t>a3b1c6d5e4f2</t>
  </si>
  <si>
    <t>05/05/1818</t>
  </si>
  <si>
    <t>01/09/1885</t>
  </si>
  <si>
    <t>PROBABLY ONDER-BOESMANSRIVIER</t>
  </si>
  <si>
    <t>SOMERSET/ CRADOCK</t>
  </si>
  <si>
    <t>02/01/1802</t>
  </si>
  <si>
    <t>MATLABAANSTAD, GRASPAN, BLOEMHOF</t>
  </si>
  <si>
    <t>10/04/1886</t>
  </si>
  <si>
    <t>03/02/1822</t>
  </si>
  <si>
    <t>GEERTRUYDA MARGARETHA</t>
  </si>
  <si>
    <t>MATLABAANSTAD, BLOEMHOF</t>
  </si>
  <si>
    <t>16/08/1891</t>
  </si>
  <si>
    <t xml:space="preserve">MARIA PETRONELLA </t>
  </si>
  <si>
    <t>b2c9d8e7</t>
  </si>
  <si>
    <t>WILDSCHUTSHOEK, TARKA</t>
  </si>
  <si>
    <t>POTCHEFSTROOM OR FURTHER NORTH TOWARDS MAGALIESBERG</t>
  </si>
  <si>
    <t xml:space="preserve">FRANCINA LOUISA </t>
  </si>
  <si>
    <t>CA 1822</t>
  </si>
  <si>
    <t>HONDEFONTEIN</t>
  </si>
  <si>
    <t>27/09/1901</t>
  </si>
  <si>
    <t>11/10/1809</t>
  </si>
  <si>
    <t>WONDERHEUVEL, KROONSTAD</t>
  </si>
  <si>
    <t>01/12/1870</t>
  </si>
  <si>
    <t>12/02/1830</t>
  </si>
  <si>
    <t>JACOBA PETRONELLA</t>
  </si>
  <si>
    <t>HEYNEMANN</t>
  </si>
  <si>
    <t>07/04/1842</t>
  </si>
  <si>
    <t>NATAL THEN KROONSTAD</t>
  </si>
  <si>
    <t>30/07/1845</t>
  </si>
  <si>
    <t>07/03/1862</t>
  </si>
  <si>
    <t>M.M.</t>
  </si>
  <si>
    <t>27/06/1822</t>
  </si>
  <si>
    <t>ROODEKLOOF, RUSTENBURG</t>
  </si>
  <si>
    <t>19/10/1876</t>
  </si>
  <si>
    <t>BETWEEN APRIL 1836 AND BERUARY 1842</t>
  </si>
  <si>
    <t>PROBABLY WITH HIS PARENTS</t>
  </si>
  <si>
    <t>27/11/1798</t>
  </si>
  <si>
    <t>09/12/1798</t>
  </si>
  <si>
    <t>RUST-DER-OUDEN, PRETORIA</t>
  </si>
  <si>
    <t>23/07/1853</t>
  </si>
  <si>
    <t>08/11/1818</t>
  </si>
  <si>
    <t>09/12/1799</t>
  </si>
  <si>
    <t>01/01/1800</t>
  </si>
  <si>
    <t>SEPTEMBER 1848</t>
  </si>
  <si>
    <t>LETSKRAAL, VOOR-SNEEUBERG</t>
  </si>
  <si>
    <t>END OCTOBER 1838</t>
  </si>
  <si>
    <t>09/12/1825</t>
  </si>
  <si>
    <t>15/01/1826</t>
  </si>
  <si>
    <t>RUSTDAL, ESTCOURT</t>
  </si>
  <si>
    <t>17/04/1907</t>
  </si>
  <si>
    <t xml:space="preserve">JOHANNA FREDERIKA </t>
  </si>
  <si>
    <t>25/06/1832</t>
  </si>
  <si>
    <t>STRYDPOORT, WEENEN</t>
  </si>
  <si>
    <t>08/09/1878</t>
  </si>
  <si>
    <t>PROBABLY LETSKRAAL, VOOR-SNEEUBERG</t>
  </si>
  <si>
    <t>A.W.J. PRETORIUS SR.</t>
  </si>
  <si>
    <t>21/04/1879</t>
  </si>
  <si>
    <t>09/04/1800</t>
  </si>
  <si>
    <t>PRETORIUSDAM, FAURESMITH</t>
  </si>
  <si>
    <t>19/02/1878</t>
  </si>
  <si>
    <t>MARIA MAGDALENA CHRISTINA</t>
  </si>
  <si>
    <t>b3c1d3e8f2</t>
  </si>
  <si>
    <t>22/10/1805</t>
  </si>
  <si>
    <t>BEAUFORT (WEST)</t>
  </si>
  <si>
    <t>09/08/1824</t>
  </si>
  <si>
    <t>PROBABLY RIETPOORT, NUWEVELD</t>
  </si>
  <si>
    <t>BEAUFORT THEN COLESBERG</t>
  </si>
  <si>
    <t>BETWEEN END 1838 AND JUNE 1840</t>
  </si>
  <si>
    <t>02/11/1813</t>
  </si>
  <si>
    <t>05/12/1813</t>
  </si>
  <si>
    <t xml:space="preserve">ANNA SUSANNA HELENA </t>
  </si>
  <si>
    <t>MALHERBE</t>
  </si>
  <si>
    <t>29/11/1836</t>
  </si>
  <si>
    <t>DRIEFONTEIN, UITVLUGT</t>
  </si>
  <si>
    <t>BETWEEN APRIL 1837 AND DECEMBER 1839</t>
  </si>
  <si>
    <t>POTCHEFSTROOM (?)</t>
  </si>
  <si>
    <t xml:space="preserve">MARIA JACOBA SOPHIA </t>
  </si>
  <si>
    <t>MARE/MAREE</t>
  </si>
  <si>
    <t>21/10/1823</t>
  </si>
  <si>
    <t>01/12/1823</t>
  </si>
  <si>
    <t>24/05/1904</t>
  </si>
  <si>
    <t>28/07/1845</t>
  </si>
  <si>
    <t xml:space="preserve">JOHANNA CHRSITINA </t>
  </si>
  <si>
    <t>09/05/1829</t>
  </si>
  <si>
    <t>03/11/1883</t>
  </si>
  <si>
    <t xml:space="preserve">A.W.J. PRETORIUS </t>
  </si>
  <si>
    <t>15/01/1887</t>
  </si>
  <si>
    <t>ANNA MARIA BOTES</t>
  </si>
  <si>
    <t>1845/46</t>
  </si>
  <si>
    <t>14/08/1803</t>
  </si>
  <si>
    <t>29/07/1878</t>
  </si>
  <si>
    <t>HENDRINA MAGDALENA ELISABETH</t>
  </si>
  <si>
    <t>ALETTA JOHANNA PETRONELLA</t>
  </si>
  <si>
    <t>b3c7d5e2f1</t>
  </si>
  <si>
    <t>16/01/1821</t>
  </si>
  <si>
    <t>26/01/1899</t>
  </si>
  <si>
    <t>08/09/1894</t>
  </si>
  <si>
    <t>25/07/1840</t>
  </si>
  <si>
    <t>JACOBA STEFINA</t>
  </si>
  <si>
    <t>a1b2c3d2e7f7</t>
  </si>
  <si>
    <t>NATAL THEN STANDERTON</t>
  </si>
  <si>
    <t>13/01/1867</t>
  </si>
  <si>
    <t>13/10/1815</t>
  </si>
  <si>
    <t>CONCENTRATION CAMP, STANDERTON</t>
  </si>
  <si>
    <t>06/11/1901</t>
  </si>
  <si>
    <t>16/10/1809</t>
  </si>
  <si>
    <t>WELVERDIEND, WAKKERSTROOM</t>
  </si>
  <si>
    <t>29/08/1870</t>
  </si>
  <si>
    <t xml:space="preserve">ELISABETH JACOBA </t>
  </si>
  <si>
    <t>b3c1d2e5f6</t>
  </si>
  <si>
    <t>24/02/1814</t>
  </si>
  <si>
    <t>VOOR-SNEEUSBERG</t>
  </si>
  <si>
    <t>PMB THEN WAKKERSTROOM</t>
  </si>
  <si>
    <t>31/08/1821</t>
  </si>
  <si>
    <t>31/07/1822</t>
  </si>
  <si>
    <t>15/04/1889</t>
  </si>
  <si>
    <t xml:space="preserve">GEERTRUIDA SUSANNA STEFANETTA PAULINA </t>
  </si>
  <si>
    <t>SEPTERMBER 1821</t>
  </si>
  <si>
    <t>PARADYS, KROONSTAD</t>
  </si>
  <si>
    <t>20/01/1906</t>
  </si>
  <si>
    <t>31/08/1792</t>
  </si>
  <si>
    <t>14/09/1794</t>
  </si>
  <si>
    <t xml:space="preserve">ANNA MAGRIETHA </t>
  </si>
  <si>
    <t>HIS FATHER M.W. PRETORIUS</t>
  </si>
  <si>
    <t>TRANSORANJE THEN WATERBERG</t>
  </si>
  <si>
    <t>26/08/1796</t>
  </si>
  <si>
    <t>06/05/1824</t>
  </si>
  <si>
    <t xml:space="preserve">ELSJE JOSINA </t>
  </si>
  <si>
    <t>14/08/1806</t>
  </si>
  <si>
    <t>20/02/1869</t>
  </si>
  <si>
    <t>06/06/1825</t>
  </si>
  <si>
    <t xml:space="preserve">CATHARINA ELISABETH JACOBA </t>
  </si>
  <si>
    <t>28/04/1809</t>
  </si>
  <si>
    <t>06/01/1827</t>
  </si>
  <si>
    <t xml:space="preserve">MAGDALENA ANNA </t>
  </si>
  <si>
    <t>GRAAFF-REINET UNTIL CA 1833</t>
  </si>
  <si>
    <t>07/06/1829</t>
  </si>
  <si>
    <t xml:space="preserve">ALETTA SOPHIA </t>
  </si>
  <si>
    <t>b3c1d2e5f4</t>
  </si>
  <si>
    <t>16/09/1810</t>
  </si>
  <si>
    <t>PLAATRIETFONTEIN, MIDDELBURG</t>
  </si>
  <si>
    <t>03/01/1878</t>
  </si>
  <si>
    <t>HERMIENA CHRISTINA</t>
  </si>
  <si>
    <t>TRANSORANJE THEN SUIKERBOSRAND</t>
  </si>
  <si>
    <t>19/04/1820</t>
  </si>
  <si>
    <t>LEEUFONTEIN, POTCHEFSTROOM</t>
  </si>
  <si>
    <t>12/11/1875</t>
  </si>
  <si>
    <t>05/07/1843</t>
  </si>
  <si>
    <t xml:space="preserve">MARIA JOHANNA ALETTA </t>
  </si>
  <si>
    <t>KOEDOESLAAGTE, POTCHEFSTROOM</t>
  </si>
  <si>
    <t>30/08/1902</t>
  </si>
  <si>
    <t>PROBABLY BRANDFONTEIN, WINTERVELD</t>
  </si>
  <si>
    <t>SPITSKOP</t>
  </si>
  <si>
    <t>31/03/1810</t>
  </si>
  <si>
    <t xml:space="preserve">JACOBA ADRIANA </t>
  </si>
  <si>
    <t>a1b1c1d6e2f3</t>
  </si>
  <si>
    <t>NOOITGEDACHT, HERBERT (?)</t>
  </si>
  <si>
    <t>GRAAFF-REINET THEN POSSIBLY COLESBERG</t>
  </si>
  <si>
    <t>BETWEEN END JULY 1837 AND FEBRUARY 1841</t>
  </si>
  <si>
    <t>NATAL THEN JACOBSDAL</t>
  </si>
  <si>
    <t>SLAGFONTEIN, HEIDELBERG</t>
  </si>
  <si>
    <t>10/12/1892</t>
  </si>
  <si>
    <t xml:space="preserve">NEELTJE SOPHIA </t>
  </si>
  <si>
    <t>DASSIEFONTEIN, VOOR-SNEEUBERG, GRAAFF-REINET</t>
  </si>
  <si>
    <t>30/03/1834</t>
  </si>
  <si>
    <t>PROBABLY DASSIEFONTEIN, VOOR-SNEEUBERG</t>
  </si>
  <si>
    <t>POTCHEFSTROOM AND SLANGFONTEIN, HEIDELBERG</t>
  </si>
  <si>
    <t xml:space="preserve">JUDITH PETRONELLA </t>
  </si>
  <si>
    <t>b3c2d5e1f5</t>
  </si>
  <si>
    <t>07/09/1819</t>
  </si>
  <si>
    <t>10/10/1819</t>
  </si>
  <si>
    <t>DOORNFONTEIN, POTCHEFSTROOM</t>
  </si>
  <si>
    <t>10/12/1875</t>
  </si>
  <si>
    <t>03/08/1792</t>
  </si>
  <si>
    <t>27/01/1793</t>
  </si>
  <si>
    <t>16/09/1873</t>
  </si>
  <si>
    <t>07/06/1813</t>
  </si>
  <si>
    <t>b2c3d5</t>
  </si>
  <si>
    <t>ROODEKLOOF,RUSTENBURG</t>
  </si>
  <si>
    <t>22/05/1882</t>
  </si>
  <si>
    <t>ONDER-SEEKOEIRIVER, GRAAFF-REINET (?) OR BRAKRIVIER, SOMERSET</t>
  </si>
  <si>
    <t>02/01/1820</t>
  </si>
  <si>
    <t>25/11/1885</t>
  </si>
  <si>
    <t>11/07/1838</t>
  </si>
  <si>
    <t>b3c1d5e12f2</t>
  </si>
  <si>
    <t>19/07/1821</t>
  </si>
  <si>
    <t>END 1838 (?)</t>
  </si>
  <si>
    <t>RIETVLEI, STANDERTON</t>
  </si>
  <si>
    <t>25/04/1881</t>
  </si>
  <si>
    <t>18/11/1819</t>
  </si>
  <si>
    <t>30/04/1820</t>
  </si>
  <si>
    <t>BIESIEBULT, JACOBSDAL</t>
  </si>
  <si>
    <t>25/01/1872</t>
  </si>
  <si>
    <t xml:space="preserve">MOULTON </t>
  </si>
  <si>
    <t>KLIPFONTEIN</t>
  </si>
  <si>
    <t>13/05/1897</t>
  </si>
  <si>
    <t>PROBABLY OP-SNEEUBERG</t>
  </si>
  <si>
    <t>CA 1840-1844</t>
  </si>
  <si>
    <t>18/08/1800</t>
  </si>
  <si>
    <t>VAN REENEN, HARRISMITH</t>
  </si>
  <si>
    <t>27/06/1865</t>
  </si>
  <si>
    <t>06/05/1821</t>
  </si>
  <si>
    <t>b3c1d1e7</t>
  </si>
  <si>
    <t>PROBAB;Y END 1838</t>
  </si>
  <si>
    <t>POSSIBLY HIS FAMILY</t>
  </si>
  <si>
    <t>a1b5c7d1e4</t>
  </si>
  <si>
    <t>22/08/1803</t>
  </si>
  <si>
    <t>13/05/1804</t>
  </si>
  <si>
    <t>25/09/1889</t>
  </si>
  <si>
    <t>SCHOOMBEE</t>
  </si>
  <si>
    <t>07/05/1807</t>
  </si>
  <si>
    <t>12/07/1807</t>
  </si>
  <si>
    <t>26/08/1844</t>
  </si>
  <si>
    <t>CHRISTINA CATHARINA</t>
  </si>
  <si>
    <t>CA 1823</t>
  </si>
  <si>
    <t>BROESERSTROOM, PRETORIA</t>
  </si>
  <si>
    <t>07/03/1890</t>
  </si>
  <si>
    <t>05/02/1823</t>
  </si>
  <si>
    <t>MODDERFONTEIN, POTCHEFSTROOM</t>
  </si>
  <si>
    <t>05/12/1899</t>
  </si>
  <si>
    <t>MARIA SUSANNA ELIZABETH</t>
  </si>
  <si>
    <t>BEUKES (MIEKA)</t>
  </si>
  <si>
    <t>28/06/1817</t>
  </si>
  <si>
    <t>06/07/1884</t>
  </si>
  <si>
    <t>08/12/1884</t>
  </si>
  <si>
    <t>24/07/1890</t>
  </si>
  <si>
    <t>KALABASFONTEIN, GATSRAND, POTCHEFSTROOM</t>
  </si>
  <si>
    <t>20/12/1817</t>
  </si>
  <si>
    <t>25/01/1818</t>
  </si>
  <si>
    <t>WYK NO 2 WOLMARANSTAD</t>
  </si>
  <si>
    <t>SUSANNA JACOMINA</t>
  </si>
  <si>
    <t>WOLMARANSTAD</t>
  </si>
  <si>
    <t>26/01/1818</t>
  </si>
  <si>
    <t>09/03/1818</t>
  </si>
  <si>
    <t>POTCHEFSTROOM CONCENTRATION CAMP</t>
  </si>
  <si>
    <t>21/06/1901</t>
  </si>
  <si>
    <t>02/02/1822</t>
  </si>
  <si>
    <t>BLESBOKFONTEIN, SCHOONSPRUIT (?)</t>
  </si>
  <si>
    <t>27/06/1895</t>
  </si>
  <si>
    <t>CA 1840-1842</t>
  </si>
  <si>
    <t>POSSIBLY FAMILY TREK</t>
  </si>
  <si>
    <t>BLESBOKFONTEIN, VENTERSDORP</t>
  </si>
  <si>
    <t>26/05/1819</t>
  </si>
  <si>
    <t>17/10/1819</t>
  </si>
  <si>
    <t>POSSIBLY BRAKRIVIER, SOUTPANSBERG</t>
  </si>
  <si>
    <t>PROBABLY BEFORE 06/02/1838</t>
  </si>
  <si>
    <t>30/09/1798</t>
  </si>
  <si>
    <t>15/04/1816</t>
  </si>
  <si>
    <t>01/12/1816</t>
  </si>
  <si>
    <t>18/01/1804</t>
  </si>
  <si>
    <t>BLO(E)MFONTEIN, ZEEURUST</t>
  </si>
  <si>
    <t>23/04/1878</t>
  </si>
  <si>
    <t>MARCH 1814</t>
  </si>
  <si>
    <t>VOOR-SNEEUBERG IN GRAAFF-REINET THEN COLESBERG</t>
  </si>
  <si>
    <t>BETWEEN SEPTEMBER 1840 AND APRIL 1842</t>
  </si>
  <si>
    <t>BLO(E)MFONTEIN</t>
  </si>
  <si>
    <t>07/09/1825</t>
  </si>
  <si>
    <t>12/05/1875</t>
  </si>
  <si>
    <t>13/05/1856</t>
  </si>
  <si>
    <t xml:space="preserve">WILHELMINA CHRISTINA JOHANNA </t>
  </si>
  <si>
    <t>PROBABALY BETWEEN 1834 AND 1836</t>
  </si>
  <si>
    <t>15/11/1783</t>
  </si>
  <si>
    <t>04/07/1784</t>
  </si>
  <si>
    <t>MODDERFONTEIN, WINBURG</t>
  </si>
  <si>
    <t>29/04/1856</t>
  </si>
  <si>
    <t>23/10/1803</t>
  </si>
  <si>
    <t>02/09/1781 BUT 1778 ACCORDING TO DEATH CERTIFICATE</t>
  </si>
  <si>
    <t>HOUSE OF J.G. VERMEULEN</t>
  </si>
  <si>
    <t>31/07/1860</t>
  </si>
  <si>
    <t>BRANDFONTEIN, WINTERVELD</t>
  </si>
  <si>
    <t>03/11/1815</t>
  </si>
  <si>
    <t>VINKFONTEIN, BETHLEHEM</t>
  </si>
  <si>
    <t>16/03/1890</t>
  </si>
  <si>
    <t xml:space="preserve">HESTER JACOBA ALETTA </t>
  </si>
  <si>
    <t>29/08/1888</t>
  </si>
  <si>
    <t>APPRARENTLY BETWEEN MAY 1838 AND FEBRUARY 1839</t>
  </si>
  <si>
    <t>25/02/1889</t>
  </si>
  <si>
    <t>DAMMENBURG, MARICO</t>
  </si>
  <si>
    <t>10/06/1890</t>
  </si>
  <si>
    <t>ELISABETH JOHANNA (OR MARIA ?)</t>
  </si>
  <si>
    <t>VAN VREEDE(N)</t>
  </si>
  <si>
    <t>GRAAFF-REINET THEN COLESBERG</t>
  </si>
  <si>
    <t>BETWEEN MARCH 1840 AND 1841</t>
  </si>
  <si>
    <t>NATAL THEN MARCO</t>
  </si>
  <si>
    <t>07/04/1798</t>
  </si>
  <si>
    <t>KLIPFONTEIN, BLOEMFONTEIN</t>
  </si>
  <si>
    <t>29/05/1860</t>
  </si>
  <si>
    <t xml:space="preserve">HENDRINA SOPHIA </t>
  </si>
  <si>
    <t>PROBABLY ONLY THEIR FAMILY</t>
  </si>
  <si>
    <t>12/06/1831</t>
  </si>
  <si>
    <t>04/02/1807</t>
  </si>
  <si>
    <t>PAARDEKRAAL, KRRONSTAD</t>
  </si>
  <si>
    <t xml:space="preserve">CATHARINA JACOBA </t>
  </si>
  <si>
    <t>23/09/1812</t>
  </si>
  <si>
    <t>PAARDEKRAAL, KROONSTAD</t>
  </si>
  <si>
    <t>20/06/1889</t>
  </si>
  <si>
    <t>BEFORE JANUARY 1840</t>
  </si>
  <si>
    <t>SLAGKRAAL, MIDDELBURG</t>
  </si>
  <si>
    <t>20/10/1875</t>
  </si>
  <si>
    <t xml:space="preserve">ANNA ELISABETH MARGARETHA </t>
  </si>
  <si>
    <t>ROBBERTS (E)</t>
  </si>
  <si>
    <t>b1c7d4e(?)</t>
  </si>
  <si>
    <t>BETWEEN JULY 1836 AND AUGUST 1838</t>
  </si>
  <si>
    <t>03/09/1851</t>
  </si>
  <si>
    <t>15/05/1866</t>
  </si>
  <si>
    <t>22/09/1820</t>
  </si>
  <si>
    <t>18/02/1821</t>
  </si>
  <si>
    <t>DRIEFONREIN, PRETORIA</t>
  </si>
  <si>
    <t>26/12/1887</t>
  </si>
  <si>
    <t xml:space="preserve">JOHANNA MAGDALENA SUSANNA </t>
  </si>
  <si>
    <t>b1c5d1e6f2</t>
  </si>
  <si>
    <t>DRIEFONTEIN, PRETORIA</t>
  </si>
  <si>
    <t>14/06/1889</t>
  </si>
  <si>
    <t>POSSIBLY WINTERVELD</t>
  </si>
  <si>
    <t>POTCHEFSTROOM AND THEN PRETORIA</t>
  </si>
  <si>
    <t>29/11/1820</t>
  </si>
  <si>
    <t>NIETGEDACHT, PRETORIA</t>
  </si>
  <si>
    <t>05/08/1905</t>
  </si>
  <si>
    <t>22/01/1886</t>
  </si>
  <si>
    <t>21/05/1815</t>
  </si>
  <si>
    <t>18/02/1887</t>
  </si>
  <si>
    <t>11/02/1837</t>
  </si>
  <si>
    <t>HESTER ALETTA CORNELIA</t>
  </si>
  <si>
    <t>PALMIETFONTEIN, HEIDELBERG</t>
  </si>
  <si>
    <t>17/12/1887</t>
  </si>
  <si>
    <t>20/05/1897</t>
  </si>
  <si>
    <t>30/05/1836</t>
  </si>
  <si>
    <t>JOHANNA CATHARINA SOPHIA</t>
  </si>
  <si>
    <t>HATKOP, HEILBRON</t>
  </si>
  <si>
    <t>11/09/1855</t>
  </si>
  <si>
    <t>BETWEEN 03/07/1843 AND 06/10/1844</t>
  </si>
  <si>
    <t>BROEDERSTROOM</t>
  </si>
  <si>
    <t>21/07/1874</t>
  </si>
  <si>
    <t>POSSIBLY VOOR-SNEEUBERG</t>
  </si>
  <si>
    <t>NATAL THEN BROEDERSTROOM</t>
  </si>
  <si>
    <t>09/05/1809</t>
  </si>
  <si>
    <t>BETWEEN 2 AND 5 MAY 1838</t>
  </si>
  <si>
    <t>CA SEPTEMBER 1835</t>
  </si>
  <si>
    <t>GERBRECHT ELIZABETH MARIA (BREGGIE)</t>
  </si>
  <si>
    <t>b1c5d5</t>
  </si>
  <si>
    <t>20/10/1810</t>
  </si>
  <si>
    <t>31/03/1811</t>
  </si>
  <si>
    <t>PATROLLIESFONTEIN, MOLTENO, CAPE COLONY</t>
  </si>
  <si>
    <t>21/10/1889</t>
  </si>
  <si>
    <t>FARM BUFFELSFONTEIN AT VAALRIVIER</t>
  </si>
  <si>
    <t>08/06/1861</t>
  </si>
  <si>
    <t>STRYDPOORT, BRAKRIVIER</t>
  </si>
  <si>
    <t>ELIZABETH BEATRIX</t>
  </si>
  <si>
    <t>GRUNDLINGH</t>
  </si>
  <si>
    <t>27/02/1814</t>
  </si>
  <si>
    <t>19/03/1855</t>
  </si>
  <si>
    <t>CHRISTINA GERBRECHT</t>
  </si>
  <si>
    <t>b1c6d6e9</t>
  </si>
  <si>
    <t>TUGELA, WEENEN, NATAL</t>
  </si>
  <si>
    <t>POSSIBLY FEBRUARY 1837</t>
  </si>
  <si>
    <t>03/10/1845</t>
  </si>
  <si>
    <t>b6c2d2e1f2</t>
  </si>
  <si>
    <t>02/07/1829</t>
  </si>
  <si>
    <t>22/05/1855</t>
  </si>
  <si>
    <t>07/07/1817</t>
  </si>
  <si>
    <t>PROBABLY WINTERVELD</t>
  </si>
  <si>
    <t>PIET REIEF (?)</t>
  </si>
  <si>
    <t>01/09/1825</t>
  </si>
  <si>
    <t>KRUGERSDORP</t>
  </si>
  <si>
    <t>23/09/1906</t>
  </si>
  <si>
    <t>b3c1d5e12f7</t>
  </si>
  <si>
    <t>LETSKRAAL, GRAAFF-REINET</t>
  </si>
  <si>
    <t>07/11/1834</t>
  </si>
  <si>
    <t>04/05/1894</t>
  </si>
  <si>
    <t>KRUIS, VOOR-SNEEUBERG</t>
  </si>
  <si>
    <t>16/10/1894</t>
  </si>
  <si>
    <t>MARIA JACOBA TERBLANCHE</t>
  </si>
  <si>
    <t>MODDERRIVIER IN TRANSORANJE</t>
  </si>
  <si>
    <t>30/09/1792</t>
  </si>
  <si>
    <t xml:space="preserve">MARIA CHRISTINA </t>
  </si>
  <si>
    <t>b3c1d3e6</t>
  </si>
  <si>
    <t>29/10/1775</t>
  </si>
  <si>
    <t>CAMPHERSPOORT, SWARTRUGGENS</t>
  </si>
  <si>
    <t>WITH THE OLDEST BROTHER AND HIS FAMILY</t>
  </si>
  <si>
    <t>05/06/1831</t>
  </si>
  <si>
    <t xml:space="preserve">ELIZABETH </t>
  </si>
  <si>
    <t>b3c7d1e3</t>
  </si>
  <si>
    <t>28/10/1777</t>
  </si>
  <si>
    <t>12/10/1838</t>
  </si>
  <si>
    <t>18/04/1811</t>
  </si>
  <si>
    <t>09/06/1811</t>
  </si>
  <si>
    <t>18/02/1894</t>
  </si>
  <si>
    <t>POSSIBLY BEFORE 1834</t>
  </si>
  <si>
    <t>27/07/1822</t>
  </si>
  <si>
    <t>SILKAATSNEK</t>
  </si>
  <si>
    <t>05/01/1864</t>
  </si>
  <si>
    <t>07/01/1834</t>
  </si>
  <si>
    <t xml:space="preserve">DEBORA JACOBA </t>
  </si>
  <si>
    <t>WELGEGUND, PRETORIA</t>
  </si>
  <si>
    <t>18/06/1900</t>
  </si>
  <si>
    <t>PROBABLY WITH HIS FATHER H.P.N. PRETORIUS</t>
  </si>
  <si>
    <t xml:space="preserve">HILLETJE (HEILTJE/NEELTJE/ HEYLA) MAGDALENA </t>
  </si>
  <si>
    <t>b4c4d1e1</t>
  </si>
  <si>
    <t>31/05/1810</t>
  </si>
  <si>
    <t>ELANSKLOOF, GRAAFF-REINET</t>
  </si>
  <si>
    <t>02/09/1810</t>
  </si>
  <si>
    <t>ELANDSKLOOF, WINBURG</t>
  </si>
  <si>
    <t>14/07/1879</t>
  </si>
  <si>
    <t>GRAAFF-REINET POSSIBLY THEN BRAKRIVIER IN SOMERSET</t>
  </si>
  <si>
    <t>PROBABLY END OCTOBER 1838</t>
  </si>
  <si>
    <t>17/09/1819</t>
  </si>
  <si>
    <t>19/05/1901</t>
  </si>
  <si>
    <t>19/12/1841</t>
  </si>
  <si>
    <t>a1b2c3d2e7f5</t>
  </si>
  <si>
    <t>30/07/1818</t>
  </si>
  <si>
    <t>10/12/1881</t>
  </si>
  <si>
    <t>16/01/1888</t>
  </si>
  <si>
    <t>02/10/1889</t>
  </si>
  <si>
    <t>HARTOGH</t>
  </si>
  <si>
    <t>08/02/1788</t>
  </si>
  <si>
    <t>16/12/1866</t>
  </si>
  <si>
    <t>01/01/1809</t>
  </si>
  <si>
    <t xml:space="preserve">WILHELMINA CHRISTINA </t>
  </si>
  <si>
    <t>09/09/1792</t>
  </si>
  <si>
    <t>21/07/1888</t>
  </si>
  <si>
    <t>A.W.J. PRETORIUS (?)</t>
  </si>
  <si>
    <t>07/02/1835</t>
  </si>
  <si>
    <t xml:space="preserve">HENDRINA JOHANNA JACOBA PETRONELLA </t>
  </si>
  <si>
    <t>PROBABLY SCHRAMFONTEIN, WINTERVEL</t>
  </si>
  <si>
    <t>POSSIBLY END SEPTEMBER 1836 OR FEBRUARY 1837</t>
  </si>
  <si>
    <t>POSSIBLY GERT MARTITZ OR PIET RETIEF</t>
  </si>
  <si>
    <t>14/06/1786</t>
  </si>
  <si>
    <t>MAGDALENA GERBRECHT</t>
  </si>
  <si>
    <t>b3c1d5e9</t>
  </si>
  <si>
    <t>12/10/1791</t>
  </si>
  <si>
    <t>BEFORE 1834</t>
  </si>
  <si>
    <t>POSSIBLY ANDRIES W.J. PRETORIUS</t>
  </si>
  <si>
    <t>03/08/1813</t>
  </si>
  <si>
    <t>GOEDVERWACHT, HEIDELBERG</t>
  </si>
  <si>
    <t>25/05/1897</t>
  </si>
  <si>
    <t xml:space="preserve">HILLETJE MAGDALENA ELISABETH CATHARINA </t>
  </si>
  <si>
    <t>02/10/1816</t>
  </si>
  <si>
    <t>RACECOURSE CONCENTRATION CAMP, ROSETTENVILLE</t>
  </si>
  <si>
    <t>16/08/1901</t>
  </si>
  <si>
    <t>PROBABLY VOOR-SNEEUBERG</t>
  </si>
  <si>
    <t>POSSIBLY END OCTOBER 1838</t>
  </si>
  <si>
    <t>09/11/1822</t>
  </si>
  <si>
    <t>23/02/1823</t>
  </si>
  <si>
    <t>11/11/1893</t>
  </si>
  <si>
    <t>05/02/1848</t>
  </si>
  <si>
    <t>12/08/1893</t>
  </si>
  <si>
    <t>POSSIBLY ONLY FAMILY TREK</t>
  </si>
  <si>
    <t>15/11/1772</t>
  </si>
  <si>
    <t>PETRUSBERG, KROONSTAD</t>
  </si>
  <si>
    <t>20/05/1860</t>
  </si>
  <si>
    <t>19/04/1801</t>
  </si>
  <si>
    <t xml:space="preserve">SOPHIA JOACHIMINA </t>
  </si>
  <si>
    <t>BOKKEVELD</t>
  </si>
  <si>
    <t>29/09/1786</t>
  </si>
  <si>
    <t>DOORNKOP, KROONSTAD</t>
  </si>
  <si>
    <t>11/05/1863</t>
  </si>
  <si>
    <t>NATAL THEN PETRUSBERG, KROONSTAD</t>
  </si>
  <si>
    <t>19/12/1823</t>
  </si>
  <si>
    <t>23/02/1824</t>
  </si>
  <si>
    <t>DOORNKOP, VREDE</t>
  </si>
  <si>
    <t>15/09/1895</t>
  </si>
  <si>
    <t>PROBABLY KRUIS, VOOR-SNEEUBERG</t>
  </si>
  <si>
    <t>11/12/1807</t>
  </si>
  <si>
    <t>CORNELISRIVIER, HARRISMITH</t>
  </si>
  <si>
    <t>21/09/1874</t>
  </si>
  <si>
    <t xml:space="preserve">SUSANNA MARIA JOHANNA </t>
  </si>
  <si>
    <t>b2c4d6</t>
  </si>
  <si>
    <t>23/04/1809</t>
  </si>
  <si>
    <t>DOORNKOP</t>
  </si>
  <si>
    <t>14/05/1862</t>
  </si>
  <si>
    <t>02/04/1864</t>
  </si>
  <si>
    <t>MARTHA JOHANNA PETRONELLA</t>
  </si>
  <si>
    <t>KLIPRIVIER, RUSTENBURG</t>
  </si>
  <si>
    <t>02/04/1874</t>
  </si>
  <si>
    <t>SUURVELD (ALBANY)</t>
  </si>
  <si>
    <t>18/03/1813</t>
  </si>
  <si>
    <t>19/05/1814</t>
  </si>
  <si>
    <t>WATERVAL, MARABASTAD, SOUTPANSBERG</t>
  </si>
  <si>
    <t>23/10/1836</t>
  </si>
  <si>
    <t>GESINA CATHARINA</t>
  </si>
  <si>
    <t>b3c1d3e8f9</t>
  </si>
  <si>
    <t>ROODEWAL, SOUTPANSBERG</t>
  </si>
  <si>
    <t>28/09/1892</t>
  </si>
  <si>
    <t>PROBABLY NUWEVELD</t>
  </si>
  <si>
    <t>POSSIBLY P.D. JACOBS</t>
  </si>
  <si>
    <t>27/05/1806</t>
  </si>
  <si>
    <t>28/09/1883</t>
  </si>
  <si>
    <t xml:space="preserve">ANNA CATHARINA PHILIPPINA </t>
  </si>
  <si>
    <t>10/07/1810</t>
  </si>
  <si>
    <t>12/08/1882</t>
  </si>
  <si>
    <t>03/04/1883</t>
  </si>
  <si>
    <t>KOLONIESPLAAS, VOORSNEEUBERG, GRAAFF-REINET</t>
  </si>
  <si>
    <t>13/09/1812</t>
  </si>
  <si>
    <t>ELANDSFONTEIN, POTCHEFSTROOM</t>
  </si>
  <si>
    <t>02/04/1883</t>
  </si>
  <si>
    <t xml:space="preserve">JACOBA JOSEPHA WILHELMINA </t>
  </si>
  <si>
    <t>HOCKL(E)Y</t>
  </si>
  <si>
    <t>05/02/1836</t>
  </si>
  <si>
    <t>KOLONIESPLAAS, VOORSNEEUBERG</t>
  </si>
  <si>
    <t>APPARENTLY AS A FAMILY</t>
  </si>
  <si>
    <t>13/11/1836</t>
  </si>
  <si>
    <t>b3c1d2e4f8</t>
  </si>
  <si>
    <t>LOSBERG, POTCHEFSTROOM</t>
  </si>
  <si>
    <t>07/03/1892</t>
  </si>
  <si>
    <t>GELUKSKRAAL, HOOPSTAD</t>
  </si>
  <si>
    <t>14/01/1911</t>
  </si>
  <si>
    <t>30/11/1848</t>
  </si>
  <si>
    <t>MACHTEL JOHANNA PETRONELLA</t>
  </si>
  <si>
    <t>09/07/1883</t>
  </si>
  <si>
    <t>18/11/1883</t>
  </si>
  <si>
    <t>MARCH 1856</t>
  </si>
  <si>
    <t>22/11/1923</t>
  </si>
  <si>
    <t>08/01/1786</t>
  </si>
  <si>
    <t xml:space="preserve">PETRONELLA CHRISTINA </t>
  </si>
  <si>
    <t>22/04/1787</t>
  </si>
  <si>
    <t>SOMERSET (AREA CRADOCK)</t>
  </si>
  <si>
    <t xml:space="preserve">ANNA ADRIANA </t>
  </si>
  <si>
    <t>09/02/1815</t>
  </si>
  <si>
    <t>ROODEKOPJES, RUSTENBURG</t>
  </si>
  <si>
    <t>20/08/1894</t>
  </si>
  <si>
    <t>06/11/1836</t>
  </si>
  <si>
    <t>HELENA BERNDINA NORBERTA</t>
  </si>
  <si>
    <t>20/04/1822</t>
  </si>
  <si>
    <t>PROBABLY SOMERSET</t>
  </si>
  <si>
    <t>TRANSORANJE THEN LYDENBURG THEN PRETORIA THEN RUSTENBURG</t>
  </si>
  <si>
    <t>25/05/1821</t>
  </si>
  <si>
    <t>12/08/1821</t>
  </si>
  <si>
    <t>RIETPOORT, WATERBERG</t>
  </si>
  <si>
    <t>25/06/1920</t>
  </si>
  <si>
    <t>03/07/1843</t>
  </si>
  <si>
    <t>GERTRUIDA MAGDALENA N</t>
  </si>
  <si>
    <t>NYLSTROOM- CONCENTRATION CAMP</t>
  </si>
  <si>
    <t>BEFORE 1843</t>
  </si>
  <si>
    <t>17/10/1808</t>
  </si>
  <si>
    <t>21/12/1808</t>
  </si>
  <si>
    <t>CHURCH STREET, PMB</t>
  </si>
  <si>
    <t>11/03/1866</t>
  </si>
  <si>
    <t>04/04/1889</t>
  </si>
  <si>
    <t>07/04/1828</t>
  </si>
  <si>
    <t>b6c7d2e1</t>
  </si>
  <si>
    <t>18/03/1812</t>
  </si>
  <si>
    <t>31/05/1812</t>
  </si>
  <si>
    <t>03/08/1882</t>
  </si>
  <si>
    <t>PMB THEN HARRISMITH THEN PMB AGAIN</t>
  </si>
  <si>
    <t>30/12/1882</t>
  </si>
  <si>
    <t xml:space="preserve">HEYLA MAGDALENA </t>
  </si>
  <si>
    <t>b1c10d6e10</t>
  </si>
  <si>
    <t>25/12/1825</t>
  </si>
  <si>
    <t>28/08/1894</t>
  </si>
  <si>
    <t>09/02/1819</t>
  </si>
  <si>
    <t>09/05/1819</t>
  </si>
  <si>
    <t>KAFFERSKRAAL, HEIDELBERG, TRANSVAAL</t>
  </si>
  <si>
    <t>25/05/1891</t>
  </si>
  <si>
    <t xml:space="preserve">ELSJE JOHANNA SUSARA CATHARINA </t>
  </si>
  <si>
    <t>STOLTZ</t>
  </si>
  <si>
    <t>01/06/1824</t>
  </si>
  <si>
    <t>RIETFONTEIN, KLIPRIVIER,HEIDELBERG</t>
  </si>
  <si>
    <t>29/11/1882</t>
  </si>
  <si>
    <t>PROBABALY OP-SNEEUBERG</t>
  </si>
  <si>
    <t>CA 1840-42</t>
  </si>
  <si>
    <t>10/09/1883</t>
  </si>
  <si>
    <t>15/02/1804</t>
  </si>
  <si>
    <t>WATERVAL, BLOEMFONTEIN</t>
  </si>
  <si>
    <t>24/06/1879</t>
  </si>
  <si>
    <t xml:space="preserve">FRANCINA JACOBA </t>
  </si>
  <si>
    <t>10/07/1808</t>
  </si>
  <si>
    <t>15/07/1890</t>
  </si>
  <si>
    <t>AGTER-SNEEUBERG, SWARTRUGGENS &amp; CAMDEBOO</t>
  </si>
  <si>
    <t>POSSIBLY BETWEEN JULY 1836 AND SEPTEMBER 1838</t>
  </si>
  <si>
    <t>VOOR-SNEEUBERG, GRAAFF-REINET</t>
  </si>
  <si>
    <t>28/04/1802</t>
  </si>
  <si>
    <t>09/10/1802</t>
  </si>
  <si>
    <t>03/06/1821</t>
  </si>
  <si>
    <t xml:space="preserve">JACOBA JOHANNA </t>
  </si>
  <si>
    <t>a2b6c1</t>
  </si>
  <si>
    <t>WINBURG THEN SCHAAPSKRAAL, HARRISMITH</t>
  </si>
  <si>
    <t>27/05/1805</t>
  </si>
  <si>
    <t>PIETERSBERG, WINBURG</t>
  </si>
  <si>
    <t>29/10/1858</t>
  </si>
  <si>
    <t>17/01/1859</t>
  </si>
  <si>
    <t>ZWAWELKRANS, GRAAFF-REINET 25/05/1828</t>
  </si>
  <si>
    <t>24/10/1828</t>
  </si>
  <si>
    <t>12/09/1807</t>
  </si>
  <si>
    <t>01/11/1807</t>
  </si>
  <si>
    <t>BOSFONTEIN, RUSTENBURG</t>
  </si>
  <si>
    <t>11/11/1807</t>
  </si>
  <si>
    <t>06/01/1829</t>
  </si>
  <si>
    <t>HUIBRECHT SUSANNA CORNELIA</t>
  </si>
  <si>
    <t>b3c1d3e8f4</t>
  </si>
  <si>
    <t>29/04/1809</t>
  </si>
  <si>
    <t>03/07/1809</t>
  </si>
  <si>
    <t>BOSFONTEIN, HOOGEVELD, RUSTENBURG</t>
  </si>
  <si>
    <t>07/07/1890</t>
  </si>
  <si>
    <t>WELTEVREDE, WAKKERSTROOM</t>
  </si>
  <si>
    <t>22/09/1880</t>
  </si>
  <si>
    <t xml:space="preserve">SUSANNA FRANCINA JOHANNA </t>
  </si>
  <si>
    <t>28/06/1796</t>
  </si>
  <si>
    <t>POTCHEFSTROOM THEN WAKKERSTROOM</t>
  </si>
  <si>
    <t>14/09/1808</t>
  </si>
  <si>
    <t>KAREEFONTEIN,NYLSTROOM</t>
  </si>
  <si>
    <t>03/04/1870</t>
  </si>
  <si>
    <t>BETWEEN END 1836 AND CA JUNE 1840</t>
  </si>
  <si>
    <t>NATAL THEN KAREEFONTEIN, NYLSTROOM</t>
  </si>
  <si>
    <t>17/09/1883</t>
  </si>
  <si>
    <t>12/03/1901</t>
  </si>
  <si>
    <t>KLIPPAATHOEK, BAVIAANSRIVIER</t>
  </si>
  <si>
    <t>PROBABALY BETWEEN 20/06/1837 AND 01/03/1838</t>
  </si>
  <si>
    <t>POSSIBLY WITH ONE OF :L.J.MEYER, L.J.NEL  OR P.A. OPPERMAN</t>
  </si>
  <si>
    <t>24/04/1791</t>
  </si>
  <si>
    <t>OOS-RIETREVIER</t>
  </si>
  <si>
    <t>BETWEEN 24/05/1836 AND  20/06/1837</t>
  </si>
  <si>
    <t>JULY 1794</t>
  </si>
  <si>
    <t>22/03/1795</t>
  </si>
  <si>
    <t>BOEKENHOUTSKLOOF, MAGALIESBERG</t>
  </si>
  <si>
    <t>05/05/1863</t>
  </si>
  <si>
    <t xml:space="preserve">MARIA (SIBELLA) ALETTA </t>
  </si>
  <si>
    <t>b3c1d2e8</t>
  </si>
  <si>
    <t>11/03/1798</t>
  </si>
  <si>
    <t>BOEKENHOUTSKLOOF</t>
  </si>
  <si>
    <t>16/05/1863</t>
  </si>
  <si>
    <t>CA END MARCH 1838 BUT NO PROOF THAT THEY MOVED</t>
  </si>
  <si>
    <t>31/07/1903</t>
  </si>
  <si>
    <t xml:space="preserve">ELISABETH JOHANNA CHRISTINA </t>
  </si>
  <si>
    <t>CA 1827</t>
  </si>
  <si>
    <t>VALSRIVIER, KROONSTAD</t>
  </si>
  <si>
    <t>30/01/1860</t>
  </si>
  <si>
    <t>BAVIAANARIVIER</t>
  </si>
  <si>
    <t xml:space="preserve">ANNA </t>
  </si>
  <si>
    <t>RENOSTERRIVIER, KROONSTAD</t>
  </si>
  <si>
    <t>22/05/1868</t>
  </si>
  <si>
    <t xml:space="preserve">CATHARINA HELENA </t>
  </si>
  <si>
    <t>19/05/1821</t>
  </si>
  <si>
    <t>22/03/1888</t>
  </si>
  <si>
    <t>WILDEBEESTFONTEIN,  IDDELBURG, TRANSVAAL (?)</t>
  </si>
  <si>
    <t>WILDEBEESTFONTEIN, MIDDELBURG, CAPE</t>
  </si>
  <si>
    <t>b5c1d4</t>
  </si>
  <si>
    <t>PROBABLY OOS-RIETRIVIER</t>
  </si>
  <si>
    <t>BIESIEPAN</t>
  </si>
  <si>
    <t>16/03/`879</t>
  </si>
  <si>
    <t>17/08/1852</t>
  </si>
  <si>
    <t>20/11/1853</t>
  </si>
  <si>
    <t xml:space="preserve">MARGARETHA SUSANNA </t>
  </si>
  <si>
    <t>VAN DEN VYVER</t>
  </si>
  <si>
    <t>DOORNDRAAI (?), OOS-RIETRIVIER, KAGARIVIER</t>
  </si>
  <si>
    <t>BETWEEN 24/05/1836 AND 20/06/1837</t>
  </si>
  <si>
    <t>RACHEL GESINA PHILIPPINA</t>
  </si>
  <si>
    <t>19/05/1813</t>
  </si>
  <si>
    <t>KRANSDRIFT, KROONSTAD</t>
  </si>
  <si>
    <t>06/12/1883</t>
  </si>
  <si>
    <t>WILHELMINA CATHARINA CHRISTOFFELINA</t>
  </si>
  <si>
    <t>b4c3d2e5</t>
  </si>
  <si>
    <t>01/10/1815</t>
  </si>
  <si>
    <t>11/03/1838</t>
  </si>
  <si>
    <t>b9c4d7</t>
  </si>
  <si>
    <t>21/10/1822</t>
  </si>
  <si>
    <t>POSSIBLY BAVIAANSRIVIER</t>
  </si>
  <si>
    <t>18/09/1818</t>
  </si>
  <si>
    <t xml:space="preserve">MARIA ISABELLA </t>
  </si>
  <si>
    <t>b2c3d1e1f2g1</t>
  </si>
  <si>
    <t>CA END APRIL 1838</t>
  </si>
  <si>
    <t>25/12/1788</t>
  </si>
  <si>
    <t>15/10/1809</t>
  </si>
  <si>
    <t>MARIA GESINA</t>
  </si>
  <si>
    <t>16/03/1790</t>
  </si>
  <si>
    <t>07/10/1859</t>
  </si>
  <si>
    <t>POSSIBLY AUGUST 1836</t>
  </si>
  <si>
    <t>H.P. MALAN (?)</t>
  </si>
  <si>
    <t>ELSJE JACOBA</t>
  </si>
  <si>
    <t>b2c10d4e5f4</t>
  </si>
  <si>
    <t>BETWEEN JUNE 1837 AND MAY 1841</t>
  </si>
  <si>
    <t>14/03/1819</t>
  </si>
  <si>
    <t>b5c7d1e10</t>
  </si>
  <si>
    <t>17/09/1817</t>
  </si>
  <si>
    <t>22/03/1818</t>
  </si>
  <si>
    <t xml:space="preserve">ISABELLA </t>
  </si>
  <si>
    <t>b4c2d2e7f4</t>
  </si>
  <si>
    <t>24/12/1835</t>
  </si>
  <si>
    <t xml:space="preserve">VAN STADEN </t>
  </si>
  <si>
    <t>BETWEEN JULY 1838 AND AUGUST 1839</t>
  </si>
  <si>
    <t>TRANSORANJE AND NATAL</t>
  </si>
  <si>
    <t>22/07/1838</t>
  </si>
  <si>
    <t>KLASINA SUSANNA ALETTA</t>
  </si>
  <si>
    <t xml:space="preserve">VILJOEN </t>
  </si>
  <si>
    <t>b4c2d2e7f6</t>
  </si>
  <si>
    <t>18/06/1822</t>
  </si>
  <si>
    <t>14/12/1822</t>
  </si>
  <si>
    <t>18/05/1862</t>
  </si>
  <si>
    <t>07/05/1817</t>
  </si>
  <si>
    <t xml:space="preserve">ANNA DANIELLINA ELISABETH </t>
  </si>
  <si>
    <t>b2c6d2e1f6</t>
  </si>
  <si>
    <t>17/06/1821</t>
  </si>
  <si>
    <t>POSSIBLY UITENHAGE</t>
  </si>
  <si>
    <t>JACOBA JOHANNA MAGDALENA</t>
  </si>
  <si>
    <t>CA 1832</t>
  </si>
  <si>
    <t>KAFFERSDRIFT, BOESMANSRIVIER, NATAL</t>
  </si>
  <si>
    <t>SEPTEMBER 1810</t>
  </si>
  <si>
    <t>NOVEMBER 1859</t>
  </si>
  <si>
    <t>POSSIBLY END 1837</t>
  </si>
  <si>
    <t>17/01/1815</t>
  </si>
  <si>
    <t>15/03/1836</t>
  </si>
  <si>
    <t xml:space="preserve">HEILTJE LEVINIA MAGDALENA </t>
  </si>
  <si>
    <t>b4c3d3e4</t>
  </si>
  <si>
    <t>17/05/1840</t>
  </si>
  <si>
    <t xml:space="preserve">MARTHA  LOUISA </t>
  </si>
  <si>
    <t>b5c4d1</t>
  </si>
  <si>
    <t>16/02/1823</t>
  </si>
  <si>
    <t xml:space="preserve">ELISABETH LORETTA </t>
  </si>
  <si>
    <t>RIECKERT</t>
  </si>
  <si>
    <t>30/02/1803</t>
  </si>
  <si>
    <t xml:space="preserve">BLOUKRANSRIVIER, NATAL </t>
  </si>
  <si>
    <t>17/04/1788</t>
  </si>
  <si>
    <t xml:space="preserve">HESTER GEERTRUIDA </t>
  </si>
  <si>
    <t>08/12/1877</t>
  </si>
  <si>
    <t>ANNA MARIA CATHARINA LEVINA</t>
  </si>
  <si>
    <t>b4c3d2e8</t>
  </si>
  <si>
    <t>11/04/1820</t>
  </si>
  <si>
    <t>RIETVLEI, LANGKLOOF, GEORGE</t>
  </si>
  <si>
    <t>18/07/1812</t>
  </si>
  <si>
    <t>VAALBOSCHBULT, PRETORIA</t>
  </si>
  <si>
    <t>07/08/1893</t>
  </si>
  <si>
    <t>ELIZABETH CATHARINA PETRONELLA</t>
  </si>
  <si>
    <t>POSSIBLY LANGKLOOF</t>
  </si>
  <si>
    <t>GEORGE (TODAY UNIONDALE)</t>
  </si>
  <si>
    <t>17/10/1863</t>
  </si>
  <si>
    <t>08/04/1781</t>
  </si>
  <si>
    <t>OOSR-RIETRIVIER THEN TWEEFONTEIN, BAVIAANSRIVIER</t>
  </si>
  <si>
    <t>ON THE LIST 20/06/1837</t>
  </si>
  <si>
    <t>POSSIBLY LOUIS NEL OR P.A. OPPERMAN</t>
  </si>
  <si>
    <t>23/08/1810</t>
  </si>
  <si>
    <t>a6b1c7</t>
  </si>
  <si>
    <t>7/3/1802</t>
  </si>
  <si>
    <t>9/2/1832</t>
  </si>
  <si>
    <t>ELIZABETH MARIA</t>
  </si>
  <si>
    <t>b10c3d5</t>
  </si>
  <si>
    <t>GRAAF-REINET</t>
  </si>
  <si>
    <t>JAN THOMAS</t>
  </si>
  <si>
    <t>a6b1c6</t>
  </si>
  <si>
    <t>28/9/1800</t>
  </si>
  <si>
    <t>20/2/1877</t>
  </si>
  <si>
    <t>7/7/1823</t>
  </si>
  <si>
    <t>ANNA MARIA ISABELLA</t>
  </si>
  <si>
    <t>b7c7d1e9</t>
  </si>
  <si>
    <t>11/9/1808</t>
  </si>
  <si>
    <t>20/11/1879</t>
  </si>
  <si>
    <t>BETWEEN MAY 1838 AND APRIL 1841</t>
  </si>
  <si>
    <t>DANIËL</t>
  </si>
  <si>
    <t>b6c9d9</t>
  </si>
  <si>
    <t>NOORDHOEK, CAPE DISTRICT</t>
  </si>
  <si>
    <t>13/6/1799</t>
  </si>
  <si>
    <t>15/9/1799</t>
  </si>
  <si>
    <t>BRANDBACH,CULLINAN</t>
  </si>
  <si>
    <t>5/12/1828</t>
  </si>
  <si>
    <t>17/8/1828</t>
  </si>
  <si>
    <t>MAGARETHA JOHANNA SUSANNA</t>
  </si>
  <si>
    <t>8/4/1808</t>
  </si>
  <si>
    <t>28/8/1889</t>
  </si>
  <si>
    <t>EARLY 1839</t>
  </si>
  <si>
    <t>DANIËL JACOBUS JOHANNES (JACOBUS SEUN)</t>
  </si>
  <si>
    <t>b6c5d7e4</t>
  </si>
  <si>
    <t>23/11/1821</t>
  </si>
  <si>
    <t>5/5/1845</t>
  </si>
  <si>
    <t>CATHARINA JOHANNA</t>
  </si>
  <si>
    <t>b8c7d4e9</t>
  </si>
  <si>
    <t>31/10/1828</t>
  </si>
  <si>
    <t>MALAANGSKRAAL,OOS-RIETRIVIER</t>
  </si>
  <si>
    <t>AROUND AUGUST 1836</t>
  </si>
  <si>
    <t>H.P.MALAN</t>
  </si>
  <si>
    <t>DAVID DANIËL</t>
  </si>
  <si>
    <t>b6c5d9e1</t>
  </si>
  <si>
    <t>20/3/1816</t>
  </si>
  <si>
    <t>ANNA CORNELIA</t>
  </si>
  <si>
    <t>11/8/1822</t>
  </si>
  <si>
    <t>DAVID EDUARD (JACOUS SEUN)</t>
  </si>
  <si>
    <t>b6c5d7e2</t>
  </si>
  <si>
    <t>20/2/1816</t>
  </si>
  <si>
    <t>ITALENI,NATAL</t>
  </si>
  <si>
    <t>11/4/1838</t>
  </si>
  <si>
    <t>HERCULES PHILIPPUS</t>
  </si>
  <si>
    <t>b6c5d9</t>
  </si>
  <si>
    <t>LEADER OF HIS OWN TREK</t>
  </si>
  <si>
    <t>HERCULES PHILIPPUS JR</t>
  </si>
  <si>
    <t>b6c5d9e3</t>
  </si>
  <si>
    <t>12/11/1821</t>
  </si>
  <si>
    <t>20/3/1842</t>
  </si>
  <si>
    <t>JACOB JACOBUS (H.P. SEUN)</t>
  </si>
  <si>
    <t>b6c5d9e4</t>
  </si>
  <si>
    <t>16/1/1820</t>
  </si>
  <si>
    <t>2019/01/1917</t>
  </si>
  <si>
    <t>2/11/1839</t>
  </si>
  <si>
    <t>b1c2d4e3</t>
  </si>
  <si>
    <t>JACOBUS SR</t>
  </si>
  <si>
    <t>7/10/1787</t>
  </si>
  <si>
    <t>MARIA MARGERAETHA</t>
  </si>
  <si>
    <t>b2c3d5e8</t>
  </si>
  <si>
    <t>16/12/1794</t>
  </si>
  <si>
    <t>7/3/1830</t>
  </si>
  <si>
    <t>JOHANNES AUGUSTINUS(H.P. SEUN)</t>
  </si>
  <si>
    <t>b6c5d9e2</t>
  </si>
  <si>
    <t>14/6/1817</t>
  </si>
  <si>
    <t>J.S.(JOHANNES STEPHANUS)</t>
  </si>
  <si>
    <t>b6c4d1e3(?)</t>
  </si>
  <si>
    <t>23/2/1794</t>
  </si>
  <si>
    <t>SUSANNA DOROTHEA</t>
  </si>
  <si>
    <t>STEMMET</t>
  </si>
  <si>
    <t>ABRAHAM PETRUS</t>
  </si>
  <si>
    <t>a1b2c11d3e1f5</t>
  </si>
  <si>
    <t>13/11/1814</t>
  </si>
  <si>
    <t>14/10/1832</t>
  </si>
  <si>
    <t>10/5/1902</t>
  </si>
  <si>
    <t>VOOR-KOGMANSKLOOF,HOOPSRIVIER</t>
  </si>
  <si>
    <t>BY 11/7/1825 (?)</t>
  </si>
  <si>
    <t>BAREND GABRIËL</t>
  </si>
  <si>
    <t>a1b2c4d1e1f3g5</t>
  </si>
  <si>
    <t>17/3/1825</t>
  </si>
  <si>
    <t>4/7/1825</t>
  </si>
  <si>
    <t>KLIPRIVIVIER,NATAL</t>
  </si>
  <si>
    <t>28/8/1897</t>
  </si>
  <si>
    <t>4/5/1847</t>
  </si>
  <si>
    <t>b1c2d9</t>
  </si>
  <si>
    <t>24/1/1826</t>
  </si>
  <si>
    <t>JAMMERSFONTEIN,ONDER-BOESMANSRIVIER</t>
  </si>
  <si>
    <t>AROUND NOVEMBER 1836</t>
  </si>
  <si>
    <t>PROBABLY JOHANNES STEPHANUS MARITZ</t>
  </si>
  <si>
    <t>CHARL (SAREL) JOHANNES</t>
  </si>
  <si>
    <t>a2b7c3</t>
  </si>
  <si>
    <t>29/4/1817</t>
  </si>
  <si>
    <t>30/3/1834</t>
  </si>
  <si>
    <t>HERMINA CHRISTINA MARIA ISABELLA</t>
  </si>
  <si>
    <t>16/5/1817</t>
  </si>
  <si>
    <t>P.D. JACOBS,C.J. MARAIS AND GERHARDUS PETRUS</t>
  </si>
  <si>
    <t>DANIËL PETRUS</t>
  </si>
  <si>
    <t>a1b2c2d1e4f2</t>
  </si>
  <si>
    <t>31/1/1791</t>
  </si>
  <si>
    <t>ONDER-BOESMANRIVIER</t>
  </si>
  <si>
    <t>DAVID JACOBUS</t>
  </si>
  <si>
    <t>b2c2d6e5f2</t>
  </si>
  <si>
    <t>7/5/1820</t>
  </si>
  <si>
    <t>12/2/1826</t>
  </si>
  <si>
    <t>7/9/1806</t>
  </si>
  <si>
    <t>RIETGAT,WINBURG</t>
  </si>
  <si>
    <t>1878/1879</t>
  </si>
  <si>
    <t>a2b7</t>
  </si>
  <si>
    <t>1/9/1779</t>
  </si>
  <si>
    <t>11/6/1780</t>
  </si>
  <si>
    <t>12/1/1800</t>
  </si>
  <si>
    <t>MARIA ADRIANA</t>
  </si>
  <si>
    <t>13/6/1780</t>
  </si>
  <si>
    <t>P.D. JACOBS AND G.P. MARAIS</t>
  </si>
  <si>
    <t>JAN GABRIËL</t>
  </si>
  <si>
    <t>a2b7c4</t>
  </si>
  <si>
    <t>8/2/1817</t>
  </si>
  <si>
    <t>7/4/1817</t>
  </si>
  <si>
    <t>DIEPKLOOF,HELDEBERG</t>
  </si>
  <si>
    <t>2/3/1900</t>
  </si>
  <si>
    <t>11/3/1838</t>
  </si>
  <si>
    <t>CORNELIA JACOBA</t>
  </si>
  <si>
    <t>APRIL/MAY 1839</t>
  </si>
  <si>
    <t>b2c4d1e3f3g1</t>
  </si>
  <si>
    <t>21/9/1816</t>
  </si>
  <si>
    <t>ANNA MARGERETHA ALETTA</t>
  </si>
  <si>
    <t>a3c1c6d8e2f1</t>
  </si>
  <si>
    <t>24/10/1873</t>
  </si>
  <si>
    <t>MARIA PETRONELLA (WEDUWEE JESIAS ESTERHUIZEN)</t>
  </si>
  <si>
    <t>20/6/1773</t>
  </si>
  <si>
    <t>12/7/1795</t>
  </si>
  <si>
    <t>JESIAS</t>
  </si>
  <si>
    <t xml:space="preserve"> ESTERHUIZEN</t>
  </si>
  <si>
    <t>MIDDLE OF 1838(?)</t>
  </si>
  <si>
    <t>MATTHYS HENDRIK</t>
  </si>
  <si>
    <t>b2c4d1e3f3</t>
  </si>
  <si>
    <t>5/10/1790</t>
  </si>
  <si>
    <t>15/51791</t>
  </si>
  <si>
    <t>25/2/1864</t>
  </si>
  <si>
    <t>MAGDELENA PETRONELLA</t>
  </si>
  <si>
    <t>a3b1c6d5e6</t>
  </si>
  <si>
    <t>BURNSIDE,KLIPRIVIER</t>
  </si>
  <si>
    <t>PROBABLY WITH J.S.MARITZ</t>
  </si>
  <si>
    <t>MATTHYS HENDRIK JR</t>
  </si>
  <si>
    <t>b2c4d1e3f3g4</t>
  </si>
  <si>
    <t>26/6/1822</t>
  </si>
  <si>
    <t>9/6/1842</t>
  </si>
  <si>
    <t>12/6/1841</t>
  </si>
  <si>
    <t>CICILIA JOHANNA</t>
  </si>
  <si>
    <t>a3b1c6d8e2f4</t>
  </si>
  <si>
    <t>SAREL JOHANNES LODEWIKUS</t>
  </si>
  <si>
    <t>8/7/1798</t>
  </si>
  <si>
    <t>16/3/1817</t>
  </si>
  <si>
    <t>lOuisa johanna maria</t>
  </si>
  <si>
    <t>SECOND HALF OF 1838</t>
  </si>
  <si>
    <t>MARÉ</t>
  </si>
  <si>
    <t>DIETLOF SIEGFRIED VON SCHÖNFELD</t>
  </si>
  <si>
    <t>b10c7d21</t>
  </si>
  <si>
    <t>27/5/1824</t>
  </si>
  <si>
    <t>26/6/1824</t>
  </si>
  <si>
    <t>PIETERSBURG</t>
  </si>
  <si>
    <t>27/6/1890</t>
  </si>
  <si>
    <t>23/2/1848</t>
  </si>
  <si>
    <t>JOHANNA (HANNIE) ELIZABETH</t>
  </si>
  <si>
    <t>GRAAAF-REINET</t>
  </si>
  <si>
    <t>3/1/1828</t>
  </si>
  <si>
    <t>MARABASTAD</t>
  </si>
  <si>
    <t>14/8/1874</t>
  </si>
  <si>
    <t>6/8/1876</t>
  </si>
  <si>
    <t>CAROLINA AUGUSTA</t>
  </si>
  <si>
    <t>EBERHARDT</t>
  </si>
  <si>
    <t>2/7/1856</t>
  </si>
  <si>
    <t>FRIEDRIK KORSTEN</t>
  </si>
  <si>
    <t>b10c7d20</t>
  </si>
  <si>
    <t>27/11/1821</t>
  </si>
  <si>
    <t>25/12/1821</t>
  </si>
  <si>
    <t>5/1/1895</t>
  </si>
  <si>
    <t>8/9/1845</t>
  </si>
  <si>
    <t>JOHANNA JOSINA HELENA</t>
  </si>
  <si>
    <t>b6c4d5e2f3</t>
  </si>
  <si>
    <t>17/11/1827</t>
  </si>
  <si>
    <t>COEGA(?)</t>
  </si>
  <si>
    <t>UITENHAGE(?)</t>
  </si>
  <si>
    <t>GABRIËL STEPHANUS</t>
  </si>
  <si>
    <t>b10c4d3</t>
  </si>
  <si>
    <t>26/12/1789</t>
  </si>
  <si>
    <t>10/1/1790</t>
  </si>
  <si>
    <t>25/3/1852</t>
  </si>
  <si>
    <t>7/5/1814</t>
  </si>
  <si>
    <t>ANNA MARGERETHA</t>
  </si>
  <si>
    <t>30/4/1797</t>
  </si>
  <si>
    <t>JULY 1837(?)</t>
  </si>
  <si>
    <t>JACOB DE KLERK(?)</t>
  </si>
  <si>
    <t>JACOB PHILLIP</t>
  </si>
  <si>
    <t>b10c7d15</t>
  </si>
  <si>
    <t>27/8/1817</t>
  </si>
  <si>
    <t>5/12/1817</t>
  </si>
  <si>
    <t>23/9/1839</t>
  </si>
  <si>
    <t>MARIA CATHERINA</t>
  </si>
  <si>
    <t>a1b2c4d10e2f8</t>
  </si>
  <si>
    <t>(?)ONDER-BOESMANRIVIER</t>
  </si>
  <si>
    <t>(?) NOVEMBER 1836</t>
  </si>
  <si>
    <t>J.S. MARITZ(?)</t>
  </si>
  <si>
    <t>JACOB PHILLIPPUS</t>
  </si>
  <si>
    <t>b10c4d3e4</t>
  </si>
  <si>
    <t>NUWEVELD,BEAUFORT</t>
  </si>
  <si>
    <t>27/1/1823</t>
  </si>
  <si>
    <t>26/2/1823</t>
  </si>
  <si>
    <t>11/2/1900</t>
  </si>
  <si>
    <t>18/9/1854</t>
  </si>
  <si>
    <t>HELENA JOHANNA</t>
  </si>
  <si>
    <t>ROODEPORT(?)</t>
  </si>
  <si>
    <t>CORNELIA S.J.</t>
  </si>
  <si>
    <t xml:space="preserve"> ERASMUS</t>
  </si>
  <si>
    <t>DURBANVILLE CA</t>
  </si>
  <si>
    <t>JOHANNA CATHERINA LOUISA</t>
  </si>
  <si>
    <t>SCHABORT (WEDUWEE BOSMAN)</t>
  </si>
  <si>
    <t>18/11/1842</t>
  </si>
  <si>
    <t>27/10/1895</t>
  </si>
  <si>
    <t>POTCHEFSSTROOM</t>
  </si>
  <si>
    <t>MARIA CECILIA ALBERTA</t>
  </si>
  <si>
    <t>ZINN(WEDUWEE KLOPPER)</t>
  </si>
  <si>
    <t>JOHANNES STEPHANUS (ALBERTUS)</t>
  </si>
  <si>
    <t>b10c7d11</t>
  </si>
  <si>
    <t>13/12/1807</t>
  </si>
  <si>
    <t>7/11/1863</t>
  </si>
  <si>
    <t>7/5/1832</t>
  </si>
  <si>
    <t>SARAH JOHANNA ADRIANA</t>
  </si>
  <si>
    <t>KOK</t>
  </si>
  <si>
    <t>a1c1d1</t>
  </si>
  <si>
    <t>1/2/1812</t>
  </si>
  <si>
    <t>24/6/1875</t>
  </si>
  <si>
    <t>BEFORE 1850</t>
  </si>
  <si>
    <t>PAULUS</t>
  </si>
  <si>
    <t>b10c7</t>
  </si>
  <si>
    <t>7/7/1769</t>
  </si>
  <si>
    <t>13/8/1769</t>
  </si>
  <si>
    <t>LIEBENBERGSVLEI</t>
  </si>
  <si>
    <t>13/6/1790</t>
  </si>
  <si>
    <t>b3c1d2e2</t>
  </si>
  <si>
    <t>26/11/1779</t>
  </si>
  <si>
    <t>14/5/1780</t>
  </si>
  <si>
    <t>1/11/1873</t>
  </si>
  <si>
    <t>MARÉ/MAREE</t>
  </si>
  <si>
    <t>b1c4e3d7</t>
  </si>
  <si>
    <t>3/4/1825</t>
  </si>
  <si>
    <t>b2c2d1e4f9</t>
  </si>
  <si>
    <t>2/4/1809</t>
  </si>
  <si>
    <t>CALEDON(?)</t>
  </si>
  <si>
    <t>WYNAND WILHELMUS</t>
  </si>
  <si>
    <t>b10c7d7</t>
  </si>
  <si>
    <t>13/31/1801</t>
  </si>
  <si>
    <t>1/4/1801</t>
  </si>
  <si>
    <t>7/1/1821</t>
  </si>
  <si>
    <t>CORNELIA ALETTA JANSE</t>
  </si>
  <si>
    <t>b1c5d7e3</t>
  </si>
  <si>
    <t>1/1/1804</t>
  </si>
  <si>
    <t>29/1/1804</t>
  </si>
  <si>
    <t>29/3/1887</t>
  </si>
  <si>
    <t>BETWEEN 3/8/1836 AND 19/3/1837</t>
  </si>
  <si>
    <t>CORNELIS JOHANNES FRANCOIS</t>
  </si>
  <si>
    <t>b1c8d2e2</t>
  </si>
  <si>
    <t>1/4/1823</t>
  </si>
  <si>
    <t>4/5/1823</t>
  </si>
  <si>
    <t>16/1/1906</t>
  </si>
  <si>
    <t>JANUARY 1845</t>
  </si>
  <si>
    <t>a3b1c6d5e4f7</t>
  </si>
  <si>
    <t>AROUND MIDDLE SEPTEMBER 1836</t>
  </si>
  <si>
    <t>GERT M. MARITZ</t>
  </si>
  <si>
    <t>FRANCOIS IGNATIUS</t>
  </si>
  <si>
    <t>b1c8d6</t>
  </si>
  <si>
    <t>8/10/1805</t>
  </si>
  <si>
    <t>12/4/1807</t>
  </si>
  <si>
    <t>29/9/1826</t>
  </si>
  <si>
    <t>AROUND MIDDLE SEPTEMBER 1837</t>
  </si>
  <si>
    <t>GERHARDUS JACOBUS</t>
  </si>
  <si>
    <t>b1c8d2e4</t>
  </si>
  <si>
    <t>22/10/1825</t>
  </si>
  <si>
    <t>20/11/1825</t>
  </si>
  <si>
    <t>7/4/1845</t>
  </si>
  <si>
    <t>THEUNISINA CHRISTINA</t>
  </si>
  <si>
    <t>b4c3d5e5</t>
  </si>
  <si>
    <t>AROUND MIDDLE SEPTEMBER 1838</t>
  </si>
  <si>
    <t>GERHARDUS MARTHINUS</t>
  </si>
  <si>
    <t>b1c8d2</t>
  </si>
  <si>
    <t>MARCH 1797</t>
  </si>
  <si>
    <t>24/6/1798</t>
  </si>
  <si>
    <t>KLEIN-THUKELA,NATAL</t>
  </si>
  <si>
    <t>23/9/1838</t>
  </si>
  <si>
    <t>ANGENITHA MARIA</t>
  </si>
  <si>
    <t>a2b7c6d4e1</t>
  </si>
  <si>
    <t>22/10/1865</t>
  </si>
  <si>
    <t>AROUND MIDDLE SEPTEMBER 1839</t>
  </si>
  <si>
    <t>b1c8d1</t>
  </si>
  <si>
    <t>VRISGEWAAGD,WEENEN</t>
  </si>
  <si>
    <t>4/11/1857</t>
  </si>
  <si>
    <t>MAGDELENA SALOMINA</t>
  </si>
  <si>
    <t>b1c10d1e3f2</t>
  </si>
  <si>
    <t>21/3/1797</t>
  </si>
  <si>
    <t>10/3/1856</t>
  </si>
  <si>
    <t>b1c3d1e4f3</t>
  </si>
  <si>
    <t>16/9/1805</t>
  </si>
  <si>
    <t>18/7/1864</t>
  </si>
  <si>
    <t>JOHANNES STEPHANUS JR</t>
  </si>
  <si>
    <t>23/7/1826</t>
  </si>
  <si>
    <t>13/8/1826</t>
  </si>
  <si>
    <t>27/11/1863</t>
  </si>
  <si>
    <t>10/2/1848</t>
  </si>
  <si>
    <t>SUSANNA CARITZ</t>
  </si>
  <si>
    <t>JOHANNA MAGDELENA</t>
  </si>
  <si>
    <t>b1c8d5</t>
  </si>
  <si>
    <t>27/5/1805</t>
  </si>
  <si>
    <t>14/9/1823</t>
  </si>
  <si>
    <t>MAGDELENA PETRONELLA CATHERINA STOFFELINA</t>
  </si>
  <si>
    <t>b2c3d8e4</t>
  </si>
  <si>
    <t>10/5/1808</t>
  </si>
  <si>
    <t>AROUND NOVEMBER 1837</t>
  </si>
  <si>
    <t>SALOMON GERHARDUS</t>
  </si>
  <si>
    <t>b1c8d1e3</t>
  </si>
  <si>
    <t>29/5/1821</t>
  </si>
  <si>
    <t>2/10/1821</t>
  </si>
  <si>
    <t>b4c1d1e5</t>
  </si>
  <si>
    <t>23/1/1826</t>
  </si>
  <si>
    <t>29/2/1826</t>
  </si>
  <si>
    <t>SALOMON STEPHANUS</t>
  </si>
  <si>
    <t>b1c8d2e1</t>
  </si>
  <si>
    <t>22/11/1821</t>
  </si>
  <si>
    <t>10/2/1822</t>
  </si>
  <si>
    <t>9/3/1895</t>
  </si>
  <si>
    <t>17/5/1839</t>
  </si>
  <si>
    <t>HILLETJIE LEVINA HELENA</t>
  </si>
  <si>
    <t>b4c3d5e2</t>
  </si>
  <si>
    <t>28/8/1820</t>
  </si>
  <si>
    <t>9/12/1820</t>
  </si>
  <si>
    <t>24/12/1875</t>
  </si>
  <si>
    <t>MIDDLE SEPTEMBER 1836</t>
  </si>
  <si>
    <t>4/2/1878</t>
  </si>
  <si>
    <t>ANNA CAROLINA AGATHA</t>
  </si>
  <si>
    <t>MARNEWECK</t>
  </si>
  <si>
    <t>JOHAN COENRAAD</t>
  </si>
  <si>
    <t>16/1/1785</t>
  </si>
  <si>
    <t>1/4/1813</t>
  </si>
  <si>
    <t>CATHERINA ALETTA</t>
  </si>
  <si>
    <t>a3b5c8d1e4</t>
  </si>
  <si>
    <t>7/2/1830</t>
  </si>
  <si>
    <t>ANNA CATHERINA</t>
  </si>
  <si>
    <t>22/3/1840</t>
  </si>
  <si>
    <t>23/5/1817</t>
  </si>
  <si>
    <t>24/8/1817</t>
  </si>
  <si>
    <t>b7c2d3e3</t>
  </si>
  <si>
    <t>9/5/1824</t>
  </si>
  <si>
    <t>(?)GEORGE</t>
  </si>
  <si>
    <t>FRANS ENGELBERTUS</t>
  </si>
  <si>
    <t>8/9/1811</t>
  </si>
  <si>
    <t>26/6/1881</t>
  </si>
  <si>
    <t>b3c3d7e3f2</t>
  </si>
  <si>
    <t>10/4/1818</t>
  </si>
  <si>
    <t>5/11/1899</t>
  </si>
  <si>
    <t>AROUND OCTOBER 1837</t>
  </si>
  <si>
    <t>(?)JAN DU PLESSIS OR J.H. DE LANGE</t>
  </si>
  <si>
    <t>GEORGE FREDERIK STEPHANUS</t>
  </si>
  <si>
    <t>b3c6d8</t>
  </si>
  <si>
    <t>26/2/1817</t>
  </si>
  <si>
    <t>18/1/1818</t>
  </si>
  <si>
    <t>NYLSTROOM</t>
  </si>
  <si>
    <t>13/3/1880</t>
  </si>
  <si>
    <t>31/1/1836</t>
  </si>
  <si>
    <t>EMERENTIA (AMERENSIA) MARIA</t>
  </si>
  <si>
    <t>b4c2d2e10f2</t>
  </si>
  <si>
    <t>PROBABLY 1840</t>
  </si>
  <si>
    <t>b3c8d2</t>
  </si>
  <si>
    <t>1/4/1810</t>
  </si>
  <si>
    <t>b2c6d2e2f3</t>
  </si>
  <si>
    <t>b3c6d1</t>
  </si>
  <si>
    <t>23/12/1827</t>
  </si>
  <si>
    <t>ISABELLA JOHANNA</t>
  </si>
  <si>
    <t>WILMANS</t>
  </si>
  <si>
    <t>VETRIVIER</t>
  </si>
  <si>
    <t>MEINTJES</t>
  </si>
  <si>
    <t>ADRIAAN WILLEM</t>
  </si>
  <si>
    <t>b4c6d1e12</t>
  </si>
  <si>
    <t>8/10/1823</t>
  </si>
  <si>
    <t>11/10/1900</t>
  </si>
  <si>
    <t>1/6/1853</t>
  </si>
  <si>
    <t>SUSANNA JACOBA WILHELMINA ABRAMA</t>
  </si>
  <si>
    <t>(?)BRAKRIVIER</t>
  </si>
  <si>
    <t>13/3/1882</t>
  </si>
  <si>
    <t>b4c6d1e6</t>
  </si>
  <si>
    <t>7/8/1810</t>
  </si>
  <si>
    <t>18/9/1810</t>
  </si>
  <si>
    <t>2/10/1883</t>
  </si>
  <si>
    <t>3/11/1833</t>
  </si>
  <si>
    <t>BARBARA CHRISTINA</t>
  </si>
  <si>
    <t>DE MEYER</t>
  </si>
  <si>
    <t>30/9/1817</t>
  </si>
  <si>
    <t>HENDRIK ARNOLDUS</t>
  </si>
  <si>
    <t>b4c6d1e9</t>
  </si>
  <si>
    <t>30/7/1817</t>
  </si>
  <si>
    <t>20/11/1836</t>
  </si>
  <si>
    <t>AROUND(?)1837</t>
  </si>
  <si>
    <t>7/10/1838</t>
  </si>
  <si>
    <t>ELSIE MARIA JACOBA WILHELMINA</t>
  </si>
  <si>
    <t>JACOBUS WILLIAM</t>
  </si>
  <si>
    <t>b4c6d1e10</t>
  </si>
  <si>
    <t>14/8/1819</t>
  </si>
  <si>
    <t>14/10/1901</t>
  </si>
  <si>
    <t>16/12/1837</t>
  </si>
  <si>
    <t>29/9/1819</t>
  </si>
  <si>
    <t>8/8/1870</t>
  </si>
  <si>
    <t>HESTER MAGRIETHA DOROTHEA</t>
  </si>
  <si>
    <t>SWANEPOEL(WEDUWEE VAN DER MERWE)</t>
  </si>
  <si>
    <t>JOHANNES HENDRIK PETRUS</t>
  </si>
  <si>
    <t>b4c6d1e1f2</t>
  </si>
  <si>
    <t>29/3/1824</t>
  </si>
  <si>
    <t>8/11/1870</t>
  </si>
  <si>
    <t>25/5/1846</t>
  </si>
  <si>
    <t>COERTZEN</t>
  </si>
  <si>
    <t>b4c6d1e3</t>
  </si>
  <si>
    <t>28/5/1805</t>
  </si>
  <si>
    <t>3/12/1826</t>
  </si>
  <si>
    <t>ANNA MARIA JOHANNA</t>
  </si>
  <si>
    <t>STRUWIG</t>
  </si>
  <si>
    <t>23/10/1809</t>
  </si>
  <si>
    <t>BEFORE DECEMBER 1834</t>
  </si>
  <si>
    <t>PIET UYS</t>
  </si>
  <si>
    <t>ELIZABETH JOHANNA</t>
  </si>
  <si>
    <t>b4c6d1e1</t>
  </si>
  <si>
    <t>20/8/1879</t>
  </si>
  <si>
    <t>8/5/1831</t>
  </si>
  <si>
    <t>HELIA ELIZABETH</t>
  </si>
  <si>
    <t>SPEKBOOMBERG</t>
  </si>
  <si>
    <t>BETWEEN MARCH 1837 AND DECEMBER 1839</t>
  </si>
  <si>
    <t>19/10/1845</t>
  </si>
  <si>
    <t>LUCIA HENDRINA SUSANNA MARIA</t>
  </si>
  <si>
    <t>KLEYNHANS</t>
  </si>
  <si>
    <t>b4c6d1</t>
  </si>
  <si>
    <t>ROODEZAND</t>
  </si>
  <si>
    <t>9/4/1775</t>
  </si>
  <si>
    <t>13/8/1799</t>
  </si>
  <si>
    <t>LOUISA MARIA</t>
  </si>
  <si>
    <t>21/3/1784</t>
  </si>
  <si>
    <t>b4c6d1e11</t>
  </si>
  <si>
    <t>29/7/1821</t>
  </si>
  <si>
    <t>6/7/1895</t>
  </si>
  <si>
    <t>ANNA CHRISTINA ALETTA</t>
  </si>
  <si>
    <t>21/6/1875</t>
  </si>
  <si>
    <t>PETRONELLA MARIA</t>
  </si>
  <si>
    <t>b4c6d8</t>
  </si>
  <si>
    <t>WAVEREN</t>
  </si>
  <si>
    <t>8/2/1800</t>
  </si>
  <si>
    <t>14/4/1823</t>
  </si>
  <si>
    <t>(?)1837</t>
  </si>
  <si>
    <t>b4c6d1e2</t>
  </si>
  <si>
    <t>30/7/1802</t>
  </si>
  <si>
    <t>7/9/1823</t>
  </si>
  <si>
    <t>CORNELIA MARGARETHA MARIA THERISIA</t>
  </si>
  <si>
    <t>CLAAS(S)</t>
  </si>
  <si>
    <t>b6c10d1e3</t>
  </si>
  <si>
    <t>5/12/1802</t>
  </si>
  <si>
    <t>16/9/1803</t>
  </si>
  <si>
    <t>PEACH</t>
  </si>
  <si>
    <t>17/5/1871</t>
  </si>
  <si>
    <t>b4c6d4</t>
  </si>
  <si>
    <t>18/2/1787</t>
  </si>
  <si>
    <t>7/10/1846</t>
  </si>
  <si>
    <t>ENGELA CAROLINA HENDRINA BARENDINA</t>
  </si>
  <si>
    <t>DURAND</t>
  </si>
  <si>
    <t>(?)SOMERSET</t>
  </si>
  <si>
    <t>WILLEM JACOBUS ALBERTUS</t>
  </si>
  <si>
    <t>26/8/1800</t>
  </si>
  <si>
    <t>8/9/1816</t>
  </si>
  <si>
    <t>CATHARINA WILHELMINA SUSANNA</t>
  </si>
  <si>
    <t>(?)1838</t>
  </si>
  <si>
    <t>6/1/1822</t>
  </si>
  <si>
    <t>ANNA FRANSINA JOHANNA</t>
  </si>
  <si>
    <t>b4c2d1e1f7</t>
  </si>
  <si>
    <t>4/11/1804</t>
  </si>
  <si>
    <t>29/11/1879</t>
  </si>
  <si>
    <t>MEY</t>
  </si>
  <si>
    <t>CHRISTIAAN LODEWYK</t>
  </si>
  <si>
    <t>b10</t>
  </si>
  <si>
    <t>9/5/1810</t>
  </si>
  <si>
    <t>8/12/1843</t>
  </si>
  <si>
    <t>b1c5d2e5</t>
  </si>
  <si>
    <t>9/9/1802</t>
  </si>
  <si>
    <t>ADRIAAN WILLEM PETRUS</t>
  </si>
  <si>
    <t>a3b1c6d2e6f6</t>
  </si>
  <si>
    <t>7/2/1840</t>
  </si>
  <si>
    <t>4/12/1821</t>
  </si>
  <si>
    <t>MVOTI</t>
  </si>
  <si>
    <t>8/4/1862</t>
  </si>
  <si>
    <t>SEPT/OCT 1837</t>
  </si>
  <si>
    <t>LUCAS JOHANNES MEYER</t>
  </si>
  <si>
    <t>20/9/1807</t>
  </si>
  <si>
    <t>(?)MARCH 1837</t>
  </si>
  <si>
    <t>GERHARDUS JACOBUS RUDOLPH</t>
  </si>
  <si>
    <t>COENRAAD FREDERIK JR.</t>
  </si>
  <si>
    <t>a3b1c6d5e4f4</t>
  </si>
  <si>
    <t>3/8/1820</t>
  </si>
  <si>
    <t>6/9/1892</t>
  </si>
  <si>
    <t>9/5/1846</t>
  </si>
  <si>
    <t>MAGDELENA SUSANNA ALETTA</t>
  </si>
  <si>
    <t>25/5/1884</t>
  </si>
  <si>
    <t>(?) ONDER-BOESMANRIVIER</t>
  </si>
  <si>
    <t>(?) G.J. RUDOLPH</t>
  </si>
  <si>
    <t>CORNELIS MARTHINUS</t>
  </si>
  <si>
    <t>a3b1c6d5e4f6</t>
  </si>
  <si>
    <t>18/6/1895</t>
  </si>
  <si>
    <t>6/4/1847</t>
  </si>
  <si>
    <t>a3b1c6d8e2f6</t>
  </si>
  <si>
    <t>ELSIE(WEDUWEE P.H.FICK</t>
  </si>
  <si>
    <t>a3b1c6d5e1</t>
  </si>
  <si>
    <t>3/12/1780</t>
  </si>
  <si>
    <t>PAUL HENDRIK</t>
  </si>
  <si>
    <t>4/8/1776</t>
  </si>
  <si>
    <t>BEFORE 8/8/1838</t>
  </si>
  <si>
    <t>BEFORE THE END OF 1838</t>
  </si>
  <si>
    <t>HERMANUS PETRUS JACOBUS</t>
  </si>
  <si>
    <t>a5b10c3</t>
  </si>
  <si>
    <t>28/8/1814</t>
  </si>
  <si>
    <t>MARIA ELISABETH (WILHELMINA?)</t>
  </si>
  <si>
    <t>a1b8c10d3e5</t>
  </si>
  <si>
    <t>16/4/1820</t>
  </si>
  <si>
    <t>ISAK CORNELIS</t>
  </si>
  <si>
    <t>a3b1c6d5e4f5</t>
  </si>
  <si>
    <t>2/2/1912</t>
  </si>
  <si>
    <t>b1c8d5e1</t>
  </si>
  <si>
    <t>15/12/1904</t>
  </si>
  <si>
    <t>ISAK JOHANNES SR.</t>
  </si>
  <si>
    <t>a4b1c6d8e2</t>
  </si>
  <si>
    <t>12/8/1792</t>
  </si>
  <si>
    <t>18/1/1886</t>
  </si>
  <si>
    <t>14/2/1817</t>
  </si>
  <si>
    <t>b1c1d3</t>
  </si>
  <si>
    <t>2/10/1799</t>
  </si>
  <si>
    <t>(?) APRIL 1837</t>
  </si>
  <si>
    <t>ISAK JOHANNES JR.</t>
  </si>
  <si>
    <t>a4b1c6d8e2f2</t>
  </si>
  <si>
    <t>HILIA LEVINA MAGDELENA CATHARINA</t>
  </si>
  <si>
    <t>b5c3d1e10f1</t>
  </si>
  <si>
    <t>IZAK (ISAAK) JOHANNES</t>
  </si>
  <si>
    <t>a3b1c6d2e6f7</t>
  </si>
  <si>
    <t>19/1/1822</t>
  </si>
  <si>
    <t>15/8/1882</t>
  </si>
  <si>
    <t>MARTHA MARIA ELISABETH</t>
  </si>
  <si>
    <t>6/6/1901</t>
  </si>
  <si>
    <t>JACOBUS JOHANNES PHILLIPPUS</t>
  </si>
  <si>
    <t>a2b4c7d3e5</t>
  </si>
  <si>
    <t>5/7/1801</t>
  </si>
  <si>
    <t>22/2/1883</t>
  </si>
  <si>
    <t>4/4/1819</t>
  </si>
  <si>
    <t>25/7/1884</t>
  </si>
  <si>
    <t>a1b1c2d5e3f3</t>
  </si>
  <si>
    <t>22/3/1835</t>
  </si>
  <si>
    <t>NEELTJE</t>
  </si>
  <si>
    <t>(?) BRAKRIVIER</t>
  </si>
  <si>
    <t>AROUND AUGUST 1837 (?)</t>
  </si>
  <si>
    <t xml:space="preserve"> (?) P.L. UYS</t>
  </si>
  <si>
    <t>JACOBUS WILLEM</t>
  </si>
  <si>
    <t>a1b1c2d5e3</t>
  </si>
  <si>
    <t>6/11/1791</t>
  </si>
  <si>
    <t>8/3/1812</t>
  </si>
  <si>
    <t>JACOBA ELISABETH</t>
  </si>
  <si>
    <t>6/8/1793</t>
  </si>
  <si>
    <t>JESIAS ENGELBERTUS</t>
  </si>
  <si>
    <t>a2b4c5d7e6</t>
  </si>
  <si>
    <t>19/6/1803</t>
  </si>
  <si>
    <t>30/1/1886</t>
  </si>
  <si>
    <t>b3c3d3e8f2</t>
  </si>
  <si>
    <t>20/8/1809</t>
  </si>
  <si>
    <t>BEFORE NOVEMBER 1842</t>
  </si>
  <si>
    <t>a3b6</t>
  </si>
  <si>
    <t>JOHANNA FRANCINA</t>
  </si>
  <si>
    <t>11/4/1790</t>
  </si>
  <si>
    <t>FRANSINA JOHANNA JANSE</t>
  </si>
  <si>
    <t>JOHAN IZAK</t>
  </si>
  <si>
    <t>a3b1c6d5e4f3</t>
  </si>
  <si>
    <t>16/11/1815</t>
  </si>
  <si>
    <t>25/10/1851</t>
  </si>
  <si>
    <t>AGATHA CATHARINA</t>
  </si>
  <si>
    <t>2/1/1813</t>
  </si>
  <si>
    <t>(?) MARCH 1837</t>
  </si>
  <si>
    <t>a3b1c6d2e6f1</t>
  </si>
  <si>
    <t>SUURVELD</t>
  </si>
  <si>
    <t>16/9/1811</t>
  </si>
  <si>
    <t>26/4/1812</t>
  </si>
  <si>
    <t>27/3/1836</t>
  </si>
  <si>
    <t xml:space="preserve">ANNA JOHANNA JACOBA </t>
  </si>
  <si>
    <t>LUCAS JOHANNES</t>
  </si>
  <si>
    <t>a3b1c6d2e6</t>
  </si>
  <si>
    <t>18/5/1864</t>
  </si>
  <si>
    <t>17/9/1797</t>
  </si>
  <si>
    <t>30/4/1859</t>
  </si>
  <si>
    <t>a3b1c1d3e5</t>
  </si>
  <si>
    <t>b3c6d2</t>
  </si>
  <si>
    <t>LUCAS PETRUS JOHANNES</t>
  </si>
  <si>
    <t>a3b1c6d2e5f1</t>
  </si>
  <si>
    <t>8/3/1811</t>
  </si>
  <si>
    <t>22/9/1811</t>
  </si>
  <si>
    <t>25/3/1832</t>
  </si>
  <si>
    <t>DEBORA JACOBA</t>
  </si>
  <si>
    <t>18/4/1815</t>
  </si>
  <si>
    <t>18/6/1900</t>
  </si>
  <si>
    <t>AROUNS FEBRUARY 1837</t>
  </si>
  <si>
    <t>LUCAS WILHEM(US)</t>
  </si>
  <si>
    <t>a3b1c6d8e3f5</t>
  </si>
  <si>
    <t>25/9/1886</t>
  </si>
  <si>
    <t>11/12/1848</t>
  </si>
  <si>
    <t>DIRKJE ELISABETH</t>
  </si>
  <si>
    <t>b2c3d6e6f1</t>
  </si>
  <si>
    <t>5/9/1830</t>
  </si>
  <si>
    <t>AROUND APRIL 1837</t>
  </si>
  <si>
    <t>OLOF ABARAHAM</t>
  </si>
  <si>
    <t>a1b1c2d5e3f1</t>
  </si>
  <si>
    <t>27/5/1811</t>
  </si>
  <si>
    <t>3/3/1812</t>
  </si>
  <si>
    <t>8/8/1830</t>
  </si>
  <si>
    <t>SUSANNA CATHARINA GERTRUIDA</t>
  </si>
  <si>
    <t>b2c2d2e6</t>
  </si>
  <si>
    <t>26/8/1813</t>
  </si>
  <si>
    <t>19/9/1813</t>
  </si>
  <si>
    <t>AROUND AUGUST 1837</t>
  </si>
  <si>
    <t>PHILLIPUS JACOBUS</t>
  </si>
  <si>
    <t>a3b1c6d8e2f3</t>
  </si>
  <si>
    <t>JOHANNA SUSANNA CECILIA</t>
  </si>
  <si>
    <t>b5c7d1e4</t>
  </si>
  <si>
    <t>20/2/1907</t>
  </si>
  <si>
    <t>a1b3c2d5e3f3</t>
  </si>
  <si>
    <t>7/10/1833</t>
  </si>
  <si>
    <t>ELSJE JOHANNA</t>
  </si>
  <si>
    <t>b4c6d1e8</t>
  </si>
  <si>
    <t>(?) AUGUST 1837</t>
  </si>
  <si>
    <t>WILLEM PETRUS (PIET)</t>
  </si>
  <si>
    <t>a3b1c6d2e8</t>
  </si>
  <si>
    <t>15/1/1797</t>
  </si>
  <si>
    <t>13/8/1839</t>
  </si>
  <si>
    <t>AROUND MARCH 1837</t>
  </si>
  <si>
    <t>CAREL PETRUS</t>
  </si>
  <si>
    <t>b5c1d3e2f5</t>
  </si>
  <si>
    <t>21/8/1807</t>
  </si>
  <si>
    <t>4/10/1807</t>
  </si>
  <si>
    <t>9/9/1892</t>
  </si>
  <si>
    <t>5/10/1829</t>
  </si>
  <si>
    <t>JACOBA JOHANNA MARIA</t>
  </si>
  <si>
    <t>29/6/1899</t>
  </si>
  <si>
    <t>b5c1d3e2f4</t>
  </si>
  <si>
    <t>8/6/1828</t>
  </si>
  <si>
    <t>JOHANNA CECILIA</t>
  </si>
  <si>
    <t>b10c2d1e3</t>
  </si>
  <si>
    <t>30/9/1810</t>
  </si>
  <si>
    <t>JOHANNES ISAAK</t>
  </si>
  <si>
    <t>b1c1d3e2f9</t>
  </si>
  <si>
    <t>3/2/1816</t>
  </si>
  <si>
    <t>30/6/1816</t>
  </si>
  <si>
    <t>5/2/1837</t>
  </si>
  <si>
    <t>ALETTA ELISABETH</t>
  </si>
  <si>
    <t>16/2/1819</t>
  </si>
  <si>
    <t>(?) UITVLUGT</t>
  </si>
  <si>
    <t>PHILLIPUS ANDREAS</t>
  </si>
  <si>
    <t>b5c2d3e3f1</t>
  </si>
  <si>
    <t>21/9/1813</t>
  </si>
  <si>
    <t>9/7/1837</t>
  </si>
  <si>
    <t>24/3/1814</t>
  </si>
  <si>
    <t>24/7/1814</t>
  </si>
  <si>
    <t>13/3/1844</t>
  </si>
  <si>
    <t>11/11/1844</t>
  </si>
  <si>
    <t>a1b1c1d11e4f1g1</t>
  </si>
  <si>
    <t>PHILIP CAREL SR</t>
  </si>
  <si>
    <t>b5c1d3e2</t>
  </si>
  <si>
    <t>DECEMBER 1798</t>
  </si>
  <si>
    <t>(?) A.H. POTGIETER</t>
  </si>
  <si>
    <t>PHILIP CAREL JR</t>
  </si>
  <si>
    <t>b5c1d3e2f2</t>
  </si>
  <si>
    <t>3/12/1820</t>
  </si>
  <si>
    <t>b1c8d3e6</t>
  </si>
  <si>
    <t>3/9/1875</t>
  </si>
  <si>
    <t>(?) JANUARY 1836</t>
  </si>
  <si>
    <t>PHILIP CAREL (SWART FLIP)</t>
  </si>
  <si>
    <t>b5c1d3e2f2g1</t>
  </si>
  <si>
    <t>29/4/1822</t>
  </si>
  <si>
    <t>15/5/1897</t>
  </si>
  <si>
    <t>10/8/1827</t>
  </si>
  <si>
    <t>7/4/1828</t>
  </si>
  <si>
    <t>2/2/1917</t>
  </si>
  <si>
    <t>PHILIP PETRUS</t>
  </si>
  <si>
    <t>b5c1d3e5f(?)</t>
  </si>
  <si>
    <t>b5c1d3e2f6</t>
  </si>
  <si>
    <t>10/12/1809</t>
  </si>
  <si>
    <t>8/10/1838</t>
  </si>
  <si>
    <t>MARIA CORNELIA PETRONELLA</t>
  </si>
  <si>
    <t>3/10/1819</t>
  </si>
  <si>
    <t>FRANCOIS GYSBERTUS</t>
  </si>
  <si>
    <t>(?)e2f4</t>
  </si>
  <si>
    <t>28/7/1811</t>
  </si>
  <si>
    <t>15/6/1812</t>
  </si>
  <si>
    <t>ELSJE MARIA</t>
  </si>
  <si>
    <t>(?) BEFORE 23/1/1842</t>
  </si>
  <si>
    <t>MIENIE</t>
  </si>
  <si>
    <t>FREDERIK JOHANNES/CHRISTIAAN</t>
  </si>
  <si>
    <t>a2b2c1d3e7</t>
  </si>
  <si>
    <t>1/5/1810</t>
  </si>
  <si>
    <t>14/10/1833</t>
  </si>
  <si>
    <t>(?) BEFORE 5/7/1837</t>
  </si>
  <si>
    <t>JAN WILLEM JACOBUS</t>
  </si>
  <si>
    <t>a2b2c1d3e2f1</t>
  </si>
  <si>
    <t>28/9/1820</t>
  </si>
  <si>
    <t>24/6/1821</t>
  </si>
  <si>
    <t>ANNA ELIZABETH CATHARINA</t>
  </si>
  <si>
    <t>(?) COLESBERG</t>
  </si>
  <si>
    <t>(?) 1845</t>
  </si>
  <si>
    <t>(?)e2f2</t>
  </si>
  <si>
    <t>10/11/1807</t>
  </si>
  <si>
    <t>10/7/1808</t>
  </si>
  <si>
    <t>31/7/1836</t>
  </si>
  <si>
    <t>SOPHIA JACOBA</t>
  </si>
  <si>
    <t>VERY</t>
  </si>
  <si>
    <t>(?) GEORGE</t>
  </si>
  <si>
    <t>(?) 1844</t>
  </si>
  <si>
    <t>(?) TRANSORANJE</t>
  </si>
  <si>
    <t>NICOLAAS CHRISTOFFEL JOHANNES</t>
  </si>
  <si>
    <t>a2b2c1d3e6</t>
  </si>
  <si>
    <t>4/8/1807</t>
  </si>
  <si>
    <t>18/4/1808</t>
  </si>
  <si>
    <t>25/11/1838</t>
  </si>
  <si>
    <t>CECILIA CATHARINA</t>
  </si>
  <si>
    <t>NORTJÉ</t>
  </si>
  <si>
    <t>(?) BEFORE 1838</t>
  </si>
  <si>
    <t>(?)e2f5</t>
  </si>
  <si>
    <t>20/4/1814</t>
  </si>
  <si>
    <t>7/12/1814</t>
  </si>
  <si>
    <t>3/9/1839</t>
  </si>
  <si>
    <t>MATHA JACOBA</t>
  </si>
  <si>
    <t>AROUND 1841</t>
  </si>
  <si>
    <t>MOCKE</t>
  </si>
  <si>
    <t>JOHAN GODFRIED</t>
  </si>
  <si>
    <t>12/3/1780</t>
  </si>
  <si>
    <t>27/4/1801</t>
  </si>
  <si>
    <t>a6b3</t>
  </si>
  <si>
    <t>8/2/1778</t>
  </si>
  <si>
    <t>25/1/1806</t>
  </si>
  <si>
    <t>4/1/1806</t>
  </si>
  <si>
    <t>ADRIAN IZAAK</t>
  </si>
  <si>
    <t>b1c2d7</t>
  </si>
  <si>
    <t>30/4/1819</t>
  </si>
  <si>
    <t>4/7/1819</t>
  </si>
  <si>
    <t>12/5/1852</t>
  </si>
  <si>
    <t>SARAH CATHARINA</t>
  </si>
  <si>
    <t>b2c8d2e4</t>
  </si>
  <si>
    <t>JACOBUS PHILLIPPUS SR</t>
  </si>
  <si>
    <t>23/11/1783</t>
  </si>
  <si>
    <t>MAY 1852</t>
  </si>
  <si>
    <t>28/8/1803</t>
  </si>
  <si>
    <t>JUDITH MARGARETHA</t>
  </si>
  <si>
    <t>21/7/1778</t>
  </si>
  <si>
    <t>DECEMBER 1852</t>
  </si>
  <si>
    <t>BREËRIVIER</t>
  </si>
  <si>
    <t>JANUARY/FEBRUARY 1837</t>
  </si>
  <si>
    <t>JACOBUS PHILLIPPUS JR</t>
  </si>
  <si>
    <t>b1c2d3</t>
  </si>
  <si>
    <t>6/8/1809</t>
  </si>
  <si>
    <t>9/6/1833</t>
  </si>
  <si>
    <t>b1c7d8e4f2</t>
  </si>
  <si>
    <t>(?) GAMTOOSRIVIER</t>
  </si>
  <si>
    <t>(?) UITENHAGE</t>
  </si>
  <si>
    <t>25/12/1806</t>
  </si>
  <si>
    <t>SARA SALOMINA</t>
  </si>
  <si>
    <t>KLIPRIVIER</t>
  </si>
  <si>
    <t>10/8/1873</t>
  </si>
  <si>
    <t>10/10/1822</t>
  </si>
  <si>
    <t>ZULULAND</t>
  </si>
  <si>
    <t>14/10/1850</t>
  </si>
  <si>
    <t>ANNA FRANCINA MARGARETHA</t>
  </si>
  <si>
    <t>b2c3d6e4f2</t>
  </si>
  <si>
    <t>PETRUS LAFRAS</t>
  </si>
  <si>
    <t>15/5/1805</t>
  </si>
  <si>
    <t>28/7/1805</t>
  </si>
  <si>
    <t>28/3/1872</t>
  </si>
  <si>
    <t>3/7/1825</t>
  </si>
  <si>
    <t>JOHANNA ISABELLA HERMINA</t>
  </si>
  <si>
    <t>b1c9d1e3</t>
  </si>
  <si>
    <t>HENDRINA JACOMINA</t>
  </si>
  <si>
    <t>PRETORIOUS</t>
  </si>
  <si>
    <t>b7c9d1e1</t>
  </si>
  <si>
    <t>23/1/1820</t>
  </si>
  <si>
    <t>ALIDA LOUIS PETRONELLA</t>
  </si>
  <si>
    <t>GEORGE THEN CRADOCK</t>
  </si>
  <si>
    <t>b7c9d1e2</t>
  </si>
  <si>
    <t>20/9/1821</t>
  </si>
  <si>
    <t>4/11/1821</t>
  </si>
  <si>
    <t>29/11/1899</t>
  </si>
  <si>
    <t>JOHANNA GERTRUYDA SUSANNA</t>
  </si>
  <si>
    <t>ANNA MAGDELENA ELIZABETH</t>
  </si>
  <si>
    <t>b7c9d1e4</t>
  </si>
  <si>
    <t>4/9/1825</t>
  </si>
  <si>
    <t>21/11/1898</t>
  </si>
  <si>
    <t>MARGARETHA MARIA</t>
  </si>
  <si>
    <t>BEFORE 1840s</t>
  </si>
  <si>
    <t>COERT JACOBUS</t>
  </si>
  <si>
    <t>18/4/1817</t>
  </si>
  <si>
    <t>1/6/1817</t>
  </si>
  <si>
    <t>JACOBA SOPHIA</t>
  </si>
  <si>
    <t>b5c7d4</t>
  </si>
  <si>
    <t>11/12/1791</t>
  </si>
  <si>
    <t>9/9/1821</t>
  </si>
  <si>
    <t>CHRISTINA PETRONELLA</t>
  </si>
  <si>
    <t>(?) OCTOBER 1837</t>
  </si>
  <si>
    <t>2/12/1827</t>
  </si>
  <si>
    <t>b4c1d8e4</t>
  </si>
  <si>
    <t>26/6/1812</t>
  </si>
  <si>
    <t>b5c7d1e3</t>
  </si>
  <si>
    <t>1/8/1813</t>
  </si>
  <si>
    <t>14/11/1840</t>
  </si>
  <si>
    <t>b6d8d6e5</t>
  </si>
  <si>
    <t>12/9/1794</t>
  </si>
  <si>
    <t>BETWEEN 11/7/1837 AND 12/5/1838</t>
  </si>
  <si>
    <t>JOSEPH JURGEN</t>
  </si>
  <si>
    <t>27/6/1812</t>
  </si>
  <si>
    <t>8/7/1812</t>
  </si>
  <si>
    <t>11/6/1836</t>
  </si>
  <si>
    <t>3/1/1836</t>
  </si>
  <si>
    <t>RALL</t>
  </si>
  <si>
    <t>a1b4</t>
  </si>
  <si>
    <t>BETWEEN 19/3/1838 AND 27/7/1838</t>
  </si>
  <si>
    <t>b11c2d3</t>
  </si>
  <si>
    <t>17/8/1817</t>
  </si>
  <si>
    <t>5/10/1817</t>
  </si>
  <si>
    <t>2/2/1914</t>
  </si>
  <si>
    <t>7/1/1838</t>
  </si>
  <si>
    <t>2/11/1819</t>
  </si>
  <si>
    <t>AFTER 21/6/1838</t>
  </si>
  <si>
    <t>b2c1d7e2</t>
  </si>
  <si>
    <t>20/8/1818</t>
  </si>
  <si>
    <t>6/9/1818</t>
  </si>
  <si>
    <t>JOHANNA HENDRIKA MAGDALENA</t>
  </si>
  <si>
    <t>HENSEN</t>
  </si>
  <si>
    <t>GERRIT ALBERTUS</t>
  </si>
  <si>
    <t>b2c5d4e2f2</t>
  </si>
  <si>
    <t>JOHANNA HENDRIKA MADGALENA</t>
  </si>
  <si>
    <t>(?) ONDER-DUIVENHOKSRIVIER</t>
  </si>
  <si>
    <t>9/2/1783</t>
  </si>
  <si>
    <t>21/3/1802</t>
  </si>
  <si>
    <t>MARTHA</t>
  </si>
  <si>
    <t>3/11/1858</t>
  </si>
  <si>
    <t>GRAAF-REINET THEN CRADOCK</t>
  </si>
  <si>
    <t>AROUND 1845</t>
  </si>
  <si>
    <t>b2c5d4e2f6</t>
  </si>
  <si>
    <t>14/10/1814</t>
  </si>
  <si>
    <t>7/4/1834</t>
  </si>
  <si>
    <t>PHILLIPUS ARNOLDUS</t>
  </si>
  <si>
    <t>b2c5d4e2f8</t>
  </si>
  <si>
    <t>5/9/1818</t>
  </si>
  <si>
    <t>20/12/1818</t>
  </si>
  <si>
    <t>26/12/1838</t>
  </si>
  <si>
    <t>CRADOCK THEN COLESBERG</t>
  </si>
  <si>
    <t>MARIA MAGDALENA ELIZABETH (MIETA)</t>
  </si>
  <si>
    <t>b7c3d1</t>
  </si>
  <si>
    <t>16/7/1780</t>
  </si>
  <si>
    <t>(?) START OF 1836</t>
  </si>
  <si>
    <t>29/8/1807</t>
  </si>
  <si>
    <t>5/10/1807</t>
  </si>
  <si>
    <t>9/5/1857</t>
  </si>
  <si>
    <t>15/2/1829</t>
  </si>
  <si>
    <t>HESTER CATHARAINA MARIA PETRONELLA</t>
  </si>
  <si>
    <t>1/2/1813</t>
  </si>
  <si>
    <t>9/7/1843</t>
  </si>
  <si>
    <t>FREDERIK CHRISTIAAN (PIETER)</t>
  </si>
  <si>
    <t>13/4/1805</t>
  </si>
  <si>
    <t>4/11/1827</t>
  </si>
  <si>
    <t>HUYBRECHT MARGARETHA SUSANNA</t>
  </si>
  <si>
    <t>b6c3d3e12</t>
  </si>
  <si>
    <t>20/12/1801</t>
  </si>
  <si>
    <t>7/9/1817</t>
  </si>
  <si>
    <t>(?) CRADOCK</t>
  </si>
  <si>
    <t>NAUDÉ</t>
  </si>
  <si>
    <t>CHARL (SAREL) DAVID</t>
  </si>
  <si>
    <t>a2b2c4</t>
  </si>
  <si>
    <t>9/3/1812</t>
  </si>
  <si>
    <t>12/4/1812</t>
  </si>
  <si>
    <t>30/12/1872</t>
  </si>
  <si>
    <t>18/5/1834</t>
  </si>
  <si>
    <t>BETWEEN 27/1/1839 AND 4/4/1841</t>
  </si>
  <si>
    <t>FRANCOIS PAULUS</t>
  </si>
  <si>
    <t>b1c1d13</t>
  </si>
  <si>
    <t>21/5/1800</t>
  </si>
  <si>
    <t>27/7/1800</t>
  </si>
  <si>
    <t>6/1/1881</t>
  </si>
  <si>
    <t>7/10/1821</t>
  </si>
  <si>
    <t>b6c4d6</t>
  </si>
  <si>
    <t>26/9/1803</t>
  </si>
  <si>
    <t>1/8/1869</t>
  </si>
  <si>
    <t>END OF OCTOBER 1838</t>
  </si>
  <si>
    <t>b1c1d10</t>
  </si>
  <si>
    <t>6/9/1787</t>
  </si>
  <si>
    <t>29/12/1787</t>
  </si>
  <si>
    <t>JOHANNA SOPHIA</t>
  </si>
  <si>
    <t>BRIEMER</t>
  </si>
  <si>
    <t>(?) WORCESTER</t>
  </si>
  <si>
    <t>a1b1c4d3e1</t>
  </si>
  <si>
    <t>29/8/1809</t>
  </si>
  <si>
    <t>8/9/1810</t>
  </si>
  <si>
    <t>9/7/1890</t>
  </si>
  <si>
    <t>2/10/1830</t>
  </si>
  <si>
    <t>CHRISTINA FRANCINA</t>
  </si>
  <si>
    <t>2/4/1838</t>
  </si>
  <si>
    <t>4/8/1864</t>
  </si>
  <si>
    <t>2/1/1872</t>
  </si>
  <si>
    <t>FRANCINA MARGARIETHA</t>
  </si>
  <si>
    <t>b1c6d5e5f2g4</t>
  </si>
  <si>
    <t>a1b1c4d3e10</t>
  </si>
  <si>
    <t>3/7/1824</t>
  </si>
  <si>
    <t>SARA JACOBA CATHARINA</t>
  </si>
  <si>
    <t>b3c9d7e1f3</t>
  </si>
  <si>
    <t>PETRUS JOHANNES NAUDÉ</t>
  </si>
  <si>
    <t>PHILIP JACOB</t>
  </si>
  <si>
    <t>a2b1c2</t>
  </si>
  <si>
    <t>ABERDEEN</t>
  </si>
  <si>
    <t>10/8/1808</t>
  </si>
  <si>
    <t>3/10/1808</t>
  </si>
  <si>
    <t>9/12/1880</t>
  </si>
  <si>
    <t>5/6/1831</t>
  </si>
  <si>
    <t>ANNA ELIZABETH SOPHIA</t>
  </si>
  <si>
    <t>30/9/1815</t>
  </si>
  <si>
    <t>30/101/1815</t>
  </si>
  <si>
    <t>20/8/1883</t>
  </si>
  <si>
    <t>CAMDEBO</t>
  </si>
  <si>
    <t>a1b1c4d3</t>
  </si>
  <si>
    <t>17/8/1784</t>
  </si>
  <si>
    <t>13/2/1785</t>
  </si>
  <si>
    <t>20/8/1841</t>
  </si>
  <si>
    <t>(?)</t>
  </si>
  <si>
    <t>23/2/1834</t>
  </si>
  <si>
    <t>a1b3c4d4e5</t>
  </si>
  <si>
    <t>a1b1c4d3e6</t>
  </si>
  <si>
    <t>3/10/1816</t>
  </si>
  <si>
    <t>19/11/1817</t>
  </si>
  <si>
    <t>9/8/1880</t>
  </si>
  <si>
    <t>3/2/1839</t>
  </si>
  <si>
    <t>b2c1d5e3f4</t>
  </si>
  <si>
    <t>8/1/1820</t>
  </si>
  <si>
    <t>7/10/1822</t>
  </si>
  <si>
    <t>PETRUS JOHANNES NAUDÉ (HIS FATHER)</t>
  </si>
  <si>
    <t>SUSANNA CATHARINA JOSEPHINA</t>
  </si>
  <si>
    <t>LA COCK</t>
  </si>
  <si>
    <t>a1b1c1d13e3</t>
  </si>
  <si>
    <t>23/7/1825</t>
  </si>
  <si>
    <t>3/3/1882</t>
  </si>
  <si>
    <t>7/7/1827</t>
  </si>
  <si>
    <t>16/9/1827</t>
  </si>
  <si>
    <t>30/8/1853</t>
  </si>
  <si>
    <t>(?) END OF OCTOBER 1838</t>
  </si>
  <si>
    <t>(?) A.W.J. PRETORIUS</t>
  </si>
  <si>
    <t>9/2/1857</t>
  </si>
  <si>
    <t>MARTHA MARGARETHA</t>
  </si>
  <si>
    <t>a1b1c4d3e9</t>
  </si>
  <si>
    <t>7/3/1822</t>
  </si>
  <si>
    <t>24/9/1822</t>
  </si>
  <si>
    <t>15/7/1871</t>
  </si>
  <si>
    <t>CORNELIA CHRISTINA</t>
  </si>
  <si>
    <t>6/9/1852</t>
  </si>
  <si>
    <t>BELLA MARIA MAGDELENA</t>
  </si>
  <si>
    <t>DANIËL JACOBUS</t>
  </si>
  <si>
    <t>a2b4c2</t>
  </si>
  <si>
    <t>9/1/1862</t>
  </si>
  <si>
    <t>b1c8d12(?)</t>
  </si>
  <si>
    <t>29/7/1798</t>
  </si>
  <si>
    <t>HENDRIK LUDOLPH</t>
  </si>
  <si>
    <t>a1b1c7d1</t>
  </si>
  <si>
    <t>11/7/1891</t>
  </si>
  <si>
    <t>3/12/1845</t>
  </si>
  <si>
    <t>20/5/1853</t>
  </si>
  <si>
    <t>HELENA SUSANNA JOHANNA</t>
  </si>
  <si>
    <t>26/6/1857</t>
  </si>
  <si>
    <t>SOPHIA JACOMINA</t>
  </si>
  <si>
    <t>a2b4c2d2</t>
  </si>
  <si>
    <t>7/3/1819</t>
  </si>
  <si>
    <t>12/4/1819</t>
  </si>
  <si>
    <t>WEPENER</t>
  </si>
  <si>
    <t>22/8/1897</t>
  </si>
  <si>
    <t>10/6/1838</t>
  </si>
  <si>
    <t>ANNA MARGARETHA GEERTRUYDA</t>
  </si>
  <si>
    <t>BETWEEN 1845 AND 1850</t>
  </si>
  <si>
    <t>ALETTA MARTHA MARIA</t>
  </si>
  <si>
    <t>DELMAS</t>
  </si>
  <si>
    <t>5/1/1853</t>
  </si>
  <si>
    <t>ANNA JOHANNA FREDERIKA</t>
  </si>
  <si>
    <t>26/1/1832</t>
  </si>
  <si>
    <t>27/10/1901</t>
  </si>
  <si>
    <t>KLEINBERG</t>
  </si>
  <si>
    <t>5/1/1794</t>
  </si>
  <si>
    <t>2/5/1819</t>
  </si>
  <si>
    <t>8/6/1794</t>
  </si>
  <si>
    <t>MAGDELENA ELISABETH</t>
  </si>
  <si>
    <t>b2c3d1e4f3</t>
  </si>
  <si>
    <t>STEPHANUS NERNADUS</t>
  </si>
  <si>
    <t>BETWEEN MIDDLE 1839 AND AUGUST 1842</t>
  </si>
  <si>
    <t>CHRISTIAN STEPHANUS</t>
  </si>
  <si>
    <t>10/5/1839</t>
  </si>
  <si>
    <t>9/8/1842</t>
  </si>
  <si>
    <t>12/7/1824</t>
  </si>
  <si>
    <t>FREDERIK DANIËL</t>
  </si>
  <si>
    <t>b10c10d4</t>
  </si>
  <si>
    <t>6/3/1803</t>
  </si>
  <si>
    <t>7/3/1824</t>
  </si>
  <si>
    <t>17/9/1833</t>
  </si>
  <si>
    <t>ISABELLA PETRONELLA</t>
  </si>
  <si>
    <t>GABRIËL</t>
  </si>
  <si>
    <t>b2c3d4e1f2</t>
  </si>
  <si>
    <t>25/6/1809</t>
  </si>
  <si>
    <t>16/3/1839</t>
  </si>
  <si>
    <t>MARIA MAGDELENA</t>
  </si>
  <si>
    <t>b4c1d10e10</t>
  </si>
  <si>
    <t>(?) NOVEMBER 1837</t>
  </si>
  <si>
    <t>(?) L.J. NEL</t>
  </si>
  <si>
    <t>GERRIT CORNELIS</t>
  </si>
  <si>
    <t>b2c3d4e1f3</t>
  </si>
  <si>
    <t>26/2/1815</t>
  </si>
  <si>
    <t>ELISABETH FREDERIKA</t>
  </si>
  <si>
    <t>b1c3d1e4f8</t>
  </si>
  <si>
    <t>1/1/1817</t>
  </si>
  <si>
    <t>L.J. NEL</t>
  </si>
  <si>
    <t>GERRIT CORNELIS JOHANNES</t>
  </si>
  <si>
    <t>b2c2d4e3f2</t>
  </si>
  <si>
    <t>1/3/1818</t>
  </si>
  <si>
    <t>10/5/1835</t>
  </si>
  <si>
    <t>VAN  TONDER</t>
  </si>
  <si>
    <t>BEFORE MARCH 1841</t>
  </si>
  <si>
    <t>BERRIT PETRUS DANIEL JACOBUS</t>
  </si>
  <si>
    <t>b10c5d9e1f1</t>
  </si>
  <si>
    <t>23/3/1818</t>
  </si>
  <si>
    <t>SUSANNA WILHELMINA CAROLINA</t>
  </si>
  <si>
    <t>17/9/1823</t>
  </si>
  <si>
    <t>ONDER-BOESMANSRIVI</t>
  </si>
  <si>
    <t>GIDEON JACOBUS</t>
  </si>
  <si>
    <t>b2c2d4e3f6</t>
  </si>
  <si>
    <t>25/7/1825</t>
  </si>
  <si>
    <t>14/8/1825</t>
  </si>
  <si>
    <t>31/5/1853</t>
  </si>
  <si>
    <t>SUSANNA ELISABETH IGASINA</t>
  </si>
  <si>
    <t>b1c3d6e9f1g3</t>
  </si>
  <si>
    <t>b2c2d3E3f3</t>
  </si>
  <si>
    <t>26/7/1815</t>
  </si>
  <si>
    <t>CAPE COLONIES</t>
  </si>
  <si>
    <t>7/5/1894</t>
  </si>
  <si>
    <t>BETWEEN APRIL 1841 ANS OCTOBER 1844</t>
  </si>
  <si>
    <t>HESTER (WEDUWEE P. DE LA REY)</t>
  </si>
  <si>
    <t>b2c3d1e6</t>
  </si>
  <si>
    <t>5/5/1782</t>
  </si>
  <si>
    <t>10/2/1799</t>
  </si>
  <si>
    <t>UTRECTH, NEDERLAND</t>
  </si>
  <si>
    <t>22/2/1766</t>
  </si>
  <si>
    <t>15/3/1842</t>
  </si>
  <si>
    <t>SON</t>
  </si>
  <si>
    <t>JACOBUS HERCULES</t>
  </si>
  <si>
    <t>b2c3d1e7</t>
  </si>
  <si>
    <t>MARGARETHA JACOBA</t>
  </si>
  <si>
    <t>(?) BRUINTJIESHOOGTE</t>
  </si>
  <si>
    <t>(?) END OF 1837</t>
  </si>
  <si>
    <t>JEREMIAS JACOBUS</t>
  </si>
  <si>
    <t>b2c3d4e1f5</t>
  </si>
  <si>
    <t>29/3/1819</t>
  </si>
  <si>
    <t>6/12/1819</t>
  </si>
  <si>
    <t>26/4/1870</t>
  </si>
  <si>
    <t>17/11/1839</t>
  </si>
  <si>
    <t>ELSJE HENDRINA CATHARINA (MARIA)</t>
  </si>
  <si>
    <t>b6c1d2e3</t>
  </si>
  <si>
    <t>(?) OOS-RIETRIVIER</t>
  </si>
  <si>
    <t>b10c5d4</t>
  </si>
  <si>
    <t>26/4/1841</t>
  </si>
  <si>
    <t>11/9/1785</t>
  </si>
  <si>
    <t>BAVIAANSKLOOF</t>
  </si>
  <si>
    <t>(?) OCTOBER 1840</t>
  </si>
  <si>
    <t>b2c2d5e1f2</t>
  </si>
  <si>
    <t>28/8/1808</t>
  </si>
  <si>
    <t>WILHELMINA GERTRUYDA</t>
  </si>
  <si>
    <t>BETWEEN 22/6/1838 AND APRIL 1842</t>
  </si>
  <si>
    <t>24/4/1803</t>
  </si>
  <si>
    <t>16/3/1823</t>
  </si>
  <si>
    <t>b1c3d2e6f1</t>
  </si>
  <si>
    <t>8/6/1806</t>
  </si>
  <si>
    <t>JOHANNES PETRUS SR.</t>
  </si>
  <si>
    <t>b1c3d1e2</t>
  </si>
  <si>
    <t>12/9/1773</t>
  </si>
  <si>
    <t>7/5/1797</t>
  </si>
  <si>
    <t>MARIA</t>
  </si>
  <si>
    <t>b1c4d2e2f1</t>
  </si>
  <si>
    <t>JOHANNES PETRUS JR.</t>
  </si>
  <si>
    <t>b1c3d1e2f1</t>
  </si>
  <si>
    <t>b1c3d1e1f1</t>
  </si>
  <si>
    <t>b2c3d4e1</t>
  </si>
  <si>
    <t>21/5/1780</t>
  </si>
  <si>
    <t>15/3/1801</t>
  </si>
  <si>
    <t>GESINA MARIA BEATRIX</t>
  </si>
  <si>
    <t>a1b3c10d8</t>
  </si>
  <si>
    <t>30/1/1785</t>
  </si>
  <si>
    <t>10/11/1853</t>
  </si>
  <si>
    <t>LOUIS JACOBUS SR.</t>
  </si>
  <si>
    <t>5/2/1778</t>
  </si>
  <si>
    <t>25/4/1802</t>
  </si>
  <si>
    <t>b1c7d2e8</t>
  </si>
  <si>
    <t>26/9/1879</t>
  </si>
  <si>
    <t>LOUIS JACOBUS JR.</t>
  </si>
  <si>
    <t>b2c3d1e4f6</t>
  </si>
  <si>
    <t>28/12/1811</t>
  </si>
  <si>
    <t>9/8/1812</t>
  </si>
  <si>
    <t>HILLETJE LEVINA HELENE</t>
  </si>
  <si>
    <t>28/2/1820</t>
  </si>
  <si>
    <t>L.J. NEL JR</t>
  </si>
  <si>
    <t>b2c3d4e4f6</t>
  </si>
  <si>
    <t>27/4/1821</t>
  </si>
  <si>
    <t>20/10/1821</t>
  </si>
  <si>
    <t>13/4/1839</t>
  </si>
  <si>
    <t>MAGDELENA HENRIETTA ELISABETH</t>
  </si>
  <si>
    <t>15/3/1821</t>
  </si>
  <si>
    <t>5/8/1886</t>
  </si>
  <si>
    <t>BEFORE 1848</t>
  </si>
  <si>
    <t>b10c5d3e7</t>
  </si>
  <si>
    <t>24/1/1790</t>
  </si>
  <si>
    <t>4/4/1793</t>
  </si>
  <si>
    <t>VLAKKRAAL</t>
  </si>
  <si>
    <t>21/3/1867</t>
  </si>
  <si>
    <t>CORNELIA CAROLINA ELISABETH</t>
  </si>
  <si>
    <t>15/11/1787</t>
  </si>
  <si>
    <t>25/1/1788</t>
  </si>
  <si>
    <t>TRANSORRANJE</t>
  </si>
  <si>
    <t>27/9/1840</t>
  </si>
  <si>
    <t>ANNA ELISABETH MARIA</t>
  </si>
  <si>
    <t>4/1/1813</t>
  </si>
  <si>
    <t>PHILIP JACOBUS</t>
  </si>
  <si>
    <t>b2c3d1e2f3</t>
  </si>
  <si>
    <t>CHIRSTINA HELENA</t>
  </si>
  <si>
    <t>b1c1d1e3f2</t>
  </si>
  <si>
    <t>b2c3d1e4f2</t>
  </si>
  <si>
    <t>27/3/1804</t>
  </si>
  <si>
    <t>6/5/1804</t>
  </si>
  <si>
    <t>29/11/1883</t>
  </si>
  <si>
    <t>19/2/1829</t>
  </si>
  <si>
    <t>ANNA FREDERIKA</t>
  </si>
  <si>
    <t>27/3/1811</t>
  </si>
  <si>
    <t>19/6/1812</t>
  </si>
  <si>
    <t>b10c10d1</t>
  </si>
  <si>
    <t>16/4/1815</t>
  </si>
  <si>
    <t>CALITZ</t>
  </si>
  <si>
    <t>b5c3d1</t>
  </si>
  <si>
    <t>21/5/1797</t>
  </si>
  <si>
    <t>PUETER SCHALK JOHANNES</t>
  </si>
  <si>
    <t>b10c2d7e2</t>
  </si>
  <si>
    <t>1/5/1808</t>
  </si>
  <si>
    <t>6/4/1829</t>
  </si>
  <si>
    <t>(?) K.P. LANDMAN</t>
  </si>
  <si>
    <t>(?) NATAL</t>
  </si>
  <si>
    <t>b10c5d9e1</t>
  </si>
  <si>
    <t>7/10/1796</t>
  </si>
  <si>
    <t>ANNA HELENA MARTHA</t>
  </si>
  <si>
    <t>b1c2d4e6</t>
  </si>
  <si>
    <t>b10c5d1e2f1</t>
  </si>
  <si>
    <t>3/10/1825</t>
  </si>
  <si>
    <t>HESTER HEMDRINA</t>
  </si>
  <si>
    <t>FOUCHÉ</t>
  </si>
  <si>
    <t>b6c3d2e2f3</t>
  </si>
  <si>
    <t>12/7/1807</t>
  </si>
  <si>
    <t>(?) BEFORE 1839</t>
  </si>
  <si>
    <t>PIETER WILLEM ADRIAAN</t>
  </si>
  <si>
    <t>b9c5d4e4</t>
  </si>
  <si>
    <t>14/3/1796</t>
  </si>
  <si>
    <t>b7c1d6e14</t>
  </si>
  <si>
    <t>1/7/1798</t>
  </si>
  <si>
    <t>19/1/1862</t>
  </si>
  <si>
    <t>b10c5d4e2f2</t>
  </si>
  <si>
    <t>29/11/1812</t>
  </si>
  <si>
    <t>3/7/1831</t>
  </si>
  <si>
    <t>ELSJE</t>
  </si>
  <si>
    <t>STEPHANUS CHRISTOFFEL ANTHONIE</t>
  </si>
  <si>
    <t>b2c2d3e3f5</t>
  </si>
  <si>
    <t>25/7/1819</t>
  </si>
  <si>
    <t>VOLKSRUST</t>
  </si>
  <si>
    <t>2/5/1902</t>
  </si>
  <si>
    <t>8/7/1839</t>
  </si>
  <si>
    <t>SUSANNA LOUIS</t>
  </si>
  <si>
    <t>b1c6d4e7f1</t>
  </si>
  <si>
    <t>SEPHANUS JOHANNES</t>
  </si>
  <si>
    <t>b10c5d3e7f2</t>
  </si>
  <si>
    <t>15/5/1823</t>
  </si>
  <si>
    <t>18/6/1823</t>
  </si>
  <si>
    <t>b2c3d1e4f5</t>
  </si>
  <si>
    <t>2/7/1810</t>
  </si>
  <si>
    <t>11/10/1884</t>
  </si>
  <si>
    <t>b2c8d7e5</t>
  </si>
  <si>
    <t>DANIE MARTHINA</t>
  </si>
  <si>
    <t>b2c2d5e7</t>
  </si>
  <si>
    <t>3/2/1805</t>
  </si>
  <si>
    <t>24/5/1877</t>
  </si>
  <si>
    <t>2/3/1828</t>
  </si>
  <si>
    <t>17/6/1811</t>
  </si>
  <si>
    <t>b10c2d11e6</t>
  </si>
  <si>
    <t>23/12/1813</t>
  </si>
  <si>
    <t>19/6/1814</t>
  </si>
  <si>
    <t>3/3/1839</t>
  </si>
  <si>
    <t>b2c8d11e1</t>
  </si>
  <si>
    <t>b2c2d44e3</t>
  </si>
  <si>
    <t>3/4/1788</t>
  </si>
  <si>
    <t>3/12/1808</t>
  </si>
  <si>
    <t>b5c3d1e4f3</t>
  </si>
  <si>
    <t>18/8/1853</t>
  </si>
  <si>
    <t>WILLEM ANDRIES STEPHANUS</t>
  </si>
  <si>
    <t>b2c2d4e3f4</t>
  </si>
  <si>
    <t>26/6/1821</t>
  </si>
  <si>
    <t>8/6/1822</t>
  </si>
  <si>
    <t>4/8/1845</t>
  </si>
  <si>
    <t>ANNA MARIA MARGARETHA SUSANNA</t>
  </si>
  <si>
    <t>a1b1c1d1e6f5</t>
  </si>
  <si>
    <t>28/3/1824</t>
  </si>
  <si>
    <t>16/5/1824</t>
  </si>
  <si>
    <t>WILLEM GABRIËL</t>
  </si>
  <si>
    <t>b2c3d1e4f7</t>
  </si>
  <si>
    <t>3/11/1813</t>
  </si>
  <si>
    <t>4/11/1902</t>
  </si>
  <si>
    <t>MARTHA DOROTHEA CORNELIA</t>
  </si>
  <si>
    <t>b1c7d2e9f1</t>
  </si>
  <si>
    <t>27/10/1817</t>
  </si>
  <si>
    <t>23/11/1817</t>
  </si>
  <si>
    <t>12/8/1789</t>
  </si>
  <si>
    <t>7/3/1790</t>
  </si>
  <si>
    <t>CATHARINA G.</t>
  </si>
  <si>
    <t>1/7/1838</t>
  </si>
  <si>
    <t>WILHEMINA GEERTRUIDA</t>
  </si>
  <si>
    <t>ADOLPHINA GEERTRUIDA</t>
  </si>
  <si>
    <t>NIEMANN</t>
  </si>
  <si>
    <t>PIETER JACOBUS JR.</t>
  </si>
  <si>
    <t>a1b10c6d1</t>
  </si>
  <si>
    <t>6/2/1809</t>
  </si>
  <si>
    <t>3/12/1809</t>
  </si>
  <si>
    <t>8/12/1861</t>
  </si>
  <si>
    <t>1/9/1833</t>
  </si>
  <si>
    <t>MARGARETHA ELISABETH</t>
  </si>
  <si>
    <t>GROBBELAAR/GROBLER</t>
  </si>
  <si>
    <t>a1b10c6d3</t>
  </si>
  <si>
    <t>14/4/1814</t>
  </si>
  <si>
    <t>4/10/1814</t>
  </si>
  <si>
    <t>20/12/1897</t>
  </si>
  <si>
    <t>28/12/1834</t>
  </si>
  <si>
    <t>MARGARETHA JOHANNA</t>
  </si>
  <si>
    <t>a1b5c8d5e1</t>
  </si>
  <si>
    <t>10/1/1817</t>
  </si>
  <si>
    <t>CHRISTINA SUSANNA MARIA</t>
  </si>
  <si>
    <t>EKSTEEN</t>
  </si>
  <si>
    <t>26/6/1817</t>
  </si>
  <si>
    <t>3/8/1817</t>
  </si>
  <si>
    <t>30/1/1894</t>
  </si>
  <si>
    <t>26/6/1836</t>
  </si>
  <si>
    <t>31/7/1815</t>
  </si>
  <si>
    <t>20/5/1874</t>
  </si>
  <si>
    <t>BEFORE ABOUT 1841</t>
  </si>
  <si>
    <t>RAGEL JAOCBA</t>
  </si>
  <si>
    <t>11/2/1885</t>
  </si>
  <si>
    <t>MAGDELENA JULIA</t>
  </si>
  <si>
    <t>2/10/1814</t>
  </si>
  <si>
    <t>15/1/1815</t>
  </si>
  <si>
    <t>15/9/1833</t>
  </si>
  <si>
    <t>b5c3d2</t>
  </si>
  <si>
    <t>22/11/1811</t>
  </si>
  <si>
    <t>6/12/1829</t>
  </si>
  <si>
    <t>MAGDELENA CHRISTINA</t>
  </si>
  <si>
    <t>b6c4d4e1</t>
  </si>
  <si>
    <t>6/10/1814</t>
  </si>
  <si>
    <t>23/4/1815</t>
  </si>
  <si>
    <t>6/11/1837</t>
  </si>
  <si>
    <t>(?) BEGIN 1836</t>
  </si>
  <si>
    <t>5/1/1840</t>
  </si>
  <si>
    <t>b1c2d2e10</t>
  </si>
  <si>
    <t>24/10/1821</t>
  </si>
  <si>
    <t>NOORDMAN</t>
  </si>
  <si>
    <t>GODLIEB ANTONIE</t>
  </si>
  <si>
    <t>12/8/1806</t>
  </si>
  <si>
    <t>25/4/1807</t>
  </si>
  <si>
    <t>27/11/1882</t>
  </si>
  <si>
    <t>20/9/1833</t>
  </si>
  <si>
    <t>SUSANNA (SARA) HELENA</t>
  </si>
  <si>
    <t>b1c5d9</t>
  </si>
  <si>
    <t>2/6/1806</t>
  </si>
  <si>
    <t>DANIEL THEODORE WILLEM MAARTEN JOHANNES</t>
  </si>
  <si>
    <t>a1b5c8d2e6</t>
  </si>
  <si>
    <t>16/4/1827</t>
  </si>
  <si>
    <t>DINA JOHANNA ADRIANA</t>
  </si>
  <si>
    <t>b9c2</t>
  </si>
  <si>
    <t>1/11/1807</t>
  </si>
  <si>
    <t>(?) JACOB DE KLERK</t>
  </si>
  <si>
    <t>a3b5c8d2e3</t>
  </si>
  <si>
    <t>15/2/1824</t>
  </si>
  <si>
    <t>ANNA  CATHARINA BARBARA</t>
  </si>
  <si>
    <t>17/6/1804</t>
  </si>
  <si>
    <t>(?) JULY 1837</t>
  </si>
  <si>
    <t>MAGDELENA ALBERTA</t>
  </si>
  <si>
    <t>6/12/1835</t>
  </si>
  <si>
    <t>ELEONORA DEBORA CAROLINA</t>
  </si>
  <si>
    <t>b1c3d1e7f1</t>
  </si>
  <si>
    <t>26/2/1809</t>
  </si>
  <si>
    <t>JOACHIM JOHANNES PETRUS</t>
  </si>
  <si>
    <t>a1b3c5d4e5</t>
  </si>
  <si>
    <t>29/3/1823</t>
  </si>
  <si>
    <t>7/10/1845</t>
  </si>
  <si>
    <t>MARTHA CORNELIA MARIA</t>
  </si>
  <si>
    <t>VAN GREUNEN</t>
  </si>
  <si>
    <t>(?) SOMERSET</t>
  </si>
  <si>
    <t>PETRUS (PIETER) JOHANNES SR.</t>
  </si>
  <si>
    <t>a3b3c5d7</t>
  </si>
  <si>
    <t>30/12/1790</t>
  </si>
  <si>
    <t>5/8/1808</t>
  </si>
  <si>
    <t>b1c2d4e1</t>
  </si>
  <si>
    <t>5/2/1787</t>
  </si>
  <si>
    <t>BEFORE JUNE 1836</t>
  </si>
  <si>
    <t>PETRUS (PIETER) JOHANNES JR.</t>
  </si>
  <si>
    <t>a3b3c5d7e2</t>
  </si>
  <si>
    <t>1/10/1815</t>
  </si>
  <si>
    <t>11/10/1835</t>
  </si>
  <si>
    <t>ANNA MAGDELENA</t>
  </si>
  <si>
    <t>WILLERS</t>
  </si>
  <si>
    <t>(?) 1836</t>
  </si>
  <si>
    <t>ADRIAAN ISAAK</t>
  </si>
  <si>
    <t>b9c5d1</t>
  </si>
  <si>
    <t>30/3/1812</t>
  </si>
  <si>
    <t>27/7/1879</t>
  </si>
  <si>
    <t>6/5/1832</t>
  </si>
  <si>
    <t>JOHANNA WILHEMINA</t>
  </si>
  <si>
    <t>b2c10d8</t>
  </si>
  <si>
    <t>5/7/1812</t>
  </si>
  <si>
    <t>7/11/1867</t>
  </si>
  <si>
    <t>BETWEEN 16/2/1838 AND MAY 1841</t>
  </si>
  <si>
    <t>(?) AS A FAMILY</t>
  </si>
  <si>
    <t>10/8/1868</t>
  </si>
  <si>
    <t>10/11/1873</t>
  </si>
  <si>
    <t>ELZIE CATHARINA</t>
  </si>
  <si>
    <t>b3c1d8e4</t>
  </si>
  <si>
    <t>19/10/1817</t>
  </si>
  <si>
    <t>25/8/1898</t>
  </si>
  <si>
    <t>24/4/1841</t>
  </si>
  <si>
    <t>b1c3d1e2f1g1</t>
  </si>
  <si>
    <t>END OF OCTOBER 1837</t>
  </si>
  <si>
    <t>b3c1d9</t>
  </si>
  <si>
    <t>6/4/1788</t>
  </si>
  <si>
    <t>26/7/1858</t>
  </si>
  <si>
    <t>2/5/1813</t>
  </si>
  <si>
    <t>WILHELMINA MICHIELINA</t>
  </si>
  <si>
    <t>JOHANNES CASPARUS</t>
  </si>
  <si>
    <t>b3c1d8</t>
  </si>
  <si>
    <t>26/6/1785</t>
  </si>
  <si>
    <t>APRIL 1810</t>
  </si>
  <si>
    <t>SUSANNA ENGELA</t>
  </si>
  <si>
    <t>b9c4</t>
  </si>
  <si>
    <t>14/1/1788</t>
  </si>
  <si>
    <t>b9c5d2</t>
  </si>
  <si>
    <t>25/9/1814</t>
  </si>
  <si>
    <t>30/10/1891</t>
  </si>
  <si>
    <t>ELISABETH LOURENTIA</t>
  </si>
  <si>
    <t>b2c10d11</t>
  </si>
  <si>
    <t>51/7/1818</t>
  </si>
  <si>
    <t>24/10/1885</t>
  </si>
  <si>
    <t>BETWEEN 16/2/1838 AND APRIL 1840</t>
  </si>
  <si>
    <t>ADRIAAN JACOBUS JEREMIAS</t>
  </si>
  <si>
    <t>a2b4c11d2e2</t>
  </si>
  <si>
    <t>9/10/1792</t>
  </si>
  <si>
    <t>25/7/1867</t>
  </si>
  <si>
    <t>11/9/1814</t>
  </si>
  <si>
    <t>DINA ELISABETH JOHANNA CORNELIA</t>
  </si>
  <si>
    <t>DU PISANI</t>
  </si>
  <si>
    <t>6/11/1796</t>
  </si>
  <si>
    <t>(?) MIDDLE 1837</t>
  </si>
  <si>
    <t>a1b2c2d1e1f3g3</t>
  </si>
  <si>
    <t>21/12/1818</t>
  </si>
  <si>
    <t>31/1/1819</t>
  </si>
  <si>
    <t>30/5/1886</t>
  </si>
  <si>
    <t>6/8/1837</t>
  </si>
  <si>
    <t>a1b1c1d1e6</t>
  </si>
  <si>
    <t>(?) JAN DU PLESSIS</t>
  </si>
  <si>
    <t>a2b4c6d7e2f2</t>
  </si>
  <si>
    <t>25/7/1820</t>
  </si>
  <si>
    <t>14/10/1884</t>
  </si>
  <si>
    <t>11/4/1840</t>
  </si>
  <si>
    <t>OCKERT ANDRIES</t>
  </si>
  <si>
    <t>a2b4c11d2e4</t>
  </si>
  <si>
    <t>30/3/1800</t>
  </si>
  <si>
    <t>2/12/1821</t>
  </si>
  <si>
    <t>AROUND MIDDLE 1837</t>
  </si>
  <si>
    <t>OCKERT JOHANNES STEPHANUS</t>
  </si>
  <si>
    <t>a2b4c6d7e2</t>
  </si>
  <si>
    <t>8/12/1816</t>
  </si>
  <si>
    <t>(?) TARKA</t>
  </si>
  <si>
    <t>BEFORE NOVEMBER 1839 BUT AFTER OCTOBER 1837</t>
  </si>
  <si>
    <t>8/11/1829</t>
  </si>
  <si>
    <t>ALIDA JOHANNA CAROLINA</t>
  </si>
  <si>
    <t>b2c4d6e2f3</t>
  </si>
  <si>
    <t>4/12/1806</t>
  </si>
  <si>
    <t>BARBARA PERTRONELLA (WEDUWEE P.W. OOSTHUIZEN)</t>
  </si>
  <si>
    <t>b1c7d10</t>
  </si>
  <si>
    <t>6/5/1790</t>
  </si>
  <si>
    <t>PETRUS WILHEMUS</t>
  </si>
  <si>
    <t>5/9/1784</t>
  </si>
  <si>
    <t>(?) GERHARDUS RUDOLPH</t>
  </si>
  <si>
    <t>KWAMITHANE</t>
  </si>
  <si>
    <t>b1c4d7e4</t>
  </si>
  <si>
    <t>5/12/1822</t>
  </si>
  <si>
    <t>22/10/1842</t>
  </si>
  <si>
    <t>CORNELIS ANDRIES</t>
  </si>
  <si>
    <t>b7c3d7</t>
  </si>
  <si>
    <t>24/1/1793</t>
  </si>
  <si>
    <t>11/4/1813</t>
  </si>
  <si>
    <t>JOHANNA MATCHTELD PETRONELLA</t>
  </si>
  <si>
    <t>b3c3d6e9</t>
  </si>
  <si>
    <t>13/1/1793</t>
  </si>
  <si>
    <t>b7c3d7e4</t>
  </si>
  <si>
    <t>26/7/1821</t>
  </si>
  <si>
    <t>6/6/1899</t>
  </si>
  <si>
    <t>23/6/1823</t>
  </si>
  <si>
    <t>DANIËL JACOBUS JOHANNES</t>
  </si>
  <si>
    <t>b7c3d13</t>
  </si>
  <si>
    <t>20/3/1808</t>
  </si>
  <si>
    <t>MARTHA MARIA ELIZABETH</t>
  </si>
  <si>
    <t>b1c5d5e2</t>
  </si>
  <si>
    <t>4/8/1801</t>
  </si>
  <si>
    <t>17/4/1803</t>
  </si>
  <si>
    <t>7/7/1892</t>
  </si>
  <si>
    <t>1/2/1824</t>
  </si>
  <si>
    <t>b1c4d5e8</t>
  </si>
  <si>
    <t>14/8/1821</t>
  </si>
  <si>
    <t>AROUND MARCH 1836</t>
  </si>
  <si>
    <t>(?) GERT RUDOLPH</t>
  </si>
  <si>
    <t>b1c4d5e1</t>
  </si>
  <si>
    <t>TYSINA GERMINA CLASINA</t>
  </si>
  <si>
    <t>KNOETZEN</t>
  </si>
  <si>
    <t>JOHANNES HENDRIK LODEWYK</t>
  </si>
  <si>
    <t>b1c4d7e2</t>
  </si>
  <si>
    <t>23/8/1835</t>
  </si>
  <si>
    <t>b2c3d8e10</t>
  </si>
  <si>
    <t>6/9/1819</t>
  </si>
  <si>
    <t>JOHANNES JACOBUS SR.</t>
  </si>
  <si>
    <t>b7c2d3</t>
  </si>
  <si>
    <t>6/11/1785</t>
  </si>
  <si>
    <t>AROUND 1837</t>
  </si>
  <si>
    <t>JOHANNES JACOBUS JR.</t>
  </si>
  <si>
    <t>b7c2d3e2</t>
  </si>
  <si>
    <t>18/10/1818</t>
  </si>
  <si>
    <t>28/11/1819</t>
  </si>
  <si>
    <t>ANNA JOHANNA</t>
  </si>
  <si>
    <t>a1b5c4d2e8</t>
  </si>
  <si>
    <t>21/1/1822</t>
  </si>
  <si>
    <t>4/8/1822</t>
  </si>
  <si>
    <t>6/6/1862</t>
  </si>
  <si>
    <t>b1c5d4</t>
  </si>
  <si>
    <t>24/5/1778</t>
  </si>
  <si>
    <t>17/3/1846</t>
  </si>
  <si>
    <t>25/3/1770</t>
  </si>
  <si>
    <t>b1c4d7</t>
  </si>
  <si>
    <t>6/2/1791</t>
  </si>
  <si>
    <t>28/5/1812</t>
  </si>
  <si>
    <t>b2c2d1e3f4</t>
  </si>
  <si>
    <t>17/3/1793</t>
  </si>
  <si>
    <t>11/11/1858</t>
  </si>
  <si>
    <t>b1c4d7e3</t>
  </si>
  <si>
    <t>14/10/1818</t>
  </si>
  <si>
    <t>8/4/1819</t>
  </si>
  <si>
    <t>2/4/1897</t>
  </si>
  <si>
    <t>ON TREK</t>
  </si>
  <si>
    <t>5/8/1838</t>
  </si>
  <si>
    <t>ALETTA BERNHARDINA</t>
  </si>
  <si>
    <t>24/10/1820</t>
  </si>
  <si>
    <t>REITZ</t>
  </si>
  <si>
    <t>12/9/1916</t>
  </si>
  <si>
    <t>b1c4d5e7</t>
  </si>
  <si>
    <t>BETWEEN SEPTEMBER AND DECEMBER 1837</t>
  </si>
  <si>
    <t>OCKERT ANDREAS</t>
  </si>
  <si>
    <t>b7c3d7e1</t>
  </si>
  <si>
    <t>8/4/1814</t>
  </si>
  <si>
    <t>10/7/1814</t>
  </si>
  <si>
    <t>16/5/1884</t>
  </si>
  <si>
    <t>17/1/1834</t>
  </si>
  <si>
    <t>ADRIANA CECILIA</t>
  </si>
  <si>
    <t>b7c3d2e1</t>
  </si>
  <si>
    <t>22/7/1809</t>
  </si>
  <si>
    <t>ALBERTINA</t>
  </si>
  <si>
    <t>23/3/1876</t>
  </si>
  <si>
    <t>9/2/1834</t>
  </si>
  <si>
    <t>SOPHIA ALETTA PETRONELLA WILHELMINA SUSANNA</t>
  </si>
  <si>
    <t>TRAKA</t>
  </si>
  <si>
    <t>PETRUS WILHELM SR.</t>
  </si>
  <si>
    <t>b1c10d1</t>
  </si>
  <si>
    <t>27/1/1782</t>
  </si>
  <si>
    <t>b7c1d2e6</t>
  </si>
  <si>
    <t>16/3/1788</t>
  </si>
  <si>
    <t>PETRUS WILHELMUS JR.</t>
  </si>
  <si>
    <t>b1c10d1e9</t>
  </si>
  <si>
    <t>11/9/1821</t>
  </si>
  <si>
    <t>26/9/1821</t>
  </si>
  <si>
    <t>19/10/1844</t>
  </si>
  <si>
    <t>SARA JOHANNA SUSANNA</t>
  </si>
  <si>
    <t>b3c7d4e9</t>
  </si>
  <si>
    <t>23/12/1822</t>
  </si>
  <si>
    <t>b1c4d5e4</t>
  </si>
  <si>
    <t>6/3/1814</t>
  </si>
  <si>
    <t>(?) ONDER-BOESMANSRIVIER</t>
  </si>
  <si>
    <t>b1c10d1e5</t>
  </si>
  <si>
    <t>27/3/1834</t>
  </si>
  <si>
    <t>b3c7d4e5</t>
  </si>
  <si>
    <t>19/3/1814</t>
  </si>
  <si>
    <t>21/2/1878</t>
  </si>
  <si>
    <t>b1c4d2e2</t>
  </si>
  <si>
    <t>9/6/1805</t>
  </si>
  <si>
    <t>20/9/1805</t>
  </si>
  <si>
    <t>1/7/1842</t>
  </si>
  <si>
    <t>6/3/1825</t>
  </si>
  <si>
    <t>AFTER 9/6/1838</t>
  </si>
  <si>
    <t>OPPEL</t>
  </si>
  <si>
    <t>BERNARD WILHELM</t>
  </si>
  <si>
    <t>17/12/1820</t>
  </si>
  <si>
    <t>b1c1d4</t>
  </si>
  <si>
    <t>23/5/1823</t>
  </si>
  <si>
    <t>20/9/1823</t>
  </si>
  <si>
    <t>CHRISTIAAN MATTHYS</t>
  </si>
  <si>
    <t>b1c8d8</t>
  </si>
  <si>
    <t>14/7/1817</t>
  </si>
  <si>
    <t>8/2/1818</t>
  </si>
  <si>
    <t>b3c4d2e2f8</t>
  </si>
  <si>
    <t>b1c9d2</t>
  </si>
  <si>
    <t>27/11/1804</t>
  </si>
  <si>
    <t>20/5/1805</t>
  </si>
  <si>
    <t>24/5/1846</t>
  </si>
  <si>
    <t>2/7/1826</t>
  </si>
  <si>
    <t>LÖTTER</t>
  </si>
  <si>
    <t>b4c6d3</t>
  </si>
  <si>
    <t>22/2/1807</t>
  </si>
  <si>
    <t>NOVEMBER/DECEMBER 1837</t>
  </si>
  <si>
    <t>PHILIPPUS ALBERTUS OPPERMAN</t>
  </si>
  <si>
    <t>GODLIEB JOHANNES</t>
  </si>
  <si>
    <t>4/3/1790</t>
  </si>
  <si>
    <t>(?) BEAUFORT</t>
  </si>
  <si>
    <t>GODLIEB RUDOLPH</t>
  </si>
  <si>
    <t>9/8/1882</t>
  </si>
  <si>
    <t>6/8/1820</t>
  </si>
  <si>
    <t>b9c1d2</t>
  </si>
  <si>
    <t>18/3/1804</t>
  </si>
  <si>
    <t>AROUND END MARCH 1838</t>
  </si>
  <si>
    <t>5/11/1826</t>
  </si>
  <si>
    <t>3/10/1812</t>
  </si>
  <si>
    <t>(?) 1837</t>
  </si>
  <si>
    <t>PHILIPPUS ALBERTUS</t>
  </si>
  <si>
    <t>14/9/1777</t>
  </si>
  <si>
    <t>16/12/1798</t>
  </si>
  <si>
    <t>b3c2d2e1</t>
  </si>
  <si>
    <t>8/12/1782</t>
  </si>
  <si>
    <t>HENDRIK ROBIAS</t>
  </si>
  <si>
    <t>6/5/1838</t>
  </si>
  <si>
    <t>FRANCINA ELISABETH</t>
  </si>
  <si>
    <t>(?) AROUND 1840</t>
  </si>
  <si>
    <t>a4b4</t>
  </si>
  <si>
    <t>24/3/1806</t>
  </si>
  <si>
    <t>9/8/1807</t>
  </si>
  <si>
    <t>25/10/1876</t>
  </si>
  <si>
    <t>5/5/1828</t>
  </si>
  <si>
    <t>ANNA</t>
  </si>
  <si>
    <t>JOHAN PHILIP</t>
  </si>
  <si>
    <t>a4b1</t>
  </si>
  <si>
    <t>BETWEEN 1794 AND 1800</t>
  </si>
  <si>
    <t>PETRUS ALBERTUS RYNO</t>
  </si>
  <si>
    <t>a5b1c9d8</t>
  </si>
  <si>
    <t>29/3/1810</t>
  </si>
  <si>
    <t>22/4/1810</t>
  </si>
  <si>
    <t>10/5/1890</t>
  </si>
  <si>
    <t>31/8/1828</t>
  </si>
  <si>
    <t>GEERTRUYDA JACOMINA</t>
  </si>
  <si>
    <t>18/5/1839</t>
  </si>
  <si>
    <t>1840/1841</t>
  </si>
  <si>
    <t>19/5/1779</t>
  </si>
  <si>
    <t>4/12/1803</t>
  </si>
  <si>
    <t>b1c6d3e1</t>
  </si>
  <si>
    <t>2/12/1787</t>
  </si>
  <si>
    <t>BETWEEN NOVEMBER 1836 AND MARCH 1837</t>
  </si>
  <si>
    <t>J.S. MARITZ OR GERT J. RUDOLPH</t>
  </si>
  <si>
    <t xml:space="preserve">JOHANNES CHRISTOFFEL JR. </t>
  </si>
  <si>
    <t>b3c9</t>
  </si>
  <si>
    <t>1/6/1823</t>
  </si>
  <si>
    <t>19/4/1824</t>
  </si>
  <si>
    <t>17/7/1879</t>
  </si>
  <si>
    <t>MARCH 1845</t>
  </si>
  <si>
    <t>b1c11d9</t>
  </si>
  <si>
    <t>16/1/1824</t>
  </si>
  <si>
    <t>1/6/1824</t>
  </si>
  <si>
    <t>28/9/1898</t>
  </si>
  <si>
    <t>25/8/1806</t>
  </si>
  <si>
    <t>3/5/1807</t>
  </si>
  <si>
    <t>5/7/1830</t>
  </si>
  <si>
    <t>EMERENTIA ADRIANA</t>
  </si>
  <si>
    <t>9/5/1807</t>
  </si>
  <si>
    <t>16/8/1807</t>
  </si>
  <si>
    <t>23/5/1859</t>
  </si>
  <si>
    <t>MARTHINUS JOHANNES CHRISTOFFEL</t>
  </si>
  <si>
    <t>KOUGA</t>
  </si>
  <si>
    <t>30/3/1811</t>
  </si>
  <si>
    <t>27/12/1877</t>
  </si>
  <si>
    <t>7/2/1836</t>
  </si>
  <si>
    <t>MARIA PETRONELLA MARGARETHA</t>
  </si>
  <si>
    <t>5/11/1824</t>
  </si>
  <si>
    <t>PHILIPPUS ARNOLDUS CHRISTIAAN</t>
  </si>
  <si>
    <t>LANGKLOOF</t>
  </si>
  <si>
    <t>26/1/1805</t>
  </si>
  <si>
    <t>28/4/1805</t>
  </si>
  <si>
    <t>10/1/1881</t>
  </si>
  <si>
    <t>5/3/1826</t>
  </si>
  <si>
    <t>b1c10d10e3f8</t>
  </si>
  <si>
    <t>1/11/1864</t>
  </si>
  <si>
    <t>RABIE</t>
  </si>
  <si>
    <t>IZAAK STEPHANUS</t>
  </si>
  <si>
    <t>a1b3c6d2</t>
  </si>
  <si>
    <t>12/8/1794</t>
  </si>
  <si>
    <t>5/10/1795</t>
  </si>
  <si>
    <t>1/2/1862</t>
  </si>
  <si>
    <t>KAMDEBOO</t>
  </si>
  <si>
    <t>JAN BASTIAAN</t>
  </si>
  <si>
    <t>a1b4c1d3e1</t>
  </si>
  <si>
    <t>23/6/1812</t>
  </si>
  <si>
    <t>27/9/1812</t>
  </si>
  <si>
    <t>7/9/1876</t>
  </si>
  <si>
    <t>4/12/1836</t>
  </si>
  <si>
    <t>HELENE CATHARINA</t>
  </si>
  <si>
    <t>b4c6d11</t>
  </si>
  <si>
    <t>11/12/1814</t>
  </si>
  <si>
    <t>25/6/1853</t>
  </si>
  <si>
    <t>BETWEEN 24/10/1841 AND 1/10/1843</t>
  </si>
  <si>
    <t>ELISABETH JOHANNA MARIA</t>
  </si>
  <si>
    <t>a1b3c6d2e2</t>
  </si>
  <si>
    <t>13/6/1816</t>
  </si>
  <si>
    <t>13/2/1886</t>
  </si>
  <si>
    <t>4/9/1836</t>
  </si>
  <si>
    <t>CHRISTINA HELENA BARTHOLOMINA</t>
  </si>
  <si>
    <t>VAN DEN BERGH</t>
  </si>
  <si>
    <t>BETWEEN 1842 AND 1844</t>
  </si>
  <si>
    <t>HESTER DEBORA MARIA</t>
  </si>
  <si>
    <t>28/10/1916</t>
  </si>
  <si>
    <t>ADRIAAN MATTHYS JOHANNES</t>
  </si>
  <si>
    <t>30/5/1819</t>
  </si>
  <si>
    <t>7/1/1906</t>
  </si>
  <si>
    <t>20/5/1844</t>
  </si>
  <si>
    <t>b6c9d6</t>
  </si>
  <si>
    <t>16/10/1826</t>
  </si>
  <si>
    <t>17/3/1868</t>
  </si>
  <si>
    <t>(?) AROUND 1844</t>
  </si>
  <si>
    <t>7/1/1827</t>
  </si>
  <si>
    <t>FREDERIK WILLEM HERMANUS</t>
  </si>
  <si>
    <t>1/5/1817</t>
  </si>
  <si>
    <t>24/11/1843</t>
  </si>
  <si>
    <t>10/2/1839</t>
  </si>
  <si>
    <t>25/2/1822</t>
  </si>
  <si>
    <t>8/4/1874</t>
  </si>
  <si>
    <t>AFTER 19/3/1838</t>
  </si>
  <si>
    <t>RANGE</t>
  </si>
  <si>
    <t>JOHAN JUSTUS SIMON</t>
  </si>
  <si>
    <t>20/1/1818</t>
  </si>
  <si>
    <t>RAS</t>
  </si>
  <si>
    <t>CHRISTIAAN DAVID</t>
  </si>
  <si>
    <t>b2c6d1e8</t>
  </si>
  <si>
    <t>28/3/1790</t>
  </si>
  <si>
    <t>b5c2d2e6</t>
  </si>
  <si>
    <t>16/11/1794</t>
  </si>
  <si>
    <t>ONDER-BOKKEVELD</t>
  </si>
  <si>
    <t>AROUND 1838</t>
  </si>
  <si>
    <t>HENDRIK WILLEM</t>
  </si>
  <si>
    <t>b2c6d1e4f4</t>
  </si>
  <si>
    <t>4/9/1808</t>
  </si>
  <si>
    <t>b2c6d1e4f3</t>
  </si>
  <si>
    <t>1/10/1806</t>
  </si>
  <si>
    <t>MARTHA FRANCINA PETRONELLA</t>
  </si>
  <si>
    <t>SPANGENBERG</t>
  </si>
  <si>
    <t>b1c1d6</t>
  </si>
  <si>
    <t>20/11/1817</t>
  </si>
  <si>
    <t>(?) ONDER-BOKKEVELD</t>
  </si>
  <si>
    <t>b2c6d1e4f6</t>
  </si>
  <si>
    <t>13/6/1811</t>
  </si>
  <si>
    <t>22/10/1811</t>
  </si>
  <si>
    <t>MARTHINUS NICOLAAS</t>
  </si>
  <si>
    <t>19/10/1800</t>
  </si>
  <si>
    <t>4/3/1781</t>
  </si>
  <si>
    <t>AROUND END 1838</t>
  </si>
  <si>
    <t>REDELINGHUYS</t>
  </si>
  <si>
    <t>b3c8</t>
  </si>
  <si>
    <t>19/4/1802</t>
  </si>
  <si>
    <t>ELSIE JOSINA SUSANNA</t>
  </si>
  <si>
    <t>FRANCOIS</t>
  </si>
  <si>
    <t>b4c7d1</t>
  </si>
  <si>
    <t>17/10/1773</t>
  </si>
  <si>
    <t>30/11/1794</t>
  </si>
  <si>
    <t>28/4/1776</t>
  </si>
  <si>
    <t>JACOBUS FRANCOIS (PIET SEUN)</t>
  </si>
  <si>
    <t>b4c7d4e2</t>
  </si>
  <si>
    <t>31/10/1816</t>
  </si>
  <si>
    <t>21/5/1837</t>
  </si>
  <si>
    <t>JOHANNA MARIA ELISABETH</t>
  </si>
  <si>
    <t>a3b1c6d2e8f1</t>
  </si>
  <si>
    <t>b4c7d4</t>
  </si>
  <si>
    <t>WELLINGTON</t>
  </si>
  <si>
    <t>12/11/1780</t>
  </si>
  <si>
    <t>12/5/1781</t>
  </si>
  <si>
    <t>4/7/1814</t>
  </si>
  <si>
    <t>MAGDELENA JOHANNA</t>
  </si>
  <si>
    <t>b1c2d3e5</t>
  </si>
  <si>
    <t>30/5/1782</t>
  </si>
  <si>
    <t>31/8/1855</t>
  </si>
  <si>
    <t>b4c7d4e4</t>
  </si>
  <si>
    <t>15/8/1823</t>
  </si>
  <si>
    <t>12/10/1823</t>
  </si>
  <si>
    <t>(?) PIET RETIEF</t>
  </si>
  <si>
    <t>ADAM JOHANNES</t>
  </si>
  <si>
    <t>DECEMBER 1810</t>
  </si>
  <si>
    <t>MAPOCHSGRONDE</t>
  </si>
  <si>
    <t>13/7/1896</t>
  </si>
  <si>
    <t>24/4/1831</t>
  </si>
  <si>
    <t>HENDRINA MARIA MAGDELENA</t>
  </si>
  <si>
    <t>29/9/1874</t>
  </si>
  <si>
    <t>13/5/1874</t>
  </si>
  <si>
    <t>BETWEEN 1840 AND 1843</t>
  </si>
  <si>
    <t>(?) GROBLERSDAL</t>
  </si>
  <si>
    <t>b3c4d2</t>
  </si>
  <si>
    <t>11/8/1812</t>
  </si>
  <si>
    <t>15/8/1813</t>
  </si>
  <si>
    <t>VRYHEID</t>
  </si>
  <si>
    <t>19/1/1893</t>
  </si>
  <si>
    <t>5/10/1833</t>
  </si>
  <si>
    <t>b1c2d4</t>
  </si>
  <si>
    <t>GAMTOOSRIVIER OR TSITSIKAMA</t>
  </si>
  <si>
    <t>(?) PIET UYS</t>
  </si>
  <si>
    <t>13/5/1905</t>
  </si>
  <si>
    <t>GERBREG MAGDELENA</t>
  </si>
  <si>
    <t>BERTHA MARGARETHA</t>
  </si>
  <si>
    <t>15/4/1813</t>
  </si>
  <si>
    <t>29/8/1813</t>
  </si>
  <si>
    <t>1/6/1834</t>
  </si>
  <si>
    <t>b4c1d5e1</t>
  </si>
  <si>
    <t>(?) FEBRUARY 1837</t>
  </si>
  <si>
    <t>PETRUS (PIET) ALBERTUS</t>
  </si>
  <si>
    <t>23/1/1888</t>
  </si>
  <si>
    <t>SWEETWATER</t>
  </si>
  <si>
    <t>DANIËL JACOBUS CHRISTOFFEL</t>
  </si>
  <si>
    <t>3/2/1828</t>
  </si>
  <si>
    <t>MARTHA FRANCINA FREDERIKA</t>
  </si>
  <si>
    <t>b4c6d5</t>
  </si>
  <si>
    <t>12/8/1810</t>
  </si>
  <si>
    <t>20/7/1820</t>
  </si>
  <si>
    <t>25/11/1850</t>
  </si>
  <si>
    <t>13/11/1812</t>
  </si>
  <si>
    <t>28/2/1813</t>
  </si>
  <si>
    <t>9/4/1852</t>
  </si>
  <si>
    <t>22/1/1815</t>
  </si>
  <si>
    <t>SIMON LODEWYK</t>
  </si>
  <si>
    <t>20/2/1780</t>
  </si>
  <si>
    <t>30/1/1803</t>
  </si>
  <si>
    <t>(?) BAVIAANSRIVIER</t>
  </si>
  <si>
    <t>21/2/1776</t>
  </si>
  <si>
    <t>22/1/1797</t>
  </si>
  <si>
    <t>a2b5c4d3</t>
  </si>
  <si>
    <t>1/9/1776</t>
  </si>
  <si>
    <t>AROUND BETWEEN JULY AND NOVEMBER 1837</t>
  </si>
  <si>
    <t>b1c7d5</t>
  </si>
  <si>
    <t>13/6/1779</t>
  </si>
  <si>
    <t>21/12/1800</t>
  </si>
  <si>
    <t>1/12/1782</t>
  </si>
  <si>
    <t>GERRIT JOHANNES BENJAMIN</t>
  </si>
  <si>
    <t>b1c7d4e8</t>
  </si>
  <si>
    <t>FEBRUARY 1815</t>
  </si>
  <si>
    <t>11/9/1893</t>
  </si>
  <si>
    <t>3/7/1837</t>
  </si>
  <si>
    <t>NOVEMBER 1820</t>
  </si>
  <si>
    <t>3/4/1890</t>
  </si>
  <si>
    <t>(?) AGTER-SNEEUBERG</t>
  </si>
  <si>
    <t>(?) BETWEEN JULY AND NOVEMBER 1837</t>
  </si>
  <si>
    <t>(?)b1c7d6e3</t>
  </si>
  <si>
    <t>2/10/1809</t>
  </si>
  <si>
    <t>(?) BEFORE 1/3/1838</t>
  </si>
  <si>
    <t>JAN HENDRIK JR.</t>
  </si>
  <si>
    <t>(?) b1c7d3e1</t>
  </si>
  <si>
    <t>6/4/1800</t>
  </si>
  <si>
    <t>(?) BEFORE 2/11/1837</t>
  </si>
  <si>
    <t>b1c7d9e2</t>
  </si>
  <si>
    <t>2/10/1879</t>
  </si>
  <si>
    <t>5/5/1833</t>
  </si>
  <si>
    <t>b7c2d3e1</t>
  </si>
  <si>
    <t>4/11/1816</t>
  </si>
  <si>
    <t>19/1/1817</t>
  </si>
  <si>
    <t>SARAH JACOBA</t>
  </si>
  <si>
    <t>30/5/1808</t>
  </si>
  <si>
    <t>30/1/1876</t>
  </si>
  <si>
    <t>JOHANNES FRANCOIS</t>
  </si>
  <si>
    <t>b1c7d4e2</t>
  </si>
  <si>
    <t>12/12/1804</t>
  </si>
  <si>
    <t>5/7/1893</t>
  </si>
  <si>
    <t>9/7/1826</t>
  </si>
  <si>
    <t>b5c5d11e3</t>
  </si>
  <si>
    <t>4/12/1808</t>
  </si>
  <si>
    <t>21/4/1874</t>
  </si>
  <si>
    <t>(?) DECEMBER/JANUARY 1835</t>
  </si>
  <si>
    <t>PETRONELLA INGENAZINA</t>
  </si>
  <si>
    <t>AUGUST 1795</t>
  </si>
  <si>
    <t>11/5/1894</t>
  </si>
  <si>
    <t>b1c7d3e2</t>
  </si>
  <si>
    <t>30/3/1803</t>
  </si>
  <si>
    <t>18/7/1813</t>
  </si>
  <si>
    <t>5/6/1814</t>
  </si>
  <si>
    <t>SMITSRIVIER</t>
  </si>
  <si>
    <t>BEFORE 26/6/1838</t>
  </si>
  <si>
    <t>b1c7d11</t>
  </si>
  <si>
    <t>8/4/1792</t>
  </si>
  <si>
    <t>8/11/1883</t>
  </si>
  <si>
    <t>(?) b1c7d5e(?)</t>
  </si>
  <si>
    <t>JOHANNA GEERTUIDA</t>
  </si>
  <si>
    <t>LAMBERTUS NICOLAAS</t>
  </si>
  <si>
    <t>23/9/1787</t>
  </si>
  <si>
    <t>b3c4d1e8</t>
  </si>
  <si>
    <t>3/4/1791</t>
  </si>
  <si>
    <t>(?) BEFORE 1841</t>
  </si>
  <si>
    <t>b1c7d6e(?)</t>
  </si>
  <si>
    <t>20/12/1878</t>
  </si>
  <si>
    <t>JOHANNA MARTINA SUSANNA HELENA</t>
  </si>
  <si>
    <t>b7c4d8e5f2</t>
  </si>
  <si>
    <t>30/5/1822</t>
  </si>
  <si>
    <t>25/12/1822</t>
  </si>
  <si>
    <t>WILLIAM</t>
  </si>
  <si>
    <t>18/4/1821</t>
  </si>
  <si>
    <t>26/8/1914</t>
  </si>
  <si>
    <t>18/9/1827</t>
  </si>
  <si>
    <t>21/10/1827</t>
  </si>
  <si>
    <t>22/4/1899</t>
  </si>
  <si>
    <t>ROELOFSE</t>
  </si>
  <si>
    <t>JOHANNES CHRISTIAN WILHELM</t>
  </si>
  <si>
    <t>7/7/1833</t>
  </si>
  <si>
    <t>SOMEWHER BETWEEN 1836 AND THE  END 1839</t>
  </si>
  <si>
    <t>MARIA SIBELLA (WEDUWEE VAN DANIËL JACOB EARSMUS)</t>
  </si>
  <si>
    <t>b6c2</t>
  </si>
  <si>
    <t>1/11/1772</t>
  </si>
  <si>
    <t>12/9/1790</t>
  </si>
  <si>
    <t>5/11/1758</t>
  </si>
  <si>
    <t>BEFORE 1825</t>
  </si>
  <si>
    <t>AROUND NOVEMBER/DECEMBER 1837</t>
  </si>
  <si>
    <t>SIBELLA (WEDUWEE VAN WILLEM PRINSLOO)</t>
  </si>
  <si>
    <t>3/4/1774</t>
  </si>
  <si>
    <t>b2c3d1e1</t>
  </si>
  <si>
    <t>1/4/1764</t>
  </si>
  <si>
    <t>b8c7</t>
  </si>
  <si>
    <t>14/6/1812</t>
  </si>
  <si>
    <t>19/1/1840</t>
  </si>
  <si>
    <t>MAGTELD JOHANNA</t>
  </si>
  <si>
    <t>10/10/1801</t>
  </si>
  <si>
    <t>2/4/1824</t>
  </si>
  <si>
    <t>b11c1d10</t>
  </si>
  <si>
    <t>BETWEEN 6/3/1836 AND 1839</t>
  </si>
  <si>
    <t>b5c6d1</t>
  </si>
  <si>
    <t>27/3/1825</t>
  </si>
  <si>
    <t>12/4/1825</t>
  </si>
  <si>
    <t>20/3/1897</t>
  </si>
  <si>
    <t>5/11/1851</t>
  </si>
  <si>
    <t>CECILIA WILHELMINA</t>
  </si>
  <si>
    <t>7/1/1897</t>
  </si>
  <si>
    <t>b5c7</t>
  </si>
  <si>
    <t>7/5/1826</t>
  </si>
  <si>
    <t>SUSANNA CHRISITNA</t>
  </si>
  <si>
    <t>BETWEEN 3/4/1837 AND 16/2/1840</t>
  </si>
  <si>
    <t>8/2/1829</t>
  </si>
  <si>
    <t>CHRISTINA JACOBA</t>
  </si>
  <si>
    <t>b11c2d9</t>
  </si>
  <si>
    <t>JOHANNES HENDRICUS ADRIAAN</t>
  </si>
  <si>
    <t>b5c3</t>
  </si>
  <si>
    <t>25/12/1794</t>
  </si>
  <si>
    <t>a1b1c4d2</t>
  </si>
  <si>
    <t>6/12/1797</t>
  </si>
  <si>
    <t>JOHANNES NICOLAAS JACOBUS</t>
  </si>
  <si>
    <t>3/10/1804</t>
  </si>
  <si>
    <t>19/5/1892</t>
  </si>
  <si>
    <t>3/9/1827</t>
  </si>
  <si>
    <t>RENSKE (RANSCHE)</t>
  </si>
  <si>
    <t>b3c8d4e6</t>
  </si>
  <si>
    <t>25/11/1809</t>
  </si>
  <si>
    <t>17/11/1810</t>
  </si>
  <si>
    <t>JOHANNES NICOLAAS RUDOPLH</t>
  </si>
  <si>
    <t>6/10/1793</t>
  </si>
  <si>
    <t>14/2/1813</t>
  </si>
  <si>
    <t>b3c2d8e2</t>
  </si>
  <si>
    <t>2/10/1796</t>
  </si>
  <si>
    <t>(?) BETWEEN 29/1/1837 AND 9/2/1838</t>
  </si>
  <si>
    <t>b10c2d13</t>
  </si>
  <si>
    <t>18/11/1807</t>
  </si>
  <si>
    <t>CHRISTINA HENDRINA</t>
  </si>
  <si>
    <t>b10c2d1e5</t>
  </si>
  <si>
    <t>7/12/1834</t>
  </si>
  <si>
    <t>b1c2d5e5f3</t>
  </si>
  <si>
    <t>17/4/1819</t>
  </si>
  <si>
    <t>17/11/1819</t>
  </si>
  <si>
    <t>SOMEWHER BETWEEN 2/1/1836 AND THE  END 17/10/1837</t>
  </si>
  <si>
    <t>FRANCOIS (FRANS)</t>
  </si>
  <si>
    <t>b8c2d4</t>
  </si>
  <si>
    <t>13/5/1781</t>
  </si>
  <si>
    <t>3/3/1853</t>
  </si>
  <si>
    <t>3/11/1805</t>
  </si>
  <si>
    <t>FÜRSTENBERG</t>
  </si>
  <si>
    <t>COETZENBERG</t>
  </si>
  <si>
    <t>BETWEEN SEPTEMBER 1837 AND MARCH 1838</t>
  </si>
  <si>
    <t>GERT LUCAS</t>
  </si>
  <si>
    <t>b10c3d1e2</t>
  </si>
  <si>
    <t>CAMDEBOO</t>
  </si>
  <si>
    <t>16/7/1823</t>
  </si>
  <si>
    <t>17/8/1823</t>
  </si>
  <si>
    <t>22/7/1880</t>
  </si>
  <si>
    <t>VAN DEN HEEVER</t>
  </si>
  <si>
    <t>(?) GRAAFF-REINET</t>
  </si>
  <si>
    <t>VAAL</t>
  </si>
  <si>
    <t>b10c3d4</t>
  </si>
  <si>
    <t>ANNA  FRANCINA</t>
  </si>
  <si>
    <t>BEFOR EMARCH 1842</t>
  </si>
  <si>
    <t>GYSBERTUS JOHANNES</t>
  </si>
  <si>
    <t>3/9/1820</t>
  </si>
  <si>
    <t>b10c2d12</t>
  </si>
  <si>
    <t>(?) SEPTEMBER 1836</t>
  </si>
  <si>
    <t>(?) GERT M. MARITZ</t>
  </si>
  <si>
    <t>IZAAK FRANCOIS</t>
  </si>
  <si>
    <t>6/1/1799</t>
  </si>
  <si>
    <t>A.W.J. PRETORIOUS</t>
  </si>
  <si>
    <t>JOHANNES GYSBERTUS SR.</t>
  </si>
  <si>
    <t>b10c2d1</t>
  </si>
  <si>
    <t>2/4/1786</t>
  </si>
  <si>
    <t>6/3/1785</t>
  </si>
  <si>
    <t>JOHANNES GYSBERTUS JR.</t>
  </si>
  <si>
    <t>b10c2d1e1</t>
  </si>
  <si>
    <t>14/12/1806</t>
  </si>
  <si>
    <t>8/10/1826</t>
  </si>
  <si>
    <t>KONING</t>
  </si>
  <si>
    <t>a2b3</t>
  </si>
  <si>
    <t>29/1/1809</t>
  </si>
  <si>
    <t>b10c2d5e3</t>
  </si>
  <si>
    <t>25/3/1818</t>
  </si>
  <si>
    <t>13/10/1818</t>
  </si>
  <si>
    <t>2/2/1840</t>
  </si>
  <si>
    <t>ANNA CATHARINA MARGARETHA</t>
  </si>
  <si>
    <t>11/3/1810</t>
  </si>
  <si>
    <t>b10c2d9</t>
  </si>
  <si>
    <t>24/11/1799</t>
  </si>
  <si>
    <t>2/4/1832</t>
  </si>
  <si>
    <t>GEERTRUYDA ELIZABETH CORNELIA</t>
  </si>
  <si>
    <t>11/5/1834</t>
  </si>
  <si>
    <t>ANNA ELISABETH HENDRINA</t>
  </si>
  <si>
    <t>PHILIPPUS PETRUS</t>
  </si>
  <si>
    <t>b10c2d5e2</t>
  </si>
  <si>
    <t>29/8/1815</t>
  </si>
  <si>
    <t>20/6/1891</t>
  </si>
  <si>
    <t>ISABELLA ELIZABETH SOPHIA</t>
  </si>
  <si>
    <t>5/8/1824</t>
  </si>
  <si>
    <t>27/2/1825</t>
  </si>
  <si>
    <t>15/3/1899</t>
  </si>
  <si>
    <t>BETWEEN 1838 - 1840</t>
  </si>
  <si>
    <t>TIELEMAN FRANCOIS</t>
  </si>
  <si>
    <t>b10c2d5</t>
  </si>
  <si>
    <t>20/10/1792</t>
  </si>
  <si>
    <t>JOSINA MARIA MAGDELENA</t>
  </si>
  <si>
    <t>9/11/1790</t>
  </si>
  <si>
    <t>GERRIT ADOLPH</t>
  </si>
  <si>
    <t>b9c1d4E5f5</t>
  </si>
  <si>
    <t>10/2/1824</t>
  </si>
  <si>
    <t>18/12/1871</t>
  </si>
  <si>
    <t>AGTER-KOGMANSKLOOF</t>
  </si>
  <si>
    <t>BETWEEN 21/9/1837 AND 1845</t>
  </si>
  <si>
    <t>PETRUS STEPHANUS</t>
  </si>
  <si>
    <t>b9c1d$E5f4</t>
  </si>
  <si>
    <t>20/7/1821</t>
  </si>
  <si>
    <t>17/8/1821</t>
  </si>
  <si>
    <t>WOLMARANSSTAD</t>
  </si>
  <si>
    <t>3/11/1904</t>
  </si>
  <si>
    <t>GROOTFONTEIN</t>
  </si>
  <si>
    <t>22/10/1886</t>
  </si>
  <si>
    <t>(?) AROUND THE END 1837</t>
  </si>
  <si>
    <t>JOHANNES PETRUS GERHARDUS</t>
  </si>
  <si>
    <t>15/7/1811</t>
  </si>
  <si>
    <t>27/4/1837</t>
  </si>
  <si>
    <t>ELIZABETH PETRONELLA</t>
  </si>
  <si>
    <t>1/10/1819</t>
  </si>
  <si>
    <t>16/2/1820</t>
  </si>
  <si>
    <t>30/6/1863</t>
  </si>
  <si>
    <t>BETWEEN 1/3/1841 AND 29/8/1842</t>
  </si>
  <si>
    <t>PIETER ANTHONIE</t>
  </si>
  <si>
    <t>b2c4d1e5</t>
  </si>
  <si>
    <t>6/2/1792</t>
  </si>
  <si>
    <t>3/2/1793</t>
  </si>
  <si>
    <t>15/6/1817</t>
  </si>
  <si>
    <t>ALETTA MARIA ELISABETH</t>
  </si>
  <si>
    <t>18/1/1801</t>
  </si>
  <si>
    <t>BETWEEN 1842 AND 1845</t>
  </si>
  <si>
    <t>b2c4d1e5f2</t>
  </si>
  <si>
    <t>15/9/1821</t>
  </si>
  <si>
    <t>8/4/1822</t>
  </si>
  <si>
    <t>DECEMBER 1893</t>
  </si>
  <si>
    <t>JOHANNA ALETTA ELIZABETH</t>
  </si>
  <si>
    <t>APRIL 1823</t>
  </si>
  <si>
    <t>RUDOPLH</t>
  </si>
  <si>
    <t>12/1/1797</t>
  </si>
  <si>
    <t>24/7/1851</t>
  </si>
  <si>
    <t>JOHANNA SUSANNA SOPHIA</t>
  </si>
  <si>
    <t>a3b1c6d5e8</t>
  </si>
  <si>
    <t>10/3/1804</t>
  </si>
  <si>
    <t>JACOBUS ANDREAS SR.</t>
  </si>
  <si>
    <t>31/10/1773</t>
  </si>
  <si>
    <t>1/6/1773</t>
  </si>
  <si>
    <t>2/4/1775</t>
  </si>
  <si>
    <t>3/4/1864</t>
  </si>
  <si>
    <t>JACOBUS ANDREAS JR.</t>
  </si>
  <si>
    <t>25/11/1798</t>
  </si>
  <si>
    <t>29/2/1824</t>
  </si>
  <si>
    <t>ENGELA ELISABETH AGATHA</t>
  </si>
  <si>
    <t>a3b1c6d5e7</t>
  </si>
  <si>
    <t>JOHAN BERN(H)ARD SR.</t>
  </si>
  <si>
    <t>1/4/1794</t>
  </si>
  <si>
    <t>7/11/1794</t>
  </si>
  <si>
    <t>13/2/1876</t>
  </si>
  <si>
    <t>ELISABETH SUSANNA</t>
  </si>
  <si>
    <t>15/8/1799</t>
  </si>
  <si>
    <t>1/12/1861</t>
  </si>
  <si>
    <t>JOHAN BERN(H)ARD JR.</t>
  </si>
  <si>
    <t>2/8/1823</t>
  </si>
  <si>
    <t>20/12/1899</t>
  </si>
  <si>
    <t>16/8/1849</t>
  </si>
  <si>
    <t>MARIA ELISABETH ELSJE MARGARETHA</t>
  </si>
  <si>
    <t>b2c14d9e2f10</t>
  </si>
  <si>
    <t>PETRUS (PIETER) JOHANNES</t>
  </si>
  <si>
    <t>(?) b1c1d2</t>
  </si>
  <si>
    <t>31/5/1818</t>
  </si>
  <si>
    <t>b2c3d6e2</t>
  </si>
  <si>
    <t>12/04/1795</t>
  </si>
  <si>
    <t>20/11/1859</t>
  </si>
  <si>
    <t xml:space="preserve">ELSJE MAGDALENA PETRONELL </t>
  </si>
  <si>
    <t>b1c7d7e1f1</t>
  </si>
  <si>
    <t>04/1837</t>
  </si>
  <si>
    <t>COENRAAD JOHANNES ABRAHAM</t>
  </si>
  <si>
    <t>b2c3d8e3</t>
  </si>
  <si>
    <t>22/12/1803</t>
  </si>
  <si>
    <t>14/09/1823</t>
  </si>
  <si>
    <t>b1c8d7</t>
  </si>
  <si>
    <t>11/1836</t>
  </si>
  <si>
    <t>J.S MARITZ</t>
  </si>
  <si>
    <t>31/03/1801</t>
  </si>
  <si>
    <t>04/05/1813</t>
  </si>
  <si>
    <t>21/02/1814</t>
  </si>
  <si>
    <t>15/10/1872</t>
  </si>
  <si>
    <t>10/1837</t>
  </si>
  <si>
    <t>K.P LANDMAN</t>
  </si>
  <si>
    <t>PITERMARITZBURG</t>
  </si>
  <si>
    <t>GERHARDUS JOHANNES ADOLPHUS</t>
  </si>
  <si>
    <t>b2c3d6e7</t>
  </si>
  <si>
    <t>11/11/1808</t>
  </si>
  <si>
    <t>24/12/1895</t>
  </si>
  <si>
    <t>25/07/1829</t>
  </si>
  <si>
    <t xml:space="preserve">HESTER SUSANNA </t>
  </si>
  <si>
    <t>03/1837</t>
  </si>
  <si>
    <t>GERHARDUS J. RUDOLPH</t>
  </si>
  <si>
    <t>b2c1d3e6</t>
  </si>
  <si>
    <t>JOHANNA ISALBELLA SERVASINA</t>
  </si>
  <si>
    <t>b1c7d5e9</t>
  </si>
  <si>
    <t>GERHARDUS (GERT) STEPHANUS</t>
  </si>
  <si>
    <t>b2c4d5e1</t>
  </si>
  <si>
    <t>06/01/1797</t>
  </si>
  <si>
    <t>28/10/1798</t>
  </si>
  <si>
    <t>22/01/1837</t>
  </si>
  <si>
    <t xml:space="preserve">ANNA SUSANNA (ANTJIE) </t>
  </si>
  <si>
    <t>b2c1d3e1f2</t>
  </si>
  <si>
    <t>26/06/1806</t>
  </si>
  <si>
    <t>16/11/1809</t>
  </si>
  <si>
    <t>09/08/1878</t>
  </si>
  <si>
    <t>VAN STADENSRIVIER</t>
  </si>
  <si>
    <t>06/1835</t>
  </si>
  <si>
    <t>b2c1d2e3f1</t>
  </si>
  <si>
    <t>07/08/1809</t>
  </si>
  <si>
    <t>274/11/1833</t>
  </si>
  <si>
    <t xml:space="preserve">MARTHINA ISABELLA </t>
  </si>
  <si>
    <t>b5c4d5e3</t>
  </si>
  <si>
    <t>31/05/1837</t>
  </si>
  <si>
    <t>GERRIT FREDERIK</t>
  </si>
  <si>
    <t>b2c3d6e5f1</t>
  </si>
  <si>
    <t>06/08/1823</t>
  </si>
  <si>
    <t>11//03/1824</t>
  </si>
  <si>
    <t>30/04/1845</t>
  </si>
  <si>
    <t>07/05/1873</t>
  </si>
  <si>
    <t>18/05/1874</t>
  </si>
  <si>
    <t>BROWN</t>
  </si>
  <si>
    <t>19/09/1883</t>
  </si>
  <si>
    <t>FAMILY MOVE</t>
  </si>
  <si>
    <t>GIDEON</t>
  </si>
  <si>
    <t>11/01/1784</t>
  </si>
  <si>
    <t>05/10/1787</t>
  </si>
  <si>
    <t>1840-1845</t>
  </si>
  <si>
    <t>HENDRIK CHRISTOFFEL PRETRUS</t>
  </si>
  <si>
    <t>b2c4d2e9</t>
  </si>
  <si>
    <t>30/12/1880</t>
  </si>
  <si>
    <t>03/06/1839</t>
  </si>
  <si>
    <t>a1b3c4d7e2f2</t>
  </si>
  <si>
    <t>BEFORE 06/1841</t>
  </si>
  <si>
    <t xml:space="preserve">HENDRIK NICOLAAS </t>
  </si>
  <si>
    <t>b2c1d2e2f6</t>
  </si>
  <si>
    <t>18/01/1815</t>
  </si>
  <si>
    <t>13/02/1822</t>
  </si>
  <si>
    <t>01/06/1822</t>
  </si>
  <si>
    <t>1844-1845</t>
  </si>
  <si>
    <t>HENDRIK PETRUS GERRIT</t>
  </si>
  <si>
    <t>b2c4d2e10</t>
  </si>
  <si>
    <t>20/04/1806</t>
  </si>
  <si>
    <t>BEFORE 08/1840</t>
  </si>
  <si>
    <t>SUSANNA SOPHIA ALETTA</t>
  </si>
  <si>
    <t>KNOETZE</t>
  </si>
  <si>
    <t>b2c1d3e6f3</t>
  </si>
  <si>
    <t>22/05/1821</t>
  </si>
  <si>
    <t>30/07/1821</t>
  </si>
  <si>
    <t>28/06/1894</t>
  </si>
  <si>
    <t xml:space="preserve">ANNA LAETAA </t>
  </si>
  <si>
    <t>JANSE VAN VUURE</t>
  </si>
  <si>
    <t>29/03/1887</t>
  </si>
  <si>
    <t>b2c1d3e2f2</t>
  </si>
  <si>
    <t>24/10/1805</t>
  </si>
  <si>
    <t>27/11/18015</t>
  </si>
  <si>
    <t>01/112/1881</t>
  </si>
  <si>
    <t>15/07/1804</t>
  </si>
  <si>
    <t>19/06/1878</t>
  </si>
  <si>
    <t>b2c1d2e3f9</t>
  </si>
  <si>
    <t>30/06/1824</t>
  </si>
  <si>
    <t>23/10/1899</t>
  </si>
  <si>
    <t>27/06/1813</t>
  </si>
  <si>
    <t>UTRECHT EN VRYHEID</t>
  </si>
  <si>
    <t>b2c4d2e7</t>
  </si>
  <si>
    <t>b2c10d1e2</t>
  </si>
  <si>
    <t>04/02/1805</t>
  </si>
  <si>
    <t>04/05/1883</t>
  </si>
  <si>
    <t>29/12/1836</t>
  </si>
  <si>
    <t>JAN (JOHANNES) MARTHINUS</t>
  </si>
  <si>
    <t>18/06/1780</t>
  </si>
  <si>
    <t>05/08/1798</t>
  </si>
  <si>
    <t xml:space="preserve">MAGDALENA </t>
  </si>
  <si>
    <t>09/04/1780</t>
  </si>
  <si>
    <t>14/07/1852</t>
  </si>
  <si>
    <t>11 OR 12/1837</t>
  </si>
  <si>
    <t>MARHTA MAGDALENA</t>
  </si>
  <si>
    <t xml:space="preserve">GERHARDUS </t>
  </si>
  <si>
    <t>28/05/1780</t>
  </si>
  <si>
    <t>02/09/1804</t>
  </si>
  <si>
    <t xml:space="preserve">HENDRIK </t>
  </si>
  <si>
    <t>04/11/1759</t>
  </si>
  <si>
    <t>MARTHINUS EASIAS</t>
  </si>
  <si>
    <t>b2c3d6e5</t>
  </si>
  <si>
    <t xml:space="preserve">ELSJE CATHARINA </t>
  </si>
  <si>
    <t>15/12/1803</t>
  </si>
  <si>
    <t>08/04/1804</t>
  </si>
  <si>
    <t>08/12/1890</t>
  </si>
  <si>
    <t>PETRUS JOHANNES CHRISTOFFEL</t>
  </si>
  <si>
    <t>b5c1d4e3</t>
  </si>
  <si>
    <t>15/02/1799</t>
  </si>
  <si>
    <t>06/06/1799</t>
  </si>
  <si>
    <t>04/03/1847</t>
  </si>
  <si>
    <t>GOEMAN</t>
  </si>
  <si>
    <t>GRIEKWALAND</t>
  </si>
  <si>
    <t>SARA JOHANNA (CATHARINA)</t>
  </si>
  <si>
    <t>21/07/1898</t>
  </si>
  <si>
    <t xml:space="preserve">HENDRIK JOESPHUS </t>
  </si>
  <si>
    <t>13/07/1777</t>
  </si>
  <si>
    <t>H.J STRYDOM</t>
  </si>
  <si>
    <t>b2c1d2e2f4</t>
  </si>
  <si>
    <t>02/05/1811</t>
  </si>
  <si>
    <t>08/07/1811</t>
  </si>
  <si>
    <t>22/11/1835</t>
  </si>
  <si>
    <t>CAHTARINA ELISABETH MARIA</t>
  </si>
  <si>
    <t>STEPHANUS JOHANNES SR.</t>
  </si>
  <si>
    <t>b2c1d2e3</t>
  </si>
  <si>
    <t>20/11/1785</t>
  </si>
  <si>
    <t>13/11/1808</t>
  </si>
  <si>
    <t>STEPHANUS JOHANNES JR.</t>
  </si>
  <si>
    <t>b2c1d2e3f6</t>
  </si>
  <si>
    <t>19/07/1818</t>
  </si>
  <si>
    <t>28/07/1893</t>
  </si>
  <si>
    <t>24/03/1840</t>
  </si>
  <si>
    <t>COLEBERG</t>
  </si>
  <si>
    <t>1840-1844</t>
  </si>
  <si>
    <t>01/03/1852</t>
  </si>
  <si>
    <t>JOHANNA MAGDALENA SUSANNA</t>
  </si>
  <si>
    <t>06/11/1825</t>
  </si>
  <si>
    <t>THEODORUS ERNST</t>
  </si>
  <si>
    <t>b2c1d3e2f9</t>
  </si>
  <si>
    <t>18/04/1866</t>
  </si>
  <si>
    <t>WILHELM JACOBUS</t>
  </si>
  <si>
    <t>b5c1d1e1f4</t>
  </si>
  <si>
    <t>19/05/1815</t>
  </si>
  <si>
    <t>17/10/1893</t>
  </si>
  <si>
    <t xml:space="preserve">HESTER JACOBA FREDERIKA </t>
  </si>
  <si>
    <t>ALEXANDRIA</t>
  </si>
  <si>
    <t>17/01/1887</t>
  </si>
  <si>
    <t>09/1841</t>
  </si>
  <si>
    <t>SARA</t>
  </si>
  <si>
    <t>CAROLUS GUSTAAF</t>
  </si>
  <si>
    <t>a2b1c5</t>
  </si>
  <si>
    <t>15/10/1800</t>
  </si>
  <si>
    <t>25/01/1801</t>
  </si>
  <si>
    <t>27/05/1881</t>
  </si>
  <si>
    <t xml:space="preserve">GEERTRUIDA JACOBA </t>
  </si>
  <si>
    <t>28/05/1803</t>
  </si>
  <si>
    <t>11/01/1880</t>
  </si>
  <si>
    <t>P.A OPPERMAN</t>
  </si>
  <si>
    <t>FREDERIK STEPHANUS</t>
  </si>
  <si>
    <t>a1b1c5d3</t>
  </si>
  <si>
    <t>29/07/1793</t>
  </si>
  <si>
    <t>28/09/1794</t>
  </si>
  <si>
    <t>08/09/1864</t>
  </si>
  <si>
    <t>20/10/1863</t>
  </si>
  <si>
    <t>JAN DU PLESSIS OR JACOBUS CHRISTOFFEL POTGIETER</t>
  </si>
  <si>
    <t>b1c1d1e3</t>
  </si>
  <si>
    <t>31/08/1817</t>
  </si>
  <si>
    <t>21/03/1818</t>
  </si>
  <si>
    <t>19/04/1875</t>
  </si>
  <si>
    <t>4/08/1839</t>
  </si>
  <si>
    <t>MACHTELD CECILIA</t>
  </si>
  <si>
    <t>09/01/1818</t>
  </si>
  <si>
    <t>02/07/1880</t>
  </si>
  <si>
    <t>PIETRIVIER</t>
  </si>
  <si>
    <t>08/1839</t>
  </si>
  <si>
    <t>HENDRIK NICOLAAS</t>
  </si>
  <si>
    <t>a1b1c11</t>
  </si>
  <si>
    <t>02/01/1780</t>
  </si>
  <si>
    <t>13/03/1785</t>
  </si>
  <si>
    <t>12/1836-09/1837</t>
  </si>
  <si>
    <t>JANZE VAN VUUREN</t>
  </si>
  <si>
    <t>12/10/1783</t>
  </si>
  <si>
    <t>a1b1c11d5</t>
  </si>
  <si>
    <t>05/07/1855</t>
  </si>
  <si>
    <t xml:space="preserve">JOHANNA HELENA (MAGDALENA) </t>
  </si>
  <si>
    <t>10/12/1818</t>
  </si>
  <si>
    <t>BETWEEN 07/02/1836 AND 17/11/1836</t>
  </si>
  <si>
    <t>a1b1c5d5</t>
  </si>
  <si>
    <t>15/12/1797</t>
  </si>
  <si>
    <t>03/10/1798</t>
  </si>
  <si>
    <t>13/02/1890</t>
  </si>
  <si>
    <t>a1b1c10d3</t>
  </si>
  <si>
    <t xml:space="preserve">HOOPSTAD </t>
  </si>
  <si>
    <t>31/01/1885</t>
  </si>
  <si>
    <t>b1c3d1e5</t>
  </si>
  <si>
    <t>19/03/1822</t>
  </si>
  <si>
    <t xml:space="preserve">ELSJE MAGDALENA JOHANNA </t>
  </si>
  <si>
    <t>05/11/1849</t>
  </si>
  <si>
    <t>25/07/1832</t>
  </si>
  <si>
    <t>23/09/1832</t>
  </si>
  <si>
    <t>a1b1c3d4e2</t>
  </si>
  <si>
    <t>12/10/1820</t>
  </si>
  <si>
    <t>13/10/1821</t>
  </si>
  <si>
    <t>19/03/1873</t>
  </si>
  <si>
    <t>01/12/1858</t>
  </si>
  <si>
    <t>MARTHA ELIZABETH MAGDALENA</t>
  </si>
  <si>
    <t>03/10/1840</t>
  </si>
  <si>
    <t>a1b3c2d11</t>
  </si>
  <si>
    <t>18/06/1886</t>
  </si>
  <si>
    <t>MARTHINA JOHANNA</t>
  </si>
  <si>
    <t>a1b1c12d5</t>
  </si>
  <si>
    <t>11/10/1817</t>
  </si>
  <si>
    <t>MOOIRIVIER</t>
  </si>
  <si>
    <t>MARTHINUS JOHANNES SR.</t>
  </si>
  <si>
    <t>a1b1c3d1</t>
  </si>
  <si>
    <t>21/12/1789</t>
  </si>
  <si>
    <t>28/03/1790</t>
  </si>
  <si>
    <t>06/1848</t>
  </si>
  <si>
    <t>01/07/1837</t>
  </si>
  <si>
    <t>MARTHINUS JOHANNES JR.</t>
  </si>
  <si>
    <t>a1b1c3d1e4</t>
  </si>
  <si>
    <t>15/11/1819</t>
  </si>
  <si>
    <t>29/03/1820</t>
  </si>
  <si>
    <t>30/06/1880</t>
  </si>
  <si>
    <t>09/02/1838</t>
  </si>
  <si>
    <t>09/11/1873</t>
  </si>
  <si>
    <t>08/07/1821</t>
  </si>
  <si>
    <t>03/04/1822</t>
  </si>
  <si>
    <t>19/08/1882</t>
  </si>
  <si>
    <t>a1b1c3d4e4</t>
  </si>
  <si>
    <t>22/05/1825</t>
  </si>
  <si>
    <t>05/09/1849</t>
  </si>
  <si>
    <t>MARIA CORNELIA</t>
  </si>
  <si>
    <t>a1b1c3d4e3</t>
  </si>
  <si>
    <t>17/09/1822</t>
  </si>
  <si>
    <t>22/05/1887</t>
  </si>
  <si>
    <t>HESTER MENZIENAALETTA HERMINA</t>
  </si>
  <si>
    <t>18/03/1857</t>
  </si>
  <si>
    <t>07/09/1857</t>
  </si>
  <si>
    <t xml:space="preserve">MARTHA JACOMINA </t>
  </si>
  <si>
    <t>23/09/1823</t>
  </si>
  <si>
    <t>16/06/1891</t>
  </si>
  <si>
    <t>a1b1c3d1e6</t>
  </si>
  <si>
    <t>15/07/1823</t>
  </si>
  <si>
    <t>27/05/1824</t>
  </si>
  <si>
    <t>10/05/1885</t>
  </si>
  <si>
    <t>JACOBA PAULINA</t>
  </si>
  <si>
    <t>15/12/1830</t>
  </si>
  <si>
    <t>14/05/1907</t>
  </si>
  <si>
    <t>a1b1c3d4</t>
  </si>
  <si>
    <t>16/09/1796</t>
  </si>
  <si>
    <t>22/07/1886</t>
  </si>
  <si>
    <t>b4c1d10e1</t>
  </si>
  <si>
    <t>22/02/1801</t>
  </si>
  <si>
    <t>ZONDAGKRAAL</t>
  </si>
  <si>
    <t>17/03/1880</t>
  </si>
  <si>
    <t>a1b3c2d9</t>
  </si>
  <si>
    <t>15/03/1810</t>
  </si>
  <si>
    <t>08/10/1810</t>
  </si>
  <si>
    <t>19/06/1890</t>
  </si>
  <si>
    <t xml:space="preserve">FRANCINA SUSANNA </t>
  </si>
  <si>
    <t>22/12/1833</t>
  </si>
  <si>
    <t>GERTINA (GERTRUIDA) JOHANNA</t>
  </si>
  <si>
    <t>20/01/1856</t>
  </si>
  <si>
    <t>a1b1c1d1e1</t>
  </si>
  <si>
    <t>14/11/1812</t>
  </si>
  <si>
    <t>14/03/1865</t>
  </si>
  <si>
    <t>17/01/1834</t>
  </si>
  <si>
    <t>30/11/1816</t>
  </si>
  <si>
    <t>b1c11d4</t>
  </si>
  <si>
    <t>31/03/1809</t>
  </si>
  <si>
    <t>30/11/1836</t>
  </si>
  <si>
    <t>MARTINA BARBARA MARIA MARGARETHA CHRISTOFFELINA</t>
  </si>
  <si>
    <t>12/1836-09/1836</t>
  </si>
  <si>
    <t>a1b1c3d4e1</t>
  </si>
  <si>
    <t>02/12/1818</t>
  </si>
  <si>
    <t>16/11/1886</t>
  </si>
  <si>
    <t>b7c4d8e5f3</t>
  </si>
  <si>
    <t>07/12/1869</t>
  </si>
  <si>
    <t>09/05/1870</t>
  </si>
  <si>
    <t>21/11/1830</t>
  </si>
  <si>
    <t>a1b1c5d6</t>
  </si>
  <si>
    <t>09/03/1800</t>
  </si>
  <si>
    <t>22/05/1872</t>
  </si>
  <si>
    <t>HELENA PETRONELLA CORNELIA</t>
  </si>
  <si>
    <t>JOACHIM HERMANUS</t>
  </si>
  <si>
    <t>b2c7d1</t>
  </si>
  <si>
    <t>08/03/1834</t>
  </si>
  <si>
    <t>23/08/1801</t>
  </si>
  <si>
    <t>ROGGERVELD</t>
  </si>
  <si>
    <t>24/11/1859</t>
  </si>
  <si>
    <t>ANDRIES GODLIEB</t>
  </si>
  <si>
    <t>14/05/1809</t>
  </si>
  <si>
    <t xml:space="preserve">MARTH MARIA </t>
  </si>
  <si>
    <t>MID 1842</t>
  </si>
  <si>
    <t>SARA ALETTA ROETS</t>
  </si>
  <si>
    <t>BAREND JACOBUS PHILIPPUS</t>
  </si>
  <si>
    <t>a1b1c4d11</t>
  </si>
  <si>
    <t>20/08/1820</t>
  </si>
  <si>
    <t>05/07/1899</t>
  </si>
  <si>
    <t>20/10/1825</t>
  </si>
  <si>
    <t>31/03/1890</t>
  </si>
  <si>
    <t>JAN FRANCOIS</t>
  </si>
  <si>
    <t>a1b1c2d11</t>
  </si>
  <si>
    <t>25/03/1833</t>
  </si>
  <si>
    <t>12/04/1829</t>
  </si>
  <si>
    <t>SEVENSTER</t>
  </si>
  <si>
    <t>13/08/1835</t>
  </si>
  <si>
    <t>01/1836</t>
  </si>
  <si>
    <t xml:space="preserve">PRETORIA  </t>
  </si>
  <si>
    <t>06/05/1838</t>
  </si>
  <si>
    <t>JAN HARM THOMAS</t>
  </si>
  <si>
    <t>a1b1c4d9</t>
  </si>
  <si>
    <t>05/08/1811 OR 1812</t>
  </si>
  <si>
    <t>14/02/1813</t>
  </si>
  <si>
    <t>02/12/1897</t>
  </si>
  <si>
    <t>19/06/1858</t>
  </si>
  <si>
    <t>02/05/1859</t>
  </si>
  <si>
    <t>JOHANNA MAGDALENA CATHARINA</t>
  </si>
  <si>
    <t>09/06/1842</t>
  </si>
  <si>
    <t>17/06/1916</t>
  </si>
  <si>
    <t>a1b1c2d4e2</t>
  </si>
  <si>
    <t>13/11/1821</t>
  </si>
  <si>
    <t>15/04/1871</t>
  </si>
  <si>
    <t>13/11/1842</t>
  </si>
  <si>
    <t>HESTER ANTONETTA</t>
  </si>
  <si>
    <t>STEPHANUS PHILIPPUS</t>
  </si>
  <si>
    <t xml:space="preserve">a1b1c2d4  </t>
  </si>
  <si>
    <t>07/10/1798</t>
  </si>
  <si>
    <t>b4c2d2e1f6</t>
  </si>
  <si>
    <t>30/03/1802</t>
  </si>
  <si>
    <t>09/01/1803</t>
  </si>
  <si>
    <t>08/07/1853</t>
  </si>
  <si>
    <t>SCROOBIE</t>
  </si>
  <si>
    <t>18/08/1839</t>
  </si>
  <si>
    <t>MARHTA PETRONELLA</t>
  </si>
  <si>
    <t>DAVID FREDERIK PETRUS JOHANNES</t>
  </si>
  <si>
    <t>b1c1d2e2</t>
  </si>
  <si>
    <t>06/02/1808</t>
  </si>
  <si>
    <t>28/05/1883</t>
  </si>
  <si>
    <t>25/04/1832</t>
  </si>
  <si>
    <t>SALOMINA MARIA</t>
  </si>
  <si>
    <t>SERFONTEIN</t>
  </si>
  <si>
    <t>18/03/1817</t>
  </si>
  <si>
    <t>05/05/1850</t>
  </si>
  <si>
    <t>JACOBUS HENDRIK</t>
  </si>
  <si>
    <t>21/06/1815</t>
  </si>
  <si>
    <t>28/06/1901</t>
  </si>
  <si>
    <t>15/07/1838</t>
  </si>
  <si>
    <t>04/08/1818</t>
  </si>
  <si>
    <t>16/07/1902</t>
  </si>
  <si>
    <t>15/08/1813</t>
  </si>
  <si>
    <t xml:space="preserve">MARIA SOPHIA MAGDALENA </t>
  </si>
  <si>
    <t>WILLEM JACOB</t>
  </si>
  <si>
    <t>23/02/1812</t>
  </si>
  <si>
    <t>27/07/1876</t>
  </si>
  <si>
    <t>04/07/1835</t>
  </si>
  <si>
    <t>ISABELLA MARIA</t>
  </si>
  <si>
    <t>17/06/1814</t>
  </si>
  <si>
    <t>FREDERIK WESSEL</t>
  </si>
  <si>
    <t>29/12/1839</t>
  </si>
  <si>
    <t xml:space="preserve">ANNA CATHARINA DOROTHEA </t>
  </si>
  <si>
    <t>05/09/1823</t>
  </si>
  <si>
    <t>10/01/1824</t>
  </si>
  <si>
    <t>BEFORE 04/1842</t>
  </si>
  <si>
    <t>WESSEL LOURENS JOHANNES ANTOON</t>
  </si>
  <si>
    <t>09/1789</t>
  </si>
  <si>
    <t>11/05/1792</t>
  </si>
  <si>
    <t>26/03/1861</t>
  </si>
  <si>
    <t>b10c4d4e5</t>
  </si>
  <si>
    <t>22/12/1817</t>
  </si>
  <si>
    <t>10/01/1818</t>
  </si>
  <si>
    <t>22/07/1880</t>
  </si>
  <si>
    <t>02/02/1840</t>
  </si>
  <si>
    <t>08/02/1889</t>
  </si>
  <si>
    <t>BEFORE 02/1840</t>
  </si>
  <si>
    <t>JASPER JOHANNES</t>
  </si>
  <si>
    <t>b10c4d6e2</t>
  </si>
  <si>
    <t>07/04/1854</t>
  </si>
  <si>
    <t xml:space="preserve">RACHEL JOHANNA </t>
  </si>
  <si>
    <t>CLASSEN</t>
  </si>
  <si>
    <t>b6c7d1e4</t>
  </si>
  <si>
    <t>09/11/1814</t>
  </si>
  <si>
    <t>BEFORE 04/1844</t>
  </si>
  <si>
    <t>b10c4d5e6</t>
  </si>
  <si>
    <t>19/09/1879</t>
  </si>
  <si>
    <t>19/06/1836</t>
  </si>
  <si>
    <t>20/07/1838</t>
  </si>
  <si>
    <t>b10c4d5e5</t>
  </si>
  <si>
    <t>14/05/189</t>
  </si>
  <si>
    <t>10/12/1894</t>
  </si>
  <si>
    <t>07/03/1889</t>
  </si>
  <si>
    <t xml:space="preserve">ABRAHAM  </t>
  </si>
  <si>
    <t>a4b2c4d3e1f5</t>
  </si>
  <si>
    <t>08/07/1833</t>
  </si>
  <si>
    <t xml:space="preserve">HERMINA MARIA SOPHIA </t>
  </si>
  <si>
    <t>b1c4d4e4</t>
  </si>
  <si>
    <t>02/12/1812</t>
  </si>
  <si>
    <t>a4b3c5d10e2</t>
  </si>
  <si>
    <t>08/12/1785</t>
  </si>
  <si>
    <t>10/09/1786</t>
  </si>
  <si>
    <t>21/07/1855</t>
  </si>
  <si>
    <t>b3c4d1</t>
  </si>
  <si>
    <t>25/12/1777</t>
  </si>
  <si>
    <t>03/05/1840</t>
  </si>
  <si>
    <t>ELIZABETH JOHANNA SUSANNA</t>
  </si>
  <si>
    <t>b7c7d6e1</t>
  </si>
  <si>
    <t>ANDRIES ADRIAAN</t>
  </si>
  <si>
    <t>a4b6c10d1e2</t>
  </si>
  <si>
    <t>17/12/1797</t>
  </si>
  <si>
    <t>ALETTA CATHARINA MAGDALENA</t>
  </si>
  <si>
    <t>b4c6d7e6</t>
  </si>
  <si>
    <t>04/04/1804</t>
  </si>
  <si>
    <t>10/08/1804</t>
  </si>
  <si>
    <t>ANDRIES JOHANNES CHRISTOFFEL</t>
  </si>
  <si>
    <t>a4b3c5d10e2f3</t>
  </si>
  <si>
    <t>11/07/1813</t>
  </si>
  <si>
    <t>20/05/1892</t>
  </si>
  <si>
    <t>23/05/1842</t>
  </si>
  <si>
    <t>MARIA HESTER JACOBA</t>
  </si>
  <si>
    <t>VAN STRAATEN</t>
  </si>
  <si>
    <t>06/10/1819</t>
  </si>
  <si>
    <t>BURGERT GODLIEB</t>
  </si>
  <si>
    <t>a4b3c5d10e7</t>
  </si>
  <si>
    <t>25/08/1794</t>
  </si>
  <si>
    <t>21/09/1794</t>
  </si>
  <si>
    <t>21/08/1866</t>
  </si>
  <si>
    <t xml:space="preserve">FREDERIKA ELISABETH (JACOBA) </t>
  </si>
  <si>
    <t>a2b9c6d1</t>
  </si>
  <si>
    <t>02/11/1794</t>
  </si>
  <si>
    <t>CAREL (SAREL) GERHARDUS</t>
  </si>
  <si>
    <t>a2b9c11</t>
  </si>
  <si>
    <t>12/10/1871</t>
  </si>
  <si>
    <t>BEFORE 20/03/1842</t>
  </si>
  <si>
    <t>CHRISTIAAN ADREAS</t>
  </si>
  <si>
    <t>a2b9c16</t>
  </si>
  <si>
    <t>29/11/1806</t>
  </si>
  <si>
    <t>26/08/1881</t>
  </si>
  <si>
    <t>HANEKOM</t>
  </si>
  <si>
    <t>26/01/1813</t>
  </si>
  <si>
    <t>25/06/1901</t>
  </si>
  <si>
    <t>MALMESBURY</t>
  </si>
  <si>
    <t>07/1839-03/1842</t>
  </si>
  <si>
    <t>CHRISTIAAN HENDRIK STEPHANUS SR.</t>
  </si>
  <si>
    <t>a4b3c5d11e3</t>
  </si>
  <si>
    <t>19/05/1793</t>
  </si>
  <si>
    <t>19/01/1817</t>
  </si>
  <si>
    <t>DOROTHEA WILHELMINA</t>
  </si>
  <si>
    <t>CLAASENS</t>
  </si>
  <si>
    <t>CHRISTIAAN HENDRIK STEPHANUS JR.</t>
  </si>
  <si>
    <t>a4b3c5d11e3f1</t>
  </si>
  <si>
    <t>15/11/1817</t>
  </si>
  <si>
    <t>01/08/1884</t>
  </si>
  <si>
    <t>25/02/1838</t>
  </si>
  <si>
    <t>a4b2c4d3e1f4</t>
  </si>
  <si>
    <t>HESTER GERBRECHT</t>
  </si>
  <si>
    <t>b6c14</t>
  </si>
  <si>
    <t>06/07/1815</t>
  </si>
  <si>
    <t>CORNELIS ABRAHAM</t>
  </si>
  <si>
    <t>a4b2c4d5e4f1</t>
  </si>
  <si>
    <t>15/12/1818</t>
  </si>
  <si>
    <t>14/07/1819</t>
  </si>
  <si>
    <t>FRANCINA PETRONELLA JOHANNA EILZABETH</t>
  </si>
  <si>
    <t>BEFORE 03/1842</t>
  </si>
  <si>
    <t>a4b2c4d5e1f1</t>
  </si>
  <si>
    <t>26/05/1838</t>
  </si>
  <si>
    <t>CORNELIS MICHIEL</t>
  </si>
  <si>
    <t>a4b2c4d3e1f7</t>
  </si>
  <si>
    <t>08/01/1819</t>
  </si>
  <si>
    <t>07/11/1819</t>
  </si>
  <si>
    <t>NEDERLAND</t>
  </si>
  <si>
    <t>28/08/1778</t>
  </si>
  <si>
    <t>03/08/1863</t>
  </si>
  <si>
    <t>27/07/1863</t>
  </si>
  <si>
    <t>GERT M. MARITZ EN PIET RETIEF</t>
  </si>
  <si>
    <t>FRANCOIS ALEWYN</t>
  </si>
  <si>
    <t>a4b3c5d10e2f4</t>
  </si>
  <si>
    <t>BOTHAVILLE</t>
  </si>
  <si>
    <t>04/09/1840</t>
  </si>
  <si>
    <t>a4b3c5d10e3f6</t>
  </si>
  <si>
    <t>02/09/1818</t>
  </si>
  <si>
    <t>28/04/1819</t>
  </si>
  <si>
    <t>06/06/1880</t>
  </si>
  <si>
    <t>24/03/1839</t>
  </si>
  <si>
    <t>MARHTA CHRISTINA SOPHIA</t>
  </si>
  <si>
    <t>26/11/1821</t>
  </si>
  <si>
    <t>07/03/1822</t>
  </si>
  <si>
    <t>22/06/1899</t>
  </si>
  <si>
    <t>24/03/1839 - 27/12/1839</t>
  </si>
  <si>
    <t>FRANCOIS ALWYN</t>
  </si>
  <si>
    <t>a4b3c5d10e7f2</t>
  </si>
  <si>
    <t>16/09/1817</t>
  </si>
  <si>
    <t>16/04/1837</t>
  </si>
  <si>
    <t xml:space="preserve">ELIZABETH WILHELMINA </t>
  </si>
  <si>
    <t xml:space="preserve">FRANCOIS PETRUS </t>
  </si>
  <si>
    <t>a4b2c4d3e7</t>
  </si>
  <si>
    <t>26/06/1863</t>
  </si>
  <si>
    <t>SUSANNA ISABELLA</t>
  </si>
  <si>
    <t>15/07/1796</t>
  </si>
  <si>
    <t>27/06/1797</t>
  </si>
  <si>
    <t>09/08/1868</t>
  </si>
  <si>
    <t>GERT LODEWYK</t>
  </si>
  <si>
    <t>a4b3c5d10e2f7</t>
  </si>
  <si>
    <t>30/01/1821</t>
  </si>
  <si>
    <t>29/03/1896</t>
  </si>
  <si>
    <t>27/11/1841</t>
  </si>
  <si>
    <t xml:space="preserve">SOPHIA MARIA </t>
  </si>
  <si>
    <t>11/04/1853</t>
  </si>
  <si>
    <t>19/04/1832</t>
  </si>
  <si>
    <t>24/05/1832</t>
  </si>
  <si>
    <t xml:space="preserve">WINBURG </t>
  </si>
  <si>
    <t>07/09/1875</t>
  </si>
  <si>
    <t>ALETTA JACOMINA</t>
  </si>
  <si>
    <t>a2b9c13</t>
  </si>
  <si>
    <t>25/12/1799</t>
  </si>
  <si>
    <t>b7c4d8</t>
  </si>
  <si>
    <t>05/1838</t>
  </si>
  <si>
    <t>JACOBUS ALWYN</t>
  </si>
  <si>
    <t>a4b2c4d3e8f5</t>
  </si>
  <si>
    <t>11/11/1823</t>
  </si>
  <si>
    <t>BEFORE 1847</t>
  </si>
  <si>
    <t>a2b9c7d4</t>
  </si>
  <si>
    <t>14/06/1818</t>
  </si>
  <si>
    <t>04 OR 05/1838</t>
  </si>
  <si>
    <t>JAN PAUL</t>
  </si>
  <si>
    <t>a2b9c11d3</t>
  </si>
  <si>
    <t>1839/1840</t>
  </si>
  <si>
    <t xml:space="preserve">JOHAN FREDERIK  </t>
  </si>
  <si>
    <t>a5b2c3</t>
  </si>
  <si>
    <t>22/09/1850</t>
  </si>
  <si>
    <t>MARIA MAGDALENA CAROLINA</t>
  </si>
  <si>
    <t>02/01/1837 - 31/03/1838</t>
  </si>
  <si>
    <t>08/11/1847</t>
  </si>
  <si>
    <t>MARIA MARGARETHA CAROLINA</t>
  </si>
  <si>
    <t>b1c11d1</t>
  </si>
  <si>
    <t>POTBERG</t>
  </si>
  <si>
    <t>a2b9c7</t>
  </si>
  <si>
    <t>22/03/1789</t>
  </si>
  <si>
    <t>04/07/1812</t>
  </si>
  <si>
    <t>KORF</t>
  </si>
  <si>
    <t>a1b4c10d1e2f2</t>
  </si>
  <si>
    <t>SALOMINA BARENDINA (OF SARA BARENDINA SALOMINA)</t>
  </si>
  <si>
    <t>LOURENS JOHANNES BENJAMIN</t>
  </si>
  <si>
    <t>a4b3c5d5e7f4</t>
  </si>
  <si>
    <t>21/09/1819</t>
  </si>
  <si>
    <t>JOHANNA LOURENSINA</t>
  </si>
  <si>
    <t>12/1844</t>
  </si>
  <si>
    <t>MAARTENS JOHANNES (M.J.)</t>
  </si>
  <si>
    <t>a4b3c12d3e3f6</t>
  </si>
  <si>
    <t>a4b2c4d5e2</t>
  </si>
  <si>
    <t>18/06/1821</t>
  </si>
  <si>
    <t>31/05/1882</t>
  </si>
  <si>
    <t>30/10/1841</t>
  </si>
  <si>
    <t xml:space="preserve">MARGARETHA JACOBA </t>
  </si>
  <si>
    <t>b8c9d7e1</t>
  </si>
  <si>
    <t>20/04/1825</t>
  </si>
  <si>
    <t>08/10/1885</t>
  </si>
  <si>
    <t>a4b3c4d2e7f1</t>
  </si>
  <si>
    <t>16/03/1887</t>
  </si>
  <si>
    <t>23/03/1836</t>
  </si>
  <si>
    <t>14/08/1815</t>
  </si>
  <si>
    <t>22/08/1892</t>
  </si>
  <si>
    <t>NICOLAAS JACOBUS CHRISTOFFEL</t>
  </si>
  <si>
    <t>a4b3c7d2e6f1</t>
  </si>
  <si>
    <t>10/10/1808</t>
  </si>
  <si>
    <t>05/03/1809</t>
  </si>
  <si>
    <t>1838-1839</t>
  </si>
  <si>
    <t>NICOLAAS WILHELMUS</t>
  </si>
  <si>
    <t>a2b9c15</t>
  </si>
  <si>
    <t>11/02/1804</t>
  </si>
  <si>
    <t>31/03/1804</t>
  </si>
  <si>
    <t>15/07/1872</t>
  </si>
  <si>
    <t>ELSIE JOSINA</t>
  </si>
  <si>
    <t>BEFORE 04/1840</t>
  </si>
  <si>
    <t xml:space="preserve">ALETTA CATHARINA </t>
  </si>
  <si>
    <t>PIETER GERRIT</t>
  </si>
  <si>
    <t>a2b9c11d2</t>
  </si>
  <si>
    <t>25/09/1823</t>
  </si>
  <si>
    <t>SKIETFONTEIN, TUSSEN KLERKSDORP EN WOLMARANSSTAD</t>
  </si>
  <si>
    <t>18/08/1897</t>
  </si>
  <si>
    <t>01/07/1846</t>
  </si>
  <si>
    <t>ALETTA MARIA MAGDALENA</t>
  </si>
  <si>
    <t>SALMOMON ERASMUS GERHARDUS</t>
  </si>
  <si>
    <t>a1b2</t>
  </si>
  <si>
    <t>30/05/1816</t>
  </si>
  <si>
    <t>SANDRIVIER</t>
  </si>
  <si>
    <t>28/07/1837</t>
  </si>
  <si>
    <t>MID 09/1836</t>
  </si>
  <si>
    <t>a4b2c4d3e2f3</t>
  </si>
  <si>
    <t>13/09/1829</t>
  </si>
  <si>
    <t xml:space="preserve">WILLEM  </t>
  </si>
  <si>
    <t>a4b2c4d3e7f1</t>
  </si>
  <si>
    <t>06/06/1815</t>
  </si>
  <si>
    <t>06/09/1852</t>
  </si>
  <si>
    <t xml:space="preserve">ALETTA WILHELMINA </t>
  </si>
  <si>
    <t>a4b2c4d3e2f2</t>
  </si>
  <si>
    <t>a4b2c4d3e7f3</t>
  </si>
  <si>
    <t>03/12/1817</t>
  </si>
  <si>
    <t>REDDERSBURG</t>
  </si>
  <si>
    <t>21/04/1865</t>
  </si>
  <si>
    <t xml:space="preserve">HERMINA CHRISTINA </t>
  </si>
  <si>
    <t xml:space="preserve">RENSCHE </t>
  </si>
  <si>
    <t>a4b2c4d3e8f3</t>
  </si>
  <si>
    <t>25/08/1822</t>
  </si>
  <si>
    <t>20/05/1885</t>
  </si>
  <si>
    <t>MIDDEL-ROGGERVELD</t>
  </si>
  <si>
    <t>SMUTS</t>
  </si>
  <si>
    <t>08/05/1821</t>
  </si>
  <si>
    <t>27/07/1821</t>
  </si>
  <si>
    <t>09/1844</t>
  </si>
  <si>
    <t>b3c3d7e3f6</t>
  </si>
  <si>
    <t>TOBIAS</t>
  </si>
  <si>
    <t>b1c1d4e8f10</t>
  </si>
  <si>
    <t>04/09/1821</t>
  </si>
  <si>
    <t>GERRIT CHRISTOFFEL</t>
  </si>
  <si>
    <t>b8c3</t>
  </si>
  <si>
    <t>11/09/1791</t>
  </si>
  <si>
    <t>23/09/1791</t>
  </si>
  <si>
    <t>22/07/1855</t>
  </si>
  <si>
    <t>06/01/1816</t>
  </si>
  <si>
    <t>07/1837</t>
  </si>
  <si>
    <t>b8c2</t>
  </si>
  <si>
    <t>10/10/1788</t>
  </si>
  <si>
    <t>20/09/1789</t>
  </si>
  <si>
    <t>04/07/1852</t>
  </si>
  <si>
    <t>03/06/1813 OF 1815</t>
  </si>
  <si>
    <t>b8c6d2</t>
  </si>
  <si>
    <t>07/10/1825</t>
  </si>
  <si>
    <t>19/11/1826</t>
  </si>
  <si>
    <t>COENRAAD FREDERIK WILHELMUS JOHANNES</t>
  </si>
  <si>
    <t>b7c4d9e7</t>
  </si>
  <si>
    <t>06/12/1813</t>
  </si>
  <si>
    <t>31/07/1814</t>
  </si>
  <si>
    <t>b6c1d16e2</t>
  </si>
  <si>
    <t>05/07/1815</t>
  </si>
  <si>
    <t>01/01/1880</t>
  </si>
  <si>
    <t>CHRISTOFFEL JACOBUS JOHANNES</t>
  </si>
  <si>
    <t>b7c1d4e6f1</t>
  </si>
  <si>
    <t>17/03/1818</t>
  </si>
  <si>
    <t>31/05/1818</t>
  </si>
  <si>
    <t>27/09/1840</t>
  </si>
  <si>
    <t>ANNA MARIA JACOMINA</t>
  </si>
  <si>
    <t>BEFORE 09/1840</t>
  </si>
  <si>
    <t xml:space="preserve">b7c1d4e6 </t>
  </si>
  <si>
    <t>08/06/1817</t>
  </si>
  <si>
    <t>b7c1d4e6f3</t>
  </si>
  <si>
    <t>20/08/1821</t>
  </si>
  <si>
    <t>b7c1d6e7</t>
  </si>
  <si>
    <t>b7c3d8e5</t>
  </si>
  <si>
    <t>17/01/1802</t>
  </si>
  <si>
    <t>13/04/1876</t>
  </si>
  <si>
    <t>10/05/1820</t>
  </si>
  <si>
    <t>b4c1d10e4</t>
  </si>
  <si>
    <t>02/1842</t>
  </si>
  <si>
    <t>GROOT-THUKELA, WEENEN</t>
  </si>
  <si>
    <t>HESTE MARGARETHA</t>
  </si>
  <si>
    <t>JACOBUS PHILIPPUS</t>
  </si>
  <si>
    <t>b7c4d8e3</t>
  </si>
  <si>
    <t>18/01/1797</t>
  </si>
  <si>
    <t>08/04/1798</t>
  </si>
  <si>
    <t>09/12/1877</t>
  </si>
  <si>
    <t>JOHANNA MARTHINA</t>
  </si>
  <si>
    <t>b4c1d10e3</t>
  </si>
  <si>
    <t>03/04/1803</t>
  </si>
  <si>
    <t>01/1838</t>
  </si>
  <si>
    <t>JOHANNES HENDRIK JACOBUS</t>
  </si>
  <si>
    <t>b7c4d8e2</t>
  </si>
  <si>
    <t>14/10/1796</t>
  </si>
  <si>
    <t>BEFORE 03/1840</t>
  </si>
  <si>
    <t>NICOLAAS</t>
  </si>
  <si>
    <t>b7c1d4e8</t>
  </si>
  <si>
    <t>03/06/1804</t>
  </si>
  <si>
    <t xml:space="preserve">ANNA MARIA  </t>
  </si>
  <si>
    <t>BEFORE 04/1843</t>
  </si>
  <si>
    <t>THEUNIS</t>
  </si>
  <si>
    <t>b7c1d6e6</t>
  </si>
  <si>
    <t>02/11/1798</t>
  </si>
  <si>
    <t>05/11/1820</t>
  </si>
  <si>
    <t xml:space="preserve">SARA JACOBA </t>
  </si>
  <si>
    <t>a1b3c8d1</t>
  </si>
  <si>
    <t>30/05/1808</t>
  </si>
  <si>
    <t>30/01/1876</t>
  </si>
  <si>
    <t>a3b1c1d2</t>
  </si>
  <si>
    <t>14/08/1838</t>
  </si>
  <si>
    <t>ABRAHAM GERHARDUS</t>
  </si>
  <si>
    <t>b2c11</t>
  </si>
  <si>
    <t>02/02/1811</t>
  </si>
  <si>
    <t>19/09/1890</t>
  </si>
  <si>
    <t xml:space="preserve">ELIZABETH (ELSJE) SUSANNA </t>
  </si>
  <si>
    <t>24/07/1806</t>
  </si>
  <si>
    <t>24/08/1841 - 06/02/1842</t>
  </si>
  <si>
    <t>BO-DUIVENSHOKRIVIER</t>
  </si>
  <si>
    <t xml:space="preserve">ANDRIES THEODORUS </t>
  </si>
  <si>
    <t>11/10/1800</t>
  </si>
  <si>
    <t>29/12/1889</t>
  </si>
  <si>
    <t>16/07/1803</t>
  </si>
  <si>
    <t>10/06/1841</t>
  </si>
  <si>
    <t>b1c5d1e2</t>
  </si>
  <si>
    <t>30/01/1871</t>
  </si>
  <si>
    <t>14/10/1798</t>
  </si>
  <si>
    <t xml:space="preserve">HENDRINA ELIZABETH (ELSABE) </t>
  </si>
  <si>
    <t>b3c3d7e7</t>
  </si>
  <si>
    <t>31/05/1800</t>
  </si>
  <si>
    <t>06/07/1800</t>
  </si>
  <si>
    <t>03 - 10/1838</t>
  </si>
  <si>
    <t>30/07/1796</t>
  </si>
  <si>
    <t>12/10/1796</t>
  </si>
  <si>
    <t>01/05/1874</t>
  </si>
  <si>
    <t>03/03/1838</t>
  </si>
  <si>
    <t>26/11/1780</t>
  </si>
  <si>
    <t>05/11/1809</t>
  </si>
  <si>
    <t>SLIER</t>
  </si>
  <si>
    <t>STANDER</t>
  </si>
  <si>
    <t>ANDRIAAN HENDRICUS</t>
  </si>
  <si>
    <t>b8c5d1</t>
  </si>
  <si>
    <t>12/01/1817</t>
  </si>
  <si>
    <t>16/02/1817</t>
  </si>
  <si>
    <t>05/09/1897</t>
  </si>
  <si>
    <t>WILMAN (WELLMANS/WELLMAN)</t>
  </si>
  <si>
    <t>18/10/1888</t>
  </si>
  <si>
    <t>WILLEM FEDERIK</t>
  </si>
  <si>
    <t>b11c2</t>
  </si>
  <si>
    <t>08/03/1829</t>
  </si>
  <si>
    <t>MARIA ELZABETH</t>
  </si>
  <si>
    <t>06/01/1876</t>
  </si>
  <si>
    <t>ALBERT NICOLAAS</t>
  </si>
  <si>
    <t>b11c4d14</t>
  </si>
  <si>
    <t>06/02/1814</t>
  </si>
  <si>
    <t>29/10/1873</t>
  </si>
  <si>
    <t>BAREND WILLEM JACOBUS</t>
  </si>
  <si>
    <t>22/06/1803</t>
  </si>
  <si>
    <t>12/01/1880</t>
  </si>
  <si>
    <t>JOHANNA DOROTHEA ALETTA</t>
  </si>
  <si>
    <t>27/01/1807</t>
  </si>
  <si>
    <t>25/05/1808</t>
  </si>
  <si>
    <t>J.C POTGIETER</t>
  </si>
  <si>
    <t>25/07/1847</t>
  </si>
  <si>
    <t xml:space="preserve">ANNAELZABETH </t>
  </si>
  <si>
    <t>b6c1d10e2f1</t>
  </si>
  <si>
    <t>27/10/1826</t>
  </si>
  <si>
    <t>29/10/1906</t>
  </si>
  <si>
    <t>HERMANUS PHILIPPUS</t>
  </si>
  <si>
    <t>21/07/1821</t>
  </si>
  <si>
    <t>PAULPIETERSBURG</t>
  </si>
  <si>
    <t>14/09/1894</t>
  </si>
  <si>
    <t>28/05/1849</t>
  </si>
  <si>
    <t xml:space="preserve">ANNA MARGARETHA FREDERIKA </t>
  </si>
  <si>
    <t>A.H POTGIETER</t>
  </si>
  <si>
    <t>22/07/1867</t>
  </si>
  <si>
    <t xml:space="preserve">SUSANNA ELIZABETH MARIA </t>
  </si>
  <si>
    <t>b10c5d9</t>
  </si>
  <si>
    <t>16/06/1845</t>
  </si>
  <si>
    <t xml:space="preserve">JACOBUS CHRISTOFFEL </t>
  </si>
  <si>
    <t>b7c2d2e4</t>
  </si>
  <si>
    <t>18/08/1815</t>
  </si>
  <si>
    <t>03/08/1834</t>
  </si>
  <si>
    <t>ELZABETH MARIA</t>
  </si>
  <si>
    <t>b7c2d6e2</t>
  </si>
  <si>
    <t>21/11/1822</t>
  </si>
  <si>
    <t xml:space="preserve">FRANCINA MAGDALENA JOHANNA </t>
  </si>
  <si>
    <t>b1c2d4e3f4g1</t>
  </si>
  <si>
    <t>11/1825</t>
  </si>
  <si>
    <t>30/04/1874</t>
  </si>
  <si>
    <t>FAMLIY MOVE</t>
  </si>
  <si>
    <t xml:space="preserve">JAN HARM  </t>
  </si>
  <si>
    <t>10/10/1818</t>
  </si>
  <si>
    <t>23/01/1914</t>
  </si>
  <si>
    <t>02/03/1839</t>
  </si>
  <si>
    <t xml:space="preserve">HESTER MARTHA ALETTA </t>
  </si>
  <si>
    <t>b4c1d5e3</t>
  </si>
  <si>
    <t>26/09/1821</t>
  </si>
  <si>
    <t>20/12/1888</t>
  </si>
  <si>
    <t>JAN HARMEN</t>
  </si>
  <si>
    <t>b7c2d2e1</t>
  </si>
  <si>
    <t>09/01/1810</t>
  </si>
  <si>
    <t>07/08/1840</t>
  </si>
  <si>
    <t>b7c2d5e1</t>
  </si>
  <si>
    <t>11/06/1817</t>
  </si>
  <si>
    <t>19/10/1838</t>
  </si>
  <si>
    <t>09/08/1761</t>
  </si>
  <si>
    <t>06/04/1783</t>
  </si>
  <si>
    <t>03/02/1788</t>
  </si>
  <si>
    <t>21/05/1769</t>
  </si>
  <si>
    <t>PETRUS IGNATIUS LOURENS</t>
  </si>
  <si>
    <t>b7c2d2e6</t>
  </si>
  <si>
    <t>29/04/1901</t>
  </si>
  <si>
    <t xml:space="preserve">JOHANNA MAGDALENA  </t>
  </si>
  <si>
    <t>b6c1d10e8</t>
  </si>
  <si>
    <t>SUSANNA GERTRUIDA ELIZABETH</t>
  </si>
  <si>
    <t>IRENE-KONSENTRASIE KAMP</t>
  </si>
  <si>
    <t>1901/07</t>
  </si>
  <si>
    <t>PETRUS JOHANNES DIRKSE</t>
  </si>
  <si>
    <t>b11c10d2</t>
  </si>
  <si>
    <t>08/07/1800</t>
  </si>
  <si>
    <t>04/09/1871</t>
  </si>
  <si>
    <t>11/03/1824</t>
  </si>
  <si>
    <t>20/02/1803</t>
  </si>
  <si>
    <t>10/12/1893</t>
  </si>
  <si>
    <t>10/1939 - 05/1841</t>
  </si>
  <si>
    <t>POTCHEFSTROOM EN LYDENBURG</t>
  </si>
  <si>
    <t>PHILIPPUS LOURENS</t>
  </si>
  <si>
    <t>JOHANNA DOROTHEA GEERTRUIDA</t>
  </si>
  <si>
    <t>BEFORE 11/1837</t>
  </si>
  <si>
    <t>03/06/1827</t>
  </si>
  <si>
    <t xml:space="preserve">ALETTA CATHARINA ADRIANA JACOMINA </t>
  </si>
  <si>
    <t>THOMAS IGNATIUS (JACOBUS)</t>
  </si>
  <si>
    <t xml:space="preserve">LINDLEY </t>
  </si>
  <si>
    <t>22/06/1865</t>
  </si>
  <si>
    <t xml:space="preserve">CLARA ISABELLA </t>
  </si>
  <si>
    <t>b7c8d7e4</t>
  </si>
  <si>
    <t>22/05/1796</t>
  </si>
  <si>
    <t>BEFORE 23/12/1838</t>
  </si>
  <si>
    <t>THOMAS IGNATIUS JACOBUS</t>
  </si>
  <si>
    <t>b7c2d3e4</t>
  </si>
  <si>
    <t>12/02/1825</t>
  </si>
  <si>
    <t>10/04/1869</t>
  </si>
  <si>
    <t>JACOBA ELIZABETH (BETTIE)</t>
  </si>
  <si>
    <t>TWEELING</t>
  </si>
  <si>
    <t>08/01/1896</t>
  </si>
  <si>
    <t>b12c8d4</t>
  </si>
  <si>
    <t>18/04/1806</t>
  </si>
  <si>
    <t>15/11/1807</t>
  </si>
  <si>
    <t>12/08/1874</t>
  </si>
  <si>
    <t>28/05/1810</t>
  </si>
  <si>
    <t>27/06/1876</t>
  </si>
  <si>
    <t>10/1839 - 04/1842</t>
  </si>
  <si>
    <t>STEENVAT</t>
  </si>
  <si>
    <t>JOHANNES CAROLUS</t>
  </si>
  <si>
    <t>06/08/1789</t>
  </si>
  <si>
    <t>30/061799</t>
  </si>
  <si>
    <t>06/06/1830</t>
  </si>
  <si>
    <t>MARHTA ELIZABETH</t>
  </si>
  <si>
    <t>06/1836 - 1839</t>
  </si>
  <si>
    <t>STEINMAN(N)</t>
  </si>
  <si>
    <t>22/02/1811</t>
  </si>
  <si>
    <t>21/06/1812</t>
  </si>
  <si>
    <t xml:space="preserve">ELZABE ELZABETH </t>
  </si>
  <si>
    <t>b17c1d2</t>
  </si>
  <si>
    <t>03/02/1823</t>
  </si>
  <si>
    <t>09/03/1823</t>
  </si>
  <si>
    <t>b2c8d3e4f4</t>
  </si>
  <si>
    <t>28/10/1817</t>
  </si>
  <si>
    <t>22/08/1818</t>
  </si>
  <si>
    <t>29/05/1893</t>
  </si>
  <si>
    <t>RIVERSDAL</t>
  </si>
  <si>
    <t>JOHANNA SUSANNA LOUISA</t>
  </si>
  <si>
    <t>06/1840</t>
  </si>
  <si>
    <t>DOUW PETRUS JACOBUS</t>
  </si>
  <si>
    <t>b2c3d4e11</t>
  </si>
  <si>
    <t>29/01/1797</t>
  </si>
  <si>
    <t xml:space="preserve">ENGELA PETRONELLA </t>
  </si>
  <si>
    <t>b1c3d4e8</t>
  </si>
  <si>
    <t>06/01/1788</t>
  </si>
  <si>
    <t>02/1811</t>
  </si>
  <si>
    <t xml:space="preserve">FRANCINA CHRISTINA </t>
  </si>
  <si>
    <t xml:space="preserve">b2c10  </t>
  </si>
  <si>
    <t>10/01/1784</t>
  </si>
  <si>
    <t>20/02/1842</t>
  </si>
  <si>
    <t>b2c3d4e2f3</t>
  </si>
  <si>
    <t>21/06/1795</t>
  </si>
  <si>
    <t>NICOLA MARIA ELISABETH</t>
  </si>
  <si>
    <t>11 OR 12/1837 - 1838</t>
  </si>
  <si>
    <t>JUDITH CHRISTINA</t>
  </si>
  <si>
    <t>HERMANUS (M. SEUN)</t>
  </si>
  <si>
    <t>b2c3d6e2f1</t>
  </si>
  <si>
    <t>01/10/1791</t>
  </si>
  <si>
    <t>08/01/1792</t>
  </si>
  <si>
    <t>10/1838</t>
  </si>
  <si>
    <t>KRRONSPRUIT</t>
  </si>
  <si>
    <t>HERMANUS (P.SEUN)</t>
  </si>
  <si>
    <t>b2c3d13e2f?</t>
  </si>
  <si>
    <t>KLIPRIVER</t>
  </si>
  <si>
    <t>b2c3d6e1f1</t>
  </si>
  <si>
    <t>24/04/1808</t>
  </si>
  <si>
    <t>b2c3d6e1f1g1</t>
  </si>
  <si>
    <t>22/05/1809</t>
  </si>
  <si>
    <t>01/09/1882</t>
  </si>
  <si>
    <t xml:space="preserve">MARIA CATHARINA MARGARETHA </t>
  </si>
  <si>
    <t>11/01/1815</t>
  </si>
  <si>
    <t>16/03/1894</t>
  </si>
  <si>
    <t>HERMANUS JACOBUS (DOUW SEUN)</t>
  </si>
  <si>
    <t>b2c8d3e5</t>
  </si>
  <si>
    <t>STELLEBOSCH</t>
  </si>
  <si>
    <t>07/05/1815</t>
  </si>
  <si>
    <t>b2c3d4e6f3</t>
  </si>
  <si>
    <t>11/01/1812</t>
  </si>
  <si>
    <t>01/04/1838</t>
  </si>
  <si>
    <t>CATHARINA MARGARETHA</t>
  </si>
  <si>
    <t>13/01/1843</t>
  </si>
  <si>
    <t>JACOBA MAGDALENA</t>
  </si>
  <si>
    <t>HERMANUS THEODORUS</t>
  </si>
  <si>
    <t>b2c3d11e5f3</t>
  </si>
  <si>
    <t>12/10/1813</t>
  </si>
  <si>
    <t>27/03/1814</t>
  </si>
  <si>
    <t>22/04/1839</t>
  </si>
  <si>
    <t>BEFORE 04/1839</t>
  </si>
  <si>
    <t>b2c8d2e5</t>
  </si>
  <si>
    <t>27/05/1798</t>
  </si>
  <si>
    <t>ANNA LEONORA</t>
  </si>
  <si>
    <t>09/08/1872</t>
  </si>
  <si>
    <t>b2c8d2e6f1</t>
  </si>
  <si>
    <t>01/05/1819</t>
  </si>
  <si>
    <t>13/06/1819</t>
  </si>
  <si>
    <t>08/08/1887</t>
  </si>
  <si>
    <t>04/06/1845</t>
  </si>
  <si>
    <t>MAGDALENA JOSINA</t>
  </si>
  <si>
    <t>BECKER</t>
  </si>
  <si>
    <t>27/10/1882</t>
  </si>
  <si>
    <t>b2c3d6e7f3</t>
  </si>
  <si>
    <t>04/07/1802</t>
  </si>
  <si>
    <t>26/05/1885</t>
  </si>
  <si>
    <t>MACHTELD SUSARA</t>
  </si>
  <si>
    <t>b2c3d4e2f2g1</t>
  </si>
  <si>
    <t>04/07/1817</t>
  </si>
  <si>
    <t>17/02/1818</t>
  </si>
  <si>
    <t>26/04/1840</t>
  </si>
  <si>
    <t>JOHANNA SOPHIA CATHARINA</t>
  </si>
  <si>
    <t>13/02/1889</t>
  </si>
  <si>
    <t>JOHANNES CHRISTOFFEL (HANS)</t>
  </si>
  <si>
    <t>b2c3d11e4f1</t>
  </si>
  <si>
    <t>28/09/1799</t>
  </si>
  <si>
    <t>07/10/1804</t>
  </si>
  <si>
    <t>20/10/1887</t>
  </si>
  <si>
    <t>07/08/1825</t>
  </si>
  <si>
    <t>PETRONELLA HELENA</t>
  </si>
  <si>
    <t>b2c3d4e2f3g3</t>
  </si>
  <si>
    <t>11/02/1822</t>
  </si>
  <si>
    <t>MARTHA ALETTA</t>
  </si>
  <si>
    <t>09 OR 10/1837</t>
  </si>
  <si>
    <t>b2c3d13e2f2</t>
  </si>
  <si>
    <t>20/09/1823</t>
  </si>
  <si>
    <t>17/11/1823</t>
  </si>
  <si>
    <t>HUIBERCHTJE MARIA</t>
  </si>
  <si>
    <t>JOHANNES JURGEN (L.SEUN)</t>
  </si>
  <si>
    <t>b2c3d4e2f2g5</t>
  </si>
  <si>
    <t>JOSEPH JACOBUS JOHANNES</t>
  </si>
  <si>
    <t>b2c8d2e6f3</t>
  </si>
  <si>
    <t>06/10/1821</t>
  </si>
  <si>
    <t>HESTER ELIZABETH LORETTA</t>
  </si>
  <si>
    <t>02/08/1897</t>
  </si>
  <si>
    <t>BEFORE 05/1844</t>
  </si>
  <si>
    <t>LOUIS HERMANUS PETRUS</t>
  </si>
  <si>
    <t>b2c3d4e2f9</t>
  </si>
  <si>
    <t>20/03/1815</t>
  </si>
  <si>
    <t>15/04/1834</t>
  </si>
  <si>
    <t>SUSANNA MARIA CATHARINA</t>
  </si>
  <si>
    <t>J.C ESPAG</t>
  </si>
  <si>
    <t>b2c3d6e1f1g2</t>
  </si>
  <si>
    <t>03/07/1892</t>
  </si>
  <si>
    <t>ANNA MARIA VENTER</t>
  </si>
  <si>
    <t>b2c3d4e2f2</t>
  </si>
  <si>
    <t>10/08/1794</t>
  </si>
  <si>
    <t xml:space="preserve">MARTHA SUSANNA </t>
  </si>
  <si>
    <t>b2c6d13e4</t>
  </si>
  <si>
    <t>MIDDEL-MODERRIVIER, OVS</t>
  </si>
  <si>
    <t>30/10/1864</t>
  </si>
  <si>
    <t xml:space="preserve">ELIZABETH CHRISTINA </t>
  </si>
  <si>
    <t>b2c2d1e4f12</t>
  </si>
  <si>
    <t>b2c3d6e7f7</t>
  </si>
  <si>
    <t>01/01/1811</t>
  </si>
  <si>
    <t xml:space="preserve">MARIA SUSANNA  </t>
  </si>
  <si>
    <t>MARTHINUS JACOBUS DEWALD</t>
  </si>
  <si>
    <t>b2c3d6e2f1g5</t>
  </si>
  <si>
    <t>02/10/1823</t>
  </si>
  <si>
    <t>05/03/1828</t>
  </si>
  <si>
    <t>07/03/1828</t>
  </si>
  <si>
    <t>b2c3d6e1f1g3</t>
  </si>
  <si>
    <t>24/03/1812</t>
  </si>
  <si>
    <t>07/06/1812</t>
  </si>
  <si>
    <t>04/04/1877</t>
  </si>
  <si>
    <t xml:space="preserve">ANNA M. BARENDINA </t>
  </si>
  <si>
    <t>ALETTA CATHARINA ELIZABETH</t>
  </si>
  <si>
    <t>b2c3d4e2f2g3</t>
  </si>
  <si>
    <t>26/06/1876</t>
  </si>
  <si>
    <t>12/04/1840</t>
  </si>
  <si>
    <t>30/06/1890</t>
  </si>
  <si>
    <t>b2c8d2e6</t>
  </si>
  <si>
    <t>17/08/1800</t>
  </si>
  <si>
    <t>09/02/1896</t>
  </si>
  <si>
    <t>12/02/1815</t>
  </si>
  <si>
    <t xml:space="preserve">JACOBA ELIZABETH  </t>
  </si>
  <si>
    <t>b5c13d2</t>
  </si>
  <si>
    <t>b2c8d2e5f2</t>
  </si>
  <si>
    <t>07/04/1852</t>
  </si>
  <si>
    <t>JACOMINA HENDRINA MARGARETHA</t>
  </si>
  <si>
    <t>b2c3d13e2</t>
  </si>
  <si>
    <t>11/11/1792</t>
  </si>
  <si>
    <t>JACOBA HENDRINA</t>
  </si>
  <si>
    <t>22/07/1804</t>
  </si>
  <si>
    <t>AFTER 07/1839</t>
  </si>
  <si>
    <t>b2c3d6e1f1g6</t>
  </si>
  <si>
    <t>15/09/1818</t>
  </si>
  <si>
    <t>24/01/1819</t>
  </si>
  <si>
    <t xml:space="preserve">CECILIA JOHANNA  </t>
  </si>
  <si>
    <t>BEFORE 05/1838</t>
  </si>
  <si>
    <t>PIETER WOUTER</t>
  </si>
  <si>
    <t>b2c8d3e4</t>
  </si>
  <si>
    <t>18/07/1790</t>
  </si>
  <si>
    <t>16/10/1792</t>
  </si>
  <si>
    <t>THEUNIS FREDERIK JACOBUS</t>
  </si>
  <si>
    <t>b2c3d4e2f7</t>
  </si>
  <si>
    <t>04/09/1808</t>
  </si>
  <si>
    <t>12/07/1889</t>
  </si>
  <si>
    <t>MARTHA FRANCINA</t>
  </si>
  <si>
    <t>23/11/1805</t>
  </si>
  <si>
    <t>28/05/1879</t>
  </si>
  <si>
    <t xml:space="preserve">WILLEM HENDRIK  </t>
  </si>
  <si>
    <t>b2c3d4e6f7</t>
  </si>
  <si>
    <t>23/01/1896</t>
  </si>
  <si>
    <t>WILHELMINA CATHARINA FRANCINA</t>
  </si>
  <si>
    <t>STOLZ</t>
  </si>
  <si>
    <t>COENRAAD FREDRIK</t>
  </si>
  <si>
    <t>04/07/1798</t>
  </si>
  <si>
    <t>AGATA GERTRUIDA ELIZABETH FRANCINA</t>
  </si>
  <si>
    <t>GABRIEL GERHARDUS FRDERIK</t>
  </si>
  <si>
    <t>20/08/1819</t>
  </si>
  <si>
    <t>18/10/1819</t>
  </si>
  <si>
    <t>ANNA CORNELIA MARGARETHA</t>
  </si>
  <si>
    <t xml:space="preserve">MARIA SALOMINA (WILHELMINA) </t>
  </si>
  <si>
    <t>04/02/1825</t>
  </si>
  <si>
    <t>16/04/1850</t>
  </si>
  <si>
    <t>STOOP</t>
  </si>
  <si>
    <t>ALBERTUS ABRAHAM</t>
  </si>
  <si>
    <t>16/11/1818</t>
  </si>
  <si>
    <t>18/03/1839</t>
  </si>
  <si>
    <t>FRANCINA WILHELMINA</t>
  </si>
  <si>
    <t>20/10/1826</t>
  </si>
  <si>
    <t>BEFORE 03/1839</t>
  </si>
  <si>
    <t>WINBURG EN WAKKERSTROOM</t>
  </si>
  <si>
    <t>HENDRIK GERHARDUS</t>
  </si>
  <si>
    <t>10/10/1810</t>
  </si>
  <si>
    <t>19/04/1864</t>
  </si>
  <si>
    <t>MARIA JOHANNA LEVINA</t>
  </si>
  <si>
    <t>BOESMANRAND</t>
  </si>
  <si>
    <t>01/11/1841</t>
  </si>
  <si>
    <t>BEFORE 04/1841</t>
  </si>
  <si>
    <t>WILHELMINA CHRISTINA SUSANNA</t>
  </si>
  <si>
    <t>b3c1d2e6f5</t>
  </si>
  <si>
    <t>11/09/1836</t>
  </si>
  <si>
    <t>MARIA JOHANNA CORNELIA</t>
  </si>
  <si>
    <t>ABRAHAM FRDERIK</t>
  </si>
  <si>
    <t>14/03/1892</t>
  </si>
  <si>
    <t>06/07/1840</t>
  </si>
  <si>
    <t>ADRIES JACOBUS</t>
  </si>
  <si>
    <t>11/06/1806</t>
  </si>
  <si>
    <t>CAROLINA MARGARETHA ELIZABETH</t>
  </si>
  <si>
    <t>DAVID CHISTIAAN DIRK</t>
  </si>
  <si>
    <t>01/03/1804</t>
  </si>
  <si>
    <t>22/10/1870</t>
  </si>
  <si>
    <t>ZACHARIJA PETRONELLA</t>
  </si>
  <si>
    <t>20/10/1829</t>
  </si>
  <si>
    <t>NUWE HANTAM, COLESBURG</t>
  </si>
  <si>
    <t>04/04/1868</t>
  </si>
  <si>
    <t xml:space="preserve">DAVID FREDERIK  </t>
  </si>
  <si>
    <t>01/11/1818</t>
  </si>
  <si>
    <t>04/01/1896</t>
  </si>
  <si>
    <t>20/03/1838</t>
  </si>
  <si>
    <t xml:space="preserve">ELIZABETH WILHELMINA (HERMINA) </t>
  </si>
  <si>
    <t>1841 - 1843</t>
  </si>
  <si>
    <t>31/08/1843</t>
  </si>
  <si>
    <t xml:space="preserve">HESTER GEERTUYDA JACOMINA </t>
  </si>
  <si>
    <t>15/06/1827</t>
  </si>
  <si>
    <t>24/12/1827</t>
  </si>
  <si>
    <t>31/12/1827</t>
  </si>
  <si>
    <t>26 OR 28/05/1859</t>
  </si>
  <si>
    <t>18/02/1781</t>
  </si>
  <si>
    <t xml:space="preserve">ELISABETH LOUISA </t>
  </si>
  <si>
    <t>05/03/1783</t>
  </si>
  <si>
    <t>12/1834</t>
  </si>
  <si>
    <t>11/04/1822</t>
  </si>
  <si>
    <t>06/12/1899</t>
  </si>
  <si>
    <t>GROOTFONTEIN, COLEBERG</t>
  </si>
  <si>
    <t>01/02/1811</t>
  </si>
  <si>
    <t>25/03/1878</t>
  </si>
  <si>
    <t>03/05/1829</t>
  </si>
  <si>
    <t>RACHEL CATHARINA MARIA</t>
  </si>
  <si>
    <t>1835 -1840</t>
  </si>
  <si>
    <t>27/11/1834</t>
  </si>
  <si>
    <t>17/10/1818</t>
  </si>
  <si>
    <t>06/12/1888</t>
  </si>
  <si>
    <t>JOHANNES MARTTHIAS</t>
  </si>
  <si>
    <t>b2c8</t>
  </si>
  <si>
    <t>27/09/1790</t>
  </si>
  <si>
    <t>25/12/1790</t>
  </si>
  <si>
    <t>27/10/1870</t>
  </si>
  <si>
    <t xml:space="preserve">ADRIANA S. </t>
  </si>
  <si>
    <t>08/09/1833</t>
  </si>
  <si>
    <t>MARIA CATHARINA ELIZABETH</t>
  </si>
  <si>
    <t>STROH</t>
  </si>
  <si>
    <t>HENDRIK STEPHANUS MARTHINUS</t>
  </si>
  <si>
    <t>23/02/1814</t>
  </si>
  <si>
    <t>11/09/1814</t>
  </si>
  <si>
    <t>29/05/1885</t>
  </si>
  <si>
    <t>12/12/1834</t>
  </si>
  <si>
    <t>b4c3d2e6f3</t>
  </si>
  <si>
    <t>25/10/1814</t>
  </si>
  <si>
    <t>09/06/1867</t>
  </si>
  <si>
    <t>a1b1c2d4e1</t>
  </si>
  <si>
    <t>08/02/1844</t>
  </si>
  <si>
    <t>07/10/1844</t>
  </si>
  <si>
    <t>ELIZABETH JOHANNA MARIA CHARLOTTE</t>
  </si>
  <si>
    <t>27/05/1823</t>
  </si>
  <si>
    <t>21/07/1899</t>
  </si>
  <si>
    <t>BAREND HENDRIK JOSEPHUS</t>
  </si>
  <si>
    <t>b4c6d3e5</t>
  </si>
  <si>
    <t>24/02/1797</t>
  </si>
  <si>
    <t>01/05/1882</t>
  </si>
  <si>
    <t xml:space="preserve">ZACHARIA GEERTUIDA </t>
  </si>
  <si>
    <t>b5c1d1e6</t>
  </si>
  <si>
    <t>SUSANNA CHRISTINA ELIZABETH BARENDINA</t>
  </si>
  <si>
    <t>22/08/1901</t>
  </si>
  <si>
    <t>BAREND HENDRIK JOSEPHUS JR.</t>
  </si>
  <si>
    <t>b4cd3e5f3</t>
  </si>
  <si>
    <t>01/10/1824</t>
  </si>
  <si>
    <t>17/04/1825</t>
  </si>
  <si>
    <t>MAGRIETA ELIZABETH</t>
  </si>
  <si>
    <t>COENRAAD JACOBUS STEPHANUS</t>
  </si>
  <si>
    <t>b4c6d3e6</t>
  </si>
  <si>
    <t xml:space="preserve">JOHANNA WILHELMINA </t>
  </si>
  <si>
    <t>12/1840</t>
  </si>
  <si>
    <t>11/12/1840</t>
  </si>
  <si>
    <t>b8c10d3e6</t>
  </si>
  <si>
    <t>16/08/1821</t>
  </si>
  <si>
    <t>16/09/1896</t>
  </si>
  <si>
    <t>DANIEL JACOBUS JOHANNES (JACOBUS)</t>
  </si>
  <si>
    <t>b3c3d6e10</t>
  </si>
  <si>
    <t>07/09/1794</t>
  </si>
  <si>
    <t>MARIA JOHANNA JACOMINA</t>
  </si>
  <si>
    <t>BEFORE 11/1840</t>
  </si>
  <si>
    <t>P.D JACOBS</t>
  </si>
  <si>
    <t>DANIEL JACOBUS JOHANNES (P.F SEUN)</t>
  </si>
  <si>
    <t>b3c3d6e13f1</t>
  </si>
  <si>
    <t>05/08/1823</t>
  </si>
  <si>
    <t>25/05/1880</t>
  </si>
  <si>
    <t>ISABELLA CATHARINA</t>
  </si>
  <si>
    <t>DAVID JAN JACOBUS</t>
  </si>
  <si>
    <t>b3c3d6e12</t>
  </si>
  <si>
    <t>12/08/1798</t>
  </si>
  <si>
    <t>KLASSEN</t>
  </si>
  <si>
    <t>02/04/1820</t>
  </si>
  <si>
    <t xml:space="preserve">SUSANNA (SUSARA) MARIA </t>
  </si>
  <si>
    <t>OOSTHUIJSE (OOSTHUIZEN)</t>
  </si>
  <si>
    <t>b7c3d12</t>
  </si>
  <si>
    <t>29/08/1804</t>
  </si>
  <si>
    <t>FREDERIK ANDRIES</t>
  </si>
  <si>
    <t>b3c3d6e17</t>
  </si>
  <si>
    <t>15/09/1809</t>
  </si>
  <si>
    <t>12/05/1873</t>
  </si>
  <si>
    <t>b3c12d3e4</t>
  </si>
  <si>
    <t>29/09/1813</t>
  </si>
  <si>
    <t>21/11/1813</t>
  </si>
  <si>
    <t>31/10/1893</t>
  </si>
  <si>
    <t>03/1842</t>
  </si>
  <si>
    <t>GERRIT ROELOF JOHANNES (GERT)</t>
  </si>
  <si>
    <t>b4c6d3e5f1</t>
  </si>
  <si>
    <t>11/06/1819</t>
  </si>
  <si>
    <t>22/01/1891</t>
  </si>
  <si>
    <t>05/08/1898</t>
  </si>
  <si>
    <t>GIDEON LOURENS</t>
  </si>
  <si>
    <t>b3c3d3e11</t>
  </si>
  <si>
    <t>09/12/1792</t>
  </si>
  <si>
    <t>25/10/1872</t>
  </si>
  <si>
    <t xml:space="preserve">CORNELIA SUSANNA (SARA) </t>
  </si>
  <si>
    <t>21/04/1793</t>
  </si>
  <si>
    <t>20/12/1832</t>
  </si>
  <si>
    <t>SUSANNAFRANCINA</t>
  </si>
  <si>
    <t>12/03/1809</t>
  </si>
  <si>
    <t>b4c23d2e2</t>
  </si>
  <si>
    <t>b4c3d2e2f2g2</t>
  </si>
  <si>
    <t>24/11/1824</t>
  </si>
  <si>
    <t>20/03/1825</t>
  </si>
  <si>
    <t>16/12/1849</t>
  </si>
  <si>
    <t xml:space="preserve">DOROTHEA MAGDALENA (EN/OF GEERTRUIDA) </t>
  </si>
  <si>
    <t>b2c6d10e2</t>
  </si>
  <si>
    <t>15/04/1825</t>
  </si>
  <si>
    <t>15/12/1890</t>
  </si>
  <si>
    <t>b3c3d6e16</t>
  </si>
  <si>
    <t>30/05/1886</t>
  </si>
  <si>
    <t>JOHANNA CATHARINA WILHELMINA</t>
  </si>
  <si>
    <t>12/11/1833</t>
  </si>
  <si>
    <t>DINA JOHANNA MAGDALENA (OF SUSANNA)</t>
  </si>
  <si>
    <t>a1b3c10d1e2f2g1</t>
  </si>
  <si>
    <t>13/06/1815</t>
  </si>
  <si>
    <t>b3c3d6e15</t>
  </si>
  <si>
    <t>11/10/1804</t>
  </si>
  <si>
    <t>20/02/1875</t>
  </si>
  <si>
    <t>CORNELIA FRANCINA MAGDALENA ELIZABETH</t>
  </si>
  <si>
    <t xml:space="preserve">b4c3d2e2f2 </t>
  </si>
  <si>
    <t>09/11/1797</t>
  </si>
  <si>
    <t>11/01/1882</t>
  </si>
  <si>
    <t>31/08/1798</t>
  </si>
  <si>
    <t>08/1837</t>
  </si>
  <si>
    <t>JOHANNES PETRUS (HANS)</t>
  </si>
  <si>
    <t>24/05/1778</t>
  </si>
  <si>
    <t>02-19/05/1838</t>
  </si>
  <si>
    <t>18/03/1810</t>
  </si>
  <si>
    <t>ANNA MARIA CATHARINA</t>
  </si>
  <si>
    <t>16/08/1778</t>
  </si>
  <si>
    <t>09/1835</t>
  </si>
  <si>
    <t>J.J. JANSEN VAN RENSBURG</t>
  </si>
  <si>
    <t>01/11/1829</t>
  </si>
  <si>
    <t>ALIDA ALETTA</t>
  </si>
  <si>
    <t>b6c4d3</t>
  </si>
  <si>
    <t>04/03/1789</t>
  </si>
  <si>
    <t>21/01/1791</t>
  </si>
  <si>
    <t>21/04/1837</t>
  </si>
  <si>
    <t>b3c3d6e3f3</t>
  </si>
  <si>
    <t>24/05 OR 08/1818</t>
  </si>
  <si>
    <t>02/09/1887</t>
  </si>
  <si>
    <t>15/04/1838</t>
  </si>
  <si>
    <t>WELTEVREDEN</t>
  </si>
  <si>
    <t>27/07/1871</t>
  </si>
  <si>
    <t>04/1838</t>
  </si>
  <si>
    <t>WILHELMINA GERTRUIDA JOHANNA</t>
  </si>
  <si>
    <t>07/04/1825</t>
  </si>
  <si>
    <t>b3c3d6e11f3</t>
  </si>
  <si>
    <t>01/04/1846</t>
  </si>
  <si>
    <t>30/11/1825</t>
  </si>
  <si>
    <t>05/11/1886</t>
  </si>
  <si>
    <t>b3c3d3e11f1</t>
  </si>
  <si>
    <t>23/04/1816</t>
  </si>
  <si>
    <t>MAROKA</t>
  </si>
  <si>
    <t>03/11/1893</t>
  </si>
  <si>
    <t xml:space="preserve">CHRISTINA HELENA </t>
  </si>
  <si>
    <t>23/03/1823</t>
  </si>
  <si>
    <t>23/08/1869</t>
  </si>
  <si>
    <t>28/02/1870</t>
  </si>
  <si>
    <t>01/03/1827</t>
  </si>
  <si>
    <t>THABA NCHU</t>
  </si>
  <si>
    <t>OKKER ANDRIES</t>
  </si>
  <si>
    <t>b3c3d6e12f3</t>
  </si>
  <si>
    <t>20*/10/1890</t>
  </si>
  <si>
    <t>HANNAH SOPHIA SUSARA MARIA ADRIANA GERTRUIDA</t>
  </si>
  <si>
    <t>19/01/1821</t>
  </si>
  <si>
    <t>VOOR 1867</t>
  </si>
  <si>
    <t>GREEF</t>
  </si>
  <si>
    <t>PETRUS STEPHANUS (JOHANNES)</t>
  </si>
  <si>
    <t>b3c3d3e11f2</t>
  </si>
  <si>
    <t>13/07/1820</t>
  </si>
  <si>
    <t>06/12/1848</t>
  </si>
  <si>
    <t>ALETTA ELIZABETH</t>
  </si>
  <si>
    <t>VAN ECK</t>
  </si>
  <si>
    <t>PIETER FREDERIK</t>
  </si>
  <si>
    <t xml:space="preserve">b3c3d6e13 </t>
  </si>
  <si>
    <t>25/06/1800</t>
  </si>
  <si>
    <t>24/09/1887</t>
  </si>
  <si>
    <t xml:space="preserve">CORNELIA MARIA </t>
  </si>
  <si>
    <t>b2c5d3</t>
  </si>
  <si>
    <t>03/07/1886</t>
  </si>
  <si>
    <t>PIETER FREDERIK JR.</t>
  </si>
  <si>
    <t>b3c3d6e13f3</t>
  </si>
  <si>
    <t>MARTHA PETRUSIENA MARIA CATHAIRNA</t>
  </si>
  <si>
    <t>21/08/1892</t>
  </si>
  <si>
    <t>31/01/1893</t>
  </si>
  <si>
    <t xml:space="preserve">MAGDALENA MARIA  </t>
  </si>
  <si>
    <t xml:space="preserve">ROELOF JOHANNES </t>
  </si>
  <si>
    <t>b4c6d3e5f2</t>
  </si>
  <si>
    <t>14/02/1821</t>
  </si>
  <si>
    <t>22/04/1823</t>
  </si>
  <si>
    <t>20/02/1885</t>
  </si>
  <si>
    <t>13/07/1885</t>
  </si>
  <si>
    <t>ELSIE JOHANNA</t>
  </si>
  <si>
    <t>b4c3d2e2f5</t>
  </si>
  <si>
    <t>09/12/1810</t>
  </si>
  <si>
    <t>16/02/1879</t>
  </si>
  <si>
    <t>31/03/1836</t>
  </si>
  <si>
    <t>09/09/1896</t>
  </si>
  <si>
    <t>BEFORE 12/1838</t>
  </si>
  <si>
    <t>08/09/1892</t>
  </si>
  <si>
    <t>BEFORE 06/1839</t>
  </si>
  <si>
    <t>WILLEM GERHARDUS</t>
  </si>
  <si>
    <t>b3c3d6e3f4</t>
  </si>
  <si>
    <t>20/01/1820</t>
  </si>
  <si>
    <t>TREGARDT EN VAN RENSBURG</t>
  </si>
  <si>
    <t>ABRAHAM CHRISTOFFEL JOHANNES</t>
  </si>
  <si>
    <t>28/06/1804</t>
  </si>
  <si>
    <t>04/011/1804</t>
  </si>
  <si>
    <t>27/09/1894</t>
  </si>
  <si>
    <t xml:space="preserve">SARA JOHANNA SUSANNA </t>
  </si>
  <si>
    <t>JANSEN VAN VUUREN</t>
  </si>
  <si>
    <t>b2c3d10e4</t>
  </si>
  <si>
    <t>05/06/1873</t>
  </si>
  <si>
    <t>21/03/1812</t>
  </si>
  <si>
    <t>23/04/1876</t>
  </si>
  <si>
    <t>POTGIETERSFONTEIN</t>
  </si>
  <si>
    <t>28/08/1809</t>
  </si>
  <si>
    <t>1842 - 1844</t>
  </si>
  <si>
    <t>01/01/1866</t>
  </si>
  <si>
    <t>CLARA ISABELLA MARGARETHA</t>
  </si>
  <si>
    <t>CHRISTIAAN HENDERIK</t>
  </si>
  <si>
    <t>b6c5d2e2</t>
  </si>
  <si>
    <t>08/10/1808</t>
  </si>
  <si>
    <t>31/07/1880</t>
  </si>
  <si>
    <t>16/07/1827</t>
  </si>
  <si>
    <t>24/12/1810</t>
  </si>
  <si>
    <t>06/01/1811</t>
  </si>
  <si>
    <t>BURGERSDORP</t>
  </si>
  <si>
    <t>FREDERIK JACOBUS CORNELIS</t>
  </si>
  <si>
    <t>b3c12d13</t>
  </si>
  <si>
    <t>28/09/1820</t>
  </si>
  <si>
    <t>01/05/1892</t>
  </si>
  <si>
    <t>b7c2d5e4</t>
  </si>
  <si>
    <t>19/06/1823</t>
  </si>
  <si>
    <t>03/02/1824</t>
  </si>
  <si>
    <t>11/02/1887</t>
  </si>
  <si>
    <t>JACOBA WILHELMINA</t>
  </si>
  <si>
    <t>23/07/1827</t>
  </si>
  <si>
    <t>NYLSTROOM (MODIMOLLE)</t>
  </si>
  <si>
    <t>09/03/1880</t>
  </si>
  <si>
    <t>12/04/1881</t>
  </si>
  <si>
    <t>b3c3d2e7</t>
  </si>
  <si>
    <t>12/02/1817</t>
  </si>
  <si>
    <t>21/07/1873</t>
  </si>
  <si>
    <t>29/09/1839</t>
  </si>
  <si>
    <t>SUSANNA ELIZABETH MARGARETHA</t>
  </si>
  <si>
    <t>CORDIER</t>
  </si>
  <si>
    <t>29/07/1898</t>
  </si>
  <si>
    <t>KLEINSWART-BERG (GAMKA)</t>
  </si>
  <si>
    <t>04/1841 - 05/1844</t>
  </si>
  <si>
    <t>b7c7d1</t>
  </si>
  <si>
    <t>02/10/1794</t>
  </si>
  <si>
    <t>14/10/1795</t>
  </si>
  <si>
    <t xml:space="preserve">HENDRINA PETRONELLA </t>
  </si>
  <si>
    <t>11/1835</t>
  </si>
  <si>
    <t>JACOBUS (ROOI KOOS)</t>
  </si>
  <si>
    <t xml:space="preserve">b6c5d2  </t>
  </si>
  <si>
    <t>11/03/1787</t>
  </si>
  <si>
    <t>08/06/1860</t>
  </si>
  <si>
    <t>14/11/1790</t>
  </si>
  <si>
    <t>JACOBUS JOHANNES (BLOU KOOS)</t>
  </si>
  <si>
    <t>03/03/1784</t>
  </si>
  <si>
    <t>11/10/1785</t>
  </si>
  <si>
    <t>26/08/1871</t>
  </si>
  <si>
    <t>04/07/1809</t>
  </si>
  <si>
    <t>ELIZABETH MARIA SUSANNA</t>
  </si>
  <si>
    <t>JACOBUS JOHANNES PETRUS CORNELIS</t>
  </si>
  <si>
    <t>b7c2d5e5</t>
  </si>
  <si>
    <t>13/10/1825</t>
  </si>
  <si>
    <t>ISABELLA ANDRIETTA WILHELMINA</t>
  </si>
  <si>
    <t>20/08/1828</t>
  </si>
  <si>
    <t>b3c3d2e3</t>
  </si>
  <si>
    <t>29/06/1811</t>
  </si>
  <si>
    <t>17/03/1877</t>
  </si>
  <si>
    <t xml:space="preserve">MARYNA MARIA FRANCINA PETRONELLA </t>
  </si>
  <si>
    <t>16/11/1883</t>
  </si>
  <si>
    <t>KLEIN SWARTBERG</t>
  </si>
  <si>
    <t>b6c6d1e6</t>
  </si>
  <si>
    <t>13/05/1818</t>
  </si>
  <si>
    <t>25/09/1886</t>
  </si>
  <si>
    <t>02/05/1841</t>
  </si>
  <si>
    <t xml:space="preserve">GESINA ELIZABETH </t>
  </si>
  <si>
    <t>08/09/1875</t>
  </si>
  <si>
    <t>BRAKFONTEIN</t>
  </si>
  <si>
    <t>21/03/1876</t>
  </si>
  <si>
    <t>JOHANNES JOCHEMUS</t>
  </si>
  <si>
    <t>b3c6d12e1</t>
  </si>
  <si>
    <t>12/03/1823</t>
  </si>
  <si>
    <t>10/07/1854</t>
  </si>
  <si>
    <t xml:space="preserve">ANNA JOHANNA HENDRINA </t>
  </si>
  <si>
    <t>b7c2d3e8</t>
  </si>
  <si>
    <t>12/05/1823</t>
  </si>
  <si>
    <t>15/07/1889</t>
  </si>
  <si>
    <t>06/03/1843</t>
  </si>
  <si>
    <t xml:space="preserve">MAGDALENA CORNELIA </t>
  </si>
  <si>
    <t>16/08/1828</t>
  </si>
  <si>
    <t>21/02/1870</t>
  </si>
  <si>
    <t>31/10/1870</t>
  </si>
  <si>
    <t>04/08/1829</t>
  </si>
  <si>
    <t>10/02/1830</t>
  </si>
  <si>
    <t>11/08/1881</t>
  </si>
  <si>
    <t>30/04/1825</t>
  </si>
  <si>
    <t>SMITHFIELD 10/10/1882</t>
  </si>
  <si>
    <t>b6c6d6e1</t>
  </si>
  <si>
    <t>14/06/1816</t>
  </si>
  <si>
    <t>09/02/1817</t>
  </si>
  <si>
    <t>06/10/1899</t>
  </si>
  <si>
    <t>06/01/1840</t>
  </si>
  <si>
    <t>ELSIE DOROTHEA WILHELMINA ADRIANA</t>
  </si>
  <si>
    <t>KEYSER</t>
  </si>
  <si>
    <t>RENOSTERBERG</t>
  </si>
  <si>
    <t>PHILIPPUS JOHANNES CORNELIS</t>
  </si>
  <si>
    <t>b6c6d1e5</t>
  </si>
  <si>
    <t>03/12/1815</t>
  </si>
  <si>
    <t>07/05/1818</t>
  </si>
  <si>
    <t>10/06/1880</t>
  </si>
  <si>
    <t>BEFORE 11/1839</t>
  </si>
  <si>
    <t>PIETER ANDRIES</t>
  </si>
  <si>
    <t>b3c3d2</t>
  </si>
  <si>
    <t>27/12/1774</t>
  </si>
  <si>
    <t>04/05/1807</t>
  </si>
  <si>
    <t>KLEIN-SWARTBERG</t>
  </si>
  <si>
    <t>03/09/1814</t>
  </si>
  <si>
    <t xml:space="preserve">CORNELIA ZACHARIA </t>
  </si>
  <si>
    <t>VAN EMMENIS</t>
  </si>
  <si>
    <t>26/10/1815</t>
  </si>
  <si>
    <t>CATHARINA GERTRUIDA</t>
  </si>
  <si>
    <t>05/07/1884</t>
  </si>
  <si>
    <t>PIETER FREDERIK REINIER</t>
  </si>
  <si>
    <t>b6c6d1e7</t>
  </si>
  <si>
    <t>29/07/1819</t>
  </si>
  <si>
    <t>04/05/1882</t>
  </si>
  <si>
    <t>18/05/1845</t>
  </si>
  <si>
    <t>01/06/1828</t>
  </si>
  <si>
    <t>11/10/1879</t>
  </si>
  <si>
    <t>ROEDOLF JOHANNES</t>
  </si>
  <si>
    <t>b3c3d2e5</t>
  </si>
  <si>
    <t>22/04/1813</t>
  </si>
  <si>
    <t>11/04/1894</t>
  </si>
  <si>
    <t>SUSARAH SUSANNA</t>
  </si>
  <si>
    <t>11/09/1854</t>
  </si>
  <si>
    <t>JOHANNA SUSANNA ELIZABETH</t>
  </si>
  <si>
    <t>C.C.J</t>
  </si>
  <si>
    <t>STEPHANUS JOHANNES MARTHINUS</t>
  </si>
  <si>
    <t>21/10/1792</t>
  </si>
  <si>
    <t>23/06/1793</t>
  </si>
  <si>
    <t>BELA-BELA</t>
  </si>
  <si>
    <t>11/04/1866</t>
  </si>
  <si>
    <t xml:space="preserve">HESTER PETRONELLA </t>
  </si>
  <si>
    <t>ROUSSEAU</t>
  </si>
  <si>
    <t>05/02/1820</t>
  </si>
  <si>
    <t xml:space="preserve">EMMERENTIA PETRONELLA </t>
  </si>
  <si>
    <t>b7c2d5e3</t>
  </si>
  <si>
    <t>25/08/1820</t>
  </si>
  <si>
    <t>13/10/1820</t>
  </si>
  <si>
    <t>20/05/1879</t>
  </si>
  <si>
    <t>ANNA MARIA CHRISTINA WILHELMINA</t>
  </si>
  <si>
    <t>17/05/1879</t>
  </si>
  <si>
    <t>b7c2d3e7</t>
  </si>
  <si>
    <t>01/01/1821</t>
  </si>
  <si>
    <t>08/03/1897</t>
  </si>
  <si>
    <t>12/07/1840</t>
  </si>
  <si>
    <t>PETRONELLA SUSANNA CATHARINA</t>
  </si>
  <si>
    <t>b2c3d3e4f1</t>
  </si>
  <si>
    <t>26/08/1885</t>
  </si>
  <si>
    <t>12/1841 - 02/1845</t>
  </si>
  <si>
    <t xml:space="preserve">b3c6d12  </t>
  </si>
  <si>
    <t>18/12/1803</t>
  </si>
  <si>
    <t>13/01/1805</t>
  </si>
  <si>
    <t>b3c4d2e2f1</t>
  </si>
  <si>
    <t>22/05/1806</t>
  </si>
  <si>
    <t>WILLEM ANDRIES JACOBUS</t>
  </si>
  <si>
    <t>b6c5d2e3</t>
  </si>
  <si>
    <t>22/01/1812</t>
  </si>
  <si>
    <t>30/01/1887</t>
  </si>
  <si>
    <t>05/09/1830</t>
  </si>
  <si>
    <t>26/08/1812</t>
  </si>
  <si>
    <t>WILLEM BAREND</t>
  </si>
  <si>
    <t>01/10/1758</t>
  </si>
  <si>
    <t>19/12/1790</t>
  </si>
  <si>
    <t>25/07/1762</t>
  </si>
  <si>
    <t>WILLEM JACOB MARTHINUS</t>
  </si>
  <si>
    <t>b3c3d2e10</t>
  </si>
  <si>
    <t>01/09/1824</t>
  </si>
  <si>
    <t>10/09/1826</t>
  </si>
  <si>
    <t>09/05/1865</t>
  </si>
  <si>
    <t>01/07/1822</t>
  </si>
  <si>
    <t>14/11/1864</t>
  </si>
  <si>
    <t>b2c3d5e13</t>
  </si>
  <si>
    <t>23/09/1880</t>
  </si>
  <si>
    <t>05/12/1825</t>
  </si>
  <si>
    <t xml:space="preserve">SUSANNA PETRONELLA </t>
  </si>
  <si>
    <t>BREEDT</t>
  </si>
  <si>
    <t>05/12/1827</t>
  </si>
  <si>
    <t>09/08/1835</t>
  </si>
  <si>
    <t>MARGARETHA HENDRINA</t>
  </si>
  <si>
    <t>HANS JACOB BERNHARDUS</t>
  </si>
  <si>
    <t>b2c4d9e4f1</t>
  </si>
  <si>
    <t>17/02/1823</t>
  </si>
  <si>
    <t>25/03/1824</t>
  </si>
  <si>
    <t>26/03/1885</t>
  </si>
  <si>
    <t>11/04/1841</t>
  </si>
  <si>
    <t>08/05/1870</t>
  </si>
  <si>
    <t>04/1841 - 04/1843</t>
  </si>
  <si>
    <t>OHRIGSTAD EN LYDENBURG</t>
  </si>
  <si>
    <t>CATHARINA JACOBA</t>
  </si>
  <si>
    <t>15/01/1851</t>
  </si>
  <si>
    <t>b3c3d3e3</t>
  </si>
  <si>
    <t>24/09/1786</t>
  </si>
  <si>
    <t>07/03/1790</t>
  </si>
  <si>
    <t>07/1837 - 06/1839</t>
  </si>
  <si>
    <t>b3c3d3e3f3</t>
  </si>
  <si>
    <t>31/03/1813</t>
  </si>
  <si>
    <t>24/04/1813</t>
  </si>
  <si>
    <t>09/01/1882</t>
  </si>
  <si>
    <t>12/07/1833</t>
  </si>
  <si>
    <t>CHRISTOPHORA FRDERIKA</t>
  </si>
  <si>
    <t>a2b2c6</t>
  </si>
  <si>
    <t>29/05/1814</t>
  </si>
  <si>
    <t>18/04/1877</t>
  </si>
  <si>
    <t>AFTER 30/08/1839</t>
  </si>
  <si>
    <t>b6c4d1e7</t>
  </si>
  <si>
    <t>11/03/1829</t>
  </si>
  <si>
    <t>04/11/1898</t>
  </si>
  <si>
    <t>21/07/1799</t>
  </si>
  <si>
    <t>07/04/1880</t>
  </si>
  <si>
    <t>b3c3d3e3f8</t>
  </si>
  <si>
    <t>24/06/1824</t>
  </si>
  <si>
    <t>03/04/1880</t>
  </si>
  <si>
    <t>PETRUS ARNOLDUS GERHARDUS</t>
  </si>
  <si>
    <t>b3c3d3e3f4</t>
  </si>
  <si>
    <t>24/09/1815</t>
  </si>
  <si>
    <t>WESSEL CORNELIS</t>
  </si>
  <si>
    <t xml:space="preserve">b2c4d9e4 </t>
  </si>
  <si>
    <t>b1c2d4e3f8</t>
  </si>
  <si>
    <t>05/1850</t>
  </si>
  <si>
    <t>TAUTE</t>
  </si>
  <si>
    <t>JOHAN HENDRIK FREDERIK</t>
  </si>
  <si>
    <t>b4c7d3</t>
  </si>
  <si>
    <t>17/08/1819</t>
  </si>
  <si>
    <t>05/12/1841</t>
  </si>
  <si>
    <t>14/05/1825</t>
  </si>
  <si>
    <t>02/09/1862</t>
  </si>
  <si>
    <t xml:space="preserve">NUWEVELD </t>
  </si>
  <si>
    <t>JACOB DE KLERK JR.</t>
  </si>
  <si>
    <t>08/07/1863</t>
  </si>
  <si>
    <t xml:space="preserve">ANNA MARGRIETA </t>
  </si>
  <si>
    <t>MARE (VOORHEEN GROBLER)</t>
  </si>
  <si>
    <t>MATTHEUS PIETER</t>
  </si>
  <si>
    <t>b4c7d2</t>
  </si>
  <si>
    <t>16/06/1816 ?</t>
  </si>
  <si>
    <t>TERRBLANCHE</t>
  </si>
  <si>
    <t>JOHANNES (JAN) ABRAHAM</t>
  </si>
  <si>
    <t>b4c2d1e10</t>
  </si>
  <si>
    <t>22/06/1829</t>
  </si>
  <si>
    <t>UIVLUGT</t>
  </si>
  <si>
    <t>HENDRIK SCHALK</t>
  </si>
  <si>
    <t>b4c7d1e4f3</t>
  </si>
  <si>
    <t>10/08/1823</t>
  </si>
  <si>
    <t>01/07/1896</t>
  </si>
  <si>
    <t>10/07/1848</t>
  </si>
  <si>
    <t xml:space="preserve">JACOBA JACOMINA </t>
  </si>
  <si>
    <t>23/11/1830</t>
  </si>
  <si>
    <t>14/02/1903</t>
  </si>
  <si>
    <t>JACOBUS ARNOLDUS</t>
  </si>
  <si>
    <t>b4c7d1e7</t>
  </si>
  <si>
    <t>17/07/1802</t>
  </si>
  <si>
    <t>18/02/1873</t>
  </si>
  <si>
    <t>20/08/1806</t>
  </si>
  <si>
    <t>ELSABE MAGDALENA</t>
  </si>
  <si>
    <t>b4c7d1e4f4</t>
  </si>
  <si>
    <t>25/05/1825</t>
  </si>
  <si>
    <t>19/01/1852</t>
  </si>
  <si>
    <t xml:space="preserve">ELSIE JOHANNA MAGDALENA </t>
  </si>
  <si>
    <t>25/05/1833</t>
  </si>
  <si>
    <t>24/12/1855</t>
  </si>
  <si>
    <t>21/12/1835</t>
  </si>
  <si>
    <t>22/07/1904</t>
  </si>
  <si>
    <t>THOMAS FRANCOIS</t>
  </si>
  <si>
    <t xml:space="preserve">b4c7d1e4 </t>
  </si>
  <si>
    <t>17/04/1797</t>
  </si>
  <si>
    <t>11/04/1856</t>
  </si>
  <si>
    <t>08/06/1799</t>
  </si>
  <si>
    <t>SUSANNA CATHARINA SOPHIA</t>
  </si>
  <si>
    <t>LACOCK</t>
  </si>
  <si>
    <t>02/01/1899</t>
  </si>
  <si>
    <t>b6c2d1e1f4</t>
  </si>
  <si>
    <t>08/11/1825</t>
  </si>
  <si>
    <t>22/01/1826</t>
  </si>
  <si>
    <t>JOHANNES GODLIEB</t>
  </si>
  <si>
    <t>11/12/1822</t>
  </si>
  <si>
    <t>16/02/1884</t>
  </si>
  <si>
    <t>CATRINA MARIA</t>
  </si>
  <si>
    <t>BEESTEKRAAL</t>
  </si>
  <si>
    <t>30/10/1851</t>
  </si>
  <si>
    <t>15/11/1823</t>
  </si>
  <si>
    <t>02/07/1845</t>
  </si>
  <si>
    <t>JOHANNA ALETTA</t>
  </si>
  <si>
    <t>RUSTENBURG EN SWARTRUGGENS</t>
  </si>
  <si>
    <t>TREDOUX</t>
  </si>
  <si>
    <t>JOHAN FREDERIK SCHICKERLING</t>
  </si>
  <si>
    <t>a1b7</t>
  </si>
  <si>
    <t>30/06/1820</t>
  </si>
  <si>
    <t>24/09/1879</t>
  </si>
  <si>
    <t>08/1841</t>
  </si>
  <si>
    <t>ANNA MARGARETHA FREDERIKA</t>
  </si>
  <si>
    <t>a1b1c10</t>
  </si>
  <si>
    <t>28/01/1900</t>
  </si>
  <si>
    <t>CAROLUS JOHANNES (KAREL)</t>
  </si>
  <si>
    <t>15/03/1812</t>
  </si>
  <si>
    <t>15/04/1901</t>
  </si>
  <si>
    <t>18/06/1831</t>
  </si>
  <si>
    <t>HENDRINA CORNELIA</t>
  </si>
  <si>
    <t>06/1838</t>
  </si>
  <si>
    <t>13/05/1841</t>
  </si>
  <si>
    <t xml:space="preserve">ZACHARYA GEERTRUIDA </t>
  </si>
  <si>
    <t>b3c12d4e7</t>
  </si>
  <si>
    <t>29/10/1824</t>
  </si>
  <si>
    <t>22/03/1826</t>
  </si>
  <si>
    <t>20/05/1901</t>
  </si>
  <si>
    <t>LOUIS (LOWIES)</t>
  </si>
  <si>
    <t xml:space="preserve">b2c4 </t>
  </si>
  <si>
    <t>10/08/1783</t>
  </si>
  <si>
    <t>DRANKENSTEIN</t>
  </si>
  <si>
    <t>10/04/1785</t>
  </si>
  <si>
    <t>25/10/1838</t>
  </si>
  <si>
    <t>MARTHA ELIZABETH SUSANNA</t>
  </si>
  <si>
    <t>20 OR 21/10/1795</t>
  </si>
  <si>
    <t>01/05/1838</t>
  </si>
  <si>
    <t>J.J JANSE VAN RENSBURG</t>
  </si>
  <si>
    <t>PETRUS FREDERIK (PIETA)</t>
  </si>
  <si>
    <t>30/10/1819</t>
  </si>
  <si>
    <t>06/12/1819</t>
  </si>
  <si>
    <t>09/1836</t>
  </si>
  <si>
    <t>TRUTER</t>
  </si>
  <si>
    <t>JACOBUS TREDOUX</t>
  </si>
  <si>
    <t>b10c7d6</t>
  </si>
  <si>
    <t>14/11/1821</t>
  </si>
  <si>
    <t>25/08/1895</t>
  </si>
  <si>
    <t xml:space="preserve">FRANCINA JOHANNA </t>
  </si>
  <si>
    <t>25/03/1826</t>
  </si>
  <si>
    <t>MEMEL</t>
  </si>
  <si>
    <t>25/07/1900</t>
  </si>
  <si>
    <t>BEFORE 03/1843</t>
  </si>
  <si>
    <t xml:space="preserve">JOHANNES GERHARDUS </t>
  </si>
  <si>
    <t>B1C5D6</t>
  </si>
  <si>
    <t>07/08/1779</t>
  </si>
  <si>
    <t>B1C5D8</t>
  </si>
  <si>
    <t>02/06/1783</t>
  </si>
  <si>
    <t>26/01/1860</t>
  </si>
  <si>
    <t>B1C5D8E2</t>
  </si>
  <si>
    <t>16/12/1859</t>
  </si>
  <si>
    <t>B1C5D6E8</t>
  </si>
  <si>
    <t>28/08/1816</t>
  </si>
  <si>
    <t>B1C5D1E4</t>
  </si>
  <si>
    <t>17/09/1878</t>
  </si>
  <si>
    <t>CORNELIS JANSE</t>
  </si>
  <si>
    <t>B1C5D2E2</t>
  </si>
  <si>
    <t>20/01/1796</t>
  </si>
  <si>
    <t>15/05/1796</t>
  </si>
  <si>
    <t>04/05/1872</t>
  </si>
  <si>
    <t>B1C2D5</t>
  </si>
  <si>
    <t>17/04/1814</t>
  </si>
  <si>
    <t>DIRK CORNELIS</t>
  </si>
  <si>
    <t>B1C5D2E12/B1C3D2E4</t>
  </si>
  <si>
    <t>04/02/1814</t>
  </si>
  <si>
    <t>31/08/1845</t>
  </si>
  <si>
    <t>27/05/1818</t>
  </si>
  <si>
    <t>24/03/1898</t>
  </si>
  <si>
    <t>B1C5D2E3F3</t>
  </si>
  <si>
    <t>03/03/1823</t>
  </si>
  <si>
    <t>11/04/1838</t>
  </si>
  <si>
    <t>B1C5D2</t>
  </si>
  <si>
    <t>26/06/1770</t>
  </si>
  <si>
    <t>03/02/1771</t>
  </si>
  <si>
    <t>07/1838</t>
  </si>
  <si>
    <t>10/03/1793</t>
  </si>
  <si>
    <t>B2C2</t>
  </si>
  <si>
    <t>11/09/1777</t>
  </si>
  <si>
    <t>21/09/1850</t>
  </si>
  <si>
    <t>B1C5D2E4</t>
  </si>
  <si>
    <t>26/07/1800</t>
  </si>
  <si>
    <t>21/12/1806</t>
  </si>
  <si>
    <t xml:space="preserve">MARIA MAGRIETHA ELIZABETH </t>
  </si>
  <si>
    <t>B1C5D2E3F1</t>
  </si>
  <si>
    <t>22/02/1819</t>
  </si>
  <si>
    <t>24/10/1886</t>
  </si>
  <si>
    <t>GEERTRIUDA JOHANNA</t>
  </si>
  <si>
    <t>B1C5D2E15</t>
  </si>
  <si>
    <t>02/05/1898</t>
  </si>
  <si>
    <t>GERTRUIDA CORNELIA</t>
  </si>
  <si>
    <t>30/10/1853</t>
  </si>
  <si>
    <t>17/03/1854</t>
  </si>
  <si>
    <t>PERTUS LAFRAS</t>
  </si>
  <si>
    <t>B1C5D2E3</t>
  </si>
  <si>
    <t>07/10/1797</t>
  </si>
  <si>
    <t>10/09/1815</t>
  </si>
  <si>
    <t>27/08/1799</t>
  </si>
  <si>
    <t>29/09/1799</t>
  </si>
  <si>
    <t>03/09/1869</t>
  </si>
  <si>
    <t>B1C5D2E16</t>
  </si>
  <si>
    <t>19/03/1824</t>
  </si>
  <si>
    <t>16/06/1824</t>
  </si>
  <si>
    <t>10/06/1877</t>
  </si>
  <si>
    <t>17/04/1854</t>
  </si>
  <si>
    <t>B1C3D1E4F6G1</t>
  </si>
  <si>
    <t>23/06/1834</t>
  </si>
  <si>
    <t>24/05/1827</t>
  </si>
  <si>
    <t>ABRAHAM MATTHYS</t>
  </si>
  <si>
    <t>A2B1C15D3</t>
  </si>
  <si>
    <t>21/10/1798</t>
  </si>
  <si>
    <t>06/05/1820</t>
  </si>
  <si>
    <t>SUSANNA M</t>
  </si>
  <si>
    <t>KLEIN ROGGEVELD</t>
  </si>
  <si>
    <t>PETRUS JOHANNES NAUDE</t>
  </si>
  <si>
    <t>25/04/1830</t>
  </si>
  <si>
    <t>13/05/1853</t>
  </si>
  <si>
    <t>A1B2C7D3E8</t>
  </si>
  <si>
    <t>26/02/1812</t>
  </si>
  <si>
    <t>28/07/1818</t>
  </si>
  <si>
    <t>BETWEEN 12/01/1840 AND 19/09/1841</t>
  </si>
  <si>
    <t xml:space="preserve">VAN ASWEGEN </t>
  </si>
  <si>
    <t>HENDRIK ABRAHAM</t>
  </si>
  <si>
    <t>B2C4</t>
  </si>
  <si>
    <t>08/02/1805</t>
  </si>
  <si>
    <t>04/04/1830</t>
  </si>
  <si>
    <t>HENNING PETRUS JONATHAN</t>
  </si>
  <si>
    <t>B1C5D7E2</t>
  </si>
  <si>
    <t>17/11/1824</t>
  </si>
  <si>
    <t>09/08/1841</t>
  </si>
  <si>
    <t>SARA MARIA PETRONELLA</t>
  </si>
  <si>
    <t>BETWEEN 05/1839 AND 04/1842</t>
  </si>
  <si>
    <t>IZAK GERRIT</t>
  </si>
  <si>
    <t>PALMIETFONTEIN</t>
  </si>
  <si>
    <t>13/05/1859</t>
  </si>
  <si>
    <t>ANTJIE CHRISTINA</t>
  </si>
  <si>
    <t>06/07/1881</t>
  </si>
  <si>
    <t>B2C6</t>
  </si>
  <si>
    <t>17/04/1809</t>
  </si>
  <si>
    <t>05 OR 06/04/1829</t>
  </si>
  <si>
    <t>HELENA GEERTRUIDA</t>
  </si>
  <si>
    <t>BEFORE 15/04/1838</t>
  </si>
  <si>
    <t>GEERTRUIDA PETRONELLA JOHANNA</t>
  </si>
  <si>
    <t>24/06/1813</t>
  </si>
  <si>
    <t>01/10/1802</t>
  </si>
  <si>
    <t>13/02/1803</t>
  </si>
  <si>
    <t>MARTHA JACOMINA</t>
  </si>
  <si>
    <t>28/01/1838</t>
  </si>
  <si>
    <t>PERTRUS JOHANNES</t>
  </si>
  <si>
    <t>b2c6d3e1</t>
  </si>
  <si>
    <t>11/10/1822</t>
  </si>
  <si>
    <t>17/04/1823</t>
  </si>
  <si>
    <t>30/08/1841</t>
  </si>
  <si>
    <t>VAN VREEDEN (GEBORE MEYER)</t>
  </si>
  <si>
    <t>VAN BREDA</t>
  </si>
  <si>
    <t>MICHIEL</t>
  </si>
  <si>
    <t>16/02/1786</t>
  </si>
  <si>
    <t>26/02/1786</t>
  </si>
  <si>
    <t>26/03/1809</t>
  </si>
  <si>
    <t>CHARLOTTA CAROLINA</t>
  </si>
  <si>
    <t>VOIGT</t>
  </si>
  <si>
    <t>25/06/1788</t>
  </si>
  <si>
    <t>22/05/1846</t>
  </si>
  <si>
    <t>MOSSELBAAI</t>
  </si>
  <si>
    <t>FAMILIE</t>
  </si>
  <si>
    <t>SERVAAS</t>
  </si>
  <si>
    <t>b1c3d3e1</t>
  </si>
  <si>
    <t>RONDEBOSCH</t>
  </si>
  <si>
    <t>12/12/1881</t>
  </si>
  <si>
    <t>MARIA ALBERTINA SUSANNA</t>
  </si>
  <si>
    <t>a2b4c7d6e4</t>
  </si>
  <si>
    <t>22/08/1813</t>
  </si>
  <si>
    <t>ADOLPH JOHANNES</t>
  </si>
  <si>
    <t>b2c2d?</t>
  </si>
  <si>
    <t>MARGARETHA</t>
  </si>
  <si>
    <t>26/07/1837</t>
  </si>
  <si>
    <t>HENDRIK PRETRUS</t>
  </si>
  <si>
    <t>b7c2d1e3</t>
  </si>
  <si>
    <t>JOHANNES DANIëL</t>
  </si>
  <si>
    <t>06/09/1826</t>
  </si>
  <si>
    <t>MARIA MARTHINA</t>
  </si>
  <si>
    <t>21/06/1838</t>
  </si>
  <si>
    <t>13/03/1806</t>
  </si>
  <si>
    <t>06/12/1837</t>
  </si>
  <si>
    <t>JOHANNES DANIëL SR.</t>
  </si>
  <si>
    <t>10/01/1783</t>
  </si>
  <si>
    <t>20/10/1783</t>
  </si>
  <si>
    <t>18/06/1863</t>
  </si>
  <si>
    <t>10/1812</t>
  </si>
  <si>
    <t>10/05/1794</t>
  </si>
  <si>
    <t>21/01/1795</t>
  </si>
  <si>
    <t>01/12/1865</t>
  </si>
  <si>
    <t>JOHANNES DANIëL JR.</t>
  </si>
  <si>
    <t>26/05/1883</t>
  </si>
  <si>
    <t>PHILIPPUS MARTHINUS</t>
  </si>
  <si>
    <t>24/08/1810</t>
  </si>
  <si>
    <t>VAN DEN BERG(H)</t>
  </si>
  <si>
    <t>BAREND JACOBUS PETRUS</t>
  </si>
  <si>
    <t>b1c6d6e4</t>
  </si>
  <si>
    <t>MARIA DOROTHEA MAGDALENA</t>
  </si>
  <si>
    <t>b14c10d8</t>
  </si>
  <si>
    <t>07/08/1808</t>
  </si>
  <si>
    <t>17/04/1878</t>
  </si>
  <si>
    <t>02/1837</t>
  </si>
  <si>
    <t>b1c6d9e1</t>
  </si>
  <si>
    <t>RENOSTERVELD</t>
  </si>
  <si>
    <t>03/10/1822</t>
  </si>
  <si>
    <t>CATHARINA ALETTA HENDRINA</t>
  </si>
  <si>
    <t>G.M MARITZ</t>
  </si>
  <si>
    <t>b1c10d6</t>
  </si>
  <si>
    <t>11/03/1785</t>
  </si>
  <si>
    <t>26/08/1785</t>
  </si>
  <si>
    <t>05/09/1839</t>
  </si>
  <si>
    <t>a5b2</t>
  </si>
  <si>
    <t>03/09/1790</t>
  </si>
  <si>
    <t>27/09/1877</t>
  </si>
  <si>
    <t>b1c9d2e4f2</t>
  </si>
  <si>
    <t>07/11/1823</t>
  </si>
  <si>
    <t>28/06/1847</t>
  </si>
  <si>
    <t xml:space="preserve">CHRISTINA ANDRIESINA </t>
  </si>
  <si>
    <t>a1b1c12</t>
  </si>
  <si>
    <t>b2c8d1e1f1</t>
  </si>
  <si>
    <t>b1c10d6e3</t>
  </si>
  <si>
    <t>30/10/1811</t>
  </si>
  <si>
    <t>29/06/1849</t>
  </si>
  <si>
    <t xml:space="preserve">JOHANNA ANDRINA </t>
  </si>
  <si>
    <t>23/05/1843</t>
  </si>
  <si>
    <t>04/1844</t>
  </si>
  <si>
    <t>IZAK JOHANNES MATTHYS</t>
  </si>
  <si>
    <t>b1c9d2e4</t>
  </si>
  <si>
    <t>19/08/1802</t>
  </si>
  <si>
    <t>07/06/1819</t>
  </si>
  <si>
    <t>JOHANNA SOPHIA ADRIANA</t>
  </si>
  <si>
    <t>b1c7d5e4</t>
  </si>
  <si>
    <t>06/09/1821</t>
  </si>
  <si>
    <t>22/04/1834</t>
  </si>
  <si>
    <t xml:space="preserve">BLOUKRANS </t>
  </si>
  <si>
    <t>b1c10d11</t>
  </si>
  <si>
    <t>21/08/1802</t>
  </si>
  <si>
    <t>b1c6d6</t>
  </si>
  <si>
    <t>22/09/1772</t>
  </si>
  <si>
    <t>12/01/1800</t>
  </si>
  <si>
    <t>HILLETJE MAGDALENA</t>
  </si>
  <si>
    <t>b3c1d3e1f1</t>
  </si>
  <si>
    <t>27/04/1789</t>
  </si>
  <si>
    <t>b1c10d6e2</t>
  </si>
  <si>
    <t>31/12/1809</t>
  </si>
  <si>
    <t>22/06/1860</t>
  </si>
  <si>
    <t>04/05/1834</t>
  </si>
  <si>
    <t>b1c6d6e5</t>
  </si>
  <si>
    <t xml:space="preserve">HERMINA ALETTA </t>
  </si>
  <si>
    <t>BEFORE 02/1837</t>
  </si>
  <si>
    <t>b1c7d5e1</t>
  </si>
  <si>
    <t>BEFORE 05/1837</t>
  </si>
  <si>
    <t>08/07/1852</t>
  </si>
  <si>
    <t>JACOBA ELIZABETH</t>
  </si>
  <si>
    <t>VAN DER HEEVER</t>
  </si>
  <si>
    <t>LUCAS ADRIAAN JACOBUS</t>
  </si>
  <si>
    <t>07/06/1807</t>
  </si>
  <si>
    <t>13/03/1808</t>
  </si>
  <si>
    <t>30/04/1857</t>
  </si>
  <si>
    <t>HESTER ELIZABETH(WILHELMINA)</t>
  </si>
  <si>
    <t>BETWEEN 27/02/1842 AND 09/12/1843</t>
  </si>
  <si>
    <t>AS FAMILY</t>
  </si>
  <si>
    <t>24/02/1839</t>
  </si>
  <si>
    <t>JOHANNES HENDRIK GERHARDUS</t>
  </si>
  <si>
    <t>b3c5d3</t>
  </si>
  <si>
    <t>MAGDALENA JUDITH</t>
  </si>
  <si>
    <t xml:space="preserve">b6c2 </t>
  </si>
  <si>
    <t>BEFORE 09/1837</t>
  </si>
  <si>
    <t>LAMBERTUS GERHARDUS JOHANNES</t>
  </si>
  <si>
    <t>b3c5d1e2</t>
  </si>
  <si>
    <t>08/05/1815</t>
  </si>
  <si>
    <t xml:space="preserve">JOHANNA WILHEMINA </t>
  </si>
  <si>
    <t>LOTTERING (LOTRIET)</t>
  </si>
  <si>
    <t>ANDRIES PETRUS STEPHANUS</t>
  </si>
  <si>
    <t>b2c14d9e2f6</t>
  </si>
  <si>
    <t xml:space="preserve">ALTTA ELIZABETH </t>
  </si>
  <si>
    <t>B5C2D2</t>
  </si>
  <si>
    <t>b2c13d4e3f5</t>
  </si>
  <si>
    <t>ELSIE LOUISA</t>
  </si>
  <si>
    <t>20/12/1802</t>
  </si>
  <si>
    <t>CAREL (KAREL) JACOBUS</t>
  </si>
  <si>
    <t>b2c9d12e5f1</t>
  </si>
  <si>
    <t>21/07/1812</t>
  </si>
  <si>
    <t>b1c2d4e5</t>
  </si>
  <si>
    <t>01/12/1829</t>
  </si>
  <si>
    <t>b2c9d12e5f2</t>
  </si>
  <si>
    <t>WAMAKERSVALLEI</t>
  </si>
  <si>
    <t>21/09/1835</t>
  </si>
  <si>
    <t>MARTHA ELIZABETH MARGARETHA MARIA</t>
  </si>
  <si>
    <t>b8c7d4e3</t>
  </si>
  <si>
    <t>22/10/1818</t>
  </si>
  <si>
    <t>CHRISTOFFEL</t>
  </si>
  <si>
    <t>b2c12d2e3f8g3</t>
  </si>
  <si>
    <t xml:space="preserve">JEANETTE WILHELMINA </t>
  </si>
  <si>
    <t>b3c1d1e3f2g2</t>
  </si>
  <si>
    <t>b2c14d9e1f3</t>
  </si>
  <si>
    <t>17/12/1809</t>
  </si>
  <si>
    <t>b5c3d9e7</t>
  </si>
  <si>
    <t>DAVID (SCHALK)</t>
  </si>
  <si>
    <t>b2c9d6e1f6g1</t>
  </si>
  <si>
    <t>06/11/1817</t>
  </si>
  <si>
    <t>22/02/1845</t>
  </si>
  <si>
    <t>b1c7d1e9f4</t>
  </si>
  <si>
    <t>b2c13d4e3f3</t>
  </si>
  <si>
    <t>20/01/1799</t>
  </si>
  <si>
    <t xml:space="preserve">MARIASUSANNA </t>
  </si>
  <si>
    <t>b6c6d5e1</t>
  </si>
  <si>
    <t>b2c9d6e10f2</t>
  </si>
  <si>
    <t>10/03/1800</t>
  </si>
  <si>
    <t>15/10/1796</t>
  </si>
  <si>
    <t>03/1844</t>
  </si>
  <si>
    <t>b2c4d5e1f6</t>
  </si>
  <si>
    <t>12/04/1825</t>
  </si>
  <si>
    <t>ANNA MARIA SUSANNA</t>
  </si>
  <si>
    <t>17/12/1810</t>
  </si>
  <si>
    <t>01/05/1843</t>
  </si>
  <si>
    <t>RACHEL JACOBA</t>
  </si>
  <si>
    <t xml:space="preserve">MARTHA ELIZABETH JACOBA </t>
  </si>
  <si>
    <t>DIEDELOF JACOBUS</t>
  </si>
  <si>
    <t>b2c14d9e1f1</t>
  </si>
  <si>
    <t xml:space="preserve">ROBBERTS  </t>
  </si>
  <si>
    <t>b1c7d6e1</t>
  </si>
  <si>
    <t>FRANCOIS ANROLDUS</t>
  </si>
  <si>
    <t>b2c5d7e5f2</t>
  </si>
  <si>
    <t>13/08/1798</t>
  </si>
  <si>
    <t>CHRISTINA CORNELIA</t>
  </si>
  <si>
    <t>04/12/1830</t>
  </si>
  <si>
    <t>b2c14d10e5f2</t>
  </si>
  <si>
    <t>16/04/1820</t>
  </si>
  <si>
    <t>MARIA JOHANNA MARGARETHA</t>
  </si>
  <si>
    <t>a1b3c13d9e1</t>
  </si>
  <si>
    <t>07/10/1783</t>
  </si>
  <si>
    <t>17/07/1785</t>
  </si>
  <si>
    <t>01/09/1805</t>
  </si>
  <si>
    <t>b3c11d2</t>
  </si>
  <si>
    <t>17/06/1787</t>
  </si>
  <si>
    <t>GERRIT JACOBUS HENDRIK JOHANNES</t>
  </si>
  <si>
    <t>b2c14d9e1f4</t>
  </si>
  <si>
    <t>27/02/1811</t>
  </si>
  <si>
    <t>RACHEL WILHELMINA PETRONELLA</t>
  </si>
  <si>
    <t>a3b1c6d2e8f2</t>
  </si>
  <si>
    <t xml:space="preserve">MARTHA SUSANNA PETRONELLA </t>
  </si>
  <si>
    <t>03/04/1809</t>
  </si>
  <si>
    <t>GERT (GERHARDUS)</t>
  </si>
  <si>
    <t>b1c14d10e4f2</t>
  </si>
  <si>
    <t>17/12/1821</t>
  </si>
  <si>
    <t>b4c2d2e1f7g1</t>
  </si>
  <si>
    <t>b2c5d4e1f4g4</t>
  </si>
  <si>
    <t>HELENA GESINA JOHANNA</t>
  </si>
  <si>
    <t>b1c2d4e4</t>
  </si>
  <si>
    <t>BEFORE 02/1838</t>
  </si>
  <si>
    <t>2c13d4e3f2 and b3c12d2e14f2</t>
  </si>
  <si>
    <t>31/05/1795</t>
  </si>
  <si>
    <t>29/05/1877</t>
  </si>
  <si>
    <t>06/11/1795</t>
  </si>
  <si>
    <t>28/10/1879</t>
  </si>
  <si>
    <t>b2c14d10e5f3</t>
  </si>
  <si>
    <t>03/03/1825</t>
  </si>
  <si>
    <t xml:space="preserve">PETRONELLA JOHANNA HENDRINA </t>
  </si>
  <si>
    <t>HENDRIK JACOBUS STEPHANUS</t>
  </si>
  <si>
    <t>b3c8d6e4f7</t>
  </si>
  <si>
    <t>12/09/1811</t>
  </si>
  <si>
    <t>16/03/1864</t>
  </si>
  <si>
    <t>04/02/1832</t>
  </si>
  <si>
    <t>15/12/1812</t>
  </si>
  <si>
    <t>b2c5d7e5f1</t>
  </si>
  <si>
    <t>30/09/1796</t>
  </si>
  <si>
    <t>04/12/1796</t>
  </si>
  <si>
    <t>08/05/1790</t>
  </si>
  <si>
    <t>05/06/1840</t>
  </si>
  <si>
    <t>KOK/KOCH</t>
  </si>
  <si>
    <t>VEREENIGING</t>
  </si>
  <si>
    <t>JACOBUS JOHANNES RUDOLPH</t>
  </si>
  <si>
    <t>b2c14d9e1f2</t>
  </si>
  <si>
    <t>18/12/1807</t>
  </si>
  <si>
    <t>16/02/1869</t>
  </si>
  <si>
    <t xml:space="preserve">ELSIE MARIA ALETTA MAGDALENA </t>
  </si>
  <si>
    <t>14/06/1874</t>
  </si>
  <si>
    <t>b2c14d9e1f5</t>
  </si>
  <si>
    <t>24/11/1900</t>
  </si>
  <si>
    <t>b1c7d3e5</t>
  </si>
  <si>
    <t>SALOMINA WILHELMINA CATHARINA CAROLINA</t>
  </si>
  <si>
    <t>b2c3d8e3f3</t>
  </si>
  <si>
    <t>10/03/1831</t>
  </si>
  <si>
    <t>04/03/1831</t>
  </si>
  <si>
    <t>22/03/1898</t>
  </si>
  <si>
    <t>JAN (JOHANNES) LODEWYK</t>
  </si>
  <si>
    <t>b2c4d5e1f7</t>
  </si>
  <si>
    <t>30/01/1804</t>
  </si>
  <si>
    <t>03/12/1825</t>
  </si>
  <si>
    <t>13/09/1839</t>
  </si>
  <si>
    <t>02/12/1839</t>
  </si>
  <si>
    <t>14/11/1824</t>
  </si>
  <si>
    <t>29/01/1868</t>
  </si>
  <si>
    <t>MARIA ANNA WILHELMINA</t>
  </si>
  <si>
    <t>WERNICH</t>
  </si>
  <si>
    <t>b2c9d6e2f5g2</t>
  </si>
  <si>
    <t>15/07/1843</t>
  </si>
  <si>
    <t xml:space="preserve">ANNA DOROTHEA </t>
  </si>
  <si>
    <t>b3c8d4e4</t>
  </si>
  <si>
    <t>27/10/1879</t>
  </si>
  <si>
    <t>a1b3c3d5e2f1g6</t>
  </si>
  <si>
    <t>23/07/1820</t>
  </si>
  <si>
    <t>23/07/1829</t>
  </si>
  <si>
    <t>JOHANNES LODEVICUS</t>
  </si>
  <si>
    <t>a1b3c8d6e1f7</t>
  </si>
  <si>
    <t>25/08/1796</t>
  </si>
  <si>
    <t>16/04/1797</t>
  </si>
  <si>
    <t>02/02/1816</t>
  </si>
  <si>
    <t xml:space="preserve">ALETTA CORNELIA </t>
  </si>
  <si>
    <t>b4c2d1e1f2</t>
  </si>
  <si>
    <t>19/04/1796</t>
  </si>
  <si>
    <t>BETWEEN 06/1836 AND 23/07/1837</t>
  </si>
  <si>
    <t>10/08/1792</t>
  </si>
  <si>
    <t>ANGOLA</t>
  </si>
  <si>
    <t>09/06/1884</t>
  </si>
  <si>
    <t>13/09/1828</t>
  </si>
  <si>
    <t>26/12/1832</t>
  </si>
  <si>
    <t>ALETTA GEERTRUIDA</t>
  </si>
  <si>
    <t>19/12/1815</t>
  </si>
  <si>
    <t>DUITS-SUIDWES-AFRIKA</t>
  </si>
  <si>
    <t>27/04/1877</t>
  </si>
  <si>
    <t>b3c14d5e4f5</t>
  </si>
  <si>
    <t>22/02/1808</t>
  </si>
  <si>
    <t>01/06/1808</t>
  </si>
  <si>
    <t>20/03/1836</t>
  </si>
  <si>
    <t>13/08/1803</t>
  </si>
  <si>
    <t>b3c14d5e5f3</t>
  </si>
  <si>
    <t>23/09/1805</t>
  </si>
  <si>
    <t>27/10/1805</t>
  </si>
  <si>
    <t>24/03/1877</t>
  </si>
  <si>
    <t>07/08/1821</t>
  </si>
  <si>
    <t>JOSIAS WILLEM</t>
  </si>
  <si>
    <t>b2c9d12e5f4</t>
  </si>
  <si>
    <t>a1b1c1d1e6f4</t>
  </si>
  <si>
    <t>LODEWICUS JOHANNES</t>
  </si>
  <si>
    <t>b2c9d6e1f5g3</t>
  </si>
  <si>
    <t>22/08/1825</t>
  </si>
  <si>
    <t>24/06/1884</t>
  </si>
  <si>
    <t>MARGARETHA MAGDALENA</t>
  </si>
  <si>
    <t>b5c7d9e1</t>
  </si>
  <si>
    <t>23/07/1837</t>
  </si>
  <si>
    <t>b2c4d5e2f8</t>
  </si>
  <si>
    <t>18/02/1795</t>
  </si>
  <si>
    <t>18/01/1870</t>
  </si>
  <si>
    <t>13/11/1800</t>
  </si>
  <si>
    <t>LYNDENBURG</t>
  </si>
  <si>
    <t>27/01/1883</t>
  </si>
  <si>
    <t>b2c5d4e1f4</t>
  </si>
  <si>
    <t>17/08/1788</t>
  </si>
  <si>
    <t>b2c5d4e1f4g1</t>
  </si>
  <si>
    <t>11/02/1838</t>
  </si>
  <si>
    <t>ANNA SOPHIA JACOBA</t>
  </si>
  <si>
    <t>b1c5d1e6f1</t>
  </si>
  <si>
    <t>BEFORE 11/02/1838</t>
  </si>
  <si>
    <t>b2c5d5e1f1g3</t>
  </si>
  <si>
    <t>b2c4d5e2f8g1</t>
  </si>
  <si>
    <t>08/09/1898</t>
  </si>
  <si>
    <t xml:space="preserve">ALTTA SOPHIA </t>
  </si>
  <si>
    <t>WINTERHOEK OF BAVIAANSKLOOF</t>
  </si>
  <si>
    <t>HESTER GERTRUIDA</t>
  </si>
  <si>
    <t>19/06/1905</t>
  </si>
  <si>
    <t>b2c14d10e5</t>
  </si>
  <si>
    <t>13/02/1795</t>
  </si>
  <si>
    <t>13/09/1795</t>
  </si>
  <si>
    <t xml:space="preserve">HENDRINA MARGARETHA DOROTHEA </t>
  </si>
  <si>
    <t>b2c14d6e6</t>
  </si>
  <si>
    <t>ROELOF JACOBUS</t>
  </si>
  <si>
    <t>b2c13d1e8f3g1</t>
  </si>
  <si>
    <t>BERNING</t>
  </si>
  <si>
    <t>b4c10d1</t>
  </si>
  <si>
    <t>b2c13d1e8f3</t>
  </si>
  <si>
    <t>01/06/1796</t>
  </si>
  <si>
    <t>15/10/1860</t>
  </si>
  <si>
    <t>09/02/1846</t>
  </si>
  <si>
    <t>11/05/1847</t>
  </si>
  <si>
    <t>b2c4d5e2f7g3</t>
  </si>
  <si>
    <t>SUSARA MARIA HELENA</t>
  </si>
  <si>
    <t>b2c14d10e4</t>
  </si>
  <si>
    <t>22/07/1792</t>
  </si>
  <si>
    <t xml:space="preserve">CORNELIA CATHARINA </t>
  </si>
  <si>
    <t>b5c4d1e2</t>
  </si>
  <si>
    <t>WILLEM CAREL</t>
  </si>
  <si>
    <t>b2c9d12e5</t>
  </si>
  <si>
    <t>01/01/1785</t>
  </si>
  <si>
    <t>01/01/1786</t>
  </si>
  <si>
    <t>a1b1c7d2</t>
  </si>
  <si>
    <t>12/01/1794</t>
  </si>
  <si>
    <t>b2c13d4e3f8</t>
  </si>
  <si>
    <t>12/03/1808</t>
  </si>
  <si>
    <t>DOROTHEA MARTHA MARIA</t>
  </si>
  <si>
    <t>04/1842</t>
  </si>
  <si>
    <t>GIDEON JACOBUS CHRISTOFFEL PETRUS</t>
  </si>
  <si>
    <t>b6c2d15</t>
  </si>
  <si>
    <t>07/01/1843</t>
  </si>
  <si>
    <t>CORNELIA CATHARINA JACOBA</t>
  </si>
  <si>
    <t>b2c14d10e6f3</t>
  </si>
  <si>
    <t>BETWEEN 01/1836 AND 05/1837</t>
  </si>
  <si>
    <t>b4c2d2e1f8g1</t>
  </si>
  <si>
    <t>JAN HENDRIK GERHARDUS</t>
  </si>
  <si>
    <t>29/04/1810</t>
  </si>
  <si>
    <t>a1b5c8d2e1</t>
  </si>
  <si>
    <t>02/03/1813</t>
  </si>
  <si>
    <t>07/05/1741</t>
  </si>
  <si>
    <t xml:space="preserve">ELISIE JOHANNA </t>
  </si>
  <si>
    <t>08/10/1809</t>
  </si>
  <si>
    <t>FRANCINA ELIZABETH</t>
  </si>
  <si>
    <t>LUCAS PETRUS DANIëL</t>
  </si>
  <si>
    <t>b6c2d10</t>
  </si>
  <si>
    <t>07/04/1808</t>
  </si>
  <si>
    <t>02/01/1831</t>
  </si>
  <si>
    <t>CORNELIA ISABELLA</t>
  </si>
  <si>
    <t>b3c3d4e2</t>
  </si>
  <si>
    <t>BETWEEN 01/1836 AND 10/1837</t>
  </si>
  <si>
    <t>PETRUS MARTHINUS</t>
  </si>
  <si>
    <t>18/11/1861</t>
  </si>
  <si>
    <t xml:space="preserve">CECILA CATHARINA </t>
  </si>
  <si>
    <t>VAN DER LINDEN</t>
  </si>
  <si>
    <t>VAN DER VYVER</t>
  </si>
  <si>
    <t>WILLEM BARTHOLOMEUS</t>
  </si>
  <si>
    <t>09/06/1802</t>
  </si>
  <si>
    <t>16/09/1827</t>
  </si>
  <si>
    <t>ANDRIES PETRUS JACOBUS</t>
  </si>
  <si>
    <t>b5c1d2e1</t>
  </si>
  <si>
    <t>16/11/1861</t>
  </si>
  <si>
    <t xml:space="preserve">CORNELIA MAGDALENA </t>
  </si>
  <si>
    <t>08/11/1861</t>
  </si>
  <si>
    <t>BEFORE THE GROOT TRK ACTUALLY BEGAN</t>
  </si>
  <si>
    <t>JACOB SR.</t>
  </si>
  <si>
    <t>b3c8d2e2</t>
  </si>
  <si>
    <t>03/09/1788</t>
  </si>
  <si>
    <t>15/04/1806</t>
  </si>
  <si>
    <t>SARA MAGDALENA</t>
  </si>
  <si>
    <t>JACOBUS JR.</t>
  </si>
  <si>
    <t>b3c8d2e2f2</t>
  </si>
  <si>
    <t>18/12/1810</t>
  </si>
  <si>
    <t>19/08/11811</t>
  </si>
  <si>
    <t>JOHANNA MAGDALENA SOPHIA</t>
  </si>
  <si>
    <t>JASPER</t>
  </si>
  <si>
    <t>b3c8d2e9</t>
  </si>
  <si>
    <t>26/12/1803</t>
  </si>
  <si>
    <t>20/12/1829</t>
  </si>
  <si>
    <t>07/01/1797</t>
  </si>
  <si>
    <t>05/02/17997</t>
  </si>
  <si>
    <t xml:space="preserve">b3c8d6e4  </t>
  </si>
  <si>
    <t>10/04/1801</t>
  </si>
  <si>
    <t>24/05/1801</t>
  </si>
  <si>
    <t>11/12/1872</t>
  </si>
  <si>
    <t>03/11/1828</t>
  </si>
  <si>
    <t>08/01/1811</t>
  </si>
  <si>
    <t>10/03/1871</t>
  </si>
  <si>
    <t>b3c8d2e2f1</t>
  </si>
  <si>
    <t>WILHELMINA CATHARINA</t>
  </si>
  <si>
    <t>b3c8d2e3</t>
  </si>
  <si>
    <t>21/02/1790</t>
  </si>
  <si>
    <t>05/02/1814</t>
  </si>
  <si>
    <t>NICOLAAS GEORG</t>
  </si>
  <si>
    <t>b3c8d1e8</t>
  </si>
  <si>
    <t>13/07/1872</t>
  </si>
  <si>
    <t>04/10/1825</t>
  </si>
  <si>
    <t>13/08/1902</t>
  </si>
  <si>
    <t>NICOLAAS GEORGE</t>
  </si>
  <si>
    <t>b3c8d2e2f3</t>
  </si>
  <si>
    <t>07/07/1813</t>
  </si>
  <si>
    <t>20/09/1813</t>
  </si>
  <si>
    <t>ANNA ISABELLA</t>
  </si>
  <si>
    <t>b2c1d6e7</t>
  </si>
  <si>
    <t>12/06/1880</t>
  </si>
  <si>
    <t>PETRONELLA JACOBA</t>
  </si>
  <si>
    <t>26/01/1833</t>
  </si>
  <si>
    <t>08/03/1796</t>
  </si>
  <si>
    <t>24/04/1796</t>
  </si>
  <si>
    <t>b4c3d3e6</t>
  </si>
  <si>
    <t>b5c10d4</t>
  </si>
  <si>
    <t>17/04/1796</t>
  </si>
  <si>
    <t>13/08/1836</t>
  </si>
  <si>
    <t>GIDEON GERHARDUS</t>
  </si>
  <si>
    <t>b5c4d9</t>
  </si>
  <si>
    <t>26/10/1786</t>
  </si>
  <si>
    <t>a2b3c4</t>
  </si>
  <si>
    <t>03/01/1802</t>
  </si>
  <si>
    <t>AFTER 07/09/1837</t>
  </si>
  <si>
    <t>23/03/1798</t>
  </si>
  <si>
    <t>06/05/1798</t>
  </si>
  <si>
    <t>22/04/1832</t>
  </si>
  <si>
    <t>SUSANNA ALETTA DOROTHEA</t>
  </si>
  <si>
    <t>JOHANNES LODEWYKUS</t>
  </si>
  <si>
    <t>b5c10d6</t>
  </si>
  <si>
    <t>25/05/1800</t>
  </si>
  <si>
    <t>31/08/1800</t>
  </si>
  <si>
    <t>26/08/1875</t>
  </si>
  <si>
    <t>08/12/1821</t>
  </si>
  <si>
    <t xml:space="preserve">JOHANNA ETHRESIA </t>
  </si>
  <si>
    <t>L.J NEL</t>
  </si>
  <si>
    <t>b5c7d5</t>
  </si>
  <si>
    <t>09/04/1786</t>
  </si>
  <si>
    <t xml:space="preserve">GEERTRUY </t>
  </si>
  <si>
    <t>b3c1d4e1</t>
  </si>
  <si>
    <t>29/11/1786</t>
  </si>
  <si>
    <t>b5c7d5e4</t>
  </si>
  <si>
    <t>12/09/1813</t>
  </si>
  <si>
    <t>ANNA MARIA ALETTA</t>
  </si>
  <si>
    <t>WILLEM ANDREAS</t>
  </si>
  <si>
    <t>19/07/1805</t>
  </si>
  <si>
    <t>JACOBA DOROTHEA REGINA</t>
  </si>
  <si>
    <t>BEFORE 09/1839</t>
  </si>
  <si>
    <t>ANDRIES FRANS JACOBUS JOHANNES</t>
  </si>
  <si>
    <t>a1b5c4d5e5</t>
  </si>
  <si>
    <t>12/12/1820</t>
  </si>
  <si>
    <t xml:space="preserve">a1b5c4d5 </t>
  </si>
  <si>
    <t xml:space="preserve">FRANCINA PETRONELLA </t>
  </si>
  <si>
    <t>08/12/1790</t>
  </si>
  <si>
    <t>02/1832</t>
  </si>
  <si>
    <t>BAREND JACOBUS HENDRIK</t>
  </si>
  <si>
    <t>a1b5c4d3e7</t>
  </si>
  <si>
    <t>12/07/1819</t>
  </si>
  <si>
    <t>03/10/1823</t>
  </si>
  <si>
    <t>JACOBA JOHANNA ALETTA</t>
  </si>
  <si>
    <t>b1c2d2e2</t>
  </si>
  <si>
    <t>24/06/1820</t>
  </si>
  <si>
    <t>FRANS JOHANNES SR.</t>
  </si>
  <si>
    <t>a1b5c4d3</t>
  </si>
  <si>
    <t>10/05/1807</t>
  </si>
  <si>
    <t>04/06/1780</t>
  </si>
  <si>
    <t>FRANS JOHANNES JR.</t>
  </si>
  <si>
    <t>a1b5c4d3e5</t>
  </si>
  <si>
    <t>13/09/1815</t>
  </si>
  <si>
    <t>CORNELIA SOPHIA</t>
  </si>
  <si>
    <t>a1b5c8d7</t>
  </si>
  <si>
    <t>08/12/1872</t>
  </si>
  <si>
    <t>14/04/1819</t>
  </si>
  <si>
    <t>a2b9c6d5</t>
  </si>
  <si>
    <t>24/11/1802</t>
  </si>
  <si>
    <t>a1b5c4d5e4</t>
  </si>
  <si>
    <t>19/06/1818</t>
  </si>
  <si>
    <t>a1b5c4d3e3</t>
  </si>
  <si>
    <t>03/12/1812</t>
  </si>
  <si>
    <t>01/11/1882</t>
  </si>
  <si>
    <t>25/03/1832</t>
  </si>
  <si>
    <t>CHARLOTTA CATHARINA</t>
  </si>
  <si>
    <t>23/06/1814</t>
  </si>
  <si>
    <t>a1b5c4d5e3</t>
  </si>
  <si>
    <t>26/11/1816</t>
  </si>
  <si>
    <t>23/03/1890</t>
  </si>
  <si>
    <t>05/07/1822</t>
  </si>
  <si>
    <t>10/07/1888</t>
  </si>
  <si>
    <t>a1b5c4d4e1</t>
  </si>
  <si>
    <t>a1b5c4d3e2</t>
  </si>
  <si>
    <t>06/09/1809</t>
  </si>
  <si>
    <t>04/10/1810</t>
  </si>
  <si>
    <t>04/11/1881</t>
  </si>
  <si>
    <t>MARTHA MAGDALENA HATTINGH</t>
  </si>
  <si>
    <t>JOSEPH (RYK JOSEPH)</t>
  </si>
  <si>
    <t>a1b5c4d4</t>
  </si>
  <si>
    <t xml:space="preserve">SOPHIA ELIZABETH </t>
  </si>
  <si>
    <t>b6c8d5e4</t>
  </si>
  <si>
    <t>25/12/1793</t>
  </si>
  <si>
    <t>JOSEPH SYBRAND</t>
  </si>
  <si>
    <t xml:space="preserve">GERTRUYDA MARIA </t>
  </si>
  <si>
    <t>MARTHA CATHARINA ELIZABETH</t>
  </si>
  <si>
    <t>a1b5c4d2e1</t>
  </si>
  <si>
    <t>07/08/1807</t>
  </si>
  <si>
    <t>a1b6c8d3</t>
  </si>
  <si>
    <t>CATHARINA JOHANNA MARIA</t>
  </si>
  <si>
    <t>06/06/1884</t>
  </si>
  <si>
    <t>21/10/1836</t>
  </si>
  <si>
    <t>SYBRAND</t>
  </si>
  <si>
    <t xml:space="preserve">a1b5c4d2 </t>
  </si>
  <si>
    <t>23/03/1784</t>
  </si>
  <si>
    <t>HELENA SUSAANA</t>
  </si>
  <si>
    <t>b2c5d4e1f5</t>
  </si>
  <si>
    <t>09/10/1785</t>
  </si>
  <si>
    <t>GCALEKALAND</t>
  </si>
  <si>
    <t>ZACHARIA SUSARA</t>
  </si>
  <si>
    <t>19/12/1822</t>
  </si>
  <si>
    <t>b1c6d4</t>
  </si>
  <si>
    <t>07/04/1805</t>
  </si>
  <si>
    <t>BETWEEN 31/12/1837 AND 10/11/1839</t>
  </si>
  <si>
    <t>PIETER STEPHANUS</t>
  </si>
  <si>
    <t>06/09/1824</t>
  </si>
  <si>
    <t>08/11/1824</t>
  </si>
  <si>
    <t>NORTH OF VAAL RIVER</t>
  </si>
  <si>
    <t>VAN GASS</t>
  </si>
  <si>
    <t>FERDINAND PAUL GEORGE</t>
  </si>
  <si>
    <t>KAAPKOLONIE</t>
  </si>
  <si>
    <t>05/04/1883</t>
  </si>
  <si>
    <t>02/04/1854</t>
  </si>
  <si>
    <t>07/01/1837</t>
  </si>
  <si>
    <t>08/1836</t>
  </si>
  <si>
    <t>H.P MALAN</t>
  </si>
  <si>
    <t>08/06/1800</t>
  </si>
  <si>
    <t>01/05/1831</t>
  </si>
  <si>
    <t>ISABELLA RACHEL</t>
  </si>
  <si>
    <t>b3c1d1e5f7</t>
  </si>
  <si>
    <t>BETWEEN 12/1836 AND 12/1839</t>
  </si>
  <si>
    <t xml:space="preserve">a2b1c1  </t>
  </si>
  <si>
    <t>18/03/1818</t>
  </si>
  <si>
    <t>CAROLINA INGASINA</t>
  </si>
  <si>
    <t>b1c5d1e6f4</t>
  </si>
  <si>
    <t>26/05/1826</t>
  </si>
  <si>
    <t>23/06/1866</t>
  </si>
  <si>
    <t>BEFORE 01/03/1838</t>
  </si>
  <si>
    <t>JOHANNES WOLFGANG</t>
  </si>
  <si>
    <t xml:space="preserve">a2b1 </t>
  </si>
  <si>
    <t>29/03/1799</t>
  </si>
  <si>
    <t>JOHANNES ZACHARIAS NICOLAAS</t>
  </si>
  <si>
    <t>18/07/1821</t>
  </si>
  <si>
    <t>17/08/1821</t>
  </si>
  <si>
    <t>WILLEM FRANCOIS PETRUS</t>
  </si>
  <si>
    <t>b1c2d1e8</t>
  </si>
  <si>
    <t>28/08/1791</t>
  </si>
  <si>
    <t>HESTER ELIZABETH JOHANNA</t>
  </si>
  <si>
    <t>b3c12d6</t>
  </si>
  <si>
    <t>VAN HELSDINGEN</t>
  </si>
  <si>
    <t>b1c7d4e2f1</t>
  </si>
  <si>
    <t>29/04/1827</t>
  </si>
  <si>
    <t>07/08/1768</t>
  </si>
  <si>
    <t>b2c1d8e2</t>
  </si>
  <si>
    <t>30/05/1818</t>
  </si>
  <si>
    <t>27/01/1819</t>
  </si>
  <si>
    <t>18/02/1838</t>
  </si>
  <si>
    <t>HESTER CORNELIA ELIZABETH</t>
  </si>
  <si>
    <t>BETWEEN 02/1838 AND 07/1840</t>
  </si>
  <si>
    <t>ADRIAAN ALBERTUS JOHANNES</t>
  </si>
  <si>
    <t>b9c1d1e1</t>
  </si>
  <si>
    <t>25/091818</t>
  </si>
  <si>
    <t>ADRIAAN JOHANNES FREDERIK GUSTAAF</t>
  </si>
  <si>
    <t>b2c1d2e2</t>
  </si>
  <si>
    <t>03/09/1825</t>
  </si>
  <si>
    <t>b2c3d9</t>
  </si>
  <si>
    <t>27/10/1797</t>
  </si>
  <si>
    <t>11/11/1821</t>
  </si>
  <si>
    <t xml:space="preserve">ANNA DOROTHEA MARGARETHA </t>
  </si>
  <si>
    <t>ALBERTUS STEPHANUS</t>
  </si>
  <si>
    <t>09/02/1840</t>
  </si>
  <si>
    <t>15/12/1823</t>
  </si>
  <si>
    <t>03/02/1825</t>
  </si>
  <si>
    <t>23/03/1872</t>
  </si>
  <si>
    <t xml:space="preserve">CORNELIA PETRONELLA </t>
  </si>
  <si>
    <t>b2c1d8e4</t>
  </si>
  <si>
    <t>31/10/1825</t>
  </si>
  <si>
    <t>26/07/1826</t>
  </si>
  <si>
    <t>15/11/1848</t>
  </si>
  <si>
    <t>ANNA MARGARETHAMAGDALENA JACOBA</t>
  </si>
  <si>
    <t>b2c1d8e3</t>
  </si>
  <si>
    <t>04/11/1823</t>
  </si>
  <si>
    <t>09/1839</t>
  </si>
  <si>
    <t>b2c3d7e2</t>
  </si>
  <si>
    <t>25/08/1811</t>
  </si>
  <si>
    <t>ELIZABETH SUSANNA</t>
  </si>
  <si>
    <t>b9c7d8</t>
  </si>
  <si>
    <t>11/06/1822</t>
  </si>
  <si>
    <t>HENDRIK JOSEPH</t>
  </si>
  <si>
    <t>29/07/1799</t>
  </si>
  <si>
    <t>NIEUWENHUYS</t>
  </si>
  <si>
    <t>14/06/1778</t>
  </si>
  <si>
    <t>19/08/1798</t>
  </si>
  <si>
    <t>BRAKRIVIER OR TARKA</t>
  </si>
  <si>
    <t xml:space="preserve">MARIA MARHTA </t>
  </si>
  <si>
    <t>b4c4d3</t>
  </si>
  <si>
    <t>01/12/1797</t>
  </si>
  <si>
    <t>01/02/1767</t>
  </si>
  <si>
    <t>09/01/1791</t>
  </si>
  <si>
    <t>ALBERTA MARIA</t>
  </si>
  <si>
    <t>b6c4d5</t>
  </si>
  <si>
    <t>06/10/1781</t>
  </si>
  <si>
    <t>02/05/1802</t>
  </si>
  <si>
    <t>21/05/1788</t>
  </si>
  <si>
    <t>1839 OR LATER</t>
  </si>
  <si>
    <t>ENGELA DOROTHEA MARIA</t>
  </si>
  <si>
    <t>06/11/1803</t>
  </si>
  <si>
    <t>13/11/1843</t>
  </si>
  <si>
    <t>20/03/1844</t>
  </si>
  <si>
    <t>FRANCOIS JOHANNES JOSUA</t>
  </si>
  <si>
    <t>b3c7d9e1</t>
  </si>
  <si>
    <t>b1c1d7e9</t>
  </si>
  <si>
    <t>FREDERIK ANTHONIE</t>
  </si>
  <si>
    <t>b2c3d6e2f2</t>
  </si>
  <si>
    <t>22/12/1822</t>
  </si>
  <si>
    <t>17/07/1870</t>
  </si>
  <si>
    <t>24/12/1849</t>
  </si>
  <si>
    <t>ALETTA DOROTHEA FEDRIKA</t>
  </si>
  <si>
    <t>GERHARDUS ALBERTUS</t>
  </si>
  <si>
    <t>b3c7d9e3</t>
  </si>
  <si>
    <t>02/07/1836</t>
  </si>
  <si>
    <t>ELIZABETH SOPHIA ANGENESSA</t>
  </si>
  <si>
    <t>21/04/1819</t>
  </si>
  <si>
    <t>ONDERDUIVENSHOKRIVIER</t>
  </si>
  <si>
    <t>GERHARDUS JOHANNES WILHELMUS</t>
  </si>
  <si>
    <t>b3c7d4e10</t>
  </si>
  <si>
    <t>12/05/1824</t>
  </si>
  <si>
    <t>11/02/1897</t>
  </si>
  <si>
    <t>EVA CATHARINA</t>
  </si>
  <si>
    <t>30/01/1833</t>
  </si>
  <si>
    <t>18/06/1878</t>
  </si>
  <si>
    <t>HENDRICA SOPHIA HENRIETTA</t>
  </si>
  <si>
    <t>ADENDORFF</t>
  </si>
  <si>
    <t>28/12/1851</t>
  </si>
  <si>
    <t>13/06/1883</t>
  </si>
  <si>
    <t>24/03/1885</t>
  </si>
  <si>
    <t>20/06/1892</t>
  </si>
  <si>
    <t>VAN GRAAN</t>
  </si>
  <si>
    <t>GERHARDUS JOZUA (GERT SR.)</t>
  </si>
  <si>
    <t>b3c7d7</t>
  </si>
  <si>
    <t>02/09/1787</t>
  </si>
  <si>
    <t>09/07/1815</t>
  </si>
  <si>
    <t>18/02/1798</t>
  </si>
  <si>
    <t>GERHARDUS JOZUA (GERT JR.)</t>
  </si>
  <si>
    <t>b3c7d7e1</t>
  </si>
  <si>
    <t>13/01/1844</t>
  </si>
  <si>
    <t>b1c11d6e4</t>
  </si>
  <si>
    <t>b3c7d10e1</t>
  </si>
  <si>
    <t>08/08/1822</t>
  </si>
  <si>
    <t>PIETERMARITZABURG</t>
  </si>
  <si>
    <t>GULLIAM LACOBUS STEPHANUS</t>
  </si>
  <si>
    <t>HENDRIK JOHANNES STEPHANUS</t>
  </si>
  <si>
    <t>b3c7d10e3</t>
  </si>
  <si>
    <t>25/09/1902</t>
  </si>
  <si>
    <t>15/12/1848</t>
  </si>
  <si>
    <t>b1c11d5e2f1</t>
  </si>
  <si>
    <t>IZAK ABRAHAM</t>
  </si>
  <si>
    <t>b4c1d7e6</t>
  </si>
  <si>
    <t>24/11/1810</t>
  </si>
  <si>
    <t>20/01/1811</t>
  </si>
  <si>
    <t>16/02/1839</t>
  </si>
  <si>
    <t xml:space="preserve">ANGENTHIA MARIA </t>
  </si>
  <si>
    <t>PEITERMARITZBURG</t>
  </si>
  <si>
    <t>BEFORE 02/1839</t>
  </si>
  <si>
    <t>IZAK (ISAAC) ANDRIES (IZAK LEEUBOUD)</t>
  </si>
  <si>
    <t>b3c7d4e4</t>
  </si>
  <si>
    <t>14/06/1893</t>
  </si>
  <si>
    <t>05/03/1838</t>
  </si>
  <si>
    <t>ELSA JOSINA</t>
  </si>
  <si>
    <t>19/09/1820</t>
  </si>
  <si>
    <t>25/01/1821</t>
  </si>
  <si>
    <t>CATHARINA REGINA MARIA</t>
  </si>
  <si>
    <t>b2c1d3e2f10</t>
  </si>
  <si>
    <t>18/02/1830</t>
  </si>
  <si>
    <t>23/09/1907</t>
  </si>
  <si>
    <t>JACOBUS GUSTAVUS</t>
  </si>
  <si>
    <t>b6c4d5e2</t>
  </si>
  <si>
    <t>02/02/1805</t>
  </si>
  <si>
    <t>04/05/1806</t>
  </si>
  <si>
    <t>a12b5c4</t>
  </si>
  <si>
    <t>b3c7d4e3</t>
  </si>
  <si>
    <t>25/08/1809</t>
  </si>
  <si>
    <t>10/10/1869</t>
  </si>
  <si>
    <t>23/08/1811</t>
  </si>
  <si>
    <t>END OF 10/1837</t>
  </si>
  <si>
    <t>26/05/1780</t>
  </si>
  <si>
    <t>13/06/1863</t>
  </si>
  <si>
    <t>06/10/1805</t>
  </si>
  <si>
    <t>18/10/1789</t>
  </si>
  <si>
    <t>b5c4d5e8</t>
  </si>
  <si>
    <t>29/03/1802</t>
  </si>
  <si>
    <t>23/05/1802</t>
  </si>
  <si>
    <t>DANNHUASER</t>
  </si>
  <si>
    <t>11/12/1879</t>
  </si>
  <si>
    <t>b3c7d10</t>
  </si>
  <si>
    <t>10/05/1795</t>
  </si>
  <si>
    <t>b1c4d2e5f5g2</t>
  </si>
  <si>
    <t>30/03/1777</t>
  </si>
  <si>
    <t xml:space="preserve">THEODORUS </t>
  </si>
  <si>
    <t>b1c8d1e2</t>
  </si>
  <si>
    <t>09/01/1780</t>
  </si>
  <si>
    <t>05/03/1834</t>
  </si>
  <si>
    <t>11/1836 OR 03/1837</t>
  </si>
  <si>
    <t>J.S MARITZ OR GERT. J RUDOLPH</t>
  </si>
  <si>
    <t>OCKERT TOBIAS</t>
  </si>
  <si>
    <t>b3c1d1e3f3</t>
  </si>
  <si>
    <t>28/04/1805</t>
  </si>
  <si>
    <t xml:space="preserve">MARIA ANDRINA </t>
  </si>
  <si>
    <t>b1c1d4e8f5</t>
  </si>
  <si>
    <t>02/03/1815</t>
  </si>
  <si>
    <t>08/03/1848</t>
  </si>
  <si>
    <t>27/10/1799</t>
  </si>
  <si>
    <t>HILLETJE MAGDALENA PETRONELLA</t>
  </si>
  <si>
    <t>b3c7d4e6</t>
  </si>
  <si>
    <t>21/11/1815</t>
  </si>
  <si>
    <t>01/11/1891</t>
  </si>
  <si>
    <t>MARIA CATHARINA SUSANNA</t>
  </si>
  <si>
    <t>a3b5c7</t>
  </si>
  <si>
    <t>11/08/1820</t>
  </si>
  <si>
    <t xml:space="preserve">JUDITH MARTHA MAGDALENA </t>
  </si>
  <si>
    <t>25/10/1858</t>
  </si>
  <si>
    <t xml:space="preserve">SOPHIA JACOMINA </t>
  </si>
  <si>
    <t>29/07/1828</t>
  </si>
  <si>
    <t>14/12/1828</t>
  </si>
  <si>
    <t>HENDRINA</t>
  </si>
  <si>
    <t>27/07/1914</t>
  </si>
  <si>
    <t>BETWEEN 05/1841 AND 03/1843</t>
  </si>
  <si>
    <t>FREDERIK RUDOLPH</t>
  </si>
  <si>
    <t>18/05/1832</t>
  </si>
  <si>
    <t>MARGARETHA ALETTA CATHARINA</t>
  </si>
  <si>
    <t>MOSAMBIEK</t>
  </si>
  <si>
    <t>07/1836</t>
  </si>
  <si>
    <t>J.J VAN RENSBURG</t>
  </si>
  <si>
    <t>23/08/1881</t>
  </si>
  <si>
    <t>b1c3d5e4</t>
  </si>
  <si>
    <t>07/10/1801</t>
  </si>
  <si>
    <t>BETWEEN 05/1841 AND 04/1845</t>
  </si>
  <si>
    <t>ANNA GERTRUIDA CECILIA</t>
  </si>
  <si>
    <t>10/12/1825</t>
  </si>
  <si>
    <t>13/01/1826</t>
  </si>
  <si>
    <t>25/02/1861</t>
  </si>
  <si>
    <t>GEESJE JOSINA</t>
  </si>
  <si>
    <t>22/02/1835</t>
  </si>
  <si>
    <t>AFTER 03/1839</t>
  </si>
  <si>
    <t>BETWEEN 03/1838 AND 04/1842</t>
  </si>
  <si>
    <t xml:space="preserve">ANNA PETRONELLA  </t>
  </si>
  <si>
    <t>BETWEEN 05/1839 AND 09/1840</t>
  </si>
  <si>
    <t>30/09/1886</t>
  </si>
  <si>
    <t>ANNA MAGDALENA CAROLINA</t>
  </si>
  <si>
    <t>WINTERBURG</t>
  </si>
  <si>
    <t>14/03/1880</t>
  </si>
  <si>
    <t>21/01/1836</t>
  </si>
  <si>
    <t>30/06/1816</t>
  </si>
  <si>
    <t>27/10/1855</t>
  </si>
  <si>
    <t>BETWEEN 01/1841 AND 07/1842</t>
  </si>
  <si>
    <t>09/04/1857</t>
  </si>
  <si>
    <t>MARTHA JACOBA</t>
  </si>
  <si>
    <t>23/07/1862</t>
  </si>
  <si>
    <t xml:space="preserve">JUDITH MARGARETHA </t>
  </si>
  <si>
    <t>SARA MARIA</t>
  </si>
  <si>
    <t>WESSON</t>
  </si>
  <si>
    <t>05/1840</t>
  </si>
  <si>
    <t>30/09/1815</t>
  </si>
  <si>
    <t>11/12/1836</t>
  </si>
  <si>
    <t>ANNA JACOBA JOHANNA FRANCINA</t>
  </si>
  <si>
    <t>30/01/1870</t>
  </si>
  <si>
    <t>29/03/1834</t>
  </si>
  <si>
    <t>JOHANNA CAROLINA</t>
  </si>
  <si>
    <t>13/01/1814</t>
  </si>
  <si>
    <t>MARTHINA JOHANNA MARGARETHA</t>
  </si>
  <si>
    <t>b2c3d8e5</t>
  </si>
  <si>
    <t>24/04/1874</t>
  </si>
  <si>
    <t>29/03/1893</t>
  </si>
  <si>
    <t>10/10/1845</t>
  </si>
  <si>
    <t>ESTHER MARIA</t>
  </si>
  <si>
    <t xml:space="preserve">SARA GERTRUYDA </t>
  </si>
  <si>
    <t>b2c5d7e5f3</t>
  </si>
  <si>
    <t>16/08/1801</t>
  </si>
  <si>
    <t>BETWEEN 01/1837 AND 09/1841</t>
  </si>
  <si>
    <t>A.W.J PRETORIUS</t>
  </si>
  <si>
    <t>09/06/1799</t>
  </si>
  <si>
    <t>02/1809</t>
  </si>
  <si>
    <t>HESTER PETRONELLA</t>
  </si>
  <si>
    <t>27/03/1823</t>
  </si>
  <si>
    <t>01/05/1820</t>
  </si>
  <si>
    <t>KORINGSPRUIT</t>
  </si>
  <si>
    <t>04/08/1868</t>
  </si>
  <si>
    <t xml:space="preserve">SUSANNA JOSINA  </t>
  </si>
  <si>
    <t>FRANCINA DOROTHEA</t>
  </si>
  <si>
    <t>ANNA CHRISTINA WILHELMINA</t>
  </si>
  <si>
    <t>31/05/1848</t>
  </si>
  <si>
    <t>ANNA MARGARETHA JACOBA</t>
  </si>
  <si>
    <t>WILDERS</t>
  </si>
  <si>
    <t>b9c2d5e2</t>
  </si>
  <si>
    <t>08/04/1867</t>
  </si>
  <si>
    <t>01/1844</t>
  </si>
  <si>
    <t>02/09/1832</t>
  </si>
  <si>
    <t>ANNA CATHARINA MAGDALENA</t>
  </si>
  <si>
    <t>BETWEEN 05/1839 AND 03/1842</t>
  </si>
  <si>
    <t>ALETTA MARTHA ELIZABETH</t>
  </si>
  <si>
    <t>13/08/1865</t>
  </si>
  <si>
    <t>02/1838</t>
  </si>
  <si>
    <t>ELIZABETH MARIA JACOBA</t>
  </si>
  <si>
    <t>31/10/1819</t>
  </si>
  <si>
    <t>06/08/1895</t>
  </si>
  <si>
    <t>MARTHA MAGDALENA SCHEEPERS</t>
  </si>
  <si>
    <t>EILZABETH MAGDALENA</t>
  </si>
  <si>
    <t>MARTHINA ISABELLA</t>
  </si>
  <si>
    <t>b2c1d2e3f4</t>
  </si>
  <si>
    <t>08/01/1815</t>
  </si>
  <si>
    <t>16/09/1814</t>
  </si>
  <si>
    <t>14/08/1854</t>
  </si>
  <si>
    <t>04/11/1838</t>
  </si>
  <si>
    <t>04/05/1862</t>
  </si>
  <si>
    <t xml:space="preserve">JOHANNA DOROTHEA </t>
  </si>
  <si>
    <t>04/05/1811</t>
  </si>
  <si>
    <t>12/03/1838</t>
  </si>
  <si>
    <t>b8c1d5e6</t>
  </si>
  <si>
    <t>22/11/1820</t>
  </si>
  <si>
    <t>BETWEEN 31/03/1839 AND 04/04/1841</t>
  </si>
  <si>
    <t>HESTER GERMINA RAUTENBACH</t>
  </si>
  <si>
    <t>27/03/1795</t>
  </si>
  <si>
    <t>BETWEEN 1839 AND 1842</t>
  </si>
  <si>
    <t>30/07/1831</t>
  </si>
  <si>
    <t>b8c1d7</t>
  </si>
  <si>
    <t xml:space="preserve">J.S MARITZ </t>
  </si>
  <si>
    <t>b8c6d13</t>
  </si>
  <si>
    <t>15/03/1904</t>
  </si>
  <si>
    <t>28/10/1846</t>
  </si>
  <si>
    <t>b1c7d7e3f7</t>
  </si>
  <si>
    <t>16/04/1843</t>
  </si>
  <si>
    <t xml:space="preserve">SUSANNA MARIA FRANCINA </t>
  </si>
  <si>
    <t xml:space="preserve">LOTTER </t>
  </si>
  <si>
    <t>b4c6d2e1</t>
  </si>
  <si>
    <t>24/05/1893</t>
  </si>
  <si>
    <t>23/04/1817</t>
  </si>
  <si>
    <t>BETWEEN 14/08/1838 AND 06/1840</t>
  </si>
  <si>
    <t>ANDRIES W.J. PRETORIUS</t>
  </si>
  <si>
    <t xml:space="preserve">MARIA MAGDALENA FREDERIKA </t>
  </si>
  <si>
    <t>a3b1c6d5e4f1</t>
  </si>
  <si>
    <t>J.S MARTIZ</t>
  </si>
  <si>
    <t>1832-1833</t>
  </si>
  <si>
    <t>01/07/1842</t>
  </si>
  <si>
    <t xml:space="preserve">MARTHINA JOHANNA MARGARETHA </t>
  </si>
  <si>
    <t>20/02/1836</t>
  </si>
  <si>
    <t>12/02/1837</t>
  </si>
  <si>
    <t xml:space="preserve">MARIA AGATHA CATHARINA </t>
  </si>
  <si>
    <t>b1c8d1e4f2</t>
  </si>
  <si>
    <t>27/02/1846</t>
  </si>
  <si>
    <t>MARIA ENGELBERTA NICOLINA</t>
  </si>
  <si>
    <t>28/11/1831</t>
  </si>
  <si>
    <t>08/01/1832</t>
  </si>
  <si>
    <t>20/08/1890</t>
  </si>
  <si>
    <t>11/12/1847</t>
  </si>
  <si>
    <t>b9c6d1e9</t>
  </si>
  <si>
    <t>16/10/1825</t>
  </si>
  <si>
    <t>26/03/1907</t>
  </si>
  <si>
    <t>16/01/1803</t>
  </si>
  <si>
    <t>04/1840</t>
  </si>
  <si>
    <t>10/07/1868</t>
  </si>
  <si>
    <t>18/09/1834</t>
  </si>
  <si>
    <t xml:space="preserve">CHRISTINA JACOMINA </t>
  </si>
  <si>
    <t>12/07/1811</t>
  </si>
  <si>
    <t>ADRIANA MARIA</t>
  </si>
  <si>
    <t>12/10/1788</t>
  </si>
  <si>
    <t>a2b5c4</t>
  </si>
  <si>
    <t>15/02/1884</t>
  </si>
  <si>
    <t>07/04/1801</t>
  </si>
  <si>
    <t>02/1845</t>
  </si>
  <si>
    <t>b3c1d5e1f2g3</t>
  </si>
  <si>
    <t>16/11/1859</t>
  </si>
  <si>
    <t>MARIAELIZABETH</t>
  </si>
  <si>
    <t>b1c8d5e3</t>
  </si>
  <si>
    <t>18/07/1889</t>
  </si>
  <si>
    <t>06/07/1833</t>
  </si>
  <si>
    <t>b1c7d5e3f2</t>
  </si>
  <si>
    <t>19/03/1816</t>
  </si>
  <si>
    <t>END OF 1840</t>
  </si>
  <si>
    <t>13/06/1900</t>
  </si>
  <si>
    <t xml:space="preserve">ELIZABETH FRANCINA </t>
  </si>
  <si>
    <t>b1c3d1e4f1g5</t>
  </si>
  <si>
    <t>29/10/1831</t>
  </si>
  <si>
    <t>04/07/1873</t>
  </si>
  <si>
    <t>22/06/1838</t>
  </si>
  <si>
    <t xml:space="preserve">MARIA JACOBA FOURINA </t>
  </si>
  <si>
    <t>13/11/1817</t>
  </si>
  <si>
    <t>17/12/1896</t>
  </si>
  <si>
    <t>ELIZABETH JOHANNA ADRIANA</t>
  </si>
  <si>
    <t>28/07/1877</t>
  </si>
  <si>
    <t>21/06/1829</t>
  </si>
  <si>
    <t>BETWEEN 14/08/1838 AND 08/1840</t>
  </si>
  <si>
    <t>29/07/1832</t>
  </si>
  <si>
    <t>b9c3d1e6</t>
  </si>
  <si>
    <t>13/10/1893</t>
  </si>
  <si>
    <t>15/09/1845</t>
  </si>
  <si>
    <t>29/01/1826</t>
  </si>
  <si>
    <t>30/10/1910</t>
  </si>
  <si>
    <t>04/03/1843</t>
  </si>
  <si>
    <t>ELSIE JOHANNA MAGDALENA</t>
  </si>
  <si>
    <t>b2c3d6e3</t>
  </si>
  <si>
    <t>09/03/1801</t>
  </si>
  <si>
    <t>09/07/1862</t>
  </si>
  <si>
    <t xml:space="preserve">SARA MAGDALENA ELIZABETH </t>
  </si>
  <si>
    <t>12/09/1810</t>
  </si>
  <si>
    <t>08/11/1884</t>
  </si>
  <si>
    <t>13/07/1839</t>
  </si>
  <si>
    <t xml:space="preserve">JACOMINA ELIZABETH SUSANNA </t>
  </si>
  <si>
    <t>b1c9d1e8</t>
  </si>
  <si>
    <t>21/05/1820</t>
  </si>
  <si>
    <t>BETWEEN 1843 AND 1846</t>
  </si>
  <si>
    <t>08/07/1844</t>
  </si>
  <si>
    <t>12/12/1825</t>
  </si>
  <si>
    <t>SUSARA ELIZABETH</t>
  </si>
  <si>
    <t>29/03/1771</t>
  </si>
  <si>
    <t>VAN NIMWEGEN</t>
  </si>
  <si>
    <t>29/05/1768</t>
  </si>
  <si>
    <t>b2c6d1e2f3</t>
  </si>
  <si>
    <t>01/02/1886</t>
  </si>
  <si>
    <t>08/04/1832</t>
  </si>
  <si>
    <t>04/05/1887</t>
  </si>
  <si>
    <t>01/1839</t>
  </si>
  <si>
    <t>02/05/1891</t>
  </si>
  <si>
    <t>b1c1d4e10</t>
  </si>
  <si>
    <t>01/06/1805</t>
  </si>
  <si>
    <t>03/01/1837</t>
  </si>
  <si>
    <t xml:space="preserve">CORNELIA MARTHA </t>
  </si>
  <si>
    <t>28/09/1921</t>
  </si>
  <si>
    <t>17/06/1825</t>
  </si>
  <si>
    <t>a1b2c3d6</t>
  </si>
  <si>
    <t>22/12/1810</t>
  </si>
  <si>
    <t>05/1860</t>
  </si>
  <si>
    <t>12/04/1837</t>
  </si>
  <si>
    <t>07/10/1837</t>
  </si>
  <si>
    <t>23/01/1803</t>
  </si>
  <si>
    <t>04/05/1825</t>
  </si>
  <si>
    <t xml:space="preserve">MARGARETHA ELIZABETH </t>
  </si>
  <si>
    <t>27/03/1801</t>
  </si>
  <si>
    <t>BEFORE1841</t>
  </si>
  <si>
    <t>MAGDALENA JOHANNA</t>
  </si>
  <si>
    <t>27/02/1803</t>
  </si>
  <si>
    <t>13/03/1826</t>
  </si>
  <si>
    <t>ONVERWACHT</t>
  </si>
  <si>
    <t>24/05/1898</t>
  </si>
  <si>
    <t>12/01/1892</t>
  </si>
  <si>
    <t>05/03/1898</t>
  </si>
  <si>
    <t xml:space="preserve">SCHOEMANSDAL </t>
  </si>
  <si>
    <t>22/06/1863</t>
  </si>
  <si>
    <t>JOHANNA ANDRIESINA HELENA</t>
  </si>
  <si>
    <t>13/02/1821</t>
  </si>
  <si>
    <t>21/07/1861</t>
  </si>
  <si>
    <t>23/06/1811</t>
  </si>
  <si>
    <t>02/12/1798</t>
  </si>
  <si>
    <t>02/03/1872</t>
  </si>
  <si>
    <t>a3b5c8d2e7</t>
  </si>
  <si>
    <t>MARIA SALOMINA MARGARETHA</t>
  </si>
  <si>
    <t>08/05/1796</t>
  </si>
  <si>
    <t>HESTER ANTHOINETTA</t>
  </si>
  <si>
    <t>18/05/1887</t>
  </si>
  <si>
    <t xml:space="preserve">LOUISA FRANCINA </t>
  </si>
  <si>
    <t>JACOBZ</t>
  </si>
  <si>
    <t>03/03/1819</t>
  </si>
  <si>
    <t>13/03/1861</t>
  </si>
  <si>
    <t>HESTER GERTRUIDA ALETTA</t>
  </si>
  <si>
    <t>21/08/1896</t>
  </si>
  <si>
    <t xml:space="preserve">MARHTA MAGDALENA </t>
  </si>
  <si>
    <t>24/10/1827</t>
  </si>
  <si>
    <t>20/08/1897</t>
  </si>
  <si>
    <t>BAVIANNSKLOOF</t>
  </si>
  <si>
    <t>03/06/1892</t>
  </si>
  <si>
    <t>a1b2c1d7e6f1</t>
  </si>
  <si>
    <t>05/11/1894</t>
  </si>
  <si>
    <t>26/05/1898</t>
  </si>
  <si>
    <t>12/05/1833</t>
  </si>
  <si>
    <t>04/06/1895</t>
  </si>
  <si>
    <t>26/10/1834</t>
  </si>
  <si>
    <t xml:space="preserve">DOROTHEA CORNELIA MARTHINA </t>
  </si>
  <si>
    <t>b5c7d5e6</t>
  </si>
  <si>
    <t>20/03/1817</t>
  </si>
  <si>
    <t xml:space="preserve">GRAAFF-REINET </t>
  </si>
  <si>
    <t>BUFFELSHOEK</t>
  </si>
  <si>
    <t xml:space="preserve">MARIA JOHANNA ELIZABETH </t>
  </si>
  <si>
    <t>20/09/1840</t>
  </si>
  <si>
    <t>01/04/1823</t>
  </si>
  <si>
    <t>05/1839</t>
  </si>
  <si>
    <t>13/09/1896</t>
  </si>
  <si>
    <t>18/07/1840</t>
  </si>
  <si>
    <t>BEFORE 07/1840</t>
  </si>
  <si>
    <t>WES-KAAP</t>
  </si>
  <si>
    <t>16/03/1881</t>
  </si>
  <si>
    <t>CHARLOTTA MARIA GEERTRUYDA</t>
  </si>
  <si>
    <t>01/01/1814</t>
  </si>
  <si>
    <t>28/11/1867</t>
  </si>
  <si>
    <t>08/02/1886</t>
  </si>
  <si>
    <t>b3c1d8e5</t>
  </si>
  <si>
    <t>26/11/1820</t>
  </si>
  <si>
    <t>23/06/1904</t>
  </si>
  <si>
    <t>24/04/1887</t>
  </si>
  <si>
    <t>05/03/1831</t>
  </si>
  <si>
    <t>CORNELIA SUSANNA ELIZABETH</t>
  </si>
  <si>
    <t>23/08/1812</t>
  </si>
  <si>
    <t>16/02/1881</t>
  </si>
  <si>
    <t xml:space="preserve"> RUSTENBERG</t>
  </si>
  <si>
    <t>29/10/1868</t>
  </si>
  <si>
    <t>b4c2d2e1f8g2</t>
  </si>
  <si>
    <t>03/07/1828</t>
  </si>
  <si>
    <t>26/09/1839</t>
  </si>
  <si>
    <t>ELIZABETH MARGARETHA DOROTHEA</t>
  </si>
  <si>
    <t>BLOMERUS</t>
  </si>
  <si>
    <t>24/02/1822</t>
  </si>
  <si>
    <t xml:space="preserve">MAGDALENA (OF HELENA) CATHARINA </t>
  </si>
  <si>
    <t>a3b5c8d6</t>
  </si>
  <si>
    <t>21/11/1779</t>
  </si>
  <si>
    <t>HESTER MARIA ELIZABETH</t>
  </si>
  <si>
    <t>26/04/1818</t>
  </si>
  <si>
    <t>08/08/1892</t>
  </si>
  <si>
    <t>08/07/1874</t>
  </si>
  <si>
    <t>21/02/1802</t>
  </si>
  <si>
    <t>b2c1d4e8f3</t>
  </si>
  <si>
    <t>22/07/1870</t>
  </si>
  <si>
    <t>MARIA ANNA CATHARINA</t>
  </si>
  <si>
    <t>PELTZER</t>
  </si>
  <si>
    <t xml:space="preserve">CATHARINA CORNELIA JOHANNA </t>
  </si>
  <si>
    <t>09/09/1887</t>
  </si>
  <si>
    <t>CLARA ISABELLA MARIA ELIZABETH LOUISA</t>
  </si>
  <si>
    <t>ONDER-SEEKOEIRIVIER</t>
  </si>
  <si>
    <t>KLEIN-MARICO</t>
  </si>
  <si>
    <t>13/11/1768</t>
  </si>
  <si>
    <t>VALSRIVIER</t>
  </si>
  <si>
    <t>GEERTRUIDA JACOMINA</t>
  </si>
  <si>
    <t>02/10/1791</t>
  </si>
  <si>
    <t>SARA CORNELIA</t>
  </si>
  <si>
    <t>12/04/1823</t>
  </si>
  <si>
    <t>13/11/1870</t>
  </si>
  <si>
    <t>13/10/1827</t>
  </si>
  <si>
    <t>18/08/1902</t>
  </si>
  <si>
    <t>SOPHIA ALETTA</t>
  </si>
  <si>
    <t>GERTUIDA JOHANNA DOROTHEA MAGDALENA</t>
  </si>
  <si>
    <t>25/02/1878</t>
  </si>
  <si>
    <t xml:space="preserve">HELENA GERTRUIDA MARIA </t>
  </si>
  <si>
    <t>03/12/1894</t>
  </si>
  <si>
    <t>05/04/1835</t>
  </si>
  <si>
    <t>MARIA MAGDALENA FRANCINA</t>
  </si>
  <si>
    <t>b3c1d9e2f7</t>
  </si>
  <si>
    <t>03/10/1815</t>
  </si>
  <si>
    <t>08/03/1886</t>
  </si>
  <si>
    <t>BEFORE 13/11/1837</t>
  </si>
  <si>
    <t>28/06/1823</t>
  </si>
  <si>
    <t>CHRISTINA GEZINA</t>
  </si>
  <si>
    <t>30/12/1787</t>
  </si>
  <si>
    <t>28/08/1757</t>
  </si>
  <si>
    <t>SARA JOHANNA SOPHIA</t>
  </si>
  <si>
    <t>23/04/1895</t>
  </si>
  <si>
    <t>23/08/1894</t>
  </si>
  <si>
    <t>MIDDELVELD</t>
  </si>
  <si>
    <t>18/03/1790</t>
  </si>
  <si>
    <t xml:space="preserve">JOHANNA FRANCINA </t>
  </si>
  <si>
    <t>GOUWS/GOUS</t>
  </si>
  <si>
    <t>b2c4d4e7</t>
  </si>
  <si>
    <t>28/10/1796</t>
  </si>
  <si>
    <t>28/02/1875</t>
  </si>
  <si>
    <t>08/03/1778</t>
  </si>
  <si>
    <t xml:space="preserve">MAGDALENA DOROTHEA </t>
  </si>
  <si>
    <t xml:space="preserve">SUSANNA GERTRUIDA </t>
  </si>
  <si>
    <t>SONDAGRIVIER</t>
  </si>
  <si>
    <t>26/05/1825</t>
  </si>
  <si>
    <t>26/10/1901</t>
  </si>
  <si>
    <t>07/03/1871</t>
  </si>
  <si>
    <t>DUVEN(H)AGE</t>
  </si>
  <si>
    <t>25/04/1904</t>
  </si>
  <si>
    <t>19/02/1898</t>
  </si>
  <si>
    <t>BEFORE 11/1838</t>
  </si>
  <si>
    <t>FRANCINA CAROLINA JOHANNA</t>
  </si>
  <si>
    <t>ZEERUT</t>
  </si>
  <si>
    <t>06/12/1877</t>
  </si>
  <si>
    <t xml:space="preserve">MARIA JACOMINA </t>
  </si>
  <si>
    <t>LUDIK</t>
  </si>
  <si>
    <t xml:space="preserve">FRANCINA MARTHA </t>
  </si>
  <si>
    <t>BEFORE 06/1837</t>
  </si>
  <si>
    <t xml:space="preserve">SARA CATHARINA </t>
  </si>
  <si>
    <t>28/12/1816</t>
  </si>
  <si>
    <t>02/06/1878</t>
  </si>
  <si>
    <t>HELENA ELIZABETH</t>
  </si>
  <si>
    <t>30/11/1884</t>
  </si>
  <si>
    <t>13/11/1892</t>
  </si>
  <si>
    <t>ELSIE SOPHIA CATHARINA MARIA</t>
  </si>
  <si>
    <t>07/06/1870</t>
  </si>
  <si>
    <t>18/11/1874</t>
  </si>
  <si>
    <t>CAROLINA JOHANNA</t>
  </si>
  <si>
    <t xml:space="preserve">PETRONELLA GEERTRUIDA </t>
  </si>
  <si>
    <t>b2c4d4e1f9</t>
  </si>
  <si>
    <t>14/01/1822</t>
  </si>
  <si>
    <t>13/02/1778</t>
  </si>
  <si>
    <t>JOHANNA HERMINA</t>
  </si>
  <si>
    <t>b4c2d2e1f4</t>
  </si>
  <si>
    <t>05/10/1794</t>
  </si>
  <si>
    <t>31/12/1872</t>
  </si>
  <si>
    <t>22/04/1798</t>
  </si>
  <si>
    <t xml:space="preserve">HELENA JOHANNA </t>
  </si>
  <si>
    <t>1811-1812</t>
  </si>
  <si>
    <t>22/11/1895</t>
  </si>
  <si>
    <t xml:space="preserve">MARHTA CATHARINA </t>
  </si>
  <si>
    <t>NIEKERKSDAM</t>
  </si>
  <si>
    <t>27/05/1852</t>
  </si>
  <si>
    <t>12/01/1852</t>
  </si>
  <si>
    <t xml:space="preserve">HELENA GERTRUIDA  </t>
  </si>
  <si>
    <t>10/02/1796</t>
  </si>
  <si>
    <t>11/11/1859</t>
  </si>
  <si>
    <t>13/08/1860</t>
  </si>
  <si>
    <t xml:space="preserve">MARGARETHA ALETTA </t>
  </si>
  <si>
    <t>ROODT</t>
  </si>
  <si>
    <t>GEERTRUYDA WILHELMINA FRANCINA</t>
  </si>
  <si>
    <t>06/1837</t>
  </si>
  <si>
    <t>LASYA HENDRINA</t>
  </si>
  <si>
    <t>09/06/1809</t>
  </si>
  <si>
    <t>22/04/1841</t>
  </si>
  <si>
    <t>15/05/1843</t>
  </si>
  <si>
    <t>ANNA JACOBA ELISABETH</t>
  </si>
  <si>
    <t xml:space="preserve">ELSIE ELISABETH SOPHIA </t>
  </si>
  <si>
    <t>07/09/1840</t>
  </si>
  <si>
    <t>ANNA JACOBA LOUISA</t>
  </si>
  <si>
    <t>b2c11d2e8f1g4</t>
  </si>
  <si>
    <t>CALVINIA</t>
  </si>
  <si>
    <t>29/05/1898</t>
  </si>
  <si>
    <t>05/1841</t>
  </si>
  <si>
    <t>CATHARINA MARIA WILHELMINA</t>
  </si>
  <si>
    <t>DURAAN</t>
  </si>
  <si>
    <t>ONDER-ROGGERVELD</t>
  </si>
  <si>
    <t>SUSANNA FREDRIKA</t>
  </si>
  <si>
    <t>06/09/1811</t>
  </si>
  <si>
    <t>ANNA ELIZABETH MARIA</t>
  </si>
  <si>
    <t>11/07/1830</t>
  </si>
  <si>
    <t>VAN KRAAYENBURG</t>
  </si>
  <si>
    <t>08/09/1810</t>
  </si>
  <si>
    <t>KOMATI</t>
  </si>
  <si>
    <t>11/01/1883</t>
  </si>
  <si>
    <t xml:space="preserve">CATHARINA JOHANNA  </t>
  </si>
  <si>
    <t>08/11/1807</t>
  </si>
  <si>
    <t>13/08/1872</t>
  </si>
  <si>
    <t>26/07/1841</t>
  </si>
  <si>
    <t>KOEBERG</t>
  </si>
  <si>
    <t>04/09/1823</t>
  </si>
  <si>
    <t>06/10/1826</t>
  </si>
  <si>
    <t>THABANCHU</t>
  </si>
  <si>
    <t>03/06/1889</t>
  </si>
  <si>
    <t>b11c1d2e5</t>
  </si>
  <si>
    <t>07/05/1828</t>
  </si>
  <si>
    <t>02/01/1855</t>
  </si>
  <si>
    <t>11/12/1843</t>
  </si>
  <si>
    <t>21/03/1824</t>
  </si>
  <si>
    <t>BOOYENS</t>
  </si>
  <si>
    <t>14/11/1818</t>
  </si>
  <si>
    <t>11/10/1819</t>
  </si>
  <si>
    <t>BETWEEN 08/1839 AND 04/1842</t>
  </si>
  <si>
    <t>23/11/1850</t>
  </si>
  <si>
    <t>STOFFELINA CATHARINA</t>
  </si>
  <si>
    <t>15/10/1830</t>
  </si>
  <si>
    <t>OOSTHUYSEN</t>
  </si>
  <si>
    <t>27/07/1840</t>
  </si>
  <si>
    <t xml:space="preserve">CATHARINA MAGDALENA </t>
  </si>
  <si>
    <t>a1b5c8d7e3</t>
  </si>
  <si>
    <t>18/09/1824</t>
  </si>
  <si>
    <t>04/03/1825</t>
  </si>
  <si>
    <t xml:space="preserve">LOUISA CATHARINA </t>
  </si>
  <si>
    <t>DOULINA MARTHA</t>
  </si>
  <si>
    <t>b2c6d1e4f1</t>
  </si>
  <si>
    <t>A.Z VISAGIE</t>
  </si>
  <si>
    <t>CECILIA JACOMINA LOUISA</t>
  </si>
  <si>
    <t>20/08/1809</t>
  </si>
  <si>
    <t>ALBERT</t>
  </si>
  <si>
    <t>GERBRECHT MARIA JACOBA</t>
  </si>
  <si>
    <t>21/05/1885</t>
  </si>
  <si>
    <t>02/12/1842</t>
  </si>
  <si>
    <t xml:space="preserve">AMARENCIA CORNELIA </t>
  </si>
  <si>
    <t>30/04/1828</t>
  </si>
  <si>
    <t>02/09/1828</t>
  </si>
  <si>
    <t>TREURKOP</t>
  </si>
  <si>
    <t>21/07/1881</t>
  </si>
  <si>
    <t>31/10/1881</t>
  </si>
  <si>
    <t xml:space="preserve">ANNA MARTHA SOPHIA </t>
  </si>
  <si>
    <t>21/09/1820</t>
  </si>
  <si>
    <t>29/12/1899</t>
  </si>
  <si>
    <t>JOHANNA CATHARINA MARIA</t>
  </si>
  <si>
    <t>01/02/1801</t>
  </si>
  <si>
    <t>18/04/1798</t>
  </si>
  <si>
    <t>04/04/1884</t>
  </si>
  <si>
    <t>BETWEEN 1837 AND 1839</t>
  </si>
  <si>
    <t>MARTHA MAGDALENA JOHANNA PETRONELLA</t>
  </si>
  <si>
    <t>04/01/1816</t>
  </si>
  <si>
    <t>11/01/1877</t>
  </si>
  <si>
    <t>01/08/1877</t>
  </si>
  <si>
    <t>07/01/1825</t>
  </si>
  <si>
    <t>NORVALSPONT</t>
  </si>
  <si>
    <t>CORNELIA ELISABETH GESINA</t>
  </si>
  <si>
    <t>14/11/1826</t>
  </si>
  <si>
    <t>15/06/1893</t>
  </si>
  <si>
    <t>28/05/1822</t>
  </si>
  <si>
    <t>11/12/1898</t>
  </si>
  <si>
    <t>07/1821</t>
  </si>
  <si>
    <t>27/09/1791</t>
  </si>
  <si>
    <t>b6c3d1e1</t>
  </si>
  <si>
    <t>07/10/1839</t>
  </si>
  <si>
    <t>BO-SEEKOEIRIVIER</t>
  </si>
  <si>
    <t xml:space="preserve">LASYA SOPHIA PETRONELLA </t>
  </si>
  <si>
    <t>09/04/1801</t>
  </si>
  <si>
    <t>02/10/1801</t>
  </si>
  <si>
    <t>ANNA MARIA SOPHIA</t>
  </si>
  <si>
    <t>02/05/1842</t>
  </si>
  <si>
    <t xml:space="preserve">ANAA CATHARINA </t>
  </si>
  <si>
    <t>03/1822</t>
  </si>
  <si>
    <t>07/03/1818</t>
  </si>
  <si>
    <t>01/06/1818</t>
  </si>
  <si>
    <t>04/06/1862</t>
  </si>
  <si>
    <t>01/04/1810</t>
  </si>
  <si>
    <t>a4b8</t>
  </si>
  <si>
    <t>06/03/1792</t>
  </si>
  <si>
    <t>JOHANNA FRANCINA JACOBA</t>
  </si>
  <si>
    <t>14/01/1837</t>
  </si>
  <si>
    <t xml:space="preserve">HESTER SUSANNA MARGARETHA </t>
  </si>
  <si>
    <t>16/07/1822</t>
  </si>
  <si>
    <t>20/10/1822</t>
  </si>
  <si>
    <t>16/07/1898</t>
  </si>
  <si>
    <t>1839-1840</t>
  </si>
  <si>
    <t xml:space="preserve">SUSANNA CATHARINA PETRONELLA </t>
  </si>
  <si>
    <t>29/03/1811</t>
  </si>
  <si>
    <t>01/12/1811</t>
  </si>
  <si>
    <t>27/07/1878</t>
  </si>
  <si>
    <t>01/05/1821</t>
  </si>
  <si>
    <t xml:space="preserve">JOHANNA CATHARINA ELIZABETH </t>
  </si>
  <si>
    <t>30/06/1847</t>
  </si>
  <si>
    <t>ROUXVILLE EN SMITHFIELD</t>
  </si>
  <si>
    <t>ANNA CATHARINA JACOBA</t>
  </si>
  <si>
    <t>15/02/1829</t>
  </si>
  <si>
    <t>08/07/1839</t>
  </si>
  <si>
    <t>12/08/1824</t>
  </si>
  <si>
    <t>20/09/1861</t>
  </si>
  <si>
    <t>10/1841</t>
  </si>
  <si>
    <t>22/04/1804</t>
  </si>
  <si>
    <t>b2c9d3e5</t>
  </si>
  <si>
    <t>19/09/1789</t>
  </si>
  <si>
    <t xml:space="preserve">JOHANNES JACOBUS </t>
  </si>
  <si>
    <t>b7c4</t>
  </si>
  <si>
    <t>23/12/1759</t>
  </si>
  <si>
    <t>b3c4d2e4f8</t>
  </si>
  <si>
    <t>26/07/1824</t>
  </si>
  <si>
    <t>13/01/1897</t>
  </si>
  <si>
    <t xml:space="preserve">HESTER MARGARETHA </t>
  </si>
  <si>
    <t>BETWEEN 11/1836 AND 04/1841</t>
  </si>
  <si>
    <t xml:space="preserve">CECILIA JACOMINA  </t>
  </si>
  <si>
    <t>a1b2c3d10e9</t>
  </si>
  <si>
    <t>11/11/1798</t>
  </si>
  <si>
    <t>03/05/1843</t>
  </si>
  <si>
    <t xml:space="preserve">ANNA SOPHIA SUSANNA </t>
  </si>
  <si>
    <t>10/08/1828</t>
  </si>
  <si>
    <t>20/09/1812</t>
  </si>
  <si>
    <t>12/10/1868</t>
  </si>
  <si>
    <t xml:space="preserve">CATHARINA PETRONELLA </t>
  </si>
  <si>
    <t>06/07/1825</t>
  </si>
  <si>
    <t>HESTER JOHANNA MARGARETHA SOPHIA</t>
  </si>
  <si>
    <t>15/02/1805</t>
  </si>
  <si>
    <t>1843-1844</t>
  </si>
  <si>
    <t>05/07/1819</t>
  </si>
  <si>
    <t xml:space="preserve">ALETTA ELIZABETH CATHARINA (JOHANNA) </t>
  </si>
  <si>
    <t>b3c3d1</t>
  </si>
  <si>
    <t>11/02/1814</t>
  </si>
  <si>
    <t>26/01/1889</t>
  </si>
  <si>
    <t>21/02/1813</t>
  </si>
  <si>
    <t>04/03/1896</t>
  </si>
  <si>
    <t>05/01/1811</t>
  </si>
  <si>
    <t>b5c3d3e5</t>
  </si>
  <si>
    <t>07/04/1792</t>
  </si>
  <si>
    <t>06/09/1844</t>
  </si>
  <si>
    <t xml:space="preserve">CORNELIA JOHANNA PETRONELLA </t>
  </si>
  <si>
    <t>10/01/1822</t>
  </si>
  <si>
    <t>23/08/1885</t>
  </si>
  <si>
    <t>VREDE AND CAROLINA</t>
  </si>
  <si>
    <t>ROBBERTS(E)</t>
  </si>
  <si>
    <t>ELIZABETH SOPHIA</t>
  </si>
  <si>
    <t>29/11/1829</t>
  </si>
  <si>
    <t>05/10/1849</t>
  </si>
  <si>
    <t>KLASSMITSRIVIER</t>
  </si>
  <si>
    <t>MARIA MARHTA</t>
  </si>
  <si>
    <t>05/11/1864</t>
  </si>
  <si>
    <t>17/02/1868</t>
  </si>
  <si>
    <t xml:space="preserve">SUSANNA JOHANNA </t>
  </si>
  <si>
    <t>20/05/1843</t>
  </si>
  <si>
    <t>b1c3d6e9f7</t>
  </si>
  <si>
    <t>02/10/1824</t>
  </si>
  <si>
    <t>VELDMAN</t>
  </si>
  <si>
    <t>ANGOLA CATHARINA ELIZABETH</t>
  </si>
  <si>
    <t>RACHEL LEA</t>
  </si>
  <si>
    <t>GERBRECHT SUSANNA JACOBA</t>
  </si>
  <si>
    <t>15/06/1839</t>
  </si>
  <si>
    <t>13/02/1841</t>
  </si>
  <si>
    <t>b7c3d1e5</t>
  </si>
  <si>
    <t>20/04/1800</t>
  </si>
  <si>
    <t>a3b1c6d5e2</t>
  </si>
  <si>
    <t>29/12/1782</t>
  </si>
  <si>
    <t>b3c1d8e2</t>
  </si>
  <si>
    <t>28/02/1808</t>
  </si>
  <si>
    <t>30/11/1783</t>
  </si>
  <si>
    <t xml:space="preserve">DOROTHEA ANNA </t>
  </si>
  <si>
    <t>b1c10d1e4f10</t>
  </si>
  <si>
    <t>04/02/1865</t>
  </si>
  <si>
    <t>10/1845</t>
  </si>
  <si>
    <t>DOROTHEA SUSANNA</t>
  </si>
  <si>
    <t>b2c6d7e4</t>
  </si>
  <si>
    <t>15/09/1827</t>
  </si>
  <si>
    <t>11/11/1827</t>
  </si>
  <si>
    <t>PIETERMRITZBURG</t>
  </si>
  <si>
    <t>GERTRUIDA ELIZABETH</t>
  </si>
  <si>
    <t>07/07/1828</t>
  </si>
  <si>
    <t>DOROTHEA JOHANNA</t>
  </si>
  <si>
    <t>21/04/1822</t>
  </si>
  <si>
    <t>JOHANNA SALOMINA</t>
  </si>
  <si>
    <t>b8c1d2e2</t>
  </si>
  <si>
    <t>8/5/1841</t>
  </si>
  <si>
    <t xml:space="preserve">SARA JOHANNA CATHARINA </t>
  </si>
  <si>
    <t>b9c1d5e1</t>
  </si>
  <si>
    <t>28/03/1832</t>
  </si>
  <si>
    <t>ADRIANA JOSINA</t>
  </si>
  <si>
    <t xml:space="preserve">MARIA FRANCINA  </t>
  </si>
  <si>
    <t>DEKKER</t>
  </si>
  <si>
    <t>25/06/1803</t>
  </si>
  <si>
    <t>HESTER JACOBA (JACOMINA) DU PREEZ</t>
  </si>
  <si>
    <t>21/03/1803</t>
  </si>
  <si>
    <t>b3c2d1e3f1</t>
  </si>
  <si>
    <t>10/03/1801</t>
  </si>
  <si>
    <t xml:space="preserve">ELIZABETH CATHARINA PAULINA </t>
  </si>
  <si>
    <t>11/02/1836</t>
  </si>
  <si>
    <t>b2c4d2e5</t>
  </si>
  <si>
    <t>04/07/1854</t>
  </si>
  <si>
    <t>08/12/1860</t>
  </si>
  <si>
    <t>17/10/1798</t>
  </si>
  <si>
    <t>01/03/1829</t>
  </si>
  <si>
    <t xml:space="preserve">ELIZABETH MARIA CATHARINA </t>
  </si>
  <si>
    <t>11/1836 OR 10/1837</t>
  </si>
  <si>
    <t>K.P LANDMAN OR J.S MARITZ</t>
  </si>
  <si>
    <t>b2c12d4</t>
  </si>
  <si>
    <t>SWELLRNDAM</t>
  </si>
  <si>
    <t>06/06/1824</t>
  </si>
  <si>
    <t xml:space="preserve">CATHARINA GERTRUIDA MARIA </t>
  </si>
  <si>
    <t>b3c7d1e6f1</t>
  </si>
  <si>
    <t>04/09/1804</t>
  </si>
  <si>
    <t>24/08/1871</t>
  </si>
  <si>
    <t>27/05/1872</t>
  </si>
  <si>
    <t>VICTORIA-WES</t>
  </si>
  <si>
    <t>21/05/1852</t>
  </si>
  <si>
    <t>23/01/1853</t>
  </si>
  <si>
    <t>16/05/1809</t>
  </si>
  <si>
    <t>10/08/1866</t>
  </si>
  <si>
    <t>16/04/1809</t>
  </si>
  <si>
    <t>HOFMEYR</t>
  </si>
  <si>
    <t>06/09/1848</t>
  </si>
  <si>
    <t>b1c7d2</t>
  </si>
  <si>
    <t>26/03/1837</t>
  </si>
  <si>
    <t>18 OR 28/08/1810</t>
  </si>
  <si>
    <t>ANNA MARIA ADRIANA</t>
  </si>
  <si>
    <t>HESTER CHRISTINA ELIZABETH</t>
  </si>
  <si>
    <t>30/03/1822</t>
  </si>
  <si>
    <t>DE RUST</t>
  </si>
  <si>
    <t>30/01/1912</t>
  </si>
  <si>
    <t>03/05/1835</t>
  </si>
  <si>
    <t>30/07/1817</t>
  </si>
  <si>
    <t>02/08/1888</t>
  </si>
  <si>
    <t>JANETJE JACOBA</t>
  </si>
  <si>
    <t>06/05/1812</t>
  </si>
  <si>
    <t>ALETTA HENDRIKA THEUNISSIA</t>
  </si>
  <si>
    <t>MATTHYS</t>
  </si>
  <si>
    <t>1838-1846</t>
  </si>
  <si>
    <t xml:space="preserve">JUDITH CORNELIA THERESIA (OF ETRESIA) </t>
  </si>
  <si>
    <t>02/07/1827</t>
  </si>
  <si>
    <t>11/12/1861</t>
  </si>
  <si>
    <t>PIET. L UYS</t>
  </si>
  <si>
    <t>01/05/1825</t>
  </si>
  <si>
    <t xml:space="preserve">MARGARETHA ISABELLA </t>
  </si>
  <si>
    <t>b1c7d2e3f4</t>
  </si>
  <si>
    <t>19/10/1807</t>
  </si>
  <si>
    <t>05/07/1862</t>
  </si>
  <si>
    <t>19/10/1827</t>
  </si>
  <si>
    <t>17/05/1802</t>
  </si>
  <si>
    <t>02/05/1804</t>
  </si>
  <si>
    <t>15/11/1838</t>
  </si>
  <si>
    <t>MARIA CAROLINA THEUNISSINA</t>
  </si>
  <si>
    <t>b3c8d7</t>
  </si>
  <si>
    <t>BETWEEN 11/1838 AND 07/1840</t>
  </si>
  <si>
    <t>HESTER MAGDALENA JACOBA</t>
  </si>
  <si>
    <t>25/03/1817</t>
  </si>
  <si>
    <t>19/06/1885</t>
  </si>
  <si>
    <t>06/1836</t>
  </si>
  <si>
    <t>26/08/1810</t>
  </si>
  <si>
    <t>13/11/1795</t>
  </si>
  <si>
    <t>24/10/1796</t>
  </si>
  <si>
    <t>A. H POTGIETER</t>
  </si>
  <si>
    <t>b4c3d2e2f1</t>
  </si>
  <si>
    <t>19/05/1801</t>
  </si>
  <si>
    <t>14/10/1880</t>
  </si>
  <si>
    <t xml:space="preserve">CATHARINA ALETTA  </t>
  </si>
  <si>
    <t>01/12/1833</t>
  </si>
  <si>
    <t>HESTER ELIZABETH WILHELMINA</t>
  </si>
  <si>
    <t>05/06/1819</t>
  </si>
  <si>
    <t>SUSANNA (OF SUSARA) MARIA PETRONELLA</t>
  </si>
  <si>
    <t>02/09/1825</t>
  </si>
  <si>
    <t>20/05/1914</t>
  </si>
  <si>
    <t>a1b1c7d2e3f2</t>
  </si>
  <si>
    <t>08/03/1803</t>
  </si>
  <si>
    <t>16/12/1842</t>
  </si>
  <si>
    <t>GESINA MARIA</t>
  </si>
  <si>
    <t>24/11/1822</t>
  </si>
  <si>
    <t>b4c1d10e6</t>
  </si>
  <si>
    <t>27/08/1805</t>
  </si>
  <si>
    <t>26/12/1879</t>
  </si>
  <si>
    <t>CATHARINA ELIZABETH MARGARETHA</t>
  </si>
  <si>
    <t>18/03/1822</t>
  </si>
  <si>
    <t>17/08/1881</t>
  </si>
  <si>
    <t>MARQUARD</t>
  </si>
  <si>
    <t>ANNA MARGRIETA</t>
  </si>
  <si>
    <t>MINAAR</t>
  </si>
  <si>
    <t>BOTHMAN (OF BOTHMA)</t>
  </si>
  <si>
    <t>b1c1d6e9</t>
  </si>
  <si>
    <t>10/11/1839</t>
  </si>
  <si>
    <t>BETWEEN 06/04/1836 AND 10/11/1839</t>
  </si>
  <si>
    <t>01/02/1841</t>
  </si>
  <si>
    <t>23/11/1825</t>
  </si>
  <si>
    <t>04/01/1820</t>
  </si>
  <si>
    <t xml:space="preserve">ELIZABETH CATHARINA  </t>
  </si>
  <si>
    <t>05/04/1818</t>
  </si>
  <si>
    <t>23/08/1800</t>
  </si>
  <si>
    <t>09/1836-02/1842</t>
  </si>
  <si>
    <t>BILGNAUT</t>
  </si>
  <si>
    <t>23/08/1833</t>
  </si>
  <si>
    <t>MARIA CATHARINA (MARJA)</t>
  </si>
  <si>
    <t>MESSER</t>
  </si>
  <si>
    <t>18/11/1816</t>
  </si>
  <si>
    <t>ONDER-OLIFANTSRIVIER</t>
  </si>
  <si>
    <t>03/10/1831</t>
  </si>
  <si>
    <t>09/05/1892</t>
  </si>
  <si>
    <t>MARIA JOHANNA WILHELMINA</t>
  </si>
  <si>
    <t>1841-1846</t>
  </si>
  <si>
    <t>04/12/1836</t>
  </si>
  <si>
    <t xml:space="preserve">MAGDALENA MARGARETHA  </t>
  </si>
  <si>
    <t>b4c7d5e3</t>
  </si>
  <si>
    <t>13/06/1884</t>
  </si>
  <si>
    <t>29/09/1884</t>
  </si>
  <si>
    <t>MARHTA</t>
  </si>
  <si>
    <t>EINDE 07/1836</t>
  </si>
  <si>
    <t>09/04/1827</t>
  </si>
  <si>
    <t>28/10/1900</t>
  </si>
  <si>
    <t>13/03/1814</t>
  </si>
  <si>
    <t xml:space="preserve">HENDRINA MARIA </t>
  </si>
  <si>
    <t>08/11/1873</t>
  </si>
  <si>
    <t>09/02/1783</t>
  </si>
  <si>
    <t>JOHANNES DEWALD</t>
  </si>
  <si>
    <t>VAN STRA(A)TEN</t>
  </si>
  <si>
    <t>22/09/1898</t>
  </si>
  <si>
    <t>03/10/1835</t>
  </si>
  <si>
    <t>MARIA ALETTA SUSANNA</t>
  </si>
  <si>
    <t>19/03/1817</t>
  </si>
  <si>
    <t>28/08/1884</t>
  </si>
  <si>
    <t>GEERTRUIDA MARGARETHA</t>
  </si>
  <si>
    <t>JOHANNESBURG</t>
  </si>
  <si>
    <t xml:space="preserve">JOHANNA ARNOLDINA </t>
  </si>
  <si>
    <t>30/10/1818</t>
  </si>
  <si>
    <t xml:space="preserve">HESTER JOHANNA  </t>
  </si>
  <si>
    <t>JAN ALBERTUS VILJOEN</t>
  </si>
  <si>
    <t xml:space="preserve">STORM </t>
  </si>
  <si>
    <t>01/01/1797</t>
  </si>
  <si>
    <t>04/01/1781</t>
  </si>
  <si>
    <t>ANNA MARIA PETRONELLA</t>
  </si>
  <si>
    <t>02/08/1812</t>
  </si>
  <si>
    <t>29/11/1841</t>
  </si>
  <si>
    <t xml:space="preserve">JACOBA ALETTA WILHELMINA </t>
  </si>
  <si>
    <t>b12c2d4e4f3</t>
  </si>
  <si>
    <t xml:space="preserve">ALIDA </t>
  </si>
  <si>
    <t>b2c11d2e8f1g5</t>
  </si>
  <si>
    <t>03/10/1812</t>
  </si>
  <si>
    <t>26/07/1796</t>
  </si>
  <si>
    <t>28/02/1872</t>
  </si>
  <si>
    <t>CHRISTINA ADRIANA</t>
  </si>
  <si>
    <t>b2c6d1e9</t>
  </si>
  <si>
    <t>VAN DER HEYDEN</t>
  </si>
  <si>
    <t>b2c2d6e1</t>
  </si>
  <si>
    <t>17/08/1856</t>
  </si>
  <si>
    <t>MARGARETHA MAGDALENA MARIA</t>
  </si>
  <si>
    <t>25/08/1793</t>
  </si>
  <si>
    <t>MARIA MAGDALENA GEERTRUIDA</t>
  </si>
  <si>
    <t>03/09/1842</t>
  </si>
  <si>
    <t>CAROLINA ELIZABETH GEERTUIDA</t>
  </si>
  <si>
    <t>a1b3c10d2e2f2</t>
  </si>
  <si>
    <t>HANOVER</t>
  </si>
  <si>
    <t>24/09/1866</t>
  </si>
  <si>
    <t>04/02/1868</t>
  </si>
  <si>
    <t>REGINA CATHARINA</t>
  </si>
  <si>
    <t>25/09/1824</t>
  </si>
  <si>
    <t>14/08/1888</t>
  </si>
  <si>
    <t>28/03/1816</t>
  </si>
  <si>
    <t>JACOBA MAGDALENA CECILIA</t>
  </si>
  <si>
    <t>ZOUTRIVIER</t>
  </si>
  <si>
    <t>28/04/1884</t>
  </si>
  <si>
    <t>GESINA (GEESJE) WILHELMINA</t>
  </si>
  <si>
    <t>18/08/1792</t>
  </si>
  <si>
    <t>SARA ISABELLA CATHARINA</t>
  </si>
  <si>
    <t>26/05/1815</t>
  </si>
  <si>
    <t>22/12/1826</t>
  </si>
  <si>
    <t>13/03/1836</t>
  </si>
  <si>
    <t xml:space="preserve">RACHEL ANNA MARIA </t>
  </si>
  <si>
    <t>06/04/1817</t>
  </si>
  <si>
    <t>03/1836</t>
  </si>
  <si>
    <t>DRIEKUILEN</t>
  </si>
  <si>
    <t xml:space="preserve">HELENA MARIA  </t>
  </si>
  <si>
    <t>07/05/1840</t>
  </si>
  <si>
    <t>28/02/1841</t>
  </si>
  <si>
    <t>27/08/1825</t>
  </si>
  <si>
    <t>27/11/1825</t>
  </si>
  <si>
    <t>14/08/1862</t>
  </si>
  <si>
    <t>02/03/1863</t>
  </si>
  <si>
    <t>COMFORT VICTORIA</t>
  </si>
  <si>
    <t>PLEWMAN</t>
  </si>
  <si>
    <t>02/06/1837/8</t>
  </si>
  <si>
    <t>09/12/1896</t>
  </si>
  <si>
    <t>14/12/1839</t>
  </si>
  <si>
    <t xml:space="preserve">CHRISTINA GLAUDINA </t>
  </si>
  <si>
    <t>JACOMINA MARGARETHA</t>
  </si>
  <si>
    <t>LOUISA PETRIE</t>
  </si>
  <si>
    <t>JOHANNA CHRISTINA CAROLINA</t>
  </si>
  <si>
    <t>SUSANNA GERTRUIDA MAGDALENA H</t>
  </si>
  <si>
    <t>11/03/1821</t>
  </si>
  <si>
    <t>09 -12/1837</t>
  </si>
  <si>
    <t>05/11/1826</t>
  </si>
  <si>
    <t>14/09/1878</t>
  </si>
  <si>
    <t>a2b5c4d2</t>
  </si>
  <si>
    <t>11/12/1774</t>
  </si>
  <si>
    <t xml:space="preserve">JOHANNA ISABELLA </t>
  </si>
  <si>
    <t>b1c3d3e3</t>
  </si>
  <si>
    <t>06/04/1847</t>
  </si>
  <si>
    <t>BEORE 1845</t>
  </si>
  <si>
    <t>b6c6d5e4</t>
  </si>
  <si>
    <t xml:space="preserve">MAGTELD SUSANNA </t>
  </si>
  <si>
    <t>01/05/1802</t>
  </si>
  <si>
    <t>01/08/1817</t>
  </si>
  <si>
    <t>27/05/1838</t>
  </si>
  <si>
    <t>RHEEDER</t>
  </si>
  <si>
    <t>PIET L. UYS</t>
  </si>
  <si>
    <t>04/06/1831</t>
  </si>
  <si>
    <t>HESTER JACOBA JACOMINA</t>
  </si>
  <si>
    <t>DE KLERKSKRAAL</t>
  </si>
  <si>
    <t>28/07/1867</t>
  </si>
  <si>
    <t>07/1838-1839</t>
  </si>
  <si>
    <t>20/05/1850</t>
  </si>
  <si>
    <t>ANNA MARGARETHA ALETTA</t>
  </si>
  <si>
    <t>01/03/1831</t>
  </si>
  <si>
    <t>28/01/1898</t>
  </si>
  <si>
    <t>24 OR 25/10/1797</t>
  </si>
  <si>
    <t>22/07/1866</t>
  </si>
  <si>
    <t>MARIA SUSANNA ADRIANA</t>
  </si>
  <si>
    <t>14/12/1901</t>
  </si>
  <si>
    <t>10/02/1849</t>
  </si>
  <si>
    <t xml:space="preserve">MAGDALENA JOHANNA  </t>
  </si>
  <si>
    <t>22/06/1830</t>
  </si>
  <si>
    <t>25/01/1840</t>
  </si>
  <si>
    <t>LEVINA</t>
  </si>
  <si>
    <t>a1b2c7d1e10</t>
  </si>
  <si>
    <t>1838/1839</t>
  </si>
  <si>
    <t>GERTRUIDA JACOMINA JACOBA</t>
  </si>
  <si>
    <t>25/06/1858</t>
  </si>
  <si>
    <t>11/08/1883</t>
  </si>
  <si>
    <t>CECILIA JOHANNA (SUSANNA)</t>
  </si>
  <si>
    <t>09/01/1870</t>
  </si>
  <si>
    <t>02/1872</t>
  </si>
  <si>
    <t>ANGENITIA MARIA</t>
  </si>
  <si>
    <t>25/06/1849</t>
  </si>
  <si>
    <t>07/03/1896</t>
  </si>
  <si>
    <t>17/10/1799</t>
  </si>
  <si>
    <t>16/10/1873</t>
  </si>
  <si>
    <t>30/04/1843</t>
  </si>
  <si>
    <t>05/04/1825</t>
  </si>
  <si>
    <t>20/02/1830</t>
  </si>
  <si>
    <t>ELIZABETH HELENA</t>
  </si>
  <si>
    <t>ELIZABETHCAROLINA</t>
  </si>
  <si>
    <t>17/02/1805</t>
  </si>
  <si>
    <t>03/02/1845</t>
  </si>
  <si>
    <t>VANDEN BERG</t>
  </si>
  <si>
    <t>b1c10d6e9</t>
  </si>
  <si>
    <t>12/02/1849</t>
  </si>
  <si>
    <t xml:space="preserve">GERTRUIDA SUSANNA CATHARINA </t>
  </si>
  <si>
    <t>NICOLASINA WILHELMINA JACOBA</t>
  </si>
  <si>
    <t>b2c6d1e2f6</t>
  </si>
  <si>
    <t>WIENEKE</t>
  </si>
  <si>
    <t>19/10/1841</t>
  </si>
  <si>
    <t xml:space="preserve">JOHANNA HELENA CATHARINA </t>
  </si>
  <si>
    <t>b4c3d5e4</t>
  </si>
  <si>
    <t>27/04/1825</t>
  </si>
  <si>
    <t>29/05/1825</t>
  </si>
  <si>
    <t>30/09/1893</t>
  </si>
  <si>
    <t>JOHANNA CHRISTINA/CATHARINA CAROLINA</t>
  </si>
  <si>
    <t>03/05/1813</t>
  </si>
  <si>
    <t>03/02/1810</t>
  </si>
  <si>
    <t>12/06/1792</t>
  </si>
  <si>
    <t>09/09/1870</t>
  </si>
  <si>
    <t>DUNDEE</t>
  </si>
  <si>
    <t>WILGEFONTEIN</t>
  </si>
  <si>
    <t>01/11/1813</t>
  </si>
  <si>
    <t>30/11/1840</t>
  </si>
  <si>
    <t>b2c1d3e6f1</t>
  </si>
  <si>
    <t>POSSIBLY WINTERHOEK</t>
  </si>
  <si>
    <t>11/08/1839</t>
  </si>
  <si>
    <t xml:space="preserve">WILHELMINA CORNELIA </t>
  </si>
  <si>
    <t>b2c3d8e9</t>
  </si>
  <si>
    <t>01/03/1818</t>
  </si>
  <si>
    <t>TWEEFONTEIN, BAVIAANSRIVIER</t>
  </si>
  <si>
    <t>POSSIBLY NOVEMBER OR DECEMBER 1837</t>
  </si>
  <si>
    <t>LOIUS JACOBUS NEL AND JOHANNES MARTHINUS SCHEEPERS OR P.A. OPPERMAN</t>
  </si>
  <si>
    <t>28/03/1821</t>
  </si>
  <si>
    <t>POSSIBLY BEFORE EARLY 1840S</t>
  </si>
  <si>
    <t>WAKKERSTROOM THEN BETHLEHEM</t>
  </si>
  <si>
    <t>29/09/1816</t>
  </si>
  <si>
    <t xml:space="preserve">SOPHIA SUSANNA </t>
  </si>
  <si>
    <t>08/07/1820</t>
  </si>
  <si>
    <t>DOORNDRAAI (?), OOS-RIETRIVIER</t>
  </si>
  <si>
    <t>QUEENSTOWN</t>
  </si>
  <si>
    <t>13/06/1864</t>
  </si>
  <si>
    <t>MARIA DOROTHEA ELISABETH</t>
  </si>
  <si>
    <t>10/12/1812</t>
  </si>
  <si>
    <t>P.A. OPPERMAN OR L.J. NEL (?)</t>
  </si>
  <si>
    <t>b1c2d3e4f5</t>
  </si>
  <si>
    <t>12/11/1811</t>
  </si>
  <si>
    <t>POSSIBLY LOUIS NEL AND JOHANNES MARTHINUS SCHEEPERS OR P.A. OPPERMAN</t>
  </si>
  <si>
    <t>DJINDISPRUIT, LIMPOPORIVER, MOZAMBIQUE</t>
  </si>
  <si>
    <t>05/04/1809</t>
  </si>
  <si>
    <t>03/05/1882</t>
  </si>
  <si>
    <t>ANNA HELENA</t>
  </si>
  <si>
    <t>PROBABLY VALSCHRIVIER</t>
  </si>
  <si>
    <t>17/07/1821</t>
  </si>
  <si>
    <t>WITFONTEIN</t>
  </si>
  <si>
    <t>13/04/1892</t>
  </si>
  <si>
    <t>06/07/1844</t>
  </si>
  <si>
    <t>b2c6d2e1f8</t>
  </si>
  <si>
    <t>24/07/1826</t>
  </si>
  <si>
    <t>NATAL THEN HARRISMITH</t>
  </si>
  <si>
    <t xml:space="preserve">SOPHIA GEERTRUIDA JOHANNA </t>
  </si>
  <si>
    <t>b2c10d4e5f1</t>
  </si>
  <si>
    <t>16/09/1792</t>
  </si>
  <si>
    <t>17/02/1782</t>
  </si>
  <si>
    <t>30/10/1785</t>
  </si>
  <si>
    <t>POSSIBLY BEFORE 1840 BUT NOT SURE IF THEY MOVED</t>
  </si>
  <si>
    <t>05/04/1830</t>
  </si>
  <si>
    <t>b4c2d2e7f2</t>
  </si>
  <si>
    <t>PROBABLY WINTERHOEK</t>
  </si>
  <si>
    <t xml:space="preserve">PAULINA HEILA LEVINA </t>
  </si>
  <si>
    <t>21/11/1819</t>
  </si>
  <si>
    <t>PROBABLY 1837 (?)</t>
  </si>
  <si>
    <t>03/10/1819</t>
  </si>
  <si>
    <t xml:space="preserve">PETRONELLA MARIA </t>
  </si>
  <si>
    <t>INITIALLY WITH LOUIS TREGARDT THEN A FEW MONTHS LATER JOINED JOHANNES JACOBUS (LANG HANS) JANSE VAN RENSBURG</t>
  </si>
  <si>
    <t>11/08/1822</t>
  </si>
  <si>
    <t>NOT LATER THAN DECEMBER 1839</t>
  </si>
  <si>
    <t>17/05/1823</t>
  </si>
  <si>
    <t>14/04/1824</t>
  </si>
  <si>
    <t>PROBABLY BRUINTJIESHOOGTE</t>
  </si>
  <si>
    <t>09/12/1814</t>
  </si>
  <si>
    <t>CA BETWEEN MID 1837 AND END 1840</t>
  </si>
  <si>
    <t>25/08/1825</t>
  </si>
  <si>
    <t>24/02/1891</t>
  </si>
  <si>
    <t xml:space="preserve">BOSCH </t>
  </si>
  <si>
    <t>JOHANNA MAGRIETA</t>
  </si>
  <si>
    <t>26/03/1835</t>
  </si>
  <si>
    <t>14/03/1888</t>
  </si>
  <si>
    <t xml:space="preserve">MARTHA LOIUSA </t>
  </si>
  <si>
    <t>19/08/1804</t>
  </si>
  <si>
    <t>16/11/1806</t>
  </si>
  <si>
    <t>KLIPPLAATHOEK, BAVIAANSRIVIER</t>
  </si>
  <si>
    <t>BETWEEN 20/06/1837 AND END MARCH 1838</t>
  </si>
  <si>
    <t>POSSIBLY WITH ONE OF: L.J. MEYER, L.J. NEL OR P.A. OPPERMAN</t>
  </si>
  <si>
    <t>10/06/1817</t>
  </si>
  <si>
    <t>10/08/1817</t>
  </si>
  <si>
    <t>28/05/1837</t>
  </si>
  <si>
    <t xml:space="preserve">ELIZABETH JACOBA FREDERIKA </t>
  </si>
  <si>
    <t>1843 (?)</t>
  </si>
  <si>
    <t xml:space="preserve">HESTER SUSANNA JOHANNA </t>
  </si>
  <si>
    <t>17/09/1823</t>
  </si>
  <si>
    <t>SONDAGSRIVIER</t>
  </si>
  <si>
    <t>19/05/1808</t>
  </si>
  <si>
    <t>ISABELLA ELISABETH MARGARETHA</t>
  </si>
  <si>
    <t>PROBABLY 1843</t>
  </si>
  <si>
    <t>26/09/1847</t>
  </si>
  <si>
    <t xml:space="preserve">PHILIPPINA RUDOLPHINA </t>
  </si>
  <si>
    <t>12/08/1810</t>
  </si>
  <si>
    <t>b6c5d7e1</t>
  </si>
  <si>
    <t>19/12/1813</t>
  </si>
  <si>
    <t>b2c3d4e1f1</t>
  </si>
  <si>
    <t>23/05/1812</t>
  </si>
  <si>
    <t>OOS-RIETRIVIER THEN TWEEFONTEIN, BAVIAANSRIVIER</t>
  </si>
  <si>
    <t>BETWEEN 20/06/1837 AND END MARCH</t>
  </si>
  <si>
    <t>POSSIBLY L.J. NEL OR P.A. OPPERMAN</t>
  </si>
  <si>
    <t>07/08/1859</t>
  </si>
  <si>
    <t>14/07/1822</t>
  </si>
  <si>
    <t>FEBRUARY 1840</t>
  </si>
  <si>
    <t>BETWEEN 1840 AND 1844</t>
  </si>
  <si>
    <t>ANNA SUSANNA PETRONELLA</t>
  </si>
  <si>
    <t>BURIED IN LUSHOF, PRETORIA</t>
  </si>
  <si>
    <t>b3c3d4e7</t>
  </si>
  <si>
    <t>SPREEUWEKLOOF, BAVIAANSRIVIER</t>
  </si>
  <si>
    <t>POSSIBLY BETWEEN 20/06/1837 AND 27/08/1837</t>
  </si>
  <si>
    <t>PROBABLY PRETORIA</t>
  </si>
  <si>
    <t>19/02/1820</t>
  </si>
  <si>
    <t>ZORGVLIET, BRONKHORSTSPRUIT</t>
  </si>
  <si>
    <t>20/08/1898</t>
  </si>
  <si>
    <t>PROBABLY SPREEUWEKLOOF, BAVIAANSRIVIER</t>
  </si>
  <si>
    <t>SOMERSET (CRADOCK)</t>
  </si>
  <si>
    <t>CA 1843-1844</t>
  </si>
  <si>
    <t>17/01/1811</t>
  </si>
  <si>
    <t>15/07/1811</t>
  </si>
  <si>
    <t>b2c4d1e2f13</t>
  </si>
  <si>
    <t>TARKA ( NOW CALLED KLAAS SMITSRIVIER)</t>
  </si>
  <si>
    <t>PROBABALY DECEMBER 1835</t>
  </si>
  <si>
    <t>17/03/1805</t>
  </si>
  <si>
    <t>Birthyear</t>
  </si>
  <si>
    <t>25/12/1812</t>
  </si>
  <si>
    <t>Birth year</t>
  </si>
  <si>
    <t>Babtise year</t>
  </si>
  <si>
    <t>death year</t>
  </si>
  <si>
    <t>dod</t>
  </si>
  <si>
    <t>dob</t>
  </si>
  <si>
    <t>Birth OR baptise year</t>
  </si>
  <si>
    <t>10/12/1901</t>
  </si>
  <si>
    <t>2/1/1902</t>
  </si>
  <si>
    <t>20/10/1910</t>
  </si>
  <si>
    <t>21/08/1887</t>
  </si>
  <si>
    <t>3/11/1913</t>
  </si>
  <si>
    <t>23/10/1901</t>
  </si>
  <si>
    <t>6/1/1902</t>
  </si>
  <si>
    <t>3/2/1902</t>
  </si>
  <si>
    <t>BAPTISE date</t>
  </si>
  <si>
    <t>Marry year</t>
  </si>
  <si>
    <t>move year</t>
  </si>
  <si>
    <t>LATE 18</t>
  </si>
  <si>
    <t>number (ORIGINAL)</t>
  </si>
  <si>
    <t>number (a1 inserted)</t>
  </si>
  <si>
    <t>surname (no spaces)</t>
  </si>
  <si>
    <t>ID</t>
  </si>
  <si>
    <t>SURNAME (oorspronklik)</t>
  </si>
  <si>
    <t>KEBEL</t>
  </si>
  <si>
    <t>LAFFNIE</t>
  </si>
  <si>
    <t>STEYNBERG</t>
  </si>
  <si>
    <t>HELMOND</t>
  </si>
  <si>
    <t>WEYER</t>
  </si>
  <si>
    <t>b2c4d9e5</t>
  </si>
  <si>
    <t>b1c3d1</t>
  </si>
  <si>
    <t>b3c4d5e9</t>
  </si>
  <si>
    <t>b2c4d3e1f6</t>
  </si>
  <si>
    <t>b4c3d1e1</t>
  </si>
  <si>
    <t>B1C5D7</t>
  </si>
  <si>
    <t>a1b5c4d5e6</t>
  </si>
  <si>
    <t>name (proper)</t>
  </si>
  <si>
    <t/>
  </si>
  <si>
    <t>1817</t>
  </si>
  <si>
    <t>1804</t>
  </si>
  <si>
    <t>1807</t>
  </si>
  <si>
    <t>1764</t>
  </si>
  <si>
    <t>1814</t>
  </si>
  <si>
    <t>1812</t>
  </si>
  <si>
    <t>1800</t>
  </si>
  <si>
    <t>1775</t>
  </si>
  <si>
    <t>1818</t>
  </si>
  <si>
    <t>1822</t>
  </si>
  <si>
    <t>1779</t>
  </si>
  <si>
    <t>1805</t>
  </si>
  <si>
    <t>1806</t>
  </si>
  <si>
    <t>1809</t>
  </si>
  <si>
    <t>1816</t>
  </si>
  <si>
    <t>1819</t>
  </si>
  <si>
    <t>1810</t>
  </si>
  <si>
    <t>1815</t>
  </si>
  <si>
    <t>1823</t>
  </si>
  <si>
    <t>1811</t>
  </si>
  <si>
    <t>1791</t>
  </si>
  <si>
    <t>1825</t>
  </si>
  <si>
    <t>1785</t>
  </si>
  <si>
    <t>1813</t>
  </si>
  <si>
    <t>1777</t>
  </si>
  <si>
    <t>1824</t>
  </si>
  <si>
    <t>1820</t>
  </si>
  <si>
    <t>1803</t>
  </si>
  <si>
    <t>1789</t>
  </si>
  <si>
    <t>1784</t>
  </si>
  <si>
    <t>1808</t>
  </si>
  <si>
    <t>1821</t>
  </si>
  <si>
    <t>1795</t>
  </si>
  <si>
    <t>1802</t>
  </si>
  <si>
    <t>1790</t>
  </si>
  <si>
    <t>1799</t>
  </si>
  <si>
    <t>1781</t>
  </si>
  <si>
    <t>1797</t>
  </si>
  <si>
    <t>1801</t>
  </si>
  <si>
    <t>1798</t>
  </si>
  <si>
    <t>1787</t>
  </si>
  <si>
    <t>1768</t>
  </si>
  <si>
    <t>1826</t>
  </si>
  <si>
    <t>1792</t>
  </si>
  <si>
    <t>1793</t>
  </si>
  <si>
    <t>1786</t>
  </si>
  <si>
    <t>1767</t>
  </si>
  <si>
    <t>1796</t>
  </si>
  <si>
    <t>1794</t>
  </si>
  <si>
    <t>1832</t>
  </si>
  <si>
    <t>1769</t>
  </si>
  <si>
    <t>1780</t>
  </si>
  <si>
    <t>1783</t>
  </si>
  <si>
    <t>1760</t>
  </si>
  <si>
    <t>1773</t>
  </si>
  <si>
    <t>1776</t>
  </si>
  <si>
    <t>1765</t>
  </si>
  <si>
    <t>1788</t>
  </si>
  <si>
    <t>1778</t>
  </si>
  <si>
    <t>1758</t>
  </si>
  <si>
    <t>1770</t>
  </si>
  <si>
    <t>1827</t>
  </si>
  <si>
    <t>1829</t>
  </si>
  <si>
    <t>1782</t>
  </si>
  <si>
    <t>1774</t>
  </si>
  <si>
    <t>1772</t>
  </si>
  <si>
    <t>1746</t>
  </si>
  <si>
    <t>1709</t>
  </si>
  <si>
    <t>1836</t>
  </si>
  <si>
    <t>1753</t>
  </si>
  <si>
    <t>1766</t>
  </si>
  <si>
    <t>1757</t>
  </si>
  <si>
    <t>1771</t>
  </si>
  <si>
    <t>1759</t>
  </si>
  <si>
    <t>1834</t>
  </si>
  <si>
    <t>1756</t>
  </si>
  <si>
    <t>1850</t>
  </si>
  <si>
    <t>1761</t>
  </si>
  <si>
    <t>1892</t>
  </si>
  <si>
    <t>1741</t>
  </si>
  <si>
    <t>1880</t>
  </si>
  <si>
    <t>1874</t>
  </si>
  <si>
    <t>1838</t>
  </si>
  <si>
    <t>1866</t>
  </si>
  <si>
    <t>1854</t>
  </si>
  <si>
    <t>1856</t>
  </si>
  <si>
    <t>1864</t>
  </si>
  <si>
    <t>1865</t>
  </si>
  <si>
    <t>1875</t>
  </si>
  <si>
    <t>1883</t>
  </si>
  <si>
    <t>1871</t>
  </si>
  <si>
    <t>1879</t>
  </si>
  <si>
    <t>1901</t>
  </si>
  <si>
    <t>1884</t>
  </si>
  <si>
    <t>1887</t>
  </si>
  <si>
    <t>1861</t>
  </si>
  <si>
    <t>1848</t>
  </si>
  <si>
    <t>1840</t>
  </si>
  <si>
    <t>1837</t>
  </si>
  <si>
    <t>1841</t>
  </si>
  <si>
    <t>1876</t>
  </si>
  <si>
    <t>1895</t>
  </si>
  <si>
    <t>1890</t>
  </si>
  <si>
    <t>1849</t>
  </si>
  <si>
    <t>1862</t>
  </si>
  <si>
    <t>1913</t>
  </si>
  <si>
    <t>1844</t>
  </si>
  <si>
    <t>1881</t>
  </si>
  <si>
    <t>1889</t>
  </si>
  <si>
    <t>1863</t>
  </si>
  <si>
    <t>1893</t>
  </si>
  <si>
    <t>1877</t>
  </si>
  <si>
    <t>1858</t>
  </si>
  <si>
    <t>1839</t>
  </si>
  <si>
    <t>1885</t>
  </si>
  <si>
    <t>1869</t>
  </si>
  <si>
    <t>1867</t>
  </si>
  <si>
    <t>1888</t>
  </si>
  <si>
    <t>1852</t>
  </si>
  <si>
    <t>1833</t>
  </si>
  <si>
    <t>1855</t>
  </si>
  <si>
    <t>1853</t>
  </si>
  <si>
    <t>1868</t>
  </si>
  <si>
    <t>1851</t>
  </si>
  <si>
    <t>1897</t>
  </si>
  <si>
    <t>1906</t>
  </si>
  <si>
    <t>1899</t>
  </si>
  <si>
    <t>1878</t>
  </si>
  <si>
    <t>1896</t>
  </si>
  <si>
    <t>1843</t>
  </si>
  <si>
    <t>1919</t>
  </si>
  <si>
    <t>1873</t>
  </si>
  <si>
    <t>1898</t>
  </si>
  <si>
    <t>1909</t>
  </si>
  <si>
    <t>1847</t>
  </si>
  <si>
    <t>1894</t>
  </si>
  <si>
    <t>1846</t>
  </si>
  <si>
    <t>1872</t>
  </si>
  <si>
    <t>1908</t>
  </si>
  <si>
    <t>1902</t>
  </si>
  <si>
    <t>1910</t>
  </si>
  <si>
    <t>1891</t>
  </si>
  <si>
    <t>1900</t>
  </si>
  <si>
    <t>1828</t>
  </si>
  <si>
    <t>1860</t>
  </si>
  <si>
    <t>1870</t>
  </si>
  <si>
    <t>1845</t>
  </si>
  <si>
    <t>1859</t>
  </si>
  <si>
    <t>1904</t>
  </si>
  <si>
    <t>1886</t>
  </si>
  <si>
    <t>1920</t>
  </si>
  <si>
    <t>1882</t>
  </si>
  <si>
    <t>1857</t>
  </si>
  <si>
    <t>1976</t>
  </si>
  <si>
    <t>1842</t>
  </si>
  <si>
    <t>1905</t>
  </si>
  <si>
    <t>1903</t>
  </si>
  <si>
    <t>1914</t>
  </si>
  <si>
    <t>1917</t>
  </si>
  <si>
    <t>1912</t>
  </si>
  <si>
    <t>1915</t>
  </si>
  <si>
    <t>1907</t>
  </si>
  <si>
    <t>1911</t>
  </si>
  <si>
    <t>1835</t>
  </si>
  <si>
    <t>1831</t>
  </si>
  <si>
    <t xml:space="preserve">837 </t>
  </si>
  <si>
    <t xml:space="preserve">838 </t>
  </si>
  <si>
    <t xml:space="preserve">841 </t>
  </si>
  <si>
    <t xml:space="preserve">836 </t>
  </si>
  <si>
    <t>1830</t>
  </si>
  <si>
    <t>1165</t>
  </si>
  <si>
    <t>29/11/1804</t>
  </si>
  <si>
    <t>31/08/1764</t>
  </si>
  <si>
    <t>14/07/1812</t>
  </si>
  <si>
    <t>01/02/1821</t>
  </si>
  <si>
    <t>27/05/1811</t>
  </si>
  <si>
    <t>12/05/1815</t>
  </si>
  <si>
    <t>23/8/1821</t>
  </si>
  <si>
    <t>dod sonder spaces</t>
  </si>
  <si>
    <t>17/05/1901</t>
  </si>
  <si>
    <t>31/07/1913</t>
  </si>
  <si>
    <t>06/11/1906</t>
  </si>
  <si>
    <t>19/11/1919</t>
  </si>
  <si>
    <t>30/03/1909</t>
  </si>
  <si>
    <t>01/04/1901</t>
  </si>
  <si>
    <t>12/01/1900</t>
  </si>
  <si>
    <t>26/02/1902</t>
  </si>
  <si>
    <t>11/07/1904</t>
  </si>
  <si>
    <t>12/04/1900</t>
  </si>
  <si>
    <t>10/01/1920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</si>
</sst>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Font="1"/>
    <xf numFmtId="0" fontId="0" fillId="0" borderId="0" xfId="0" applyNumberFormat="1" applyFill="1"/>
    <xf numFmtId="0" fontId="0" fillId="2" borderId="0" xfId="0" applyNumberFormat="1" applyFill="1"/>
    <xf numFmtId="0" fontId="6" fillId="0" borderId="0" xfId="1" applyNumberFormat="1" applyFont="1"/>
    <xf numFmtId="0" fontId="0" fillId="0" borderId="0" xfId="0" applyNumberFormat="1" applyFill="1" applyBorder="1"/>
    <xf numFmtId="16" fontId="0" fillId="0" borderId="0" xfId="0" applyNumberFormat="1"/>
    <xf numFmtId="17" fontId="0" fillId="0" borderId="0" xfId="0" applyNumberFormat="1"/>
    <xf numFmtId="0" fontId="0" fillId="0" borderId="0" xfId="0"/>
    <xf numFmtId="0" fontId="0" fillId="0" borderId="0" xfId="0" applyNumberFormat="1"/>
    <xf numFmtId="0" fontId="6" fillId="0" borderId="0" xfId="0" applyNumberFormat="1" applyFont="1"/>
    <xf numFmtId="0" fontId="9" fillId="0" borderId="0" xfId="0" applyNumberFormat="1" applyFont="1"/>
    <xf numFmtId="14" fontId="6" fillId="0" borderId="0" xfId="0" applyNumberFormat="1" applyFont="1"/>
    <xf numFmtId="0" fontId="0" fillId="0" borderId="0" xfId="0" applyNumberFormat="1" applyAlignment="1">
      <alignment horizontal="left"/>
    </xf>
    <xf numFmtId="0" fontId="9" fillId="2" borderId="0" xfId="0" applyNumberFormat="1" applyFont="1" applyFill="1"/>
    <xf numFmtId="0" fontId="6" fillId="2" borderId="0" xfId="0" applyNumberFormat="1" applyFont="1" applyFill="1"/>
    <xf numFmtId="0" fontId="0" fillId="4" borderId="0" xfId="0" applyNumberFormat="1" applyFill="1"/>
    <xf numFmtId="0" fontId="6" fillId="4" borderId="0" xfId="0" applyNumberFormat="1" applyFont="1" applyFill="1"/>
    <xf numFmtId="0" fontId="0" fillId="4" borderId="0" xfId="0" applyFill="1"/>
    <xf numFmtId="0" fontId="1" fillId="0" borderId="0" xfId="0" applyFont="1"/>
    <xf numFmtId="0" fontId="1" fillId="3" borderId="0" xfId="0" applyNumberFormat="1" applyFont="1" applyFill="1"/>
    <xf numFmtId="49" fontId="0" fillId="0" borderId="0" xfId="0" applyNumberFormat="1"/>
    <xf numFmtId="49" fontId="1" fillId="0" borderId="0" xfId="0" applyNumberFormat="1" applyFont="1"/>
    <xf numFmtId="49" fontId="0" fillId="2" borderId="0" xfId="0" applyNumberFormat="1" applyFill="1"/>
    <xf numFmtId="0" fontId="0" fillId="2" borderId="0" xfId="0" applyFill="1"/>
    <xf numFmtId="11" fontId="1" fillId="0" borderId="0" xfId="0" applyNumberFormat="1" applyFont="1"/>
    <xf numFmtId="11" fontId="0" fillId="0" borderId="0" xfId="0" applyNumberFormat="1"/>
    <xf numFmtId="11" fontId="0" fillId="2" borderId="0" xfId="0" applyNumberFormat="1" applyFill="1"/>
    <xf numFmtId="2" fontId="1" fillId="0" borderId="0" xfId="0" applyNumberFormat="1" applyFont="1"/>
    <xf numFmtId="2" fontId="0" fillId="0" borderId="0" xfId="0" applyNumberFormat="1"/>
    <xf numFmtId="0" fontId="6" fillId="0" borderId="0" xfId="0" applyNumberFormat="1" applyFon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2c@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D2714"/>
  <sheetViews>
    <sheetView tabSelected="1" zoomScaleNormal="100" workbookViewId="0">
      <pane ySplit="1" topLeftCell="A2" activePane="bottomLeft" state="frozen"/>
      <selection pane="bottomLeft" activeCell="C4" sqref="C4"/>
    </sheetView>
  </sheetViews>
  <sheetFormatPr defaultRowHeight="15"/>
  <cols>
    <col min="1" max="1" width="20.7109375" style="2" customWidth="1"/>
    <col min="2" max="3" width="21.5703125" style="12" customWidth="1"/>
    <col min="4" max="4" width="34.140625" style="2" customWidth="1"/>
    <col min="5" max="5" width="34.140625" style="12" customWidth="1"/>
    <col min="6" max="6" width="17.85546875" style="2" customWidth="1"/>
    <col min="7" max="7" width="21.85546875" style="12" customWidth="1"/>
    <col min="8" max="8" width="31.28515625" style="12" customWidth="1"/>
    <col min="9" max="9" width="16.5703125" style="2" customWidth="1"/>
    <col min="10" max="10" width="26.28515625" style="2" customWidth="1"/>
    <col min="11" max="11" width="26.28515625" style="12" customWidth="1"/>
    <col min="12" max="12" width="16" style="2" customWidth="1"/>
    <col min="13" max="13" width="14.5703125" style="2" customWidth="1"/>
    <col min="14" max="15" width="14.5703125" style="12" customWidth="1"/>
    <col min="16" max="16" width="41.7109375" style="2" customWidth="1"/>
    <col min="17" max="17" width="20" style="12" customWidth="1"/>
    <col min="18" max="18" width="15" style="2" customWidth="1"/>
    <col min="19" max="19" width="15" style="12" customWidth="1"/>
    <col min="20" max="20" width="18.28515625" style="2" customWidth="1"/>
    <col min="21" max="21" width="15.28515625" style="2" customWidth="1"/>
    <col min="22" max="22" width="15.28515625" style="12" customWidth="1"/>
    <col min="23" max="23" width="37.28515625" style="2" customWidth="1"/>
    <col min="24" max="24" width="17.42578125" style="2" customWidth="1"/>
    <col min="25" max="25" width="14.42578125" style="2" customWidth="1"/>
    <col min="26" max="26" width="16.140625" style="2" customWidth="1"/>
    <col min="27" max="27" width="15.140625" style="2" customWidth="1"/>
    <col min="28" max="28" width="17.85546875" style="2" customWidth="1"/>
    <col min="29" max="29" width="16.5703125" style="2" customWidth="1"/>
    <col min="30" max="30" width="25" style="2" customWidth="1"/>
    <col min="31" max="31" width="14.85546875" style="2" customWidth="1"/>
    <col min="32" max="32" width="32" style="2" customWidth="1"/>
    <col min="33" max="33" width="19.5703125" style="2" customWidth="1"/>
    <col min="34" max="34" width="37.28515625" style="2" customWidth="1"/>
    <col min="35" max="35" width="37.28515625" style="12" customWidth="1"/>
    <col min="36" max="36" width="38.5703125" style="2" customWidth="1"/>
    <col min="37" max="37" width="26.85546875" style="2" customWidth="1"/>
    <col min="38" max="38" width="21.7109375" style="2" customWidth="1"/>
    <col min="39" max="39" width="13.85546875" style="2" customWidth="1"/>
    <col min="40" max="40" width="29.5703125" style="2" customWidth="1"/>
    <col min="41" max="41" width="19.5703125" style="2" customWidth="1"/>
    <col min="42" max="42" width="14.85546875" style="2" customWidth="1"/>
    <col min="43" max="43" width="13.7109375" style="2" customWidth="1"/>
    <col min="44" max="44" width="13.42578125" style="2" customWidth="1"/>
    <col min="45" max="45" width="17" style="2" customWidth="1"/>
    <col min="46" max="46" width="12.85546875" style="2" customWidth="1"/>
    <col min="47" max="47" width="26.85546875" style="2" customWidth="1"/>
    <col min="48" max="48" width="14" style="2" customWidth="1"/>
    <col min="49" max="49" width="17.5703125" style="2" customWidth="1"/>
    <col min="50" max="50" width="13.5703125" style="2" customWidth="1"/>
    <col min="51" max="51" width="22.28515625" style="2" customWidth="1"/>
    <col min="52" max="52" width="13.28515625" style="2" customWidth="1"/>
    <col min="53" max="53" width="13" style="2" customWidth="1"/>
    <col min="54" max="54" width="11.42578125" style="2" customWidth="1"/>
    <col min="55" max="55" width="15" style="2" customWidth="1"/>
    <col min="56" max="56" width="12.5703125" style="2" customWidth="1"/>
    <col min="57" max="57" width="17.140625" style="2" customWidth="1"/>
    <col min="58" max="58" width="13.85546875" style="2" customWidth="1"/>
    <col min="59" max="59" width="15.42578125" style="2" customWidth="1"/>
    <col min="60" max="60" width="12" style="2" customWidth="1"/>
    <col min="61" max="61" width="22.28515625" style="2" customWidth="1"/>
    <col min="62" max="62" width="13" style="2" customWidth="1"/>
    <col min="63" max="63" width="12" style="2" customWidth="1"/>
    <col min="64" max="64" width="14" style="2" customWidth="1"/>
    <col min="65" max="65" width="9.140625" style="2"/>
    <col min="66" max="66" width="13" style="2" customWidth="1"/>
    <col min="67" max="16384" width="9.140625" style="2"/>
  </cols>
  <sheetData>
    <row r="1" spans="1:70" s="3" customFormat="1">
      <c r="A1" s="3" t="s">
        <v>15787</v>
      </c>
      <c r="B1" s="3" t="s">
        <v>15785</v>
      </c>
      <c r="C1" s="23" t="s">
        <v>0</v>
      </c>
      <c r="D1" s="3" t="s">
        <v>1</v>
      </c>
      <c r="E1" s="23" t="s">
        <v>15800</v>
      </c>
      <c r="F1" s="3" t="s">
        <v>15783</v>
      </c>
      <c r="G1" s="3" t="s">
        <v>15784</v>
      </c>
      <c r="H1" s="23" t="s">
        <v>15786</v>
      </c>
      <c r="I1" s="3" t="s">
        <v>613</v>
      </c>
      <c r="J1" s="23" t="s">
        <v>15769</v>
      </c>
      <c r="K1" s="23" t="s">
        <v>15765</v>
      </c>
      <c r="L1" s="3" t="s">
        <v>512</v>
      </c>
      <c r="M1" s="3" t="s">
        <v>15779</v>
      </c>
      <c r="N1" s="3" t="s">
        <v>15763</v>
      </c>
      <c r="O1" s="3" t="s">
        <v>15766</v>
      </c>
      <c r="P1" s="3" t="s">
        <v>26</v>
      </c>
      <c r="Q1" s="23" t="s">
        <v>15770</v>
      </c>
      <c r="R1" s="3" t="s">
        <v>15768</v>
      </c>
      <c r="S1" s="3" t="s">
        <v>15767</v>
      </c>
      <c r="T1" s="3" t="s">
        <v>11</v>
      </c>
      <c r="U1" s="3" t="s">
        <v>10</v>
      </c>
      <c r="V1" s="23" t="s">
        <v>15780</v>
      </c>
      <c r="W1" s="3" t="s">
        <v>12</v>
      </c>
      <c r="X1" s="3" t="s">
        <v>0</v>
      </c>
      <c r="Y1" s="3" t="s">
        <v>614</v>
      </c>
      <c r="Z1" s="3" t="s">
        <v>128</v>
      </c>
      <c r="AA1" s="3" t="s">
        <v>7</v>
      </c>
      <c r="AB1" s="3" t="s">
        <v>87</v>
      </c>
      <c r="AC1" s="3" t="s">
        <v>8</v>
      </c>
      <c r="AD1" s="3" t="s">
        <v>26</v>
      </c>
      <c r="AE1" s="3" t="s">
        <v>9</v>
      </c>
      <c r="AF1" s="3" t="s">
        <v>3695</v>
      </c>
      <c r="AG1" s="3" t="s">
        <v>3696</v>
      </c>
      <c r="AH1" s="3" t="s">
        <v>2</v>
      </c>
      <c r="AI1" s="23" t="s">
        <v>15781</v>
      </c>
      <c r="AJ1" s="3" t="s">
        <v>3</v>
      </c>
      <c r="AK1" s="3" t="s">
        <v>27</v>
      </c>
      <c r="AL1" s="3" t="s">
        <v>220</v>
      </c>
      <c r="AM1" s="3" t="s">
        <v>219</v>
      </c>
      <c r="AN1" s="3" t="s">
        <v>221</v>
      </c>
      <c r="AO1" s="3" t="s">
        <v>0</v>
      </c>
      <c r="AP1" s="3" t="s">
        <v>614</v>
      </c>
      <c r="AQ1" s="3" t="s">
        <v>1454</v>
      </c>
      <c r="AR1" s="3" t="s">
        <v>7</v>
      </c>
      <c r="AS1" s="3" t="s">
        <v>25</v>
      </c>
      <c r="AT1" s="3" t="s">
        <v>8</v>
      </c>
      <c r="AU1" s="3" t="s">
        <v>26</v>
      </c>
      <c r="AV1" s="3" t="s">
        <v>9</v>
      </c>
      <c r="AW1" s="3" t="s">
        <v>222</v>
      </c>
      <c r="AX1" s="3" t="s">
        <v>223</v>
      </c>
      <c r="AY1" s="3" t="s">
        <v>224</v>
      </c>
      <c r="AZ1" s="3" t="s">
        <v>0</v>
      </c>
      <c r="BA1" s="3" t="s">
        <v>614</v>
      </c>
      <c r="BB1" s="3" t="s">
        <v>7</v>
      </c>
      <c r="BC1" s="3" t="s">
        <v>25</v>
      </c>
      <c r="BD1" s="3" t="s">
        <v>8</v>
      </c>
      <c r="BE1" s="3" t="s">
        <v>26</v>
      </c>
      <c r="BF1" s="3" t="s">
        <v>9</v>
      </c>
      <c r="BG1" s="3" t="s">
        <v>824</v>
      </c>
      <c r="BH1" s="3" t="s">
        <v>825</v>
      </c>
      <c r="BI1" s="3" t="s">
        <v>826</v>
      </c>
      <c r="BJ1" s="3" t="s">
        <v>0</v>
      </c>
      <c r="BK1" s="3" t="s">
        <v>614</v>
      </c>
      <c r="BL1" s="3" t="s">
        <v>7</v>
      </c>
      <c r="BM1" s="3" t="s">
        <v>25</v>
      </c>
      <c r="BN1" s="3" t="s">
        <v>8</v>
      </c>
      <c r="BO1" s="3" t="s">
        <v>26</v>
      </c>
      <c r="BP1" s="3" t="s">
        <v>9</v>
      </c>
      <c r="BQ1" s="3" t="s">
        <v>1153</v>
      </c>
      <c r="BR1" s="3" t="s">
        <v>1359</v>
      </c>
    </row>
    <row r="2" spans="1:70">
      <c r="A2" s="2" t="s">
        <v>4</v>
      </c>
      <c r="B2" s="12" t="str">
        <f>SUBSTITUTE(A2," ","")</f>
        <v>ALBACH</v>
      </c>
      <c r="C2" s="12" t="str">
        <f>TRIM(A2)</f>
        <v>ALBACH</v>
      </c>
      <c r="D2" s="2" t="s">
        <v>5</v>
      </c>
      <c r="E2" s="12" t="str">
        <f>PROPER(D2)</f>
        <v xml:space="preserve">Izak </v>
      </c>
      <c r="F2" s="2" t="s">
        <v>829</v>
      </c>
      <c r="G2" s="12" t="str">
        <f>IF(LEFT(F2,1)="b","a1"&amp;F2,F2)</f>
        <v>a1</v>
      </c>
      <c r="H2" s="12" t="str">
        <f>C2&amp;G2</f>
        <v>ALBACHa1</v>
      </c>
      <c r="I2" s="2" t="s">
        <v>6</v>
      </c>
      <c r="K2" s="12" t="str">
        <f>RIGHT(J2,4)</f>
        <v/>
      </c>
      <c r="N2" s="12" t="str">
        <f t="shared" ref="N2:N65" si="0">RIGHT(J2,4)</f>
        <v/>
      </c>
      <c r="O2" s="12" t="str">
        <f t="shared" ref="O2:O65" si="1">RIGHT(M2,4)</f>
        <v/>
      </c>
      <c r="P2" s="2" t="s">
        <v>14</v>
      </c>
      <c r="Q2" s="12" t="str">
        <f>IF(N2="",O2,N2)</f>
        <v/>
      </c>
      <c r="R2" s="2" t="s">
        <v>38</v>
      </c>
      <c r="S2" s="12" t="str">
        <f>RIGHT(R2,4)</f>
        <v>1838</v>
      </c>
      <c r="T2" s="2" t="s">
        <v>13</v>
      </c>
      <c r="U2" s="2" t="s">
        <v>34</v>
      </c>
      <c r="V2" s="12" t="str">
        <f>RIGHT(U2,4)</f>
        <v>1821</v>
      </c>
      <c r="W2" s="2" t="s">
        <v>615</v>
      </c>
      <c r="X2" s="2" t="s">
        <v>617</v>
      </c>
      <c r="AD2" s="2" t="s">
        <v>14</v>
      </c>
      <c r="AE2" s="2" t="s">
        <v>15</v>
      </c>
      <c r="AF2" s="2" t="s">
        <v>16</v>
      </c>
      <c r="AG2" s="2" t="s">
        <v>68</v>
      </c>
      <c r="AH2" s="2" t="s">
        <v>17</v>
      </c>
      <c r="AI2" s="12" t="str">
        <f>RIGHT(AH2,4)</f>
        <v>1835</v>
      </c>
      <c r="AJ2" s="2" t="s">
        <v>18</v>
      </c>
    </row>
    <row r="3" spans="1:70">
      <c r="A3" s="2" t="s">
        <v>4</v>
      </c>
      <c r="B3" s="12" t="str">
        <f t="shared" ref="B3:B66" si="2">SUBSTITUTE(A3," ","")</f>
        <v>ALBACH</v>
      </c>
      <c r="C3" s="12" t="str">
        <f t="shared" ref="C3:C66" si="3">TRIM(A3)</f>
        <v>ALBACH</v>
      </c>
      <c r="D3" s="2" t="s">
        <v>19</v>
      </c>
      <c r="E3" s="12" t="str">
        <f t="shared" ref="E3:E66" si="4">PROPER(D3)</f>
        <v>Lourens Marthinus</v>
      </c>
      <c r="F3" s="2" t="s">
        <v>830</v>
      </c>
      <c r="G3" s="12" t="str">
        <f t="shared" ref="G3:G66" si="5">IF(LEFT(F3,1)="b","a1"&amp;F3,F3)</f>
        <v>a1b1</v>
      </c>
      <c r="H3" s="12" t="str">
        <f t="shared" ref="H3:H66" si="6">C3&amp;G3</f>
        <v>ALBACHa1b1</v>
      </c>
      <c r="J3" s="2" t="s">
        <v>2747</v>
      </c>
      <c r="K3" s="12" t="str">
        <f t="shared" ref="K3:K66" si="7">RIGHT(J3,4)</f>
        <v>1817</v>
      </c>
      <c r="L3" s="2" t="s">
        <v>13</v>
      </c>
      <c r="M3" s="2" t="s">
        <v>34</v>
      </c>
      <c r="N3" s="12" t="str">
        <f t="shared" si="0"/>
        <v>1817</v>
      </c>
      <c r="O3" s="12" t="str">
        <f t="shared" si="1"/>
        <v>1821</v>
      </c>
      <c r="Q3" s="12" t="str">
        <f t="shared" ref="Q3:Q66" si="8">IF(N3="",O3,N3)</f>
        <v>1817</v>
      </c>
      <c r="S3" s="12" t="str">
        <f t="shared" ref="S3:S66" si="9">RIGHT(R3,4)</f>
        <v/>
      </c>
      <c r="V3" s="12" t="str">
        <f t="shared" ref="V3:V66" si="10">RIGHT(U3,4)</f>
        <v/>
      </c>
      <c r="AF3" s="2" t="s">
        <v>16</v>
      </c>
      <c r="AG3" s="2" t="s">
        <v>68</v>
      </c>
      <c r="AH3" s="2" t="s">
        <v>17</v>
      </c>
      <c r="AI3" s="12" t="str">
        <f t="shared" ref="AI3:AI66" si="11">RIGHT(AH3,4)</f>
        <v>1835</v>
      </c>
      <c r="AJ3" s="2" t="s">
        <v>18</v>
      </c>
    </row>
    <row r="4" spans="1:70">
      <c r="A4" s="2" t="s">
        <v>20</v>
      </c>
      <c r="B4" s="12" t="str">
        <f t="shared" si="2"/>
        <v>ALBERTS</v>
      </c>
      <c r="C4" s="12" t="str">
        <f t="shared" si="3"/>
        <v>ALBERTS</v>
      </c>
      <c r="D4" s="2" t="s">
        <v>831</v>
      </c>
      <c r="E4" s="12" t="str">
        <f t="shared" si="4"/>
        <v>Gerrit Andries (Jacobus)</v>
      </c>
      <c r="F4" s="2" t="s">
        <v>832</v>
      </c>
      <c r="G4" s="12" t="str">
        <f t="shared" si="5"/>
        <v>a1b1c5d2</v>
      </c>
      <c r="H4" s="12" t="str">
        <f t="shared" si="6"/>
        <v>ALBERTSa1b1c5d2</v>
      </c>
      <c r="J4" s="2" t="s">
        <v>21</v>
      </c>
      <c r="K4" s="12" t="str">
        <f t="shared" si="7"/>
        <v>1804</v>
      </c>
      <c r="L4" s="2" t="s">
        <v>23</v>
      </c>
      <c r="M4" s="2" t="s">
        <v>22</v>
      </c>
      <c r="N4" s="12" t="str">
        <f t="shared" si="0"/>
        <v>1804</v>
      </c>
      <c r="O4" s="12" t="str">
        <f t="shared" si="1"/>
        <v>1805</v>
      </c>
      <c r="P4" s="2" t="s">
        <v>24</v>
      </c>
      <c r="Q4" s="12" t="str">
        <f t="shared" si="8"/>
        <v>1804</v>
      </c>
      <c r="R4" s="2" t="s">
        <v>37</v>
      </c>
      <c r="S4" s="12" t="str">
        <f t="shared" si="9"/>
        <v>1866</v>
      </c>
      <c r="T4" s="2" t="s">
        <v>28</v>
      </c>
      <c r="U4" s="2" t="s">
        <v>35</v>
      </c>
      <c r="V4" s="12" t="str">
        <f t="shared" si="10"/>
        <v>1825</v>
      </c>
      <c r="W4" s="2" t="s">
        <v>616</v>
      </c>
      <c r="X4" s="2" t="s">
        <v>618</v>
      </c>
      <c r="AF4" s="2" t="s">
        <v>16</v>
      </c>
      <c r="AG4" s="2" t="s">
        <v>68</v>
      </c>
      <c r="AH4" s="2" t="s">
        <v>29</v>
      </c>
      <c r="AI4" s="12" t="str">
        <f t="shared" si="11"/>
        <v>1837</v>
      </c>
      <c r="AK4" s="2" t="s">
        <v>160</v>
      </c>
      <c r="AN4" s="2" t="s">
        <v>793</v>
      </c>
      <c r="AO4" s="2" t="s">
        <v>664</v>
      </c>
    </row>
    <row r="5" spans="1:70">
      <c r="A5" s="2" t="s">
        <v>20</v>
      </c>
      <c r="B5" s="12" t="str">
        <f t="shared" si="2"/>
        <v>ALBERTS</v>
      </c>
      <c r="C5" s="12" t="str">
        <f t="shared" si="3"/>
        <v>ALBERTS</v>
      </c>
      <c r="D5" s="2" t="s">
        <v>30</v>
      </c>
      <c r="E5" s="12" t="str">
        <f t="shared" si="4"/>
        <v>Johannes</v>
      </c>
      <c r="F5" s="2" t="s">
        <v>2500</v>
      </c>
      <c r="G5" s="12" t="str">
        <f t="shared" si="5"/>
        <v>a1b3c2</v>
      </c>
      <c r="H5" s="12" t="str">
        <f t="shared" si="6"/>
        <v>ALBERTSa1b3c2</v>
      </c>
      <c r="I5" s="2" t="s">
        <v>32</v>
      </c>
      <c r="K5" s="12" t="str">
        <f t="shared" si="7"/>
        <v/>
      </c>
      <c r="M5" s="2" t="s">
        <v>2748</v>
      </c>
      <c r="N5" s="12" t="str">
        <f t="shared" si="0"/>
        <v/>
      </c>
      <c r="O5" s="12" t="str">
        <f t="shared" si="1"/>
        <v>1780</v>
      </c>
      <c r="P5" s="2" t="s">
        <v>31</v>
      </c>
      <c r="Q5" s="12" t="str">
        <f t="shared" si="8"/>
        <v>1780</v>
      </c>
      <c r="S5" s="12" t="str">
        <f t="shared" si="9"/>
        <v/>
      </c>
      <c r="T5" s="2" t="s">
        <v>32</v>
      </c>
      <c r="U5" s="2" t="s">
        <v>36</v>
      </c>
      <c r="V5" s="12" t="str">
        <f>RIGHT(U5,4)</f>
        <v>1806</v>
      </c>
      <c r="W5" s="2" t="s">
        <v>619</v>
      </c>
      <c r="X5" s="2" t="s">
        <v>620</v>
      </c>
      <c r="AF5" s="2" t="s">
        <v>3697</v>
      </c>
      <c r="AG5" s="2" t="s">
        <v>32</v>
      </c>
      <c r="AH5" s="2">
        <v>1840</v>
      </c>
      <c r="AI5" s="12" t="str">
        <f t="shared" si="11"/>
        <v>1840</v>
      </c>
      <c r="AK5" s="2" t="s">
        <v>45</v>
      </c>
      <c r="AM5" s="2" t="s">
        <v>33</v>
      </c>
      <c r="AN5" s="2" t="s">
        <v>2027</v>
      </c>
      <c r="AO5" s="2" t="s">
        <v>772</v>
      </c>
      <c r="AP5" s="2" t="s">
        <v>834</v>
      </c>
    </row>
    <row r="6" spans="1:70">
      <c r="A6" s="2" t="s">
        <v>39</v>
      </c>
      <c r="B6" s="12" t="str">
        <f t="shared" si="2"/>
        <v>ALBERTS</v>
      </c>
      <c r="C6" s="12" t="str">
        <f t="shared" si="3"/>
        <v>ALBERTS</v>
      </c>
      <c r="D6" s="2" t="s">
        <v>40</v>
      </c>
      <c r="E6" s="12" t="str">
        <f t="shared" si="4"/>
        <v>Johannes Joachim</v>
      </c>
      <c r="F6" s="2" t="s">
        <v>835</v>
      </c>
      <c r="G6" s="12" t="str">
        <f t="shared" si="5"/>
        <v>a1b3c2d1</v>
      </c>
      <c r="H6" s="12" t="str">
        <f t="shared" si="6"/>
        <v>ALBERTSa1b3c2d1</v>
      </c>
      <c r="I6" s="2" t="s">
        <v>32</v>
      </c>
      <c r="J6" s="2" t="s">
        <v>41</v>
      </c>
      <c r="K6" s="12" t="str">
        <f t="shared" si="7"/>
        <v>1807</v>
      </c>
      <c r="M6" s="2" t="s">
        <v>42</v>
      </c>
      <c r="N6" s="12" t="str">
        <f t="shared" si="0"/>
        <v>1807</v>
      </c>
      <c r="O6" s="12" t="str">
        <f t="shared" si="1"/>
        <v>1808</v>
      </c>
      <c r="P6" s="2" t="s">
        <v>31</v>
      </c>
      <c r="Q6" s="12" t="str">
        <f t="shared" si="8"/>
        <v>1807</v>
      </c>
      <c r="R6" s="2" t="s">
        <v>43</v>
      </c>
      <c r="S6" s="12" t="str">
        <f t="shared" si="9"/>
        <v>1854</v>
      </c>
      <c r="T6" s="2" t="s">
        <v>32</v>
      </c>
      <c r="U6" s="2" t="s">
        <v>44</v>
      </c>
      <c r="V6" s="12" t="str">
        <f t="shared" si="10"/>
        <v>1826</v>
      </c>
      <c r="W6" s="2" t="s">
        <v>621</v>
      </c>
      <c r="X6" s="2" t="s">
        <v>620</v>
      </c>
      <c r="AF6" s="2" t="s">
        <v>3697</v>
      </c>
      <c r="AG6" s="2" t="s">
        <v>32</v>
      </c>
      <c r="AH6" s="2">
        <v>1835</v>
      </c>
      <c r="AI6" s="12" t="str">
        <f t="shared" si="11"/>
        <v>1835</v>
      </c>
      <c r="AK6" s="2" t="s">
        <v>45</v>
      </c>
    </row>
    <row r="7" spans="1:70">
      <c r="A7" s="2" t="s">
        <v>46</v>
      </c>
      <c r="B7" s="12" t="str">
        <f t="shared" si="2"/>
        <v>APPEL</v>
      </c>
      <c r="C7" s="12" t="str">
        <f t="shared" si="3"/>
        <v>APPEL</v>
      </c>
      <c r="D7" s="2" t="s">
        <v>47</v>
      </c>
      <c r="E7" s="12" t="str">
        <f t="shared" si="4"/>
        <v>Johannes Hendricus</v>
      </c>
      <c r="F7" s="2" t="s">
        <v>836</v>
      </c>
      <c r="G7" s="12" t="str">
        <f t="shared" si="5"/>
        <v>a1b2c2d2e2</v>
      </c>
      <c r="H7" s="12" t="str">
        <f t="shared" si="6"/>
        <v>APPELa1b2c2d2e2</v>
      </c>
      <c r="I7" s="2" t="s">
        <v>48</v>
      </c>
      <c r="J7" s="2" t="s">
        <v>49</v>
      </c>
      <c r="K7" s="12" t="str">
        <f t="shared" si="7"/>
        <v>1764</v>
      </c>
      <c r="M7" s="2" t="s">
        <v>50</v>
      </c>
      <c r="N7" s="12" t="str">
        <f t="shared" si="0"/>
        <v>1764</v>
      </c>
      <c r="O7" s="12" t="str">
        <f t="shared" si="1"/>
        <v>1766</v>
      </c>
      <c r="P7" s="2" t="s">
        <v>51</v>
      </c>
      <c r="Q7" s="12" t="str">
        <f t="shared" si="8"/>
        <v>1764</v>
      </c>
      <c r="R7" s="2" t="s">
        <v>52</v>
      </c>
      <c r="S7" s="12" t="str">
        <f t="shared" si="9"/>
        <v>1856</v>
      </c>
      <c r="V7" s="12" t="str">
        <f t="shared" si="10"/>
        <v/>
      </c>
      <c r="AF7" s="2" t="s">
        <v>3698</v>
      </c>
      <c r="AG7" s="2" t="s">
        <v>53</v>
      </c>
      <c r="AH7" s="2">
        <v>1840</v>
      </c>
      <c r="AI7" s="12" t="str">
        <f t="shared" si="11"/>
        <v>1840</v>
      </c>
      <c r="AK7" s="2" t="s">
        <v>45</v>
      </c>
    </row>
    <row r="8" spans="1:70">
      <c r="A8" s="12" t="s">
        <v>54</v>
      </c>
      <c r="B8" s="12" t="str">
        <f t="shared" si="2"/>
        <v>APPELGRYN</v>
      </c>
      <c r="C8" s="12" t="str">
        <f t="shared" si="3"/>
        <v>APPELGRYN</v>
      </c>
      <c r="D8" s="2" t="s">
        <v>55</v>
      </c>
      <c r="E8" s="12" t="str">
        <f t="shared" si="4"/>
        <v>Andries Cornelis</v>
      </c>
      <c r="F8" s="2" t="s">
        <v>837</v>
      </c>
      <c r="G8" s="12" t="str">
        <f t="shared" si="5"/>
        <v>a1b1</v>
      </c>
      <c r="H8" s="12" t="str">
        <f t="shared" si="6"/>
        <v>APPELGRYNa1b1</v>
      </c>
      <c r="I8" s="2" t="s">
        <v>28</v>
      </c>
      <c r="J8" s="2" t="s">
        <v>56</v>
      </c>
      <c r="K8" s="12" t="str">
        <f t="shared" si="7"/>
        <v>1814</v>
      </c>
      <c r="L8" s="2" t="s">
        <v>23</v>
      </c>
      <c r="M8" s="2" t="s">
        <v>57</v>
      </c>
      <c r="N8" s="12" t="str">
        <f t="shared" si="0"/>
        <v>1814</v>
      </c>
      <c r="O8" s="12" t="str">
        <f t="shared" si="1"/>
        <v>1816</v>
      </c>
      <c r="P8" s="2" t="s">
        <v>31</v>
      </c>
      <c r="Q8" s="12" t="str">
        <f t="shared" si="8"/>
        <v>1814</v>
      </c>
      <c r="R8" s="2" t="s">
        <v>58</v>
      </c>
      <c r="S8" s="12" t="str">
        <f t="shared" si="9"/>
        <v>1854</v>
      </c>
      <c r="T8" s="2" t="s">
        <v>28</v>
      </c>
      <c r="U8" s="2" t="s">
        <v>59</v>
      </c>
      <c r="V8" s="12" t="str">
        <f t="shared" si="10"/>
        <v>1838</v>
      </c>
      <c r="W8" s="2" t="s">
        <v>622</v>
      </c>
      <c r="X8" s="2" t="s">
        <v>623</v>
      </c>
      <c r="AG8" s="2" t="s">
        <v>60</v>
      </c>
      <c r="AH8" s="2" t="s">
        <v>61</v>
      </c>
      <c r="AI8" s="12" t="str">
        <f t="shared" si="11"/>
        <v>1846</v>
      </c>
      <c r="AK8" s="2" t="s">
        <v>45</v>
      </c>
    </row>
    <row r="9" spans="1:70">
      <c r="A9" s="12" t="s">
        <v>62</v>
      </c>
      <c r="B9" s="12" t="str">
        <f t="shared" si="2"/>
        <v>AUCAMP</v>
      </c>
      <c r="C9" s="12" t="str">
        <f t="shared" si="3"/>
        <v>AUCAMP</v>
      </c>
      <c r="D9" s="12" t="s">
        <v>63</v>
      </c>
      <c r="E9" s="12" t="str">
        <f t="shared" si="4"/>
        <v>Jan Christoffel</v>
      </c>
      <c r="F9" s="12" t="s">
        <v>838</v>
      </c>
      <c r="G9" s="12" t="str">
        <f t="shared" si="5"/>
        <v>a1b4c2d2</v>
      </c>
      <c r="H9" s="12" t="str">
        <f t="shared" si="6"/>
        <v>AUCAMPa1b4c2d2</v>
      </c>
      <c r="I9" s="12"/>
      <c r="J9" s="12" t="s">
        <v>64</v>
      </c>
      <c r="K9" s="12" t="str">
        <f t="shared" si="7"/>
        <v>1812</v>
      </c>
      <c r="L9" s="12"/>
      <c r="M9" s="12"/>
      <c r="N9" s="12" t="str">
        <f t="shared" si="0"/>
        <v>1812</v>
      </c>
      <c r="O9" s="12" t="str">
        <f t="shared" si="1"/>
        <v/>
      </c>
      <c r="P9" s="12" t="s">
        <v>160</v>
      </c>
      <c r="Q9" s="12" t="str">
        <f t="shared" si="8"/>
        <v>1812</v>
      </c>
      <c r="R9" s="12" t="s">
        <v>65</v>
      </c>
      <c r="S9" s="12" t="str">
        <f t="shared" si="9"/>
        <v>1864</v>
      </c>
      <c r="T9" s="12" t="s">
        <v>28</v>
      </c>
      <c r="U9" s="12" t="s">
        <v>66</v>
      </c>
      <c r="V9" s="12" t="str">
        <f t="shared" si="10"/>
        <v>1833</v>
      </c>
      <c r="W9" s="12" t="s">
        <v>624</v>
      </c>
      <c r="X9" s="12" t="s">
        <v>625</v>
      </c>
      <c r="Y9" s="12"/>
      <c r="Z9" s="12"/>
      <c r="AA9" s="12"/>
      <c r="AB9" s="12"/>
      <c r="AC9" s="12"/>
      <c r="AD9" s="12"/>
      <c r="AE9" s="12"/>
      <c r="AF9" s="12" t="s">
        <v>3699</v>
      </c>
      <c r="AG9" s="12" t="s">
        <v>68</v>
      </c>
      <c r="AH9" s="12"/>
      <c r="AI9" s="12" t="str">
        <f t="shared" si="11"/>
        <v/>
      </c>
      <c r="AJ9" s="12"/>
      <c r="AK9" s="12" t="s">
        <v>45</v>
      </c>
      <c r="AL9" s="12" t="s">
        <v>67</v>
      </c>
      <c r="AM9" s="12"/>
      <c r="AN9" s="12" t="s">
        <v>794</v>
      </c>
      <c r="AO9" s="12" t="s">
        <v>773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</row>
    <row r="10" spans="1:70">
      <c r="A10" s="2" t="s">
        <v>62</v>
      </c>
      <c r="B10" s="12" t="str">
        <f t="shared" si="2"/>
        <v>AUCAMP</v>
      </c>
      <c r="C10" s="12" t="str">
        <f t="shared" si="3"/>
        <v>AUCAMP</v>
      </c>
      <c r="D10" s="2" t="s">
        <v>69</v>
      </c>
      <c r="E10" s="12" t="str">
        <f t="shared" si="4"/>
        <v>Johan Diederik</v>
      </c>
      <c r="F10" s="2" t="s">
        <v>839</v>
      </c>
      <c r="G10" s="12" t="str">
        <f t="shared" si="5"/>
        <v>a1b6c6</v>
      </c>
      <c r="H10" s="12" t="str">
        <f t="shared" si="6"/>
        <v>AUCAMPa1b6c6</v>
      </c>
      <c r="J10" s="2" t="s">
        <v>70</v>
      </c>
      <c r="K10" s="12" t="str">
        <f t="shared" si="7"/>
        <v>1800</v>
      </c>
      <c r="N10" s="12" t="str">
        <f t="shared" si="0"/>
        <v>1800</v>
      </c>
      <c r="O10" s="12" t="str">
        <f t="shared" si="1"/>
        <v/>
      </c>
      <c r="P10" s="2" t="s">
        <v>71</v>
      </c>
      <c r="Q10" s="12" t="str">
        <f t="shared" si="8"/>
        <v>1800</v>
      </c>
      <c r="R10" s="2" t="s">
        <v>72</v>
      </c>
      <c r="S10" s="12" t="str">
        <f t="shared" si="9"/>
        <v>1838</v>
      </c>
      <c r="U10" s="2" t="s">
        <v>73</v>
      </c>
      <c r="V10" s="12" t="str">
        <f t="shared" si="10"/>
        <v>1825</v>
      </c>
      <c r="W10" s="2" t="s">
        <v>626</v>
      </c>
      <c r="X10" s="2" t="s">
        <v>627</v>
      </c>
      <c r="AG10" s="2" t="s">
        <v>74</v>
      </c>
      <c r="AH10" s="2">
        <v>1837</v>
      </c>
      <c r="AI10" s="12" t="str">
        <f t="shared" si="11"/>
        <v>1837</v>
      </c>
      <c r="AL10" s="2" t="s">
        <v>74</v>
      </c>
      <c r="AM10" s="2" t="s">
        <v>75</v>
      </c>
      <c r="AN10" s="2" t="s">
        <v>795</v>
      </c>
      <c r="AO10" s="2" t="s">
        <v>669</v>
      </c>
      <c r="AP10" s="2" t="s">
        <v>840</v>
      </c>
      <c r="AR10" s="2" t="s">
        <v>76</v>
      </c>
      <c r="AS10" s="2" t="s">
        <v>74</v>
      </c>
      <c r="AT10" s="2" t="s">
        <v>77</v>
      </c>
    </row>
    <row r="11" spans="1:70">
      <c r="A11" s="2" t="s">
        <v>78</v>
      </c>
      <c r="B11" s="12" t="str">
        <f t="shared" si="2"/>
        <v>BADENHORST</v>
      </c>
      <c r="C11" s="12" t="str">
        <f t="shared" si="3"/>
        <v>BADENHORST</v>
      </c>
      <c r="D11" s="2" t="s">
        <v>165</v>
      </c>
      <c r="E11" s="12" t="str">
        <f t="shared" si="4"/>
        <v>Lourens Sr</v>
      </c>
      <c r="F11" s="2" t="s">
        <v>2750</v>
      </c>
      <c r="G11" s="12" t="str">
        <f t="shared" si="5"/>
        <v>a1b2c10</v>
      </c>
      <c r="H11" s="12" t="str">
        <f t="shared" si="6"/>
        <v>BADENHORSTa1b2c10</v>
      </c>
      <c r="J11" s="2" t="s">
        <v>2755</v>
      </c>
      <c r="K11" s="12" t="str">
        <f t="shared" si="7"/>
        <v>1775</v>
      </c>
      <c r="N11" s="12" t="str">
        <f t="shared" si="0"/>
        <v>1775</v>
      </c>
      <c r="O11" s="12" t="str">
        <f t="shared" si="1"/>
        <v/>
      </c>
      <c r="Q11" s="12" t="str">
        <f t="shared" si="8"/>
        <v>1775</v>
      </c>
      <c r="R11" s="2">
        <v>1854</v>
      </c>
      <c r="S11" s="12" t="str">
        <f t="shared" si="9"/>
        <v>1854</v>
      </c>
      <c r="V11" s="12" t="str">
        <f t="shared" si="10"/>
        <v/>
      </c>
      <c r="W11" s="2" t="s">
        <v>715</v>
      </c>
      <c r="X11" s="2" t="s">
        <v>640</v>
      </c>
      <c r="AF11" s="2" t="s">
        <v>3700</v>
      </c>
      <c r="AG11" s="2" t="s">
        <v>32</v>
      </c>
      <c r="AH11" s="2" t="s">
        <v>29</v>
      </c>
      <c r="AI11" s="12" t="str">
        <f t="shared" si="11"/>
        <v>1837</v>
      </c>
      <c r="AJ11" s="2" t="s">
        <v>2262</v>
      </c>
      <c r="AK11" s="2" t="s">
        <v>90</v>
      </c>
      <c r="AL11" s="2" t="s">
        <v>48</v>
      </c>
      <c r="AM11" s="2" t="s">
        <v>1095</v>
      </c>
      <c r="AN11" s="2" t="s">
        <v>2756</v>
      </c>
      <c r="AO11" s="2" t="s">
        <v>2757</v>
      </c>
      <c r="AX11" s="2" t="s">
        <v>2758</v>
      </c>
    </row>
    <row r="12" spans="1:70">
      <c r="A12" s="2" t="s">
        <v>78</v>
      </c>
      <c r="B12" s="12" t="str">
        <f t="shared" si="2"/>
        <v>BADENHORST</v>
      </c>
      <c r="C12" s="12" t="str">
        <f t="shared" si="3"/>
        <v>BADENHORST</v>
      </c>
      <c r="D12" s="2" t="s">
        <v>2749</v>
      </c>
      <c r="E12" s="12" t="str">
        <f t="shared" si="4"/>
        <v>Lourens Jr</v>
      </c>
      <c r="F12" s="2" t="s">
        <v>860</v>
      </c>
      <c r="G12" s="12" t="str">
        <f t="shared" si="5"/>
        <v>a1b2c10d3</v>
      </c>
      <c r="H12" s="12" t="str">
        <f>C12&amp;G12</f>
        <v>BADENHORSTa1b2c10d3</v>
      </c>
      <c r="I12" s="2" t="s">
        <v>32</v>
      </c>
      <c r="J12" s="2" t="s">
        <v>166</v>
      </c>
      <c r="K12" s="12" t="str">
        <f t="shared" si="7"/>
        <v>1800</v>
      </c>
      <c r="L12" s="2" t="s">
        <v>167</v>
      </c>
      <c r="M12" s="2" t="s">
        <v>2751</v>
      </c>
      <c r="N12" s="12" t="str">
        <f t="shared" si="0"/>
        <v>1800</v>
      </c>
      <c r="O12" s="12" t="str">
        <f t="shared" si="1"/>
        <v>1801</v>
      </c>
      <c r="P12" s="2" t="s">
        <v>155</v>
      </c>
      <c r="Q12" s="12" t="str">
        <f t="shared" si="8"/>
        <v>1800</v>
      </c>
      <c r="S12" s="12" t="str">
        <f t="shared" si="9"/>
        <v/>
      </c>
      <c r="T12" s="2" t="s">
        <v>158</v>
      </c>
      <c r="U12" s="2" t="s">
        <v>999</v>
      </c>
      <c r="V12" s="12" t="str">
        <f t="shared" si="10"/>
        <v>1818</v>
      </c>
      <c r="W12" s="2" t="s">
        <v>644</v>
      </c>
      <c r="X12" s="2" t="s">
        <v>639</v>
      </c>
      <c r="AC12" s="2">
        <v>1799</v>
      </c>
      <c r="AE12" s="2">
        <v>1830</v>
      </c>
      <c r="AF12" s="2" t="s">
        <v>3700</v>
      </c>
      <c r="AG12" s="2" t="s">
        <v>32</v>
      </c>
      <c r="AH12" s="2" t="s">
        <v>2752</v>
      </c>
      <c r="AI12" s="12" t="str">
        <f t="shared" si="11"/>
        <v>1839</v>
      </c>
      <c r="AK12" s="2" t="s">
        <v>90</v>
      </c>
      <c r="AL12" s="2" t="s">
        <v>168</v>
      </c>
      <c r="AM12" s="2" t="s">
        <v>2753</v>
      </c>
      <c r="AN12" s="2" t="s">
        <v>798</v>
      </c>
      <c r="AO12" s="2" t="s">
        <v>695</v>
      </c>
      <c r="AP12" s="2" t="s">
        <v>2754</v>
      </c>
    </row>
    <row r="13" spans="1:70">
      <c r="A13" s="2" t="s">
        <v>78</v>
      </c>
      <c r="B13" s="12" t="str">
        <f t="shared" si="2"/>
        <v>BADENHORST</v>
      </c>
      <c r="C13" s="12" t="str">
        <f t="shared" si="3"/>
        <v>BADENHORST</v>
      </c>
      <c r="D13" s="2" t="s">
        <v>169</v>
      </c>
      <c r="E13" s="12" t="str">
        <f t="shared" si="4"/>
        <v>Lourens Petrus</v>
      </c>
      <c r="F13" s="2" t="s">
        <v>861</v>
      </c>
      <c r="G13" s="12" t="str">
        <f t="shared" si="5"/>
        <v>a1b2c10d3e1</v>
      </c>
      <c r="H13" s="12" t="str">
        <f t="shared" si="6"/>
        <v>BADENHORSTa1b2c10d3e1</v>
      </c>
      <c r="I13" s="2" t="s">
        <v>32</v>
      </c>
      <c r="J13" s="2" t="s">
        <v>170</v>
      </c>
      <c r="K13" s="12" t="str">
        <f t="shared" si="7"/>
        <v>1818</v>
      </c>
      <c r="L13" s="2" t="s">
        <v>32</v>
      </c>
      <c r="M13" s="2" t="s">
        <v>171</v>
      </c>
      <c r="N13" s="12" t="str">
        <f t="shared" si="0"/>
        <v>1818</v>
      </c>
      <c r="O13" s="12" t="str">
        <f t="shared" si="1"/>
        <v>1818</v>
      </c>
      <c r="P13" s="2" t="s">
        <v>81</v>
      </c>
      <c r="Q13" s="12" t="str">
        <f t="shared" si="8"/>
        <v>1818</v>
      </c>
      <c r="R13" s="2" t="s">
        <v>172</v>
      </c>
      <c r="S13" s="12" t="str">
        <f t="shared" si="9"/>
        <v>1865</v>
      </c>
      <c r="T13" s="2" t="s">
        <v>60</v>
      </c>
      <c r="U13" s="2" t="s">
        <v>173</v>
      </c>
      <c r="V13" s="12" t="str">
        <f t="shared" si="10"/>
        <v>1838</v>
      </c>
      <c r="W13" s="2" t="s">
        <v>650</v>
      </c>
      <c r="X13" s="2" t="s">
        <v>640</v>
      </c>
      <c r="Y13" s="2" t="s">
        <v>862</v>
      </c>
      <c r="AF13" s="2" t="s">
        <v>3701</v>
      </c>
      <c r="AG13" s="2" t="s">
        <v>53</v>
      </c>
      <c r="AH13" s="2">
        <v>1837</v>
      </c>
      <c r="AI13" s="12" t="str">
        <f t="shared" si="11"/>
        <v>1837</v>
      </c>
      <c r="AK13" s="2" t="s">
        <v>174</v>
      </c>
      <c r="AN13" s="2" t="s">
        <v>799</v>
      </c>
      <c r="AO13" s="2" t="s">
        <v>775</v>
      </c>
    </row>
    <row r="14" spans="1:70">
      <c r="A14" s="2" t="s">
        <v>78</v>
      </c>
      <c r="B14" s="12" t="str">
        <f t="shared" si="2"/>
        <v>BADENHORST</v>
      </c>
      <c r="C14" s="12" t="str">
        <f t="shared" si="3"/>
        <v>BADENHORST</v>
      </c>
      <c r="D14" s="2" t="s">
        <v>79</v>
      </c>
      <c r="E14" s="12" t="str">
        <f t="shared" si="4"/>
        <v>Casper Hendrik</v>
      </c>
      <c r="F14" s="2" t="s">
        <v>841</v>
      </c>
      <c r="G14" s="12" t="str">
        <f t="shared" si="5"/>
        <v>a1b2c10d3e3</v>
      </c>
      <c r="H14" s="12" t="str">
        <f t="shared" si="6"/>
        <v>BADENHORSTa1b2c10d3e3</v>
      </c>
      <c r="I14" s="2" t="s">
        <v>32</v>
      </c>
      <c r="J14" s="2" t="s">
        <v>80</v>
      </c>
      <c r="K14" s="12" t="str">
        <f t="shared" si="7"/>
        <v>1822</v>
      </c>
      <c r="N14" s="12" t="str">
        <f t="shared" si="0"/>
        <v>1822</v>
      </c>
      <c r="O14" s="12" t="str">
        <f t="shared" si="1"/>
        <v/>
      </c>
      <c r="P14" s="2" t="s">
        <v>81</v>
      </c>
      <c r="Q14" s="12" t="str">
        <f t="shared" si="8"/>
        <v>1822</v>
      </c>
      <c r="R14" s="2" t="s">
        <v>82</v>
      </c>
      <c r="S14" s="12" t="str">
        <f t="shared" si="9"/>
        <v>1892</v>
      </c>
      <c r="T14" s="2" t="s">
        <v>83</v>
      </c>
      <c r="U14" s="2" t="s">
        <v>84</v>
      </c>
      <c r="V14" s="12" t="str">
        <f t="shared" si="10"/>
        <v>1842</v>
      </c>
      <c r="W14" s="2" t="s">
        <v>628</v>
      </c>
      <c r="X14" s="2" t="s">
        <v>629</v>
      </c>
      <c r="Y14" s="2" t="s">
        <v>842</v>
      </c>
      <c r="AA14" s="2" t="s">
        <v>85</v>
      </c>
      <c r="AB14" s="2" t="s">
        <v>68</v>
      </c>
      <c r="AC14" s="2" t="s">
        <v>86</v>
      </c>
      <c r="AD14" s="2" t="s">
        <v>81</v>
      </c>
      <c r="AE14" s="2" t="s">
        <v>88</v>
      </c>
      <c r="AF14" s="2" t="s">
        <v>3700</v>
      </c>
      <c r="AG14" s="2" t="s">
        <v>32</v>
      </c>
      <c r="AH14" s="2" t="s">
        <v>89</v>
      </c>
      <c r="AI14" s="12" t="str">
        <f t="shared" si="11"/>
        <v>1838</v>
      </c>
      <c r="AK14" s="2" t="s">
        <v>90</v>
      </c>
      <c r="AN14" s="2" t="s">
        <v>796</v>
      </c>
      <c r="AO14" s="2" t="s">
        <v>774</v>
      </c>
    </row>
    <row r="15" spans="1:70">
      <c r="A15" s="2" t="s">
        <v>78</v>
      </c>
      <c r="B15" s="12" t="str">
        <f t="shared" si="2"/>
        <v>BADENHORST</v>
      </c>
      <c r="C15" s="12" t="str">
        <f t="shared" si="3"/>
        <v>BADENHORST</v>
      </c>
      <c r="D15" s="2" t="s">
        <v>100</v>
      </c>
      <c r="E15" s="12" t="str">
        <f t="shared" si="4"/>
        <v>Casper Hendrik Sr</v>
      </c>
      <c r="F15" s="2" t="s">
        <v>844</v>
      </c>
      <c r="G15" s="12" t="str">
        <f t="shared" si="5"/>
        <v>a1b2c2d2</v>
      </c>
      <c r="H15" s="12" t="str">
        <f t="shared" si="6"/>
        <v>BADENHORSTa1b2c2d2</v>
      </c>
      <c r="J15" s="2" t="s">
        <v>102</v>
      </c>
      <c r="K15" s="12" t="str">
        <f t="shared" si="7"/>
        <v>1779</v>
      </c>
      <c r="N15" s="12" t="str">
        <f t="shared" si="0"/>
        <v>1779</v>
      </c>
      <c r="O15" s="12" t="str">
        <f t="shared" si="1"/>
        <v/>
      </c>
      <c r="Q15" s="12" t="str">
        <f t="shared" si="8"/>
        <v>1779</v>
      </c>
      <c r="S15" s="12" t="str">
        <f t="shared" si="9"/>
        <v/>
      </c>
      <c r="T15" s="2" t="s">
        <v>48</v>
      </c>
      <c r="U15" s="2" t="s">
        <v>101</v>
      </c>
      <c r="V15" s="12" t="str">
        <f t="shared" si="10"/>
        <v>1801</v>
      </c>
      <c r="W15" s="2" t="s">
        <v>632</v>
      </c>
      <c r="X15" s="2" t="s">
        <v>633</v>
      </c>
      <c r="Y15" s="2" t="s">
        <v>845</v>
      </c>
      <c r="AC15" s="2" t="s">
        <v>103</v>
      </c>
      <c r="AF15" s="2" t="s">
        <v>16</v>
      </c>
      <c r="AG15" s="2" t="s">
        <v>68</v>
      </c>
      <c r="AH15" s="2" t="s">
        <v>99</v>
      </c>
      <c r="AI15" s="12" t="str">
        <f t="shared" si="11"/>
        <v>1841</v>
      </c>
      <c r="AK15" s="2" t="s">
        <v>90</v>
      </c>
    </row>
    <row r="16" spans="1:70">
      <c r="A16" s="2" t="s">
        <v>78</v>
      </c>
      <c r="B16" s="12" t="str">
        <f t="shared" si="2"/>
        <v>BADENHORST</v>
      </c>
      <c r="C16" s="12" t="str">
        <f t="shared" si="3"/>
        <v>BADENHORST</v>
      </c>
      <c r="D16" s="2" t="s">
        <v>91</v>
      </c>
      <c r="E16" s="12" t="str">
        <f t="shared" si="4"/>
        <v>Casper Hendrik Jr</v>
      </c>
      <c r="F16" s="2" t="s">
        <v>843</v>
      </c>
      <c r="G16" s="12" t="str">
        <f t="shared" si="5"/>
        <v>a1b2c2d2e1</v>
      </c>
      <c r="H16" s="12" t="str">
        <f t="shared" si="6"/>
        <v>BADENHORSTa1b2c2d2e1</v>
      </c>
      <c r="I16" s="2" t="s">
        <v>74</v>
      </c>
      <c r="J16" s="2" t="s">
        <v>92</v>
      </c>
      <c r="K16" s="12" t="str">
        <f t="shared" si="7"/>
        <v>1804</v>
      </c>
      <c r="N16" s="12" t="str">
        <f t="shared" si="0"/>
        <v>1804</v>
      </c>
      <c r="O16" s="12" t="str">
        <f t="shared" si="1"/>
        <v/>
      </c>
      <c r="P16" s="2" t="s">
        <v>93</v>
      </c>
      <c r="Q16" s="12" t="str">
        <f t="shared" si="8"/>
        <v>1804</v>
      </c>
      <c r="R16" s="2" t="s">
        <v>94</v>
      </c>
      <c r="S16" s="12" t="str">
        <f t="shared" si="9"/>
        <v>1875</v>
      </c>
      <c r="T16" s="2" t="s">
        <v>28</v>
      </c>
      <c r="U16" s="2" t="s">
        <v>95</v>
      </c>
      <c r="V16" s="12" t="str">
        <f t="shared" si="10"/>
        <v>1828</v>
      </c>
      <c r="W16" s="2" t="s">
        <v>630</v>
      </c>
      <c r="X16" s="2" t="s">
        <v>631</v>
      </c>
      <c r="AA16" s="2" t="s">
        <v>96</v>
      </c>
      <c r="AC16" s="2" t="s">
        <v>97</v>
      </c>
      <c r="AD16" s="2" t="s">
        <v>93</v>
      </c>
      <c r="AE16" s="2" t="s">
        <v>98</v>
      </c>
      <c r="AF16" s="2" t="s">
        <v>16</v>
      </c>
      <c r="AG16" s="2" t="s">
        <v>68</v>
      </c>
      <c r="AH16" s="2" t="s">
        <v>99</v>
      </c>
      <c r="AI16" s="12" t="str">
        <f t="shared" si="11"/>
        <v>1841</v>
      </c>
      <c r="AK16" s="2" t="s">
        <v>90</v>
      </c>
    </row>
    <row r="17" spans="1:59">
      <c r="A17" s="12" t="s">
        <v>78</v>
      </c>
      <c r="B17" s="12" t="str">
        <f t="shared" si="2"/>
        <v>BADENHORST</v>
      </c>
      <c r="C17" s="12" t="str">
        <f t="shared" si="3"/>
        <v>BADENHORST</v>
      </c>
      <c r="D17" s="2" t="s">
        <v>175</v>
      </c>
      <c r="E17" s="12" t="str">
        <f t="shared" si="4"/>
        <v>Petrus Jacobus</v>
      </c>
      <c r="F17" s="2" t="s">
        <v>863</v>
      </c>
      <c r="G17" s="12" t="str">
        <f t="shared" si="5"/>
        <v>a1b2c2d2e3</v>
      </c>
      <c r="H17" s="12" t="str">
        <f t="shared" si="6"/>
        <v>BADENHORSTa1b2c2d2e3</v>
      </c>
      <c r="K17" s="12" t="str">
        <f t="shared" si="7"/>
        <v/>
      </c>
      <c r="M17" s="2" t="s">
        <v>176</v>
      </c>
      <c r="N17" s="12" t="str">
        <f t="shared" si="0"/>
        <v/>
      </c>
      <c r="O17" s="12" t="str">
        <f t="shared" si="1"/>
        <v>1807</v>
      </c>
      <c r="Q17" s="12" t="str">
        <f t="shared" si="8"/>
        <v>1807</v>
      </c>
      <c r="R17" s="12"/>
      <c r="S17" s="12" t="str">
        <f t="shared" si="9"/>
        <v/>
      </c>
      <c r="V17" s="12" t="str">
        <f t="shared" si="10"/>
        <v/>
      </c>
      <c r="W17" s="2" t="s">
        <v>651</v>
      </c>
      <c r="X17" s="2" t="s">
        <v>631</v>
      </c>
      <c r="Y17" s="2" t="s">
        <v>864</v>
      </c>
      <c r="AA17" s="2" t="s">
        <v>177</v>
      </c>
      <c r="AF17" s="2" t="s">
        <v>16</v>
      </c>
      <c r="AG17" s="2" t="s">
        <v>28</v>
      </c>
      <c r="AH17" s="2">
        <v>1840</v>
      </c>
      <c r="AI17" s="12" t="str">
        <f t="shared" si="11"/>
        <v>1840</v>
      </c>
      <c r="AK17" s="2" t="s">
        <v>184</v>
      </c>
    </row>
    <row r="18" spans="1:59">
      <c r="A18" s="12" t="s">
        <v>78</v>
      </c>
      <c r="B18" s="12" t="str">
        <f t="shared" si="2"/>
        <v>BADENHORST</v>
      </c>
      <c r="C18" s="12" t="str">
        <f t="shared" si="3"/>
        <v>BADENHORST</v>
      </c>
      <c r="D18" s="2" t="s">
        <v>132</v>
      </c>
      <c r="E18" s="12" t="str">
        <f t="shared" si="4"/>
        <v>Hendrik Gerhardus Johannes</v>
      </c>
      <c r="F18" s="2" t="s">
        <v>852</v>
      </c>
      <c r="G18" s="12" t="str">
        <f t="shared" si="5"/>
        <v>a1b2c2d2e4</v>
      </c>
      <c r="H18" s="12" t="str">
        <f t="shared" si="6"/>
        <v>BADENHORSTa1b2c2d2e4</v>
      </c>
      <c r="I18" s="2" t="s">
        <v>74</v>
      </c>
      <c r="K18" s="12" t="str">
        <f t="shared" si="7"/>
        <v/>
      </c>
      <c r="M18" s="2" t="s">
        <v>133</v>
      </c>
      <c r="N18" s="12" t="str">
        <f t="shared" si="0"/>
        <v/>
      </c>
      <c r="O18" s="12" t="str">
        <f t="shared" si="1"/>
        <v>1809</v>
      </c>
      <c r="P18" s="2" t="s">
        <v>134</v>
      </c>
      <c r="Q18" s="12" t="str">
        <f t="shared" si="8"/>
        <v>1809</v>
      </c>
      <c r="R18" s="2" t="s">
        <v>135</v>
      </c>
      <c r="S18" s="12" t="str">
        <f t="shared" si="9"/>
        <v>1864</v>
      </c>
      <c r="T18" s="2" t="s">
        <v>28</v>
      </c>
      <c r="U18" s="2" t="s">
        <v>126</v>
      </c>
      <c r="V18" s="12" t="str">
        <f t="shared" si="10"/>
        <v>1836</v>
      </c>
      <c r="W18" s="2" t="s">
        <v>645</v>
      </c>
      <c r="X18" s="2" t="s">
        <v>78</v>
      </c>
      <c r="Y18" s="2" t="s">
        <v>853</v>
      </c>
      <c r="AA18" s="2" t="s">
        <v>136</v>
      </c>
      <c r="AC18" s="2" t="s">
        <v>137</v>
      </c>
      <c r="AD18" s="2" t="s">
        <v>138</v>
      </c>
      <c r="AE18" s="2">
        <v>387</v>
      </c>
      <c r="AG18" s="2" t="s">
        <v>28</v>
      </c>
      <c r="AH18" s="2">
        <v>1839</v>
      </c>
      <c r="AI18" s="12" t="str">
        <f t="shared" si="11"/>
        <v>1839</v>
      </c>
      <c r="AK18" s="2" t="s">
        <v>90</v>
      </c>
    </row>
    <row r="19" spans="1:59">
      <c r="A19" s="12" t="s">
        <v>78</v>
      </c>
      <c r="B19" s="12" t="str">
        <f t="shared" si="2"/>
        <v>BADENHORST</v>
      </c>
      <c r="C19" s="12" t="str">
        <f t="shared" si="3"/>
        <v>BADENHORST</v>
      </c>
      <c r="D19" s="2" t="s">
        <v>143</v>
      </c>
      <c r="E19" s="12" t="str">
        <f t="shared" si="4"/>
        <v>Hendrik Johannes</v>
      </c>
      <c r="F19" s="2" t="s">
        <v>856</v>
      </c>
      <c r="G19" s="12" t="str">
        <f t="shared" si="5"/>
        <v>a1b2c2d3e1</v>
      </c>
      <c r="H19" s="12" t="str">
        <f t="shared" si="6"/>
        <v>BADENHORSTa1b2c2d3e1</v>
      </c>
      <c r="J19" s="2" t="s">
        <v>144</v>
      </c>
      <c r="K19" s="12" t="str">
        <f t="shared" si="7"/>
        <v>1805</v>
      </c>
      <c r="L19" s="2" t="s">
        <v>23</v>
      </c>
      <c r="M19" s="2" t="s">
        <v>145</v>
      </c>
      <c r="N19" s="12" t="str">
        <f t="shared" si="0"/>
        <v>1805</v>
      </c>
      <c r="O19" s="12" t="str">
        <f t="shared" si="1"/>
        <v>1805</v>
      </c>
      <c r="P19" s="2" t="s">
        <v>146</v>
      </c>
      <c r="Q19" s="12" t="str">
        <f t="shared" si="8"/>
        <v>1805</v>
      </c>
      <c r="R19" s="2" t="s">
        <v>147</v>
      </c>
      <c r="S19" s="12" t="str">
        <f t="shared" si="9"/>
        <v>1883</v>
      </c>
      <c r="T19" s="2" t="s">
        <v>74</v>
      </c>
      <c r="U19" s="2" t="s">
        <v>148</v>
      </c>
      <c r="V19" s="12" t="str">
        <f t="shared" si="10"/>
        <v>1827</v>
      </c>
      <c r="W19" s="2" t="s">
        <v>647</v>
      </c>
      <c r="X19" s="2" t="s">
        <v>635</v>
      </c>
      <c r="AG19" s="2" t="s">
        <v>60</v>
      </c>
      <c r="AH19" s="2" t="s">
        <v>150</v>
      </c>
      <c r="AI19" s="12" t="str">
        <f t="shared" si="11"/>
        <v>1851</v>
      </c>
      <c r="AK19" s="2" t="s">
        <v>140</v>
      </c>
      <c r="AL19" s="2" t="s">
        <v>60</v>
      </c>
      <c r="AM19" s="2" t="s">
        <v>149</v>
      </c>
      <c r="AN19" s="2" t="s">
        <v>797</v>
      </c>
      <c r="AO19" s="2" t="s">
        <v>633</v>
      </c>
    </row>
    <row r="20" spans="1:59">
      <c r="A20" s="2" t="s">
        <v>78</v>
      </c>
      <c r="B20" s="12" t="str">
        <f t="shared" si="2"/>
        <v>BADENHORST</v>
      </c>
      <c r="C20" s="12" t="str">
        <f t="shared" si="3"/>
        <v>BADENHORST</v>
      </c>
      <c r="D20" s="2" t="s">
        <v>109</v>
      </c>
      <c r="E20" s="12" t="str">
        <f t="shared" si="4"/>
        <v>Cornelis Jacobus</v>
      </c>
      <c r="F20" s="2" t="s">
        <v>848</v>
      </c>
      <c r="G20" s="12" t="str">
        <f t="shared" si="5"/>
        <v>a1b2c2d3e2</v>
      </c>
      <c r="H20" s="12" t="str">
        <f t="shared" si="6"/>
        <v>BADENHORSTa1b2c2d3e2</v>
      </c>
      <c r="I20" s="2" t="s">
        <v>74</v>
      </c>
      <c r="J20" s="2" t="s">
        <v>110</v>
      </c>
      <c r="K20" s="12" t="str">
        <f t="shared" si="7"/>
        <v>1806</v>
      </c>
      <c r="L20" s="2" t="s">
        <v>23</v>
      </c>
      <c r="M20" s="2" t="s">
        <v>111</v>
      </c>
      <c r="N20" s="12" t="str">
        <f t="shared" si="0"/>
        <v>1806</v>
      </c>
      <c r="O20" s="12" t="str">
        <f t="shared" si="1"/>
        <v>1806</v>
      </c>
      <c r="P20" s="2" t="s">
        <v>112</v>
      </c>
      <c r="Q20" s="12" t="str">
        <f t="shared" si="8"/>
        <v>1806</v>
      </c>
      <c r="R20" s="2" t="s">
        <v>113</v>
      </c>
      <c r="S20" s="12" t="str">
        <f t="shared" si="9"/>
        <v>1871</v>
      </c>
      <c r="T20" s="2" t="s">
        <v>28</v>
      </c>
      <c r="U20" s="2" t="s">
        <v>114</v>
      </c>
      <c r="V20" s="12" t="str">
        <f t="shared" si="10"/>
        <v>1829</v>
      </c>
      <c r="W20" s="2" t="s">
        <v>642</v>
      </c>
      <c r="X20" s="2" t="s">
        <v>635</v>
      </c>
      <c r="AH20" s="2" t="s">
        <v>116</v>
      </c>
      <c r="AI20" s="12" t="str">
        <f t="shared" si="11"/>
        <v>1834</v>
      </c>
      <c r="AL20" s="2" t="s">
        <v>31</v>
      </c>
      <c r="AM20" s="2" t="s">
        <v>115</v>
      </c>
      <c r="AN20" s="2" t="s">
        <v>673</v>
      </c>
      <c r="AO20" s="2" t="s">
        <v>659</v>
      </c>
      <c r="AX20" s="2">
        <v>1823</v>
      </c>
      <c r="AY20" s="2" t="s">
        <v>715</v>
      </c>
      <c r="AZ20" s="2" t="s">
        <v>662</v>
      </c>
    </row>
    <row r="21" spans="1:59">
      <c r="A21" s="2" t="s">
        <v>78</v>
      </c>
      <c r="B21" s="12" t="str">
        <f t="shared" si="2"/>
        <v>BADENHORST</v>
      </c>
      <c r="C21" s="12" t="str">
        <f t="shared" si="3"/>
        <v>BADENHORST</v>
      </c>
      <c r="D21" s="2" t="s">
        <v>117</v>
      </c>
      <c r="E21" s="12" t="str">
        <f t="shared" si="4"/>
        <v>Dirk Stephanus Petrus</v>
      </c>
      <c r="F21" s="2" t="s">
        <v>849</v>
      </c>
      <c r="G21" s="12" t="str">
        <f t="shared" si="5"/>
        <v>a1b2c2d3e4</v>
      </c>
      <c r="H21" s="12" t="str">
        <f t="shared" si="6"/>
        <v>BADENHORSTa1b2c2d3e4</v>
      </c>
      <c r="I21" s="2" t="s">
        <v>74</v>
      </c>
      <c r="J21" s="2" t="s">
        <v>118</v>
      </c>
      <c r="K21" s="12" t="str">
        <f t="shared" si="7"/>
        <v>1809</v>
      </c>
      <c r="L21" s="2" t="s">
        <v>23</v>
      </c>
      <c r="M21" s="2" t="s">
        <v>119</v>
      </c>
      <c r="N21" s="12" t="str">
        <f t="shared" si="0"/>
        <v>1809</v>
      </c>
      <c r="O21" s="12" t="str">
        <f t="shared" si="1"/>
        <v>1809</v>
      </c>
      <c r="P21" s="2" t="s">
        <v>120</v>
      </c>
      <c r="Q21" s="12" t="str">
        <f t="shared" si="8"/>
        <v>1809</v>
      </c>
      <c r="R21" s="2" t="s">
        <v>121</v>
      </c>
      <c r="S21" s="12" t="str">
        <f t="shared" si="9"/>
        <v>1879</v>
      </c>
      <c r="V21" s="12" t="str">
        <f t="shared" si="10"/>
        <v/>
      </c>
      <c r="W21" s="2" t="s">
        <v>643</v>
      </c>
      <c r="X21" s="2" t="s">
        <v>636</v>
      </c>
      <c r="AE21" s="12"/>
      <c r="AH21" s="12" t="s">
        <v>15782</v>
      </c>
    </row>
    <row r="22" spans="1:59">
      <c r="A22" s="2" t="s">
        <v>78</v>
      </c>
      <c r="B22" s="12" t="str">
        <f t="shared" si="2"/>
        <v>BADENHORST</v>
      </c>
      <c r="C22" s="12" t="str">
        <f t="shared" si="3"/>
        <v>BADENHORST</v>
      </c>
      <c r="D22" s="2" t="s">
        <v>151</v>
      </c>
      <c r="E22" s="12" t="str">
        <f t="shared" si="4"/>
        <v>Jacobus Petrus</v>
      </c>
      <c r="F22" s="2" t="s">
        <v>857</v>
      </c>
      <c r="G22" s="12" t="str">
        <f t="shared" si="5"/>
        <v>a1b2c2d4</v>
      </c>
      <c r="H22" s="12" t="str">
        <f t="shared" si="6"/>
        <v>BADENHORSTa1b2c2d4</v>
      </c>
      <c r="K22" s="12" t="str">
        <f t="shared" si="7"/>
        <v/>
      </c>
      <c r="M22" s="2" t="s">
        <v>152</v>
      </c>
      <c r="N22" s="12" t="str">
        <f t="shared" si="0"/>
        <v/>
      </c>
      <c r="O22" s="12" t="str">
        <f t="shared" si="1"/>
        <v>1785</v>
      </c>
      <c r="Q22" s="12" t="str">
        <f t="shared" si="8"/>
        <v>1785</v>
      </c>
      <c r="S22" s="12" t="str">
        <f t="shared" si="9"/>
        <v/>
      </c>
      <c r="T22" s="2" t="s">
        <v>74</v>
      </c>
      <c r="U22" s="2" t="s">
        <v>153</v>
      </c>
      <c r="V22" s="12" t="str">
        <f t="shared" si="10"/>
        <v>1815</v>
      </c>
      <c r="W22" s="2" t="s">
        <v>648</v>
      </c>
      <c r="X22" s="2" t="s">
        <v>62</v>
      </c>
      <c r="AA22" s="2" t="s">
        <v>154</v>
      </c>
      <c r="AF22" s="2" t="s">
        <v>16</v>
      </c>
      <c r="AG22" s="2" t="s">
        <v>28</v>
      </c>
      <c r="AI22" s="12" t="str">
        <f t="shared" si="11"/>
        <v/>
      </c>
      <c r="AK22" s="2" t="s">
        <v>155</v>
      </c>
    </row>
    <row r="23" spans="1:59">
      <c r="A23" s="12" t="s">
        <v>78</v>
      </c>
      <c r="B23" s="12" t="str">
        <f t="shared" si="2"/>
        <v>BADENHORST</v>
      </c>
      <c r="C23" s="12" t="str">
        <f t="shared" si="3"/>
        <v>BADENHORST</v>
      </c>
      <c r="D23" s="12" t="s">
        <v>122</v>
      </c>
      <c r="E23" s="12" t="str">
        <f t="shared" si="4"/>
        <v>Hendrik</v>
      </c>
      <c r="F23" s="12" t="s">
        <v>850</v>
      </c>
      <c r="G23" s="12" t="str">
        <f t="shared" si="5"/>
        <v>a1b2c2d4e1</v>
      </c>
      <c r="H23" s="12" t="str">
        <f t="shared" si="6"/>
        <v>BADENHORSTa1b2c2d4e1</v>
      </c>
      <c r="I23" s="12"/>
      <c r="J23" s="12" t="s">
        <v>123</v>
      </c>
      <c r="K23" s="12" t="str">
        <f t="shared" si="7"/>
        <v>1816</v>
      </c>
      <c r="L23" s="12" t="s">
        <v>23</v>
      </c>
      <c r="M23" s="12" t="s">
        <v>124</v>
      </c>
      <c r="N23" s="12" t="str">
        <f t="shared" si="0"/>
        <v>1816</v>
      </c>
      <c r="O23" s="12" t="str">
        <f t="shared" si="1"/>
        <v>1816</v>
      </c>
      <c r="P23" s="12" t="s">
        <v>125</v>
      </c>
      <c r="Q23" s="12" t="str">
        <f t="shared" si="8"/>
        <v>1816</v>
      </c>
      <c r="R23" s="5" t="s">
        <v>1156</v>
      </c>
      <c r="S23" s="12" t="str">
        <f t="shared" si="9"/>
        <v>1901</v>
      </c>
      <c r="T23" s="12" t="s">
        <v>28</v>
      </c>
      <c r="U23" s="12" t="s">
        <v>126</v>
      </c>
      <c r="V23" s="12" t="str">
        <f t="shared" si="10"/>
        <v>1836</v>
      </c>
      <c r="W23" s="12" t="s">
        <v>644</v>
      </c>
      <c r="X23" s="12" t="s">
        <v>78</v>
      </c>
      <c r="Y23" s="12" t="s">
        <v>851</v>
      </c>
      <c r="Z23" s="12" t="s">
        <v>74</v>
      </c>
      <c r="AA23" s="12" t="s">
        <v>127</v>
      </c>
      <c r="AB23" s="12"/>
      <c r="AC23" s="12"/>
      <c r="AD23" s="12" t="s">
        <v>129</v>
      </c>
      <c r="AE23" s="12" t="s">
        <v>130</v>
      </c>
      <c r="AF23" s="12"/>
      <c r="AG23" s="12" t="s">
        <v>68</v>
      </c>
      <c r="AH23" s="12" t="s">
        <v>131</v>
      </c>
      <c r="AI23" s="12" t="str">
        <f t="shared" si="11"/>
        <v>1840</v>
      </c>
      <c r="AJ23" s="12"/>
      <c r="AK23" s="12" t="s">
        <v>90</v>
      </c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</row>
    <row r="24" spans="1:59">
      <c r="A24" s="2" t="s">
        <v>78</v>
      </c>
      <c r="B24" s="12" t="str">
        <f t="shared" si="2"/>
        <v>BADENHORST</v>
      </c>
      <c r="C24" s="12" t="str">
        <f t="shared" si="3"/>
        <v>BADENHORST</v>
      </c>
      <c r="D24" s="2" t="s">
        <v>104</v>
      </c>
      <c r="E24" s="12" t="str">
        <f t="shared" si="4"/>
        <v xml:space="preserve">Christiaan Gerhardus Johannes </v>
      </c>
      <c r="F24" s="2" t="s">
        <v>846</v>
      </c>
      <c r="G24" s="12" t="str">
        <f t="shared" si="5"/>
        <v>a1b2c2d4e2</v>
      </c>
      <c r="H24" s="12" t="str">
        <f t="shared" si="6"/>
        <v>BADENHORSTa1b2c2d4e2</v>
      </c>
      <c r="J24" s="2" t="s">
        <v>105</v>
      </c>
      <c r="K24" s="12" t="str">
        <f t="shared" si="7"/>
        <v>1817</v>
      </c>
      <c r="L24" s="2" t="s">
        <v>23</v>
      </c>
      <c r="M24" s="2" t="s">
        <v>106</v>
      </c>
      <c r="N24" s="12" t="str">
        <f t="shared" si="0"/>
        <v>1817</v>
      </c>
      <c r="O24" s="12" t="str">
        <f t="shared" si="1"/>
        <v>1817</v>
      </c>
      <c r="Q24" s="12" t="str">
        <f t="shared" si="8"/>
        <v>1817</v>
      </c>
      <c r="S24" s="12" t="str">
        <f t="shared" si="9"/>
        <v/>
      </c>
      <c r="T24" s="2" t="s">
        <v>83</v>
      </c>
      <c r="U24" s="2" t="s">
        <v>107</v>
      </c>
      <c r="V24" s="12" t="str">
        <f t="shared" si="10"/>
        <v>1844</v>
      </c>
      <c r="W24" s="2" t="s">
        <v>634</v>
      </c>
      <c r="X24" s="2" t="s">
        <v>78</v>
      </c>
      <c r="Y24" s="2" t="s">
        <v>847</v>
      </c>
      <c r="AG24" s="2" t="s">
        <v>28</v>
      </c>
      <c r="AH24" s="2">
        <v>1840</v>
      </c>
      <c r="AI24" s="12" t="str">
        <f t="shared" si="11"/>
        <v>1840</v>
      </c>
      <c r="AK24" s="2" t="s">
        <v>108</v>
      </c>
    </row>
    <row r="25" spans="1:59">
      <c r="A25" s="12" t="s">
        <v>78</v>
      </c>
      <c r="B25" s="12" t="str">
        <f t="shared" si="2"/>
        <v>BADENHORST</v>
      </c>
      <c r="C25" s="12" t="str">
        <f t="shared" si="3"/>
        <v>BADENHORST</v>
      </c>
      <c r="D25" s="2" t="s">
        <v>139</v>
      </c>
      <c r="E25" s="12" t="str">
        <f t="shared" si="4"/>
        <v>Hendrik Jacobus</v>
      </c>
      <c r="F25" s="2" t="s">
        <v>854</v>
      </c>
      <c r="G25" s="12" t="str">
        <f t="shared" si="5"/>
        <v>a1b2c5d4e2</v>
      </c>
      <c r="H25" s="12" t="str">
        <f t="shared" si="6"/>
        <v>BADENHORSTa1b2c5d4e2</v>
      </c>
      <c r="J25" s="2" t="s">
        <v>855</v>
      </c>
      <c r="K25" s="12" t="str">
        <f t="shared" si="7"/>
        <v>1819</v>
      </c>
      <c r="N25" s="12" t="str">
        <f t="shared" si="0"/>
        <v>1819</v>
      </c>
      <c r="O25" s="12" t="str">
        <f t="shared" si="1"/>
        <v/>
      </c>
      <c r="P25" s="2" t="s">
        <v>140</v>
      </c>
      <c r="Q25" s="12" t="str">
        <f t="shared" si="8"/>
        <v>1819</v>
      </c>
      <c r="R25" s="2" t="s">
        <v>141</v>
      </c>
      <c r="S25" s="12" t="str">
        <f t="shared" si="9"/>
        <v>1884</v>
      </c>
      <c r="V25" s="12" t="str">
        <f t="shared" si="10"/>
        <v/>
      </c>
      <c r="W25" s="2" t="s">
        <v>646</v>
      </c>
      <c r="X25" s="2" t="s">
        <v>637</v>
      </c>
      <c r="AG25" s="2" t="s">
        <v>32</v>
      </c>
      <c r="AH25" s="2" t="s">
        <v>142</v>
      </c>
      <c r="AI25" s="12" t="str">
        <f t="shared" si="11"/>
        <v>1845</v>
      </c>
    </row>
    <row r="26" spans="1:59">
      <c r="A26" s="12" t="s">
        <v>78</v>
      </c>
      <c r="B26" s="12" t="str">
        <f t="shared" si="2"/>
        <v>BADENHORST</v>
      </c>
      <c r="C26" s="12" t="str">
        <f t="shared" si="3"/>
        <v>BADENHORST</v>
      </c>
      <c r="D26" s="2" t="s">
        <v>156</v>
      </c>
      <c r="E26" s="12" t="str">
        <f t="shared" si="4"/>
        <v>Jan Wilhelmus Wessels</v>
      </c>
      <c r="F26" s="2" t="s">
        <v>858</v>
      </c>
      <c r="G26" s="12" t="str">
        <f t="shared" si="5"/>
        <v>a1b2c8d2e2</v>
      </c>
      <c r="H26" s="12" t="str">
        <f t="shared" si="6"/>
        <v>BADENHORSTa1b2c8d2e2</v>
      </c>
      <c r="J26" s="2" t="s">
        <v>157</v>
      </c>
      <c r="K26" s="12" t="str">
        <f t="shared" si="7"/>
        <v>1818</v>
      </c>
      <c r="L26" s="2" t="s">
        <v>158</v>
      </c>
      <c r="M26" s="2" t="s">
        <v>159</v>
      </c>
      <c r="N26" s="12" t="str">
        <f t="shared" si="0"/>
        <v>1818</v>
      </c>
      <c r="O26" s="12" t="str">
        <f t="shared" si="1"/>
        <v>1819</v>
      </c>
      <c r="P26" s="2" t="s">
        <v>160</v>
      </c>
      <c r="Q26" s="12" t="str">
        <f t="shared" si="8"/>
        <v>1818</v>
      </c>
      <c r="R26" s="2" t="s">
        <v>161</v>
      </c>
      <c r="S26" s="12" t="str">
        <f t="shared" si="9"/>
        <v>1866</v>
      </c>
      <c r="T26" s="2" t="s">
        <v>53</v>
      </c>
      <c r="U26" s="2" t="s">
        <v>162</v>
      </c>
      <c r="V26" s="12" t="str">
        <f t="shared" si="10"/>
        <v>1840</v>
      </c>
      <c r="W26" s="2" t="s">
        <v>649</v>
      </c>
      <c r="X26" s="2" t="s">
        <v>638</v>
      </c>
      <c r="Y26" s="2" t="s">
        <v>859</v>
      </c>
      <c r="AC26" s="2" t="s">
        <v>163</v>
      </c>
      <c r="AE26" s="12"/>
      <c r="AG26" s="2" t="s">
        <v>53</v>
      </c>
      <c r="AH26" s="2" t="s">
        <v>164</v>
      </c>
      <c r="AI26" s="12" t="str">
        <f t="shared" si="11"/>
        <v>1841</v>
      </c>
      <c r="AK26" s="2" t="s">
        <v>90</v>
      </c>
    </row>
    <row r="27" spans="1:59">
      <c r="A27" s="2" t="s">
        <v>178</v>
      </c>
      <c r="B27" s="12" t="str">
        <f t="shared" si="2"/>
        <v>BANTJES</v>
      </c>
      <c r="C27" s="12" t="str">
        <f t="shared" si="3"/>
        <v>BANTJES</v>
      </c>
      <c r="D27" s="2" t="s">
        <v>179</v>
      </c>
      <c r="E27" s="12" t="str">
        <f t="shared" si="4"/>
        <v>Jan Gerritse</v>
      </c>
      <c r="F27" s="2" t="s">
        <v>865</v>
      </c>
      <c r="G27" s="12" t="str">
        <f t="shared" si="5"/>
        <v>a1b1c3d3</v>
      </c>
      <c r="H27" s="12" t="str">
        <f t="shared" si="6"/>
        <v>BANTJESa1b1c3d3</v>
      </c>
      <c r="J27" s="2" t="s">
        <v>180</v>
      </c>
      <c r="K27" s="12" t="str">
        <f t="shared" si="7"/>
        <v>1817</v>
      </c>
      <c r="L27" s="2" t="s">
        <v>23</v>
      </c>
      <c r="M27" s="2" t="s">
        <v>106</v>
      </c>
      <c r="N27" s="12" t="str">
        <f t="shared" si="0"/>
        <v>1817</v>
      </c>
      <c r="O27" s="12" t="str">
        <f t="shared" si="1"/>
        <v>1817</v>
      </c>
      <c r="P27" s="2" t="s">
        <v>140</v>
      </c>
      <c r="Q27" s="12" t="str">
        <f t="shared" si="8"/>
        <v>1817</v>
      </c>
      <c r="R27" s="2" t="s">
        <v>181</v>
      </c>
      <c r="S27" s="12" t="str">
        <f t="shared" si="9"/>
        <v>1887</v>
      </c>
      <c r="T27" s="2" t="s">
        <v>83</v>
      </c>
      <c r="U27" s="2" t="s">
        <v>182</v>
      </c>
      <c r="V27" s="12" t="str">
        <f t="shared" si="10"/>
        <v>1838</v>
      </c>
      <c r="W27" s="2" t="s">
        <v>652</v>
      </c>
      <c r="X27" s="2" t="s">
        <v>641</v>
      </c>
      <c r="AF27" s="2" t="s">
        <v>3702</v>
      </c>
      <c r="AG27" s="2" t="s">
        <v>366</v>
      </c>
      <c r="AH27" s="2" t="s">
        <v>185</v>
      </c>
      <c r="AI27" s="12" t="str">
        <f t="shared" si="11"/>
        <v>1836</v>
      </c>
      <c r="AJ27" s="2" t="s">
        <v>413</v>
      </c>
      <c r="AK27" s="2" t="s">
        <v>186</v>
      </c>
    </row>
    <row r="28" spans="1:59">
      <c r="A28" s="12" t="s">
        <v>187</v>
      </c>
      <c r="B28" s="12" t="str">
        <f t="shared" si="2"/>
        <v>BARNARD</v>
      </c>
      <c r="C28" s="12" t="str">
        <f t="shared" si="3"/>
        <v>BARNARD</v>
      </c>
      <c r="D28" s="2" t="s">
        <v>205</v>
      </c>
      <c r="E28" s="12" t="str">
        <f t="shared" si="4"/>
        <v>Willem Hendrik</v>
      </c>
      <c r="F28" s="2" t="s">
        <v>2761</v>
      </c>
      <c r="G28" s="12" t="str">
        <f t="shared" si="5"/>
        <v>a1b2c4d11</v>
      </c>
      <c r="H28" s="12" t="str">
        <f t="shared" si="6"/>
        <v>BARNARDa1b2c4d11</v>
      </c>
      <c r="K28" s="12" t="str">
        <f t="shared" si="7"/>
        <v/>
      </c>
      <c r="M28" s="2" t="s">
        <v>206</v>
      </c>
      <c r="N28" s="12" t="str">
        <f t="shared" si="0"/>
        <v/>
      </c>
      <c r="O28" s="12" t="str">
        <f t="shared" si="1"/>
        <v>1782</v>
      </c>
      <c r="Q28" s="12" t="str">
        <f t="shared" si="8"/>
        <v>1782</v>
      </c>
      <c r="S28" s="12" t="str">
        <f t="shared" si="9"/>
        <v/>
      </c>
      <c r="T28" s="2" t="s">
        <v>32</v>
      </c>
      <c r="U28" s="2" t="s">
        <v>207</v>
      </c>
      <c r="V28" s="12" t="str">
        <f t="shared" si="10"/>
        <v>1811</v>
      </c>
      <c r="W28" s="2" t="s">
        <v>675</v>
      </c>
      <c r="X28" s="2" t="s">
        <v>656</v>
      </c>
      <c r="Y28" s="2" t="s">
        <v>870</v>
      </c>
      <c r="AC28" s="2" t="s">
        <v>208</v>
      </c>
      <c r="AG28" s="2" t="s">
        <v>366</v>
      </c>
      <c r="AH28" s="2" t="s">
        <v>209</v>
      </c>
      <c r="AK28" s="2" t="s">
        <v>45</v>
      </c>
    </row>
    <row r="29" spans="1:59">
      <c r="A29" s="12" t="s">
        <v>187</v>
      </c>
      <c r="B29" s="12" t="str">
        <f t="shared" si="2"/>
        <v>BARNARD</v>
      </c>
      <c r="C29" s="12" t="str">
        <f t="shared" si="3"/>
        <v>BARNARD</v>
      </c>
      <c r="D29" s="2" t="s">
        <v>201</v>
      </c>
      <c r="E29" s="12" t="str">
        <f t="shared" si="4"/>
        <v>Petrus Johannes</v>
      </c>
      <c r="F29" s="2" t="s">
        <v>869</v>
      </c>
      <c r="G29" s="12" t="str">
        <f t="shared" si="5"/>
        <v>a1b2c4d11e3</v>
      </c>
      <c r="H29" s="12" t="str">
        <f t="shared" si="6"/>
        <v>BARNARDa1b2c4d11e3</v>
      </c>
      <c r="J29" s="2" t="s">
        <v>202</v>
      </c>
      <c r="K29" s="12" t="str">
        <f t="shared" si="7"/>
        <v>1816</v>
      </c>
      <c r="L29" s="2" t="s">
        <v>199</v>
      </c>
      <c r="M29" s="2" t="s">
        <v>203</v>
      </c>
      <c r="N29" s="12" t="str">
        <f t="shared" si="0"/>
        <v>1816</v>
      </c>
      <c r="O29" s="12" t="str">
        <f t="shared" si="1"/>
        <v>1817</v>
      </c>
      <c r="Q29" s="12" t="str">
        <f t="shared" si="8"/>
        <v>1816</v>
      </c>
      <c r="S29" s="12" t="str">
        <f t="shared" si="9"/>
        <v/>
      </c>
      <c r="V29" s="12" t="str">
        <f t="shared" si="10"/>
        <v/>
      </c>
      <c r="W29" s="2" t="s">
        <v>674</v>
      </c>
      <c r="X29" s="2" t="s">
        <v>633</v>
      </c>
      <c r="AG29" s="2" t="s">
        <v>366</v>
      </c>
      <c r="AI29" s="12" t="str">
        <f t="shared" si="11"/>
        <v/>
      </c>
      <c r="AK29" s="2" t="s">
        <v>190</v>
      </c>
      <c r="AL29" s="2" t="s">
        <v>140</v>
      </c>
      <c r="AM29" s="2" t="s">
        <v>204</v>
      </c>
      <c r="AN29" s="2" t="s">
        <v>801</v>
      </c>
      <c r="AO29" s="2" t="s">
        <v>629</v>
      </c>
      <c r="AR29" s="2">
        <v>1832</v>
      </c>
    </row>
    <row r="30" spans="1:59">
      <c r="A30" s="12" t="s">
        <v>187</v>
      </c>
      <c r="B30" s="12" t="str">
        <f t="shared" si="2"/>
        <v>BARNARD</v>
      </c>
      <c r="C30" s="12" t="str">
        <f t="shared" si="3"/>
        <v>BARNARD</v>
      </c>
      <c r="D30" s="2" t="s">
        <v>2760</v>
      </c>
      <c r="E30" s="12" t="str">
        <f t="shared" si="4"/>
        <v>Marthinus Christoffel Sr</v>
      </c>
      <c r="F30" s="2" t="s">
        <v>868</v>
      </c>
      <c r="G30" s="12" t="str">
        <f t="shared" si="5"/>
        <v>a1b2c4d9</v>
      </c>
      <c r="H30" s="12" t="str">
        <f t="shared" si="6"/>
        <v>BARNARDa1b2c4d9</v>
      </c>
      <c r="K30" s="12" t="str">
        <f t="shared" si="7"/>
        <v/>
      </c>
      <c r="M30" s="2" t="s">
        <v>194</v>
      </c>
      <c r="N30" s="12" t="str">
        <f t="shared" si="0"/>
        <v/>
      </c>
      <c r="O30" s="12" t="str">
        <f t="shared" si="1"/>
        <v>1784</v>
      </c>
      <c r="Q30" s="12" t="str">
        <f t="shared" si="8"/>
        <v>1784</v>
      </c>
      <c r="S30" s="12" t="str">
        <f t="shared" si="9"/>
        <v/>
      </c>
      <c r="T30" s="2" t="s">
        <v>48</v>
      </c>
      <c r="U30" s="2" t="s">
        <v>195</v>
      </c>
      <c r="V30" s="12" t="str">
        <f t="shared" si="10"/>
        <v>1804</v>
      </c>
      <c r="W30" s="2" t="s">
        <v>672</v>
      </c>
      <c r="X30" s="2" t="s">
        <v>636</v>
      </c>
      <c r="AA30" s="2">
        <v>1786</v>
      </c>
      <c r="AG30" s="2" t="s">
        <v>366</v>
      </c>
      <c r="AH30" s="2">
        <v>1837</v>
      </c>
      <c r="AI30" s="12" t="str">
        <f t="shared" si="11"/>
        <v>1837</v>
      </c>
      <c r="AK30" s="2" t="s">
        <v>45</v>
      </c>
      <c r="AL30" s="2" t="s">
        <v>183</v>
      </c>
      <c r="AM30" s="2" t="s">
        <v>196</v>
      </c>
      <c r="AN30" s="2" t="s">
        <v>800</v>
      </c>
      <c r="AO30" s="2" t="s">
        <v>776</v>
      </c>
    </row>
    <row r="31" spans="1:59">
      <c r="A31" s="12" t="s">
        <v>187</v>
      </c>
      <c r="B31" s="12" t="str">
        <f t="shared" si="2"/>
        <v>BARNARD</v>
      </c>
      <c r="C31" s="12" t="str">
        <f t="shared" si="3"/>
        <v>BARNARD</v>
      </c>
      <c r="D31" s="12" t="s">
        <v>188</v>
      </c>
      <c r="E31" s="12" t="str">
        <f t="shared" si="4"/>
        <v>Jacob Frederik</v>
      </c>
      <c r="F31" s="12" t="s">
        <v>866</v>
      </c>
      <c r="G31" s="12" t="str">
        <f t="shared" si="5"/>
        <v>a1b2c4d9e2</v>
      </c>
      <c r="H31" s="12" t="str">
        <f t="shared" si="6"/>
        <v>BARNARDa1b2c4d9e2</v>
      </c>
      <c r="I31" s="12"/>
      <c r="J31" s="12"/>
      <c r="K31" s="12" t="str">
        <f t="shared" si="7"/>
        <v/>
      </c>
      <c r="L31" s="12"/>
      <c r="M31" s="12" t="s">
        <v>189</v>
      </c>
      <c r="N31" s="12" t="str">
        <f t="shared" si="0"/>
        <v/>
      </c>
      <c r="O31" s="12" t="str">
        <f t="shared" si="1"/>
        <v>1808</v>
      </c>
      <c r="P31" s="12"/>
      <c r="Q31" s="12" t="str">
        <f t="shared" si="8"/>
        <v>1808</v>
      </c>
      <c r="R31" s="12"/>
      <c r="S31" s="12" t="str">
        <f t="shared" si="9"/>
        <v/>
      </c>
      <c r="T31" s="12"/>
      <c r="U31" s="12"/>
      <c r="V31" s="12" t="str">
        <f t="shared" si="10"/>
        <v/>
      </c>
      <c r="W31" s="12"/>
      <c r="X31" s="12"/>
      <c r="Y31" s="12"/>
      <c r="Z31" s="12"/>
      <c r="AA31" s="12"/>
      <c r="AB31" s="12"/>
      <c r="AC31" s="12"/>
      <c r="AD31" s="12"/>
      <c r="AE31" s="12"/>
      <c r="AF31" s="12" t="s">
        <v>3703</v>
      </c>
      <c r="AG31" s="12" t="s">
        <v>366</v>
      </c>
      <c r="AH31" s="12">
        <v>1837</v>
      </c>
      <c r="AI31" s="12" t="str">
        <f t="shared" si="11"/>
        <v>1837</v>
      </c>
      <c r="AJ31" s="12"/>
      <c r="AK31" s="12" t="s">
        <v>190</v>
      </c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</row>
    <row r="32" spans="1:59" s="5" customFormat="1">
      <c r="A32" s="5" t="s">
        <v>187</v>
      </c>
      <c r="B32" s="5" t="str">
        <f t="shared" si="2"/>
        <v>BARNARD</v>
      </c>
      <c r="C32" s="5" t="str">
        <f t="shared" si="3"/>
        <v>BARNARD</v>
      </c>
      <c r="D32" s="5" t="s">
        <v>191</v>
      </c>
      <c r="E32" s="12" t="str">
        <f t="shared" si="4"/>
        <v>Jan Matthiam</v>
      </c>
      <c r="F32" s="5" t="s">
        <v>867</v>
      </c>
      <c r="G32" s="5" t="str">
        <f t="shared" si="5"/>
        <v>a1b2c4d9e3</v>
      </c>
      <c r="H32" s="5" t="str">
        <f t="shared" si="6"/>
        <v>BARNARDa1b2c4d9e3</v>
      </c>
      <c r="J32" s="5">
        <v>1810</v>
      </c>
      <c r="K32" s="5" t="str">
        <f t="shared" si="7"/>
        <v>1810</v>
      </c>
      <c r="N32" s="5" t="str">
        <f t="shared" si="0"/>
        <v>1810</v>
      </c>
      <c r="O32" s="5" t="str">
        <f t="shared" si="1"/>
        <v/>
      </c>
      <c r="Q32" s="5" t="str">
        <f t="shared" si="8"/>
        <v>1810</v>
      </c>
      <c r="S32" s="5" t="str">
        <f t="shared" si="9"/>
        <v/>
      </c>
      <c r="T32" s="5" t="s">
        <v>140</v>
      </c>
      <c r="U32" s="5" t="s">
        <v>192</v>
      </c>
      <c r="V32" s="5" t="str">
        <f t="shared" si="10"/>
        <v>1838</v>
      </c>
      <c r="W32" s="5" t="s">
        <v>671</v>
      </c>
      <c r="X32" s="5" t="s">
        <v>653</v>
      </c>
      <c r="AF32" s="5" t="s">
        <v>3703</v>
      </c>
      <c r="AG32" s="5" t="s">
        <v>366</v>
      </c>
      <c r="AH32" s="5">
        <v>1837</v>
      </c>
      <c r="AI32" s="5" t="str">
        <f t="shared" si="11"/>
        <v>1837</v>
      </c>
      <c r="AK32" s="5" t="s">
        <v>190</v>
      </c>
    </row>
    <row r="33" spans="1:58" s="5" customFormat="1">
      <c r="A33" s="5" t="s">
        <v>187</v>
      </c>
      <c r="B33" s="5" t="str">
        <f t="shared" si="2"/>
        <v>BARNARD</v>
      </c>
      <c r="C33" s="5" t="str">
        <f t="shared" si="3"/>
        <v>BARNARD</v>
      </c>
      <c r="D33" s="5" t="s">
        <v>197</v>
      </c>
      <c r="E33" s="12" t="str">
        <f t="shared" si="4"/>
        <v>Marthinus Christoffel Jr</v>
      </c>
      <c r="F33" s="5" t="s">
        <v>15793</v>
      </c>
      <c r="G33" s="5" t="str">
        <f t="shared" si="5"/>
        <v>a1b2c4d9e5</v>
      </c>
      <c r="H33" s="5" t="str">
        <f t="shared" si="6"/>
        <v>BARNARDa1b2c4d9e5</v>
      </c>
      <c r="J33" s="5" t="s">
        <v>198</v>
      </c>
      <c r="K33" s="5" t="str">
        <f t="shared" si="7"/>
        <v>1814</v>
      </c>
      <c r="L33" s="5" t="s">
        <v>199</v>
      </c>
      <c r="M33" s="5" t="s">
        <v>200</v>
      </c>
      <c r="N33" s="5" t="str">
        <f t="shared" si="0"/>
        <v>1814</v>
      </c>
      <c r="O33" s="5" t="str">
        <f t="shared" si="1"/>
        <v>1815</v>
      </c>
      <c r="Q33" s="5" t="str">
        <f t="shared" si="8"/>
        <v>1814</v>
      </c>
      <c r="S33" s="5" t="str">
        <f t="shared" si="9"/>
        <v/>
      </c>
      <c r="V33" s="5" t="str">
        <f t="shared" si="10"/>
        <v/>
      </c>
      <c r="W33" s="5" t="s">
        <v>673</v>
      </c>
      <c r="X33" s="5" t="s">
        <v>654</v>
      </c>
      <c r="AG33" s="5" t="s">
        <v>366</v>
      </c>
      <c r="AI33" s="5" t="str">
        <f t="shared" si="11"/>
        <v/>
      </c>
      <c r="AK33" s="5" t="s">
        <v>190</v>
      </c>
    </row>
    <row r="34" spans="1:58">
      <c r="A34" s="2" t="s">
        <v>210</v>
      </c>
      <c r="B34" s="12" t="str">
        <f t="shared" si="2"/>
        <v>BASSON</v>
      </c>
      <c r="C34" s="12" t="str">
        <f t="shared" si="3"/>
        <v>BASSON</v>
      </c>
      <c r="D34" s="2" t="s">
        <v>231</v>
      </c>
      <c r="E34" s="12" t="str">
        <f t="shared" si="4"/>
        <v>Willem Johannes</v>
      </c>
      <c r="F34" s="2" t="s">
        <v>876</v>
      </c>
      <c r="G34" s="12" t="str">
        <f t="shared" si="5"/>
        <v>a1b1c2d4e2f1</v>
      </c>
      <c r="H34" s="12" t="str">
        <f t="shared" si="6"/>
        <v>BASSONa1b1c2d4e2f1</v>
      </c>
      <c r="K34" s="12" t="str">
        <f t="shared" si="7"/>
        <v/>
      </c>
      <c r="M34" s="2" t="s">
        <v>232</v>
      </c>
      <c r="N34" s="12" t="str">
        <f t="shared" si="0"/>
        <v/>
      </c>
      <c r="O34" s="12" t="str">
        <f t="shared" si="1"/>
        <v>1799</v>
      </c>
      <c r="Q34" s="12" t="str">
        <f t="shared" si="8"/>
        <v>1799</v>
      </c>
      <c r="S34" s="12" t="str">
        <f t="shared" si="9"/>
        <v/>
      </c>
      <c r="T34" s="2" t="s">
        <v>53</v>
      </c>
      <c r="U34" s="2" t="s">
        <v>233</v>
      </c>
      <c r="V34" s="12" t="str">
        <f t="shared" si="10"/>
        <v>1820</v>
      </c>
      <c r="W34" s="2" t="s">
        <v>679</v>
      </c>
      <c r="X34" s="2" t="s">
        <v>210</v>
      </c>
      <c r="Y34" s="2" t="s">
        <v>877</v>
      </c>
      <c r="AC34" s="2" t="s">
        <v>234</v>
      </c>
      <c r="AF34" s="2" t="s">
        <v>3698</v>
      </c>
      <c r="AG34" s="2" t="s">
        <v>53</v>
      </c>
      <c r="AI34" s="12" t="str">
        <f t="shared" si="11"/>
        <v/>
      </c>
      <c r="AJ34" s="2" t="s">
        <v>235</v>
      </c>
      <c r="AK34" s="2" t="s">
        <v>235</v>
      </c>
    </row>
    <row r="35" spans="1:58">
      <c r="A35" s="12" t="s">
        <v>210</v>
      </c>
      <c r="B35" s="12" t="str">
        <f t="shared" si="2"/>
        <v>BASSON</v>
      </c>
      <c r="C35" s="12" t="str">
        <f t="shared" si="3"/>
        <v>BASSON</v>
      </c>
      <c r="D35" s="2" t="s">
        <v>211</v>
      </c>
      <c r="E35" s="12" t="str">
        <f t="shared" si="4"/>
        <v>Matthys Michiel</v>
      </c>
      <c r="F35" s="2" t="s">
        <v>872</v>
      </c>
      <c r="G35" s="12" t="str">
        <f t="shared" si="5"/>
        <v>a1b1c2d4e2f3</v>
      </c>
      <c r="H35" s="12" t="str">
        <f t="shared" si="6"/>
        <v>BASSONa1b1c2d4e2f3</v>
      </c>
      <c r="K35" s="12" t="str">
        <f t="shared" si="7"/>
        <v/>
      </c>
      <c r="M35" s="2" t="s">
        <v>212</v>
      </c>
      <c r="N35" s="12" t="str">
        <f t="shared" si="0"/>
        <v/>
      </c>
      <c r="O35" s="12" t="str">
        <f t="shared" si="1"/>
        <v>1801</v>
      </c>
      <c r="Q35" s="12" t="str">
        <f t="shared" si="8"/>
        <v>1801</v>
      </c>
      <c r="S35" s="12" t="str">
        <f t="shared" si="9"/>
        <v/>
      </c>
      <c r="T35" s="2" t="s">
        <v>53</v>
      </c>
      <c r="U35" s="2" t="s">
        <v>213</v>
      </c>
      <c r="V35" s="12" t="str">
        <f t="shared" si="10"/>
        <v>1825</v>
      </c>
      <c r="W35" s="2" t="s">
        <v>676</v>
      </c>
      <c r="X35" s="2" t="s">
        <v>210</v>
      </c>
      <c r="Y35" s="2" t="s">
        <v>871</v>
      </c>
      <c r="AC35" s="2" t="s">
        <v>214</v>
      </c>
      <c r="AF35" s="2" t="s">
        <v>74</v>
      </c>
      <c r="AG35" s="2" t="s">
        <v>74</v>
      </c>
      <c r="AH35" s="2" t="s">
        <v>215</v>
      </c>
      <c r="AI35" s="12" t="str">
        <f t="shared" si="11"/>
        <v>1837</v>
      </c>
    </row>
    <row r="36" spans="1:58">
      <c r="A36" s="2" t="s">
        <v>210</v>
      </c>
      <c r="B36" s="12" t="str">
        <f t="shared" si="2"/>
        <v>BASSON</v>
      </c>
      <c r="C36" s="12" t="str">
        <f t="shared" si="3"/>
        <v>BASSON</v>
      </c>
      <c r="D36" s="2" t="s">
        <v>225</v>
      </c>
      <c r="E36" s="12" t="str">
        <f t="shared" si="4"/>
        <v>Willem Diederik</v>
      </c>
      <c r="F36" s="2" t="s">
        <v>875</v>
      </c>
      <c r="G36" s="12" t="str">
        <f t="shared" si="5"/>
        <v>a1b1c2d4e3f2g1</v>
      </c>
      <c r="H36" s="12" t="str">
        <f t="shared" si="6"/>
        <v>BASSONa1b1c2d4e3f2g1</v>
      </c>
      <c r="J36" s="2" t="s">
        <v>226</v>
      </c>
      <c r="K36" s="12" t="str">
        <f t="shared" si="7"/>
        <v>1815</v>
      </c>
      <c r="L36" s="2" t="s">
        <v>74</v>
      </c>
      <c r="M36" s="2" t="s">
        <v>226</v>
      </c>
      <c r="N36" s="12" t="str">
        <f t="shared" si="0"/>
        <v>1815</v>
      </c>
      <c r="O36" s="12" t="str">
        <f t="shared" si="1"/>
        <v>1815</v>
      </c>
      <c r="P36" s="2" t="s">
        <v>140</v>
      </c>
      <c r="Q36" s="12" t="str">
        <f t="shared" si="8"/>
        <v>1815</v>
      </c>
      <c r="R36" s="2" t="s">
        <v>227</v>
      </c>
      <c r="S36" s="12" t="str">
        <f t="shared" si="9"/>
        <v>1861</v>
      </c>
      <c r="T36" s="2" t="s">
        <v>83</v>
      </c>
      <c r="U36" s="2" t="s">
        <v>228</v>
      </c>
      <c r="V36" s="12" t="str">
        <f t="shared" si="10"/>
        <v>1839</v>
      </c>
      <c r="W36" s="2" t="s">
        <v>678</v>
      </c>
      <c r="X36" s="2" t="s">
        <v>658</v>
      </c>
      <c r="AD36" s="2" t="s">
        <v>140</v>
      </c>
      <c r="AE36" s="2" t="s">
        <v>229</v>
      </c>
      <c r="AG36" s="2" t="s">
        <v>74</v>
      </c>
      <c r="AH36" s="2">
        <v>1839</v>
      </c>
      <c r="AI36" s="12" t="str">
        <f t="shared" si="11"/>
        <v>1839</v>
      </c>
      <c r="AK36" s="2" t="s">
        <v>230</v>
      </c>
    </row>
    <row r="37" spans="1:58">
      <c r="A37" s="12" t="s">
        <v>210</v>
      </c>
      <c r="B37" s="12" t="str">
        <f t="shared" si="2"/>
        <v>BASSON</v>
      </c>
      <c r="C37" s="12" t="str">
        <f t="shared" si="3"/>
        <v>BASSON</v>
      </c>
      <c r="D37" s="2" t="s">
        <v>216</v>
      </c>
      <c r="E37" s="12" t="str">
        <f t="shared" si="4"/>
        <v>Nicolaas Johannes Salomon</v>
      </c>
      <c r="F37" s="2" t="s">
        <v>873</v>
      </c>
      <c r="G37" s="12" t="str">
        <f t="shared" si="5"/>
        <v>a1b1c2d4e3f4</v>
      </c>
      <c r="H37" s="12" t="str">
        <f t="shared" si="6"/>
        <v>BASSONa1b1c2d4e3f4</v>
      </c>
      <c r="K37" s="12" t="str">
        <f t="shared" si="7"/>
        <v/>
      </c>
      <c r="M37" s="2" t="s">
        <v>217</v>
      </c>
      <c r="N37" s="12" t="str">
        <f t="shared" si="0"/>
        <v/>
      </c>
      <c r="O37" s="12" t="str">
        <f t="shared" si="1"/>
        <v>1800</v>
      </c>
      <c r="Q37" s="12" t="str">
        <f t="shared" si="8"/>
        <v>1800</v>
      </c>
      <c r="R37" s="2">
        <v>1848</v>
      </c>
      <c r="S37" s="12" t="str">
        <f t="shared" si="9"/>
        <v>1848</v>
      </c>
      <c r="T37" s="2" t="s">
        <v>53</v>
      </c>
      <c r="U37" s="2" t="s">
        <v>218</v>
      </c>
      <c r="V37" s="12" t="str">
        <f t="shared" si="10"/>
        <v>1824</v>
      </c>
      <c r="W37" s="2" t="s">
        <v>677</v>
      </c>
      <c r="X37" s="2" t="s">
        <v>657</v>
      </c>
      <c r="Y37" s="2" t="s">
        <v>874</v>
      </c>
      <c r="AF37" s="2" t="s">
        <v>3698</v>
      </c>
      <c r="AG37" s="2" t="s">
        <v>53</v>
      </c>
      <c r="AH37" s="2">
        <v>1839</v>
      </c>
      <c r="AI37" s="12" t="str">
        <f t="shared" si="11"/>
        <v>1839</v>
      </c>
      <c r="AK37" s="2" t="s">
        <v>190</v>
      </c>
      <c r="AN37" s="2" t="s">
        <v>802</v>
      </c>
      <c r="AO37" s="2" t="s">
        <v>777</v>
      </c>
      <c r="BF37" s="2">
        <v>1849</v>
      </c>
    </row>
    <row r="38" spans="1:58">
      <c r="A38" s="12" t="s">
        <v>236</v>
      </c>
      <c r="B38" s="12" t="str">
        <f t="shared" si="2"/>
        <v>BEETGE</v>
      </c>
      <c r="C38" s="12" t="str">
        <f t="shared" si="3"/>
        <v>BEETGE</v>
      </c>
      <c r="D38" s="2" t="s">
        <v>237</v>
      </c>
      <c r="E38" s="12" t="str">
        <f t="shared" si="4"/>
        <v>Johannes Andries</v>
      </c>
      <c r="F38" s="2" t="s">
        <v>837</v>
      </c>
      <c r="G38" s="12" t="str">
        <f t="shared" si="5"/>
        <v>a1b1</v>
      </c>
      <c r="H38" s="12" t="str">
        <f t="shared" si="6"/>
        <v>BEETGEa1b1</v>
      </c>
      <c r="K38" s="12" t="str">
        <f t="shared" si="7"/>
        <v/>
      </c>
      <c r="L38" s="2" t="s">
        <v>74</v>
      </c>
      <c r="M38" s="2" t="s">
        <v>238</v>
      </c>
      <c r="N38" s="12" t="str">
        <f t="shared" si="0"/>
        <v/>
      </c>
      <c r="O38" s="12" t="str">
        <f t="shared" si="1"/>
        <v>1797</v>
      </c>
      <c r="P38" s="2" t="s">
        <v>134</v>
      </c>
      <c r="Q38" s="12" t="str">
        <f t="shared" si="8"/>
        <v>1797</v>
      </c>
      <c r="R38" s="2" t="s">
        <v>239</v>
      </c>
      <c r="S38" s="12" t="str">
        <f t="shared" si="9"/>
        <v>1854</v>
      </c>
      <c r="T38" s="2" t="s">
        <v>74</v>
      </c>
      <c r="U38" s="2" t="s">
        <v>240</v>
      </c>
      <c r="V38" s="12" t="str">
        <f t="shared" si="10"/>
        <v>1828</v>
      </c>
      <c r="W38" s="2" t="s">
        <v>680</v>
      </c>
      <c r="X38" s="2" t="s">
        <v>659</v>
      </c>
      <c r="AC38" s="2" t="s">
        <v>252</v>
      </c>
      <c r="AF38" s="2" t="s">
        <v>3704</v>
      </c>
      <c r="AG38" s="2" t="s">
        <v>60</v>
      </c>
      <c r="AH38" s="2">
        <v>1838</v>
      </c>
      <c r="AI38" s="12" t="str">
        <f t="shared" si="11"/>
        <v>1838</v>
      </c>
      <c r="AK38" s="2" t="s">
        <v>140</v>
      </c>
      <c r="AL38" s="2" t="s">
        <v>140</v>
      </c>
      <c r="AM38" s="2" t="s">
        <v>241</v>
      </c>
      <c r="AN38" s="2" t="s">
        <v>803</v>
      </c>
      <c r="AO38" s="2" t="s">
        <v>778</v>
      </c>
    </row>
    <row r="39" spans="1:58">
      <c r="A39" s="12" t="s">
        <v>242</v>
      </c>
      <c r="B39" s="12" t="str">
        <f t="shared" si="2"/>
        <v>BEKKER</v>
      </c>
      <c r="C39" s="12" t="str">
        <f t="shared" si="3"/>
        <v>BEKKER</v>
      </c>
      <c r="D39" s="2" t="s">
        <v>261</v>
      </c>
      <c r="E39" s="12" t="str">
        <f t="shared" si="4"/>
        <v>Johannes Jurgen Sr</v>
      </c>
      <c r="F39" s="2" t="s">
        <v>883</v>
      </c>
      <c r="G39" s="12" t="str">
        <f t="shared" si="5"/>
        <v>a1b4c1d10</v>
      </c>
      <c r="H39" s="12" t="str">
        <f t="shared" si="6"/>
        <v>BEKKERa1b4c1d10</v>
      </c>
      <c r="K39" s="12" t="str">
        <f t="shared" si="7"/>
        <v/>
      </c>
      <c r="M39" s="2" t="s">
        <v>262</v>
      </c>
      <c r="N39" s="12" t="str">
        <f t="shared" si="0"/>
        <v/>
      </c>
      <c r="O39" s="12" t="str">
        <f t="shared" si="1"/>
        <v>1799</v>
      </c>
      <c r="P39" s="2" t="s">
        <v>90</v>
      </c>
      <c r="Q39" s="12" t="str">
        <f t="shared" si="8"/>
        <v>1799</v>
      </c>
      <c r="R39" s="2" t="s">
        <v>263</v>
      </c>
      <c r="S39" s="12" t="str">
        <f t="shared" si="9"/>
        <v>1840</v>
      </c>
      <c r="U39" s="2" t="s">
        <v>264</v>
      </c>
      <c r="V39" s="12" t="str">
        <f t="shared" si="10"/>
        <v>1798</v>
      </c>
      <c r="W39" s="2" t="s">
        <v>684</v>
      </c>
      <c r="X39" s="2" t="s">
        <v>266</v>
      </c>
      <c r="AG39" s="2" t="s">
        <v>53</v>
      </c>
      <c r="AH39" s="2" t="s">
        <v>265</v>
      </c>
      <c r="AI39" s="12" t="str">
        <f t="shared" si="11"/>
        <v>1839</v>
      </c>
      <c r="AJ39" s="2" t="s">
        <v>266</v>
      </c>
      <c r="AK39" s="2" t="s">
        <v>270</v>
      </c>
      <c r="AN39" s="2" t="s">
        <v>806</v>
      </c>
      <c r="AO39" s="2" t="s">
        <v>662</v>
      </c>
    </row>
    <row r="40" spans="1:58">
      <c r="A40" s="12" t="s">
        <v>242</v>
      </c>
      <c r="B40" s="12" t="str">
        <f t="shared" si="2"/>
        <v>BEKKER</v>
      </c>
      <c r="C40" s="12" t="str">
        <f t="shared" si="3"/>
        <v>BEKKER</v>
      </c>
      <c r="D40" s="2" t="s">
        <v>267</v>
      </c>
      <c r="E40" s="12" t="str">
        <f t="shared" si="4"/>
        <v>Johannes Jurgen Jr</v>
      </c>
      <c r="F40" s="2" t="s">
        <v>884</v>
      </c>
      <c r="G40" s="12" t="str">
        <f t="shared" si="5"/>
        <v>a1b4c1d10e5</v>
      </c>
      <c r="H40" s="12" t="str">
        <f t="shared" si="6"/>
        <v>BEKKERa1b4c1d10e5</v>
      </c>
      <c r="K40" s="12" t="str">
        <f t="shared" si="7"/>
        <v/>
      </c>
      <c r="M40" s="2" t="s">
        <v>268</v>
      </c>
      <c r="N40" s="12" t="str">
        <f t="shared" si="0"/>
        <v/>
      </c>
      <c r="O40" s="12" t="str">
        <f t="shared" si="1"/>
        <v>1806</v>
      </c>
      <c r="Q40" s="12" t="str">
        <f t="shared" si="8"/>
        <v>1806</v>
      </c>
      <c r="S40" s="12" t="str">
        <f t="shared" si="9"/>
        <v/>
      </c>
      <c r="T40" s="2" t="s">
        <v>258</v>
      </c>
      <c r="U40" s="2" t="s">
        <v>269</v>
      </c>
      <c r="V40" s="12" t="str">
        <f t="shared" si="10"/>
        <v>1826</v>
      </c>
      <c r="W40" s="2" t="s">
        <v>685</v>
      </c>
      <c r="X40" s="2" t="s">
        <v>662</v>
      </c>
      <c r="AG40" s="2" t="s">
        <v>53</v>
      </c>
      <c r="AI40" s="12" t="str">
        <f t="shared" si="11"/>
        <v/>
      </c>
      <c r="AJ40" s="2" t="s">
        <v>272</v>
      </c>
      <c r="AK40" s="2" t="s">
        <v>271</v>
      </c>
    </row>
    <row r="41" spans="1:58">
      <c r="A41" s="12" t="s">
        <v>242</v>
      </c>
      <c r="B41" s="12" t="str">
        <f t="shared" si="2"/>
        <v>BEKKER</v>
      </c>
      <c r="C41" s="12" t="str">
        <f t="shared" si="3"/>
        <v>BEKKER</v>
      </c>
      <c r="D41" s="2" t="s">
        <v>243</v>
      </c>
      <c r="E41" s="12" t="str">
        <f t="shared" si="4"/>
        <v>Adriaan</v>
      </c>
      <c r="F41" s="2" t="s">
        <v>878</v>
      </c>
      <c r="G41" s="12" t="str">
        <f t="shared" si="5"/>
        <v>a1b4c1d1e11</v>
      </c>
      <c r="H41" s="12" t="str">
        <f t="shared" si="6"/>
        <v>BEKKERa1b4c1d1e11</v>
      </c>
      <c r="K41" s="12" t="str">
        <f t="shared" si="7"/>
        <v/>
      </c>
      <c r="M41" s="2" t="s">
        <v>249</v>
      </c>
      <c r="N41" s="12" t="str">
        <f t="shared" si="0"/>
        <v/>
      </c>
      <c r="O41" s="12" t="str">
        <f t="shared" si="1"/>
        <v>1798</v>
      </c>
      <c r="Q41" s="12" t="str">
        <f t="shared" si="8"/>
        <v>1798</v>
      </c>
      <c r="S41" s="12" t="str">
        <f t="shared" si="9"/>
        <v/>
      </c>
      <c r="T41" s="2" t="s">
        <v>199</v>
      </c>
      <c r="U41" s="2" t="s">
        <v>250</v>
      </c>
      <c r="V41" s="12" t="str">
        <f t="shared" si="10"/>
        <v>1822</v>
      </c>
      <c r="W41" s="2" t="s">
        <v>681</v>
      </c>
      <c r="X41" s="2" t="s">
        <v>660</v>
      </c>
      <c r="Y41" s="2" t="s">
        <v>879</v>
      </c>
      <c r="AC41" s="2" t="s">
        <v>251</v>
      </c>
      <c r="AG41" s="2" t="s">
        <v>199</v>
      </c>
      <c r="AH41" s="2" t="s">
        <v>253</v>
      </c>
      <c r="AI41" s="12" t="str">
        <f t="shared" si="11"/>
        <v>1836</v>
      </c>
      <c r="AK41" s="2" t="s">
        <v>90</v>
      </c>
    </row>
    <row r="42" spans="1:58">
      <c r="A42" s="12" t="s">
        <v>242</v>
      </c>
      <c r="B42" s="12" t="str">
        <f t="shared" si="2"/>
        <v>BEKKER</v>
      </c>
      <c r="C42" s="12" t="str">
        <f t="shared" si="3"/>
        <v>BEKKER</v>
      </c>
      <c r="D42" s="2" t="s">
        <v>254</v>
      </c>
      <c r="E42" s="12" t="str">
        <f t="shared" si="4"/>
        <v>Hendrik Marthinus</v>
      </c>
      <c r="F42" s="2" t="s">
        <v>880</v>
      </c>
      <c r="G42" s="12" t="str">
        <f t="shared" si="5"/>
        <v>a1b4c1d1e6</v>
      </c>
      <c r="H42" s="12" t="str">
        <f t="shared" si="6"/>
        <v>BEKKERa1b4c1d1e6</v>
      </c>
      <c r="K42" s="12" t="str">
        <f t="shared" si="7"/>
        <v/>
      </c>
      <c r="M42" s="2" t="s">
        <v>244</v>
      </c>
      <c r="N42" s="12" t="str">
        <f t="shared" si="0"/>
        <v/>
      </c>
      <c r="O42" s="12" t="str">
        <f t="shared" si="1"/>
        <v>1791</v>
      </c>
      <c r="Q42" s="12" t="str">
        <f t="shared" si="8"/>
        <v>1791</v>
      </c>
      <c r="S42" s="12" t="str">
        <f t="shared" si="9"/>
        <v/>
      </c>
      <c r="T42" s="2" t="s">
        <v>74</v>
      </c>
      <c r="U42" s="2" t="s">
        <v>245</v>
      </c>
      <c r="V42" s="12" t="str">
        <f t="shared" si="10"/>
        <v>1812</v>
      </c>
      <c r="W42" s="2" t="s">
        <v>682</v>
      </c>
      <c r="X42" s="2" t="s">
        <v>655</v>
      </c>
      <c r="AF42" s="2" t="s">
        <v>16</v>
      </c>
      <c r="AG42" s="2" t="s">
        <v>28</v>
      </c>
      <c r="AI42" s="12" t="str">
        <f t="shared" si="11"/>
        <v/>
      </c>
      <c r="AK42" s="2" t="s">
        <v>248</v>
      </c>
      <c r="AL42" s="2" t="s">
        <v>74</v>
      </c>
      <c r="AM42" s="2" t="s">
        <v>246</v>
      </c>
      <c r="AN42" s="2" t="s">
        <v>804</v>
      </c>
      <c r="AO42" s="2" t="s">
        <v>661</v>
      </c>
      <c r="AP42" s="2" t="s">
        <v>881</v>
      </c>
      <c r="AR42" s="2" t="s">
        <v>247</v>
      </c>
    </row>
    <row r="43" spans="1:58">
      <c r="A43" s="12" t="s">
        <v>242</v>
      </c>
      <c r="B43" s="12" t="str">
        <f t="shared" si="2"/>
        <v>BEKKER</v>
      </c>
      <c r="C43" s="12" t="str">
        <f t="shared" si="3"/>
        <v>BEKKER</v>
      </c>
      <c r="D43" s="2" t="s">
        <v>273</v>
      </c>
      <c r="E43" s="12" t="str">
        <f t="shared" si="4"/>
        <v>Marthinus</v>
      </c>
      <c r="F43" s="2" t="s">
        <v>885</v>
      </c>
      <c r="G43" s="12" t="str">
        <f t="shared" si="5"/>
        <v>a1b4c1d1e9</v>
      </c>
      <c r="H43" s="12" t="str">
        <f t="shared" si="6"/>
        <v>BEKKERa1b4c1d1e9</v>
      </c>
      <c r="K43" s="12" t="str">
        <f t="shared" si="7"/>
        <v/>
      </c>
      <c r="M43" s="2" t="s">
        <v>274</v>
      </c>
      <c r="N43" s="12" t="str">
        <f t="shared" si="0"/>
        <v/>
      </c>
      <c r="O43" s="12" t="str">
        <f t="shared" si="1"/>
        <v>1794</v>
      </c>
      <c r="Q43" s="12" t="str">
        <f t="shared" si="8"/>
        <v>1794</v>
      </c>
      <c r="S43" s="12" t="str">
        <f t="shared" si="9"/>
        <v/>
      </c>
      <c r="U43" s="2" t="s">
        <v>159</v>
      </c>
      <c r="V43" s="12" t="str">
        <f t="shared" si="10"/>
        <v>1819</v>
      </c>
      <c r="W43" s="2" t="s">
        <v>644</v>
      </c>
      <c r="X43" s="2" t="s">
        <v>663</v>
      </c>
      <c r="Y43" s="2" t="s">
        <v>886</v>
      </c>
      <c r="AC43" s="2" t="s">
        <v>275</v>
      </c>
      <c r="AF43" s="2" t="s">
        <v>3699</v>
      </c>
      <c r="AG43" s="2" t="s">
        <v>28</v>
      </c>
      <c r="AH43" s="2" t="s">
        <v>276</v>
      </c>
      <c r="AI43" s="12" t="str">
        <f t="shared" si="11"/>
        <v>1831</v>
      </c>
      <c r="AJ43" s="2" t="s">
        <v>277</v>
      </c>
      <c r="AK43" s="2" t="s">
        <v>90</v>
      </c>
    </row>
    <row r="44" spans="1:58">
      <c r="A44" s="12" t="s">
        <v>242</v>
      </c>
      <c r="B44" s="12" t="str">
        <f t="shared" si="2"/>
        <v>BEKKER</v>
      </c>
      <c r="C44" s="12" t="str">
        <f t="shared" si="3"/>
        <v>BEKKER</v>
      </c>
      <c r="D44" s="2" t="s">
        <v>291</v>
      </c>
      <c r="E44" s="12" t="str">
        <f t="shared" si="4"/>
        <v>Rynier Johannes</v>
      </c>
      <c r="F44" s="2" t="s">
        <v>890</v>
      </c>
      <c r="G44" s="12" t="str">
        <f t="shared" si="5"/>
        <v>a1b6c3d1e10</v>
      </c>
      <c r="H44" s="12" t="str">
        <f t="shared" si="6"/>
        <v>BEKKERa1b6c3d1e10</v>
      </c>
      <c r="K44" s="12" t="str">
        <f t="shared" si="7"/>
        <v/>
      </c>
      <c r="M44" s="2" t="s">
        <v>292</v>
      </c>
      <c r="N44" s="12" t="str">
        <f t="shared" si="0"/>
        <v/>
      </c>
      <c r="O44" s="12" t="str">
        <f t="shared" si="1"/>
        <v>1809</v>
      </c>
      <c r="P44" s="2" t="s">
        <v>287</v>
      </c>
      <c r="Q44" s="12" t="str">
        <f t="shared" si="8"/>
        <v>1809</v>
      </c>
      <c r="R44" s="2" t="s">
        <v>288</v>
      </c>
      <c r="S44" s="12" t="str">
        <f t="shared" si="9"/>
        <v>1837</v>
      </c>
      <c r="T44" s="2" t="s">
        <v>199</v>
      </c>
      <c r="U44" s="2" t="s">
        <v>294</v>
      </c>
      <c r="V44" s="12" t="str">
        <f t="shared" si="10"/>
        <v>1832</v>
      </c>
      <c r="W44" s="2" t="s">
        <v>689</v>
      </c>
      <c r="X44" s="2" t="s">
        <v>666</v>
      </c>
      <c r="AG44" s="2" t="s">
        <v>199</v>
      </c>
      <c r="AH44" s="2" t="s">
        <v>290</v>
      </c>
      <c r="AI44" s="12" t="str">
        <f t="shared" si="11"/>
        <v>1837</v>
      </c>
      <c r="AK44" s="2" t="s">
        <v>235</v>
      </c>
    </row>
    <row r="45" spans="1:58">
      <c r="A45" s="12" t="s">
        <v>242</v>
      </c>
      <c r="B45" s="12" t="str">
        <f t="shared" si="2"/>
        <v>BEKKER</v>
      </c>
      <c r="C45" s="12" t="str">
        <f t="shared" si="3"/>
        <v>BEKKER</v>
      </c>
      <c r="D45" s="2" t="s">
        <v>285</v>
      </c>
      <c r="E45" s="12" t="str">
        <f t="shared" si="4"/>
        <v>Roelof Hendrik</v>
      </c>
      <c r="F45" s="2" t="s">
        <v>889</v>
      </c>
      <c r="G45" s="12" t="str">
        <f t="shared" si="5"/>
        <v>a1b6c3d1e11</v>
      </c>
      <c r="H45" s="12" t="str">
        <f t="shared" si="6"/>
        <v>BEKKERa1b6c3d1e11</v>
      </c>
      <c r="K45" s="12" t="str">
        <f t="shared" si="7"/>
        <v/>
      </c>
      <c r="M45" s="2" t="s">
        <v>286</v>
      </c>
      <c r="N45" s="12" t="str">
        <f t="shared" si="0"/>
        <v/>
      </c>
      <c r="O45" s="12" t="str">
        <f t="shared" si="1"/>
        <v>1812</v>
      </c>
      <c r="P45" s="2" t="s">
        <v>287</v>
      </c>
      <c r="Q45" s="12" t="str">
        <f t="shared" si="8"/>
        <v>1812</v>
      </c>
      <c r="R45" s="2" t="s">
        <v>288</v>
      </c>
      <c r="S45" s="12" t="str">
        <f t="shared" si="9"/>
        <v>1837</v>
      </c>
      <c r="T45" s="2" t="s">
        <v>199</v>
      </c>
      <c r="U45" s="2" t="s">
        <v>289</v>
      </c>
      <c r="V45" s="12" t="str">
        <f t="shared" si="10"/>
        <v>1832</v>
      </c>
      <c r="W45" s="2" t="s">
        <v>688</v>
      </c>
      <c r="X45" s="2" t="s">
        <v>655</v>
      </c>
      <c r="AG45" s="2" t="s">
        <v>199</v>
      </c>
      <c r="AH45" s="2" t="s">
        <v>290</v>
      </c>
      <c r="AI45" s="12" t="str">
        <f t="shared" si="11"/>
        <v>1837</v>
      </c>
      <c r="AK45" s="2" t="s">
        <v>235</v>
      </c>
    </row>
    <row r="46" spans="1:58">
      <c r="A46" s="2" t="s">
        <v>242</v>
      </c>
      <c r="B46" s="12" t="str">
        <f t="shared" si="2"/>
        <v>BEKKER</v>
      </c>
      <c r="C46" s="12" t="str">
        <f t="shared" si="3"/>
        <v>BEKKER</v>
      </c>
      <c r="D46" s="2" t="s">
        <v>278</v>
      </c>
      <c r="E46" s="12" t="str">
        <f t="shared" si="4"/>
        <v>Marthinus Johannes</v>
      </c>
      <c r="F46" s="2" t="s">
        <v>887</v>
      </c>
      <c r="G46" s="12" t="str">
        <f t="shared" si="5"/>
        <v>a1b6c3d1e12</v>
      </c>
      <c r="H46" s="12" t="str">
        <f t="shared" si="6"/>
        <v>BEKKERa1b6c3d1e12</v>
      </c>
      <c r="J46" s="2" t="s">
        <v>279</v>
      </c>
      <c r="K46" s="12" t="str">
        <f t="shared" si="7"/>
        <v>1814</v>
      </c>
      <c r="M46" s="2" t="s">
        <v>280</v>
      </c>
      <c r="N46" s="12" t="str">
        <f t="shared" si="0"/>
        <v>1814</v>
      </c>
      <c r="O46" s="12" t="str">
        <f t="shared" si="1"/>
        <v>1815</v>
      </c>
      <c r="Q46" s="12" t="str">
        <f t="shared" si="8"/>
        <v>1814</v>
      </c>
      <c r="S46" s="12" t="str">
        <f t="shared" si="9"/>
        <v/>
      </c>
      <c r="T46" s="2" t="s">
        <v>199</v>
      </c>
      <c r="U46" s="2" t="s">
        <v>281</v>
      </c>
      <c r="V46" s="12" t="str">
        <f t="shared" si="10"/>
        <v>1836</v>
      </c>
      <c r="W46" s="2" t="s">
        <v>686</v>
      </c>
      <c r="X46" s="2" t="s">
        <v>664</v>
      </c>
      <c r="AG46" s="2" t="s">
        <v>199</v>
      </c>
      <c r="AH46" s="2">
        <v>1845</v>
      </c>
      <c r="AI46" s="12" t="str">
        <f t="shared" si="11"/>
        <v>1845</v>
      </c>
      <c r="AK46" s="2" t="s">
        <v>90</v>
      </c>
    </row>
    <row r="47" spans="1:58">
      <c r="A47" s="2" t="s">
        <v>242</v>
      </c>
      <c r="B47" s="12" t="str">
        <f t="shared" si="2"/>
        <v>BEKKER</v>
      </c>
      <c r="C47" s="12" t="str">
        <f t="shared" si="3"/>
        <v>BEKKER</v>
      </c>
      <c r="D47" s="2" t="s">
        <v>151</v>
      </c>
      <c r="E47" s="12" t="str">
        <f t="shared" si="4"/>
        <v>Jacobus Petrus</v>
      </c>
      <c r="F47" s="2" t="s">
        <v>882</v>
      </c>
      <c r="G47" s="12" t="str">
        <f t="shared" si="5"/>
        <v>a1b6c3d1e2</v>
      </c>
      <c r="H47" s="12" t="str">
        <f t="shared" si="6"/>
        <v>BEKKERa1b6c3d1e2</v>
      </c>
      <c r="K47" s="12" t="str">
        <f t="shared" si="7"/>
        <v/>
      </c>
      <c r="M47" s="2" t="s">
        <v>256</v>
      </c>
      <c r="N47" s="12" t="str">
        <f t="shared" si="0"/>
        <v/>
      </c>
      <c r="O47" s="12" t="str">
        <f t="shared" si="1"/>
        <v>1794</v>
      </c>
      <c r="Q47" s="12" t="str">
        <f t="shared" si="8"/>
        <v>1794</v>
      </c>
      <c r="S47" s="12" t="str">
        <f t="shared" si="9"/>
        <v/>
      </c>
      <c r="T47" s="2" t="s">
        <v>199</v>
      </c>
      <c r="U47" s="2" t="s">
        <v>257</v>
      </c>
      <c r="V47" s="12" t="str">
        <f t="shared" si="10"/>
        <v>1822</v>
      </c>
      <c r="W47" s="2" t="s">
        <v>683</v>
      </c>
      <c r="X47" s="2" t="s">
        <v>661</v>
      </c>
      <c r="AF47" s="2" t="s">
        <v>3705</v>
      </c>
      <c r="AG47" s="2" t="s">
        <v>258</v>
      </c>
      <c r="AH47" s="2" t="s">
        <v>260</v>
      </c>
      <c r="AI47" s="12" t="str">
        <f t="shared" si="11"/>
        <v>1838</v>
      </c>
      <c r="AK47" s="2" t="s">
        <v>140</v>
      </c>
      <c r="AL47" s="2" t="s">
        <v>258</v>
      </c>
      <c r="AM47" s="2" t="s">
        <v>259</v>
      </c>
      <c r="AN47" s="2" t="s">
        <v>805</v>
      </c>
      <c r="AO47" s="2" t="s">
        <v>668</v>
      </c>
    </row>
    <row r="48" spans="1:58">
      <c r="A48" s="2" t="s">
        <v>242</v>
      </c>
      <c r="B48" s="12" t="str">
        <f t="shared" si="2"/>
        <v>BEKKER</v>
      </c>
      <c r="C48" s="12" t="str">
        <f t="shared" si="3"/>
        <v>BEKKER</v>
      </c>
      <c r="D48" s="2" t="s">
        <v>201</v>
      </c>
      <c r="E48" s="12" t="str">
        <f t="shared" si="4"/>
        <v>Petrus Johannes</v>
      </c>
      <c r="F48" s="2" t="s">
        <v>888</v>
      </c>
      <c r="G48" s="12" t="str">
        <f t="shared" si="5"/>
        <v>a1b6c3d5e3</v>
      </c>
      <c r="H48" s="12" t="str">
        <f t="shared" si="6"/>
        <v>BEKKERa1b6c3d5e3</v>
      </c>
      <c r="K48" s="12" t="str">
        <f t="shared" si="7"/>
        <v/>
      </c>
      <c r="M48" s="2" t="s">
        <v>282</v>
      </c>
      <c r="N48" s="12" t="str">
        <f t="shared" si="0"/>
        <v/>
      </c>
      <c r="O48" s="12" t="str">
        <f t="shared" si="1"/>
        <v>1802</v>
      </c>
      <c r="Q48" s="12" t="str">
        <f t="shared" si="8"/>
        <v>1802</v>
      </c>
      <c r="S48" s="12" t="str">
        <f t="shared" si="9"/>
        <v/>
      </c>
      <c r="T48" s="2" t="s">
        <v>53</v>
      </c>
      <c r="U48" s="2" t="s">
        <v>283</v>
      </c>
      <c r="V48" s="12" t="str">
        <f t="shared" si="10"/>
        <v>1823</v>
      </c>
      <c r="W48" s="2" t="s">
        <v>687</v>
      </c>
      <c r="X48" s="2" t="s">
        <v>665</v>
      </c>
      <c r="AF48" s="2" t="s">
        <v>3699</v>
      </c>
      <c r="AG48" s="2" t="s">
        <v>28</v>
      </c>
      <c r="AH48" s="2" t="s">
        <v>284</v>
      </c>
      <c r="AI48" s="12" t="str">
        <f t="shared" si="11"/>
        <v>1837</v>
      </c>
      <c r="AJ48" s="2" t="s">
        <v>277</v>
      </c>
      <c r="AK48" s="2" t="s">
        <v>140</v>
      </c>
    </row>
    <row r="49" spans="1:69">
      <c r="A49" s="2" t="s">
        <v>295</v>
      </c>
      <c r="B49" s="12" t="str">
        <f t="shared" si="2"/>
        <v>BESTER</v>
      </c>
      <c r="C49" s="12" t="str">
        <f t="shared" si="3"/>
        <v>BESTER</v>
      </c>
      <c r="D49" s="2" t="s">
        <v>307</v>
      </c>
      <c r="E49" s="12" t="str">
        <f t="shared" si="4"/>
        <v>Hermanus Jacobus</v>
      </c>
      <c r="F49" s="2" t="s">
        <v>896</v>
      </c>
      <c r="G49" s="12" t="str">
        <f t="shared" si="5"/>
        <v>a1b1c2d5</v>
      </c>
      <c r="H49" s="12" t="str">
        <f t="shared" si="6"/>
        <v>BESTERa1b1c2d5</v>
      </c>
      <c r="K49" s="12" t="str">
        <f t="shared" si="7"/>
        <v/>
      </c>
      <c r="M49" s="2" t="s">
        <v>308</v>
      </c>
      <c r="N49" s="12" t="str">
        <f t="shared" si="0"/>
        <v/>
      </c>
      <c r="O49" s="12" t="str">
        <f t="shared" si="1"/>
        <v>1799</v>
      </c>
      <c r="Q49" s="12" t="str">
        <f t="shared" si="8"/>
        <v>1799</v>
      </c>
      <c r="S49" s="12" t="str">
        <f t="shared" si="9"/>
        <v/>
      </c>
      <c r="T49" s="2" t="s">
        <v>32</v>
      </c>
      <c r="U49" s="2" t="s">
        <v>309</v>
      </c>
      <c r="V49" s="12" t="str">
        <f t="shared" si="10"/>
        <v>1828</v>
      </c>
      <c r="W49" s="2" t="s">
        <v>693</v>
      </c>
      <c r="X49" s="2" t="s">
        <v>670</v>
      </c>
      <c r="Y49" s="2" t="s">
        <v>897</v>
      </c>
      <c r="AC49" s="2" t="s">
        <v>41</v>
      </c>
      <c r="AF49" s="2" t="s">
        <v>3708</v>
      </c>
      <c r="AG49" s="2" t="s">
        <v>32</v>
      </c>
      <c r="AH49" s="2" t="s">
        <v>310</v>
      </c>
      <c r="AI49" s="12" t="str">
        <f t="shared" si="11"/>
        <v>1837</v>
      </c>
      <c r="AK49" s="2" t="s">
        <v>90</v>
      </c>
    </row>
    <row r="50" spans="1:69">
      <c r="A50" s="2" t="s">
        <v>295</v>
      </c>
      <c r="B50" s="12" t="str">
        <f t="shared" si="2"/>
        <v>BESTER</v>
      </c>
      <c r="C50" s="12" t="str">
        <f t="shared" si="3"/>
        <v>BESTER</v>
      </c>
      <c r="D50" s="2" t="s">
        <v>298</v>
      </c>
      <c r="E50" s="12" t="str">
        <f t="shared" si="4"/>
        <v>Andries Nicolaas</v>
      </c>
      <c r="F50" s="2" t="s">
        <v>893</v>
      </c>
      <c r="G50" s="12" t="str">
        <f t="shared" si="5"/>
        <v>a1b3c5d4</v>
      </c>
      <c r="H50" s="12" t="str">
        <f t="shared" si="6"/>
        <v>BESTERa1b3c5d4</v>
      </c>
      <c r="K50" s="12" t="str">
        <f t="shared" si="7"/>
        <v/>
      </c>
      <c r="M50" s="2" t="s">
        <v>299</v>
      </c>
      <c r="N50" s="12" t="str">
        <f t="shared" si="0"/>
        <v/>
      </c>
      <c r="O50" s="12" t="str">
        <f t="shared" si="1"/>
        <v>1793</v>
      </c>
      <c r="P50" s="2" t="s">
        <v>300</v>
      </c>
      <c r="Q50" s="12" t="str">
        <f t="shared" si="8"/>
        <v>1793</v>
      </c>
      <c r="R50" s="2" t="s">
        <v>301</v>
      </c>
      <c r="S50" s="12" t="str">
        <f t="shared" si="9"/>
        <v>1838</v>
      </c>
      <c r="T50" s="2" t="s">
        <v>158</v>
      </c>
      <c r="U50" s="2" t="s">
        <v>302</v>
      </c>
      <c r="V50" s="12" t="str">
        <f t="shared" si="10"/>
        <v>1814</v>
      </c>
      <c r="W50" s="2" t="s">
        <v>691</v>
      </c>
      <c r="X50" s="2" t="s">
        <v>668</v>
      </c>
      <c r="Y50" s="2" t="s">
        <v>894</v>
      </c>
      <c r="AC50" s="2" t="s">
        <v>303</v>
      </c>
      <c r="AD50" s="2" t="s">
        <v>300</v>
      </c>
      <c r="AE50" s="2" t="s">
        <v>301</v>
      </c>
      <c r="AF50" s="2" t="s">
        <v>3707</v>
      </c>
      <c r="AG50" s="2" t="s">
        <v>32</v>
      </c>
      <c r="AH50" s="2" t="s">
        <v>297</v>
      </c>
      <c r="AI50" s="12" t="str">
        <f t="shared" si="11"/>
        <v>1837</v>
      </c>
    </row>
    <row r="51" spans="1:69">
      <c r="A51" s="12" t="s">
        <v>295</v>
      </c>
      <c r="B51" s="12" t="str">
        <f t="shared" si="2"/>
        <v>BESTER</v>
      </c>
      <c r="C51" s="12" t="str">
        <f t="shared" si="3"/>
        <v>BESTER</v>
      </c>
      <c r="D51" s="2" t="s">
        <v>319</v>
      </c>
      <c r="E51" s="12" t="str">
        <f t="shared" si="4"/>
        <v>Paul Dirk</v>
      </c>
      <c r="F51" s="2" t="s">
        <v>900</v>
      </c>
      <c r="G51" s="12" t="str">
        <f t="shared" si="5"/>
        <v>a1b4c3d1</v>
      </c>
      <c r="H51" s="12" t="str">
        <f t="shared" si="6"/>
        <v>BESTERa1b4c3d1</v>
      </c>
      <c r="K51" s="12" t="str">
        <f t="shared" si="7"/>
        <v/>
      </c>
      <c r="M51" s="2" t="s">
        <v>320</v>
      </c>
      <c r="N51" s="12" t="str">
        <f t="shared" si="0"/>
        <v/>
      </c>
      <c r="O51" s="12" t="str">
        <f t="shared" si="1"/>
        <v>1788</v>
      </c>
      <c r="P51" s="2" t="s">
        <v>321</v>
      </c>
      <c r="Q51" s="12" t="str">
        <f t="shared" si="8"/>
        <v>1788</v>
      </c>
      <c r="R51" s="2">
        <v>1841</v>
      </c>
      <c r="S51" s="12" t="str">
        <f t="shared" si="9"/>
        <v>1841</v>
      </c>
      <c r="U51" s="2" t="s">
        <v>322</v>
      </c>
      <c r="V51" s="12" t="str">
        <f t="shared" si="10"/>
        <v>1808</v>
      </c>
      <c r="W51" s="2" t="s">
        <v>707</v>
      </c>
      <c r="X51" s="2" t="s">
        <v>694</v>
      </c>
      <c r="Y51" s="2" t="s">
        <v>901</v>
      </c>
      <c r="AC51" s="2" t="s">
        <v>323</v>
      </c>
      <c r="AD51" s="2" t="s">
        <v>90</v>
      </c>
      <c r="AE51" s="2" t="s">
        <v>324</v>
      </c>
      <c r="AF51" s="2" t="s">
        <v>3706</v>
      </c>
      <c r="AG51" s="2" t="s">
        <v>68</v>
      </c>
      <c r="AH51" s="2" t="s">
        <v>297</v>
      </c>
      <c r="AI51" s="12" t="str">
        <f t="shared" si="11"/>
        <v>1837</v>
      </c>
      <c r="AK51" s="2" t="s">
        <v>325</v>
      </c>
    </row>
    <row r="52" spans="1:69">
      <c r="A52" s="12" t="s">
        <v>295</v>
      </c>
      <c r="B52" s="12" t="str">
        <f t="shared" si="2"/>
        <v>BESTER</v>
      </c>
      <c r="C52" s="12" t="str">
        <f t="shared" si="3"/>
        <v>BESTER</v>
      </c>
      <c r="D52" s="2" t="s">
        <v>326</v>
      </c>
      <c r="E52" s="12" t="str">
        <f t="shared" si="4"/>
        <v>Paul Michiel</v>
      </c>
      <c r="F52" s="2" t="s">
        <v>902</v>
      </c>
      <c r="G52" s="12" t="str">
        <f t="shared" si="5"/>
        <v>a1b4c3d1e4</v>
      </c>
      <c r="H52" s="12" t="str">
        <f t="shared" si="6"/>
        <v>BESTERa1b4c3d1e4</v>
      </c>
      <c r="J52" s="2" t="s">
        <v>327</v>
      </c>
      <c r="K52" s="12" t="str">
        <f t="shared" si="7"/>
        <v>1823</v>
      </c>
      <c r="L52" s="2" t="s">
        <v>53</v>
      </c>
      <c r="M52" s="2" t="s">
        <v>328</v>
      </c>
      <c r="N52" s="12" t="str">
        <f t="shared" si="0"/>
        <v>1823</v>
      </c>
      <c r="O52" s="12" t="str">
        <f t="shared" si="1"/>
        <v>1824</v>
      </c>
      <c r="Q52" s="12" t="str">
        <f t="shared" si="8"/>
        <v>1823</v>
      </c>
      <c r="S52" s="12" t="str">
        <f t="shared" si="9"/>
        <v/>
      </c>
      <c r="T52" s="2" t="s">
        <v>140</v>
      </c>
      <c r="U52" s="2" t="s">
        <v>329</v>
      </c>
      <c r="V52" s="12" t="str">
        <f t="shared" si="10"/>
        <v>1847</v>
      </c>
      <c r="W52" s="2" t="s">
        <v>708</v>
      </c>
      <c r="X52" s="2" t="s">
        <v>618</v>
      </c>
      <c r="AA52" s="2" t="s">
        <v>330</v>
      </c>
      <c r="AF52" s="2" t="s">
        <v>3709</v>
      </c>
      <c r="AG52" s="2" t="s">
        <v>68</v>
      </c>
      <c r="AH52" s="2" t="s">
        <v>297</v>
      </c>
      <c r="AI52" s="12" t="str">
        <f t="shared" si="11"/>
        <v>1837</v>
      </c>
      <c r="AK52" s="2" t="s">
        <v>67</v>
      </c>
      <c r="AN52" s="2" t="s">
        <v>649</v>
      </c>
      <c r="AO52" s="2" t="s">
        <v>779</v>
      </c>
    </row>
    <row r="53" spans="1:69">
      <c r="A53" s="2" t="s">
        <v>295</v>
      </c>
      <c r="B53" s="12" t="str">
        <f t="shared" si="2"/>
        <v>BESTER</v>
      </c>
      <c r="C53" s="12" t="str">
        <f t="shared" si="3"/>
        <v>BESTER</v>
      </c>
      <c r="D53" s="2" t="s">
        <v>326</v>
      </c>
      <c r="E53" s="12" t="str">
        <f t="shared" si="4"/>
        <v>Paul Michiel</v>
      </c>
      <c r="F53" s="2" t="s">
        <v>903</v>
      </c>
      <c r="G53" s="12" t="str">
        <f t="shared" si="5"/>
        <v>a1b4c3d2e2</v>
      </c>
      <c r="H53" s="12" t="str">
        <f t="shared" si="6"/>
        <v>BESTERa1b4c3d2e2</v>
      </c>
      <c r="I53" s="2" t="s">
        <v>331</v>
      </c>
      <c r="J53" s="2" t="s">
        <v>332</v>
      </c>
      <c r="K53" s="12" t="str">
        <f t="shared" si="7"/>
        <v>1811</v>
      </c>
      <c r="N53" s="12" t="str">
        <f t="shared" si="0"/>
        <v>1811</v>
      </c>
      <c r="O53" s="12" t="str">
        <f t="shared" si="1"/>
        <v/>
      </c>
      <c r="P53" s="2" t="s">
        <v>333</v>
      </c>
      <c r="Q53" s="12" t="str">
        <f t="shared" si="8"/>
        <v>1811</v>
      </c>
      <c r="R53" s="2" t="s">
        <v>334</v>
      </c>
      <c r="S53" s="12" t="str">
        <f t="shared" si="9"/>
        <v>1876</v>
      </c>
      <c r="T53" s="2" t="s">
        <v>68</v>
      </c>
      <c r="U53" s="2" t="s">
        <v>335</v>
      </c>
      <c r="V53" s="12" t="str">
        <f t="shared" si="10"/>
        <v>1830</v>
      </c>
      <c r="W53" s="5" t="s">
        <v>709</v>
      </c>
      <c r="X53" s="5" t="s">
        <v>695</v>
      </c>
      <c r="Y53" s="2" t="s">
        <v>904</v>
      </c>
      <c r="AC53" s="2" t="s">
        <v>336</v>
      </c>
      <c r="AE53" s="2" t="s">
        <v>337</v>
      </c>
      <c r="AF53" s="2" t="s">
        <v>3706</v>
      </c>
      <c r="AG53" s="2" t="s">
        <v>68</v>
      </c>
      <c r="AH53" s="2" t="s">
        <v>338</v>
      </c>
      <c r="AI53" s="12" t="str">
        <f t="shared" si="11"/>
        <v>1837</v>
      </c>
      <c r="AJ53" s="2" t="s">
        <v>339</v>
      </c>
      <c r="AK53" s="2" t="s">
        <v>340</v>
      </c>
      <c r="BQ53" s="2" t="s">
        <v>1157</v>
      </c>
    </row>
    <row r="54" spans="1:69">
      <c r="A54" s="12" t="s">
        <v>295</v>
      </c>
      <c r="B54" s="12" t="str">
        <f t="shared" si="2"/>
        <v>BESTER</v>
      </c>
      <c r="C54" s="12" t="str">
        <f t="shared" si="3"/>
        <v>BESTER</v>
      </c>
      <c r="D54" s="2" t="s">
        <v>891</v>
      </c>
      <c r="E54" s="12" t="str">
        <f t="shared" si="4"/>
        <v>Andries</v>
      </c>
      <c r="F54" s="2" t="s">
        <v>892</v>
      </c>
      <c r="G54" s="12" t="str">
        <f t="shared" si="5"/>
        <v>a1b4c3d3</v>
      </c>
      <c r="H54" s="12" t="str">
        <f t="shared" si="6"/>
        <v>BESTERa1b4c3d3</v>
      </c>
      <c r="J54" s="2" t="s">
        <v>296</v>
      </c>
      <c r="K54" s="12" t="str">
        <f t="shared" si="7"/>
        <v>1791</v>
      </c>
      <c r="N54" s="12" t="str">
        <f t="shared" si="0"/>
        <v>1791</v>
      </c>
      <c r="O54" s="12" t="str">
        <f t="shared" si="1"/>
        <v/>
      </c>
      <c r="Q54" s="12" t="str">
        <f t="shared" si="8"/>
        <v>1791</v>
      </c>
      <c r="S54" s="12" t="str">
        <f t="shared" si="9"/>
        <v/>
      </c>
      <c r="T54" s="2" t="s">
        <v>74</v>
      </c>
      <c r="U54" s="2" t="s">
        <v>293</v>
      </c>
      <c r="V54" s="12" t="str">
        <f t="shared" si="10"/>
        <v>1811</v>
      </c>
      <c r="W54" s="2" t="s">
        <v>690</v>
      </c>
      <c r="X54" s="2" t="s">
        <v>667</v>
      </c>
      <c r="AC54" s="2">
        <v>1791</v>
      </c>
      <c r="AF54" s="2" t="s">
        <v>3706</v>
      </c>
      <c r="AG54" s="2" t="s">
        <v>68</v>
      </c>
      <c r="AH54" s="2" t="s">
        <v>297</v>
      </c>
      <c r="AI54" s="12" t="str">
        <f t="shared" si="11"/>
        <v>1837</v>
      </c>
      <c r="AK54" s="2" t="s">
        <v>190</v>
      </c>
    </row>
    <row r="55" spans="1:69">
      <c r="A55" s="12" t="s">
        <v>295</v>
      </c>
      <c r="B55" s="12" t="str">
        <f t="shared" si="2"/>
        <v>BESTER</v>
      </c>
      <c r="C55" s="12" t="str">
        <f t="shared" si="3"/>
        <v>BESTER</v>
      </c>
      <c r="D55" s="2" t="s">
        <v>311</v>
      </c>
      <c r="E55" s="12" t="str">
        <f t="shared" si="4"/>
        <v>Lourens Rasmus</v>
      </c>
      <c r="F55" s="2" t="s">
        <v>899</v>
      </c>
      <c r="G55" s="12" t="str">
        <f t="shared" si="5"/>
        <v>a1b4c3d3e3</v>
      </c>
      <c r="H55" s="12" t="str">
        <f t="shared" si="6"/>
        <v>BESTERa1b4c3d3e3</v>
      </c>
      <c r="J55" s="2" t="s">
        <v>280</v>
      </c>
      <c r="K55" s="12" t="str">
        <f t="shared" si="7"/>
        <v>1815</v>
      </c>
      <c r="N55" s="12" t="str">
        <f t="shared" si="0"/>
        <v>1815</v>
      </c>
      <c r="O55" s="12" t="str">
        <f t="shared" si="1"/>
        <v/>
      </c>
      <c r="Q55" s="12" t="str">
        <f t="shared" si="8"/>
        <v>1815</v>
      </c>
      <c r="R55" s="2" t="s">
        <v>317</v>
      </c>
      <c r="S55" s="12" t="str">
        <f t="shared" si="9"/>
        <v>1879</v>
      </c>
      <c r="T55" s="2" t="s">
        <v>68</v>
      </c>
      <c r="U55" s="2" t="s">
        <v>318</v>
      </c>
      <c r="V55" s="12" t="str">
        <f t="shared" si="10"/>
        <v>1834</v>
      </c>
      <c r="W55" s="2" t="s">
        <v>706</v>
      </c>
      <c r="X55" s="2" t="s">
        <v>670</v>
      </c>
      <c r="AF55" s="2" t="s">
        <v>3706</v>
      </c>
      <c r="AG55" s="2" t="s">
        <v>68</v>
      </c>
      <c r="AH55" s="2" t="s">
        <v>297</v>
      </c>
      <c r="AI55" s="12" t="str">
        <f t="shared" si="11"/>
        <v>1837</v>
      </c>
      <c r="AK55" s="2" t="s">
        <v>190</v>
      </c>
    </row>
    <row r="56" spans="1:69">
      <c r="A56" s="12" t="s">
        <v>295</v>
      </c>
      <c r="B56" s="12" t="str">
        <f t="shared" si="2"/>
        <v>BESTER</v>
      </c>
      <c r="C56" s="12" t="str">
        <f t="shared" si="3"/>
        <v>BESTER</v>
      </c>
      <c r="D56" s="2" t="s">
        <v>2762</v>
      </c>
      <c r="E56" s="12" t="str">
        <f t="shared" si="4"/>
        <v>Barnard Jacobus Sr</v>
      </c>
      <c r="F56" s="2" t="s">
        <v>1524</v>
      </c>
      <c r="G56" s="12" t="str">
        <f t="shared" si="5"/>
        <v>a1b4c3d4</v>
      </c>
      <c r="H56" s="12" t="str">
        <f t="shared" si="6"/>
        <v>BESTERa1b4c3d4</v>
      </c>
      <c r="K56" s="12" t="str">
        <f t="shared" si="7"/>
        <v/>
      </c>
      <c r="M56" s="2" t="s">
        <v>2764</v>
      </c>
      <c r="N56" s="12" t="str">
        <f t="shared" si="0"/>
        <v/>
      </c>
      <c r="O56" s="12" t="str">
        <f t="shared" si="1"/>
        <v>1793</v>
      </c>
      <c r="P56" s="2" t="s">
        <v>2766</v>
      </c>
      <c r="Q56" s="12" t="str">
        <f t="shared" si="8"/>
        <v>1793</v>
      </c>
      <c r="R56" s="2" t="s">
        <v>2765</v>
      </c>
      <c r="S56" s="12" t="str">
        <f t="shared" si="9"/>
        <v>1838</v>
      </c>
      <c r="T56" s="2" t="s">
        <v>74</v>
      </c>
      <c r="U56" s="2" t="s">
        <v>2767</v>
      </c>
      <c r="V56" s="12" t="str">
        <f t="shared" si="10"/>
        <v>1813</v>
      </c>
      <c r="W56" s="2" t="s">
        <v>1838</v>
      </c>
      <c r="X56" s="2" t="s">
        <v>667</v>
      </c>
      <c r="Y56" s="2" t="s">
        <v>2438</v>
      </c>
      <c r="AC56" s="2" t="s">
        <v>2768</v>
      </c>
      <c r="AF56" s="2" t="s">
        <v>3699</v>
      </c>
      <c r="AG56" s="2" t="s">
        <v>28</v>
      </c>
      <c r="AH56" s="2" t="s">
        <v>2769</v>
      </c>
      <c r="AI56" s="12" t="str">
        <f t="shared" si="11"/>
        <v>1838</v>
      </c>
      <c r="AJ56" s="2" t="s">
        <v>2770</v>
      </c>
      <c r="AK56" s="2" t="s">
        <v>90</v>
      </c>
    </row>
    <row r="57" spans="1:69">
      <c r="A57" s="2" t="s">
        <v>295</v>
      </c>
      <c r="B57" s="12" t="str">
        <f t="shared" si="2"/>
        <v>BESTER</v>
      </c>
      <c r="C57" s="12" t="str">
        <f t="shared" si="3"/>
        <v>BESTER</v>
      </c>
      <c r="D57" s="2" t="s">
        <v>326</v>
      </c>
      <c r="E57" s="12" t="str">
        <f t="shared" si="4"/>
        <v>Paul Michiel</v>
      </c>
      <c r="F57" s="2" t="s">
        <v>905</v>
      </c>
      <c r="G57" s="12" t="str">
        <f t="shared" si="5"/>
        <v>a1b4c3d4e1</v>
      </c>
      <c r="H57" s="12" t="str">
        <f t="shared" si="6"/>
        <v>BESTERa1b4c3d4e1</v>
      </c>
      <c r="J57" s="2" t="s">
        <v>341</v>
      </c>
      <c r="K57" s="12" t="str">
        <f t="shared" si="7"/>
        <v>1814</v>
      </c>
      <c r="L57" s="2" t="s">
        <v>74</v>
      </c>
      <c r="M57" s="2" t="s">
        <v>342</v>
      </c>
      <c r="N57" s="12" t="str">
        <f t="shared" si="0"/>
        <v>1814</v>
      </c>
      <c r="O57" s="12" t="str">
        <f t="shared" si="1"/>
        <v>1814</v>
      </c>
      <c r="Q57" s="12" t="str">
        <f t="shared" si="8"/>
        <v>1814</v>
      </c>
      <c r="S57" s="12" t="str">
        <f t="shared" si="9"/>
        <v/>
      </c>
      <c r="V57" s="12" t="str">
        <f t="shared" si="10"/>
        <v/>
      </c>
      <c r="W57" s="2" t="s">
        <v>710</v>
      </c>
      <c r="X57" s="2" t="s">
        <v>696</v>
      </c>
      <c r="AF57" s="2" t="s">
        <v>3709</v>
      </c>
      <c r="AG57" s="2" t="s">
        <v>68</v>
      </c>
      <c r="AH57" s="2">
        <v>1839</v>
      </c>
      <c r="AI57" s="12" t="str">
        <f t="shared" si="11"/>
        <v>1839</v>
      </c>
      <c r="AK57" s="2" t="s">
        <v>190</v>
      </c>
    </row>
    <row r="58" spans="1:69">
      <c r="A58" s="2" t="s">
        <v>295</v>
      </c>
      <c r="B58" s="12" t="str">
        <f t="shared" si="2"/>
        <v>BESTER</v>
      </c>
      <c r="C58" s="12" t="str">
        <f t="shared" si="3"/>
        <v>BESTER</v>
      </c>
      <c r="D58" s="2" t="s">
        <v>311</v>
      </c>
      <c r="E58" s="12" t="str">
        <f t="shared" si="4"/>
        <v>Lourens Rasmus</v>
      </c>
      <c r="F58" s="2" t="s">
        <v>898</v>
      </c>
      <c r="G58" s="12" t="str">
        <f t="shared" si="5"/>
        <v>a1b4c3d4e2</v>
      </c>
      <c r="H58" s="12" t="str">
        <f t="shared" si="6"/>
        <v>BESTERa1b4c3d4e2</v>
      </c>
      <c r="J58" s="2" t="s">
        <v>312</v>
      </c>
      <c r="K58" s="12" t="str">
        <f t="shared" si="7"/>
        <v>1815</v>
      </c>
      <c r="L58" s="2" t="s">
        <v>74</v>
      </c>
      <c r="M58" s="2" t="s">
        <v>313</v>
      </c>
      <c r="N58" s="12" t="str">
        <f t="shared" si="0"/>
        <v>1815</v>
      </c>
      <c r="O58" s="12" t="str">
        <f t="shared" si="1"/>
        <v>1816</v>
      </c>
      <c r="P58" s="2" t="s">
        <v>314</v>
      </c>
      <c r="Q58" s="12" t="str">
        <f t="shared" si="8"/>
        <v>1815</v>
      </c>
      <c r="S58" s="12" t="str">
        <f t="shared" si="9"/>
        <v/>
      </c>
      <c r="T58" s="2" t="s">
        <v>258</v>
      </c>
      <c r="U58" s="2" t="s">
        <v>315</v>
      </c>
      <c r="V58" s="12" t="str">
        <f t="shared" si="10"/>
        <v>1833</v>
      </c>
      <c r="W58" s="2" t="s">
        <v>705</v>
      </c>
      <c r="X58" s="2" t="s">
        <v>655</v>
      </c>
      <c r="AE58" s="2">
        <v>1849</v>
      </c>
      <c r="AF58" s="2" t="s">
        <v>3709</v>
      </c>
      <c r="AG58" s="2" t="s">
        <v>68</v>
      </c>
      <c r="AH58" s="2" t="s">
        <v>316</v>
      </c>
      <c r="AI58" s="12" t="str">
        <f t="shared" si="11"/>
        <v>1838</v>
      </c>
      <c r="AK58" s="2" t="s">
        <v>155</v>
      </c>
    </row>
    <row r="59" spans="1:69">
      <c r="A59" s="12" t="s">
        <v>295</v>
      </c>
      <c r="B59" s="12" t="str">
        <f t="shared" si="2"/>
        <v>BESTER</v>
      </c>
      <c r="C59" s="12" t="str">
        <f t="shared" si="3"/>
        <v>BESTER</v>
      </c>
      <c r="D59" s="12" t="s">
        <v>2763</v>
      </c>
      <c r="E59" s="12" t="str">
        <f t="shared" si="4"/>
        <v>Barnard Jacobus Jr</v>
      </c>
      <c r="F59" s="12" t="s">
        <v>895</v>
      </c>
      <c r="G59" s="12" t="str">
        <f t="shared" si="5"/>
        <v>a1b4c3d4e3</v>
      </c>
      <c r="H59" s="12" t="str">
        <f t="shared" si="6"/>
        <v>BESTERa1b4c3d4e3</v>
      </c>
      <c r="I59" s="12"/>
      <c r="J59" s="12" t="s">
        <v>304</v>
      </c>
      <c r="K59" s="12" t="str">
        <f t="shared" si="7"/>
        <v>1817</v>
      </c>
      <c r="L59" s="12" t="s">
        <v>28</v>
      </c>
      <c r="M59" s="12" t="s">
        <v>305</v>
      </c>
      <c r="N59" s="12" t="str">
        <f t="shared" si="0"/>
        <v>1817</v>
      </c>
      <c r="O59" s="12" t="str">
        <f t="shared" si="1"/>
        <v>1817</v>
      </c>
      <c r="P59" s="12"/>
      <c r="Q59" s="12" t="str">
        <f t="shared" si="8"/>
        <v>1817</v>
      </c>
      <c r="R59" s="12"/>
      <c r="S59" s="12" t="str">
        <f t="shared" si="9"/>
        <v/>
      </c>
      <c r="T59" s="12" t="s">
        <v>28</v>
      </c>
      <c r="U59" s="12" t="s">
        <v>306</v>
      </c>
      <c r="V59" s="12" t="str">
        <f t="shared" si="10"/>
        <v>1836</v>
      </c>
      <c r="W59" s="12" t="s">
        <v>692</v>
      </c>
      <c r="X59" s="12" t="s">
        <v>669</v>
      </c>
      <c r="Y59" s="12"/>
      <c r="Z59" s="12"/>
      <c r="AA59" s="12"/>
      <c r="AB59" s="12"/>
      <c r="AC59" s="12"/>
      <c r="AD59" s="12"/>
      <c r="AE59" s="12"/>
      <c r="AF59" s="12" t="s">
        <v>3699</v>
      </c>
      <c r="AG59" s="12" t="s">
        <v>28</v>
      </c>
      <c r="AH59" s="12" t="s">
        <v>260</v>
      </c>
      <c r="AI59" s="12" t="str">
        <f t="shared" si="11"/>
        <v>1838</v>
      </c>
      <c r="AJ59" s="12"/>
      <c r="AK59" s="12" t="s">
        <v>90</v>
      </c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</row>
    <row r="60" spans="1:69">
      <c r="A60" s="2" t="s">
        <v>295</v>
      </c>
      <c r="B60" s="12" t="str">
        <f t="shared" si="2"/>
        <v>BESTER</v>
      </c>
      <c r="C60" s="12" t="str">
        <f t="shared" si="3"/>
        <v>BESTER</v>
      </c>
      <c r="D60" s="2" t="s">
        <v>352</v>
      </c>
      <c r="E60" s="12" t="str">
        <f t="shared" si="4"/>
        <v>Willem Abraham</v>
      </c>
      <c r="F60" s="2" t="s">
        <v>909</v>
      </c>
      <c r="G60" s="12" t="str">
        <f t="shared" si="5"/>
        <v>a1b4c3d4e7</v>
      </c>
      <c r="H60" s="12" t="str">
        <f t="shared" si="6"/>
        <v>BESTERa1b4c3d4e7</v>
      </c>
      <c r="J60" s="2" t="s">
        <v>353</v>
      </c>
      <c r="K60" s="12" t="str">
        <f t="shared" si="7"/>
        <v>1825</v>
      </c>
      <c r="L60" s="2" t="s">
        <v>68</v>
      </c>
      <c r="M60" s="2" t="s">
        <v>354</v>
      </c>
      <c r="N60" s="12" t="str">
        <f t="shared" si="0"/>
        <v>1825</v>
      </c>
      <c r="O60" s="12" t="str">
        <f t="shared" si="1"/>
        <v>1826</v>
      </c>
      <c r="Q60" s="12" t="str">
        <f t="shared" si="8"/>
        <v>1825</v>
      </c>
      <c r="S60" s="12" t="str">
        <f t="shared" si="9"/>
        <v/>
      </c>
      <c r="V60" s="12" t="str">
        <f t="shared" si="10"/>
        <v/>
      </c>
      <c r="W60" s="2" t="s">
        <v>713</v>
      </c>
      <c r="X60" s="2" t="s">
        <v>699</v>
      </c>
      <c r="AG60" s="2" t="s">
        <v>68</v>
      </c>
      <c r="AI60" s="12" t="str">
        <f t="shared" si="11"/>
        <v/>
      </c>
      <c r="AK60" s="2" t="s">
        <v>140</v>
      </c>
    </row>
    <row r="61" spans="1:69">
      <c r="A61" s="12" t="s">
        <v>295</v>
      </c>
      <c r="B61" s="12" t="str">
        <f t="shared" si="2"/>
        <v>BESTER</v>
      </c>
      <c r="C61" s="12" t="str">
        <f t="shared" si="3"/>
        <v>BESTER</v>
      </c>
      <c r="D61" s="2" t="s">
        <v>348</v>
      </c>
      <c r="E61" s="12" t="str">
        <f t="shared" si="4"/>
        <v>Theunis Christiaan</v>
      </c>
      <c r="F61" s="2" t="s">
        <v>907</v>
      </c>
      <c r="G61" s="12" t="str">
        <f t="shared" si="5"/>
        <v>a1b4c3d6</v>
      </c>
      <c r="H61" s="12" t="str">
        <f t="shared" si="6"/>
        <v>BESTERa1b4c3d6</v>
      </c>
      <c r="K61" s="12" t="str">
        <f t="shared" si="7"/>
        <v/>
      </c>
      <c r="M61" s="2" t="s">
        <v>349</v>
      </c>
      <c r="N61" s="12" t="str">
        <f t="shared" si="0"/>
        <v/>
      </c>
      <c r="O61" s="12" t="str">
        <f t="shared" si="1"/>
        <v>1797</v>
      </c>
      <c r="Q61" s="12" t="str">
        <f t="shared" si="8"/>
        <v>1797</v>
      </c>
      <c r="S61" s="12" t="str">
        <f t="shared" si="9"/>
        <v/>
      </c>
      <c r="T61" s="2" t="s">
        <v>74</v>
      </c>
      <c r="U61" s="2" t="s">
        <v>313</v>
      </c>
      <c r="V61" s="12" t="str">
        <f t="shared" si="10"/>
        <v>1816</v>
      </c>
      <c r="W61" s="12" t="s">
        <v>712</v>
      </c>
      <c r="X61" s="12" t="s">
        <v>698</v>
      </c>
      <c r="Y61" s="2" t="s">
        <v>908</v>
      </c>
      <c r="AC61" s="2" t="s">
        <v>350</v>
      </c>
      <c r="AF61" s="2" t="s">
        <v>3710</v>
      </c>
      <c r="AG61" s="2" t="s">
        <v>346</v>
      </c>
      <c r="AH61" s="2" t="s">
        <v>351</v>
      </c>
      <c r="AI61" s="12" t="str">
        <f t="shared" si="11"/>
        <v>1837</v>
      </c>
      <c r="AK61" s="2" t="s">
        <v>90</v>
      </c>
    </row>
    <row r="62" spans="1:69">
      <c r="A62" s="12" t="s">
        <v>295</v>
      </c>
      <c r="B62" s="12" t="str">
        <f t="shared" si="2"/>
        <v>BESTER</v>
      </c>
      <c r="C62" s="12" t="str">
        <f t="shared" si="3"/>
        <v>BESTER</v>
      </c>
      <c r="D62" s="12" t="s">
        <v>326</v>
      </c>
      <c r="E62" s="12" t="str">
        <f t="shared" si="4"/>
        <v>Paul Michiel</v>
      </c>
      <c r="F62" s="12" t="s">
        <v>906</v>
      </c>
      <c r="G62" s="12" t="str">
        <f t="shared" si="5"/>
        <v>a1b4c3d6e3</v>
      </c>
      <c r="H62" s="12" t="str">
        <f t="shared" si="6"/>
        <v>BESTERa1b4c3d6e3</v>
      </c>
      <c r="I62" s="12"/>
      <c r="J62" s="12" t="s">
        <v>343</v>
      </c>
      <c r="K62" s="12" t="str">
        <f t="shared" si="7"/>
        <v>1822</v>
      </c>
      <c r="L62" s="12" t="s">
        <v>53</v>
      </c>
      <c r="M62" s="12" t="s">
        <v>344</v>
      </c>
      <c r="N62" s="12" t="str">
        <f t="shared" si="0"/>
        <v>1822</v>
      </c>
      <c r="O62" s="12" t="str">
        <f t="shared" si="1"/>
        <v>1822</v>
      </c>
      <c r="P62" s="12"/>
      <c r="Q62" s="12" t="str">
        <f t="shared" si="8"/>
        <v>1822</v>
      </c>
      <c r="R62" s="12"/>
      <c r="S62" s="12" t="str">
        <f t="shared" si="9"/>
        <v/>
      </c>
      <c r="T62" s="12"/>
      <c r="U62" s="12" t="s">
        <v>345</v>
      </c>
      <c r="V62" s="12" t="str">
        <f t="shared" si="10"/>
        <v>1842</v>
      </c>
      <c r="W62" s="12" t="s">
        <v>711</v>
      </c>
      <c r="X62" s="12" t="s">
        <v>697</v>
      </c>
      <c r="Y62" s="12"/>
      <c r="Z62" s="12"/>
      <c r="AA62" s="12"/>
      <c r="AB62" s="12"/>
      <c r="AC62" s="12"/>
      <c r="AD62" s="12"/>
      <c r="AE62" s="12"/>
      <c r="AF62" s="12" t="s">
        <v>3710</v>
      </c>
      <c r="AG62" s="12" t="s">
        <v>346</v>
      </c>
      <c r="AH62" s="12">
        <v>1843</v>
      </c>
      <c r="AI62" s="12" t="str">
        <f t="shared" si="11"/>
        <v>1843</v>
      </c>
      <c r="AJ62" s="12"/>
      <c r="AK62" s="12" t="s">
        <v>347</v>
      </c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</row>
    <row r="63" spans="1:69">
      <c r="A63" s="2" t="s">
        <v>355</v>
      </c>
      <c r="B63" s="12" t="str">
        <f t="shared" si="2"/>
        <v>BEUKES</v>
      </c>
      <c r="C63" s="12" t="str">
        <f t="shared" si="3"/>
        <v>BEUKES</v>
      </c>
      <c r="D63" s="2" t="s">
        <v>380</v>
      </c>
      <c r="E63" s="12" t="str">
        <f t="shared" si="4"/>
        <v>Johannes Andreas</v>
      </c>
      <c r="F63" s="2" t="s">
        <v>912</v>
      </c>
      <c r="G63" s="12" t="str">
        <f t="shared" si="5"/>
        <v>a1b1c2d2</v>
      </c>
      <c r="H63" s="12" t="str">
        <f t="shared" si="6"/>
        <v>BEUKESa1b1c2d2</v>
      </c>
      <c r="K63" s="12" t="str">
        <f t="shared" si="7"/>
        <v/>
      </c>
      <c r="M63" s="2" t="s">
        <v>381</v>
      </c>
      <c r="N63" s="12" t="str">
        <f t="shared" si="0"/>
        <v/>
      </c>
      <c r="O63" s="12" t="str">
        <f t="shared" si="1"/>
        <v>1779</v>
      </c>
      <c r="Q63" s="12" t="str">
        <f t="shared" si="8"/>
        <v>1779</v>
      </c>
      <c r="S63" s="12" t="str">
        <f t="shared" si="9"/>
        <v/>
      </c>
      <c r="U63" s="2" t="s">
        <v>382</v>
      </c>
      <c r="V63" s="12" t="str">
        <f t="shared" si="10"/>
        <v>1798</v>
      </c>
      <c r="W63" s="2" t="s">
        <v>717</v>
      </c>
      <c r="X63" s="2" t="s">
        <v>655</v>
      </c>
      <c r="AF63" s="2" t="s">
        <v>3699</v>
      </c>
      <c r="AG63" s="2" t="s">
        <v>28</v>
      </c>
      <c r="AH63" s="2" t="s">
        <v>385</v>
      </c>
      <c r="AK63" s="2" t="s">
        <v>386</v>
      </c>
      <c r="AL63" s="2" t="s">
        <v>28</v>
      </c>
      <c r="AM63" s="2" t="s">
        <v>383</v>
      </c>
      <c r="AN63" s="2" t="s">
        <v>807</v>
      </c>
      <c r="AO63" s="2" t="s">
        <v>780</v>
      </c>
      <c r="AW63" s="2" t="s">
        <v>28</v>
      </c>
      <c r="AX63" s="2" t="s">
        <v>384</v>
      </c>
      <c r="AY63" s="2" t="s">
        <v>823</v>
      </c>
      <c r="AZ63" s="2" t="s">
        <v>618</v>
      </c>
    </row>
    <row r="64" spans="1:69">
      <c r="A64" s="2" t="s">
        <v>355</v>
      </c>
      <c r="B64" s="12" t="str">
        <f t="shared" si="2"/>
        <v>BEUKES</v>
      </c>
      <c r="C64" s="12" t="str">
        <f t="shared" si="3"/>
        <v>BEUKES</v>
      </c>
      <c r="D64" s="2" t="s">
        <v>374</v>
      </c>
      <c r="E64" s="12" t="str">
        <f t="shared" si="4"/>
        <v>Jacobus Cornelis</v>
      </c>
      <c r="F64" s="2" t="s">
        <v>911</v>
      </c>
      <c r="G64" s="12" t="str">
        <f t="shared" si="5"/>
        <v>a1b1c2d2e4</v>
      </c>
      <c r="H64" s="12" t="str">
        <f t="shared" si="6"/>
        <v>BEUKESa1b1c2d2e4</v>
      </c>
      <c r="J64" s="2" t="s">
        <v>375</v>
      </c>
      <c r="K64" s="12" t="str">
        <f t="shared" si="7"/>
        <v>1805</v>
      </c>
      <c r="N64" s="12" t="str">
        <f t="shared" si="0"/>
        <v>1805</v>
      </c>
      <c r="O64" s="12" t="str">
        <f t="shared" si="1"/>
        <v/>
      </c>
      <c r="P64" s="2" t="s">
        <v>160</v>
      </c>
      <c r="Q64" s="12" t="str">
        <f t="shared" si="8"/>
        <v>1805</v>
      </c>
      <c r="R64" s="2" t="s">
        <v>376</v>
      </c>
      <c r="S64" s="12" t="str">
        <f t="shared" si="9"/>
        <v>1865</v>
      </c>
      <c r="T64" s="2" t="s">
        <v>366</v>
      </c>
      <c r="U64" s="2" t="s">
        <v>377</v>
      </c>
      <c r="V64" s="12" t="str">
        <f t="shared" si="10"/>
        <v>1825</v>
      </c>
      <c r="W64" s="2" t="s">
        <v>716</v>
      </c>
      <c r="X64" s="2" t="s">
        <v>653</v>
      </c>
      <c r="Y64" s="2" t="s">
        <v>925</v>
      </c>
      <c r="AC64" s="2" t="s">
        <v>378</v>
      </c>
      <c r="AF64" s="2" t="s">
        <v>3699</v>
      </c>
      <c r="AG64" s="2" t="s">
        <v>28</v>
      </c>
      <c r="AI64" s="12" t="str">
        <f t="shared" si="11"/>
        <v/>
      </c>
      <c r="AJ64" s="2" t="s">
        <v>379</v>
      </c>
      <c r="AK64" s="2" t="s">
        <v>45</v>
      </c>
    </row>
    <row r="65" spans="1:59">
      <c r="A65" s="2" t="s">
        <v>355</v>
      </c>
      <c r="B65" s="12" t="str">
        <f t="shared" si="2"/>
        <v>BEUKES</v>
      </c>
      <c r="C65" s="12" t="str">
        <f t="shared" si="3"/>
        <v>BEUKES</v>
      </c>
      <c r="D65" s="2" t="s">
        <v>356</v>
      </c>
      <c r="E65" s="12" t="str">
        <f t="shared" si="4"/>
        <v>Cornelius Johannes</v>
      </c>
      <c r="F65" s="2" t="s">
        <v>896</v>
      </c>
      <c r="G65" s="12" t="str">
        <f t="shared" si="5"/>
        <v>a1b1c2d5</v>
      </c>
      <c r="H65" s="12" t="str">
        <f t="shared" si="6"/>
        <v>BEUKESa1b1c2d5</v>
      </c>
      <c r="J65" s="2" t="s">
        <v>2771</v>
      </c>
      <c r="K65" s="12" t="str">
        <f t="shared" si="7"/>
        <v>1785</v>
      </c>
      <c r="M65" s="2" t="s">
        <v>357</v>
      </c>
      <c r="N65" s="12" t="str">
        <f t="shared" si="0"/>
        <v>1785</v>
      </c>
      <c r="O65" s="12" t="str">
        <f t="shared" si="1"/>
        <v>1787</v>
      </c>
      <c r="P65" s="2" t="s">
        <v>24</v>
      </c>
      <c r="Q65" s="12" t="str">
        <f t="shared" si="8"/>
        <v>1785</v>
      </c>
      <c r="R65" s="2" t="s">
        <v>358</v>
      </c>
      <c r="S65" s="12" t="str">
        <f t="shared" si="9"/>
        <v>1874</v>
      </c>
      <c r="T65" s="2" t="s">
        <v>74</v>
      </c>
      <c r="U65" s="2" t="s">
        <v>359</v>
      </c>
      <c r="V65" s="12" t="str">
        <f t="shared" si="10"/>
        <v>1806</v>
      </c>
      <c r="W65" s="2" t="s">
        <v>714</v>
      </c>
      <c r="X65" s="2" t="s">
        <v>700</v>
      </c>
      <c r="AF65" s="2" t="s">
        <v>3703</v>
      </c>
      <c r="AG65" s="2" t="s">
        <v>366</v>
      </c>
      <c r="AH65" s="2" t="s">
        <v>360</v>
      </c>
      <c r="AK65" s="2" t="s">
        <v>45</v>
      </c>
    </row>
    <row r="66" spans="1:59">
      <c r="A66" s="2" t="s">
        <v>355</v>
      </c>
      <c r="B66" s="12" t="str">
        <f t="shared" si="2"/>
        <v>BEUKES</v>
      </c>
      <c r="C66" s="12" t="str">
        <f t="shared" si="3"/>
        <v>BEUKES</v>
      </c>
      <c r="D66" s="2" t="s">
        <v>363</v>
      </c>
      <c r="E66" s="12" t="str">
        <f t="shared" si="4"/>
        <v xml:space="preserve">Hendrik Gerhardus    </v>
      </c>
      <c r="F66" s="2" t="s">
        <v>910</v>
      </c>
      <c r="G66" s="12" t="str">
        <f t="shared" si="5"/>
        <v>a1b1c2d5e5</v>
      </c>
      <c r="H66" s="12" t="str">
        <f t="shared" si="6"/>
        <v>BEUKESa1b1c2d5e5</v>
      </c>
      <c r="J66" s="2" t="s">
        <v>364</v>
      </c>
      <c r="K66" s="12" t="str">
        <f t="shared" si="7"/>
        <v>1813</v>
      </c>
      <c r="L66" s="2" t="s">
        <v>74</v>
      </c>
      <c r="M66" s="2" t="s">
        <v>365</v>
      </c>
      <c r="N66" s="12" t="str">
        <f t="shared" ref="N66:N129" si="12">RIGHT(J66,4)</f>
        <v>1813</v>
      </c>
      <c r="O66" s="12" t="str">
        <f t="shared" ref="O66:O129" si="13">RIGHT(M66,4)</f>
        <v>1814</v>
      </c>
      <c r="Q66" s="12" t="str">
        <f t="shared" si="8"/>
        <v>1813</v>
      </c>
      <c r="S66" s="12" t="str">
        <f t="shared" si="9"/>
        <v/>
      </c>
      <c r="T66" s="2" t="s">
        <v>366</v>
      </c>
      <c r="U66" s="2" t="s">
        <v>367</v>
      </c>
      <c r="V66" s="12" t="str">
        <f t="shared" si="10"/>
        <v>1833</v>
      </c>
      <c r="W66" s="2" t="s">
        <v>712</v>
      </c>
      <c r="X66" s="2" t="s">
        <v>701</v>
      </c>
      <c r="Z66" s="2" t="s">
        <v>368</v>
      </c>
      <c r="AA66" s="2" t="s">
        <v>369</v>
      </c>
      <c r="AD66" s="2" t="s">
        <v>370</v>
      </c>
      <c r="AE66" s="2">
        <v>1881</v>
      </c>
      <c r="AF66" s="2" t="s">
        <v>3703</v>
      </c>
      <c r="AG66" s="2" t="s">
        <v>366</v>
      </c>
      <c r="AH66" s="2" t="s">
        <v>371</v>
      </c>
      <c r="AI66" s="12" t="str">
        <f t="shared" si="11"/>
        <v>1841</v>
      </c>
      <c r="AK66" s="2" t="s">
        <v>45</v>
      </c>
    </row>
    <row r="67" spans="1:59">
      <c r="A67" s="12" t="s">
        <v>355</v>
      </c>
      <c r="B67" s="12" t="str">
        <f t="shared" ref="B67:B130" si="14">SUBSTITUTE(A67," ","")</f>
        <v>BEUKES</v>
      </c>
      <c r="C67" s="12" t="str">
        <f t="shared" ref="C67:C130" si="15">TRIM(A67)</f>
        <v>BEUKES</v>
      </c>
      <c r="D67" s="2" t="s">
        <v>387</v>
      </c>
      <c r="E67" s="12" t="str">
        <f t="shared" ref="E67:E130" si="16">PROPER(D67)</f>
        <v>Mattheus Gerhardus</v>
      </c>
      <c r="F67" s="2" t="s">
        <v>913</v>
      </c>
      <c r="G67" s="12" t="str">
        <f t="shared" ref="G67:G130" si="17">IF(LEFT(F67,1)="b","a1"&amp;F67,F67)</f>
        <v>a1b9c1d2e1</v>
      </c>
      <c r="H67" s="12" t="str">
        <f t="shared" ref="H67:H130" si="18">C67&amp;G67</f>
        <v>BEUKESa1b9c1d2e1</v>
      </c>
      <c r="K67" s="12" t="str">
        <f t="shared" ref="K67:K130" si="19">RIGHT(J67,4)</f>
        <v/>
      </c>
      <c r="M67" s="2" t="s">
        <v>388</v>
      </c>
      <c r="N67" s="12" t="str">
        <f t="shared" si="12"/>
        <v/>
      </c>
      <c r="O67" s="12" t="str">
        <f t="shared" si="13"/>
        <v>1809</v>
      </c>
      <c r="Q67" s="12" t="str">
        <f t="shared" ref="Q67:Q130" si="20">IF(N67="",O67,N67)</f>
        <v>1809</v>
      </c>
      <c r="S67" s="12" t="str">
        <f t="shared" ref="S67:S130" si="21">RIGHT(R67,4)</f>
        <v/>
      </c>
      <c r="T67" s="2" t="s">
        <v>32</v>
      </c>
      <c r="U67" s="2" t="s">
        <v>389</v>
      </c>
      <c r="V67" s="12" t="str">
        <f t="shared" ref="V67:V130" si="22">RIGHT(U67,4)</f>
        <v>1836</v>
      </c>
      <c r="W67" s="2" t="s">
        <v>718</v>
      </c>
      <c r="X67" s="2" t="s">
        <v>640</v>
      </c>
      <c r="AF67" s="2" t="s">
        <v>3711</v>
      </c>
      <c r="AG67" s="2" t="s">
        <v>32</v>
      </c>
      <c r="AH67" s="2" t="s">
        <v>390</v>
      </c>
      <c r="AI67" s="12" t="str">
        <f t="shared" ref="AI67:AI130" si="23">RIGHT(AH67,4)</f>
        <v>1837</v>
      </c>
    </row>
    <row r="68" spans="1:59">
      <c r="A68" s="12" t="s">
        <v>391</v>
      </c>
      <c r="B68" s="12" t="str">
        <f t="shared" si="14"/>
        <v>BEZUIDENHOUT</v>
      </c>
      <c r="C68" s="12" t="str">
        <f t="shared" si="15"/>
        <v>BEZUIDENHOUT</v>
      </c>
      <c r="D68" s="2" t="s">
        <v>444</v>
      </c>
      <c r="E68" s="12" t="str">
        <f t="shared" si="16"/>
        <v>Johannes Sr</v>
      </c>
      <c r="F68" s="2" t="s">
        <v>923</v>
      </c>
      <c r="G68" s="12" t="str">
        <f t="shared" si="17"/>
        <v>a2</v>
      </c>
      <c r="H68" s="12" t="str">
        <f t="shared" si="18"/>
        <v>BEZUIDENHOUTa2</v>
      </c>
      <c r="J68" s="2" t="s">
        <v>445</v>
      </c>
      <c r="K68" s="12" t="str">
        <f t="shared" si="19"/>
        <v>1777</v>
      </c>
      <c r="N68" s="12" t="str">
        <f t="shared" si="12"/>
        <v>1777</v>
      </c>
      <c r="O68" s="12" t="str">
        <f t="shared" si="13"/>
        <v/>
      </c>
      <c r="Q68" s="12" t="str">
        <f t="shared" si="20"/>
        <v>1777</v>
      </c>
      <c r="S68" s="12" t="str">
        <f t="shared" si="21"/>
        <v/>
      </c>
      <c r="T68" s="2" t="s">
        <v>48</v>
      </c>
      <c r="U68" s="2" t="s">
        <v>446</v>
      </c>
      <c r="V68" s="12" t="str">
        <f t="shared" si="22"/>
        <v>1801</v>
      </c>
      <c r="W68" s="2" t="s">
        <v>737</v>
      </c>
      <c r="X68" s="2" t="s">
        <v>924</v>
      </c>
      <c r="AC68" s="2" t="s">
        <v>447</v>
      </c>
      <c r="AG68" s="2" t="s">
        <v>366</v>
      </c>
      <c r="AH68" s="2" t="s">
        <v>448</v>
      </c>
      <c r="AI68" s="12" t="str">
        <f t="shared" si="23"/>
        <v>1838</v>
      </c>
      <c r="AJ68" s="2" t="s">
        <v>433</v>
      </c>
    </row>
    <row r="69" spans="1:59">
      <c r="A69" s="2" t="s">
        <v>391</v>
      </c>
      <c r="B69" s="12" t="str">
        <f t="shared" si="14"/>
        <v>BEZUIDENHOUT</v>
      </c>
      <c r="C69" s="12" t="str">
        <f t="shared" si="15"/>
        <v>BEZUIDENHOUT</v>
      </c>
      <c r="D69" s="2" t="s">
        <v>449</v>
      </c>
      <c r="E69" s="12" t="str">
        <f t="shared" si="16"/>
        <v>Matthys Marthinus</v>
      </c>
      <c r="F69" s="2" t="s">
        <v>925</v>
      </c>
      <c r="G69" s="12" t="str">
        <f t="shared" si="17"/>
        <v>a2b1</v>
      </c>
      <c r="H69" s="12" t="str">
        <f t="shared" si="18"/>
        <v>BEZUIDENHOUTa2b1</v>
      </c>
      <c r="J69" s="2" t="s">
        <v>450</v>
      </c>
      <c r="K69" s="12" t="str">
        <f t="shared" si="19"/>
        <v>1806</v>
      </c>
      <c r="L69" s="2" t="s">
        <v>74</v>
      </c>
      <c r="M69" s="2" t="s">
        <v>451</v>
      </c>
      <c r="N69" s="12" t="str">
        <f t="shared" si="12"/>
        <v>1806</v>
      </c>
      <c r="O69" s="12" t="str">
        <f t="shared" si="13"/>
        <v>1807</v>
      </c>
      <c r="Q69" s="12" t="str">
        <f t="shared" si="20"/>
        <v>1806</v>
      </c>
      <c r="S69" s="12" t="str">
        <f t="shared" si="21"/>
        <v/>
      </c>
      <c r="T69" s="2" t="s">
        <v>366</v>
      </c>
      <c r="U69" s="2" t="s">
        <v>451</v>
      </c>
      <c r="V69" s="12" t="str">
        <f t="shared" si="22"/>
        <v>1807</v>
      </c>
      <c r="W69" s="2" t="s">
        <v>738</v>
      </c>
      <c r="X69" s="2" t="s">
        <v>391</v>
      </c>
      <c r="Y69" s="2" t="s">
        <v>926</v>
      </c>
      <c r="AA69" s="2" t="s">
        <v>452</v>
      </c>
      <c r="AB69" s="2" t="s">
        <v>74</v>
      </c>
      <c r="AC69" s="2" t="s">
        <v>453</v>
      </c>
      <c r="AG69" s="2" t="s">
        <v>60</v>
      </c>
      <c r="AH69" s="2" t="s">
        <v>454</v>
      </c>
      <c r="AI69" s="12" t="str">
        <f t="shared" si="23"/>
        <v>1843</v>
      </c>
      <c r="AJ69" s="2" t="s">
        <v>433</v>
      </c>
      <c r="AK69" s="2" t="s">
        <v>190</v>
      </c>
    </row>
    <row r="70" spans="1:59">
      <c r="A70" s="2" t="s">
        <v>391</v>
      </c>
      <c r="B70" s="12" t="str">
        <f t="shared" si="14"/>
        <v>BEZUIDENHOUT</v>
      </c>
      <c r="C70" s="12" t="str">
        <f t="shared" si="15"/>
        <v>BEZUIDENHOUT</v>
      </c>
      <c r="D70" s="2" t="s">
        <v>470</v>
      </c>
      <c r="E70" s="12" t="str">
        <f t="shared" si="16"/>
        <v>Wynand Carel</v>
      </c>
      <c r="F70" s="2" t="s">
        <v>930</v>
      </c>
      <c r="G70" s="12" t="str">
        <f t="shared" si="17"/>
        <v>a2b2</v>
      </c>
      <c r="H70" s="12" t="str">
        <f t="shared" si="18"/>
        <v>BEZUIDENHOUTa2b2</v>
      </c>
      <c r="K70" s="12" t="str">
        <f t="shared" si="19"/>
        <v/>
      </c>
      <c r="N70" s="12" t="str">
        <f t="shared" si="12"/>
        <v/>
      </c>
      <c r="O70" s="12" t="str">
        <f t="shared" si="13"/>
        <v/>
      </c>
      <c r="Q70" s="12" t="str">
        <f t="shared" si="20"/>
        <v/>
      </c>
      <c r="S70" s="12" t="str">
        <f t="shared" si="21"/>
        <v/>
      </c>
      <c r="T70" s="2" t="s">
        <v>366</v>
      </c>
      <c r="U70" s="2" t="s">
        <v>471</v>
      </c>
      <c r="V70" s="12" t="str">
        <f t="shared" si="22"/>
        <v>1829</v>
      </c>
      <c r="W70" s="2" t="s">
        <v>742</v>
      </c>
      <c r="X70" s="2" t="s">
        <v>727</v>
      </c>
      <c r="AG70" s="2" t="s">
        <v>366</v>
      </c>
      <c r="AH70" s="2" t="s">
        <v>471</v>
      </c>
      <c r="AI70" s="12" t="str">
        <f t="shared" si="23"/>
        <v>1829</v>
      </c>
      <c r="AJ70" s="2" t="s">
        <v>433</v>
      </c>
      <c r="AK70" s="2" t="s">
        <v>432</v>
      </c>
    </row>
    <row r="71" spans="1:59">
      <c r="A71" s="2" t="s">
        <v>391</v>
      </c>
      <c r="B71" s="12" t="str">
        <f t="shared" si="14"/>
        <v>BEZUIDENHOUT</v>
      </c>
      <c r="C71" s="12" t="str">
        <f t="shared" si="15"/>
        <v>BEZUIDENHOUT</v>
      </c>
      <c r="D71" s="2" t="s">
        <v>455</v>
      </c>
      <c r="E71" s="12" t="str">
        <f t="shared" si="16"/>
        <v>Pieter Christiaan</v>
      </c>
      <c r="F71" s="2" t="s">
        <v>927</v>
      </c>
      <c r="G71" s="12" t="str">
        <f t="shared" si="17"/>
        <v>a2b4</v>
      </c>
      <c r="H71" s="12" t="str">
        <f t="shared" si="18"/>
        <v>BEZUIDENHOUTa2b4</v>
      </c>
      <c r="J71" s="2" t="s">
        <v>456</v>
      </c>
      <c r="K71" s="12" t="str">
        <f t="shared" si="19"/>
        <v>1817</v>
      </c>
      <c r="L71" s="2" t="s">
        <v>366</v>
      </c>
      <c r="M71" s="2" t="s">
        <v>457</v>
      </c>
      <c r="N71" s="12" t="str">
        <f t="shared" si="12"/>
        <v>1817</v>
      </c>
      <c r="O71" s="12" t="str">
        <f t="shared" si="13"/>
        <v>1819</v>
      </c>
      <c r="Q71" s="12" t="str">
        <f t="shared" si="20"/>
        <v>1817</v>
      </c>
      <c r="S71" s="12" t="str">
        <f t="shared" si="21"/>
        <v/>
      </c>
      <c r="V71" s="12" t="str">
        <f t="shared" si="22"/>
        <v/>
      </c>
      <c r="W71" s="2" t="s">
        <v>739</v>
      </c>
      <c r="X71" s="2" t="s">
        <v>728</v>
      </c>
      <c r="AI71" s="12" t="str">
        <f t="shared" si="23"/>
        <v/>
      </c>
      <c r="AK71" s="2" t="s">
        <v>458</v>
      </c>
    </row>
    <row r="72" spans="1:59">
      <c r="A72" s="2" t="s">
        <v>391</v>
      </c>
      <c r="B72" s="12" t="str">
        <f t="shared" si="14"/>
        <v>BEZUIDENHOUT</v>
      </c>
      <c r="C72" s="12" t="str">
        <f t="shared" si="15"/>
        <v>BEZUIDENHOUT</v>
      </c>
      <c r="D72" s="2" t="s">
        <v>459</v>
      </c>
      <c r="E72" s="12" t="str">
        <f t="shared" si="16"/>
        <v>Pieter Lodewyk</v>
      </c>
      <c r="F72" s="2" t="s">
        <v>928</v>
      </c>
      <c r="G72" s="12" t="str">
        <f t="shared" si="17"/>
        <v>a1b4c2d2e1f4g2</v>
      </c>
      <c r="H72" s="12" t="str">
        <f t="shared" si="18"/>
        <v>BEZUIDENHOUTa1b4c2d2e1f4g2</v>
      </c>
      <c r="J72" s="2" t="s">
        <v>460</v>
      </c>
      <c r="K72" s="12" t="str">
        <f t="shared" si="19"/>
        <v>1817</v>
      </c>
      <c r="L72" s="2" t="s">
        <v>74</v>
      </c>
      <c r="M72" s="2" t="s">
        <v>461</v>
      </c>
      <c r="N72" s="12" t="str">
        <f t="shared" si="12"/>
        <v>1817</v>
      </c>
      <c r="O72" s="12" t="str">
        <f t="shared" si="13"/>
        <v>1818</v>
      </c>
      <c r="Q72" s="12" t="str">
        <f t="shared" si="20"/>
        <v>1817</v>
      </c>
      <c r="R72" s="2" t="s">
        <v>462</v>
      </c>
      <c r="S72" s="12" t="str">
        <f t="shared" si="21"/>
        <v>1879</v>
      </c>
      <c r="T72" s="2" t="s">
        <v>199</v>
      </c>
      <c r="U72" s="2" t="s">
        <v>463</v>
      </c>
      <c r="V72" s="12" t="str">
        <f t="shared" si="22"/>
        <v>1835</v>
      </c>
      <c r="W72" s="2" t="s">
        <v>740</v>
      </c>
      <c r="X72" s="2" t="s">
        <v>660</v>
      </c>
      <c r="AG72" s="2" t="s">
        <v>199</v>
      </c>
      <c r="AH72" s="2">
        <v>1840</v>
      </c>
      <c r="AI72" s="12" t="str">
        <f t="shared" si="23"/>
        <v>1840</v>
      </c>
      <c r="AK72" s="2" t="s">
        <v>465</v>
      </c>
      <c r="AN72" s="2" t="s">
        <v>812</v>
      </c>
      <c r="AO72" s="2" t="s">
        <v>655</v>
      </c>
      <c r="AV72" s="2" t="s">
        <v>464</v>
      </c>
    </row>
    <row r="73" spans="1:59">
      <c r="A73" s="2" t="s">
        <v>391</v>
      </c>
      <c r="B73" s="12" t="str">
        <f t="shared" si="14"/>
        <v>BEZUIDENHOUT</v>
      </c>
      <c r="C73" s="12" t="str">
        <f t="shared" si="15"/>
        <v>BEZUIDENHOUT</v>
      </c>
      <c r="D73" s="2" t="s">
        <v>440</v>
      </c>
      <c r="E73" s="12" t="str">
        <f t="shared" si="16"/>
        <v>Jeremias Jesaias</v>
      </c>
      <c r="F73" s="2" t="s">
        <v>922</v>
      </c>
      <c r="G73" s="12" t="str">
        <f t="shared" si="17"/>
        <v>a1b4c2d2e1f4g3</v>
      </c>
      <c r="H73" s="12" t="str">
        <f t="shared" si="18"/>
        <v>BEZUIDENHOUTa1b4c2d2e1f4g3</v>
      </c>
      <c r="J73" s="2" t="s">
        <v>441</v>
      </c>
      <c r="K73" s="12" t="str">
        <f t="shared" si="19"/>
        <v>1819</v>
      </c>
      <c r="L73" s="2" t="s">
        <v>366</v>
      </c>
      <c r="M73" s="2" t="s">
        <v>442</v>
      </c>
      <c r="N73" s="12" t="str">
        <f t="shared" si="12"/>
        <v>1819</v>
      </c>
      <c r="O73" s="12" t="str">
        <f t="shared" si="13"/>
        <v>1820</v>
      </c>
      <c r="Q73" s="12" t="str">
        <f t="shared" si="20"/>
        <v>1819</v>
      </c>
      <c r="S73" s="12" t="str">
        <f t="shared" si="21"/>
        <v/>
      </c>
      <c r="V73" s="12" t="str">
        <f t="shared" si="22"/>
        <v/>
      </c>
      <c r="W73" s="2" t="s">
        <v>736</v>
      </c>
      <c r="X73" s="2" t="s">
        <v>637</v>
      </c>
      <c r="AG73" s="2" t="s">
        <v>366</v>
      </c>
      <c r="AH73" s="2">
        <v>1840</v>
      </c>
      <c r="AI73" s="12" t="str">
        <f t="shared" si="23"/>
        <v>1840</v>
      </c>
      <c r="AK73" s="2" t="s">
        <v>45</v>
      </c>
      <c r="AL73" s="2" t="s">
        <v>31</v>
      </c>
      <c r="AM73" s="2" t="s">
        <v>443</v>
      </c>
      <c r="AN73" s="2" t="s">
        <v>650</v>
      </c>
      <c r="AO73" s="2" t="s">
        <v>783</v>
      </c>
      <c r="AR73" s="2">
        <v>1828</v>
      </c>
    </row>
    <row r="74" spans="1:59">
      <c r="A74" s="2" t="s">
        <v>391</v>
      </c>
      <c r="B74" s="12" t="str">
        <f t="shared" si="14"/>
        <v>BEZUIDENHOUT</v>
      </c>
      <c r="C74" s="12" t="str">
        <f t="shared" si="15"/>
        <v>BEZUIDENHOUT</v>
      </c>
      <c r="D74" s="2" t="s">
        <v>466</v>
      </c>
      <c r="E74" s="12" t="str">
        <f t="shared" si="16"/>
        <v>Stephanus Marthinus</v>
      </c>
      <c r="F74" s="2" t="s">
        <v>929</v>
      </c>
      <c r="G74" s="12" t="str">
        <f t="shared" si="17"/>
        <v>a1b4c2d2e1f4g5</v>
      </c>
      <c r="H74" s="12" t="str">
        <f t="shared" si="18"/>
        <v>BEZUIDENHOUTa1b4c2d2e1f4g5</v>
      </c>
      <c r="J74" s="2" t="s">
        <v>467</v>
      </c>
      <c r="K74" s="12" t="str">
        <f t="shared" si="19"/>
        <v>1824</v>
      </c>
      <c r="L74" s="2" t="s">
        <v>74</v>
      </c>
      <c r="M74" s="2" t="s">
        <v>468</v>
      </c>
      <c r="N74" s="12" t="str">
        <f t="shared" si="12"/>
        <v>1824</v>
      </c>
      <c r="O74" s="12" t="str">
        <f t="shared" si="13"/>
        <v>1824</v>
      </c>
      <c r="Q74" s="12" t="str">
        <f t="shared" si="20"/>
        <v>1824</v>
      </c>
      <c r="S74" s="12" t="str">
        <f t="shared" si="21"/>
        <v/>
      </c>
      <c r="T74" s="2" t="s">
        <v>140</v>
      </c>
      <c r="U74" s="2" t="s">
        <v>469</v>
      </c>
      <c r="V74" s="12" t="str">
        <f t="shared" si="22"/>
        <v>1847</v>
      </c>
      <c r="W74" s="2" t="s">
        <v>741</v>
      </c>
      <c r="X74" s="2" t="s">
        <v>667</v>
      </c>
      <c r="AA74" s="2">
        <v>1831</v>
      </c>
      <c r="AG74" s="2" t="s">
        <v>366</v>
      </c>
      <c r="AH74" s="2">
        <v>1840</v>
      </c>
      <c r="AI74" s="12" t="str">
        <f t="shared" si="23"/>
        <v>1840</v>
      </c>
      <c r="AK74" s="2" t="s">
        <v>140</v>
      </c>
    </row>
    <row r="75" spans="1:59">
      <c r="A75" s="2" t="s">
        <v>391</v>
      </c>
      <c r="B75" s="12" t="str">
        <f t="shared" si="14"/>
        <v>BEZUIDENHOUT</v>
      </c>
      <c r="C75" s="12" t="str">
        <f t="shared" si="15"/>
        <v>BEZUIDENHOUT</v>
      </c>
      <c r="D75" s="2" t="s">
        <v>472</v>
      </c>
      <c r="E75" s="12" t="str">
        <f t="shared" si="16"/>
        <v>Wynand Frederik</v>
      </c>
      <c r="F75" s="2" t="s">
        <v>931</v>
      </c>
      <c r="G75" s="12" t="str">
        <f t="shared" si="17"/>
        <v>a1b4c2d3e4</v>
      </c>
      <c r="H75" s="12" t="str">
        <f t="shared" si="18"/>
        <v>BEZUIDENHOUTa1b4c2d3e4</v>
      </c>
      <c r="K75" s="12" t="str">
        <f t="shared" si="19"/>
        <v/>
      </c>
      <c r="M75" s="2" t="s">
        <v>473</v>
      </c>
      <c r="N75" s="12" t="str">
        <f t="shared" si="12"/>
        <v/>
      </c>
      <c r="O75" s="12" t="str">
        <f t="shared" si="13"/>
        <v>1778</v>
      </c>
      <c r="P75" s="2" t="s">
        <v>474</v>
      </c>
      <c r="Q75" s="12" t="str">
        <f t="shared" si="20"/>
        <v>1778</v>
      </c>
      <c r="R75" s="2" t="s">
        <v>301</v>
      </c>
      <c r="S75" s="12" t="str">
        <f t="shared" si="21"/>
        <v>1838</v>
      </c>
      <c r="U75" s="2" t="s">
        <v>475</v>
      </c>
      <c r="V75" s="12" t="str">
        <f t="shared" si="22"/>
        <v>1796</v>
      </c>
      <c r="W75" s="2" t="s">
        <v>743</v>
      </c>
      <c r="X75" s="2" t="s">
        <v>729</v>
      </c>
      <c r="AF75" s="2" t="s">
        <v>3712</v>
      </c>
      <c r="AG75" s="2" t="s">
        <v>74</v>
      </c>
      <c r="AH75" s="2" t="s">
        <v>390</v>
      </c>
      <c r="AI75" s="12" t="str">
        <f t="shared" si="23"/>
        <v>1837</v>
      </c>
      <c r="AJ75" s="2" t="s">
        <v>413</v>
      </c>
      <c r="AK75" s="2" t="s">
        <v>90</v>
      </c>
      <c r="AL75" s="2" t="s">
        <v>74</v>
      </c>
      <c r="AM75" s="2" t="s">
        <v>476</v>
      </c>
      <c r="AN75" s="2" t="s">
        <v>813</v>
      </c>
      <c r="AO75" s="2" t="s">
        <v>784</v>
      </c>
      <c r="AT75" s="2" t="s">
        <v>477</v>
      </c>
      <c r="AU75" s="2" t="s">
        <v>474</v>
      </c>
      <c r="AV75" s="2" t="s">
        <v>301</v>
      </c>
    </row>
    <row r="76" spans="1:59">
      <c r="A76" s="12" t="s">
        <v>391</v>
      </c>
      <c r="B76" s="12" t="str">
        <f t="shared" si="14"/>
        <v>BEZUIDENHOUT</v>
      </c>
      <c r="C76" s="12" t="str">
        <f t="shared" si="15"/>
        <v>BEZUIDENHOUT</v>
      </c>
      <c r="D76" s="2" t="s">
        <v>403</v>
      </c>
      <c r="E76" s="12" t="str">
        <f t="shared" si="16"/>
        <v>Daniel Pieter</v>
      </c>
      <c r="F76" s="2" t="s">
        <v>916</v>
      </c>
      <c r="G76" s="12" t="str">
        <f t="shared" si="17"/>
        <v>a1b4c2d3e4f4</v>
      </c>
      <c r="H76" s="12" t="str">
        <f t="shared" si="18"/>
        <v>BEZUIDENHOUTa1b4c2d3e4f4</v>
      </c>
      <c r="I76" s="2" t="s">
        <v>74</v>
      </c>
      <c r="J76" s="2" t="s">
        <v>404</v>
      </c>
      <c r="K76" s="12" t="str">
        <f t="shared" si="19"/>
        <v>1813</v>
      </c>
      <c r="M76" s="2" t="s">
        <v>405</v>
      </c>
      <c r="N76" s="12" t="str">
        <f t="shared" si="12"/>
        <v>1813</v>
      </c>
      <c r="O76" s="12" t="str">
        <f t="shared" si="13"/>
        <v>1814</v>
      </c>
      <c r="P76" s="2" t="s">
        <v>406</v>
      </c>
      <c r="Q76" s="12" t="str">
        <f t="shared" si="20"/>
        <v>1813</v>
      </c>
      <c r="R76" s="2">
        <v>1895</v>
      </c>
      <c r="S76" s="12" t="str">
        <f t="shared" si="21"/>
        <v>1895</v>
      </c>
      <c r="T76" s="2" t="s">
        <v>74</v>
      </c>
      <c r="U76" s="2" t="s">
        <v>407</v>
      </c>
      <c r="V76" s="12" t="str">
        <f t="shared" si="22"/>
        <v>1835</v>
      </c>
      <c r="W76" s="2" t="s">
        <v>721</v>
      </c>
      <c r="X76" s="2" t="s">
        <v>664</v>
      </c>
      <c r="AD76" s="2" t="s">
        <v>300</v>
      </c>
      <c r="AE76" s="2" t="s">
        <v>408</v>
      </c>
      <c r="AF76" s="2" t="s">
        <v>3712</v>
      </c>
      <c r="AG76" s="2" t="s">
        <v>74</v>
      </c>
      <c r="AH76" s="2" t="s">
        <v>412</v>
      </c>
      <c r="AI76" s="12" t="str">
        <f t="shared" si="23"/>
        <v>1838</v>
      </c>
      <c r="AJ76" s="2" t="s">
        <v>413</v>
      </c>
      <c r="AK76" s="2" t="s">
        <v>90</v>
      </c>
      <c r="AL76" s="2" t="s">
        <v>168</v>
      </c>
      <c r="AM76" s="2" t="s">
        <v>409</v>
      </c>
      <c r="AN76" s="2" t="s">
        <v>809</v>
      </c>
      <c r="AO76" s="2" t="s">
        <v>629</v>
      </c>
      <c r="AR76" s="2" t="s">
        <v>410</v>
      </c>
      <c r="AS76" s="2" t="s">
        <v>53</v>
      </c>
      <c r="AT76" s="2" t="s">
        <v>411</v>
      </c>
    </row>
    <row r="77" spans="1:59">
      <c r="A77" s="12" t="s">
        <v>391</v>
      </c>
      <c r="B77" s="12" t="str">
        <f t="shared" si="14"/>
        <v>BEZUIDENHOUT</v>
      </c>
      <c r="C77" s="12" t="str">
        <f t="shared" si="15"/>
        <v>BEZUIDENHOUT</v>
      </c>
      <c r="D77" s="12" t="s">
        <v>431</v>
      </c>
      <c r="E77" s="12" t="str">
        <f t="shared" si="16"/>
        <v>Gerrit Pieter</v>
      </c>
      <c r="F77" s="12" t="s">
        <v>920</v>
      </c>
      <c r="G77" s="12" t="str">
        <f t="shared" si="17"/>
        <v>a1b4c6d9e1f1</v>
      </c>
      <c r="H77" s="12" t="str">
        <f t="shared" si="18"/>
        <v>BEZUIDENHOUTa1b4c6d9e1f1</v>
      </c>
      <c r="I77" s="12"/>
      <c r="J77" s="12" t="s">
        <v>434</v>
      </c>
      <c r="K77" s="12" t="str">
        <f t="shared" si="19"/>
        <v>1816</v>
      </c>
      <c r="L77" s="12"/>
      <c r="M77" s="12" t="s">
        <v>435</v>
      </c>
      <c r="N77" s="12" t="str">
        <f t="shared" si="12"/>
        <v>1816</v>
      </c>
      <c r="O77" s="12" t="str">
        <f t="shared" si="13"/>
        <v>1816</v>
      </c>
      <c r="P77" s="12"/>
      <c r="Q77" s="12" t="str">
        <f t="shared" si="20"/>
        <v>1816</v>
      </c>
      <c r="R77" s="12"/>
      <c r="S77" s="12" t="str">
        <f t="shared" si="21"/>
        <v/>
      </c>
      <c r="T77" s="12"/>
      <c r="U77" s="12" t="s">
        <v>436</v>
      </c>
      <c r="V77" s="12" t="str">
        <f t="shared" si="22"/>
        <v>1839</v>
      </c>
      <c r="W77" s="12" t="s">
        <v>735</v>
      </c>
      <c r="X77" s="12" t="s">
        <v>725</v>
      </c>
      <c r="Y77" s="12"/>
      <c r="Z77" s="12"/>
      <c r="AA77" s="12"/>
      <c r="AB77" s="12"/>
      <c r="AC77" s="12"/>
      <c r="AD77" s="12"/>
      <c r="AE77" s="12"/>
      <c r="AF77" s="12"/>
      <c r="AG77" s="12"/>
      <c r="AH77" s="12" t="s">
        <v>362</v>
      </c>
      <c r="AJ77" s="12"/>
      <c r="AK77" s="12" t="s">
        <v>190</v>
      </c>
      <c r="AL77" s="12" t="s">
        <v>190</v>
      </c>
      <c r="AM77" s="12" t="s">
        <v>437</v>
      </c>
      <c r="AN77" s="12" t="s">
        <v>811</v>
      </c>
      <c r="AO77" s="12" t="s">
        <v>696</v>
      </c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</row>
    <row r="78" spans="1:59">
      <c r="A78" s="2" t="s">
        <v>391</v>
      </c>
      <c r="B78" s="12" t="str">
        <f t="shared" si="14"/>
        <v>BEZUIDENHOUT</v>
      </c>
      <c r="C78" s="12" t="str">
        <f t="shared" si="15"/>
        <v>BEZUIDENHOUT</v>
      </c>
      <c r="D78" s="2" t="s">
        <v>431</v>
      </c>
      <c r="E78" s="12" t="str">
        <f t="shared" si="16"/>
        <v>Gerrit Pieter</v>
      </c>
      <c r="F78" s="2" t="s">
        <v>921</v>
      </c>
      <c r="G78" s="12" t="str">
        <f t="shared" si="17"/>
        <v>a1b4c6d9e2f2</v>
      </c>
      <c r="H78" s="12" t="str">
        <f t="shared" si="18"/>
        <v>BEZUIDENHOUTa1b4c6d9e2f2</v>
      </c>
      <c r="J78" s="2" t="s">
        <v>438</v>
      </c>
      <c r="K78" s="12" t="str">
        <f t="shared" si="19"/>
        <v>1818</v>
      </c>
      <c r="M78" s="2" t="s">
        <v>439</v>
      </c>
      <c r="N78" s="12" t="str">
        <f t="shared" si="12"/>
        <v>1818</v>
      </c>
      <c r="O78" s="12" t="str">
        <f t="shared" si="13"/>
        <v>1819</v>
      </c>
      <c r="Q78" s="12" t="str">
        <f t="shared" si="20"/>
        <v>1818</v>
      </c>
      <c r="S78" s="12" t="str">
        <f t="shared" si="21"/>
        <v/>
      </c>
      <c r="V78" s="12" t="str">
        <f t="shared" si="22"/>
        <v/>
      </c>
      <c r="W78" s="2" t="s">
        <v>642</v>
      </c>
      <c r="X78" s="2" t="s">
        <v>726</v>
      </c>
      <c r="AH78" s="2" t="s">
        <v>362</v>
      </c>
      <c r="AK78" s="2" t="s">
        <v>90</v>
      </c>
    </row>
    <row r="79" spans="1:59">
      <c r="A79" s="2" t="s">
        <v>391</v>
      </c>
      <c r="B79" s="12" t="str">
        <f t="shared" si="14"/>
        <v>BEZUIDENHOUT</v>
      </c>
      <c r="C79" s="12" t="str">
        <f t="shared" si="15"/>
        <v>BEZUIDENHOUT</v>
      </c>
      <c r="D79" s="2" t="s">
        <v>423</v>
      </c>
      <c r="E79" s="12" t="str">
        <f t="shared" si="16"/>
        <v>Georg Diederik</v>
      </c>
      <c r="F79" s="2" t="s">
        <v>919</v>
      </c>
      <c r="G79" s="12" t="str">
        <f t="shared" si="17"/>
        <v>a1b4c6d9e2f3</v>
      </c>
      <c r="H79" s="12" t="str">
        <f t="shared" si="18"/>
        <v>BEZUIDENHOUTa1b4c6d9e2f3</v>
      </c>
      <c r="J79" s="2" t="s">
        <v>424</v>
      </c>
      <c r="K79" s="12" t="str">
        <f t="shared" si="19"/>
        <v>1820</v>
      </c>
      <c r="L79" s="2" t="s">
        <v>366</v>
      </c>
      <c r="M79" s="2" t="s">
        <v>425</v>
      </c>
      <c r="N79" s="12" t="str">
        <f t="shared" si="12"/>
        <v>1820</v>
      </c>
      <c r="O79" s="12" t="str">
        <f t="shared" si="13"/>
        <v>1822</v>
      </c>
      <c r="P79" s="2" t="s">
        <v>426</v>
      </c>
      <c r="Q79" s="12" t="str">
        <f t="shared" si="20"/>
        <v>1820</v>
      </c>
      <c r="R79" s="2" t="s">
        <v>427</v>
      </c>
      <c r="S79" s="12" t="str">
        <f t="shared" si="21"/>
        <v>1890</v>
      </c>
      <c r="V79" s="12" t="str">
        <f t="shared" si="22"/>
        <v/>
      </c>
      <c r="W79" s="2" t="s">
        <v>724</v>
      </c>
      <c r="X79" s="2" t="s">
        <v>625</v>
      </c>
      <c r="AA79" s="2" t="s">
        <v>428</v>
      </c>
      <c r="AE79" s="2" t="s">
        <v>429</v>
      </c>
      <c r="AG79" s="2" t="s">
        <v>430</v>
      </c>
      <c r="AH79" s="2" t="s">
        <v>17</v>
      </c>
      <c r="AI79" s="12" t="str">
        <f t="shared" si="23"/>
        <v>1835</v>
      </c>
      <c r="AJ79" s="2" t="s">
        <v>18</v>
      </c>
      <c r="AK79" s="2" t="s">
        <v>14</v>
      </c>
      <c r="AN79" s="2" t="s">
        <v>810</v>
      </c>
      <c r="AO79" s="2" t="s">
        <v>782</v>
      </c>
    </row>
    <row r="80" spans="1:59">
      <c r="A80" s="2" t="s">
        <v>391</v>
      </c>
      <c r="B80" s="12" t="str">
        <f t="shared" si="14"/>
        <v>BEZUIDENHOUT</v>
      </c>
      <c r="C80" s="12" t="str">
        <f t="shared" si="15"/>
        <v>BEZUIDENHOUT</v>
      </c>
      <c r="D80" s="2" t="s">
        <v>418</v>
      </c>
      <c r="E80" s="12" t="str">
        <f t="shared" si="16"/>
        <v>Frederik Jacobus</v>
      </c>
      <c r="F80" s="2" t="s">
        <v>917</v>
      </c>
      <c r="G80" s="12" t="str">
        <f t="shared" si="17"/>
        <v>a1b4c6d9e5</v>
      </c>
      <c r="H80" s="12" t="str">
        <f t="shared" si="18"/>
        <v>BEZUIDENHOUTa1b4c6d9e5</v>
      </c>
      <c r="K80" s="12" t="str">
        <f t="shared" si="19"/>
        <v/>
      </c>
      <c r="L80" s="2" t="s">
        <v>32</v>
      </c>
      <c r="M80" s="2" t="s">
        <v>414</v>
      </c>
      <c r="N80" s="12" t="str">
        <f t="shared" si="12"/>
        <v/>
      </c>
      <c r="O80" s="12" t="str">
        <f t="shared" si="13"/>
        <v>1798</v>
      </c>
      <c r="Q80" s="12" t="str">
        <f t="shared" si="20"/>
        <v>1798</v>
      </c>
      <c r="S80" s="12" t="str">
        <f t="shared" si="21"/>
        <v/>
      </c>
      <c r="T80" s="2" t="s">
        <v>74</v>
      </c>
      <c r="U80" s="2" t="s">
        <v>415</v>
      </c>
      <c r="V80" s="12" t="str">
        <f t="shared" si="22"/>
        <v>1819</v>
      </c>
      <c r="W80" s="2" t="s">
        <v>722</v>
      </c>
      <c r="X80" s="2" t="s">
        <v>704</v>
      </c>
      <c r="AA80" s="2" t="s">
        <v>416</v>
      </c>
      <c r="AG80" s="2" t="s">
        <v>366</v>
      </c>
      <c r="AI80" s="12" t="str">
        <f t="shared" si="23"/>
        <v/>
      </c>
      <c r="AK80" s="2" t="s">
        <v>417</v>
      </c>
    </row>
    <row r="81" spans="1:62">
      <c r="A81" s="2" t="s">
        <v>391</v>
      </c>
      <c r="B81" s="12" t="str">
        <f t="shared" si="14"/>
        <v>BEZUIDENHOUT</v>
      </c>
      <c r="C81" s="12" t="str">
        <f t="shared" si="15"/>
        <v>BEZUIDENHOUT</v>
      </c>
      <c r="D81" s="2" t="s">
        <v>418</v>
      </c>
      <c r="E81" s="12" t="str">
        <f t="shared" si="16"/>
        <v>Frederik Jacobus</v>
      </c>
      <c r="F81" s="2" t="s">
        <v>918</v>
      </c>
      <c r="G81" s="12" t="str">
        <f t="shared" si="17"/>
        <v>a1b4c6d9e5f2</v>
      </c>
      <c r="H81" s="12" t="str">
        <f t="shared" si="18"/>
        <v>BEZUIDENHOUTa1b4c6d9e5f2</v>
      </c>
      <c r="J81" s="2" t="s">
        <v>419</v>
      </c>
      <c r="K81" s="12" t="str">
        <f t="shared" si="19"/>
        <v>1825</v>
      </c>
      <c r="L81" s="2" t="s">
        <v>366</v>
      </c>
      <c r="M81" s="2" t="s">
        <v>420</v>
      </c>
      <c r="N81" s="12" t="str">
        <f t="shared" si="12"/>
        <v>1825</v>
      </c>
      <c r="O81" s="12" t="str">
        <f t="shared" si="13"/>
        <v>1825</v>
      </c>
      <c r="Q81" s="12" t="str">
        <f t="shared" si="20"/>
        <v>1825</v>
      </c>
      <c r="S81" s="12" t="str">
        <f t="shared" si="21"/>
        <v/>
      </c>
      <c r="V81" s="12" t="str">
        <f t="shared" si="22"/>
        <v/>
      </c>
      <c r="W81" s="2" t="s">
        <v>723</v>
      </c>
      <c r="X81" s="2" t="s">
        <v>662</v>
      </c>
      <c r="AA81" s="2" t="s">
        <v>421</v>
      </c>
      <c r="AG81" s="2" t="s">
        <v>366</v>
      </c>
      <c r="AI81" s="12" t="str">
        <f t="shared" si="23"/>
        <v/>
      </c>
      <c r="AK81" s="2" t="s">
        <v>422</v>
      </c>
    </row>
    <row r="82" spans="1:62">
      <c r="A82" s="12" t="s">
        <v>391</v>
      </c>
      <c r="B82" s="12" t="str">
        <f t="shared" si="14"/>
        <v>BEZUIDENHOUT</v>
      </c>
      <c r="C82" s="12" t="str">
        <f t="shared" si="15"/>
        <v>BEZUIDENHOUT</v>
      </c>
      <c r="D82" s="2" t="s">
        <v>398</v>
      </c>
      <c r="E82" s="12" t="str">
        <f t="shared" si="16"/>
        <v>Cornelis Johannes</v>
      </c>
      <c r="F82" s="2" t="s">
        <v>915</v>
      </c>
      <c r="G82" s="12" t="str">
        <f t="shared" si="17"/>
        <v>a1b4c6d9e7</v>
      </c>
      <c r="H82" s="12" t="str">
        <f t="shared" si="18"/>
        <v>BEZUIDENHOUTa1b4c6d9e7</v>
      </c>
      <c r="J82" s="2" t="s">
        <v>399</v>
      </c>
      <c r="K82" s="12" t="str">
        <f t="shared" si="19"/>
        <v>1803</v>
      </c>
      <c r="M82" s="2" t="s">
        <v>400</v>
      </c>
      <c r="N82" s="12" t="str">
        <f t="shared" si="12"/>
        <v>1803</v>
      </c>
      <c r="O82" s="12" t="str">
        <f t="shared" si="13"/>
        <v>1803</v>
      </c>
      <c r="Q82" s="12" t="str">
        <f t="shared" si="20"/>
        <v>1803</v>
      </c>
      <c r="S82" s="12" t="str">
        <f t="shared" si="21"/>
        <v/>
      </c>
      <c r="T82" s="2" t="s">
        <v>366</v>
      </c>
      <c r="U82" s="2" t="s">
        <v>401</v>
      </c>
      <c r="V82" s="12" t="str">
        <f t="shared" si="22"/>
        <v>1824</v>
      </c>
      <c r="W82" s="2" t="s">
        <v>720</v>
      </c>
      <c r="X82" s="2" t="s">
        <v>703</v>
      </c>
      <c r="AG82" s="2" t="s">
        <v>60</v>
      </c>
      <c r="AH82" s="2" t="s">
        <v>402</v>
      </c>
      <c r="AI82" s="12" t="str">
        <f t="shared" si="23"/>
        <v>1845</v>
      </c>
      <c r="AK82" s="2" t="s">
        <v>140</v>
      </c>
      <c r="AN82" s="2" t="s">
        <v>808</v>
      </c>
      <c r="AO82" s="2" t="s">
        <v>781</v>
      </c>
    </row>
    <row r="83" spans="1:62">
      <c r="A83" s="12" t="s">
        <v>391</v>
      </c>
      <c r="B83" s="12" t="str">
        <f t="shared" si="14"/>
        <v>BEZUIDENHOUT</v>
      </c>
      <c r="C83" s="12" t="str">
        <f t="shared" si="15"/>
        <v>BEZUIDENHOUT</v>
      </c>
      <c r="D83" s="2" t="s">
        <v>392</v>
      </c>
      <c r="E83" s="12" t="str">
        <f t="shared" si="16"/>
        <v>Coenraad</v>
      </c>
      <c r="F83" s="2" t="s">
        <v>914</v>
      </c>
      <c r="G83" s="12" t="str">
        <f t="shared" si="17"/>
        <v>a1b4c6d9e8</v>
      </c>
      <c r="H83" s="12" t="str">
        <f t="shared" si="18"/>
        <v>BEZUIDENHOUTa1b4c6d9e8</v>
      </c>
      <c r="J83" s="2" t="s">
        <v>393</v>
      </c>
      <c r="K83" s="12" t="str">
        <f t="shared" si="19"/>
        <v>1804</v>
      </c>
      <c r="L83" s="2" t="s">
        <v>32</v>
      </c>
      <c r="M83" s="2" t="s">
        <v>394</v>
      </c>
      <c r="N83" s="12" t="str">
        <f t="shared" si="12"/>
        <v>1804</v>
      </c>
      <c r="O83" s="12" t="str">
        <f t="shared" si="13"/>
        <v>1805</v>
      </c>
      <c r="Q83" s="12" t="str">
        <f t="shared" si="20"/>
        <v>1804</v>
      </c>
      <c r="S83" s="12" t="str">
        <f t="shared" si="21"/>
        <v/>
      </c>
      <c r="T83" s="2" t="s">
        <v>395</v>
      </c>
      <c r="U83" s="2" t="s">
        <v>396</v>
      </c>
      <c r="V83" s="12" t="str">
        <f t="shared" si="22"/>
        <v>1830</v>
      </c>
      <c r="W83" s="2" t="s">
        <v>719</v>
      </c>
      <c r="X83" s="2" t="s">
        <v>702</v>
      </c>
      <c r="AG83" s="2" t="s">
        <v>366</v>
      </c>
      <c r="AH83" s="2" t="s">
        <v>397</v>
      </c>
      <c r="AI83" s="12" t="str">
        <f t="shared" si="23"/>
        <v>1836</v>
      </c>
      <c r="AK83" s="2" t="s">
        <v>373</v>
      </c>
    </row>
    <row r="84" spans="1:62">
      <c r="A84" s="12" t="s">
        <v>482</v>
      </c>
      <c r="B84" s="12" t="str">
        <f t="shared" si="14"/>
        <v>BODENSTEIN</v>
      </c>
      <c r="C84" s="12" t="str">
        <f t="shared" si="15"/>
        <v>BODENSTEIN</v>
      </c>
      <c r="D84" s="2" t="s">
        <v>30</v>
      </c>
      <c r="E84" s="12" t="str">
        <f t="shared" si="16"/>
        <v>Johannes</v>
      </c>
      <c r="F84" s="2" t="s">
        <v>932</v>
      </c>
      <c r="G84" s="12" t="str">
        <f t="shared" si="17"/>
        <v>a1b2</v>
      </c>
      <c r="H84" s="12" t="str">
        <f t="shared" si="18"/>
        <v>BODENSTEINa1b2</v>
      </c>
      <c r="K84" s="12" t="str">
        <f t="shared" si="19"/>
        <v/>
      </c>
      <c r="L84" s="2" t="s">
        <v>48</v>
      </c>
      <c r="M84" s="2" t="s">
        <v>483</v>
      </c>
      <c r="N84" s="12" t="str">
        <f t="shared" si="12"/>
        <v/>
      </c>
      <c r="O84" s="12" t="str">
        <f t="shared" si="13"/>
        <v>1796</v>
      </c>
      <c r="P84" s="2" t="s">
        <v>484</v>
      </c>
      <c r="Q84" s="12" t="str">
        <f t="shared" si="20"/>
        <v>1796</v>
      </c>
      <c r="R84" s="2" t="s">
        <v>485</v>
      </c>
      <c r="S84" s="12" t="str">
        <f t="shared" si="21"/>
        <v>1848</v>
      </c>
      <c r="T84" s="2" t="s">
        <v>74</v>
      </c>
      <c r="U84" s="2" t="s">
        <v>486</v>
      </c>
      <c r="V84" s="12" t="str">
        <f t="shared" si="22"/>
        <v>1817</v>
      </c>
      <c r="W84" s="2" t="s">
        <v>744</v>
      </c>
      <c r="X84" s="2" t="s">
        <v>725</v>
      </c>
      <c r="AG84" s="2" t="s">
        <v>366</v>
      </c>
      <c r="AH84" s="2" t="s">
        <v>310</v>
      </c>
      <c r="AI84" s="12" t="str">
        <f t="shared" si="23"/>
        <v>1837</v>
      </c>
      <c r="AK84" s="2" t="s">
        <v>90</v>
      </c>
    </row>
    <row r="85" spans="1:62">
      <c r="A85" s="2" t="s">
        <v>482</v>
      </c>
      <c r="B85" s="12" t="str">
        <f t="shared" si="14"/>
        <v>BODENSTEIN</v>
      </c>
      <c r="C85" s="12" t="str">
        <f t="shared" si="15"/>
        <v>BODENSTEIN</v>
      </c>
      <c r="D85" s="2" t="s">
        <v>487</v>
      </c>
      <c r="E85" s="12" t="str">
        <f t="shared" si="16"/>
        <v>Johannes Casper</v>
      </c>
      <c r="F85" s="2" t="s">
        <v>933</v>
      </c>
      <c r="G85" s="12" t="str">
        <f t="shared" si="17"/>
        <v>a1b2c1</v>
      </c>
      <c r="H85" s="12" t="str">
        <f t="shared" si="18"/>
        <v>BODENSTEINa1b2c1</v>
      </c>
      <c r="J85" s="2" t="s">
        <v>488</v>
      </c>
      <c r="K85" s="12" t="str">
        <f t="shared" si="19"/>
        <v>1819</v>
      </c>
      <c r="L85" s="2" t="s">
        <v>366</v>
      </c>
      <c r="M85" s="2" t="s">
        <v>489</v>
      </c>
      <c r="N85" s="12" t="str">
        <f t="shared" si="12"/>
        <v>1819</v>
      </c>
      <c r="O85" s="12" t="str">
        <f t="shared" si="13"/>
        <v>1819</v>
      </c>
      <c r="Q85" s="12" t="str">
        <f t="shared" si="20"/>
        <v>1819</v>
      </c>
      <c r="S85" s="12" t="str">
        <f t="shared" si="21"/>
        <v/>
      </c>
      <c r="T85" s="2" t="s">
        <v>168</v>
      </c>
      <c r="U85" s="2" t="s">
        <v>490</v>
      </c>
      <c r="V85" s="12" t="str">
        <f t="shared" si="22"/>
        <v>1844</v>
      </c>
      <c r="W85" s="2" t="s">
        <v>745</v>
      </c>
      <c r="X85" s="2" t="s">
        <v>655</v>
      </c>
      <c r="Y85" s="2" t="s">
        <v>934</v>
      </c>
      <c r="AA85" s="2" t="s">
        <v>491</v>
      </c>
      <c r="AB85" s="2" t="s">
        <v>74</v>
      </c>
      <c r="AC85" s="2" t="s">
        <v>492</v>
      </c>
      <c r="AG85" s="2" t="s">
        <v>366</v>
      </c>
      <c r="AH85" s="2">
        <v>1838</v>
      </c>
      <c r="AI85" s="12" t="str">
        <f t="shared" si="23"/>
        <v>1838</v>
      </c>
      <c r="AK85" s="2" t="s">
        <v>90</v>
      </c>
    </row>
    <row r="86" spans="1:62">
      <c r="A86" s="2" t="s">
        <v>493</v>
      </c>
      <c r="B86" s="12" t="str">
        <f t="shared" si="14"/>
        <v>BOOYSEN</v>
      </c>
      <c r="C86" s="12" t="str">
        <f t="shared" si="15"/>
        <v>BOOYSEN</v>
      </c>
      <c r="D86" s="2" t="s">
        <v>30</v>
      </c>
      <c r="E86" s="12" t="str">
        <f t="shared" si="16"/>
        <v>Johannes</v>
      </c>
      <c r="F86" s="2" t="s">
        <v>938</v>
      </c>
      <c r="G86" s="12" t="str">
        <f t="shared" si="17"/>
        <v>a1b2c2d3</v>
      </c>
      <c r="H86" s="12" t="str">
        <f t="shared" si="18"/>
        <v>BOOYSENa1b2c2d3</v>
      </c>
      <c r="K86" s="12" t="str">
        <f t="shared" si="19"/>
        <v/>
      </c>
      <c r="M86" s="2" t="s">
        <v>514</v>
      </c>
      <c r="N86" s="12" t="str">
        <f t="shared" si="12"/>
        <v/>
      </c>
      <c r="O86" s="12" t="str">
        <f t="shared" si="13"/>
        <v>1788</v>
      </c>
      <c r="Q86" s="12" t="str">
        <f t="shared" si="20"/>
        <v>1788</v>
      </c>
      <c r="S86" s="12" t="str">
        <f t="shared" si="21"/>
        <v/>
      </c>
      <c r="T86" s="2" t="s">
        <v>199</v>
      </c>
      <c r="U86" s="2" t="s">
        <v>515</v>
      </c>
      <c r="V86" s="12" t="str">
        <f t="shared" si="22"/>
        <v>1815</v>
      </c>
      <c r="W86" s="2" t="s">
        <v>649</v>
      </c>
      <c r="X86" s="2" t="s">
        <v>733</v>
      </c>
      <c r="Y86" s="2" t="s">
        <v>939</v>
      </c>
      <c r="AC86" s="2" t="s">
        <v>516</v>
      </c>
      <c r="AF86" s="2" t="s">
        <v>3677</v>
      </c>
      <c r="AG86" s="2" t="s">
        <v>53</v>
      </c>
      <c r="AH86" s="2" t="s">
        <v>503</v>
      </c>
      <c r="AI86" s="12" t="str">
        <f t="shared" si="23"/>
        <v>1837</v>
      </c>
      <c r="AJ86" s="2" t="s">
        <v>504</v>
      </c>
      <c r="AK86" s="2" t="s">
        <v>90</v>
      </c>
    </row>
    <row r="87" spans="1:62">
      <c r="A87" s="2" t="s">
        <v>493</v>
      </c>
      <c r="B87" s="12" t="str">
        <f t="shared" si="14"/>
        <v>BOOYSEN</v>
      </c>
      <c r="C87" s="12" t="str">
        <f t="shared" si="15"/>
        <v>BOOYSEN</v>
      </c>
      <c r="D87" s="2" t="s">
        <v>500</v>
      </c>
      <c r="E87" s="12" t="str">
        <f t="shared" si="16"/>
        <v xml:space="preserve">Dirk   </v>
      </c>
      <c r="F87" s="2" t="s">
        <v>857</v>
      </c>
      <c r="G87" s="12" t="str">
        <f t="shared" si="17"/>
        <v>a1b2c2d4</v>
      </c>
      <c r="H87" s="12" t="str">
        <f t="shared" si="18"/>
        <v>BOOYSENa1b2c2d4</v>
      </c>
      <c r="K87" s="12" t="str">
        <f t="shared" si="19"/>
        <v/>
      </c>
      <c r="M87" s="2" t="s">
        <v>501</v>
      </c>
      <c r="N87" s="12" t="str">
        <f t="shared" si="12"/>
        <v/>
      </c>
      <c r="O87" s="12" t="str">
        <f t="shared" si="13"/>
        <v>1798</v>
      </c>
      <c r="Q87" s="12" t="str">
        <f t="shared" si="20"/>
        <v>1798</v>
      </c>
      <c r="S87" s="12" t="str">
        <f t="shared" si="21"/>
        <v/>
      </c>
      <c r="T87" s="2" t="s">
        <v>53</v>
      </c>
      <c r="U87" s="2" t="s">
        <v>502</v>
      </c>
      <c r="V87" s="12" t="str">
        <f t="shared" si="22"/>
        <v>1823</v>
      </c>
      <c r="W87" s="2" t="s">
        <v>747</v>
      </c>
      <c r="X87" s="2" t="s">
        <v>731</v>
      </c>
      <c r="AF87" s="2" t="s">
        <v>3677</v>
      </c>
      <c r="AG87" s="2" t="s">
        <v>53</v>
      </c>
      <c r="AH87" s="2" t="s">
        <v>503</v>
      </c>
      <c r="AI87" s="12" t="str">
        <f t="shared" si="23"/>
        <v>1837</v>
      </c>
      <c r="AJ87" s="2" t="s">
        <v>504</v>
      </c>
      <c r="AK87" s="2" t="s">
        <v>140</v>
      </c>
    </row>
    <row r="88" spans="1:62">
      <c r="A88" s="2" t="s">
        <v>493</v>
      </c>
      <c r="B88" s="12" t="str">
        <f t="shared" si="14"/>
        <v>BOOYSEN</v>
      </c>
      <c r="C88" s="12" t="str">
        <f t="shared" si="15"/>
        <v>BOOYSEN</v>
      </c>
      <c r="D88" s="2" t="s">
        <v>505</v>
      </c>
      <c r="E88" s="12" t="str">
        <f t="shared" si="16"/>
        <v>Frans Abraham</v>
      </c>
      <c r="F88" s="2" t="s">
        <v>936</v>
      </c>
      <c r="G88" s="12" t="str">
        <f t="shared" si="17"/>
        <v>a1b2c2d6</v>
      </c>
      <c r="H88" s="12" t="str">
        <f t="shared" si="18"/>
        <v>BOOYSENa1b2c2d6</v>
      </c>
      <c r="K88" s="12" t="str">
        <f t="shared" si="19"/>
        <v/>
      </c>
      <c r="M88" s="2" t="s">
        <v>506</v>
      </c>
      <c r="N88" s="12" t="str">
        <f t="shared" si="12"/>
        <v/>
      </c>
      <c r="O88" s="12" t="str">
        <f t="shared" si="13"/>
        <v>1803</v>
      </c>
      <c r="Q88" s="12" t="str">
        <f t="shared" si="20"/>
        <v>1803</v>
      </c>
      <c r="R88" s="2" t="s">
        <v>507</v>
      </c>
      <c r="S88" s="12" t="str">
        <f t="shared" si="21"/>
        <v>1849</v>
      </c>
      <c r="T88" s="2" t="s">
        <v>53</v>
      </c>
      <c r="U88" s="2" t="s">
        <v>508</v>
      </c>
      <c r="V88" s="12" t="str">
        <f t="shared" si="22"/>
        <v>1821</v>
      </c>
      <c r="W88" s="2" t="s">
        <v>748</v>
      </c>
      <c r="X88" s="2" t="s">
        <v>698</v>
      </c>
      <c r="AF88" s="2" t="s">
        <v>3677</v>
      </c>
      <c r="AG88" s="2" t="s">
        <v>53</v>
      </c>
      <c r="AH88" s="2" t="s">
        <v>503</v>
      </c>
      <c r="AI88" s="12" t="str">
        <f t="shared" si="23"/>
        <v>1837</v>
      </c>
      <c r="AJ88" s="2" t="s">
        <v>504</v>
      </c>
      <c r="AK88" s="2" t="s">
        <v>230</v>
      </c>
      <c r="AL88" s="2" t="s">
        <v>140</v>
      </c>
      <c r="AM88" s="2" t="s">
        <v>509</v>
      </c>
      <c r="AN88" s="2" t="s">
        <v>815</v>
      </c>
      <c r="AO88" s="2" t="s">
        <v>786</v>
      </c>
      <c r="AV88" s="2">
        <v>1849</v>
      </c>
    </row>
    <row r="89" spans="1:62">
      <c r="A89" s="2" t="s">
        <v>493</v>
      </c>
      <c r="B89" s="12" t="str">
        <f t="shared" si="14"/>
        <v>BOOYSEN</v>
      </c>
      <c r="C89" s="12" t="str">
        <f t="shared" si="15"/>
        <v>BOOYSEN</v>
      </c>
      <c r="D89" s="2" t="s">
        <v>494</v>
      </c>
      <c r="E89" s="12" t="str">
        <f t="shared" si="16"/>
        <v>Cornelis Hermanus Zacharias</v>
      </c>
      <c r="F89" s="2" t="s">
        <v>935</v>
      </c>
      <c r="G89" s="12" t="str">
        <f t="shared" si="17"/>
        <v>a1b3c4d5e7</v>
      </c>
      <c r="H89" s="12" t="str">
        <f t="shared" si="18"/>
        <v>BOOYSENa1b3c4d5e7</v>
      </c>
      <c r="K89" s="12" t="str">
        <f t="shared" si="19"/>
        <v/>
      </c>
      <c r="M89" s="2" t="s">
        <v>495</v>
      </c>
      <c r="N89" s="12" t="str">
        <f t="shared" si="12"/>
        <v/>
      </c>
      <c r="O89" s="12" t="str">
        <f t="shared" si="13"/>
        <v>1809</v>
      </c>
      <c r="Q89" s="12" t="str">
        <f t="shared" si="20"/>
        <v>1809</v>
      </c>
      <c r="R89" s="2">
        <v>1848</v>
      </c>
      <c r="S89" s="12" t="str">
        <f t="shared" si="21"/>
        <v>1848</v>
      </c>
      <c r="V89" s="12" t="str">
        <f t="shared" si="22"/>
        <v/>
      </c>
      <c r="W89" s="2" t="s">
        <v>746</v>
      </c>
      <c r="X89" s="2" t="s">
        <v>730</v>
      </c>
      <c r="AD89" s="2" t="s">
        <v>90</v>
      </c>
      <c r="AE89" s="2" t="s">
        <v>496</v>
      </c>
      <c r="AF89" s="2" t="s">
        <v>3706</v>
      </c>
      <c r="AG89" s="2" t="s">
        <v>68</v>
      </c>
      <c r="AH89" s="2" t="s">
        <v>89</v>
      </c>
      <c r="AI89" s="12" t="str">
        <f t="shared" si="23"/>
        <v>1838</v>
      </c>
      <c r="AJ89" s="2" t="s">
        <v>499</v>
      </c>
      <c r="AK89" s="2" t="s">
        <v>190</v>
      </c>
      <c r="AM89" s="2" t="s">
        <v>497</v>
      </c>
      <c r="AN89" s="2" t="s">
        <v>814</v>
      </c>
      <c r="AO89" s="2" t="s">
        <v>785</v>
      </c>
      <c r="AV89" s="2" t="s">
        <v>498</v>
      </c>
    </row>
    <row r="90" spans="1:62" s="5" customFormat="1">
      <c r="A90" s="5" t="s">
        <v>493</v>
      </c>
      <c r="B90" s="5" t="str">
        <f t="shared" si="14"/>
        <v>BOOYSEN</v>
      </c>
      <c r="C90" s="5" t="str">
        <f t="shared" si="15"/>
        <v>BOOYSEN</v>
      </c>
      <c r="D90" s="5" t="s">
        <v>517</v>
      </c>
      <c r="E90" s="12" t="str">
        <f t="shared" si="16"/>
        <v>Jonathan David Wilhelmus</v>
      </c>
      <c r="F90" s="6" t="s">
        <v>15795</v>
      </c>
      <c r="G90" s="5" t="str">
        <f t="shared" si="17"/>
        <v>a1b3c4d5e9</v>
      </c>
      <c r="H90" s="5" t="str">
        <f t="shared" si="18"/>
        <v>BOOYSENa1b3c4d5e9</v>
      </c>
      <c r="K90" s="5" t="str">
        <f t="shared" si="19"/>
        <v/>
      </c>
      <c r="L90" s="5" t="s">
        <v>74</v>
      </c>
      <c r="M90" s="5" t="s">
        <v>518</v>
      </c>
      <c r="N90" s="5" t="str">
        <f t="shared" si="12"/>
        <v/>
      </c>
      <c r="O90" s="5" t="str">
        <f t="shared" si="13"/>
        <v>1817</v>
      </c>
      <c r="Q90" s="5" t="str">
        <f t="shared" si="20"/>
        <v>1817</v>
      </c>
      <c r="S90" s="5" t="str">
        <f t="shared" si="21"/>
        <v/>
      </c>
      <c r="T90" s="5" t="s">
        <v>74</v>
      </c>
      <c r="U90" s="5" t="s">
        <v>524</v>
      </c>
      <c r="V90" s="5" t="str">
        <f t="shared" si="22"/>
        <v>1837</v>
      </c>
      <c r="W90" s="5" t="s">
        <v>750</v>
      </c>
      <c r="X90" s="5" t="s">
        <v>669</v>
      </c>
      <c r="Y90" s="5" t="s">
        <v>941</v>
      </c>
      <c r="AG90" s="5" t="s">
        <v>74</v>
      </c>
      <c r="AH90" s="5" t="s">
        <v>519</v>
      </c>
      <c r="AI90" s="5" t="str">
        <f t="shared" si="23"/>
        <v>1842</v>
      </c>
      <c r="AK90" s="5" t="s">
        <v>520</v>
      </c>
    </row>
    <row r="91" spans="1:62" s="5" customFormat="1">
      <c r="A91" s="5" t="s">
        <v>493</v>
      </c>
      <c r="B91" s="5" t="str">
        <f t="shared" si="14"/>
        <v>BOOYSEN</v>
      </c>
      <c r="C91" s="5" t="str">
        <f t="shared" si="15"/>
        <v>BOOYSEN</v>
      </c>
      <c r="D91" s="5" t="s">
        <v>521</v>
      </c>
      <c r="E91" s="12" t="str">
        <f t="shared" si="16"/>
        <v>Petrus Gerhardus</v>
      </c>
      <c r="F91" s="5" t="s">
        <v>940</v>
      </c>
      <c r="G91" s="5" t="str">
        <f t="shared" si="17"/>
        <v>a1b3c4d5e8</v>
      </c>
      <c r="H91" s="5" t="str">
        <f t="shared" si="18"/>
        <v>BOOYSENa1b3c4d5e8</v>
      </c>
      <c r="J91" s="5" t="s">
        <v>522</v>
      </c>
      <c r="K91" s="5" t="str">
        <f t="shared" si="19"/>
        <v>1811</v>
      </c>
      <c r="L91" s="5" t="s">
        <v>74</v>
      </c>
      <c r="M91" s="5" t="s">
        <v>523</v>
      </c>
      <c r="N91" s="5" t="str">
        <f t="shared" si="12"/>
        <v>1811</v>
      </c>
      <c r="O91" s="5" t="str">
        <f t="shared" si="13"/>
        <v>1811</v>
      </c>
      <c r="Q91" s="5" t="str">
        <f t="shared" si="20"/>
        <v>1811</v>
      </c>
      <c r="S91" s="5" t="str">
        <f t="shared" si="21"/>
        <v/>
      </c>
      <c r="T91" s="5" t="s">
        <v>74</v>
      </c>
      <c r="U91" s="5" t="s">
        <v>525</v>
      </c>
      <c r="V91" s="5" t="str">
        <f t="shared" si="22"/>
        <v>1832</v>
      </c>
      <c r="W91" s="5" t="s">
        <v>751</v>
      </c>
      <c r="X91" s="5" t="s">
        <v>669</v>
      </c>
      <c r="Y91" s="5" t="s">
        <v>942</v>
      </c>
      <c r="AG91" s="5" t="s">
        <v>74</v>
      </c>
      <c r="AI91" s="5" t="str">
        <f t="shared" si="23"/>
        <v/>
      </c>
      <c r="AK91" s="5" t="s">
        <v>520</v>
      </c>
    </row>
    <row r="92" spans="1:62">
      <c r="A92" s="2" t="s">
        <v>493</v>
      </c>
      <c r="B92" s="12" t="str">
        <f t="shared" si="14"/>
        <v>BOOYSEN</v>
      </c>
      <c r="C92" s="12" t="str">
        <f t="shared" si="15"/>
        <v>BOOYSEN</v>
      </c>
      <c r="D92" s="2" t="s">
        <v>510</v>
      </c>
      <c r="E92" s="12" t="str">
        <f t="shared" si="16"/>
        <v>Jan Gerhardus Lodewikus</v>
      </c>
      <c r="F92" s="2" t="s">
        <v>937</v>
      </c>
      <c r="G92" s="12" t="str">
        <f t="shared" si="17"/>
        <v>a1b3c4d7e5</v>
      </c>
      <c r="H92" s="12" t="str">
        <f t="shared" si="18"/>
        <v>BOOYSENa1b3c4d7e5</v>
      </c>
      <c r="J92" s="2" t="s">
        <v>511</v>
      </c>
      <c r="K92" s="12" t="str">
        <f t="shared" si="19"/>
        <v>1817</v>
      </c>
      <c r="L92" s="2" t="s">
        <v>74</v>
      </c>
      <c r="M92" s="2" t="s">
        <v>106</v>
      </c>
      <c r="N92" s="12" t="str">
        <f t="shared" si="12"/>
        <v>1817</v>
      </c>
      <c r="O92" s="12" t="str">
        <f t="shared" si="13"/>
        <v>1817</v>
      </c>
      <c r="Q92" s="12" t="str">
        <f t="shared" si="20"/>
        <v>1817</v>
      </c>
      <c r="R92" s="12"/>
      <c r="S92" s="12" t="str">
        <f t="shared" si="21"/>
        <v/>
      </c>
      <c r="T92" s="2" t="s">
        <v>28</v>
      </c>
      <c r="U92" s="2" t="s">
        <v>126</v>
      </c>
      <c r="V92" s="12" t="str">
        <f t="shared" si="22"/>
        <v>1836</v>
      </c>
      <c r="W92" s="2" t="s">
        <v>749</v>
      </c>
      <c r="X92" s="2" t="s">
        <v>732</v>
      </c>
      <c r="AG92" s="2" t="s">
        <v>28</v>
      </c>
      <c r="AH92" s="2" t="s">
        <v>513</v>
      </c>
      <c r="AI92" s="12" t="str">
        <f t="shared" si="23"/>
        <v>1842</v>
      </c>
      <c r="AK92" s="2" t="s">
        <v>90</v>
      </c>
    </row>
    <row r="93" spans="1:62">
      <c r="A93" s="12" t="s">
        <v>526</v>
      </c>
      <c r="B93" s="12" t="str">
        <f t="shared" si="14"/>
        <v>BORNMAN</v>
      </c>
      <c r="C93" s="12" t="str">
        <f t="shared" si="15"/>
        <v>BORNMAN</v>
      </c>
      <c r="D93" s="2" t="s">
        <v>537</v>
      </c>
      <c r="E93" s="12" t="str">
        <f t="shared" si="16"/>
        <v>Johan Christiaan</v>
      </c>
      <c r="F93" s="2" t="s">
        <v>837</v>
      </c>
      <c r="G93" s="12" t="str">
        <f t="shared" si="17"/>
        <v>a1b1</v>
      </c>
      <c r="H93" s="12" t="str">
        <f t="shared" si="18"/>
        <v>BORNMANa1b1</v>
      </c>
      <c r="J93" s="2" t="s">
        <v>538</v>
      </c>
      <c r="K93" s="12" t="str">
        <f t="shared" si="19"/>
        <v>1789</v>
      </c>
      <c r="N93" s="12" t="str">
        <f t="shared" si="12"/>
        <v>1789</v>
      </c>
      <c r="O93" s="12" t="str">
        <f t="shared" si="13"/>
        <v/>
      </c>
      <c r="P93" s="2" t="s">
        <v>190</v>
      </c>
      <c r="Q93" s="12" t="str">
        <f t="shared" si="20"/>
        <v>1789</v>
      </c>
      <c r="R93" s="2" t="s">
        <v>539</v>
      </c>
      <c r="S93" s="12" t="str">
        <f t="shared" si="21"/>
        <v>1862</v>
      </c>
      <c r="T93" s="2" t="s">
        <v>167</v>
      </c>
      <c r="U93" s="2" t="s">
        <v>540</v>
      </c>
      <c r="V93" s="12" t="str">
        <f t="shared" si="22"/>
        <v>1809</v>
      </c>
      <c r="W93" s="2" t="s">
        <v>754</v>
      </c>
      <c r="X93" s="2" t="s">
        <v>631</v>
      </c>
      <c r="AF93" s="2" t="s">
        <v>3713</v>
      </c>
      <c r="AG93" s="2" t="s">
        <v>74</v>
      </c>
      <c r="AH93" s="2">
        <v>1838</v>
      </c>
      <c r="AI93" s="12" t="str">
        <f t="shared" si="23"/>
        <v>1838</v>
      </c>
      <c r="AK93" s="2" t="s">
        <v>190</v>
      </c>
    </row>
    <row r="94" spans="1:62">
      <c r="A94" s="12" t="s">
        <v>526</v>
      </c>
      <c r="B94" s="12" t="str">
        <f t="shared" si="14"/>
        <v>BORNMAN</v>
      </c>
      <c r="C94" s="12" t="str">
        <f t="shared" si="15"/>
        <v>BORNMAN</v>
      </c>
      <c r="D94" s="12" t="s">
        <v>552</v>
      </c>
      <c r="E94" s="12" t="str">
        <f t="shared" si="16"/>
        <v>Meynert Jacobus</v>
      </c>
      <c r="F94" s="2" t="s">
        <v>946</v>
      </c>
      <c r="G94" s="12" t="str">
        <f t="shared" si="17"/>
        <v>a1b1c10</v>
      </c>
      <c r="H94" s="12" t="str">
        <f t="shared" si="18"/>
        <v>BORNMANa1b1c10</v>
      </c>
      <c r="J94" s="2" t="s">
        <v>553</v>
      </c>
      <c r="K94" s="12" t="str">
        <f t="shared" si="19"/>
        <v>1825</v>
      </c>
      <c r="L94" s="2" t="s">
        <v>74</v>
      </c>
      <c r="M94" s="2" t="s">
        <v>554</v>
      </c>
      <c r="N94" s="12" t="str">
        <f t="shared" si="12"/>
        <v>1825</v>
      </c>
      <c r="O94" s="12" t="str">
        <f t="shared" si="13"/>
        <v>1825</v>
      </c>
      <c r="Q94" s="12" t="str">
        <f t="shared" si="20"/>
        <v>1825</v>
      </c>
      <c r="S94" s="12" t="str">
        <f t="shared" si="21"/>
        <v/>
      </c>
      <c r="T94" s="2" t="s">
        <v>31</v>
      </c>
      <c r="U94" s="2" t="s">
        <v>555</v>
      </c>
      <c r="V94" s="12" t="str">
        <f t="shared" si="22"/>
        <v>1849</v>
      </c>
      <c r="W94" s="2" t="s">
        <v>765</v>
      </c>
      <c r="X94" s="2" t="s">
        <v>756</v>
      </c>
      <c r="AA94" s="2" t="s">
        <v>556</v>
      </c>
      <c r="AF94" s="2" t="s">
        <v>3713</v>
      </c>
      <c r="AG94" s="2" t="s">
        <v>74</v>
      </c>
      <c r="AH94" s="2">
        <v>1838</v>
      </c>
      <c r="AI94" s="12" t="str">
        <f t="shared" si="23"/>
        <v>1838</v>
      </c>
      <c r="AK94" s="2" t="s">
        <v>551</v>
      </c>
    </row>
    <row r="95" spans="1:62">
      <c r="A95" s="2" t="s">
        <v>526</v>
      </c>
      <c r="B95" s="12" t="str">
        <f t="shared" si="14"/>
        <v>BORNMAN</v>
      </c>
      <c r="C95" s="12" t="str">
        <f t="shared" si="15"/>
        <v>BORNMAN</v>
      </c>
      <c r="D95" s="2" t="s">
        <v>527</v>
      </c>
      <c r="E95" s="12" t="str">
        <f t="shared" si="16"/>
        <v>Christiaan Hiermonimus</v>
      </c>
      <c r="F95" s="2" t="s">
        <v>934</v>
      </c>
      <c r="G95" s="12" t="str">
        <f t="shared" si="17"/>
        <v>a1b1c2</v>
      </c>
      <c r="H95" s="12" t="str">
        <f t="shared" si="18"/>
        <v>BORNMANa1b1c2</v>
      </c>
      <c r="J95" s="2" t="s">
        <v>528</v>
      </c>
      <c r="K95" s="12" t="str">
        <f t="shared" si="19"/>
        <v>1812</v>
      </c>
      <c r="N95" s="12" t="str">
        <f t="shared" si="12"/>
        <v>1812</v>
      </c>
      <c r="O95" s="12" t="str">
        <f t="shared" si="13"/>
        <v/>
      </c>
      <c r="Q95" s="12" t="str">
        <f t="shared" si="20"/>
        <v>1812</v>
      </c>
      <c r="S95" s="12" t="str">
        <f t="shared" si="21"/>
        <v/>
      </c>
      <c r="T95" s="2" t="s">
        <v>74</v>
      </c>
      <c r="U95" s="2" t="s">
        <v>529</v>
      </c>
      <c r="V95" s="12" t="str">
        <f t="shared" si="22"/>
        <v>1831</v>
      </c>
      <c r="W95" s="2" t="s">
        <v>752</v>
      </c>
      <c r="X95" s="2" t="s">
        <v>728</v>
      </c>
      <c r="AF95" s="2" t="s">
        <v>3713</v>
      </c>
      <c r="AG95" s="2" t="s">
        <v>531</v>
      </c>
      <c r="AH95" s="2" t="s">
        <v>532</v>
      </c>
      <c r="AI95" s="12" t="str">
        <f t="shared" si="23"/>
        <v>1838</v>
      </c>
      <c r="AK95" s="2" t="s">
        <v>190</v>
      </c>
      <c r="AL95" s="2" t="s">
        <v>1043</v>
      </c>
      <c r="AM95" s="2" t="s">
        <v>530</v>
      </c>
      <c r="AN95" s="2" t="s">
        <v>816</v>
      </c>
      <c r="AO95" s="2" t="s">
        <v>787</v>
      </c>
      <c r="AY95" s="2" t="s">
        <v>806</v>
      </c>
      <c r="AZ95" s="2" t="s">
        <v>821</v>
      </c>
      <c r="BI95" s="2" t="s">
        <v>828</v>
      </c>
      <c r="BJ95" s="2" t="s">
        <v>827</v>
      </c>
    </row>
    <row r="96" spans="1:62">
      <c r="A96" s="12" t="s">
        <v>526</v>
      </c>
      <c r="B96" s="12" t="str">
        <f t="shared" si="14"/>
        <v>BORNMAN</v>
      </c>
      <c r="C96" s="12" t="str">
        <f t="shared" si="15"/>
        <v>BORNMAN</v>
      </c>
      <c r="D96" s="12" t="s">
        <v>40</v>
      </c>
      <c r="E96" s="12" t="str">
        <f t="shared" si="16"/>
        <v>Johannes Joachim</v>
      </c>
      <c r="F96" s="12" t="s">
        <v>944</v>
      </c>
      <c r="G96" s="12" t="str">
        <f t="shared" si="17"/>
        <v>a1b1c4</v>
      </c>
      <c r="H96" s="12" t="str">
        <f t="shared" si="18"/>
        <v>BORNMANa1b1c4</v>
      </c>
      <c r="I96" s="12"/>
      <c r="J96" s="12" t="s">
        <v>541</v>
      </c>
      <c r="K96" s="12" t="str">
        <f t="shared" si="19"/>
        <v>1813</v>
      </c>
      <c r="L96" s="12" t="s">
        <v>542</v>
      </c>
      <c r="M96" s="12" t="s">
        <v>543</v>
      </c>
      <c r="N96" s="12" t="str">
        <f t="shared" si="12"/>
        <v>1813</v>
      </c>
      <c r="O96" s="12" t="str">
        <f t="shared" si="13"/>
        <v>1814</v>
      </c>
      <c r="P96" s="12"/>
      <c r="Q96" s="12" t="str">
        <f t="shared" si="20"/>
        <v>1813</v>
      </c>
      <c r="R96" s="12"/>
      <c r="S96" s="12" t="str">
        <f t="shared" si="21"/>
        <v/>
      </c>
      <c r="T96" s="12" t="s">
        <v>74</v>
      </c>
      <c r="U96" s="12" t="s">
        <v>544</v>
      </c>
      <c r="V96" s="12" t="str">
        <f t="shared" si="22"/>
        <v>1834</v>
      </c>
      <c r="W96" s="12" t="s">
        <v>763</v>
      </c>
      <c r="X96" s="12" t="s">
        <v>728</v>
      </c>
      <c r="Y96" s="12"/>
      <c r="Z96" s="12"/>
      <c r="AA96" s="12"/>
      <c r="AB96" s="12"/>
      <c r="AC96" s="12"/>
      <c r="AD96" s="12" t="s">
        <v>545</v>
      </c>
      <c r="AE96" s="12" t="s">
        <v>546</v>
      </c>
      <c r="AF96" s="12" t="s">
        <v>3713</v>
      </c>
      <c r="AG96" s="12" t="s">
        <v>74</v>
      </c>
      <c r="AH96" s="12">
        <v>1838</v>
      </c>
      <c r="AI96" s="12" t="str">
        <f t="shared" si="23"/>
        <v>1838</v>
      </c>
      <c r="AJ96" s="12"/>
      <c r="AK96" s="12" t="s">
        <v>190</v>
      </c>
      <c r="AL96" s="12" t="s">
        <v>168</v>
      </c>
      <c r="AM96" s="12" t="s">
        <v>547</v>
      </c>
      <c r="AN96" s="12" t="s">
        <v>714</v>
      </c>
      <c r="AO96" s="12" t="s">
        <v>788</v>
      </c>
      <c r="AP96" s="12"/>
      <c r="AQ96" s="12"/>
      <c r="AR96" s="12"/>
      <c r="AS96" s="12"/>
      <c r="AT96" s="12"/>
      <c r="AU96" s="12"/>
      <c r="AV96" s="12" t="s">
        <v>546</v>
      </c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</row>
    <row r="97" spans="1:70">
      <c r="A97" s="12" t="s">
        <v>526</v>
      </c>
      <c r="B97" s="12" t="str">
        <f t="shared" si="14"/>
        <v>BORNMAN</v>
      </c>
      <c r="C97" s="12" t="str">
        <f t="shared" si="15"/>
        <v>BORNMAN</v>
      </c>
      <c r="D97" s="12" t="s">
        <v>533</v>
      </c>
      <c r="E97" s="12" t="str">
        <f t="shared" si="16"/>
        <v xml:space="preserve">Jacobus Johannes </v>
      </c>
      <c r="F97" s="12" t="s">
        <v>943</v>
      </c>
      <c r="G97" s="12" t="str">
        <f t="shared" si="17"/>
        <v>a1b1c7</v>
      </c>
      <c r="H97" s="12" t="str">
        <f t="shared" si="18"/>
        <v>BORNMANa1b1c7</v>
      </c>
      <c r="I97" s="12"/>
      <c r="J97" s="12" t="s">
        <v>534</v>
      </c>
      <c r="K97" s="12" t="str">
        <f t="shared" si="19"/>
        <v>1819</v>
      </c>
      <c r="L97" s="12" t="s">
        <v>74</v>
      </c>
      <c r="M97" s="12" t="s">
        <v>535</v>
      </c>
      <c r="N97" s="12" t="str">
        <f t="shared" si="12"/>
        <v>1819</v>
      </c>
      <c r="O97" s="12" t="str">
        <f t="shared" si="13"/>
        <v>1819</v>
      </c>
      <c r="P97" s="12"/>
      <c r="Q97" s="12" t="str">
        <f t="shared" si="20"/>
        <v>1819</v>
      </c>
      <c r="R97" s="1" t="s">
        <v>1155</v>
      </c>
      <c r="S97" s="12" t="str">
        <f t="shared" si="21"/>
        <v>1913</v>
      </c>
      <c r="T97" s="12"/>
      <c r="U97" s="12"/>
      <c r="V97" s="12" t="str">
        <f t="shared" si="22"/>
        <v/>
      </c>
      <c r="W97" s="12" t="s">
        <v>753</v>
      </c>
      <c r="X97" s="12" t="s">
        <v>734</v>
      </c>
      <c r="Y97" s="12"/>
      <c r="Z97" s="12"/>
      <c r="AA97" s="12"/>
      <c r="AB97" s="12"/>
      <c r="AC97" s="12"/>
      <c r="AD97" s="12"/>
      <c r="AE97" s="12"/>
      <c r="AF97" s="12"/>
      <c r="AG97" s="12" t="s">
        <v>366</v>
      </c>
      <c r="AH97" s="12"/>
      <c r="AI97" s="12" t="str">
        <f t="shared" si="23"/>
        <v/>
      </c>
      <c r="AJ97" s="12"/>
      <c r="AK97" s="12" t="s">
        <v>536</v>
      </c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</row>
    <row r="98" spans="1:70">
      <c r="A98" s="12" t="s">
        <v>526</v>
      </c>
      <c r="B98" s="12" t="str">
        <f t="shared" si="14"/>
        <v>BORNMAN</v>
      </c>
      <c r="C98" s="12" t="str">
        <f t="shared" si="15"/>
        <v>BORNMAN</v>
      </c>
      <c r="D98" s="12" t="s">
        <v>548</v>
      </c>
      <c r="E98" s="12" t="str">
        <f t="shared" si="16"/>
        <v>Leendert</v>
      </c>
      <c r="F98" s="12" t="s">
        <v>945</v>
      </c>
      <c r="G98" s="12" t="str">
        <f t="shared" si="17"/>
        <v>a1bc9</v>
      </c>
      <c r="H98" s="12" t="str">
        <f t="shared" si="18"/>
        <v>BORNMANa1bc9</v>
      </c>
      <c r="I98" s="12"/>
      <c r="J98" s="12" t="s">
        <v>549</v>
      </c>
      <c r="K98" s="12" t="str">
        <f t="shared" si="19"/>
        <v>1823</v>
      </c>
      <c r="L98" s="12" t="s">
        <v>74</v>
      </c>
      <c r="M98" s="12" t="s">
        <v>550</v>
      </c>
      <c r="N98" s="12" t="str">
        <f t="shared" si="12"/>
        <v>1823</v>
      </c>
      <c r="O98" s="12" t="str">
        <f t="shared" si="13"/>
        <v>1824</v>
      </c>
      <c r="P98" s="12"/>
      <c r="Q98" s="12" t="str">
        <f t="shared" si="20"/>
        <v>1823</v>
      </c>
      <c r="R98" s="12"/>
      <c r="S98" s="12" t="str">
        <f t="shared" si="21"/>
        <v/>
      </c>
      <c r="T98" s="12"/>
      <c r="U98" s="12"/>
      <c r="V98" s="12" t="str">
        <f t="shared" si="22"/>
        <v/>
      </c>
      <c r="W98" s="12" t="s">
        <v>764</v>
      </c>
      <c r="X98" s="12" t="s">
        <v>755</v>
      </c>
      <c r="Y98" s="12"/>
      <c r="Z98" s="12"/>
      <c r="AA98" s="12"/>
      <c r="AB98" s="12"/>
      <c r="AC98" s="12"/>
      <c r="AD98" s="12"/>
      <c r="AE98" s="12"/>
      <c r="AF98" s="12" t="s">
        <v>3713</v>
      </c>
      <c r="AG98" s="12" t="s">
        <v>74</v>
      </c>
      <c r="AH98" s="12">
        <v>1838</v>
      </c>
      <c r="AI98" s="12" t="str">
        <f t="shared" si="23"/>
        <v>1838</v>
      </c>
      <c r="AJ98" s="12"/>
      <c r="AK98" s="12" t="s">
        <v>551</v>
      </c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</row>
    <row r="99" spans="1:70" s="5" customFormat="1">
      <c r="A99" s="5" t="s">
        <v>1774</v>
      </c>
      <c r="B99" s="5" t="str">
        <f t="shared" si="14"/>
        <v>BOSHOF</v>
      </c>
      <c r="C99" s="5" t="str">
        <f t="shared" si="15"/>
        <v>BOSHOF</v>
      </c>
      <c r="D99" s="5" t="s">
        <v>567</v>
      </c>
      <c r="E99" s="12" t="str">
        <f t="shared" si="16"/>
        <v>Hans Jurgen</v>
      </c>
      <c r="F99" s="5" t="s">
        <v>949</v>
      </c>
      <c r="G99" s="5" t="str">
        <f t="shared" si="17"/>
        <v>a1b1c3d10</v>
      </c>
      <c r="H99" s="5" t="str">
        <f t="shared" si="18"/>
        <v>BOSHOFa1b1c3d10</v>
      </c>
      <c r="K99" s="5" t="str">
        <f t="shared" si="19"/>
        <v/>
      </c>
      <c r="L99" s="5" t="s">
        <v>199</v>
      </c>
      <c r="M99" s="5" t="s">
        <v>203</v>
      </c>
      <c r="N99" s="5" t="str">
        <f t="shared" si="12"/>
        <v/>
      </c>
      <c r="O99" s="5" t="str">
        <f t="shared" si="13"/>
        <v>1817</v>
      </c>
      <c r="P99" s="5" t="s">
        <v>190</v>
      </c>
      <c r="Q99" s="5" t="str">
        <f t="shared" si="20"/>
        <v>1817</v>
      </c>
      <c r="R99" s="5" t="s">
        <v>568</v>
      </c>
      <c r="S99" s="5" t="str">
        <f t="shared" si="21"/>
        <v>1895</v>
      </c>
      <c r="V99" s="5" t="str">
        <f t="shared" si="22"/>
        <v/>
      </c>
      <c r="W99" s="5" t="s">
        <v>767</v>
      </c>
      <c r="X99" s="5" t="s">
        <v>757</v>
      </c>
      <c r="AG99" s="5" t="s">
        <v>199</v>
      </c>
      <c r="AH99" s="5">
        <v>1845</v>
      </c>
      <c r="AI99" s="5" t="str">
        <f t="shared" si="23"/>
        <v>1845</v>
      </c>
      <c r="AK99" s="5" t="s">
        <v>570</v>
      </c>
      <c r="AL99" s="5" t="s">
        <v>60</v>
      </c>
      <c r="AM99" s="5" t="s">
        <v>569</v>
      </c>
      <c r="AN99" s="5" t="s">
        <v>817</v>
      </c>
      <c r="AO99" s="5" t="s">
        <v>789</v>
      </c>
    </row>
    <row r="100" spans="1:70" s="5" customFormat="1">
      <c r="A100" s="5" t="s">
        <v>1774</v>
      </c>
      <c r="B100" s="5" t="str">
        <f t="shared" si="14"/>
        <v>BOSHOF</v>
      </c>
      <c r="C100" s="5" t="str">
        <f t="shared" si="15"/>
        <v>BOSHOF</v>
      </c>
      <c r="D100" s="5" t="s">
        <v>205</v>
      </c>
      <c r="E100" s="12" t="str">
        <f t="shared" si="16"/>
        <v>Willem Hendrik</v>
      </c>
      <c r="F100" s="6" t="s">
        <v>15794</v>
      </c>
      <c r="G100" s="5" t="str">
        <f t="shared" si="17"/>
        <v>a1b1c3d1</v>
      </c>
      <c r="H100" s="5" t="str">
        <f t="shared" si="18"/>
        <v>BOSHOFa1b1c3d1</v>
      </c>
      <c r="K100" s="5" t="str">
        <f t="shared" si="19"/>
        <v/>
      </c>
      <c r="M100" s="5" t="s">
        <v>599</v>
      </c>
      <c r="N100" s="5" t="str">
        <f t="shared" si="12"/>
        <v/>
      </c>
      <c r="O100" s="5" t="str">
        <f t="shared" si="13"/>
        <v>1801</v>
      </c>
      <c r="Q100" s="5" t="str">
        <f t="shared" si="20"/>
        <v>1801</v>
      </c>
      <c r="S100" s="5" t="str">
        <f t="shared" si="21"/>
        <v/>
      </c>
      <c r="V100" s="5" t="str">
        <f t="shared" si="22"/>
        <v/>
      </c>
      <c r="W100" s="5" t="s">
        <v>692</v>
      </c>
      <c r="X100" s="5" t="s">
        <v>187</v>
      </c>
      <c r="AG100" s="5" t="s">
        <v>199</v>
      </c>
      <c r="AH100" s="5" t="s">
        <v>600</v>
      </c>
      <c r="AI100" s="5" t="str">
        <f t="shared" si="23"/>
        <v>1838</v>
      </c>
      <c r="AK100" s="5" t="s">
        <v>190</v>
      </c>
    </row>
    <row r="101" spans="1:70">
      <c r="A101" s="12" t="s">
        <v>1774</v>
      </c>
      <c r="B101" s="12" t="str">
        <f t="shared" si="14"/>
        <v>BOSHOF</v>
      </c>
      <c r="C101" s="12" t="str">
        <f t="shared" si="15"/>
        <v>BOSHOF</v>
      </c>
      <c r="D101" s="2" t="s">
        <v>557</v>
      </c>
      <c r="E101" s="12" t="str">
        <f t="shared" si="16"/>
        <v>Christoffel Hendrik</v>
      </c>
      <c r="F101" s="2" t="s">
        <v>947</v>
      </c>
      <c r="G101" s="12" t="str">
        <f t="shared" si="17"/>
        <v>a1b1c3d9</v>
      </c>
      <c r="H101" s="12" t="str">
        <f t="shared" si="18"/>
        <v>BOSHOFa1b1c3d9</v>
      </c>
      <c r="J101" s="2" t="s">
        <v>558</v>
      </c>
      <c r="K101" s="12" t="str">
        <f t="shared" si="19"/>
        <v>1814</v>
      </c>
      <c r="L101" s="2" t="s">
        <v>199</v>
      </c>
      <c r="M101" s="2" t="s">
        <v>559</v>
      </c>
      <c r="N101" s="12" t="str">
        <f t="shared" si="12"/>
        <v>1814</v>
      </c>
      <c r="O101" s="12" t="str">
        <f t="shared" si="13"/>
        <v>1815</v>
      </c>
      <c r="Q101" s="12" t="str">
        <f t="shared" si="20"/>
        <v>1814</v>
      </c>
      <c r="S101" s="12" t="str">
        <f t="shared" si="21"/>
        <v/>
      </c>
      <c r="T101" s="2" t="s">
        <v>199</v>
      </c>
      <c r="U101" s="2" t="s">
        <v>560</v>
      </c>
      <c r="V101" s="12" t="str">
        <f t="shared" si="22"/>
        <v>1836</v>
      </c>
      <c r="W101" s="2" t="s">
        <v>766</v>
      </c>
      <c r="X101" s="2" t="s">
        <v>187</v>
      </c>
      <c r="Y101" s="2" t="s">
        <v>948</v>
      </c>
      <c r="Z101" s="2" t="s">
        <v>561</v>
      </c>
      <c r="AA101" s="2" t="s">
        <v>562</v>
      </c>
      <c r="AB101" s="2" t="s">
        <v>199</v>
      </c>
      <c r="AC101" s="2" t="s">
        <v>563</v>
      </c>
      <c r="AD101" s="2" t="s">
        <v>564</v>
      </c>
      <c r="AE101" s="2" t="s">
        <v>565</v>
      </c>
      <c r="AG101" s="2" t="s">
        <v>199</v>
      </c>
      <c r="AH101" s="2" t="s">
        <v>362</v>
      </c>
      <c r="AK101" s="2" t="s">
        <v>566</v>
      </c>
    </row>
    <row r="102" spans="1:70">
      <c r="A102" s="12" t="s">
        <v>1774</v>
      </c>
      <c r="B102" s="12" t="str">
        <f t="shared" si="14"/>
        <v>BOSHOF</v>
      </c>
      <c r="C102" s="12" t="str">
        <f t="shared" si="15"/>
        <v>BOSHOF</v>
      </c>
      <c r="D102" s="2" t="s">
        <v>571</v>
      </c>
      <c r="E102" s="12" t="str">
        <f t="shared" si="16"/>
        <v>Jacobus Nicolaas Sr</v>
      </c>
      <c r="F102" s="2" t="s">
        <v>950</v>
      </c>
      <c r="G102" s="12" t="str">
        <f t="shared" si="17"/>
        <v>a1b3c1</v>
      </c>
      <c r="H102" s="12" t="str">
        <f t="shared" si="18"/>
        <v>BOSHOFa1b3c1</v>
      </c>
      <c r="J102" s="2" t="s">
        <v>2773</v>
      </c>
      <c r="K102" s="12" t="str">
        <f t="shared" si="19"/>
        <v>1784</v>
      </c>
      <c r="M102" s="2" t="s">
        <v>572</v>
      </c>
      <c r="N102" s="12" t="str">
        <f t="shared" si="12"/>
        <v>1784</v>
      </c>
      <c r="O102" s="12" t="str">
        <f t="shared" si="13"/>
        <v>1785</v>
      </c>
      <c r="P102" s="2" t="s">
        <v>168</v>
      </c>
      <c r="Q102" s="12" t="str">
        <f t="shared" si="20"/>
        <v>1784</v>
      </c>
      <c r="R102" s="2" t="s">
        <v>573</v>
      </c>
      <c r="S102" s="12" t="str">
        <f t="shared" si="21"/>
        <v>1844</v>
      </c>
      <c r="T102" s="2" t="s">
        <v>32</v>
      </c>
      <c r="U102" s="2" t="s">
        <v>574</v>
      </c>
      <c r="V102" s="12" t="str">
        <f t="shared" si="22"/>
        <v>1807</v>
      </c>
      <c r="W102" s="2" t="s">
        <v>768</v>
      </c>
      <c r="X102" s="2" t="s">
        <v>758</v>
      </c>
      <c r="Y102" s="2" t="s">
        <v>951</v>
      </c>
      <c r="AA102" s="2" t="s">
        <v>2774</v>
      </c>
      <c r="AD102" s="2" t="s">
        <v>2775</v>
      </c>
      <c r="AE102" s="2">
        <v>1865</v>
      </c>
      <c r="AF102" s="2" t="s">
        <v>32</v>
      </c>
      <c r="AG102" s="2" t="s">
        <v>32</v>
      </c>
      <c r="AH102" s="2">
        <v>1839</v>
      </c>
      <c r="AI102" s="12" t="str">
        <f t="shared" si="23"/>
        <v>1839</v>
      </c>
      <c r="AK102" s="2" t="s">
        <v>90</v>
      </c>
    </row>
    <row r="103" spans="1:70">
      <c r="A103" s="12" t="s">
        <v>1774</v>
      </c>
      <c r="B103" s="12" t="str">
        <f t="shared" si="14"/>
        <v>BOSHOF</v>
      </c>
      <c r="C103" s="12" t="str">
        <f t="shared" si="15"/>
        <v>BOSHOF</v>
      </c>
      <c r="D103" s="12" t="s">
        <v>575</v>
      </c>
      <c r="E103" s="12" t="str">
        <f t="shared" si="16"/>
        <v>Jacobus Nicolaas Jr</v>
      </c>
      <c r="F103" s="12" t="s">
        <v>952</v>
      </c>
      <c r="G103" s="12" t="str">
        <f t="shared" si="17"/>
        <v>a1b3c1d1</v>
      </c>
      <c r="H103" s="12" t="str">
        <f t="shared" si="18"/>
        <v>BOSHOFa1b3c1d1</v>
      </c>
      <c r="I103" s="12" t="s">
        <v>32</v>
      </c>
      <c r="J103" s="12" t="s">
        <v>576</v>
      </c>
      <c r="K103" s="12" t="str">
        <f t="shared" si="19"/>
        <v>1808</v>
      </c>
      <c r="L103" s="12"/>
      <c r="M103" s="12"/>
      <c r="N103" s="12" t="str">
        <f t="shared" si="12"/>
        <v>1808</v>
      </c>
      <c r="O103" s="12" t="str">
        <f t="shared" si="13"/>
        <v/>
      </c>
      <c r="P103" s="12" t="s">
        <v>168</v>
      </c>
      <c r="Q103" s="12" t="str">
        <f t="shared" si="20"/>
        <v>1808</v>
      </c>
      <c r="R103" s="12" t="s">
        <v>577</v>
      </c>
      <c r="S103" s="12" t="str">
        <f t="shared" si="21"/>
        <v>1881</v>
      </c>
      <c r="T103" s="12" t="s">
        <v>74</v>
      </c>
      <c r="U103" s="12" t="s">
        <v>578</v>
      </c>
      <c r="V103" s="12" t="str">
        <f t="shared" si="22"/>
        <v>1827</v>
      </c>
      <c r="W103" s="12" t="s">
        <v>769</v>
      </c>
      <c r="X103" s="12" t="s">
        <v>759</v>
      </c>
      <c r="Y103" s="12"/>
      <c r="Z103" s="12"/>
      <c r="AA103" s="12"/>
      <c r="AB103" s="12"/>
      <c r="AC103" s="12"/>
      <c r="AD103" s="12" t="s">
        <v>90</v>
      </c>
      <c r="AE103" s="12" t="s">
        <v>579</v>
      </c>
      <c r="AF103" s="12" t="s">
        <v>74</v>
      </c>
      <c r="AG103" s="12" t="s">
        <v>74</v>
      </c>
      <c r="AH103" s="12">
        <v>1839</v>
      </c>
      <c r="AI103" s="12" t="str">
        <f t="shared" si="23"/>
        <v>1839</v>
      </c>
      <c r="AJ103" s="12"/>
      <c r="AK103" s="12" t="s">
        <v>90</v>
      </c>
      <c r="AL103" s="12"/>
      <c r="AM103" s="12" t="s">
        <v>580</v>
      </c>
      <c r="AN103" s="12" t="s">
        <v>818</v>
      </c>
      <c r="AO103" s="12" t="s">
        <v>790</v>
      </c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R103" s="2" t="s">
        <v>2772</v>
      </c>
    </row>
    <row r="104" spans="1:70">
      <c r="A104" s="12" t="s">
        <v>1774</v>
      </c>
      <c r="B104" s="12" t="str">
        <f t="shared" si="14"/>
        <v>BOSHOF</v>
      </c>
      <c r="C104" s="12" t="str">
        <f t="shared" si="15"/>
        <v>BOSHOF</v>
      </c>
      <c r="D104" s="2" t="s">
        <v>581</v>
      </c>
      <c r="E104" s="12" t="str">
        <f t="shared" si="16"/>
        <v>Johan Christoffel</v>
      </c>
      <c r="F104" s="2" t="s">
        <v>953</v>
      </c>
      <c r="G104" s="12" t="str">
        <f t="shared" si="17"/>
        <v>a1b3c1d3</v>
      </c>
      <c r="H104" s="12" t="str">
        <f t="shared" si="18"/>
        <v>BOSHOFa1b3c1d3</v>
      </c>
      <c r="I104" s="2" t="s">
        <v>32</v>
      </c>
      <c r="J104" s="2" t="s">
        <v>582</v>
      </c>
      <c r="K104" s="12" t="str">
        <f t="shared" si="19"/>
        <v>1811</v>
      </c>
      <c r="N104" s="12" t="str">
        <f t="shared" si="12"/>
        <v>1811</v>
      </c>
      <c r="O104" s="12" t="str">
        <f t="shared" si="13"/>
        <v/>
      </c>
      <c r="P104" s="2" t="s">
        <v>168</v>
      </c>
      <c r="Q104" s="12" t="str">
        <f t="shared" si="20"/>
        <v>1811</v>
      </c>
      <c r="R104" s="2" t="s">
        <v>583</v>
      </c>
      <c r="S104" s="12" t="str">
        <f t="shared" si="21"/>
        <v>1889</v>
      </c>
      <c r="T104" s="2" t="s">
        <v>74</v>
      </c>
      <c r="U104" s="2" t="s">
        <v>584</v>
      </c>
      <c r="V104" s="12" t="str">
        <f t="shared" si="22"/>
        <v>1837</v>
      </c>
      <c r="W104" s="2" t="s">
        <v>642</v>
      </c>
      <c r="X104" s="2" t="s">
        <v>760</v>
      </c>
      <c r="Y104" s="2" t="s">
        <v>954</v>
      </c>
      <c r="AA104" s="2" t="s">
        <v>585</v>
      </c>
      <c r="AD104" s="2" t="s">
        <v>168</v>
      </c>
      <c r="AE104" s="2" t="s">
        <v>586</v>
      </c>
      <c r="AG104" s="2" t="s">
        <v>74</v>
      </c>
      <c r="AH104" s="2" t="s">
        <v>587</v>
      </c>
      <c r="AI104" s="12" t="str">
        <f t="shared" si="23"/>
        <v>1840</v>
      </c>
      <c r="AK104" s="2" t="s">
        <v>90</v>
      </c>
    </row>
    <row r="105" spans="1:70">
      <c r="A105" s="12" t="s">
        <v>1774</v>
      </c>
      <c r="B105" s="12" t="str">
        <f t="shared" si="14"/>
        <v>BOSHOF</v>
      </c>
      <c r="C105" s="12" t="str">
        <f t="shared" si="15"/>
        <v>BOSHOF</v>
      </c>
      <c r="D105" s="2" t="s">
        <v>205</v>
      </c>
      <c r="E105" s="12" t="str">
        <f t="shared" si="16"/>
        <v>Willem Hendrik</v>
      </c>
      <c r="F105" s="2" t="s">
        <v>956</v>
      </c>
      <c r="G105" s="12" t="str">
        <f t="shared" si="17"/>
        <v>a1b3c1d4</v>
      </c>
      <c r="H105" s="12" t="str">
        <f t="shared" si="18"/>
        <v>BOSHOFa1b3c1d4</v>
      </c>
      <c r="J105" s="2" t="s">
        <v>601</v>
      </c>
      <c r="K105" s="12" t="str">
        <f t="shared" si="19"/>
        <v>1813</v>
      </c>
      <c r="M105" s="2" t="s">
        <v>602</v>
      </c>
      <c r="N105" s="12" t="str">
        <f t="shared" si="12"/>
        <v>1813</v>
      </c>
      <c r="O105" s="12" t="str">
        <f t="shared" si="13"/>
        <v>1813</v>
      </c>
      <c r="Q105" s="12" t="str">
        <f t="shared" si="20"/>
        <v>1813</v>
      </c>
      <c r="R105" s="2" t="s">
        <v>603</v>
      </c>
      <c r="S105" s="12" t="str">
        <f t="shared" si="21"/>
        <v>1863</v>
      </c>
      <c r="T105" s="2" t="s">
        <v>74</v>
      </c>
      <c r="U105" s="2" t="s">
        <v>604</v>
      </c>
      <c r="V105" s="12" t="str">
        <f t="shared" si="22"/>
        <v>1835</v>
      </c>
      <c r="W105" s="2" t="s">
        <v>771</v>
      </c>
      <c r="X105" s="2" t="s">
        <v>700</v>
      </c>
      <c r="AA105" s="2" t="s">
        <v>605</v>
      </c>
      <c r="AF105" s="2" t="s">
        <v>3714</v>
      </c>
      <c r="AG105" s="2" t="s">
        <v>74</v>
      </c>
      <c r="AI105" s="12" t="str">
        <f t="shared" si="23"/>
        <v/>
      </c>
      <c r="AK105" s="2" t="s">
        <v>536</v>
      </c>
      <c r="AN105" s="2" t="s">
        <v>819</v>
      </c>
      <c r="AO105" s="2" t="s">
        <v>792</v>
      </c>
    </row>
    <row r="106" spans="1:70">
      <c r="A106" s="12" t="s">
        <v>1774</v>
      </c>
      <c r="B106" s="12" t="str">
        <f t="shared" si="14"/>
        <v>BOSHOF</v>
      </c>
      <c r="C106" s="12" t="str">
        <f t="shared" si="15"/>
        <v>BOSHOF</v>
      </c>
      <c r="D106" s="2" t="s">
        <v>588</v>
      </c>
      <c r="E106" s="12" t="str">
        <f t="shared" si="16"/>
        <v>Johannes Stephanus</v>
      </c>
      <c r="F106" s="2" t="s">
        <v>955</v>
      </c>
      <c r="G106" s="12" t="str">
        <f t="shared" si="17"/>
        <v>a1b3c1d5</v>
      </c>
      <c r="H106" s="12" t="str">
        <f t="shared" si="18"/>
        <v>BOSHOFa1b3c1d5</v>
      </c>
      <c r="J106" s="2" t="s">
        <v>589</v>
      </c>
      <c r="K106" s="12" t="str">
        <f t="shared" si="19"/>
        <v>1821</v>
      </c>
      <c r="M106" s="2" t="s">
        <v>590</v>
      </c>
      <c r="N106" s="12" t="str">
        <f t="shared" si="12"/>
        <v>1821</v>
      </c>
      <c r="O106" s="12" t="str">
        <f t="shared" si="13"/>
        <v>1821</v>
      </c>
      <c r="Q106" s="12" t="str">
        <f t="shared" si="20"/>
        <v>1821</v>
      </c>
      <c r="R106" s="12" t="s">
        <v>591</v>
      </c>
      <c r="S106" s="12" t="str">
        <f t="shared" si="21"/>
        <v>1893</v>
      </c>
      <c r="T106" s="2" t="s">
        <v>32</v>
      </c>
      <c r="U106" s="2" t="s">
        <v>592</v>
      </c>
      <c r="V106" s="12" t="str">
        <f t="shared" si="22"/>
        <v>1840</v>
      </c>
      <c r="W106" s="2" t="s">
        <v>770</v>
      </c>
      <c r="X106" s="2" t="s">
        <v>761</v>
      </c>
      <c r="AA106" s="2" t="s">
        <v>593</v>
      </c>
      <c r="AG106" s="2" t="s">
        <v>32</v>
      </c>
      <c r="AH106" s="2" t="s">
        <v>592</v>
      </c>
      <c r="AI106" s="12" t="str">
        <f t="shared" si="23"/>
        <v>1840</v>
      </c>
      <c r="AK106" s="2" t="s">
        <v>190</v>
      </c>
      <c r="AL106" s="2" t="s">
        <v>594</v>
      </c>
      <c r="AM106" s="2" t="s">
        <v>595</v>
      </c>
      <c r="AN106" s="2" t="s">
        <v>642</v>
      </c>
      <c r="AO106" s="2" t="s">
        <v>791</v>
      </c>
      <c r="AR106" s="2">
        <v>1828</v>
      </c>
      <c r="AV106" s="2" t="s">
        <v>596</v>
      </c>
      <c r="AW106" s="2" t="s">
        <v>597</v>
      </c>
      <c r="AX106" s="2" t="s">
        <v>598</v>
      </c>
      <c r="AY106" s="2" t="s">
        <v>644</v>
      </c>
      <c r="AZ106" s="2" t="s">
        <v>822</v>
      </c>
    </row>
    <row r="107" spans="1:70">
      <c r="A107" s="12" t="s">
        <v>1774</v>
      </c>
      <c r="B107" s="12" t="str">
        <f t="shared" si="14"/>
        <v>BOSHOF</v>
      </c>
      <c r="C107" s="12" t="str">
        <f t="shared" si="15"/>
        <v>BOSHOF</v>
      </c>
      <c r="D107" s="2" t="s">
        <v>205</v>
      </c>
      <c r="E107" s="12" t="str">
        <f t="shared" si="16"/>
        <v>Willem Hendrik</v>
      </c>
      <c r="F107" s="2" t="s">
        <v>957</v>
      </c>
      <c r="G107" s="12" t="str">
        <f t="shared" si="17"/>
        <v>a1b3c3</v>
      </c>
      <c r="H107" s="12" t="str">
        <f t="shared" si="18"/>
        <v>BOSHOFa1b3c3</v>
      </c>
      <c r="K107" s="12" t="str">
        <f t="shared" si="19"/>
        <v/>
      </c>
      <c r="M107" s="2" t="s">
        <v>606</v>
      </c>
      <c r="N107" s="12" t="str">
        <f t="shared" si="12"/>
        <v/>
      </c>
      <c r="O107" s="12" t="str">
        <f t="shared" si="13"/>
        <v>1786</v>
      </c>
      <c r="P107" s="2" t="s">
        <v>597</v>
      </c>
      <c r="Q107" s="12" t="str">
        <f t="shared" si="20"/>
        <v>1786</v>
      </c>
      <c r="R107" s="2" t="s">
        <v>607</v>
      </c>
      <c r="S107" s="12" t="str">
        <f t="shared" si="21"/>
        <v>1862</v>
      </c>
      <c r="V107" s="12" t="str">
        <f t="shared" si="22"/>
        <v/>
      </c>
      <c r="W107" s="2" t="s">
        <v>693</v>
      </c>
      <c r="X107" s="2" t="s">
        <v>762</v>
      </c>
      <c r="AG107" s="2" t="s">
        <v>74</v>
      </c>
      <c r="AH107" s="2" t="s">
        <v>209</v>
      </c>
      <c r="AK107" s="2" t="s">
        <v>90</v>
      </c>
      <c r="AL107" s="2" t="s">
        <v>74</v>
      </c>
      <c r="AM107" s="2" t="s">
        <v>608</v>
      </c>
      <c r="AN107" s="2" t="s">
        <v>820</v>
      </c>
      <c r="AO107" s="2" t="s">
        <v>633</v>
      </c>
      <c r="AR107" s="2" t="s">
        <v>74</v>
      </c>
      <c r="AU107" s="2" t="s">
        <v>597</v>
      </c>
      <c r="AV107" s="2" t="s">
        <v>609</v>
      </c>
    </row>
    <row r="108" spans="1:70">
      <c r="A108" s="5" t="s">
        <v>610</v>
      </c>
      <c r="B108" s="12" t="str">
        <f t="shared" si="14"/>
        <v>BOSMAN</v>
      </c>
      <c r="C108" s="12" t="str">
        <f t="shared" si="15"/>
        <v>BOSMAN</v>
      </c>
      <c r="D108" s="5" t="s">
        <v>611</v>
      </c>
      <c r="E108" s="12" t="str">
        <f t="shared" si="16"/>
        <v>Hermanus Stephanus</v>
      </c>
      <c r="F108" s="2" t="s">
        <v>958</v>
      </c>
      <c r="G108" s="12" t="str">
        <f t="shared" si="17"/>
        <v>a1b7c6d1</v>
      </c>
      <c r="H108" s="12" t="str">
        <f t="shared" si="18"/>
        <v>BOSMANa1b7c6d1</v>
      </c>
      <c r="J108" s="2" t="s">
        <v>612</v>
      </c>
      <c r="K108" s="12" t="str">
        <f t="shared" si="19"/>
        <v>1795</v>
      </c>
      <c r="M108" s="2" t="s">
        <v>959</v>
      </c>
      <c r="N108" s="12" t="str">
        <f t="shared" si="12"/>
        <v>1795</v>
      </c>
      <c r="O108" s="12" t="str">
        <f t="shared" si="13"/>
        <v>1795</v>
      </c>
      <c r="P108" s="2" t="s">
        <v>140</v>
      </c>
      <c r="Q108" s="12" t="str">
        <f t="shared" si="20"/>
        <v>1795</v>
      </c>
      <c r="R108" s="2" t="s">
        <v>960</v>
      </c>
      <c r="S108" s="12" t="str">
        <f t="shared" si="21"/>
        <v>1881</v>
      </c>
      <c r="T108" s="2" t="s">
        <v>961</v>
      </c>
      <c r="U108" s="2" t="s">
        <v>962</v>
      </c>
      <c r="V108" s="12" t="str">
        <f t="shared" si="22"/>
        <v>1817</v>
      </c>
      <c r="W108" s="2" t="s">
        <v>963</v>
      </c>
      <c r="X108" s="2" t="s">
        <v>964</v>
      </c>
      <c r="AA108" s="2" t="s">
        <v>965</v>
      </c>
      <c r="AD108" s="2" t="s">
        <v>67</v>
      </c>
      <c r="AE108" s="2" t="s">
        <v>966</v>
      </c>
      <c r="AF108" s="2" t="s">
        <v>3715</v>
      </c>
      <c r="AG108" s="2" t="s">
        <v>961</v>
      </c>
      <c r="AH108" s="2">
        <v>1838</v>
      </c>
      <c r="AI108" s="12" t="str">
        <f t="shared" si="23"/>
        <v>1838</v>
      </c>
      <c r="AK108" s="2" t="s">
        <v>967</v>
      </c>
      <c r="BQ108" s="2" t="s">
        <v>961</v>
      </c>
    </row>
    <row r="109" spans="1:70">
      <c r="A109" s="12" t="s">
        <v>701</v>
      </c>
      <c r="B109" s="12" t="str">
        <f t="shared" si="14"/>
        <v>BOTES</v>
      </c>
      <c r="C109" s="12" t="str">
        <f t="shared" si="15"/>
        <v>BOTES</v>
      </c>
      <c r="D109" s="2" t="s">
        <v>1062</v>
      </c>
      <c r="E109" s="12" t="str">
        <f t="shared" si="16"/>
        <v>Wietse</v>
      </c>
      <c r="F109" s="2" t="s">
        <v>1069</v>
      </c>
      <c r="G109" s="12" t="str">
        <f t="shared" si="17"/>
        <v>a1b2c1d1e1</v>
      </c>
      <c r="H109" s="12" t="str">
        <f t="shared" si="18"/>
        <v>BOTESa1b2c1d1e1</v>
      </c>
      <c r="J109" s="2" t="s">
        <v>1070</v>
      </c>
      <c r="K109" s="12" t="str">
        <f t="shared" si="19"/>
        <v>1813</v>
      </c>
      <c r="L109" s="2" t="s">
        <v>1071</v>
      </c>
      <c r="M109" s="2" t="s">
        <v>1072</v>
      </c>
      <c r="N109" s="12" t="str">
        <f t="shared" si="12"/>
        <v>1813</v>
      </c>
      <c r="O109" s="12" t="str">
        <f t="shared" si="13"/>
        <v>1814</v>
      </c>
      <c r="P109" s="2" t="s">
        <v>190</v>
      </c>
      <c r="Q109" s="12" t="str">
        <f t="shared" si="20"/>
        <v>1813</v>
      </c>
      <c r="R109" s="2" t="s">
        <v>1073</v>
      </c>
      <c r="S109" s="12" t="str">
        <f t="shared" si="21"/>
        <v>1877</v>
      </c>
      <c r="T109" s="2" t="s">
        <v>28</v>
      </c>
      <c r="U109" s="2" t="s">
        <v>1074</v>
      </c>
      <c r="V109" s="12" t="str">
        <f t="shared" si="22"/>
        <v>1834</v>
      </c>
      <c r="W109" s="2" t="s">
        <v>1075</v>
      </c>
      <c r="X109" s="2" t="s">
        <v>1003</v>
      </c>
      <c r="AG109" s="2" t="s">
        <v>28</v>
      </c>
      <c r="AH109" s="2" t="s">
        <v>1078</v>
      </c>
      <c r="AI109" s="12" t="str">
        <f t="shared" si="23"/>
        <v>1838</v>
      </c>
      <c r="AK109" s="2" t="s">
        <v>190</v>
      </c>
      <c r="AN109" s="2" t="s">
        <v>1076</v>
      </c>
      <c r="AO109" s="2" t="s">
        <v>1077</v>
      </c>
    </row>
    <row r="110" spans="1:70">
      <c r="A110" s="12" t="s">
        <v>701</v>
      </c>
      <c r="B110" s="12" t="str">
        <f t="shared" si="14"/>
        <v>BOTES</v>
      </c>
      <c r="C110" s="12" t="str">
        <f t="shared" si="15"/>
        <v>BOTES</v>
      </c>
      <c r="D110" s="12" t="s">
        <v>1013</v>
      </c>
      <c r="E110" s="12" t="str">
        <f t="shared" si="16"/>
        <v>David Petrus</v>
      </c>
      <c r="F110" s="4" t="s">
        <v>1014</v>
      </c>
      <c r="G110" s="12" t="str">
        <f t="shared" si="17"/>
        <v>a1b2c1d3e1</v>
      </c>
      <c r="H110" s="12" t="str">
        <f t="shared" si="18"/>
        <v>BOTESa1b2c1d3e1</v>
      </c>
      <c r="I110" s="12"/>
      <c r="J110" s="12" t="s">
        <v>1015</v>
      </c>
      <c r="K110" s="12" t="str">
        <f t="shared" si="19"/>
        <v>1817</v>
      </c>
      <c r="L110" s="12" t="s">
        <v>167</v>
      </c>
      <c r="M110" s="12" t="s">
        <v>1016</v>
      </c>
      <c r="N110" s="12" t="str">
        <f t="shared" si="12"/>
        <v>1817</v>
      </c>
      <c r="O110" s="12" t="str">
        <f t="shared" si="13"/>
        <v>1818</v>
      </c>
      <c r="P110" s="12" t="s">
        <v>1017</v>
      </c>
      <c r="Q110" s="12" t="str">
        <f t="shared" si="20"/>
        <v>1817</v>
      </c>
      <c r="R110" s="12" t="s">
        <v>1018</v>
      </c>
      <c r="S110" s="12" t="str">
        <f t="shared" si="21"/>
        <v>1883</v>
      </c>
      <c r="T110" s="12"/>
      <c r="U110" s="12"/>
      <c r="V110" s="12" t="str">
        <f t="shared" si="22"/>
        <v/>
      </c>
      <c r="W110" s="12" t="s">
        <v>740</v>
      </c>
      <c r="X110" s="12" t="s">
        <v>729</v>
      </c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 t="str">
        <f t="shared" si="23"/>
        <v/>
      </c>
      <c r="AJ110" s="12"/>
      <c r="AK110" s="12" t="s">
        <v>386</v>
      </c>
      <c r="AL110" s="12"/>
      <c r="AM110" s="12"/>
      <c r="AN110" s="12" t="s">
        <v>650</v>
      </c>
      <c r="AO110" s="12" t="s">
        <v>729</v>
      </c>
      <c r="AP110" s="12"/>
      <c r="AQ110" s="12"/>
      <c r="AR110" s="12"/>
      <c r="AS110" s="12"/>
      <c r="AT110" s="12"/>
      <c r="AU110" s="12"/>
      <c r="AV110" s="12"/>
      <c r="AW110" s="12" t="s">
        <v>1043</v>
      </c>
      <c r="AX110" s="12" t="s">
        <v>1019</v>
      </c>
      <c r="AY110" s="12" t="s">
        <v>1020</v>
      </c>
      <c r="AZ110" s="12" t="s">
        <v>1021</v>
      </c>
      <c r="BA110" s="12"/>
      <c r="BB110" s="12" t="s">
        <v>1022</v>
      </c>
      <c r="BC110" s="12" t="s">
        <v>199</v>
      </c>
      <c r="BD110" s="12" t="s">
        <v>1023</v>
      </c>
      <c r="BE110" s="12"/>
      <c r="BF110" s="12"/>
      <c r="BG110" s="12"/>
    </row>
    <row r="111" spans="1:70">
      <c r="A111" s="12" t="s">
        <v>701</v>
      </c>
      <c r="B111" s="12" t="str">
        <f t="shared" si="14"/>
        <v>BOTES</v>
      </c>
      <c r="C111" s="12" t="str">
        <f t="shared" si="15"/>
        <v>BOTES</v>
      </c>
      <c r="D111" s="12" t="s">
        <v>1046</v>
      </c>
      <c r="E111" s="12" t="str">
        <f t="shared" si="16"/>
        <v>Jan Jacobus</v>
      </c>
      <c r="F111" s="12" t="s">
        <v>1047</v>
      </c>
      <c r="G111" s="12" t="str">
        <f t="shared" si="17"/>
        <v>a1b2c1d7</v>
      </c>
      <c r="H111" s="12" t="str">
        <f t="shared" si="18"/>
        <v>BOTESa1b2c1d7</v>
      </c>
      <c r="I111" s="12" t="s">
        <v>366</v>
      </c>
      <c r="J111" s="12" t="s">
        <v>1048</v>
      </c>
      <c r="K111" s="12" t="str">
        <f t="shared" si="19"/>
        <v>1800</v>
      </c>
      <c r="L111" s="12" t="s">
        <v>32</v>
      </c>
      <c r="M111" s="12" t="s">
        <v>1049</v>
      </c>
      <c r="N111" s="12" t="str">
        <f t="shared" si="12"/>
        <v>1800</v>
      </c>
      <c r="O111" s="12" t="str">
        <f t="shared" si="13"/>
        <v>1801</v>
      </c>
      <c r="P111" s="12" t="s">
        <v>1051</v>
      </c>
      <c r="Q111" s="12" t="str">
        <f t="shared" si="20"/>
        <v>1800</v>
      </c>
      <c r="R111" s="12" t="s">
        <v>1050</v>
      </c>
      <c r="S111" s="12" t="str">
        <f t="shared" si="21"/>
        <v>1865</v>
      </c>
      <c r="T111" s="12" t="s">
        <v>366</v>
      </c>
      <c r="U111" s="12" t="s">
        <v>1052</v>
      </c>
      <c r="V111" s="12" t="str">
        <f t="shared" si="22"/>
        <v>1825</v>
      </c>
      <c r="W111" s="12" t="s">
        <v>1053</v>
      </c>
      <c r="X111" s="12" t="s">
        <v>355</v>
      </c>
      <c r="Y111" s="12" t="s">
        <v>1054</v>
      </c>
      <c r="Z111" s="12"/>
      <c r="AA111" s="12"/>
      <c r="AB111" s="12"/>
      <c r="AC111" s="12" t="s">
        <v>1055</v>
      </c>
      <c r="AD111" s="12" t="s">
        <v>190</v>
      </c>
      <c r="AE111" s="12" t="s">
        <v>1056</v>
      </c>
      <c r="AF111" s="12" t="s">
        <v>16</v>
      </c>
      <c r="AG111" s="12" t="s">
        <v>28</v>
      </c>
      <c r="AH111" s="12"/>
      <c r="AI111" s="12" t="str">
        <f t="shared" si="23"/>
        <v/>
      </c>
      <c r="AJ111" s="12"/>
      <c r="AK111" s="12" t="s">
        <v>190</v>
      </c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</row>
    <row r="112" spans="1:70">
      <c r="A112" s="12" t="s">
        <v>701</v>
      </c>
      <c r="B112" s="12" t="str">
        <f t="shared" si="14"/>
        <v>BOTES</v>
      </c>
      <c r="C112" s="12" t="str">
        <f t="shared" si="15"/>
        <v>BOTES</v>
      </c>
      <c r="D112" s="12" t="s">
        <v>1085</v>
      </c>
      <c r="E112" s="12" t="str">
        <f t="shared" si="16"/>
        <v>Wietz</v>
      </c>
      <c r="F112" s="2" t="s">
        <v>1086</v>
      </c>
      <c r="G112" s="12" t="str">
        <f t="shared" si="17"/>
        <v>a1b2c1d7e1</v>
      </c>
      <c r="H112" s="12" t="str">
        <f t="shared" si="18"/>
        <v>BOTESa1b2c1d7e1</v>
      </c>
      <c r="J112" s="2" t="s">
        <v>1087</v>
      </c>
      <c r="K112" s="12" t="str">
        <f t="shared" si="19"/>
        <v>1825</v>
      </c>
      <c r="L112" s="2" t="s">
        <v>366</v>
      </c>
      <c r="M112" s="2" t="s">
        <v>1088</v>
      </c>
      <c r="N112" s="12" t="str">
        <f t="shared" si="12"/>
        <v>1825</v>
      </c>
      <c r="O112" s="12" t="str">
        <f t="shared" si="13"/>
        <v>1826</v>
      </c>
      <c r="P112" s="2" t="s">
        <v>31</v>
      </c>
      <c r="Q112" s="12" t="str">
        <f t="shared" si="20"/>
        <v>1825</v>
      </c>
      <c r="R112" s="2" t="s">
        <v>1089</v>
      </c>
      <c r="S112" s="12" t="str">
        <f t="shared" si="21"/>
        <v>1892</v>
      </c>
      <c r="V112" s="12" t="str">
        <f t="shared" si="22"/>
        <v/>
      </c>
      <c r="W112" s="2" t="s">
        <v>1090</v>
      </c>
      <c r="AF112" s="2" t="s">
        <v>16</v>
      </c>
      <c r="AG112" s="2" t="s">
        <v>28</v>
      </c>
      <c r="AH112" s="2" t="s">
        <v>1091</v>
      </c>
      <c r="AK112" s="2" t="s">
        <v>1092</v>
      </c>
    </row>
    <row r="113" spans="1:59">
      <c r="A113" s="2" t="s">
        <v>701</v>
      </c>
      <c r="B113" s="12" t="str">
        <f t="shared" si="14"/>
        <v>BOTES</v>
      </c>
      <c r="C113" s="12" t="str">
        <f t="shared" si="15"/>
        <v>BOTES</v>
      </c>
      <c r="D113" s="2" t="s">
        <v>996</v>
      </c>
      <c r="E113" s="12" t="str">
        <f t="shared" si="16"/>
        <v>Barnard Hendrik</v>
      </c>
      <c r="F113" s="4" t="s">
        <v>997</v>
      </c>
      <c r="G113" s="12" t="str">
        <f t="shared" si="17"/>
        <v>a1b2c2d1e4</v>
      </c>
      <c r="H113" s="12" t="str">
        <f t="shared" si="18"/>
        <v>BOTESa1b2c2d1e4</v>
      </c>
      <c r="J113" s="2" t="s">
        <v>998</v>
      </c>
      <c r="K113" s="12" t="str">
        <f t="shared" si="19"/>
        <v>1818</v>
      </c>
      <c r="L113" s="2" t="s">
        <v>167</v>
      </c>
      <c r="M113" s="2" t="s">
        <v>999</v>
      </c>
      <c r="N113" s="12" t="str">
        <f t="shared" si="12"/>
        <v>1818</v>
      </c>
      <c r="O113" s="12" t="str">
        <f t="shared" si="13"/>
        <v>1818</v>
      </c>
      <c r="P113" s="2" t="s">
        <v>1001</v>
      </c>
      <c r="Q113" s="12" t="str">
        <f t="shared" si="20"/>
        <v>1818</v>
      </c>
      <c r="R113" s="2" t="s">
        <v>1000</v>
      </c>
      <c r="S113" s="12" t="str">
        <f t="shared" si="21"/>
        <v>1858</v>
      </c>
      <c r="V113" s="12" t="str">
        <f t="shared" si="22"/>
        <v/>
      </c>
      <c r="W113" s="2" t="s">
        <v>1002</v>
      </c>
      <c r="X113" s="2" t="s">
        <v>1003</v>
      </c>
      <c r="AA113" s="2" t="s">
        <v>1004</v>
      </c>
      <c r="AB113" s="2" t="s">
        <v>32</v>
      </c>
      <c r="AC113" s="2" t="s">
        <v>1005</v>
      </c>
      <c r="AG113" s="2" t="s">
        <v>366</v>
      </c>
      <c r="AI113" s="12" t="str">
        <f t="shared" si="23"/>
        <v/>
      </c>
      <c r="AK113" s="2" t="s">
        <v>551</v>
      </c>
    </row>
    <row r="114" spans="1:59">
      <c r="A114" s="2" t="s">
        <v>701</v>
      </c>
      <c r="B114" s="12" t="str">
        <f t="shared" si="14"/>
        <v>BOTES</v>
      </c>
      <c r="C114" s="12" t="str">
        <f t="shared" si="15"/>
        <v>BOTES</v>
      </c>
      <c r="D114" s="2" t="s">
        <v>985</v>
      </c>
      <c r="E114" s="12" t="str">
        <f t="shared" si="16"/>
        <v>Anthonie Johannes Lourens</v>
      </c>
      <c r="F114" s="2" t="s">
        <v>936</v>
      </c>
      <c r="G114" s="12" t="str">
        <f t="shared" si="17"/>
        <v>a1b2c2d6</v>
      </c>
      <c r="H114" s="12" t="str">
        <f t="shared" si="18"/>
        <v>BOTESa1b2c2d6</v>
      </c>
      <c r="I114" s="2" t="s">
        <v>366</v>
      </c>
      <c r="J114" s="2">
        <v>1802</v>
      </c>
      <c r="K114" s="12" t="str">
        <f t="shared" si="19"/>
        <v>1802</v>
      </c>
      <c r="M114" s="2" t="s">
        <v>986</v>
      </c>
      <c r="N114" s="12" t="str">
        <f t="shared" si="12"/>
        <v>1802</v>
      </c>
      <c r="O114" s="12" t="str">
        <f t="shared" si="13"/>
        <v>1804</v>
      </c>
      <c r="P114" s="2" t="s">
        <v>24</v>
      </c>
      <c r="Q114" s="12" t="str">
        <f t="shared" si="20"/>
        <v>1802</v>
      </c>
      <c r="R114" s="2" t="s">
        <v>987</v>
      </c>
      <c r="S114" s="12" t="str">
        <f t="shared" si="21"/>
        <v>1874</v>
      </c>
      <c r="T114" s="2" t="s">
        <v>366</v>
      </c>
      <c r="U114" s="2" t="s">
        <v>988</v>
      </c>
      <c r="V114" s="12" t="str">
        <f t="shared" si="22"/>
        <v>1825</v>
      </c>
      <c r="W114" s="2" t="s">
        <v>650</v>
      </c>
      <c r="X114" s="2" t="s">
        <v>670</v>
      </c>
      <c r="AG114" s="2" t="s">
        <v>366</v>
      </c>
      <c r="AH114" s="2" t="s">
        <v>989</v>
      </c>
      <c r="AI114" s="12" t="str">
        <f t="shared" si="23"/>
        <v>1838</v>
      </c>
      <c r="AK114" s="2" t="s">
        <v>140</v>
      </c>
    </row>
    <row r="115" spans="1:59">
      <c r="A115" s="2" t="s">
        <v>701</v>
      </c>
      <c r="B115" s="12" t="str">
        <f t="shared" si="14"/>
        <v>BOTES</v>
      </c>
      <c r="C115" s="12" t="str">
        <f t="shared" si="15"/>
        <v>BOTES</v>
      </c>
      <c r="D115" s="2" t="s">
        <v>968</v>
      </c>
      <c r="E115" s="12" t="str">
        <f t="shared" si="16"/>
        <v>Andries Stephanus</v>
      </c>
      <c r="F115" s="2" t="s">
        <v>969</v>
      </c>
      <c r="G115" s="12" t="str">
        <f t="shared" si="17"/>
        <v>a1b2c4d2</v>
      </c>
      <c r="H115" s="12" t="str">
        <f t="shared" si="18"/>
        <v>BOTESa1b2c4d2</v>
      </c>
      <c r="I115" s="2" t="s">
        <v>366</v>
      </c>
      <c r="J115" s="2" t="s">
        <v>970</v>
      </c>
      <c r="K115" s="12" t="str">
        <f t="shared" si="19"/>
        <v>1803</v>
      </c>
      <c r="M115" s="2" t="s">
        <v>971</v>
      </c>
      <c r="N115" s="12" t="str">
        <f t="shared" si="12"/>
        <v>1803</v>
      </c>
      <c r="O115" s="12" t="str">
        <f t="shared" si="13"/>
        <v>1805</v>
      </c>
      <c r="P115" s="2" t="s">
        <v>972</v>
      </c>
      <c r="Q115" s="12" t="str">
        <f t="shared" si="20"/>
        <v>1803</v>
      </c>
      <c r="R115" s="2" t="s">
        <v>973</v>
      </c>
      <c r="S115" s="12" t="str">
        <f t="shared" si="21"/>
        <v>1854</v>
      </c>
      <c r="T115" s="2" t="s">
        <v>366</v>
      </c>
      <c r="U115" s="2" t="s">
        <v>974</v>
      </c>
      <c r="V115" s="12" t="str">
        <f t="shared" si="22"/>
        <v>1826</v>
      </c>
      <c r="W115" s="2" t="s">
        <v>975</v>
      </c>
      <c r="X115" s="2" t="s">
        <v>694</v>
      </c>
      <c r="Y115" s="2" t="s">
        <v>976</v>
      </c>
      <c r="AC115" s="2" t="s">
        <v>978</v>
      </c>
      <c r="AF115" s="2" t="s">
        <v>3716</v>
      </c>
      <c r="AG115" s="2" t="s">
        <v>366</v>
      </c>
      <c r="AH115" s="2" t="s">
        <v>977</v>
      </c>
      <c r="AI115" s="12" t="str">
        <f t="shared" si="23"/>
        <v>1834</v>
      </c>
      <c r="AK115" s="2" t="s">
        <v>551</v>
      </c>
    </row>
    <row r="116" spans="1:59">
      <c r="A116" s="2" t="s">
        <v>701</v>
      </c>
      <c r="B116" s="12" t="str">
        <f t="shared" si="14"/>
        <v>BOTES</v>
      </c>
      <c r="C116" s="12" t="str">
        <f t="shared" si="15"/>
        <v>BOTES</v>
      </c>
      <c r="D116" s="2" t="s">
        <v>990</v>
      </c>
      <c r="E116" s="12" t="str">
        <f t="shared" si="16"/>
        <v>Anthonie Johannes Stephanus</v>
      </c>
      <c r="F116" s="4" t="s">
        <v>991</v>
      </c>
      <c r="G116" s="12" t="str">
        <f t="shared" si="17"/>
        <v>a1b2c5d4</v>
      </c>
      <c r="H116" s="12" t="str">
        <f t="shared" si="18"/>
        <v>BOTESa1b2c5d4</v>
      </c>
      <c r="J116" s="2" t="s">
        <v>992</v>
      </c>
      <c r="K116" s="12" t="str">
        <f t="shared" si="19"/>
        <v>1812</v>
      </c>
      <c r="L116" s="2" t="s">
        <v>74</v>
      </c>
      <c r="M116" s="2" t="s">
        <v>993</v>
      </c>
      <c r="N116" s="12" t="str">
        <f t="shared" si="12"/>
        <v>1812</v>
      </c>
      <c r="O116" s="12" t="str">
        <f t="shared" si="13"/>
        <v>1814</v>
      </c>
      <c r="Q116" s="12" t="str">
        <f t="shared" si="20"/>
        <v>1812</v>
      </c>
      <c r="S116" s="12" t="str">
        <f t="shared" si="21"/>
        <v/>
      </c>
      <c r="T116" s="2" t="s">
        <v>366</v>
      </c>
      <c r="U116" s="2" t="s">
        <v>994</v>
      </c>
      <c r="V116" s="12" t="str">
        <f t="shared" si="22"/>
        <v>1837</v>
      </c>
      <c r="W116" s="2" t="s">
        <v>995</v>
      </c>
      <c r="X116" s="2" t="s">
        <v>694</v>
      </c>
      <c r="AG116" s="2" t="s">
        <v>366</v>
      </c>
      <c r="AH116" s="2">
        <v>1839</v>
      </c>
      <c r="AI116" s="12" t="str">
        <f t="shared" si="23"/>
        <v>1839</v>
      </c>
      <c r="AK116" s="2" t="s">
        <v>551</v>
      </c>
    </row>
    <row r="117" spans="1:59">
      <c r="A117" s="2" t="s">
        <v>701</v>
      </c>
      <c r="B117" s="12" t="str">
        <f t="shared" si="14"/>
        <v>BOTES</v>
      </c>
      <c r="C117" s="12" t="str">
        <f t="shared" si="15"/>
        <v>BOTES</v>
      </c>
      <c r="D117" s="2" t="s">
        <v>1039</v>
      </c>
      <c r="E117" s="12" t="str">
        <f t="shared" si="16"/>
        <v>Jacobus Abraham Adriaan</v>
      </c>
      <c r="F117" s="2" t="s">
        <v>1040</v>
      </c>
      <c r="G117" s="12" t="str">
        <f t="shared" si="17"/>
        <v>a1b2c5d5</v>
      </c>
      <c r="H117" s="12" t="str">
        <f t="shared" si="18"/>
        <v>BOTESa1b2c5d5</v>
      </c>
      <c r="J117" s="2" t="s">
        <v>1041</v>
      </c>
      <c r="K117" s="12" t="str">
        <f t="shared" si="19"/>
        <v>1817</v>
      </c>
      <c r="L117" s="2" t="s">
        <v>366</v>
      </c>
      <c r="M117" s="2" t="s">
        <v>1042</v>
      </c>
      <c r="N117" s="12" t="str">
        <f t="shared" si="12"/>
        <v>1817</v>
      </c>
      <c r="O117" s="12" t="str">
        <f t="shared" si="13"/>
        <v>1819</v>
      </c>
      <c r="Q117" s="12" t="str">
        <f t="shared" si="20"/>
        <v>1817</v>
      </c>
      <c r="S117" s="12" t="str">
        <f t="shared" si="21"/>
        <v/>
      </c>
      <c r="T117" s="2" t="s">
        <v>1043</v>
      </c>
      <c r="U117" s="2" t="s">
        <v>1044</v>
      </c>
      <c r="V117" s="12" t="str">
        <f t="shared" si="22"/>
        <v>1840</v>
      </c>
      <c r="W117" s="2" t="s">
        <v>1045</v>
      </c>
      <c r="X117" s="2" t="s">
        <v>701</v>
      </c>
      <c r="AG117" s="2" t="s">
        <v>366</v>
      </c>
      <c r="AH117" s="2" t="s">
        <v>385</v>
      </c>
    </row>
    <row r="118" spans="1:59">
      <c r="A118" s="2" t="s">
        <v>701</v>
      </c>
      <c r="B118" s="12" t="str">
        <f t="shared" si="14"/>
        <v>BOTES</v>
      </c>
      <c r="C118" s="12" t="str">
        <f t="shared" si="15"/>
        <v>BOTES</v>
      </c>
      <c r="D118" s="2" t="s">
        <v>979</v>
      </c>
      <c r="E118" s="12" t="str">
        <f t="shared" si="16"/>
        <v>Anthonie Johannes</v>
      </c>
      <c r="F118" s="2" t="s">
        <v>980</v>
      </c>
      <c r="G118" s="12" t="str">
        <f t="shared" si="17"/>
        <v>a1b2c6d2</v>
      </c>
      <c r="H118" s="12" t="str">
        <f t="shared" si="18"/>
        <v>BOTESa1b2c6d2</v>
      </c>
      <c r="J118" s="2">
        <v>1802</v>
      </c>
      <c r="K118" s="12" t="str">
        <f t="shared" si="19"/>
        <v>1802</v>
      </c>
      <c r="N118" s="12" t="str">
        <f t="shared" si="12"/>
        <v>1802</v>
      </c>
      <c r="O118" s="12" t="str">
        <f t="shared" si="13"/>
        <v/>
      </c>
      <c r="Q118" s="12" t="str">
        <f t="shared" si="20"/>
        <v>1802</v>
      </c>
      <c r="S118" s="12" t="str">
        <f t="shared" si="21"/>
        <v/>
      </c>
      <c r="T118" s="2" t="s">
        <v>395</v>
      </c>
      <c r="U118" s="12" t="s">
        <v>981</v>
      </c>
      <c r="V118" s="12" t="str">
        <f t="shared" si="22"/>
        <v>1827</v>
      </c>
      <c r="W118" s="2" t="s">
        <v>982</v>
      </c>
      <c r="X118" s="2" t="s">
        <v>618</v>
      </c>
      <c r="AG118" s="2" t="s">
        <v>60</v>
      </c>
      <c r="AH118" s="2">
        <v>1840</v>
      </c>
      <c r="AI118" s="12" t="str">
        <f t="shared" si="23"/>
        <v>1840</v>
      </c>
      <c r="AK118" s="2" t="s">
        <v>551</v>
      </c>
      <c r="AL118" s="2" t="s">
        <v>395</v>
      </c>
      <c r="AM118" s="2" t="s">
        <v>983</v>
      </c>
      <c r="AN118" s="2" t="s">
        <v>984</v>
      </c>
      <c r="AO118" s="2" t="s">
        <v>702</v>
      </c>
    </row>
    <row r="119" spans="1:59">
      <c r="A119" s="2" t="s">
        <v>701</v>
      </c>
      <c r="B119" s="12" t="str">
        <f t="shared" si="14"/>
        <v>BOTES</v>
      </c>
      <c r="C119" s="12" t="str">
        <f t="shared" si="15"/>
        <v>BOTES</v>
      </c>
      <c r="D119" s="2" t="s">
        <v>1024</v>
      </c>
      <c r="E119" s="12" t="str">
        <f t="shared" si="16"/>
        <v>Frederik Johannes Jacobus</v>
      </c>
      <c r="F119" s="4" t="s">
        <v>1025</v>
      </c>
      <c r="G119" s="12" t="str">
        <f t="shared" si="17"/>
        <v>a1b2c6d3</v>
      </c>
      <c r="H119" s="12" t="str">
        <f t="shared" si="18"/>
        <v>BOTESa1b2c6d3</v>
      </c>
      <c r="K119" s="12" t="str">
        <f t="shared" si="19"/>
        <v/>
      </c>
      <c r="M119" s="2" t="s">
        <v>971</v>
      </c>
      <c r="N119" s="12" t="str">
        <f t="shared" si="12"/>
        <v/>
      </c>
      <c r="O119" s="12" t="str">
        <f t="shared" si="13"/>
        <v>1805</v>
      </c>
      <c r="Q119" s="12" t="str">
        <f t="shared" si="20"/>
        <v>1805</v>
      </c>
      <c r="S119" s="12" t="str">
        <f t="shared" si="21"/>
        <v/>
      </c>
      <c r="T119" s="2" t="s">
        <v>395</v>
      </c>
      <c r="U119" s="2" t="s">
        <v>1026</v>
      </c>
      <c r="V119" s="12" t="str">
        <f t="shared" si="22"/>
        <v>1827</v>
      </c>
      <c r="W119" s="2" t="s">
        <v>1027</v>
      </c>
      <c r="X119" s="2" t="s">
        <v>1028</v>
      </c>
      <c r="AG119" s="2" t="s">
        <v>366</v>
      </c>
      <c r="AH119" s="2" t="s">
        <v>1036</v>
      </c>
      <c r="AK119" s="2" t="s">
        <v>1035</v>
      </c>
      <c r="AL119" s="2" t="s">
        <v>395</v>
      </c>
      <c r="AM119" s="2" t="s">
        <v>1029</v>
      </c>
      <c r="AN119" s="2" t="s">
        <v>1030</v>
      </c>
      <c r="AO119" s="2" t="s">
        <v>1031</v>
      </c>
      <c r="AW119" s="2" t="s">
        <v>140</v>
      </c>
      <c r="AX119" s="2" t="s">
        <v>1032</v>
      </c>
      <c r="AY119" s="2" t="s">
        <v>1033</v>
      </c>
      <c r="AZ119" s="2" t="s">
        <v>1034</v>
      </c>
    </row>
    <row r="120" spans="1:59">
      <c r="A120" s="12" t="s">
        <v>701</v>
      </c>
      <c r="B120" s="12" t="str">
        <f t="shared" si="14"/>
        <v>BOTES</v>
      </c>
      <c r="C120" s="12" t="str">
        <f t="shared" si="15"/>
        <v>BOTES</v>
      </c>
      <c r="D120" s="12" t="s">
        <v>1079</v>
      </c>
      <c r="E120" s="12" t="str">
        <f t="shared" si="16"/>
        <v>Wietse Lourens</v>
      </c>
      <c r="F120" s="2" t="s">
        <v>1080</v>
      </c>
      <c r="G120" s="12" t="str">
        <f t="shared" si="17"/>
        <v>a1b2c6d4</v>
      </c>
      <c r="H120" s="12" t="str">
        <f t="shared" si="18"/>
        <v>BOTESa1b2c6d4</v>
      </c>
      <c r="K120" s="12" t="str">
        <f t="shared" si="19"/>
        <v/>
      </c>
      <c r="M120" s="2" t="s">
        <v>1081</v>
      </c>
      <c r="N120" s="12" t="str">
        <f t="shared" si="12"/>
        <v/>
      </c>
      <c r="O120" s="12" t="str">
        <f t="shared" si="13"/>
        <v>1807</v>
      </c>
      <c r="Q120" s="12" t="str">
        <f t="shared" si="20"/>
        <v>1807</v>
      </c>
      <c r="S120" s="12" t="str">
        <f t="shared" si="21"/>
        <v/>
      </c>
      <c r="T120" s="2" t="s">
        <v>366</v>
      </c>
      <c r="U120" s="2" t="s">
        <v>1082</v>
      </c>
      <c r="V120" s="12" t="str">
        <f t="shared" si="22"/>
        <v>1827</v>
      </c>
      <c r="W120" s="2" t="s">
        <v>1083</v>
      </c>
      <c r="X120" s="2" t="s">
        <v>701</v>
      </c>
      <c r="AG120" s="2" t="s">
        <v>366</v>
      </c>
      <c r="AH120" s="12" t="s">
        <v>1795</v>
      </c>
      <c r="AI120" s="12" t="str">
        <f t="shared" si="23"/>
        <v>1838</v>
      </c>
      <c r="AK120" s="2" t="s">
        <v>1084</v>
      </c>
    </row>
    <row r="121" spans="1:59">
      <c r="A121" s="2" t="s">
        <v>701</v>
      </c>
      <c r="B121" s="12" t="str">
        <f t="shared" si="14"/>
        <v>BOTES</v>
      </c>
      <c r="C121" s="12" t="str">
        <f t="shared" si="15"/>
        <v>BOTES</v>
      </c>
      <c r="D121" s="2" t="s">
        <v>1057</v>
      </c>
      <c r="E121" s="12" t="str">
        <f t="shared" si="16"/>
        <v>Roelof Johannes</v>
      </c>
      <c r="F121" s="2" t="s">
        <v>1058</v>
      </c>
      <c r="G121" s="12" t="str">
        <f t="shared" si="17"/>
        <v>a1b2c6d6</v>
      </c>
      <c r="H121" s="12" t="str">
        <f t="shared" si="18"/>
        <v>BOTESa1b2c6d6</v>
      </c>
      <c r="J121" s="2" t="s">
        <v>1059</v>
      </c>
      <c r="K121" s="12" t="str">
        <f t="shared" si="19"/>
        <v>1814</v>
      </c>
      <c r="L121" s="2" t="s">
        <v>167</v>
      </c>
      <c r="M121" s="2" t="s">
        <v>543</v>
      </c>
      <c r="N121" s="12" t="str">
        <f t="shared" si="12"/>
        <v>1814</v>
      </c>
      <c r="O121" s="12" t="str">
        <f t="shared" si="13"/>
        <v>1814</v>
      </c>
      <c r="Q121" s="12" t="str">
        <f t="shared" si="20"/>
        <v>1814</v>
      </c>
      <c r="S121" s="12" t="str">
        <f t="shared" si="21"/>
        <v/>
      </c>
      <c r="V121" s="12" t="str">
        <f t="shared" si="22"/>
        <v/>
      </c>
      <c r="W121" s="2" t="s">
        <v>644</v>
      </c>
      <c r="X121" s="2" t="s">
        <v>698</v>
      </c>
      <c r="AE121" s="12"/>
      <c r="AH121" s="2" t="s">
        <v>1060</v>
      </c>
      <c r="AK121" s="2" t="s">
        <v>545</v>
      </c>
    </row>
    <row r="122" spans="1:59">
      <c r="A122" s="2" t="s">
        <v>701</v>
      </c>
      <c r="B122" s="12" t="str">
        <f t="shared" si="14"/>
        <v>BOTES</v>
      </c>
      <c r="C122" s="12" t="str">
        <f t="shared" si="15"/>
        <v>BOTES</v>
      </c>
      <c r="D122" s="2" t="s">
        <v>1006</v>
      </c>
      <c r="E122" s="12" t="str">
        <f t="shared" si="16"/>
        <v>Carel Frederik</v>
      </c>
      <c r="F122" s="4" t="s">
        <v>1007</v>
      </c>
      <c r="G122" s="12" t="str">
        <f t="shared" si="17"/>
        <v>a1b2c7</v>
      </c>
      <c r="H122" s="12" t="str">
        <f t="shared" si="18"/>
        <v>BOTESa1b2c7</v>
      </c>
      <c r="K122" s="12" t="str">
        <f t="shared" si="19"/>
        <v/>
      </c>
      <c r="M122" s="2" t="s">
        <v>1008</v>
      </c>
      <c r="N122" s="12" t="str">
        <f t="shared" si="12"/>
        <v/>
      </c>
      <c r="O122" s="12" t="str">
        <f t="shared" si="13"/>
        <v>1783</v>
      </c>
      <c r="Q122" s="12" t="str">
        <f t="shared" si="20"/>
        <v>1783</v>
      </c>
      <c r="R122" s="2">
        <v>1850</v>
      </c>
      <c r="S122" s="12" t="str">
        <f t="shared" si="21"/>
        <v>1850</v>
      </c>
      <c r="T122" s="2" t="s">
        <v>48</v>
      </c>
      <c r="U122" s="2" t="s">
        <v>1009</v>
      </c>
      <c r="V122" s="12" t="str">
        <f t="shared" si="22"/>
        <v>1804</v>
      </c>
      <c r="W122" s="2" t="s">
        <v>1010</v>
      </c>
      <c r="X122" s="2" t="s">
        <v>726</v>
      </c>
      <c r="AF122" s="2" t="s">
        <v>3716</v>
      </c>
      <c r="AG122" s="2" t="s">
        <v>366</v>
      </c>
      <c r="AH122" s="2" t="s">
        <v>362</v>
      </c>
      <c r="AK122" s="2" t="s">
        <v>551</v>
      </c>
      <c r="AN122" s="2" t="s">
        <v>1011</v>
      </c>
      <c r="AV122" s="2" t="s">
        <v>1012</v>
      </c>
    </row>
    <row r="123" spans="1:59">
      <c r="A123" s="2" t="s">
        <v>1061</v>
      </c>
      <c r="B123" s="12" t="str">
        <f t="shared" si="14"/>
        <v>BOTES</v>
      </c>
      <c r="C123" s="12" t="str">
        <f t="shared" si="15"/>
        <v>BOTES</v>
      </c>
      <c r="D123" s="2" t="s">
        <v>1062</v>
      </c>
      <c r="E123" s="12" t="str">
        <f t="shared" si="16"/>
        <v>Wietse</v>
      </c>
      <c r="F123" s="2" t="s">
        <v>1063</v>
      </c>
      <c r="G123" s="12" t="str">
        <f t="shared" si="17"/>
        <v>a1b2c1d3e2</v>
      </c>
      <c r="H123" s="12" t="str">
        <f t="shared" si="18"/>
        <v>BOTESa1b2c1d3e2</v>
      </c>
      <c r="J123" s="2" t="s">
        <v>1064</v>
      </c>
      <c r="K123" s="12" t="str">
        <f t="shared" si="19"/>
        <v>1818</v>
      </c>
      <c r="N123" s="12" t="str">
        <f t="shared" si="12"/>
        <v>1818</v>
      </c>
      <c r="O123" s="12" t="str">
        <f t="shared" si="13"/>
        <v/>
      </c>
      <c r="Q123" s="12" t="str">
        <f t="shared" si="20"/>
        <v>1818</v>
      </c>
      <c r="R123" s="2">
        <v>1848</v>
      </c>
      <c r="S123" s="12" t="str">
        <f t="shared" si="21"/>
        <v>1848</v>
      </c>
      <c r="T123" s="2" t="s">
        <v>366</v>
      </c>
      <c r="U123" s="2" t="s">
        <v>1065</v>
      </c>
      <c r="V123" s="12" t="str">
        <f t="shared" si="22"/>
        <v>1819</v>
      </c>
      <c r="W123" s="2" t="s">
        <v>1066</v>
      </c>
      <c r="X123" s="2" t="s">
        <v>1067</v>
      </c>
      <c r="AE123" s="2" t="s">
        <v>498</v>
      </c>
      <c r="AG123" s="2" t="s">
        <v>366</v>
      </c>
      <c r="AH123" s="2" t="s">
        <v>1068</v>
      </c>
      <c r="AK123" s="2" t="s">
        <v>190</v>
      </c>
    </row>
    <row r="124" spans="1:59">
      <c r="A124" s="12" t="s">
        <v>655</v>
      </c>
      <c r="B124" s="12" t="str">
        <f t="shared" si="14"/>
        <v>BOTHA</v>
      </c>
      <c r="C124" s="12" t="str">
        <f t="shared" si="15"/>
        <v>BOTHA</v>
      </c>
      <c r="D124" s="12" t="s">
        <v>1126</v>
      </c>
      <c r="E124" s="12" t="str">
        <f t="shared" si="16"/>
        <v>Christoffel Francois</v>
      </c>
      <c r="F124" s="12" t="s">
        <v>1120</v>
      </c>
      <c r="G124" s="12" t="str">
        <f t="shared" si="17"/>
        <v>a1b1c2d7e1f4</v>
      </c>
      <c r="H124" s="12" t="str">
        <f t="shared" si="18"/>
        <v>BOTHAa1b1c2d7e1f4</v>
      </c>
      <c r="I124" s="12"/>
      <c r="J124" s="12"/>
      <c r="K124" s="12" t="str">
        <f t="shared" si="19"/>
        <v/>
      </c>
      <c r="L124" s="12"/>
      <c r="M124" s="12" t="s">
        <v>1121</v>
      </c>
      <c r="N124" s="12" t="str">
        <f t="shared" si="12"/>
        <v/>
      </c>
      <c r="O124" s="12" t="str">
        <f t="shared" si="13"/>
        <v>1799</v>
      </c>
      <c r="P124" s="12"/>
      <c r="Q124" s="12" t="str">
        <f t="shared" si="20"/>
        <v>1799</v>
      </c>
      <c r="R124" s="12"/>
      <c r="S124" s="12" t="str">
        <f t="shared" si="21"/>
        <v/>
      </c>
      <c r="T124" s="12" t="s">
        <v>74</v>
      </c>
      <c r="U124" s="12" t="s">
        <v>1128</v>
      </c>
      <c r="V124" s="12" t="str">
        <f t="shared" si="22"/>
        <v>1826</v>
      </c>
      <c r="W124" s="12" t="s">
        <v>1129</v>
      </c>
      <c r="X124" s="12" t="s">
        <v>662</v>
      </c>
      <c r="Y124" s="12" t="s">
        <v>1130</v>
      </c>
      <c r="Z124" s="12"/>
      <c r="AA124" s="12"/>
      <c r="AB124" s="12"/>
      <c r="AC124" s="12" t="s">
        <v>1131</v>
      </c>
      <c r="AD124" s="12"/>
      <c r="AE124" s="12"/>
      <c r="AF124" s="12"/>
      <c r="AG124" s="12" t="s">
        <v>74</v>
      </c>
      <c r="AH124" s="12">
        <v>1837</v>
      </c>
      <c r="AI124" s="12" t="str">
        <f t="shared" si="23"/>
        <v>1837</v>
      </c>
      <c r="AJ124" s="12"/>
      <c r="AK124" s="12" t="s">
        <v>90</v>
      </c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</row>
    <row r="125" spans="1:59">
      <c r="A125" s="12" t="s">
        <v>655</v>
      </c>
      <c r="B125" s="12" t="str">
        <f t="shared" si="14"/>
        <v>BOTHA</v>
      </c>
      <c r="C125" s="12" t="str">
        <f t="shared" si="15"/>
        <v>BOTHA</v>
      </c>
      <c r="D125" s="12" t="s">
        <v>1119</v>
      </c>
      <c r="E125" s="12" t="str">
        <f t="shared" si="16"/>
        <v>Christiaan Theunis Gerrit(Se)</v>
      </c>
      <c r="F125" s="12" t="s">
        <v>1127</v>
      </c>
      <c r="G125" s="12" t="str">
        <f t="shared" si="17"/>
        <v>a1b1c4d5e4f4</v>
      </c>
      <c r="H125" s="12" t="str">
        <f t="shared" si="18"/>
        <v>BOTHAa1b1c4d5e4f4</v>
      </c>
      <c r="I125" s="12"/>
      <c r="J125" s="12"/>
      <c r="K125" s="12" t="str">
        <f t="shared" si="19"/>
        <v/>
      </c>
      <c r="L125" s="12"/>
      <c r="M125" s="12" t="s">
        <v>1122</v>
      </c>
      <c r="N125" s="12" t="str">
        <f t="shared" si="12"/>
        <v/>
      </c>
      <c r="O125" s="12" t="str">
        <f t="shared" si="13"/>
        <v>1810</v>
      </c>
      <c r="P125" s="12" t="s">
        <v>90</v>
      </c>
      <c r="Q125" s="12" t="str">
        <f t="shared" si="20"/>
        <v>1810</v>
      </c>
      <c r="R125" s="12" t="s">
        <v>1123</v>
      </c>
      <c r="S125" s="12" t="str">
        <f t="shared" si="21"/>
        <v>1839</v>
      </c>
      <c r="T125" s="12"/>
      <c r="U125" s="12"/>
      <c r="V125" s="12" t="str">
        <f t="shared" si="22"/>
        <v/>
      </c>
      <c r="W125" s="12" t="s">
        <v>1124</v>
      </c>
      <c r="X125" s="12" t="s">
        <v>700</v>
      </c>
      <c r="Y125" s="12" t="s">
        <v>1125</v>
      </c>
      <c r="Z125" s="12"/>
      <c r="AA125" s="12"/>
      <c r="AB125" s="12"/>
      <c r="AC125" s="12"/>
      <c r="AD125" s="12"/>
      <c r="AE125" s="12"/>
      <c r="AF125" s="12" t="s">
        <v>3699</v>
      </c>
      <c r="AG125" s="12" t="s">
        <v>68</v>
      </c>
      <c r="AH125" s="12" t="s">
        <v>503</v>
      </c>
      <c r="AI125" s="12" t="str">
        <f t="shared" si="23"/>
        <v>1837</v>
      </c>
      <c r="AJ125" s="12" t="s">
        <v>277</v>
      </c>
      <c r="AK125" s="12" t="s">
        <v>90</v>
      </c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</row>
    <row r="126" spans="1:59">
      <c r="A126" s="2" t="s">
        <v>655</v>
      </c>
      <c r="B126" s="12" t="str">
        <f t="shared" si="14"/>
        <v>BOTHA</v>
      </c>
      <c r="C126" s="12" t="str">
        <f t="shared" si="15"/>
        <v>BOTHA</v>
      </c>
      <c r="D126" s="2" t="s">
        <v>1104</v>
      </c>
      <c r="E126" s="12" t="str">
        <f t="shared" si="16"/>
        <v>Andries Hendrik</v>
      </c>
      <c r="F126" s="12" t="s">
        <v>1105</v>
      </c>
      <c r="G126" s="12" t="str">
        <f t="shared" si="17"/>
        <v>a1b1c7d1e2f1</v>
      </c>
      <c r="H126" s="12" t="str">
        <f t="shared" si="18"/>
        <v>BOTHAa1b1c7d1e2f1</v>
      </c>
      <c r="K126" s="12" t="str">
        <f t="shared" si="19"/>
        <v/>
      </c>
      <c r="M126" s="2" t="s">
        <v>1106</v>
      </c>
      <c r="N126" s="12" t="str">
        <f t="shared" si="12"/>
        <v/>
      </c>
      <c r="O126" s="12" t="str">
        <f t="shared" si="13"/>
        <v>1799</v>
      </c>
      <c r="Q126" s="12" t="str">
        <f t="shared" si="20"/>
        <v>1799</v>
      </c>
      <c r="S126" s="12" t="str">
        <f t="shared" si="21"/>
        <v/>
      </c>
      <c r="T126" s="2" t="s">
        <v>28</v>
      </c>
      <c r="U126" s="2" t="s">
        <v>988</v>
      </c>
      <c r="V126" s="12" t="str">
        <f t="shared" si="22"/>
        <v>1825</v>
      </c>
      <c r="W126" s="2" t="s">
        <v>1107</v>
      </c>
      <c r="AF126" s="2" t="s">
        <v>3706</v>
      </c>
      <c r="AG126" s="2" t="s">
        <v>68</v>
      </c>
      <c r="AI126" s="12" t="str">
        <f t="shared" si="23"/>
        <v/>
      </c>
      <c r="AK126" s="2" t="s">
        <v>248</v>
      </c>
    </row>
    <row r="127" spans="1:59">
      <c r="A127" s="2" t="s">
        <v>655</v>
      </c>
      <c r="B127" s="12" t="str">
        <f t="shared" si="14"/>
        <v>BOTHA</v>
      </c>
      <c r="C127" s="12" t="str">
        <f t="shared" si="15"/>
        <v>BOTHA</v>
      </c>
      <c r="D127" s="2" t="s">
        <v>311</v>
      </c>
      <c r="E127" s="12" t="str">
        <f t="shared" si="16"/>
        <v>Lourens Rasmus</v>
      </c>
      <c r="F127" s="12" t="s">
        <v>1309</v>
      </c>
      <c r="G127" s="12" t="str">
        <f t="shared" si="17"/>
        <v>a1b1c7d1e4f1</v>
      </c>
      <c r="H127" s="12" t="str">
        <f t="shared" si="18"/>
        <v>BOTHAa1b1c7d1e4f1</v>
      </c>
      <c r="K127" s="12" t="str">
        <f t="shared" si="19"/>
        <v/>
      </c>
      <c r="M127" s="2" t="s">
        <v>268</v>
      </c>
      <c r="N127" s="12" t="str">
        <f t="shared" si="12"/>
        <v/>
      </c>
      <c r="O127" s="12" t="str">
        <f t="shared" si="13"/>
        <v>1806</v>
      </c>
      <c r="Q127" s="12" t="str">
        <f t="shared" si="20"/>
        <v>1806</v>
      </c>
      <c r="S127" s="12" t="str">
        <f t="shared" si="21"/>
        <v/>
      </c>
      <c r="T127" s="2" t="s">
        <v>68</v>
      </c>
      <c r="U127" s="2" t="s">
        <v>335</v>
      </c>
      <c r="V127" s="12" t="str">
        <f t="shared" si="22"/>
        <v>1830</v>
      </c>
      <c r="W127" s="2" t="s">
        <v>1310</v>
      </c>
      <c r="X127" s="2" t="s">
        <v>295</v>
      </c>
      <c r="AF127" s="2" t="s">
        <v>3709</v>
      </c>
      <c r="AG127" s="2" t="s">
        <v>68</v>
      </c>
      <c r="AH127" s="2">
        <v>1840</v>
      </c>
      <c r="AI127" s="12" t="str">
        <f t="shared" si="23"/>
        <v>1840</v>
      </c>
      <c r="AK127" s="2" t="s">
        <v>1311</v>
      </c>
    </row>
    <row r="128" spans="1:59">
      <c r="A128" s="2" t="s">
        <v>655</v>
      </c>
      <c r="B128" s="12" t="str">
        <f t="shared" si="14"/>
        <v>BOTHA</v>
      </c>
      <c r="C128" s="12" t="str">
        <f t="shared" si="15"/>
        <v>BOTHA</v>
      </c>
      <c r="D128" s="2" t="s">
        <v>1132</v>
      </c>
      <c r="E128" s="12" t="str">
        <f t="shared" si="16"/>
        <v>Christoffel Jacobus</v>
      </c>
      <c r="F128" s="12" t="s">
        <v>1133</v>
      </c>
      <c r="G128" s="12" t="str">
        <f t="shared" si="17"/>
        <v>a1b1c7d1e9</v>
      </c>
      <c r="H128" s="12" t="str">
        <f t="shared" si="18"/>
        <v>BOTHAa1b1c7d1e9</v>
      </c>
      <c r="K128" s="12" t="str">
        <f t="shared" si="19"/>
        <v/>
      </c>
      <c r="M128" s="2" t="s">
        <v>1134</v>
      </c>
      <c r="N128" s="12" t="str">
        <f t="shared" si="12"/>
        <v/>
      </c>
      <c r="O128" s="12" t="str">
        <f t="shared" si="13"/>
        <v>1792</v>
      </c>
      <c r="Q128" s="12" t="str">
        <f t="shared" si="20"/>
        <v>1792</v>
      </c>
      <c r="S128" s="12" t="str">
        <f t="shared" si="21"/>
        <v/>
      </c>
      <c r="T128" s="2" t="s">
        <v>53</v>
      </c>
      <c r="U128" s="2" t="s">
        <v>171</v>
      </c>
      <c r="V128" s="12" t="str">
        <f t="shared" si="22"/>
        <v>1818</v>
      </c>
      <c r="W128" s="2" t="s">
        <v>1135</v>
      </c>
      <c r="X128" s="2" t="s">
        <v>1136</v>
      </c>
      <c r="Y128" s="2" t="s">
        <v>1137</v>
      </c>
      <c r="AC128" s="2" t="s">
        <v>1138</v>
      </c>
      <c r="AD128" s="2" t="s">
        <v>90</v>
      </c>
      <c r="AE128" s="2" t="s">
        <v>1139</v>
      </c>
      <c r="AF128" s="2" t="s">
        <v>3705</v>
      </c>
      <c r="AG128" s="2" t="s">
        <v>68</v>
      </c>
      <c r="AH128" s="2">
        <v>1840</v>
      </c>
      <c r="AI128" s="12" t="str">
        <f t="shared" si="23"/>
        <v>1840</v>
      </c>
      <c r="AK128" s="2" t="s">
        <v>90</v>
      </c>
      <c r="AL128" s="2" t="s">
        <v>168</v>
      </c>
      <c r="AM128" s="2" t="s">
        <v>1140</v>
      </c>
      <c r="AN128" s="2" t="s">
        <v>642</v>
      </c>
      <c r="AO128" s="2" t="s">
        <v>726</v>
      </c>
      <c r="AP128" s="2" t="s">
        <v>1141</v>
      </c>
    </row>
    <row r="129" spans="1:69">
      <c r="A129" s="2" t="s">
        <v>655</v>
      </c>
      <c r="B129" s="12" t="str">
        <f t="shared" si="14"/>
        <v>BOTHA</v>
      </c>
      <c r="C129" s="12" t="str">
        <f t="shared" si="15"/>
        <v>BOTHA</v>
      </c>
      <c r="D129" s="2" t="s">
        <v>891</v>
      </c>
      <c r="E129" s="12" t="str">
        <f t="shared" si="16"/>
        <v>Andries</v>
      </c>
      <c r="F129" s="2" t="s">
        <v>1099</v>
      </c>
      <c r="G129" s="12" t="str">
        <f t="shared" si="17"/>
        <v>a1b1c7d1e9f1</v>
      </c>
      <c r="H129" s="12" t="str">
        <f t="shared" si="18"/>
        <v>BOTHAa1b1c7d1e9f1</v>
      </c>
      <c r="J129" s="2" t="s">
        <v>1100</v>
      </c>
      <c r="K129" s="12" t="str">
        <f t="shared" si="19"/>
        <v>1819</v>
      </c>
      <c r="L129" s="2" t="s">
        <v>53</v>
      </c>
      <c r="M129" s="2" t="s">
        <v>1101</v>
      </c>
      <c r="N129" s="12" t="str">
        <f t="shared" si="12"/>
        <v>1819</v>
      </c>
      <c r="O129" s="12" t="str">
        <f t="shared" si="13"/>
        <v>1820</v>
      </c>
      <c r="Q129" s="12" t="str">
        <f t="shared" si="20"/>
        <v>1819</v>
      </c>
      <c r="S129" s="12" t="str">
        <f t="shared" si="21"/>
        <v/>
      </c>
      <c r="V129" s="12" t="str">
        <f t="shared" si="22"/>
        <v/>
      </c>
      <c r="W129" s="2" t="s">
        <v>1102</v>
      </c>
      <c r="AF129" s="2" t="s">
        <v>3705</v>
      </c>
      <c r="AG129" s="2" t="s">
        <v>68</v>
      </c>
      <c r="AI129" s="12" t="str">
        <f t="shared" si="23"/>
        <v/>
      </c>
      <c r="AK129" s="2" t="s">
        <v>1103</v>
      </c>
    </row>
    <row r="130" spans="1:69">
      <c r="A130" s="12" t="s">
        <v>655</v>
      </c>
      <c r="B130" s="12" t="str">
        <f t="shared" si="14"/>
        <v>BOTHA</v>
      </c>
      <c r="C130" s="12" t="str">
        <f t="shared" si="15"/>
        <v>BOTHA</v>
      </c>
      <c r="D130" s="2" t="s">
        <v>1285</v>
      </c>
      <c r="E130" s="12" t="str">
        <f t="shared" si="16"/>
        <v>Johannes Jurgen</v>
      </c>
      <c r="F130" s="2" t="s">
        <v>1286</v>
      </c>
      <c r="G130" s="12" t="str">
        <f t="shared" si="17"/>
        <v>a1b1c7d8e7</v>
      </c>
      <c r="H130" s="12" t="str">
        <f t="shared" si="18"/>
        <v>BOTHAa1b1c7d8e7</v>
      </c>
      <c r="I130" s="2" t="s">
        <v>68</v>
      </c>
      <c r="J130" s="2" t="s">
        <v>1287</v>
      </c>
      <c r="K130" s="12" t="str">
        <f t="shared" si="19"/>
        <v>1805</v>
      </c>
      <c r="M130" s="2" t="s">
        <v>1288</v>
      </c>
      <c r="N130" s="12" t="str">
        <f t="shared" ref="N130:N193" si="24">RIGHT(J130,4)</f>
        <v>1805</v>
      </c>
      <c r="O130" s="12" t="str">
        <f t="shared" ref="O130:O193" si="25">RIGHT(M130,4)</f>
        <v>1805</v>
      </c>
      <c r="P130" s="2" t="s">
        <v>1289</v>
      </c>
      <c r="Q130" s="12" t="str">
        <f t="shared" si="20"/>
        <v>1805</v>
      </c>
      <c r="R130" s="2" t="s">
        <v>1290</v>
      </c>
      <c r="S130" s="12" t="str">
        <f t="shared" si="21"/>
        <v>1880</v>
      </c>
      <c r="T130" s="2" t="s">
        <v>28</v>
      </c>
      <c r="U130" s="2" t="s">
        <v>1263</v>
      </c>
      <c r="V130" s="12" t="str">
        <f t="shared" si="22"/>
        <v>1832</v>
      </c>
      <c r="W130" s="2" t="s">
        <v>1291</v>
      </c>
      <c r="X130" s="2" t="s">
        <v>1292</v>
      </c>
      <c r="AF130" s="2" t="s">
        <v>3718</v>
      </c>
      <c r="AG130" s="2" t="s">
        <v>68</v>
      </c>
      <c r="AI130" s="12" t="str">
        <f t="shared" si="23"/>
        <v/>
      </c>
      <c r="AJ130" s="2" t="s">
        <v>481</v>
      </c>
      <c r="AN130" s="2" t="s">
        <v>765</v>
      </c>
      <c r="AO130" s="2" t="s">
        <v>391</v>
      </c>
    </row>
    <row r="131" spans="1:69">
      <c r="A131" s="12" t="s">
        <v>655</v>
      </c>
      <c r="B131" s="12" t="str">
        <f t="shared" ref="B131:B194" si="26">SUBSTITUTE(A131," ","")</f>
        <v>BOTHA</v>
      </c>
      <c r="C131" s="12" t="str">
        <f t="shared" ref="C131:C194" si="27">TRIM(A131)</f>
        <v>BOTHA</v>
      </c>
      <c r="D131" s="2" t="s">
        <v>1197</v>
      </c>
      <c r="E131" s="12" t="str">
        <f t="shared" ref="E131:E194" si="28">PROPER(D131)</f>
        <v>Herculas David</v>
      </c>
      <c r="F131" s="2" t="s">
        <v>1198</v>
      </c>
      <c r="G131" s="12" t="str">
        <f t="shared" ref="G131:G194" si="29">IF(LEFT(F131,1)="b","a1"&amp;F131,F131)</f>
        <v>a1b1c7d8e8</v>
      </c>
      <c r="H131" s="12" t="str">
        <f t="shared" ref="H131:H194" si="30">C131&amp;G131</f>
        <v>BOTHAa1b1c7d8e8</v>
      </c>
      <c r="K131" s="12" t="str">
        <f t="shared" ref="K131:K194" si="31">RIGHT(J131,4)</f>
        <v/>
      </c>
      <c r="M131" s="2" t="s">
        <v>1199</v>
      </c>
      <c r="N131" s="12" t="str">
        <f t="shared" si="24"/>
        <v/>
      </c>
      <c r="O131" s="12" t="str">
        <f t="shared" si="25"/>
        <v>1806</v>
      </c>
      <c r="Q131" s="12" t="str">
        <f t="shared" ref="Q131:Q194" si="32">IF(N131="",O131,N131)</f>
        <v>1806</v>
      </c>
      <c r="S131" s="12" t="str">
        <f t="shared" ref="S131:S194" si="33">RIGHT(R131,4)</f>
        <v/>
      </c>
      <c r="T131" s="2" t="s">
        <v>28</v>
      </c>
      <c r="U131" s="2" t="s">
        <v>1200</v>
      </c>
      <c r="V131" s="12" t="str">
        <f t="shared" ref="V131:V194" si="34">RIGHT(U131,4)</f>
        <v>1829</v>
      </c>
      <c r="W131" s="2" t="s">
        <v>1201</v>
      </c>
      <c r="X131" s="2" t="s">
        <v>792</v>
      </c>
      <c r="AG131" s="2" t="s">
        <v>28</v>
      </c>
      <c r="AH131" s="2" t="s">
        <v>260</v>
      </c>
      <c r="AI131" s="12" t="str">
        <f t="shared" ref="AI131:AI194" si="35">RIGHT(AH131,4)</f>
        <v>1838</v>
      </c>
      <c r="AK131" s="2" t="s">
        <v>155</v>
      </c>
    </row>
    <row r="132" spans="1:69">
      <c r="A132" s="2" t="s">
        <v>655</v>
      </c>
      <c r="B132" s="12" t="str">
        <f t="shared" si="26"/>
        <v>BOTHA</v>
      </c>
      <c r="C132" s="12" t="str">
        <f t="shared" si="27"/>
        <v>BOTHA</v>
      </c>
      <c r="D132" s="2" t="s">
        <v>1303</v>
      </c>
      <c r="E132" s="12" t="str">
        <f t="shared" si="28"/>
        <v>Lourens Jacobus</v>
      </c>
      <c r="F132" s="2" t="s">
        <v>1304</v>
      </c>
      <c r="G132" s="12" t="str">
        <f t="shared" si="29"/>
        <v>a1b1c7d8e9</v>
      </c>
      <c r="H132" s="12" t="str">
        <f t="shared" si="30"/>
        <v>BOTHAa1b1c7d8e9</v>
      </c>
      <c r="K132" s="12" t="str">
        <f t="shared" si="31"/>
        <v/>
      </c>
      <c r="M132" s="2" t="s">
        <v>1122</v>
      </c>
      <c r="N132" s="12" t="str">
        <f t="shared" si="24"/>
        <v/>
      </c>
      <c r="O132" s="12" t="str">
        <f t="shared" si="25"/>
        <v>1810</v>
      </c>
      <c r="P132" s="2" t="s">
        <v>1289</v>
      </c>
      <c r="Q132" s="12" t="str">
        <f t="shared" si="32"/>
        <v>1810</v>
      </c>
      <c r="R132" s="2" t="s">
        <v>1305</v>
      </c>
      <c r="S132" s="12" t="str">
        <f t="shared" si="33"/>
        <v>1880</v>
      </c>
      <c r="T132" s="2" t="s">
        <v>28</v>
      </c>
      <c r="U132" s="2" t="s">
        <v>1306</v>
      </c>
      <c r="V132" s="12" t="str">
        <f t="shared" si="34"/>
        <v>1829</v>
      </c>
      <c r="W132" s="2" t="s">
        <v>1307</v>
      </c>
      <c r="X132" s="2" t="s">
        <v>664</v>
      </c>
      <c r="AF132" s="2" t="s">
        <v>3718</v>
      </c>
      <c r="AG132" s="2" t="s">
        <v>68</v>
      </c>
      <c r="AH132" s="2">
        <v>1838</v>
      </c>
      <c r="AI132" s="12" t="str">
        <f t="shared" si="35"/>
        <v>1838</v>
      </c>
      <c r="AN132" s="2" t="s">
        <v>1308</v>
      </c>
      <c r="AO132" s="2" t="s">
        <v>780</v>
      </c>
    </row>
    <row r="133" spans="1:69">
      <c r="A133" s="2" t="s">
        <v>655</v>
      </c>
      <c r="B133" s="12" t="str">
        <f t="shared" si="26"/>
        <v>BOTHA</v>
      </c>
      <c r="C133" s="12" t="str">
        <f t="shared" si="27"/>
        <v>BOTHA</v>
      </c>
      <c r="D133" s="2" t="s">
        <v>1382</v>
      </c>
      <c r="E133" s="12" t="str">
        <f t="shared" si="28"/>
        <v>Pieter Johannes Hendrik</v>
      </c>
      <c r="F133" s="2" t="s">
        <v>1383</v>
      </c>
      <c r="G133" s="12" t="str">
        <f t="shared" si="29"/>
        <v>a1b2c4d1e1f3</v>
      </c>
      <c r="H133" s="12" t="str">
        <f t="shared" si="30"/>
        <v>BOTHAa1b2c4d1e1f3</v>
      </c>
      <c r="K133" s="12" t="str">
        <f t="shared" si="31"/>
        <v/>
      </c>
      <c r="M133" s="2" t="s">
        <v>1384</v>
      </c>
      <c r="N133" s="12" t="str">
        <f t="shared" si="24"/>
        <v/>
      </c>
      <c r="O133" s="12" t="str">
        <f t="shared" si="25"/>
        <v>1794</v>
      </c>
      <c r="P133" s="2" t="s">
        <v>14</v>
      </c>
      <c r="Q133" s="12" t="str">
        <f t="shared" si="32"/>
        <v>1794</v>
      </c>
      <c r="R133" s="2" t="s">
        <v>1367</v>
      </c>
      <c r="S133" s="12" t="str">
        <f t="shared" si="33"/>
        <v>1838</v>
      </c>
      <c r="T133" s="2" t="s">
        <v>1385</v>
      </c>
      <c r="U133" s="2" t="s">
        <v>1386</v>
      </c>
      <c r="V133" s="12" t="str">
        <f t="shared" si="34"/>
        <v>1825</v>
      </c>
      <c r="W133" s="2" t="s">
        <v>1387</v>
      </c>
      <c r="X133" s="2" t="s">
        <v>1388</v>
      </c>
      <c r="AC133" s="2" t="s">
        <v>1389</v>
      </c>
      <c r="AF133" s="2" t="s">
        <v>16</v>
      </c>
      <c r="AG133" s="2" t="s">
        <v>68</v>
      </c>
      <c r="AH133" s="2" t="s">
        <v>1390</v>
      </c>
      <c r="AI133" s="12" t="str">
        <f t="shared" si="35"/>
        <v>1835</v>
      </c>
      <c r="AJ133" s="2" t="s">
        <v>18</v>
      </c>
    </row>
    <row r="134" spans="1:69">
      <c r="A134" s="2" t="s">
        <v>655</v>
      </c>
      <c r="B134" s="12" t="str">
        <f t="shared" si="26"/>
        <v>BOTHA</v>
      </c>
      <c r="C134" s="12" t="str">
        <f t="shared" si="27"/>
        <v>BOTHA</v>
      </c>
      <c r="D134" s="2" t="s">
        <v>418</v>
      </c>
      <c r="E134" s="12" t="str">
        <f t="shared" si="28"/>
        <v>Frederik Jacobus</v>
      </c>
      <c r="F134" s="2" t="s">
        <v>1177</v>
      </c>
      <c r="G134" s="12" t="str">
        <f t="shared" si="29"/>
        <v>a1b2c4d5e2</v>
      </c>
      <c r="H134" s="12" t="str">
        <f t="shared" si="30"/>
        <v>BOTHAa1b2c4d5e2</v>
      </c>
      <c r="K134" s="12" t="str">
        <f t="shared" si="31"/>
        <v/>
      </c>
      <c r="M134" s="2" t="s">
        <v>1178</v>
      </c>
      <c r="N134" s="12" t="str">
        <f t="shared" si="24"/>
        <v/>
      </c>
      <c r="O134" s="12" t="str">
        <f t="shared" si="25"/>
        <v>1774</v>
      </c>
      <c r="Q134" s="12" t="str">
        <f t="shared" si="32"/>
        <v>1774</v>
      </c>
      <c r="S134" s="12" t="str">
        <f t="shared" si="33"/>
        <v/>
      </c>
      <c r="T134" s="2" t="s">
        <v>48</v>
      </c>
      <c r="U134" s="2" t="s">
        <v>1179</v>
      </c>
      <c r="V134" s="12" t="str">
        <f t="shared" si="34"/>
        <v>1810</v>
      </c>
      <c r="W134" s="2" t="s">
        <v>679</v>
      </c>
      <c r="X134" s="2" t="s">
        <v>700</v>
      </c>
      <c r="AF134" s="2" t="s">
        <v>3699</v>
      </c>
      <c r="AG134" s="2" t="s">
        <v>68</v>
      </c>
      <c r="AI134" s="12" t="str">
        <f t="shared" si="35"/>
        <v/>
      </c>
      <c r="AJ134" s="2" t="s">
        <v>379</v>
      </c>
      <c r="AK134" s="2" t="s">
        <v>140</v>
      </c>
    </row>
    <row r="135" spans="1:69">
      <c r="A135" s="2" t="s">
        <v>655</v>
      </c>
      <c r="B135" s="12" t="str">
        <f t="shared" si="26"/>
        <v>BOTHA</v>
      </c>
      <c r="C135" s="12" t="str">
        <f t="shared" si="27"/>
        <v>BOTHA</v>
      </c>
      <c r="D135" s="2" t="s">
        <v>1277</v>
      </c>
      <c r="E135" s="12" t="str">
        <f t="shared" si="28"/>
        <v>Johannes Christoffel</v>
      </c>
      <c r="F135" s="2" t="s">
        <v>1278</v>
      </c>
      <c r="G135" s="12" t="str">
        <f t="shared" si="29"/>
        <v>a1b2c4d5e2f3</v>
      </c>
      <c r="H135" s="12" t="str">
        <f t="shared" si="30"/>
        <v>BOTHAa1b2c4d5e2f3</v>
      </c>
      <c r="J135" s="2" t="s">
        <v>1279</v>
      </c>
      <c r="K135" s="12" t="str">
        <f t="shared" si="31"/>
        <v>1818</v>
      </c>
      <c r="L135" s="2" t="s">
        <v>53</v>
      </c>
      <c r="M135" s="2" t="s">
        <v>1280</v>
      </c>
      <c r="N135" s="12" t="str">
        <f t="shared" si="24"/>
        <v>1818</v>
      </c>
      <c r="O135" s="12" t="str">
        <f t="shared" si="25"/>
        <v>1818</v>
      </c>
      <c r="Q135" s="12" t="str">
        <f t="shared" si="32"/>
        <v>1818</v>
      </c>
      <c r="S135" s="12" t="str">
        <f t="shared" si="33"/>
        <v/>
      </c>
      <c r="U135" s="2" t="s">
        <v>1281</v>
      </c>
      <c r="V135" s="12" t="str">
        <f t="shared" si="34"/>
        <v>1837</v>
      </c>
      <c r="W135" s="2" t="s">
        <v>1282</v>
      </c>
      <c r="X135" s="2" t="s">
        <v>698</v>
      </c>
      <c r="Y135" s="2" t="s">
        <v>1283</v>
      </c>
      <c r="AA135" s="2">
        <v>1821</v>
      </c>
      <c r="AH135" s="2">
        <v>1836</v>
      </c>
      <c r="AI135" s="12" t="str">
        <f t="shared" si="35"/>
        <v>1836</v>
      </c>
      <c r="AJ135" s="2" t="s">
        <v>379</v>
      </c>
    </row>
    <row r="136" spans="1:69">
      <c r="A136" s="12" t="s">
        <v>655</v>
      </c>
      <c r="B136" s="12" t="str">
        <f t="shared" si="26"/>
        <v>BOTHA</v>
      </c>
      <c r="C136" s="12" t="str">
        <f t="shared" si="27"/>
        <v>BOTHA</v>
      </c>
      <c r="D136" s="12" t="s">
        <v>1111</v>
      </c>
      <c r="E136" s="12" t="str">
        <f t="shared" si="28"/>
        <v>Christiaan</v>
      </c>
      <c r="F136" s="12" t="s">
        <v>1112</v>
      </c>
      <c r="G136" s="12" t="str">
        <f t="shared" si="29"/>
        <v>a1b2c4d5e4</v>
      </c>
      <c r="H136" s="12" t="str">
        <f t="shared" si="30"/>
        <v>BOTHAa1b2c4d5e4</v>
      </c>
      <c r="I136" s="12"/>
      <c r="J136" s="12"/>
      <c r="K136" s="12" t="str">
        <f t="shared" si="31"/>
        <v/>
      </c>
      <c r="L136" s="12"/>
      <c r="M136" s="12" t="s">
        <v>1113</v>
      </c>
      <c r="N136" s="12" t="str">
        <f t="shared" si="24"/>
        <v/>
      </c>
      <c r="O136" s="12" t="str">
        <f t="shared" si="25"/>
        <v>1779</v>
      </c>
      <c r="P136" s="12"/>
      <c r="Q136" s="12" t="str">
        <f t="shared" si="32"/>
        <v>1779</v>
      </c>
      <c r="R136" s="12"/>
      <c r="S136" s="12" t="str">
        <f t="shared" si="33"/>
        <v/>
      </c>
      <c r="T136" s="12"/>
      <c r="U136" s="12" t="s">
        <v>1114</v>
      </c>
      <c r="V136" s="12" t="str">
        <f t="shared" si="34"/>
        <v>1799</v>
      </c>
      <c r="W136" s="12" t="s">
        <v>1115</v>
      </c>
      <c r="X136" s="12" t="s">
        <v>1116</v>
      </c>
      <c r="Y136" s="12"/>
      <c r="Z136" s="12"/>
      <c r="AA136" s="12"/>
      <c r="AB136" s="12"/>
      <c r="AC136" s="12"/>
      <c r="AD136" s="12"/>
      <c r="AE136" s="12"/>
      <c r="AF136" s="12" t="s">
        <v>3699</v>
      </c>
      <c r="AG136" s="12" t="s">
        <v>68</v>
      </c>
      <c r="AH136" s="12">
        <v>1837</v>
      </c>
      <c r="AI136" s="12" t="str">
        <f t="shared" si="35"/>
        <v>1837</v>
      </c>
      <c r="AJ136" s="12" t="s">
        <v>277</v>
      </c>
      <c r="AK136" s="12" t="s">
        <v>90</v>
      </c>
      <c r="AL136" s="12" t="s">
        <v>53</v>
      </c>
      <c r="AM136" s="12" t="s">
        <v>1117</v>
      </c>
      <c r="AN136" s="12" t="s">
        <v>1118</v>
      </c>
      <c r="AO136" s="12" t="s">
        <v>697</v>
      </c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</row>
    <row r="137" spans="1:69">
      <c r="A137" s="12" t="s">
        <v>655</v>
      </c>
      <c r="B137" s="12" t="str">
        <f t="shared" si="26"/>
        <v>BOTHA</v>
      </c>
      <c r="C137" s="12" t="str">
        <f t="shared" si="27"/>
        <v>BOTHA</v>
      </c>
      <c r="D137" s="12" t="s">
        <v>1391</v>
      </c>
      <c r="E137" s="12" t="str">
        <f t="shared" si="28"/>
        <v>Reynier</v>
      </c>
      <c r="F137" s="12" t="s">
        <v>1392</v>
      </c>
      <c r="G137" s="12" t="str">
        <f t="shared" si="29"/>
        <v>a1b2c9d3e4</v>
      </c>
      <c r="H137" s="12" t="str">
        <f t="shared" si="30"/>
        <v>BOTHAa1b2c9d3e4</v>
      </c>
      <c r="I137" s="12"/>
      <c r="J137" s="12"/>
      <c r="K137" s="12" t="str">
        <f t="shared" si="31"/>
        <v/>
      </c>
      <c r="L137" s="12"/>
      <c r="M137" s="12" t="s">
        <v>1393</v>
      </c>
      <c r="N137" s="12" t="str">
        <f t="shared" si="24"/>
        <v/>
      </c>
      <c r="O137" s="12" t="str">
        <f t="shared" si="25"/>
        <v>1787</v>
      </c>
      <c r="P137" s="12"/>
      <c r="Q137" s="12" t="str">
        <f t="shared" si="32"/>
        <v>1787</v>
      </c>
      <c r="R137" s="12"/>
      <c r="S137" s="12" t="str">
        <f t="shared" si="33"/>
        <v/>
      </c>
      <c r="U137" s="2" t="s">
        <v>1394</v>
      </c>
      <c r="V137" s="12" t="str">
        <f t="shared" si="34"/>
        <v>1817</v>
      </c>
      <c r="W137" s="12" t="s">
        <v>1395</v>
      </c>
      <c r="X137" s="12" t="s">
        <v>636</v>
      </c>
      <c r="AG137" s="12" t="s">
        <v>53</v>
      </c>
      <c r="AH137" s="12">
        <v>1839</v>
      </c>
      <c r="AI137" s="12" t="str">
        <f t="shared" si="35"/>
        <v>1839</v>
      </c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</row>
    <row r="138" spans="1:69">
      <c r="A138" s="2" t="s">
        <v>655</v>
      </c>
      <c r="B138" s="12" t="str">
        <f t="shared" si="26"/>
        <v>BOTHA</v>
      </c>
      <c r="C138" s="12" t="str">
        <f t="shared" si="27"/>
        <v>BOTHA</v>
      </c>
      <c r="D138" s="2" t="s">
        <v>2782</v>
      </c>
      <c r="E138" s="12" t="str">
        <f t="shared" si="28"/>
        <v>Gerhardus Stephanus</v>
      </c>
      <c r="F138" s="2" t="s">
        <v>2783</v>
      </c>
      <c r="G138" s="12" t="str">
        <f t="shared" si="29"/>
        <v>a1b2c9d3e4f1</v>
      </c>
      <c r="H138" s="12" t="str">
        <f t="shared" si="30"/>
        <v>BOTHAa1b2c9d3e4f1</v>
      </c>
      <c r="J138" s="2" t="s">
        <v>1117</v>
      </c>
      <c r="K138" s="12" t="str">
        <f t="shared" si="31"/>
        <v>1818</v>
      </c>
      <c r="L138" s="2" t="s">
        <v>53</v>
      </c>
      <c r="M138" s="2" t="s">
        <v>2784</v>
      </c>
      <c r="N138" s="12" t="str">
        <f t="shared" si="24"/>
        <v>1818</v>
      </c>
      <c r="O138" s="12" t="str">
        <f t="shared" si="25"/>
        <v>1818</v>
      </c>
      <c r="Q138" s="12" t="str">
        <f t="shared" si="32"/>
        <v>1818</v>
      </c>
      <c r="R138" s="1" t="s">
        <v>15772</v>
      </c>
      <c r="S138" s="12">
        <v>1902</v>
      </c>
      <c r="V138" s="12" t="str">
        <f t="shared" si="34"/>
        <v/>
      </c>
      <c r="W138" s="2" t="s">
        <v>2785</v>
      </c>
      <c r="X138" s="2" t="s">
        <v>759</v>
      </c>
      <c r="AA138" s="2">
        <v>1839</v>
      </c>
      <c r="AE138" s="2" t="s">
        <v>2786</v>
      </c>
      <c r="AG138" s="2" t="s">
        <v>53</v>
      </c>
      <c r="AH138" s="2">
        <v>1839</v>
      </c>
      <c r="AI138" s="12" t="str">
        <f t="shared" si="35"/>
        <v>1839</v>
      </c>
      <c r="AK138" s="2" t="s">
        <v>67</v>
      </c>
    </row>
    <row r="139" spans="1:69">
      <c r="A139" s="2" t="s">
        <v>655</v>
      </c>
      <c r="B139" s="12" t="str">
        <f t="shared" si="26"/>
        <v>BOTHA</v>
      </c>
      <c r="C139" s="12" t="str">
        <f t="shared" si="27"/>
        <v>BOTHA</v>
      </c>
      <c r="D139" s="2" t="s">
        <v>1445</v>
      </c>
      <c r="E139" s="12" t="str">
        <f t="shared" si="28"/>
        <v>Theunis Johannes</v>
      </c>
      <c r="F139" s="2" t="s">
        <v>1446</v>
      </c>
      <c r="G139" s="12" t="str">
        <f t="shared" si="29"/>
        <v>a1b2c9d7e6</v>
      </c>
      <c r="H139" s="12" t="str">
        <f t="shared" si="30"/>
        <v>BOTHAa1b2c9d7e6</v>
      </c>
      <c r="K139" s="12" t="str">
        <f t="shared" si="31"/>
        <v/>
      </c>
      <c r="M139" s="2" t="s">
        <v>1447</v>
      </c>
      <c r="N139" s="12" t="str">
        <f t="shared" si="24"/>
        <v/>
      </c>
      <c r="O139" s="12" t="str">
        <f t="shared" si="25"/>
        <v>1800</v>
      </c>
      <c r="P139" s="2" t="s">
        <v>1315</v>
      </c>
      <c r="Q139" s="12" t="str">
        <f t="shared" si="32"/>
        <v>1800</v>
      </c>
      <c r="R139" s="2" t="s">
        <v>1448</v>
      </c>
      <c r="S139" s="12" t="str">
        <f t="shared" si="33"/>
        <v>1885</v>
      </c>
      <c r="T139" s="2" t="s">
        <v>366</v>
      </c>
      <c r="U139" s="2" t="s">
        <v>257</v>
      </c>
      <c r="V139" s="12" t="str">
        <f t="shared" si="34"/>
        <v>1822</v>
      </c>
      <c r="W139" s="2" t="s">
        <v>1449</v>
      </c>
      <c r="X139" s="2" t="s">
        <v>778</v>
      </c>
      <c r="Y139" s="2" t="s">
        <v>1450</v>
      </c>
      <c r="AC139" s="2" t="s">
        <v>1451</v>
      </c>
      <c r="AF139" s="2" t="s">
        <v>16</v>
      </c>
      <c r="AG139" s="2" t="s">
        <v>68</v>
      </c>
      <c r="AH139" s="2">
        <v>1838</v>
      </c>
      <c r="AI139" s="12" t="str">
        <f t="shared" si="35"/>
        <v>1838</v>
      </c>
      <c r="AK139" s="2" t="s">
        <v>140</v>
      </c>
      <c r="AN139" s="2" t="s">
        <v>1452</v>
      </c>
      <c r="AO139" s="2" t="s">
        <v>1453</v>
      </c>
      <c r="AQ139" s="2" t="s">
        <v>28</v>
      </c>
      <c r="AR139" s="2" t="s">
        <v>1455</v>
      </c>
      <c r="AU139" s="2" t="s">
        <v>1315</v>
      </c>
      <c r="AV139" s="2" t="s">
        <v>1456</v>
      </c>
    </row>
    <row r="140" spans="1:69">
      <c r="A140" s="12" t="s">
        <v>655</v>
      </c>
      <c r="B140" s="12" t="str">
        <f t="shared" si="26"/>
        <v>BOTHA</v>
      </c>
      <c r="C140" s="12" t="str">
        <f t="shared" si="27"/>
        <v>BOTHA</v>
      </c>
      <c r="D140" s="2" t="s">
        <v>1464</v>
      </c>
      <c r="E140" s="12" t="str">
        <f t="shared" si="28"/>
        <v>Willem</v>
      </c>
      <c r="F140" s="2" t="s">
        <v>1465</v>
      </c>
      <c r="G140" s="12" t="str">
        <f t="shared" si="29"/>
        <v>a1b2c9d8e1</v>
      </c>
      <c r="H140" s="12" t="str">
        <f t="shared" si="30"/>
        <v>BOTHAa1b2c9d8e1</v>
      </c>
      <c r="J140" s="2" t="s">
        <v>1466</v>
      </c>
      <c r="K140" s="12" t="str">
        <f t="shared" si="31"/>
        <v>1790</v>
      </c>
      <c r="L140" s="2" t="s">
        <v>1071</v>
      </c>
      <c r="M140" s="2" t="s">
        <v>1467</v>
      </c>
      <c r="N140" s="12" t="str">
        <f t="shared" si="24"/>
        <v>1790</v>
      </c>
      <c r="O140" s="12" t="str">
        <f t="shared" si="25"/>
        <v>1792</v>
      </c>
      <c r="Q140" s="12" t="str">
        <f t="shared" si="32"/>
        <v>1790</v>
      </c>
      <c r="S140" s="12" t="str">
        <f t="shared" si="33"/>
        <v/>
      </c>
      <c r="T140" s="2" t="s">
        <v>74</v>
      </c>
      <c r="U140" s="2" t="s">
        <v>1468</v>
      </c>
      <c r="V140" s="12" t="str">
        <f t="shared" si="34"/>
        <v>1817</v>
      </c>
      <c r="W140" s="2" t="s">
        <v>1469</v>
      </c>
      <c r="X140" s="2" t="s">
        <v>670</v>
      </c>
      <c r="Y140" s="2" t="s">
        <v>1470</v>
      </c>
      <c r="AC140" s="2" t="s">
        <v>1471</v>
      </c>
      <c r="AF140" s="2" t="s">
        <v>3699</v>
      </c>
      <c r="AG140" s="2" t="s">
        <v>68</v>
      </c>
      <c r="AH140" s="2">
        <v>1836</v>
      </c>
      <c r="AI140" s="12" t="str">
        <f t="shared" si="35"/>
        <v>1836</v>
      </c>
      <c r="AK140" s="2" t="s">
        <v>190</v>
      </c>
    </row>
    <row r="141" spans="1:69">
      <c r="A141" s="2" t="s">
        <v>655</v>
      </c>
      <c r="B141" s="12" t="str">
        <f t="shared" si="26"/>
        <v>BOTHA</v>
      </c>
      <c r="C141" s="12" t="str">
        <f t="shared" si="27"/>
        <v>BOTHA</v>
      </c>
      <c r="D141" s="2" t="s">
        <v>201</v>
      </c>
      <c r="E141" s="12" t="str">
        <f t="shared" si="28"/>
        <v>Petrus Johannes</v>
      </c>
      <c r="F141" s="2" t="s">
        <v>1342</v>
      </c>
      <c r="G141" s="12" t="str">
        <f t="shared" si="29"/>
        <v>a1b4c10d10e1</v>
      </c>
      <c r="H141" s="12" t="str">
        <f t="shared" si="30"/>
        <v>BOTHAa1b4c10d10e1</v>
      </c>
      <c r="K141" s="12" t="str">
        <f t="shared" si="31"/>
        <v/>
      </c>
      <c r="M141" s="2" t="s">
        <v>1106</v>
      </c>
      <c r="N141" s="12" t="str">
        <f t="shared" si="24"/>
        <v/>
      </c>
      <c r="O141" s="12" t="str">
        <f t="shared" si="25"/>
        <v>1799</v>
      </c>
      <c r="Q141" s="12" t="str">
        <f t="shared" si="32"/>
        <v>1799</v>
      </c>
      <c r="S141" s="12" t="str">
        <f t="shared" si="33"/>
        <v/>
      </c>
      <c r="T141" s="2" t="s">
        <v>199</v>
      </c>
      <c r="U141" s="2" t="s">
        <v>508</v>
      </c>
      <c r="V141" s="12" t="str">
        <f t="shared" si="34"/>
        <v>1821</v>
      </c>
      <c r="W141" s="2" t="s">
        <v>1324</v>
      </c>
      <c r="X141" s="2" t="s">
        <v>1235</v>
      </c>
      <c r="Y141" s="2" t="s">
        <v>1343</v>
      </c>
      <c r="AC141" s="2" t="s">
        <v>1344</v>
      </c>
      <c r="AG141" s="2" t="s">
        <v>199</v>
      </c>
      <c r="AH141" s="2">
        <v>1840</v>
      </c>
      <c r="AI141" s="12" t="str">
        <f t="shared" si="35"/>
        <v>1840</v>
      </c>
      <c r="AJ141" s="2" t="s">
        <v>1341</v>
      </c>
      <c r="AK141" s="2" t="s">
        <v>90</v>
      </c>
    </row>
    <row r="142" spans="1:69">
      <c r="A142" s="2" t="s">
        <v>655</v>
      </c>
      <c r="B142" s="12" t="str">
        <f t="shared" si="26"/>
        <v>BOTHA</v>
      </c>
      <c r="C142" s="12" t="str">
        <f t="shared" si="27"/>
        <v>BOTHA</v>
      </c>
      <c r="D142" s="2" t="s">
        <v>1472</v>
      </c>
      <c r="E142" s="12" t="str">
        <f t="shared" si="28"/>
        <v>Willem Adriaan</v>
      </c>
      <c r="F142" s="2" t="s">
        <v>1473</v>
      </c>
      <c r="G142" s="12" t="str">
        <f t="shared" si="29"/>
        <v>a1b4c10d10e2</v>
      </c>
      <c r="H142" s="12" t="str">
        <f t="shared" si="30"/>
        <v>BOTHAa1b4c10d10e2</v>
      </c>
      <c r="K142" s="12" t="str">
        <f t="shared" si="31"/>
        <v/>
      </c>
      <c r="M142" s="2" t="s">
        <v>1474</v>
      </c>
      <c r="N142" s="12" t="str">
        <f t="shared" si="24"/>
        <v/>
      </c>
      <c r="O142" s="12" t="str">
        <f t="shared" si="25"/>
        <v>1800</v>
      </c>
      <c r="Q142" s="12" t="str">
        <f t="shared" si="32"/>
        <v>1800</v>
      </c>
      <c r="S142" s="12" t="str">
        <f t="shared" si="33"/>
        <v/>
      </c>
      <c r="V142" s="12" t="str">
        <f t="shared" si="34"/>
        <v/>
      </c>
      <c r="W142" s="2" t="s">
        <v>1475</v>
      </c>
      <c r="X142" s="2" t="s">
        <v>660</v>
      </c>
      <c r="Y142" s="2" t="s">
        <v>1476</v>
      </c>
      <c r="AG142" s="2" t="s">
        <v>199</v>
      </c>
      <c r="AH142" s="2">
        <v>1838</v>
      </c>
      <c r="AI142" s="12" t="str">
        <f t="shared" si="35"/>
        <v>1838</v>
      </c>
    </row>
    <row r="143" spans="1:69">
      <c r="A143" s="2" t="s">
        <v>655</v>
      </c>
      <c r="B143" s="12" t="str">
        <f t="shared" si="26"/>
        <v>BOTHA</v>
      </c>
      <c r="C143" s="12" t="str">
        <f t="shared" si="27"/>
        <v>BOTHA</v>
      </c>
      <c r="D143" s="2" t="s">
        <v>1230</v>
      </c>
      <c r="E143" s="12" t="str">
        <f t="shared" si="28"/>
        <v>Jacobus Mathinus</v>
      </c>
      <c r="F143" s="2" t="s">
        <v>1231</v>
      </c>
      <c r="G143" s="12" t="str">
        <f t="shared" si="29"/>
        <v>a1b4c10d10e3</v>
      </c>
      <c r="H143" s="12" t="str">
        <f t="shared" si="30"/>
        <v>BOTHAa1b4c10d10e3</v>
      </c>
      <c r="K143" s="12" t="str">
        <f t="shared" si="31"/>
        <v/>
      </c>
      <c r="M143" s="2" t="s">
        <v>1232</v>
      </c>
      <c r="N143" s="12" t="str">
        <f t="shared" si="24"/>
        <v/>
      </c>
      <c r="O143" s="12" t="str">
        <f t="shared" si="25"/>
        <v>1802</v>
      </c>
      <c r="Q143" s="12" t="str">
        <f t="shared" si="32"/>
        <v>1802</v>
      </c>
      <c r="S143" s="12" t="str">
        <f t="shared" si="33"/>
        <v/>
      </c>
      <c r="T143" s="2" t="s">
        <v>74</v>
      </c>
      <c r="U143" s="2" t="s">
        <v>1233</v>
      </c>
      <c r="V143" s="12" t="str">
        <f t="shared" si="34"/>
        <v>1824</v>
      </c>
      <c r="W143" s="2" t="s">
        <v>1234</v>
      </c>
      <c r="X143" s="2" t="s">
        <v>1235</v>
      </c>
      <c r="Y143" s="2" t="s">
        <v>1236</v>
      </c>
      <c r="AA143" s="2" t="s">
        <v>1237</v>
      </c>
      <c r="AB143" s="2" t="s">
        <v>199</v>
      </c>
      <c r="AC143" s="2" t="s">
        <v>1238</v>
      </c>
      <c r="AG143" s="2" t="s">
        <v>53</v>
      </c>
      <c r="AH143" s="2">
        <v>1840</v>
      </c>
      <c r="AI143" s="12" t="str">
        <f t="shared" si="35"/>
        <v>1840</v>
      </c>
      <c r="AJ143" s="2" t="s">
        <v>190</v>
      </c>
      <c r="AL143" s="2" t="s">
        <v>199</v>
      </c>
      <c r="AM143" s="2" t="s">
        <v>1239</v>
      </c>
      <c r="AN143" s="2" t="s">
        <v>1240</v>
      </c>
      <c r="AO143" s="2" t="s">
        <v>266</v>
      </c>
      <c r="AP143" s="2" t="s">
        <v>1241</v>
      </c>
      <c r="AR143" s="2" t="s">
        <v>1242</v>
      </c>
      <c r="AS143" s="2" t="s">
        <v>53</v>
      </c>
      <c r="AT143" s="2" t="s">
        <v>1243</v>
      </c>
    </row>
    <row r="144" spans="1:69">
      <c r="A144" s="2" t="s">
        <v>655</v>
      </c>
      <c r="B144" s="12" t="str">
        <f t="shared" si="26"/>
        <v>BOTHA</v>
      </c>
      <c r="C144" s="12" t="str">
        <f t="shared" si="27"/>
        <v>BOTHA</v>
      </c>
      <c r="D144" s="2" t="s">
        <v>1293</v>
      </c>
      <c r="E144" s="12" t="str">
        <f t="shared" si="28"/>
        <v>Johannes Lodewicus Petrus</v>
      </c>
      <c r="F144" s="2" t="s">
        <v>1294</v>
      </c>
      <c r="G144" s="12" t="str">
        <f t="shared" si="29"/>
        <v>a1b5c9d1e2</v>
      </c>
      <c r="H144" s="12" t="str">
        <f t="shared" si="30"/>
        <v>BOTHAa1b5c9d1e2</v>
      </c>
      <c r="K144" s="12" t="str">
        <f t="shared" si="31"/>
        <v/>
      </c>
      <c r="M144" s="2" t="s">
        <v>1295</v>
      </c>
      <c r="N144" s="12" t="str">
        <f t="shared" si="24"/>
        <v/>
      </c>
      <c r="O144" s="12" t="str">
        <f t="shared" si="25"/>
        <v>1789</v>
      </c>
      <c r="Q144" s="12" t="str">
        <f t="shared" si="32"/>
        <v>1789</v>
      </c>
      <c r="S144" s="12" t="str">
        <f t="shared" si="33"/>
        <v/>
      </c>
      <c r="T144" s="2" t="s">
        <v>74</v>
      </c>
      <c r="U144" s="2" t="s">
        <v>1296</v>
      </c>
      <c r="V144" s="12" t="str">
        <f t="shared" si="34"/>
        <v>1809</v>
      </c>
      <c r="W144" s="2" t="s">
        <v>1297</v>
      </c>
      <c r="X144" s="2" t="s">
        <v>633</v>
      </c>
      <c r="AG144" s="2" t="s">
        <v>74</v>
      </c>
      <c r="AH144" s="2">
        <v>1836</v>
      </c>
      <c r="AI144" s="12" t="str">
        <f t="shared" si="35"/>
        <v>1836</v>
      </c>
      <c r="AJ144" s="2" t="s">
        <v>379</v>
      </c>
      <c r="AK144" s="2" t="s">
        <v>1301</v>
      </c>
      <c r="AL144" s="2" t="s">
        <v>74</v>
      </c>
      <c r="AM144" s="2" t="s">
        <v>1298</v>
      </c>
      <c r="AN144" s="2" t="s">
        <v>764</v>
      </c>
      <c r="AO144" s="2" t="s">
        <v>1299</v>
      </c>
      <c r="AP144" s="2" t="s">
        <v>1300</v>
      </c>
      <c r="BQ144" s="2" t="s">
        <v>1302</v>
      </c>
    </row>
    <row r="145" spans="1:69">
      <c r="A145" s="2" t="s">
        <v>655</v>
      </c>
      <c r="B145" s="12" t="str">
        <f t="shared" si="26"/>
        <v>BOTHA</v>
      </c>
      <c r="C145" s="12" t="str">
        <f t="shared" si="27"/>
        <v>BOTHA</v>
      </c>
      <c r="D145" s="2" t="s">
        <v>1484</v>
      </c>
      <c r="E145" s="12" t="str">
        <f t="shared" si="28"/>
        <v>Willem Jacobus</v>
      </c>
      <c r="F145" s="2" t="s">
        <v>1485</v>
      </c>
      <c r="G145" s="12" t="str">
        <f t="shared" si="29"/>
        <v>a1b5c9d1e6</v>
      </c>
      <c r="H145" s="12" t="str">
        <f t="shared" si="30"/>
        <v>BOTHAa1b5c9d1e6</v>
      </c>
      <c r="K145" s="12" t="str">
        <f t="shared" si="31"/>
        <v/>
      </c>
      <c r="M145" s="2" t="s">
        <v>1486</v>
      </c>
      <c r="N145" s="12" t="str">
        <f t="shared" si="24"/>
        <v/>
      </c>
      <c r="O145" s="12" t="str">
        <f t="shared" si="25"/>
        <v>1798</v>
      </c>
      <c r="Q145" s="12" t="str">
        <f t="shared" si="32"/>
        <v>1798</v>
      </c>
      <c r="S145" s="12" t="str">
        <f t="shared" si="33"/>
        <v/>
      </c>
      <c r="T145" s="2" t="s">
        <v>74</v>
      </c>
      <c r="U145" s="2" t="s">
        <v>1487</v>
      </c>
      <c r="V145" s="12" t="str">
        <f t="shared" si="34"/>
        <v>1823</v>
      </c>
      <c r="W145" s="2" t="s">
        <v>1488</v>
      </c>
      <c r="X145" s="2" t="s">
        <v>1489</v>
      </c>
      <c r="Y145" s="2" t="s">
        <v>1490</v>
      </c>
      <c r="AA145" s="2" t="s">
        <v>1081</v>
      </c>
      <c r="AC145" s="2" t="s">
        <v>1491</v>
      </c>
      <c r="AG145" s="2" t="s">
        <v>60</v>
      </c>
      <c r="AH145" s="2">
        <v>1836</v>
      </c>
      <c r="AI145" s="12" t="str">
        <f t="shared" si="35"/>
        <v>1836</v>
      </c>
      <c r="AJ145" s="2" t="s">
        <v>379</v>
      </c>
    </row>
    <row r="146" spans="1:69">
      <c r="A146" s="2" t="s">
        <v>655</v>
      </c>
      <c r="B146" s="12" t="str">
        <f t="shared" si="26"/>
        <v>BOTHA</v>
      </c>
      <c r="C146" s="12" t="str">
        <f t="shared" si="27"/>
        <v>BOTHA</v>
      </c>
      <c r="D146" s="2" t="s">
        <v>1093</v>
      </c>
      <c r="E146" s="12" t="str">
        <f t="shared" si="28"/>
        <v>Alwyn Petrus</v>
      </c>
      <c r="F146" s="2" t="s">
        <v>1094</v>
      </c>
      <c r="G146" s="12" t="str">
        <f t="shared" si="29"/>
        <v>a1b5c9d1e7</v>
      </c>
      <c r="H146" s="12" t="str">
        <f t="shared" si="30"/>
        <v>BOTHAa1b5c9d1e7</v>
      </c>
      <c r="K146" s="12" t="str">
        <f t="shared" si="31"/>
        <v/>
      </c>
      <c r="M146" s="2" t="s">
        <v>1095</v>
      </c>
      <c r="N146" s="12" t="str">
        <f t="shared" si="24"/>
        <v/>
      </c>
      <c r="O146" s="12" t="str">
        <f t="shared" si="25"/>
        <v>1801</v>
      </c>
      <c r="Q146" s="12" t="str">
        <f t="shared" si="32"/>
        <v>1801</v>
      </c>
      <c r="S146" s="12" t="str">
        <f t="shared" si="33"/>
        <v/>
      </c>
      <c r="T146" s="2" t="s">
        <v>74</v>
      </c>
      <c r="U146" s="2" t="s">
        <v>1096</v>
      </c>
      <c r="V146" s="12" t="str">
        <f t="shared" si="34"/>
        <v>1823</v>
      </c>
      <c r="W146" s="2" t="s">
        <v>1097</v>
      </c>
      <c r="X146" s="2" t="s">
        <v>664</v>
      </c>
      <c r="Y146" s="2" t="s">
        <v>1098</v>
      </c>
      <c r="AF146" s="2" t="s">
        <v>3713</v>
      </c>
      <c r="AG146" s="2" t="s">
        <v>74</v>
      </c>
      <c r="AI146" s="12" t="str">
        <f t="shared" si="35"/>
        <v/>
      </c>
      <c r="AK146" s="2" t="s">
        <v>386</v>
      </c>
    </row>
    <row r="147" spans="1:69">
      <c r="A147" s="2" t="s">
        <v>655</v>
      </c>
      <c r="B147" s="12" t="str">
        <f t="shared" si="26"/>
        <v>BOTHA</v>
      </c>
      <c r="C147" s="12" t="str">
        <f t="shared" si="27"/>
        <v>BOTHA</v>
      </c>
      <c r="D147" s="2" t="s">
        <v>1147</v>
      </c>
      <c r="E147" s="12" t="str">
        <f t="shared" si="28"/>
        <v>Cornelis</v>
      </c>
      <c r="F147" s="2" t="s">
        <v>1148</v>
      </c>
      <c r="G147" s="12" t="str">
        <f t="shared" si="29"/>
        <v>a3b2c7</v>
      </c>
      <c r="H147" s="12" t="str">
        <f t="shared" si="30"/>
        <v>BOTHAa3b2c7</v>
      </c>
      <c r="J147" s="2" t="s">
        <v>1158</v>
      </c>
      <c r="K147" s="12" t="str">
        <f t="shared" si="31"/>
        <v>1816</v>
      </c>
      <c r="N147" s="12" t="str">
        <f t="shared" si="24"/>
        <v>1816</v>
      </c>
      <c r="O147" s="12" t="str">
        <f t="shared" si="25"/>
        <v/>
      </c>
      <c r="Q147" s="12" t="str">
        <f t="shared" si="32"/>
        <v>1816</v>
      </c>
      <c r="S147" s="12" t="str">
        <f t="shared" si="33"/>
        <v/>
      </c>
      <c r="U147" s="2" t="s">
        <v>1149</v>
      </c>
      <c r="V147" s="12" t="str">
        <f t="shared" si="34"/>
        <v>1839</v>
      </c>
      <c r="W147" s="2" t="s">
        <v>1150</v>
      </c>
      <c r="X147" s="2" t="s">
        <v>1151</v>
      </c>
      <c r="Y147" s="2" t="s">
        <v>1152</v>
      </c>
      <c r="AD147" s="2" t="s">
        <v>140</v>
      </c>
      <c r="AE147" s="2">
        <v>1860</v>
      </c>
      <c r="AG147" s="2" t="s">
        <v>74</v>
      </c>
      <c r="AH147" s="2" t="s">
        <v>1159</v>
      </c>
      <c r="AI147" s="12" t="str">
        <f t="shared" si="35"/>
        <v>1836</v>
      </c>
      <c r="AK147" s="2" t="s">
        <v>140</v>
      </c>
      <c r="BQ147" s="2" t="s">
        <v>1160</v>
      </c>
    </row>
    <row r="148" spans="1:69">
      <c r="A148" s="2" t="s">
        <v>655</v>
      </c>
      <c r="B148" s="12" t="str">
        <f t="shared" si="26"/>
        <v>BOTHA</v>
      </c>
      <c r="C148" s="12" t="str">
        <f t="shared" si="27"/>
        <v>BOTHA</v>
      </c>
      <c r="D148" s="2" t="s">
        <v>1250</v>
      </c>
      <c r="E148" s="12" t="str">
        <f t="shared" si="28"/>
        <v>Johan Hendrik</v>
      </c>
      <c r="F148" s="2" t="s">
        <v>1251</v>
      </c>
      <c r="G148" s="12" t="str">
        <f t="shared" si="29"/>
        <v>a3b2c8</v>
      </c>
      <c r="H148" s="12" t="str">
        <f t="shared" si="30"/>
        <v>BOTHAa3b2c8</v>
      </c>
      <c r="J148" s="2" t="s">
        <v>1252</v>
      </c>
      <c r="K148" s="12" t="str">
        <f t="shared" si="31"/>
        <v>1818</v>
      </c>
      <c r="N148" s="12" t="str">
        <f t="shared" si="24"/>
        <v>1818</v>
      </c>
      <c r="O148" s="12" t="str">
        <f t="shared" si="25"/>
        <v/>
      </c>
      <c r="Q148" s="12" t="str">
        <f t="shared" si="32"/>
        <v>1818</v>
      </c>
      <c r="S148" s="12" t="str">
        <f t="shared" si="33"/>
        <v/>
      </c>
      <c r="U148" s="2" t="s">
        <v>149</v>
      </c>
      <c r="V148" s="12" t="str">
        <f t="shared" si="34"/>
        <v>1840</v>
      </c>
      <c r="W148" s="2" t="s">
        <v>741</v>
      </c>
      <c r="X148" s="2" t="s">
        <v>667</v>
      </c>
      <c r="Y148" s="2" t="s">
        <v>1253</v>
      </c>
      <c r="AA148" s="2">
        <v>1822</v>
      </c>
      <c r="AF148" s="2" t="s">
        <v>16</v>
      </c>
      <c r="AG148" s="2" t="s">
        <v>68</v>
      </c>
      <c r="AH148" s="2">
        <v>1837</v>
      </c>
      <c r="AI148" s="12" t="str">
        <f t="shared" si="35"/>
        <v>1837</v>
      </c>
      <c r="AJ148" s="2" t="s">
        <v>1254</v>
      </c>
      <c r="BQ148" s="2" t="s">
        <v>1255</v>
      </c>
    </row>
    <row r="149" spans="1:69">
      <c r="A149" s="2" t="s">
        <v>655</v>
      </c>
      <c r="B149" s="12" t="str">
        <f t="shared" si="26"/>
        <v>BOTHA</v>
      </c>
      <c r="C149" s="12" t="str">
        <f t="shared" si="27"/>
        <v>BOTHA</v>
      </c>
      <c r="D149" s="2" t="s">
        <v>1268</v>
      </c>
      <c r="E149" s="12" t="str">
        <f t="shared" si="28"/>
        <v>Johannes Christiaan</v>
      </c>
      <c r="F149" s="2" t="s">
        <v>1269</v>
      </c>
      <c r="G149" s="12" t="str">
        <f t="shared" si="29"/>
        <v>a1b1c7d1e10</v>
      </c>
      <c r="H149" s="12" t="str">
        <f t="shared" si="30"/>
        <v>BOTHAa1b1c7d1e10</v>
      </c>
      <c r="K149" s="12" t="str">
        <f t="shared" si="31"/>
        <v/>
      </c>
      <c r="M149" s="2" t="s">
        <v>1270</v>
      </c>
      <c r="N149" s="12" t="str">
        <f t="shared" si="24"/>
        <v/>
      </c>
      <c r="O149" s="12" t="str">
        <f t="shared" si="25"/>
        <v>1794</v>
      </c>
      <c r="Q149" s="12" t="str">
        <f t="shared" si="32"/>
        <v>1794</v>
      </c>
      <c r="S149" s="12" t="str">
        <f t="shared" si="33"/>
        <v/>
      </c>
      <c r="T149" s="2" t="s">
        <v>53</v>
      </c>
      <c r="U149" s="2" t="s">
        <v>1271</v>
      </c>
      <c r="V149" s="12" t="str">
        <f t="shared" si="34"/>
        <v>1819</v>
      </c>
      <c r="W149" s="2" t="s">
        <v>692</v>
      </c>
      <c r="X149" s="2" t="s">
        <v>1136</v>
      </c>
      <c r="AD149" s="2" t="s">
        <v>1272</v>
      </c>
      <c r="AE149" s="2" t="s">
        <v>1273</v>
      </c>
      <c r="AF149" s="2" t="s">
        <v>3699</v>
      </c>
      <c r="AG149" s="2" t="s">
        <v>68</v>
      </c>
      <c r="AH149" s="2">
        <v>1836</v>
      </c>
      <c r="AI149" s="12" t="str">
        <f t="shared" si="35"/>
        <v>1836</v>
      </c>
      <c r="AJ149" s="2" t="s">
        <v>379</v>
      </c>
      <c r="BQ149" s="2" t="s">
        <v>1274</v>
      </c>
    </row>
    <row r="150" spans="1:69">
      <c r="A150" s="2" t="s">
        <v>655</v>
      </c>
      <c r="B150" s="12" t="str">
        <f t="shared" si="26"/>
        <v>BOTHA</v>
      </c>
      <c r="C150" s="12" t="str">
        <f t="shared" si="27"/>
        <v>BOTHA</v>
      </c>
      <c r="D150" s="2" t="s">
        <v>1405</v>
      </c>
      <c r="E150" s="12" t="str">
        <f t="shared" si="28"/>
        <v>Rudolph Philip</v>
      </c>
      <c r="F150" s="2" t="s">
        <v>1406</v>
      </c>
      <c r="G150" s="12" t="str">
        <f t="shared" si="29"/>
        <v>a1b1c7d1e12</v>
      </c>
      <c r="H150" s="12" t="str">
        <f t="shared" si="30"/>
        <v>BOTHAa1b1c7d1e12</v>
      </c>
      <c r="K150" s="12" t="str">
        <f t="shared" si="31"/>
        <v/>
      </c>
      <c r="M150" s="2" t="s">
        <v>1407</v>
      </c>
      <c r="N150" s="12" t="str">
        <f t="shared" si="24"/>
        <v/>
      </c>
      <c r="O150" s="12" t="str">
        <f t="shared" si="25"/>
        <v>1801</v>
      </c>
      <c r="P150" s="2" t="s">
        <v>90</v>
      </c>
      <c r="Q150" s="12" t="str">
        <f t="shared" si="32"/>
        <v>1801</v>
      </c>
      <c r="R150" s="2" t="s">
        <v>1408</v>
      </c>
      <c r="S150" s="12" t="str">
        <f t="shared" si="33"/>
        <v>1869</v>
      </c>
      <c r="U150" s="2" t="s">
        <v>1409</v>
      </c>
      <c r="V150" s="12" t="str">
        <f t="shared" si="34"/>
        <v>1827</v>
      </c>
      <c r="W150" s="2" t="s">
        <v>1410</v>
      </c>
      <c r="X150" s="2" t="s">
        <v>640</v>
      </c>
      <c r="Y150" s="2" t="s">
        <v>1411</v>
      </c>
      <c r="AF150" s="2" t="s">
        <v>3705</v>
      </c>
      <c r="AG150" s="2" t="s">
        <v>68</v>
      </c>
      <c r="AI150" s="12" t="str">
        <f t="shared" si="35"/>
        <v/>
      </c>
      <c r="AK150" s="2" t="s">
        <v>1412</v>
      </c>
    </row>
    <row r="151" spans="1:69">
      <c r="A151" s="12" t="s">
        <v>655</v>
      </c>
      <c r="B151" s="12" t="str">
        <f t="shared" si="26"/>
        <v>BOTHA</v>
      </c>
      <c r="C151" s="12" t="str">
        <f t="shared" si="27"/>
        <v>BOTHA</v>
      </c>
      <c r="D151" s="2" t="s">
        <v>1161</v>
      </c>
      <c r="E151" s="12" t="str">
        <f t="shared" si="28"/>
        <v>Ernst Adriaan Lodewyk</v>
      </c>
      <c r="F151" s="2" t="s">
        <v>1162</v>
      </c>
      <c r="G151" s="12" t="str">
        <f t="shared" si="29"/>
        <v>a1b1c7d1e15</v>
      </c>
      <c r="H151" s="12" t="str">
        <f t="shared" si="30"/>
        <v>BOTHAa1b1c7d1e15</v>
      </c>
      <c r="J151" s="2" t="s">
        <v>1163</v>
      </c>
      <c r="K151" s="12" t="str">
        <f t="shared" si="31"/>
        <v>1809</v>
      </c>
      <c r="M151" s="2" t="s">
        <v>1164</v>
      </c>
      <c r="N151" s="12" t="str">
        <f t="shared" si="24"/>
        <v>1809</v>
      </c>
      <c r="O151" s="12" t="str">
        <f t="shared" si="25"/>
        <v>1811</v>
      </c>
      <c r="Q151" s="12" t="str">
        <f t="shared" si="32"/>
        <v>1809</v>
      </c>
      <c r="S151" s="12" t="str">
        <f t="shared" si="33"/>
        <v/>
      </c>
      <c r="U151" s="2" t="s">
        <v>1165</v>
      </c>
      <c r="V151" s="12" t="str">
        <f t="shared" si="34"/>
        <v>1831</v>
      </c>
      <c r="W151" s="2" t="s">
        <v>1166</v>
      </c>
      <c r="X151" s="2" t="s">
        <v>1167</v>
      </c>
      <c r="AF151" s="2" t="s">
        <v>3705</v>
      </c>
      <c r="AG151" s="2" t="s">
        <v>68</v>
      </c>
      <c r="AI151" s="12" t="str">
        <f t="shared" si="35"/>
        <v/>
      </c>
      <c r="AK151" s="2" t="s">
        <v>520</v>
      </c>
      <c r="BQ151" s="2" t="s">
        <v>1168</v>
      </c>
    </row>
    <row r="152" spans="1:69">
      <c r="A152" s="12" t="s">
        <v>655</v>
      </c>
      <c r="B152" s="12" t="str">
        <f t="shared" si="26"/>
        <v>BOTHA</v>
      </c>
      <c r="C152" s="12" t="str">
        <f t="shared" si="27"/>
        <v>BOTHA</v>
      </c>
      <c r="D152" s="2" t="s">
        <v>1457</v>
      </c>
      <c r="E152" s="12" t="str">
        <f t="shared" si="28"/>
        <v>Theunis Louis</v>
      </c>
      <c r="F152" s="2" t="s">
        <v>1458</v>
      </c>
      <c r="G152" s="12" t="str">
        <f t="shared" si="29"/>
        <v>a1b1c7d1e4</v>
      </c>
      <c r="H152" s="12" t="str">
        <f t="shared" si="30"/>
        <v>BOTHAa1b1c7d1e4</v>
      </c>
      <c r="J152" s="2" t="s">
        <v>1459</v>
      </c>
      <c r="K152" s="12" t="str">
        <f t="shared" si="31"/>
        <v>1775</v>
      </c>
      <c r="M152" s="2" t="s">
        <v>1460</v>
      </c>
      <c r="N152" s="12" t="str">
        <f t="shared" si="24"/>
        <v>1775</v>
      </c>
      <c r="O152" s="12" t="str">
        <f t="shared" si="25"/>
        <v>1775</v>
      </c>
      <c r="Q152" s="12" t="str">
        <f t="shared" si="32"/>
        <v>1775</v>
      </c>
      <c r="R152" s="2" t="s">
        <v>1461</v>
      </c>
      <c r="S152" s="12" t="str">
        <f t="shared" si="33"/>
        <v>1865</v>
      </c>
      <c r="V152" s="12" t="str">
        <f t="shared" si="34"/>
        <v/>
      </c>
      <c r="W152" s="2" t="s">
        <v>813</v>
      </c>
      <c r="X152" s="2" t="s">
        <v>667</v>
      </c>
      <c r="AF152" s="2" t="s">
        <v>3709</v>
      </c>
      <c r="AG152" s="2" t="s">
        <v>68</v>
      </c>
      <c r="AH152" s="2" t="s">
        <v>1462</v>
      </c>
      <c r="AI152" s="12" t="str">
        <f t="shared" si="35"/>
        <v>1838</v>
      </c>
      <c r="AK152" s="2" t="s">
        <v>1463</v>
      </c>
    </row>
    <row r="153" spans="1:69">
      <c r="A153" s="12" t="s">
        <v>655</v>
      </c>
      <c r="B153" s="12" t="str">
        <f t="shared" si="26"/>
        <v>BOTHA</v>
      </c>
      <c r="C153" s="12" t="str">
        <f t="shared" si="27"/>
        <v>BOTHA</v>
      </c>
      <c r="D153" s="2" t="s">
        <v>1435</v>
      </c>
      <c r="E153" s="12" t="str">
        <f t="shared" si="28"/>
        <v>Theunis Jacobus</v>
      </c>
      <c r="F153" s="2" t="s">
        <v>1436</v>
      </c>
      <c r="G153" s="12" t="str">
        <f t="shared" si="29"/>
        <v>a1b1c7d2e3f1g1</v>
      </c>
      <c r="H153" s="12" t="str">
        <f t="shared" si="30"/>
        <v>BOTHAa1b1c7d2e3f1g1</v>
      </c>
      <c r="J153" s="2" t="s">
        <v>1437</v>
      </c>
      <c r="K153" s="12" t="str">
        <f t="shared" si="31"/>
        <v>1822</v>
      </c>
      <c r="L153" s="2" t="s">
        <v>53</v>
      </c>
      <c r="M153" s="2" t="s">
        <v>1438</v>
      </c>
      <c r="N153" s="12" t="str">
        <f t="shared" si="24"/>
        <v>1822</v>
      </c>
      <c r="O153" s="12" t="str">
        <f t="shared" si="25"/>
        <v>1822</v>
      </c>
      <c r="Q153" s="12" t="str">
        <f t="shared" si="32"/>
        <v>1822</v>
      </c>
      <c r="S153" s="12" t="str">
        <f t="shared" si="33"/>
        <v/>
      </c>
      <c r="T153" s="2" t="s">
        <v>168</v>
      </c>
      <c r="U153" s="2" t="s">
        <v>1439</v>
      </c>
      <c r="V153" s="12" t="str">
        <f t="shared" si="34"/>
        <v>1842</v>
      </c>
      <c r="W153" s="2" t="s">
        <v>1440</v>
      </c>
      <c r="X153" s="2" t="s">
        <v>694</v>
      </c>
      <c r="Y153" s="2" t="s">
        <v>1441</v>
      </c>
      <c r="AA153" s="2" t="s">
        <v>1442</v>
      </c>
      <c r="AD153" s="2" t="s">
        <v>1443</v>
      </c>
      <c r="AE153" s="2" t="s">
        <v>1444</v>
      </c>
      <c r="AF153" s="2" t="s">
        <v>3709</v>
      </c>
      <c r="AG153" s="2" t="s">
        <v>68</v>
      </c>
      <c r="AH153" s="2">
        <v>1837</v>
      </c>
      <c r="AI153" s="12" t="str">
        <f t="shared" si="35"/>
        <v>1837</v>
      </c>
    </row>
    <row r="154" spans="1:69">
      <c r="A154" s="12" t="s">
        <v>655</v>
      </c>
      <c r="B154" s="12" t="str">
        <f t="shared" si="26"/>
        <v>BOTHA</v>
      </c>
      <c r="C154" s="12" t="str">
        <f t="shared" si="27"/>
        <v>BOTHA</v>
      </c>
      <c r="D154" s="2" t="s">
        <v>2776</v>
      </c>
      <c r="E154" s="12" t="str">
        <f t="shared" si="28"/>
        <v>Christoffel Jacobus Theunis</v>
      </c>
      <c r="F154" s="2" t="s">
        <v>1142</v>
      </c>
      <c r="G154" s="12" t="str">
        <f t="shared" si="29"/>
        <v>a1b1c7d2e9</v>
      </c>
      <c r="H154" s="12" t="str">
        <f t="shared" si="30"/>
        <v>BOTHAa1b1c7d2e9</v>
      </c>
      <c r="K154" s="12" t="str">
        <f t="shared" si="31"/>
        <v/>
      </c>
      <c r="M154" s="2" t="s">
        <v>1143</v>
      </c>
      <c r="N154" s="12" t="str">
        <f t="shared" si="24"/>
        <v/>
      </c>
      <c r="O154" s="12" t="str">
        <f t="shared" si="25"/>
        <v>1790</v>
      </c>
      <c r="Q154" s="12" t="str">
        <f t="shared" si="32"/>
        <v>1790</v>
      </c>
      <c r="R154" s="12" t="s">
        <v>1144</v>
      </c>
      <c r="S154" s="12" t="str">
        <f t="shared" si="33"/>
        <v>1871</v>
      </c>
      <c r="T154" s="2" t="s">
        <v>199</v>
      </c>
      <c r="U154" s="2" t="s">
        <v>203</v>
      </c>
      <c r="V154" s="12" t="str">
        <f t="shared" si="34"/>
        <v>1817</v>
      </c>
      <c r="W154" s="2" t="s">
        <v>1145</v>
      </c>
      <c r="X154" s="2" t="s">
        <v>656</v>
      </c>
      <c r="Y154" s="2" t="s">
        <v>1146</v>
      </c>
      <c r="AF154" s="2" t="s">
        <v>3705</v>
      </c>
      <c r="AG154" s="2" t="s">
        <v>68</v>
      </c>
      <c r="AI154" s="12" t="str">
        <f t="shared" si="35"/>
        <v/>
      </c>
      <c r="AK154" s="2" t="s">
        <v>422</v>
      </c>
    </row>
    <row r="155" spans="1:69">
      <c r="A155" s="12" t="s">
        <v>655</v>
      </c>
      <c r="B155" s="12" t="str">
        <f t="shared" si="26"/>
        <v>BOTHA</v>
      </c>
      <c r="C155" s="12" t="str">
        <f t="shared" si="27"/>
        <v>BOTHA</v>
      </c>
      <c r="D155" s="2" t="s">
        <v>1345</v>
      </c>
      <c r="E155" s="12" t="str">
        <f t="shared" si="28"/>
        <v>Philip Rudolph</v>
      </c>
      <c r="F155" s="2" t="s">
        <v>1360</v>
      </c>
      <c r="G155" s="12" t="str">
        <f t="shared" si="29"/>
        <v>a1b1c7d2e9f3</v>
      </c>
      <c r="H155" s="12" t="str">
        <f t="shared" si="30"/>
        <v>BOTHAa1b1c7d2e9f3</v>
      </c>
      <c r="J155" s="2" t="s">
        <v>1361</v>
      </c>
      <c r="K155" s="12" t="str">
        <f t="shared" si="31"/>
        <v>1821</v>
      </c>
      <c r="L155" s="2" t="s">
        <v>53</v>
      </c>
      <c r="M155" s="2" t="s">
        <v>1362</v>
      </c>
      <c r="N155" s="12" t="str">
        <f t="shared" si="24"/>
        <v>1821</v>
      </c>
      <c r="O155" s="12" t="str">
        <f t="shared" si="25"/>
        <v>1821</v>
      </c>
      <c r="Q155" s="12" t="str">
        <f t="shared" si="32"/>
        <v>1821</v>
      </c>
      <c r="S155" s="12" t="str">
        <f t="shared" si="33"/>
        <v/>
      </c>
      <c r="V155" s="12" t="str">
        <f t="shared" si="34"/>
        <v/>
      </c>
      <c r="AF155" s="2" t="s">
        <v>3705</v>
      </c>
      <c r="AG155" s="2" t="s">
        <v>68</v>
      </c>
      <c r="AH155" s="2" t="s">
        <v>385</v>
      </c>
      <c r="AK155" s="2" t="s">
        <v>90</v>
      </c>
    </row>
    <row r="156" spans="1:69">
      <c r="A156" s="12" t="s">
        <v>655</v>
      </c>
      <c r="B156" s="12" t="str">
        <f t="shared" si="26"/>
        <v>BOTHA</v>
      </c>
      <c r="C156" s="12" t="str">
        <f t="shared" si="27"/>
        <v>BOTHA</v>
      </c>
      <c r="D156" s="2" t="s">
        <v>1427</v>
      </c>
      <c r="E156" s="12" t="str">
        <f t="shared" si="28"/>
        <v>Theunis Gerhardus</v>
      </c>
      <c r="F156" s="2" t="s">
        <v>1428</v>
      </c>
      <c r="G156" s="12" t="str">
        <f t="shared" si="29"/>
        <v>a1b1c7d8e6</v>
      </c>
      <c r="H156" s="12" t="str">
        <f t="shared" si="30"/>
        <v>BOTHAa1b1c7d8e6</v>
      </c>
      <c r="K156" s="12" t="str">
        <f t="shared" si="31"/>
        <v/>
      </c>
      <c r="M156" s="2" t="s">
        <v>1429</v>
      </c>
      <c r="N156" s="12" t="str">
        <f t="shared" si="24"/>
        <v/>
      </c>
      <c r="O156" s="12" t="str">
        <f t="shared" si="25"/>
        <v>1804</v>
      </c>
      <c r="P156" s="2" t="s">
        <v>51</v>
      </c>
      <c r="Q156" s="12" t="str">
        <f t="shared" si="32"/>
        <v>1804</v>
      </c>
      <c r="R156" s="2" t="s">
        <v>1430</v>
      </c>
      <c r="S156" s="12" t="str">
        <f t="shared" si="33"/>
        <v>1867</v>
      </c>
      <c r="T156" s="2" t="s">
        <v>28</v>
      </c>
      <c r="U156" s="2" t="s">
        <v>1431</v>
      </c>
      <c r="V156" s="12" t="str">
        <f t="shared" si="34"/>
        <v>1821</v>
      </c>
      <c r="W156" s="2" t="s">
        <v>1432</v>
      </c>
      <c r="X156" s="2" t="s">
        <v>1433</v>
      </c>
      <c r="Y156" s="2" t="s">
        <v>925</v>
      </c>
      <c r="AC156" s="2" t="s">
        <v>1429</v>
      </c>
      <c r="AF156" s="2" t="s">
        <v>3699</v>
      </c>
      <c r="AG156" s="2" t="s">
        <v>68</v>
      </c>
      <c r="AH156" s="2" t="s">
        <v>1172</v>
      </c>
      <c r="AI156" s="12" t="str">
        <f t="shared" si="35"/>
        <v>1837</v>
      </c>
      <c r="AJ156" s="2" t="s">
        <v>1434</v>
      </c>
    </row>
    <row r="157" spans="1:69">
      <c r="A157" s="12" t="s">
        <v>655</v>
      </c>
      <c r="B157" s="12" t="str">
        <f t="shared" si="26"/>
        <v>BOTHA</v>
      </c>
      <c r="C157" s="12" t="str">
        <f t="shared" si="27"/>
        <v>BOTHA</v>
      </c>
      <c r="D157" s="12" t="s">
        <v>1180</v>
      </c>
      <c r="E157" s="12" t="str">
        <f t="shared" si="28"/>
        <v>Frederik Willem Jacobus</v>
      </c>
      <c r="F157" s="12" t="s">
        <v>1181</v>
      </c>
      <c r="G157" s="12" t="str">
        <f t="shared" si="29"/>
        <v>a1b2c4d1e1f2g2</v>
      </c>
      <c r="H157" s="12" t="str">
        <f t="shared" si="30"/>
        <v>BOTHAa1b2c4d1e1f2g2</v>
      </c>
      <c r="I157" s="12"/>
      <c r="J157" s="12" t="s">
        <v>1182</v>
      </c>
      <c r="K157" s="12" t="str">
        <f t="shared" si="31"/>
        <v>1824</v>
      </c>
      <c r="L157" s="12" t="s">
        <v>53</v>
      </c>
      <c r="M157" s="12" t="s">
        <v>1183</v>
      </c>
      <c r="N157" s="12" t="str">
        <f t="shared" si="24"/>
        <v>1824</v>
      </c>
      <c r="O157" s="12" t="str">
        <f t="shared" si="25"/>
        <v>1825</v>
      </c>
      <c r="P157" s="12"/>
      <c r="Q157" s="12" t="str">
        <f t="shared" si="32"/>
        <v>1824</v>
      </c>
      <c r="R157" s="12"/>
      <c r="S157" s="12" t="str">
        <f t="shared" si="33"/>
        <v/>
      </c>
      <c r="T157" s="12"/>
      <c r="U157" s="12"/>
      <c r="V157" s="12" t="str">
        <f t="shared" si="34"/>
        <v/>
      </c>
      <c r="W157" s="12"/>
      <c r="X157" s="12"/>
      <c r="Y157" s="12"/>
      <c r="Z157" s="12"/>
      <c r="AA157" s="12"/>
      <c r="AB157" s="12"/>
      <c r="AC157" s="12"/>
      <c r="AD157" s="12"/>
      <c r="AE157" s="12"/>
      <c r="AF157" s="12" t="s">
        <v>16</v>
      </c>
      <c r="AG157" s="12" t="s">
        <v>68</v>
      </c>
      <c r="AH157" s="12">
        <v>1836</v>
      </c>
      <c r="AI157" s="12" t="str">
        <f t="shared" si="35"/>
        <v>1836</v>
      </c>
      <c r="AJ157" s="12" t="s">
        <v>379</v>
      </c>
      <c r="AK157" s="12" t="s">
        <v>155</v>
      </c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</row>
    <row r="158" spans="1:69">
      <c r="A158" s="2" t="s">
        <v>655</v>
      </c>
      <c r="B158" s="12" t="str">
        <f t="shared" si="26"/>
        <v>BOTHA</v>
      </c>
      <c r="C158" s="12" t="str">
        <f t="shared" si="27"/>
        <v>BOTHA</v>
      </c>
      <c r="D158" s="2" t="s">
        <v>1371</v>
      </c>
      <c r="E158" s="12" t="str">
        <f t="shared" si="28"/>
        <v xml:space="preserve">Pieter Johannes </v>
      </c>
      <c r="F158" s="2" t="s">
        <v>1372</v>
      </c>
      <c r="G158" s="12" t="str">
        <f t="shared" si="29"/>
        <v>a1b2c4d1e2f9</v>
      </c>
      <c r="H158" s="12" t="str">
        <f t="shared" si="30"/>
        <v>BOTHAa1b2c4d1e2f9</v>
      </c>
      <c r="K158" s="12" t="str">
        <f t="shared" si="31"/>
        <v/>
      </c>
      <c r="M158" s="2" t="s">
        <v>268</v>
      </c>
      <c r="N158" s="12" t="str">
        <f t="shared" si="24"/>
        <v/>
      </c>
      <c r="O158" s="12" t="str">
        <f t="shared" si="25"/>
        <v>1806</v>
      </c>
      <c r="Q158" s="12" t="str">
        <f t="shared" si="32"/>
        <v>1806</v>
      </c>
      <c r="S158" s="12" t="str">
        <f t="shared" si="33"/>
        <v/>
      </c>
      <c r="T158" s="2" t="s">
        <v>28</v>
      </c>
      <c r="U158" s="2" t="s">
        <v>1379</v>
      </c>
      <c r="V158" s="12" t="str">
        <f t="shared" si="34"/>
        <v>1827</v>
      </c>
      <c r="W158" s="2" t="s">
        <v>1380</v>
      </c>
      <c r="X158" s="2" t="s">
        <v>1381</v>
      </c>
      <c r="AF158" s="2" t="s">
        <v>3699</v>
      </c>
      <c r="AG158" s="2" t="s">
        <v>68</v>
      </c>
      <c r="AH158" s="2">
        <v>1840</v>
      </c>
      <c r="AI158" s="12" t="str">
        <f t="shared" si="35"/>
        <v>1840</v>
      </c>
      <c r="AK158" s="2" t="s">
        <v>140</v>
      </c>
    </row>
    <row r="159" spans="1:69">
      <c r="A159" s="2" t="s">
        <v>655</v>
      </c>
      <c r="B159" s="12" t="str">
        <f t="shared" si="26"/>
        <v>BOTHA</v>
      </c>
      <c r="C159" s="12" t="str">
        <f t="shared" si="27"/>
        <v>BOTHA</v>
      </c>
      <c r="D159" s="2" t="s">
        <v>1312</v>
      </c>
      <c r="E159" s="12" t="str">
        <f t="shared" si="28"/>
        <v>Paul Stephanus</v>
      </c>
      <c r="F159" s="2" t="s">
        <v>1313</v>
      </c>
      <c r="G159" s="12" t="str">
        <f t="shared" si="29"/>
        <v>a1b2c4d3e6f3</v>
      </c>
      <c r="H159" s="12" t="str">
        <f t="shared" si="30"/>
        <v>BOTHAa1b2c4d3e6f3</v>
      </c>
      <c r="K159" s="12" t="str">
        <f t="shared" si="31"/>
        <v/>
      </c>
      <c r="M159" s="2" t="s">
        <v>1314</v>
      </c>
      <c r="N159" s="12" t="str">
        <f t="shared" si="24"/>
        <v/>
      </c>
      <c r="O159" s="12" t="str">
        <f t="shared" si="25"/>
        <v>1811</v>
      </c>
      <c r="P159" s="2" t="s">
        <v>1315</v>
      </c>
      <c r="Q159" s="12" t="str">
        <f t="shared" si="32"/>
        <v>1811</v>
      </c>
      <c r="R159" s="2" t="s">
        <v>1316</v>
      </c>
      <c r="S159" s="12" t="str">
        <f t="shared" si="33"/>
        <v>1888</v>
      </c>
      <c r="V159" s="12" t="str">
        <f t="shared" si="34"/>
        <v/>
      </c>
      <c r="W159" s="2" t="s">
        <v>752</v>
      </c>
      <c r="X159" s="2" t="s">
        <v>726</v>
      </c>
      <c r="AD159" s="2" t="s">
        <v>1317</v>
      </c>
      <c r="AE159" s="2" t="s">
        <v>1318</v>
      </c>
      <c r="AG159" s="2" t="s">
        <v>68</v>
      </c>
      <c r="AI159" s="12" t="str">
        <f t="shared" si="35"/>
        <v/>
      </c>
      <c r="AK159" s="2" t="s">
        <v>1315</v>
      </c>
      <c r="AN159" s="2" t="s">
        <v>1319</v>
      </c>
      <c r="AO159" s="2" t="s">
        <v>1320</v>
      </c>
      <c r="AY159" s="2" t="s">
        <v>1321</v>
      </c>
      <c r="AZ159" s="2" t="s">
        <v>1167</v>
      </c>
      <c r="BB159" s="2" t="s">
        <v>1322</v>
      </c>
    </row>
    <row r="160" spans="1:69">
      <c r="A160" s="2" t="s">
        <v>655</v>
      </c>
      <c r="B160" s="12" t="str">
        <f t="shared" si="26"/>
        <v>BOTHA</v>
      </c>
      <c r="C160" s="12" t="str">
        <f t="shared" si="27"/>
        <v>BOTHA</v>
      </c>
      <c r="D160" s="2" t="s">
        <v>1204</v>
      </c>
      <c r="E160" s="12" t="str">
        <f t="shared" si="28"/>
        <v xml:space="preserve">Jacobus </v>
      </c>
      <c r="F160" s="2" t="s">
        <v>1205</v>
      </c>
      <c r="G160" s="12" t="str">
        <f t="shared" si="29"/>
        <v>a1b2c9d3e10</v>
      </c>
      <c r="H160" s="12" t="str">
        <f t="shared" si="30"/>
        <v>BOTHAa1b2c9d3e10</v>
      </c>
      <c r="K160" s="12" t="str">
        <f t="shared" si="31"/>
        <v/>
      </c>
      <c r="L160" s="2" t="s">
        <v>1071</v>
      </c>
      <c r="M160" s="2" t="s">
        <v>77</v>
      </c>
      <c r="N160" s="12" t="str">
        <f t="shared" si="24"/>
        <v/>
      </c>
      <c r="O160" s="12" t="str">
        <f t="shared" si="25"/>
        <v>1805</v>
      </c>
      <c r="P160" s="2" t="s">
        <v>1017</v>
      </c>
      <c r="Q160" s="12" t="str">
        <f t="shared" si="32"/>
        <v>1805</v>
      </c>
      <c r="R160" s="2" t="s">
        <v>1206</v>
      </c>
      <c r="S160" s="12" t="str">
        <f t="shared" si="33"/>
        <v>1880</v>
      </c>
      <c r="T160" s="2" t="s">
        <v>53</v>
      </c>
      <c r="U160" s="2" t="s">
        <v>1207</v>
      </c>
      <c r="V160" s="12" t="str">
        <f t="shared" si="34"/>
        <v>1829</v>
      </c>
      <c r="W160" s="2" t="s">
        <v>1208</v>
      </c>
      <c r="X160" s="2" t="s">
        <v>1209</v>
      </c>
      <c r="Y160" s="2" t="s">
        <v>1210</v>
      </c>
      <c r="AC160" s="2" t="s">
        <v>1211</v>
      </c>
      <c r="AG160" s="2" t="s">
        <v>53</v>
      </c>
      <c r="AH160" s="2">
        <v>1840</v>
      </c>
      <c r="AI160" s="12" t="str">
        <f t="shared" si="35"/>
        <v>1840</v>
      </c>
      <c r="AK160" s="2" t="s">
        <v>190</v>
      </c>
    </row>
    <row r="161" spans="1:70">
      <c r="A161" s="2" t="s">
        <v>655</v>
      </c>
      <c r="B161" s="12" t="str">
        <f t="shared" si="26"/>
        <v>BOTHA</v>
      </c>
      <c r="C161" s="12" t="str">
        <f t="shared" si="27"/>
        <v>BOTHA</v>
      </c>
      <c r="D161" s="2" t="s">
        <v>30</v>
      </c>
      <c r="E161" s="12" t="str">
        <f t="shared" si="28"/>
        <v>Johannes</v>
      </c>
      <c r="F161" s="12" t="s">
        <v>1260</v>
      </c>
      <c r="G161" s="12" t="str">
        <f t="shared" si="29"/>
        <v>a1b2c9d3e13</v>
      </c>
      <c r="H161" s="12" t="str">
        <f t="shared" si="30"/>
        <v>BOTHAa1b2c9d3e13</v>
      </c>
      <c r="J161" s="2" t="s">
        <v>1261</v>
      </c>
      <c r="K161" s="12" t="str">
        <f t="shared" si="31"/>
        <v>1812</v>
      </c>
      <c r="L161" s="2" t="s">
        <v>1071</v>
      </c>
      <c r="M161" s="2" t="s">
        <v>1262</v>
      </c>
      <c r="N161" s="12" t="str">
        <f t="shared" si="24"/>
        <v>1812</v>
      </c>
      <c r="O161" s="12" t="str">
        <f t="shared" si="25"/>
        <v>1814</v>
      </c>
      <c r="P161" s="2" t="s">
        <v>474</v>
      </c>
      <c r="Q161" s="12" t="str">
        <f t="shared" si="32"/>
        <v>1812</v>
      </c>
      <c r="R161" s="2" t="s">
        <v>301</v>
      </c>
      <c r="S161" s="12" t="str">
        <f t="shared" si="33"/>
        <v>1838</v>
      </c>
      <c r="T161" s="2" t="s">
        <v>68</v>
      </c>
      <c r="U161" s="2" t="s">
        <v>1263</v>
      </c>
      <c r="V161" s="12" t="str">
        <f t="shared" si="34"/>
        <v>1832</v>
      </c>
      <c r="W161" s="2" t="s">
        <v>1264</v>
      </c>
      <c r="X161" s="2" t="s">
        <v>1265</v>
      </c>
      <c r="Y161" s="2" t="s">
        <v>1266</v>
      </c>
      <c r="AB161" s="2" t="s">
        <v>74</v>
      </c>
      <c r="AC161" s="2" t="s">
        <v>1267</v>
      </c>
      <c r="AE161" s="2" t="s">
        <v>301</v>
      </c>
      <c r="AG161" s="2" t="s">
        <v>68</v>
      </c>
      <c r="AH161" s="2">
        <v>1837</v>
      </c>
      <c r="AI161" s="12" t="str">
        <f t="shared" si="35"/>
        <v>1837</v>
      </c>
      <c r="AJ161" s="2" t="s">
        <v>277</v>
      </c>
    </row>
    <row r="162" spans="1:70">
      <c r="A162" s="2" t="s">
        <v>655</v>
      </c>
      <c r="B162" s="12" t="str">
        <f t="shared" si="26"/>
        <v>BOTHA</v>
      </c>
      <c r="C162" s="12" t="str">
        <f t="shared" si="27"/>
        <v>BOTHA</v>
      </c>
      <c r="D162" s="2" t="s">
        <v>418</v>
      </c>
      <c r="E162" s="12" t="str">
        <f t="shared" si="28"/>
        <v>Frederik Jacobus</v>
      </c>
      <c r="F162" s="2" t="s">
        <v>1173</v>
      </c>
      <c r="G162" s="12" t="str">
        <f t="shared" si="29"/>
        <v>a1b2c9d8</v>
      </c>
      <c r="H162" s="12" t="str">
        <f t="shared" si="30"/>
        <v>BOTHAa1b2c9d8</v>
      </c>
      <c r="K162" s="12" t="str">
        <f t="shared" si="31"/>
        <v/>
      </c>
      <c r="M162" s="2" t="s">
        <v>1174</v>
      </c>
      <c r="N162" s="12" t="str">
        <f t="shared" si="24"/>
        <v/>
      </c>
      <c r="O162" s="12" t="str">
        <f t="shared" si="25"/>
        <v>1772</v>
      </c>
      <c r="Q162" s="12" t="str">
        <f t="shared" si="32"/>
        <v>1772</v>
      </c>
      <c r="S162" s="12" t="str">
        <f t="shared" si="33"/>
        <v/>
      </c>
      <c r="U162" s="2" t="s">
        <v>1175</v>
      </c>
      <c r="V162" s="12" t="str">
        <f t="shared" si="34"/>
        <v>1791</v>
      </c>
      <c r="W162" s="2" t="s">
        <v>1176</v>
      </c>
      <c r="X162" s="2" t="s">
        <v>1067</v>
      </c>
      <c r="AF162" s="2" t="s">
        <v>3699</v>
      </c>
      <c r="AG162" s="2" t="s">
        <v>68</v>
      </c>
      <c r="AH162" s="2" t="s">
        <v>1172</v>
      </c>
      <c r="AI162" s="12" t="str">
        <f t="shared" si="35"/>
        <v>1837</v>
      </c>
      <c r="AJ162" s="2" t="s">
        <v>379</v>
      </c>
      <c r="AK162" s="2" t="s">
        <v>140</v>
      </c>
    </row>
    <row r="163" spans="1:70">
      <c r="A163" s="12" t="s">
        <v>655</v>
      </c>
      <c r="B163" s="12" t="str">
        <f t="shared" si="26"/>
        <v>BOTHA</v>
      </c>
      <c r="C163" s="12" t="str">
        <f t="shared" si="27"/>
        <v>BOTHA</v>
      </c>
      <c r="D163" s="2" t="s">
        <v>1169</v>
      </c>
      <c r="E163" s="12" t="str">
        <f t="shared" si="28"/>
        <v>Frederik Christoffel</v>
      </c>
      <c r="F163" s="2" t="s">
        <v>1170</v>
      </c>
      <c r="G163" s="12" t="str">
        <f t="shared" si="29"/>
        <v>a1b2c9d8e4</v>
      </c>
      <c r="H163" s="12" t="str">
        <f t="shared" si="30"/>
        <v>BOTHAa1b2c9d8e4</v>
      </c>
      <c r="K163" s="12" t="str">
        <f t="shared" si="31"/>
        <v/>
      </c>
      <c r="M163" s="2" t="s">
        <v>1171</v>
      </c>
      <c r="N163" s="12" t="str">
        <f t="shared" si="24"/>
        <v/>
      </c>
      <c r="O163" s="12" t="str">
        <f t="shared" si="25"/>
        <v>1795</v>
      </c>
      <c r="Q163" s="12" t="str">
        <f t="shared" si="32"/>
        <v>1795</v>
      </c>
      <c r="S163" s="12" t="str">
        <f t="shared" si="33"/>
        <v/>
      </c>
      <c r="T163" s="2" t="s">
        <v>53</v>
      </c>
      <c r="U163" s="2" t="s">
        <v>1117</v>
      </c>
      <c r="V163" s="12" t="str">
        <f t="shared" si="34"/>
        <v>1818</v>
      </c>
      <c r="W163" s="2" t="s">
        <v>681</v>
      </c>
      <c r="X163" s="2" t="s">
        <v>698</v>
      </c>
      <c r="AF163" s="2" t="s">
        <v>3699</v>
      </c>
      <c r="AG163" s="2" t="s">
        <v>68</v>
      </c>
      <c r="AH163" s="2" t="s">
        <v>1172</v>
      </c>
      <c r="AI163" s="12" t="str">
        <f t="shared" si="35"/>
        <v>1837</v>
      </c>
      <c r="AJ163" s="2" t="s">
        <v>379</v>
      </c>
      <c r="AK163" s="2" t="s">
        <v>140</v>
      </c>
    </row>
    <row r="164" spans="1:70">
      <c r="A164" s="12" t="s">
        <v>655</v>
      </c>
      <c r="B164" s="12" t="str">
        <f t="shared" si="26"/>
        <v>BOTHA</v>
      </c>
      <c r="C164" s="12" t="str">
        <f t="shared" si="27"/>
        <v>BOTHA</v>
      </c>
      <c r="D164" s="2" t="s">
        <v>1363</v>
      </c>
      <c r="E164" s="12" t="str">
        <f t="shared" si="28"/>
        <v>Pieter Hendrik</v>
      </c>
      <c r="F164" s="2" t="s">
        <v>1364</v>
      </c>
      <c r="G164" s="12" t="str">
        <f t="shared" si="29"/>
        <v>a1b2c9d8e6</v>
      </c>
      <c r="H164" s="12" t="str">
        <f t="shared" si="30"/>
        <v>BOTHAa1b2c9d8e6</v>
      </c>
      <c r="J164" s="2" t="s">
        <v>1365</v>
      </c>
      <c r="K164" s="12" t="str">
        <f t="shared" si="31"/>
        <v>1799</v>
      </c>
      <c r="M164" s="2" t="s">
        <v>1366</v>
      </c>
      <c r="N164" s="12" t="str">
        <f t="shared" si="24"/>
        <v>1799</v>
      </c>
      <c r="O164" s="12" t="str">
        <f t="shared" si="25"/>
        <v>1800</v>
      </c>
      <c r="Q164" s="12" t="str">
        <f t="shared" si="32"/>
        <v>1799</v>
      </c>
      <c r="R164" s="2" t="s">
        <v>1367</v>
      </c>
      <c r="S164" s="12" t="str">
        <f t="shared" si="33"/>
        <v>1838</v>
      </c>
      <c r="T164" s="2" t="s">
        <v>53</v>
      </c>
      <c r="U164" s="2" t="s">
        <v>1368</v>
      </c>
      <c r="V164" s="12" t="str">
        <f t="shared" si="34"/>
        <v>1821</v>
      </c>
      <c r="W164" s="2" t="s">
        <v>742</v>
      </c>
      <c r="X164" s="2" t="s">
        <v>1369</v>
      </c>
      <c r="Y164" s="2" t="s">
        <v>1370</v>
      </c>
      <c r="AC164" s="2" t="s">
        <v>1288</v>
      </c>
      <c r="AF164" s="2" t="s">
        <v>3705</v>
      </c>
      <c r="AG164" s="2" t="s">
        <v>68</v>
      </c>
      <c r="AI164" s="12" t="str">
        <f t="shared" si="35"/>
        <v/>
      </c>
    </row>
    <row r="165" spans="1:70">
      <c r="A165" s="2" t="s">
        <v>655</v>
      </c>
      <c r="B165" s="12" t="str">
        <f t="shared" si="26"/>
        <v>BOTHA</v>
      </c>
      <c r="C165" s="12" t="str">
        <f t="shared" si="27"/>
        <v>BOTHA</v>
      </c>
      <c r="D165" s="2" t="s">
        <v>2777</v>
      </c>
      <c r="E165" s="12" t="str">
        <f t="shared" si="28"/>
        <v>David Adolph Michiel</v>
      </c>
      <c r="F165" s="2" t="s">
        <v>2778</v>
      </c>
      <c r="G165" s="12" t="str">
        <f t="shared" si="29"/>
        <v>a1b410d10e5</v>
      </c>
      <c r="H165" s="12" t="str">
        <f t="shared" si="30"/>
        <v>BOTHAa1b410d10e5</v>
      </c>
      <c r="K165" s="12" t="str">
        <f t="shared" si="31"/>
        <v/>
      </c>
      <c r="M165" s="2" t="s">
        <v>251</v>
      </c>
      <c r="N165" s="12" t="str">
        <f t="shared" si="24"/>
        <v/>
      </c>
      <c r="O165" s="12" t="str">
        <f t="shared" si="25"/>
        <v>1806</v>
      </c>
      <c r="P165" s="2" t="s">
        <v>1864</v>
      </c>
      <c r="Q165" s="12" t="str">
        <f t="shared" si="32"/>
        <v>1806</v>
      </c>
      <c r="R165" s="2" t="s">
        <v>2779</v>
      </c>
      <c r="S165" s="12" t="str">
        <f t="shared" si="33"/>
        <v>1879</v>
      </c>
      <c r="T165" s="2" t="s">
        <v>366</v>
      </c>
      <c r="U165" s="2" t="s">
        <v>2780</v>
      </c>
      <c r="V165" s="12" t="str">
        <f t="shared" si="34"/>
        <v>1825</v>
      </c>
      <c r="W165" s="2" t="s">
        <v>650</v>
      </c>
      <c r="X165" s="2" t="s">
        <v>1235</v>
      </c>
      <c r="AE165" s="2" t="s">
        <v>2781</v>
      </c>
      <c r="AG165" s="2" t="s">
        <v>199</v>
      </c>
      <c r="AH165" s="2">
        <v>1839</v>
      </c>
      <c r="AI165" s="12" t="str">
        <f t="shared" si="35"/>
        <v>1839</v>
      </c>
      <c r="AK165" s="2" t="s">
        <v>1864</v>
      </c>
    </row>
    <row r="166" spans="1:70">
      <c r="A166" s="12" t="s">
        <v>655</v>
      </c>
      <c r="B166" s="12" t="str">
        <f t="shared" si="26"/>
        <v>BOTHA</v>
      </c>
      <c r="C166" s="12" t="str">
        <f t="shared" si="27"/>
        <v>BOTHA</v>
      </c>
      <c r="D166" s="12" t="s">
        <v>201</v>
      </c>
      <c r="E166" s="12" t="str">
        <f t="shared" si="28"/>
        <v>Petrus Johannes</v>
      </c>
      <c r="F166" s="12" t="s">
        <v>1325</v>
      </c>
      <c r="G166" s="12" t="str">
        <f t="shared" si="29"/>
        <v>a1b4c10d11e1</v>
      </c>
      <c r="H166" s="12" t="str">
        <f t="shared" si="30"/>
        <v>BOTHAa1b4c10d11e1</v>
      </c>
      <c r="I166" s="12"/>
      <c r="J166" s="12"/>
      <c r="K166" s="12" t="str">
        <f t="shared" si="31"/>
        <v/>
      </c>
      <c r="L166" s="12"/>
      <c r="M166" s="12" t="s">
        <v>1326</v>
      </c>
      <c r="N166" s="12" t="str">
        <f t="shared" si="24"/>
        <v/>
      </c>
      <c r="O166" s="12" t="str">
        <f t="shared" si="25"/>
        <v>1797</v>
      </c>
      <c r="P166" s="12"/>
      <c r="Q166" s="12" t="str">
        <f t="shared" si="32"/>
        <v>1797</v>
      </c>
      <c r="R166" s="12" t="s">
        <v>1327</v>
      </c>
      <c r="S166" s="12" t="str">
        <f t="shared" si="33"/>
        <v>1852</v>
      </c>
      <c r="T166" s="12" t="s">
        <v>74</v>
      </c>
      <c r="U166" s="12" t="s">
        <v>1328</v>
      </c>
      <c r="V166" s="12" t="str">
        <f t="shared" si="34"/>
        <v>1816</v>
      </c>
      <c r="W166" s="12" t="s">
        <v>1329</v>
      </c>
      <c r="X166" s="12" t="s">
        <v>1330</v>
      </c>
      <c r="Y166" s="12"/>
      <c r="Z166" s="12"/>
      <c r="AA166" s="12"/>
      <c r="AB166" s="12"/>
      <c r="AC166" s="12"/>
      <c r="AD166" s="12"/>
      <c r="AE166" s="12">
        <v>1817</v>
      </c>
      <c r="AF166" s="12"/>
      <c r="AG166" s="12" t="s">
        <v>60</v>
      </c>
      <c r="AH166" s="12"/>
      <c r="AI166" s="12" t="str">
        <f t="shared" si="35"/>
        <v/>
      </c>
      <c r="AJ166" s="12"/>
      <c r="AK166" s="12" t="s">
        <v>1335</v>
      </c>
      <c r="AL166" s="12" t="s">
        <v>74</v>
      </c>
      <c r="AM166" s="12" t="s">
        <v>1331</v>
      </c>
      <c r="AN166" s="12" t="s">
        <v>1332</v>
      </c>
      <c r="AO166" s="12" t="s">
        <v>637</v>
      </c>
      <c r="AP166" s="12"/>
      <c r="AQ166" s="12"/>
      <c r="AR166" s="12"/>
      <c r="AS166" s="12"/>
      <c r="AT166" s="12"/>
      <c r="AU166" s="12"/>
      <c r="AV166" s="12"/>
      <c r="AW166" s="12" t="s">
        <v>74</v>
      </c>
      <c r="AX166" s="12" t="s">
        <v>1333</v>
      </c>
      <c r="AY166" s="12" t="s">
        <v>1334</v>
      </c>
      <c r="AZ166" s="12" t="s">
        <v>637</v>
      </c>
      <c r="BA166" s="12"/>
      <c r="BB166" s="12"/>
      <c r="BC166" s="12"/>
      <c r="BD166" s="12"/>
      <c r="BE166" s="12"/>
      <c r="BF166" s="12"/>
      <c r="BG166" s="12"/>
    </row>
    <row r="167" spans="1:70">
      <c r="A167" s="2" t="s">
        <v>655</v>
      </c>
      <c r="B167" s="12" t="str">
        <f t="shared" si="26"/>
        <v>BOTHA</v>
      </c>
      <c r="C167" s="12" t="str">
        <f t="shared" si="27"/>
        <v>BOTHA</v>
      </c>
      <c r="D167" s="2" t="s">
        <v>1212</v>
      </c>
      <c r="E167" s="12" t="str">
        <f t="shared" si="28"/>
        <v>Jacobus Casparus</v>
      </c>
      <c r="F167" s="6" t="s">
        <v>1213</v>
      </c>
      <c r="G167" s="12" t="str">
        <f t="shared" si="29"/>
        <v>a1b4c9d1f3</v>
      </c>
      <c r="H167" s="12" t="str">
        <f t="shared" si="30"/>
        <v>BOTHAa1b4c9d1f3</v>
      </c>
      <c r="J167" s="2" t="s">
        <v>1214</v>
      </c>
      <c r="K167" s="12" t="str">
        <f t="shared" si="31"/>
        <v>1812</v>
      </c>
      <c r="L167" s="2" t="s">
        <v>199</v>
      </c>
      <c r="M167" s="2" t="s">
        <v>1215</v>
      </c>
      <c r="N167" s="12" t="str">
        <f t="shared" si="24"/>
        <v>1812</v>
      </c>
      <c r="O167" s="12" t="str">
        <f t="shared" si="25"/>
        <v>1813</v>
      </c>
      <c r="Q167" s="12" t="str">
        <f t="shared" si="32"/>
        <v>1812</v>
      </c>
      <c r="S167" s="12" t="str">
        <f t="shared" si="33"/>
        <v/>
      </c>
      <c r="T167" s="2" t="s">
        <v>199</v>
      </c>
      <c r="U167" s="2" t="s">
        <v>977</v>
      </c>
      <c r="V167" s="12" t="str">
        <f t="shared" si="34"/>
        <v>1834</v>
      </c>
      <c r="W167" s="2" t="s">
        <v>1216</v>
      </c>
      <c r="X167" s="2" t="s">
        <v>655</v>
      </c>
      <c r="Y167" s="2" t="s">
        <v>1217</v>
      </c>
      <c r="Z167" s="2" t="s">
        <v>199</v>
      </c>
      <c r="AA167" s="2" t="s">
        <v>1218</v>
      </c>
      <c r="AB167" s="2" t="s">
        <v>199</v>
      </c>
      <c r="AC167" s="2" t="s">
        <v>1219</v>
      </c>
      <c r="AD167" s="2" t="s">
        <v>51</v>
      </c>
      <c r="AG167" s="2" t="s">
        <v>199</v>
      </c>
      <c r="AH167" s="2" t="s">
        <v>1220</v>
      </c>
      <c r="AI167" s="12" t="str">
        <f t="shared" si="35"/>
        <v>1844</v>
      </c>
      <c r="AK167" s="2" t="s">
        <v>1221</v>
      </c>
    </row>
    <row r="168" spans="1:70">
      <c r="A168" s="2" t="s">
        <v>655</v>
      </c>
      <c r="B168" s="12" t="str">
        <f t="shared" si="26"/>
        <v>BOTHA</v>
      </c>
      <c r="C168" s="12" t="str">
        <f t="shared" si="27"/>
        <v>BOTHA</v>
      </c>
      <c r="D168" s="2" t="s">
        <v>1371</v>
      </c>
      <c r="E168" s="12" t="str">
        <f t="shared" si="28"/>
        <v xml:space="preserve">Pieter Johannes </v>
      </c>
      <c r="F168" s="2" t="s">
        <v>2787</v>
      </c>
      <c r="G168" s="12" t="str">
        <f t="shared" si="29"/>
        <v>a1b5c6d6e4</v>
      </c>
      <c r="H168" s="12" t="str">
        <f t="shared" si="30"/>
        <v>BOTHAa1b5c6d6e4</v>
      </c>
      <c r="J168" s="2" t="s">
        <v>2788</v>
      </c>
      <c r="K168" s="12" t="str">
        <f t="shared" si="31"/>
        <v>1812</v>
      </c>
      <c r="L168" s="2" t="s">
        <v>74</v>
      </c>
      <c r="M168" s="2" t="s">
        <v>2789</v>
      </c>
      <c r="N168" s="12" t="str">
        <f t="shared" si="24"/>
        <v>1812</v>
      </c>
      <c r="O168" s="12" t="str">
        <f t="shared" si="25"/>
        <v>1812</v>
      </c>
      <c r="P168" s="2" t="s">
        <v>1302</v>
      </c>
      <c r="Q168" s="12" t="str">
        <f t="shared" si="32"/>
        <v>1812</v>
      </c>
      <c r="R168" s="2" t="s">
        <v>1373</v>
      </c>
      <c r="S168" s="12" t="str">
        <f t="shared" si="33"/>
        <v>1836</v>
      </c>
      <c r="T168" s="2" t="s">
        <v>28</v>
      </c>
      <c r="U168" s="2" t="s">
        <v>1374</v>
      </c>
      <c r="V168" s="12" t="str">
        <f t="shared" si="34"/>
        <v>1832</v>
      </c>
      <c r="W168" s="2" t="s">
        <v>1375</v>
      </c>
      <c r="X168" s="2" t="s">
        <v>726</v>
      </c>
      <c r="Y168" s="2" t="s">
        <v>1376</v>
      </c>
      <c r="AA168" s="2" t="s">
        <v>1377</v>
      </c>
      <c r="AF168" s="2" t="s">
        <v>3699</v>
      </c>
      <c r="AG168" s="2" t="s">
        <v>68</v>
      </c>
      <c r="AH168" s="2">
        <v>1835</v>
      </c>
      <c r="AI168" s="12" t="str">
        <f t="shared" si="35"/>
        <v>1835</v>
      </c>
      <c r="AJ168" s="2" t="s">
        <v>379</v>
      </c>
      <c r="BQ168" s="2" t="s">
        <v>1378</v>
      </c>
    </row>
    <row r="169" spans="1:70">
      <c r="A169" s="2" t="s">
        <v>655</v>
      </c>
      <c r="B169" s="12" t="str">
        <f t="shared" si="26"/>
        <v>BOTHA</v>
      </c>
      <c r="C169" s="12" t="str">
        <f t="shared" si="27"/>
        <v>BOTHA</v>
      </c>
      <c r="D169" s="2" t="s">
        <v>1426</v>
      </c>
      <c r="E169" s="12" t="str">
        <f t="shared" si="28"/>
        <v>Schalk Jacobus</v>
      </c>
      <c r="F169" s="2" t="s">
        <v>1421</v>
      </c>
      <c r="G169" s="12" t="str">
        <f t="shared" si="29"/>
        <v>a1b5c9d1e11</v>
      </c>
      <c r="H169" s="12" t="str">
        <f t="shared" si="30"/>
        <v>BOTHAa1b5c9d1e11</v>
      </c>
      <c r="J169" s="2" t="s">
        <v>1422</v>
      </c>
      <c r="K169" s="12" t="str">
        <f t="shared" si="31"/>
        <v>1811</v>
      </c>
      <c r="L169" s="2" t="s">
        <v>74</v>
      </c>
      <c r="M169" s="2" t="s">
        <v>1423</v>
      </c>
      <c r="N169" s="12" t="str">
        <f t="shared" si="24"/>
        <v>1811</v>
      </c>
      <c r="O169" s="12" t="str">
        <f t="shared" si="25"/>
        <v>1811</v>
      </c>
      <c r="Q169" s="12" t="str">
        <f t="shared" si="32"/>
        <v>1811</v>
      </c>
      <c r="R169" s="2">
        <v>1833</v>
      </c>
      <c r="S169" s="12" t="str">
        <f t="shared" si="33"/>
        <v>1833</v>
      </c>
      <c r="T169" s="2" t="s">
        <v>74</v>
      </c>
      <c r="U169" s="2" t="s">
        <v>1424</v>
      </c>
      <c r="V169" s="12" t="str">
        <f t="shared" si="34"/>
        <v>1834</v>
      </c>
      <c r="W169" s="2" t="s">
        <v>649</v>
      </c>
      <c r="X169" s="2" t="s">
        <v>1425</v>
      </c>
      <c r="AG169" s="2" t="s">
        <v>74</v>
      </c>
      <c r="AH169" s="2">
        <v>1841</v>
      </c>
      <c r="AI169" s="12" t="str">
        <f t="shared" si="35"/>
        <v>1841</v>
      </c>
    </row>
    <row r="170" spans="1:70">
      <c r="A170" s="2" t="s">
        <v>655</v>
      </c>
      <c r="B170" s="12" t="str">
        <f t="shared" si="26"/>
        <v>BOTHA</v>
      </c>
      <c r="C170" s="12" t="str">
        <f t="shared" si="27"/>
        <v>BOTHA</v>
      </c>
      <c r="D170" s="2" t="s">
        <v>1396</v>
      </c>
      <c r="E170" s="12" t="str">
        <f t="shared" si="28"/>
        <v>Roelof Schalk</v>
      </c>
      <c r="F170" s="2" t="s">
        <v>1397</v>
      </c>
      <c r="G170" s="12" t="str">
        <f t="shared" si="29"/>
        <v>a1b5c9d1e1f4</v>
      </c>
      <c r="H170" s="12" t="str">
        <f t="shared" si="30"/>
        <v>BOTHAa1b5c9d1e1f4</v>
      </c>
      <c r="J170" s="2" t="s">
        <v>1398</v>
      </c>
      <c r="K170" s="12" t="str">
        <f t="shared" si="31"/>
        <v>1816</v>
      </c>
      <c r="L170" s="2" t="s">
        <v>74</v>
      </c>
      <c r="M170" s="2" t="s">
        <v>57</v>
      </c>
      <c r="N170" s="12" t="str">
        <f t="shared" si="24"/>
        <v>1816</v>
      </c>
      <c r="O170" s="12" t="str">
        <f t="shared" si="25"/>
        <v>1816</v>
      </c>
      <c r="P170" s="2" t="s">
        <v>474</v>
      </c>
      <c r="Q170" s="12" t="str">
        <f t="shared" si="32"/>
        <v>1816</v>
      </c>
      <c r="R170" s="2" t="s">
        <v>301</v>
      </c>
      <c r="S170" s="12" t="str">
        <f t="shared" si="33"/>
        <v>1838</v>
      </c>
      <c r="T170" s="2" t="s">
        <v>74</v>
      </c>
      <c r="U170" s="2" t="s">
        <v>1399</v>
      </c>
      <c r="V170" s="12" t="str">
        <f t="shared" si="34"/>
        <v>1836</v>
      </c>
      <c r="W170" s="2" t="s">
        <v>1400</v>
      </c>
      <c r="X170" s="2" t="s">
        <v>391</v>
      </c>
      <c r="Y170" s="2" t="s">
        <v>1401</v>
      </c>
      <c r="AA170" s="2" t="s">
        <v>1402</v>
      </c>
      <c r="AB170" s="2" t="s">
        <v>74</v>
      </c>
      <c r="AC170" s="2" t="s">
        <v>1403</v>
      </c>
      <c r="AD170" s="2" t="s">
        <v>474</v>
      </c>
      <c r="AE170" s="2" t="s">
        <v>301</v>
      </c>
      <c r="AG170" s="2" t="s">
        <v>74</v>
      </c>
      <c r="AH170" s="2" t="s">
        <v>1159</v>
      </c>
      <c r="AI170" s="12" t="str">
        <f t="shared" si="35"/>
        <v>1836</v>
      </c>
      <c r="AJ170" s="2" t="s">
        <v>1404</v>
      </c>
    </row>
    <row r="171" spans="1:70">
      <c r="A171" s="2" t="s">
        <v>1187</v>
      </c>
      <c r="B171" s="12" t="str">
        <f t="shared" si="26"/>
        <v>BOTHA</v>
      </c>
      <c r="C171" s="12" t="str">
        <f t="shared" si="27"/>
        <v>BOTHA</v>
      </c>
      <c r="D171" s="2" t="s">
        <v>201</v>
      </c>
      <c r="E171" s="12" t="str">
        <f t="shared" si="28"/>
        <v>Petrus Johannes</v>
      </c>
      <c r="F171" s="2" t="s">
        <v>1336</v>
      </c>
      <c r="G171" s="12" t="str">
        <f t="shared" si="29"/>
        <v>a1b1c4d9e3</v>
      </c>
      <c r="H171" s="12" t="str">
        <f t="shared" si="30"/>
        <v>BOTHAa1b1c4d9e3</v>
      </c>
      <c r="K171" s="12" t="str">
        <f t="shared" si="31"/>
        <v/>
      </c>
      <c r="M171" s="2" t="s">
        <v>1337</v>
      </c>
      <c r="N171" s="12" t="str">
        <f t="shared" si="24"/>
        <v/>
      </c>
      <c r="O171" s="12" t="str">
        <f t="shared" si="25"/>
        <v>1782</v>
      </c>
      <c r="P171" s="2" t="s">
        <v>51</v>
      </c>
      <c r="Q171" s="12" t="str">
        <f t="shared" si="32"/>
        <v>1782</v>
      </c>
      <c r="R171" s="2" t="s">
        <v>1338</v>
      </c>
      <c r="S171" s="12" t="str">
        <f t="shared" si="33"/>
        <v>1855</v>
      </c>
      <c r="U171" s="2" t="s">
        <v>1339</v>
      </c>
      <c r="V171" s="12" t="str">
        <f t="shared" si="34"/>
        <v>1801</v>
      </c>
      <c r="W171" s="2" t="s">
        <v>1216</v>
      </c>
      <c r="X171" s="2" t="s">
        <v>1340</v>
      </c>
      <c r="AG171" s="2" t="s">
        <v>199</v>
      </c>
      <c r="AH171" s="2">
        <v>1837</v>
      </c>
      <c r="AI171" s="12" t="str">
        <f t="shared" si="35"/>
        <v>1837</v>
      </c>
      <c r="AJ171" s="2" t="s">
        <v>1341</v>
      </c>
    </row>
    <row r="172" spans="1:70">
      <c r="A172" s="2" t="s">
        <v>1187</v>
      </c>
      <c r="B172" s="12" t="str">
        <f t="shared" si="26"/>
        <v>BOTHA</v>
      </c>
      <c r="C172" s="12" t="str">
        <f t="shared" si="27"/>
        <v>BOTHA</v>
      </c>
      <c r="D172" s="2" t="s">
        <v>1345</v>
      </c>
      <c r="E172" s="12" t="str">
        <f t="shared" si="28"/>
        <v>Philip Rudolph</v>
      </c>
      <c r="F172" s="2" t="s">
        <v>1346</v>
      </c>
      <c r="G172" s="12" t="str">
        <f t="shared" si="29"/>
        <v>a1b1c7d2e3f1</v>
      </c>
      <c r="H172" s="12" t="str">
        <f t="shared" si="30"/>
        <v>BOTHAa1b1c7d2e3f1</v>
      </c>
      <c r="K172" s="12" t="str">
        <f t="shared" si="31"/>
        <v/>
      </c>
      <c r="M172" s="2" t="s">
        <v>1347</v>
      </c>
      <c r="N172" s="12" t="str">
        <f t="shared" si="24"/>
        <v/>
      </c>
      <c r="O172" s="12" t="str">
        <f t="shared" si="25"/>
        <v>1800</v>
      </c>
      <c r="P172" s="2" t="s">
        <v>90</v>
      </c>
      <c r="Q172" s="12" t="str">
        <f t="shared" si="32"/>
        <v>1800</v>
      </c>
      <c r="R172" s="2" t="s">
        <v>1348</v>
      </c>
      <c r="S172" s="12" t="str">
        <f t="shared" si="33"/>
        <v>1875</v>
      </c>
      <c r="T172" s="2" t="s">
        <v>53</v>
      </c>
      <c r="U172" s="2" t="s">
        <v>1349</v>
      </c>
      <c r="V172" s="12" t="str">
        <f t="shared" si="34"/>
        <v>1822</v>
      </c>
      <c r="W172" s="2" t="s">
        <v>982</v>
      </c>
      <c r="X172" s="2" t="s">
        <v>698</v>
      </c>
      <c r="Y172" s="2" t="s">
        <v>1350</v>
      </c>
      <c r="AC172" s="2" t="s">
        <v>1351</v>
      </c>
      <c r="AF172" s="2" t="s">
        <v>3709</v>
      </c>
      <c r="AG172" s="2" t="s">
        <v>68</v>
      </c>
      <c r="AH172" s="2" t="s">
        <v>1357</v>
      </c>
      <c r="AI172" s="12" t="str">
        <f t="shared" si="35"/>
        <v>1837</v>
      </c>
      <c r="AJ172" s="2" t="s">
        <v>1358</v>
      </c>
      <c r="AM172" s="2" t="s">
        <v>1352</v>
      </c>
      <c r="AN172" s="2" t="s">
        <v>1353</v>
      </c>
      <c r="AO172" s="2" t="s">
        <v>756</v>
      </c>
      <c r="AP172" s="2" t="s">
        <v>1354</v>
      </c>
      <c r="AR172" s="2" t="s">
        <v>1355</v>
      </c>
      <c r="BQ172" s="2" t="s">
        <v>1356</v>
      </c>
      <c r="BR172" s="2" t="s">
        <v>235</v>
      </c>
    </row>
    <row r="173" spans="1:70">
      <c r="A173" s="2" t="s">
        <v>1187</v>
      </c>
      <c r="B173" s="12" t="str">
        <f t="shared" si="26"/>
        <v>BOTHA</v>
      </c>
      <c r="C173" s="12" t="str">
        <f t="shared" si="27"/>
        <v>BOTHA</v>
      </c>
      <c r="D173" s="2" t="s">
        <v>1477</v>
      </c>
      <c r="E173" s="12" t="str">
        <f t="shared" si="28"/>
        <v>Willem Frederik</v>
      </c>
      <c r="F173" s="2" t="s">
        <v>1478</v>
      </c>
      <c r="G173" s="12" t="str">
        <f t="shared" si="29"/>
        <v>a1b2c4d1e1f2</v>
      </c>
      <c r="H173" s="12" t="str">
        <f t="shared" si="30"/>
        <v>BOTHAa1b2c4d1e1f2</v>
      </c>
      <c r="K173" s="12" t="str">
        <f t="shared" si="31"/>
        <v/>
      </c>
      <c r="M173" s="2" t="s">
        <v>1479</v>
      </c>
      <c r="N173" s="12" t="str">
        <f t="shared" si="24"/>
        <v/>
      </c>
      <c r="O173" s="12" t="str">
        <f t="shared" si="25"/>
        <v>1791</v>
      </c>
      <c r="Q173" s="12" t="str">
        <f t="shared" si="32"/>
        <v>1791</v>
      </c>
      <c r="S173" s="12" t="str">
        <f t="shared" si="33"/>
        <v/>
      </c>
      <c r="T173" s="2" t="s">
        <v>53</v>
      </c>
      <c r="U173" s="2" t="s">
        <v>1480</v>
      </c>
      <c r="V173" s="12" t="str">
        <f t="shared" si="34"/>
        <v>1822</v>
      </c>
      <c r="W173" s="2" t="s">
        <v>1481</v>
      </c>
      <c r="X173" s="2" t="s">
        <v>655</v>
      </c>
      <c r="Y173" s="2" t="s">
        <v>1482</v>
      </c>
      <c r="AC173" s="2" t="s">
        <v>1483</v>
      </c>
      <c r="AF173" s="2" t="s">
        <v>16</v>
      </c>
      <c r="AG173" s="2" t="s">
        <v>68</v>
      </c>
      <c r="AH173" s="2">
        <v>1836</v>
      </c>
      <c r="AI173" s="12" t="str">
        <f t="shared" si="35"/>
        <v>1836</v>
      </c>
      <c r="AK173" s="2" t="s">
        <v>140</v>
      </c>
    </row>
    <row r="174" spans="1:70">
      <c r="A174" s="2" t="s">
        <v>1187</v>
      </c>
      <c r="B174" s="12" t="str">
        <f t="shared" si="26"/>
        <v>BOTHA</v>
      </c>
      <c r="C174" s="12" t="str">
        <f t="shared" si="27"/>
        <v>BOTHA</v>
      </c>
      <c r="D174" s="2" t="s">
        <v>1222</v>
      </c>
      <c r="E174" s="12" t="str">
        <f t="shared" si="28"/>
        <v>Jacobus Frederik</v>
      </c>
      <c r="F174" s="2" t="s">
        <v>1223</v>
      </c>
      <c r="G174" s="12" t="str">
        <f t="shared" si="29"/>
        <v>a1b2c4d1e2f10</v>
      </c>
      <c r="H174" s="12" t="str">
        <f t="shared" si="30"/>
        <v>BOTHAa1b2c4d1e2f10</v>
      </c>
      <c r="K174" s="12" t="str">
        <f t="shared" si="31"/>
        <v/>
      </c>
      <c r="M174" s="2" t="s">
        <v>1224</v>
      </c>
      <c r="N174" s="12" t="str">
        <f t="shared" si="24"/>
        <v/>
      </c>
      <c r="O174" s="12" t="str">
        <f t="shared" si="25"/>
        <v>1809</v>
      </c>
      <c r="Q174" s="12" t="str">
        <f t="shared" si="32"/>
        <v>1809</v>
      </c>
      <c r="S174" s="12" t="str">
        <f t="shared" si="33"/>
        <v/>
      </c>
      <c r="T174" s="2" t="s">
        <v>28</v>
      </c>
      <c r="U174" s="2" t="s">
        <v>1225</v>
      </c>
      <c r="V174" s="12" t="str">
        <f t="shared" si="34"/>
        <v>1830</v>
      </c>
      <c r="W174" s="2" t="s">
        <v>1226</v>
      </c>
      <c r="X174" s="2" t="s">
        <v>726</v>
      </c>
      <c r="Y174" s="2" t="s">
        <v>1227</v>
      </c>
      <c r="AA174" s="2" t="s">
        <v>1228</v>
      </c>
      <c r="AF174" s="2" t="s">
        <v>3699</v>
      </c>
      <c r="AG174" s="2" t="s">
        <v>68</v>
      </c>
      <c r="AH174" s="2">
        <v>1835</v>
      </c>
      <c r="AI174" s="12" t="str">
        <f t="shared" si="35"/>
        <v>1835</v>
      </c>
      <c r="AJ174" s="2" t="s">
        <v>379</v>
      </c>
      <c r="AK174" s="2" t="s">
        <v>140</v>
      </c>
      <c r="BQ174" s="2" t="s">
        <v>1229</v>
      </c>
    </row>
    <row r="175" spans="1:70">
      <c r="A175" s="2" t="s">
        <v>1187</v>
      </c>
      <c r="B175" s="12" t="str">
        <f t="shared" si="26"/>
        <v>BOTHA</v>
      </c>
      <c r="C175" s="12" t="str">
        <f t="shared" si="27"/>
        <v>BOTHA</v>
      </c>
      <c r="D175" s="2" t="s">
        <v>1245</v>
      </c>
      <c r="E175" s="12" t="str">
        <f t="shared" si="28"/>
        <v>Jan Valentyn</v>
      </c>
      <c r="F175" s="2" t="s">
        <v>1246</v>
      </c>
      <c r="G175" s="12" t="str">
        <f t="shared" si="29"/>
        <v>a1b2c4d5e2f2</v>
      </c>
      <c r="H175" s="12" t="str">
        <f t="shared" si="30"/>
        <v>BOTHAa1b2c4d5e2f2</v>
      </c>
      <c r="J175" s="2" t="s">
        <v>1247</v>
      </c>
      <c r="K175" s="12" t="str">
        <f t="shared" si="31"/>
        <v>1815</v>
      </c>
      <c r="M175" s="2" t="s">
        <v>74</v>
      </c>
      <c r="N175" s="12" t="str">
        <f t="shared" si="24"/>
        <v>1815</v>
      </c>
      <c r="O175" s="12" t="str">
        <f t="shared" si="25"/>
        <v>INET</v>
      </c>
      <c r="Q175" s="12" t="str">
        <f t="shared" si="32"/>
        <v>1815</v>
      </c>
      <c r="S175" s="12" t="str">
        <f t="shared" si="33"/>
        <v/>
      </c>
      <c r="T175" s="2" t="s">
        <v>28</v>
      </c>
      <c r="U175" s="2" t="s">
        <v>1248</v>
      </c>
      <c r="V175" s="12" t="str">
        <f t="shared" si="34"/>
        <v>1833</v>
      </c>
      <c r="W175" s="2" t="s">
        <v>1249</v>
      </c>
      <c r="X175" s="2" t="s">
        <v>655</v>
      </c>
      <c r="AF175" s="2" t="s">
        <v>3699</v>
      </c>
      <c r="AG175" s="2" t="s">
        <v>68</v>
      </c>
      <c r="AH175" s="2">
        <v>1835</v>
      </c>
      <c r="AI175" s="12" t="str">
        <f t="shared" si="35"/>
        <v>1835</v>
      </c>
      <c r="AJ175" s="2" t="s">
        <v>379</v>
      </c>
      <c r="AK175" s="2" t="s">
        <v>155</v>
      </c>
    </row>
    <row r="176" spans="1:70">
      <c r="A176" s="2" t="s">
        <v>1187</v>
      </c>
      <c r="B176" s="12" t="str">
        <f t="shared" si="26"/>
        <v>BOTHA</v>
      </c>
      <c r="C176" s="12" t="str">
        <f t="shared" si="27"/>
        <v>BOTHA</v>
      </c>
      <c r="D176" s="2" t="s">
        <v>1414</v>
      </c>
      <c r="E176" s="12" t="str">
        <f t="shared" si="28"/>
        <v>Salomon Petrus</v>
      </c>
      <c r="F176" s="2" t="s">
        <v>1415</v>
      </c>
      <c r="G176" s="12" t="str">
        <f t="shared" si="29"/>
        <v>a1b1c7d2e9f4</v>
      </c>
      <c r="H176" s="12" t="str">
        <f t="shared" si="30"/>
        <v>BOTHAa1b1c7d2e9f4</v>
      </c>
      <c r="J176" s="2" t="s">
        <v>1416</v>
      </c>
      <c r="K176" s="12" t="str">
        <f t="shared" si="31"/>
        <v>1823</v>
      </c>
      <c r="M176" s="2" t="s">
        <v>1417</v>
      </c>
      <c r="N176" s="12" t="str">
        <f t="shared" si="24"/>
        <v>1823</v>
      </c>
      <c r="O176" s="12" t="str">
        <f t="shared" si="25"/>
        <v>1824</v>
      </c>
      <c r="Q176" s="12" t="str">
        <f t="shared" si="32"/>
        <v>1823</v>
      </c>
      <c r="S176" s="12" t="str">
        <f t="shared" si="33"/>
        <v/>
      </c>
      <c r="T176" s="2" t="s">
        <v>168</v>
      </c>
      <c r="U176" s="2" t="s">
        <v>1418</v>
      </c>
      <c r="V176" s="12" t="str">
        <f t="shared" si="34"/>
        <v>1843</v>
      </c>
      <c r="W176" s="2" t="s">
        <v>1419</v>
      </c>
      <c r="X176" s="2" t="s">
        <v>669</v>
      </c>
      <c r="Y176" s="2" t="s">
        <v>1420</v>
      </c>
      <c r="AF176" s="2" t="s">
        <v>3705</v>
      </c>
      <c r="AG176" s="2" t="s">
        <v>68</v>
      </c>
      <c r="AI176" s="12" t="str">
        <f t="shared" si="35"/>
        <v/>
      </c>
      <c r="AK176" s="2" t="s">
        <v>155</v>
      </c>
    </row>
    <row r="177" spans="1:69">
      <c r="A177" s="12" t="s">
        <v>1187</v>
      </c>
      <c r="B177" s="12" t="str">
        <f t="shared" si="26"/>
        <v>BOTHA</v>
      </c>
      <c r="C177" s="12" t="str">
        <f t="shared" si="27"/>
        <v>BOTHA</v>
      </c>
      <c r="D177" s="2" t="s">
        <v>1250</v>
      </c>
      <c r="E177" s="12" t="str">
        <f t="shared" si="28"/>
        <v>Johan Hendrik</v>
      </c>
      <c r="F177" s="2" t="s">
        <v>1256</v>
      </c>
      <c r="G177" s="12" t="str">
        <f t="shared" si="29"/>
        <v>a1b1c7d9e9f2</v>
      </c>
      <c r="H177" s="12" t="str">
        <f t="shared" si="30"/>
        <v>BOTHAa1b1c7d9e9f2</v>
      </c>
      <c r="J177" s="2" t="s">
        <v>1257</v>
      </c>
      <c r="K177" s="12" t="str">
        <f t="shared" si="31"/>
        <v>1823</v>
      </c>
      <c r="L177" s="2" t="s">
        <v>28</v>
      </c>
      <c r="M177" s="2" t="s">
        <v>1258</v>
      </c>
      <c r="N177" s="12" t="str">
        <f t="shared" si="24"/>
        <v>1823</v>
      </c>
      <c r="O177" s="12" t="str">
        <f t="shared" si="25"/>
        <v>1823</v>
      </c>
      <c r="Q177" s="12" t="str">
        <f t="shared" si="32"/>
        <v>1823</v>
      </c>
      <c r="S177" s="12" t="str">
        <f t="shared" si="33"/>
        <v/>
      </c>
      <c r="T177" s="2" t="s">
        <v>1043</v>
      </c>
      <c r="U177" s="2" t="s">
        <v>1044</v>
      </c>
      <c r="V177" s="12" t="str">
        <f t="shared" si="34"/>
        <v>1840</v>
      </c>
      <c r="W177" s="2" t="s">
        <v>1259</v>
      </c>
      <c r="X177" s="2" t="s">
        <v>788</v>
      </c>
      <c r="AF177" s="2" t="s">
        <v>3699</v>
      </c>
      <c r="AG177" s="2" t="s">
        <v>68</v>
      </c>
      <c r="AH177" s="2">
        <v>1835</v>
      </c>
      <c r="AI177" s="12" t="str">
        <f t="shared" si="35"/>
        <v>1835</v>
      </c>
      <c r="AJ177" s="2" t="s">
        <v>379</v>
      </c>
      <c r="AK177" s="2" t="s">
        <v>140</v>
      </c>
    </row>
    <row r="178" spans="1:69">
      <c r="A178" s="12" t="s">
        <v>1187</v>
      </c>
      <c r="B178" s="12" t="str">
        <f t="shared" si="26"/>
        <v>BOTHA</v>
      </c>
      <c r="C178" s="12" t="str">
        <f t="shared" si="27"/>
        <v>BOTHA</v>
      </c>
      <c r="D178" s="2" t="s">
        <v>1188</v>
      </c>
      <c r="E178" s="12" t="str">
        <f t="shared" si="28"/>
        <v>Hendrik Petrus</v>
      </c>
      <c r="F178" s="2" t="s">
        <v>1189</v>
      </c>
      <c r="G178" s="12" t="str">
        <f t="shared" si="29"/>
        <v>a1b2c4d5e2f1</v>
      </c>
      <c r="H178" s="12" t="str">
        <f t="shared" si="30"/>
        <v>BOTHAa1b2c4d5e2f1</v>
      </c>
      <c r="J178" s="2" t="s">
        <v>1190</v>
      </c>
      <c r="K178" s="12" t="str">
        <f t="shared" si="31"/>
        <v>1813</v>
      </c>
      <c r="L178" s="2" t="s">
        <v>74</v>
      </c>
      <c r="M178" s="2" t="s">
        <v>1191</v>
      </c>
      <c r="N178" s="12" t="str">
        <f t="shared" si="24"/>
        <v>1813</v>
      </c>
      <c r="O178" s="12" t="str">
        <f t="shared" si="25"/>
        <v>1814</v>
      </c>
      <c r="Q178" s="12" t="str">
        <f t="shared" si="32"/>
        <v>1813</v>
      </c>
      <c r="S178" s="12" t="str">
        <f t="shared" si="33"/>
        <v/>
      </c>
      <c r="T178" s="2" t="s">
        <v>28</v>
      </c>
      <c r="U178" s="2" t="s">
        <v>1192</v>
      </c>
      <c r="V178" s="12" t="str">
        <f t="shared" si="34"/>
        <v>1834</v>
      </c>
      <c r="W178" s="2" t="s">
        <v>1193</v>
      </c>
      <c r="X178" s="2" t="s">
        <v>776</v>
      </c>
      <c r="Y178" s="2" t="s">
        <v>1194</v>
      </c>
      <c r="AA178" s="2" t="s">
        <v>1195</v>
      </c>
      <c r="AG178" s="2" t="s">
        <v>28</v>
      </c>
      <c r="AI178" s="12" t="str">
        <f t="shared" si="35"/>
        <v/>
      </c>
      <c r="AK178" s="2" t="s">
        <v>1196</v>
      </c>
    </row>
    <row r="179" spans="1:69">
      <c r="A179" s="12" t="s">
        <v>1503</v>
      </c>
      <c r="B179" s="12" t="str">
        <f t="shared" si="26"/>
        <v>BOTHAM</v>
      </c>
      <c r="C179" s="12" t="str">
        <f t="shared" si="27"/>
        <v>BOTHAM</v>
      </c>
      <c r="D179" s="12" t="s">
        <v>1496</v>
      </c>
      <c r="E179" s="12" t="str">
        <f t="shared" si="28"/>
        <v>Abraham Carel</v>
      </c>
      <c r="F179" s="12" t="s">
        <v>1504</v>
      </c>
      <c r="G179" s="12" t="str">
        <f t="shared" si="29"/>
        <v>a1b5c3d10e8f5</v>
      </c>
      <c r="H179" s="12" t="str">
        <f t="shared" si="30"/>
        <v>BOTHAMa1b5c3d10e8f5</v>
      </c>
      <c r="I179" s="12"/>
      <c r="J179" s="12" t="s">
        <v>1505</v>
      </c>
      <c r="K179" s="12" t="str">
        <f t="shared" si="31"/>
        <v>1813</v>
      </c>
      <c r="L179" s="12" t="s">
        <v>74</v>
      </c>
      <c r="M179" s="12" t="s">
        <v>365</v>
      </c>
      <c r="N179" s="12" t="str">
        <f t="shared" si="24"/>
        <v>1813</v>
      </c>
      <c r="O179" s="12" t="str">
        <f t="shared" si="25"/>
        <v>1814</v>
      </c>
      <c r="P179" s="12" t="s">
        <v>31</v>
      </c>
      <c r="Q179" s="12" t="str">
        <f t="shared" si="32"/>
        <v>1813</v>
      </c>
      <c r="R179" s="12" t="s">
        <v>1506</v>
      </c>
      <c r="S179" s="12" t="str">
        <f t="shared" si="33"/>
        <v>1853</v>
      </c>
      <c r="T179" s="12" t="s">
        <v>68</v>
      </c>
      <c r="U179" s="12" t="s">
        <v>1507</v>
      </c>
      <c r="V179" s="12" t="str">
        <f t="shared" si="34"/>
        <v>1831</v>
      </c>
      <c r="W179" s="12" t="s">
        <v>1508</v>
      </c>
      <c r="X179" s="12" t="s">
        <v>655</v>
      </c>
      <c r="Y179" s="12"/>
      <c r="Z179" s="12"/>
      <c r="AA179" s="12"/>
      <c r="AB179" s="12"/>
      <c r="AC179" s="12"/>
      <c r="AD179" s="12"/>
      <c r="AE179" s="12"/>
      <c r="AF179" s="12" t="s">
        <v>3699</v>
      </c>
      <c r="AG179" s="12" t="s">
        <v>68</v>
      </c>
      <c r="AH179" s="12" t="s">
        <v>1509</v>
      </c>
      <c r="AI179" s="12" t="str">
        <f t="shared" si="35"/>
        <v>1840</v>
      </c>
      <c r="AJ179" s="12"/>
      <c r="AK179" s="12" t="s">
        <v>31</v>
      </c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</row>
    <row r="180" spans="1:69">
      <c r="A180" s="2" t="s">
        <v>1495</v>
      </c>
      <c r="B180" s="12" t="str">
        <f t="shared" si="26"/>
        <v>BOTHMA</v>
      </c>
      <c r="C180" s="12" t="str">
        <f t="shared" si="27"/>
        <v>BOTHMA</v>
      </c>
      <c r="D180" s="2" t="s">
        <v>1533</v>
      </c>
      <c r="E180" s="12" t="str">
        <f t="shared" si="28"/>
        <v>Cornelis Stephanus</v>
      </c>
      <c r="F180" s="2" t="s">
        <v>1534</v>
      </c>
      <c r="G180" s="12" t="str">
        <f t="shared" si="29"/>
        <v>a1b5c3d10e1f1</v>
      </c>
      <c r="H180" s="12" t="str">
        <f t="shared" si="30"/>
        <v>BOTHMAa1b5c3d10e1f1</v>
      </c>
      <c r="K180" s="12" t="str">
        <f t="shared" si="31"/>
        <v/>
      </c>
      <c r="M180" s="2" t="s">
        <v>1535</v>
      </c>
      <c r="N180" s="12" t="str">
        <f t="shared" si="24"/>
        <v/>
      </c>
      <c r="O180" s="12" t="str">
        <f t="shared" si="25"/>
        <v>1792</v>
      </c>
      <c r="Q180" s="12" t="str">
        <f t="shared" si="32"/>
        <v>1792</v>
      </c>
      <c r="S180" s="12" t="str">
        <f t="shared" si="33"/>
        <v/>
      </c>
      <c r="T180" s="2" t="s">
        <v>74</v>
      </c>
      <c r="U180" s="2" t="s">
        <v>1536</v>
      </c>
      <c r="V180" s="12" t="str">
        <f t="shared" si="34"/>
        <v>1818</v>
      </c>
      <c r="W180" s="2" t="s">
        <v>1537</v>
      </c>
      <c r="AD180" s="2" t="s">
        <v>1538</v>
      </c>
      <c r="AE180" s="2" t="s">
        <v>1539</v>
      </c>
      <c r="AF180" s="2" t="s">
        <v>3720</v>
      </c>
      <c r="AG180" s="2" t="s">
        <v>68</v>
      </c>
      <c r="AH180" s="2" t="s">
        <v>215</v>
      </c>
      <c r="AI180" s="12" t="str">
        <f t="shared" si="35"/>
        <v>1837</v>
      </c>
    </row>
    <row r="181" spans="1:69">
      <c r="A181" s="2" t="s">
        <v>1495</v>
      </c>
      <c r="B181" s="12" t="str">
        <f t="shared" si="26"/>
        <v>BOTHMA</v>
      </c>
      <c r="C181" s="12" t="str">
        <f t="shared" si="27"/>
        <v>BOTHMA</v>
      </c>
      <c r="D181" s="2" t="s">
        <v>1527</v>
      </c>
      <c r="E181" s="12" t="str">
        <f t="shared" si="28"/>
        <v>Cornelis Christoffel</v>
      </c>
      <c r="F181" s="2" t="s">
        <v>1528</v>
      </c>
      <c r="G181" s="12" t="str">
        <f t="shared" si="29"/>
        <v>a1b5c3d10e2f4</v>
      </c>
      <c r="H181" s="12" t="str">
        <f t="shared" si="30"/>
        <v>BOTHMAa1b5c3d10e2f4</v>
      </c>
      <c r="K181" s="12" t="str">
        <f t="shared" si="31"/>
        <v/>
      </c>
      <c r="M181" s="2" t="s">
        <v>1529</v>
      </c>
      <c r="N181" s="12" t="str">
        <f t="shared" si="24"/>
        <v/>
      </c>
      <c r="O181" s="12" t="str">
        <f t="shared" si="25"/>
        <v>1797</v>
      </c>
      <c r="P181" s="2" t="s">
        <v>24</v>
      </c>
      <c r="Q181" s="12" t="str">
        <f t="shared" si="32"/>
        <v>1797</v>
      </c>
      <c r="R181" s="2" t="s">
        <v>1530</v>
      </c>
      <c r="S181" s="12" t="str">
        <f t="shared" si="33"/>
        <v>1868</v>
      </c>
      <c r="T181" s="2" t="s">
        <v>74</v>
      </c>
      <c r="U181" s="2" t="s">
        <v>1531</v>
      </c>
      <c r="V181" s="12" t="str">
        <f t="shared" si="34"/>
        <v>1816</v>
      </c>
      <c r="W181" s="2" t="s">
        <v>1532</v>
      </c>
      <c r="AF181" s="2" t="s">
        <v>3719</v>
      </c>
      <c r="AG181" s="2" t="s">
        <v>68</v>
      </c>
      <c r="AI181" s="12" t="str">
        <f t="shared" si="35"/>
        <v/>
      </c>
    </row>
    <row r="182" spans="1:69">
      <c r="A182" s="2" t="s">
        <v>1495</v>
      </c>
      <c r="B182" s="12" t="str">
        <f t="shared" si="26"/>
        <v>BOTHMA</v>
      </c>
      <c r="C182" s="12" t="str">
        <f t="shared" si="27"/>
        <v>BOTHMA</v>
      </c>
      <c r="D182" s="2" t="s">
        <v>1496</v>
      </c>
      <c r="E182" s="12" t="str">
        <f t="shared" si="28"/>
        <v>Abraham Carel</v>
      </c>
      <c r="F182" s="2" t="s">
        <v>1497</v>
      </c>
      <c r="G182" s="12" t="str">
        <f t="shared" si="29"/>
        <v>a1b5c3d10e2f5</v>
      </c>
      <c r="H182" s="12" t="str">
        <f t="shared" si="30"/>
        <v>BOTHMAa1b5c3d10e2f5</v>
      </c>
      <c r="K182" s="12" t="str">
        <f t="shared" si="31"/>
        <v/>
      </c>
      <c r="M182" s="2" t="s">
        <v>212</v>
      </c>
      <c r="N182" s="12" t="str">
        <f t="shared" si="24"/>
        <v/>
      </c>
      <c r="O182" s="12" t="str">
        <f t="shared" si="25"/>
        <v>1801</v>
      </c>
      <c r="P182" s="2" t="s">
        <v>474</v>
      </c>
      <c r="Q182" s="12" t="str">
        <f t="shared" si="32"/>
        <v>1801</v>
      </c>
      <c r="R182" s="2" t="s">
        <v>301</v>
      </c>
      <c r="S182" s="12" t="str">
        <f t="shared" si="33"/>
        <v>1838</v>
      </c>
      <c r="T182" s="2" t="s">
        <v>28</v>
      </c>
      <c r="U182" s="2" t="s">
        <v>383</v>
      </c>
      <c r="V182" s="12" t="str">
        <f t="shared" si="34"/>
        <v>1822</v>
      </c>
      <c r="W182" s="2" t="s">
        <v>1498</v>
      </c>
      <c r="X182" s="2" t="s">
        <v>1265</v>
      </c>
      <c r="Y182" s="2" t="s">
        <v>1499</v>
      </c>
      <c r="AC182" s="2" t="s">
        <v>1500</v>
      </c>
      <c r="AD182" s="2" t="s">
        <v>1501</v>
      </c>
      <c r="AE182" s="2" t="s">
        <v>301</v>
      </c>
      <c r="AF182" s="2" t="s">
        <v>3709</v>
      </c>
      <c r="AG182" s="2" t="s">
        <v>68</v>
      </c>
      <c r="AH182" s="2">
        <v>1837</v>
      </c>
      <c r="AI182" s="12" t="str">
        <f t="shared" si="35"/>
        <v>1837</v>
      </c>
      <c r="AJ182" s="2" t="s">
        <v>1502</v>
      </c>
    </row>
    <row r="183" spans="1:69">
      <c r="A183" s="2" t="s">
        <v>1495</v>
      </c>
      <c r="B183" s="12" t="str">
        <f t="shared" si="26"/>
        <v>BOTHMA</v>
      </c>
      <c r="C183" s="12" t="str">
        <f t="shared" si="27"/>
        <v>BOTHMA</v>
      </c>
      <c r="D183" s="2" t="s">
        <v>1543</v>
      </c>
      <c r="E183" s="12" t="str">
        <f t="shared" si="28"/>
        <v>Jan Daniel</v>
      </c>
      <c r="F183" s="2" t="s">
        <v>1544</v>
      </c>
      <c r="G183" s="12" t="str">
        <f t="shared" si="29"/>
        <v>a1b5c3d10e2f8</v>
      </c>
      <c r="H183" s="12" t="str">
        <f t="shared" si="30"/>
        <v>BOTHMAa1b5c3d10e2f8</v>
      </c>
      <c r="I183" s="2" t="s">
        <v>1545</v>
      </c>
      <c r="J183" s="2" t="s">
        <v>1546</v>
      </c>
      <c r="K183" s="12" t="str">
        <f t="shared" si="31"/>
        <v>1807</v>
      </c>
      <c r="M183" s="2" t="s">
        <v>1451</v>
      </c>
      <c r="N183" s="12" t="str">
        <f t="shared" si="24"/>
        <v>1807</v>
      </c>
      <c r="O183" s="12" t="str">
        <f t="shared" si="25"/>
        <v>1807</v>
      </c>
      <c r="P183" s="2" t="s">
        <v>1547</v>
      </c>
      <c r="Q183" s="12" t="str">
        <f t="shared" si="32"/>
        <v>1807</v>
      </c>
      <c r="R183" s="2" t="s">
        <v>1548</v>
      </c>
      <c r="S183" s="12" t="str">
        <f t="shared" si="33"/>
        <v>1871</v>
      </c>
      <c r="V183" s="12" t="str">
        <f t="shared" si="34"/>
        <v/>
      </c>
      <c r="W183" s="2" t="s">
        <v>1549</v>
      </c>
      <c r="X183" s="2" t="s">
        <v>701</v>
      </c>
      <c r="AF183" s="2" t="s">
        <v>3709</v>
      </c>
      <c r="AG183" s="2" t="s">
        <v>68</v>
      </c>
      <c r="AH183" s="2">
        <v>1840</v>
      </c>
      <c r="AI183" s="12" t="str">
        <f t="shared" si="35"/>
        <v>1840</v>
      </c>
      <c r="AN183" s="2" t="s">
        <v>1550</v>
      </c>
      <c r="AO183" s="2" t="s">
        <v>667</v>
      </c>
    </row>
    <row r="184" spans="1:69">
      <c r="A184" s="2" t="s">
        <v>1495</v>
      </c>
      <c r="B184" s="12" t="str">
        <f t="shared" si="26"/>
        <v>BOTHMA</v>
      </c>
      <c r="C184" s="12" t="str">
        <f t="shared" si="27"/>
        <v>BOTHMA</v>
      </c>
      <c r="D184" s="2" t="s">
        <v>1540</v>
      </c>
      <c r="E184" s="12" t="str">
        <f t="shared" si="28"/>
        <v>Gerhardus Cornelis</v>
      </c>
      <c r="F184" s="2" t="s">
        <v>1541</v>
      </c>
      <c r="G184" s="12" t="str">
        <f t="shared" si="29"/>
        <v>a1b5c3d10e4f2</v>
      </c>
      <c r="H184" s="12" t="str">
        <f t="shared" si="30"/>
        <v>BOTHMAa1b5c3d10e4f2</v>
      </c>
      <c r="K184" s="12" t="str">
        <f t="shared" si="31"/>
        <v/>
      </c>
      <c r="M184" s="2" t="s">
        <v>212</v>
      </c>
      <c r="N184" s="12" t="str">
        <f t="shared" si="24"/>
        <v/>
      </c>
      <c r="O184" s="12" t="str">
        <f t="shared" si="25"/>
        <v>1801</v>
      </c>
      <c r="P184" s="2" t="s">
        <v>71</v>
      </c>
      <c r="Q184" s="12" t="str">
        <f t="shared" si="32"/>
        <v>1801</v>
      </c>
      <c r="R184" s="2" t="s">
        <v>72</v>
      </c>
      <c r="S184" s="12" t="str">
        <f t="shared" si="33"/>
        <v>1838</v>
      </c>
      <c r="V184" s="12" t="str">
        <f t="shared" si="34"/>
        <v/>
      </c>
      <c r="AF184" s="2" t="s">
        <v>3709</v>
      </c>
      <c r="AG184" s="2" t="s">
        <v>68</v>
      </c>
      <c r="AH184" s="2" t="s">
        <v>1542</v>
      </c>
      <c r="AI184" s="12" t="str">
        <f t="shared" si="35"/>
        <v>1837</v>
      </c>
      <c r="AJ184" s="2" t="s">
        <v>1502</v>
      </c>
      <c r="AR184" s="12"/>
    </row>
    <row r="185" spans="1:69">
      <c r="A185" s="2" t="s">
        <v>1495</v>
      </c>
      <c r="B185" s="12" t="str">
        <f t="shared" si="26"/>
        <v>BOTHMA</v>
      </c>
      <c r="C185" s="12" t="str">
        <f t="shared" si="27"/>
        <v>BOTHMA</v>
      </c>
      <c r="D185" s="2" t="s">
        <v>521</v>
      </c>
      <c r="E185" s="12" t="str">
        <f t="shared" si="28"/>
        <v>Petrus Gerhardus</v>
      </c>
      <c r="F185" s="2" t="s">
        <v>1568</v>
      </c>
      <c r="G185" s="12" t="str">
        <f t="shared" si="29"/>
        <v>a1b5c3d10e7</v>
      </c>
      <c r="H185" s="12" t="str">
        <f t="shared" si="30"/>
        <v>BOTHMAa1b5c3d10e7</v>
      </c>
      <c r="J185" s="2" t="s">
        <v>1569</v>
      </c>
      <c r="K185" s="12" t="str">
        <f t="shared" si="31"/>
        <v>1781</v>
      </c>
      <c r="M185" s="2" t="s">
        <v>1570</v>
      </c>
      <c r="N185" s="12" t="str">
        <f t="shared" si="24"/>
        <v>1781</v>
      </c>
      <c r="O185" s="12" t="str">
        <f t="shared" si="25"/>
        <v>1782</v>
      </c>
      <c r="P185" s="2" t="s">
        <v>51</v>
      </c>
      <c r="Q185" s="12" t="str">
        <f t="shared" si="32"/>
        <v>1781</v>
      </c>
      <c r="R185" s="2" t="s">
        <v>1571</v>
      </c>
      <c r="S185" s="12" t="str">
        <f t="shared" si="33"/>
        <v>1864</v>
      </c>
      <c r="T185" s="2" t="s">
        <v>48</v>
      </c>
      <c r="U185" s="2" t="s">
        <v>1572</v>
      </c>
      <c r="V185" s="12" t="str">
        <f t="shared" si="34"/>
        <v>1801</v>
      </c>
      <c r="W185" s="2" t="s">
        <v>648</v>
      </c>
      <c r="X185" s="2" t="s">
        <v>1573</v>
      </c>
      <c r="AF185" s="2" t="s">
        <v>3719</v>
      </c>
      <c r="AG185" s="2" t="s">
        <v>68</v>
      </c>
      <c r="AH185" s="2">
        <v>1840</v>
      </c>
      <c r="AI185" s="12" t="str">
        <f t="shared" si="35"/>
        <v>1840</v>
      </c>
      <c r="AN185" s="2" t="s">
        <v>764</v>
      </c>
      <c r="AO185" s="2" t="s">
        <v>1299</v>
      </c>
      <c r="BQ185" s="2" t="s">
        <v>1574</v>
      </c>
    </row>
    <row r="186" spans="1:69">
      <c r="A186" s="2" t="s">
        <v>1495</v>
      </c>
      <c r="B186" s="12" t="str">
        <f t="shared" si="26"/>
        <v>BOTHMA</v>
      </c>
      <c r="C186" s="12" t="str">
        <f t="shared" si="27"/>
        <v>BOTHMA</v>
      </c>
      <c r="D186" s="2" t="s">
        <v>1518</v>
      </c>
      <c r="E186" s="12" t="str">
        <f t="shared" si="28"/>
        <v>Cornelis Arnoldus</v>
      </c>
      <c r="F186" s="2" t="s">
        <v>1519</v>
      </c>
      <c r="G186" s="12" t="str">
        <f t="shared" si="29"/>
        <v>a1b5c3d10e7f1</v>
      </c>
      <c r="H186" s="12" t="str">
        <f t="shared" si="30"/>
        <v>BOTHMAa1b5c3d10e7f1</v>
      </c>
      <c r="J186" s="2" t="s">
        <v>1520</v>
      </c>
      <c r="K186" s="12" t="str">
        <f t="shared" si="31"/>
        <v>1802</v>
      </c>
      <c r="L186" s="2" t="s">
        <v>542</v>
      </c>
      <c r="M186" s="2" t="s">
        <v>1521</v>
      </c>
      <c r="N186" s="12" t="str">
        <f t="shared" si="24"/>
        <v>1802</v>
      </c>
      <c r="O186" s="12" t="str">
        <f t="shared" si="25"/>
        <v>1804</v>
      </c>
      <c r="Q186" s="12" t="str">
        <f t="shared" si="32"/>
        <v>1802</v>
      </c>
      <c r="S186" s="12" t="str">
        <f t="shared" si="33"/>
        <v/>
      </c>
      <c r="T186" s="2" t="s">
        <v>1385</v>
      </c>
      <c r="U186" s="2" t="s">
        <v>1522</v>
      </c>
      <c r="V186" s="12" t="str">
        <f t="shared" si="34"/>
        <v>1823</v>
      </c>
      <c r="W186" s="2" t="s">
        <v>1523</v>
      </c>
      <c r="X186" s="2" t="s">
        <v>295</v>
      </c>
      <c r="Y186" s="2" t="s">
        <v>1524</v>
      </c>
      <c r="AC186" s="2" t="s">
        <v>1525</v>
      </c>
      <c r="AF186" s="2" t="s">
        <v>3719</v>
      </c>
      <c r="AG186" s="2" t="s">
        <v>68</v>
      </c>
      <c r="AH186" s="2" t="s">
        <v>1526</v>
      </c>
      <c r="AI186" s="12" t="str">
        <f t="shared" si="35"/>
        <v>1841</v>
      </c>
      <c r="AK186" s="2" t="s">
        <v>90</v>
      </c>
    </row>
    <row r="187" spans="1:69">
      <c r="A187" s="2" t="s">
        <v>1495</v>
      </c>
      <c r="B187" s="12" t="str">
        <f t="shared" si="26"/>
        <v>BOTHMA</v>
      </c>
      <c r="C187" s="12" t="str">
        <f t="shared" si="27"/>
        <v>BOTHMA</v>
      </c>
      <c r="D187" s="2" t="s">
        <v>1575</v>
      </c>
      <c r="E187" s="12" t="str">
        <f t="shared" si="28"/>
        <v>Pieter Gerhardus</v>
      </c>
      <c r="F187" s="2" t="s">
        <v>1576</v>
      </c>
      <c r="G187" s="12" t="str">
        <f t="shared" si="29"/>
        <v>a1b5c3d10e7f3</v>
      </c>
      <c r="H187" s="12" t="str">
        <f t="shared" si="30"/>
        <v>BOTHMAa1b5c3d10e7f3</v>
      </c>
      <c r="K187" s="12" t="str">
        <f t="shared" si="31"/>
        <v/>
      </c>
      <c r="M187" s="2" t="s">
        <v>1577</v>
      </c>
      <c r="N187" s="12" t="str">
        <f t="shared" si="24"/>
        <v/>
      </c>
      <c r="O187" s="12" t="str">
        <f t="shared" si="25"/>
        <v>1808</v>
      </c>
      <c r="Q187" s="12" t="str">
        <f t="shared" si="32"/>
        <v>1808</v>
      </c>
      <c r="S187" s="12" t="str">
        <f t="shared" si="33"/>
        <v/>
      </c>
      <c r="V187" s="12" t="str">
        <f t="shared" si="34"/>
        <v/>
      </c>
      <c r="W187" s="2" t="s">
        <v>1291</v>
      </c>
      <c r="X187" s="2" t="s">
        <v>1578</v>
      </c>
      <c r="Y187" s="2" t="s">
        <v>1579</v>
      </c>
      <c r="AF187" s="2" t="s">
        <v>3719</v>
      </c>
      <c r="AG187" s="2" t="s">
        <v>68</v>
      </c>
      <c r="AH187" s="2">
        <v>1840</v>
      </c>
      <c r="AI187" s="12" t="str">
        <f t="shared" si="35"/>
        <v>1840</v>
      </c>
    </row>
    <row r="188" spans="1:69">
      <c r="A188" s="2" t="s">
        <v>1495</v>
      </c>
      <c r="B188" s="12" t="str">
        <f t="shared" si="26"/>
        <v>BOTHMA</v>
      </c>
      <c r="C188" s="12" t="str">
        <f t="shared" si="27"/>
        <v>BOTHMA</v>
      </c>
      <c r="D188" s="2" t="s">
        <v>1551</v>
      </c>
      <c r="E188" s="12" t="str">
        <f t="shared" si="28"/>
        <v>Lodewyk</v>
      </c>
      <c r="F188" s="2" t="s">
        <v>1552</v>
      </c>
      <c r="G188" s="12" t="str">
        <f t="shared" si="29"/>
        <v>a1b5c3d11</v>
      </c>
      <c r="H188" s="12" t="str">
        <f t="shared" si="30"/>
        <v>BOTHMAa1b5c3d11</v>
      </c>
      <c r="K188" s="12" t="str">
        <f t="shared" si="31"/>
        <v/>
      </c>
      <c r="M188" s="2" t="s">
        <v>1553</v>
      </c>
      <c r="N188" s="12" t="str">
        <f t="shared" si="24"/>
        <v/>
      </c>
      <c r="O188" s="12" t="str">
        <f t="shared" si="25"/>
        <v>1746</v>
      </c>
      <c r="P188" s="2" t="s">
        <v>474</v>
      </c>
      <c r="Q188" s="12" t="str">
        <f t="shared" si="32"/>
        <v>1746</v>
      </c>
      <c r="R188" s="2" t="s">
        <v>301</v>
      </c>
      <c r="S188" s="12" t="str">
        <f t="shared" si="33"/>
        <v>1838</v>
      </c>
      <c r="U188" s="2" t="s">
        <v>1554</v>
      </c>
      <c r="V188" s="12" t="str">
        <f t="shared" si="34"/>
        <v>1786</v>
      </c>
      <c r="W188" s="2" t="s">
        <v>684</v>
      </c>
      <c r="X188" s="2" t="s">
        <v>1555</v>
      </c>
      <c r="AI188" s="12" t="str">
        <f t="shared" si="35"/>
        <v/>
      </c>
      <c r="BQ188" s="2" t="s">
        <v>1556</v>
      </c>
    </row>
    <row r="189" spans="1:69">
      <c r="A189" s="2" t="s">
        <v>1495</v>
      </c>
      <c r="B189" s="12" t="str">
        <f t="shared" si="26"/>
        <v>BOTHMA</v>
      </c>
      <c r="C189" s="12" t="str">
        <f t="shared" si="27"/>
        <v>BOTHMA</v>
      </c>
      <c r="D189" s="2" t="s">
        <v>1565</v>
      </c>
      <c r="E189" s="12" t="str">
        <f t="shared" si="28"/>
        <v>Lodewyk Nicolaas</v>
      </c>
      <c r="F189" s="2" t="s">
        <v>1566</v>
      </c>
      <c r="G189" s="12" t="str">
        <f t="shared" si="29"/>
        <v>a1b5c3d11e3</v>
      </c>
      <c r="H189" s="12" t="str">
        <f t="shared" si="30"/>
        <v>BOTHMAa1b5c3d11e3</v>
      </c>
      <c r="K189" s="12" t="str">
        <f t="shared" si="31"/>
        <v/>
      </c>
      <c r="M189" s="2" t="s">
        <v>1567</v>
      </c>
      <c r="N189" s="12" t="str">
        <f t="shared" si="24"/>
        <v/>
      </c>
      <c r="O189" s="12" t="str">
        <f t="shared" si="25"/>
        <v>1791</v>
      </c>
      <c r="P189" s="2" t="s">
        <v>474</v>
      </c>
      <c r="Q189" s="12" t="str">
        <f t="shared" si="32"/>
        <v>1791</v>
      </c>
      <c r="S189" s="12" t="str">
        <f t="shared" si="33"/>
        <v/>
      </c>
      <c r="V189" s="12" t="str">
        <f t="shared" si="34"/>
        <v/>
      </c>
      <c r="AI189" s="12" t="str">
        <f t="shared" si="35"/>
        <v/>
      </c>
    </row>
    <row r="190" spans="1:69">
      <c r="A190" s="2" t="s">
        <v>1495</v>
      </c>
      <c r="B190" s="12" t="str">
        <f t="shared" si="26"/>
        <v>BOTHMA</v>
      </c>
      <c r="C190" s="12" t="str">
        <f t="shared" si="27"/>
        <v>BOTHMA</v>
      </c>
      <c r="D190" s="2" t="s">
        <v>1551</v>
      </c>
      <c r="E190" s="12" t="str">
        <f t="shared" si="28"/>
        <v>Lodewyk</v>
      </c>
      <c r="F190" s="2" t="s">
        <v>1557</v>
      </c>
      <c r="G190" s="12" t="str">
        <f t="shared" si="29"/>
        <v>a1b5c3d4e4f11</v>
      </c>
      <c r="H190" s="12" t="str">
        <f t="shared" si="30"/>
        <v>BOTHMAa1b5c3d4e4f11</v>
      </c>
      <c r="J190" s="2" t="s">
        <v>1558</v>
      </c>
      <c r="K190" s="12" t="str">
        <f t="shared" si="31"/>
        <v>1802</v>
      </c>
      <c r="L190" s="2" t="s">
        <v>542</v>
      </c>
      <c r="M190" s="2" t="s">
        <v>1559</v>
      </c>
      <c r="N190" s="12" t="str">
        <f t="shared" si="24"/>
        <v>1802</v>
      </c>
      <c r="O190" s="12" t="str">
        <f t="shared" si="25"/>
        <v>1802</v>
      </c>
      <c r="Q190" s="12" t="str">
        <f t="shared" si="32"/>
        <v>1802</v>
      </c>
      <c r="S190" s="12" t="str">
        <f t="shared" si="33"/>
        <v/>
      </c>
      <c r="T190" s="2" t="s">
        <v>395</v>
      </c>
      <c r="U190" s="2" t="s">
        <v>1560</v>
      </c>
      <c r="V190" s="12" t="str">
        <f t="shared" si="34"/>
        <v>1821</v>
      </c>
      <c r="W190" s="2" t="s">
        <v>1561</v>
      </c>
      <c r="X190" s="2" t="s">
        <v>1562</v>
      </c>
      <c r="AG190" s="2" t="s">
        <v>395</v>
      </c>
      <c r="AI190" s="12" t="str">
        <f t="shared" si="35"/>
        <v/>
      </c>
      <c r="AK190" s="2" t="s">
        <v>155</v>
      </c>
      <c r="AL190" s="2" t="s">
        <v>395</v>
      </c>
      <c r="AM190" s="2" t="s">
        <v>1563</v>
      </c>
      <c r="AN190" s="2" t="s">
        <v>1564</v>
      </c>
      <c r="AO190" s="2" t="s">
        <v>1151</v>
      </c>
    </row>
    <row r="191" spans="1:69">
      <c r="A191" s="2" t="s">
        <v>1495</v>
      </c>
      <c r="B191" s="12" t="str">
        <f t="shared" si="26"/>
        <v>BOTHMA</v>
      </c>
      <c r="C191" s="12" t="str">
        <f t="shared" si="27"/>
        <v>BOTHMA</v>
      </c>
      <c r="D191" s="2" t="s">
        <v>1510</v>
      </c>
      <c r="E191" s="12" t="str">
        <f t="shared" si="28"/>
        <v>Christiaan Petrus</v>
      </c>
      <c r="F191" s="2" t="s">
        <v>1511</v>
      </c>
      <c r="G191" s="12" t="str">
        <f t="shared" si="29"/>
        <v>a1b5c3d4e7f1</v>
      </c>
      <c r="H191" s="12" t="str">
        <f t="shared" si="30"/>
        <v>BOTHMAa1b5c3d4e7f1</v>
      </c>
      <c r="J191" s="2" t="s">
        <v>1512</v>
      </c>
      <c r="K191" s="12" t="str">
        <f t="shared" si="31"/>
        <v>1812</v>
      </c>
      <c r="L191" s="2" t="s">
        <v>542</v>
      </c>
      <c r="M191" s="2" t="s">
        <v>1513</v>
      </c>
      <c r="N191" s="12" t="str">
        <f t="shared" si="24"/>
        <v>1812</v>
      </c>
      <c r="O191" s="12" t="str">
        <f t="shared" si="25"/>
        <v>1812</v>
      </c>
      <c r="P191" s="2" t="s">
        <v>168</v>
      </c>
      <c r="Q191" s="12" t="str">
        <f t="shared" si="32"/>
        <v>1812</v>
      </c>
      <c r="R191" s="2" t="s">
        <v>1514</v>
      </c>
      <c r="S191" s="12" t="str">
        <f t="shared" si="33"/>
        <v>1844</v>
      </c>
      <c r="T191" s="2" t="s">
        <v>395</v>
      </c>
      <c r="U191" s="2" t="s">
        <v>1515</v>
      </c>
      <c r="V191" s="12" t="str">
        <f t="shared" si="34"/>
        <v>1833</v>
      </c>
      <c r="W191" s="2" t="s">
        <v>1516</v>
      </c>
      <c r="X191" s="2" t="s">
        <v>627</v>
      </c>
      <c r="AF191" s="2" t="s">
        <v>3697</v>
      </c>
      <c r="AG191" s="2" t="s">
        <v>366</v>
      </c>
      <c r="AH191" s="2" t="s">
        <v>1517</v>
      </c>
      <c r="AI191" s="12" t="str">
        <f t="shared" si="35"/>
        <v>1841</v>
      </c>
      <c r="AK191" s="2" t="s">
        <v>168</v>
      </c>
    </row>
    <row r="192" spans="1:69">
      <c r="A192" s="2" t="s">
        <v>1495</v>
      </c>
      <c r="B192" s="12" t="str">
        <f t="shared" si="26"/>
        <v>BOTHMA</v>
      </c>
      <c r="C192" s="12" t="str">
        <f t="shared" si="27"/>
        <v>BOTHMA</v>
      </c>
      <c r="D192" s="2" t="s">
        <v>1580</v>
      </c>
      <c r="E192" s="12" t="str">
        <f t="shared" si="28"/>
        <v>Stephanus Arnoldus Johannes</v>
      </c>
      <c r="F192" s="2" t="s">
        <v>1581</v>
      </c>
      <c r="G192" s="12" t="str">
        <f t="shared" si="29"/>
        <v>a1b5c3d4e7f3</v>
      </c>
      <c r="H192" s="12" t="str">
        <f t="shared" si="30"/>
        <v>BOTHMAa1b5c3d4e7f3</v>
      </c>
      <c r="J192" s="2" t="s">
        <v>1582</v>
      </c>
      <c r="K192" s="12" t="str">
        <f t="shared" si="31"/>
        <v>1821</v>
      </c>
      <c r="L192" s="2" t="s">
        <v>183</v>
      </c>
      <c r="M192" s="2" t="s">
        <v>1583</v>
      </c>
      <c r="N192" s="12" t="str">
        <f t="shared" si="24"/>
        <v>1821</v>
      </c>
      <c r="O192" s="12" t="str">
        <f t="shared" si="25"/>
        <v>1821</v>
      </c>
      <c r="Q192" s="12" t="str">
        <f t="shared" si="32"/>
        <v>1821</v>
      </c>
      <c r="S192" s="12" t="str">
        <f t="shared" si="33"/>
        <v/>
      </c>
      <c r="T192" s="2" t="s">
        <v>168</v>
      </c>
      <c r="U192" s="2" t="s">
        <v>1584</v>
      </c>
      <c r="V192" s="12" t="str">
        <f t="shared" si="34"/>
        <v>1844</v>
      </c>
      <c r="W192" s="2" t="s">
        <v>1585</v>
      </c>
      <c r="X192" s="2" t="s">
        <v>1586</v>
      </c>
      <c r="Y192" s="2" t="s">
        <v>1587</v>
      </c>
      <c r="AA192" s="2" t="s">
        <v>1588</v>
      </c>
      <c r="AC192" s="2" t="s">
        <v>1589</v>
      </c>
      <c r="AF192" s="2" t="s">
        <v>3697</v>
      </c>
      <c r="AG192" s="2" t="s">
        <v>366</v>
      </c>
      <c r="AH192" s="2" t="s">
        <v>362</v>
      </c>
    </row>
    <row r="193" spans="1:69">
      <c r="A193" s="2" t="s">
        <v>1590</v>
      </c>
      <c r="B193" s="12" t="str">
        <f t="shared" si="26"/>
        <v>BOUWER</v>
      </c>
      <c r="C193" s="12" t="str">
        <f t="shared" si="27"/>
        <v>BOUWER</v>
      </c>
      <c r="D193" s="2" t="s">
        <v>1607</v>
      </c>
      <c r="E193" s="12" t="str">
        <f t="shared" si="28"/>
        <v>Willem Christiaan</v>
      </c>
      <c r="F193" s="2" t="s">
        <v>1608</v>
      </c>
      <c r="G193" s="12" t="str">
        <f t="shared" si="29"/>
        <v>a1b11c3d1</v>
      </c>
      <c r="H193" s="12" t="str">
        <f t="shared" si="30"/>
        <v>BOUWERa1b11c3d1</v>
      </c>
      <c r="K193" s="12" t="str">
        <f t="shared" si="31"/>
        <v/>
      </c>
      <c r="M193" s="2" t="s">
        <v>1609</v>
      </c>
      <c r="N193" s="12" t="str">
        <f t="shared" si="24"/>
        <v/>
      </c>
      <c r="O193" s="12" t="str">
        <f t="shared" si="25"/>
        <v>1810</v>
      </c>
      <c r="Q193" s="12" t="str">
        <f t="shared" si="32"/>
        <v>1810</v>
      </c>
      <c r="S193" s="12" t="str">
        <f t="shared" si="33"/>
        <v/>
      </c>
      <c r="T193" s="2" t="s">
        <v>1385</v>
      </c>
      <c r="U193" s="2" t="s">
        <v>1610</v>
      </c>
      <c r="V193" s="12" t="str">
        <f t="shared" si="34"/>
        <v>1830</v>
      </c>
      <c r="W193" s="2" t="s">
        <v>1611</v>
      </c>
      <c r="X193" s="2" t="s">
        <v>697</v>
      </c>
      <c r="AG193" s="2" t="s">
        <v>346</v>
      </c>
      <c r="AI193" s="12" t="str">
        <f t="shared" si="35"/>
        <v/>
      </c>
      <c r="AK193" s="2" t="s">
        <v>31</v>
      </c>
    </row>
    <row r="194" spans="1:69">
      <c r="A194" s="2" t="s">
        <v>1590</v>
      </c>
      <c r="B194" s="12" t="str">
        <f t="shared" si="26"/>
        <v>BOUWER</v>
      </c>
      <c r="C194" s="12" t="str">
        <f t="shared" si="27"/>
        <v>BOUWER</v>
      </c>
      <c r="D194" s="2" t="s">
        <v>1603</v>
      </c>
      <c r="E194" s="12" t="str">
        <f t="shared" si="28"/>
        <v>Pieter Cornelis</v>
      </c>
      <c r="F194" s="2" t="s">
        <v>1604</v>
      </c>
      <c r="G194" s="12" t="str">
        <f t="shared" si="29"/>
        <v>a1b12c1</v>
      </c>
      <c r="H194" s="12" t="str">
        <f t="shared" si="30"/>
        <v>BOUWERa1b12c1</v>
      </c>
      <c r="K194" s="12" t="str">
        <f t="shared" si="31"/>
        <v/>
      </c>
      <c r="M194" s="2" t="s">
        <v>1605</v>
      </c>
      <c r="N194" s="12" t="str">
        <f t="shared" ref="N194:N257" si="36">RIGHT(J194,4)</f>
        <v/>
      </c>
      <c r="O194" s="12" t="str">
        <f t="shared" ref="O194:O257" si="37">RIGHT(M194,4)</f>
        <v>1783</v>
      </c>
      <c r="Q194" s="12" t="str">
        <f t="shared" si="32"/>
        <v>1783</v>
      </c>
      <c r="S194" s="12" t="str">
        <f t="shared" si="33"/>
        <v/>
      </c>
      <c r="V194" s="12" t="str">
        <f t="shared" si="34"/>
        <v/>
      </c>
      <c r="W194" s="2" t="s">
        <v>819</v>
      </c>
      <c r="X194" s="2" t="s">
        <v>698</v>
      </c>
      <c r="AF194" s="2" t="s">
        <v>3717</v>
      </c>
      <c r="AG194" s="2" t="s">
        <v>346</v>
      </c>
      <c r="AH194" s="2">
        <v>1842</v>
      </c>
      <c r="AI194" s="12" t="str">
        <f t="shared" si="35"/>
        <v>1842</v>
      </c>
      <c r="AJ194" s="2" t="s">
        <v>1494</v>
      </c>
      <c r="BQ194" s="2" t="s">
        <v>1606</v>
      </c>
    </row>
    <row r="195" spans="1:69">
      <c r="A195" s="2" t="s">
        <v>1590</v>
      </c>
      <c r="B195" s="12" t="str">
        <f t="shared" ref="B195:B258" si="38">SUBSTITUTE(A195," ","")</f>
        <v>BOUWER</v>
      </c>
      <c r="C195" s="12" t="str">
        <f t="shared" ref="C195:C258" si="39">TRIM(A195)</f>
        <v>BOUWER</v>
      </c>
      <c r="D195" s="2" t="s">
        <v>1600</v>
      </c>
      <c r="E195" s="12" t="str">
        <f t="shared" ref="E195:E258" si="40">PROPER(D195)</f>
        <v>Petrus Frederik Barendse</v>
      </c>
      <c r="F195" s="2" t="s">
        <v>1601</v>
      </c>
      <c r="G195" s="12" t="str">
        <f t="shared" ref="G195:G258" si="41">IF(LEFT(F195,1)="b","a1"&amp;F195,F195)</f>
        <v>a1b12c1d6</v>
      </c>
      <c r="H195" s="12" t="str">
        <f t="shared" ref="H195:H258" si="42">C195&amp;G195</f>
        <v>BOUWERa1b12c1d6</v>
      </c>
      <c r="J195" s="2" t="s">
        <v>1602</v>
      </c>
      <c r="K195" s="12" t="str">
        <f t="shared" ref="K195:K258" si="43">RIGHT(J195,4)</f>
        <v>1815</v>
      </c>
      <c r="L195" s="2" t="s">
        <v>74</v>
      </c>
      <c r="M195" s="2" t="s">
        <v>57</v>
      </c>
      <c r="N195" s="12" t="str">
        <f t="shared" si="36"/>
        <v>1815</v>
      </c>
      <c r="O195" s="12" t="str">
        <f t="shared" si="37"/>
        <v>1816</v>
      </c>
      <c r="Q195" s="12" t="str">
        <f t="shared" ref="Q195:Q258" si="44">IF(N195="",O195,N195)</f>
        <v>1815</v>
      </c>
      <c r="S195" s="12" t="str">
        <f t="shared" ref="S195:S258" si="45">RIGHT(R195,4)</f>
        <v/>
      </c>
      <c r="V195" s="12" t="str">
        <f t="shared" ref="V195:V258" si="46">RIGHT(U195,4)</f>
        <v/>
      </c>
      <c r="AF195" s="2" t="s">
        <v>3717</v>
      </c>
      <c r="AG195" s="2" t="s">
        <v>346</v>
      </c>
      <c r="AH195" s="2">
        <v>1842</v>
      </c>
      <c r="AI195" s="12" t="str">
        <f t="shared" ref="AI195:AI258" si="47">RIGHT(AH195,4)</f>
        <v>1842</v>
      </c>
      <c r="AJ195" s="2" t="s">
        <v>1494</v>
      </c>
      <c r="AK195" s="2" t="s">
        <v>160</v>
      </c>
    </row>
    <row r="196" spans="1:69">
      <c r="A196" s="12" t="s">
        <v>1590</v>
      </c>
      <c r="B196" s="12" t="str">
        <f t="shared" si="38"/>
        <v>BOUWER</v>
      </c>
      <c r="C196" s="12" t="str">
        <f t="shared" si="39"/>
        <v>BOUWER</v>
      </c>
      <c r="D196" s="2" t="s">
        <v>440</v>
      </c>
      <c r="E196" s="12" t="str">
        <f t="shared" si="40"/>
        <v>Jeremias Jesaias</v>
      </c>
      <c r="F196" s="2" t="s">
        <v>1596</v>
      </c>
      <c r="G196" s="12" t="str">
        <f t="shared" si="41"/>
        <v>a1b12c6</v>
      </c>
      <c r="H196" s="12" t="str">
        <f t="shared" si="42"/>
        <v>BOUWERa1b12c6</v>
      </c>
      <c r="K196" s="12" t="str">
        <f t="shared" si="43"/>
        <v/>
      </c>
      <c r="M196" s="2" t="s">
        <v>1597</v>
      </c>
      <c r="N196" s="12" t="str">
        <f t="shared" si="36"/>
        <v/>
      </c>
      <c r="O196" s="12" t="str">
        <f t="shared" si="37"/>
        <v>1792</v>
      </c>
      <c r="Q196" s="12" t="str">
        <f t="shared" si="44"/>
        <v>1792</v>
      </c>
      <c r="S196" s="12" t="str">
        <f t="shared" si="45"/>
        <v/>
      </c>
      <c r="T196" s="2" t="s">
        <v>74</v>
      </c>
      <c r="U196" s="2" t="s">
        <v>1598</v>
      </c>
      <c r="V196" s="12" t="str">
        <f t="shared" si="46"/>
        <v>1810</v>
      </c>
      <c r="W196" s="2" t="s">
        <v>1599</v>
      </c>
      <c r="AF196" s="2" t="s">
        <v>3717</v>
      </c>
      <c r="AG196" s="2" t="s">
        <v>346</v>
      </c>
      <c r="AH196" s="2">
        <v>1842</v>
      </c>
      <c r="AI196" s="12" t="str">
        <f t="shared" si="47"/>
        <v>1842</v>
      </c>
      <c r="AJ196" s="2" t="s">
        <v>1494</v>
      </c>
      <c r="AK196" s="2" t="s">
        <v>160</v>
      </c>
    </row>
    <row r="197" spans="1:69">
      <c r="A197" s="12" t="s">
        <v>1590</v>
      </c>
      <c r="B197" s="12" t="str">
        <f t="shared" si="38"/>
        <v>BOUWER</v>
      </c>
      <c r="C197" s="12" t="str">
        <f t="shared" si="39"/>
        <v>BOUWER</v>
      </c>
      <c r="D197" s="2" t="s">
        <v>1591</v>
      </c>
      <c r="E197" s="12" t="str">
        <f t="shared" si="40"/>
        <v>Dirk</v>
      </c>
      <c r="F197" s="2" t="s">
        <v>1592</v>
      </c>
      <c r="G197" s="12" t="str">
        <f t="shared" si="41"/>
        <v>a1b1c2c5</v>
      </c>
      <c r="H197" s="12" t="str">
        <f t="shared" si="42"/>
        <v>BOUWERa1b1c2c5</v>
      </c>
      <c r="K197" s="12" t="str">
        <f t="shared" si="43"/>
        <v/>
      </c>
      <c r="M197" s="2" t="s">
        <v>1593</v>
      </c>
      <c r="N197" s="12" t="str">
        <f t="shared" si="36"/>
        <v/>
      </c>
      <c r="O197" s="12" t="str">
        <f t="shared" si="37"/>
        <v>1709</v>
      </c>
      <c r="Q197" s="12" t="str">
        <f t="shared" si="44"/>
        <v>1709</v>
      </c>
      <c r="S197" s="12" t="str">
        <f t="shared" si="45"/>
        <v/>
      </c>
      <c r="T197" s="2" t="s">
        <v>74</v>
      </c>
      <c r="U197" s="2" t="s">
        <v>1594</v>
      </c>
      <c r="V197" s="12" t="str">
        <f t="shared" si="46"/>
        <v>1812</v>
      </c>
      <c r="W197" s="2" t="s">
        <v>1595</v>
      </c>
      <c r="X197" s="2" t="s">
        <v>698</v>
      </c>
      <c r="AF197" s="2" t="s">
        <v>3717</v>
      </c>
      <c r="AG197" s="2" t="s">
        <v>346</v>
      </c>
      <c r="AH197" s="2">
        <v>1842</v>
      </c>
      <c r="AI197" s="12" t="str">
        <f t="shared" si="47"/>
        <v>1842</v>
      </c>
      <c r="AJ197" s="2" t="s">
        <v>1494</v>
      </c>
      <c r="AK197" s="2" t="s">
        <v>160</v>
      </c>
    </row>
    <row r="198" spans="1:69">
      <c r="A198" s="12" t="s">
        <v>1612</v>
      </c>
      <c r="B198" s="12" t="str">
        <f t="shared" si="38"/>
        <v>BREED</v>
      </c>
      <c r="C198" s="12" t="str">
        <f t="shared" si="39"/>
        <v>BREED</v>
      </c>
      <c r="D198" s="2" t="s">
        <v>1648</v>
      </c>
      <c r="E198" s="12" t="str">
        <f t="shared" si="40"/>
        <v>Johannes Augustinus</v>
      </c>
      <c r="F198" s="8" t="s">
        <v>932</v>
      </c>
      <c r="G198" s="12" t="str">
        <f t="shared" si="41"/>
        <v>a1b2</v>
      </c>
      <c r="H198" s="12" t="str">
        <f t="shared" si="42"/>
        <v>BREEDa1b2</v>
      </c>
      <c r="K198" s="12" t="str">
        <f t="shared" si="43"/>
        <v/>
      </c>
      <c r="M198" s="2" t="s">
        <v>1649</v>
      </c>
      <c r="N198" s="12" t="str">
        <f t="shared" si="36"/>
        <v/>
      </c>
      <c r="O198" s="12" t="str">
        <f t="shared" si="37"/>
        <v>1767</v>
      </c>
      <c r="Q198" s="12" t="str">
        <f t="shared" si="44"/>
        <v>1767</v>
      </c>
      <c r="S198" s="12" t="str">
        <f t="shared" si="45"/>
        <v/>
      </c>
      <c r="U198" s="2" t="s">
        <v>1650</v>
      </c>
      <c r="V198" s="12" t="str">
        <f t="shared" si="46"/>
        <v>1789</v>
      </c>
      <c r="W198" s="2" t="s">
        <v>1651</v>
      </c>
      <c r="X198" s="2" t="s">
        <v>729</v>
      </c>
      <c r="Y198" s="2" t="s">
        <v>1652</v>
      </c>
      <c r="AC198" s="2" t="s">
        <v>1653</v>
      </c>
      <c r="AF198" s="2" t="s">
        <v>3699</v>
      </c>
      <c r="AG198" s="2" t="s">
        <v>68</v>
      </c>
      <c r="AH198" s="2">
        <v>1835</v>
      </c>
      <c r="AI198" s="12" t="str">
        <f t="shared" si="47"/>
        <v>1835</v>
      </c>
      <c r="AJ198" s="2" t="s">
        <v>379</v>
      </c>
      <c r="AK198" s="2" t="s">
        <v>1654</v>
      </c>
    </row>
    <row r="199" spans="1:69">
      <c r="A199" s="12" t="s">
        <v>1612</v>
      </c>
      <c r="B199" s="12" t="str">
        <f t="shared" si="38"/>
        <v>BREED</v>
      </c>
      <c r="C199" s="12" t="str">
        <f t="shared" si="39"/>
        <v>BREED</v>
      </c>
      <c r="D199" s="2" t="s">
        <v>1626</v>
      </c>
      <c r="E199" s="12" t="str">
        <f t="shared" si="40"/>
        <v>Jacob</v>
      </c>
      <c r="F199" s="2" t="s">
        <v>933</v>
      </c>
      <c r="G199" s="12" t="str">
        <f t="shared" si="41"/>
        <v>a1b2c1</v>
      </c>
      <c r="H199" s="12" t="str">
        <f t="shared" si="42"/>
        <v>BREEDa1b2c1</v>
      </c>
      <c r="K199" s="12" t="str">
        <f t="shared" si="43"/>
        <v/>
      </c>
      <c r="M199" s="2" t="s">
        <v>1627</v>
      </c>
      <c r="N199" s="12" t="str">
        <f t="shared" si="36"/>
        <v/>
      </c>
      <c r="O199" s="12" t="str">
        <f t="shared" si="37"/>
        <v>1791</v>
      </c>
      <c r="Q199" s="12" t="str">
        <f t="shared" si="44"/>
        <v>1791</v>
      </c>
      <c r="S199" s="12" t="str">
        <f t="shared" si="45"/>
        <v/>
      </c>
      <c r="T199" s="2" t="s">
        <v>74</v>
      </c>
      <c r="U199" s="2" t="s">
        <v>1628</v>
      </c>
      <c r="V199" s="12" t="str">
        <f t="shared" si="46"/>
        <v>1816</v>
      </c>
      <c r="W199" s="2" t="s">
        <v>1629</v>
      </c>
      <c r="X199" s="2" t="s">
        <v>776</v>
      </c>
      <c r="Y199" s="2" t="s">
        <v>1630</v>
      </c>
      <c r="AC199" s="2" t="s">
        <v>1529</v>
      </c>
      <c r="AF199" s="2" t="s">
        <v>16</v>
      </c>
      <c r="AG199" s="2" t="s">
        <v>68</v>
      </c>
      <c r="AH199" s="2" t="s">
        <v>1631</v>
      </c>
      <c r="AI199" s="12" t="str">
        <f t="shared" si="47"/>
        <v>1836</v>
      </c>
      <c r="AJ199" s="2" t="s">
        <v>1632</v>
      </c>
      <c r="AK199" s="2" t="s">
        <v>155</v>
      </c>
    </row>
    <row r="200" spans="1:69">
      <c r="A200" s="2" t="s">
        <v>1612</v>
      </c>
      <c r="B200" s="12" t="str">
        <f t="shared" si="38"/>
        <v>BREED</v>
      </c>
      <c r="C200" s="12" t="str">
        <f t="shared" si="39"/>
        <v>BREED</v>
      </c>
      <c r="D200" s="2" t="s">
        <v>1660</v>
      </c>
      <c r="E200" s="12" t="str">
        <f t="shared" si="40"/>
        <v>Petrus</v>
      </c>
      <c r="F200" s="8" t="s">
        <v>1661</v>
      </c>
      <c r="G200" s="12" t="str">
        <f t="shared" si="41"/>
        <v>a1b2c4</v>
      </c>
      <c r="H200" s="12" t="str">
        <f t="shared" si="42"/>
        <v>BREEDa1b2c4</v>
      </c>
      <c r="J200" s="2" t="s">
        <v>1662</v>
      </c>
      <c r="K200" s="12" t="str">
        <f t="shared" si="43"/>
        <v>1795</v>
      </c>
      <c r="L200" s="2" t="s">
        <v>74</v>
      </c>
      <c r="M200" s="2" t="s">
        <v>349</v>
      </c>
      <c r="N200" s="12" t="str">
        <f t="shared" si="36"/>
        <v>1795</v>
      </c>
      <c r="O200" s="12" t="str">
        <f t="shared" si="37"/>
        <v>1797</v>
      </c>
      <c r="P200" s="2" t="s">
        <v>71</v>
      </c>
      <c r="Q200" s="12" t="str">
        <f t="shared" si="44"/>
        <v>1795</v>
      </c>
      <c r="R200" s="2" t="s">
        <v>72</v>
      </c>
      <c r="S200" s="12" t="str">
        <f t="shared" si="45"/>
        <v>1838</v>
      </c>
      <c r="T200" s="2" t="s">
        <v>74</v>
      </c>
      <c r="U200" s="2" t="s">
        <v>1602</v>
      </c>
      <c r="V200" s="12" t="str">
        <f t="shared" si="46"/>
        <v>1815</v>
      </c>
      <c r="W200" s="2" t="s">
        <v>1663</v>
      </c>
      <c r="X200" s="2" t="s">
        <v>757</v>
      </c>
      <c r="Y200" s="2" t="s">
        <v>1664</v>
      </c>
      <c r="AC200" s="2" t="s">
        <v>238</v>
      </c>
      <c r="AG200" s="2" t="s">
        <v>60</v>
      </c>
      <c r="AH200" s="2">
        <v>1838</v>
      </c>
      <c r="AI200" s="12" t="str">
        <f t="shared" si="47"/>
        <v>1838</v>
      </c>
      <c r="AK200" s="2" t="s">
        <v>90</v>
      </c>
    </row>
    <row r="201" spans="1:69">
      <c r="A201" s="2" t="s">
        <v>1612</v>
      </c>
      <c r="B201" s="12" t="str">
        <f t="shared" si="38"/>
        <v>BREED</v>
      </c>
      <c r="C201" s="12" t="str">
        <f t="shared" si="39"/>
        <v>BREED</v>
      </c>
      <c r="D201" s="2" t="s">
        <v>1665</v>
      </c>
      <c r="E201" s="12" t="str">
        <f t="shared" si="40"/>
        <v>Pieter Gert</v>
      </c>
      <c r="F201" s="8" t="s">
        <v>1666</v>
      </c>
      <c r="G201" s="12" t="str">
        <f t="shared" si="41"/>
        <v>a1b2c4d1</v>
      </c>
      <c r="H201" s="12" t="str">
        <f t="shared" si="42"/>
        <v>BREEDa1b2c4d1</v>
      </c>
      <c r="J201" s="2" t="s">
        <v>1667</v>
      </c>
      <c r="K201" s="12" t="str">
        <f t="shared" si="43"/>
        <v>1822</v>
      </c>
      <c r="L201" s="2" t="s">
        <v>74</v>
      </c>
      <c r="M201" s="2" t="s">
        <v>1668</v>
      </c>
      <c r="N201" s="12" t="str">
        <f t="shared" si="36"/>
        <v>1822</v>
      </c>
      <c r="O201" s="12" t="str">
        <f t="shared" si="37"/>
        <v>1822</v>
      </c>
      <c r="Q201" s="12" t="str">
        <f t="shared" si="44"/>
        <v>1822</v>
      </c>
      <c r="S201" s="12" t="str">
        <f t="shared" si="45"/>
        <v/>
      </c>
      <c r="T201" s="2" t="s">
        <v>90</v>
      </c>
      <c r="U201" s="2" t="s">
        <v>1669</v>
      </c>
      <c r="V201" s="12" t="str">
        <f t="shared" si="46"/>
        <v>1843</v>
      </c>
      <c r="W201" s="2" t="s">
        <v>1670</v>
      </c>
      <c r="X201" s="2" t="s">
        <v>625</v>
      </c>
      <c r="AG201" s="2" t="s">
        <v>60</v>
      </c>
      <c r="AH201" s="2">
        <v>1837</v>
      </c>
      <c r="AI201" s="12" t="str">
        <f t="shared" si="47"/>
        <v>1837</v>
      </c>
      <c r="AK201" s="2" t="s">
        <v>90</v>
      </c>
    </row>
    <row r="202" spans="1:69">
      <c r="A202" s="12" t="s">
        <v>1612</v>
      </c>
      <c r="B202" s="12" t="str">
        <f t="shared" si="38"/>
        <v>BREED</v>
      </c>
      <c r="C202" s="12" t="str">
        <f t="shared" si="39"/>
        <v>BREED</v>
      </c>
      <c r="D202" s="12" t="s">
        <v>1618</v>
      </c>
      <c r="E202" s="12" t="str">
        <f t="shared" si="40"/>
        <v>Gerhardus Christiaan</v>
      </c>
      <c r="F202" s="12" t="s">
        <v>1619</v>
      </c>
      <c r="G202" s="12" t="str">
        <f t="shared" si="41"/>
        <v>a1b2c5</v>
      </c>
      <c r="H202" s="12" t="str">
        <f t="shared" si="42"/>
        <v>BREEDa1b2c5</v>
      </c>
      <c r="I202" s="12"/>
      <c r="J202" s="12" t="s">
        <v>1620</v>
      </c>
      <c r="K202" s="12" t="str">
        <f t="shared" si="43"/>
        <v>1797</v>
      </c>
      <c r="L202" s="12" t="s">
        <v>74</v>
      </c>
      <c r="M202" s="12" t="s">
        <v>349</v>
      </c>
      <c r="N202" s="12" t="str">
        <f t="shared" si="36"/>
        <v>1797</v>
      </c>
      <c r="O202" s="12" t="str">
        <f t="shared" si="37"/>
        <v>1797</v>
      </c>
      <c r="P202" s="12"/>
      <c r="Q202" s="12" t="str">
        <f t="shared" si="44"/>
        <v>1797</v>
      </c>
      <c r="R202" s="12"/>
      <c r="S202" s="12" t="str">
        <f t="shared" si="45"/>
        <v/>
      </c>
      <c r="T202" s="12" t="s">
        <v>28</v>
      </c>
      <c r="U202" s="12" t="s">
        <v>1621</v>
      </c>
      <c r="V202" s="12" t="str">
        <f t="shared" si="46"/>
        <v>1824</v>
      </c>
      <c r="W202" s="12" t="s">
        <v>1622</v>
      </c>
      <c r="X202" s="12" t="s">
        <v>1623</v>
      </c>
      <c r="Y202" s="12" t="s">
        <v>1624</v>
      </c>
      <c r="Z202" s="12"/>
      <c r="AA202" s="12"/>
      <c r="AB202" s="12"/>
      <c r="AC202" s="12" t="s">
        <v>1625</v>
      </c>
      <c r="AD202" s="12"/>
      <c r="AE202" s="12"/>
      <c r="AF202" s="12" t="s">
        <v>3699</v>
      </c>
      <c r="AG202" s="12" t="s">
        <v>68</v>
      </c>
      <c r="AH202" s="12" t="s">
        <v>89</v>
      </c>
      <c r="AI202" s="12" t="str">
        <f t="shared" si="47"/>
        <v>1838</v>
      </c>
      <c r="AJ202" s="12"/>
      <c r="AK202" s="12" t="s">
        <v>190</v>
      </c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</row>
    <row r="203" spans="1:69">
      <c r="A203" s="2" t="s">
        <v>1612</v>
      </c>
      <c r="B203" s="12" t="str">
        <f t="shared" si="38"/>
        <v>BREED</v>
      </c>
      <c r="C203" s="12" t="str">
        <f t="shared" si="39"/>
        <v>BREED</v>
      </c>
      <c r="D203" s="2" t="s">
        <v>1671</v>
      </c>
      <c r="E203" s="12" t="str">
        <f t="shared" si="40"/>
        <v>Willem Sterrenberg</v>
      </c>
      <c r="F203" s="8" t="s">
        <v>1672</v>
      </c>
      <c r="G203" s="12" t="str">
        <f t="shared" si="41"/>
        <v>a1b2c6</v>
      </c>
      <c r="H203" s="12" t="str">
        <f t="shared" si="42"/>
        <v>BREEDa1b2c6</v>
      </c>
      <c r="K203" s="12" t="str">
        <f t="shared" si="43"/>
        <v/>
      </c>
      <c r="L203" s="2" t="s">
        <v>74</v>
      </c>
      <c r="M203" s="2" t="s">
        <v>1673</v>
      </c>
      <c r="N203" s="12" t="str">
        <f t="shared" si="36"/>
        <v/>
      </c>
      <c r="O203" s="12" t="str">
        <f t="shared" si="37"/>
        <v>1799</v>
      </c>
      <c r="Q203" s="12" t="str">
        <f t="shared" si="44"/>
        <v>1799</v>
      </c>
      <c r="S203" s="12" t="str">
        <f t="shared" si="45"/>
        <v/>
      </c>
      <c r="T203" s="2" t="s">
        <v>28</v>
      </c>
      <c r="U203" s="2" t="s">
        <v>250</v>
      </c>
      <c r="V203" s="12" t="str">
        <f t="shared" si="46"/>
        <v>1822</v>
      </c>
      <c r="W203" s="2" t="s">
        <v>1674</v>
      </c>
      <c r="X203" s="2" t="s">
        <v>1675</v>
      </c>
      <c r="Y203" s="2" t="s">
        <v>1676</v>
      </c>
      <c r="AC203" s="2" t="s">
        <v>1677</v>
      </c>
      <c r="AG203" s="2" t="s">
        <v>60</v>
      </c>
      <c r="AH203" s="2" t="s">
        <v>1159</v>
      </c>
      <c r="AI203" s="12" t="str">
        <f t="shared" si="47"/>
        <v>1836</v>
      </c>
      <c r="AJ203" s="2" t="s">
        <v>1632</v>
      </c>
      <c r="AK203" s="2" t="s">
        <v>1678</v>
      </c>
    </row>
    <row r="204" spans="1:69">
      <c r="A204" s="2" t="s">
        <v>1612</v>
      </c>
      <c r="B204" s="12" t="str">
        <f t="shared" si="38"/>
        <v>BREED</v>
      </c>
      <c r="C204" s="12" t="str">
        <f t="shared" si="39"/>
        <v>BREED</v>
      </c>
      <c r="D204" s="2" t="s">
        <v>1655</v>
      </c>
      <c r="E204" s="12" t="str">
        <f t="shared" si="40"/>
        <v>Johannes Jacobus Arnoldus</v>
      </c>
      <c r="F204" s="8" t="s">
        <v>1656</v>
      </c>
      <c r="G204" s="12" t="str">
        <f t="shared" si="41"/>
        <v>a1b2c6d1</v>
      </c>
      <c r="H204" s="12" t="str">
        <f t="shared" si="42"/>
        <v>BREEDa1b2c6d1</v>
      </c>
      <c r="J204" s="2" t="s">
        <v>1657</v>
      </c>
      <c r="K204" s="12" t="str">
        <f t="shared" si="43"/>
        <v>1823</v>
      </c>
      <c r="L204" s="2" t="s">
        <v>74</v>
      </c>
      <c r="M204" s="2" t="s">
        <v>1658</v>
      </c>
      <c r="N204" s="12" t="str">
        <f t="shared" si="36"/>
        <v>1823</v>
      </c>
      <c r="O204" s="12" t="str">
        <f t="shared" si="37"/>
        <v>1823</v>
      </c>
      <c r="Q204" s="12" t="str">
        <f t="shared" si="44"/>
        <v>1823</v>
      </c>
      <c r="S204" s="12" t="str">
        <f t="shared" si="45"/>
        <v/>
      </c>
      <c r="V204" s="12" t="str">
        <f t="shared" si="46"/>
        <v/>
      </c>
      <c r="W204" s="2" t="s">
        <v>1659</v>
      </c>
      <c r="X204" s="2" t="s">
        <v>729</v>
      </c>
      <c r="AG204" s="2" t="s">
        <v>60</v>
      </c>
      <c r="AH204" s="2" t="s">
        <v>1159</v>
      </c>
      <c r="AI204" s="12" t="str">
        <f t="shared" si="47"/>
        <v>1836</v>
      </c>
      <c r="AJ204" s="2" t="s">
        <v>1632</v>
      </c>
      <c r="AK204" s="2" t="s">
        <v>551</v>
      </c>
    </row>
    <row r="205" spans="1:69">
      <c r="A205" s="2" t="s">
        <v>1612</v>
      </c>
      <c r="B205" s="12" t="str">
        <f t="shared" si="38"/>
        <v>BREED</v>
      </c>
      <c r="C205" s="12" t="str">
        <f t="shared" si="39"/>
        <v>BREED</v>
      </c>
      <c r="D205" s="2" t="s">
        <v>1613</v>
      </c>
      <c r="E205" s="12" t="str">
        <f t="shared" si="40"/>
        <v>David</v>
      </c>
      <c r="F205" s="2" t="s">
        <v>1007</v>
      </c>
      <c r="G205" s="12" t="str">
        <f t="shared" si="41"/>
        <v>a1b2c7</v>
      </c>
      <c r="H205" s="12" t="str">
        <f t="shared" si="42"/>
        <v>BREEDa1b2c7</v>
      </c>
      <c r="J205" s="2" t="s">
        <v>1614</v>
      </c>
      <c r="K205" s="12" t="str">
        <f t="shared" si="43"/>
        <v>1801</v>
      </c>
      <c r="L205" s="2" t="s">
        <v>74</v>
      </c>
      <c r="M205" s="2" t="s">
        <v>1615</v>
      </c>
      <c r="N205" s="12" t="str">
        <f t="shared" si="36"/>
        <v>1801</v>
      </c>
      <c r="O205" s="12" t="str">
        <f t="shared" si="37"/>
        <v>1801</v>
      </c>
      <c r="Q205" s="12" t="str">
        <f t="shared" si="44"/>
        <v>1801</v>
      </c>
      <c r="S205" s="12" t="str">
        <f t="shared" si="45"/>
        <v/>
      </c>
      <c r="T205" s="2" t="s">
        <v>28</v>
      </c>
      <c r="U205" s="2" t="s">
        <v>1368</v>
      </c>
      <c r="V205" s="12" t="str">
        <f t="shared" si="46"/>
        <v>1821</v>
      </c>
      <c r="W205" s="2" t="s">
        <v>1616</v>
      </c>
      <c r="X205" s="2" t="s">
        <v>668</v>
      </c>
      <c r="AG205" s="2" t="s">
        <v>60</v>
      </c>
      <c r="AH205" s="2" t="s">
        <v>362</v>
      </c>
      <c r="AK205" s="2" t="s">
        <v>1617</v>
      </c>
    </row>
    <row r="206" spans="1:69">
      <c r="A206" s="2" t="s">
        <v>1612</v>
      </c>
      <c r="B206" s="12" t="str">
        <f t="shared" si="38"/>
        <v>BREED</v>
      </c>
      <c r="C206" s="12" t="str">
        <f t="shared" si="39"/>
        <v>BREED</v>
      </c>
      <c r="D206" s="2" t="s">
        <v>1633</v>
      </c>
      <c r="E206" s="12" t="str">
        <f t="shared" si="40"/>
        <v>Jacobus Van Den Berg</v>
      </c>
      <c r="F206" s="2" t="s">
        <v>1634</v>
      </c>
      <c r="G206" s="12" t="str">
        <f t="shared" si="41"/>
        <v>a1b2c9</v>
      </c>
      <c r="H206" s="12" t="str">
        <f t="shared" si="42"/>
        <v>BREEDa1b2c9</v>
      </c>
      <c r="K206" s="12" t="str">
        <f t="shared" si="43"/>
        <v/>
      </c>
      <c r="M206" s="2" t="s">
        <v>1635</v>
      </c>
      <c r="N206" s="12" t="str">
        <f t="shared" si="36"/>
        <v/>
      </c>
      <c r="O206" s="12" t="str">
        <f t="shared" si="37"/>
        <v>1804</v>
      </c>
      <c r="Q206" s="12" t="str">
        <f t="shared" si="44"/>
        <v>1804</v>
      </c>
      <c r="R206" s="2">
        <v>1851</v>
      </c>
      <c r="S206" s="12" t="str">
        <f t="shared" si="45"/>
        <v>1851</v>
      </c>
      <c r="T206" s="2" t="s">
        <v>68</v>
      </c>
      <c r="U206" s="2" t="s">
        <v>1636</v>
      </c>
      <c r="V206" s="12" t="str">
        <f t="shared" si="46"/>
        <v>1832</v>
      </c>
      <c r="W206" s="2" t="s">
        <v>1637</v>
      </c>
      <c r="X206" s="2" t="s">
        <v>1638</v>
      </c>
      <c r="AF206" s="2" t="s">
        <v>3699</v>
      </c>
      <c r="AG206" s="2" t="s">
        <v>68</v>
      </c>
      <c r="AH206" s="2">
        <v>1835</v>
      </c>
      <c r="AI206" s="12" t="str">
        <f t="shared" si="47"/>
        <v>1835</v>
      </c>
      <c r="AJ206" s="2" t="s">
        <v>379</v>
      </c>
      <c r="AK206" s="2" t="s">
        <v>140</v>
      </c>
      <c r="AL206" s="2" t="s">
        <v>1043</v>
      </c>
      <c r="AM206" s="2" t="s">
        <v>1639</v>
      </c>
      <c r="AN206" s="2" t="s">
        <v>1640</v>
      </c>
      <c r="AO206" s="2" t="s">
        <v>726</v>
      </c>
      <c r="AP206" s="2" t="s">
        <v>1376</v>
      </c>
      <c r="AR206" s="2" t="s">
        <v>1377</v>
      </c>
      <c r="AY206" s="2" t="s">
        <v>1642</v>
      </c>
      <c r="AZ206" s="2" t="s">
        <v>788</v>
      </c>
      <c r="BQ206" s="2" t="s">
        <v>1641</v>
      </c>
    </row>
    <row r="207" spans="1:69">
      <c r="A207" s="12" t="s">
        <v>1643</v>
      </c>
      <c r="B207" s="12" t="str">
        <f t="shared" si="38"/>
        <v>BREED</v>
      </c>
      <c r="C207" s="12" t="str">
        <f t="shared" si="39"/>
        <v>BREED</v>
      </c>
      <c r="D207" s="2" t="s">
        <v>1644</v>
      </c>
      <c r="E207" s="12" t="str">
        <f t="shared" si="40"/>
        <v xml:space="preserve">Johannes </v>
      </c>
      <c r="F207" s="7" t="s">
        <v>833</v>
      </c>
      <c r="G207" s="12" t="str">
        <f t="shared" si="41"/>
        <v>a1b2c2</v>
      </c>
      <c r="H207" s="12" t="str">
        <f t="shared" si="42"/>
        <v>BREEDa1b2c2</v>
      </c>
      <c r="K207" s="12" t="str">
        <f t="shared" si="43"/>
        <v/>
      </c>
      <c r="M207" s="2" t="s">
        <v>1645</v>
      </c>
      <c r="N207" s="12" t="str">
        <f t="shared" si="36"/>
        <v/>
      </c>
      <c r="O207" s="12" t="str">
        <f t="shared" si="37"/>
        <v>1793</v>
      </c>
      <c r="P207" s="2" t="s">
        <v>71</v>
      </c>
      <c r="Q207" s="12" t="str">
        <f t="shared" si="44"/>
        <v>1793</v>
      </c>
      <c r="R207" s="2" t="s">
        <v>72</v>
      </c>
      <c r="S207" s="12" t="str">
        <f t="shared" si="45"/>
        <v>1838</v>
      </c>
      <c r="T207" s="2" t="s">
        <v>74</v>
      </c>
      <c r="U207" s="2" t="s">
        <v>1646</v>
      </c>
      <c r="V207" s="12" t="str">
        <f t="shared" si="46"/>
        <v>1816</v>
      </c>
      <c r="W207" s="2" t="s">
        <v>1647</v>
      </c>
      <c r="X207" s="2" t="s">
        <v>700</v>
      </c>
      <c r="AF207" s="2" t="s">
        <v>3699</v>
      </c>
      <c r="AG207" s="2" t="s">
        <v>68</v>
      </c>
      <c r="AH207" s="2">
        <v>1836</v>
      </c>
      <c r="AI207" s="12" t="str">
        <f t="shared" si="47"/>
        <v>1836</v>
      </c>
      <c r="AJ207" s="2" t="s">
        <v>1632</v>
      </c>
      <c r="AK207" s="2" t="s">
        <v>67</v>
      </c>
    </row>
    <row r="208" spans="1:69">
      <c r="A208" s="2" t="s">
        <v>1021</v>
      </c>
      <c r="B208" s="12" t="str">
        <f t="shared" si="38"/>
        <v>BREITENBACH</v>
      </c>
      <c r="C208" s="12" t="str">
        <f t="shared" si="39"/>
        <v>BREITENBACH</v>
      </c>
      <c r="D208" s="2" t="s">
        <v>1679</v>
      </c>
      <c r="E208" s="12" t="str">
        <f t="shared" si="40"/>
        <v>Christiaan Joseph</v>
      </c>
      <c r="F208" s="8" t="s">
        <v>833</v>
      </c>
      <c r="G208" s="12" t="str">
        <f t="shared" si="41"/>
        <v>a1b2c2</v>
      </c>
      <c r="H208" s="12" t="str">
        <f t="shared" si="42"/>
        <v>BREITENBACHa1b2c2</v>
      </c>
      <c r="K208" s="12" t="str">
        <f t="shared" si="43"/>
        <v/>
      </c>
      <c r="M208" s="2" t="s">
        <v>1680</v>
      </c>
      <c r="N208" s="12" t="str">
        <f t="shared" si="36"/>
        <v/>
      </c>
      <c r="O208" s="12" t="str">
        <f t="shared" si="37"/>
        <v>1796</v>
      </c>
      <c r="Q208" s="12" t="str">
        <f t="shared" si="44"/>
        <v>1796</v>
      </c>
      <c r="S208" s="12" t="str">
        <f t="shared" si="45"/>
        <v/>
      </c>
      <c r="T208" s="2" t="s">
        <v>32</v>
      </c>
      <c r="U208" s="2" t="s">
        <v>1681</v>
      </c>
      <c r="V208" s="12" t="str">
        <f t="shared" si="46"/>
        <v>1816</v>
      </c>
      <c r="W208" s="2" t="s">
        <v>819</v>
      </c>
      <c r="X208" s="2" t="s">
        <v>1682</v>
      </c>
      <c r="Y208" s="2" t="s">
        <v>1683</v>
      </c>
      <c r="AC208" s="2" t="s">
        <v>1684</v>
      </c>
      <c r="AF208" s="2" t="s">
        <v>16</v>
      </c>
      <c r="AG208" s="2" t="s">
        <v>68</v>
      </c>
      <c r="AH208" s="2">
        <v>1839</v>
      </c>
      <c r="AI208" s="12" t="str">
        <f t="shared" si="47"/>
        <v>1839</v>
      </c>
      <c r="AK208" s="2" t="s">
        <v>190</v>
      </c>
    </row>
    <row r="209" spans="1:69">
      <c r="A209" s="2" t="s">
        <v>1685</v>
      </c>
      <c r="B209" s="12" t="str">
        <f t="shared" si="38"/>
        <v>BREYTENBACH</v>
      </c>
      <c r="C209" s="12" t="str">
        <f t="shared" si="39"/>
        <v>BREYTENBACH</v>
      </c>
      <c r="D209" s="2" t="s">
        <v>2790</v>
      </c>
      <c r="E209" s="12" t="str">
        <f t="shared" si="40"/>
        <v>Jan Andries Nicolaas</v>
      </c>
      <c r="F209" s="8" t="s">
        <v>857</v>
      </c>
      <c r="G209" s="12" t="str">
        <f t="shared" si="41"/>
        <v>a1b2c2d4</v>
      </c>
      <c r="H209" s="12" t="str">
        <f t="shared" si="42"/>
        <v>BREYTENBACHa1b2c2d4</v>
      </c>
      <c r="J209" s="2" t="s">
        <v>1708</v>
      </c>
      <c r="K209" s="12" t="str">
        <f t="shared" si="43"/>
        <v>1823</v>
      </c>
      <c r="L209" s="2" t="s">
        <v>32</v>
      </c>
      <c r="M209" s="2" t="s">
        <v>1005</v>
      </c>
      <c r="N209" s="12" t="str">
        <f t="shared" si="36"/>
        <v>1823</v>
      </c>
      <c r="O209" s="12" t="str">
        <f t="shared" si="37"/>
        <v>1824</v>
      </c>
      <c r="Q209" s="12" t="str">
        <f t="shared" si="44"/>
        <v>1823</v>
      </c>
      <c r="S209" s="12" t="str">
        <f t="shared" si="45"/>
        <v/>
      </c>
      <c r="V209" s="12" t="str">
        <f t="shared" si="46"/>
        <v/>
      </c>
      <c r="W209" s="2" t="s">
        <v>1709</v>
      </c>
      <c r="X209" s="2" t="s">
        <v>355</v>
      </c>
      <c r="AF209" s="2" t="s">
        <v>16</v>
      </c>
      <c r="AG209" s="2" t="s">
        <v>68</v>
      </c>
      <c r="AH209" s="2" t="s">
        <v>1711</v>
      </c>
      <c r="AI209" s="12" t="str">
        <f t="shared" si="47"/>
        <v>1839</v>
      </c>
      <c r="AK209" s="2" t="s">
        <v>1712</v>
      </c>
      <c r="AL209" s="2" t="s">
        <v>140</v>
      </c>
      <c r="AM209" s="2" t="s">
        <v>1710</v>
      </c>
      <c r="AN209" s="2" t="s">
        <v>804</v>
      </c>
      <c r="AO209" s="2" t="s">
        <v>266</v>
      </c>
    </row>
    <row r="210" spans="1:69">
      <c r="A210" s="2" t="s">
        <v>1685</v>
      </c>
      <c r="B210" s="12" t="str">
        <f t="shared" si="38"/>
        <v>BREYTENBACH</v>
      </c>
      <c r="C210" s="12" t="str">
        <f t="shared" si="39"/>
        <v>BREYTENBACH</v>
      </c>
      <c r="D210" s="2" t="s">
        <v>1743</v>
      </c>
      <c r="E210" s="12" t="str">
        <f t="shared" si="40"/>
        <v>Wynand</v>
      </c>
      <c r="F210" s="2" t="s">
        <v>1619</v>
      </c>
      <c r="G210" s="12" t="str">
        <f t="shared" si="41"/>
        <v>a1b2c5</v>
      </c>
      <c r="H210" s="12" t="str">
        <f t="shared" si="42"/>
        <v>BREYTENBACHa1b2c5</v>
      </c>
      <c r="K210" s="12" t="str">
        <f t="shared" si="43"/>
        <v/>
      </c>
      <c r="M210" s="2" t="s">
        <v>1744</v>
      </c>
      <c r="N210" s="12" t="str">
        <f t="shared" si="36"/>
        <v/>
      </c>
      <c r="O210" s="12" t="str">
        <f t="shared" si="37"/>
        <v>1803</v>
      </c>
      <c r="Q210" s="12" t="str">
        <f t="shared" si="44"/>
        <v>1803</v>
      </c>
      <c r="S210" s="12" t="str">
        <f t="shared" si="45"/>
        <v/>
      </c>
      <c r="V210" s="12" t="str">
        <f t="shared" si="46"/>
        <v/>
      </c>
      <c r="AF210" s="2" t="s">
        <v>3707</v>
      </c>
      <c r="AG210" s="2" t="s">
        <v>32</v>
      </c>
      <c r="AH210" s="2" t="s">
        <v>1745</v>
      </c>
      <c r="AI210" s="12" t="str">
        <f t="shared" si="47"/>
        <v>1838</v>
      </c>
      <c r="AK210" s="2" t="s">
        <v>1712</v>
      </c>
    </row>
    <row r="211" spans="1:69">
      <c r="A211" s="2" t="s">
        <v>1685</v>
      </c>
      <c r="B211" s="12" t="str">
        <f t="shared" si="38"/>
        <v>BREYTENBACH</v>
      </c>
      <c r="C211" s="12" t="str">
        <f t="shared" si="39"/>
        <v>BREYTENBACH</v>
      </c>
      <c r="D211" s="2" t="s">
        <v>1250</v>
      </c>
      <c r="E211" s="12" t="str">
        <f t="shared" si="40"/>
        <v>Johan Hendrik</v>
      </c>
      <c r="F211" s="8" t="s">
        <v>1713</v>
      </c>
      <c r="G211" s="12" t="str">
        <f t="shared" si="41"/>
        <v>a1b4c1</v>
      </c>
      <c r="H211" s="12" t="str">
        <f t="shared" si="42"/>
        <v>BREYTENBACHa1b4c1</v>
      </c>
      <c r="K211" s="12" t="str">
        <f t="shared" si="43"/>
        <v/>
      </c>
      <c r="M211" s="2" t="s">
        <v>1714</v>
      </c>
      <c r="N211" s="12" t="str">
        <f t="shared" si="36"/>
        <v/>
      </c>
      <c r="O211" s="12" t="str">
        <f t="shared" si="37"/>
        <v>1789</v>
      </c>
      <c r="Q211" s="12" t="str">
        <f t="shared" si="44"/>
        <v>1789</v>
      </c>
      <c r="S211" s="12" t="str">
        <f t="shared" si="45"/>
        <v/>
      </c>
      <c r="T211" s="2" t="s">
        <v>74</v>
      </c>
      <c r="U211" s="2" t="s">
        <v>1722</v>
      </c>
      <c r="V211" s="12" t="str">
        <f t="shared" si="46"/>
        <v>1812</v>
      </c>
      <c r="W211" s="2" t="s">
        <v>687</v>
      </c>
      <c r="X211" s="2" t="s">
        <v>695</v>
      </c>
      <c r="AF211" s="2" t="s">
        <v>3677</v>
      </c>
      <c r="AG211" s="2" t="s">
        <v>53</v>
      </c>
      <c r="AH211" s="2" t="s">
        <v>1706</v>
      </c>
      <c r="AI211" s="12" t="str">
        <f t="shared" si="47"/>
        <v>1836</v>
      </c>
      <c r="AJ211" s="2" t="s">
        <v>1696</v>
      </c>
      <c r="AL211" s="2" t="s">
        <v>53</v>
      </c>
      <c r="AM211" s="2" t="s">
        <v>1715</v>
      </c>
      <c r="AN211" s="2" t="s">
        <v>1716</v>
      </c>
      <c r="AO211" s="2" t="s">
        <v>662</v>
      </c>
      <c r="AP211" s="2" t="s">
        <v>1717</v>
      </c>
      <c r="AT211" s="2" t="s">
        <v>1718</v>
      </c>
    </row>
    <row r="212" spans="1:69">
      <c r="A212" s="2" t="s">
        <v>1685</v>
      </c>
      <c r="B212" s="12" t="str">
        <f t="shared" si="38"/>
        <v>BREYTENBACH</v>
      </c>
      <c r="C212" s="12" t="str">
        <f t="shared" si="39"/>
        <v>BREYTENBACH</v>
      </c>
      <c r="D212" s="2" t="s">
        <v>1250</v>
      </c>
      <c r="E212" s="12" t="str">
        <f t="shared" si="40"/>
        <v>Johan Hendrik</v>
      </c>
      <c r="F212" s="8" t="s">
        <v>1719</v>
      </c>
      <c r="G212" s="12" t="str">
        <f t="shared" si="41"/>
        <v>a1b4c1d1</v>
      </c>
      <c r="H212" s="12" t="str">
        <f t="shared" si="42"/>
        <v>BREYTENBACHa1b4c1d1</v>
      </c>
      <c r="J212" s="2" t="s">
        <v>1720</v>
      </c>
      <c r="K212" s="12" t="str">
        <f t="shared" si="43"/>
        <v>1813</v>
      </c>
      <c r="L212" s="2" t="s">
        <v>199</v>
      </c>
      <c r="M212" s="2" t="s">
        <v>1721</v>
      </c>
      <c r="N212" s="12" t="str">
        <f t="shared" si="36"/>
        <v>1813</v>
      </c>
      <c r="O212" s="12" t="str">
        <f t="shared" si="37"/>
        <v>1814</v>
      </c>
      <c r="Q212" s="12" t="str">
        <f t="shared" si="44"/>
        <v>1813</v>
      </c>
      <c r="S212" s="12" t="str">
        <f t="shared" si="45"/>
        <v/>
      </c>
      <c r="T212" s="2" t="s">
        <v>28</v>
      </c>
      <c r="U212" s="2" t="s">
        <v>1723</v>
      </c>
      <c r="V212" s="12" t="str">
        <f t="shared" si="46"/>
        <v>1836</v>
      </c>
      <c r="W212" s="2" t="s">
        <v>819</v>
      </c>
      <c r="X212" s="2" t="s">
        <v>662</v>
      </c>
      <c r="Y212" s="2" t="s">
        <v>1724</v>
      </c>
      <c r="AF212" s="2" t="s">
        <v>3677</v>
      </c>
      <c r="AG212" s="2" t="s">
        <v>53</v>
      </c>
      <c r="AH212" s="2" t="s">
        <v>1706</v>
      </c>
      <c r="AI212" s="12" t="str">
        <f t="shared" si="47"/>
        <v>1836</v>
      </c>
      <c r="AJ212" s="2" t="s">
        <v>1696</v>
      </c>
    </row>
    <row r="213" spans="1:69">
      <c r="A213" s="2" t="s">
        <v>1685</v>
      </c>
      <c r="B213" s="12" t="str">
        <f t="shared" si="38"/>
        <v>BREYTENBACH</v>
      </c>
      <c r="C213" s="12" t="str">
        <f t="shared" si="39"/>
        <v>BREYTENBACH</v>
      </c>
      <c r="D213" s="2" t="s">
        <v>1686</v>
      </c>
      <c r="E213" s="12" t="str">
        <f t="shared" si="40"/>
        <v xml:space="preserve">Izak Johannes </v>
      </c>
      <c r="F213" s="8" t="s">
        <v>1687</v>
      </c>
      <c r="G213" s="12" t="str">
        <f t="shared" si="41"/>
        <v>a1b4c1d4</v>
      </c>
      <c r="H213" s="12" t="str">
        <f t="shared" si="42"/>
        <v>BREYTENBACHa1b4c1d4</v>
      </c>
      <c r="J213" s="2" t="s">
        <v>1688</v>
      </c>
      <c r="K213" s="12" t="str">
        <f t="shared" si="43"/>
        <v>1819</v>
      </c>
      <c r="L213" s="2" t="s">
        <v>53</v>
      </c>
      <c r="M213" s="2" t="s">
        <v>1689</v>
      </c>
      <c r="N213" s="12" t="str">
        <f t="shared" si="36"/>
        <v>1819</v>
      </c>
      <c r="O213" s="12" t="str">
        <f t="shared" si="37"/>
        <v>1819</v>
      </c>
      <c r="P213" s="2" t="s">
        <v>1690</v>
      </c>
      <c r="Q213" s="12" t="str">
        <f t="shared" si="44"/>
        <v>1819</v>
      </c>
      <c r="R213" s="2" t="s">
        <v>1691</v>
      </c>
      <c r="S213" s="12" t="str">
        <f t="shared" si="45"/>
        <v>1897</v>
      </c>
      <c r="T213" s="2" t="s">
        <v>168</v>
      </c>
      <c r="U213" s="2" t="s">
        <v>1692</v>
      </c>
      <c r="V213" s="12" t="str">
        <f t="shared" si="46"/>
        <v>1841</v>
      </c>
      <c r="W213" s="2" t="s">
        <v>1693</v>
      </c>
      <c r="X213" s="2" t="s">
        <v>662</v>
      </c>
      <c r="Y213" s="2" t="s">
        <v>1694</v>
      </c>
      <c r="AA213" s="2" t="s">
        <v>1695</v>
      </c>
      <c r="AF213" s="2" t="s">
        <v>3677</v>
      </c>
      <c r="AG213" s="2" t="s">
        <v>53</v>
      </c>
      <c r="AH213" s="2">
        <v>1836</v>
      </c>
      <c r="AI213" s="12" t="str">
        <f t="shared" si="47"/>
        <v>1836</v>
      </c>
      <c r="AJ213" s="2" t="s">
        <v>1696</v>
      </c>
      <c r="AK213" s="2" t="s">
        <v>90</v>
      </c>
    </row>
    <row r="214" spans="1:69">
      <c r="A214" s="2" t="s">
        <v>1685</v>
      </c>
      <c r="B214" s="12" t="str">
        <f t="shared" si="38"/>
        <v>BREYTENBACH</v>
      </c>
      <c r="C214" s="12" t="str">
        <f t="shared" si="39"/>
        <v>BREYTENBACH</v>
      </c>
      <c r="D214" s="2" t="s">
        <v>1697</v>
      </c>
      <c r="E214" s="12" t="str">
        <f t="shared" si="40"/>
        <v>Jacob Coenraad</v>
      </c>
      <c r="F214" s="8" t="s">
        <v>1698</v>
      </c>
      <c r="G214" s="12" t="str">
        <f t="shared" si="41"/>
        <v>a1b4c1d5</v>
      </c>
      <c r="H214" s="12" t="str">
        <f t="shared" si="42"/>
        <v>BREYTENBACHa1b4c1d5</v>
      </c>
      <c r="J214" s="2" t="s">
        <v>1699</v>
      </c>
      <c r="K214" s="12" t="str">
        <f t="shared" si="43"/>
        <v>1822</v>
      </c>
      <c r="L214" s="2" t="s">
        <v>53</v>
      </c>
      <c r="M214" s="2" t="s">
        <v>1700</v>
      </c>
      <c r="N214" s="12" t="str">
        <f t="shared" si="36"/>
        <v>1822</v>
      </c>
      <c r="O214" s="12" t="str">
        <f t="shared" si="37"/>
        <v>1882</v>
      </c>
      <c r="Q214" s="12" t="str">
        <f t="shared" si="44"/>
        <v>1822</v>
      </c>
      <c r="S214" s="12" t="str">
        <f t="shared" si="45"/>
        <v/>
      </c>
      <c r="T214" s="2" t="s">
        <v>83</v>
      </c>
      <c r="U214" s="2" t="s">
        <v>1701</v>
      </c>
      <c r="V214" s="12" t="str">
        <f t="shared" si="46"/>
        <v>1843</v>
      </c>
      <c r="W214" s="2" t="s">
        <v>1702</v>
      </c>
      <c r="X214" s="2" t="s">
        <v>1586</v>
      </c>
      <c r="Y214" s="2" t="s">
        <v>1703</v>
      </c>
      <c r="AA214" s="2" t="s">
        <v>1704</v>
      </c>
      <c r="AC214" s="2" t="s">
        <v>1705</v>
      </c>
      <c r="AF214" s="2" t="s">
        <v>3677</v>
      </c>
      <c r="AG214" s="2" t="s">
        <v>53</v>
      </c>
      <c r="AH214" s="2" t="s">
        <v>1706</v>
      </c>
      <c r="AI214" s="12" t="str">
        <f t="shared" si="47"/>
        <v>1836</v>
      </c>
      <c r="AJ214" s="2" t="s">
        <v>1696</v>
      </c>
    </row>
    <row r="215" spans="1:69">
      <c r="A215" s="2" t="s">
        <v>1685</v>
      </c>
      <c r="B215" s="12" t="str">
        <f t="shared" si="38"/>
        <v>BREYTENBACH</v>
      </c>
      <c r="C215" s="12" t="str">
        <f t="shared" si="39"/>
        <v>BREYTENBACH</v>
      </c>
      <c r="D215" s="2" t="s">
        <v>1725</v>
      </c>
      <c r="E215" s="12" t="str">
        <f t="shared" si="40"/>
        <v>Johannes Jacob</v>
      </c>
      <c r="F215" s="8" t="s">
        <v>1726</v>
      </c>
      <c r="G215" s="12" t="str">
        <f t="shared" si="41"/>
        <v>a1b4c3</v>
      </c>
      <c r="H215" s="12" t="str">
        <f t="shared" si="42"/>
        <v>BREYTENBACHa1b4c3</v>
      </c>
      <c r="K215" s="12" t="str">
        <f t="shared" si="43"/>
        <v/>
      </c>
      <c r="M215" s="2" t="s">
        <v>1727</v>
      </c>
      <c r="N215" s="12" t="str">
        <f t="shared" si="36"/>
        <v/>
      </c>
      <c r="O215" s="12" t="str">
        <f t="shared" si="37"/>
        <v>1792</v>
      </c>
      <c r="Q215" s="12" t="str">
        <f t="shared" si="44"/>
        <v>1792</v>
      </c>
      <c r="S215" s="12" t="str">
        <f t="shared" si="45"/>
        <v/>
      </c>
      <c r="T215" s="2" t="s">
        <v>53</v>
      </c>
      <c r="U215" s="2" t="s">
        <v>502</v>
      </c>
      <c r="V215" s="12" t="str">
        <f t="shared" si="46"/>
        <v>1823</v>
      </c>
      <c r="W215" s="2" t="s">
        <v>747</v>
      </c>
      <c r="X215" s="2" t="s">
        <v>731</v>
      </c>
      <c r="AF215" s="2" t="s">
        <v>3677</v>
      </c>
      <c r="AG215" s="2" t="s">
        <v>53</v>
      </c>
      <c r="AH215" s="2" t="s">
        <v>1728</v>
      </c>
      <c r="AI215" s="12" t="str">
        <f t="shared" si="47"/>
        <v>1837</v>
      </c>
    </row>
    <row r="216" spans="1:69">
      <c r="A216" s="2" t="s">
        <v>1685</v>
      </c>
      <c r="B216" s="12" t="str">
        <f t="shared" si="38"/>
        <v>BREYTENBACH</v>
      </c>
      <c r="C216" s="12" t="str">
        <f t="shared" si="39"/>
        <v>BREYTENBACH</v>
      </c>
      <c r="D216" s="2" t="s">
        <v>1729</v>
      </c>
      <c r="E216" s="12" t="str">
        <f t="shared" si="40"/>
        <v>Johannes Velter Coenraad Cornelis</v>
      </c>
      <c r="F216" s="2" t="s">
        <v>1730</v>
      </c>
      <c r="G216" s="12" t="str">
        <f t="shared" si="41"/>
        <v>a1b4c4</v>
      </c>
      <c r="H216" s="12" t="str">
        <f t="shared" si="42"/>
        <v>BREYTENBACHa1b4c4</v>
      </c>
      <c r="K216" s="12" t="str">
        <f t="shared" si="43"/>
        <v/>
      </c>
      <c r="M216" s="2" t="s">
        <v>1731</v>
      </c>
      <c r="N216" s="12" t="str">
        <f t="shared" si="36"/>
        <v/>
      </c>
      <c r="O216" s="12" t="str">
        <f t="shared" si="37"/>
        <v>1795</v>
      </c>
      <c r="Q216" s="12" t="str">
        <f t="shared" si="44"/>
        <v>1795</v>
      </c>
      <c r="S216" s="12" t="str">
        <f t="shared" si="45"/>
        <v/>
      </c>
      <c r="U216" s="2" t="s">
        <v>1732</v>
      </c>
      <c r="V216" s="12" t="str">
        <f t="shared" si="46"/>
        <v>1826</v>
      </c>
      <c r="W216" s="2" t="s">
        <v>1733</v>
      </c>
      <c r="X216" s="2" t="s">
        <v>1586</v>
      </c>
      <c r="AF216" s="2" t="s">
        <v>3677</v>
      </c>
      <c r="AG216" s="2" t="s">
        <v>53</v>
      </c>
      <c r="AH216" s="2" t="s">
        <v>1734</v>
      </c>
      <c r="AI216" s="12" t="str">
        <f t="shared" si="47"/>
        <v>1838</v>
      </c>
      <c r="AJ216" s="2" t="s">
        <v>1735</v>
      </c>
      <c r="AK216" s="2" t="s">
        <v>90</v>
      </c>
    </row>
    <row r="217" spans="1:69">
      <c r="A217" s="2" t="s">
        <v>1685</v>
      </c>
      <c r="B217" s="12" t="str">
        <f t="shared" si="38"/>
        <v>BREYTENBACH</v>
      </c>
      <c r="C217" s="12" t="str">
        <f t="shared" si="39"/>
        <v>BREYTENBACH</v>
      </c>
      <c r="D217" s="2" t="s">
        <v>1736</v>
      </c>
      <c r="E217" s="12" t="str">
        <f t="shared" si="40"/>
        <v>Louis Lourens</v>
      </c>
      <c r="F217" s="2" t="s">
        <v>1737</v>
      </c>
      <c r="G217" s="12" t="str">
        <f t="shared" si="41"/>
        <v>a1b6c11</v>
      </c>
      <c r="H217" s="12" t="str">
        <f t="shared" si="42"/>
        <v>BREYTENBACHa1b6c11</v>
      </c>
      <c r="K217" s="12" t="str">
        <f t="shared" si="43"/>
        <v/>
      </c>
      <c r="M217" s="2" t="s">
        <v>1738</v>
      </c>
      <c r="N217" s="12" t="str">
        <f t="shared" si="36"/>
        <v/>
      </c>
      <c r="O217" s="12" t="str">
        <f t="shared" si="37"/>
        <v>1804</v>
      </c>
      <c r="Q217" s="12" t="str">
        <f t="shared" si="44"/>
        <v>1804</v>
      </c>
      <c r="S217" s="12" t="str">
        <f t="shared" si="45"/>
        <v/>
      </c>
      <c r="T217" s="2" t="s">
        <v>32</v>
      </c>
      <c r="U217" s="2" t="s">
        <v>203</v>
      </c>
      <c r="V217" s="12" t="str">
        <f t="shared" si="46"/>
        <v>1817</v>
      </c>
      <c r="W217" s="2" t="s">
        <v>1739</v>
      </c>
      <c r="X217" s="2" t="s">
        <v>757</v>
      </c>
      <c r="AG217" s="2" t="s">
        <v>366</v>
      </c>
      <c r="AH217" s="2" t="s">
        <v>1746</v>
      </c>
      <c r="AI217" s="12" t="str">
        <f t="shared" si="47"/>
        <v>1838</v>
      </c>
      <c r="AJ217" s="2" t="s">
        <v>433</v>
      </c>
      <c r="AK217" s="2" t="s">
        <v>1740</v>
      </c>
      <c r="AL217" s="2" t="s">
        <v>74</v>
      </c>
      <c r="AM217" s="2" t="s">
        <v>1741</v>
      </c>
      <c r="AN217" s="2" t="s">
        <v>1742</v>
      </c>
      <c r="AO217" s="2" t="s">
        <v>772</v>
      </c>
    </row>
    <row r="218" spans="1:69">
      <c r="A218" s="2" t="s">
        <v>1685</v>
      </c>
      <c r="B218" s="12" t="str">
        <f t="shared" si="38"/>
        <v>BREYTENBACH</v>
      </c>
      <c r="C218" s="12" t="str">
        <f t="shared" si="39"/>
        <v>BREYTENBACH</v>
      </c>
      <c r="D218" s="2" t="s">
        <v>1747</v>
      </c>
      <c r="E218" s="12" t="str">
        <f t="shared" si="40"/>
        <v>Wynand Jacobus</v>
      </c>
      <c r="F218" s="2" t="s">
        <v>1748</v>
      </c>
      <c r="G218" s="12" t="str">
        <f t="shared" si="41"/>
        <v>a1b6c7d2</v>
      </c>
      <c r="H218" s="12" t="str">
        <f t="shared" si="42"/>
        <v>BREYTENBACHa1b6c7d2</v>
      </c>
      <c r="J218" s="2" t="s">
        <v>1749</v>
      </c>
      <c r="K218" s="12" t="str">
        <f t="shared" si="43"/>
        <v>1820</v>
      </c>
      <c r="L218" s="2" t="s">
        <v>366</v>
      </c>
      <c r="M218" s="2" t="s">
        <v>1750</v>
      </c>
      <c r="N218" s="12" t="str">
        <f t="shared" si="36"/>
        <v>1820</v>
      </c>
      <c r="O218" s="12" t="str">
        <f t="shared" si="37"/>
        <v>1820</v>
      </c>
      <c r="Q218" s="12" t="str">
        <f t="shared" si="44"/>
        <v>1820</v>
      </c>
      <c r="S218" s="12" t="str">
        <f t="shared" si="45"/>
        <v/>
      </c>
      <c r="V218" s="12" t="str">
        <f t="shared" si="46"/>
        <v/>
      </c>
      <c r="AI218" s="12" t="str">
        <f t="shared" si="47"/>
        <v/>
      </c>
      <c r="AK218" s="2" t="s">
        <v>1751</v>
      </c>
    </row>
    <row r="219" spans="1:69">
      <c r="A219" s="2" t="s">
        <v>725</v>
      </c>
      <c r="B219" s="12" t="str">
        <f t="shared" si="38"/>
        <v>BRITS</v>
      </c>
      <c r="C219" s="12" t="str">
        <f t="shared" si="39"/>
        <v>BRITS</v>
      </c>
      <c r="D219" s="2" t="s">
        <v>1777</v>
      </c>
      <c r="E219" s="12" t="str">
        <f t="shared" si="40"/>
        <v>Marthinus Wessel</v>
      </c>
      <c r="F219" s="2" t="s">
        <v>1778</v>
      </c>
      <c r="G219" s="12" t="str">
        <f t="shared" si="41"/>
        <v>a1b6c10d1E3</v>
      </c>
      <c r="H219" s="12" t="str">
        <f t="shared" si="42"/>
        <v>BRITSa1b6c10d1E3</v>
      </c>
      <c r="J219" s="2" t="s">
        <v>1779</v>
      </c>
      <c r="K219" s="12" t="str">
        <f t="shared" si="43"/>
        <v>1815</v>
      </c>
      <c r="L219" s="2" t="s">
        <v>74</v>
      </c>
      <c r="M219" s="2" t="s">
        <v>1780</v>
      </c>
      <c r="N219" s="12" t="str">
        <f t="shared" si="36"/>
        <v>1815</v>
      </c>
      <c r="O219" s="12" t="str">
        <f t="shared" si="37"/>
        <v>1816</v>
      </c>
      <c r="Q219" s="12" t="str">
        <f t="shared" si="44"/>
        <v>1815</v>
      </c>
      <c r="S219" s="12" t="str">
        <f t="shared" si="45"/>
        <v/>
      </c>
      <c r="T219" s="2" t="s">
        <v>74</v>
      </c>
      <c r="U219" s="2" t="s">
        <v>1781</v>
      </c>
      <c r="V219" s="12" t="str">
        <f t="shared" si="46"/>
        <v>1835</v>
      </c>
      <c r="W219" s="2" t="s">
        <v>1782</v>
      </c>
      <c r="X219" s="2" t="s">
        <v>725</v>
      </c>
      <c r="AE219" s="12"/>
      <c r="AF219" s="12"/>
      <c r="AG219" s="2" t="s">
        <v>74</v>
      </c>
      <c r="AH219" s="2">
        <v>1840</v>
      </c>
      <c r="AI219" s="12" t="str">
        <f t="shared" si="47"/>
        <v>1840</v>
      </c>
    </row>
    <row r="220" spans="1:69">
      <c r="A220" s="2" t="s">
        <v>725</v>
      </c>
      <c r="B220" s="12" t="str">
        <f t="shared" si="38"/>
        <v>BRITS</v>
      </c>
      <c r="C220" s="12" t="str">
        <f t="shared" si="39"/>
        <v>BRITS</v>
      </c>
      <c r="D220" s="2" t="s">
        <v>1764</v>
      </c>
      <c r="E220" s="12" t="str">
        <f t="shared" si="40"/>
        <v>Jan</v>
      </c>
      <c r="F220" s="2" t="s">
        <v>1765</v>
      </c>
      <c r="G220" s="12" t="str">
        <f t="shared" si="41"/>
        <v>a1b6c3d2e3f2</v>
      </c>
      <c r="H220" s="12" t="str">
        <f t="shared" si="42"/>
        <v>BRITSa1b6c3d2e3f2</v>
      </c>
      <c r="J220" s="2" t="s">
        <v>1766</v>
      </c>
      <c r="K220" s="12" t="str">
        <f t="shared" si="43"/>
        <v>1803</v>
      </c>
      <c r="L220" s="2" t="s">
        <v>542</v>
      </c>
      <c r="M220" s="2" t="s">
        <v>1767</v>
      </c>
      <c r="N220" s="12" t="str">
        <f t="shared" si="36"/>
        <v>1803</v>
      </c>
      <c r="O220" s="12" t="str">
        <f t="shared" si="37"/>
        <v>1804</v>
      </c>
      <c r="Q220" s="12" t="str">
        <f t="shared" si="44"/>
        <v>1803</v>
      </c>
      <c r="R220" s="2" t="s">
        <v>1768</v>
      </c>
      <c r="S220" s="12" t="str">
        <f t="shared" si="45"/>
        <v>1869</v>
      </c>
      <c r="T220" s="2" t="s">
        <v>28</v>
      </c>
      <c r="U220" s="2" t="s">
        <v>1769</v>
      </c>
      <c r="V220" s="12" t="str">
        <f t="shared" si="46"/>
        <v>1825</v>
      </c>
      <c r="W220" s="2" t="s">
        <v>1770</v>
      </c>
      <c r="X220" s="2" t="s">
        <v>1771</v>
      </c>
      <c r="Y220" s="2" t="s">
        <v>1772</v>
      </c>
      <c r="AC220" s="2" t="s">
        <v>1773</v>
      </c>
      <c r="AD220" s="2" t="s">
        <v>1774</v>
      </c>
      <c r="AE220" s="2" t="s">
        <v>1775</v>
      </c>
      <c r="AG220" s="2" t="s">
        <v>60</v>
      </c>
      <c r="AI220" s="12" t="str">
        <f t="shared" si="47"/>
        <v/>
      </c>
      <c r="BQ220" s="2" t="s">
        <v>1776</v>
      </c>
    </row>
    <row r="221" spans="1:69">
      <c r="A221" s="2" t="s">
        <v>725</v>
      </c>
      <c r="B221" s="12" t="str">
        <f t="shared" si="38"/>
        <v>BRITS</v>
      </c>
      <c r="C221" s="12" t="str">
        <f t="shared" si="39"/>
        <v>BRITS</v>
      </c>
      <c r="D221" s="2" t="s">
        <v>1752</v>
      </c>
      <c r="E221" s="12" t="str">
        <f t="shared" si="40"/>
        <v>Christiaan Pieter</v>
      </c>
      <c r="F221" s="2" t="s">
        <v>1753</v>
      </c>
      <c r="G221" s="12" t="str">
        <f t="shared" si="41"/>
        <v>a1b6c7d10</v>
      </c>
      <c r="H221" s="12" t="str">
        <f t="shared" si="42"/>
        <v>BRITSa1b6c7d10</v>
      </c>
      <c r="K221" s="12" t="str">
        <f t="shared" si="43"/>
        <v/>
      </c>
      <c r="M221" s="2" t="s">
        <v>1754</v>
      </c>
      <c r="N221" s="12" t="str">
        <f t="shared" si="36"/>
        <v/>
      </c>
      <c r="O221" s="12" t="str">
        <f t="shared" si="37"/>
        <v>1792</v>
      </c>
      <c r="Q221" s="12" t="str">
        <f t="shared" si="44"/>
        <v>1792</v>
      </c>
      <c r="S221" s="12" t="str">
        <f t="shared" si="45"/>
        <v/>
      </c>
      <c r="T221" s="2" t="s">
        <v>74</v>
      </c>
      <c r="U221" s="2" t="s">
        <v>590</v>
      </c>
      <c r="V221" s="12" t="str">
        <f t="shared" si="46"/>
        <v>1821</v>
      </c>
      <c r="W221" s="2" t="s">
        <v>720</v>
      </c>
      <c r="X221" s="2" t="s">
        <v>776</v>
      </c>
      <c r="Y221" s="2" t="s">
        <v>1755</v>
      </c>
      <c r="AC221" s="2" t="s">
        <v>1756</v>
      </c>
      <c r="AG221" s="2" t="s">
        <v>74</v>
      </c>
      <c r="AH221" s="2">
        <v>1838</v>
      </c>
      <c r="AI221" s="12" t="str">
        <f t="shared" si="47"/>
        <v>1838</v>
      </c>
      <c r="AK221" s="2" t="s">
        <v>551</v>
      </c>
    </row>
    <row r="222" spans="1:69">
      <c r="A222" s="2" t="s">
        <v>725</v>
      </c>
      <c r="B222" s="12" t="str">
        <f t="shared" si="38"/>
        <v>BRITS</v>
      </c>
      <c r="C222" s="12" t="str">
        <f t="shared" si="39"/>
        <v>BRITS</v>
      </c>
      <c r="D222" s="2" t="s">
        <v>1464</v>
      </c>
      <c r="E222" s="12" t="str">
        <f t="shared" si="40"/>
        <v>Willem</v>
      </c>
      <c r="F222" s="2" t="s">
        <v>1783</v>
      </c>
      <c r="G222" s="12" t="str">
        <f t="shared" si="41"/>
        <v>a1b6c7d13</v>
      </c>
      <c r="H222" s="12" t="str">
        <f t="shared" si="42"/>
        <v>BRITSa1b6c7d13</v>
      </c>
      <c r="K222" s="12" t="str">
        <f t="shared" si="43"/>
        <v/>
      </c>
      <c r="N222" s="12" t="str">
        <f t="shared" si="36"/>
        <v/>
      </c>
      <c r="O222" s="12" t="str">
        <f t="shared" si="37"/>
        <v/>
      </c>
      <c r="P222" s="2" t="s">
        <v>190</v>
      </c>
      <c r="Q222" s="12" t="str">
        <f t="shared" si="44"/>
        <v/>
      </c>
      <c r="R222" s="2" t="s">
        <v>1784</v>
      </c>
      <c r="S222" s="12" t="str">
        <f t="shared" si="45"/>
        <v>1877</v>
      </c>
      <c r="T222" s="2" t="s">
        <v>74</v>
      </c>
      <c r="U222" s="2" t="s">
        <v>1403</v>
      </c>
      <c r="V222" s="12" t="str">
        <f t="shared" si="46"/>
        <v>1820</v>
      </c>
      <c r="W222" s="2" t="s">
        <v>1297</v>
      </c>
      <c r="X222" s="2" t="s">
        <v>725</v>
      </c>
      <c r="AG222" s="2" t="s">
        <v>74</v>
      </c>
      <c r="AH222" s="2">
        <v>1834</v>
      </c>
      <c r="AI222" s="12" t="str">
        <f t="shared" si="47"/>
        <v>1834</v>
      </c>
      <c r="BQ222" s="2" t="s">
        <v>1785</v>
      </c>
    </row>
    <row r="223" spans="1:69">
      <c r="A223" s="12" t="s">
        <v>778</v>
      </c>
      <c r="B223" s="12" t="str">
        <f t="shared" si="38"/>
        <v>BRONKHORST</v>
      </c>
      <c r="C223" s="12" t="str">
        <f t="shared" si="39"/>
        <v>BRONKHORST</v>
      </c>
      <c r="D223" s="2" t="s">
        <v>1903</v>
      </c>
      <c r="E223" s="12" t="str">
        <f t="shared" si="40"/>
        <v>Sara Johanna</v>
      </c>
      <c r="F223" s="2" t="s">
        <v>1904</v>
      </c>
      <c r="G223" s="12" t="str">
        <f t="shared" si="41"/>
        <v>a1b6c1d3</v>
      </c>
      <c r="H223" s="12" t="str">
        <f t="shared" si="42"/>
        <v>BRONKHORSTa1b6c1d3</v>
      </c>
      <c r="K223" s="12" t="str">
        <f t="shared" si="43"/>
        <v/>
      </c>
      <c r="M223" s="2" t="s">
        <v>1905</v>
      </c>
      <c r="N223" s="12" t="str">
        <f t="shared" si="36"/>
        <v/>
      </c>
      <c r="O223" s="12" t="str">
        <f t="shared" si="37"/>
        <v>1793</v>
      </c>
      <c r="Q223" s="12" t="str">
        <f t="shared" si="44"/>
        <v>1793</v>
      </c>
      <c r="S223" s="12" t="str">
        <f t="shared" si="45"/>
        <v/>
      </c>
      <c r="T223" s="2" t="s">
        <v>32</v>
      </c>
      <c r="U223" s="2" t="s">
        <v>1906</v>
      </c>
      <c r="V223" s="12" t="str">
        <f t="shared" si="46"/>
        <v>1809</v>
      </c>
      <c r="W223" s="2" t="s">
        <v>237</v>
      </c>
      <c r="X223" s="2" t="s">
        <v>1907</v>
      </c>
      <c r="Y223" s="2" t="s">
        <v>1908</v>
      </c>
      <c r="AC223" s="2" t="s">
        <v>1909</v>
      </c>
      <c r="AH223" s="2" t="s">
        <v>1910</v>
      </c>
      <c r="AI223" s="12" t="str">
        <f t="shared" si="47"/>
        <v>1840</v>
      </c>
      <c r="AK223" s="2" t="s">
        <v>1911</v>
      </c>
      <c r="BQ223" s="2" t="s">
        <v>1912</v>
      </c>
    </row>
    <row r="224" spans="1:69">
      <c r="A224" s="12" t="s">
        <v>778</v>
      </c>
      <c r="B224" s="12" t="str">
        <f t="shared" si="38"/>
        <v>BRONKHORST</v>
      </c>
      <c r="C224" s="12" t="str">
        <f t="shared" si="39"/>
        <v>BRONKHORST</v>
      </c>
      <c r="D224" s="2" t="s">
        <v>1859</v>
      </c>
      <c r="E224" s="12" t="str">
        <f t="shared" si="40"/>
        <v>Lucas Cornelius</v>
      </c>
      <c r="F224" s="2" t="s">
        <v>1860</v>
      </c>
      <c r="G224" s="12" t="str">
        <f t="shared" si="41"/>
        <v>a1b6c1d4</v>
      </c>
      <c r="H224" s="12" t="str">
        <f t="shared" si="42"/>
        <v>BRONKHORSTa1b6c1d4</v>
      </c>
      <c r="K224" s="12" t="str">
        <f t="shared" si="43"/>
        <v/>
      </c>
      <c r="M224" s="2" t="s">
        <v>1861</v>
      </c>
      <c r="N224" s="12" t="str">
        <f t="shared" si="36"/>
        <v/>
      </c>
      <c r="O224" s="12" t="str">
        <f t="shared" si="37"/>
        <v>1795</v>
      </c>
      <c r="Q224" s="12" t="str">
        <f t="shared" si="44"/>
        <v>1795</v>
      </c>
      <c r="S224" s="12" t="str">
        <f t="shared" si="45"/>
        <v/>
      </c>
      <c r="T224" s="2" t="s">
        <v>74</v>
      </c>
      <c r="U224" s="2" t="s">
        <v>1862</v>
      </c>
      <c r="V224" s="12" t="str">
        <f t="shared" si="46"/>
        <v>1818</v>
      </c>
      <c r="W224" s="2" t="s">
        <v>1863</v>
      </c>
      <c r="X224" s="2" t="s">
        <v>1136</v>
      </c>
      <c r="AG224" s="2" t="s">
        <v>366</v>
      </c>
      <c r="AI224" s="12" t="str">
        <f t="shared" si="47"/>
        <v/>
      </c>
      <c r="AK224" s="2" t="s">
        <v>1864</v>
      </c>
    </row>
    <row r="225" spans="1:69">
      <c r="A225" s="2" t="s">
        <v>778</v>
      </c>
      <c r="B225" s="12" t="str">
        <f t="shared" si="38"/>
        <v>BRONKHORST</v>
      </c>
      <c r="C225" s="12" t="str">
        <f t="shared" si="39"/>
        <v>BRONKHORST</v>
      </c>
      <c r="D225" s="2" t="s">
        <v>1834</v>
      </c>
      <c r="E225" s="12" t="str">
        <f t="shared" si="40"/>
        <v>Johannes Gerhardus Stephanus</v>
      </c>
      <c r="F225" s="2" t="s">
        <v>1835</v>
      </c>
      <c r="G225" s="12" t="str">
        <f t="shared" si="41"/>
        <v>a1b6c1d5</v>
      </c>
      <c r="H225" s="12" t="str">
        <f t="shared" si="42"/>
        <v>BRONKHORSTa1b6c1d5</v>
      </c>
      <c r="J225" s="2" t="s">
        <v>1836</v>
      </c>
      <c r="K225" s="12" t="str">
        <f t="shared" si="43"/>
        <v>1798</v>
      </c>
      <c r="M225" s="2" t="s">
        <v>232</v>
      </c>
      <c r="N225" s="12" t="str">
        <f t="shared" si="36"/>
        <v>1798</v>
      </c>
      <c r="O225" s="12" t="str">
        <f t="shared" si="37"/>
        <v>1799</v>
      </c>
      <c r="P225" s="2" t="s">
        <v>155</v>
      </c>
      <c r="Q225" s="12" t="str">
        <f t="shared" si="44"/>
        <v>1798</v>
      </c>
      <c r="R225" s="2" t="s">
        <v>1837</v>
      </c>
      <c r="S225" s="12" t="str">
        <f t="shared" si="45"/>
        <v>1848</v>
      </c>
      <c r="T225" s="2" t="s">
        <v>366</v>
      </c>
      <c r="U225" s="2" t="s">
        <v>508</v>
      </c>
      <c r="V225" s="12" t="str">
        <f t="shared" si="46"/>
        <v>1821</v>
      </c>
      <c r="W225" s="2" t="s">
        <v>1838</v>
      </c>
      <c r="X225" s="2" t="s">
        <v>1320</v>
      </c>
      <c r="Y225" s="2" t="s">
        <v>1839</v>
      </c>
      <c r="AC225" s="2" t="s">
        <v>1840</v>
      </c>
      <c r="AE225" s="2">
        <v>1850</v>
      </c>
      <c r="AG225" s="2" t="s">
        <v>366</v>
      </c>
      <c r="AH225" s="2">
        <v>1836</v>
      </c>
      <c r="AI225" s="12" t="str">
        <f t="shared" si="47"/>
        <v>1836</v>
      </c>
      <c r="AJ225" s="2" t="s">
        <v>379</v>
      </c>
      <c r="AK225" s="2" t="s">
        <v>155</v>
      </c>
      <c r="BQ225" s="2" t="s">
        <v>1841</v>
      </c>
    </row>
    <row r="226" spans="1:69">
      <c r="A226" s="2" t="s">
        <v>778</v>
      </c>
      <c r="B226" s="12" t="str">
        <f t="shared" si="38"/>
        <v>BRONKHORST</v>
      </c>
      <c r="C226" s="12" t="str">
        <f t="shared" si="39"/>
        <v>BRONKHORST</v>
      </c>
      <c r="D226" s="2" t="s">
        <v>1882</v>
      </c>
      <c r="E226" s="12" t="str">
        <f t="shared" si="40"/>
        <v>Rudolph Johannes</v>
      </c>
      <c r="F226" s="2" t="s">
        <v>1883</v>
      </c>
      <c r="G226" s="12" t="str">
        <f t="shared" si="41"/>
        <v>a1b6c1d5e1</v>
      </c>
      <c r="H226" s="12" t="str">
        <f t="shared" si="42"/>
        <v>BRONKHORSTa1b6c1d5e1</v>
      </c>
      <c r="J226" s="2" t="s">
        <v>1884</v>
      </c>
      <c r="K226" s="12" t="str">
        <f t="shared" si="43"/>
        <v>1822</v>
      </c>
      <c r="L226" s="2" t="s">
        <v>366</v>
      </c>
      <c r="M226" s="2" t="s">
        <v>1885</v>
      </c>
      <c r="N226" s="12" t="str">
        <f t="shared" si="36"/>
        <v>1822</v>
      </c>
      <c r="O226" s="12" t="str">
        <f t="shared" si="37"/>
        <v>1822</v>
      </c>
      <c r="Q226" s="12" t="str">
        <f t="shared" si="44"/>
        <v>1822</v>
      </c>
      <c r="R226" s="2" t="s">
        <v>1886</v>
      </c>
      <c r="S226" s="12" t="str">
        <f t="shared" si="45"/>
        <v>1836</v>
      </c>
      <c r="V226" s="12" t="str">
        <f t="shared" si="46"/>
        <v/>
      </c>
      <c r="AG226" s="2" t="s">
        <v>366</v>
      </c>
      <c r="AH226" s="2">
        <v>1836</v>
      </c>
      <c r="AI226" s="12" t="str">
        <f t="shared" si="47"/>
        <v>1836</v>
      </c>
      <c r="AJ226" s="2" t="s">
        <v>379</v>
      </c>
      <c r="BQ226" s="2" t="s">
        <v>1887</v>
      </c>
    </row>
    <row r="227" spans="1:69">
      <c r="A227" s="12" t="s">
        <v>778</v>
      </c>
      <c r="B227" s="12" t="str">
        <f t="shared" si="38"/>
        <v>BRONKHORST</v>
      </c>
      <c r="C227" s="12" t="str">
        <f t="shared" si="39"/>
        <v>BRONKHORST</v>
      </c>
      <c r="D227" s="12" t="s">
        <v>1786</v>
      </c>
      <c r="E227" s="12" t="str">
        <f t="shared" si="40"/>
        <v>Gysbert</v>
      </c>
      <c r="F227" s="12" t="s">
        <v>1787</v>
      </c>
      <c r="G227" s="12" t="str">
        <f t="shared" si="41"/>
        <v>a1b6c4</v>
      </c>
      <c r="H227" s="12" t="str">
        <f t="shared" si="42"/>
        <v>BRONKHORSTa1b6c4</v>
      </c>
      <c r="I227" s="12"/>
      <c r="J227" s="12"/>
      <c r="K227" s="12" t="str">
        <f t="shared" si="43"/>
        <v/>
      </c>
      <c r="L227" s="12"/>
      <c r="M227" s="12" t="s">
        <v>1788</v>
      </c>
      <c r="N227" s="12" t="str">
        <f t="shared" si="36"/>
        <v/>
      </c>
      <c r="O227" s="12" t="str">
        <f t="shared" si="37"/>
        <v>1765</v>
      </c>
      <c r="P227" s="12" t="s">
        <v>1790</v>
      </c>
      <c r="Q227" s="12" t="str">
        <f t="shared" si="44"/>
        <v>1765</v>
      </c>
      <c r="R227" s="12" t="s">
        <v>1789</v>
      </c>
      <c r="S227" s="12" t="str">
        <f t="shared" si="45"/>
        <v>1836</v>
      </c>
      <c r="T227" s="12"/>
      <c r="U227" s="12" t="s">
        <v>1791</v>
      </c>
      <c r="V227" s="12" t="str">
        <f t="shared" si="46"/>
        <v>1787</v>
      </c>
      <c r="W227" s="12" t="s">
        <v>1792</v>
      </c>
      <c r="X227" s="12" t="s">
        <v>1167</v>
      </c>
      <c r="Y227" s="12" t="s">
        <v>1793</v>
      </c>
      <c r="Z227" s="12"/>
      <c r="AA227" s="12"/>
      <c r="AB227" s="12" t="s">
        <v>542</v>
      </c>
      <c r="AC227" s="12" t="s">
        <v>1794</v>
      </c>
      <c r="AD227" s="12" t="s">
        <v>1790</v>
      </c>
      <c r="AE227" s="12" t="s">
        <v>1795</v>
      </c>
      <c r="AF227" s="12" t="s">
        <v>16</v>
      </c>
      <c r="AG227" s="12" t="s">
        <v>68</v>
      </c>
      <c r="AH227" s="12">
        <v>1835</v>
      </c>
      <c r="AI227" s="12" t="str">
        <f t="shared" si="47"/>
        <v>1835</v>
      </c>
      <c r="AJ227" s="12" t="s">
        <v>1802</v>
      </c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</row>
    <row r="228" spans="1:69">
      <c r="A228" s="12" t="s">
        <v>778</v>
      </c>
      <c r="B228" s="12" t="str">
        <f t="shared" si="38"/>
        <v>BRONKHORST</v>
      </c>
      <c r="C228" s="12" t="str">
        <f t="shared" si="39"/>
        <v>BRONKHORST</v>
      </c>
      <c r="D228" s="12" t="s">
        <v>30</v>
      </c>
      <c r="E228" s="12" t="str">
        <f t="shared" si="40"/>
        <v>Johannes</v>
      </c>
      <c r="F228" s="12" t="s">
        <v>1827</v>
      </c>
      <c r="G228" s="12" t="str">
        <f t="shared" si="41"/>
        <v>a1b6c4d1</v>
      </c>
      <c r="H228" s="12" t="str">
        <f t="shared" si="42"/>
        <v>BRONKHORSTa1b6c4d1</v>
      </c>
      <c r="I228" s="12"/>
      <c r="J228" s="12" t="s">
        <v>1828</v>
      </c>
      <c r="K228" s="12" t="str">
        <f t="shared" si="43"/>
        <v>1787</v>
      </c>
      <c r="L228" s="12" t="s">
        <v>1071</v>
      </c>
      <c r="M228" s="12" t="s">
        <v>1829</v>
      </c>
      <c r="N228" s="12" t="str">
        <f t="shared" si="36"/>
        <v>1787</v>
      </c>
      <c r="O228" s="12" t="str">
        <f t="shared" si="37"/>
        <v>1791</v>
      </c>
      <c r="P228" s="12"/>
      <c r="Q228" s="12" t="str">
        <f t="shared" si="44"/>
        <v>1787</v>
      </c>
      <c r="R228" s="12"/>
      <c r="S228" s="12" t="str">
        <f t="shared" si="45"/>
        <v/>
      </c>
      <c r="T228" s="12" t="s">
        <v>74</v>
      </c>
      <c r="U228" s="12" t="s">
        <v>1830</v>
      </c>
      <c r="V228" s="12" t="str">
        <f t="shared" si="46"/>
        <v>1813</v>
      </c>
      <c r="W228" s="12" t="s">
        <v>1831</v>
      </c>
      <c r="X228" s="12" t="s">
        <v>669</v>
      </c>
      <c r="Y228" s="12" t="s">
        <v>1832</v>
      </c>
      <c r="Z228" s="12"/>
      <c r="AA228" s="12"/>
      <c r="AB228" s="12"/>
      <c r="AC228" s="12" t="s">
        <v>1833</v>
      </c>
      <c r="AD228" s="12"/>
      <c r="AE228" s="12"/>
      <c r="AF228" s="12" t="s">
        <v>3699</v>
      </c>
      <c r="AG228" s="12" t="s">
        <v>68</v>
      </c>
      <c r="AH228" s="12" t="s">
        <v>1711</v>
      </c>
      <c r="AI228" s="12" t="str">
        <f t="shared" si="47"/>
        <v>1839</v>
      </c>
      <c r="AJ228" s="12"/>
      <c r="AK228" s="12" t="s">
        <v>140</v>
      </c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</row>
    <row r="229" spans="1:69">
      <c r="A229" s="2" t="s">
        <v>778</v>
      </c>
      <c r="B229" s="12" t="str">
        <f t="shared" si="38"/>
        <v>BRONKHORST</v>
      </c>
      <c r="C229" s="12" t="str">
        <f t="shared" si="39"/>
        <v>BRONKHORST</v>
      </c>
      <c r="D229" s="2" t="s">
        <v>1877</v>
      </c>
      <c r="E229" s="12" t="str">
        <f t="shared" si="40"/>
        <v>Nicolaas Jacobus</v>
      </c>
      <c r="F229" s="12" t="s">
        <v>1878</v>
      </c>
      <c r="G229" s="12" t="str">
        <f t="shared" si="41"/>
        <v>a1b6c4d1e3</v>
      </c>
      <c r="H229" s="12" t="str">
        <f t="shared" si="42"/>
        <v>BRONKHORSTa1b6c4d1e3</v>
      </c>
      <c r="J229" s="2" t="s">
        <v>1879</v>
      </c>
      <c r="K229" s="12" t="str">
        <f t="shared" si="43"/>
        <v>1825</v>
      </c>
      <c r="L229" s="2" t="s">
        <v>68</v>
      </c>
      <c r="M229" s="2" t="s">
        <v>1880</v>
      </c>
      <c r="N229" s="12" t="str">
        <f t="shared" si="36"/>
        <v>1825</v>
      </c>
      <c r="O229" s="12" t="str">
        <f t="shared" si="37"/>
        <v>1826</v>
      </c>
      <c r="Q229" s="12" t="str">
        <f t="shared" si="44"/>
        <v>1825</v>
      </c>
      <c r="S229" s="12" t="str">
        <f t="shared" si="45"/>
        <v/>
      </c>
      <c r="V229" s="12" t="str">
        <f t="shared" si="46"/>
        <v/>
      </c>
      <c r="AF229" s="2" t="s">
        <v>3699</v>
      </c>
      <c r="AG229" s="2" t="s">
        <v>68</v>
      </c>
      <c r="AH229" s="2" t="s">
        <v>1711</v>
      </c>
      <c r="AI229" s="12" t="str">
        <f t="shared" si="47"/>
        <v>1839</v>
      </c>
      <c r="AK229" s="2" t="s">
        <v>155</v>
      </c>
    </row>
    <row r="230" spans="1:69">
      <c r="A230" s="2" t="s">
        <v>778</v>
      </c>
      <c r="B230" s="12" t="str">
        <f t="shared" si="38"/>
        <v>BRONKHORST</v>
      </c>
      <c r="C230" s="12" t="str">
        <f t="shared" si="39"/>
        <v>BRONKHORST</v>
      </c>
      <c r="D230" s="2" t="s">
        <v>1796</v>
      </c>
      <c r="E230" s="12" t="str">
        <f t="shared" si="40"/>
        <v>Gysbert Sybrand Sr</v>
      </c>
      <c r="F230" s="12" t="s">
        <v>1797</v>
      </c>
      <c r="G230" s="12" t="str">
        <f t="shared" si="41"/>
        <v>a1b6c4d4</v>
      </c>
      <c r="H230" s="12" t="str">
        <f t="shared" si="42"/>
        <v>BRONKHORSTa1b6c4d4</v>
      </c>
      <c r="K230" s="12" t="str">
        <f t="shared" si="43"/>
        <v/>
      </c>
      <c r="M230" s="2" t="s">
        <v>1798</v>
      </c>
      <c r="N230" s="12" t="str">
        <f t="shared" si="36"/>
        <v/>
      </c>
      <c r="O230" s="12" t="str">
        <f t="shared" si="37"/>
        <v>1795</v>
      </c>
      <c r="P230" s="2" t="s">
        <v>1790</v>
      </c>
      <c r="Q230" s="12" t="str">
        <f t="shared" si="44"/>
        <v>1795</v>
      </c>
      <c r="R230" s="2" t="s">
        <v>1789</v>
      </c>
      <c r="S230" s="12" t="str">
        <f t="shared" si="45"/>
        <v>1836</v>
      </c>
      <c r="T230" s="2" t="s">
        <v>74</v>
      </c>
      <c r="U230" s="2" t="s">
        <v>1799</v>
      </c>
      <c r="V230" s="12" t="str">
        <f t="shared" si="46"/>
        <v>1814</v>
      </c>
      <c r="W230" s="2" t="s">
        <v>1800</v>
      </c>
      <c r="X230" s="2" t="s">
        <v>655</v>
      </c>
      <c r="Y230" s="2" t="s">
        <v>1801</v>
      </c>
      <c r="AC230" s="2" t="s">
        <v>501</v>
      </c>
      <c r="AF230" s="2" t="s">
        <v>16</v>
      </c>
      <c r="AG230" s="2" t="s">
        <v>68</v>
      </c>
      <c r="AH230" s="2">
        <v>1835</v>
      </c>
      <c r="AI230" s="12" t="str">
        <f t="shared" si="47"/>
        <v>1835</v>
      </c>
      <c r="AJ230" s="2" t="s">
        <v>1802</v>
      </c>
    </row>
    <row r="231" spans="1:69">
      <c r="A231" s="2" t="s">
        <v>778</v>
      </c>
      <c r="B231" s="12" t="str">
        <f t="shared" si="38"/>
        <v>BRONKHORST</v>
      </c>
      <c r="C231" s="12" t="str">
        <f t="shared" si="39"/>
        <v>BRONKHORST</v>
      </c>
      <c r="D231" s="2" t="s">
        <v>1803</v>
      </c>
      <c r="E231" s="12" t="str">
        <f t="shared" si="40"/>
        <v>Gysbert Sybrand Jr</v>
      </c>
      <c r="F231" s="12" t="s">
        <v>1804</v>
      </c>
      <c r="G231" s="12" t="str">
        <f t="shared" si="41"/>
        <v>a1b6c4d4e2</v>
      </c>
      <c r="H231" s="12" t="str">
        <f t="shared" si="42"/>
        <v>BRONKHORSTa1b6c4d4e2</v>
      </c>
      <c r="J231" s="2" t="s">
        <v>1805</v>
      </c>
      <c r="K231" s="12" t="str">
        <f t="shared" si="43"/>
        <v>1818</v>
      </c>
      <c r="L231" s="2" t="s">
        <v>74</v>
      </c>
      <c r="M231" s="2" t="s">
        <v>1806</v>
      </c>
      <c r="N231" s="12" t="str">
        <f t="shared" si="36"/>
        <v>1818</v>
      </c>
      <c r="O231" s="12" t="str">
        <f t="shared" si="37"/>
        <v>1818</v>
      </c>
      <c r="P231" s="2" t="s">
        <v>1790</v>
      </c>
      <c r="Q231" s="12" t="str">
        <f t="shared" si="44"/>
        <v>1818</v>
      </c>
      <c r="R231" s="2" t="s">
        <v>1789</v>
      </c>
      <c r="S231" s="12" t="str">
        <f t="shared" si="45"/>
        <v>1836</v>
      </c>
      <c r="T231" s="2" t="s">
        <v>28</v>
      </c>
      <c r="U231" s="2" t="s">
        <v>1807</v>
      </c>
      <c r="V231" s="12" t="str">
        <f t="shared" si="46"/>
        <v>1834</v>
      </c>
      <c r="W231" s="2" t="s">
        <v>1808</v>
      </c>
      <c r="X231" s="2" t="s">
        <v>669</v>
      </c>
      <c r="AD231" s="2" t="s">
        <v>1790</v>
      </c>
      <c r="AE231" s="2" t="s">
        <v>1795</v>
      </c>
      <c r="AF231" s="2" t="s">
        <v>16</v>
      </c>
      <c r="AG231" s="2" t="s">
        <v>68</v>
      </c>
      <c r="AH231" s="2">
        <v>1835</v>
      </c>
      <c r="AI231" s="12" t="str">
        <f t="shared" si="47"/>
        <v>1835</v>
      </c>
      <c r="AJ231" s="2" t="s">
        <v>1802</v>
      </c>
    </row>
    <row r="232" spans="1:69">
      <c r="A232" s="2" t="s">
        <v>778</v>
      </c>
      <c r="B232" s="12" t="str">
        <f t="shared" si="38"/>
        <v>BRONKHORST</v>
      </c>
      <c r="C232" s="12" t="str">
        <f t="shared" si="39"/>
        <v>BRONKHORST</v>
      </c>
      <c r="D232" s="2" t="s">
        <v>2791</v>
      </c>
      <c r="E232" s="12" t="str">
        <f t="shared" si="40"/>
        <v>Hendrik Lambertus</v>
      </c>
      <c r="F232" s="12" t="s">
        <v>2792</v>
      </c>
      <c r="G232" s="12" t="str">
        <f t="shared" si="41"/>
        <v>a1b6c5</v>
      </c>
      <c r="H232" s="12" t="str">
        <f t="shared" si="42"/>
        <v>BRONKHORSTa1b6c5</v>
      </c>
      <c r="J232" s="2" t="s">
        <v>2793</v>
      </c>
      <c r="K232" s="12" t="str">
        <f t="shared" si="43"/>
        <v>1768</v>
      </c>
      <c r="M232" s="2" t="s">
        <v>2794</v>
      </c>
      <c r="N232" s="12" t="str">
        <f t="shared" si="36"/>
        <v>1768</v>
      </c>
      <c r="O232" s="12" t="str">
        <f t="shared" si="37"/>
        <v>1768</v>
      </c>
      <c r="P232" s="2" t="s">
        <v>140</v>
      </c>
      <c r="Q232" s="12" t="str">
        <f t="shared" si="44"/>
        <v>1768</v>
      </c>
      <c r="R232" s="2" t="s">
        <v>490</v>
      </c>
      <c r="S232" s="12" t="str">
        <f t="shared" si="45"/>
        <v>1844</v>
      </c>
      <c r="U232" s="2" t="s">
        <v>2795</v>
      </c>
      <c r="V232" s="12" t="str">
        <f t="shared" si="46"/>
        <v>1792</v>
      </c>
      <c r="W232" s="2" t="s">
        <v>2797</v>
      </c>
      <c r="X232" s="2" t="s">
        <v>2086</v>
      </c>
      <c r="AF232" s="2" t="s">
        <v>3703</v>
      </c>
      <c r="AG232" s="2" t="s">
        <v>366</v>
      </c>
      <c r="AH232" s="2">
        <v>1836</v>
      </c>
      <c r="AI232" s="12" t="str">
        <f t="shared" si="47"/>
        <v>1836</v>
      </c>
      <c r="AJ232" s="2" t="s">
        <v>379</v>
      </c>
      <c r="AL232" s="2" t="s">
        <v>366</v>
      </c>
      <c r="AM232" s="2" t="s">
        <v>2796</v>
      </c>
      <c r="AN232" s="2" t="s">
        <v>1823</v>
      </c>
      <c r="AO232" s="2" t="s">
        <v>2703</v>
      </c>
    </row>
    <row r="233" spans="1:69">
      <c r="A233" s="2" t="s">
        <v>778</v>
      </c>
      <c r="B233" s="12" t="str">
        <f t="shared" si="38"/>
        <v>BRONKHORST</v>
      </c>
      <c r="C233" s="12" t="str">
        <f t="shared" si="39"/>
        <v>BRONKHORST</v>
      </c>
      <c r="D233" s="2" t="s">
        <v>1826</v>
      </c>
      <c r="E233" s="12" t="str">
        <f t="shared" si="40"/>
        <v>Jacob Mattheus</v>
      </c>
      <c r="F233" s="12" t="s">
        <v>1819</v>
      </c>
      <c r="G233" s="12" t="str">
        <f t="shared" si="41"/>
        <v>a1b6c5d10</v>
      </c>
      <c r="H233" s="12" t="str">
        <f t="shared" si="42"/>
        <v>BRONKHORSTa1b6c5d10</v>
      </c>
      <c r="J233" s="2" t="s">
        <v>1820</v>
      </c>
      <c r="K233" s="12" t="str">
        <f t="shared" si="43"/>
        <v>1811</v>
      </c>
      <c r="L233" s="2" t="s">
        <v>74</v>
      </c>
      <c r="M233" s="2" t="s">
        <v>1821</v>
      </c>
      <c r="N233" s="12" t="str">
        <f t="shared" si="36"/>
        <v>1811</v>
      </c>
      <c r="O233" s="12" t="str">
        <f t="shared" si="37"/>
        <v>1811</v>
      </c>
      <c r="Q233" s="12" t="str">
        <f t="shared" si="44"/>
        <v>1811</v>
      </c>
      <c r="R233" s="2">
        <v>1853</v>
      </c>
      <c r="S233" s="12" t="str">
        <f t="shared" si="45"/>
        <v>1853</v>
      </c>
      <c r="T233" s="2" t="s">
        <v>366</v>
      </c>
      <c r="U233" s="2" t="s">
        <v>1822</v>
      </c>
      <c r="V233" s="12" t="str">
        <f t="shared" si="46"/>
        <v>1835</v>
      </c>
      <c r="W233" s="2" t="s">
        <v>1823</v>
      </c>
      <c r="X233" s="2" t="s">
        <v>1824</v>
      </c>
      <c r="AG233" s="2" t="s">
        <v>366</v>
      </c>
      <c r="AH233" s="2">
        <v>1842</v>
      </c>
      <c r="AI233" s="12" t="str">
        <f t="shared" si="47"/>
        <v>1842</v>
      </c>
      <c r="AK233" s="2" t="s">
        <v>1317</v>
      </c>
      <c r="AN233" s="2" t="s">
        <v>1825</v>
      </c>
      <c r="AO233" s="2" t="s">
        <v>780</v>
      </c>
    </row>
    <row r="234" spans="1:69">
      <c r="A234" s="2" t="s">
        <v>778</v>
      </c>
      <c r="B234" s="12" t="str">
        <f t="shared" si="38"/>
        <v>BRONKHORST</v>
      </c>
      <c r="C234" s="12" t="str">
        <f t="shared" si="39"/>
        <v>BRONKHORST</v>
      </c>
      <c r="D234" s="2" t="s">
        <v>1882</v>
      </c>
      <c r="E234" s="12" t="str">
        <f t="shared" si="40"/>
        <v>Rudolph Johannes</v>
      </c>
      <c r="F234" s="12" t="s">
        <v>1888</v>
      </c>
      <c r="G234" s="12" t="str">
        <f t="shared" si="41"/>
        <v>a1b6c5d6</v>
      </c>
      <c r="H234" s="12" t="str">
        <f t="shared" si="42"/>
        <v>BRONKHORSTa1b6c5d6</v>
      </c>
      <c r="K234" s="12" t="str">
        <f t="shared" si="43"/>
        <v/>
      </c>
      <c r="M234" s="2" t="s">
        <v>1889</v>
      </c>
      <c r="N234" s="12" t="str">
        <f t="shared" si="36"/>
        <v/>
      </c>
      <c r="O234" s="12" t="str">
        <f t="shared" si="37"/>
        <v>1803</v>
      </c>
      <c r="Q234" s="12" t="str">
        <f t="shared" si="44"/>
        <v>1803</v>
      </c>
      <c r="S234" s="12" t="str">
        <f t="shared" si="45"/>
        <v/>
      </c>
      <c r="T234" s="2" t="s">
        <v>366</v>
      </c>
      <c r="U234" s="2" t="s">
        <v>1890</v>
      </c>
      <c r="V234" s="12" t="str">
        <f t="shared" si="46"/>
        <v>1825</v>
      </c>
      <c r="W234" s="2" t="s">
        <v>1891</v>
      </c>
      <c r="X234" s="2" t="s">
        <v>355</v>
      </c>
      <c r="Y234" s="2" t="s">
        <v>1892</v>
      </c>
      <c r="AC234" s="2" t="s">
        <v>1893</v>
      </c>
      <c r="AF234" s="2" t="s">
        <v>16</v>
      </c>
      <c r="AG234" s="2" t="s">
        <v>68</v>
      </c>
      <c r="AH234" s="2" t="s">
        <v>1785</v>
      </c>
      <c r="AJ234" s="2" t="s">
        <v>379</v>
      </c>
      <c r="AK234" s="2" t="s">
        <v>140</v>
      </c>
    </row>
    <row r="235" spans="1:69">
      <c r="A235" s="2" t="s">
        <v>778</v>
      </c>
      <c r="B235" s="12" t="str">
        <f t="shared" si="38"/>
        <v>BRONKHORST</v>
      </c>
      <c r="C235" s="12" t="str">
        <f t="shared" si="39"/>
        <v>BRONKHORST</v>
      </c>
      <c r="D235" s="2" t="s">
        <v>1842</v>
      </c>
      <c r="E235" s="12" t="str">
        <f t="shared" si="40"/>
        <v>Johannes Jacob Sr</v>
      </c>
      <c r="F235" s="12" t="s">
        <v>839</v>
      </c>
      <c r="G235" s="12" t="str">
        <f t="shared" si="41"/>
        <v>a1b6c6</v>
      </c>
      <c r="H235" s="12" t="str">
        <f t="shared" si="42"/>
        <v>BRONKHORSTa1b6c6</v>
      </c>
      <c r="K235" s="12" t="str">
        <f t="shared" si="43"/>
        <v/>
      </c>
      <c r="M235" s="2" t="s">
        <v>1843</v>
      </c>
      <c r="N235" s="12" t="str">
        <f t="shared" si="36"/>
        <v/>
      </c>
      <c r="O235" s="12" t="str">
        <f t="shared" si="37"/>
        <v>1769</v>
      </c>
      <c r="Q235" s="12" t="str">
        <f t="shared" si="44"/>
        <v>1769</v>
      </c>
      <c r="S235" s="12" t="str">
        <f t="shared" si="45"/>
        <v/>
      </c>
      <c r="U235" s="2" t="s">
        <v>1844</v>
      </c>
      <c r="V235" s="12" t="str">
        <f t="shared" si="46"/>
        <v>1797</v>
      </c>
      <c r="W235" s="2" t="s">
        <v>1845</v>
      </c>
      <c r="X235" s="2" t="s">
        <v>1846</v>
      </c>
      <c r="AG235" s="2" t="s">
        <v>366</v>
      </c>
      <c r="AH235" s="2" t="s">
        <v>1857</v>
      </c>
      <c r="AK235" s="2" t="s">
        <v>140</v>
      </c>
      <c r="AL235" s="2" t="s">
        <v>74</v>
      </c>
      <c r="AM235" s="2" t="s">
        <v>1191</v>
      </c>
      <c r="AN235" s="2" t="s">
        <v>692</v>
      </c>
      <c r="AO235" s="2" t="s">
        <v>776</v>
      </c>
    </row>
    <row r="236" spans="1:69">
      <c r="A236" s="12" t="s">
        <v>778</v>
      </c>
      <c r="B236" s="12" t="str">
        <f t="shared" si="38"/>
        <v>BRONKHORST</v>
      </c>
      <c r="C236" s="12" t="str">
        <f t="shared" si="39"/>
        <v>BRONKHORST</v>
      </c>
      <c r="D236" s="2" t="s">
        <v>231</v>
      </c>
      <c r="E236" s="12" t="str">
        <f t="shared" si="40"/>
        <v>Willem Johannes</v>
      </c>
      <c r="F236" s="12" t="s">
        <v>1913</v>
      </c>
      <c r="G236" s="12" t="str">
        <f t="shared" si="41"/>
        <v>a1b6c6d1</v>
      </c>
      <c r="H236" s="12" t="str">
        <f t="shared" si="42"/>
        <v>BRONKHORSTa1b6c6d1</v>
      </c>
      <c r="J236" s="2" t="s">
        <v>1914</v>
      </c>
      <c r="K236" s="12" t="str">
        <f t="shared" si="43"/>
        <v>1799</v>
      </c>
      <c r="M236" s="2" t="s">
        <v>1915</v>
      </c>
      <c r="N236" s="12" t="str">
        <f t="shared" si="36"/>
        <v>1799</v>
      </c>
      <c r="O236" s="12" t="str">
        <f t="shared" si="37"/>
        <v>1800</v>
      </c>
      <c r="Q236" s="12" t="str">
        <f t="shared" si="44"/>
        <v>1799</v>
      </c>
      <c r="S236" s="12" t="str">
        <f t="shared" si="45"/>
        <v/>
      </c>
      <c r="T236" s="2" t="s">
        <v>366</v>
      </c>
      <c r="U236" s="2" t="s">
        <v>1916</v>
      </c>
      <c r="V236" s="12" t="str">
        <f t="shared" si="46"/>
        <v>1820</v>
      </c>
      <c r="W236" s="2" t="s">
        <v>1917</v>
      </c>
      <c r="X236" s="2" t="s">
        <v>664</v>
      </c>
      <c r="Y236" s="2" t="s">
        <v>1918</v>
      </c>
      <c r="AC236" s="2" t="s">
        <v>1919</v>
      </c>
      <c r="AF236" s="2" t="s">
        <v>16</v>
      </c>
      <c r="AG236" s="2" t="s">
        <v>68</v>
      </c>
      <c r="AH236" s="2">
        <v>1837</v>
      </c>
      <c r="AI236" s="12" t="str">
        <f t="shared" si="47"/>
        <v>1837</v>
      </c>
      <c r="AK236" s="2" t="s">
        <v>551</v>
      </c>
    </row>
    <row r="237" spans="1:69">
      <c r="A237" s="12" t="s">
        <v>778</v>
      </c>
      <c r="B237" s="12" t="str">
        <f t="shared" si="38"/>
        <v>BRONKHORST</v>
      </c>
      <c r="C237" s="12" t="str">
        <f t="shared" si="39"/>
        <v>BRONKHORST</v>
      </c>
      <c r="D237" s="2" t="s">
        <v>1809</v>
      </c>
      <c r="E237" s="12" t="str">
        <f t="shared" si="40"/>
        <v>Hendrik Lambert</v>
      </c>
      <c r="F237" s="12" t="s">
        <v>1810</v>
      </c>
      <c r="G237" s="12" t="str">
        <f t="shared" si="41"/>
        <v>a1b6c6d2</v>
      </c>
      <c r="H237" s="12" t="str">
        <f t="shared" si="42"/>
        <v>BRONKHORSTa1b6c6d2</v>
      </c>
      <c r="J237" s="2" t="s">
        <v>1811</v>
      </c>
      <c r="K237" s="12" t="str">
        <f t="shared" si="43"/>
        <v>1804</v>
      </c>
      <c r="L237" s="2" t="s">
        <v>542</v>
      </c>
      <c r="M237" s="2" t="s">
        <v>1812</v>
      </c>
      <c r="N237" s="12" t="str">
        <f t="shared" si="36"/>
        <v>1804</v>
      </c>
      <c r="O237" s="12" t="str">
        <f t="shared" si="37"/>
        <v>1804</v>
      </c>
      <c r="Q237" s="12" t="str">
        <f t="shared" si="44"/>
        <v>1804</v>
      </c>
      <c r="S237" s="12" t="str">
        <f t="shared" si="45"/>
        <v/>
      </c>
      <c r="T237" s="2" t="s">
        <v>366</v>
      </c>
      <c r="U237" s="2" t="s">
        <v>1813</v>
      </c>
      <c r="V237" s="12" t="str">
        <f t="shared" si="46"/>
        <v>1828</v>
      </c>
      <c r="W237" s="2" t="s">
        <v>1814</v>
      </c>
      <c r="X237" s="2" t="s">
        <v>664</v>
      </c>
      <c r="AG237" s="2" t="s">
        <v>366</v>
      </c>
      <c r="AH237" s="2">
        <v>1835</v>
      </c>
      <c r="AI237" s="12" t="str">
        <f t="shared" si="47"/>
        <v>1835</v>
      </c>
      <c r="AK237" s="2" t="s">
        <v>1815</v>
      </c>
      <c r="AN237" s="2" t="s">
        <v>747</v>
      </c>
      <c r="AO237" s="2" t="s">
        <v>1136</v>
      </c>
      <c r="AP237" s="2" t="s">
        <v>1816</v>
      </c>
      <c r="AR237" s="2" t="s">
        <v>1817</v>
      </c>
    </row>
    <row r="238" spans="1:69">
      <c r="A238" s="12" t="s">
        <v>778</v>
      </c>
      <c r="B238" s="12" t="str">
        <f t="shared" si="38"/>
        <v>BRONKHORST</v>
      </c>
      <c r="C238" s="12" t="str">
        <f t="shared" si="39"/>
        <v>BRONKHORST</v>
      </c>
      <c r="D238" s="2" t="s">
        <v>1847</v>
      </c>
      <c r="E238" s="12" t="str">
        <f t="shared" si="40"/>
        <v>Johannes Jacob Jr</v>
      </c>
      <c r="F238" s="12" t="s">
        <v>1848</v>
      </c>
      <c r="G238" s="12" t="str">
        <f t="shared" si="41"/>
        <v>a1b6c6d4</v>
      </c>
      <c r="H238" s="12" t="str">
        <f t="shared" si="42"/>
        <v>BRONKHORSTa1b6c6d4</v>
      </c>
      <c r="J238" s="2" t="s">
        <v>1849</v>
      </c>
      <c r="K238" s="12" t="str">
        <f t="shared" si="43"/>
        <v>1816</v>
      </c>
      <c r="L238" s="2" t="s">
        <v>74</v>
      </c>
      <c r="M238" s="2" t="s">
        <v>1850</v>
      </c>
      <c r="N238" s="12" t="str">
        <f t="shared" si="36"/>
        <v>1816</v>
      </c>
      <c r="O238" s="12" t="str">
        <f t="shared" si="37"/>
        <v>1816</v>
      </c>
      <c r="Q238" s="12" t="str">
        <f t="shared" si="44"/>
        <v>1816</v>
      </c>
      <c r="S238" s="12" t="str">
        <f t="shared" si="45"/>
        <v/>
      </c>
      <c r="T238" s="2" t="s">
        <v>1043</v>
      </c>
      <c r="U238" s="2" t="s">
        <v>1851</v>
      </c>
      <c r="V238" s="12" t="str">
        <f t="shared" si="46"/>
        <v>1839</v>
      </c>
      <c r="W238" s="2" t="s">
        <v>1647</v>
      </c>
      <c r="X238" s="2" t="s">
        <v>633</v>
      </c>
      <c r="Y238" s="2" t="s">
        <v>1852</v>
      </c>
      <c r="AA238" s="2" t="s">
        <v>1853</v>
      </c>
      <c r="AC238" s="2" t="s">
        <v>1854</v>
      </c>
      <c r="AD238" s="2" t="s">
        <v>90</v>
      </c>
      <c r="AE238" s="2" t="s">
        <v>1855</v>
      </c>
      <c r="AG238" s="2" t="s">
        <v>366</v>
      </c>
      <c r="AH238" s="2" t="s">
        <v>1858</v>
      </c>
      <c r="AK238" s="2" t="s">
        <v>1856</v>
      </c>
    </row>
    <row r="239" spans="1:69">
      <c r="A239" s="12" t="s">
        <v>778</v>
      </c>
      <c r="B239" s="12" t="str">
        <f t="shared" si="38"/>
        <v>BRONKHORST</v>
      </c>
      <c r="C239" s="12" t="str">
        <f t="shared" si="39"/>
        <v>BRONKHORST</v>
      </c>
      <c r="D239" s="2" t="s">
        <v>1865</v>
      </c>
      <c r="E239" s="12" t="str">
        <f t="shared" si="40"/>
        <v>Matthys Marthinus Johannes</v>
      </c>
      <c r="F239" s="12" t="s">
        <v>1866</v>
      </c>
      <c r="G239" s="12" t="str">
        <f t="shared" si="41"/>
        <v>a1b6c6d6</v>
      </c>
      <c r="H239" s="12" t="str">
        <f t="shared" si="42"/>
        <v>BRONKHORSTa1b6c6d6</v>
      </c>
      <c r="J239" s="2">
        <v>1817</v>
      </c>
      <c r="K239" s="12" t="str">
        <f t="shared" si="43"/>
        <v>1817</v>
      </c>
      <c r="N239" s="12" t="str">
        <f t="shared" si="36"/>
        <v>1817</v>
      </c>
      <c r="O239" s="12" t="str">
        <f t="shared" si="37"/>
        <v/>
      </c>
      <c r="Q239" s="12" t="str">
        <f t="shared" si="44"/>
        <v>1817</v>
      </c>
      <c r="R239" s="2" t="s">
        <v>1867</v>
      </c>
      <c r="S239" s="12" t="str">
        <f t="shared" si="45"/>
        <v>1875</v>
      </c>
      <c r="T239" s="2" t="s">
        <v>168</v>
      </c>
      <c r="U239" s="2" t="s">
        <v>1868</v>
      </c>
      <c r="V239" s="12" t="str">
        <f t="shared" si="46"/>
        <v>1857</v>
      </c>
      <c r="W239" s="2" t="s">
        <v>1869</v>
      </c>
      <c r="X239" s="2" t="s">
        <v>698</v>
      </c>
      <c r="Y239" s="2" t="s">
        <v>1870</v>
      </c>
      <c r="AA239" s="2" t="s">
        <v>1871</v>
      </c>
      <c r="AG239" s="2" t="s">
        <v>366</v>
      </c>
      <c r="AI239" s="12" t="str">
        <f t="shared" si="47"/>
        <v/>
      </c>
      <c r="AK239" s="2" t="s">
        <v>90</v>
      </c>
      <c r="AL239" s="2" t="s">
        <v>1872</v>
      </c>
      <c r="AM239" s="2" t="s">
        <v>1873</v>
      </c>
      <c r="AN239" s="2" t="s">
        <v>1874</v>
      </c>
      <c r="AO239" s="2" t="s">
        <v>1876</v>
      </c>
      <c r="AP239" s="2" t="s">
        <v>1875</v>
      </c>
    </row>
    <row r="240" spans="1:69">
      <c r="A240" s="12" t="s">
        <v>778</v>
      </c>
      <c r="B240" s="12" t="str">
        <f t="shared" si="38"/>
        <v>BRONKHORST</v>
      </c>
      <c r="C240" s="12" t="str">
        <f t="shared" si="39"/>
        <v>BRONKHORST</v>
      </c>
      <c r="D240" s="2" t="s">
        <v>1894</v>
      </c>
      <c r="E240" s="12" t="str">
        <f t="shared" si="40"/>
        <v>Samuel Johannes</v>
      </c>
      <c r="F240" s="12" t="s">
        <v>1895</v>
      </c>
      <c r="G240" s="12" t="str">
        <f t="shared" si="41"/>
        <v>a1b6c6d9</v>
      </c>
      <c r="H240" s="12" t="str">
        <f t="shared" si="42"/>
        <v>BRONKHORSTa1b6c6d9</v>
      </c>
      <c r="J240" s="2" t="s">
        <v>1896</v>
      </c>
      <c r="K240" s="12" t="str">
        <f t="shared" si="43"/>
        <v>1826</v>
      </c>
      <c r="L240" s="2" t="s">
        <v>366</v>
      </c>
      <c r="M240" s="2" t="s">
        <v>44</v>
      </c>
      <c r="N240" s="12" t="str">
        <f t="shared" si="36"/>
        <v>1826</v>
      </c>
      <c r="O240" s="12" t="str">
        <f t="shared" si="37"/>
        <v>1826</v>
      </c>
      <c r="Q240" s="12" t="str">
        <f t="shared" si="44"/>
        <v>1826</v>
      </c>
      <c r="R240" s="1" t="s">
        <v>1897</v>
      </c>
      <c r="S240" s="12" t="str">
        <f t="shared" si="45"/>
        <v>1906</v>
      </c>
      <c r="T240" s="2" t="s">
        <v>168</v>
      </c>
      <c r="U240" s="2" t="s">
        <v>1898</v>
      </c>
      <c r="V240" s="12" t="str">
        <f t="shared" si="46"/>
        <v>1848</v>
      </c>
      <c r="W240" s="2" t="s">
        <v>1899</v>
      </c>
      <c r="X240" s="2" t="s">
        <v>1900</v>
      </c>
      <c r="Y240" s="2" t="s">
        <v>1901</v>
      </c>
      <c r="AC240" s="2" t="s">
        <v>1417</v>
      </c>
      <c r="AE240" s="2" t="s">
        <v>1902</v>
      </c>
      <c r="AG240" s="2" t="s">
        <v>366</v>
      </c>
      <c r="AI240" s="12" t="str">
        <f t="shared" si="47"/>
        <v/>
      </c>
      <c r="AK240" s="2" t="s">
        <v>90</v>
      </c>
    </row>
    <row r="241" spans="1:69">
      <c r="A241" s="12" t="s">
        <v>1920</v>
      </c>
      <c r="B241" s="12" t="str">
        <f t="shared" si="38"/>
        <v>BROODRYK</v>
      </c>
      <c r="C241" s="12" t="str">
        <f t="shared" si="39"/>
        <v>BROODRYK</v>
      </c>
      <c r="D241" s="2" t="s">
        <v>1707</v>
      </c>
      <c r="E241" s="12" t="str">
        <f t="shared" si="40"/>
        <v>Jan Andries</v>
      </c>
      <c r="F241" s="12" t="s">
        <v>1921</v>
      </c>
      <c r="G241" s="12" t="str">
        <f t="shared" si="41"/>
        <v>a1b9</v>
      </c>
      <c r="H241" s="12" t="str">
        <f t="shared" si="42"/>
        <v>BROODRYKa1b9</v>
      </c>
      <c r="K241" s="12" t="str">
        <f t="shared" si="43"/>
        <v/>
      </c>
      <c r="M241" s="2" t="s">
        <v>1922</v>
      </c>
      <c r="N241" s="12" t="str">
        <f t="shared" si="36"/>
        <v/>
      </c>
      <c r="O241" s="12" t="str">
        <f t="shared" si="37"/>
        <v>1775</v>
      </c>
      <c r="Q241" s="12" t="str">
        <f t="shared" si="44"/>
        <v>1775</v>
      </c>
      <c r="S241" s="12" t="str">
        <f t="shared" si="45"/>
        <v/>
      </c>
      <c r="T241" s="2" t="s">
        <v>74</v>
      </c>
      <c r="U241" s="2" t="s">
        <v>1923</v>
      </c>
      <c r="V241" s="12" t="str">
        <f t="shared" si="46"/>
        <v>1805</v>
      </c>
      <c r="W241" s="2" t="s">
        <v>650</v>
      </c>
      <c r="X241" s="2" t="s">
        <v>757</v>
      </c>
      <c r="Z241" s="2" t="s">
        <v>1924</v>
      </c>
      <c r="AA241" s="2">
        <v>1788</v>
      </c>
      <c r="AF241" s="2" t="s">
        <v>3703</v>
      </c>
      <c r="AG241" s="2" t="s">
        <v>366</v>
      </c>
      <c r="AH241" s="2">
        <v>1837</v>
      </c>
      <c r="AI241" s="12" t="str">
        <f t="shared" si="47"/>
        <v>1837</v>
      </c>
      <c r="AK241" s="2" t="s">
        <v>140</v>
      </c>
    </row>
    <row r="242" spans="1:69">
      <c r="A242" s="2" t="s">
        <v>1920</v>
      </c>
      <c r="B242" s="12" t="str">
        <f t="shared" si="38"/>
        <v>BROODRYK</v>
      </c>
      <c r="C242" s="12" t="str">
        <f t="shared" si="39"/>
        <v>BROODRYK</v>
      </c>
      <c r="D242" s="2" t="s">
        <v>1277</v>
      </c>
      <c r="E242" s="12" t="str">
        <f t="shared" si="40"/>
        <v>Johannes Christoffel</v>
      </c>
      <c r="F242" s="2" t="s">
        <v>1925</v>
      </c>
      <c r="G242" s="12" t="str">
        <f t="shared" si="41"/>
        <v>a1b9c1</v>
      </c>
      <c r="H242" s="12" t="str">
        <f t="shared" si="42"/>
        <v>BROODRYKa1b9c1</v>
      </c>
      <c r="J242" s="2" t="s">
        <v>1926</v>
      </c>
      <c r="K242" s="12" t="str">
        <f t="shared" si="43"/>
        <v>1805</v>
      </c>
      <c r="L242" s="2" t="s">
        <v>74</v>
      </c>
      <c r="M242" s="2" t="s">
        <v>1927</v>
      </c>
      <c r="N242" s="12" t="str">
        <f t="shared" si="36"/>
        <v>1805</v>
      </c>
      <c r="O242" s="12" t="str">
        <f t="shared" si="37"/>
        <v>1806</v>
      </c>
      <c r="Q242" s="12" t="str">
        <f t="shared" si="44"/>
        <v>1805</v>
      </c>
      <c r="S242" s="12" t="str">
        <f t="shared" si="45"/>
        <v/>
      </c>
      <c r="T242" s="2" t="s">
        <v>366</v>
      </c>
      <c r="U242" s="2" t="s">
        <v>1928</v>
      </c>
      <c r="V242" s="12" t="str">
        <f t="shared" si="46"/>
        <v>1827</v>
      </c>
      <c r="W242" s="2" t="s">
        <v>1929</v>
      </c>
      <c r="X242" s="2" t="s">
        <v>1151</v>
      </c>
      <c r="AF242" s="2" t="s">
        <v>3703</v>
      </c>
      <c r="AG242" s="2" t="s">
        <v>366</v>
      </c>
      <c r="AH242" s="2">
        <v>1837</v>
      </c>
      <c r="AI242" s="12" t="str">
        <f t="shared" si="47"/>
        <v>1837</v>
      </c>
      <c r="AJ242" s="2" t="s">
        <v>413</v>
      </c>
      <c r="AK242" s="2" t="s">
        <v>90</v>
      </c>
    </row>
    <row r="243" spans="1:69">
      <c r="A243" s="12" t="s">
        <v>1930</v>
      </c>
      <c r="B243" s="12" t="str">
        <f t="shared" si="38"/>
        <v>BRUWER</v>
      </c>
      <c r="C243" s="12" t="str">
        <f t="shared" si="39"/>
        <v>BRUWER</v>
      </c>
      <c r="D243" s="2" t="s">
        <v>1931</v>
      </c>
      <c r="E243" s="12" t="str">
        <f t="shared" si="40"/>
        <v>Eduard Christiaan Daniel</v>
      </c>
      <c r="F243" s="2" t="s">
        <v>1932</v>
      </c>
      <c r="G243" s="12" t="str">
        <f t="shared" si="41"/>
        <v>a1b7c4d12</v>
      </c>
      <c r="H243" s="12" t="str">
        <f t="shared" si="42"/>
        <v>BRUWERa1b7c4d12</v>
      </c>
      <c r="J243" s="2" t="s">
        <v>1933</v>
      </c>
      <c r="K243" s="12" t="str">
        <f t="shared" si="43"/>
        <v>1823</v>
      </c>
      <c r="M243" s="2" t="s">
        <v>1934</v>
      </c>
      <c r="N243" s="12" t="str">
        <f t="shared" si="36"/>
        <v>1823</v>
      </c>
      <c r="O243" s="12" t="str">
        <f t="shared" si="37"/>
        <v>1820</v>
      </c>
      <c r="P243" s="2" t="s">
        <v>90</v>
      </c>
      <c r="Q243" s="12" t="str">
        <f t="shared" si="44"/>
        <v>1823</v>
      </c>
      <c r="R243" s="2" t="s">
        <v>1935</v>
      </c>
      <c r="S243" s="12" t="str">
        <f t="shared" si="45"/>
        <v>1899</v>
      </c>
      <c r="T243" s="2" t="s">
        <v>168</v>
      </c>
      <c r="U243" s="2" t="s">
        <v>1936</v>
      </c>
      <c r="V243" s="12" t="str">
        <f t="shared" si="46"/>
        <v>1840</v>
      </c>
      <c r="W243" s="2" t="s">
        <v>1938</v>
      </c>
      <c r="X243" s="2" t="s">
        <v>822</v>
      </c>
      <c r="Y243" s="2" t="s">
        <v>1937</v>
      </c>
      <c r="AE243" s="2" t="s">
        <v>1939</v>
      </c>
      <c r="AF243" s="2" t="s">
        <v>3722</v>
      </c>
      <c r="AG243" s="2" t="s">
        <v>32</v>
      </c>
      <c r="AH243" s="2">
        <v>1838</v>
      </c>
      <c r="AI243" s="12" t="str">
        <f t="shared" si="47"/>
        <v>1838</v>
      </c>
      <c r="AK243" s="2" t="s">
        <v>90</v>
      </c>
    </row>
    <row r="244" spans="1:69">
      <c r="A244" s="12" t="s">
        <v>1930</v>
      </c>
      <c r="B244" s="12" t="str">
        <f t="shared" si="38"/>
        <v>BRUWER</v>
      </c>
      <c r="C244" s="12" t="str">
        <f t="shared" si="39"/>
        <v>BRUWER</v>
      </c>
      <c r="D244" s="2" t="s">
        <v>1284</v>
      </c>
      <c r="E244" s="12" t="str">
        <f t="shared" si="40"/>
        <v>Johannes Hendrik</v>
      </c>
      <c r="F244" s="2" t="s">
        <v>1940</v>
      </c>
      <c r="G244" s="12" t="str">
        <f t="shared" si="41"/>
        <v>a1b7c4d4</v>
      </c>
      <c r="H244" s="12" t="str">
        <f t="shared" si="42"/>
        <v>BRUWERa1b7c4d4</v>
      </c>
      <c r="J244" s="2" t="s">
        <v>1941</v>
      </c>
      <c r="K244" s="12" t="str">
        <f t="shared" si="43"/>
        <v>1799</v>
      </c>
      <c r="M244" s="2" t="s">
        <v>232</v>
      </c>
      <c r="N244" s="12" t="str">
        <f t="shared" si="36"/>
        <v>1799</v>
      </c>
      <c r="O244" s="12" t="str">
        <f t="shared" si="37"/>
        <v>1799</v>
      </c>
      <c r="P244" s="2" t="s">
        <v>90</v>
      </c>
      <c r="Q244" s="12" t="str">
        <f t="shared" si="44"/>
        <v>1799</v>
      </c>
      <c r="R244" s="2" t="s">
        <v>1942</v>
      </c>
      <c r="S244" s="12" t="str">
        <f t="shared" si="45"/>
        <v>1883</v>
      </c>
      <c r="T244" s="2" t="s">
        <v>32</v>
      </c>
      <c r="U244" s="2" t="s">
        <v>502</v>
      </c>
      <c r="V244" s="12" t="str">
        <f t="shared" si="46"/>
        <v>1823</v>
      </c>
      <c r="W244" s="2" t="s">
        <v>1943</v>
      </c>
      <c r="X244" s="2" t="s">
        <v>1944</v>
      </c>
      <c r="Y244" s="2" t="s">
        <v>1945</v>
      </c>
      <c r="AC244" s="2" t="s">
        <v>1946</v>
      </c>
      <c r="AD244" s="2" t="s">
        <v>1443</v>
      </c>
      <c r="AE244" s="2" t="s">
        <v>1947</v>
      </c>
      <c r="AF244" s="2" t="s">
        <v>3722</v>
      </c>
      <c r="AG244" s="2" t="s">
        <v>32</v>
      </c>
      <c r="AH244" s="2">
        <v>1838</v>
      </c>
      <c r="AI244" s="12" t="str">
        <f t="shared" si="47"/>
        <v>1838</v>
      </c>
      <c r="AK244" s="2" t="s">
        <v>90</v>
      </c>
    </row>
    <row r="245" spans="1:69">
      <c r="A245" s="2" t="s">
        <v>1930</v>
      </c>
      <c r="B245" s="12" t="str">
        <f t="shared" si="38"/>
        <v>BRUWER</v>
      </c>
      <c r="C245" s="12" t="str">
        <f t="shared" si="39"/>
        <v>BRUWER</v>
      </c>
      <c r="D245" s="2" t="s">
        <v>1948</v>
      </c>
      <c r="E245" s="12" t="str">
        <f t="shared" si="40"/>
        <v>Schalk Willem</v>
      </c>
      <c r="F245" s="2" t="s">
        <v>1949</v>
      </c>
      <c r="G245" s="12" t="str">
        <f t="shared" si="41"/>
        <v>a1b7c4d7</v>
      </c>
      <c r="H245" s="12" t="str">
        <f t="shared" si="42"/>
        <v>BRUWERa1b7c4d7</v>
      </c>
      <c r="J245" s="2" t="s">
        <v>1950</v>
      </c>
      <c r="K245" s="12" t="str">
        <f t="shared" si="43"/>
        <v>1806</v>
      </c>
      <c r="M245" s="2" t="s">
        <v>1951</v>
      </c>
      <c r="N245" s="12" t="str">
        <f t="shared" si="36"/>
        <v>1806</v>
      </c>
      <c r="O245" s="12" t="str">
        <f t="shared" si="37"/>
        <v>1806</v>
      </c>
      <c r="P245" s="2" t="s">
        <v>90</v>
      </c>
      <c r="Q245" s="12" t="str">
        <f t="shared" si="44"/>
        <v>1806</v>
      </c>
      <c r="R245" s="2" t="s">
        <v>1952</v>
      </c>
      <c r="S245" s="12" t="str">
        <f t="shared" si="45"/>
        <v>1844</v>
      </c>
      <c r="T245" s="2" t="s">
        <v>32</v>
      </c>
      <c r="U245" s="2" t="s">
        <v>1953</v>
      </c>
      <c r="V245" s="12" t="str">
        <f t="shared" si="46"/>
        <v>1828</v>
      </c>
      <c r="W245" s="2" t="s">
        <v>714</v>
      </c>
      <c r="X245" s="2" t="s">
        <v>772</v>
      </c>
      <c r="Y245" s="2" t="s">
        <v>1954</v>
      </c>
      <c r="AB245" s="2" t="s">
        <v>1955</v>
      </c>
      <c r="AC245" s="2" t="s">
        <v>1956</v>
      </c>
      <c r="AF245" s="2" t="s">
        <v>3722</v>
      </c>
      <c r="AG245" s="2" t="s">
        <v>32</v>
      </c>
      <c r="AH245" s="2">
        <v>1838</v>
      </c>
      <c r="AI245" s="12" t="str">
        <f t="shared" si="47"/>
        <v>1838</v>
      </c>
      <c r="AK245" s="2" t="s">
        <v>90</v>
      </c>
    </row>
    <row r="246" spans="1:69">
      <c r="A246" s="12" t="s">
        <v>1957</v>
      </c>
      <c r="B246" s="12" t="str">
        <f t="shared" si="38"/>
        <v>BUCHNER</v>
      </c>
      <c r="C246" s="12" t="str">
        <f t="shared" si="39"/>
        <v>BUCHNER</v>
      </c>
      <c r="D246" s="2" t="s">
        <v>1958</v>
      </c>
      <c r="E246" s="12" t="str">
        <f t="shared" si="40"/>
        <v>Carel Valentyn</v>
      </c>
      <c r="F246" s="2" t="s">
        <v>837</v>
      </c>
      <c r="G246" s="12" t="str">
        <f t="shared" si="41"/>
        <v>a1b1</v>
      </c>
      <c r="H246" s="12" t="str">
        <f t="shared" si="42"/>
        <v>BUCHNERa1b1</v>
      </c>
      <c r="J246" s="2" t="s">
        <v>1959</v>
      </c>
      <c r="K246" s="12" t="str">
        <f t="shared" si="43"/>
        <v>1797</v>
      </c>
      <c r="N246" s="12" t="str">
        <f t="shared" si="36"/>
        <v>1797</v>
      </c>
      <c r="O246" s="12" t="str">
        <f t="shared" si="37"/>
        <v/>
      </c>
      <c r="Q246" s="12" t="str">
        <f t="shared" si="44"/>
        <v>1797</v>
      </c>
      <c r="S246" s="12" t="str">
        <f t="shared" si="45"/>
        <v/>
      </c>
      <c r="T246" s="2" t="s">
        <v>53</v>
      </c>
      <c r="U246" s="2" t="s">
        <v>1960</v>
      </c>
      <c r="V246" s="12" t="str">
        <f t="shared" si="46"/>
        <v>1817</v>
      </c>
      <c r="W246" s="2" t="s">
        <v>1964</v>
      </c>
      <c r="X246" s="2" t="s">
        <v>760</v>
      </c>
      <c r="AF246" s="2" t="s">
        <v>3677</v>
      </c>
      <c r="AG246" s="2" t="s">
        <v>53</v>
      </c>
      <c r="AH246" s="2">
        <v>1838</v>
      </c>
      <c r="AI246" s="12" t="str">
        <f t="shared" si="47"/>
        <v>1838</v>
      </c>
      <c r="AK246" s="2" t="s">
        <v>90</v>
      </c>
      <c r="AL246" s="2" t="s">
        <v>1943</v>
      </c>
      <c r="AM246" s="2" t="s">
        <v>1961</v>
      </c>
      <c r="AN246" s="2" t="s">
        <v>1962</v>
      </c>
      <c r="AR246" s="2" t="s">
        <v>1963</v>
      </c>
      <c r="BQ246" s="2" t="s">
        <v>1965</v>
      </c>
    </row>
    <row r="247" spans="1:69">
      <c r="A247" s="12" t="s">
        <v>1966</v>
      </c>
      <c r="B247" s="12" t="str">
        <f t="shared" si="38"/>
        <v>BUITENDAG</v>
      </c>
      <c r="C247" s="12" t="str">
        <f t="shared" si="39"/>
        <v>BUITENDAG</v>
      </c>
      <c r="D247" s="2" t="s">
        <v>1996</v>
      </c>
      <c r="E247" s="12" t="str">
        <f t="shared" si="40"/>
        <v>Andries Petrus</v>
      </c>
      <c r="F247" s="2" t="s">
        <v>1992</v>
      </c>
      <c r="G247" s="12" t="str">
        <f t="shared" si="41"/>
        <v>a1b2c2d11e9</v>
      </c>
      <c r="H247" s="12" t="str">
        <f t="shared" si="42"/>
        <v>BUITENDAGa1b2c2d11e9</v>
      </c>
      <c r="K247" s="12" t="str">
        <f t="shared" si="43"/>
        <v/>
      </c>
      <c r="M247" s="2" t="s">
        <v>1993</v>
      </c>
      <c r="N247" s="12" t="str">
        <f t="shared" si="36"/>
        <v/>
      </c>
      <c r="O247" s="12" t="str">
        <f t="shared" si="37"/>
        <v>1806</v>
      </c>
      <c r="Q247" s="12" t="str">
        <f t="shared" si="44"/>
        <v>1806</v>
      </c>
      <c r="S247" s="12" t="str">
        <f t="shared" si="45"/>
        <v/>
      </c>
      <c r="T247" s="2" t="s">
        <v>542</v>
      </c>
      <c r="U247" s="2" t="s">
        <v>1994</v>
      </c>
      <c r="V247" s="12" t="str">
        <f t="shared" si="46"/>
        <v>1827</v>
      </c>
      <c r="W247" s="2" t="s">
        <v>1995</v>
      </c>
      <c r="X247" s="2" t="s">
        <v>782</v>
      </c>
      <c r="AF247" s="2" t="s">
        <v>3587</v>
      </c>
      <c r="AG247" s="2" t="s">
        <v>395</v>
      </c>
      <c r="AH247" s="2">
        <v>1838</v>
      </c>
      <c r="AI247" s="12" t="str">
        <f t="shared" si="47"/>
        <v>1838</v>
      </c>
      <c r="AJ247" s="2" t="s">
        <v>1991</v>
      </c>
      <c r="AK247" s="2" t="s">
        <v>90</v>
      </c>
    </row>
    <row r="248" spans="1:69">
      <c r="A248" s="2" t="s">
        <v>1966</v>
      </c>
      <c r="B248" s="12" t="str">
        <f t="shared" si="38"/>
        <v>BUITENDAG</v>
      </c>
      <c r="C248" s="12" t="str">
        <f t="shared" si="39"/>
        <v>BUITENDAG</v>
      </c>
      <c r="D248" s="2" t="s">
        <v>1977</v>
      </c>
      <c r="E248" s="12" t="str">
        <f t="shared" si="40"/>
        <v>Frederik Willem Coenraad</v>
      </c>
      <c r="F248" s="2" t="s">
        <v>1978</v>
      </c>
      <c r="G248" s="12" t="str">
        <f t="shared" si="41"/>
        <v>a1b3c7d2</v>
      </c>
      <c r="H248" s="12" t="str">
        <f t="shared" si="42"/>
        <v>BUITENDAGa1b3c7d2</v>
      </c>
      <c r="J248" s="2" t="s">
        <v>1979</v>
      </c>
      <c r="K248" s="12" t="str">
        <f t="shared" si="43"/>
        <v>1815</v>
      </c>
      <c r="L248" s="2" t="s">
        <v>74</v>
      </c>
      <c r="M248" s="2" t="s">
        <v>1980</v>
      </c>
      <c r="N248" s="12" t="str">
        <f t="shared" si="36"/>
        <v>1815</v>
      </c>
      <c r="O248" s="12" t="str">
        <f t="shared" si="37"/>
        <v>1815</v>
      </c>
      <c r="Q248" s="12" t="str">
        <f t="shared" si="44"/>
        <v>1815</v>
      </c>
      <c r="S248" s="12" t="str">
        <f t="shared" si="45"/>
        <v/>
      </c>
      <c r="T248" s="2" t="s">
        <v>74</v>
      </c>
      <c r="U248" s="2" t="s">
        <v>1981</v>
      </c>
      <c r="V248" s="12" t="str">
        <f t="shared" si="46"/>
        <v>1836</v>
      </c>
      <c r="W248" s="2" t="s">
        <v>1982</v>
      </c>
      <c r="X248" s="2" t="s">
        <v>1983</v>
      </c>
      <c r="AG248" s="2" t="s">
        <v>60</v>
      </c>
      <c r="AH248" s="2">
        <v>1841</v>
      </c>
      <c r="AI248" s="12" t="str">
        <f t="shared" si="47"/>
        <v>1841</v>
      </c>
      <c r="AK248" s="2" t="s">
        <v>551</v>
      </c>
      <c r="AN248" s="2" t="s">
        <v>1984</v>
      </c>
      <c r="AO248" s="2" t="s">
        <v>1985</v>
      </c>
    </row>
    <row r="249" spans="1:69">
      <c r="A249" s="2" t="s">
        <v>1966</v>
      </c>
      <c r="B249" s="12" t="str">
        <f t="shared" si="38"/>
        <v>BUITENDAG</v>
      </c>
      <c r="C249" s="12" t="str">
        <f t="shared" si="39"/>
        <v>BUITENDAG</v>
      </c>
      <c r="D249" s="2" t="s">
        <v>1108</v>
      </c>
      <c r="E249" s="12" t="str">
        <f t="shared" si="40"/>
        <v>Carel Hendrik</v>
      </c>
      <c r="F249" s="2" t="s">
        <v>1971</v>
      </c>
      <c r="G249" s="12" t="str">
        <f t="shared" si="41"/>
        <v>a1b3c7d3</v>
      </c>
      <c r="H249" s="12" t="str">
        <f t="shared" si="42"/>
        <v>BUITENDAGa1b3c7d3</v>
      </c>
      <c r="J249" s="2" t="s">
        <v>1972</v>
      </c>
      <c r="K249" s="12" t="str">
        <f t="shared" si="43"/>
        <v>1817</v>
      </c>
      <c r="L249" s="2" t="s">
        <v>74</v>
      </c>
      <c r="M249" s="2" t="s">
        <v>1973</v>
      </c>
      <c r="N249" s="12" t="str">
        <f t="shared" si="36"/>
        <v>1817</v>
      </c>
      <c r="O249" s="12" t="str">
        <f t="shared" si="37"/>
        <v>1817</v>
      </c>
      <c r="Q249" s="12" t="str">
        <f t="shared" si="44"/>
        <v>1817</v>
      </c>
      <c r="S249" s="12" t="str">
        <f t="shared" si="45"/>
        <v/>
      </c>
      <c r="T249" s="2" t="s">
        <v>60</v>
      </c>
      <c r="U249" s="2" t="s">
        <v>1974</v>
      </c>
      <c r="V249" s="12" t="str">
        <f t="shared" si="46"/>
        <v>1837</v>
      </c>
      <c r="W249" s="2" t="s">
        <v>1975</v>
      </c>
      <c r="X249" s="2" t="s">
        <v>760</v>
      </c>
      <c r="AG249" s="2" t="s">
        <v>60</v>
      </c>
      <c r="AH249" s="2">
        <v>1841</v>
      </c>
      <c r="AI249" s="12" t="str">
        <f t="shared" si="47"/>
        <v>1841</v>
      </c>
      <c r="AK249" s="2" t="s">
        <v>1976</v>
      </c>
    </row>
    <row r="250" spans="1:69">
      <c r="A250" s="2" t="s">
        <v>1966</v>
      </c>
      <c r="B250" s="12" t="str">
        <f t="shared" si="38"/>
        <v>BUITENDAG</v>
      </c>
      <c r="C250" s="12" t="str">
        <f t="shared" si="39"/>
        <v>BUITENDAG</v>
      </c>
      <c r="D250" s="2" t="s">
        <v>1986</v>
      </c>
      <c r="E250" s="12" t="str">
        <f t="shared" si="40"/>
        <v>Matthys Jacobus</v>
      </c>
      <c r="F250" s="2" t="s">
        <v>1987</v>
      </c>
      <c r="G250" s="12" t="str">
        <f t="shared" si="41"/>
        <v>a1b3c7d4</v>
      </c>
      <c r="H250" s="12" t="str">
        <f t="shared" si="42"/>
        <v>BUITENDAGa1b3c7d4</v>
      </c>
      <c r="J250" s="2" t="s">
        <v>1988</v>
      </c>
      <c r="K250" s="12" t="str">
        <f t="shared" si="43"/>
        <v>1819</v>
      </c>
      <c r="L250" s="2" t="s">
        <v>74</v>
      </c>
      <c r="M250" s="2" t="s">
        <v>1989</v>
      </c>
      <c r="N250" s="12" t="str">
        <f t="shared" si="36"/>
        <v>1819</v>
      </c>
      <c r="O250" s="12" t="str">
        <f t="shared" si="37"/>
        <v>1819</v>
      </c>
      <c r="Q250" s="12" t="str">
        <f t="shared" si="44"/>
        <v>1819</v>
      </c>
      <c r="S250" s="12" t="str">
        <f t="shared" si="45"/>
        <v/>
      </c>
      <c r="V250" s="12" t="str">
        <f t="shared" si="46"/>
        <v/>
      </c>
      <c r="W250" s="2" t="s">
        <v>1990</v>
      </c>
      <c r="X250" s="2" t="s">
        <v>669</v>
      </c>
      <c r="AE250" s="12"/>
      <c r="AG250" s="2" t="s">
        <v>60</v>
      </c>
      <c r="AH250" s="2">
        <v>1841</v>
      </c>
      <c r="AI250" s="12" t="str">
        <f t="shared" si="47"/>
        <v>1841</v>
      </c>
      <c r="AK250" s="2" t="s">
        <v>551</v>
      </c>
    </row>
    <row r="251" spans="1:69">
      <c r="A251" s="2" t="s">
        <v>1966</v>
      </c>
      <c r="B251" s="12" t="str">
        <f t="shared" si="38"/>
        <v>BUITENDAG</v>
      </c>
      <c r="C251" s="12" t="str">
        <f t="shared" si="39"/>
        <v>BUITENDAG</v>
      </c>
      <c r="D251" s="2" t="s">
        <v>1967</v>
      </c>
      <c r="E251" s="12" t="str">
        <f t="shared" si="40"/>
        <v>Barend Marthinus Gerhardus</v>
      </c>
      <c r="F251" s="2" t="s">
        <v>1968</v>
      </c>
      <c r="G251" s="12" t="str">
        <f t="shared" si="41"/>
        <v>a1b3c7d6</v>
      </c>
      <c r="H251" s="12" t="str">
        <f t="shared" si="42"/>
        <v>BUITENDAGa1b3c7d6</v>
      </c>
      <c r="J251" s="2" t="s">
        <v>1969</v>
      </c>
      <c r="K251" s="12" t="str">
        <f t="shared" si="43"/>
        <v>1825</v>
      </c>
      <c r="L251" s="2" t="s">
        <v>74</v>
      </c>
      <c r="M251" s="2" t="s">
        <v>988</v>
      </c>
      <c r="N251" s="12" t="str">
        <f t="shared" si="36"/>
        <v>1825</v>
      </c>
      <c r="O251" s="12" t="str">
        <f t="shared" si="37"/>
        <v>1825</v>
      </c>
      <c r="Q251" s="12" t="str">
        <f t="shared" si="44"/>
        <v>1825</v>
      </c>
      <c r="S251" s="12" t="str">
        <f t="shared" si="45"/>
        <v/>
      </c>
      <c r="T251" s="2" t="s">
        <v>140</v>
      </c>
      <c r="U251" s="2" t="s">
        <v>1710</v>
      </c>
      <c r="V251" s="12" t="str">
        <f t="shared" si="46"/>
        <v>1849</v>
      </c>
      <c r="W251" s="2" t="s">
        <v>1970</v>
      </c>
      <c r="X251" s="2" t="s">
        <v>760</v>
      </c>
      <c r="AG251" s="2" t="s">
        <v>60</v>
      </c>
      <c r="AH251" s="2">
        <v>1841</v>
      </c>
      <c r="AI251" s="12" t="str">
        <f t="shared" si="47"/>
        <v>1841</v>
      </c>
      <c r="AK251" s="2" t="s">
        <v>31</v>
      </c>
    </row>
    <row r="252" spans="1:69">
      <c r="A252" s="2" t="s">
        <v>1997</v>
      </c>
      <c r="B252" s="12" t="str">
        <f t="shared" si="38"/>
        <v>BURGER</v>
      </c>
      <c r="C252" s="12" t="str">
        <f t="shared" si="39"/>
        <v>BURGER</v>
      </c>
      <c r="D252" s="2" t="s">
        <v>2009</v>
      </c>
      <c r="E252" s="12" t="str">
        <f t="shared" si="40"/>
        <v xml:space="preserve">Schalk Johannes </v>
      </c>
      <c r="F252" s="2" t="s">
        <v>2010</v>
      </c>
      <c r="G252" s="12" t="str">
        <f t="shared" si="41"/>
        <v>a1b2c1d1e8f2</v>
      </c>
      <c r="H252" s="12" t="str">
        <f t="shared" si="42"/>
        <v>BURGERa1b2c1d1e8f2</v>
      </c>
      <c r="J252" s="2" t="s">
        <v>2011</v>
      </c>
      <c r="K252" s="12" t="str">
        <f t="shared" si="43"/>
        <v>1814</v>
      </c>
      <c r="L252" s="2" t="s">
        <v>74</v>
      </c>
      <c r="M252" s="2" t="s">
        <v>2013</v>
      </c>
      <c r="N252" s="12" t="str">
        <f t="shared" si="36"/>
        <v>1814</v>
      </c>
      <c r="O252" s="12" t="str">
        <f t="shared" si="37"/>
        <v>1814</v>
      </c>
      <c r="Q252" s="12" t="str">
        <f t="shared" si="44"/>
        <v>1814</v>
      </c>
      <c r="S252" s="12" t="str">
        <f t="shared" si="45"/>
        <v/>
      </c>
      <c r="T252" s="2" t="s">
        <v>74</v>
      </c>
      <c r="U252" s="2" t="s">
        <v>2014</v>
      </c>
      <c r="V252" s="12" t="str">
        <f t="shared" si="46"/>
        <v>1836</v>
      </c>
      <c r="W252" s="2" t="s">
        <v>2015</v>
      </c>
      <c r="X252" s="2" t="s">
        <v>2016</v>
      </c>
      <c r="AG252" s="2" t="s">
        <v>60</v>
      </c>
      <c r="AH252" s="2">
        <v>1837</v>
      </c>
      <c r="AI252" s="12" t="str">
        <f t="shared" si="47"/>
        <v>1837</v>
      </c>
      <c r="AK252" s="2" t="s">
        <v>551</v>
      </c>
    </row>
    <row r="253" spans="1:69">
      <c r="A253" s="12" t="s">
        <v>1997</v>
      </c>
      <c r="B253" s="12" t="str">
        <f t="shared" si="38"/>
        <v>BURGER</v>
      </c>
      <c r="C253" s="12" t="str">
        <f t="shared" si="39"/>
        <v>BURGER</v>
      </c>
      <c r="D253" s="12" t="s">
        <v>1998</v>
      </c>
      <c r="E253" s="12" t="str">
        <f t="shared" si="40"/>
        <v>Jacobus Johannes Sr</v>
      </c>
      <c r="F253" s="12" t="s">
        <v>1999</v>
      </c>
      <c r="G253" s="12" t="str">
        <f t="shared" si="41"/>
        <v>a1b2c2d3e8</v>
      </c>
      <c r="H253" s="12" t="str">
        <f t="shared" si="42"/>
        <v>BURGERa1b2c2d3e8</v>
      </c>
      <c r="I253" s="12" t="s">
        <v>961</v>
      </c>
      <c r="J253" s="12" t="s">
        <v>2000</v>
      </c>
      <c r="K253" s="12" t="str">
        <f t="shared" si="43"/>
        <v>1795</v>
      </c>
      <c r="L253" s="12" t="s">
        <v>1071</v>
      </c>
      <c r="M253" s="12" t="s">
        <v>2001</v>
      </c>
      <c r="N253" s="12" t="str">
        <f t="shared" si="36"/>
        <v>1795</v>
      </c>
      <c r="O253" s="12" t="str">
        <f t="shared" si="37"/>
        <v>1795</v>
      </c>
      <c r="P253" s="12" t="s">
        <v>155</v>
      </c>
      <c r="Q253" s="12" t="str">
        <f t="shared" si="44"/>
        <v>1795</v>
      </c>
      <c r="R253" s="12" t="s">
        <v>2002</v>
      </c>
      <c r="S253" s="12" t="str">
        <f t="shared" si="45"/>
        <v>1849</v>
      </c>
      <c r="T253" s="12" t="s">
        <v>961</v>
      </c>
      <c r="U253" s="12" t="s">
        <v>1218</v>
      </c>
      <c r="V253" s="12" t="str">
        <f t="shared" si="46"/>
        <v>1817</v>
      </c>
      <c r="W253" s="12" t="s">
        <v>2003</v>
      </c>
      <c r="X253" s="12" t="s">
        <v>760</v>
      </c>
      <c r="Y253" s="12"/>
      <c r="Z253" s="12"/>
      <c r="AA253" s="12"/>
      <c r="AB253" s="12"/>
      <c r="AC253" s="12"/>
      <c r="AD253" s="12"/>
      <c r="AE253" s="12"/>
      <c r="AF253" s="12" t="s">
        <v>3712</v>
      </c>
      <c r="AG253" s="12" t="s">
        <v>74</v>
      </c>
      <c r="AH253" s="12" t="s">
        <v>260</v>
      </c>
      <c r="AI253" s="12" t="str">
        <f t="shared" si="47"/>
        <v>1838</v>
      </c>
      <c r="AJ253" s="12" t="s">
        <v>1341</v>
      </c>
      <c r="AK253" s="12" t="s">
        <v>155</v>
      </c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Q253" s="2" t="s">
        <v>2012</v>
      </c>
    </row>
    <row r="254" spans="1:69">
      <c r="A254" s="12" t="s">
        <v>1997</v>
      </c>
      <c r="B254" s="12" t="str">
        <f t="shared" si="38"/>
        <v>BURGER</v>
      </c>
      <c r="C254" s="12" t="str">
        <f t="shared" si="39"/>
        <v>BURGER</v>
      </c>
      <c r="D254" s="12" t="s">
        <v>2004</v>
      </c>
      <c r="E254" s="12" t="str">
        <f t="shared" si="40"/>
        <v>Jacobus Johannes Jr</v>
      </c>
      <c r="F254" s="12" t="s">
        <v>2005</v>
      </c>
      <c r="G254" s="12" t="str">
        <f t="shared" si="41"/>
        <v>a1b2c2d3e8f1</v>
      </c>
      <c r="H254" s="12" t="str">
        <f t="shared" si="42"/>
        <v>BURGERa1b2c2d3e8f1</v>
      </c>
      <c r="I254" s="12" t="s">
        <v>48</v>
      </c>
      <c r="J254" s="12" t="s">
        <v>2006</v>
      </c>
      <c r="K254" s="12" t="str">
        <f t="shared" si="43"/>
        <v>1820</v>
      </c>
      <c r="L254" s="12" t="s">
        <v>48</v>
      </c>
      <c r="M254" s="12" t="s">
        <v>2126</v>
      </c>
      <c r="N254" s="12" t="str">
        <f t="shared" si="36"/>
        <v>1820</v>
      </c>
      <c r="O254" s="12" t="str">
        <f t="shared" si="37"/>
        <v>1820</v>
      </c>
      <c r="P254" s="12" t="s">
        <v>134</v>
      </c>
      <c r="Q254" s="12" t="str">
        <f t="shared" si="44"/>
        <v>1820</v>
      </c>
      <c r="R254" s="12" t="s">
        <v>2007</v>
      </c>
      <c r="S254" s="12" t="str">
        <f t="shared" si="45"/>
        <v>1878</v>
      </c>
      <c r="T254" s="12"/>
      <c r="U254" s="12"/>
      <c r="V254" s="12" t="str">
        <f t="shared" si="46"/>
        <v/>
      </c>
      <c r="W254" s="12" t="s">
        <v>765</v>
      </c>
      <c r="X254" s="12" t="s">
        <v>758</v>
      </c>
      <c r="Y254" s="12"/>
      <c r="Z254" s="12"/>
      <c r="AA254" s="12"/>
      <c r="AB254" s="12"/>
      <c r="AC254" s="12"/>
      <c r="AD254" s="12"/>
      <c r="AE254" s="12"/>
      <c r="AF254" s="12" t="s">
        <v>3712</v>
      </c>
      <c r="AG254" s="12" t="s">
        <v>74</v>
      </c>
      <c r="AH254" s="12" t="s">
        <v>260</v>
      </c>
      <c r="AI254" s="12" t="str">
        <f t="shared" si="47"/>
        <v>1838</v>
      </c>
      <c r="AJ254" s="12" t="s">
        <v>2008</v>
      </c>
      <c r="AK254" s="12" t="s">
        <v>90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</row>
    <row r="255" spans="1:69">
      <c r="A255" s="2" t="s">
        <v>1997</v>
      </c>
      <c r="B255" s="12" t="str">
        <f t="shared" si="38"/>
        <v>BURGER</v>
      </c>
      <c r="C255" s="12" t="str">
        <f t="shared" si="39"/>
        <v>BURGER</v>
      </c>
      <c r="D255" s="2" t="s">
        <v>2017</v>
      </c>
      <c r="E255" s="12" t="str">
        <f t="shared" si="40"/>
        <v>Schalk Willem Petrus</v>
      </c>
      <c r="F255" s="2" t="s">
        <v>2018</v>
      </c>
      <c r="G255" s="12" t="str">
        <f t="shared" si="41"/>
        <v>a1b2c2d9e1</v>
      </c>
      <c r="H255" s="12" t="str">
        <f t="shared" si="42"/>
        <v>BURGERa1b2c2d9e1</v>
      </c>
      <c r="K255" s="12" t="str">
        <f t="shared" si="43"/>
        <v/>
      </c>
      <c r="M255" s="2" t="s">
        <v>2019</v>
      </c>
      <c r="N255" s="12" t="str">
        <f t="shared" si="36"/>
        <v/>
      </c>
      <c r="O255" s="12" t="str">
        <f t="shared" si="37"/>
        <v>1784</v>
      </c>
      <c r="Q255" s="12" t="str">
        <f t="shared" si="44"/>
        <v>1784</v>
      </c>
      <c r="R255" s="2" t="s">
        <v>2020</v>
      </c>
      <c r="S255" s="12" t="str">
        <f t="shared" si="45"/>
        <v>1868</v>
      </c>
      <c r="T255" s="2" t="s">
        <v>542</v>
      </c>
      <c r="U255" s="2" t="s">
        <v>2021</v>
      </c>
      <c r="V255" s="12" t="str">
        <f t="shared" si="46"/>
        <v>1810</v>
      </c>
      <c r="W255" s="2" t="s">
        <v>2022</v>
      </c>
      <c r="X255" s="2" t="s">
        <v>2023</v>
      </c>
      <c r="AF255" s="2" t="s">
        <v>3587</v>
      </c>
      <c r="AG255" s="2" t="s">
        <v>395</v>
      </c>
      <c r="AH255" s="2">
        <v>1838</v>
      </c>
      <c r="AI255" s="12" t="str">
        <f t="shared" si="47"/>
        <v>1838</v>
      </c>
      <c r="AL255" s="2" t="s">
        <v>48</v>
      </c>
      <c r="AM255" s="2" t="s">
        <v>2024</v>
      </c>
      <c r="AN255" s="2" t="s">
        <v>2025</v>
      </c>
      <c r="AO255" s="2" t="s">
        <v>2026</v>
      </c>
      <c r="BQ255" s="2" t="s">
        <v>2028</v>
      </c>
    </row>
    <row r="256" spans="1:69">
      <c r="A256" s="2" t="s">
        <v>2029</v>
      </c>
      <c r="B256" s="12" t="str">
        <f t="shared" si="38"/>
        <v>BUYS</v>
      </c>
      <c r="C256" s="12" t="str">
        <f t="shared" si="39"/>
        <v>BUYS</v>
      </c>
      <c r="D256" s="2" t="s">
        <v>2031</v>
      </c>
      <c r="E256" s="12" t="str">
        <f t="shared" si="40"/>
        <v>Izak Sirk</v>
      </c>
      <c r="F256" s="2" t="s">
        <v>2032</v>
      </c>
      <c r="G256" s="12" t="str">
        <f t="shared" si="41"/>
        <v>a1b4c6d7e1</v>
      </c>
      <c r="H256" s="12" t="str">
        <f t="shared" si="42"/>
        <v>BUYSa1b4c6d7e1</v>
      </c>
      <c r="J256" s="2" t="s">
        <v>1442</v>
      </c>
      <c r="K256" s="12" t="str">
        <f t="shared" si="43"/>
        <v>1821</v>
      </c>
      <c r="N256" s="12" t="str">
        <f t="shared" si="36"/>
        <v>1821</v>
      </c>
      <c r="O256" s="12" t="str">
        <f t="shared" si="37"/>
        <v/>
      </c>
      <c r="Q256" s="12" t="str">
        <f t="shared" si="44"/>
        <v>1821</v>
      </c>
      <c r="S256" s="12" t="str">
        <f t="shared" si="45"/>
        <v/>
      </c>
      <c r="V256" s="12" t="str">
        <f t="shared" si="46"/>
        <v/>
      </c>
      <c r="AF256" s="2" t="s">
        <v>3709</v>
      </c>
      <c r="AG256" s="2" t="s">
        <v>68</v>
      </c>
      <c r="AH256" s="2" t="s">
        <v>2033</v>
      </c>
      <c r="AI256" s="12" t="str">
        <f t="shared" si="47"/>
        <v>1837</v>
      </c>
      <c r="AJ256" s="2" t="s">
        <v>2034</v>
      </c>
      <c r="AK256" s="2" t="s">
        <v>90</v>
      </c>
    </row>
    <row r="257" spans="1:82">
      <c r="A257" s="2" t="s">
        <v>2035</v>
      </c>
      <c r="B257" s="12" t="str">
        <f t="shared" si="38"/>
        <v>CERONIO</v>
      </c>
      <c r="C257" s="12" t="str">
        <f t="shared" si="39"/>
        <v>CERONIO</v>
      </c>
      <c r="D257" s="2" t="s">
        <v>2036</v>
      </c>
      <c r="E257" s="12" t="str">
        <f t="shared" si="40"/>
        <v>Gideon Pieter</v>
      </c>
      <c r="F257" s="2" t="s">
        <v>829</v>
      </c>
      <c r="G257" s="12" t="str">
        <f t="shared" si="41"/>
        <v>a1</v>
      </c>
      <c r="H257" s="12" t="str">
        <f t="shared" si="42"/>
        <v>CERONIOa1</v>
      </c>
      <c r="I257" s="2" t="s">
        <v>2037</v>
      </c>
      <c r="K257" s="12" t="str">
        <f t="shared" si="43"/>
        <v/>
      </c>
      <c r="N257" s="12" t="str">
        <f t="shared" si="36"/>
        <v/>
      </c>
      <c r="O257" s="12" t="str">
        <f t="shared" si="37"/>
        <v/>
      </c>
      <c r="P257" s="2" t="s">
        <v>566</v>
      </c>
      <c r="Q257" s="12" t="str">
        <f t="shared" si="44"/>
        <v/>
      </c>
      <c r="R257" s="2" t="s">
        <v>2038</v>
      </c>
      <c r="S257" s="12" t="str">
        <f t="shared" si="45"/>
        <v>1863</v>
      </c>
      <c r="T257" s="2" t="s">
        <v>48</v>
      </c>
      <c r="U257" s="2" t="s">
        <v>2039</v>
      </c>
      <c r="V257" s="12" t="str">
        <f t="shared" si="46"/>
        <v>1807</v>
      </c>
      <c r="W257" s="2" t="s">
        <v>2040</v>
      </c>
      <c r="X257" s="2" t="s">
        <v>2041</v>
      </c>
      <c r="AG257" s="2" t="s">
        <v>366</v>
      </c>
      <c r="AH257" s="2">
        <v>1839</v>
      </c>
      <c r="AI257" s="12" t="str">
        <f t="shared" si="47"/>
        <v>1839</v>
      </c>
      <c r="AK257" s="2" t="s">
        <v>2045</v>
      </c>
      <c r="AL257" s="2" t="s">
        <v>366</v>
      </c>
      <c r="AM257" s="2" t="s">
        <v>2042</v>
      </c>
      <c r="AN257" s="2" t="s">
        <v>2043</v>
      </c>
      <c r="AO257" s="2" t="s">
        <v>2044</v>
      </c>
    </row>
    <row r="258" spans="1:82">
      <c r="A258" s="2" t="s">
        <v>2035</v>
      </c>
      <c r="B258" s="12" t="str">
        <f t="shared" si="38"/>
        <v>CERONIO</v>
      </c>
      <c r="C258" s="12" t="str">
        <f t="shared" si="39"/>
        <v>CERONIO</v>
      </c>
      <c r="D258" s="2" t="s">
        <v>2036</v>
      </c>
      <c r="E258" s="12" t="str">
        <f t="shared" si="40"/>
        <v>Gideon Pieter</v>
      </c>
      <c r="F258" s="2" t="s">
        <v>830</v>
      </c>
      <c r="G258" s="12" t="str">
        <f t="shared" si="41"/>
        <v>a1b1</v>
      </c>
      <c r="H258" s="12" t="str">
        <f t="shared" si="42"/>
        <v>CERONIOa1b1</v>
      </c>
      <c r="K258" s="12" t="str">
        <f t="shared" si="43"/>
        <v/>
      </c>
      <c r="L258" s="2" t="s">
        <v>48</v>
      </c>
      <c r="M258" s="2" t="s">
        <v>2046</v>
      </c>
      <c r="N258" s="12" t="str">
        <f t="shared" ref="N258:N321" si="48">RIGHT(J258,4)</f>
        <v/>
      </c>
      <c r="O258" s="12" t="str">
        <f t="shared" ref="O258:O321" si="49">RIGHT(M258,4)</f>
        <v>1819</v>
      </c>
      <c r="Q258" s="12" t="str">
        <f t="shared" si="44"/>
        <v>1819</v>
      </c>
      <c r="S258" s="12" t="str">
        <f t="shared" si="45"/>
        <v/>
      </c>
      <c r="T258" s="2" t="s">
        <v>366</v>
      </c>
      <c r="U258" s="2" t="s">
        <v>192</v>
      </c>
      <c r="V258" s="12" t="str">
        <f t="shared" si="46"/>
        <v>1838</v>
      </c>
      <c r="W258" s="2" t="s">
        <v>2047</v>
      </c>
      <c r="X258" s="2" t="s">
        <v>701</v>
      </c>
      <c r="AG258" s="2" t="s">
        <v>366</v>
      </c>
      <c r="AH258" s="2">
        <v>1839</v>
      </c>
      <c r="AI258" s="12" t="str">
        <f t="shared" si="47"/>
        <v>1839</v>
      </c>
      <c r="AK258" s="2" t="s">
        <v>551</v>
      </c>
    </row>
    <row r="259" spans="1:82">
      <c r="A259" s="2" t="s">
        <v>2048</v>
      </c>
      <c r="B259" s="12" t="str">
        <f t="shared" ref="B259:B322" si="50">SUBSTITUTE(A259," ","")</f>
        <v>CILLIERS</v>
      </c>
      <c r="C259" s="12" t="str">
        <f t="shared" ref="C259:C322" si="51">TRIM(A259)</f>
        <v>CILLIERS</v>
      </c>
      <c r="D259" s="2" t="s">
        <v>2091</v>
      </c>
      <c r="E259" s="12" t="str">
        <f t="shared" ref="E259:E322" si="52">PROPER(D259)</f>
        <v>Johannes Daniel</v>
      </c>
      <c r="F259" s="2" t="s">
        <v>1086</v>
      </c>
      <c r="G259" s="12" t="str">
        <f t="shared" ref="G259:G322" si="53">IF(LEFT(F259,1)="b","a1"&amp;F259,F259)</f>
        <v>a1b2c1d7e1</v>
      </c>
      <c r="H259" s="12" t="str">
        <f t="shared" ref="H259:H322" si="54">C259&amp;G259</f>
        <v>CILLIERSa1b2c1d7e1</v>
      </c>
      <c r="J259" s="2" t="s">
        <v>2097</v>
      </c>
      <c r="K259" s="12" t="str">
        <f t="shared" ref="K259:K322" si="55">RIGHT(J259,4)</f>
        <v>1795</v>
      </c>
      <c r="L259" s="2" t="s">
        <v>1071</v>
      </c>
      <c r="M259" s="2" t="s">
        <v>2098</v>
      </c>
      <c r="N259" s="12" t="str">
        <f t="shared" si="48"/>
        <v>1795</v>
      </c>
      <c r="O259" s="12" t="str">
        <f t="shared" si="49"/>
        <v>1795</v>
      </c>
      <c r="P259" s="2" t="s">
        <v>190</v>
      </c>
      <c r="Q259" s="12" t="str">
        <f t="shared" ref="Q259:Q322" si="56">IF(N259="",O259,N259)</f>
        <v>1795</v>
      </c>
      <c r="R259" s="2" t="s">
        <v>2100</v>
      </c>
      <c r="S259" s="12" t="str">
        <f t="shared" ref="S259:S322" si="57">RIGHT(R259,4)</f>
        <v>1871</v>
      </c>
      <c r="T259" s="2" t="s">
        <v>961</v>
      </c>
      <c r="U259" s="2" t="s">
        <v>2101</v>
      </c>
      <c r="V259" s="12" t="str">
        <f t="shared" ref="V259:V322" si="58">RIGHT(U259,4)</f>
        <v>1816</v>
      </c>
      <c r="W259" s="2" t="s">
        <v>1647</v>
      </c>
      <c r="X259" s="2" t="s">
        <v>2102</v>
      </c>
      <c r="AG259" s="2" t="s">
        <v>74</v>
      </c>
      <c r="AH259" s="2">
        <v>1840</v>
      </c>
      <c r="AI259" s="12" t="str">
        <f t="shared" ref="AI259:AI322" si="59">RIGHT(AH259,4)</f>
        <v>1840</v>
      </c>
      <c r="AK259" s="2" t="s">
        <v>160</v>
      </c>
      <c r="AL259" s="2" t="s">
        <v>68</v>
      </c>
      <c r="AM259" s="2" t="s">
        <v>2103</v>
      </c>
      <c r="AN259" s="2" t="s">
        <v>2104</v>
      </c>
      <c r="AO259" s="2" t="s">
        <v>792</v>
      </c>
      <c r="AY259" s="2" t="s">
        <v>2105</v>
      </c>
      <c r="AZ259" s="2" t="s">
        <v>2106</v>
      </c>
    </row>
    <row r="260" spans="1:82">
      <c r="A260" s="2" t="s">
        <v>2048</v>
      </c>
      <c r="B260" s="12" t="str">
        <f t="shared" si="50"/>
        <v>CILLIERS</v>
      </c>
      <c r="C260" s="12" t="str">
        <f t="shared" si="51"/>
        <v>CILLIERS</v>
      </c>
      <c r="D260" s="2" t="s">
        <v>2080</v>
      </c>
      <c r="E260" s="12" t="str">
        <f t="shared" si="52"/>
        <v>Charl Petrus</v>
      </c>
      <c r="F260" s="2" t="s">
        <v>2081</v>
      </c>
      <c r="G260" s="12" t="str">
        <f t="shared" si="53"/>
        <v>a1b2c1d7e1f2</v>
      </c>
      <c r="H260" s="12" t="str">
        <f t="shared" si="54"/>
        <v>CILLIERSa1b2c1d7e1f2</v>
      </c>
      <c r="J260" s="2" t="s">
        <v>2082</v>
      </c>
      <c r="K260" s="12" t="str">
        <f t="shared" si="55"/>
        <v>1820</v>
      </c>
      <c r="L260" s="2" t="s">
        <v>1071</v>
      </c>
      <c r="M260" s="2" t="s">
        <v>2083</v>
      </c>
      <c r="N260" s="12" t="str">
        <f t="shared" si="48"/>
        <v>1820</v>
      </c>
      <c r="O260" s="12" t="str">
        <f t="shared" si="49"/>
        <v>1820</v>
      </c>
      <c r="P260" s="2" t="s">
        <v>2084</v>
      </c>
      <c r="Q260" s="12" t="str">
        <f t="shared" si="56"/>
        <v>1820</v>
      </c>
      <c r="R260" s="2" t="s">
        <v>2099</v>
      </c>
      <c r="S260" s="12" t="str">
        <f t="shared" si="57"/>
        <v>1876</v>
      </c>
      <c r="V260" s="12" t="str">
        <f t="shared" si="58"/>
        <v/>
      </c>
      <c r="W260" s="2" t="s">
        <v>1800</v>
      </c>
      <c r="X260" s="2" t="s">
        <v>1612</v>
      </c>
      <c r="AG260" s="2" t="s">
        <v>74</v>
      </c>
      <c r="AH260" s="2">
        <v>1836</v>
      </c>
      <c r="AI260" s="12" t="str">
        <f t="shared" si="59"/>
        <v>1836</v>
      </c>
      <c r="AK260" s="2" t="s">
        <v>160</v>
      </c>
      <c r="AN260" s="2" t="s">
        <v>2085</v>
      </c>
      <c r="AO260" s="2" t="s">
        <v>2086</v>
      </c>
    </row>
    <row r="261" spans="1:82">
      <c r="A261" s="2" t="s">
        <v>2048</v>
      </c>
      <c r="B261" s="12" t="str">
        <f t="shared" si="50"/>
        <v>CILLIERS</v>
      </c>
      <c r="C261" s="12" t="str">
        <f t="shared" si="51"/>
        <v>CILLIERS</v>
      </c>
      <c r="D261" s="2" t="s">
        <v>2091</v>
      </c>
      <c r="E261" s="12" t="str">
        <f t="shared" si="52"/>
        <v>Johannes Daniel</v>
      </c>
      <c r="F261" s="2" t="s">
        <v>2092</v>
      </c>
      <c r="G261" s="12" t="str">
        <f t="shared" si="53"/>
        <v>a1b2c1d7e1f3</v>
      </c>
      <c r="H261" s="12" t="str">
        <f t="shared" si="54"/>
        <v>CILLIERSa1b2c1d7e1f3</v>
      </c>
      <c r="J261" s="2" t="s">
        <v>1885</v>
      </c>
      <c r="K261" s="12" t="str">
        <f t="shared" si="55"/>
        <v>1822</v>
      </c>
      <c r="L261" s="2" t="s">
        <v>1071</v>
      </c>
      <c r="M261" s="2" t="s">
        <v>2093</v>
      </c>
      <c r="N261" s="12" t="str">
        <f t="shared" si="48"/>
        <v>1822</v>
      </c>
      <c r="O261" s="12" t="str">
        <f t="shared" si="49"/>
        <v>1822</v>
      </c>
      <c r="Q261" s="12" t="str">
        <f t="shared" si="56"/>
        <v>1822</v>
      </c>
      <c r="S261" s="12" t="str">
        <f t="shared" si="57"/>
        <v/>
      </c>
      <c r="V261" s="12" t="str">
        <f t="shared" si="58"/>
        <v/>
      </c>
      <c r="W261" s="2" t="s">
        <v>714</v>
      </c>
      <c r="X261" s="2" t="s">
        <v>696</v>
      </c>
      <c r="AG261" s="2" t="s">
        <v>74</v>
      </c>
      <c r="AH261" s="2">
        <v>1840</v>
      </c>
      <c r="AI261" s="12" t="str">
        <f t="shared" si="59"/>
        <v>1840</v>
      </c>
      <c r="AK261" s="2" t="s">
        <v>160</v>
      </c>
      <c r="AL261" s="2" t="s">
        <v>24</v>
      </c>
      <c r="AM261" s="2" t="s">
        <v>2094</v>
      </c>
      <c r="AN261" s="2" t="s">
        <v>2095</v>
      </c>
      <c r="AO261" s="2" t="s">
        <v>2096</v>
      </c>
    </row>
    <row r="262" spans="1:82">
      <c r="A262" s="2" t="s">
        <v>2048</v>
      </c>
      <c r="B262" s="12" t="str">
        <f t="shared" si="50"/>
        <v>CILLIERS</v>
      </c>
      <c r="C262" s="12" t="str">
        <f t="shared" si="51"/>
        <v>CILLIERS</v>
      </c>
      <c r="D262" s="2" t="s">
        <v>2059</v>
      </c>
      <c r="E262" s="12" t="str">
        <f t="shared" si="52"/>
        <v>Charl Arnoldus</v>
      </c>
      <c r="F262" s="2" t="s">
        <v>2060</v>
      </c>
      <c r="G262" s="12" t="str">
        <f t="shared" si="53"/>
        <v>a1b2c1d7e4</v>
      </c>
      <c r="H262" s="12" t="str">
        <f t="shared" si="54"/>
        <v>CILLIERSa1b2c1d7e4</v>
      </c>
      <c r="I262" s="2" t="s">
        <v>2061</v>
      </c>
      <c r="J262" s="2" t="s">
        <v>2062</v>
      </c>
      <c r="K262" s="12" t="str">
        <f t="shared" si="55"/>
        <v>1801</v>
      </c>
      <c r="L262" s="2" t="s">
        <v>1071</v>
      </c>
      <c r="M262" s="2" t="s">
        <v>247</v>
      </c>
      <c r="N262" s="12" t="str">
        <f t="shared" si="48"/>
        <v>1801</v>
      </c>
      <c r="O262" s="12" t="str">
        <f t="shared" si="49"/>
        <v>1801</v>
      </c>
      <c r="P262" s="2" t="s">
        <v>2063</v>
      </c>
      <c r="Q262" s="12" t="str">
        <f t="shared" si="56"/>
        <v>1801</v>
      </c>
      <c r="R262" s="2" t="s">
        <v>2064</v>
      </c>
      <c r="S262" s="12" t="str">
        <f t="shared" si="57"/>
        <v>1871</v>
      </c>
      <c r="T262" s="2" t="s">
        <v>74</v>
      </c>
      <c r="U262" s="2" t="s">
        <v>2065</v>
      </c>
      <c r="V262" s="12" t="str">
        <f t="shared" si="58"/>
        <v>1823</v>
      </c>
      <c r="W262" s="2" t="s">
        <v>2066</v>
      </c>
      <c r="X262" s="2" t="s">
        <v>662</v>
      </c>
      <c r="Y262" s="2" t="s">
        <v>2067</v>
      </c>
      <c r="AC262" s="2" t="s">
        <v>2068</v>
      </c>
      <c r="AD262" s="2" t="s">
        <v>2063</v>
      </c>
      <c r="AE262" s="2">
        <v>1852</v>
      </c>
      <c r="AF262" s="2" t="s">
        <v>3723</v>
      </c>
      <c r="AG262" s="2" t="s">
        <v>60</v>
      </c>
      <c r="AH262" s="2" t="s">
        <v>2069</v>
      </c>
      <c r="AI262" s="12" t="str">
        <f t="shared" si="59"/>
        <v>1836</v>
      </c>
      <c r="AJ262" s="2" t="s">
        <v>2070</v>
      </c>
      <c r="AK262" s="2" t="s">
        <v>90</v>
      </c>
      <c r="AM262" s="2" t="s">
        <v>2071</v>
      </c>
      <c r="AN262" s="2" t="s">
        <v>2072</v>
      </c>
      <c r="AO262" s="2" t="s">
        <v>2073</v>
      </c>
      <c r="BR262" s="2" t="s">
        <v>2074</v>
      </c>
    </row>
    <row r="263" spans="1:82">
      <c r="A263" s="5" t="s">
        <v>2048</v>
      </c>
      <c r="B263" s="12" t="str">
        <f t="shared" si="50"/>
        <v>CILLIERS</v>
      </c>
      <c r="C263" s="12" t="str">
        <f t="shared" si="51"/>
        <v>CILLIERS</v>
      </c>
      <c r="D263" s="5" t="s">
        <v>2798</v>
      </c>
      <c r="E263" s="12" t="str">
        <f t="shared" si="52"/>
        <v>Carel Johannes</v>
      </c>
      <c r="F263" s="5" t="s">
        <v>2075</v>
      </c>
      <c r="G263" s="12" t="str">
        <f t="shared" si="53"/>
        <v>a1b2c1d7e4f1</v>
      </c>
      <c r="H263" s="12" t="str">
        <f t="shared" si="54"/>
        <v>CILLIERSa1b2c1d7e4f1</v>
      </c>
      <c r="I263" s="5"/>
      <c r="J263" s="5" t="s">
        <v>2076</v>
      </c>
      <c r="K263" s="12" t="str">
        <f t="shared" si="55"/>
        <v>1825</v>
      </c>
      <c r="L263" s="5" t="s">
        <v>74</v>
      </c>
      <c r="M263" s="5" t="s">
        <v>2077</v>
      </c>
      <c r="N263" s="12" t="str">
        <f t="shared" si="48"/>
        <v>1825</v>
      </c>
      <c r="O263" s="12" t="str">
        <f t="shared" si="49"/>
        <v>1825</v>
      </c>
      <c r="P263" s="5" t="s">
        <v>24</v>
      </c>
      <c r="Q263" s="12" t="str">
        <f t="shared" si="56"/>
        <v>1825</v>
      </c>
      <c r="R263" s="5" t="s">
        <v>2078</v>
      </c>
      <c r="S263" s="12" t="str">
        <f t="shared" si="57"/>
        <v>1896</v>
      </c>
      <c r="T263" s="5"/>
      <c r="U263" s="5"/>
      <c r="V263" s="12" t="str">
        <f t="shared" si="58"/>
        <v/>
      </c>
      <c r="W263" s="5" t="s">
        <v>1674</v>
      </c>
      <c r="X263" s="5" t="s">
        <v>2073</v>
      </c>
      <c r="Y263" s="5"/>
      <c r="Z263" s="5"/>
      <c r="AA263" s="5"/>
      <c r="AB263" s="5"/>
      <c r="AC263" s="5"/>
      <c r="AD263" s="5"/>
      <c r="AE263" s="5"/>
      <c r="AF263" s="5" t="s">
        <v>3723</v>
      </c>
      <c r="AG263" s="5" t="s">
        <v>60</v>
      </c>
      <c r="AH263" s="5">
        <v>1836</v>
      </c>
      <c r="AI263" s="12" t="str">
        <f t="shared" si="59"/>
        <v>1836</v>
      </c>
      <c r="AJ263" s="5" t="s">
        <v>2070</v>
      </c>
      <c r="AK263" s="5"/>
      <c r="AL263" s="5"/>
      <c r="AM263" s="5"/>
      <c r="AN263" s="5" t="s">
        <v>2079</v>
      </c>
      <c r="AO263" s="5" t="s">
        <v>700</v>
      </c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</row>
    <row r="264" spans="1:82">
      <c r="A264" s="2" t="s">
        <v>2048</v>
      </c>
      <c r="B264" s="12" t="str">
        <f t="shared" si="50"/>
        <v>CILLIERS</v>
      </c>
      <c r="C264" s="12" t="str">
        <f t="shared" si="51"/>
        <v>CILLIERS</v>
      </c>
      <c r="D264" s="2" t="s">
        <v>2087</v>
      </c>
      <c r="E264" s="12" t="str">
        <f t="shared" si="52"/>
        <v>Jan Gabriel</v>
      </c>
      <c r="F264" s="2" t="s">
        <v>2088</v>
      </c>
      <c r="G264" s="12" t="str">
        <f t="shared" si="53"/>
        <v>a1b7c1d8</v>
      </c>
      <c r="H264" s="12" t="str">
        <f t="shared" si="54"/>
        <v>CILLIERSa1b7c1d8</v>
      </c>
      <c r="K264" s="12" t="str">
        <f t="shared" si="55"/>
        <v/>
      </c>
      <c r="M264" s="2" t="s">
        <v>2089</v>
      </c>
      <c r="N264" s="12" t="str">
        <f t="shared" si="48"/>
        <v/>
      </c>
      <c r="O264" s="12" t="str">
        <f t="shared" si="49"/>
        <v>1796</v>
      </c>
      <c r="Q264" s="12" t="str">
        <f t="shared" si="56"/>
        <v>1796</v>
      </c>
      <c r="S264" s="12" t="str">
        <f t="shared" si="57"/>
        <v/>
      </c>
      <c r="T264" s="2" t="s">
        <v>32</v>
      </c>
      <c r="U264" s="2" t="s">
        <v>1681</v>
      </c>
      <c r="V264" s="12" t="str">
        <f t="shared" si="58"/>
        <v>1816</v>
      </c>
      <c r="W264" s="2" t="s">
        <v>2090</v>
      </c>
      <c r="X264" s="2" t="s">
        <v>772</v>
      </c>
      <c r="Y264" s="2" t="s">
        <v>1954</v>
      </c>
      <c r="AG264" s="2" t="s">
        <v>32</v>
      </c>
      <c r="AH264" s="2">
        <v>1840</v>
      </c>
      <c r="AI264" s="12" t="str">
        <f t="shared" si="59"/>
        <v>1840</v>
      </c>
      <c r="AK264" s="2" t="s">
        <v>90</v>
      </c>
    </row>
    <row r="265" spans="1:82">
      <c r="A265" s="2" t="s">
        <v>2048</v>
      </c>
      <c r="B265" s="12" t="str">
        <f t="shared" si="50"/>
        <v>CILLIERS</v>
      </c>
      <c r="C265" s="12" t="str">
        <f t="shared" si="51"/>
        <v>CILLIERS</v>
      </c>
      <c r="D265" s="2" t="s">
        <v>2049</v>
      </c>
      <c r="E265" s="12" t="str">
        <f t="shared" si="52"/>
        <v>Abraham Albertus</v>
      </c>
      <c r="F265" s="2" t="s">
        <v>2050</v>
      </c>
      <c r="G265" s="12" t="str">
        <f t="shared" si="53"/>
        <v>a1b7c1d8e2</v>
      </c>
      <c r="H265" s="12" t="str">
        <f t="shared" si="54"/>
        <v>CILLIERSa1b7c1d8e2</v>
      </c>
      <c r="I265" s="2" t="s">
        <v>2051</v>
      </c>
      <c r="J265" s="2" t="s">
        <v>2052</v>
      </c>
      <c r="K265" s="12" t="str">
        <f t="shared" si="55"/>
        <v>1818</v>
      </c>
      <c r="M265" s="2" t="s">
        <v>2053</v>
      </c>
      <c r="N265" s="12" t="str">
        <f t="shared" si="48"/>
        <v>1818</v>
      </c>
      <c r="O265" s="12" t="str">
        <f t="shared" si="49"/>
        <v>1819</v>
      </c>
      <c r="P265" s="2" t="s">
        <v>406</v>
      </c>
      <c r="Q265" s="12" t="str">
        <f t="shared" si="56"/>
        <v>1818</v>
      </c>
      <c r="R265" s="2" t="s">
        <v>2054</v>
      </c>
      <c r="S265" s="12" t="str">
        <f t="shared" si="57"/>
        <v>1897</v>
      </c>
      <c r="T265" s="2" t="s">
        <v>168</v>
      </c>
      <c r="U265" s="2" t="s">
        <v>2055</v>
      </c>
      <c r="V265" s="12" t="str">
        <f t="shared" si="58"/>
        <v>1844</v>
      </c>
      <c r="W265" s="2" t="s">
        <v>673</v>
      </c>
      <c r="X265" s="2" t="s">
        <v>266</v>
      </c>
      <c r="AD265" s="2" t="s">
        <v>155</v>
      </c>
      <c r="AE265" s="2">
        <v>1849</v>
      </c>
      <c r="AF265" s="5" t="s">
        <v>3722</v>
      </c>
      <c r="AG265" s="5" t="s">
        <v>32</v>
      </c>
      <c r="AH265" s="2">
        <v>1836</v>
      </c>
      <c r="AI265" s="12" t="str">
        <f t="shared" si="59"/>
        <v>1836</v>
      </c>
      <c r="AK265" s="2" t="s">
        <v>2058</v>
      </c>
      <c r="AM265" s="2">
        <v>1850</v>
      </c>
      <c r="AN265" s="2" t="s">
        <v>2056</v>
      </c>
      <c r="AO265" s="2" t="s">
        <v>2026</v>
      </c>
      <c r="AY265" s="2" t="s">
        <v>2057</v>
      </c>
      <c r="BE265" s="2" t="s">
        <v>406</v>
      </c>
      <c r="BF265" s="2">
        <v>1893</v>
      </c>
    </row>
    <row r="266" spans="1:82">
      <c r="A266" s="2" t="s">
        <v>2048</v>
      </c>
      <c r="B266" s="12" t="str">
        <f t="shared" si="50"/>
        <v>CILLIERS</v>
      </c>
      <c r="C266" s="12" t="str">
        <f t="shared" si="51"/>
        <v>CILLIERS</v>
      </c>
      <c r="D266" s="2" t="s">
        <v>2117</v>
      </c>
      <c r="E266" s="12" t="str">
        <f t="shared" si="52"/>
        <v>Pieter Joshua Hendrik</v>
      </c>
      <c r="F266" s="2" t="s">
        <v>2118</v>
      </c>
      <c r="G266" s="12" t="str">
        <f t="shared" si="53"/>
        <v>a1b7c6d2e2</v>
      </c>
      <c r="H266" s="12" t="str">
        <f t="shared" si="54"/>
        <v>CILLIERSa1b7c6d2e2</v>
      </c>
      <c r="K266" s="12" t="str">
        <f t="shared" si="55"/>
        <v/>
      </c>
      <c r="M266" s="2" t="s">
        <v>1780</v>
      </c>
      <c r="N266" s="12" t="str">
        <f t="shared" si="48"/>
        <v/>
      </c>
      <c r="O266" s="12" t="str">
        <f t="shared" si="49"/>
        <v>1816</v>
      </c>
      <c r="Q266" s="12" t="str">
        <f t="shared" si="56"/>
        <v>1816</v>
      </c>
      <c r="S266" s="12" t="str">
        <f t="shared" si="57"/>
        <v/>
      </c>
      <c r="V266" s="12" t="str">
        <f t="shared" si="58"/>
        <v/>
      </c>
      <c r="AF266" s="2" t="s">
        <v>3707</v>
      </c>
      <c r="AG266" s="2" t="s">
        <v>32</v>
      </c>
      <c r="AH266" s="2" t="s">
        <v>2119</v>
      </c>
      <c r="AI266" s="12" t="str">
        <f t="shared" si="59"/>
        <v>1837</v>
      </c>
    </row>
    <row r="267" spans="1:82">
      <c r="A267" s="2" t="s">
        <v>2107</v>
      </c>
      <c r="B267" s="12" t="str">
        <f t="shared" si="50"/>
        <v>CILLIERS</v>
      </c>
      <c r="C267" s="12" t="str">
        <f t="shared" si="51"/>
        <v>CILLIERS</v>
      </c>
      <c r="D267" s="2" t="s">
        <v>2112</v>
      </c>
      <c r="E267" s="12" t="str">
        <f t="shared" si="52"/>
        <v>Pieter Abraham</v>
      </c>
      <c r="F267" s="2" t="s">
        <v>2113</v>
      </c>
      <c r="G267" s="12" t="str">
        <f t="shared" si="53"/>
        <v>a1b2c1d7e1f4</v>
      </c>
      <c r="H267" s="12" t="str">
        <f t="shared" si="54"/>
        <v>CILLIERSa1b2c1d7e1f4</v>
      </c>
      <c r="J267" s="2" t="s">
        <v>2114</v>
      </c>
      <c r="K267" s="12" t="str">
        <f t="shared" si="55"/>
        <v>1824</v>
      </c>
      <c r="L267" s="2" t="s">
        <v>74</v>
      </c>
      <c r="M267" s="2" t="s">
        <v>2115</v>
      </c>
      <c r="N267" s="12" t="str">
        <f t="shared" si="48"/>
        <v>1824</v>
      </c>
      <c r="O267" s="12" t="str">
        <f t="shared" si="49"/>
        <v>1824</v>
      </c>
      <c r="Q267" s="12" t="str">
        <f t="shared" si="56"/>
        <v>1824</v>
      </c>
      <c r="S267" s="12" t="str">
        <f t="shared" si="57"/>
        <v/>
      </c>
      <c r="V267" s="12" t="str">
        <f t="shared" si="58"/>
        <v/>
      </c>
      <c r="W267" s="2" t="s">
        <v>2116</v>
      </c>
      <c r="X267" s="2" t="s">
        <v>2106</v>
      </c>
      <c r="AG267" s="2" t="s">
        <v>74</v>
      </c>
      <c r="AH267" s="2">
        <v>1840</v>
      </c>
      <c r="AI267" s="12" t="str">
        <f t="shared" si="59"/>
        <v>1840</v>
      </c>
      <c r="AK267" s="2" t="s">
        <v>160</v>
      </c>
    </row>
    <row r="268" spans="1:82">
      <c r="A268" s="5" t="s">
        <v>2107</v>
      </c>
      <c r="B268" s="12" t="str">
        <f t="shared" si="50"/>
        <v>CILLIERS</v>
      </c>
      <c r="C268" s="12" t="str">
        <f t="shared" si="51"/>
        <v>CILLIERS</v>
      </c>
      <c r="D268" s="5" t="s">
        <v>521</v>
      </c>
      <c r="E268" s="12" t="str">
        <f t="shared" si="52"/>
        <v>Petrus Gerhardus</v>
      </c>
      <c r="F268" s="5" t="s">
        <v>2108</v>
      </c>
      <c r="G268" s="12" t="str">
        <f t="shared" si="53"/>
        <v>a1b2c1d7e3</v>
      </c>
      <c r="H268" s="12" t="str">
        <f t="shared" si="54"/>
        <v>CILLIERSa1b2c1d7e3</v>
      </c>
      <c r="I268" s="5"/>
      <c r="J268" s="5"/>
      <c r="K268" s="12" t="str">
        <f t="shared" si="55"/>
        <v/>
      </c>
      <c r="L268" s="5"/>
      <c r="M268" s="5" t="s">
        <v>2109</v>
      </c>
      <c r="N268" s="5" t="str">
        <f t="shared" si="48"/>
        <v/>
      </c>
      <c r="O268" s="5" t="str">
        <f t="shared" si="49"/>
        <v>1799</v>
      </c>
      <c r="P268" s="5" t="s">
        <v>71</v>
      </c>
      <c r="Q268" s="12" t="str">
        <f t="shared" si="56"/>
        <v>1799</v>
      </c>
      <c r="R268" s="5" t="s">
        <v>72</v>
      </c>
      <c r="S268" s="12" t="str">
        <f t="shared" si="57"/>
        <v>1838</v>
      </c>
      <c r="T268" s="5" t="s">
        <v>74</v>
      </c>
      <c r="U268" s="5" t="s">
        <v>269</v>
      </c>
      <c r="V268" s="12" t="str">
        <f t="shared" si="58"/>
        <v>1826</v>
      </c>
      <c r="W268" s="5" t="s">
        <v>2110</v>
      </c>
      <c r="X268" s="5" t="s">
        <v>2111</v>
      </c>
      <c r="Y268" s="5"/>
      <c r="Z268" s="5"/>
      <c r="AA268" s="5"/>
      <c r="AB268" s="5"/>
      <c r="AC268" s="5"/>
      <c r="AD268" s="5"/>
      <c r="AE268" s="5"/>
      <c r="AF268" s="5"/>
      <c r="AG268" s="5" t="s">
        <v>60</v>
      </c>
      <c r="AH268" s="5">
        <v>1836</v>
      </c>
      <c r="AI268" s="12" t="str">
        <f t="shared" si="59"/>
        <v>1836</v>
      </c>
      <c r="AJ268" s="5" t="s">
        <v>2070</v>
      </c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</row>
    <row r="269" spans="1:82">
      <c r="A269" s="12" t="s">
        <v>783</v>
      </c>
      <c r="B269" s="12" t="str">
        <f t="shared" si="50"/>
        <v>CLAASEN</v>
      </c>
      <c r="C269" s="12" t="str">
        <f t="shared" si="51"/>
        <v>CLAASEN</v>
      </c>
      <c r="D269" s="2" t="s">
        <v>2127</v>
      </c>
      <c r="E269" s="12" t="str">
        <f t="shared" si="52"/>
        <v>Hendrik Daniel Jacobus</v>
      </c>
      <c r="F269" s="2" t="s">
        <v>2128</v>
      </c>
      <c r="G269" s="12" t="str">
        <f t="shared" si="53"/>
        <v>a2b1c3d12</v>
      </c>
      <c r="H269" s="12" t="str">
        <f t="shared" si="54"/>
        <v>CLAASENa2b1c3d12</v>
      </c>
      <c r="K269" s="12" t="str">
        <f t="shared" si="55"/>
        <v/>
      </c>
      <c r="M269" s="2" t="s">
        <v>1577</v>
      </c>
      <c r="N269" s="12" t="str">
        <f t="shared" si="48"/>
        <v/>
      </c>
      <c r="O269" s="12" t="str">
        <f t="shared" si="49"/>
        <v>1808</v>
      </c>
      <c r="Q269" s="12" t="str">
        <f t="shared" si="56"/>
        <v>1808</v>
      </c>
      <c r="S269" s="12" t="str">
        <f t="shared" si="57"/>
        <v/>
      </c>
      <c r="V269" s="12" t="str">
        <f t="shared" si="58"/>
        <v/>
      </c>
      <c r="W269" s="2" t="s">
        <v>2129</v>
      </c>
      <c r="X269" s="2" t="s">
        <v>2130</v>
      </c>
      <c r="AF269" s="2" t="s">
        <v>3706</v>
      </c>
      <c r="AG269" s="2" t="s">
        <v>68</v>
      </c>
      <c r="AH269" s="2" t="s">
        <v>2131</v>
      </c>
      <c r="AI269" s="12" t="str">
        <f t="shared" si="59"/>
        <v>1844</v>
      </c>
      <c r="AJ269" s="2" t="s">
        <v>272</v>
      </c>
      <c r="AK269" s="2" t="s">
        <v>160</v>
      </c>
    </row>
    <row r="270" spans="1:82">
      <c r="A270" s="12" t="s">
        <v>783</v>
      </c>
      <c r="B270" s="12" t="str">
        <f t="shared" si="50"/>
        <v>CLAASEN</v>
      </c>
      <c r="C270" s="12" t="str">
        <f t="shared" si="51"/>
        <v>CLAASEN</v>
      </c>
      <c r="D270" s="2" t="s">
        <v>2122</v>
      </c>
      <c r="E270" s="12" t="str">
        <f t="shared" si="52"/>
        <v>Christiaan Cornelis</v>
      </c>
      <c r="F270" s="2" t="s">
        <v>2121</v>
      </c>
      <c r="G270" s="12" t="str">
        <f t="shared" si="53"/>
        <v>a3b6c10d1e10</v>
      </c>
      <c r="H270" s="12" t="str">
        <f t="shared" si="54"/>
        <v>CLAASENa3b6c10d1e10</v>
      </c>
      <c r="J270" s="2">
        <v>1816</v>
      </c>
      <c r="K270" s="12" t="str">
        <f t="shared" si="55"/>
        <v>1816</v>
      </c>
      <c r="N270" s="12" t="str">
        <f t="shared" si="48"/>
        <v>1816</v>
      </c>
      <c r="O270" s="12" t="str">
        <f t="shared" si="49"/>
        <v/>
      </c>
      <c r="Q270" s="12" t="str">
        <f t="shared" si="56"/>
        <v>1816</v>
      </c>
      <c r="S270" s="12" t="str">
        <f t="shared" si="57"/>
        <v/>
      </c>
      <c r="V270" s="12" t="str">
        <f t="shared" si="58"/>
        <v/>
      </c>
      <c r="W270" s="2" t="s">
        <v>715</v>
      </c>
      <c r="X270" s="2" t="s">
        <v>526</v>
      </c>
      <c r="AG270" s="2" t="s">
        <v>366</v>
      </c>
      <c r="AH270" s="2">
        <v>1839</v>
      </c>
      <c r="AI270" s="12" t="str">
        <f t="shared" si="59"/>
        <v>1839</v>
      </c>
      <c r="AK270" s="2" t="s">
        <v>190</v>
      </c>
      <c r="AL270" s="2" t="s">
        <v>74</v>
      </c>
      <c r="AM270" s="2" t="s">
        <v>1981</v>
      </c>
      <c r="AN270" s="2" t="s">
        <v>2125</v>
      </c>
      <c r="AO270" s="2" t="s">
        <v>526</v>
      </c>
    </row>
    <row r="271" spans="1:82">
      <c r="A271" s="2" t="s">
        <v>783</v>
      </c>
      <c r="B271" s="12" t="str">
        <f t="shared" si="50"/>
        <v>CLAASEN</v>
      </c>
      <c r="C271" s="12" t="str">
        <f t="shared" si="51"/>
        <v>CLAASEN</v>
      </c>
      <c r="D271" s="2" t="s">
        <v>2120</v>
      </c>
      <c r="E271" s="12" t="str">
        <f t="shared" si="52"/>
        <v>Arie Willem</v>
      </c>
      <c r="F271" s="2" t="s">
        <v>2123</v>
      </c>
      <c r="G271" s="12" t="str">
        <f t="shared" si="53"/>
        <v>a3b6c10d1e4</v>
      </c>
      <c r="H271" s="12" t="str">
        <f t="shared" si="54"/>
        <v>CLAASENa3b6c10d1e4</v>
      </c>
      <c r="J271" s="2">
        <v>1805</v>
      </c>
      <c r="K271" s="12" t="str">
        <f t="shared" si="55"/>
        <v>1805</v>
      </c>
      <c r="N271" s="12" t="str">
        <f t="shared" si="48"/>
        <v>1805</v>
      </c>
      <c r="O271" s="12" t="str">
        <f t="shared" si="49"/>
        <v/>
      </c>
      <c r="Q271" s="12" t="str">
        <f t="shared" si="56"/>
        <v>1805</v>
      </c>
      <c r="S271" s="12" t="str">
        <f t="shared" si="57"/>
        <v/>
      </c>
      <c r="T271" s="2" t="s">
        <v>366</v>
      </c>
      <c r="U271" s="2" t="s">
        <v>2124</v>
      </c>
      <c r="V271" s="12" t="str">
        <f t="shared" si="58"/>
        <v>1825</v>
      </c>
      <c r="W271" s="2" t="s">
        <v>804</v>
      </c>
      <c r="X271" s="2" t="s">
        <v>780</v>
      </c>
      <c r="AG271" s="2" t="s">
        <v>366</v>
      </c>
      <c r="AH271" s="2">
        <v>1838</v>
      </c>
      <c r="AI271" s="12" t="str">
        <f t="shared" si="59"/>
        <v>1838</v>
      </c>
    </row>
    <row r="272" spans="1:82">
      <c r="A272" s="2" t="s">
        <v>783</v>
      </c>
      <c r="B272" s="12" t="str">
        <f t="shared" si="50"/>
        <v>CLAASEN</v>
      </c>
      <c r="C272" s="12" t="str">
        <f t="shared" si="51"/>
        <v>CLAASEN</v>
      </c>
      <c r="D272" s="2" t="s">
        <v>1284</v>
      </c>
      <c r="E272" s="12" t="str">
        <f t="shared" si="52"/>
        <v>Johannes Hendrik</v>
      </c>
      <c r="F272" s="2" t="s">
        <v>2132</v>
      </c>
      <c r="G272" s="12" t="str">
        <f t="shared" si="53"/>
        <v>a3b6c10d1e5</v>
      </c>
      <c r="H272" s="12" t="str">
        <f t="shared" si="54"/>
        <v>CLAASENa3b6c10d1e5</v>
      </c>
      <c r="J272" s="2" t="s">
        <v>2133</v>
      </c>
      <c r="K272" s="12" t="str">
        <f t="shared" si="55"/>
        <v>1806</v>
      </c>
      <c r="L272" s="2" t="s">
        <v>542</v>
      </c>
      <c r="M272" s="2" t="s">
        <v>2134</v>
      </c>
      <c r="N272" s="12" t="str">
        <f t="shared" si="48"/>
        <v>1806</v>
      </c>
      <c r="O272" s="12" t="str">
        <f t="shared" si="49"/>
        <v>1807</v>
      </c>
      <c r="P272" s="2" t="s">
        <v>71</v>
      </c>
      <c r="Q272" s="12" t="str">
        <f t="shared" si="56"/>
        <v>1806</v>
      </c>
      <c r="R272" s="12" t="s">
        <v>72</v>
      </c>
      <c r="S272" s="12" t="str">
        <f t="shared" si="57"/>
        <v>1838</v>
      </c>
      <c r="T272" s="2" t="s">
        <v>366</v>
      </c>
      <c r="U272" s="2" t="s">
        <v>2135</v>
      </c>
      <c r="V272" s="12" t="str">
        <f t="shared" si="58"/>
        <v>1828</v>
      </c>
      <c r="W272" s="2" t="s">
        <v>804</v>
      </c>
      <c r="X272" s="2" t="s">
        <v>2136</v>
      </c>
      <c r="AF272" s="2" t="s">
        <v>3703</v>
      </c>
      <c r="AG272" s="2" t="s">
        <v>366</v>
      </c>
      <c r="AH272" s="2">
        <v>1837</v>
      </c>
      <c r="AI272" s="12" t="str">
        <f t="shared" si="59"/>
        <v>1837</v>
      </c>
      <c r="AJ272" s="2" t="s">
        <v>413</v>
      </c>
      <c r="AK272" s="2" t="s">
        <v>1712</v>
      </c>
      <c r="AL272" s="2" t="s">
        <v>366</v>
      </c>
      <c r="AM272" s="2" t="s">
        <v>2137</v>
      </c>
      <c r="AN272" s="2" t="s">
        <v>2138</v>
      </c>
    </row>
    <row r="273" spans="1:69">
      <c r="A273" s="12" t="s">
        <v>2139</v>
      </c>
      <c r="B273" s="12" t="str">
        <f t="shared" si="50"/>
        <v>CLOETE</v>
      </c>
      <c r="C273" s="12" t="str">
        <f t="shared" si="51"/>
        <v>CLOETE</v>
      </c>
      <c r="D273" s="12" t="s">
        <v>2140</v>
      </c>
      <c r="E273" s="12" t="str">
        <f t="shared" si="52"/>
        <v>Jacobus Johannes</v>
      </c>
      <c r="F273" s="12" t="s">
        <v>2141</v>
      </c>
      <c r="G273" s="12" t="str">
        <f t="shared" si="53"/>
        <v>a1b2c1d4e4f1g12</v>
      </c>
      <c r="H273" s="12" t="str">
        <f t="shared" si="54"/>
        <v>CLOETEa1b2c1d4e4f1g12</v>
      </c>
      <c r="I273" s="12"/>
      <c r="J273" s="12" t="s">
        <v>2142</v>
      </c>
      <c r="K273" s="12" t="str">
        <f t="shared" si="55"/>
        <v>1811</v>
      </c>
      <c r="L273" s="12" t="s">
        <v>542</v>
      </c>
      <c r="M273" s="12" t="s">
        <v>1821</v>
      </c>
      <c r="N273" s="12" t="str">
        <f t="shared" si="48"/>
        <v>1811</v>
      </c>
      <c r="O273" s="12" t="str">
        <f t="shared" si="49"/>
        <v>1811</v>
      </c>
      <c r="P273" s="12"/>
      <c r="Q273" s="12" t="str">
        <f t="shared" si="56"/>
        <v>1811</v>
      </c>
      <c r="R273" s="12"/>
      <c r="S273" s="12" t="str">
        <f t="shared" si="57"/>
        <v/>
      </c>
      <c r="T273" s="12" t="s">
        <v>60</v>
      </c>
      <c r="U273" s="12" t="s">
        <v>2143</v>
      </c>
      <c r="V273" s="12" t="str">
        <f t="shared" si="58"/>
        <v>1837</v>
      </c>
      <c r="W273" s="12" t="s">
        <v>2144</v>
      </c>
      <c r="X273" s="12" t="s">
        <v>2145</v>
      </c>
      <c r="Y273" s="12"/>
      <c r="Z273" s="12"/>
      <c r="AA273" s="12"/>
      <c r="AB273" s="12"/>
      <c r="AC273" s="12"/>
      <c r="AD273" s="12"/>
      <c r="AE273" s="12"/>
      <c r="AF273" s="12"/>
      <c r="AG273" s="12" t="s">
        <v>60</v>
      </c>
      <c r="AH273" s="12">
        <v>1840</v>
      </c>
      <c r="AI273" s="12" t="str">
        <f t="shared" si="59"/>
        <v>1840</v>
      </c>
      <c r="AJ273" s="12"/>
      <c r="AK273" s="12" t="s">
        <v>551</v>
      </c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</row>
    <row r="274" spans="1:69">
      <c r="A274" s="12" t="s">
        <v>1985</v>
      </c>
      <c r="B274" s="12" t="str">
        <f t="shared" si="50"/>
        <v>COETZEE</v>
      </c>
      <c r="C274" s="12" t="str">
        <f t="shared" si="51"/>
        <v>COETZEE</v>
      </c>
      <c r="D274" s="12" t="s">
        <v>30</v>
      </c>
      <c r="E274" s="12" t="str">
        <f t="shared" si="52"/>
        <v>Johannes</v>
      </c>
      <c r="F274" s="12" t="s">
        <v>2185</v>
      </c>
      <c r="G274" s="12" t="str">
        <f t="shared" si="53"/>
        <v>a1b5c5d7e1</v>
      </c>
      <c r="H274" s="12" t="str">
        <f t="shared" si="54"/>
        <v>COETZEEa1b5c5d7e1</v>
      </c>
      <c r="I274" s="12"/>
      <c r="J274" s="12" t="s">
        <v>2186</v>
      </c>
      <c r="K274" s="12" t="str">
        <f t="shared" si="55"/>
        <v>1784</v>
      </c>
      <c r="L274" s="12"/>
      <c r="M274" s="12" t="s">
        <v>2195</v>
      </c>
      <c r="N274" s="12" t="str">
        <f t="shared" si="48"/>
        <v>1784</v>
      </c>
      <c r="O274" s="12" t="str">
        <f t="shared" si="49"/>
        <v>1785</v>
      </c>
      <c r="P274" s="12"/>
      <c r="Q274" s="12" t="str">
        <f t="shared" si="56"/>
        <v>1784</v>
      </c>
      <c r="R274" s="12"/>
      <c r="S274" s="12" t="str">
        <f t="shared" si="57"/>
        <v/>
      </c>
      <c r="T274" s="12" t="s">
        <v>60</v>
      </c>
      <c r="U274" s="12" t="s">
        <v>2187</v>
      </c>
      <c r="V274" s="12" t="str">
        <f t="shared" si="58"/>
        <v>1805</v>
      </c>
      <c r="W274" s="12" t="s">
        <v>2188</v>
      </c>
      <c r="X274" s="12" t="s">
        <v>729</v>
      </c>
      <c r="Y274" s="12"/>
      <c r="Z274" s="12"/>
      <c r="AA274" s="12"/>
      <c r="AB274" s="12"/>
      <c r="AC274" s="12"/>
      <c r="AD274" s="12"/>
      <c r="AE274" s="12"/>
      <c r="AF274" s="12"/>
      <c r="AG274" s="12" t="s">
        <v>60</v>
      </c>
      <c r="AH274" s="12">
        <v>1840</v>
      </c>
      <c r="AI274" s="12" t="str">
        <f t="shared" si="59"/>
        <v>1840</v>
      </c>
      <c r="AJ274" s="12"/>
      <c r="AK274" s="12" t="s">
        <v>2184</v>
      </c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Q274" s="2" t="s">
        <v>2189</v>
      </c>
    </row>
    <row r="275" spans="1:69">
      <c r="A275" s="12" t="s">
        <v>1985</v>
      </c>
      <c r="B275" s="12" t="str">
        <f t="shared" si="50"/>
        <v>COETZEE</v>
      </c>
      <c r="C275" s="12" t="str">
        <f t="shared" si="51"/>
        <v>COETZEE</v>
      </c>
      <c r="D275" s="12" t="s">
        <v>2192</v>
      </c>
      <c r="E275" s="12" t="str">
        <f t="shared" si="52"/>
        <v>Maarten Petrus Albertus</v>
      </c>
      <c r="F275" s="12" t="s">
        <v>2193</v>
      </c>
      <c r="G275" s="12" t="str">
        <f t="shared" si="53"/>
        <v>a1b5c5d7e1f1</v>
      </c>
      <c r="H275" s="12" t="str">
        <f t="shared" si="54"/>
        <v>COETZEEa1b5c5d7e1f1</v>
      </c>
      <c r="I275" s="12"/>
      <c r="J275" s="12" t="s">
        <v>2194</v>
      </c>
      <c r="K275" s="12" t="str">
        <f t="shared" si="55"/>
        <v>1806</v>
      </c>
      <c r="L275" s="12"/>
      <c r="M275" s="12" t="s">
        <v>2134</v>
      </c>
      <c r="N275" s="12" t="str">
        <f t="shared" si="48"/>
        <v>1806</v>
      </c>
      <c r="O275" s="12" t="str">
        <f t="shared" si="49"/>
        <v>1807</v>
      </c>
      <c r="P275" s="12"/>
      <c r="Q275" s="12" t="str">
        <f t="shared" si="56"/>
        <v>1806</v>
      </c>
      <c r="R275" s="12"/>
      <c r="S275" s="12" t="str">
        <f t="shared" si="57"/>
        <v/>
      </c>
      <c r="T275" s="12" t="s">
        <v>74</v>
      </c>
      <c r="U275" s="12" t="s">
        <v>2196</v>
      </c>
      <c r="V275" s="12" t="str">
        <f t="shared" si="58"/>
        <v>1824</v>
      </c>
      <c r="W275" s="12" t="s">
        <v>2125</v>
      </c>
      <c r="X275" s="12" t="s">
        <v>700</v>
      </c>
      <c r="Y275" s="12"/>
      <c r="Z275" s="12"/>
      <c r="AA275" s="12"/>
      <c r="AB275" s="12"/>
      <c r="AC275" s="12" t="s">
        <v>2197</v>
      </c>
      <c r="AD275" s="12"/>
      <c r="AE275" s="12"/>
      <c r="AF275" s="12"/>
      <c r="AG275" s="12" t="s">
        <v>60</v>
      </c>
      <c r="AH275" s="12"/>
      <c r="AI275" s="12" t="str">
        <f t="shared" si="59"/>
        <v/>
      </c>
      <c r="AJ275" s="12"/>
      <c r="AK275" s="12" t="s">
        <v>2184</v>
      </c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</row>
    <row r="276" spans="1:69">
      <c r="A276" s="12" t="s">
        <v>1985</v>
      </c>
      <c r="B276" s="12" t="str">
        <f t="shared" si="50"/>
        <v>COETZEE</v>
      </c>
      <c r="C276" s="12" t="str">
        <f t="shared" si="51"/>
        <v>COETZEE</v>
      </c>
      <c r="D276" s="12" t="s">
        <v>2179</v>
      </c>
      <c r="E276" s="12" t="str">
        <f t="shared" si="52"/>
        <v>Jan Abraham</v>
      </c>
      <c r="F276" s="12" t="s">
        <v>2180</v>
      </c>
      <c r="G276" s="12" t="str">
        <f t="shared" si="53"/>
        <v>a1b5c5d7e1f2</v>
      </c>
      <c r="H276" s="12" t="str">
        <f t="shared" si="54"/>
        <v>COETZEEa1b5c5d7e1f2</v>
      </c>
      <c r="I276" s="12"/>
      <c r="J276" s="12" t="s">
        <v>2181</v>
      </c>
      <c r="K276" s="12" t="str">
        <f t="shared" si="55"/>
        <v>1808</v>
      </c>
      <c r="L276" s="12"/>
      <c r="M276" s="12" t="s">
        <v>2182</v>
      </c>
      <c r="N276" s="12" t="str">
        <f t="shared" si="48"/>
        <v>1808</v>
      </c>
      <c r="O276" s="12" t="str">
        <f t="shared" si="49"/>
        <v>1809</v>
      </c>
      <c r="P276" s="12"/>
      <c r="Q276" s="12" t="str">
        <f t="shared" si="56"/>
        <v>1808</v>
      </c>
      <c r="R276" s="12"/>
      <c r="S276" s="12" t="str">
        <f t="shared" si="57"/>
        <v/>
      </c>
      <c r="T276" s="12" t="s">
        <v>74</v>
      </c>
      <c r="U276" s="12" t="s">
        <v>2183</v>
      </c>
      <c r="V276" s="12" t="str">
        <f t="shared" si="58"/>
        <v>1829</v>
      </c>
      <c r="W276" s="12" t="s">
        <v>650</v>
      </c>
      <c r="X276" s="12" t="s">
        <v>655</v>
      </c>
      <c r="Y276" s="12"/>
      <c r="Z276" s="12"/>
      <c r="AA276" s="12">
        <v>1813</v>
      </c>
      <c r="AB276" s="12"/>
      <c r="AC276" s="12"/>
      <c r="AD276" s="12"/>
      <c r="AE276" s="12"/>
      <c r="AF276" s="12"/>
      <c r="AG276" s="12" t="s">
        <v>60</v>
      </c>
      <c r="AH276" s="12"/>
      <c r="AI276" s="12" t="str">
        <f t="shared" si="59"/>
        <v/>
      </c>
      <c r="AJ276" s="12"/>
      <c r="AK276" s="12" t="s">
        <v>2184</v>
      </c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</row>
    <row r="277" spans="1:69">
      <c r="A277" s="12" t="s">
        <v>1985</v>
      </c>
      <c r="B277" s="12" t="str">
        <f t="shared" si="50"/>
        <v>COETZEE</v>
      </c>
      <c r="C277" s="12" t="str">
        <f t="shared" si="51"/>
        <v>COETZEE</v>
      </c>
      <c r="D277" s="12" t="s">
        <v>1363</v>
      </c>
      <c r="E277" s="12" t="str">
        <f t="shared" si="52"/>
        <v>Pieter Hendrik</v>
      </c>
      <c r="F277" s="12" t="s">
        <v>2216</v>
      </c>
      <c r="G277" s="12" t="str">
        <f t="shared" si="53"/>
        <v>a1b7c7d1e4</v>
      </c>
      <c r="H277" s="12" t="str">
        <f t="shared" si="54"/>
        <v>COETZEEa1b7c7d1e4</v>
      </c>
      <c r="I277" s="12"/>
      <c r="J277" s="12"/>
      <c r="K277" s="12" t="str">
        <f t="shared" si="55"/>
        <v/>
      </c>
      <c r="L277" s="12"/>
      <c r="M277" s="12" t="s">
        <v>2217</v>
      </c>
      <c r="N277" s="12" t="str">
        <f t="shared" si="48"/>
        <v/>
      </c>
      <c r="O277" s="12" t="str">
        <f t="shared" si="49"/>
        <v>1791</v>
      </c>
      <c r="P277" s="12"/>
      <c r="Q277" s="12" t="str">
        <f t="shared" si="56"/>
        <v>1791</v>
      </c>
      <c r="R277" s="12"/>
      <c r="S277" s="12" t="str">
        <f t="shared" si="57"/>
        <v/>
      </c>
      <c r="T277" s="12" t="s">
        <v>74</v>
      </c>
      <c r="U277" s="12" t="s">
        <v>1164</v>
      </c>
      <c r="V277" s="12" t="str">
        <f t="shared" si="58"/>
        <v>1811</v>
      </c>
      <c r="W277" s="12" t="s">
        <v>2218</v>
      </c>
      <c r="X277" s="12" t="s">
        <v>1824</v>
      </c>
      <c r="Y277" s="12"/>
      <c r="Z277" s="12"/>
      <c r="AA277" s="12"/>
      <c r="AB277" s="12"/>
      <c r="AC277" s="12"/>
      <c r="AD277" s="12"/>
      <c r="AE277" s="12"/>
      <c r="AF277" s="12"/>
      <c r="AG277" s="12" t="s">
        <v>68</v>
      </c>
      <c r="AH277" s="12">
        <v>1840</v>
      </c>
      <c r="AI277" s="12" t="str">
        <f t="shared" si="59"/>
        <v>1840</v>
      </c>
      <c r="AJ277" s="12"/>
      <c r="AK277" s="12" t="s">
        <v>190</v>
      </c>
      <c r="AL277" s="12" t="s">
        <v>74</v>
      </c>
      <c r="AM277" s="12" t="s">
        <v>2220</v>
      </c>
      <c r="AN277" s="12" t="s">
        <v>2221</v>
      </c>
      <c r="AO277" s="12" t="s">
        <v>2222</v>
      </c>
      <c r="AP277" s="12"/>
      <c r="AQ277" s="12"/>
      <c r="AR277" s="12"/>
      <c r="AS277" s="12"/>
      <c r="AT277" s="12"/>
      <c r="AU277" s="12"/>
      <c r="AV277" s="12"/>
      <c r="AW277" s="12" t="s">
        <v>74</v>
      </c>
      <c r="AX277" s="12" t="s">
        <v>1248</v>
      </c>
      <c r="AY277" s="12" t="s">
        <v>2223</v>
      </c>
      <c r="AZ277" s="12" t="s">
        <v>2224</v>
      </c>
      <c r="BA277" s="12"/>
      <c r="BB277" s="12"/>
      <c r="BC277" s="12"/>
      <c r="BD277" s="12"/>
      <c r="BE277" s="12"/>
      <c r="BF277" s="12"/>
      <c r="BG277" s="12"/>
      <c r="BQ277" s="2" t="s">
        <v>2219</v>
      </c>
    </row>
    <row r="278" spans="1:69">
      <c r="A278" s="12" t="s">
        <v>1985</v>
      </c>
      <c r="B278" s="12" t="str">
        <f t="shared" si="50"/>
        <v>COETZEE</v>
      </c>
      <c r="C278" s="12" t="str">
        <f t="shared" si="51"/>
        <v>COETZEE</v>
      </c>
      <c r="D278" s="12" t="s">
        <v>2148</v>
      </c>
      <c r="E278" s="12" t="str">
        <f t="shared" si="52"/>
        <v>Cornelis Gerhardus</v>
      </c>
      <c r="F278" s="12" t="s">
        <v>2149</v>
      </c>
      <c r="G278" s="12" t="str">
        <f t="shared" si="53"/>
        <v>a1b7c7d1e5</v>
      </c>
      <c r="H278" s="12" t="str">
        <f t="shared" si="54"/>
        <v>COETZEEa1b7c7d1e5</v>
      </c>
      <c r="I278" s="12"/>
      <c r="J278" s="12"/>
      <c r="K278" s="12" t="str">
        <f t="shared" si="55"/>
        <v/>
      </c>
      <c r="L278" s="12"/>
      <c r="M278" s="12" t="s">
        <v>2150</v>
      </c>
      <c r="N278" s="12" t="str">
        <f t="shared" si="48"/>
        <v/>
      </c>
      <c r="O278" s="12" t="str">
        <f t="shared" si="49"/>
        <v>1794</v>
      </c>
      <c r="P278" s="12" t="s">
        <v>14</v>
      </c>
      <c r="Q278" s="12" t="str">
        <f t="shared" si="56"/>
        <v>1794</v>
      </c>
      <c r="R278" s="12" t="s">
        <v>2151</v>
      </c>
      <c r="S278" s="12" t="str">
        <f t="shared" si="57"/>
        <v>1843</v>
      </c>
      <c r="T278" s="12" t="s">
        <v>74</v>
      </c>
      <c r="U278" s="12" t="s">
        <v>2152</v>
      </c>
      <c r="V278" s="12" t="str">
        <f t="shared" si="58"/>
        <v>1812</v>
      </c>
      <c r="W278" s="12" t="s">
        <v>649</v>
      </c>
      <c r="X278" s="12" t="s">
        <v>2153</v>
      </c>
      <c r="Y278" s="12" t="s">
        <v>2154</v>
      </c>
      <c r="Z278" s="12"/>
      <c r="AA278" s="12"/>
      <c r="AB278" s="12"/>
      <c r="AC278" s="12"/>
      <c r="AD278" s="12"/>
      <c r="AE278" s="12"/>
      <c r="AF278" s="12" t="s">
        <v>3719</v>
      </c>
      <c r="AG278" s="12" t="s">
        <v>68</v>
      </c>
      <c r="AH278" s="12" t="s">
        <v>2155</v>
      </c>
      <c r="AI278" s="12" t="str">
        <f t="shared" si="59"/>
        <v>1837</v>
      </c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</row>
    <row r="279" spans="1:69">
      <c r="A279" s="2" t="s">
        <v>1985</v>
      </c>
      <c r="B279" s="12" t="str">
        <f t="shared" si="50"/>
        <v>COETZEE</v>
      </c>
      <c r="C279" s="12" t="str">
        <f t="shared" si="51"/>
        <v>COETZEE</v>
      </c>
      <c r="D279" s="2" t="s">
        <v>109</v>
      </c>
      <c r="E279" s="12" t="str">
        <f t="shared" si="52"/>
        <v>Cornelis Jacobus</v>
      </c>
      <c r="F279" s="2" t="s">
        <v>2156</v>
      </c>
      <c r="G279" s="12" t="str">
        <f t="shared" si="53"/>
        <v>a1b7c7d1e5f2</v>
      </c>
      <c r="H279" s="12" t="str">
        <f t="shared" si="54"/>
        <v>COETZEEa1b7c7d1e5f2</v>
      </c>
      <c r="J279" s="2" t="s">
        <v>2157</v>
      </c>
      <c r="K279" s="12" t="str">
        <f t="shared" si="55"/>
        <v>1820</v>
      </c>
      <c r="L279" s="2" t="s">
        <v>74</v>
      </c>
      <c r="M279" s="2" t="s">
        <v>2158</v>
      </c>
      <c r="N279" s="12" t="str">
        <f t="shared" si="48"/>
        <v>1820</v>
      </c>
      <c r="O279" s="12" t="str">
        <f t="shared" si="49"/>
        <v>1820</v>
      </c>
      <c r="Q279" s="12" t="str">
        <f t="shared" si="56"/>
        <v>1820</v>
      </c>
      <c r="S279" s="12" t="str">
        <f t="shared" si="57"/>
        <v/>
      </c>
      <c r="V279" s="12" t="str">
        <f t="shared" si="58"/>
        <v/>
      </c>
      <c r="W279" s="2" t="s">
        <v>2159</v>
      </c>
      <c r="X279" s="2" t="s">
        <v>664</v>
      </c>
      <c r="Y279" s="2" t="s">
        <v>2160</v>
      </c>
      <c r="AA279" s="2" t="s">
        <v>2161</v>
      </c>
      <c r="AB279" s="2" t="s">
        <v>74</v>
      </c>
      <c r="AC279" s="2" t="s">
        <v>2162</v>
      </c>
      <c r="AF279" s="2" t="s">
        <v>3719</v>
      </c>
      <c r="AG279" s="2" t="s">
        <v>68</v>
      </c>
      <c r="AH279" s="2" t="s">
        <v>2163</v>
      </c>
      <c r="AI279" s="12" t="str">
        <f t="shared" si="59"/>
        <v>1838</v>
      </c>
    </row>
    <row r="280" spans="1:69">
      <c r="A280" s="2" t="s">
        <v>1985</v>
      </c>
      <c r="B280" s="12" t="str">
        <f t="shared" si="50"/>
        <v>COETZEE</v>
      </c>
      <c r="C280" s="12" t="str">
        <f t="shared" si="51"/>
        <v>COETZEE</v>
      </c>
      <c r="D280" s="2" t="s">
        <v>2190</v>
      </c>
      <c r="E280" s="12" t="str">
        <f t="shared" si="52"/>
        <v xml:space="preserve">Matthys Andries Stephanus </v>
      </c>
      <c r="F280" s="2" t="s">
        <v>2191</v>
      </c>
      <c r="G280" s="12" t="str">
        <f t="shared" si="53"/>
        <v>a1b7c7d1e5f3</v>
      </c>
      <c r="H280" s="12" t="str">
        <f t="shared" si="54"/>
        <v>COETZEEa1b7c7d1e5f3</v>
      </c>
      <c r="J280" s="2" t="s">
        <v>2198</v>
      </c>
      <c r="K280" s="12" t="str">
        <f t="shared" si="55"/>
        <v>1822</v>
      </c>
      <c r="L280" s="2" t="s">
        <v>74</v>
      </c>
      <c r="M280" s="2" t="s">
        <v>2199</v>
      </c>
      <c r="N280" s="12" t="str">
        <f t="shared" si="48"/>
        <v>1822</v>
      </c>
      <c r="O280" s="12" t="str">
        <f t="shared" si="49"/>
        <v>1822</v>
      </c>
      <c r="Q280" s="12" t="str">
        <f t="shared" si="56"/>
        <v>1822</v>
      </c>
      <c r="R280" s="2" t="s">
        <v>2200</v>
      </c>
      <c r="S280" s="12" t="str">
        <f t="shared" si="57"/>
        <v>1919</v>
      </c>
      <c r="U280" s="2" t="s">
        <v>2201</v>
      </c>
      <c r="V280" s="12" t="str">
        <f t="shared" si="58"/>
        <v>1843</v>
      </c>
      <c r="W280" s="2" t="s">
        <v>2202</v>
      </c>
      <c r="X280" s="2" t="s">
        <v>669</v>
      </c>
      <c r="Y280" s="2" t="s">
        <v>2203</v>
      </c>
      <c r="AA280" s="2" t="s">
        <v>2204</v>
      </c>
      <c r="AE280" s="2" t="s">
        <v>2205</v>
      </c>
      <c r="AF280" s="2" t="s">
        <v>3719</v>
      </c>
      <c r="AG280" s="2" t="s">
        <v>68</v>
      </c>
      <c r="AH280" s="2" t="s">
        <v>2155</v>
      </c>
      <c r="AI280" s="12" t="str">
        <f t="shared" si="59"/>
        <v>1837</v>
      </c>
    </row>
    <row r="281" spans="1:69">
      <c r="A281" s="2" t="s">
        <v>1985</v>
      </c>
      <c r="B281" s="12" t="str">
        <f t="shared" si="50"/>
        <v>COETZEE</v>
      </c>
      <c r="C281" s="12" t="str">
        <f t="shared" si="51"/>
        <v>COETZEE</v>
      </c>
      <c r="D281" s="2" t="s">
        <v>2164</v>
      </c>
      <c r="E281" s="12" t="str">
        <f t="shared" si="52"/>
        <v>Dirk Jacobus Gerhardus</v>
      </c>
      <c r="F281" s="2" t="s">
        <v>2165</v>
      </c>
      <c r="G281" s="12" t="str">
        <f t="shared" si="53"/>
        <v>a1b7c7d1e5f5</v>
      </c>
      <c r="H281" s="12" t="str">
        <f t="shared" si="54"/>
        <v>COETZEEa1b7c7d1e5f5</v>
      </c>
      <c r="J281" s="2" t="s">
        <v>2166</v>
      </c>
      <c r="K281" s="12" t="str">
        <f t="shared" si="55"/>
        <v>1824</v>
      </c>
      <c r="L281" s="2" t="s">
        <v>74</v>
      </c>
      <c r="M281" s="2" t="s">
        <v>2076</v>
      </c>
      <c r="N281" s="12" t="str">
        <f t="shared" si="48"/>
        <v>1824</v>
      </c>
      <c r="O281" s="12" t="str">
        <f t="shared" si="49"/>
        <v>1825</v>
      </c>
      <c r="Q281" s="12" t="str">
        <f t="shared" si="56"/>
        <v>1824</v>
      </c>
      <c r="S281" s="12" t="str">
        <f t="shared" si="57"/>
        <v/>
      </c>
      <c r="V281" s="12" t="str">
        <f t="shared" si="58"/>
        <v/>
      </c>
      <c r="W281" s="2" t="s">
        <v>1400</v>
      </c>
      <c r="X281" s="2" t="s">
        <v>669</v>
      </c>
      <c r="Y281" s="2" t="s">
        <v>2167</v>
      </c>
      <c r="AF281" s="2" t="s">
        <v>3719</v>
      </c>
      <c r="AG281" s="2" t="s">
        <v>68</v>
      </c>
      <c r="AH281" s="2" t="s">
        <v>2168</v>
      </c>
      <c r="AI281" s="12" t="str">
        <f t="shared" si="59"/>
        <v>1839</v>
      </c>
    </row>
    <row r="282" spans="1:69">
      <c r="A282" s="2" t="s">
        <v>1985</v>
      </c>
      <c r="B282" s="12" t="str">
        <f t="shared" si="50"/>
        <v>COETZEE</v>
      </c>
      <c r="C282" s="12" t="str">
        <f t="shared" si="51"/>
        <v>COETZEE</v>
      </c>
      <c r="D282" s="2" t="s">
        <v>2206</v>
      </c>
      <c r="E282" s="12" t="str">
        <f t="shared" si="52"/>
        <v>Ockert Jacobus</v>
      </c>
      <c r="F282" s="2" t="s">
        <v>2207</v>
      </c>
      <c r="G282" s="12" t="str">
        <f t="shared" si="53"/>
        <v>a1b7c7d1e8</v>
      </c>
      <c r="H282" s="12" t="str">
        <f t="shared" si="54"/>
        <v>COETZEEa1b7c7d1e8</v>
      </c>
      <c r="K282" s="12" t="str">
        <f t="shared" si="55"/>
        <v/>
      </c>
      <c r="M282" s="2" t="s">
        <v>1347</v>
      </c>
      <c r="N282" s="12" t="str">
        <f t="shared" si="48"/>
        <v/>
      </c>
      <c r="O282" s="12" t="str">
        <f t="shared" si="49"/>
        <v>1800</v>
      </c>
      <c r="P282" s="2" t="s">
        <v>2208</v>
      </c>
      <c r="Q282" s="12" t="str">
        <f t="shared" si="56"/>
        <v>1800</v>
      </c>
      <c r="R282" s="2" t="s">
        <v>2209</v>
      </c>
      <c r="S282" s="12" t="str">
        <f t="shared" si="57"/>
        <v>1877</v>
      </c>
      <c r="T282" s="2" t="s">
        <v>68</v>
      </c>
      <c r="U282" s="2" t="s">
        <v>2210</v>
      </c>
      <c r="V282" s="12" t="str">
        <f t="shared" si="58"/>
        <v>1827</v>
      </c>
      <c r="W282" s="2" t="s">
        <v>2211</v>
      </c>
      <c r="X282" s="2" t="s">
        <v>776</v>
      </c>
      <c r="Y282" s="2" t="s">
        <v>2212</v>
      </c>
      <c r="AA282" s="2" t="s">
        <v>2213</v>
      </c>
      <c r="AC282" s="2" t="s">
        <v>2214</v>
      </c>
      <c r="AG282" s="2" t="s">
        <v>68</v>
      </c>
      <c r="AH282" s="2">
        <v>1840</v>
      </c>
      <c r="AI282" s="12" t="str">
        <f t="shared" si="59"/>
        <v>1840</v>
      </c>
    </row>
    <row r="283" spans="1:69">
      <c r="A283" s="12" t="s">
        <v>2169</v>
      </c>
      <c r="B283" s="12" t="str">
        <f t="shared" si="50"/>
        <v>COETZEE</v>
      </c>
      <c r="C283" s="12" t="str">
        <f t="shared" si="51"/>
        <v>COETZEE</v>
      </c>
      <c r="D283" s="2" t="s">
        <v>2170</v>
      </c>
      <c r="E283" s="12" t="str">
        <f t="shared" si="52"/>
        <v>Gerrit Jacobus Emilius</v>
      </c>
      <c r="F283" s="2" t="s">
        <v>2171</v>
      </c>
      <c r="G283" s="12" t="str">
        <f t="shared" si="53"/>
        <v>a1b5c6d5e3f1</v>
      </c>
      <c r="H283" s="12" t="str">
        <f t="shared" si="54"/>
        <v>COETZEEa1b5c6d5e3f1</v>
      </c>
      <c r="I283" s="2" t="s">
        <v>32</v>
      </c>
      <c r="J283" s="2" t="s">
        <v>2172</v>
      </c>
      <c r="K283" s="12" t="str">
        <f t="shared" si="55"/>
        <v>1816</v>
      </c>
      <c r="M283" s="2" t="s">
        <v>2173</v>
      </c>
      <c r="N283" s="12" t="str">
        <f t="shared" si="48"/>
        <v>1816</v>
      </c>
      <c r="O283" s="12" t="str">
        <f t="shared" si="49"/>
        <v>1817</v>
      </c>
      <c r="P283" s="2" t="s">
        <v>134</v>
      </c>
      <c r="Q283" s="12" t="str">
        <f t="shared" si="56"/>
        <v>1816</v>
      </c>
      <c r="R283" s="2" t="s">
        <v>2174</v>
      </c>
      <c r="S283" s="12" t="str">
        <f t="shared" si="57"/>
        <v>1873</v>
      </c>
      <c r="V283" s="12" t="str">
        <f t="shared" si="58"/>
        <v/>
      </c>
      <c r="W283" s="2" t="s">
        <v>2175</v>
      </c>
      <c r="X283" s="2" t="s">
        <v>2176</v>
      </c>
      <c r="AA283" s="2" t="s">
        <v>2177</v>
      </c>
      <c r="AG283" s="2" t="s">
        <v>32</v>
      </c>
      <c r="AH283" s="2" t="s">
        <v>2178</v>
      </c>
      <c r="AI283" s="12" t="str">
        <f t="shared" si="59"/>
        <v>1845</v>
      </c>
      <c r="AK283" s="2" t="s">
        <v>90</v>
      </c>
      <c r="AV283" s="12"/>
    </row>
    <row r="284" spans="1:69">
      <c r="A284" s="12" t="s">
        <v>2169</v>
      </c>
      <c r="B284" s="12" t="str">
        <f t="shared" si="50"/>
        <v>COETZEE</v>
      </c>
      <c r="C284" s="12" t="str">
        <f t="shared" si="51"/>
        <v>COETZEE</v>
      </c>
      <c r="D284" s="2" t="s">
        <v>2225</v>
      </c>
      <c r="E284" s="12" t="str">
        <f t="shared" si="52"/>
        <v>Stephanus Hermanus</v>
      </c>
      <c r="F284" s="2" t="s">
        <v>2226</v>
      </c>
      <c r="G284" s="12" t="str">
        <f t="shared" si="53"/>
        <v>a1b7c7d1e7</v>
      </c>
      <c r="H284" s="12" t="str">
        <f t="shared" si="54"/>
        <v>COETZEEa1b7c7d1e7</v>
      </c>
      <c r="K284" s="12" t="str">
        <f t="shared" si="55"/>
        <v/>
      </c>
      <c r="M284" s="2" t="s">
        <v>2227</v>
      </c>
      <c r="N284" s="12" t="str">
        <f t="shared" si="48"/>
        <v/>
      </c>
      <c r="O284" s="12" t="str">
        <f t="shared" si="49"/>
        <v>1798</v>
      </c>
      <c r="Q284" s="12" t="str">
        <f t="shared" si="56"/>
        <v>1798</v>
      </c>
      <c r="S284" s="12" t="str">
        <f t="shared" si="57"/>
        <v/>
      </c>
      <c r="T284" s="2" t="s">
        <v>68</v>
      </c>
      <c r="U284" s="2" t="s">
        <v>525</v>
      </c>
      <c r="V284" s="12" t="str">
        <f t="shared" si="58"/>
        <v>1832</v>
      </c>
      <c r="W284" s="2" t="s">
        <v>2228</v>
      </c>
      <c r="X284" s="2" t="s">
        <v>776</v>
      </c>
      <c r="Y284" s="2" t="s">
        <v>2229</v>
      </c>
      <c r="AA284" s="2" t="s">
        <v>2230</v>
      </c>
      <c r="AC284" s="2" t="s">
        <v>1602</v>
      </c>
      <c r="AG284" s="2" t="s">
        <v>68</v>
      </c>
      <c r="AH284" s="2">
        <v>1840</v>
      </c>
      <c r="AI284" s="12" t="str">
        <f t="shared" si="59"/>
        <v>1840</v>
      </c>
      <c r="AK284" s="2" t="s">
        <v>90</v>
      </c>
    </row>
    <row r="285" spans="1:69">
      <c r="A285" s="12" t="s">
        <v>1109</v>
      </c>
      <c r="B285" s="12" t="str">
        <f t="shared" si="50"/>
        <v>COETZER</v>
      </c>
      <c r="C285" s="12" t="str">
        <f t="shared" si="51"/>
        <v>COETZER</v>
      </c>
      <c r="D285" s="2" t="s">
        <v>2263</v>
      </c>
      <c r="E285" s="12" t="str">
        <f t="shared" si="52"/>
        <v>Phillippus Jeremias Sr</v>
      </c>
      <c r="F285" s="2" t="s">
        <v>2264</v>
      </c>
      <c r="G285" s="12" t="str">
        <f t="shared" si="53"/>
        <v>a1b1c12</v>
      </c>
      <c r="H285" s="12" t="str">
        <f t="shared" si="54"/>
        <v>COETZERa1b1c12</v>
      </c>
      <c r="K285" s="12" t="str">
        <f t="shared" si="55"/>
        <v/>
      </c>
      <c r="M285" s="2" t="s">
        <v>2265</v>
      </c>
      <c r="N285" s="12" t="str">
        <f t="shared" si="48"/>
        <v/>
      </c>
      <c r="O285" s="12" t="str">
        <f t="shared" si="49"/>
        <v>1764</v>
      </c>
      <c r="Q285" s="12" t="str">
        <f t="shared" si="56"/>
        <v>1764</v>
      </c>
      <c r="S285" s="12" t="str">
        <f t="shared" si="57"/>
        <v/>
      </c>
      <c r="U285" s="2" t="s">
        <v>2266</v>
      </c>
      <c r="V285" s="12" t="str">
        <f t="shared" si="58"/>
        <v>1790</v>
      </c>
      <c r="W285" s="2" t="s">
        <v>2267</v>
      </c>
      <c r="AF285" s="2" t="s">
        <v>3699</v>
      </c>
      <c r="AG285" s="2" t="s">
        <v>68</v>
      </c>
      <c r="AH285" s="2">
        <v>1836</v>
      </c>
      <c r="AI285" s="12" t="str">
        <f t="shared" si="59"/>
        <v>1836</v>
      </c>
      <c r="AJ285" s="2" t="s">
        <v>2271</v>
      </c>
    </row>
    <row r="286" spans="1:69">
      <c r="A286" s="12" t="s">
        <v>1109</v>
      </c>
      <c r="B286" s="12" t="str">
        <f t="shared" si="50"/>
        <v>COETZER</v>
      </c>
      <c r="C286" s="12" t="str">
        <f t="shared" si="51"/>
        <v>COETZER</v>
      </c>
      <c r="D286" s="2" t="s">
        <v>2272</v>
      </c>
      <c r="E286" s="12" t="str">
        <f t="shared" si="52"/>
        <v>Phillippus Jeremias</v>
      </c>
      <c r="F286" s="2" t="s">
        <v>2273</v>
      </c>
      <c r="G286" s="12" t="str">
        <f t="shared" si="53"/>
        <v>a1b1c12d3e2</v>
      </c>
      <c r="H286" s="12" t="str">
        <f t="shared" si="54"/>
        <v>COETZERa1b1c12d3e2</v>
      </c>
      <c r="J286" s="2" t="s">
        <v>2274</v>
      </c>
      <c r="K286" s="12" t="str">
        <f t="shared" si="55"/>
        <v>1819</v>
      </c>
      <c r="L286" s="2" t="s">
        <v>28</v>
      </c>
      <c r="M286" s="2" t="s">
        <v>2275</v>
      </c>
      <c r="N286" s="12" t="str">
        <f t="shared" si="48"/>
        <v>1819</v>
      </c>
      <c r="O286" s="12" t="str">
        <f t="shared" si="49"/>
        <v>1819</v>
      </c>
      <c r="P286" s="2" t="s">
        <v>134</v>
      </c>
      <c r="Q286" s="12" t="str">
        <f t="shared" si="56"/>
        <v>1819</v>
      </c>
      <c r="R286" s="2" t="s">
        <v>2276</v>
      </c>
      <c r="S286" s="12" t="str">
        <f t="shared" si="57"/>
        <v>1898</v>
      </c>
      <c r="U286" s="2" t="s">
        <v>409</v>
      </c>
      <c r="V286" s="12" t="str">
        <f t="shared" si="58"/>
        <v>1838</v>
      </c>
      <c r="W286" s="2" t="s">
        <v>1307</v>
      </c>
      <c r="X286" s="2" t="s">
        <v>729</v>
      </c>
      <c r="Y286" s="2" t="s">
        <v>2277</v>
      </c>
      <c r="AA286" s="2" t="s">
        <v>2278</v>
      </c>
      <c r="AF286" s="2" t="s">
        <v>3699</v>
      </c>
      <c r="AG286" s="2" t="s">
        <v>68</v>
      </c>
      <c r="AH286" s="2">
        <v>1836</v>
      </c>
      <c r="AI286" s="12" t="str">
        <f t="shared" si="59"/>
        <v>1836</v>
      </c>
      <c r="AJ286" s="2" t="s">
        <v>2271</v>
      </c>
      <c r="AK286" s="2" t="s">
        <v>90</v>
      </c>
    </row>
    <row r="287" spans="1:69">
      <c r="A287" s="12" t="s">
        <v>1109</v>
      </c>
      <c r="B287" s="12" t="str">
        <f t="shared" si="50"/>
        <v>COETZER</v>
      </c>
      <c r="C287" s="12" t="str">
        <f t="shared" si="51"/>
        <v>COETZER</v>
      </c>
      <c r="D287" s="2" t="s">
        <v>2253</v>
      </c>
      <c r="E287" s="12" t="str">
        <f t="shared" si="52"/>
        <v>Johannes Jacobus</v>
      </c>
      <c r="F287" s="2" t="s">
        <v>2799</v>
      </c>
      <c r="G287" s="12" t="str">
        <f t="shared" si="53"/>
        <v>a1b1c12d3e4</v>
      </c>
      <c r="H287" s="12" t="str">
        <f t="shared" si="54"/>
        <v>COETZERa1b1c12d3e4</v>
      </c>
      <c r="J287" s="2" t="s">
        <v>2800</v>
      </c>
      <c r="K287" s="12" t="str">
        <f t="shared" si="55"/>
        <v>1824</v>
      </c>
      <c r="N287" s="12" t="str">
        <f t="shared" si="48"/>
        <v>1824</v>
      </c>
      <c r="O287" s="12" t="str">
        <f t="shared" si="49"/>
        <v/>
      </c>
      <c r="Q287" s="12" t="str">
        <f t="shared" si="56"/>
        <v>1824</v>
      </c>
      <c r="S287" s="12" t="str">
        <f t="shared" si="57"/>
        <v/>
      </c>
      <c r="V287" s="12" t="str">
        <f t="shared" si="58"/>
        <v/>
      </c>
      <c r="W287" s="2" t="s">
        <v>2801</v>
      </c>
      <c r="X287" s="2" t="s">
        <v>662</v>
      </c>
      <c r="AF287" s="2" t="s">
        <v>3718</v>
      </c>
      <c r="AG287" s="2" t="s">
        <v>68</v>
      </c>
      <c r="AH287" s="2">
        <v>1836</v>
      </c>
      <c r="AI287" s="12" t="str">
        <f t="shared" si="59"/>
        <v>1836</v>
      </c>
      <c r="AJ287" s="2" t="s">
        <v>2271</v>
      </c>
      <c r="AK287" s="2" t="s">
        <v>134</v>
      </c>
    </row>
    <row r="288" spans="1:69">
      <c r="A288" s="12" t="s">
        <v>1109</v>
      </c>
      <c r="B288" s="12" t="str">
        <f t="shared" si="50"/>
        <v>COETZER</v>
      </c>
      <c r="C288" s="12" t="str">
        <f t="shared" si="51"/>
        <v>COETZER</v>
      </c>
      <c r="D288" s="2" t="s">
        <v>122</v>
      </c>
      <c r="E288" s="12" t="str">
        <f t="shared" si="52"/>
        <v>Hendrik</v>
      </c>
      <c r="F288" s="2" t="s">
        <v>2246</v>
      </c>
      <c r="G288" s="12" t="str">
        <f t="shared" si="53"/>
        <v>a1b1c12d4</v>
      </c>
      <c r="H288" s="12" t="str">
        <f t="shared" si="54"/>
        <v>COETZERa1b1c12d4</v>
      </c>
      <c r="K288" s="12" t="str">
        <f t="shared" si="55"/>
        <v/>
      </c>
      <c r="M288" s="2" t="s">
        <v>2247</v>
      </c>
      <c r="N288" s="12" t="str">
        <f t="shared" si="48"/>
        <v/>
      </c>
      <c r="O288" s="12" t="str">
        <f t="shared" si="49"/>
        <v>1798</v>
      </c>
      <c r="P288" s="2" t="s">
        <v>1289</v>
      </c>
      <c r="Q288" s="12" t="str">
        <f t="shared" si="56"/>
        <v>1798</v>
      </c>
      <c r="R288" s="2" t="s">
        <v>2248</v>
      </c>
      <c r="S288" s="12" t="str">
        <f t="shared" si="57"/>
        <v>1881</v>
      </c>
      <c r="T288" s="2" t="s">
        <v>28</v>
      </c>
      <c r="U288" s="2" t="s">
        <v>2093</v>
      </c>
      <c r="V288" s="12" t="str">
        <f t="shared" si="58"/>
        <v>1822</v>
      </c>
      <c r="W288" s="2" t="s">
        <v>2249</v>
      </c>
      <c r="X288" s="2" t="s">
        <v>2250</v>
      </c>
      <c r="AF288" s="2" t="s">
        <v>3699</v>
      </c>
      <c r="AG288" s="2" t="s">
        <v>68</v>
      </c>
      <c r="AI288" s="12" t="str">
        <f t="shared" si="59"/>
        <v/>
      </c>
      <c r="AN288" s="2" t="s">
        <v>2251</v>
      </c>
      <c r="AO288" s="2" t="s">
        <v>656</v>
      </c>
      <c r="AY288" s="2" t="s">
        <v>2252</v>
      </c>
      <c r="AZ288" s="2" t="s">
        <v>295</v>
      </c>
    </row>
    <row r="289" spans="1:82">
      <c r="A289" s="12" t="s">
        <v>1109</v>
      </c>
      <c r="B289" s="12" t="str">
        <f t="shared" si="50"/>
        <v>COETZER</v>
      </c>
      <c r="C289" s="12" t="str">
        <f t="shared" si="51"/>
        <v>COETZER</v>
      </c>
      <c r="D289" s="2" t="s">
        <v>2231</v>
      </c>
      <c r="E289" s="12" t="str">
        <f t="shared" si="52"/>
        <v>Gerrit</v>
      </c>
      <c r="F289" s="2" t="s">
        <v>2232</v>
      </c>
      <c r="G289" s="12" t="str">
        <f t="shared" si="53"/>
        <v>a1b1c15</v>
      </c>
      <c r="H289" s="12" t="str">
        <f t="shared" si="54"/>
        <v>COETZERa1b1c15</v>
      </c>
      <c r="K289" s="12" t="str">
        <f t="shared" si="55"/>
        <v/>
      </c>
      <c r="M289" s="2" t="s">
        <v>2233</v>
      </c>
      <c r="N289" s="12" t="str">
        <f t="shared" si="48"/>
        <v/>
      </c>
      <c r="O289" s="12" t="str">
        <f t="shared" si="49"/>
        <v>1772</v>
      </c>
      <c r="Q289" s="12" t="str">
        <f t="shared" si="56"/>
        <v>1772</v>
      </c>
      <c r="S289" s="12" t="str">
        <f t="shared" si="57"/>
        <v/>
      </c>
      <c r="U289" s="2" t="s">
        <v>252</v>
      </c>
      <c r="V289" s="12" t="str">
        <f t="shared" si="58"/>
        <v>1796</v>
      </c>
      <c r="W289" s="2" t="s">
        <v>2234</v>
      </c>
      <c r="X289" s="2" t="s">
        <v>2235</v>
      </c>
      <c r="AG289" s="2" t="s">
        <v>74</v>
      </c>
      <c r="AH289" s="2" t="s">
        <v>2236</v>
      </c>
      <c r="AI289" s="12" t="str">
        <f t="shared" si="59"/>
        <v>1838</v>
      </c>
      <c r="AK289" s="2" t="s">
        <v>1654</v>
      </c>
    </row>
    <row r="290" spans="1:82">
      <c r="A290" s="12" t="s">
        <v>1109</v>
      </c>
      <c r="B290" s="12" t="str">
        <f t="shared" si="50"/>
        <v>COETZER</v>
      </c>
      <c r="C290" s="12" t="str">
        <f t="shared" si="51"/>
        <v>COETZER</v>
      </c>
      <c r="D290" s="2" t="s">
        <v>2253</v>
      </c>
      <c r="E290" s="12" t="str">
        <f t="shared" si="52"/>
        <v>Johannes Jacobus</v>
      </c>
      <c r="F290" s="2" t="s">
        <v>2254</v>
      </c>
      <c r="G290" s="12" t="str">
        <f t="shared" si="53"/>
        <v>a1b1c15d2</v>
      </c>
      <c r="H290" s="12" t="str">
        <f t="shared" si="54"/>
        <v>COETZERa1b1c15d2</v>
      </c>
      <c r="K290" s="12" t="str">
        <f t="shared" si="55"/>
        <v/>
      </c>
      <c r="M290" s="2" t="s">
        <v>2258</v>
      </c>
      <c r="N290" s="12" t="str">
        <f t="shared" si="48"/>
        <v/>
      </c>
      <c r="O290" s="12" t="str">
        <f t="shared" si="49"/>
        <v>1799</v>
      </c>
      <c r="Q290" s="12" t="str">
        <f t="shared" si="56"/>
        <v>1799</v>
      </c>
      <c r="S290" s="12" t="str">
        <f t="shared" si="57"/>
        <v/>
      </c>
      <c r="T290" s="2" t="s">
        <v>1385</v>
      </c>
      <c r="U290" s="2" t="s">
        <v>2259</v>
      </c>
      <c r="V290" s="12" t="str">
        <f t="shared" si="58"/>
        <v>1824</v>
      </c>
      <c r="W290" s="2" t="s">
        <v>2260</v>
      </c>
      <c r="X290" s="2" t="s">
        <v>2261</v>
      </c>
      <c r="AF290" s="2" t="s">
        <v>3719</v>
      </c>
      <c r="AG290" s="2" t="s">
        <v>68</v>
      </c>
      <c r="AH290" s="2" t="s">
        <v>29</v>
      </c>
      <c r="AI290" s="12" t="str">
        <f t="shared" si="59"/>
        <v>1837</v>
      </c>
      <c r="AJ290" s="2" t="s">
        <v>2262</v>
      </c>
      <c r="AK290" s="2" t="s">
        <v>545</v>
      </c>
    </row>
    <row r="291" spans="1:82">
      <c r="A291" s="12" t="s">
        <v>1109</v>
      </c>
      <c r="B291" s="12" t="str">
        <f t="shared" si="50"/>
        <v>COETZER</v>
      </c>
      <c r="C291" s="12" t="str">
        <f t="shared" si="51"/>
        <v>COETZER</v>
      </c>
      <c r="D291" s="2" t="s">
        <v>2290</v>
      </c>
      <c r="E291" s="12" t="str">
        <f t="shared" si="52"/>
        <v>Wensel Christoffel</v>
      </c>
      <c r="F291" s="2" t="s">
        <v>2291</v>
      </c>
      <c r="G291" s="12" t="str">
        <f t="shared" si="53"/>
        <v>a1b1c5d8</v>
      </c>
      <c r="H291" s="12" t="str">
        <f t="shared" si="54"/>
        <v>COETZERa1b1c5d8</v>
      </c>
      <c r="K291" s="12" t="str">
        <f t="shared" si="55"/>
        <v/>
      </c>
      <c r="M291" s="2" t="s">
        <v>2292</v>
      </c>
      <c r="N291" s="12" t="str">
        <f t="shared" si="48"/>
        <v/>
      </c>
      <c r="O291" s="12" t="str">
        <f t="shared" si="49"/>
        <v>1797</v>
      </c>
      <c r="Q291" s="12" t="str">
        <f t="shared" si="56"/>
        <v>1797</v>
      </c>
      <c r="S291" s="12" t="str">
        <f t="shared" si="57"/>
        <v/>
      </c>
      <c r="T291" s="2" t="s">
        <v>28</v>
      </c>
      <c r="U291" s="2" t="s">
        <v>1862</v>
      </c>
      <c r="V291" s="12" t="str">
        <f t="shared" si="58"/>
        <v>1818</v>
      </c>
      <c r="W291" s="2" t="s">
        <v>2293</v>
      </c>
      <c r="X291" s="2" t="s">
        <v>780</v>
      </c>
      <c r="AF291" s="2" t="s">
        <v>3699</v>
      </c>
      <c r="AG291" s="2" t="s">
        <v>68</v>
      </c>
      <c r="AH291" s="2" t="s">
        <v>2294</v>
      </c>
      <c r="AI291" s="12" t="str">
        <f t="shared" si="59"/>
        <v>1840</v>
      </c>
      <c r="AK291" s="2" t="s">
        <v>90</v>
      </c>
      <c r="AL291" s="2" t="s">
        <v>28</v>
      </c>
      <c r="AM291" s="2" t="s">
        <v>2295</v>
      </c>
      <c r="AN291" s="2" t="s">
        <v>2296</v>
      </c>
      <c r="AO291" s="2" t="s">
        <v>726</v>
      </c>
      <c r="AP291" s="2" t="s">
        <v>2297</v>
      </c>
      <c r="AW291" s="2" t="s">
        <v>168</v>
      </c>
      <c r="AX291" s="2" t="s">
        <v>2298</v>
      </c>
      <c r="AY291" s="2" t="s">
        <v>2299</v>
      </c>
      <c r="AZ291" s="2" t="s">
        <v>822</v>
      </c>
    </row>
    <row r="292" spans="1:82">
      <c r="A292" s="12" t="s">
        <v>1109</v>
      </c>
      <c r="B292" s="12" t="str">
        <f t="shared" si="50"/>
        <v>COETZER</v>
      </c>
      <c r="C292" s="12" t="str">
        <f t="shared" si="51"/>
        <v>COETZER</v>
      </c>
      <c r="D292" s="2" t="s">
        <v>2279</v>
      </c>
      <c r="E292" s="12" t="str">
        <f t="shared" si="52"/>
        <v>Pieter Schalk Willem</v>
      </c>
      <c r="F292" s="2" t="s">
        <v>2280</v>
      </c>
      <c r="G292" s="12" t="str">
        <f t="shared" si="53"/>
        <v>a1b1c5d8e1</v>
      </c>
      <c r="H292" s="12" t="str">
        <f t="shared" si="54"/>
        <v>COETZERa1b1c5d8e1</v>
      </c>
      <c r="J292" s="2" t="s">
        <v>2281</v>
      </c>
      <c r="K292" s="12" t="str">
        <f t="shared" si="55"/>
        <v>1820</v>
      </c>
      <c r="L292" s="2" t="s">
        <v>28</v>
      </c>
      <c r="M292" s="2" t="s">
        <v>2162</v>
      </c>
      <c r="N292" s="12" t="str">
        <f t="shared" si="48"/>
        <v>1820</v>
      </c>
      <c r="O292" s="12" t="str">
        <f t="shared" si="49"/>
        <v>1820</v>
      </c>
      <c r="Q292" s="12" t="str">
        <f t="shared" si="56"/>
        <v>1820</v>
      </c>
      <c r="S292" s="12" t="str">
        <f t="shared" si="57"/>
        <v/>
      </c>
      <c r="T292" s="2" t="s">
        <v>168</v>
      </c>
      <c r="U292" s="2" t="s">
        <v>2282</v>
      </c>
      <c r="V292" s="12" t="str">
        <f t="shared" si="58"/>
        <v>1840</v>
      </c>
      <c r="W292" s="2" t="s">
        <v>2283</v>
      </c>
      <c r="X292" s="2" t="s">
        <v>2026</v>
      </c>
      <c r="Y292" s="2" t="s">
        <v>2284</v>
      </c>
      <c r="AA292" s="2">
        <v>1822</v>
      </c>
      <c r="AF292" s="2" t="s">
        <v>3699</v>
      </c>
      <c r="AG292" s="2" t="s">
        <v>68</v>
      </c>
      <c r="AI292" s="12" t="str">
        <f t="shared" si="59"/>
        <v/>
      </c>
      <c r="AK292" s="2" t="s">
        <v>1196</v>
      </c>
    </row>
    <row r="293" spans="1:82">
      <c r="A293" s="12" t="s">
        <v>1109</v>
      </c>
      <c r="B293" s="12" t="str">
        <f t="shared" si="50"/>
        <v>COETZER</v>
      </c>
      <c r="C293" s="12" t="str">
        <f t="shared" si="51"/>
        <v>COETZER</v>
      </c>
      <c r="D293" s="2" t="s">
        <v>2290</v>
      </c>
      <c r="E293" s="12" t="str">
        <f t="shared" si="52"/>
        <v>Wensel Christoffel</v>
      </c>
      <c r="F293" s="2" t="s">
        <v>2300</v>
      </c>
      <c r="G293" s="12" t="str">
        <f t="shared" si="53"/>
        <v>a1b1c5d8e3</v>
      </c>
      <c r="H293" s="12" t="str">
        <f t="shared" si="54"/>
        <v>COETZERa1b1c5d8e3</v>
      </c>
      <c r="J293" s="2" t="s">
        <v>2301</v>
      </c>
      <c r="K293" s="12" t="str">
        <f t="shared" si="55"/>
        <v>1825</v>
      </c>
      <c r="L293" s="2" t="s">
        <v>28</v>
      </c>
      <c r="M293" s="2" t="s">
        <v>2302</v>
      </c>
      <c r="N293" s="12" t="str">
        <f t="shared" si="48"/>
        <v>1825</v>
      </c>
      <c r="O293" s="12" t="str">
        <f t="shared" si="49"/>
        <v>1825</v>
      </c>
      <c r="P293" s="2" t="s">
        <v>90</v>
      </c>
      <c r="Q293" s="12" t="str">
        <f t="shared" si="56"/>
        <v>1825</v>
      </c>
      <c r="R293" s="2" t="s">
        <v>2303</v>
      </c>
      <c r="S293" s="12" t="str">
        <f t="shared" si="57"/>
        <v>1909</v>
      </c>
      <c r="V293" s="12" t="str">
        <f t="shared" si="58"/>
        <v/>
      </c>
      <c r="AF293" s="2" t="s">
        <v>3699</v>
      </c>
      <c r="AG293" s="2" t="s">
        <v>68</v>
      </c>
      <c r="AH293" s="2" t="s">
        <v>2304</v>
      </c>
      <c r="AI293" s="12" t="str">
        <f t="shared" si="59"/>
        <v>1841</v>
      </c>
      <c r="AY293" s="2" t="s">
        <v>642</v>
      </c>
      <c r="AZ293" s="2" t="s">
        <v>2305</v>
      </c>
    </row>
    <row r="294" spans="1:82">
      <c r="A294" s="12" t="s">
        <v>1109</v>
      </c>
      <c r="B294" s="12" t="str">
        <f t="shared" si="50"/>
        <v>COETZER</v>
      </c>
      <c r="C294" s="12" t="str">
        <f t="shared" si="51"/>
        <v>COETZER</v>
      </c>
      <c r="D294" s="2" t="s">
        <v>2253</v>
      </c>
      <c r="E294" s="12" t="str">
        <f t="shared" si="52"/>
        <v>Johannes Jacobus</v>
      </c>
      <c r="F294" s="2" t="s">
        <v>2257</v>
      </c>
      <c r="G294" s="12" t="str">
        <f t="shared" si="53"/>
        <v>a1b1c8d3</v>
      </c>
      <c r="H294" s="12" t="str">
        <f t="shared" si="54"/>
        <v>COETZERa1b1c8d3</v>
      </c>
      <c r="K294" s="12" t="str">
        <f t="shared" si="55"/>
        <v/>
      </c>
      <c r="M294" s="2" t="s">
        <v>2255</v>
      </c>
      <c r="N294" s="12" t="str">
        <f t="shared" si="48"/>
        <v/>
      </c>
      <c r="O294" s="12" t="str">
        <f t="shared" si="49"/>
        <v>1796</v>
      </c>
      <c r="Q294" s="12" t="str">
        <f t="shared" si="56"/>
        <v>1796</v>
      </c>
      <c r="S294" s="12" t="str">
        <f t="shared" si="57"/>
        <v/>
      </c>
      <c r="T294" s="2" t="s">
        <v>74</v>
      </c>
      <c r="U294" s="2" t="s">
        <v>1602</v>
      </c>
      <c r="V294" s="12" t="str">
        <f t="shared" si="58"/>
        <v>1815</v>
      </c>
      <c r="W294" s="2" t="s">
        <v>819</v>
      </c>
      <c r="X294" s="2" t="s">
        <v>698</v>
      </c>
      <c r="Y294" s="2" t="s">
        <v>2256</v>
      </c>
      <c r="AF294" s="2" t="s">
        <v>3720</v>
      </c>
      <c r="AG294" s="2" t="s">
        <v>68</v>
      </c>
      <c r="AI294" s="12" t="str">
        <f t="shared" si="59"/>
        <v/>
      </c>
      <c r="AK294" s="2" t="s">
        <v>90</v>
      </c>
    </row>
    <row r="295" spans="1:82">
      <c r="A295" s="12" t="s">
        <v>2237</v>
      </c>
      <c r="B295" s="12" t="str">
        <f t="shared" si="50"/>
        <v>COETZER</v>
      </c>
      <c r="C295" s="12" t="str">
        <f t="shared" si="51"/>
        <v>COETZER</v>
      </c>
      <c r="D295" s="2" t="s">
        <v>2268</v>
      </c>
      <c r="E295" s="12" t="str">
        <f t="shared" si="52"/>
        <v>Phillippus Jeremias Jr</v>
      </c>
      <c r="F295" s="2" t="s">
        <v>2269</v>
      </c>
      <c r="G295" s="12" t="str">
        <f t="shared" si="53"/>
        <v>a1b1c12d6</v>
      </c>
      <c r="H295" s="12" t="str">
        <f t="shared" si="54"/>
        <v>COETZERa1b1c12d6</v>
      </c>
      <c r="K295" s="12" t="str">
        <f t="shared" si="55"/>
        <v/>
      </c>
      <c r="M295" s="2" t="s">
        <v>22</v>
      </c>
      <c r="N295" s="12" t="str">
        <f t="shared" si="48"/>
        <v/>
      </c>
      <c r="O295" s="12" t="str">
        <f t="shared" si="49"/>
        <v>1805</v>
      </c>
      <c r="Q295" s="12" t="str">
        <f t="shared" si="56"/>
        <v>1805</v>
      </c>
      <c r="S295" s="12" t="str">
        <f t="shared" si="57"/>
        <v/>
      </c>
      <c r="T295" s="2" t="s">
        <v>28</v>
      </c>
      <c r="U295" s="2" t="s">
        <v>1621</v>
      </c>
      <c r="V295" s="12" t="str">
        <f t="shared" si="58"/>
        <v>1824</v>
      </c>
      <c r="W295" s="2" t="s">
        <v>2270</v>
      </c>
      <c r="X295" s="2" t="s">
        <v>731</v>
      </c>
      <c r="AF295" s="2" t="s">
        <v>3699</v>
      </c>
      <c r="AG295" s="2" t="s">
        <v>68</v>
      </c>
      <c r="AH295" s="2">
        <v>1837</v>
      </c>
      <c r="AI295" s="12" t="str">
        <f t="shared" si="59"/>
        <v>1837</v>
      </c>
      <c r="AJ295" s="2" t="s">
        <v>2271</v>
      </c>
    </row>
    <row r="296" spans="1:82">
      <c r="A296" s="2" t="s">
        <v>2237</v>
      </c>
      <c r="B296" s="12" t="str">
        <f t="shared" si="50"/>
        <v>COETZER</v>
      </c>
      <c r="C296" s="12" t="str">
        <f t="shared" si="51"/>
        <v>COETZER</v>
      </c>
      <c r="D296" s="2" t="s">
        <v>2285</v>
      </c>
      <c r="E296" s="12" t="str">
        <f t="shared" si="52"/>
        <v>Pieter Willemse</v>
      </c>
      <c r="F296" s="2" t="s">
        <v>2286</v>
      </c>
      <c r="G296" s="12" t="str">
        <f t="shared" si="53"/>
        <v>a1b1c15d7</v>
      </c>
      <c r="H296" s="12" t="str">
        <f t="shared" si="54"/>
        <v>COETZERa1b1c15d7</v>
      </c>
      <c r="K296" s="12" t="str">
        <f t="shared" si="55"/>
        <v/>
      </c>
      <c r="L296" s="2" t="s">
        <v>28</v>
      </c>
      <c r="M296" s="2" t="s">
        <v>2287</v>
      </c>
      <c r="N296" s="12" t="str">
        <f t="shared" si="48"/>
        <v/>
      </c>
      <c r="O296" s="12" t="str">
        <f t="shared" si="49"/>
        <v>1836</v>
      </c>
      <c r="Q296" s="12" t="str">
        <f t="shared" si="56"/>
        <v>1836</v>
      </c>
      <c r="S296" s="12" t="str">
        <f t="shared" si="57"/>
        <v/>
      </c>
      <c r="V296" s="12" t="str">
        <f t="shared" si="58"/>
        <v/>
      </c>
      <c r="W296" s="2" t="s">
        <v>2288</v>
      </c>
      <c r="X296" s="2" t="s">
        <v>780</v>
      </c>
      <c r="AF296" s="12"/>
      <c r="AG296" s="12" t="s">
        <v>28</v>
      </c>
      <c r="AI296" s="12" t="str">
        <f t="shared" si="59"/>
        <v/>
      </c>
      <c r="AK296" s="2" t="s">
        <v>2289</v>
      </c>
    </row>
    <row r="297" spans="1:82">
      <c r="A297" s="2" t="s">
        <v>2237</v>
      </c>
      <c r="B297" s="12" t="str">
        <f t="shared" si="50"/>
        <v>COETZER</v>
      </c>
      <c r="C297" s="12" t="str">
        <f t="shared" si="51"/>
        <v>COETZER</v>
      </c>
      <c r="D297" s="2" t="s">
        <v>2238</v>
      </c>
      <c r="E297" s="12" t="str">
        <f t="shared" si="52"/>
        <v>Gert Jacobus Louis Hozea</v>
      </c>
      <c r="F297" s="2" t="s">
        <v>2239</v>
      </c>
      <c r="G297" s="12" t="str">
        <f t="shared" si="53"/>
        <v>a1b1c15d8</v>
      </c>
      <c r="H297" s="12" t="str">
        <f t="shared" si="54"/>
        <v>COETZERa1b1c15d8</v>
      </c>
      <c r="J297" s="2" t="s">
        <v>2240</v>
      </c>
      <c r="K297" s="12" t="str">
        <f t="shared" si="55"/>
        <v>1817</v>
      </c>
      <c r="L297" s="2" t="s">
        <v>74</v>
      </c>
      <c r="M297" s="2" t="s">
        <v>2241</v>
      </c>
      <c r="N297" s="12" t="str">
        <f t="shared" si="48"/>
        <v>1817</v>
      </c>
      <c r="O297" s="12" t="str">
        <f t="shared" si="49"/>
        <v>1817</v>
      </c>
      <c r="P297" s="2" t="s">
        <v>2242</v>
      </c>
      <c r="Q297" s="12" t="str">
        <f t="shared" si="56"/>
        <v>1817</v>
      </c>
      <c r="R297" s="2" t="s">
        <v>2243</v>
      </c>
      <c r="S297" s="12" t="str">
        <f t="shared" si="57"/>
        <v>1888</v>
      </c>
      <c r="V297" s="12" t="str">
        <f t="shared" si="58"/>
        <v/>
      </c>
      <c r="W297" s="2" t="s">
        <v>2244</v>
      </c>
      <c r="X297" s="2" t="s">
        <v>2235</v>
      </c>
      <c r="AG297" s="2" t="s">
        <v>74</v>
      </c>
      <c r="AH297" s="2" t="s">
        <v>2236</v>
      </c>
      <c r="AI297" s="12" t="str">
        <f t="shared" si="59"/>
        <v>1838</v>
      </c>
      <c r="AK297" s="2" t="s">
        <v>2245</v>
      </c>
    </row>
    <row r="298" spans="1:82" s="5" customFormat="1">
      <c r="A298" s="12" t="s">
        <v>2306</v>
      </c>
      <c r="B298" s="12" t="str">
        <f t="shared" si="50"/>
        <v>COMBRINK</v>
      </c>
      <c r="C298" s="12" t="str">
        <f t="shared" si="51"/>
        <v>COMBRINK</v>
      </c>
      <c r="D298" s="12" t="s">
        <v>2373</v>
      </c>
      <c r="E298" s="12" t="str">
        <f t="shared" si="52"/>
        <v>Jan Christiaan Johannes</v>
      </c>
      <c r="F298" s="12" t="s">
        <v>932</v>
      </c>
      <c r="G298" s="12" t="str">
        <f t="shared" si="53"/>
        <v>a1b2</v>
      </c>
      <c r="H298" s="12" t="str">
        <f t="shared" si="54"/>
        <v>COMBRINKa1b2</v>
      </c>
      <c r="I298" s="12"/>
      <c r="J298" s="12" t="s">
        <v>2374</v>
      </c>
      <c r="K298" s="12" t="str">
        <f t="shared" si="55"/>
        <v>1801</v>
      </c>
      <c r="L298" s="12" t="s">
        <v>74</v>
      </c>
      <c r="M298" s="12" t="s">
        <v>2375</v>
      </c>
      <c r="N298" s="12" t="str">
        <f t="shared" si="48"/>
        <v>1801</v>
      </c>
      <c r="O298" s="12" t="str">
        <f t="shared" si="49"/>
        <v>1805</v>
      </c>
      <c r="P298" s="12" t="s">
        <v>51</v>
      </c>
      <c r="Q298" s="12" t="str">
        <f t="shared" si="56"/>
        <v>1801</v>
      </c>
      <c r="R298" s="12" t="s">
        <v>2376</v>
      </c>
      <c r="S298" s="12" t="str">
        <f t="shared" si="57"/>
        <v>1851</v>
      </c>
      <c r="T298" s="12" t="s">
        <v>74</v>
      </c>
      <c r="U298" s="12" t="s">
        <v>2377</v>
      </c>
      <c r="V298" s="12" t="str">
        <f t="shared" si="58"/>
        <v>1822</v>
      </c>
      <c r="W298" s="12" t="s">
        <v>2378</v>
      </c>
      <c r="X298" s="12" t="s">
        <v>776</v>
      </c>
      <c r="Y298" s="12" t="s">
        <v>2379</v>
      </c>
      <c r="Z298" s="12"/>
      <c r="AA298" s="12"/>
      <c r="AB298" s="12"/>
      <c r="AC298" s="12" t="s">
        <v>2380</v>
      </c>
      <c r="AD298" s="12"/>
      <c r="AE298" s="12"/>
      <c r="AF298" s="12" t="s">
        <v>3718</v>
      </c>
      <c r="AG298" s="12" t="s">
        <v>60</v>
      </c>
      <c r="AH298" s="12">
        <v>1844</v>
      </c>
      <c r="AI298" s="12" t="str">
        <f t="shared" si="59"/>
        <v>1844</v>
      </c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</row>
    <row r="299" spans="1:82">
      <c r="A299" s="2" t="s">
        <v>2306</v>
      </c>
      <c r="B299" s="12" t="str">
        <f t="shared" si="50"/>
        <v>COMBRINK</v>
      </c>
      <c r="C299" s="12" t="str">
        <f t="shared" si="51"/>
        <v>COMBRINK</v>
      </c>
      <c r="D299" s="2" t="s">
        <v>2329</v>
      </c>
      <c r="E299" s="12" t="str">
        <f t="shared" si="52"/>
        <v>Johannes Nicolaas</v>
      </c>
      <c r="F299" s="2" t="s">
        <v>2330</v>
      </c>
      <c r="G299" s="12" t="str">
        <f t="shared" si="53"/>
        <v>a1b2c5d4e1</v>
      </c>
      <c r="H299" s="12" t="str">
        <f t="shared" si="54"/>
        <v>COMBRINKa1b2c5d4e1</v>
      </c>
      <c r="K299" s="12" t="str">
        <f t="shared" si="55"/>
        <v/>
      </c>
      <c r="M299" s="2" t="s">
        <v>2331</v>
      </c>
      <c r="N299" s="12" t="str">
        <f t="shared" si="48"/>
        <v/>
      </c>
      <c r="O299" s="12" t="str">
        <f t="shared" si="49"/>
        <v>1803</v>
      </c>
      <c r="Q299" s="12" t="str">
        <f t="shared" si="56"/>
        <v>1803</v>
      </c>
      <c r="S299" s="12" t="str">
        <f t="shared" si="57"/>
        <v/>
      </c>
      <c r="T299" s="2" t="s">
        <v>542</v>
      </c>
      <c r="U299" s="2" t="s">
        <v>2332</v>
      </c>
      <c r="V299" s="12" t="str">
        <f t="shared" si="58"/>
        <v>1826</v>
      </c>
      <c r="W299" s="2" t="s">
        <v>2333</v>
      </c>
      <c r="X299" s="2" t="s">
        <v>2334</v>
      </c>
      <c r="AH299" s="2" t="s">
        <v>2335</v>
      </c>
      <c r="AI299" s="12" t="str">
        <f t="shared" si="59"/>
        <v>1845</v>
      </c>
      <c r="AJ299" s="2" t="s">
        <v>2336</v>
      </c>
    </row>
    <row r="300" spans="1:82">
      <c r="A300" s="2" t="s">
        <v>2306</v>
      </c>
      <c r="B300" s="12" t="str">
        <f t="shared" si="50"/>
        <v>COMBRINK</v>
      </c>
      <c r="C300" s="12" t="str">
        <f t="shared" si="51"/>
        <v>COMBRINK</v>
      </c>
      <c r="D300" s="2" t="s">
        <v>2311</v>
      </c>
      <c r="E300" s="12" t="str">
        <f t="shared" si="52"/>
        <v>Gerhardus Hermanus Jacobus</v>
      </c>
      <c r="F300" s="2" t="s">
        <v>1080</v>
      </c>
      <c r="G300" s="12" t="str">
        <f t="shared" si="53"/>
        <v>a1b2c6d4</v>
      </c>
      <c r="H300" s="12" t="str">
        <f t="shared" si="54"/>
        <v>COMBRINKa1b2c6d4</v>
      </c>
      <c r="K300" s="12" t="str">
        <f t="shared" si="55"/>
        <v/>
      </c>
      <c r="M300" s="2" t="s">
        <v>2312</v>
      </c>
      <c r="N300" s="12" t="str">
        <f t="shared" si="48"/>
        <v/>
      </c>
      <c r="O300" s="12" t="str">
        <f t="shared" si="49"/>
        <v>1802</v>
      </c>
      <c r="Q300" s="12" t="str">
        <f t="shared" si="56"/>
        <v>1802</v>
      </c>
      <c r="S300" s="12" t="str">
        <f t="shared" si="57"/>
        <v/>
      </c>
      <c r="T300" s="2" t="s">
        <v>53</v>
      </c>
      <c r="U300" s="2" t="s">
        <v>2313</v>
      </c>
      <c r="V300" s="12" t="str">
        <f t="shared" si="58"/>
        <v>1822</v>
      </c>
      <c r="W300" s="2" t="s">
        <v>2314</v>
      </c>
      <c r="X300" s="2" t="s">
        <v>2153</v>
      </c>
      <c r="Y300" s="2" t="s">
        <v>2315</v>
      </c>
      <c r="AC300" s="2" t="s">
        <v>2039</v>
      </c>
      <c r="AF300" s="2" t="s">
        <v>3724</v>
      </c>
      <c r="AG300" s="2" t="s">
        <v>53</v>
      </c>
      <c r="AH300" s="2">
        <v>1837</v>
      </c>
      <c r="AI300" s="12" t="str">
        <f t="shared" si="59"/>
        <v>1837</v>
      </c>
      <c r="AJ300" s="2" t="s">
        <v>2262</v>
      </c>
    </row>
    <row r="301" spans="1:82">
      <c r="A301" s="12" t="s">
        <v>2306</v>
      </c>
      <c r="B301" s="12" t="str">
        <f t="shared" si="50"/>
        <v>COMBRINK</v>
      </c>
      <c r="C301" s="12" t="str">
        <f t="shared" si="51"/>
        <v>COMBRINK</v>
      </c>
      <c r="D301" s="2" t="s">
        <v>2307</v>
      </c>
      <c r="E301" s="12" t="str">
        <f t="shared" si="52"/>
        <v>Frederik Johannes</v>
      </c>
      <c r="F301" s="2" t="s">
        <v>2308</v>
      </c>
      <c r="G301" s="12" t="str">
        <f t="shared" si="53"/>
        <v>a1b2c6d4e2</v>
      </c>
      <c r="H301" s="12" t="str">
        <f t="shared" si="54"/>
        <v>COMBRINKa1b2c6d4e2</v>
      </c>
      <c r="K301" s="12" t="str">
        <f t="shared" si="55"/>
        <v/>
      </c>
      <c r="N301" s="12" t="str">
        <f t="shared" si="48"/>
        <v/>
      </c>
      <c r="O301" s="12" t="str">
        <f t="shared" si="49"/>
        <v/>
      </c>
      <c r="Q301" s="12" t="str">
        <f t="shared" si="56"/>
        <v/>
      </c>
      <c r="S301" s="12" t="str">
        <f t="shared" si="57"/>
        <v/>
      </c>
      <c r="V301" s="12" t="str">
        <f t="shared" si="58"/>
        <v/>
      </c>
      <c r="W301" s="2" t="s">
        <v>2309</v>
      </c>
      <c r="X301" s="2" t="s">
        <v>2153</v>
      </c>
      <c r="Y301" s="2" t="s">
        <v>2310</v>
      </c>
      <c r="AG301" s="2" t="s">
        <v>53</v>
      </c>
      <c r="AH301" s="2">
        <v>1837</v>
      </c>
      <c r="AI301" s="12" t="str">
        <f t="shared" si="59"/>
        <v>1837</v>
      </c>
      <c r="AJ301" s="2" t="s">
        <v>2262</v>
      </c>
    </row>
    <row r="302" spans="1:82">
      <c r="A302" s="12" t="s">
        <v>2306</v>
      </c>
      <c r="B302" s="12" t="str">
        <f t="shared" si="50"/>
        <v>COMBRINK</v>
      </c>
      <c r="C302" s="12" t="str">
        <f t="shared" si="51"/>
        <v>COMBRINK</v>
      </c>
      <c r="D302" s="2" t="s">
        <v>2352</v>
      </c>
      <c r="E302" s="12" t="str">
        <f t="shared" si="52"/>
        <v>Stephanus Lucas</v>
      </c>
      <c r="F302" s="2" t="s">
        <v>1058</v>
      </c>
      <c r="G302" s="12" t="str">
        <f t="shared" si="53"/>
        <v>a1b2c6d6</v>
      </c>
      <c r="H302" s="12" t="str">
        <f t="shared" si="54"/>
        <v>COMBRINKa1b2c6d6</v>
      </c>
      <c r="J302" s="2" t="s">
        <v>2353</v>
      </c>
      <c r="K302" s="12" t="str">
        <f t="shared" si="55"/>
        <v>1805</v>
      </c>
      <c r="L302" s="2" t="s">
        <v>74</v>
      </c>
      <c r="M302" s="2" t="s">
        <v>2354</v>
      </c>
      <c r="N302" s="12" t="str">
        <f t="shared" si="48"/>
        <v>1805</v>
      </c>
      <c r="O302" s="12" t="str">
        <f t="shared" si="49"/>
        <v>1806</v>
      </c>
      <c r="P302" s="2" t="s">
        <v>2355</v>
      </c>
      <c r="Q302" s="12" t="str">
        <f t="shared" si="56"/>
        <v>1805</v>
      </c>
      <c r="R302" s="2" t="s">
        <v>2356</v>
      </c>
      <c r="S302" s="12" t="str">
        <f t="shared" si="57"/>
        <v>1890</v>
      </c>
      <c r="T302" s="2" t="s">
        <v>53</v>
      </c>
      <c r="U302" s="2" t="s">
        <v>2357</v>
      </c>
      <c r="V302" s="12" t="str">
        <f t="shared" si="58"/>
        <v>1824</v>
      </c>
      <c r="W302" s="2" t="s">
        <v>2358</v>
      </c>
      <c r="X302" s="2" t="s">
        <v>625</v>
      </c>
      <c r="AA302" s="2" t="s">
        <v>2359</v>
      </c>
      <c r="AD302" s="2" t="s">
        <v>2360</v>
      </c>
      <c r="AE302" s="2" t="s">
        <v>2361</v>
      </c>
      <c r="AF302" s="2" t="s">
        <v>3699</v>
      </c>
      <c r="AG302" s="2" t="s">
        <v>68</v>
      </c>
      <c r="AH302" s="2">
        <v>1837</v>
      </c>
      <c r="AI302" s="12" t="str">
        <f t="shared" si="59"/>
        <v>1837</v>
      </c>
      <c r="AJ302" s="2" t="s">
        <v>2262</v>
      </c>
      <c r="AN302" s="2" t="s">
        <v>2362</v>
      </c>
      <c r="AO302" s="2" t="s">
        <v>2363</v>
      </c>
      <c r="AP302" s="2" t="s">
        <v>2364</v>
      </c>
      <c r="AR302" s="2" t="s">
        <v>2365</v>
      </c>
      <c r="AV302" s="2" t="s">
        <v>2366</v>
      </c>
    </row>
    <row r="303" spans="1:82" s="5" customFormat="1">
      <c r="A303" s="12" t="s">
        <v>2306</v>
      </c>
      <c r="B303" s="12" t="str">
        <f t="shared" si="50"/>
        <v>COMBRINK</v>
      </c>
      <c r="C303" s="12" t="str">
        <f t="shared" si="51"/>
        <v>COMBRINK</v>
      </c>
      <c r="D303" s="12" t="s">
        <v>2337</v>
      </c>
      <c r="E303" s="12" t="str">
        <f t="shared" si="52"/>
        <v>Petrus Christiaan</v>
      </c>
      <c r="F303" s="12" t="s">
        <v>2338</v>
      </c>
      <c r="G303" s="12" t="str">
        <f t="shared" si="53"/>
        <v>a1b2c6d8</v>
      </c>
      <c r="H303" s="12" t="str">
        <f t="shared" si="54"/>
        <v>COMBRINKa1b2c6d8</v>
      </c>
      <c r="I303" s="12"/>
      <c r="J303" s="12" t="s">
        <v>2339</v>
      </c>
      <c r="K303" s="12" t="str">
        <f t="shared" si="55"/>
        <v>1812</v>
      </c>
      <c r="L303" s="12" t="s">
        <v>74</v>
      </c>
      <c r="M303" s="12" t="s">
        <v>2340</v>
      </c>
      <c r="N303" s="12" t="str">
        <f t="shared" si="48"/>
        <v>1812</v>
      </c>
      <c r="O303" s="12" t="str">
        <f t="shared" si="49"/>
        <v>1812</v>
      </c>
      <c r="P303" s="12"/>
      <c r="Q303" s="12" t="str">
        <f t="shared" si="56"/>
        <v>1812</v>
      </c>
      <c r="R303" s="12"/>
      <c r="S303" s="12" t="str">
        <f t="shared" si="57"/>
        <v/>
      </c>
      <c r="T303" s="12" t="s">
        <v>28</v>
      </c>
      <c r="U303" s="12" t="s">
        <v>2341</v>
      </c>
      <c r="V303" s="12" t="str">
        <f t="shared" si="58"/>
        <v>1836</v>
      </c>
      <c r="W303" s="12" t="s">
        <v>2342</v>
      </c>
      <c r="X303" s="12" t="s">
        <v>1685</v>
      </c>
      <c r="Y303" s="12" t="s">
        <v>2343</v>
      </c>
      <c r="Z303" s="12"/>
      <c r="AA303" s="12" t="s">
        <v>2344</v>
      </c>
      <c r="AB303" s="12"/>
      <c r="AC303" s="12"/>
      <c r="AD303" s="12"/>
      <c r="AE303" s="12" t="s">
        <v>2345</v>
      </c>
      <c r="AF303" s="12" t="s">
        <v>3724</v>
      </c>
      <c r="AG303" s="12" t="s">
        <v>53</v>
      </c>
      <c r="AH303" s="12" t="s">
        <v>29</v>
      </c>
      <c r="AI303" s="12" t="str">
        <f t="shared" si="59"/>
        <v>1837</v>
      </c>
      <c r="AJ303" s="12" t="s">
        <v>2262</v>
      </c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</row>
    <row r="304" spans="1:82">
      <c r="A304" s="12" t="s">
        <v>2306</v>
      </c>
      <c r="B304" s="12" t="str">
        <f t="shared" si="50"/>
        <v>COMBRINK</v>
      </c>
      <c r="C304" s="12" t="str">
        <f t="shared" si="51"/>
        <v>COMBRINK</v>
      </c>
      <c r="D304" s="2" t="s">
        <v>2253</v>
      </c>
      <c r="E304" s="12" t="str">
        <f t="shared" si="52"/>
        <v>Johannes Jacobus</v>
      </c>
      <c r="F304" s="2" t="s">
        <v>2319</v>
      </c>
      <c r="G304" s="12" t="str">
        <f t="shared" si="53"/>
        <v>a1b4c2d5</v>
      </c>
      <c r="H304" s="12" t="str">
        <f t="shared" si="54"/>
        <v>COMBRINKa1b4c2d5</v>
      </c>
      <c r="K304" s="12" t="str">
        <f t="shared" si="55"/>
        <v/>
      </c>
      <c r="L304" s="2" t="s">
        <v>961</v>
      </c>
      <c r="M304" s="2" t="s">
        <v>2320</v>
      </c>
      <c r="N304" s="12" t="str">
        <f t="shared" si="48"/>
        <v/>
      </c>
      <c r="O304" s="12" t="str">
        <f t="shared" si="49"/>
        <v>1791</v>
      </c>
      <c r="P304" s="2" t="s">
        <v>2321</v>
      </c>
      <c r="Q304" s="12" t="str">
        <f t="shared" si="56"/>
        <v>1791</v>
      </c>
      <c r="R304" s="2" t="s">
        <v>2322</v>
      </c>
      <c r="S304" s="12" t="str">
        <f t="shared" si="57"/>
        <v>1847</v>
      </c>
      <c r="T304" s="2" t="s">
        <v>961</v>
      </c>
      <c r="U304" s="2" t="s">
        <v>2323</v>
      </c>
      <c r="V304" s="12" t="str">
        <f t="shared" si="58"/>
        <v>1811</v>
      </c>
      <c r="W304" s="2" t="s">
        <v>2324</v>
      </c>
      <c r="X304" s="2" t="s">
        <v>1997</v>
      </c>
      <c r="Z304" s="2" t="s">
        <v>2325</v>
      </c>
      <c r="AA304" s="2" t="s">
        <v>2326</v>
      </c>
      <c r="AD304" s="2" t="s">
        <v>2327</v>
      </c>
      <c r="AE304" s="2" t="s">
        <v>2328</v>
      </c>
      <c r="AF304" s="2" t="s">
        <v>3712</v>
      </c>
      <c r="AG304" s="2" t="s">
        <v>74</v>
      </c>
      <c r="AH304" s="2">
        <v>1838</v>
      </c>
      <c r="AI304" s="12" t="str">
        <f t="shared" si="59"/>
        <v>1838</v>
      </c>
    </row>
    <row r="305" spans="1:69">
      <c r="A305" s="12" t="s">
        <v>2306</v>
      </c>
      <c r="B305" s="12" t="str">
        <f t="shared" si="50"/>
        <v>COMBRINK</v>
      </c>
      <c r="C305" s="12" t="str">
        <f t="shared" si="51"/>
        <v>COMBRINK</v>
      </c>
      <c r="D305" s="2" t="s">
        <v>2346</v>
      </c>
      <c r="E305" s="12" t="str">
        <f t="shared" si="52"/>
        <v>Phillippus Wilhelmus</v>
      </c>
      <c r="F305" s="2" t="s">
        <v>2347</v>
      </c>
      <c r="G305" s="12" t="str">
        <f t="shared" si="53"/>
        <v>a1b6c7d3</v>
      </c>
      <c r="H305" s="12" t="str">
        <f t="shared" si="54"/>
        <v>COMBRINKa1b6c7d3</v>
      </c>
      <c r="K305" s="12" t="str">
        <f t="shared" si="55"/>
        <v/>
      </c>
      <c r="L305" s="2" t="s">
        <v>48</v>
      </c>
      <c r="M305" s="2" t="s">
        <v>2348</v>
      </c>
      <c r="N305" s="12" t="str">
        <f t="shared" si="48"/>
        <v/>
      </c>
      <c r="O305" s="12" t="str">
        <f t="shared" si="49"/>
        <v>1801</v>
      </c>
      <c r="P305" s="2" t="s">
        <v>566</v>
      </c>
      <c r="Q305" s="12" t="str">
        <f t="shared" si="56"/>
        <v>1801</v>
      </c>
      <c r="R305" s="2" t="s">
        <v>2349</v>
      </c>
      <c r="S305" s="12" t="str">
        <f t="shared" si="57"/>
        <v>1858</v>
      </c>
      <c r="T305" s="2" t="s">
        <v>74</v>
      </c>
      <c r="U305" s="2" t="s">
        <v>2350</v>
      </c>
      <c r="V305" s="12" t="str">
        <f t="shared" si="58"/>
        <v>1820</v>
      </c>
      <c r="W305" s="2" t="s">
        <v>2351</v>
      </c>
      <c r="X305" s="2" t="s">
        <v>700</v>
      </c>
      <c r="AF305" s="2" t="s">
        <v>3725</v>
      </c>
      <c r="AG305" s="2" t="s">
        <v>74</v>
      </c>
      <c r="AI305" s="12" t="str">
        <f t="shared" si="59"/>
        <v/>
      </c>
      <c r="BQ305" s="2" t="s">
        <v>2028</v>
      </c>
    </row>
    <row r="306" spans="1:69">
      <c r="A306" s="12" t="s">
        <v>2306</v>
      </c>
      <c r="B306" s="12" t="str">
        <f t="shared" si="50"/>
        <v>COMBRINK</v>
      </c>
      <c r="C306" s="12" t="str">
        <f t="shared" si="51"/>
        <v>COMBRINK</v>
      </c>
      <c r="D306" s="2" t="s">
        <v>2316</v>
      </c>
      <c r="E306" s="12" t="str">
        <f t="shared" si="52"/>
        <v>Jan Frederik Johannes</v>
      </c>
      <c r="F306" s="2" t="s">
        <v>2317</v>
      </c>
      <c r="G306" s="12" t="str">
        <f t="shared" si="53"/>
        <v>a1b6c7d4</v>
      </c>
      <c r="H306" s="12" t="str">
        <f t="shared" si="54"/>
        <v>COMBRINKa1b6c7d4</v>
      </c>
      <c r="K306" s="12" t="str">
        <f t="shared" si="55"/>
        <v/>
      </c>
      <c r="L306" s="2" t="s">
        <v>48</v>
      </c>
      <c r="M306" s="2" t="s">
        <v>1351</v>
      </c>
      <c r="N306" s="12" t="str">
        <f t="shared" si="48"/>
        <v/>
      </c>
      <c r="O306" s="12" t="str">
        <f t="shared" si="49"/>
        <v>1803</v>
      </c>
      <c r="Q306" s="12" t="str">
        <f t="shared" si="56"/>
        <v>1803</v>
      </c>
      <c r="S306" s="12" t="str">
        <f t="shared" si="57"/>
        <v/>
      </c>
      <c r="T306" s="2" t="s">
        <v>74</v>
      </c>
      <c r="U306" s="2" t="s">
        <v>2318</v>
      </c>
      <c r="V306" s="12" t="str">
        <f t="shared" si="58"/>
        <v>1827</v>
      </c>
      <c r="W306" s="2" t="s">
        <v>804</v>
      </c>
      <c r="X306" s="2" t="s">
        <v>700</v>
      </c>
      <c r="AF306" s="2" t="s">
        <v>3725</v>
      </c>
      <c r="AG306" s="2" t="s">
        <v>74</v>
      </c>
      <c r="AH306" s="2" t="s">
        <v>1981</v>
      </c>
      <c r="AI306" s="12" t="str">
        <f t="shared" si="59"/>
        <v>1836</v>
      </c>
      <c r="AK306" s="2" t="s">
        <v>155</v>
      </c>
    </row>
    <row r="307" spans="1:69">
      <c r="A307" s="12" t="s">
        <v>2306</v>
      </c>
      <c r="B307" s="12" t="str">
        <f t="shared" si="50"/>
        <v>COMBRINK</v>
      </c>
      <c r="C307" s="12" t="str">
        <f t="shared" si="51"/>
        <v>COMBRINK</v>
      </c>
      <c r="D307" s="2" t="s">
        <v>2367</v>
      </c>
      <c r="E307" s="12" t="str">
        <f t="shared" si="52"/>
        <v>Willem Andries</v>
      </c>
      <c r="F307" s="2" t="s">
        <v>2368</v>
      </c>
      <c r="G307" s="12" t="str">
        <f t="shared" si="53"/>
        <v>a1b6c8d2</v>
      </c>
      <c r="H307" s="12" t="str">
        <f t="shared" si="54"/>
        <v>COMBRINKa1b6c8d2</v>
      </c>
      <c r="K307" s="12" t="str">
        <f t="shared" si="55"/>
        <v/>
      </c>
      <c r="M307" s="2" t="s">
        <v>2369</v>
      </c>
      <c r="N307" s="12" t="str">
        <f t="shared" si="48"/>
        <v/>
      </c>
      <c r="O307" s="12" t="str">
        <f t="shared" si="49"/>
        <v>1800</v>
      </c>
      <c r="Q307" s="12" t="str">
        <f t="shared" si="56"/>
        <v>1800</v>
      </c>
      <c r="S307" s="12" t="str">
        <f t="shared" si="57"/>
        <v/>
      </c>
      <c r="T307" s="2" t="s">
        <v>366</v>
      </c>
      <c r="U307" s="2" t="s">
        <v>2370</v>
      </c>
      <c r="V307" s="12" t="str">
        <f t="shared" si="58"/>
        <v>1822</v>
      </c>
      <c r="W307" s="2" t="s">
        <v>2371</v>
      </c>
      <c r="X307" s="2" t="s">
        <v>2086</v>
      </c>
      <c r="AG307" s="2" t="s">
        <v>366</v>
      </c>
      <c r="AI307" s="12" t="str">
        <f t="shared" si="59"/>
        <v/>
      </c>
      <c r="AK307" s="2" t="s">
        <v>2372</v>
      </c>
    </row>
    <row r="308" spans="1:69">
      <c r="A308" s="12" t="s">
        <v>2383</v>
      </c>
      <c r="B308" s="12" t="str">
        <f t="shared" si="50"/>
        <v>CRAFFORD</v>
      </c>
      <c r="C308" s="12" t="str">
        <f t="shared" si="51"/>
        <v>CRAFFORD</v>
      </c>
      <c r="D308" s="12" t="s">
        <v>2389</v>
      </c>
      <c r="E308" s="12" t="str">
        <f t="shared" si="52"/>
        <v>Jacob Daniel Adriaan</v>
      </c>
      <c r="F308" s="12" t="s">
        <v>2390</v>
      </c>
      <c r="G308" s="12" t="str">
        <f t="shared" si="53"/>
        <v>a1b3c3d6</v>
      </c>
      <c r="H308" s="12" t="str">
        <f t="shared" si="54"/>
        <v>CRAFFORDa1b3c3d6</v>
      </c>
      <c r="I308" s="12"/>
      <c r="J308" s="12"/>
      <c r="K308" s="12" t="str">
        <f t="shared" si="55"/>
        <v/>
      </c>
      <c r="L308" s="12"/>
      <c r="M308" s="12" t="s">
        <v>2391</v>
      </c>
      <c r="N308" s="12" t="str">
        <f t="shared" si="48"/>
        <v/>
      </c>
      <c r="O308" s="12" t="str">
        <f t="shared" si="49"/>
        <v>1808</v>
      </c>
      <c r="P308" s="12"/>
      <c r="Q308" s="12" t="str">
        <f t="shared" si="56"/>
        <v>1808</v>
      </c>
      <c r="R308" s="12"/>
      <c r="S308" s="12" t="str">
        <f t="shared" si="57"/>
        <v/>
      </c>
      <c r="T308" s="12" t="s">
        <v>32</v>
      </c>
      <c r="U308" s="12" t="s">
        <v>1715</v>
      </c>
      <c r="V308" s="12" t="str">
        <f t="shared" si="58"/>
        <v>1831</v>
      </c>
      <c r="W308" s="12" t="s">
        <v>2392</v>
      </c>
      <c r="X308" s="12" t="s">
        <v>758</v>
      </c>
      <c r="Y308" s="12"/>
      <c r="Z308" s="12"/>
      <c r="AA308" s="12"/>
      <c r="AB308" s="12"/>
      <c r="AC308" s="12"/>
      <c r="AD308" s="12"/>
      <c r="AE308" s="12"/>
      <c r="AF308" s="12" t="s">
        <v>3697</v>
      </c>
      <c r="AG308" s="12" t="s">
        <v>32</v>
      </c>
      <c r="AH308" s="12" t="s">
        <v>2393</v>
      </c>
      <c r="AI308" s="12" t="str">
        <f t="shared" si="59"/>
        <v>1837</v>
      </c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Q308" s="2" t="s">
        <v>2028</v>
      </c>
    </row>
    <row r="309" spans="1:69">
      <c r="A309" s="12" t="s">
        <v>2383</v>
      </c>
      <c r="B309" s="12" t="str">
        <f t="shared" si="50"/>
        <v>CRAFFORD</v>
      </c>
      <c r="C309" s="12" t="str">
        <f t="shared" si="51"/>
        <v>CRAFFORD</v>
      </c>
      <c r="D309" s="12" t="s">
        <v>2384</v>
      </c>
      <c r="E309" s="12" t="str">
        <f t="shared" si="52"/>
        <v>Adolph Johannes Justus</v>
      </c>
      <c r="F309" s="12" t="s">
        <v>2385</v>
      </c>
      <c r="G309" s="12" t="str">
        <f t="shared" si="53"/>
        <v>a1b3c3d7</v>
      </c>
      <c r="H309" s="12" t="str">
        <f t="shared" si="54"/>
        <v>CRAFFORDa1b3c3d7</v>
      </c>
      <c r="I309" s="12"/>
      <c r="J309" s="12"/>
      <c r="K309" s="12" t="str">
        <f t="shared" si="55"/>
        <v/>
      </c>
      <c r="L309" s="12"/>
      <c r="M309" s="12"/>
      <c r="N309" s="12" t="str">
        <f t="shared" si="48"/>
        <v/>
      </c>
      <c r="O309" s="12" t="str">
        <f t="shared" si="49"/>
        <v/>
      </c>
      <c r="P309" s="12"/>
      <c r="Q309" s="12" t="str">
        <f t="shared" si="56"/>
        <v/>
      </c>
      <c r="R309" s="12"/>
      <c r="S309" s="12" t="str">
        <f t="shared" si="57"/>
        <v/>
      </c>
      <c r="T309" s="12" t="s">
        <v>32</v>
      </c>
      <c r="U309" s="12" t="s">
        <v>2386</v>
      </c>
      <c r="V309" s="12" t="str">
        <f t="shared" si="58"/>
        <v>1834</v>
      </c>
      <c r="W309" s="12" t="s">
        <v>642</v>
      </c>
      <c r="X309" s="12" t="s">
        <v>657</v>
      </c>
      <c r="Y309" s="12" t="s">
        <v>2387</v>
      </c>
      <c r="Z309" s="12"/>
      <c r="AA309" s="12"/>
      <c r="AB309" s="12"/>
      <c r="AC309" s="12"/>
      <c r="AD309" s="12"/>
      <c r="AE309" s="12"/>
      <c r="AF309" s="12" t="s">
        <v>3697</v>
      </c>
      <c r="AG309" s="12" t="s">
        <v>32</v>
      </c>
      <c r="AH309" s="12">
        <v>1837</v>
      </c>
      <c r="AI309" s="12" t="str">
        <f t="shared" si="59"/>
        <v>1837</v>
      </c>
      <c r="AJ309" s="12"/>
      <c r="AK309" s="12" t="s">
        <v>2388</v>
      </c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</row>
    <row r="310" spans="1:69">
      <c r="A310" s="12" t="s">
        <v>2394</v>
      </c>
      <c r="B310" s="12" t="str">
        <f t="shared" si="50"/>
        <v>CRONJE</v>
      </c>
      <c r="C310" s="12" t="str">
        <f t="shared" si="51"/>
        <v>CRONJE</v>
      </c>
      <c r="D310" s="12" t="s">
        <v>2453</v>
      </c>
      <c r="E310" s="12" t="str">
        <f t="shared" si="52"/>
        <v>Johannes Josephus</v>
      </c>
      <c r="F310" s="12" t="s">
        <v>2454</v>
      </c>
      <c r="G310" s="12" t="str">
        <f t="shared" si="53"/>
        <v>a1b3c5d11e2</v>
      </c>
      <c r="H310" s="12" t="str">
        <f t="shared" si="54"/>
        <v>CRONJEa1b3c5d11e2</v>
      </c>
      <c r="I310" s="12"/>
      <c r="J310" s="12" t="s">
        <v>2455</v>
      </c>
      <c r="K310" s="12" t="str">
        <f t="shared" si="55"/>
        <v>1823</v>
      </c>
      <c r="L310" s="12" t="s">
        <v>32</v>
      </c>
      <c r="M310" s="12" t="s">
        <v>2456</v>
      </c>
      <c r="N310" s="12" t="str">
        <f t="shared" si="48"/>
        <v>1823</v>
      </c>
      <c r="O310" s="12" t="str">
        <f t="shared" si="49"/>
        <v>1823</v>
      </c>
      <c r="P310" s="12"/>
      <c r="Q310" s="12" t="str">
        <f t="shared" si="56"/>
        <v>1823</v>
      </c>
      <c r="R310" s="12"/>
      <c r="S310" s="12" t="str">
        <f t="shared" si="57"/>
        <v/>
      </c>
      <c r="T310" s="12"/>
      <c r="U310" s="12"/>
      <c r="V310" s="12" t="str">
        <f t="shared" si="58"/>
        <v/>
      </c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 t="s">
        <v>32</v>
      </c>
      <c r="AH310" s="12"/>
      <c r="AI310" s="12" t="str">
        <f t="shared" si="59"/>
        <v/>
      </c>
      <c r="AJ310" s="12"/>
      <c r="AK310" s="12" t="s">
        <v>2457</v>
      </c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</row>
    <row r="311" spans="1:69">
      <c r="A311" s="12" t="s">
        <v>2394</v>
      </c>
      <c r="B311" s="12" t="str">
        <f t="shared" si="50"/>
        <v>CRONJE</v>
      </c>
      <c r="C311" s="12" t="str">
        <f t="shared" si="51"/>
        <v>CRONJE</v>
      </c>
      <c r="D311" s="12" t="s">
        <v>1147</v>
      </c>
      <c r="E311" s="12" t="str">
        <f t="shared" si="52"/>
        <v>Cornelis</v>
      </c>
      <c r="F311" s="12" t="s">
        <v>2418</v>
      </c>
      <c r="G311" s="12" t="str">
        <f t="shared" si="53"/>
        <v>a1b3c5d2</v>
      </c>
      <c r="H311" s="12" t="str">
        <f t="shared" si="54"/>
        <v>CRONJEa1b3c5d2</v>
      </c>
      <c r="I311" s="12"/>
      <c r="J311" s="12"/>
      <c r="K311" s="12" t="str">
        <f t="shared" si="55"/>
        <v/>
      </c>
      <c r="L311" s="12"/>
      <c r="M311" s="12" t="s">
        <v>2419</v>
      </c>
      <c r="N311" s="12" t="str">
        <f t="shared" si="48"/>
        <v/>
      </c>
      <c r="O311" s="12" t="str">
        <f t="shared" si="49"/>
        <v>1783</v>
      </c>
      <c r="P311" s="12"/>
      <c r="Q311" s="12" t="str">
        <f t="shared" si="56"/>
        <v>1783</v>
      </c>
      <c r="R311" s="12"/>
      <c r="S311" s="12" t="str">
        <f t="shared" si="57"/>
        <v/>
      </c>
      <c r="T311" s="12" t="s">
        <v>32</v>
      </c>
      <c r="U311" s="12" t="s">
        <v>2420</v>
      </c>
      <c r="V311" s="12" t="str">
        <f t="shared" si="58"/>
        <v>1807</v>
      </c>
      <c r="W311" s="12" t="s">
        <v>2421</v>
      </c>
      <c r="X311" s="12" t="s">
        <v>761</v>
      </c>
      <c r="Y311" s="12"/>
      <c r="Z311" s="12"/>
      <c r="AA311" s="12"/>
      <c r="AB311" s="12"/>
      <c r="AC311" s="12"/>
      <c r="AD311" s="12"/>
      <c r="AE311" s="12"/>
      <c r="AF311" s="12"/>
      <c r="AG311" s="12" t="s">
        <v>28</v>
      </c>
      <c r="AH311" s="12" t="s">
        <v>2422</v>
      </c>
      <c r="AI311" s="12" t="str">
        <f t="shared" si="59"/>
        <v>1838</v>
      </c>
      <c r="AJ311" s="12"/>
      <c r="AK311" s="12" t="s">
        <v>2423</v>
      </c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</row>
    <row r="312" spans="1:69">
      <c r="A312" s="12" t="s">
        <v>2394</v>
      </c>
      <c r="B312" s="12" t="str">
        <f t="shared" si="50"/>
        <v>CRONJE</v>
      </c>
      <c r="C312" s="12" t="str">
        <f t="shared" si="51"/>
        <v>CRONJE</v>
      </c>
      <c r="D312" s="12" t="s">
        <v>1268</v>
      </c>
      <c r="E312" s="12" t="str">
        <f t="shared" si="52"/>
        <v>Johannes Christiaan</v>
      </c>
      <c r="F312" s="12" t="s">
        <v>2438</v>
      </c>
      <c r="G312" s="12" t="str">
        <f t="shared" si="53"/>
        <v>a1b3c5d2e4</v>
      </c>
      <c r="H312" s="12" t="str">
        <f t="shared" si="54"/>
        <v>CRONJEa1b3c5d2e4</v>
      </c>
      <c r="I312" s="12"/>
      <c r="J312" s="12" t="s">
        <v>2439</v>
      </c>
      <c r="K312" s="12" t="str">
        <f t="shared" si="55"/>
        <v>1813</v>
      </c>
      <c r="L312" s="12" t="s">
        <v>199</v>
      </c>
      <c r="M312" s="12" t="s">
        <v>2440</v>
      </c>
      <c r="N312" s="12" t="str">
        <f t="shared" si="48"/>
        <v>1813</v>
      </c>
      <c r="O312" s="12" t="str">
        <f t="shared" si="49"/>
        <v>1814</v>
      </c>
      <c r="P312" s="12"/>
      <c r="Q312" s="12" t="str">
        <f t="shared" si="56"/>
        <v>1813</v>
      </c>
      <c r="R312" s="12"/>
      <c r="S312" s="12" t="str">
        <f t="shared" si="57"/>
        <v/>
      </c>
      <c r="T312" s="12" t="s">
        <v>28</v>
      </c>
      <c r="U312" s="12" t="s">
        <v>463</v>
      </c>
      <c r="V312" s="12" t="str">
        <f t="shared" si="58"/>
        <v>1835</v>
      </c>
      <c r="W312" s="12" t="s">
        <v>2441</v>
      </c>
      <c r="X312" s="12" t="s">
        <v>2363</v>
      </c>
      <c r="Y312" s="12"/>
      <c r="Z312" s="12"/>
      <c r="AA312" s="12"/>
      <c r="AB312" s="12"/>
      <c r="AC312" s="12"/>
      <c r="AD312" s="12"/>
      <c r="AE312" s="12"/>
      <c r="AF312" s="12"/>
      <c r="AG312" s="12" t="s">
        <v>68</v>
      </c>
      <c r="AH312" s="12" t="s">
        <v>2442</v>
      </c>
      <c r="AI312" s="12" t="str">
        <f t="shared" si="59"/>
        <v>1839</v>
      </c>
      <c r="AJ312" s="12"/>
      <c r="AK312" s="12" t="s">
        <v>1654</v>
      </c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</row>
    <row r="313" spans="1:69">
      <c r="A313" s="12" t="s">
        <v>2394</v>
      </c>
      <c r="B313" s="12" t="str">
        <f t="shared" si="50"/>
        <v>CRONJE</v>
      </c>
      <c r="C313" s="12" t="str">
        <f t="shared" si="51"/>
        <v>CRONJE</v>
      </c>
      <c r="D313" s="12" t="s">
        <v>2428</v>
      </c>
      <c r="E313" s="12" t="str">
        <f t="shared" si="52"/>
        <v>Cornelis Douw</v>
      </c>
      <c r="F313" s="12" t="s">
        <v>2429</v>
      </c>
      <c r="G313" s="12" t="str">
        <f t="shared" si="53"/>
        <v>a1b3c5d2e5</v>
      </c>
      <c r="H313" s="12" t="str">
        <f t="shared" si="54"/>
        <v>CRONJEa1b3c5d2e5</v>
      </c>
      <c r="I313" s="12"/>
      <c r="J313" s="12" t="s">
        <v>2430</v>
      </c>
      <c r="K313" s="12" t="str">
        <f t="shared" si="55"/>
        <v>1815</v>
      </c>
      <c r="L313" s="12" t="s">
        <v>199</v>
      </c>
      <c r="M313" s="12" t="s">
        <v>2431</v>
      </c>
      <c r="N313" s="12" t="str">
        <f t="shared" si="48"/>
        <v>1815</v>
      </c>
      <c r="O313" s="12" t="str">
        <f t="shared" si="49"/>
        <v>1815</v>
      </c>
      <c r="P313" s="12"/>
      <c r="Q313" s="12" t="str">
        <f t="shared" si="56"/>
        <v>1815</v>
      </c>
      <c r="R313" s="12"/>
      <c r="S313" s="12" t="str">
        <f t="shared" si="57"/>
        <v/>
      </c>
      <c r="T313" s="12"/>
      <c r="U313" s="12"/>
      <c r="V313" s="12" t="str">
        <f t="shared" si="58"/>
        <v/>
      </c>
      <c r="W313" s="12" t="s">
        <v>2432</v>
      </c>
      <c r="X313" s="12" t="s">
        <v>776</v>
      </c>
      <c r="Y313" s="12"/>
      <c r="Z313" s="12"/>
      <c r="AA313" s="12"/>
      <c r="AB313" s="12"/>
      <c r="AC313" s="12"/>
      <c r="AD313" s="12"/>
      <c r="AE313" s="12"/>
      <c r="AF313" s="12"/>
      <c r="AG313" s="12" t="s">
        <v>68</v>
      </c>
      <c r="AH313" s="12">
        <v>1840</v>
      </c>
      <c r="AI313" s="12" t="str">
        <f t="shared" si="59"/>
        <v>1840</v>
      </c>
      <c r="AJ313" s="12"/>
      <c r="AK313" s="12" t="s">
        <v>140</v>
      </c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</row>
    <row r="314" spans="1:69">
      <c r="A314" s="12" t="s">
        <v>2394</v>
      </c>
      <c r="B314" s="12" t="str">
        <f t="shared" si="50"/>
        <v>CRONJE</v>
      </c>
      <c r="C314" s="12" t="str">
        <f t="shared" si="51"/>
        <v>CRONJE</v>
      </c>
      <c r="D314" s="12" t="s">
        <v>2433</v>
      </c>
      <c r="E314" s="12" t="str">
        <f t="shared" si="52"/>
        <v>Daniel Lodewicus</v>
      </c>
      <c r="F314" s="12" t="s">
        <v>2434</v>
      </c>
      <c r="G314" s="12" t="str">
        <f t="shared" si="53"/>
        <v>a1b3c5d2e6</v>
      </c>
      <c r="H314" s="12" t="str">
        <f t="shared" si="54"/>
        <v>CRONJEa1b3c5d2e6</v>
      </c>
      <c r="I314" s="12"/>
      <c r="J314" s="12"/>
      <c r="K314" s="12" t="str">
        <f t="shared" si="55"/>
        <v/>
      </c>
      <c r="L314" s="12"/>
      <c r="M314" s="12" t="s">
        <v>2426</v>
      </c>
      <c r="N314" s="12" t="str">
        <f t="shared" si="48"/>
        <v/>
      </c>
      <c r="O314" s="12" t="str">
        <f t="shared" si="49"/>
        <v>1818</v>
      </c>
      <c r="P314" s="12"/>
      <c r="Q314" s="12" t="str">
        <f t="shared" si="56"/>
        <v>1818</v>
      </c>
      <c r="R314" s="12"/>
      <c r="S314" s="12" t="str">
        <f t="shared" si="57"/>
        <v/>
      </c>
      <c r="T314" s="12"/>
      <c r="U314" s="12"/>
      <c r="V314" s="12" t="str">
        <f t="shared" si="58"/>
        <v/>
      </c>
      <c r="W314" s="12" t="s">
        <v>2435</v>
      </c>
      <c r="X314" s="12" t="s">
        <v>2436</v>
      </c>
      <c r="Y314" s="12"/>
      <c r="Z314" s="12"/>
      <c r="AA314" s="12"/>
      <c r="AB314" s="12"/>
      <c r="AC314" s="12"/>
      <c r="AD314" s="12"/>
      <c r="AE314" s="12"/>
      <c r="AF314" s="12"/>
      <c r="AG314" s="12" t="s">
        <v>68</v>
      </c>
      <c r="AH314" s="12">
        <v>1840</v>
      </c>
      <c r="AI314" s="12" t="str">
        <f t="shared" si="59"/>
        <v>1840</v>
      </c>
      <c r="AJ314" s="12"/>
      <c r="AK314" s="12" t="s">
        <v>140</v>
      </c>
      <c r="AL314" s="12"/>
      <c r="AM314" s="12"/>
      <c r="AN314" s="12" t="s">
        <v>2437</v>
      </c>
      <c r="AO314" s="12" t="s">
        <v>776</v>
      </c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</row>
    <row r="315" spans="1:69">
      <c r="A315" s="12" t="s">
        <v>2394</v>
      </c>
      <c r="B315" s="12" t="str">
        <f t="shared" si="50"/>
        <v>CRONJE</v>
      </c>
      <c r="C315" s="12" t="str">
        <f t="shared" si="51"/>
        <v>CRONJE</v>
      </c>
      <c r="D315" s="12" t="s">
        <v>2424</v>
      </c>
      <c r="E315" s="12" t="str">
        <f t="shared" si="52"/>
        <v>Cornelis Adriaan Lodewikus</v>
      </c>
      <c r="F315" s="12" t="s">
        <v>2425</v>
      </c>
      <c r="G315" s="12" t="str">
        <f t="shared" si="53"/>
        <v>a1b3c5d3e7</v>
      </c>
      <c r="H315" s="12" t="str">
        <f t="shared" si="54"/>
        <v>CRONJEa1b3c5d3e7</v>
      </c>
      <c r="I315" s="12"/>
      <c r="J315" s="12"/>
      <c r="K315" s="12" t="str">
        <f t="shared" si="55"/>
        <v/>
      </c>
      <c r="L315" s="12"/>
      <c r="M315" s="12" t="s">
        <v>2426</v>
      </c>
      <c r="N315" s="12" t="str">
        <f t="shared" si="48"/>
        <v/>
      </c>
      <c r="O315" s="12" t="str">
        <f t="shared" si="49"/>
        <v>1818</v>
      </c>
      <c r="P315" s="12"/>
      <c r="Q315" s="12" t="str">
        <f t="shared" si="56"/>
        <v>1818</v>
      </c>
      <c r="R315" s="12"/>
      <c r="S315" s="12" t="str">
        <f t="shared" si="57"/>
        <v/>
      </c>
      <c r="T315" s="12"/>
      <c r="U315" s="12"/>
      <c r="V315" s="12" t="str">
        <f t="shared" si="58"/>
        <v/>
      </c>
      <c r="W315" s="12" t="s">
        <v>2137</v>
      </c>
      <c r="X315" s="12" t="s">
        <v>2427</v>
      </c>
      <c r="Y315" s="12"/>
      <c r="Z315" s="12"/>
      <c r="AA315" s="12"/>
      <c r="AB315" s="12"/>
      <c r="AC315" s="12"/>
      <c r="AD315" s="12"/>
      <c r="AE315" s="12"/>
      <c r="AF315" s="12"/>
      <c r="AG315" s="12" t="s">
        <v>32</v>
      </c>
      <c r="AH315" s="12">
        <v>1839</v>
      </c>
      <c r="AI315" s="12" t="str">
        <f t="shared" si="59"/>
        <v>1839</v>
      </c>
      <c r="AJ315" s="12"/>
      <c r="AK315" s="12" t="s">
        <v>140</v>
      </c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</row>
    <row r="316" spans="1:69">
      <c r="A316" s="2" t="s">
        <v>2394</v>
      </c>
      <c r="B316" s="12" t="str">
        <f t="shared" si="50"/>
        <v>CRONJE</v>
      </c>
      <c r="C316" s="12" t="str">
        <f t="shared" si="51"/>
        <v>CRONJE</v>
      </c>
      <c r="D316" s="2" t="s">
        <v>2406</v>
      </c>
      <c r="E316" s="12" t="str">
        <f t="shared" si="52"/>
        <v>Andries Sr</v>
      </c>
      <c r="F316" s="2" t="s">
        <v>893</v>
      </c>
      <c r="G316" s="12" t="str">
        <f t="shared" si="53"/>
        <v>a1b3c5d4</v>
      </c>
      <c r="H316" s="12" t="str">
        <f t="shared" si="54"/>
        <v>CRONJEa1b3c5d4</v>
      </c>
      <c r="K316" s="12" t="str">
        <f t="shared" si="55"/>
        <v/>
      </c>
      <c r="M316" s="2" t="s">
        <v>2407</v>
      </c>
      <c r="N316" s="12" t="str">
        <f t="shared" si="48"/>
        <v/>
      </c>
      <c r="O316" s="12" t="str">
        <f t="shared" si="49"/>
        <v>1786</v>
      </c>
      <c r="P316" s="2" t="s">
        <v>190</v>
      </c>
      <c r="Q316" s="12" t="str">
        <f t="shared" si="56"/>
        <v>1786</v>
      </c>
      <c r="R316" s="2" t="s">
        <v>2408</v>
      </c>
      <c r="S316" s="12" t="str">
        <f t="shared" si="57"/>
        <v>1858</v>
      </c>
      <c r="T316" s="2" t="s">
        <v>32</v>
      </c>
      <c r="U316" s="2" t="s">
        <v>2409</v>
      </c>
      <c r="V316" s="12" t="str">
        <f t="shared" si="58"/>
        <v>1807</v>
      </c>
      <c r="W316" s="2" t="s">
        <v>823</v>
      </c>
      <c r="X316" s="2" t="s">
        <v>2410</v>
      </c>
      <c r="Y316" s="2" t="s">
        <v>839</v>
      </c>
      <c r="AF316" s="2" t="s">
        <v>3726</v>
      </c>
      <c r="AG316" s="2" t="s">
        <v>32</v>
      </c>
      <c r="AH316" s="2" t="s">
        <v>2411</v>
      </c>
      <c r="AI316" s="12" t="str">
        <f t="shared" si="59"/>
        <v>1838</v>
      </c>
      <c r="AK316" s="2" t="s">
        <v>551</v>
      </c>
    </row>
    <row r="317" spans="1:69">
      <c r="A317" s="2" t="s">
        <v>2394</v>
      </c>
      <c r="B317" s="12" t="str">
        <f t="shared" si="50"/>
        <v>CRONJE</v>
      </c>
      <c r="C317" s="12" t="str">
        <f t="shared" si="51"/>
        <v>CRONJE</v>
      </c>
      <c r="D317" s="2" t="s">
        <v>2091</v>
      </c>
      <c r="E317" s="12" t="str">
        <f t="shared" si="52"/>
        <v>Johannes Daniel</v>
      </c>
      <c r="F317" s="2" t="s">
        <v>2443</v>
      </c>
      <c r="G317" s="12" t="str">
        <f t="shared" si="53"/>
        <v>a1b3c5d4e1</v>
      </c>
      <c r="H317" s="12" t="str">
        <f t="shared" si="54"/>
        <v>CRONJEa1b3c5d4e1</v>
      </c>
      <c r="J317" s="2" t="s">
        <v>2444</v>
      </c>
      <c r="K317" s="12" t="str">
        <f t="shared" si="55"/>
        <v>1806</v>
      </c>
      <c r="M317" s="2" t="s">
        <v>2445</v>
      </c>
      <c r="N317" s="12" t="str">
        <f t="shared" si="48"/>
        <v>1806</v>
      </c>
      <c r="O317" s="12" t="str">
        <f t="shared" si="49"/>
        <v>1807</v>
      </c>
      <c r="Q317" s="12" t="str">
        <f t="shared" si="56"/>
        <v>1806</v>
      </c>
      <c r="R317" s="2" t="s">
        <v>2446</v>
      </c>
      <c r="S317" s="12" t="str">
        <f t="shared" si="57"/>
        <v>1901</v>
      </c>
      <c r="T317" s="2" t="s">
        <v>32</v>
      </c>
      <c r="U317" s="2" t="s">
        <v>2447</v>
      </c>
      <c r="V317" s="12" t="str">
        <f t="shared" si="58"/>
        <v>1831</v>
      </c>
      <c r="W317" s="2" t="s">
        <v>2448</v>
      </c>
      <c r="X317" s="2" t="s">
        <v>698</v>
      </c>
      <c r="Y317" s="2" t="s">
        <v>2449</v>
      </c>
      <c r="AA317" s="2" t="s">
        <v>2450</v>
      </c>
      <c r="AD317" s="2" t="s">
        <v>24</v>
      </c>
      <c r="AE317" s="2" t="s">
        <v>2451</v>
      </c>
      <c r="AF317" s="2" t="s">
        <v>3726</v>
      </c>
      <c r="AG317" s="2" t="s">
        <v>32</v>
      </c>
      <c r="AH317" s="2" t="s">
        <v>2411</v>
      </c>
      <c r="AI317" s="12" t="str">
        <f t="shared" si="59"/>
        <v>1838</v>
      </c>
      <c r="AK317" s="2" t="s">
        <v>551</v>
      </c>
      <c r="BQ317" s="2" t="s">
        <v>2452</v>
      </c>
    </row>
    <row r="318" spans="1:69">
      <c r="A318" s="2" t="s">
        <v>2394</v>
      </c>
      <c r="B318" s="12" t="str">
        <f t="shared" si="50"/>
        <v>CRONJE</v>
      </c>
      <c r="C318" s="12" t="str">
        <f t="shared" si="51"/>
        <v>CRONJE</v>
      </c>
      <c r="D318" s="2" t="s">
        <v>2472</v>
      </c>
      <c r="E318" s="12" t="str">
        <f t="shared" si="52"/>
        <v>Susanna Maria</v>
      </c>
      <c r="F318" s="2" t="s">
        <v>2473</v>
      </c>
      <c r="G318" s="12" t="str">
        <f t="shared" si="53"/>
        <v>a1b3c6</v>
      </c>
      <c r="H318" s="12" t="str">
        <f t="shared" si="54"/>
        <v>CRONJEa1b3c6</v>
      </c>
      <c r="K318" s="12" t="str">
        <f t="shared" si="55"/>
        <v/>
      </c>
      <c r="M318" s="2" t="s">
        <v>2474</v>
      </c>
      <c r="N318" s="12" t="str">
        <f t="shared" si="48"/>
        <v/>
      </c>
      <c r="O318" s="12" t="str">
        <f t="shared" si="49"/>
        <v>1753</v>
      </c>
      <c r="P318" s="2" t="s">
        <v>90</v>
      </c>
      <c r="Q318" s="12" t="str">
        <f t="shared" si="56"/>
        <v>1753</v>
      </c>
      <c r="R318" s="2" t="s">
        <v>2475</v>
      </c>
      <c r="S318" s="12" t="str">
        <f t="shared" si="57"/>
        <v>1838</v>
      </c>
      <c r="U318" s="2" t="s">
        <v>2476</v>
      </c>
      <c r="V318" s="12" t="str">
        <f t="shared" si="58"/>
        <v>1772</v>
      </c>
      <c r="W318" s="2" t="s">
        <v>2477</v>
      </c>
      <c r="X318" s="2" t="s">
        <v>2402</v>
      </c>
      <c r="Y318" s="2" t="s">
        <v>2471</v>
      </c>
      <c r="AC318" s="2" t="s">
        <v>2478</v>
      </c>
      <c r="AF318" s="2" t="s">
        <v>3677</v>
      </c>
      <c r="AG318" s="2" t="s">
        <v>53</v>
      </c>
      <c r="AH318" s="2" t="s">
        <v>2479</v>
      </c>
      <c r="AI318" s="12" t="str">
        <f t="shared" si="59"/>
        <v>1836</v>
      </c>
      <c r="AJ318" s="2" t="s">
        <v>1696</v>
      </c>
      <c r="AK318" s="2" t="s">
        <v>90</v>
      </c>
      <c r="AN318" s="2" t="s">
        <v>372</v>
      </c>
      <c r="AO318" s="2" t="s">
        <v>726</v>
      </c>
      <c r="BQ318" s="2" t="s">
        <v>1154</v>
      </c>
    </row>
    <row r="319" spans="1:69">
      <c r="A319" s="2" t="s">
        <v>2394</v>
      </c>
      <c r="B319" s="12" t="str">
        <f t="shared" si="50"/>
        <v>CRONJE</v>
      </c>
      <c r="C319" s="12" t="str">
        <f t="shared" si="51"/>
        <v>CRONJE</v>
      </c>
      <c r="D319" s="2" t="s">
        <v>2215</v>
      </c>
      <c r="E319" s="12" t="str">
        <f t="shared" si="52"/>
        <v>Pieter</v>
      </c>
      <c r="F319" s="2" t="s">
        <v>2458</v>
      </c>
      <c r="G319" s="12" t="str">
        <f t="shared" si="53"/>
        <v>a1b3c8d1</v>
      </c>
      <c r="H319" s="12" t="str">
        <f t="shared" si="54"/>
        <v>CRONJEa1b3c8d1</v>
      </c>
      <c r="K319" s="12" t="str">
        <f t="shared" si="55"/>
        <v/>
      </c>
      <c r="M319" s="2" t="s">
        <v>2459</v>
      </c>
      <c r="N319" s="12" t="str">
        <f t="shared" si="48"/>
        <v/>
      </c>
      <c r="O319" s="12" t="str">
        <f t="shared" si="49"/>
        <v>1788</v>
      </c>
      <c r="P319" s="2" t="s">
        <v>2460</v>
      </c>
      <c r="Q319" s="12" t="str">
        <f t="shared" si="56"/>
        <v>1788</v>
      </c>
      <c r="R319" s="2" t="s">
        <v>2461</v>
      </c>
      <c r="S319" s="12" t="str">
        <f t="shared" si="57"/>
        <v>1851</v>
      </c>
      <c r="V319" s="12" t="str">
        <f t="shared" si="58"/>
        <v/>
      </c>
      <c r="W319" s="2" t="s">
        <v>2462</v>
      </c>
      <c r="X319" s="2" t="s">
        <v>2402</v>
      </c>
      <c r="Y319" s="2" t="s">
        <v>2463</v>
      </c>
      <c r="AC319" s="2" t="s">
        <v>2464</v>
      </c>
      <c r="AD319" s="2" t="s">
        <v>90</v>
      </c>
      <c r="AE319" s="2" t="s">
        <v>2465</v>
      </c>
      <c r="AF319" s="2" t="s">
        <v>3726</v>
      </c>
      <c r="AG319" s="2" t="s">
        <v>32</v>
      </c>
      <c r="AH319" s="2" t="s">
        <v>2405</v>
      </c>
      <c r="AI319" s="12" t="str">
        <f t="shared" si="59"/>
        <v>1838</v>
      </c>
      <c r="AK319" s="2" t="s">
        <v>551</v>
      </c>
    </row>
    <row r="320" spans="1:69">
      <c r="A320" s="2" t="s">
        <v>2394</v>
      </c>
      <c r="B320" s="12" t="str">
        <f t="shared" si="50"/>
        <v>CRONJE</v>
      </c>
      <c r="C320" s="12" t="str">
        <f t="shared" si="51"/>
        <v>CRONJE</v>
      </c>
      <c r="D320" s="2" t="s">
        <v>2395</v>
      </c>
      <c r="E320" s="12" t="str">
        <f t="shared" si="52"/>
        <v>Abraham Marthinus</v>
      </c>
      <c r="F320" s="2" t="s">
        <v>2396</v>
      </c>
      <c r="G320" s="12" t="str">
        <f t="shared" si="53"/>
        <v>a1b3c8d1e2</v>
      </c>
      <c r="H320" s="12" t="str">
        <f t="shared" si="54"/>
        <v>CRONJEa1b3c8d1e2</v>
      </c>
      <c r="J320" s="2" t="s">
        <v>2397</v>
      </c>
      <c r="K320" s="12" t="str">
        <f t="shared" si="55"/>
        <v>1815</v>
      </c>
      <c r="L320" s="2" t="s">
        <v>199</v>
      </c>
      <c r="M320" s="2" t="s">
        <v>2398</v>
      </c>
      <c r="N320" s="12" t="str">
        <f t="shared" si="48"/>
        <v>1815</v>
      </c>
      <c r="O320" s="12" t="str">
        <f t="shared" si="49"/>
        <v>1816</v>
      </c>
      <c r="P320" s="2" t="s">
        <v>90</v>
      </c>
      <c r="Q320" s="12" t="str">
        <f t="shared" si="56"/>
        <v>1815</v>
      </c>
      <c r="R320" s="2" t="s">
        <v>2399</v>
      </c>
      <c r="S320" s="12" t="str">
        <f t="shared" si="57"/>
        <v>1875</v>
      </c>
      <c r="T320" s="2" t="s">
        <v>32</v>
      </c>
      <c r="U320" s="2" t="s">
        <v>2400</v>
      </c>
      <c r="V320" s="12" t="str">
        <f t="shared" si="58"/>
        <v>1836</v>
      </c>
      <c r="W320" s="2" t="s">
        <v>2401</v>
      </c>
      <c r="X320" s="2" t="s">
        <v>2402</v>
      </c>
      <c r="Y320" s="2" t="s">
        <v>2403</v>
      </c>
      <c r="AF320" s="2" t="s">
        <v>3726</v>
      </c>
      <c r="AG320" s="2" t="s">
        <v>32</v>
      </c>
      <c r="AH320" s="2" t="s">
        <v>2405</v>
      </c>
      <c r="AI320" s="12" t="str">
        <f t="shared" si="59"/>
        <v>1838</v>
      </c>
      <c r="AK320" s="2" t="s">
        <v>90</v>
      </c>
      <c r="AN320" s="2" t="s">
        <v>1663</v>
      </c>
      <c r="AO320" s="2" t="s">
        <v>670</v>
      </c>
      <c r="AP320" s="2" t="s">
        <v>2404</v>
      </c>
    </row>
    <row r="321" spans="1:69">
      <c r="A321" s="2" t="s">
        <v>2394</v>
      </c>
      <c r="B321" s="12" t="str">
        <f t="shared" si="50"/>
        <v>CRONJE</v>
      </c>
      <c r="C321" s="12" t="str">
        <f t="shared" si="51"/>
        <v>CRONJE</v>
      </c>
      <c r="D321" s="2" t="s">
        <v>2412</v>
      </c>
      <c r="E321" s="12" t="str">
        <f t="shared" si="52"/>
        <v>Carel Pieter</v>
      </c>
      <c r="F321" s="2" t="s">
        <v>2413</v>
      </c>
      <c r="G321" s="12" t="str">
        <f t="shared" si="53"/>
        <v>a1b3c8d1e4</v>
      </c>
      <c r="H321" s="12" t="str">
        <f t="shared" si="54"/>
        <v>CRONJEa1b3c8d1e4</v>
      </c>
      <c r="J321" s="2">
        <v>1819</v>
      </c>
      <c r="K321" s="12" t="str">
        <f t="shared" si="55"/>
        <v>1819</v>
      </c>
      <c r="M321" s="2" t="s">
        <v>2414</v>
      </c>
      <c r="N321" s="12" t="str">
        <f t="shared" si="48"/>
        <v>1819</v>
      </c>
      <c r="O321" s="12" t="str">
        <f t="shared" si="49"/>
        <v>1820</v>
      </c>
      <c r="Q321" s="12" t="str">
        <f t="shared" si="56"/>
        <v>1819</v>
      </c>
      <c r="S321" s="12" t="str">
        <f t="shared" si="57"/>
        <v/>
      </c>
      <c r="V321" s="12" t="str">
        <f t="shared" si="58"/>
        <v/>
      </c>
      <c r="W321" s="2" t="s">
        <v>2415</v>
      </c>
      <c r="X321" s="2" t="s">
        <v>640</v>
      </c>
      <c r="Y321" s="2" t="s">
        <v>2416</v>
      </c>
      <c r="AA321" s="2" t="s">
        <v>2417</v>
      </c>
      <c r="AF321" s="2" t="s">
        <v>3726</v>
      </c>
      <c r="AG321" s="2" t="s">
        <v>32</v>
      </c>
      <c r="AH321" s="2">
        <v>1837</v>
      </c>
      <c r="AI321" s="12" t="str">
        <f t="shared" si="59"/>
        <v>1837</v>
      </c>
      <c r="AK321" s="2" t="s">
        <v>597</v>
      </c>
    </row>
    <row r="322" spans="1:69">
      <c r="A322" s="12" t="s">
        <v>2394</v>
      </c>
      <c r="B322" s="12" t="str">
        <f t="shared" si="50"/>
        <v>CRONJE</v>
      </c>
      <c r="C322" s="12" t="str">
        <f t="shared" si="51"/>
        <v>CRONJE</v>
      </c>
      <c r="D322" s="2" t="s">
        <v>455</v>
      </c>
      <c r="E322" s="12" t="str">
        <f t="shared" si="52"/>
        <v>Pieter Christiaan</v>
      </c>
      <c r="F322" s="2" t="s">
        <v>2466</v>
      </c>
      <c r="G322" s="12" t="str">
        <f t="shared" si="53"/>
        <v>a1b3c8d1e6</v>
      </c>
      <c r="H322" s="12" t="str">
        <f t="shared" si="54"/>
        <v>CRONJEa1b3c8d1e6</v>
      </c>
      <c r="J322" s="2" t="s">
        <v>2467</v>
      </c>
      <c r="K322" s="12" t="str">
        <f t="shared" si="55"/>
        <v>1825</v>
      </c>
      <c r="L322" s="2" t="s">
        <v>32</v>
      </c>
      <c r="M322" s="2" t="s">
        <v>2468</v>
      </c>
      <c r="N322" s="12" t="str">
        <f t="shared" ref="N322:N385" si="60">RIGHT(J322,4)</f>
        <v>1825</v>
      </c>
      <c r="O322" s="12" t="str">
        <f t="shared" ref="O322:O385" si="61">RIGHT(M322,4)</f>
        <v>1825</v>
      </c>
      <c r="Q322" s="12" t="str">
        <f t="shared" si="56"/>
        <v>1825</v>
      </c>
      <c r="R322" s="2" t="s">
        <v>2469</v>
      </c>
      <c r="S322" s="12" t="str">
        <f t="shared" si="57"/>
        <v>1881</v>
      </c>
      <c r="V322" s="12" t="str">
        <f t="shared" si="58"/>
        <v/>
      </c>
      <c r="W322" s="2" t="s">
        <v>2470</v>
      </c>
      <c r="X322" s="2" t="s">
        <v>2402</v>
      </c>
      <c r="Y322" s="2" t="s">
        <v>2471</v>
      </c>
      <c r="AF322" s="2" t="s">
        <v>3726</v>
      </c>
      <c r="AG322" s="2" t="s">
        <v>32</v>
      </c>
      <c r="AH322" s="2">
        <v>1838</v>
      </c>
      <c r="AI322" s="12" t="str">
        <f t="shared" si="59"/>
        <v>1838</v>
      </c>
      <c r="AK322" s="2" t="s">
        <v>90</v>
      </c>
    </row>
    <row r="323" spans="1:69">
      <c r="A323" s="2" t="s">
        <v>2480</v>
      </c>
      <c r="B323" s="12" t="str">
        <f t="shared" ref="B323:B384" si="62">SUBSTITUTE(A323," ","")</f>
        <v>DANNHAUSER</v>
      </c>
      <c r="C323" s="12" t="str">
        <f t="shared" ref="C323:C384" si="63">TRIM(A323)</f>
        <v>DANNHAUSER</v>
      </c>
      <c r="D323" s="2" t="s">
        <v>2481</v>
      </c>
      <c r="E323" s="12" t="str">
        <f t="shared" ref="E323:E386" si="64">PROPER(D323)</f>
        <v>Thomas Richard</v>
      </c>
      <c r="F323" s="2" t="s">
        <v>2482</v>
      </c>
      <c r="G323" s="12" t="str">
        <f t="shared" ref="G323:G384" si="65">IF(LEFT(F323,1)="b","a1"&amp;F323,F323)</f>
        <v>a1b6</v>
      </c>
      <c r="H323" s="12" t="str">
        <f t="shared" ref="H323:H384" si="66">C323&amp;G323</f>
        <v>DANNHAUSERa1b6</v>
      </c>
      <c r="I323" s="2" t="s">
        <v>32</v>
      </c>
      <c r="J323" s="2" t="s">
        <v>2483</v>
      </c>
      <c r="K323" s="12" t="str">
        <f t="shared" ref="K323:K384" si="67">RIGHT(J323,4)</f>
        <v>1801</v>
      </c>
      <c r="L323" s="2" t="s">
        <v>32</v>
      </c>
      <c r="M323" s="2" t="s">
        <v>2484</v>
      </c>
      <c r="N323" s="12" t="str">
        <f t="shared" si="60"/>
        <v>1801</v>
      </c>
      <c r="O323" s="12" t="str">
        <f t="shared" si="61"/>
        <v>1801</v>
      </c>
      <c r="Q323" s="12" t="str">
        <f t="shared" ref="Q323:Q384" si="68">IF(N323="",O323,N323)</f>
        <v>1801</v>
      </c>
      <c r="S323" s="12" t="str">
        <f t="shared" ref="S323:S384" si="69">RIGHT(R323,4)</f>
        <v/>
      </c>
      <c r="U323" s="2" t="s">
        <v>2485</v>
      </c>
      <c r="V323" s="12" t="str">
        <f t="shared" ref="V323:V384" si="70">RIGHT(U323,4)</f>
        <v>1825</v>
      </c>
      <c r="W323" s="2" t="s">
        <v>2144</v>
      </c>
      <c r="X323" s="2" t="s">
        <v>2486</v>
      </c>
      <c r="Y323" s="2" t="s">
        <v>2487</v>
      </c>
      <c r="AC323" s="2" t="s">
        <v>2488</v>
      </c>
      <c r="AF323" s="2" t="s">
        <v>3727</v>
      </c>
      <c r="AG323" s="2" t="s">
        <v>32</v>
      </c>
      <c r="AH323" s="2" t="s">
        <v>2489</v>
      </c>
      <c r="AI323" s="12" t="str">
        <f t="shared" ref="AI323:AI384" si="71">RIGHT(AH323,4)</f>
        <v>1841</v>
      </c>
      <c r="AK323" s="2" t="s">
        <v>90</v>
      </c>
      <c r="AN323" s="2" t="s">
        <v>2490</v>
      </c>
      <c r="AO323" s="2" t="s">
        <v>696</v>
      </c>
      <c r="AP323" s="2" t="s">
        <v>2491</v>
      </c>
    </row>
    <row r="324" spans="1:69">
      <c r="A324" s="2" t="s">
        <v>777</v>
      </c>
      <c r="B324" s="12" t="str">
        <f t="shared" si="62"/>
        <v>DAVEL</v>
      </c>
      <c r="C324" s="12" t="str">
        <f t="shared" si="63"/>
        <v>DAVEL</v>
      </c>
      <c r="D324" s="2" t="s">
        <v>1268</v>
      </c>
      <c r="E324" s="12" t="str">
        <f t="shared" si="64"/>
        <v>Johannes Christiaan</v>
      </c>
      <c r="F324" s="2" t="s">
        <v>2500</v>
      </c>
      <c r="G324" s="12" t="str">
        <f t="shared" si="65"/>
        <v>a1b3c2</v>
      </c>
      <c r="H324" s="12" t="str">
        <f t="shared" si="66"/>
        <v>DAVELa1b3c2</v>
      </c>
      <c r="K324" s="12" t="str">
        <f t="shared" si="67"/>
        <v/>
      </c>
      <c r="M324" s="2" t="s">
        <v>2501</v>
      </c>
      <c r="N324" s="12" t="str">
        <f t="shared" si="60"/>
        <v/>
      </c>
      <c r="O324" s="12" t="str">
        <f t="shared" si="61"/>
        <v>1782</v>
      </c>
      <c r="Q324" s="12" t="str">
        <f t="shared" si="68"/>
        <v>1782</v>
      </c>
      <c r="S324" s="12" t="str">
        <f t="shared" si="69"/>
        <v/>
      </c>
      <c r="T324" s="2" t="s">
        <v>74</v>
      </c>
      <c r="U324" s="2" t="s">
        <v>2502</v>
      </c>
      <c r="V324" s="12" t="str">
        <f t="shared" si="70"/>
        <v>1806</v>
      </c>
      <c r="W324" s="2" t="s">
        <v>2503</v>
      </c>
      <c r="X324" s="2" t="s">
        <v>667</v>
      </c>
      <c r="AF324" s="2" t="s">
        <v>3724</v>
      </c>
      <c r="AG324" s="2" t="s">
        <v>53</v>
      </c>
      <c r="AH324" s="2">
        <v>1837</v>
      </c>
      <c r="AI324" s="12" t="str">
        <f t="shared" si="71"/>
        <v>1837</v>
      </c>
      <c r="AJ324" s="2" t="s">
        <v>2382</v>
      </c>
      <c r="AK324" s="2" t="s">
        <v>90</v>
      </c>
      <c r="AL324" s="2" t="s">
        <v>74</v>
      </c>
      <c r="AM324" s="2" t="s">
        <v>2504</v>
      </c>
      <c r="AN324" s="2" t="s">
        <v>1800</v>
      </c>
      <c r="AO324" s="2" t="s">
        <v>1961</v>
      </c>
      <c r="AP324" s="2" t="s">
        <v>1672</v>
      </c>
      <c r="BQ324" s="2" t="s">
        <v>2505</v>
      </c>
    </row>
    <row r="325" spans="1:69">
      <c r="A325" s="12" t="s">
        <v>777</v>
      </c>
      <c r="B325" s="12" t="str">
        <f t="shared" si="62"/>
        <v>DAVEL</v>
      </c>
      <c r="C325" s="12" t="str">
        <f t="shared" si="63"/>
        <v>DAVEL</v>
      </c>
      <c r="D325" s="2" t="s">
        <v>2506</v>
      </c>
      <c r="E325" s="12" t="str">
        <f t="shared" si="64"/>
        <v>Johannes Esaias</v>
      </c>
      <c r="F325" s="2" t="s">
        <v>835</v>
      </c>
      <c r="G325" s="12" t="str">
        <f t="shared" si="65"/>
        <v>a1b3c2d1</v>
      </c>
      <c r="H325" s="12" t="str">
        <f t="shared" si="66"/>
        <v>DAVELa1b3c2d1</v>
      </c>
      <c r="J325" s="2" t="s">
        <v>2507</v>
      </c>
      <c r="K325" s="12" t="str">
        <f t="shared" si="67"/>
        <v>1814</v>
      </c>
      <c r="L325" s="2" t="s">
        <v>199</v>
      </c>
      <c r="M325" s="2" t="s">
        <v>2508</v>
      </c>
      <c r="N325" s="12" t="str">
        <f t="shared" si="60"/>
        <v>1814</v>
      </c>
      <c r="O325" s="12" t="str">
        <f t="shared" si="61"/>
        <v>1817</v>
      </c>
      <c r="P325" s="2" t="s">
        <v>2355</v>
      </c>
      <c r="Q325" s="12" t="str">
        <f t="shared" si="68"/>
        <v>1814</v>
      </c>
      <c r="R325" s="2" t="s">
        <v>2509</v>
      </c>
      <c r="S325" s="12" t="str">
        <f t="shared" si="69"/>
        <v>1863</v>
      </c>
      <c r="U325" s="2" t="s">
        <v>2510</v>
      </c>
      <c r="V325" s="12" t="str">
        <f t="shared" si="70"/>
        <v>1834</v>
      </c>
      <c r="W325" s="2" t="s">
        <v>2511</v>
      </c>
      <c r="X325" s="2" t="s">
        <v>2512</v>
      </c>
      <c r="AA325" s="2" t="s">
        <v>2513</v>
      </c>
      <c r="AD325" s="2" t="s">
        <v>2514</v>
      </c>
      <c r="AE325" s="2" t="s">
        <v>2515</v>
      </c>
      <c r="AF325" s="2" t="s">
        <v>3724</v>
      </c>
      <c r="AG325" s="2" t="s">
        <v>53</v>
      </c>
      <c r="AH325" s="2">
        <v>1837</v>
      </c>
      <c r="AI325" s="12" t="str">
        <f t="shared" si="71"/>
        <v>1837</v>
      </c>
      <c r="AJ325" s="2" t="s">
        <v>2382</v>
      </c>
      <c r="AK325" s="2" t="s">
        <v>90</v>
      </c>
    </row>
    <row r="326" spans="1:69">
      <c r="A326" s="2" t="s">
        <v>777</v>
      </c>
      <c r="B326" s="12" t="str">
        <f t="shared" si="62"/>
        <v>DAVEL</v>
      </c>
      <c r="C326" s="12" t="str">
        <f t="shared" si="63"/>
        <v>DAVEL</v>
      </c>
      <c r="D326" s="2" t="s">
        <v>2492</v>
      </c>
      <c r="E326" s="12" t="str">
        <f t="shared" si="64"/>
        <v>Johannes Abraham Hendrik</v>
      </c>
      <c r="F326" s="2" t="s">
        <v>1236</v>
      </c>
      <c r="G326" s="12" t="str">
        <f t="shared" si="65"/>
        <v>a1b3c2d3</v>
      </c>
      <c r="H326" s="12" t="str">
        <f t="shared" si="66"/>
        <v>DAVELa1b3c2d3</v>
      </c>
      <c r="J326" s="2" t="s">
        <v>2493</v>
      </c>
      <c r="K326" s="12" t="str">
        <f t="shared" si="67"/>
        <v>1817</v>
      </c>
      <c r="L326" s="2" t="s">
        <v>53</v>
      </c>
      <c r="M326" s="2" t="s">
        <v>2494</v>
      </c>
      <c r="N326" s="12" t="str">
        <f t="shared" si="60"/>
        <v>1817</v>
      </c>
      <c r="O326" s="12" t="str">
        <f t="shared" si="61"/>
        <v>1818</v>
      </c>
      <c r="Q326" s="12" t="str">
        <f t="shared" si="68"/>
        <v>1817</v>
      </c>
      <c r="S326" s="12" t="str">
        <f t="shared" si="69"/>
        <v/>
      </c>
      <c r="U326" s="2" t="s">
        <v>2495</v>
      </c>
      <c r="V326" s="12" t="str">
        <f t="shared" si="70"/>
        <v>1834</v>
      </c>
      <c r="W326" s="2" t="s">
        <v>2462</v>
      </c>
      <c r="X326" s="2" t="s">
        <v>2496</v>
      </c>
      <c r="Y326" s="2" t="s">
        <v>2497</v>
      </c>
      <c r="AH326" s="2">
        <v>1837</v>
      </c>
      <c r="AI326" s="12" t="str">
        <f t="shared" si="71"/>
        <v>1837</v>
      </c>
      <c r="AM326" s="2" t="s">
        <v>2498</v>
      </c>
      <c r="AN326" s="2" t="s">
        <v>2499</v>
      </c>
      <c r="AO326" s="2" t="s">
        <v>822</v>
      </c>
    </row>
    <row r="327" spans="1:69">
      <c r="A327" s="2" t="s">
        <v>777</v>
      </c>
      <c r="B327" s="12" t="str">
        <f t="shared" si="62"/>
        <v>DAVEL</v>
      </c>
      <c r="C327" s="12" t="str">
        <f t="shared" si="63"/>
        <v>DAVEL</v>
      </c>
      <c r="D327" s="2" t="s">
        <v>2516</v>
      </c>
      <c r="E327" s="12" t="str">
        <f t="shared" si="64"/>
        <v>Willem Johannes Izak</v>
      </c>
      <c r="F327" s="2" t="s">
        <v>2517</v>
      </c>
      <c r="G327" s="12" t="str">
        <f t="shared" si="65"/>
        <v>a1b3c2d4</v>
      </c>
      <c r="H327" s="12" t="str">
        <f t="shared" si="66"/>
        <v>DAVELa1b3c2d4</v>
      </c>
      <c r="J327" s="2" t="s">
        <v>2518</v>
      </c>
      <c r="K327" s="12" t="str">
        <f t="shared" si="67"/>
        <v>1820</v>
      </c>
      <c r="L327" s="2" t="s">
        <v>53</v>
      </c>
      <c r="M327" s="2" t="s">
        <v>2519</v>
      </c>
      <c r="N327" s="12" t="str">
        <f t="shared" si="60"/>
        <v>1820</v>
      </c>
      <c r="O327" s="12" t="str">
        <f t="shared" si="61"/>
        <v>1821</v>
      </c>
      <c r="P327" s="2" t="s">
        <v>2520</v>
      </c>
      <c r="Q327" s="12" t="str">
        <f t="shared" si="68"/>
        <v>1820</v>
      </c>
      <c r="R327" s="2" t="s">
        <v>2521</v>
      </c>
      <c r="S327" s="12" t="str">
        <f t="shared" si="69"/>
        <v>1874</v>
      </c>
      <c r="V327" s="12" t="str">
        <f t="shared" si="70"/>
        <v/>
      </c>
      <c r="W327" s="2" t="s">
        <v>2522</v>
      </c>
      <c r="X327" s="2" t="s">
        <v>2410</v>
      </c>
      <c r="Y327" s="2" t="s">
        <v>2523</v>
      </c>
      <c r="AA327" s="2" t="s">
        <v>2524</v>
      </c>
      <c r="AB327" s="2" t="s">
        <v>32</v>
      </c>
      <c r="AC327" s="2" t="s">
        <v>2525</v>
      </c>
      <c r="AF327" s="2" t="s">
        <v>3724</v>
      </c>
      <c r="AG327" s="2" t="s">
        <v>53</v>
      </c>
      <c r="AH327" s="2">
        <v>1837</v>
      </c>
      <c r="AI327" s="12" t="str">
        <f t="shared" si="71"/>
        <v>1837</v>
      </c>
      <c r="AJ327" s="2" t="s">
        <v>2382</v>
      </c>
    </row>
    <row r="328" spans="1:69">
      <c r="A328" s="12" t="s">
        <v>776</v>
      </c>
      <c r="B328" s="12" t="str">
        <f t="shared" si="62"/>
        <v>DEBEER</v>
      </c>
      <c r="C328" s="12" t="str">
        <f t="shared" si="63"/>
        <v>DE BEER</v>
      </c>
      <c r="D328" s="2" t="s">
        <v>2657</v>
      </c>
      <c r="E328" s="12" t="str">
        <f t="shared" si="64"/>
        <v>Matthys Adam</v>
      </c>
      <c r="F328" s="2" t="s">
        <v>2658</v>
      </c>
      <c r="G328" s="12" t="str">
        <f t="shared" si="65"/>
        <v>a1b9c5</v>
      </c>
      <c r="H328" s="12" t="str">
        <f t="shared" si="66"/>
        <v>DE BEERa1b9c5</v>
      </c>
      <c r="K328" s="12" t="str">
        <f t="shared" si="67"/>
        <v/>
      </c>
      <c r="M328" s="2" t="s">
        <v>2659</v>
      </c>
      <c r="N328" s="12" t="str">
        <f t="shared" si="60"/>
        <v/>
      </c>
      <c r="O328" s="12" t="str">
        <f t="shared" si="61"/>
        <v>1766</v>
      </c>
      <c r="P328" s="2" t="s">
        <v>71</v>
      </c>
      <c r="Q328" s="12" t="str">
        <f t="shared" si="68"/>
        <v>1766</v>
      </c>
      <c r="R328" s="2" t="s">
        <v>72</v>
      </c>
      <c r="S328" s="12" t="str">
        <f t="shared" si="69"/>
        <v>1838</v>
      </c>
      <c r="V328" s="12" t="str">
        <f t="shared" si="70"/>
        <v/>
      </c>
      <c r="W328" s="2" t="s">
        <v>2660</v>
      </c>
      <c r="X328" s="2" t="s">
        <v>1985</v>
      </c>
      <c r="AF328" s="2" t="s">
        <v>3728</v>
      </c>
      <c r="AG328" s="2" t="s">
        <v>346</v>
      </c>
      <c r="AH328" s="2" t="s">
        <v>1542</v>
      </c>
      <c r="AI328" s="12" t="str">
        <f t="shared" si="71"/>
        <v>1837</v>
      </c>
      <c r="AJ328" s="2" t="s">
        <v>1502</v>
      </c>
    </row>
    <row r="329" spans="1:69">
      <c r="A329" s="2" t="s">
        <v>776</v>
      </c>
      <c r="B329" s="12" t="str">
        <f t="shared" si="62"/>
        <v>DEBEER</v>
      </c>
      <c r="C329" s="12" t="str">
        <f t="shared" si="63"/>
        <v>DE BEER</v>
      </c>
      <c r="D329" s="2" t="s">
        <v>2722</v>
      </c>
      <c r="E329" s="12" t="str">
        <f t="shared" si="64"/>
        <v>Zacharias Johannes</v>
      </c>
      <c r="F329" s="2" t="s">
        <v>2725</v>
      </c>
      <c r="G329" s="12" t="str">
        <f t="shared" si="65"/>
        <v>a2b5c11d1</v>
      </c>
      <c r="H329" s="12" t="str">
        <f t="shared" si="66"/>
        <v>DE BEERa2b5c11d1</v>
      </c>
      <c r="K329" s="12" t="str">
        <f t="shared" si="67"/>
        <v/>
      </c>
      <c r="M329" s="2" t="s">
        <v>2726</v>
      </c>
      <c r="N329" s="12" t="str">
        <f t="shared" si="60"/>
        <v/>
      </c>
      <c r="O329" s="12" t="str">
        <f t="shared" si="61"/>
        <v>1788</v>
      </c>
      <c r="Q329" s="12" t="str">
        <f t="shared" si="68"/>
        <v>1788</v>
      </c>
      <c r="S329" s="12" t="str">
        <f t="shared" si="69"/>
        <v/>
      </c>
      <c r="T329" s="2" t="s">
        <v>74</v>
      </c>
      <c r="U329" s="2" t="s">
        <v>2727</v>
      </c>
      <c r="V329" s="12" t="str">
        <f t="shared" si="70"/>
        <v>1815</v>
      </c>
      <c r="W329" s="2" t="s">
        <v>2728</v>
      </c>
      <c r="X329" s="2" t="s">
        <v>663</v>
      </c>
      <c r="AG329" s="2" t="s">
        <v>68</v>
      </c>
      <c r="AH329" s="2" t="s">
        <v>2729</v>
      </c>
      <c r="AI329" s="12" t="str">
        <f t="shared" si="71"/>
        <v>1840</v>
      </c>
      <c r="AK329" s="2" t="s">
        <v>140</v>
      </c>
      <c r="AM329" s="2" t="s">
        <v>2730</v>
      </c>
      <c r="AN329" s="2" t="s">
        <v>1076</v>
      </c>
      <c r="AO329" s="2" t="s">
        <v>2731</v>
      </c>
      <c r="AT329" s="2" t="s">
        <v>2732</v>
      </c>
    </row>
    <row r="330" spans="1:69">
      <c r="A330" s="2" t="s">
        <v>776</v>
      </c>
      <c r="B330" s="12" t="str">
        <f t="shared" si="62"/>
        <v>DEBEER</v>
      </c>
      <c r="C330" s="12" t="str">
        <f t="shared" si="63"/>
        <v>DE BEER</v>
      </c>
      <c r="D330" s="2" t="s">
        <v>2722</v>
      </c>
      <c r="E330" s="12" t="str">
        <f t="shared" si="64"/>
        <v>Zacharias Johannes</v>
      </c>
      <c r="F330" s="2" t="s">
        <v>2723</v>
      </c>
      <c r="G330" s="12" t="str">
        <f t="shared" si="65"/>
        <v>a2b5c13d4</v>
      </c>
      <c r="H330" s="12" t="str">
        <f t="shared" si="66"/>
        <v>DE BEERa2b5c13d4</v>
      </c>
      <c r="J330" s="2" t="s">
        <v>2840</v>
      </c>
      <c r="K330" s="12" t="str">
        <f t="shared" si="67"/>
        <v>1801</v>
      </c>
      <c r="M330" s="2" t="s">
        <v>2733</v>
      </c>
      <c r="N330" s="12" t="str">
        <f t="shared" si="60"/>
        <v>1801</v>
      </c>
      <c r="O330" s="12" t="str">
        <f t="shared" si="61"/>
        <v>1800</v>
      </c>
      <c r="Q330" s="12" t="str">
        <f t="shared" si="68"/>
        <v>1801</v>
      </c>
      <c r="S330" s="12" t="str">
        <f t="shared" si="69"/>
        <v/>
      </c>
      <c r="T330" s="2" t="s">
        <v>366</v>
      </c>
      <c r="U330" s="2" t="s">
        <v>2734</v>
      </c>
      <c r="V330" s="12" t="str">
        <f t="shared" si="70"/>
        <v>1822</v>
      </c>
      <c r="W330" s="2" t="s">
        <v>2735</v>
      </c>
      <c r="X330" s="2" t="s">
        <v>2086</v>
      </c>
      <c r="Y330" s="2" t="s">
        <v>2736</v>
      </c>
      <c r="AC330" s="2" t="s">
        <v>2737</v>
      </c>
      <c r="AF330" s="2" t="s">
        <v>3714</v>
      </c>
      <c r="AG330" s="2" t="s">
        <v>68</v>
      </c>
      <c r="AH330" s="2" t="s">
        <v>2738</v>
      </c>
      <c r="AI330" s="12" t="str">
        <f t="shared" si="71"/>
        <v>1836</v>
      </c>
      <c r="AJ330" s="2" t="s">
        <v>379</v>
      </c>
      <c r="AK330" s="2" t="s">
        <v>140</v>
      </c>
    </row>
    <row r="331" spans="1:69">
      <c r="A331" s="2" t="s">
        <v>776</v>
      </c>
      <c r="B331" s="12" t="str">
        <f t="shared" si="62"/>
        <v>DEBEER</v>
      </c>
      <c r="C331" s="12" t="str">
        <f t="shared" si="63"/>
        <v>DE BEER</v>
      </c>
      <c r="D331" s="2" t="s">
        <v>2661</v>
      </c>
      <c r="E331" s="12" t="str">
        <f t="shared" si="64"/>
        <v>Matthys Andries</v>
      </c>
      <c r="F331" s="2" t="s">
        <v>2724</v>
      </c>
      <c r="G331" s="12" t="str">
        <f t="shared" si="65"/>
        <v>a2b5c13d7</v>
      </c>
      <c r="H331" s="12" t="str">
        <f t="shared" si="66"/>
        <v>DE BEERa2b5c13d7</v>
      </c>
      <c r="K331" s="12" t="str">
        <f t="shared" si="67"/>
        <v/>
      </c>
      <c r="M331" s="2" t="s">
        <v>2662</v>
      </c>
      <c r="N331" s="12" t="str">
        <f t="shared" si="60"/>
        <v/>
      </c>
      <c r="O331" s="12" t="str">
        <f t="shared" si="61"/>
        <v>1807</v>
      </c>
      <c r="Q331" s="12" t="str">
        <f t="shared" si="68"/>
        <v>1807</v>
      </c>
      <c r="S331" s="12" t="str">
        <f t="shared" si="69"/>
        <v/>
      </c>
      <c r="T331" s="2" t="s">
        <v>366</v>
      </c>
      <c r="U331" s="2" t="s">
        <v>2663</v>
      </c>
      <c r="V331" s="12" t="str">
        <f t="shared" si="70"/>
        <v>1829</v>
      </c>
      <c r="W331" s="2" t="s">
        <v>712</v>
      </c>
      <c r="X331" s="2" t="s">
        <v>20</v>
      </c>
      <c r="AG331" s="2" t="s">
        <v>366</v>
      </c>
      <c r="AH331" s="2">
        <v>1837</v>
      </c>
      <c r="AI331" s="12" t="str">
        <f t="shared" si="71"/>
        <v>1837</v>
      </c>
    </row>
    <row r="332" spans="1:69">
      <c r="A332" s="2" t="s">
        <v>776</v>
      </c>
      <c r="B332" s="12" t="str">
        <f t="shared" si="62"/>
        <v>DEBEER</v>
      </c>
      <c r="C332" s="12" t="str">
        <f t="shared" si="63"/>
        <v>DE BEER</v>
      </c>
      <c r="D332" s="2" t="s">
        <v>143</v>
      </c>
      <c r="E332" s="12" t="str">
        <f t="shared" si="64"/>
        <v>Hendrik Johannes</v>
      </c>
      <c r="F332" s="2" t="s">
        <v>2805</v>
      </c>
      <c r="G332" s="12" t="str">
        <f t="shared" si="65"/>
        <v>a2b5c4d5e5</v>
      </c>
      <c r="H332" s="12" t="str">
        <f t="shared" si="66"/>
        <v>DE BEERa2b5c4d5e5</v>
      </c>
      <c r="J332" s="2" t="s">
        <v>2806</v>
      </c>
      <c r="K332" s="12" t="str">
        <f t="shared" si="67"/>
        <v>1816</v>
      </c>
      <c r="L332" s="2" t="s">
        <v>74</v>
      </c>
      <c r="M332" s="2" t="s">
        <v>1780</v>
      </c>
      <c r="N332" s="12" t="str">
        <f t="shared" si="60"/>
        <v>1816</v>
      </c>
      <c r="O332" s="12" t="str">
        <f t="shared" si="61"/>
        <v>1816</v>
      </c>
      <c r="Q332" s="12" t="str">
        <f t="shared" si="68"/>
        <v>1816</v>
      </c>
      <c r="S332" s="12" t="str">
        <f t="shared" si="69"/>
        <v/>
      </c>
      <c r="T332" s="2" t="s">
        <v>28</v>
      </c>
      <c r="U332" s="2" t="s">
        <v>1981</v>
      </c>
      <c r="V332" s="12" t="str">
        <f t="shared" si="70"/>
        <v>1836</v>
      </c>
      <c r="W332" s="2" t="s">
        <v>802</v>
      </c>
      <c r="X332" s="2" t="s">
        <v>2250</v>
      </c>
      <c r="AF332" s="2" t="s">
        <v>3699</v>
      </c>
      <c r="AG332" s="2" t="s">
        <v>68</v>
      </c>
      <c r="AH332" s="2">
        <v>1837</v>
      </c>
      <c r="AI332" s="12" t="str">
        <f t="shared" si="71"/>
        <v>1837</v>
      </c>
      <c r="AK332" s="2" t="s">
        <v>551</v>
      </c>
    </row>
    <row r="333" spans="1:69">
      <c r="A333" s="2" t="s">
        <v>776</v>
      </c>
      <c r="B333" s="12" t="str">
        <f t="shared" si="62"/>
        <v>DEBEER</v>
      </c>
      <c r="C333" s="12" t="str">
        <f t="shared" si="63"/>
        <v>DE BEER</v>
      </c>
      <c r="D333" s="2" t="s">
        <v>2533</v>
      </c>
      <c r="E333" s="12" t="str">
        <f t="shared" si="64"/>
        <v>Adriaan Carel</v>
      </c>
      <c r="F333" s="2" t="s">
        <v>2534</v>
      </c>
      <c r="G333" s="12" t="str">
        <f t="shared" si="65"/>
        <v>a2b5c4d8</v>
      </c>
      <c r="H333" s="12" t="str">
        <f t="shared" si="66"/>
        <v>DE BEERa2b5c4d8</v>
      </c>
      <c r="K333" s="12" t="str">
        <f t="shared" si="67"/>
        <v/>
      </c>
      <c r="M333" s="2" t="s">
        <v>2535</v>
      </c>
      <c r="N333" s="12" t="str">
        <f t="shared" si="60"/>
        <v/>
      </c>
      <c r="O333" s="12" t="str">
        <f t="shared" si="61"/>
        <v>1784</v>
      </c>
      <c r="Q333" s="12" t="str">
        <f t="shared" si="68"/>
        <v>1784</v>
      </c>
      <c r="S333" s="12" t="str">
        <f t="shared" si="69"/>
        <v/>
      </c>
      <c r="T333" s="2" t="s">
        <v>74</v>
      </c>
      <c r="U333" s="2" t="s">
        <v>2536</v>
      </c>
      <c r="V333" s="12" t="str">
        <f t="shared" si="70"/>
        <v>1810</v>
      </c>
      <c r="W333" s="2" t="s">
        <v>2537</v>
      </c>
      <c r="X333" s="2" t="s">
        <v>655</v>
      </c>
      <c r="Y333" s="2" t="s">
        <v>2538</v>
      </c>
      <c r="AF333" s="2" t="s">
        <v>3699</v>
      </c>
      <c r="AG333" s="2" t="s">
        <v>68</v>
      </c>
      <c r="AH333" s="2">
        <v>1836</v>
      </c>
      <c r="AI333" s="12" t="str">
        <f t="shared" si="71"/>
        <v>1836</v>
      </c>
      <c r="AL333" s="2" t="s">
        <v>28</v>
      </c>
      <c r="AM333" s="2" t="s">
        <v>2539</v>
      </c>
      <c r="AN333" s="2" t="s">
        <v>2540</v>
      </c>
      <c r="AO333" s="2" t="s">
        <v>2541</v>
      </c>
      <c r="AP333" s="2" t="s">
        <v>2542</v>
      </c>
      <c r="AT333" s="2" t="s">
        <v>22</v>
      </c>
    </row>
    <row r="334" spans="1:69">
      <c r="A334" s="2" t="s">
        <v>776</v>
      </c>
      <c r="B334" s="12" t="str">
        <f t="shared" si="62"/>
        <v>DEBEER</v>
      </c>
      <c r="C334" s="12" t="str">
        <f t="shared" si="63"/>
        <v>DE BEER</v>
      </c>
      <c r="D334" s="2" t="s">
        <v>2629</v>
      </c>
      <c r="E334" s="12" t="str">
        <f t="shared" si="64"/>
        <v>Johannes Frederik</v>
      </c>
      <c r="F334" s="2" t="s">
        <v>2630</v>
      </c>
      <c r="G334" s="12" t="str">
        <f t="shared" si="65"/>
        <v>a2b5c4d8e2</v>
      </c>
      <c r="H334" s="12" t="str">
        <f t="shared" si="66"/>
        <v>DE BEERa2b5c4d8e2</v>
      </c>
      <c r="J334" s="2" t="s">
        <v>2631</v>
      </c>
      <c r="K334" s="12" t="str">
        <f t="shared" si="67"/>
        <v>1814</v>
      </c>
      <c r="L334" s="2" t="s">
        <v>74</v>
      </c>
      <c r="M334" s="2" t="s">
        <v>2632</v>
      </c>
      <c r="N334" s="12" t="str">
        <f t="shared" si="60"/>
        <v>1814</v>
      </c>
      <c r="O334" s="12" t="str">
        <f t="shared" si="61"/>
        <v>1814</v>
      </c>
      <c r="Q334" s="12" t="str">
        <f t="shared" si="68"/>
        <v>1814</v>
      </c>
      <c r="S334" s="12" t="str">
        <f t="shared" si="69"/>
        <v/>
      </c>
      <c r="U334" s="2" t="s">
        <v>2633</v>
      </c>
      <c r="V334" s="12" t="str">
        <f t="shared" si="70"/>
        <v>1838</v>
      </c>
      <c r="W334" s="2" t="s">
        <v>2351</v>
      </c>
      <c r="X334" s="2" t="s">
        <v>2106</v>
      </c>
      <c r="Y334" s="2" t="s">
        <v>2635</v>
      </c>
      <c r="AA334" s="2">
        <v>1814</v>
      </c>
      <c r="AG334" s="2" t="s">
        <v>68</v>
      </c>
      <c r="AH334" s="2">
        <v>1836</v>
      </c>
      <c r="AI334" s="12" t="str">
        <f t="shared" si="71"/>
        <v>1836</v>
      </c>
      <c r="AJ334" s="2" t="s">
        <v>2271</v>
      </c>
      <c r="AL334" s="2" t="s">
        <v>140</v>
      </c>
      <c r="AM334" s="2" t="s">
        <v>2636</v>
      </c>
      <c r="AN334" s="2" t="s">
        <v>793</v>
      </c>
      <c r="AO334" s="2" t="s">
        <v>2363</v>
      </c>
      <c r="AR334" s="2">
        <v>1816</v>
      </c>
    </row>
    <row r="335" spans="1:69">
      <c r="A335" s="2" t="s">
        <v>776</v>
      </c>
      <c r="B335" s="12" t="str">
        <f t="shared" si="62"/>
        <v>DEBEER</v>
      </c>
      <c r="C335" s="12" t="str">
        <f t="shared" si="63"/>
        <v>DE BEER</v>
      </c>
      <c r="D335" s="2" t="s">
        <v>2843</v>
      </c>
      <c r="E335" s="12" t="str">
        <f t="shared" si="64"/>
        <v>Zacharias Christiaan Sr</v>
      </c>
      <c r="F335" s="2" t="s">
        <v>2704</v>
      </c>
      <c r="G335" s="12" t="str">
        <f t="shared" si="65"/>
        <v>a2b5c7d1</v>
      </c>
      <c r="H335" s="12" t="str">
        <f t="shared" si="66"/>
        <v>DE BEERa2b5c7d1</v>
      </c>
      <c r="K335" s="12" t="str">
        <f t="shared" si="67"/>
        <v/>
      </c>
      <c r="L335" s="2" t="s">
        <v>48</v>
      </c>
      <c r="M335" s="2" t="s">
        <v>2705</v>
      </c>
      <c r="N335" s="12" t="str">
        <f t="shared" si="60"/>
        <v/>
      </c>
      <c r="O335" s="12" t="str">
        <f t="shared" si="61"/>
        <v>1779</v>
      </c>
      <c r="Q335" s="12" t="str">
        <f t="shared" si="68"/>
        <v>1779</v>
      </c>
      <c r="S335" s="12" t="str">
        <f t="shared" si="69"/>
        <v/>
      </c>
      <c r="U335" s="2" t="s">
        <v>1572</v>
      </c>
      <c r="V335" s="12" t="str">
        <f t="shared" si="70"/>
        <v>1801</v>
      </c>
      <c r="W335" s="2" t="s">
        <v>2706</v>
      </c>
      <c r="X335" s="2" t="s">
        <v>669</v>
      </c>
      <c r="Y335" s="2" t="s">
        <v>2707</v>
      </c>
      <c r="AA335" s="2" t="s">
        <v>2844</v>
      </c>
      <c r="AF335" s="2" t="s">
        <v>3709</v>
      </c>
      <c r="AG335" s="2" t="s">
        <v>68</v>
      </c>
      <c r="AH335" s="2" t="s">
        <v>503</v>
      </c>
      <c r="AI335" s="12" t="str">
        <f t="shared" si="71"/>
        <v>1837</v>
      </c>
      <c r="AJ335" s="2" t="s">
        <v>277</v>
      </c>
      <c r="AL335" s="2" t="s">
        <v>28</v>
      </c>
      <c r="AM335" s="2" t="s">
        <v>2708</v>
      </c>
      <c r="AN335" s="2" t="s">
        <v>1982</v>
      </c>
      <c r="AO335" s="2" t="s">
        <v>696</v>
      </c>
      <c r="AP335" s="2" t="s">
        <v>2709</v>
      </c>
    </row>
    <row r="336" spans="1:69">
      <c r="A336" s="2" t="s">
        <v>776</v>
      </c>
      <c r="B336" s="12" t="str">
        <f t="shared" si="62"/>
        <v>DEBEER</v>
      </c>
      <c r="C336" s="12" t="str">
        <f t="shared" si="63"/>
        <v>DE BEER</v>
      </c>
      <c r="D336" s="2" t="s">
        <v>2839</v>
      </c>
      <c r="E336" s="12" t="str">
        <f t="shared" si="64"/>
        <v>Zacharias Christiaan Jr</v>
      </c>
      <c r="F336" s="2" t="s">
        <v>2710</v>
      </c>
      <c r="G336" s="12" t="str">
        <f t="shared" si="65"/>
        <v>a2b5c7d1e4</v>
      </c>
      <c r="H336" s="12" t="str">
        <f t="shared" si="66"/>
        <v>DE BEERa2b5c7d1e4</v>
      </c>
      <c r="K336" s="12" t="str">
        <f t="shared" si="67"/>
        <v/>
      </c>
      <c r="M336" s="2" t="s">
        <v>2838</v>
      </c>
      <c r="N336" s="12" t="str">
        <f t="shared" si="60"/>
        <v/>
      </c>
      <c r="O336" s="12" t="str">
        <f t="shared" si="61"/>
        <v>1807</v>
      </c>
      <c r="Q336" s="12" t="str">
        <f t="shared" si="68"/>
        <v>1807</v>
      </c>
      <c r="S336" s="12" t="str">
        <f t="shared" si="69"/>
        <v/>
      </c>
      <c r="T336" s="2" t="s">
        <v>28</v>
      </c>
      <c r="U336" s="2" t="s">
        <v>2711</v>
      </c>
      <c r="V336" s="12" t="str">
        <f t="shared" si="70"/>
        <v>/825</v>
      </c>
      <c r="W336" s="2" t="s">
        <v>692</v>
      </c>
      <c r="X336" s="2" t="s">
        <v>2138</v>
      </c>
      <c r="Y336" s="2" t="s">
        <v>2712</v>
      </c>
      <c r="AA336" s="2" t="s">
        <v>2713</v>
      </c>
      <c r="AB336" s="2" t="s">
        <v>74</v>
      </c>
      <c r="AC336" s="2" t="s">
        <v>2714</v>
      </c>
      <c r="AF336" s="2" t="s">
        <v>3709</v>
      </c>
      <c r="AG336" s="2" t="s">
        <v>68</v>
      </c>
      <c r="AH336" s="2" t="s">
        <v>503</v>
      </c>
      <c r="AI336" s="12" t="str">
        <f t="shared" si="71"/>
        <v>1837</v>
      </c>
      <c r="AJ336" s="2" t="s">
        <v>277</v>
      </c>
      <c r="AK336" s="2" t="s">
        <v>2625</v>
      </c>
    </row>
    <row r="337" spans="1:59">
      <c r="A337" s="12" t="s">
        <v>776</v>
      </c>
      <c r="B337" s="12" t="str">
        <f t="shared" si="62"/>
        <v>DEBEER</v>
      </c>
      <c r="C337" s="12" t="str">
        <f t="shared" si="63"/>
        <v>DE BEER</v>
      </c>
      <c r="D337" s="2" t="s">
        <v>1268</v>
      </c>
      <c r="E337" s="12" t="str">
        <f t="shared" si="64"/>
        <v>Johannes Christiaan</v>
      </c>
      <c r="F337" s="2" t="s">
        <v>2623</v>
      </c>
      <c r="G337" s="12" t="str">
        <f t="shared" si="65"/>
        <v>a2b5c7d1e8</v>
      </c>
      <c r="H337" s="12" t="str">
        <f t="shared" si="66"/>
        <v>DE BEERa2b5c7d1e8</v>
      </c>
      <c r="J337" s="2" t="s">
        <v>2622</v>
      </c>
      <c r="K337" s="12" t="str">
        <f t="shared" si="67"/>
        <v>1816</v>
      </c>
      <c r="L337" s="2" t="s">
        <v>28</v>
      </c>
      <c r="M337" s="2" t="s">
        <v>2624</v>
      </c>
      <c r="N337" s="12" t="str">
        <f t="shared" si="60"/>
        <v>1816</v>
      </c>
      <c r="O337" s="12" t="str">
        <f t="shared" si="61"/>
        <v>1811</v>
      </c>
      <c r="P337" s="2" t="s">
        <v>2625</v>
      </c>
      <c r="Q337" s="12" t="str">
        <f t="shared" si="68"/>
        <v>1816</v>
      </c>
      <c r="R337" s="2" t="s">
        <v>2815</v>
      </c>
      <c r="S337" s="12" t="str">
        <f t="shared" si="69"/>
        <v>1876</v>
      </c>
      <c r="V337" s="12" t="str">
        <f t="shared" si="70"/>
        <v/>
      </c>
      <c r="W337" s="2" t="s">
        <v>1516</v>
      </c>
      <c r="X337" s="2" t="s">
        <v>1453</v>
      </c>
      <c r="AA337" s="2" t="s">
        <v>2816</v>
      </c>
      <c r="AG337" s="2" t="s">
        <v>68</v>
      </c>
      <c r="AH337" s="2">
        <v>1837</v>
      </c>
      <c r="AI337" s="12" t="str">
        <f t="shared" si="71"/>
        <v>1837</v>
      </c>
      <c r="AJ337" s="2" t="s">
        <v>277</v>
      </c>
      <c r="AK337" s="2" t="s">
        <v>140</v>
      </c>
    </row>
    <row r="338" spans="1:59">
      <c r="A338" s="2" t="s">
        <v>776</v>
      </c>
      <c r="B338" s="12" t="str">
        <f t="shared" si="62"/>
        <v>DEBEER</v>
      </c>
      <c r="C338" s="12" t="str">
        <f t="shared" si="63"/>
        <v>DE BEER</v>
      </c>
      <c r="D338" s="2" t="s">
        <v>2586</v>
      </c>
      <c r="E338" s="12" t="str">
        <f t="shared" si="64"/>
        <v>Hendrik Stephanus</v>
      </c>
      <c r="F338" s="2" t="s">
        <v>2587</v>
      </c>
      <c r="G338" s="12" t="str">
        <f t="shared" si="65"/>
        <v>a2b5c7d1e9</v>
      </c>
      <c r="H338" s="12" t="str">
        <f t="shared" si="66"/>
        <v>DE BEERa2b5c7d1e9</v>
      </c>
      <c r="K338" s="12" t="str">
        <f t="shared" si="67"/>
        <v/>
      </c>
      <c r="N338" s="12" t="str">
        <f t="shared" si="60"/>
        <v/>
      </c>
      <c r="O338" s="12" t="str">
        <f t="shared" si="61"/>
        <v/>
      </c>
      <c r="Q338" s="12" t="str">
        <f t="shared" si="68"/>
        <v/>
      </c>
      <c r="S338" s="12" t="str">
        <f t="shared" si="69"/>
        <v/>
      </c>
      <c r="T338" s="2" t="s">
        <v>28</v>
      </c>
      <c r="U338" s="2" t="s">
        <v>1745</v>
      </c>
      <c r="V338" s="12" t="str">
        <f t="shared" si="70"/>
        <v>1838</v>
      </c>
      <c r="W338" s="2" t="s">
        <v>2588</v>
      </c>
      <c r="X338" s="2" t="s">
        <v>2589</v>
      </c>
      <c r="Y338" s="2" t="s">
        <v>2590</v>
      </c>
      <c r="AF338" s="2" t="s">
        <v>3709</v>
      </c>
      <c r="AG338" s="2" t="s">
        <v>68</v>
      </c>
      <c r="AH338" s="2">
        <v>1837</v>
      </c>
      <c r="AI338" s="12" t="str">
        <f t="shared" si="71"/>
        <v>1837</v>
      </c>
      <c r="AN338" s="2" t="s">
        <v>2591</v>
      </c>
      <c r="AO338" s="2" t="s">
        <v>295</v>
      </c>
      <c r="AP338" s="2" t="s">
        <v>2592</v>
      </c>
    </row>
    <row r="339" spans="1:59">
      <c r="A339" s="2" t="s">
        <v>776</v>
      </c>
      <c r="B339" s="12" t="str">
        <f t="shared" si="62"/>
        <v>DEBEER</v>
      </c>
      <c r="C339" s="12" t="str">
        <f t="shared" si="63"/>
        <v>DE BEER</v>
      </c>
      <c r="D339" s="2" t="s">
        <v>2557</v>
      </c>
      <c r="E339" s="12" t="str">
        <f t="shared" si="64"/>
        <v>Christiaan Marthinus Sr</v>
      </c>
      <c r="F339" s="2" t="s">
        <v>2558</v>
      </c>
      <c r="G339" s="12" t="str">
        <f t="shared" si="65"/>
        <v>a2b5c7d3</v>
      </c>
      <c r="H339" s="12" t="str">
        <f t="shared" si="66"/>
        <v>DE BEERa2b5c7d3</v>
      </c>
      <c r="K339" s="12" t="str">
        <f t="shared" si="67"/>
        <v/>
      </c>
      <c r="M339" s="2" t="s">
        <v>2559</v>
      </c>
      <c r="N339" s="12" t="str">
        <f t="shared" si="60"/>
        <v/>
      </c>
      <c r="O339" s="12" t="str">
        <f t="shared" si="61"/>
        <v>1783</v>
      </c>
      <c r="Q339" s="12" t="str">
        <f t="shared" si="68"/>
        <v>1783</v>
      </c>
      <c r="S339" s="12" t="str">
        <f t="shared" si="69"/>
        <v/>
      </c>
      <c r="T339" s="2" t="s">
        <v>542</v>
      </c>
      <c r="U339" s="2" t="s">
        <v>1889</v>
      </c>
      <c r="V339" s="12" t="str">
        <f t="shared" si="70"/>
        <v>1803</v>
      </c>
      <c r="W339" s="2" t="s">
        <v>2560</v>
      </c>
      <c r="X339" s="2" t="s">
        <v>391</v>
      </c>
      <c r="Y339" s="2" t="s">
        <v>2561</v>
      </c>
      <c r="AF339" s="2" t="s">
        <v>3709</v>
      </c>
      <c r="AG339" s="2" t="s">
        <v>68</v>
      </c>
      <c r="AH339" s="2" t="s">
        <v>1357</v>
      </c>
      <c r="AI339" s="12" t="str">
        <f t="shared" si="71"/>
        <v>1837</v>
      </c>
      <c r="AJ339" s="2" t="s">
        <v>1502</v>
      </c>
      <c r="AM339" s="2" t="s">
        <v>2562</v>
      </c>
      <c r="AN339" s="2" t="s">
        <v>2563</v>
      </c>
      <c r="AO339" s="2" t="s">
        <v>2564</v>
      </c>
    </row>
    <row r="340" spans="1:59">
      <c r="A340" s="2" t="s">
        <v>776</v>
      </c>
      <c r="B340" s="12" t="str">
        <f t="shared" si="62"/>
        <v>DEBEER</v>
      </c>
      <c r="C340" s="12" t="str">
        <f t="shared" si="63"/>
        <v>DE BEER</v>
      </c>
      <c r="D340" s="2" t="s">
        <v>2565</v>
      </c>
      <c r="E340" s="12" t="str">
        <f t="shared" si="64"/>
        <v>Christiaan Marthinus Jr</v>
      </c>
      <c r="F340" s="2" t="s">
        <v>2566</v>
      </c>
      <c r="G340" s="12" t="str">
        <f t="shared" si="65"/>
        <v>a2b5c7d3e3</v>
      </c>
      <c r="H340" s="12" t="str">
        <f t="shared" si="66"/>
        <v>DE BEERa2b5c7d3e3</v>
      </c>
      <c r="K340" s="12" t="str">
        <f t="shared" si="67"/>
        <v/>
      </c>
      <c r="M340" s="2" t="s">
        <v>2567</v>
      </c>
      <c r="N340" s="12" t="str">
        <f t="shared" si="60"/>
        <v/>
      </c>
      <c r="O340" s="12" t="str">
        <f t="shared" si="61"/>
        <v>1810</v>
      </c>
      <c r="Q340" s="12" t="str">
        <f t="shared" si="68"/>
        <v>1810</v>
      </c>
      <c r="S340" s="12" t="str">
        <f t="shared" si="69"/>
        <v/>
      </c>
      <c r="T340" s="2" t="s">
        <v>28</v>
      </c>
      <c r="U340" s="2" t="s">
        <v>2568</v>
      </c>
      <c r="V340" s="12" t="str">
        <f t="shared" si="70"/>
        <v>1828</v>
      </c>
      <c r="W340" s="2" t="s">
        <v>2569</v>
      </c>
      <c r="X340" s="2" t="s">
        <v>776</v>
      </c>
      <c r="Y340" s="2" t="s">
        <v>2570</v>
      </c>
      <c r="AC340" s="2" t="s">
        <v>2546</v>
      </c>
      <c r="AF340" s="2" t="s">
        <v>3709</v>
      </c>
      <c r="AG340" s="2" t="s">
        <v>68</v>
      </c>
      <c r="AH340" s="2" t="s">
        <v>1357</v>
      </c>
      <c r="AI340" s="12" t="str">
        <f t="shared" si="71"/>
        <v>1837</v>
      </c>
      <c r="AJ340" s="2" t="s">
        <v>1502</v>
      </c>
      <c r="AL340" s="2" t="s">
        <v>140</v>
      </c>
      <c r="AM340" s="2" t="s">
        <v>2571</v>
      </c>
      <c r="AN340" s="2" t="s">
        <v>2572</v>
      </c>
      <c r="AO340" s="2" t="s">
        <v>625</v>
      </c>
      <c r="AW340" s="2" t="s">
        <v>140</v>
      </c>
      <c r="AX340" s="2" t="s">
        <v>2573</v>
      </c>
      <c r="AY340" s="2" t="s">
        <v>2574</v>
      </c>
      <c r="AZ340" s="2" t="s">
        <v>2575</v>
      </c>
    </row>
    <row r="341" spans="1:59">
      <c r="A341" s="12" t="s">
        <v>776</v>
      </c>
      <c r="B341" s="12" t="str">
        <f t="shared" si="62"/>
        <v>DEBEER</v>
      </c>
      <c r="C341" s="12" t="str">
        <f t="shared" si="63"/>
        <v>DE BEER</v>
      </c>
      <c r="D341" s="2" t="s">
        <v>2615</v>
      </c>
      <c r="E341" s="12" t="str">
        <f t="shared" si="64"/>
        <v>Johan Adam</v>
      </c>
      <c r="F341" s="2" t="s">
        <v>2616</v>
      </c>
      <c r="G341" s="12" t="str">
        <f t="shared" si="65"/>
        <v>a2b5c7d3e5</v>
      </c>
      <c r="H341" s="12" t="str">
        <f t="shared" si="66"/>
        <v>DE BEERa2b5c7d3e5</v>
      </c>
      <c r="J341" s="2" t="s">
        <v>2617</v>
      </c>
      <c r="K341" s="12" t="str">
        <f t="shared" si="67"/>
        <v>1813</v>
      </c>
      <c r="L341" s="2" t="s">
        <v>74</v>
      </c>
      <c r="M341" s="2" t="s">
        <v>2618</v>
      </c>
      <c r="N341" s="12" t="str">
        <f t="shared" si="60"/>
        <v>1813</v>
      </c>
      <c r="O341" s="12" t="str">
        <f t="shared" si="61"/>
        <v>1813</v>
      </c>
      <c r="Q341" s="12" t="str">
        <f t="shared" si="68"/>
        <v>1813</v>
      </c>
      <c r="S341" s="12" t="str">
        <f t="shared" si="69"/>
        <v/>
      </c>
      <c r="T341" s="2" t="s">
        <v>28</v>
      </c>
      <c r="U341" s="2" t="s">
        <v>2619</v>
      </c>
      <c r="V341" s="12" t="str">
        <f t="shared" si="70"/>
        <v>1836</v>
      </c>
      <c r="W341" s="2" t="s">
        <v>2620</v>
      </c>
      <c r="X341" s="2" t="s">
        <v>2621</v>
      </c>
      <c r="AG341" s="2" t="s">
        <v>68</v>
      </c>
      <c r="AH341" s="2" t="s">
        <v>1172</v>
      </c>
      <c r="AI341" s="12" t="str">
        <f t="shared" si="71"/>
        <v>1837</v>
      </c>
      <c r="AK341" s="2" t="s">
        <v>90</v>
      </c>
    </row>
    <row r="342" spans="1:59">
      <c r="A342" s="12" t="s">
        <v>776</v>
      </c>
      <c r="B342" s="12" t="str">
        <f t="shared" si="62"/>
        <v>DEBEER</v>
      </c>
      <c r="C342" s="12" t="str">
        <f t="shared" si="63"/>
        <v>DE BEER</v>
      </c>
      <c r="D342" s="12" t="s">
        <v>2543</v>
      </c>
      <c r="E342" s="12" t="str">
        <f t="shared" si="64"/>
        <v>Arnoldus Stephanus</v>
      </c>
      <c r="F342" s="12" t="s">
        <v>2544</v>
      </c>
      <c r="G342" s="12" t="str">
        <f t="shared" si="65"/>
        <v>a2b5c7d5</v>
      </c>
      <c r="H342" s="12" t="str">
        <f t="shared" si="66"/>
        <v>DE BEERa2b5c7d5</v>
      </c>
      <c r="I342" s="12"/>
      <c r="J342" s="12"/>
      <c r="K342" s="12" t="str">
        <f t="shared" si="67"/>
        <v/>
      </c>
      <c r="L342" s="12"/>
      <c r="M342" s="12" t="s">
        <v>2545</v>
      </c>
      <c r="N342" s="12" t="str">
        <f t="shared" si="60"/>
        <v/>
      </c>
      <c r="O342" s="12" t="str">
        <f t="shared" si="61"/>
        <v>1788</v>
      </c>
      <c r="P342" s="12"/>
      <c r="Q342" s="12" t="str">
        <f t="shared" si="68"/>
        <v>1788</v>
      </c>
      <c r="R342" s="12"/>
      <c r="S342" s="12" t="str">
        <f t="shared" si="69"/>
        <v/>
      </c>
      <c r="T342" s="12" t="s">
        <v>74</v>
      </c>
      <c r="U342" s="12" t="s">
        <v>2546</v>
      </c>
      <c r="V342" s="12" t="str">
        <f t="shared" si="70"/>
        <v>1810</v>
      </c>
      <c r="W342" s="12" t="s">
        <v>624</v>
      </c>
      <c r="X342" s="12" t="s">
        <v>2547</v>
      </c>
      <c r="Y342" s="12"/>
      <c r="Z342" s="12"/>
      <c r="AA342" s="12"/>
      <c r="AB342" s="12"/>
      <c r="AC342" s="12"/>
      <c r="AD342" s="12"/>
      <c r="AE342" s="12"/>
      <c r="AF342" s="12" t="s">
        <v>3706</v>
      </c>
      <c r="AG342" s="12" t="s">
        <v>68</v>
      </c>
      <c r="AH342" s="12" t="s">
        <v>503</v>
      </c>
      <c r="AI342" s="12" t="str">
        <f t="shared" si="71"/>
        <v>1837</v>
      </c>
      <c r="AJ342" s="12" t="s">
        <v>277</v>
      </c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</row>
    <row r="343" spans="1:59">
      <c r="A343" s="12" t="s">
        <v>776</v>
      </c>
      <c r="B343" s="12" t="str">
        <f t="shared" si="62"/>
        <v>DEBEER</v>
      </c>
      <c r="C343" s="12" t="str">
        <f t="shared" si="63"/>
        <v>DE BEER</v>
      </c>
      <c r="D343" s="12" t="s">
        <v>1277</v>
      </c>
      <c r="E343" s="12" t="str">
        <f t="shared" si="64"/>
        <v>Johannes Christoffel</v>
      </c>
      <c r="F343" s="12" t="s">
        <v>2813</v>
      </c>
      <c r="G343" s="12" t="str">
        <f t="shared" si="65"/>
        <v>a2b5c7d5e1</v>
      </c>
      <c r="H343" s="12" t="str">
        <f t="shared" si="66"/>
        <v>DE BEERa2b5c7d5e1</v>
      </c>
      <c r="I343" s="12"/>
      <c r="J343" s="12" t="s">
        <v>2814</v>
      </c>
      <c r="K343" s="12" t="str">
        <f t="shared" si="67"/>
        <v>1811</v>
      </c>
      <c r="L343" s="12" t="s">
        <v>74</v>
      </c>
      <c r="M343" s="12" t="s">
        <v>332</v>
      </c>
      <c r="N343" s="12" t="str">
        <f t="shared" si="60"/>
        <v>1811</v>
      </c>
      <c r="O343" s="12" t="str">
        <f t="shared" si="61"/>
        <v>1811</v>
      </c>
      <c r="P343" s="12" t="s">
        <v>2625</v>
      </c>
      <c r="Q343" s="12" t="str">
        <f t="shared" si="68"/>
        <v>1811</v>
      </c>
      <c r="R343" s="12" t="s">
        <v>2626</v>
      </c>
      <c r="S343" s="12" t="str">
        <f t="shared" si="69"/>
        <v>1894</v>
      </c>
      <c r="T343" s="12" t="s">
        <v>68</v>
      </c>
      <c r="U343" s="12" t="s">
        <v>2627</v>
      </c>
      <c r="V343" s="12" t="str">
        <f t="shared" si="70"/>
        <v>1830</v>
      </c>
      <c r="W343" s="12" t="s">
        <v>2628</v>
      </c>
      <c r="X343" s="12" t="s">
        <v>2138</v>
      </c>
      <c r="Y343" s="12" t="s">
        <v>2634</v>
      </c>
      <c r="Z343" s="12"/>
      <c r="AA343" s="12"/>
      <c r="AB343" s="12"/>
      <c r="AC343" s="12"/>
      <c r="AD343" s="12"/>
      <c r="AE343" s="12"/>
      <c r="AF343" s="12"/>
      <c r="AG343" s="12" t="s">
        <v>2548</v>
      </c>
      <c r="AH343" s="12" t="s">
        <v>503</v>
      </c>
      <c r="AI343" s="12" t="str">
        <f t="shared" si="71"/>
        <v>1837</v>
      </c>
      <c r="AJ343" s="12" t="s">
        <v>277</v>
      </c>
      <c r="AK343" s="12" t="s">
        <v>67</v>
      </c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</row>
    <row r="344" spans="1:59">
      <c r="A344" s="12" t="s">
        <v>776</v>
      </c>
      <c r="B344" s="12" t="str">
        <f t="shared" si="62"/>
        <v>DEBEER</v>
      </c>
      <c r="C344" s="12" t="str">
        <f t="shared" si="63"/>
        <v>DE BEER</v>
      </c>
      <c r="D344" s="12" t="s">
        <v>2715</v>
      </c>
      <c r="E344" s="12" t="str">
        <f t="shared" si="64"/>
        <v>Zacharias Jacobus</v>
      </c>
      <c r="F344" s="12" t="s">
        <v>2716</v>
      </c>
      <c r="G344" s="12" t="str">
        <f t="shared" si="65"/>
        <v>a2b5c7d5e2</v>
      </c>
      <c r="H344" s="12" t="str">
        <f t="shared" si="66"/>
        <v>DE BEERa2b5c7d5e2</v>
      </c>
      <c r="I344" s="12"/>
      <c r="J344" s="12" t="s">
        <v>2717</v>
      </c>
      <c r="K344" s="12" t="str">
        <f t="shared" si="67"/>
        <v>1814</v>
      </c>
      <c r="L344" s="12" t="s">
        <v>74</v>
      </c>
      <c r="M344" s="12" t="s">
        <v>2718</v>
      </c>
      <c r="N344" s="12" t="str">
        <f t="shared" si="60"/>
        <v>1814</v>
      </c>
      <c r="O344" s="12" t="str">
        <f t="shared" si="61"/>
        <v>1815</v>
      </c>
      <c r="P344" s="12"/>
      <c r="Q344" s="12" t="str">
        <f t="shared" si="68"/>
        <v>1814</v>
      </c>
      <c r="R344" s="12"/>
      <c r="S344" s="12" t="str">
        <f t="shared" si="69"/>
        <v/>
      </c>
      <c r="T344" s="12" t="s">
        <v>68</v>
      </c>
      <c r="U344" s="12" t="s">
        <v>2719</v>
      </c>
      <c r="V344" s="12" t="str">
        <f t="shared" si="70"/>
        <v>1836</v>
      </c>
      <c r="W344" s="12" t="s">
        <v>710</v>
      </c>
      <c r="X344" s="12" t="s">
        <v>696</v>
      </c>
      <c r="Y344" s="12" t="s">
        <v>2720</v>
      </c>
      <c r="Z344" s="12"/>
      <c r="AA344" s="12"/>
      <c r="AB344" s="12"/>
      <c r="AC344" s="12"/>
      <c r="AD344" s="12"/>
      <c r="AE344" s="12"/>
      <c r="AF344" s="12" t="s">
        <v>3706</v>
      </c>
      <c r="AG344" s="12" t="s">
        <v>68</v>
      </c>
      <c r="AH344" s="12" t="s">
        <v>503</v>
      </c>
      <c r="AI344" s="12" t="str">
        <f t="shared" si="71"/>
        <v>1837</v>
      </c>
      <c r="AJ344" s="12" t="s">
        <v>277</v>
      </c>
      <c r="AK344" s="12" t="s">
        <v>2721</v>
      </c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</row>
    <row r="345" spans="1:59">
      <c r="A345" s="12" t="s">
        <v>776</v>
      </c>
      <c r="B345" s="12" t="str">
        <f t="shared" si="62"/>
        <v>DEBEER</v>
      </c>
      <c r="C345" s="12" t="str">
        <f t="shared" si="63"/>
        <v>DE BEER</v>
      </c>
      <c r="D345" s="12" t="s">
        <v>1363</v>
      </c>
      <c r="E345" s="12" t="str">
        <f t="shared" si="64"/>
        <v>Pieter Hendrik</v>
      </c>
      <c r="F345" s="12" t="s">
        <v>2684</v>
      </c>
      <c r="G345" s="12" t="str">
        <f t="shared" si="65"/>
        <v>a2b5c9d3e3</v>
      </c>
      <c r="H345" s="12" t="str">
        <f t="shared" si="66"/>
        <v>DE BEERa2b5c9d3e3</v>
      </c>
      <c r="I345" s="12"/>
      <c r="J345" s="12" t="s">
        <v>2685</v>
      </c>
      <c r="K345" s="12" t="str">
        <f t="shared" si="67"/>
        <v>1815</v>
      </c>
      <c r="L345" s="12"/>
      <c r="M345" s="12" t="s">
        <v>2686</v>
      </c>
      <c r="N345" s="12" t="str">
        <f t="shared" si="60"/>
        <v>1815</v>
      </c>
      <c r="O345" s="12" t="str">
        <f t="shared" si="61"/>
        <v>1815</v>
      </c>
      <c r="P345" s="12"/>
      <c r="Q345" s="12" t="str">
        <f t="shared" si="68"/>
        <v>1815</v>
      </c>
      <c r="R345" s="12" t="s">
        <v>2687</v>
      </c>
      <c r="S345" s="12" t="str">
        <f t="shared" si="69"/>
        <v>1861</v>
      </c>
      <c r="T345" s="12" t="s">
        <v>32</v>
      </c>
      <c r="U345" s="12" t="s">
        <v>2688</v>
      </c>
      <c r="V345" s="12" t="str">
        <f t="shared" si="70"/>
        <v>1836</v>
      </c>
      <c r="W345" s="12" t="s">
        <v>2689</v>
      </c>
      <c r="X345" s="12" t="s">
        <v>696</v>
      </c>
      <c r="Y345" s="12"/>
      <c r="Z345" s="12"/>
      <c r="AA345" s="12" t="s">
        <v>2690</v>
      </c>
      <c r="AB345" s="12"/>
      <c r="AC345" s="12"/>
      <c r="AD345" s="12"/>
      <c r="AE345" s="12" t="s">
        <v>2691</v>
      </c>
      <c r="AF345" s="12"/>
      <c r="AG345" s="12" t="s">
        <v>366</v>
      </c>
      <c r="AH345" s="12" t="s">
        <v>362</v>
      </c>
      <c r="AJ345" s="12"/>
      <c r="AK345" s="12" t="s">
        <v>551</v>
      </c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</row>
    <row r="346" spans="1:59">
      <c r="A346" s="2" t="s">
        <v>776</v>
      </c>
      <c r="B346" s="12" t="str">
        <f t="shared" si="62"/>
        <v>DEBEER</v>
      </c>
      <c r="C346" s="12" t="str">
        <f t="shared" si="63"/>
        <v>DE BEER</v>
      </c>
      <c r="D346" s="2" t="s">
        <v>2802</v>
      </c>
      <c r="E346" s="12" t="str">
        <f t="shared" si="64"/>
        <v>Hendrik Petrus Jacobus</v>
      </c>
      <c r="F346" s="2" t="s">
        <v>2583</v>
      </c>
      <c r="G346" s="12" t="str">
        <f t="shared" si="65"/>
        <v>a2b6c5d7</v>
      </c>
      <c r="H346" s="12" t="str">
        <f t="shared" si="66"/>
        <v>DE BEERa2b6c5d7</v>
      </c>
      <c r="K346" s="12" t="str">
        <f t="shared" si="67"/>
        <v/>
      </c>
      <c r="L346" s="2" t="s">
        <v>1955</v>
      </c>
      <c r="M346" s="2" t="s">
        <v>2584</v>
      </c>
      <c r="N346" s="12" t="str">
        <f t="shared" si="60"/>
        <v/>
      </c>
      <c r="O346" s="12" t="str">
        <f t="shared" si="61"/>
        <v>1792</v>
      </c>
      <c r="Q346" s="12" t="str">
        <f t="shared" si="68"/>
        <v>1792</v>
      </c>
      <c r="R346" s="2">
        <v>1846</v>
      </c>
      <c r="S346" s="12" t="str">
        <f t="shared" si="69"/>
        <v>1846</v>
      </c>
      <c r="T346" s="2" t="s">
        <v>74</v>
      </c>
      <c r="U346" s="2" t="s">
        <v>2803</v>
      </c>
      <c r="V346" s="12" t="str">
        <f t="shared" si="70"/>
        <v>1814</v>
      </c>
      <c r="W346" s="2" t="s">
        <v>2585</v>
      </c>
      <c r="X346" s="2" t="s">
        <v>1824</v>
      </c>
      <c r="AF346" s="2" t="s">
        <v>3703</v>
      </c>
      <c r="AG346" s="2" t="s">
        <v>366</v>
      </c>
      <c r="AH346" s="2" t="s">
        <v>2804</v>
      </c>
      <c r="AI346" s="12" t="str">
        <f t="shared" si="71"/>
        <v>1839</v>
      </c>
      <c r="AJ346" s="2" t="s">
        <v>433</v>
      </c>
      <c r="AK346" s="2" t="s">
        <v>1654</v>
      </c>
    </row>
    <row r="347" spans="1:59">
      <c r="A347" s="2" t="s">
        <v>776</v>
      </c>
      <c r="B347" s="12" t="str">
        <f t="shared" si="62"/>
        <v>DEBEER</v>
      </c>
      <c r="C347" s="12" t="str">
        <f t="shared" si="63"/>
        <v>DE BEER</v>
      </c>
      <c r="D347" s="2" t="s">
        <v>2664</v>
      </c>
      <c r="E347" s="12" t="str">
        <f t="shared" si="64"/>
        <v>Matthys Christoffel Johannes</v>
      </c>
      <c r="F347" s="2" t="s">
        <v>2665</v>
      </c>
      <c r="G347" s="12" t="str">
        <f t="shared" si="65"/>
        <v>a2b6c5d7e1</v>
      </c>
      <c r="H347" s="12" t="str">
        <f t="shared" si="66"/>
        <v>DE BEERa2b6c5d7e1</v>
      </c>
      <c r="J347" s="2" t="s">
        <v>2666</v>
      </c>
      <c r="K347" s="12" t="str">
        <f t="shared" si="67"/>
        <v>1815</v>
      </c>
      <c r="M347" s="2" t="s">
        <v>2667</v>
      </c>
      <c r="N347" s="12" t="str">
        <f t="shared" si="60"/>
        <v>1815</v>
      </c>
      <c r="O347" s="12" t="str">
        <f t="shared" si="61"/>
        <v>1816</v>
      </c>
      <c r="Q347" s="12" t="str">
        <f t="shared" si="68"/>
        <v>1815</v>
      </c>
      <c r="S347" s="12" t="str">
        <f t="shared" si="69"/>
        <v/>
      </c>
      <c r="V347" s="12" t="str">
        <f t="shared" si="70"/>
        <v/>
      </c>
      <c r="W347" s="2" t="s">
        <v>2668</v>
      </c>
      <c r="X347" s="2" t="s">
        <v>2669</v>
      </c>
      <c r="AG347" s="2" t="s">
        <v>366</v>
      </c>
      <c r="AH347" s="2">
        <v>1838</v>
      </c>
      <c r="AI347" s="12" t="str">
        <f t="shared" si="71"/>
        <v>1838</v>
      </c>
      <c r="AJ347" s="2" t="s">
        <v>433</v>
      </c>
      <c r="AL347" s="2" t="s">
        <v>140</v>
      </c>
      <c r="AN347" s="2" t="s">
        <v>2670</v>
      </c>
      <c r="AO347" s="2" t="s">
        <v>757</v>
      </c>
    </row>
    <row r="348" spans="1:59">
      <c r="A348" s="2" t="s">
        <v>776</v>
      </c>
      <c r="B348" s="12" t="str">
        <f t="shared" si="62"/>
        <v>DEBEER</v>
      </c>
      <c r="C348" s="12" t="str">
        <f t="shared" si="63"/>
        <v>DE BEER</v>
      </c>
      <c r="D348" s="2" t="s">
        <v>2807</v>
      </c>
      <c r="E348" s="12" t="str">
        <f t="shared" si="64"/>
        <v>Hendrik Pieter Jacobus</v>
      </c>
      <c r="F348" s="2" t="s">
        <v>2808</v>
      </c>
      <c r="G348" s="12" t="str">
        <f t="shared" si="65"/>
        <v>a2b6c5d7e3</v>
      </c>
      <c r="H348" s="12" t="str">
        <f t="shared" si="66"/>
        <v>DE BEERa2b6c5d7e3</v>
      </c>
      <c r="J348" s="2" t="s">
        <v>2809</v>
      </c>
      <c r="K348" s="12" t="str">
        <f t="shared" si="67"/>
        <v>1823</v>
      </c>
      <c r="L348" s="2" t="s">
        <v>366</v>
      </c>
      <c r="M348" s="2" t="s">
        <v>2810</v>
      </c>
      <c r="N348" s="12" t="str">
        <f t="shared" si="60"/>
        <v>1823</v>
      </c>
      <c r="O348" s="12" t="str">
        <f t="shared" si="61"/>
        <v>1823</v>
      </c>
      <c r="P348" s="2" t="s">
        <v>67</v>
      </c>
      <c r="Q348" s="12" t="str">
        <f t="shared" si="68"/>
        <v>1823</v>
      </c>
      <c r="R348" s="2" t="s">
        <v>2811</v>
      </c>
      <c r="S348" s="12" t="str">
        <f t="shared" si="69"/>
        <v>1877</v>
      </c>
      <c r="V348" s="12" t="str">
        <f t="shared" si="70"/>
        <v/>
      </c>
      <c r="W348" s="2" t="s">
        <v>2812</v>
      </c>
      <c r="X348" s="2" t="s">
        <v>655</v>
      </c>
      <c r="AF348" s="2" t="s">
        <v>3703</v>
      </c>
      <c r="AG348" s="2" t="s">
        <v>366</v>
      </c>
      <c r="AH348" s="2">
        <v>1838</v>
      </c>
      <c r="AI348" s="12" t="str">
        <f t="shared" si="71"/>
        <v>1838</v>
      </c>
      <c r="AJ348" s="2" t="s">
        <v>433</v>
      </c>
      <c r="AK348" s="2" t="s">
        <v>67</v>
      </c>
    </row>
    <row r="349" spans="1:59">
      <c r="A349" s="2" t="s">
        <v>776</v>
      </c>
      <c r="B349" s="12" t="str">
        <f t="shared" si="62"/>
        <v>DEBEER</v>
      </c>
      <c r="C349" s="12" t="str">
        <f t="shared" si="63"/>
        <v>DE BEER</v>
      </c>
      <c r="D349" s="2" t="s">
        <v>2822</v>
      </c>
      <c r="E349" s="12" t="str">
        <f t="shared" si="64"/>
        <v>Samuel Jacobus Sr</v>
      </c>
      <c r="F349" s="2" t="s">
        <v>2692</v>
      </c>
      <c r="G349" s="12" t="str">
        <f t="shared" si="65"/>
        <v>a2b6c5d8</v>
      </c>
      <c r="H349" s="12" t="str">
        <f t="shared" si="66"/>
        <v>DE BEERa2b6c5d8</v>
      </c>
      <c r="K349" s="12" t="str">
        <f t="shared" si="67"/>
        <v/>
      </c>
      <c r="M349" s="2" t="s">
        <v>2693</v>
      </c>
      <c r="N349" s="12" t="str">
        <f t="shared" si="60"/>
        <v/>
      </c>
      <c r="O349" s="12" t="str">
        <f t="shared" si="61"/>
        <v>1793</v>
      </c>
      <c r="P349" s="2" t="s">
        <v>140</v>
      </c>
      <c r="Q349" s="12" t="str">
        <f t="shared" si="68"/>
        <v>1793</v>
      </c>
      <c r="R349" s="2" t="s">
        <v>2694</v>
      </c>
      <c r="S349" s="12" t="str">
        <f t="shared" si="69"/>
        <v>1878</v>
      </c>
      <c r="T349" s="2" t="s">
        <v>74</v>
      </c>
      <c r="U349" s="2" t="s">
        <v>2695</v>
      </c>
      <c r="V349" s="12" t="str">
        <f t="shared" si="70"/>
        <v>1814</v>
      </c>
      <c r="W349" s="2" t="s">
        <v>2696</v>
      </c>
      <c r="X349" s="2" t="s">
        <v>757</v>
      </c>
      <c r="AF349" s="2" t="s">
        <v>3713</v>
      </c>
      <c r="AG349" s="2" t="s">
        <v>74</v>
      </c>
      <c r="AH349" s="2" t="s">
        <v>1711</v>
      </c>
      <c r="AI349" s="12" t="str">
        <f t="shared" si="71"/>
        <v>1839</v>
      </c>
      <c r="AK349" s="2" t="s">
        <v>155</v>
      </c>
    </row>
    <row r="350" spans="1:59">
      <c r="A350" s="12" t="s">
        <v>776</v>
      </c>
      <c r="B350" s="12" t="str">
        <f t="shared" si="62"/>
        <v>DEBEER</v>
      </c>
      <c r="C350" s="12" t="str">
        <f t="shared" si="63"/>
        <v>DE BEER</v>
      </c>
      <c r="D350" s="12" t="s">
        <v>2818</v>
      </c>
      <c r="E350" s="12" t="str">
        <f t="shared" si="64"/>
        <v>Matthys Johannes</v>
      </c>
      <c r="F350" s="12" t="s">
        <v>2651</v>
      </c>
      <c r="G350" s="12" t="str">
        <f t="shared" si="65"/>
        <v>a2b6c5d8e2</v>
      </c>
      <c r="H350" s="12" t="str">
        <f t="shared" si="66"/>
        <v>DE BEERa2b6c5d8e2</v>
      </c>
      <c r="I350" s="12"/>
      <c r="J350" s="12" t="s">
        <v>2652</v>
      </c>
      <c r="K350" s="12" t="str">
        <f t="shared" si="67"/>
        <v>1818</v>
      </c>
      <c r="L350" s="12"/>
      <c r="M350" s="12" t="s">
        <v>2653</v>
      </c>
      <c r="N350" s="12" t="str">
        <f t="shared" si="60"/>
        <v>1818</v>
      </c>
      <c r="O350" s="12" t="str">
        <f t="shared" si="61"/>
        <v>1818</v>
      </c>
      <c r="P350" s="12" t="s">
        <v>67</v>
      </c>
      <c r="Q350" s="12" t="str">
        <f t="shared" si="68"/>
        <v>1818</v>
      </c>
      <c r="R350" s="12" t="s">
        <v>2819</v>
      </c>
      <c r="S350" s="12" t="str">
        <f t="shared" si="69"/>
        <v>1897</v>
      </c>
      <c r="T350" s="12"/>
      <c r="U350" s="12" t="s">
        <v>2654</v>
      </c>
      <c r="V350" s="12" t="str">
        <f t="shared" si="70"/>
        <v>1837</v>
      </c>
      <c r="W350" s="12" t="s">
        <v>2655</v>
      </c>
      <c r="X350" s="12" t="s">
        <v>295</v>
      </c>
      <c r="Y350" s="12"/>
      <c r="Z350" s="12"/>
      <c r="AA350" s="12"/>
      <c r="AB350" s="12"/>
      <c r="AC350" s="12"/>
      <c r="AD350" s="12"/>
      <c r="AE350" s="12"/>
      <c r="AF350" s="12" t="s">
        <v>3713</v>
      </c>
      <c r="AG350" s="12" t="s">
        <v>74</v>
      </c>
      <c r="AH350" s="12"/>
      <c r="AI350" s="12" t="str">
        <f t="shared" si="71"/>
        <v/>
      </c>
      <c r="AJ350" s="12"/>
      <c r="AK350" s="12" t="s">
        <v>140</v>
      </c>
      <c r="AL350" s="12"/>
      <c r="AM350" s="12"/>
      <c r="AN350" s="12" t="s">
        <v>2656</v>
      </c>
      <c r="AO350" s="12" t="s">
        <v>2136</v>
      </c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</row>
    <row r="351" spans="1:59">
      <c r="A351" s="2" t="s">
        <v>776</v>
      </c>
      <c r="B351" s="12" t="str">
        <f t="shared" si="62"/>
        <v>DEBEER</v>
      </c>
      <c r="C351" s="12" t="str">
        <f t="shared" si="63"/>
        <v>DE BEER</v>
      </c>
      <c r="D351" s="2" t="s">
        <v>2645</v>
      </c>
      <c r="E351" s="12" t="str">
        <f t="shared" si="64"/>
        <v>Joseph Erasmus</v>
      </c>
      <c r="F351" s="2" t="s">
        <v>2646</v>
      </c>
      <c r="G351" s="12" t="str">
        <f t="shared" si="65"/>
        <v>a2b6c5d8e4</v>
      </c>
      <c r="H351" s="12" t="str">
        <f t="shared" si="66"/>
        <v>DE BEERa2b6c5d8e4</v>
      </c>
      <c r="J351" s="2" t="s">
        <v>2647</v>
      </c>
      <c r="K351" s="12" t="str">
        <f t="shared" si="67"/>
        <v>1822</v>
      </c>
      <c r="N351" s="12" t="str">
        <f t="shared" si="60"/>
        <v>1822</v>
      </c>
      <c r="O351" s="12" t="str">
        <f t="shared" si="61"/>
        <v/>
      </c>
      <c r="Q351" s="12" t="str">
        <f t="shared" si="68"/>
        <v>1822</v>
      </c>
      <c r="S351" s="12" t="str">
        <f t="shared" si="69"/>
        <v/>
      </c>
      <c r="V351" s="12" t="str">
        <f t="shared" si="70"/>
        <v/>
      </c>
      <c r="W351" s="2" t="s">
        <v>2648</v>
      </c>
      <c r="X351" s="2" t="s">
        <v>2649</v>
      </c>
      <c r="AF351" s="2" t="s">
        <v>3713</v>
      </c>
      <c r="AG351" s="2" t="s">
        <v>74</v>
      </c>
      <c r="AH351" s="2" t="s">
        <v>362</v>
      </c>
      <c r="AK351" s="2" t="s">
        <v>551</v>
      </c>
      <c r="AL351" s="2" t="s">
        <v>140</v>
      </c>
      <c r="AM351" s="2" t="s">
        <v>2650</v>
      </c>
    </row>
    <row r="352" spans="1:59">
      <c r="A352" s="2" t="s">
        <v>776</v>
      </c>
      <c r="B352" s="12" t="str">
        <f t="shared" si="62"/>
        <v>DEBEER</v>
      </c>
      <c r="C352" s="12" t="str">
        <f t="shared" si="63"/>
        <v>DE BEER</v>
      </c>
      <c r="D352" s="2" t="s">
        <v>2831</v>
      </c>
      <c r="E352" s="12" t="str">
        <f t="shared" si="64"/>
        <v>Samuel Jacobus Jr</v>
      </c>
      <c r="F352" s="2" t="s">
        <v>2832</v>
      </c>
      <c r="G352" s="12" t="str">
        <f t="shared" si="65"/>
        <v>a2b6c5d9e5</v>
      </c>
      <c r="H352" s="12" t="str">
        <f t="shared" si="66"/>
        <v>DE BEERa2b6c5d9e5</v>
      </c>
      <c r="J352" s="2" t="s">
        <v>2833</v>
      </c>
      <c r="K352" s="12" t="str">
        <f t="shared" si="67"/>
        <v>1825</v>
      </c>
      <c r="M352" s="2" t="s">
        <v>2834</v>
      </c>
      <c r="N352" s="12" t="str">
        <f t="shared" si="60"/>
        <v>1825</v>
      </c>
      <c r="O352" s="12" t="str">
        <f t="shared" si="61"/>
        <v>1826</v>
      </c>
      <c r="P352" s="2" t="s">
        <v>67</v>
      </c>
      <c r="Q352" s="12" t="str">
        <f t="shared" si="68"/>
        <v>1825</v>
      </c>
      <c r="R352" s="2" t="s">
        <v>2835</v>
      </c>
      <c r="S352" s="12" t="str">
        <f t="shared" si="69"/>
        <v>1885</v>
      </c>
      <c r="T352" s="2" t="s">
        <v>140</v>
      </c>
      <c r="U352" s="2" t="s">
        <v>2836</v>
      </c>
      <c r="V352" s="12" t="str">
        <f t="shared" si="70"/>
        <v>1854</v>
      </c>
      <c r="W352" s="2" t="s">
        <v>2837</v>
      </c>
      <c r="X352" s="2" t="s">
        <v>664</v>
      </c>
      <c r="AA352" s="2">
        <v>1838</v>
      </c>
      <c r="AD352" s="2" t="s">
        <v>67</v>
      </c>
      <c r="AE352" s="1">
        <v>452</v>
      </c>
      <c r="AF352" s="1" t="s">
        <v>3713</v>
      </c>
      <c r="AG352" s="2" t="s">
        <v>74</v>
      </c>
      <c r="AH352" s="2">
        <v>1839</v>
      </c>
      <c r="AI352" s="12" t="str">
        <f t="shared" si="71"/>
        <v>1839</v>
      </c>
      <c r="AK352" s="2" t="s">
        <v>67</v>
      </c>
    </row>
    <row r="353" spans="1:59">
      <c r="A353" s="2" t="s">
        <v>776</v>
      </c>
      <c r="B353" s="12" t="str">
        <f t="shared" si="62"/>
        <v>DEBEER</v>
      </c>
      <c r="C353" s="12" t="str">
        <f t="shared" si="63"/>
        <v>DE BEER</v>
      </c>
      <c r="D353" s="2" t="s">
        <v>2683</v>
      </c>
      <c r="E353" s="12" t="str">
        <f t="shared" si="64"/>
        <v>Samuel Jacobus</v>
      </c>
      <c r="F353" s="2" t="s">
        <v>2680</v>
      </c>
      <c r="G353" s="12" t="str">
        <f t="shared" si="65"/>
        <v>a2b6c6d5</v>
      </c>
      <c r="H353" s="12" t="str">
        <f t="shared" si="66"/>
        <v>DE BEERa2b6c6d5</v>
      </c>
      <c r="I353" s="2" t="s">
        <v>53</v>
      </c>
      <c r="J353" s="2" t="s">
        <v>2823</v>
      </c>
      <c r="K353" s="12" t="str">
        <f t="shared" si="67"/>
        <v>1797</v>
      </c>
      <c r="L353" s="2" t="s">
        <v>1955</v>
      </c>
      <c r="M353" s="2" t="s">
        <v>2681</v>
      </c>
      <c r="N353" s="12" t="str">
        <f t="shared" si="60"/>
        <v>1797</v>
      </c>
      <c r="O353" s="12" t="str">
        <f t="shared" si="61"/>
        <v>1798</v>
      </c>
      <c r="P353" s="2" t="s">
        <v>2824</v>
      </c>
      <c r="Q353" s="12" t="str">
        <f t="shared" si="68"/>
        <v>1797</v>
      </c>
      <c r="R353" s="2" t="s">
        <v>2825</v>
      </c>
      <c r="S353" s="12" t="str">
        <f t="shared" si="69"/>
        <v>1872</v>
      </c>
      <c r="T353" s="2" t="s">
        <v>74</v>
      </c>
      <c r="U353" s="2" t="s">
        <v>2682</v>
      </c>
      <c r="V353" s="12" t="str">
        <f t="shared" si="70"/>
        <v>1816</v>
      </c>
      <c r="W353" s="2" t="s">
        <v>1709</v>
      </c>
      <c r="X353" s="2" t="s">
        <v>633</v>
      </c>
      <c r="AA353" s="2" t="s">
        <v>2826</v>
      </c>
      <c r="AG353" s="2" t="s">
        <v>74</v>
      </c>
      <c r="AH353" s="2">
        <v>1838</v>
      </c>
      <c r="AI353" s="12" t="str">
        <f t="shared" si="71"/>
        <v>1838</v>
      </c>
      <c r="AK353" s="2" t="s">
        <v>551</v>
      </c>
      <c r="AL353" s="2" t="s">
        <v>140</v>
      </c>
      <c r="AM353" s="2" t="s">
        <v>2827</v>
      </c>
      <c r="AN353" s="2" t="s">
        <v>2828</v>
      </c>
      <c r="AO353" s="2" t="s">
        <v>2235</v>
      </c>
      <c r="AR353" s="2" t="s">
        <v>2829</v>
      </c>
      <c r="AS353" s="2" t="s">
        <v>199</v>
      </c>
      <c r="AT353" s="2" t="s">
        <v>2830</v>
      </c>
    </row>
    <row r="354" spans="1:59">
      <c r="A354" s="2" t="s">
        <v>776</v>
      </c>
      <c r="B354" s="12" t="str">
        <f t="shared" si="62"/>
        <v>DEBEER</v>
      </c>
      <c r="C354" s="12" t="str">
        <f t="shared" si="63"/>
        <v>DE BEER</v>
      </c>
      <c r="D354" s="2" t="s">
        <v>2527</v>
      </c>
      <c r="E354" s="12" t="str">
        <f t="shared" si="64"/>
        <v>Abraham Samuel Jacobus</v>
      </c>
      <c r="F354" s="2" t="s">
        <v>2528</v>
      </c>
      <c r="G354" s="12" t="str">
        <f t="shared" si="65"/>
        <v>a2b6c6d5e2</v>
      </c>
      <c r="H354" s="12" t="str">
        <f t="shared" si="66"/>
        <v>DE BEERa2b6c6d5e2</v>
      </c>
      <c r="J354" s="2" t="s">
        <v>2529</v>
      </c>
      <c r="K354" s="12" t="str">
        <f t="shared" si="67"/>
        <v>1819</v>
      </c>
      <c r="L354" s="2" t="s">
        <v>366</v>
      </c>
      <c r="M354" s="2" t="s">
        <v>2530</v>
      </c>
      <c r="N354" s="12" t="str">
        <f t="shared" si="60"/>
        <v>1819</v>
      </c>
      <c r="O354" s="12" t="str">
        <f t="shared" si="61"/>
        <v>1819</v>
      </c>
      <c r="Q354" s="12" t="str">
        <f t="shared" si="68"/>
        <v>1819</v>
      </c>
      <c r="S354" s="12" t="str">
        <f t="shared" si="69"/>
        <v/>
      </c>
      <c r="V354" s="12" t="str">
        <f t="shared" si="70"/>
        <v/>
      </c>
      <c r="W354" s="2" t="s">
        <v>2432</v>
      </c>
      <c r="X354" s="2" t="s">
        <v>78</v>
      </c>
      <c r="Y354" s="2" t="s">
        <v>2531</v>
      </c>
      <c r="AG354" s="2" t="s">
        <v>366</v>
      </c>
      <c r="AI354" s="12" t="str">
        <f t="shared" si="71"/>
        <v/>
      </c>
      <c r="AK354" s="2" t="s">
        <v>2532</v>
      </c>
    </row>
    <row r="355" spans="1:59">
      <c r="A355" s="2" t="s">
        <v>776</v>
      </c>
      <c r="B355" s="12" t="str">
        <f t="shared" si="62"/>
        <v>DEBEER</v>
      </c>
      <c r="C355" s="12" t="str">
        <f t="shared" si="63"/>
        <v>DE BEER</v>
      </c>
      <c r="D355" s="2" t="s">
        <v>1222</v>
      </c>
      <c r="E355" s="12" t="str">
        <f t="shared" si="64"/>
        <v>Jacobus Frederik</v>
      </c>
      <c r="F355" s="2" t="s">
        <v>2601</v>
      </c>
      <c r="G355" s="12" t="str">
        <f t="shared" si="65"/>
        <v>a2b6c6d5e3</v>
      </c>
      <c r="H355" s="12" t="str">
        <f t="shared" si="66"/>
        <v>DE BEERa2b6c6d5e3</v>
      </c>
      <c r="J355" s="2" t="s">
        <v>2602</v>
      </c>
      <c r="K355" s="12" t="str">
        <f t="shared" si="67"/>
        <v>1821</v>
      </c>
      <c r="L355" s="2" t="s">
        <v>366</v>
      </c>
      <c r="M355" s="2" t="s">
        <v>2603</v>
      </c>
      <c r="N355" s="12" t="str">
        <f t="shared" si="60"/>
        <v>1821</v>
      </c>
      <c r="O355" s="12" t="str">
        <f t="shared" si="61"/>
        <v>1821</v>
      </c>
      <c r="Q355" s="12" t="str">
        <f t="shared" si="68"/>
        <v>1821</v>
      </c>
      <c r="S355" s="12" t="str">
        <f t="shared" si="69"/>
        <v/>
      </c>
      <c r="V355" s="12" t="str">
        <f t="shared" si="70"/>
        <v/>
      </c>
      <c r="W355" s="2" t="s">
        <v>715</v>
      </c>
      <c r="X355" s="2" t="s">
        <v>700</v>
      </c>
      <c r="AG355" s="2" t="s">
        <v>366</v>
      </c>
      <c r="AH355" s="2" t="s">
        <v>362</v>
      </c>
      <c r="AK355" s="2" t="s">
        <v>551</v>
      </c>
    </row>
    <row r="356" spans="1:59">
      <c r="A356" s="12" t="s">
        <v>776</v>
      </c>
      <c r="B356" s="12" t="str">
        <f t="shared" si="62"/>
        <v>DEBEER</v>
      </c>
      <c r="C356" s="12" t="str">
        <f t="shared" si="63"/>
        <v>DE BEER</v>
      </c>
      <c r="D356" s="12" t="s">
        <v>1222</v>
      </c>
      <c r="E356" s="12" t="str">
        <f t="shared" si="64"/>
        <v>Jacobus Frederik</v>
      </c>
      <c r="F356" s="12" t="s">
        <v>2593</v>
      </c>
      <c r="G356" s="12" t="str">
        <f t="shared" si="65"/>
        <v>a2b6c6d7</v>
      </c>
      <c r="H356" s="12" t="str">
        <f t="shared" si="66"/>
        <v>DE BEERa2b6c6d7</v>
      </c>
      <c r="I356" s="12"/>
      <c r="J356" s="12" t="s">
        <v>2594</v>
      </c>
      <c r="K356" s="12" t="str">
        <f t="shared" si="67"/>
        <v>1802</v>
      </c>
      <c r="L356" s="12"/>
      <c r="M356" s="12" t="s">
        <v>1919</v>
      </c>
      <c r="N356" s="12" t="str">
        <f t="shared" si="60"/>
        <v>1802</v>
      </c>
      <c r="O356" s="12" t="str">
        <f t="shared" si="61"/>
        <v>1803</v>
      </c>
      <c r="P356" s="12"/>
      <c r="Q356" s="12" t="str">
        <f t="shared" si="68"/>
        <v>1802</v>
      </c>
      <c r="R356" s="12"/>
      <c r="S356" s="12" t="str">
        <f t="shared" si="69"/>
        <v/>
      </c>
      <c r="T356" s="12" t="s">
        <v>366</v>
      </c>
      <c r="U356" s="12" t="s">
        <v>2065</v>
      </c>
      <c r="V356" s="12" t="str">
        <f t="shared" si="70"/>
        <v>1823</v>
      </c>
      <c r="W356" s="12" t="s">
        <v>2595</v>
      </c>
      <c r="X356" s="12" t="s">
        <v>701</v>
      </c>
      <c r="Y356" s="12" t="s">
        <v>2596</v>
      </c>
      <c r="Z356" s="12" t="s">
        <v>2597</v>
      </c>
      <c r="AA356" s="12" t="s">
        <v>2598</v>
      </c>
      <c r="AB356" s="12"/>
      <c r="AC356" s="12" t="s">
        <v>2599</v>
      </c>
      <c r="AD356" s="12" t="s">
        <v>1774</v>
      </c>
      <c r="AE356" s="12" t="s">
        <v>2600</v>
      </c>
      <c r="AF356" s="12"/>
      <c r="AG356" s="12" t="s">
        <v>366</v>
      </c>
      <c r="AH356" s="12">
        <v>1837</v>
      </c>
      <c r="AI356" s="12" t="str">
        <f t="shared" si="71"/>
        <v>1837</v>
      </c>
      <c r="AJ356" s="12" t="s">
        <v>2262</v>
      </c>
      <c r="AK356" s="12" t="s">
        <v>155</v>
      </c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</row>
    <row r="357" spans="1:59">
      <c r="A357" s="12" t="s">
        <v>776</v>
      </c>
      <c r="B357" s="12" t="str">
        <f t="shared" si="62"/>
        <v>DEBEER</v>
      </c>
      <c r="C357" s="12" t="str">
        <f t="shared" si="63"/>
        <v>DE BEER</v>
      </c>
      <c r="D357" s="12" t="s">
        <v>1062</v>
      </c>
      <c r="E357" s="12" t="str">
        <f t="shared" si="64"/>
        <v>Wietse</v>
      </c>
      <c r="F357" s="12" t="s">
        <v>2697</v>
      </c>
      <c r="G357" s="12" t="str">
        <f t="shared" si="65"/>
        <v>a2b6c6d7e2</v>
      </c>
      <c r="H357" s="12" t="str">
        <f t="shared" si="66"/>
        <v>DE BEERa2b6c6d7e2</v>
      </c>
      <c r="I357" s="12"/>
      <c r="J357" s="12" t="s">
        <v>2698</v>
      </c>
      <c r="K357" s="12" t="str">
        <f t="shared" si="67"/>
        <v>1825</v>
      </c>
      <c r="L357" s="12"/>
      <c r="M357" s="12" t="s">
        <v>2124</v>
      </c>
      <c r="N357" s="12" t="str">
        <f t="shared" si="60"/>
        <v>1825</v>
      </c>
      <c r="O357" s="12" t="str">
        <f t="shared" si="61"/>
        <v>1825</v>
      </c>
      <c r="P357" s="12"/>
      <c r="Q357" s="12" t="str">
        <f t="shared" si="68"/>
        <v>1825</v>
      </c>
      <c r="R357" s="12"/>
      <c r="S357" s="12" t="str">
        <f t="shared" si="69"/>
        <v/>
      </c>
      <c r="T357" s="12"/>
      <c r="U357" s="12" t="s">
        <v>2699</v>
      </c>
      <c r="V357" s="12" t="str">
        <f t="shared" si="70"/>
        <v>1847</v>
      </c>
      <c r="W357" s="12" t="s">
        <v>2700</v>
      </c>
      <c r="X357" s="12" t="s">
        <v>633</v>
      </c>
      <c r="Y357" s="12" t="s">
        <v>2701</v>
      </c>
      <c r="Z357" s="12"/>
      <c r="AA357" s="12"/>
      <c r="AB357" s="12"/>
      <c r="AC357" s="12"/>
      <c r="AD357" s="12"/>
      <c r="AE357" s="12"/>
      <c r="AF357" s="12"/>
      <c r="AG357" s="12" t="s">
        <v>366</v>
      </c>
      <c r="AH357" s="12">
        <v>1837</v>
      </c>
      <c r="AI357" s="12" t="str">
        <f t="shared" si="71"/>
        <v>1837</v>
      </c>
      <c r="AJ357" s="12" t="s">
        <v>2262</v>
      </c>
      <c r="AK357" s="12" t="s">
        <v>2702</v>
      </c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</row>
    <row r="358" spans="1:59">
      <c r="A358" s="12" t="s">
        <v>776</v>
      </c>
      <c r="B358" s="12" t="str">
        <f t="shared" si="62"/>
        <v>DEBEER</v>
      </c>
      <c r="C358" s="12" t="str">
        <f t="shared" si="63"/>
        <v>DE BEER</v>
      </c>
      <c r="D358" s="12" t="s">
        <v>2576</v>
      </c>
      <c r="E358" s="12" t="str">
        <f t="shared" si="64"/>
        <v>Frederik Coenraad</v>
      </c>
      <c r="F358" s="12" t="s">
        <v>2577</v>
      </c>
      <c r="G358" s="12" t="str">
        <f t="shared" si="65"/>
        <v>a2b6c7d1e1</v>
      </c>
      <c r="H358" s="12" t="str">
        <f t="shared" si="66"/>
        <v>DE BEERa2b6c7d1e1</v>
      </c>
      <c r="I358" s="12"/>
      <c r="J358" s="12" t="s">
        <v>2578</v>
      </c>
      <c r="K358" s="12" t="str">
        <f t="shared" si="67"/>
        <v>1811</v>
      </c>
      <c r="L358" s="12" t="s">
        <v>74</v>
      </c>
      <c r="M358" s="12" t="s">
        <v>2579</v>
      </c>
      <c r="N358" s="12" t="str">
        <f t="shared" si="60"/>
        <v>1811</v>
      </c>
      <c r="O358" s="12" t="str">
        <f t="shared" si="61"/>
        <v>1811</v>
      </c>
      <c r="P358" s="12"/>
      <c r="Q358" s="12" t="str">
        <f t="shared" si="68"/>
        <v>1811</v>
      </c>
      <c r="R358" s="12"/>
      <c r="S358" s="12" t="str">
        <f t="shared" si="69"/>
        <v/>
      </c>
      <c r="T358" s="12" t="s">
        <v>74</v>
      </c>
      <c r="U358" s="12" t="s">
        <v>2580</v>
      </c>
      <c r="V358" s="12" t="str">
        <f t="shared" si="70"/>
        <v>1831</v>
      </c>
      <c r="W358" s="12" t="s">
        <v>2581</v>
      </c>
      <c r="X358" s="12" t="s">
        <v>2582</v>
      </c>
      <c r="Y358" s="12"/>
      <c r="Z358" s="12"/>
      <c r="AA358" s="12"/>
      <c r="AB358" s="12"/>
      <c r="AC358" s="12"/>
      <c r="AD358" s="12"/>
      <c r="AE358" s="12"/>
      <c r="AF358" s="12"/>
      <c r="AG358" s="12" t="s">
        <v>60</v>
      </c>
      <c r="AH358" s="12" t="s">
        <v>362</v>
      </c>
      <c r="AJ358" s="12"/>
      <c r="AK358" s="12" t="s">
        <v>551</v>
      </c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</row>
    <row r="359" spans="1:59">
      <c r="A359" s="12" t="s">
        <v>776</v>
      </c>
      <c r="B359" s="12" t="str">
        <f t="shared" si="62"/>
        <v>DEBEER</v>
      </c>
      <c r="C359" s="12" t="str">
        <f t="shared" si="63"/>
        <v>DE BEER</v>
      </c>
      <c r="D359" s="12" t="s">
        <v>2739</v>
      </c>
      <c r="E359" s="12" t="str">
        <f t="shared" si="64"/>
        <v>Zacharias Joseph</v>
      </c>
      <c r="F359" s="12" t="s">
        <v>2740</v>
      </c>
      <c r="G359" s="12" t="str">
        <f t="shared" si="65"/>
        <v>a2b6c9d4</v>
      </c>
      <c r="H359" s="12" t="str">
        <f t="shared" si="66"/>
        <v>DE BEERa2b6c9d4</v>
      </c>
      <c r="I359" s="12"/>
      <c r="J359" s="12" t="s">
        <v>2741</v>
      </c>
      <c r="K359" s="12" t="str">
        <f t="shared" si="67"/>
        <v>1801</v>
      </c>
      <c r="L359" s="12" t="s">
        <v>542</v>
      </c>
      <c r="M359" s="12" t="s">
        <v>2742</v>
      </c>
      <c r="N359" s="12" t="str">
        <f t="shared" si="60"/>
        <v>1801</v>
      </c>
      <c r="O359" s="12" t="str">
        <f t="shared" si="61"/>
        <v>1802</v>
      </c>
      <c r="P359" s="12"/>
      <c r="Q359" s="12" t="str">
        <f t="shared" si="68"/>
        <v>1801</v>
      </c>
      <c r="R359" s="12"/>
      <c r="S359" s="12" t="str">
        <f t="shared" si="69"/>
        <v/>
      </c>
      <c r="T359" s="12" t="s">
        <v>366</v>
      </c>
      <c r="U359" s="12" t="s">
        <v>2743</v>
      </c>
      <c r="V359" s="12" t="str">
        <f t="shared" si="70"/>
        <v>1823</v>
      </c>
      <c r="W359" s="12" t="s">
        <v>2744</v>
      </c>
      <c r="X359" s="12" t="s">
        <v>776</v>
      </c>
      <c r="Y359" s="12"/>
      <c r="Z359" s="12"/>
      <c r="AA359" s="12"/>
      <c r="AB359" s="12"/>
      <c r="AC359" s="12"/>
      <c r="AD359" s="12"/>
      <c r="AE359" s="12"/>
      <c r="AF359" s="12" t="s">
        <v>3703</v>
      </c>
      <c r="AG359" s="12" t="s">
        <v>366</v>
      </c>
      <c r="AH359" s="12">
        <v>1839</v>
      </c>
      <c r="AI359" s="12" t="str">
        <f t="shared" si="71"/>
        <v>1839</v>
      </c>
      <c r="AJ359" s="12"/>
      <c r="AK359" s="12" t="s">
        <v>140</v>
      </c>
      <c r="AL359" s="12"/>
      <c r="AM359" s="12" t="s">
        <v>2745</v>
      </c>
      <c r="AN359" s="12" t="s">
        <v>2746</v>
      </c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</row>
    <row r="360" spans="1:59">
      <c r="A360" s="12" t="s">
        <v>776</v>
      </c>
      <c r="B360" s="12" t="str">
        <f t="shared" si="62"/>
        <v>DEBEER</v>
      </c>
      <c r="C360" s="12" t="str">
        <f t="shared" si="63"/>
        <v>DE BEER</v>
      </c>
      <c r="D360" s="12" t="s">
        <v>2671</v>
      </c>
      <c r="E360" s="12" t="str">
        <f t="shared" si="64"/>
        <v>Matthys Johannes Stephanus</v>
      </c>
      <c r="F360" s="12" t="s">
        <v>2672</v>
      </c>
      <c r="G360" s="12" t="str">
        <f t="shared" si="65"/>
        <v>a2b9c5d2</v>
      </c>
      <c r="H360" s="12" t="str">
        <f t="shared" si="66"/>
        <v>DE BEERa2b9c5d2</v>
      </c>
      <c r="I360" s="12"/>
      <c r="J360" s="12"/>
      <c r="K360" s="12" t="str">
        <f t="shared" si="67"/>
        <v/>
      </c>
      <c r="L360" s="12"/>
      <c r="M360" s="12" t="s">
        <v>2673</v>
      </c>
      <c r="N360" s="12" t="str">
        <f t="shared" si="60"/>
        <v/>
      </c>
      <c r="O360" s="12" t="str">
        <f t="shared" si="61"/>
        <v>1801</v>
      </c>
      <c r="P360" s="12" t="s">
        <v>71</v>
      </c>
      <c r="Q360" s="12" t="str">
        <f t="shared" si="68"/>
        <v>1801</v>
      </c>
      <c r="R360" s="12" t="s">
        <v>72</v>
      </c>
      <c r="S360" s="12" t="str">
        <f t="shared" si="69"/>
        <v>1838</v>
      </c>
      <c r="T360" s="12" t="s">
        <v>28</v>
      </c>
      <c r="U360" s="12" t="s">
        <v>2674</v>
      </c>
      <c r="V360" s="12" t="str">
        <f t="shared" si="70"/>
        <v>1820</v>
      </c>
      <c r="W360" s="12" t="s">
        <v>2675</v>
      </c>
      <c r="X360" s="12" t="s">
        <v>1388</v>
      </c>
      <c r="Y360" s="12"/>
      <c r="Z360" s="12"/>
      <c r="AA360" s="12"/>
      <c r="AB360" s="12"/>
      <c r="AC360" s="12"/>
      <c r="AD360" s="12"/>
      <c r="AE360" s="12"/>
      <c r="AF360" s="12" t="s">
        <v>3724</v>
      </c>
      <c r="AG360" s="12" t="s">
        <v>346</v>
      </c>
      <c r="AH360" s="12" t="s">
        <v>1542</v>
      </c>
      <c r="AI360" s="12" t="str">
        <f t="shared" si="71"/>
        <v>1837</v>
      </c>
      <c r="AJ360" s="12" t="s">
        <v>1502</v>
      </c>
      <c r="AK360" s="12"/>
      <c r="AL360" s="12" t="s">
        <v>28</v>
      </c>
      <c r="AM360" s="12" t="s">
        <v>1349</v>
      </c>
      <c r="AN360" s="12" t="s">
        <v>2676</v>
      </c>
      <c r="AO360" s="12" t="s">
        <v>1495</v>
      </c>
      <c r="AP360" s="12" t="s">
        <v>2677</v>
      </c>
      <c r="AQ360" s="12"/>
      <c r="AR360" s="12" t="s">
        <v>2678</v>
      </c>
      <c r="AS360" s="12" t="s">
        <v>74</v>
      </c>
      <c r="AT360" s="12" t="s">
        <v>2679</v>
      </c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</row>
    <row r="361" spans="1:59">
      <c r="A361" s="12" t="s">
        <v>2549</v>
      </c>
      <c r="B361" s="12" t="str">
        <f t="shared" si="62"/>
        <v>DEBEER</v>
      </c>
      <c r="C361" s="12" t="str">
        <f t="shared" si="63"/>
        <v>DE BEER</v>
      </c>
      <c r="D361" s="12" t="s">
        <v>2604</v>
      </c>
      <c r="E361" s="12" t="str">
        <f t="shared" si="64"/>
        <v>Jan Matthys</v>
      </c>
      <c r="F361" s="12" t="s">
        <v>2609</v>
      </c>
      <c r="G361" s="12" t="str">
        <f t="shared" si="65"/>
        <v>a2b5c4d5e4</v>
      </c>
      <c r="H361" s="12" t="str">
        <f t="shared" si="66"/>
        <v>DE BEERa2b5c4d5e4</v>
      </c>
      <c r="I361" s="12"/>
      <c r="J361" s="12" t="s">
        <v>2610</v>
      </c>
      <c r="K361" s="12" t="str">
        <f t="shared" si="67"/>
        <v>1813</v>
      </c>
      <c r="L361" s="12" t="s">
        <v>74</v>
      </c>
      <c r="M361" s="12" t="s">
        <v>2611</v>
      </c>
      <c r="N361" s="12" t="str">
        <f t="shared" si="60"/>
        <v>1813</v>
      </c>
      <c r="O361" s="12" t="str">
        <f t="shared" si="61"/>
        <v>1815</v>
      </c>
      <c r="P361" s="12"/>
      <c r="Q361" s="12" t="str">
        <f t="shared" si="68"/>
        <v>1813</v>
      </c>
      <c r="R361" s="12"/>
      <c r="S361" s="12" t="str">
        <f t="shared" si="69"/>
        <v/>
      </c>
      <c r="T361" s="12" t="s">
        <v>28</v>
      </c>
      <c r="U361" s="12" t="s">
        <v>2612</v>
      </c>
      <c r="V361" s="12" t="str">
        <f t="shared" si="70"/>
        <v>1834</v>
      </c>
      <c r="W361" s="12" t="s">
        <v>2613</v>
      </c>
      <c r="X361" s="12" t="s">
        <v>2614</v>
      </c>
      <c r="Y361" s="12"/>
      <c r="Z361" s="12"/>
      <c r="AA361" s="12"/>
      <c r="AB361" s="12"/>
      <c r="AC361" s="12"/>
      <c r="AD361" s="12"/>
      <c r="AE361" s="12"/>
      <c r="AF361" s="12"/>
      <c r="AG361" s="12" t="s">
        <v>28</v>
      </c>
      <c r="AH361" s="12" t="s">
        <v>362</v>
      </c>
      <c r="AJ361" s="12"/>
      <c r="AK361" s="12" t="s">
        <v>551</v>
      </c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</row>
    <row r="362" spans="1:59">
      <c r="A362" s="2" t="s">
        <v>2549</v>
      </c>
      <c r="B362" s="12" t="str">
        <f t="shared" si="62"/>
        <v>DEBEER</v>
      </c>
      <c r="C362" s="12" t="str">
        <f t="shared" si="63"/>
        <v>DE BEER</v>
      </c>
      <c r="D362" s="2" t="s">
        <v>2817</v>
      </c>
      <c r="E362" s="12" t="str">
        <f t="shared" si="64"/>
        <v>Johannes Matthys</v>
      </c>
      <c r="F362" s="2" t="s">
        <v>2605</v>
      </c>
      <c r="G362" s="12" t="str">
        <f t="shared" si="65"/>
        <v>a2b5c4d8e1</v>
      </c>
      <c r="H362" s="12" t="str">
        <f t="shared" si="66"/>
        <v>DE BEERa2b5c4d8e1</v>
      </c>
      <c r="J362" s="2">
        <v>1812</v>
      </c>
      <c r="K362" s="12" t="str">
        <f t="shared" si="67"/>
        <v>1812</v>
      </c>
      <c r="L362" s="2" t="s">
        <v>74</v>
      </c>
      <c r="M362" s="2" t="s">
        <v>2821</v>
      </c>
      <c r="N362" s="12" t="str">
        <f t="shared" si="60"/>
        <v>1812</v>
      </c>
      <c r="O362" s="12" t="str">
        <f t="shared" si="61"/>
        <v>1811</v>
      </c>
      <c r="P362" s="2" t="s">
        <v>134</v>
      </c>
      <c r="Q362" s="12" t="str">
        <f t="shared" si="68"/>
        <v>1812</v>
      </c>
      <c r="R362" s="2" t="s">
        <v>2820</v>
      </c>
      <c r="S362" s="12" t="str">
        <f t="shared" si="69"/>
        <v>1875</v>
      </c>
      <c r="T362" s="2" t="s">
        <v>28</v>
      </c>
      <c r="U362" s="2" t="s">
        <v>2606</v>
      </c>
      <c r="V362" s="12" t="str">
        <f t="shared" si="70"/>
        <v>1834</v>
      </c>
      <c r="W362" s="2" t="s">
        <v>2607</v>
      </c>
      <c r="X362" s="2" t="s">
        <v>2235</v>
      </c>
      <c r="AF362" s="2" t="s">
        <v>3699</v>
      </c>
      <c r="AG362" s="2" t="s">
        <v>68</v>
      </c>
      <c r="AH362" s="2">
        <v>1836</v>
      </c>
      <c r="AI362" s="12" t="str">
        <f t="shared" si="71"/>
        <v>1836</v>
      </c>
      <c r="AJ362" s="2" t="s">
        <v>2608</v>
      </c>
      <c r="AK362" s="2" t="s">
        <v>155</v>
      </c>
    </row>
    <row r="363" spans="1:59">
      <c r="A363" s="2" t="s">
        <v>2549</v>
      </c>
      <c r="B363" s="12" t="str">
        <f t="shared" si="62"/>
        <v>DEBEER</v>
      </c>
      <c r="C363" s="12" t="str">
        <f t="shared" si="63"/>
        <v>DE BEER</v>
      </c>
      <c r="D363" s="2" t="s">
        <v>1284</v>
      </c>
      <c r="E363" s="12" t="str">
        <f t="shared" si="64"/>
        <v>Johannes Hendrik</v>
      </c>
      <c r="F363" s="2" t="s">
        <v>2637</v>
      </c>
      <c r="G363" s="12" t="str">
        <f t="shared" si="65"/>
        <v>a2b5c7d9</v>
      </c>
      <c r="H363" s="12" t="str">
        <f t="shared" si="66"/>
        <v>DE BEERa2b5c7d9</v>
      </c>
      <c r="K363" s="12" t="str">
        <f t="shared" si="67"/>
        <v/>
      </c>
      <c r="M363" s="2" t="s">
        <v>2638</v>
      </c>
      <c r="N363" s="12" t="str">
        <f t="shared" si="60"/>
        <v/>
      </c>
      <c r="O363" s="12" t="str">
        <f t="shared" si="61"/>
        <v>1802</v>
      </c>
      <c r="Q363" s="12" t="str">
        <f t="shared" si="68"/>
        <v>1802</v>
      </c>
      <c r="S363" s="12" t="str">
        <f t="shared" si="69"/>
        <v/>
      </c>
      <c r="T363" s="2" t="s">
        <v>28</v>
      </c>
      <c r="U363" s="2" t="s">
        <v>1621</v>
      </c>
      <c r="V363" s="12" t="str">
        <f t="shared" si="70"/>
        <v>1824</v>
      </c>
      <c r="W363" s="2" t="s">
        <v>2639</v>
      </c>
      <c r="X363" s="2" t="s">
        <v>667</v>
      </c>
      <c r="Y363" s="2" t="s">
        <v>2640</v>
      </c>
      <c r="AC363" s="2" t="s">
        <v>2641</v>
      </c>
      <c r="AG363" s="2" t="s">
        <v>68</v>
      </c>
      <c r="AH363" s="2" t="s">
        <v>1357</v>
      </c>
      <c r="AI363" s="12" t="str">
        <f t="shared" si="71"/>
        <v>1837</v>
      </c>
      <c r="AJ363" s="2" t="s">
        <v>1502</v>
      </c>
    </row>
    <row r="364" spans="1:59">
      <c r="A364" s="2" t="s">
        <v>2549</v>
      </c>
      <c r="B364" s="12" t="str">
        <f t="shared" si="62"/>
        <v>DEBEER</v>
      </c>
      <c r="C364" s="12" t="str">
        <f t="shared" si="63"/>
        <v>DE BEER</v>
      </c>
      <c r="D364" s="2" t="s">
        <v>2550</v>
      </c>
      <c r="E364" s="12" t="str">
        <f t="shared" si="64"/>
        <v>Barend Petrus</v>
      </c>
      <c r="F364" s="2" t="s">
        <v>2551</v>
      </c>
      <c r="G364" s="12" t="str">
        <f t="shared" si="65"/>
        <v>a2b6c7d2</v>
      </c>
      <c r="H364" s="12" t="str">
        <f t="shared" si="66"/>
        <v>DE BEERa2b6c7d2</v>
      </c>
      <c r="K364" s="12" t="str">
        <f t="shared" si="67"/>
        <v/>
      </c>
      <c r="M364" s="2" t="s">
        <v>2552</v>
      </c>
      <c r="N364" s="12" t="str">
        <f t="shared" si="60"/>
        <v/>
      </c>
      <c r="O364" s="12" t="str">
        <f t="shared" si="61"/>
        <v>1790</v>
      </c>
      <c r="Q364" s="12" t="str">
        <f t="shared" si="68"/>
        <v>1790</v>
      </c>
      <c r="S364" s="12" t="str">
        <f t="shared" si="69"/>
        <v/>
      </c>
      <c r="T364" s="2" t="s">
        <v>74</v>
      </c>
      <c r="U364" s="2" t="s">
        <v>2553</v>
      </c>
      <c r="V364" s="12" t="str">
        <f t="shared" si="70"/>
        <v>1808</v>
      </c>
      <c r="W364" s="2" t="s">
        <v>2554</v>
      </c>
      <c r="X364" s="2" t="s">
        <v>2026</v>
      </c>
      <c r="AC364" s="2">
        <v>1793</v>
      </c>
      <c r="AG364" s="2" t="s">
        <v>74</v>
      </c>
      <c r="AH364" s="2" t="s">
        <v>362</v>
      </c>
      <c r="AK364" s="2" t="s">
        <v>551</v>
      </c>
      <c r="AN364" s="2" t="s">
        <v>2555</v>
      </c>
      <c r="AO364" s="2" t="s">
        <v>2556</v>
      </c>
      <c r="AY364" s="2" t="s">
        <v>823</v>
      </c>
      <c r="AZ364" s="2" t="s">
        <v>1299</v>
      </c>
    </row>
    <row r="365" spans="1:59">
      <c r="A365" s="12" t="s">
        <v>2250</v>
      </c>
      <c r="B365" s="12" t="str">
        <f t="shared" si="62"/>
        <v>DEBRUYN</v>
      </c>
      <c r="C365" s="12" t="str">
        <f t="shared" si="63"/>
        <v>DE BRUYN</v>
      </c>
      <c r="D365" s="12" t="s">
        <v>139</v>
      </c>
      <c r="E365" s="12" t="str">
        <f t="shared" si="64"/>
        <v>Hendrik Jacobus</v>
      </c>
      <c r="F365" s="12" t="s">
        <v>2845</v>
      </c>
      <c r="G365" s="12" t="str">
        <f t="shared" si="65"/>
        <v>a1b5c10d1e1</v>
      </c>
      <c r="H365" s="12" t="str">
        <f t="shared" si="66"/>
        <v>DE BRUYNa1b5c10d1e1</v>
      </c>
      <c r="I365" s="12"/>
      <c r="J365" s="12" t="s">
        <v>2849</v>
      </c>
      <c r="K365" s="12" t="str">
        <f t="shared" si="67"/>
        <v>1825</v>
      </c>
      <c r="L365" s="12" t="s">
        <v>28</v>
      </c>
      <c r="M365" s="12" t="s">
        <v>2850</v>
      </c>
      <c r="N365" s="12" t="str">
        <f t="shared" si="60"/>
        <v>1825</v>
      </c>
      <c r="O365" s="12" t="str">
        <f t="shared" si="61"/>
        <v>1825</v>
      </c>
      <c r="P365" s="12" t="s">
        <v>2851</v>
      </c>
      <c r="Q365" s="12" t="str">
        <f t="shared" si="68"/>
        <v>1825</v>
      </c>
      <c r="R365" s="12" t="s">
        <v>2852</v>
      </c>
      <c r="S365" s="12" t="str">
        <f t="shared" si="69"/>
        <v>1908</v>
      </c>
      <c r="T365" s="12"/>
      <c r="U365" s="12" t="s">
        <v>2853</v>
      </c>
      <c r="V365" s="12" t="str">
        <f t="shared" si="70"/>
        <v>1844</v>
      </c>
      <c r="W365" s="12" t="s">
        <v>2854</v>
      </c>
      <c r="X365" s="12" t="s">
        <v>640</v>
      </c>
      <c r="Y365" s="12" t="s">
        <v>2855</v>
      </c>
      <c r="Z365" s="12"/>
      <c r="AA365" s="12" t="s">
        <v>2856</v>
      </c>
      <c r="AB365" s="12"/>
      <c r="AC365" s="12"/>
      <c r="AD365" s="12" t="s">
        <v>2857</v>
      </c>
      <c r="AE365" s="12" t="s">
        <v>2858</v>
      </c>
      <c r="AF365" s="12" t="s">
        <v>3699</v>
      </c>
      <c r="AG365" s="12" t="s">
        <v>28</v>
      </c>
      <c r="AH365" s="12"/>
      <c r="AI365" s="12" t="str">
        <f t="shared" si="71"/>
        <v/>
      </c>
      <c r="AJ365" s="12"/>
      <c r="AK365" s="12" t="s">
        <v>2859</v>
      </c>
      <c r="AL365" s="12" t="s">
        <v>81</v>
      </c>
      <c r="AM365" s="12" t="s">
        <v>2860</v>
      </c>
      <c r="AN365" s="12" t="s">
        <v>650</v>
      </c>
      <c r="AO365" s="12" t="s">
        <v>700</v>
      </c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</row>
    <row r="366" spans="1:59">
      <c r="A366" s="2" t="s">
        <v>2250</v>
      </c>
      <c r="B366" s="12" t="str">
        <f t="shared" si="62"/>
        <v>DEBRUYN</v>
      </c>
      <c r="C366" s="12" t="str">
        <f t="shared" si="63"/>
        <v>DE BRUYN</v>
      </c>
      <c r="D366" s="2" t="s">
        <v>139</v>
      </c>
      <c r="E366" s="12" t="str">
        <f t="shared" si="64"/>
        <v>Hendrik Jacobus</v>
      </c>
      <c r="F366" s="2" t="s">
        <v>2861</v>
      </c>
      <c r="G366" s="12" t="str">
        <f t="shared" si="65"/>
        <v>a1b5c5d1</v>
      </c>
      <c r="H366" s="12" t="str">
        <f t="shared" si="66"/>
        <v>DE BRUYNa1b5c5d1</v>
      </c>
      <c r="J366" s="2" t="s">
        <v>2846</v>
      </c>
      <c r="K366" s="12" t="str">
        <f t="shared" si="67"/>
        <v>1795</v>
      </c>
      <c r="L366" s="2" t="s">
        <v>1071</v>
      </c>
      <c r="M366" s="2" t="s">
        <v>2847</v>
      </c>
      <c r="N366" s="12" t="str">
        <f t="shared" si="60"/>
        <v>1795</v>
      </c>
      <c r="O366" s="12" t="str">
        <f t="shared" si="61"/>
        <v>1795</v>
      </c>
      <c r="P366" s="2" t="s">
        <v>1289</v>
      </c>
      <c r="Q366" s="12" t="str">
        <f t="shared" si="68"/>
        <v>1795</v>
      </c>
      <c r="R366" s="2" t="s">
        <v>2848</v>
      </c>
      <c r="S366" s="12" t="str">
        <f t="shared" si="69"/>
        <v>1883</v>
      </c>
      <c r="T366" s="2" t="s">
        <v>74</v>
      </c>
      <c r="U366" s="2" t="s">
        <v>365</v>
      </c>
      <c r="V366" s="12" t="str">
        <f t="shared" si="70"/>
        <v>1814</v>
      </c>
      <c r="W366" s="2" t="s">
        <v>2862</v>
      </c>
      <c r="X366" s="2" t="s">
        <v>1109</v>
      </c>
      <c r="AF366" s="2" t="s">
        <v>3699</v>
      </c>
      <c r="AG366" s="2" t="s">
        <v>68</v>
      </c>
      <c r="AH366" s="2" t="s">
        <v>1172</v>
      </c>
      <c r="AI366" s="12" t="str">
        <f t="shared" si="71"/>
        <v>1837</v>
      </c>
      <c r="AJ366" s="2" t="s">
        <v>277</v>
      </c>
      <c r="AK366" s="2" t="s">
        <v>551</v>
      </c>
    </row>
    <row r="367" spans="1:59">
      <c r="A367" s="2" t="s">
        <v>2250</v>
      </c>
      <c r="B367" s="12" t="str">
        <f t="shared" si="62"/>
        <v>DEBRUYN</v>
      </c>
      <c r="C367" s="12" t="str">
        <f t="shared" si="63"/>
        <v>DE BRUYN</v>
      </c>
      <c r="D367" s="2" t="s">
        <v>1764</v>
      </c>
      <c r="E367" s="12" t="str">
        <f t="shared" si="64"/>
        <v>Jan</v>
      </c>
      <c r="F367" s="2" t="s">
        <v>2878</v>
      </c>
      <c r="G367" s="12" t="str">
        <f t="shared" si="65"/>
        <v>a1b5c5d1e2</v>
      </c>
      <c r="H367" s="12" t="str">
        <f t="shared" si="66"/>
        <v>DE BRUYNa1b5c5d1e2</v>
      </c>
      <c r="J367" s="2" t="s">
        <v>2879</v>
      </c>
      <c r="K367" s="12" t="str">
        <f t="shared" si="67"/>
        <v>1816</v>
      </c>
      <c r="L367" s="2" t="s">
        <v>74</v>
      </c>
      <c r="M367" s="2" t="s">
        <v>203</v>
      </c>
      <c r="N367" s="12" t="str">
        <f t="shared" si="60"/>
        <v>1816</v>
      </c>
      <c r="O367" s="12" t="str">
        <f t="shared" si="61"/>
        <v>1817</v>
      </c>
      <c r="Q367" s="12" t="str">
        <f t="shared" si="68"/>
        <v>1816</v>
      </c>
      <c r="S367" s="12" t="str">
        <f t="shared" si="69"/>
        <v/>
      </c>
      <c r="T367" s="2" t="s">
        <v>28</v>
      </c>
      <c r="U367" s="2" t="s">
        <v>2874</v>
      </c>
      <c r="V367" s="12" t="str">
        <f t="shared" si="70"/>
        <v>1833</v>
      </c>
      <c r="W367" s="2" t="s">
        <v>741</v>
      </c>
      <c r="X367" s="2" t="s">
        <v>2880</v>
      </c>
      <c r="AE367" s="2" t="s">
        <v>2881</v>
      </c>
      <c r="AF367" s="2" t="s">
        <v>3699</v>
      </c>
      <c r="AG367" s="2" t="s">
        <v>68</v>
      </c>
      <c r="AH367" s="2" t="s">
        <v>1172</v>
      </c>
      <c r="AI367" s="12" t="str">
        <f t="shared" si="71"/>
        <v>1837</v>
      </c>
      <c r="AJ367" s="2" t="s">
        <v>277</v>
      </c>
      <c r="AK367" s="2" t="s">
        <v>2882</v>
      </c>
      <c r="AL367" s="2" t="s">
        <v>168</v>
      </c>
      <c r="AM367" s="2" t="s">
        <v>2883</v>
      </c>
      <c r="AN367" s="2" t="s">
        <v>644</v>
      </c>
      <c r="AO367" s="2" t="s">
        <v>2867</v>
      </c>
      <c r="AQ367" s="2" t="s">
        <v>2884</v>
      </c>
      <c r="AR367" s="2" t="s">
        <v>74</v>
      </c>
      <c r="AS367" s="2" t="s">
        <v>2885</v>
      </c>
    </row>
    <row r="368" spans="1:59">
      <c r="A368" s="2" t="s">
        <v>2250</v>
      </c>
      <c r="B368" s="12" t="str">
        <f t="shared" si="62"/>
        <v>DEBRUYN</v>
      </c>
      <c r="C368" s="12" t="str">
        <f t="shared" si="63"/>
        <v>DE BRUYN</v>
      </c>
      <c r="D368" s="2" t="s">
        <v>2272</v>
      </c>
      <c r="E368" s="12" t="str">
        <f t="shared" si="64"/>
        <v>Phillippus Jeremias</v>
      </c>
      <c r="F368" s="2" t="s">
        <v>2897</v>
      </c>
      <c r="G368" s="12" t="str">
        <f t="shared" si="65"/>
        <v>a1b5c5d1e5</v>
      </c>
      <c r="H368" s="12" t="str">
        <f t="shared" si="66"/>
        <v>DE BRUYNa1b5c5d1e5</v>
      </c>
      <c r="J368" s="2" t="s">
        <v>2898</v>
      </c>
      <c r="K368" s="12" t="str">
        <f t="shared" si="67"/>
        <v>1822</v>
      </c>
      <c r="L368" s="2" t="s">
        <v>28</v>
      </c>
      <c r="M368" s="2" t="s">
        <v>2899</v>
      </c>
      <c r="N368" s="12" t="str">
        <f t="shared" si="60"/>
        <v>1822</v>
      </c>
      <c r="O368" s="12" t="str">
        <f t="shared" si="61"/>
        <v>1822</v>
      </c>
      <c r="Q368" s="12" t="str">
        <f t="shared" si="68"/>
        <v>1822</v>
      </c>
      <c r="S368" s="12" t="str">
        <f t="shared" si="69"/>
        <v/>
      </c>
      <c r="T368" s="2" t="s">
        <v>28</v>
      </c>
      <c r="U368" s="2" t="s">
        <v>2900</v>
      </c>
      <c r="V368" s="12" t="str">
        <f t="shared" si="70"/>
        <v>1844</v>
      </c>
      <c r="W368" s="2" t="s">
        <v>650</v>
      </c>
      <c r="X368" s="2" t="s">
        <v>2901</v>
      </c>
      <c r="AF368" s="2" t="s">
        <v>3699</v>
      </c>
      <c r="AG368" s="2" t="s">
        <v>68</v>
      </c>
      <c r="AH368" s="2">
        <v>1837</v>
      </c>
      <c r="AI368" s="12" t="str">
        <f t="shared" si="71"/>
        <v>1837</v>
      </c>
      <c r="AJ368" s="2" t="s">
        <v>277</v>
      </c>
      <c r="AN368" s="2" t="s">
        <v>2902</v>
      </c>
      <c r="AO368" s="2" t="s">
        <v>2903</v>
      </c>
    </row>
    <row r="369" spans="1:69">
      <c r="A369" s="2" t="s">
        <v>2250</v>
      </c>
      <c r="B369" s="12" t="str">
        <f t="shared" si="62"/>
        <v>DEBRUYN</v>
      </c>
      <c r="C369" s="12" t="str">
        <f t="shared" si="63"/>
        <v>DE BRUYN</v>
      </c>
      <c r="D369" s="2" t="s">
        <v>143</v>
      </c>
      <c r="E369" s="12" t="str">
        <f t="shared" si="64"/>
        <v>Hendrik Johannes</v>
      </c>
      <c r="F369" s="2" t="s">
        <v>2863</v>
      </c>
      <c r="G369" s="12" t="str">
        <f t="shared" si="65"/>
        <v>a1b5c5d1e6</v>
      </c>
      <c r="H369" s="12" t="str">
        <f t="shared" si="66"/>
        <v>DE BRUYNa1b5c5d1e6</v>
      </c>
      <c r="J369" s="2" t="s">
        <v>2864</v>
      </c>
      <c r="K369" s="12" t="str">
        <f t="shared" si="67"/>
        <v>1823</v>
      </c>
      <c r="L369" s="2" t="s">
        <v>28</v>
      </c>
      <c r="M369" s="2" t="s">
        <v>1621</v>
      </c>
      <c r="N369" s="12" t="str">
        <f t="shared" si="60"/>
        <v>1823</v>
      </c>
      <c r="O369" s="12" t="str">
        <f t="shared" si="61"/>
        <v>1824</v>
      </c>
      <c r="P369" s="2" t="s">
        <v>24</v>
      </c>
      <c r="Q369" s="12" t="str">
        <f t="shared" si="68"/>
        <v>1823</v>
      </c>
      <c r="R369" s="2" t="s">
        <v>2865</v>
      </c>
      <c r="S369" s="12" t="str">
        <f t="shared" si="69"/>
        <v>1885</v>
      </c>
      <c r="T369" s="2" t="s">
        <v>28</v>
      </c>
      <c r="U369" s="2" t="s">
        <v>2866</v>
      </c>
      <c r="V369" s="12" t="str">
        <f t="shared" si="70"/>
        <v>1842</v>
      </c>
      <c r="W369" s="2" t="s">
        <v>1881</v>
      </c>
      <c r="X369" s="2" t="s">
        <v>2867</v>
      </c>
      <c r="Y369" s="2" t="s">
        <v>2868</v>
      </c>
      <c r="AB369" s="2" t="s">
        <v>28</v>
      </c>
      <c r="AC369" s="2" t="s">
        <v>1333</v>
      </c>
      <c r="AD369" s="2" t="s">
        <v>190</v>
      </c>
      <c r="AE369" s="2" t="s">
        <v>2869</v>
      </c>
      <c r="AF369" s="2" t="s">
        <v>3699</v>
      </c>
      <c r="AG369" s="2" t="s">
        <v>68</v>
      </c>
      <c r="AH369" s="2" t="s">
        <v>2870</v>
      </c>
      <c r="AI369" s="12" t="str">
        <f t="shared" si="71"/>
        <v>1842</v>
      </c>
      <c r="AK369" s="2" t="s">
        <v>551</v>
      </c>
    </row>
    <row r="370" spans="1:69">
      <c r="A370" s="2" t="s">
        <v>2250</v>
      </c>
      <c r="B370" s="12" t="str">
        <f t="shared" si="62"/>
        <v>DEBRUYN</v>
      </c>
      <c r="C370" s="12" t="str">
        <f t="shared" si="63"/>
        <v>DE BRUYN</v>
      </c>
      <c r="D370" s="2" t="s">
        <v>1764</v>
      </c>
      <c r="E370" s="12" t="str">
        <f t="shared" si="64"/>
        <v>Jan</v>
      </c>
      <c r="F370" s="2" t="s">
        <v>2871</v>
      </c>
      <c r="G370" s="12" t="str">
        <f t="shared" si="65"/>
        <v>a1b5c5d8</v>
      </c>
      <c r="H370" s="12" t="str">
        <f t="shared" si="66"/>
        <v>DE BRUYNa1b5c5d8</v>
      </c>
      <c r="J370" s="2" t="s">
        <v>2872</v>
      </c>
      <c r="K370" s="12" t="str">
        <f t="shared" si="67"/>
        <v>1814</v>
      </c>
      <c r="L370" s="2" t="s">
        <v>74</v>
      </c>
      <c r="M370" s="2" t="s">
        <v>2873</v>
      </c>
      <c r="N370" s="12" t="str">
        <f t="shared" si="60"/>
        <v>1814</v>
      </c>
      <c r="O370" s="12" t="str">
        <f t="shared" si="61"/>
        <v>1815</v>
      </c>
      <c r="Q370" s="12" t="str">
        <f t="shared" si="68"/>
        <v>1814</v>
      </c>
      <c r="S370" s="12" t="str">
        <f t="shared" si="69"/>
        <v/>
      </c>
      <c r="T370" s="2" t="s">
        <v>28</v>
      </c>
      <c r="U370" s="2" t="s">
        <v>2874</v>
      </c>
      <c r="V370" s="12" t="str">
        <f t="shared" si="70"/>
        <v>1833</v>
      </c>
      <c r="W370" s="2" t="s">
        <v>1838</v>
      </c>
      <c r="X370" s="2" t="s">
        <v>2235</v>
      </c>
      <c r="AD370" s="2" t="s">
        <v>2875</v>
      </c>
      <c r="AE370" s="2" t="s">
        <v>2876</v>
      </c>
      <c r="AF370" s="2" t="s">
        <v>3699</v>
      </c>
      <c r="AG370" s="2" t="s">
        <v>68</v>
      </c>
      <c r="AH370" s="2" t="s">
        <v>1172</v>
      </c>
      <c r="AI370" s="12" t="str">
        <f t="shared" si="71"/>
        <v>1837</v>
      </c>
      <c r="AJ370" s="2" t="s">
        <v>277</v>
      </c>
      <c r="AK370" s="2" t="s">
        <v>2877</v>
      </c>
    </row>
    <row r="371" spans="1:69">
      <c r="A371" s="2" t="s">
        <v>2886</v>
      </c>
      <c r="B371" s="12" t="str">
        <f t="shared" si="62"/>
        <v>DEBRUYN</v>
      </c>
      <c r="C371" s="12" t="str">
        <f t="shared" si="63"/>
        <v>DE BRUYN</v>
      </c>
      <c r="D371" s="2" t="s">
        <v>1600</v>
      </c>
      <c r="E371" s="12" t="str">
        <f t="shared" si="64"/>
        <v>Petrus Frederik Barendse</v>
      </c>
      <c r="F371" s="2" t="s">
        <v>2887</v>
      </c>
      <c r="G371" s="12" t="str">
        <f t="shared" si="65"/>
        <v>a1b5c1d9</v>
      </c>
      <c r="H371" s="12" t="str">
        <f t="shared" si="66"/>
        <v>DE BRUYNa1b5c1d9</v>
      </c>
      <c r="J371" s="2" t="s">
        <v>2888</v>
      </c>
      <c r="K371" s="12" t="str">
        <f t="shared" si="67"/>
        <v>1799</v>
      </c>
      <c r="L371" s="2" t="s">
        <v>74</v>
      </c>
      <c r="M371" s="2" t="s">
        <v>2889</v>
      </c>
      <c r="N371" s="12" t="str">
        <f t="shared" si="60"/>
        <v>1799</v>
      </c>
      <c r="O371" s="12" t="str">
        <f t="shared" si="61"/>
        <v>1799</v>
      </c>
      <c r="P371" s="2" t="s">
        <v>2890</v>
      </c>
      <c r="Q371" s="12" t="str">
        <f t="shared" si="68"/>
        <v>1799</v>
      </c>
      <c r="R371" s="2" t="s">
        <v>2891</v>
      </c>
      <c r="S371" s="12" t="str">
        <f t="shared" si="69"/>
        <v>1890</v>
      </c>
      <c r="T371" s="2" t="s">
        <v>28</v>
      </c>
      <c r="U371" s="2" t="s">
        <v>2892</v>
      </c>
      <c r="V371" s="12" t="str">
        <f t="shared" si="70"/>
        <v>1818</v>
      </c>
      <c r="W371" s="2" t="s">
        <v>2893</v>
      </c>
      <c r="X371" s="2" t="s">
        <v>1034</v>
      </c>
      <c r="Y371" s="2" t="s">
        <v>2894</v>
      </c>
      <c r="AC371" s="2" t="s">
        <v>2895</v>
      </c>
      <c r="AE371" s="2" t="s">
        <v>2896</v>
      </c>
      <c r="AF371" s="2" t="s">
        <v>3699</v>
      </c>
      <c r="AG371" s="2" t="s">
        <v>68</v>
      </c>
      <c r="AH371" s="2" t="s">
        <v>1172</v>
      </c>
      <c r="AI371" s="12" t="str">
        <f t="shared" si="71"/>
        <v>1837</v>
      </c>
      <c r="AJ371" s="2" t="s">
        <v>277</v>
      </c>
      <c r="AK371" s="2" t="s">
        <v>2890</v>
      </c>
      <c r="BQ371" s="2" t="s">
        <v>1168</v>
      </c>
    </row>
    <row r="372" spans="1:69">
      <c r="A372" s="12" t="s">
        <v>2402</v>
      </c>
      <c r="B372" s="12" t="str">
        <f t="shared" si="62"/>
        <v>DEJAGER</v>
      </c>
      <c r="C372" s="12" t="str">
        <f t="shared" si="63"/>
        <v>DE JAGER</v>
      </c>
      <c r="D372" s="2" t="s">
        <v>3019</v>
      </c>
      <c r="E372" s="12" t="str">
        <f t="shared" si="64"/>
        <v>Klaas Marthinus</v>
      </c>
      <c r="F372" s="2" t="s">
        <v>837</v>
      </c>
      <c r="G372" s="12" t="str">
        <f t="shared" si="65"/>
        <v>a1b1</v>
      </c>
      <c r="H372" s="12" t="str">
        <f t="shared" si="66"/>
        <v>DE JAGERa1b1</v>
      </c>
      <c r="J372" s="2" t="s">
        <v>3020</v>
      </c>
      <c r="K372" s="12" t="str">
        <f t="shared" si="67"/>
        <v>1801</v>
      </c>
      <c r="N372" s="12" t="str">
        <f t="shared" si="60"/>
        <v>1801</v>
      </c>
      <c r="O372" s="12" t="str">
        <f t="shared" si="61"/>
        <v/>
      </c>
      <c r="Q372" s="12" t="str">
        <f t="shared" si="68"/>
        <v>1801</v>
      </c>
      <c r="R372" s="2" t="s">
        <v>3021</v>
      </c>
      <c r="S372" s="12" t="str">
        <f t="shared" si="69"/>
        <v>1883</v>
      </c>
      <c r="T372" s="2" t="s">
        <v>53</v>
      </c>
      <c r="U372" s="2" t="s">
        <v>3022</v>
      </c>
      <c r="V372" s="12" t="str">
        <f t="shared" si="70"/>
        <v>1825</v>
      </c>
      <c r="W372" s="2" t="s">
        <v>3023</v>
      </c>
      <c r="X372" s="2" t="s">
        <v>731</v>
      </c>
      <c r="AE372" s="2" t="s">
        <v>3024</v>
      </c>
      <c r="AF372" s="2" t="s">
        <v>3677</v>
      </c>
      <c r="AG372" s="2" t="s">
        <v>53</v>
      </c>
      <c r="AH372" s="2" t="s">
        <v>2479</v>
      </c>
      <c r="AI372" s="12" t="str">
        <f t="shared" si="71"/>
        <v>1836</v>
      </c>
      <c r="AJ372" s="2" t="s">
        <v>1696</v>
      </c>
      <c r="AK372" s="2" t="s">
        <v>90</v>
      </c>
    </row>
    <row r="373" spans="1:69">
      <c r="A373" s="12" t="s">
        <v>2402</v>
      </c>
      <c r="B373" s="12" t="str">
        <f t="shared" si="62"/>
        <v>DEJAGER</v>
      </c>
      <c r="C373" s="12" t="str">
        <f t="shared" si="63"/>
        <v>DE JAGER</v>
      </c>
      <c r="D373" s="2" t="s">
        <v>2961</v>
      </c>
      <c r="E373" s="12" t="str">
        <f t="shared" si="64"/>
        <v>Lodewyk Sr</v>
      </c>
      <c r="F373" s="2" t="s">
        <v>2962</v>
      </c>
      <c r="G373" s="12" t="str">
        <f t="shared" si="65"/>
        <v>a1b1c11d5</v>
      </c>
      <c r="H373" s="12" t="str">
        <f t="shared" si="66"/>
        <v>DE JAGERa1b1c11d5</v>
      </c>
      <c r="K373" s="12" t="str">
        <f t="shared" si="67"/>
        <v/>
      </c>
      <c r="M373" s="2" t="s">
        <v>2963</v>
      </c>
      <c r="N373" s="12" t="str">
        <f t="shared" si="60"/>
        <v/>
      </c>
      <c r="O373" s="12" t="str">
        <f t="shared" si="61"/>
        <v>1782</v>
      </c>
      <c r="Q373" s="12" t="str">
        <f t="shared" si="68"/>
        <v>1782</v>
      </c>
      <c r="S373" s="12" t="str">
        <f t="shared" si="69"/>
        <v/>
      </c>
      <c r="T373" s="2" t="s">
        <v>48</v>
      </c>
      <c r="U373" s="2" t="s">
        <v>2964</v>
      </c>
      <c r="V373" s="12" t="str">
        <f t="shared" si="70"/>
        <v>1803</v>
      </c>
      <c r="W373" s="2" t="s">
        <v>2965</v>
      </c>
      <c r="X373" s="2" t="s">
        <v>760</v>
      </c>
      <c r="Y373" s="2" t="s">
        <v>2966</v>
      </c>
      <c r="AA373" s="2" t="s">
        <v>2967</v>
      </c>
      <c r="AD373" s="2" t="s">
        <v>90</v>
      </c>
      <c r="AE373" s="2" t="s">
        <v>2968</v>
      </c>
      <c r="AF373" s="2" t="s">
        <v>3677</v>
      </c>
      <c r="AG373" s="2" t="s">
        <v>53</v>
      </c>
      <c r="AH373" s="2" t="s">
        <v>2479</v>
      </c>
      <c r="AI373" s="12" t="str">
        <f t="shared" si="71"/>
        <v>1836</v>
      </c>
      <c r="AJ373" s="2" t="s">
        <v>1696</v>
      </c>
      <c r="AK373" s="2" t="s">
        <v>90</v>
      </c>
    </row>
    <row r="374" spans="1:69">
      <c r="A374" s="12" t="s">
        <v>2402</v>
      </c>
      <c r="B374" s="12" t="str">
        <f t="shared" si="62"/>
        <v>DEJAGER</v>
      </c>
      <c r="C374" s="12" t="str">
        <f t="shared" si="63"/>
        <v>DE JAGER</v>
      </c>
      <c r="D374" s="2" t="s">
        <v>2946</v>
      </c>
      <c r="E374" s="12" t="str">
        <f t="shared" si="64"/>
        <v xml:space="preserve">J.G. </v>
      </c>
      <c r="F374" s="2" t="s">
        <v>2947</v>
      </c>
      <c r="G374" s="12" t="str">
        <f t="shared" si="65"/>
        <v>a1b1c11d5e?</v>
      </c>
      <c r="H374" s="12" t="str">
        <f t="shared" si="66"/>
        <v>DE JAGERa1b1c11d5e?</v>
      </c>
      <c r="K374" s="12" t="str">
        <f t="shared" si="67"/>
        <v/>
      </c>
      <c r="N374" s="12" t="str">
        <f t="shared" si="60"/>
        <v/>
      </c>
      <c r="O374" s="12" t="str">
        <f t="shared" si="61"/>
        <v/>
      </c>
      <c r="Q374" s="12" t="str">
        <f t="shared" si="68"/>
        <v/>
      </c>
      <c r="S374" s="12" t="str">
        <f t="shared" si="69"/>
        <v/>
      </c>
      <c r="V374" s="12" t="str">
        <f t="shared" si="70"/>
        <v/>
      </c>
      <c r="AF374" s="2" t="s">
        <v>3677</v>
      </c>
      <c r="AG374" s="2" t="s">
        <v>53</v>
      </c>
      <c r="AH374" s="2" t="s">
        <v>2479</v>
      </c>
      <c r="AI374" s="12" t="str">
        <f t="shared" si="71"/>
        <v>1836</v>
      </c>
      <c r="AJ374" s="2" t="s">
        <v>1696</v>
      </c>
      <c r="BQ374" s="2" t="s">
        <v>2948</v>
      </c>
    </row>
    <row r="375" spans="1:69">
      <c r="A375" s="12" t="s">
        <v>2402</v>
      </c>
      <c r="B375" s="12" t="str">
        <f t="shared" si="62"/>
        <v>DEJAGER</v>
      </c>
      <c r="C375" s="12" t="str">
        <f t="shared" si="63"/>
        <v>DE JAGER</v>
      </c>
      <c r="D375" s="2" t="s">
        <v>2971</v>
      </c>
      <c r="E375" s="12" t="str">
        <f t="shared" si="64"/>
        <v>Lodewyk Jr</v>
      </c>
      <c r="F375" s="2" t="s">
        <v>2970</v>
      </c>
      <c r="G375" s="12" t="str">
        <f t="shared" si="65"/>
        <v>a1b1c11d5e2</v>
      </c>
      <c r="H375" s="12" t="str">
        <f t="shared" si="66"/>
        <v>DE JAGERa1b1c11d5e2</v>
      </c>
      <c r="K375" s="12" t="str">
        <f t="shared" si="67"/>
        <v/>
      </c>
      <c r="L375" s="2" t="s">
        <v>961</v>
      </c>
      <c r="M375" s="2" t="s">
        <v>2978</v>
      </c>
      <c r="N375" s="12" t="str">
        <f t="shared" si="60"/>
        <v/>
      </c>
      <c r="O375" s="12" t="str">
        <f t="shared" si="61"/>
        <v>1806</v>
      </c>
      <c r="Q375" s="12" t="str">
        <f t="shared" si="68"/>
        <v>1806</v>
      </c>
      <c r="S375" s="12" t="str">
        <f t="shared" si="69"/>
        <v/>
      </c>
      <c r="T375" s="2" t="s">
        <v>53</v>
      </c>
      <c r="U375" s="2" t="s">
        <v>2979</v>
      </c>
      <c r="V375" s="12" t="str">
        <f t="shared" si="70"/>
        <v>1823</v>
      </c>
      <c r="W375" s="2" t="s">
        <v>2980</v>
      </c>
      <c r="X375" s="2" t="s">
        <v>757</v>
      </c>
      <c r="Y375" s="2" t="s">
        <v>2981</v>
      </c>
      <c r="AA375" s="2" t="s">
        <v>2976</v>
      </c>
      <c r="AF375" s="2" t="s">
        <v>3677</v>
      </c>
      <c r="AG375" s="2" t="s">
        <v>53</v>
      </c>
      <c r="AH375" s="2" t="s">
        <v>284</v>
      </c>
      <c r="AI375" s="12" t="str">
        <f t="shared" si="71"/>
        <v>1837</v>
      </c>
      <c r="AJ375" s="2" t="s">
        <v>1696</v>
      </c>
      <c r="AK375" s="2" t="s">
        <v>90</v>
      </c>
    </row>
    <row r="376" spans="1:69">
      <c r="A376" s="2" t="s">
        <v>2402</v>
      </c>
      <c r="B376" s="12" t="str">
        <f t="shared" si="62"/>
        <v>DEJAGER</v>
      </c>
      <c r="C376" s="12" t="str">
        <f t="shared" si="63"/>
        <v>DE JAGER</v>
      </c>
      <c r="D376" s="2" t="s">
        <v>2929</v>
      </c>
      <c r="E376" s="12" t="str">
        <f t="shared" si="64"/>
        <v>Gerhardus Wilhelmus</v>
      </c>
      <c r="F376" s="2" t="s">
        <v>2930</v>
      </c>
      <c r="G376" s="12" t="str">
        <f t="shared" si="65"/>
        <v>a1b1c11d5e3</v>
      </c>
      <c r="H376" s="12" t="str">
        <f t="shared" si="66"/>
        <v>DE JAGERa1b1c11d5e3</v>
      </c>
      <c r="J376" s="2" t="s">
        <v>2931</v>
      </c>
      <c r="K376" s="12" t="str">
        <f t="shared" si="67"/>
        <v>1808</v>
      </c>
      <c r="M376" s="2" t="s">
        <v>2932</v>
      </c>
      <c r="N376" s="12" t="str">
        <f t="shared" si="60"/>
        <v>1808</v>
      </c>
      <c r="O376" s="12" t="str">
        <f t="shared" si="61"/>
        <v>1809</v>
      </c>
      <c r="Q376" s="12" t="str">
        <f t="shared" si="68"/>
        <v>1808</v>
      </c>
      <c r="S376" s="12" t="str">
        <f t="shared" si="69"/>
        <v/>
      </c>
      <c r="V376" s="12" t="str">
        <f t="shared" si="70"/>
        <v/>
      </c>
      <c r="W376" s="2" t="s">
        <v>2933</v>
      </c>
      <c r="X376" s="2" t="s">
        <v>757</v>
      </c>
      <c r="Y376" s="2" t="s">
        <v>2934</v>
      </c>
      <c r="AF376" s="2" t="s">
        <v>3677</v>
      </c>
      <c r="AG376" s="2" t="s">
        <v>53</v>
      </c>
      <c r="AH376" s="2" t="s">
        <v>215</v>
      </c>
      <c r="AI376" s="12" t="str">
        <f t="shared" si="71"/>
        <v>1837</v>
      </c>
      <c r="AJ376" s="2" t="s">
        <v>2937</v>
      </c>
      <c r="AK376" s="2" t="s">
        <v>90</v>
      </c>
      <c r="AL376" s="2" t="s">
        <v>2355</v>
      </c>
      <c r="AM376" s="2" t="s">
        <v>2935</v>
      </c>
      <c r="AN376" s="2" t="s">
        <v>2936</v>
      </c>
      <c r="AO376" s="2" t="s">
        <v>697</v>
      </c>
    </row>
    <row r="377" spans="1:69">
      <c r="A377" s="2" t="s">
        <v>2402</v>
      </c>
      <c r="B377" s="12" t="str">
        <f t="shared" si="62"/>
        <v>DEJAGER</v>
      </c>
      <c r="C377" s="12" t="str">
        <f t="shared" si="63"/>
        <v>DE JAGER</v>
      </c>
      <c r="D377" s="2" t="s">
        <v>2954</v>
      </c>
      <c r="E377" s="12" t="str">
        <f t="shared" si="64"/>
        <v>Johannes Wilhelmus</v>
      </c>
      <c r="F377" s="2" t="s">
        <v>2955</v>
      </c>
      <c r="G377" s="12" t="str">
        <f t="shared" si="65"/>
        <v>a1b1c11d5e7</v>
      </c>
      <c r="H377" s="12" t="str">
        <f t="shared" si="66"/>
        <v>DE JAGERa1b1c11d5e7</v>
      </c>
      <c r="J377" s="2" t="s">
        <v>2956</v>
      </c>
      <c r="K377" s="12" t="str">
        <f t="shared" si="67"/>
        <v>1818</v>
      </c>
      <c r="L377" s="2" t="s">
        <v>53</v>
      </c>
      <c r="M377" s="2" t="s">
        <v>2426</v>
      </c>
      <c r="N377" s="12" t="str">
        <f t="shared" si="60"/>
        <v>1818</v>
      </c>
      <c r="O377" s="12" t="str">
        <f t="shared" si="61"/>
        <v>1818</v>
      </c>
      <c r="P377" s="2" t="s">
        <v>90</v>
      </c>
      <c r="Q377" s="12" t="str">
        <f t="shared" si="68"/>
        <v>1818</v>
      </c>
      <c r="R377" s="2" t="s">
        <v>2957</v>
      </c>
      <c r="S377" s="12" t="str">
        <f t="shared" si="69"/>
        <v>1902</v>
      </c>
      <c r="V377" s="12" t="str">
        <f t="shared" si="70"/>
        <v/>
      </c>
      <c r="W377" s="2" t="s">
        <v>2958</v>
      </c>
      <c r="X377" s="2" t="s">
        <v>1961</v>
      </c>
      <c r="Y377" s="2" t="s">
        <v>860</v>
      </c>
      <c r="AC377" s="2" t="s">
        <v>2959</v>
      </c>
      <c r="AF377" s="2" t="s">
        <v>3677</v>
      </c>
      <c r="AG377" s="2" t="s">
        <v>53</v>
      </c>
      <c r="AH377" s="2" t="s">
        <v>2479</v>
      </c>
      <c r="AI377" s="12" t="str">
        <f t="shared" si="71"/>
        <v>1836</v>
      </c>
      <c r="AJ377" s="2" t="s">
        <v>1696</v>
      </c>
      <c r="BQ377" s="2" t="s">
        <v>2960</v>
      </c>
    </row>
    <row r="378" spans="1:69">
      <c r="A378" s="12" t="s">
        <v>2402</v>
      </c>
      <c r="B378" s="12" t="str">
        <f t="shared" si="62"/>
        <v>DEJAGER</v>
      </c>
      <c r="C378" s="12" t="str">
        <f t="shared" si="63"/>
        <v>DE JAGER</v>
      </c>
      <c r="D378" s="12" t="s">
        <v>1996</v>
      </c>
      <c r="E378" s="12" t="str">
        <f t="shared" si="64"/>
        <v>Andries Petrus</v>
      </c>
      <c r="F378" s="12" t="s">
        <v>2913</v>
      </c>
      <c r="G378" s="12" t="str">
        <f t="shared" si="65"/>
        <v>a1b1c11d6</v>
      </c>
      <c r="H378" s="12" t="str">
        <f t="shared" si="66"/>
        <v>DE JAGERa1b1c11d6</v>
      </c>
      <c r="I378" s="12"/>
      <c r="J378" s="12"/>
      <c r="K378" s="12" t="str">
        <f t="shared" si="67"/>
        <v/>
      </c>
      <c r="L378" s="12"/>
      <c r="M378" s="12" t="s">
        <v>2459</v>
      </c>
      <c r="N378" s="12" t="str">
        <f t="shared" si="60"/>
        <v/>
      </c>
      <c r="O378" s="12" t="str">
        <f t="shared" si="61"/>
        <v>1788</v>
      </c>
      <c r="P378" s="12"/>
      <c r="Q378" s="12" t="str">
        <f t="shared" si="68"/>
        <v>1788</v>
      </c>
      <c r="R378" s="12"/>
      <c r="S378" s="12" t="str">
        <f t="shared" si="69"/>
        <v/>
      </c>
      <c r="T378" s="12" t="s">
        <v>32</v>
      </c>
      <c r="U378" s="12" t="s">
        <v>2914</v>
      </c>
      <c r="V378" s="12" t="str">
        <f t="shared" si="70"/>
        <v>1817</v>
      </c>
      <c r="W378" s="12" t="s">
        <v>2915</v>
      </c>
      <c r="X378" s="12" t="s">
        <v>725</v>
      </c>
      <c r="Y378" s="12" t="s">
        <v>2916</v>
      </c>
      <c r="Z378" s="12"/>
      <c r="AA378" s="12"/>
      <c r="AB378" s="12"/>
      <c r="AC378" s="12"/>
      <c r="AD378" s="12"/>
      <c r="AE378" s="12"/>
      <c r="AF378" s="12" t="s">
        <v>3701</v>
      </c>
      <c r="AG378" s="12" t="s">
        <v>53</v>
      </c>
      <c r="AH378" s="12" t="s">
        <v>215</v>
      </c>
      <c r="AI378" s="12" t="str">
        <f t="shared" si="71"/>
        <v>1837</v>
      </c>
      <c r="AJ378" s="12" t="s">
        <v>2262</v>
      </c>
      <c r="AK378" s="12" t="s">
        <v>90</v>
      </c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Q378" s="2" t="s">
        <v>2917</v>
      </c>
    </row>
    <row r="379" spans="1:69">
      <c r="A379" s="12" t="s">
        <v>2402</v>
      </c>
      <c r="B379" s="12" t="str">
        <f t="shared" si="62"/>
        <v>DEJAGER</v>
      </c>
      <c r="C379" s="12" t="str">
        <f t="shared" si="63"/>
        <v>DE JAGER</v>
      </c>
      <c r="D379" s="12" t="s">
        <v>2969</v>
      </c>
      <c r="E379" s="12" t="str">
        <f t="shared" si="64"/>
        <v>Lodewyk Johannes</v>
      </c>
      <c r="F379" s="12" t="s">
        <v>2977</v>
      </c>
      <c r="G379" s="12" t="str">
        <f t="shared" si="65"/>
        <v>a1b1c11d6e1</v>
      </c>
      <c r="H379" s="12" t="str">
        <f t="shared" si="66"/>
        <v>DE JAGERa1b1c11d6e1</v>
      </c>
      <c r="I379" s="12"/>
      <c r="J379" s="12" t="s">
        <v>2972</v>
      </c>
      <c r="K379" s="12" t="str">
        <f t="shared" si="67"/>
        <v>1818</v>
      </c>
      <c r="L379" s="12" t="s">
        <v>53</v>
      </c>
      <c r="M379" s="12" t="s">
        <v>2973</v>
      </c>
      <c r="N379" s="12" t="str">
        <f t="shared" si="60"/>
        <v>1818</v>
      </c>
      <c r="O379" s="12" t="str">
        <f t="shared" si="61"/>
        <v>1818</v>
      </c>
      <c r="P379" s="12"/>
      <c r="Q379" s="12" t="str">
        <f t="shared" si="68"/>
        <v>1818</v>
      </c>
      <c r="R379" s="12"/>
      <c r="S379" s="12" t="str">
        <f t="shared" si="69"/>
        <v/>
      </c>
      <c r="T379" s="12"/>
      <c r="U379" s="12"/>
      <c r="V379" s="12" t="str">
        <f t="shared" si="70"/>
        <v/>
      </c>
      <c r="W379" s="12" t="s">
        <v>2974</v>
      </c>
      <c r="X379" s="12" t="s">
        <v>760</v>
      </c>
      <c r="Y379" s="12" t="s">
        <v>2975</v>
      </c>
      <c r="Z379" s="12"/>
      <c r="AA379" s="12"/>
      <c r="AB379" s="12"/>
      <c r="AC379" s="12"/>
      <c r="AD379" s="12"/>
      <c r="AE379" s="12"/>
      <c r="AF379" s="12" t="s">
        <v>3701</v>
      </c>
      <c r="AG379" s="12" t="s">
        <v>53</v>
      </c>
      <c r="AH379" s="12" t="s">
        <v>29</v>
      </c>
      <c r="AI379" s="12" t="str">
        <f t="shared" si="71"/>
        <v>1837</v>
      </c>
      <c r="AJ379" s="12" t="s">
        <v>2262</v>
      </c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</row>
    <row r="380" spans="1:69">
      <c r="A380" s="12" t="s">
        <v>2402</v>
      </c>
      <c r="B380" s="12" t="str">
        <f t="shared" si="62"/>
        <v>DEJAGER</v>
      </c>
      <c r="C380" s="12" t="str">
        <f t="shared" si="63"/>
        <v>DE JAGER</v>
      </c>
      <c r="D380" s="12" t="s">
        <v>1725</v>
      </c>
      <c r="E380" s="12" t="str">
        <f t="shared" si="64"/>
        <v>Johannes Jacob</v>
      </c>
      <c r="F380" s="12" t="s">
        <v>2949</v>
      </c>
      <c r="G380" s="12" t="str">
        <f t="shared" si="65"/>
        <v>a1b1c11d6e3</v>
      </c>
      <c r="H380" s="12" t="str">
        <f t="shared" si="66"/>
        <v>DE JAGERa1b1c11d6e3</v>
      </c>
      <c r="I380" s="12"/>
      <c r="J380" s="12" t="s">
        <v>2950</v>
      </c>
      <c r="K380" s="12" t="str">
        <f t="shared" si="67"/>
        <v>1822</v>
      </c>
      <c r="L380" s="12" t="s">
        <v>53</v>
      </c>
      <c r="M380" s="12" t="s">
        <v>2951</v>
      </c>
      <c r="N380" s="12" t="str">
        <f t="shared" si="60"/>
        <v>1822</v>
      </c>
      <c r="O380" s="12" t="str">
        <f t="shared" si="61"/>
        <v>1822</v>
      </c>
      <c r="P380" s="12"/>
      <c r="Q380" s="12" t="str">
        <f t="shared" si="68"/>
        <v>1822</v>
      </c>
      <c r="R380" s="12"/>
      <c r="S380" s="12" t="str">
        <f t="shared" si="69"/>
        <v/>
      </c>
      <c r="T380" s="12"/>
      <c r="U380" s="12"/>
      <c r="V380" s="12" t="str">
        <f t="shared" si="70"/>
        <v/>
      </c>
      <c r="W380" s="12" t="s">
        <v>2952</v>
      </c>
      <c r="X380" s="12" t="s">
        <v>726</v>
      </c>
      <c r="Y380" s="12" t="s">
        <v>2953</v>
      </c>
      <c r="Z380" s="12"/>
      <c r="AA380" s="12"/>
      <c r="AB380" s="12"/>
      <c r="AC380" s="12"/>
      <c r="AD380" s="12"/>
      <c r="AE380" s="12"/>
      <c r="AF380" s="12" t="s">
        <v>3701</v>
      </c>
      <c r="AG380" s="12" t="s">
        <v>53</v>
      </c>
      <c r="AH380" s="12" t="s">
        <v>29</v>
      </c>
      <c r="AI380" s="12" t="str">
        <f t="shared" si="71"/>
        <v>1837</v>
      </c>
      <c r="AJ380" s="12" t="s">
        <v>2262</v>
      </c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</row>
    <row r="381" spans="1:69">
      <c r="A381" s="12" t="s">
        <v>2402</v>
      </c>
      <c r="B381" s="12" t="str">
        <f t="shared" si="62"/>
        <v>DEJAGER</v>
      </c>
      <c r="C381" s="12" t="str">
        <f t="shared" si="63"/>
        <v>DE JAGER</v>
      </c>
      <c r="D381" s="12" t="s">
        <v>2307</v>
      </c>
      <c r="E381" s="12" t="str">
        <f t="shared" si="64"/>
        <v>Frederik Johannes</v>
      </c>
      <c r="F381" s="12" t="s">
        <v>2925</v>
      </c>
      <c r="G381" s="12" t="str">
        <f t="shared" si="65"/>
        <v>a1b1c11d7</v>
      </c>
      <c r="H381" s="12" t="str">
        <f t="shared" si="66"/>
        <v>DE JAGERa1b1c11d7</v>
      </c>
      <c r="I381" s="12"/>
      <c r="J381" s="12" t="s">
        <v>2926</v>
      </c>
      <c r="K381" s="12" t="str">
        <f t="shared" si="67"/>
        <v>1792</v>
      </c>
      <c r="L381" s="12" t="s">
        <v>961</v>
      </c>
      <c r="M381" s="12" t="s">
        <v>1727</v>
      </c>
      <c r="N381" s="12" t="str">
        <f t="shared" si="60"/>
        <v>1792</v>
      </c>
      <c r="O381" s="12" t="str">
        <f t="shared" si="61"/>
        <v>1792</v>
      </c>
      <c r="P381" s="12" t="s">
        <v>2208</v>
      </c>
      <c r="Q381" s="12" t="str">
        <f t="shared" si="68"/>
        <v>1792</v>
      </c>
      <c r="R381" s="12" t="s">
        <v>2927</v>
      </c>
      <c r="S381" s="12" t="str">
        <f t="shared" si="69"/>
        <v>1863</v>
      </c>
      <c r="T381" s="12" t="s">
        <v>199</v>
      </c>
      <c r="U381" s="12" t="s">
        <v>515</v>
      </c>
      <c r="V381" s="12" t="str">
        <f t="shared" si="70"/>
        <v>1815</v>
      </c>
      <c r="W381" s="12" t="s">
        <v>622</v>
      </c>
      <c r="X381" s="12" t="s">
        <v>695</v>
      </c>
      <c r="Y381" s="12" t="s">
        <v>2928</v>
      </c>
      <c r="Z381" s="12"/>
      <c r="AA381" s="12"/>
      <c r="AB381" s="12"/>
      <c r="AC381" s="12" t="s">
        <v>483</v>
      </c>
      <c r="AD381" s="12"/>
      <c r="AE381" s="12"/>
      <c r="AF381" s="12" t="s">
        <v>3701</v>
      </c>
      <c r="AG381" s="12" t="s">
        <v>53</v>
      </c>
      <c r="AH381" s="12" t="s">
        <v>215</v>
      </c>
      <c r="AI381" s="12" t="str">
        <f t="shared" si="71"/>
        <v>1837</v>
      </c>
      <c r="AJ381" s="12" t="s">
        <v>2262</v>
      </c>
      <c r="AK381" s="12" t="s">
        <v>90</v>
      </c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Q381" s="2" t="s">
        <v>1168</v>
      </c>
    </row>
    <row r="382" spans="1:69">
      <c r="A382" s="12" t="s">
        <v>2402</v>
      </c>
      <c r="B382" s="12" t="str">
        <f t="shared" si="62"/>
        <v>DEJAGER</v>
      </c>
      <c r="C382" s="12" t="str">
        <f t="shared" si="63"/>
        <v>DE JAGER</v>
      </c>
      <c r="D382" s="12" t="s">
        <v>2982</v>
      </c>
      <c r="E382" s="12" t="str">
        <f t="shared" si="64"/>
        <v>Lodewyk Petrus</v>
      </c>
      <c r="F382" s="12" t="s">
        <v>2983</v>
      </c>
      <c r="G382" s="12" t="str">
        <f t="shared" si="65"/>
        <v>a1b1c11d7e1</v>
      </c>
      <c r="H382" s="12" t="str">
        <f t="shared" si="66"/>
        <v>DE JAGERa1b1c11d7e1</v>
      </c>
      <c r="I382" s="12"/>
      <c r="J382" s="12" t="s">
        <v>2984</v>
      </c>
      <c r="K382" s="12" t="str">
        <f t="shared" si="67"/>
        <v>1816</v>
      </c>
      <c r="L382" s="12"/>
      <c r="M382" s="12" t="s">
        <v>2985</v>
      </c>
      <c r="N382" s="12" t="str">
        <f t="shared" si="60"/>
        <v>1816</v>
      </c>
      <c r="O382" s="12" t="str">
        <f t="shared" si="61"/>
        <v>1817</v>
      </c>
      <c r="P382" s="12"/>
      <c r="Q382" s="12" t="str">
        <f t="shared" si="68"/>
        <v>1816</v>
      </c>
      <c r="R382" s="12"/>
      <c r="S382" s="12" t="str">
        <f t="shared" si="69"/>
        <v/>
      </c>
      <c r="T382" s="12" t="s">
        <v>168</v>
      </c>
      <c r="U382" s="12" t="s">
        <v>2986</v>
      </c>
      <c r="V382" s="12" t="str">
        <f t="shared" si="70"/>
        <v>1839</v>
      </c>
      <c r="W382" s="12" t="s">
        <v>2987</v>
      </c>
      <c r="X382" s="12" t="s">
        <v>698</v>
      </c>
      <c r="Y382" s="12" t="s">
        <v>2988</v>
      </c>
      <c r="Z382" s="12"/>
      <c r="AA382" s="12">
        <v>1818</v>
      </c>
      <c r="AB382" s="12"/>
      <c r="AC382" s="12"/>
      <c r="AD382" s="12"/>
      <c r="AE382" s="12" t="s">
        <v>2989</v>
      </c>
      <c r="AF382" s="12" t="s">
        <v>3701</v>
      </c>
      <c r="AG382" s="12" t="s">
        <v>53</v>
      </c>
      <c r="AH382" s="12" t="s">
        <v>29</v>
      </c>
      <c r="AI382" s="12" t="str">
        <f t="shared" si="71"/>
        <v>1837</v>
      </c>
      <c r="AJ382" s="12" t="s">
        <v>2262</v>
      </c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</row>
    <row r="383" spans="1:69">
      <c r="A383" s="12" t="s">
        <v>2402</v>
      </c>
      <c r="B383" s="12" t="str">
        <f t="shared" si="62"/>
        <v>DEJAGER</v>
      </c>
      <c r="C383" s="12" t="str">
        <f t="shared" si="63"/>
        <v>DE JAGER</v>
      </c>
      <c r="D383" s="12" t="s">
        <v>2938</v>
      </c>
      <c r="E383" s="12" t="str">
        <f t="shared" si="64"/>
        <v>Izak</v>
      </c>
      <c r="F383" s="12" t="s">
        <v>2939</v>
      </c>
      <c r="G383" s="12" t="str">
        <f t="shared" si="65"/>
        <v>a1b1c11d7e4</v>
      </c>
      <c r="H383" s="12" t="str">
        <f t="shared" si="66"/>
        <v>DE JAGERa1b1c11d7e4</v>
      </c>
      <c r="I383" s="12" t="s">
        <v>53</v>
      </c>
      <c r="J383" s="12" t="s">
        <v>1437</v>
      </c>
      <c r="K383" s="12" t="str">
        <f t="shared" si="67"/>
        <v>1822</v>
      </c>
      <c r="L383" s="12" t="s">
        <v>53</v>
      </c>
      <c r="M383" s="12" t="s">
        <v>2940</v>
      </c>
      <c r="N383" s="12" t="str">
        <f t="shared" si="60"/>
        <v>1822</v>
      </c>
      <c r="O383" s="12" t="str">
        <f t="shared" si="61"/>
        <v>1822</v>
      </c>
      <c r="P383" s="12" t="s">
        <v>2355</v>
      </c>
      <c r="Q383" s="12" t="str">
        <f t="shared" si="68"/>
        <v>1822</v>
      </c>
      <c r="R383" s="12" t="s">
        <v>2941</v>
      </c>
      <c r="S383" s="12" t="str">
        <f t="shared" si="69"/>
        <v>1910</v>
      </c>
      <c r="T383" s="12"/>
      <c r="U383" s="12" t="s">
        <v>2942</v>
      </c>
      <c r="V383" s="12" t="str">
        <f t="shared" si="70"/>
        <v>1845</v>
      </c>
      <c r="W383" s="12" t="s">
        <v>2943</v>
      </c>
      <c r="X383" s="12" t="s">
        <v>2944</v>
      </c>
      <c r="Y383" s="12" t="s">
        <v>1025</v>
      </c>
      <c r="Z383" s="12"/>
      <c r="AA383" s="12">
        <v>1825</v>
      </c>
      <c r="AB383" s="12"/>
      <c r="AC383" s="12"/>
      <c r="AD383" s="12"/>
      <c r="AE383" s="12" t="s">
        <v>2945</v>
      </c>
      <c r="AF383" s="12" t="s">
        <v>3701</v>
      </c>
      <c r="AG383" s="12" t="s">
        <v>53</v>
      </c>
      <c r="AH383" s="12" t="s">
        <v>29</v>
      </c>
      <c r="AI383" s="12" t="str">
        <f t="shared" si="71"/>
        <v>1837</v>
      </c>
      <c r="AJ383" s="12" t="s">
        <v>2262</v>
      </c>
      <c r="AK383" s="12" t="s">
        <v>551</v>
      </c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</row>
    <row r="384" spans="1:69">
      <c r="A384" s="2" t="s">
        <v>2402</v>
      </c>
      <c r="B384" s="12" t="str">
        <f t="shared" si="62"/>
        <v>DEJAGER</v>
      </c>
      <c r="C384" s="12" t="str">
        <f t="shared" si="63"/>
        <v>DE JAGER</v>
      </c>
      <c r="D384" s="2" t="s">
        <v>2904</v>
      </c>
      <c r="E384" s="12" t="str">
        <f t="shared" si="64"/>
        <v>Andreas Johannes</v>
      </c>
      <c r="F384" s="2" t="s">
        <v>2905</v>
      </c>
      <c r="G384" s="12" t="str">
        <f t="shared" si="65"/>
        <v>a1b1c9d1</v>
      </c>
      <c r="H384" s="12" t="str">
        <f t="shared" si="66"/>
        <v>DE JAGERa1b1c9d1</v>
      </c>
      <c r="K384" s="12" t="str">
        <f t="shared" si="67"/>
        <v/>
      </c>
      <c r="M384" s="2" t="s">
        <v>2906</v>
      </c>
      <c r="N384" s="12" t="str">
        <f t="shared" si="60"/>
        <v/>
      </c>
      <c r="O384" s="12" t="str">
        <f t="shared" si="61"/>
        <v>1774</v>
      </c>
      <c r="P384" s="2" t="s">
        <v>1547</v>
      </c>
      <c r="Q384" s="12" t="str">
        <f t="shared" si="68"/>
        <v>1774</v>
      </c>
      <c r="R384" s="2" t="s">
        <v>2907</v>
      </c>
      <c r="S384" s="12" t="str">
        <f t="shared" si="69"/>
        <v>1854</v>
      </c>
      <c r="T384" s="2" t="s">
        <v>48</v>
      </c>
      <c r="U384" s="2" t="s">
        <v>1615</v>
      </c>
      <c r="V384" s="12" t="str">
        <f t="shared" si="70"/>
        <v>1801</v>
      </c>
      <c r="W384" s="2" t="s">
        <v>2116</v>
      </c>
      <c r="X384" s="2" t="s">
        <v>731</v>
      </c>
      <c r="Y384" s="2" t="s">
        <v>2908</v>
      </c>
      <c r="AC384" s="2" t="s">
        <v>2909</v>
      </c>
      <c r="AF384" s="2" t="s">
        <v>3729</v>
      </c>
      <c r="AG384" s="2" t="s">
        <v>32</v>
      </c>
      <c r="AH384" s="2" t="s">
        <v>2910</v>
      </c>
      <c r="AI384" s="12" t="str">
        <f t="shared" si="71"/>
        <v>1838</v>
      </c>
      <c r="AL384" s="2" t="s">
        <v>32</v>
      </c>
      <c r="AM384" s="2" t="s">
        <v>2911</v>
      </c>
      <c r="AN384" s="2" t="s">
        <v>2912</v>
      </c>
      <c r="AO384" s="2" t="s">
        <v>758</v>
      </c>
    </row>
    <row r="385" spans="1:70">
      <c r="A385" s="2" t="s">
        <v>2402</v>
      </c>
      <c r="B385" s="12" t="str">
        <f t="shared" ref="B385:B446" si="72">SUBSTITUTE(A385," ","")</f>
        <v>DEJAGER</v>
      </c>
      <c r="C385" s="12" t="str">
        <f t="shared" ref="C385:C446" si="73">TRIM(A385)</f>
        <v>DE JAGER</v>
      </c>
      <c r="D385" s="2" t="s">
        <v>2918</v>
      </c>
      <c r="E385" s="12" t="str">
        <f t="shared" si="64"/>
        <v>Christiaan Lodewikus</v>
      </c>
      <c r="F385" s="2" t="s">
        <v>2919</v>
      </c>
      <c r="G385" s="12" t="str">
        <f t="shared" ref="G385:G446" si="74">IF(LEFT(F385,1)="b","a1"&amp;F385,F385)</f>
        <v>a1b1c9d1e4</v>
      </c>
      <c r="H385" s="12" t="str">
        <f t="shared" ref="H385:H416" si="75">C385&amp;G385</f>
        <v>DE JAGERa1b1c9d1e4</v>
      </c>
      <c r="J385" s="2" t="s">
        <v>2920</v>
      </c>
      <c r="K385" s="12" t="str">
        <f t="shared" ref="K385:K446" si="76">RIGHT(J385,4)</f>
        <v>1807</v>
      </c>
      <c r="M385" s="2" t="s">
        <v>2921</v>
      </c>
      <c r="N385" s="12" t="str">
        <f t="shared" si="60"/>
        <v>1807</v>
      </c>
      <c r="O385" s="12" t="str">
        <f t="shared" si="61"/>
        <v>1807</v>
      </c>
      <c r="P385" s="2" t="s">
        <v>1547</v>
      </c>
      <c r="Q385" s="12" t="str">
        <f t="shared" ref="Q385:Q446" si="77">IF(N385="",O385,N385)</f>
        <v>1807</v>
      </c>
      <c r="R385" s="2" t="s">
        <v>2922</v>
      </c>
      <c r="S385" s="12" t="str">
        <f t="shared" ref="S385:S446" si="78">RIGHT(R385,4)</f>
        <v>1891</v>
      </c>
      <c r="T385" s="2" t="s">
        <v>53</v>
      </c>
      <c r="U385" s="2" t="s">
        <v>2923</v>
      </c>
      <c r="V385" s="12" t="str">
        <f t="shared" ref="V385:V446" si="79">RIGHT(U385,4)</f>
        <v>1831</v>
      </c>
      <c r="W385" s="2" t="s">
        <v>807</v>
      </c>
      <c r="X385" s="2" t="s">
        <v>631</v>
      </c>
      <c r="Y385" s="2" t="s">
        <v>2924</v>
      </c>
      <c r="AF385" s="2" t="s">
        <v>3729</v>
      </c>
      <c r="AG385" s="2" t="s">
        <v>32</v>
      </c>
      <c r="AH385" s="2">
        <v>1838</v>
      </c>
      <c r="AI385" s="12" t="str">
        <f t="shared" ref="AI385:AI446" si="80">RIGHT(AH385,4)</f>
        <v>1838</v>
      </c>
      <c r="AK385" s="2" t="s">
        <v>90</v>
      </c>
    </row>
    <row r="386" spans="1:70">
      <c r="A386" s="2" t="s">
        <v>2402</v>
      </c>
      <c r="B386" s="12" t="str">
        <f t="shared" si="72"/>
        <v>DEJAGER</v>
      </c>
      <c r="C386" s="12" t="str">
        <f t="shared" si="73"/>
        <v>DE JAGER</v>
      </c>
      <c r="D386" s="2" t="s">
        <v>3009</v>
      </c>
      <c r="E386" s="12" t="str">
        <f t="shared" si="64"/>
        <v>Frans Abraham Jurgen</v>
      </c>
      <c r="F386" s="2" t="s">
        <v>3010</v>
      </c>
      <c r="G386" s="12" t="str">
        <f t="shared" si="74"/>
        <v>a1b3</v>
      </c>
      <c r="H386" s="12" t="str">
        <f t="shared" si="75"/>
        <v>DE JAGERa1b3</v>
      </c>
      <c r="J386" s="2" t="s">
        <v>3011</v>
      </c>
      <c r="K386" s="12" t="str">
        <f t="shared" si="76"/>
        <v>1809</v>
      </c>
      <c r="N386" s="12" t="str">
        <f t="shared" ref="N386:N449" si="81">RIGHT(J386,4)</f>
        <v>1809</v>
      </c>
      <c r="O386" s="12" t="str">
        <f t="shared" ref="O386:O449" si="82">RIGHT(M386,4)</f>
        <v/>
      </c>
      <c r="P386" s="2" t="s">
        <v>3012</v>
      </c>
      <c r="Q386" s="12" t="str">
        <f t="shared" si="77"/>
        <v>1809</v>
      </c>
      <c r="R386" s="2" t="s">
        <v>3013</v>
      </c>
      <c r="S386" s="12" t="str">
        <f t="shared" si="78"/>
        <v>1877</v>
      </c>
      <c r="T386" s="2" t="s">
        <v>53</v>
      </c>
      <c r="U386" s="2" t="s">
        <v>3014</v>
      </c>
      <c r="V386" s="12" t="str">
        <f t="shared" si="79"/>
        <v>1830</v>
      </c>
      <c r="W386" s="2" t="s">
        <v>3015</v>
      </c>
      <c r="X386" s="2" t="s">
        <v>631</v>
      </c>
      <c r="Y386" s="2" t="s">
        <v>3016</v>
      </c>
      <c r="AC386" s="2" t="s">
        <v>3017</v>
      </c>
      <c r="AD386" s="2" t="s">
        <v>3012</v>
      </c>
      <c r="AE386" s="2" t="s">
        <v>3018</v>
      </c>
      <c r="AF386" s="2" t="s">
        <v>3677</v>
      </c>
      <c r="AG386" s="2" t="s">
        <v>53</v>
      </c>
      <c r="AH386" s="2" t="s">
        <v>2479</v>
      </c>
      <c r="AI386" s="12" t="str">
        <f t="shared" si="80"/>
        <v>1836</v>
      </c>
      <c r="AJ386" s="2" t="s">
        <v>1696</v>
      </c>
      <c r="AK386" s="2" t="s">
        <v>90</v>
      </c>
    </row>
    <row r="387" spans="1:70">
      <c r="A387" s="2" t="s">
        <v>2402</v>
      </c>
      <c r="B387" s="12" t="str">
        <f t="shared" si="72"/>
        <v>DEJAGER</v>
      </c>
      <c r="C387" s="12" t="str">
        <f t="shared" si="73"/>
        <v>DE JAGER</v>
      </c>
      <c r="D387" s="2" t="s">
        <v>3026</v>
      </c>
      <c r="E387" s="12" t="str">
        <f t="shared" ref="E387:E450" si="83">PROPER(D387)</f>
        <v>Abraham Johannes</v>
      </c>
      <c r="F387" s="2" t="s">
        <v>3027</v>
      </c>
      <c r="G387" s="12" t="str">
        <f t="shared" si="74"/>
        <v>a1b6c3d7</v>
      </c>
      <c r="H387" s="12" t="str">
        <f t="shared" si="75"/>
        <v>DE JAGERa1b6c3d7</v>
      </c>
      <c r="J387" s="2" t="s">
        <v>3028</v>
      </c>
      <c r="K387" s="12" t="str">
        <f t="shared" si="76"/>
        <v>1797</v>
      </c>
      <c r="M387" s="2" t="s">
        <v>3029</v>
      </c>
      <c r="N387" s="12" t="str">
        <f t="shared" si="81"/>
        <v>1797</v>
      </c>
      <c r="O387" s="12" t="str">
        <f t="shared" si="82"/>
        <v>1798</v>
      </c>
      <c r="P387" s="2" t="s">
        <v>551</v>
      </c>
      <c r="Q387" s="12" t="str">
        <f t="shared" si="77"/>
        <v>1797</v>
      </c>
      <c r="R387" s="2" t="s">
        <v>3030</v>
      </c>
      <c r="S387" s="12" t="str">
        <f t="shared" si="78"/>
        <v>1843</v>
      </c>
      <c r="T387" s="2" t="s">
        <v>366</v>
      </c>
      <c r="V387" s="12" t="str">
        <f t="shared" si="79"/>
        <v/>
      </c>
      <c r="W387" s="2" t="s">
        <v>3031</v>
      </c>
      <c r="X387" s="2" t="s">
        <v>3032</v>
      </c>
      <c r="AF387" s="2" t="s">
        <v>3703</v>
      </c>
      <c r="AG387" s="2" t="s">
        <v>366</v>
      </c>
      <c r="AH387" s="2" t="s">
        <v>390</v>
      </c>
      <c r="AI387" s="12" t="str">
        <f t="shared" si="80"/>
        <v>1837</v>
      </c>
      <c r="AJ387" s="2" t="s">
        <v>413</v>
      </c>
      <c r="AK387" s="2" t="s">
        <v>551</v>
      </c>
    </row>
    <row r="388" spans="1:70">
      <c r="A388" s="2" t="s">
        <v>2402</v>
      </c>
      <c r="B388" s="12" t="str">
        <f t="shared" si="72"/>
        <v>DEJAGER</v>
      </c>
      <c r="C388" s="12" t="str">
        <f t="shared" si="73"/>
        <v>DE JAGER</v>
      </c>
      <c r="D388" s="2" t="s">
        <v>827</v>
      </c>
      <c r="E388" s="12" t="str">
        <f t="shared" si="83"/>
        <v>Lourens</v>
      </c>
      <c r="F388" s="2" t="s">
        <v>3001</v>
      </c>
      <c r="G388" s="12" t="str">
        <f t="shared" si="74"/>
        <v>a1b8c3d5e1</v>
      </c>
      <c r="H388" s="12" t="str">
        <f t="shared" si="75"/>
        <v>DE JAGERa1b8c3d5e1</v>
      </c>
      <c r="K388" s="12" t="str">
        <f t="shared" si="76"/>
        <v/>
      </c>
      <c r="M388" s="2" t="s">
        <v>3002</v>
      </c>
      <c r="N388" s="12" t="str">
        <f t="shared" si="81"/>
        <v/>
      </c>
      <c r="O388" s="12" t="str">
        <f t="shared" si="82"/>
        <v>1797</v>
      </c>
      <c r="Q388" s="12" t="str">
        <f t="shared" si="77"/>
        <v>1797</v>
      </c>
      <c r="S388" s="12" t="str">
        <f t="shared" si="78"/>
        <v/>
      </c>
      <c r="T388" s="2" t="s">
        <v>32</v>
      </c>
      <c r="U388" s="2" t="s">
        <v>590</v>
      </c>
      <c r="V388" s="12" t="str">
        <f t="shared" si="79"/>
        <v>1821</v>
      </c>
      <c r="W388" s="2" t="s">
        <v>3003</v>
      </c>
      <c r="X388" s="2" t="s">
        <v>2136</v>
      </c>
      <c r="AF388" s="2" t="s">
        <v>3729</v>
      </c>
      <c r="AG388" s="2" t="s">
        <v>32</v>
      </c>
      <c r="AH388" s="2" t="s">
        <v>3004</v>
      </c>
      <c r="AI388" s="12" t="str">
        <f t="shared" si="80"/>
        <v>1838</v>
      </c>
      <c r="AK388" s="2" t="s">
        <v>155</v>
      </c>
      <c r="BQ388" s="2" t="s">
        <v>2028</v>
      </c>
    </row>
    <row r="389" spans="1:70">
      <c r="A389" s="2" t="s">
        <v>2402</v>
      </c>
      <c r="B389" s="12" t="str">
        <f t="shared" si="72"/>
        <v>DEJAGER</v>
      </c>
      <c r="C389" s="12" t="str">
        <f t="shared" si="73"/>
        <v>DE JAGER</v>
      </c>
      <c r="D389" s="2" t="s">
        <v>2997</v>
      </c>
      <c r="E389" s="12" t="str">
        <f t="shared" si="83"/>
        <v>L</v>
      </c>
      <c r="F389" s="2" t="s">
        <v>3000</v>
      </c>
      <c r="G389" s="12" t="str">
        <f t="shared" si="74"/>
        <v>a1b8c8d2</v>
      </c>
      <c r="H389" s="12" t="str">
        <f t="shared" si="75"/>
        <v>DE JAGERa1b8c8d2</v>
      </c>
      <c r="K389" s="12" t="str">
        <f t="shared" si="76"/>
        <v/>
      </c>
      <c r="N389" s="12" t="str">
        <f t="shared" si="81"/>
        <v/>
      </c>
      <c r="O389" s="12" t="str">
        <f t="shared" si="82"/>
        <v/>
      </c>
      <c r="Q389" s="12" t="str">
        <f t="shared" si="77"/>
        <v/>
      </c>
      <c r="S389" s="12" t="str">
        <f t="shared" si="78"/>
        <v/>
      </c>
      <c r="V389" s="12" t="str">
        <f t="shared" si="79"/>
        <v/>
      </c>
      <c r="W389" s="2" t="s">
        <v>1651</v>
      </c>
      <c r="X389" s="2" t="s">
        <v>2999</v>
      </c>
      <c r="AF389" s="2" t="s">
        <v>3699</v>
      </c>
      <c r="AG389" s="2" t="s">
        <v>28</v>
      </c>
      <c r="AH389" s="2" t="s">
        <v>2998</v>
      </c>
      <c r="AI389" s="12" t="str">
        <f t="shared" si="80"/>
        <v>1838</v>
      </c>
    </row>
    <row r="390" spans="1:70">
      <c r="A390" s="2" t="s">
        <v>2402</v>
      </c>
      <c r="B390" s="12" t="str">
        <f t="shared" si="72"/>
        <v>DEJAGER</v>
      </c>
      <c r="C390" s="12" t="str">
        <f t="shared" si="73"/>
        <v>DE JAGER</v>
      </c>
      <c r="D390" s="2" t="s">
        <v>2990</v>
      </c>
      <c r="E390" s="12" t="str">
        <f t="shared" si="83"/>
        <v>Louis</v>
      </c>
      <c r="F390" s="2" t="s">
        <v>2991</v>
      </c>
      <c r="G390" s="12" t="str">
        <f t="shared" si="74"/>
        <v>a1b9c3d5</v>
      </c>
      <c r="H390" s="12" t="str">
        <f t="shared" si="75"/>
        <v>DE JAGERa1b9c3d5</v>
      </c>
      <c r="J390" s="2" t="s">
        <v>2992</v>
      </c>
      <c r="K390" s="12" t="str">
        <f t="shared" si="76"/>
        <v>1775</v>
      </c>
      <c r="N390" s="12" t="str">
        <f t="shared" si="81"/>
        <v>1775</v>
      </c>
      <c r="O390" s="12" t="str">
        <f t="shared" si="82"/>
        <v/>
      </c>
      <c r="Q390" s="12" t="str">
        <f t="shared" si="77"/>
        <v>1775</v>
      </c>
      <c r="S390" s="12" t="str">
        <f t="shared" si="78"/>
        <v/>
      </c>
      <c r="U390" s="2" t="s">
        <v>2993</v>
      </c>
      <c r="V390" s="12" t="str">
        <f t="shared" si="79"/>
        <v>1795</v>
      </c>
      <c r="W390" s="2" t="s">
        <v>2994</v>
      </c>
      <c r="X390" s="2" t="s">
        <v>2995</v>
      </c>
      <c r="AF390" s="2" t="s">
        <v>3729</v>
      </c>
      <c r="AG390" s="2" t="s">
        <v>32</v>
      </c>
      <c r="AH390" s="2" t="s">
        <v>2996</v>
      </c>
      <c r="AI390" s="12" t="str">
        <f t="shared" si="80"/>
        <v>1838</v>
      </c>
      <c r="BQ390" s="2" t="s">
        <v>2028</v>
      </c>
    </row>
    <row r="391" spans="1:70">
      <c r="A391" s="2" t="s">
        <v>2402</v>
      </c>
      <c r="B391" s="12" t="str">
        <f t="shared" si="72"/>
        <v>DEJAGER</v>
      </c>
      <c r="C391" s="12" t="str">
        <f t="shared" si="73"/>
        <v>DE JAGER</v>
      </c>
      <c r="D391" s="2" t="s">
        <v>3005</v>
      </c>
      <c r="E391" s="12" t="str">
        <f t="shared" si="83"/>
        <v>Lourens Josephus</v>
      </c>
      <c r="F391" s="2" t="s">
        <v>3006</v>
      </c>
      <c r="G391" s="12" t="str">
        <f t="shared" si="74"/>
        <v>a1b9c3d5e1f3</v>
      </c>
      <c r="H391" s="12" t="str">
        <f t="shared" si="75"/>
        <v>DE JAGERa1b9c3d5e1f3</v>
      </c>
      <c r="J391" s="2" t="s">
        <v>3007</v>
      </c>
      <c r="K391" s="12" t="str">
        <f t="shared" si="76"/>
        <v>1825</v>
      </c>
      <c r="L391" s="2" t="s">
        <v>32</v>
      </c>
      <c r="M391" s="2" t="s">
        <v>3008</v>
      </c>
      <c r="N391" s="12" t="str">
        <f t="shared" si="81"/>
        <v>1825</v>
      </c>
      <c r="O391" s="12" t="str">
        <f t="shared" si="82"/>
        <v>1826</v>
      </c>
      <c r="Q391" s="12" t="str">
        <f t="shared" si="77"/>
        <v>1825</v>
      </c>
      <c r="S391" s="12" t="str">
        <f t="shared" si="78"/>
        <v/>
      </c>
      <c r="V391" s="12" t="str">
        <f t="shared" si="79"/>
        <v/>
      </c>
      <c r="AF391" s="2" t="s">
        <v>3729</v>
      </c>
      <c r="AG391" s="2" t="s">
        <v>32</v>
      </c>
      <c r="AH391" s="2">
        <v>1838</v>
      </c>
      <c r="AI391" s="12" t="str">
        <f t="shared" si="80"/>
        <v>1838</v>
      </c>
      <c r="BQ391" s="2" t="s">
        <v>2028</v>
      </c>
    </row>
    <row r="392" spans="1:70">
      <c r="A392" s="2" t="s">
        <v>2138</v>
      </c>
      <c r="B392" s="12" t="str">
        <f t="shared" si="72"/>
        <v>DEKLERK</v>
      </c>
      <c r="C392" s="12" t="str">
        <f t="shared" si="73"/>
        <v>DE KLERK</v>
      </c>
      <c r="D392" s="2" t="s">
        <v>348</v>
      </c>
      <c r="E392" s="12" t="str">
        <f t="shared" si="83"/>
        <v>Theunis Christiaan</v>
      </c>
      <c r="F392" s="2" t="s">
        <v>3075</v>
      </c>
      <c r="G392" s="12" t="str">
        <f t="shared" si="74"/>
        <v>a1b4c1d8e6</v>
      </c>
      <c r="H392" s="12" t="str">
        <f t="shared" si="75"/>
        <v>DE KLERKa1b4c1d8e6</v>
      </c>
      <c r="J392" s="2" t="s">
        <v>3076</v>
      </c>
      <c r="K392" s="12" t="str">
        <f t="shared" si="76"/>
        <v>1815</v>
      </c>
      <c r="L392" s="2" t="s">
        <v>53</v>
      </c>
      <c r="M392" s="2" t="s">
        <v>3077</v>
      </c>
      <c r="N392" s="12" t="str">
        <f t="shared" si="81"/>
        <v>1815</v>
      </c>
      <c r="O392" s="12" t="str">
        <f t="shared" si="82"/>
        <v>1816</v>
      </c>
      <c r="Q392" s="12" t="str">
        <f t="shared" si="77"/>
        <v>1815</v>
      </c>
      <c r="S392" s="12" t="str">
        <f t="shared" si="78"/>
        <v/>
      </c>
      <c r="T392" s="2" t="s">
        <v>68</v>
      </c>
      <c r="U392" s="2" t="s">
        <v>3078</v>
      </c>
      <c r="V392" s="12" t="str">
        <f t="shared" si="79"/>
        <v>1832</v>
      </c>
      <c r="W392" s="2" t="s">
        <v>3079</v>
      </c>
      <c r="X392" s="2" t="s">
        <v>669</v>
      </c>
      <c r="AF392" s="2" t="s">
        <v>3709</v>
      </c>
      <c r="AG392" s="2" t="s">
        <v>68</v>
      </c>
      <c r="AH392" s="2" t="s">
        <v>503</v>
      </c>
      <c r="AI392" s="12" t="str">
        <f t="shared" si="80"/>
        <v>1837</v>
      </c>
      <c r="AJ392" s="2" t="s">
        <v>277</v>
      </c>
    </row>
    <row r="393" spans="1:70">
      <c r="A393" s="2" t="s">
        <v>2138</v>
      </c>
      <c r="B393" s="12" t="str">
        <f t="shared" si="72"/>
        <v>DEKLERK</v>
      </c>
      <c r="C393" s="12" t="str">
        <f t="shared" si="73"/>
        <v>DE KLERK</v>
      </c>
      <c r="D393" s="2" t="s">
        <v>356</v>
      </c>
      <c r="E393" s="12" t="str">
        <f t="shared" si="83"/>
        <v>Cornelius Johannes</v>
      </c>
      <c r="F393" s="2" t="s">
        <v>3041</v>
      </c>
      <c r="G393" s="12" t="str">
        <f t="shared" si="74"/>
        <v>a1b6c3d11</v>
      </c>
      <c r="H393" s="12" t="str">
        <f t="shared" si="75"/>
        <v>DE KLERKa1b6c3d11</v>
      </c>
      <c r="K393" s="12" t="str">
        <f t="shared" si="76"/>
        <v/>
      </c>
      <c r="L393" s="2" t="s">
        <v>74</v>
      </c>
      <c r="M393" s="2" t="s">
        <v>145</v>
      </c>
      <c r="N393" s="12" t="str">
        <f t="shared" si="81"/>
        <v/>
      </c>
      <c r="O393" s="12" t="str">
        <f t="shared" si="82"/>
        <v>1805</v>
      </c>
      <c r="Q393" s="12" t="str">
        <f t="shared" si="77"/>
        <v>1805</v>
      </c>
      <c r="S393" s="12" t="str">
        <f t="shared" si="78"/>
        <v/>
      </c>
      <c r="T393" s="2" t="s">
        <v>366</v>
      </c>
      <c r="U393" s="2" t="s">
        <v>3042</v>
      </c>
      <c r="V393" s="12" t="str">
        <f t="shared" si="79"/>
        <v>1826</v>
      </c>
      <c r="W393" s="2" t="s">
        <v>3043</v>
      </c>
      <c r="X393" s="2" t="s">
        <v>636</v>
      </c>
      <c r="AF393" s="2" t="s">
        <v>3703</v>
      </c>
      <c r="AG393" s="2" t="s">
        <v>366</v>
      </c>
      <c r="AH393" s="2" t="s">
        <v>390</v>
      </c>
      <c r="AI393" s="12" t="str">
        <f t="shared" si="80"/>
        <v>1837</v>
      </c>
      <c r="AJ393" s="2" t="s">
        <v>413</v>
      </c>
    </row>
    <row r="394" spans="1:70">
      <c r="A394" s="2" t="s">
        <v>2138</v>
      </c>
      <c r="B394" s="12" t="str">
        <f t="shared" si="72"/>
        <v>DEKLERK</v>
      </c>
      <c r="C394" s="12" t="str">
        <f t="shared" si="73"/>
        <v>DE KLERK</v>
      </c>
      <c r="D394" s="2" t="s">
        <v>1686</v>
      </c>
      <c r="E394" s="12" t="str">
        <f t="shared" si="83"/>
        <v xml:space="preserve">Izak Johannes </v>
      </c>
      <c r="F394" s="2" t="s">
        <v>3044</v>
      </c>
      <c r="G394" s="12" t="str">
        <f t="shared" si="74"/>
        <v>a1b6c3d12</v>
      </c>
      <c r="H394" s="12" t="str">
        <f t="shared" si="75"/>
        <v>DE KLERKa1b6c3d12</v>
      </c>
      <c r="K394" s="12" t="str">
        <f t="shared" si="76"/>
        <v/>
      </c>
      <c r="L394" s="2" t="s">
        <v>74</v>
      </c>
      <c r="M394" s="2" t="s">
        <v>3045</v>
      </c>
      <c r="N394" s="12" t="str">
        <f t="shared" si="81"/>
        <v/>
      </c>
      <c r="O394" s="12" t="str">
        <f t="shared" si="82"/>
        <v>1808</v>
      </c>
      <c r="P394" s="2" t="s">
        <v>71</v>
      </c>
      <c r="Q394" s="12" t="str">
        <f t="shared" si="77"/>
        <v>1808</v>
      </c>
      <c r="R394" s="2" t="s">
        <v>72</v>
      </c>
      <c r="S394" s="12" t="str">
        <f t="shared" si="78"/>
        <v>1838</v>
      </c>
      <c r="T394" s="2" t="s">
        <v>366</v>
      </c>
      <c r="U394" s="2" t="s">
        <v>3046</v>
      </c>
      <c r="V394" s="12" t="str">
        <f t="shared" si="79"/>
        <v>1826</v>
      </c>
      <c r="W394" s="2" t="s">
        <v>816</v>
      </c>
      <c r="X394" s="2" t="s">
        <v>787</v>
      </c>
      <c r="Y394" s="2" t="s">
        <v>3047</v>
      </c>
      <c r="AA394" s="2" t="s">
        <v>3048</v>
      </c>
      <c r="AB394" s="2" t="s">
        <v>542</v>
      </c>
      <c r="AC394" s="2" t="s">
        <v>3049</v>
      </c>
      <c r="AF394" s="2" t="s">
        <v>3703</v>
      </c>
      <c r="AG394" s="2" t="s">
        <v>366</v>
      </c>
      <c r="AH394" s="2" t="s">
        <v>390</v>
      </c>
      <c r="AI394" s="12" t="str">
        <f t="shared" si="80"/>
        <v>1837</v>
      </c>
      <c r="AJ394" s="2" t="s">
        <v>413</v>
      </c>
    </row>
    <row r="395" spans="1:70">
      <c r="A395" s="2" t="s">
        <v>2138</v>
      </c>
      <c r="B395" s="12" t="str">
        <f t="shared" si="72"/>
        <v>DEKLERK</v>
      </c>
      <c r="C395" s="12" t="str">
        <f t="shared" si="73"/>
        <v>DE KLERK</v>
      </c>
      <c r="D395" s="2" t="s">
        <v>1268</v>
      </c>
      <c r="E395" s="12" t="str">
        <f t="shared" si="83"/>
        <v>Johannes Christiaan</v>
      </c>
      <c r="F395" s="2" t="s">
        <v>3071</v>
      </c>
      <c r="G395" s="12" t="str">
        <f t="shared" si="74"/>
        <v>a1b6c3d13</v>
      </c>
      <c r="H395" s="12" t="str">
        <f t="shared" si="75"/>
        <v>DE KLERKa1b6c3d13</v>
      </c>
      <c r="K395" s="12" t="str">
        <f t="shared" si="76"/>
        <v/>
      </c>
      <c r="L395" s="2" t="s">
        <v>74</v>
      </c>
      <c r="M395" s="2" t="s">
        <v>3072</v>
      </c>
      <c r="N395" s="12" t="str">
        <f t="shared" si="81"/>
        <v/>
      </c>
      <c r="O395" s="12" t="str">
        <f t="shared" si="82"/>
        <v>1810</v>
      </c>
      <c r="P395" s="2" t="s">
        <v>71</v>
      </c>
      <c r="Q395" s="12" t="str">
        <f t="shared" si="77"/>
        <v>1810</v>
      </c>
      <c r="R395" s="2" t="s">
        <v>72</v>
      </c>
      <c r="S395" s="12" t="str">
        <f t="shared" si="78"/>
        <v>1838</v>
      </c>
      <c r="T395" s="2" t="s">
        <v>366</v>
      </c>
      <c r="U395" s="2" t="s">
        <v>3073</v>
      </c>
      <c r="V395" s="12" t="str">
        <f t="shared" si="79"/>
        <v>1830</v>
      </c>
      <c r="W395" s="2" t="s">
        <v>3069</v>
      </c>
      <c r="X395" s="2" t="s">
        <v>788</v>
      </c>
      <c r="Y395" s="2" t="s">
        <v>3074</v>
      </c>
      <c r="AF395" s="2" t="s">
        <v>3703</v>
      </c>
      <c r="AG395" s="2" t="s">
        <v>366</v>
      </c>
      <c r="AH395" s="2" t="s">
        <v>390</v>
      </c>
      <c r="AI395" s="12" t="str">
        <f t="shared" si="80"/>
        <v>1837</v>
      </c>
      <c r="AJ395" s="2" t="s">
        <v>413</v>
      </c>
      <c r="AK395" s="2" t="s">
        <v>1712</v>
      </c>
    </row>
    <row r="396" spans="1:70">
      <c r="A396" s="2" t="s">
        <v>2138</v>
      </c>
      <c r="B396" s="12" t="str">
        <f t="shared" si="72"/>
        <v>DEKLERK</v>
      </c>
      <c r="C396" s="12" t="str">
        <f t="shared" si="73"/>
        <v>DE KLERK</v>
      </c>
      <c r="D396" s="2" t="s">
        <v>3033</v>
      </c>
      <c r="E396" s="12" t="str">
        <f t="shared" si="83"/>
        <v>Barend Jacobus</v>
      </c>
      <c r="F396" s="2" t="s">
        <v>3034</v>
      </c>
      <c r="G396" s="12" t="str">
        <f t="shared" si="74"/>
        <v>a1b6c3d17</v>
      </c>
      <c r="H396" s="12" t="str">
        <f t="shared" si="75"/>
        <v>DE KLERKa1b6c3d17</v>
      </c>
      <c r="J396" s="2" t="s">
        <v>3035</v>
      </c>
      <c r="K396" s="12" t="str">
        <f t="shared" si="76"/>
        <v>1819</v>
      </c>
      <c r="L396" s="2" t="s">
        <v>74</v>
      </c>
      <c r="M396" s="2" t="s">
        <v>3036</v>
      </c>
      <c r="N396" s="12" t="str">
        <f t="shared" si="81"/>
        <v>1819</v>
      </c>
      <c r="O396" s="12" t="str">
        <f t="shared" si="82"/>
        <v>1819</v>
      </c>
      <c r="Q396" s="12" t="str">
        <f t="shared" si="77"/>
        <v>1819</v>
      </c>
      <c r="S396" s="12" t="str">
        <f t="shared" si="78"/>
        <v/>
      </c>
      <c r="T396" s="2" t="s">
        <v>1043</v>
      </c>
      <c r="U396" s="2" t="s">
        <v>3037</v>
      </c>
      <c r="V396" s="12" t="str">
        <f t="shared" si="79"/>
        <v>1840</v>
      </c>
      <c r="W396" s="2" t="s">
        <v>3038</v>
      </c>
      <c r="X396" s="2" t="s">
        <v>1167</v>
      </c>
      <c r="Y396" s="2" t="s">
        <v>3039</v>
      </c>
      <c r="Z396" s="2" t="s">
        <v>346</v>
      </c>
      <c r="AA396" s="2" t="s">
        <v>3040</v>
      </c>
      <c r="AB396" s="2" t="s">
        <v>53</v>
      </c>
      <c r="AC396" s="2" t="s">
        <v>328</v>
      </c>
      <c r="AG396" s="2" t="s">
        <v>366</v>
      </c>
      <c r="AI396" s="12" t="str">
        <f t="shared" si="80"/>
        <v/>
      </c>
      <c r="AJ396" s="2" t="s">
        <v>379</v>
      </c>
      <c r="AK396" s="2" t="s">
        <v>140</v>
      </c>
    </row>
    <row r="397" spans="1:70">
      <c r="A397" s="2" t="s">
        <v>2138</v>
      </c>
      <c r="B397" s="12" t="str">
        <f t="shared" si="72"/>
        <v>DEKLERK</v>
      </c>
      <c r="C397" s="12" t="str">
        <f t="shared" si="73"/>
        <v>DE KLERK</v>
      </c>
      <c r="D397" s="2" t="s">
        <v>3057</v>
      </c>
      <c r="E397" s="12" t="str">
        <f t="shared" si="83"/>
        <v>Jacob Jr</v>
      </c>
      <c r="F397" s="2" t="s">
        <v>3058</v>
      </c>
      <c r="G397" s="12" t="str">
        <f t="shared" si="74"/>
        <v>a1b6c3d5</v>
      </c>
      <c r="H397" s="12" t="str">
        <f t="shared" si="75"/>
        <v>DE KLERKa1b6c3d5</v>
      </c>
      <c r="J397" s="2" t="s">
        <v>3059</v>
      </c>
      <c r="K397" s="12" t="str">
        <f t="shared" si="76"/>
        <v>1791</v>
      </c>
      <c r="L397" s="2" t="s">
        <v>74</v>
      </c>
      <c r="M397" s="2" t="s">
        <v>3060</v>
      </c>
      <c r="N397" s="12" t="str">
        <f t="shared" si="81"/>
        <v>1791</v>
      </c>
      <c r="O397" s="12" t="str">
        <f t="shared" si="82"/>
        <v>1792</v>
      </c>
      <c r="P397" s="2" t="s">
        <v>134</v>
      </c>
      <c r="Q397" s="12" t="str">
        <f t="shared" si="77"/>
        <v>1791</v>
      </c>
      <c r="R397" s="2" t="s">
        <v>3061</v>
      </c>
      <c r="S397" s="12" t="str">
        <f t="shared" si="78"/>
        <v>1881</v>
      </c>
      <c r="T397" s="2" t="s">
        <v>74</v>
      </c>
      <c r="U397" s="2" t="s">
        <v>2617</v>
      </c>
      <c r="V397" s="12" t="str">
        <f t="shared" si="79"/>
        <v>1813</v>
      </c>
      <c r="W397" s="2" t="s">
        <v>1838</v>
      </c>
      <c r="X397" s="2" t="s">
        <v>633</v>
      </c>
      <c r="Y397" s="2" t="s">
        <v>3062</v>
      </c>
      <c r="AA397" s="2" t="s">
        <v>3063</v>
      </c>
      <c r="AE397" s="2" t="s">
        <v>3064</v>
      </c>
      <c r="AF397" s="2" t="s">
        <v>3703</v>
      </c>
      <c r="AG397" s="2" t="s">
        <v>366</v>
      </c>
      <c r="AH397" s="2" t="s">
        <v>390</v>
      </c>
      <c r="AI397" s="12" t="str">
        <f t="shared" si="80"/>
        <v>1837</v>
      </c>
      <c r="AK397" s="2" t="s">
        <v>3065</v>
      </c>
      <c r="BR397" s="2" t="s">
        <v>3066</v>
      </c>
    </row>
    <row r="398" spans="1:70">
      <c r="A398" s="2" t="s">
        <v>2138</v>
      </c>
      <c r="B398" s="12" t="str">
        <f t="shared" si="72"/>
        <v>DEKLERK</v>
      </c>
      <c r="C398" s="12" t="str">
        <f t="shared" si="73"/>
        <v>DE KLERK</v>
      </c>
      <c r="D398" s="2" t="s">
        <v>1626</v>
      </c>
      <c r="E398" s="12" t="str">
        <f t="shared" si="83"/>
        <v>Jacob</v>
      </c>
      <c r="F398" s="2" t="s">
        <v>3067</v>
      </c>
      <c r="G398" s="12" t="str">
        <f t="shared" si="74"/>
        <v>a1b6c3d5e5</v>
      </c>
      <c r="H398" s="12" t="str">
        <f t="shared" si="75"/>
        <v>DE KLERKa1b6c3d5e5</v>
      </c>
      <c r="J398" s="2" t="s">
        <v>3068</v>
      </c>
      <c r="K398" s="12" t="str">
        <f t="shared" si="76"/>
        <v>1824</v>
      </c>
      <c r="L398" s="2" t="s">
        <v>366</v>
      </c>
      <c r="M398" s="2" t="s">
        <v>2642</v>
      </c>
      <c r="N398" s="12" t="str">
        <f t="shared" si="81"/>
        <v>1824</v>
      </c>
      <c r="O398" s="12" t="str">
        <f t="shared" si="82"/>
        <v>1824</v>
      </c>
      <c r="Q398" s="12" t="str">
        <f t="shared" si="77"/>
        <v>1824</v>
      </c>
      <c r="S398" s="12" t="str">
        <f t="shared" si="78"/>
        <v/>
      </c>
      <c r="V398" s="12" t="str">
        <f t="shared" si="79"/>
        <v/>
      </c>
      <c r="W398" s="2" t="s">
        <v>3069</v>
      </c>
      <c r="X398" s="2" t="s">
        <v>1136</v>
      </c>
      <c r="AF398" s="2" t="s">
        <v>3703</v>
      </c>
      <c r="AG398" s="2" t="s">
        <v>366</v>
      </c>
      <c r="AH398" s="2" t="s">
        <v>390</v>
      </c>
      <c r="AI398" s="12" t="str">
        <f t="shared" si="80"/>
        <v>1837</v>
      </c>
      <c r="AJ398" s="2" t="s">
        <v>413</v>
      </c>
      <c r="BQ398" s="2" t="s">
        <v>3070</v>
      </c>
    </row>
    <row r="399" spans="1:70">
      <c r="A399" s="2" t="s">
        <v>3051</v>
      </c>
      <c r="B399" s="12" t="str">
        <f t="shared" si="72"/>
        <v>DEKLERK</v>
      </c>
      <c r="C399" s="12" t="str">
        <f t="shared" si="73"/>
        <v>DE KLERK</v>
      </c>
      <c r="D399" s="2" t="s">
        <v>3050</v>
      </c>
      <c r="E399" s="12" t="str">
        <f t="shared" si="83"/>
        <v>Jacob Sr</v>
      </c>
      <c r="F399" s="2" t="s">
        <v>3052</v>
      </c>
      <c r="G399" s="12" t="str">
        <f t="shared" si="74"/>
        <v>a1b6c3</v>
      </c>
      <c r="H399" s="12" t="str">
        <f t="shared" si="75"/>
        <v>DE KLERKa1b6c3</v>
      </c>
      <c r="K399" s="12" t="str">
        <f t="shared" si="76"/>
        <v/>
      </c>
      <c r="M399" s="2" t="s">
        <v>3053</v>
      </c>
      <c r="N399" s="12" t="str">
        <f t="shared" si="81"/>
        <v/>
      </c>
      <c r="O399" s="12" t="str">
        <f t="shared" si="82"/>
        <v>1757</v>
      </c>
      <c r="Q399" s="12" t="str">
        <f t="shared" si="77"/>
        <v>1757</v>
      </c>
      <c r="S399" s="12" t="str">
        <f t="shared" si="78"/>
        <v/>
      </c>
      <c r="U399" s="2" t="s">
        <v>3054</v>
      </c>
      <c r="V399" s="12" t="str">
        <f t="shared" si="79"/>
        <v>1783</v>
      </c>
      <c r="W399" s="2" t="s">
        <v>1891</v>
      </c>
      <c r="X399" s="2" t="s">
        <v>2026</v>
      </c>
      <c r="AE399" s="12"/>
      <c r="AF399" s="12" t="s">
        <v>3703</v>
      </c>
      <c r="AG399" s="2" t="s">
        <v>366</v>
      </c>
      <c r="AH399" s="2" t="s">
        <v>390</v>
      </c>
      <c r="AI399" s="12" t="str">
        <f t="shared" si="80"/>
        <v>1837</v>
      </c>
      <c r="AJ399" s="2" t="s">
        <v>413</v>
      </c>
      <c r="AK399" s="2" t="s">
        <v>155</v>
      </c>
      <c r="AM399" s="2" t="s">
        <v>3055</v>
      </c>
      <c r="AN399" s="2" t="s">
        <v>679</v>
      </c>
      <c r="AO399" s="2" t="s">
        <v>3056</v>
      </c>
    </row>
    <row r="400" spans="1:70">
      <c r="A400" s="2" t="s">
        <v>3138</v>
      </c>
      <c r="B400" s="12" t="str">
        <f t="shared" si="72"/>
        <v>DELAREY</v>
      </c>
      <c r="C400" s="12" t="str">
        <f t="shared" si="73"/>
        <v>DE LA REY</v>
      </c>
      <c r="D400" s="2" t="s">
        <v>3139</v>
      </c>
      <c r="E400" s="12" t="str">
        <f t="shared" si="83"/>
        <v>Jacobus Herculas</v>
      </c>
      <c r="F400" s="2" t="s">
        <v>932</v>
      </c>
      <c r="G400" s="12" t="str">
        <f t="shared" si="74"/>
        <v>a1b2</v>
      </c>
      <c r="H400" s="12" t="str">
        <f t="shared" si="75"/>
        <v>DE LA REYa1b2</v>
      </c>
      <c r="K400" s="12" t="str">
        <f t="shared" si="76"/>
        <v/>
      </c>
      <c r="L400" s="2" t="s">
        <v>32</v>
      </c>
      <c r="M400" s="2" t="s">
        <v>2673</v>
      </c>
      <c r="N400" s="12" t="str">
        <f t="shared" si="81"/>
        <v/>
      </c>
      <c r="O400" s="12" t="str">
        <f t="shared" si="82"/>
        <v>1801</v>
      </c>
      <c r="P400" s="2" t="s">
        <v>3140</v>
      </c>
      <c r="Q400" s="12" t="str">
        <f t="shared" si="77"/>
        <v>1801</v>
      </c>
      <c r="R400" s="2" t="s">
        <v>3141</v>
      </c>
      <c r="S400" s="12" t="str">
        <f t="shared" si="78"/>
        <v>1858</v>
      </c>
      <c r="T400" s="2" t="s">
        <v>3142</v>
      </c>
      <c r="U400" s="2" t="s">
        <v>3143</v>
      </c>
      <c r="V400" s="12" t="str">
        <f t="shared" si="79"/>
        <v>1823</v>
      </c>
      <c r="W400" s="2" t="s">
        <v>650</v>
      </c>
      <c r="X400" s="2" t="s">
        <v>2410</v>
      </c>
      <c r="Y400" s="2" t="s">
        <v>3144</v>
      </c>
      <c r="AC400" s="2" t="s">
        <v>3145</v>
      </c>
      <c r="AF400" s="2" t="s">
        <v>3730</v>
      </c>
      <c r="AG400" s="2" t="s">
        <v>32</v>
      </c>
      <c r="AH400" s="2">
        <v>1839</v>
      </c>
      <c r="AI400" s="12" t="str">
        <f t="shared" si="80"/>
        <v>1839</v>
      </c>
      <c r="AK400" s="2" t="s">
        <v>255</v>
      </c>
    </row>
    <row r="401" spans="1:69">
      <c r="A401" s="2" t="s">
        <v>629</v>
      </c>
      <c r="B401" s="12" t="str">
        <f t="shared" si="72"/>
        <v>DELANGE</v>
      </c>
      <c r="C401" s="12" t="str">
        <f t="shared" si="73"/>
        <v>DE LANGE</v>
      </c>
      <c r="D401" s="2" t="s">
        <v>3104</v>
      </c>
      <c r="E401" s="12" t="str">
        <f t="shared" si="83"/>
        <v>Adriaan Jacobus Jr</v>
      </c>
      <c r="F401" s="2" t="s">
        <v>3105</v>
      </c>
      <c r="G401" s="12" t="str">
        <f t="shared" si="74"/>
        <v>a2b10c3d1</v>
      </c>
      <c r="H401" s="12" t="str">
        <f t="shared" si="75"/>
        <v>DE LANGEa2b10c3d1</v>
      </c>
      <c r="J401" s="2" t="s">
        <v>3106</v>
      </c>
      <c r="K401" s="12" t="str">
        <f t="shared" si="76"/>
        <v>1821</v>
      </c>
      <c r="L401" s="2" t="s">
        <v>3107</v>
      </c>
      <c r="M401" s="2" t="s">
        <v>3108</v>
      </c>
      <c r="N401" s="12" t="str">
        <f t="shared" si="81"/>
        <v>1821</v>
      </c>
      <c r="O401" s="12" t="str">
        <f t="shared" si="82"/>
        <v>1821</v>
      </c>
      <c r="Q401" s="12" t="str">
        <f t="shared" si="77"/>
        <v>1821</v>
      </c>
      <c r="S401" s="12" t="str">
        <f t="shared" si="78"/>
        <v/>
      </c>
      <c r="V401" s="12" t="str">
        <f t="shared" si="79"/>
        <v/>
      </c>
      <c r="W401" s="2" t="s">
        <v>3109</v>
      </c>
      <c r="X401" s="2" t="s">
        <v>3110</v>
      </c>
      <c r="Y401" s="2" t="s">
        <v>934</v>
      </c>
      <c r="AA401" s="2" t="s">
        <v>3111</v>
      </c>
      <c r="AF401" s="2" t="s">
        <v>3699</v>
      </c>
      <c r="AG401" s="2" t="s">
        <v>68</v>
      </c>
      <c r="AH401" s="2" t="s">
        <v>3097</v>
      </c>
      <c r="AI401" s="12" t="str">
        <f t="shared" si="80"/>
        <v>1837</v>
      </c>
      <c r="AJ401" s="2" t="s">
        <v>1358</v>
      </c>
      <c r="AK401" s="2" t="s">
        <v>155</v>
      </c>
    </row>
    <row r="402" spans="1:69">
      <c r="A402" s="2" t="s">
        <v>629</v>
      </c>
      <c r="B402" s="12" t="str">
        <f t="shared" si="72"/>
        <v>DELANGE</v>
      </c>
      <c r="C402" s="12" t="str">
        <f t="shared" si="73"/>
        <v>DE LANGE</v>
      </c>
      <c r="D402" s="2" t="s">
        <v>3129</v>
      </c>
      <c r="E402" s="12" t="str">
        <f t="shared" si="83"/>
        <v>Robertus Burnet</v>
      </c>
      <c r="F402" s="2" t="s">
        <v>3130</v>
      </c>
      <c r="G402" s="12" t="str">
        <f t="shared" si="74"/>
        <v>a2b10c5</v>
      </c>
      <c r="H402" s="12" t="str">
        <f t="shared" si="75"/>
        <v>DE LANGEa2b10c5</v>
      </c>
      <c r="K402" s="12" t="str">
        <f t="shared" si="76"/>
        <v/>
      </c>
      <c r="M402" s="2" t="s">
        <v>3131</v>
      </c>
      <c r="N402" s="12" t="str">
        <f t="shared" si="81"/>
        <v/>
      </c>
      <c r="O402" s="12" t="str">
        <f t="shared" si="82"/>
        <v>1806</v>
      </c>
      <c r="P402" s="2" t="s">
        <v>1443</v>
      </c>
      <c r="Q402" s="12" t="str">
        <f t="shared" si="77"/>
        <v>1806</v>
      </c>
      <c r="R402" s="2" t="s">
        <v>3132</v>
      </c>
      <c r="S402" s="12" t="str">
        <f t="shared" si="78"/>
        <v>1880</v>
      </c>
      <c r="T402" s="2" t="s">
        <v>68</v>
      </c>
      <c r="U402" s="2" t="s">
        <v>3133</v>
      </c>
      <c r="V402" s="12" t="str">
        <f t="shared" si="79"/>
        <v>1826</v>
      </c>
      <c r="W402" s="2" t="s">
        <v>3134</v>
      </c>
      <c r="X402" s="2" t="s">
        <v>694</v>
      </c>
      <c r="Y402" s="2" t="s">
        <v>3135</v>
      </c>
      <c r="AC402" s="2" t="s">
        <v>3136</v>
      </c>
      <c r="AD402" s="2" t="s">
        <v>1443</v>
      </c>
      <c r="AE402" s="2" t="s">
        <v>3137</v>
      </c>
      <c r="AF402" s="2" t="s">
        <v>3705</v>
      </c>
      <c r="AG402" s="2" t="s">
        <v>68</v>
      </c>
      <c r="AH402" s="2" t="s">
        <v>3097</v>
      </c>
      <c r="AI402" s="12" t="str">
        <f t="shared" si="80"/>
        <v>1837</v>
      </c>
      <c r="AJ402" s="2" t="s">
        <v>1358</v>
      </c>
      <c r="AK402" s="2" t="s">
        <v>1443</v>
      </c>
    </row>
    <row r="403" spans="1:69">
      <c r="A403" s="2" t="s">
        <v>629</v>
      </c>
      <c r="B403" s="12" t="str">
        <f t="shared" si="72"/>
        <v>DELANGE</v>
      </c>
      <c r="C403" s="12" t="str">
        <f t="shared" si="73"/>
        <v>DE LANGE</v>
      </c>
      <c r="D403" s="2" t="s">
        <v>3033</v>
      </c>
      <c r="E403" s="12" t="str">
        <f t="shared" si="83"/>
        <v>Barend Jacobus</v>
      </c>
      <c r="F403" s="2" t="s">
        <v>3112</v>
      </c>
      <c r="G403" s="12" t="str">
        <f t="shared" si="74"/>
        <v>a2b10c6</v>
      </c>
      <c r="H403" s="12" t="str">
        <f t="shared" si="75"/>
        <v>DE LANGEa2b10c6</v>
      </c>
      <c r="J403" s="2" t="s">
        <v>3113</v>
      </c>
      <c r="K403" s="12" t="str">
        <f t="shared" si="76"/>
        <v>1808</v>
      </c>
      <c r="L403" s="2" t="s">
        <v>74</v>
      </c>
      <c r="M403" s="2" t="s">
        <v>3114</v>
      </c>
      <c r="N403" s="12" t="str">
        <f t="shared" si="81"/>
        <v>1808</v>
      </c>
      <c r="O403" s="12" t="str">
        <f t="shared" si="82"/>
        <v>1808</v>
      </c>
      <c r="P403" s="2" t="s">
        <v>1017</v>
      </c>
      <c r="Q403" s="12" t="str">
        <f t="shared" si="77"/>
        <v>1808</v>
      </c>
      <c r="R403" s="2">
        <v>1884</v>
      </c>
      <c r="S403" s="12" t="str">
        <f t="shared" si="78"/>
        <v>1884</v>
      </c>
      <c r="V403" s="12" t="str">
        <f t="shared" si="79"/>
        <v/>
      </c>
      <c r="W403" s="2" t="s">
        <v>1432</v>
      </c>
      <c r="X403" s="2" t="s">
        <v>3115</v>
      </c>
      <c r="AF403" s="2" t="s">
        <v>3705</v>
      </c>
      <c r="AG403" s="2" t="s">
        <v>68</v>
      </c>
      <c r="AH403" s="2" t="s">
        <v>3097</v>
      </c>
      <c r="AI403" s="12" t="str">
        <f t="shared" si="80"/>
        <v>1837</v>
      </c>
      <c r="AJ403" s="2" t="s">
        <v>1358</v>
      </c>
      <c r="AK403" s="2" t="s">
        <v>90</v>
      </c>
    </row>
    <row r="404" spans="1:69">
      <c r="A404" s="2" t="s">
        <v>629</v>
      </c>
      <c r="B404" s="12" t="str">
        <f t="shared" si="72"/>
        <v>DELANGE</v>
      </c>
      <c r="C404" s="12" t="str">
        <f t="shared" si="73"/>
        <v>DE LANGE</v>
      </c>
      <c r="D404" s="2" t="s">
        <v>3033</v>
      </c>
      <c r="E404" s="12" t="str">
        <f t="shared" si="83"/>
        <v>Barend Jacobus</v>
      </c>
      <c r="F404" s="2" t="s">
        <v>3116</v>
      </c>
      <c r="G404" s="12" t="str">
        <f t="shared" si="74"/>
        <v>a2b3c6</v>
      </c>
      <c r="H404" s="12" t="str">
        <f t="shared" si="75"/>
        <v>DE LANGEa2b3c6</v>
      </c>
      <c r="K404" s="12" t="str">
        <f t="shared" si="76"/>
        <v/>
      </c>
      <c r="L404" s="2" t="s">
        <v>74</v>
      </c>
      <c r="M404" s="2" t="s">
        <v>3081</v>
      </c>
      <c r="N404" s="12" t="str">
        <f t="shared" si="81"/>
        <v/>
      </c>
      <c r="O404" s="12" t="str">
        <f t="shared" si="82"/>
        <v>1794</v>
      </c>
      <c r="Q404" s="12" t="str">
        <f t="shared" si="77"/>
        <v>1794</v>
      </c>
      <c r="S404" s="12" t="str">
        <f t="shared" si="78"/>
        <v/>
      </c>
      <c r="T404" s="2" t="s">
        <v>74</v>
      </c>
      <c r="U404" s="2" t="s">
        <v>3117</v>
      </c>
      <c r="V404" s="12" t="str">
        <f t="shared" si="79"/>
        <v>1817</v>
      </c>
      <c r="W404" s="2" t="s">
        <v>3118</v>
      </c>
      <c r="X404" s="2" t="s">
        <v>696</v>
      </c>
      <c r="Y404" s="2" t="s">
        <v>3119</v>
      </c>
      <c r="AC404" s="2" t="s">
        <v>2247</v>
      </c>
      <c r="AF404" s="2" t="s">
        <v>3709</v>
      </c>
      <c r="AG404" s="2" t="s">
        <v>68</v>
      </c>
      <c r="AI404" s="12" t="str">
        <f t="shared" si="80"/>
        <v/>
      </c>
      <c r="AK404" s="2" t="s">
        <v>271</v>
      </c>
    </row>
    <row r="405" spans="1:69">
      <c r="A405" s="2" t="s">
        <v>629</v>
      </c>
      <c r="B405" s="12" t="str">
        <f t="shared" si="72"/>
        <v>DELANGE</v>
      </c>
      <c r="C405" s="12" t="str">
        <f t="shared" si="73"/>
        <v>DE LANGE</v>
      </c>
      <c r="D405" s="2" t="s">
        <v>243</v>
      </c>
      <c r="E405" s="12" t="str">
        <f t="shared" si="83"/>
        <v>Adriaan</v>
      </c>
      <c r="F405" s="2" t="s">
        <v>3080</v>
      </c>
      <c r="G405" s="12" t="str">
        <f t="shared" si="74"/>
        <v>a2b3c7</v>
      </c>
      <c r="H405" s="12" t="str">
        <f t="shared" si="75"/>
        <v>DE LANGEa2b3c7</v>
      </c>
      <c r="K405" s="12" t="str">
        <f t="shared" si="76"/>
        <v/>
      </c>
      <c r="L405" s="2" t="s">
        <v>74</v>
      </c>
      <c r="M405" s="2" t="s">
        <v>3081</v>
      </c>
      <c r="N405" s="12" t="str">
        <f t="shared" si="81"/>
        <v/>
      </c>
      <c r="O405" s="12" t="str">
        <f t="shared" si="82"/>
        <v>1794</v>
      </c>
      <c r="Q405" s="12" t="str">
        <f t="shared" si="77"/>
        <v>1794</v>
      </c>
      <c r="S405" s="12" t="str">
        <f t="shared" si="78"/>
        <v/>
      </c>
      <c r="T405" s="2" t="s">
        <v>74</v>
      </c>
      <c r="U405" s="2" t="s">
        <v>3082</v>
      </c>
      <c r="V405" s="12" t="str">
        <f t="shared" si="79"/>
        <v>1815</v>
      </c>
      <c r="W405" s="2" t="s">
        <v>3083</v>
      </c>
      <c r="X405" s="2" t="s">
        <v>667</v>
      </c>
      <c r="AF405" s="2" t="s">
        <v>16</v>
      </c>
      <c r="AG405" s="2" t="s">
        <v>68</v>
      </c>
      <c r="AI405" s="12" t="str">
        <f t="shared" si="80"/>
        <v/>
      </c>
    </row>
    <row r="406" spans="1:69">
      <c r="A406" s="2" t="s">
        <v>629</v>
      </c>
      <c r="B406" s="12" t="str">
        <f t="shared" si="72"/>
        <v>DELANGE</v>
      </c>
      <c r="C406" s="12" t="str">
        <f t="shared" si="73"/>
        <v>DE LANGE</v>
      </c>
      <c r="D406" s="2" t="s">
        <v>1284</v>
      </c>
      <c r="E406" s="12" t="str">
        <f t="shared" si="83"/>
        <v>Johannes Hendrik</v>
      </c>
      <c r="F406" s="2" t="s">
        <v>3124</v>
      </c>
      <c r="G406" s="12" t="str">
        <f t="shared" si="74"/>
        <v>a2b3c7d1</v>
      </c>
      <c r="H406" s="12" t="str">
        <f t="shared" si="75"/>
        <v>DE LANGEa2b3c7d1</v>
      </c>
      <c r="I406" s="2" t="s">
        <v>68</v>
      </c>
      <c r="J406" s="2" t="s">
        <v>2666</v>
      </c>
      <c r="K406" s="12" t="str">
        <f t="shared" si="76"/>
        <v>1815</v>
      </c>
      <c r="L406" s="2" t="s">
        <v>199</v>
      </c>
      <c r="M406" s="2" t="s">
        <v>3125</v>
      </c>
      <c r="N406" s="12" t="str">
        <f t="shared" si="81"/>
        <v>1815</v>
      </c>
      <c r="O406" s="12" t="str">
        <f t="shared" si="82"/>
        <v>1815</v>
      </c>
      <c r="P406" s="2" t="s">
        <v>3126</v>
      </c>
      <c r="Q406" s="12" t="str">
        <f t="shared" si="77"/>
        <v>1815</v>
      </c>
      <c r="R406" s="2" t="s">
        <v>3127</v>
      </c>
      <c r="S406" s="12" t="str">
        <f t="shared" si="78"/>
        <v>1884</v>
      </c>
      <c r="V406" s="12" t="str">
        <f t="shared" si="79"/>
        <v/>
      </c>
      <c r="W406" s="2" t="s">
        <v>3128</v>
      </c>
      <c r="X406" s="2" t="s">
        <v>1985</v>
      </c>
      <c r="AF406" s="2" t="s">
        <v>16</v>
      </c>
      <c r="AG406" s="2" t="s">
        <v>68</v>
      </c>
      <c r="AI406" s="12" t="str">
        <f t="shared" si="80"/>
        <v/>
      </c>
    </row>
    <row r="407" spans="1:69">
      <c r="A407" s="2" t="s">
        <v>629</v>
      </c>
      <c r="B407" s="12" t="str">
        <f t="shared" si="72"/>
        <v>DELANGE</v>
      </c>
      <c r="C407" s="12" t="str">
        <f t="shared" si="73"/>
        <v>DE LANGE</v>
      </c>
      <c r="D407" s="2" t="s">
        <v>243</v>
      </c>
      <c r="E407" s="12" t="str">
        <f t="shared" si="83"/>
        <v>Adriaan</v>
      </c>
      <c r="F407" s="2" t="s">
        <v>3084</v>
      </c>
      <c r="G407" s="12" t="str">
        <f t="shared" si="74"/>
        <v>a2b5c7</v>
      </c>
      <c r="H407" s="12" t="str">
        <f t="shared" si="75"/>
        <v>DE LANGEa2b5c7</v>
      </c>
      <c r="K407" s="12" t="str">
        <f t="shared" si="76"/>
        <v/>
      </c>
      <c r="M407" s="2" t="s">
        <v>217</v>
      </c>
      <c r="N407" s="12" t="str">
        <f t="shared" si="81"/>
        <v/>
      </c>
      <c r="O407" s="12" t="str">
        <f t="shared" si="82"/>
        <v>1800</v>
      </c>
      <c r="Q407" s="12" t="str">
        <f t="shared" si="77"/>
        <v>1800</v>
      </c>
      <c r="S407" s="12" t="str">
        <f t="shared" si="78"/>
        <v/>
      </c>
      <c r="T407" s="2" t="s">
        <v>3085</v>
      </c>
      <c r="U407" s="2" t="s">
        <v>3086</v>
      </c>
      <c r="V407" s="12" t="str">
        <f t="shared" si="79"/>
        <v>1824</v>
      </c>
      <c r="W407" s="2" t="s">
        <v>3087</v>
      </c>
      <c r="X407" s="2" t="s">
        <v>758</v>
      </c>
      <c r="AG407" s="2" t="s">
        <v>28</v>
      </c>
      <c r="AI407" s="12" t="str">
        <f t="shared" si="80"/>
        <v/>
      </c>
      <c r="AK407" s="2" t="s">
        <v>155</v>
      </c>
    </row>
    <row r="408" spans="1:69">
      <c r="A408" s="2" t="s">
        <v>3088</v>
      </c>
      <c r="B408" s="12" t="str">
        <f t="shared" si="72"/>
        <v>DELANGE</v>
      </c>
      <c r="C408" s="12" t="str">
        <f t="shared" si="73"/>
        <v>DE LANGE</v>
      </c>
      <c r="D408" s="2" t="s">
        <v>243</v>
      </c>
      <c r="E408" s="12" t="str">
        <f t="shared" si="83"/>
        <v>Adriaan</v>
      </c>
      <c r="F408" s="2" t="s">
        <v>3093</v>
      </c>
      <c r="G408" s="12" t="str">
        <f t="shared" si="74"/>
        <v>a2b10</v>
      </c>
      <c r="H408" s="12" t="str">
        <f t="shared" si="75"/>
        <v>DE LANGEa2b10</v>
      </c>
      <c r="K408" s="12" t="str">
        <f t="shared" si="76"/>
        <v/>
      </c>
      <c r="M408" s="2" t="s">
        <v>3089</v>
      </c>
      <c r="N408" s="12" t="str">
        <f t="shared" si="81"/>
        <v/>
      </c>
      <c r="O408" s="12" t="str">
        <f t="shared" si="82"/>
        <v>1773</v>
      </c>
      <c r="Q408" s="12" t="str">
        <f t="shared" si="77"/>
        <v>1773</v>
      </c>
      <c r="S408" s="12" t="str">
        <f t="shared" si="78"/>
        <v/>
      </c>
      <c r="T408" s="2" t="s">
        <v>48</v>
      </c>
      <c r="U408" s="2" t="s">
        <v>3090</v>
      </c>
      <c r="V408" s="12" t="str">
        <f t="shared" si="79"/>
        <v>1790</v>
      </c>
      <c r="W408" s="2" t="s">
        <v>1076</v>
      </c>
      <c r="X408" s="2" t="s">
        <v>729</v>
      </c>
      <c r="AF408" s="2" t="s">
        <v>3709</v>
      </c>
      <c r="AG408" s="2" t="s">
        <v>68</v>
      </c>
      <c r="AH408" s="2" t="s">
        <v>2155</v>
      </c>
      <c r="AI408" s="12" t="str">
        <f t="shared" si="80"/>
        <v>1837</v>
      </c>
      <c r="AJ408" s="2" t="s">
        <v>3091</v>
      </c>
      <c r="AL408" s="2" t="s">
        <v>48</v>
      </c>
      <c r="AM408" s="2" t="s">
        <v>959</v>
      </c>
      <c r="AN408" s="2" t="s">
        <v>3092</v>
      </c>
      <c r="AO408" s="2" t="s">
        <v>698</v>
      </c>
    </row>
    <row r="409" spans="1:69">
      <c r="A409" s="12" t="s">
        <v>3088</v>
      </c>
      <c r="B409" s="12" t="str">
        <f t="shared" si="72"/>
        <v>DELANGE</v>
      </c>
      <c r="C409" s="12" t="str">
        <f t="shared" si="73"/>
        <v>DE LANGE</v>
      </c>
      <c r="D409" s="12" t="s">
        <v>3098</v>
      </c>
      <c r="E409" s="12" t="str">
        <f t="shared" si="83"/>
        <v>Adriaan Jacobus</v>
      </c>
      <c r="F409" s="12" t="s">
        <v>3099</v>
      </c>
      <c r="G409" s="12" t="str">
        <f t="shared" si="74"/>
        <v>a2c10c3</v>
      </c>
      <c r="H409" s="12" t="str">
        <f t="shared" si="75"/>
        <v>DE LANGEa2c10c3</v>
      </c>
      <c r="I409" s="12"/>
      <c r="J409" s="12" t="s">
        <v>3100</v>
      </c>
      <c r="K409" s="12" t="str">
        <f t="shared" si="76"/>
        <v>1801</v>
      </c>
      <c r="L409" s="12" t="s">
        <v>74</v>
      </c>
      <c r="M409" s="12" t="s">
        <v>212</v>
      </c>
      <c r="N409" s="12" t="str">
        <f t="shared" si="81"/>
        <v>1801</v>
      </c>
      <c r="O409" s="12" t="str">
        <f t="shared" si="82"/>
        <v>1801</v>
      </c>
      <c r="P409" s="12"/>
      <c r="Q409" s="12" t="str">
        <f t="shared" si="77"/>
        <v>1801</v>
      </c>
      <c r="R409" s="12"/>
      <c r="S409" s="12" t="str">
        <f t="shared" si="78"/>
        <v/>
      </c>
      <c r="T409" s="12" t="s">
        <v>53</v>
      </c>
      <c r="U409" s="12" t="s">
        <v>3101</v>
      </c>
      <c r="V409" s="12" t="str">
        <f t="shared" si="79"/>
        <v>1820</v>
      </c>
      <c r="W409" s="12" t="s">
        <v>2015</v>
      </c>
      <c r="X409" s="12" t="s">
        <v>704</v>
      </c>
      <c r="Y409" s="12" t="s">
        <v>3102</v>
      </c>
      <c r="Z409" s="12"/>
      <c r="AA409" s="12"/>
      <c r="AB409" s="12"/>
      <c r="AC409" s="12" t="s">
        <v>3103</v>
      </c>
      <c r="AD409" s="12"/>
      <c r="AE409" s="12"/>
      <c r="AF409" s="12" t="s">
        <v>3699</v>
      </c>
      <c r="AG409" s="12" t="s">
        <v>68</v>
      </c>
      <c r="AH409" s="12" t="s">
        <v>3097</v>
      </c>
      <c r="AI409" s="12" t="str">
        <f t="shared" si="80"/>
        <v>1837</v>
      </c>
      <c r="AJ409" s="12" t="s">
        <v>1358</v>
      </c>
      <c r="AK409" s="12" t="s">
        <v>155</v>
      </c>
      <c r="AL409" s="12"/>
      <c r="AM409" s="12"/>
      <c r="AN409" s="12" t="s">
        <v>804</v>
      </c>
      <c r="AO409" s="12" t="s">
        <v>700</v>
      </c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</row>
    <row r="410" spans="1:69">
      <c r="A410" s="12" t="s">
        <v>10664</v>
      </c>
      <c r="B410" s="12" t="str">
        <f t="shared" si="72"/>
        <v>DEMEYER</v>
      </c>
      <c r="C410" s="12" t="str">
        <f t="shared" si="73"/>
        <v>DE MEYER</v>
      </c>
      <c r="D410" s="12" t="s">
        <v>10829</v>
      </c>
      <c r="E410" s="12" t="str">
        <f t="shared" si="83"/>
        <v>Jacobus Willem</v>
      </c>
      <c r="F410" s="12" t="s">
        <v>10830</v>
      </c>
      <c r="G410" s="12" t="str">
        <f t="shared" si="74"/>
        <v>a1b1c2d5e3</v>
      </c>
      <c r="H410" s="12" t="str">
        <f t="shared" si="75"/>
        <v>DE MEYERa1b1c2d5e3</v>
      </c>
      <c r="I410" s="12"/>
      <c r="J410" s="12"/>
      <c r="K410" s="12" t="str">
        <f t="shared" si="76"/>
        <v/>
      </c>
      <c r="L410" s="12"/>
      <c r="M410" s="12" t="s">
        <v>10831</v>
      </c>
      <c r="N410" s="12" t="str">
        <f t="shared" si="81"/>
        <v/>
      </c>
      <c r="O410" s="12" t="str">
        <f t="shared" si="82"/>
        <v>1791</v>
      </c>
      <c r="P410" s="12"/>
      <c r="Q410" s="12" t="str">
        <f t="shared" si="77"/>
        <v>1791</v>
      </c>
      <c r="R410" s="12"/>
      <c r="S410" s="12" t="str">
        <f t="shared" si="78"/>
        <v/>
      </c>
      <c r="T410" s="12" t="s">
        <v>74</v>
      </c>
      <c r="U410" s="12" t="s">
        <v>10832</v>
      </c>
      <c r="V410" s="12" t="str">
        <f t="shared" si="79"/>
        <v>1812</v>
      </c>
      <c r="W410" s="12" t="s">
        <v>10833</v>
      </c>
      <c r="X410" s="12" t="s">
        <v>10649</v>
      </c>
      <c r="Y410" s="12"/>
      <c r="Z410" s="12"/>
      <c r="AA410" s="12" t="s">
        <v>10834</v>
      </c>
      <c r="AB410" s="12"/>
      <c r="AC410" s="12"/>
      <c r="AD410" s="12"/>
      <c r="AE410" s="12"/>
      <c r="AF410" s="12" t="s">
        <v>10826</v>
      </c>
      <c r="AG410" s="12" t="s">
        <v>68</v>
      </c>
      <c r="AH410" s="12" t="s">
        <v>10827</v>
      </c>
      <c r="AI410" s="12" t="str">
        <f t="shared" si="80"/>
        <v xml:space="preserve"> (?)</v>
      </c>
      <c r="AJ410" s="12" t="s">
        <v>10828</v>
      </c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</row>
    <row r="411" spans="1:69">
      <c r="A411" s="12" t="s">
        <v>10664</v>
      </c>
      <c r="B411" s="12" t="str">
        <f t="shared" si="72"/>
        <v>DEMEYER</v>
      </c>
      <c r="C411" s="12" t="str">
        <f t="shared" si="73"/>
        <v>DE MEYER</v>
      </c>
      <c r="D411" s="12" t="s">
        <v>10883</v>
      </c>
      <c r="E411" s="12" t="str">
        <f t="shared" si="83"/>
        <v>Olof Abaraham</v>
      </c>
      <c r="F411" s="12" t="s">
        <v>10884</v>
      </c>
      <c r="G411" s="12" t="str">
        <f t="shared" si="74"/>
        <v>a1b1c2d5e3f1</v>
      </c>
      <c r="H411" s="12" t="str">
        <f t="shared" si="75"/>
        <v>DE MEYERa1b1c2d5e3f1</v>
      </c>
      <c r="I411" s="12"/>
      <c r="J411" s="12" t="s">
        <v>10885</v>
      </c>
      <c r="K411" s="12" t="str">
        <f t="shared" si="76"/>
        <v>1811</v>
      </c>
      <c r="L411" s="12" t="s">
        <v>74</v>
      </c>
      <c r="M411" s="12" t="s">
        <v>10886</v>
      </c>
      <c r="N411" s="12" t="str">
        <f t="shared" si="81"/>
        <v>1811</v>
      </c>
      <c r="O411" s="12" t="str">
        <f t="shared" si="82"/>
        <v>1812</v>
      </c>
      <c r="P411" s="12"/>
      <c r="Q411" s="12" t="str">
        <f t="shared" si="77"/>
        <v>1811</v>
      </c>
      <c r="R411" s="12"/>
      <c r="S411" s="12" t="str">
        <f t="shared" si="78"/>
        <v/>
      </c>
      <c r="T411" s="12" t="s">
        <v>28</v>
      </c>
      <c r="U411" s="12" t="s">
        <v>10887</v>
      </c>
      <c r="V411" s="12" t="str">
        <f t="shared" si="79"/>
        <v>1830</v>
      </c>
      <c r="W411" s="12" t="s">
        <v>10888</v>
      </c>
      <c r="X411" s="12" t="s">
        <v>78</v>
      </c>
      <c r="Y411" s="12" t="s">
        <v>10889</v>
      </c>
      <c r="Z411" s="12"/>
      <c r="AA411" s="12" t="s">
        <v>10890</v>
      </c>
      <c r="AB411" s="12"/>
      <c r="AC411" s="12" t="s">
        <v>10891</v>
      </c>
      <c r="AD411" s="12"/>
      <c r="AE411" s="12"/>
      <c r="AF411" s="12" t="s">
        <v>16</v>
      </c>
      <c r="AG411" s="12" t="s">
        <v>68</v>
      </c>
      <c r="AH411" s="12" t="s">
        <v>10892</v>
      </c>
      <c r="AI411" s="12" t="str">
        <f t="shared" si="80"/>
        <v>1837</v>
      </c>
      <c r="AJ411" s="12" t="s">
        <v>2262</v>
      </c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</row>
    <row r="412" spans="1:69">
      <c r="A412" s="12" t="s">
        <v>10664</v>
      </c>
      <c r="B412" s="12" t="str">
        <f t="shared" si="72"/>
        <v>DEMEYER</v>
      </c>
      <c r="C412" s="12" t="str">
        <f t="shared" si="73"/>
        <v>DE MEYER</v>
      </c>
      <c r="D412" s="12" t="s">
        <v>151</v>
      </c>
      <c r="E412" s="12" t="str">
        <f t="shared" si="83"/>
        <v>Jacobus Petrus</v>
      </c>
      <c r="F412" s="12" t="s">
        <v>10823</v>
      </c>
      <c r="G412" s="12" t="str">
        <f t="shared" si="74"/>
        <v>a1b1c2d5e3f3</v>
      </c>
      <c r="H412" s="12" t="str">
        <f t="shared" si="75"/>
        <v>DE MEYERa1b1c2d5e3f3</v>
      </c>
      <c r="I412" s="12"/>
      <c r="J412" s="12" t="s">
        <v>6632</v>
      </c>
      <c r="K412" s="12" t="str">
        <f t="shared" si="76"/>
        <v>1815</v>
      </c>
      <c r="L412" s="12" t="s">
        <v>74</v>
      </c>
      <c r="M412" s="12" t="s">
        <v>1602</v>
      </c>
      <c r="N412" s="12" t="str">
        <f t="shared" si="81"/>
        <v>1815</v>
      </c>
      <c r="O412" s="12" t="str">
        <f t="shared" si="82"/>
        <v>1815</v>
      </c>
      <c r="P412" s="12"/>
      <c r="Q412" s="12" t="str">
        <f t="shared" si="77"/>
        <v>1815</v>
      </c>
      <c r="R412" s="12"/>
      <c r="S412" s="12" t="str">
        <f t="shared" si="78"/>
        <v/>
      </c>
      <c r="T412" s="12" t="s">
        <v>28</v>
      </c>
      <c r="U412" s="12" t="s">
        <v>10824</v>
      </c>
      <c r="V412" s="12" t="str">
        <f t="shared" si="79"/>
        <v>1835</v>
      </c>
      <c r="W412" s="12" t="s">
        <v>10825</v>
      </c>
      <c r="X412" s="12" t="s">
        <v>6798</v>
      </c>
      <c r="Y412" s="12"/>
      <c r="Z412" s="12"/>
      <c r="AA412" s="12"/>
      <c r="AB412" s="12"/>
      <c r="AC412" s="12"/>
      <c r="AD412" s="12"/>
      <c r="AE412" s="12"/>
      <c r="AF412" s="12" t="s">
        <v>10826</v>
      </c>
      <c r="AG412" s="12" t="s">
        <v>68</v>
      </c>
      <c r="AH412" s="12" t="s">
        <v>10827</v>
      </c>
      <c r="AI412" s="12" t="str">
        <f t="shared" si="80"/>
        <v xml:space="preserve"> (?)</v>
      </c>
      <c r="AJ412" s="12" t="s">
        <v>10828</v>
      </c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</row>
    <row r="413" spans="1:69">
      <c r="A413" s="12" t="s">
        <v>10664</v>
      </c>
      <c r="B413" s="12" t="str">
        <f t="shared" si="72"/>
        <v>DEMEYER</v>
      </c>
      <c r="C413" s="12" t="str">
        <f t="shared" si="73"/>
        <v>DE MEYER</v>
      </c>
      <c r="D413" s="12" t="s">
        <v>6735</v>
      </c>
      <c r="E413" s="12" t="str">
        <f t="shared" si="83"/>
        <v>Willem Albertus</v>
      </c>
      <c r="F413" s="12" t="s">
        <v>10898</v>
      </c>
      <c r="G413" s="12" t="str">
        <f t="shared" si="74"/>
        <v>a1b3c2d5e3f3</v>
      </c>
      <c r="H413" s="12" t="str">
        <f t="shared" si="75"/>
        <v>DE MEYERa1b3c2d5e3f3</v>
      </c>
      <c r="I413" s="12"/>
      <c r="J413" s="12"/>
      <c r="K413" s="12" t="str">
        <f t="shared" si="76"/>
        <v/>
      </c>
      <c r="L413" s="12"/>
      <c r="M413" s="12"/>
      <c r="N413" s="12" t="str">
        <f t="shared" si="81"/>
        <v/>
      </c>
      <c r="O413" s="12" t="str">
        <f t="shared" si="82"/>
        <v/>
      </c>
      <c r="P413" s="12"/>
      <c r="Q413" s="12" t="str">
        <f t="shared" si="77"/>
        <v/>
      </c>
      <c r="R413" s="12"/>
      <c r="S413" s="12" t="str">
        <f t="shared" si="78"/>
        <v/>
      </c>
      <c r="T413" s="12"/>
      <c r="U413" s="12" t="s">
        <v>10899</v>
      </c>
      <c r="V413" s="12" t="str">
        <f t="shared" si="79"/>
        <v>1833</v>
      </c>
      <c r="W413" s="12" t="s">
        <v>10900</v>
      </c>
      <c r="X413" s="12" t="s">
        <v>10649</v>
      </c>
      <c r="Y413" s="12" t="s">
        <v>10901</v>
      </c>
      <c r="Z413" s="12"/>
      <c r="AA413" s="12"/>
      <c r="AB413" s="12"/>
      <c r="AC413" s="12"/>
      <c r="AF413" s="12" t="s">
        <v>16</v>
      </c>
      <c r="AG413" s="12" t="s">
        <v>68</v>
      </c>
      <c r="AH413" s="12" t="s">
        <v>10902</v>
      </c>
      <c r="AI413" s="12" t="str">
        <f t="shared" si="80"/>
        <v>1837</v>
      </c>
      <c r="AJ413" s="12" t="s">
        <v>2262</v>
      </c>
      <c r="AK413" s="12" t="s">
        <v>551</v>
      </c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</row>
    <row r="414" spans="1:69">
      <c r="A414" s="2" t="s">
        <v>3169</v>
      </c>
      <c r="B414" s="12" t="str">
        <f t="shared" si="72"/>
        <v>DENECKER</v>
      </c>
      <c r="C414" s="12" t="str">
        <f t="shared" si="73"/>
        <v>DE NECKER</v>
      </c>
      <c r="D414" s="2" t="s">
        <v>3177</v>
      </c>
      <c r="E414" s="12" t="str">
        <f t="shared" si="83"/>
        <v>Pieter Hendrikus</v>
      </c>
      <c r="F414" s="2" t="s">
        <v>3178</v>
      </c>
      <c r="G414" s="12" t="str">
        <f t="shared" si="74"/>
        <v>a1b2c1d1</v>
      </c>
      <c r="H414" s="12" t="str">
        <f t="shared" si="75"/>
        <v>DE NECKERa1b2c1d1</v>
      </c>
      <c r="K414" s="12" t="str">
        <f t="shared" si="76"/>
        <v/>
      </c>
      <c r="M414" s="2" t="s">
        <v>3179</v>
      </c>
      <c r="N414" s="12" t="str">
        <f t="shared" si="81"/>
        <v/>
      </c>
      <c r="O414" s="12" t="str">
        <f t="shared" si="82"/>
        <v>1771</v>
      </c>
      <c r="Q414" s="12" t="str">
        <f t="shared" si="77"/>
        <v>1771</v>
      </c>
      <c r="S414" s="12" t="str">
        <f t="shared" si="78"/>
        <v/>
      </c>
      <c r="U414" s="2" t="s">
        <v>3180</v>
      </c>
      <c r="V414" s="12" t="str">
        <f t="shared" si="79"/>
        <v>1799</v>
      </c>
      <c r="W414" s="2" t="s">
        <v>2333</v>
      </c>
      <c r="X414" s="2" t="s">
        <v>2410</v>
      </c>
      <c r="AF414" s="2" t="s">
        <v>3729</v>
      </c>
      <c r="AG414" s="2" t="s">
        <v>32</v>
      </c>
      <c r="AH414" s="2" t="s">
        <v>2119</v>
      </c>
      <c r="AI414" s="12" t="str">
        <f t="shared" si="80"/>
        <v>1837</v>
      </c>
    </row>
    <row r="415" spans="1:69">
      <c r="A415" s="2" t="s">
        <v>3169</v>
      </c>
      <c r="B415" s="12" t="str">
        <f t="shared" si="72"/>
        <v>DENECKER</v>
      </c>
      <c r="C415" s="12" t="str">
        <f t="shared" si="73"/>
        <v>DE NECKER</v>
      </c>
      <c r="D415" s="2" t="s">
        <v>3170</v>
      </c>
      <c r="E415" s="12" t="str">
        <f t="shared" si="83"/>
        <v>Adriaan Francois</v>
      </c>
      <c r="F415" s="2" t="s">
        <v>1069</v>
      </c>
      <c r="G415" s="12" t="str">
        <f t="shared" si="74"/>
        <v>a1b2c1d1e1</v>
      </c>
      <c r="H415" s="12" t="str">
        <f t="shared" si="75"/>
        <v>DE NECKERa1b2c1d1e1</v>
      </c>
      <c r="K415" s="12" t="str">
        <f t="shared" si="76"/>
        <v/>
      </c>
      <c r="M415" s="2" t="s">
        <v>3171</v>
      </c>
      <c r="N415" s="12" t="str">
        <f t="shared" si="81"/>
        <v/>
      </c>
      <c r="O415" s="12" t="str">
        <f t="shared" si="82"/>
        <v>1800</v>
      </c>
      <c r="Q415" s="12" t="str">
        <f t="shared" si="77"/>
        <v>1800</v>
      </c>
      <c r="S415" s="12" t="str">
        <f t="shared" si="78"/>
        <v/>
      </c>
      <c r="T415" s="2" t="s">
        <v>32</v>
      </c>
      <c r="U415" s="2" t="s">
        <v>3173</v>
      </c>
      <c r="V415" s="12" t="str">
        <f t="shared" si="79"/>
        <v>1824</v>
      </c>
      <c r="W415" s="2" t="s">
        <v>3172</v>
      </c>
      <c r="X415" s="2" t="s">
        <v>2402</v>
      </c>
      <c r="AF415" s="2" t="s">
        <v>3726</v>
      </c>
      <c r="AG415" s="2" t="s">
        <v>32</v>
      </c>
      <c r="AH415" s="2" t="s">
        <v>2119</v>
      </c>
      <c r="AI415" s="12" t="str">
        <f t="shared" si="80"/>
        <v>1837</v>
      </c>
      <c r="AK415" s="2" t="s">
        <v>1017</v>
      </c>
    </row>
    <row r="416" spans="1:69">
      <c r="A416" s="2" t="s">
        <v>3169</v>
      </c>
      <c r="B416" s="12" t="str">
        <f t="shared" si="72"/>
        <v>DENECKER</v>
      </c>
      <c r="C416" s="12" t="str">
        <f t="shared" si="73"/>
        <v>DE NECKER</v>
      </c>
      <c r="D416" s="2" t="s">
        <v>3174</v>
      </c>
      <c r="E416" s="12" t="str">
        <f t="shared" si="83"/>
        <v>Johannes Daniel Jacobus</v>
      </c>
      <c r="F416" s="2" t="s">
        <v>3175</v>
      </c>
      <c r="G416" s="12" t="str">
        <f t="shared" si="74"/>
        <v>a1b2c1d1e2</v>
      </c>
      <c r="H416" s="12" t="str">
        <f t="shared" si="75"/>
        <v>DE NECKERa1b2c1d1e2</v>
      </c>
      <c r="K416" s="12" t="str">
        <f t="shared" si="76"/>
        <v/>
      </c>
      <c r="M416" s="2" t="s">
        <v>3176</v>
      </c>
      <c r="N416" s="12" t="str">
        <f t="shared" si="81"/>
        <v/>
      </c>
      <c r="O416" s="12" t="str">
        <f t="shared" si="82"/>
        <v>1803</v>
      </c>
      <c r="Q416" s="12" t="str">
        <f t="shared" si="77"/>
        <v>1803</v>
      </c>
      <c r="S416" s="12" t="str">
        <f t="shared" si="78"/>
        <v/>
      </c>
      <c r="T416" s="2" t="s">
        <v>32</v>
      </c>
      <c r="U416" s="2" t="s">
        <v>981</v>
      </c>
      <c r="V416" s="12" t="str">
        <f t="shared" si="79"/>
        <v>1827</v>
      </c>
      <c r="W416" s="2" t="s">
        <v>2333</v>
      </c>
      <c r="X416" s="2" t="s">
        <v>355</v>
      </c>
      <c r="AF416" s="2" t="s">
        <v>3729</v>
      </c>
      <c r="AG416" s="2" t="s">
        <v>32</v>
      </c>
      <c r="AH416" s="2" t="s">
        <v>2119</v>
      </c>
      <c r="AI416" s="12" t="str">
        <f t="shared" si="80"/>
        <v>1837</v>
      </c>
      <c r="BQ416" s="2" t="s">
        <v>2028</v>
      </c>
    </row>
    <row r="417" spans="1:48">
      <c r="A417" s="2" t="s">
        <v>3169</v>
      </c>
      <c r="B417" s="12" t="str">
        <f t="shared" si="72"/>
        <v>DENECKER</v>
      </c>
      <c r="C417" s="12" t="str">
        <f t="shared" si="73"/>
        <v>DE NECKER</v>
      </c>
      <c r="D417" s="2" t="s">
        <v>3181</v>
      </c>
      <c r="E417" s="12" t="str">
        <f t="shared" si="83"/>
        <v>Pieter Josua</v>
      </c>
      <c r="F417" s="2" t="s">
        <v>3182</v>
      </c>
      <c r="G417" s="12" t="str">
        <f t="shared" si="74"/>
        <v>a1b2c1d1e3</v>
      </c>
      <c r="H417" s="12" t="str">
        <f t="shared" ref="H417:H446" si="84">C417&amp;G417</f>
        <v>DE NECKERa1b2c1d1e3</v>
      </c>
      <c r="K417" s="12" t="str">
        <f t="shared" si="76"/>
        <v/>
      </c>
      <c r="L417" s="2" t="s">
        <v>32</v>
      </c>
      <c r="M417" s="2" t="s">
        <v>3183</v>
      </c>
      <c r="N417" s="12" t="str">
        <f t="shared" si="81"/>
        <v/>
      </c>
      <c r="O417" s="12" t="str">
        <f t="shared" si="82"/>
        <v>1808</v>
      </c>
      <c r="P417" s="2" t="s">
        <v>24</v>
      </c>
      <c r="Q417" s="12" t="str">
        <f t="shared" si="77"/>
        <v>1808</v>
      </c>
      <c r="R417" s="2" t="s">
        <v>3184</v>
      </c>
      <c r="S417" s="12" t="str">
        <f t="shared" si="78"/>
        <v>1892</v>
      </c>
      <c r="T417" s="2" t="s">
        <v>32</v>
      </c>
      <c r="U417" s="2" t="s">
        <v>1207</v>
      </c>
      <c r="V417" s="12" t="str">
        <f t="shared" si="79"/>
        <v>1829</v>
      </c>
      <c r="W417" s="2" t="s">
        <v>3185</v>
      </c>
      <c r="X417" s="2" t="s">
        <v>2410</v>
      </c>
      <c r="AF417" s="2" t="s">
        <v>3730</v>
      </c>
      <c r="AG417" s="2" t="s">
        <v>32</v>
      </c>
      <c r="AH417" s="2" t="s">
        <v>3186</v>
      </c>
      <c r="AI417" s="12" t="str">
        <f t="shared" si="80"/>
        <v>1837</v>
      </c>
      <c r="AK417" s="2" t="s">
        <v>24</v>
      </c>
    </row>
    <row r="418" spans="1:48">
      <c r="A418" s="2" t="s">
        <v>3187</v>
      </c>
      <c r="B418" s="12" t="str">
        <f t="shared" si="72"/>
        <v>DEVILLIERS</v>
      </c>
      <c r="C418" s="12" t="str">
        <f t="shared" si="73"/>
        <v>DE VILLIERS</v>
      </c>
      <c r="D418" s="2" t="s">
        <v>3188</v>
      </c>
      <c r="E418" s="12" t="str">
        <f t="shared" si="83"/>
        <v>Jacob Pieter Daniel</v>
      </c>
      <c r="F418" s="2" t="s">
        <v>3189</v>
      </c>
      <c r="G418" s="12" t="str">
        <f t="shared" si="74"/>
        <v>a3b6c4d1e3f1</v>
      </c>
      <c r="H418" s="12" t="str">
        <f t="shared" si="84"/>
        <v>DE VILLIERSa3b6c4d1e3f1</v>
      </c>
      <c r="I418" s="2" t="s">
        <v>3190</v>
      </c>
      <c r="J418" s="2" t="s">
        <v>3191</v>
      </c>
      <c r="K418" s="12" t="str">
        <f t="shared" si="76"/>
        <v>1802</v>
      </c>
      <c r="L418" s="2" t="s">
        <v>1071</v>
      </c>
      <c r="M418" s="2" t="s">
        <v>3192</v>
      </c>
      <c r="N418" s="12" t="str">
        <f t="shared" si="81"/>
        <v>1802</v>
      </c>
      <c r="O418" s="12" t="str">
        <f t="shared" si="82"/>
        <v>1802</v>
      </c>
      <c r="P418" s="2" t="s">
        <v>155</v>
      </c>
      <c r="Q418" s="12" t="str">
        <f t="shared" si="77"/>
        <v>1802</v>
      </c>
      <c r="R418" s="2">
        <v>1846</v>
      </c>
      <c r="S418" s="12" t="str">
        <f t="shared" si="78"/>
        <v>1846</v>
      </c>
      <c r="T418" s="2" t="s">
        <v>1071</v>
      </c>
      <c r="U418" s="2" t="s">
        <v>3193</v>
      </c>
      <c r="V418" s="12" t="str">
        <f t="shared" si="79"/>
        <v>1830</v>
      </c>
      <c r="W418" s="2" t="s">
        <v>1419</v>
      </c>
      <c r="X418" s="2" t="s">
        <v>3187</v>
      </c>
      <c r="AA418" s="2" t="s">
        <v>3194</v>
      </c>
      <c r="AD418" s="2" t="s">
        <v>155</v>
      </c>
      <c r="AE418" s="2" t="s">
        <v>3195</v>
      </c>
      <c r="AF418" s="2" t="s">
        <v>3731</v>
      </c>
      <c r="AG418" s="2" t="s">
        <v>3190</v>
      </c>
      <c r="AH418" s="2">
        <v>1838</v>
      </c>
      <c r="AI418" s="12" t="str">
        <f t="shared" si="80"/>
        <v>1838</v>
      </c>
      <c r="AK418" s="2" t="s">
        <v>90</v>
      </c>
    </row>
    <row r="419" spans="1:48">
      <c r="A419" s="2" t="s">
        <v>1038</v>
      </c>
      <c r="B419" s="12" t="str">
        <f t="shared" si="72"/>
        <v>DEVLAMINGH</v>
      </c>
      <c r="C419" s="12" t="str">
        <f t="shared" si="73"/>
        <v>DE VLAMINGH</v>
      </c>
      <c r="D419" s="2" t="s">
        <v>3196</v>
      </c>
      <c r="E419" s="12" t="str">
        <f t="shared" si="83"/>
        <v>Tobias Jan</v>
      </c>
      <c r="F419" s="2" t="s">
        <v>912</v>
      </c>
      <c r="G419" s="12" t="str">
        <f t="shared" si="74"/>
        <v>a1b1c2d2</v>
      </c>
      <c r="H419" s="12" t="str">
        <f t="shared" si="84"/>
        <v>DE VLAMINGHa1b1c2d2</v>
      </c>
      <c r="K419" s="12" t="str">
        <f t="shared" si="76"/>
        <v/>
      </c>
      <c r="M419" s="2" t="s">
        <v>3197</v>
      </c>
      <c r="N419" s="12" t="str">
        <f t="shared" si="81"/>
        <v/>
      </c>
      <c r="O419" s="12" t="str">
        <f t="shared" si="82"/>
        <v>1783</v>
      </c>
      <c r="Q419" s="12" t="str">
        <f t="shared" si="77"/>
        <v>1783</v>
      </c>
      <c r="S419" s="12" t="str">
        <f t="shared" si="78"/>
        <v/>
      </c>
      <c r="V419" s="12" t="str">
        <f t="shared" si="79"/>
        <v/>
      </c>
      <c r="W419" s="2" t="s">
        <v>3198</v>
      </c>
      <c r="X419" s="2" t="s">
        <v>1167</v>
      </c>
      <c r="Y419" s="2" t="s">
        <v>3199</v>
      </c>
      <c r="AH419" s="2">
        <v>1838</v>
      </c>
      <c r="AI419" s="12" t="str">
        <f t="shared" si="80"/>
        <v>1838</v>
      </c>
      <c r="AK419" s="2" t="s">
        <v>90</v>
      </c>
    </row>
    <row r="420" spans="1:48">
      <c r="A420" s="2" t="s">
        <v>3200</v>
      </c>
      <c r="B420" s="12" t="str">
        <f t="shared" si="72"/>
        <v>DEWAAL</v>
      </c>
      <c r="C420" s="12" t="str">
        <f t="shared" si="73"/>
        <v>DE WAAL</v>
      </c>
      <c r="D420" s="2" t="s">
        <v>3215</v>
      </c>
      <c r="E420" s="12" t="str">
        <f t="shared" si="83"/>
        <v>Daniel Theodorus</v>
      </c>
      <c r="F420" s="2" t="s">
        <v>3216</v>
      </c>
      <c r="G420" s="12" t="str">
        <f t="shared" si="74"/>
        <v>a1b17c8d2</v>
      </c>
      <c r="H420" s="12" t="str">
        <f t="shared" si="84"/>
        <v>DE WAALa1b17c8d2</v>
      </c>
      <c r="J420" s="2" t="s">
        <v>2083</v>
      </c>
      <c r="K420" s="12" t="str">
        <f t="shared" si="76"/>
        <v>1820</v>
      </c>
      <c r="L420" s="2" t="s">
        <v>53</v>
      </c>
      <c r="M420" s="2" t="s">
        <v>3217</v>
      </c>
      <c r="N420" s="12" t="str">
        <f t="shared" si="81"/>
        <v>1820</v>
      </c>
      <c r="O420" s="12" t="str">
        <f t="shared" si="82"/>
        <v>1820</v>
      </c>
      <c r="P420" s="2" t="s">
        <v>3218</v>
      </c>
      <c r="Q420" s="12" t="str">
        <f t="shared" si="77"/>
        <v>1820</v>
      </c>
      <c r="R420" s="1" t="s">
        <v>3219</v>
      </c>
      <c r="S420" s="12" t="str">
        <f t="shared" si="78"/>
        <v>1900</v>
      </c>
      <c r="T420" s="2" t="s">
        <v>168</v>
      </c>
      <c r="U420" s="2" t="s">
        <v>3220</v>
      </c>
      <c r="V420" s="12" t="str">
        <f t="shared" si="79"/>
        <v>1845</v>
      </c>
      <c r="W420" s="2" t="s">
        <v>3221</v>
      </c>
      <c r="X420" s="2" t="s">
        <v>695</v>
      </c>
      <c r="Y420" s="2" t="s">
        <v>3222</v>
      </c>
      <c r="AA420" s="2" t="s">
        <v>3223</v>
      </c>
      <c r="AB420" s="2" t="s">
        <v>53</v>
      </c>
      <c r="AC420" s="2" t="s">
        <v>3224</v>
      </c>
      <c r="AD420" s="2" t="s">
        <v>3225</v>
      </c>
      <c r="AE420" s="2" t="s">
        <v>3226</v>
      </c>
      <c r="AG420" s="2" t="s">
        <v>53</v>
      </c>
      <c r="AI420" s="12" t="str">
        <f t="shared" si="80"/>
        <v/>
      </c>
      <c r="AK420" s="2" t="s">
        <v>1196</v>
      </c>
    </row>
    <row r="421" spans="1:48">
      <c r="A421" s="2" t="s">
        <v>3200</v>
      </c>
      <c r="B421" s="12" t="str">
        <f t="shared" si="72"/>
        <v>DEWAAL</v>
      </c>
      <c r="C421" s="12" t="str">
        <f t="shared" si="73"/>
        <v>DE WAAL</v>
      </c>
      <c r="D421" s="2" t="s">
        <v>3201</v>
      </c>
      <c r="E421" s="12" t="str">
        <f t="shared" si="83"/>
        <v>Daniel Jacobus</v>
      </c>
      <c r="F421" s="2" t="s">
        <v>3202</v>
      </c>
      <c r="G421" s="12" t="str">
        <f t="shared" si="74"/>
        <v>a1b3c3d8e5</v>
      </c>
      <c r="H421" s="12" t="str">
        <f t="shared" si="84"/>
        <v>DE WAALa1b3c3d8e5</v>
      </c>
      <c r="J421" s="2" t="s">
        <v>3203</v>
      </c>
      <c r="K421" s="12" t="str">
        <f t="shared" si="76"/>
        <v>1823</v>
      </c>
      <c r="L421" s="2" t="s">
        <v>395</v>
      </c>
      <c r="M421" s="2" t="s">
        <v>3204</v>
      </c>
      <c r="N421" s="12" t="str">
        <f t="shared" si="81"/>
        <v>1823</v>
      </c>
      <c r="O421" s="12" t="str">
        <f t="shared" si="82"/>
        <v>1823</v>
      </c>
      <c r="P421" s="2" t="s">
        <v>1017</v>
      </c>
      <c r="Q421" s="12" t="str">
        <f t="shared" si="77"/>
        <v>1823</v>
      </c>
      <c r="R421" s="2" t="s">
        <v>3205</v>
      </c>
      <c r="S421" s="12" t="str">
        <f t="shared" si="78"/>
        <v>1885</v>
      </c>
      <c r="T421" s="2" t="s">
        <v>168</v>
      </c>
      <c r="U421" s="2" t="s">
        <v>3206</v>
      </c>
      <c r="V421" s="12" t="str">
        <f t="shared" si="79"/>
        <v>1847</v>
      </c>
      <c r="W421" s="2" t="s">
        <v>3207</v>
      </c>
      <c r="X421" s="2" t="s">
        <v>3208</v>
      </c>
      <c r="Y421" s="2" t="s">
        <v>3209</v>
      </c>
      <c r="AA421" s="2" t="s">
        <v>3210</v>
      </c>
      <c r="AB421" s="2" t="s">
        <v>32</v>
      </c>
      <c r="AC421" s="2" t="s">
        <v>2183</v>
      </c>
      <c r="AD421" s="2" t="s">
        <v>1017</v>
      </c>
      <c r="AE421" s="2" t="s">
        <v>3211</v>
      </c>
      <c r="AI421" s="12" t="str">
        <f t="shared" si="80"/>
        <v/>
      </c>
      <c r="AK421" s="2" t="s">
        <v>1196</v>
      </c>
      <c r="AL421" s="2" t="s">
        <v>1017</v>
      </c>
      <c r="AM421" s="2" t="s">
        <v>3212</v>
      </c>
      <c r="AN421" s="2" t="s">
        <v>752</v>
      </c>
      <c r="AO421" s="2" t="s">
        <v>653</v>
      </c>
      <c r="AQ421" s="2" t="s">
        <v>2520</v>
      </c>
      <c r="AR421" s="2" t="s">
        <v>3213</v>
      </c>
      <c r="AU421" s="2" t="s">
        <v>3214</v>
      </c>
      <c r="AV421" s="1">
        <v>1959</v>
      </c>
    </row>
    <row r="422" spans="1:48">
      <c r="A422" s="12" t="s">
        <v>3200</v>
      </c>
      <c r="B422" s="12" t="str">
        <f t="shared" si="72"/>
        <v>DEWAAL</v>
      </c>
      <c r="C422" s="12" t="str">
        <f t="shared" si="73"/>
        <v>DE WAAL</v>
      </c>
      <c r="D422" s="2" t="s">
        <v>3232</v>
      </c>
      <c r="E422" s="12" t="str">
        <f t="shared" si="83"/>
        <v>Pieter Jacobus</v>
      </c>
      <c r="F422" s="2" t="s">
        <v>3233</v>
      </c>
      <c r="G422" s="12" t="str">
        <f t="shared" si="74"/>
        <v>a1b3c3d8e6</v>
      </c>
      <c r="H422" s="12" t="str">
        <f t="shared" si="84"/>
        <v>DE WAALa1b3c3d8e6</v>
      </c>
      <c r="J422" s="2" t="s">
        <v>3234</v>
      </c>
      <c r="K422" s="12" t="str">
        <f t="shared" si="76"/>
        <v>1824</v>
      </c>
      <c r="N422" s="12" t="str">
        <f t="shared" si="81"/>
        <v>1824</v>
      </c>
      <c r="O422" s="12" t="str">
        <f t="shared" si="82"/>
        <v/>
      </c>
      <c r="Q422" s="12" t="str">
        <f t="shared" si="77"/>
        <v>1824</v>
      </c>
      <c r="S422" s="12" t="str">
        <f t="shared" si="78"/>
        <v/>
      </c>
      <c r="T422" s="2" t="s">
        <v>168</v>
      </c>
      <c r="U422" s="2" t="s">
        <v>3235</v>
      </c>
      <c r="V422" s="12" t="str">
        <f t="shared" si="79"/>
        <v>1848</v>
      </c>
      <c r="W422" s="2" t="s">
        <v>650</v>
      </c>
      <c r="X422" s="2" t="s">
        <v>1151</v>
      </c>
      <c r="Y422" s="2" t="s">
        <v>3236</v>
      </c>
      <c r="AA422" s="2" t="s">
        <v>3237</v>
      </c>
      <c r="AB422" s="2" t="s">
        <v>53</v>
      </c>
      <c r="AC422" s="2" t="s">
        <v>3238</v>
      </c>
      <c r="AE422" s="2">
        <v>1904</v>
      </c>
      <c r="AG422" s="2" t="s">
        <v>395</v>
      </c>
      <c r="AI422" s="12" t="str">
        <f t="shared" si="80"/>
        <v/>
      </c>
      <c r="AJ422" s="2" t="s">
        <v>1404</v>
      </c>
      <c r="AK422" s="2" t="s">
        <v>90</v>
      </c>
    </row>
    <row r="423" spans="1:48">
      <c r="A423" s="2" t="s">
        <v>3200</v>
      </c>
      <c r="B423" s="12" t="str">
        <f t="shared" si="72"/>
        <v>DEWAAL</v>
      </c>
      <c r="C423" s="12" t="str">
        <f t="shared" si="73"/>
        <v>DE WAAL</v>
      </c>
      <c r="D423" s="2" t="s">
        <v>3227</v>
      </c>
      <c r="E423" s="12" t="str">
        <f t="shared" si="83"/>
        <v>Johannes Arend</v>
      </c>
      <c r="F423" s="2" t="s">
        <v>3228</v>
      </c>
      <c r="G423" s="12" t="str">
        <f t="shared" si="74"/>
        <v>a1b3c3d8e7</v>
      </c>
      <c r="H423" s="12" t="str">
        <f t="shared" si="84"/>
        <v>DE WAALa1b3c3d8e7</v>
      </c>
      <c r="J423" s="2">
        <v>1816</v>
      </c>
      <c r="K423" s="12" t="str">
        <f t="shared" si="76"/>
        <v>1816</v>
      </c>
      <c r="N423" s="12" t="str">
        <f t="shared" si="81"/>
        <v>1816</v>
      </c>
      <c r="O423" s="12" t="str">
        <f t="shared" si="82"/>
        <v/>
      </c>
      <c r="Q423" s="12" t="str">
        <f t="shared" si="77"/>
        <v>1816</v>
      </c>
      <c r="S423" s="12" t="str">
        <f t="shared" si="78"/>
        <v/>
      </c>
      <c r="V423" s="12" t="str">
        <f t="shared" si="79"/>
        <v/>
      </c>
      <c r="W423" s="2" t="s">
        <v>687</v>
      </c>
      <c r="X423" s="2" t="s">
        <v>700</v>
      </c>
      <c r="Y423" s="2" t="s">
        <v>3229</v>
      </c>
      <c r="Z423" s="2" t="s">
        <v>395</v>
      </c>
      <c r="AA423" s="2" t="s">
        <v>3230</v>
      </c>
      <c r="AD423" s="2" t="s">
        <v>1017</v>
      </c>
      <c r="AE423" s="2" t="s">
        <v>3231</v>
      </c>
      <c r="AG423" s="2" t="s">
        <v>395</v>
      </c>
      <c r="AI423" s="12" t="str">
        <f t="shared" si="80"/>
        <v/>
      </c>
      <c r="AK423" s="2" t="s">
        <v>1196</v>
      </c>
    </row>
    <row r="424" spans="1:48">
      <c r="A424" s="2" t="s">
        <v>1573</v>
      </c>
      <c r="B424" s="12" t="str">
        <f t="shared" si="72"/>
        <v>DEWET</v>
      </c>
      <c r="C424" s="12" t="str">
        <f t="shared" si="73"/>
        <v>DE WET</v>
      </c>
      <c r="D424" s="2" t="s">
        <v>2215</v>
      </c>
      <c r="E424" s="12" t="str">
        <f t="shared" si="83"/>
        <v>Pieter</v>
      </c>
      <c r="F424" s="2" t="s">
        <v>3266</v>
      </c>
      <c r="G424" s="12" t="str">
        <f t="shared" si="74"/>
        <v>a1b1c2d3e2</v>
      </c>
      <c r="H424" s="12" t="str">
        <f t="shared" si="84"/>
        <v>DE WETa1b1c2d3e2</v>
      </c>
      <c r="K424" s="12" t="str">
        <f t="shared" si="76"/>
        <v/>
      </c>
      <c r="M424" s="2" t="s">
        <v>3267</v>
      </c>
      <c r="N424" s="12" t="str">
        <f t="shared" si="81"/>
        <v/>
      </c>
      <c r="O424" s="12" t="str">
        <f t="shared" si="82"/>
        <v>1776</v>
      </c>
      <c r="P424" s="2" t="s">
        <v>474</v>
      </c>
      <c r="Q424" s="12" t="str">
        <f t="shared" si="77"/>
        <v>1776</v>
      </c>
      <c r="R424" s="2" t="s">
        <v>301</v>
      </c>
      <c r="S424" s="12" t="str">
        <f t="shared" si="78"/>
        <v>1838</v>
      </c>
      <c r="V424" s="12" t="str">
        <f t="shared" si="79"/>
        <v/>
      </c>
      <c r="W424" s="2" t="s">
        <v>1076</v>
      </c>
      <c r="X424" s="2" t="s">
        <v>655</v>
      </c>
      <c r="AC424" s="2" t="s">
        <v>3268</v>
      </c>
      <c r="AD424" s="2" t="s">
        <v>474</v>
      </c>
      <c r="AE424" s="2" t="s">
        <v>301</v>
      </c>
      <c r="AF424" s="2" t="s">
        <v>3717</v>
      </c>
      <c r="AG424" s="2" t="s">
        <v>346</v>
      </c>
      <c r="AH424" s="2">
        <v>1837</v>
      </c>
      <c r="AI424" s="12" t="str">
        <f t="shared" si="80"/>
        <v>1837</v>
      </c>
      <c r="AJ424" s="2" t="s">
        <v>1502</v>
      </c>
    </row>
    <row r="425" spans="1:48">
      <c r="A425" s="2" t="s">
        <v>1573</v>
      </c>
      <c r="B425" s="12" t="str">
        <f t="shared" si="72"/>
        <v>DEWET</v>
      </c>
      <c r="C425" s="12" t="str">
        <f t="shared" si="73"/>
        <v>DE WET</v>
      </c>
      <c r="D425" s="2" t="s">
        <v>3269</v>
      </c>
      <c r="E425" s="12" t="str">
        <f t="shared" si="83"/>
        <v>Pieter Rudolph</v>
      </c>
      <c r="F425" s="2" t="s">
        <v>3270</v>
      </c>
      <c r="G425" s="12" t="str">
        <f t="shared" si="74"/>
        <v>a1b1c2d3e2f1</v>
      </c>
      <c r="H425" s="12" t="str">
        <f t="shared" si="84"/>
        <v>DE WETa1b1c2d3e2f1</v>
      </c>
      <c r="K425" s="12" t="str">
        <f t="shared" si="76"/>
        <v/>
      </c>
      <c r="L425" s="2" t="s">
        <v>74</v>
      </c>
      <c r="M425" s="2" t="s">
        <v>3271</v>
      </c>
      <c r="N425" s="12" t="str">
        <f t="shared" si="81"/>
        <v/>
      </c>
      <c r="O425" s="12" t="str">
        <f t="shared" si="82"/>
        <v>1795</v>
      </c>
      <c r="Q425" s="12" t="str">
        <f t="shared" si="77"/>
        <v>1795</v>
      </c>
      <c r="S425" s="12" t="str">
        <f t="shared" si="78"/>
        <v/>
      </c>
      <c r="V425" s="12" t="str">
        <f t="shared" si="79"/>
        <v/>
      </c>
      <c r="W425" s="2" t="s">
        <v>3272</v>
      </c>
      <c r="X425" s="2" t="s">
        <v>1136</v>
      </c>
      <c r="AF425" s="2" t="s">
        <v>3699</v>
      </c>
      <c r="AG425" s="2" t="s">
        <v>68</v>
      </c>
      <c r="AH425" s="2">
        <v>1837</v>
      </c>
      <c r="AI425" s="12" t="str">
        <f t="shared" si="80"/>
        <v>1837</v>
      </c>
      <c r="AJ425" s="2" t="s">
        <v>3276</v>
      </c>
      <c r="AL425" s="2" t="s">
        <v>3085</v>
      </c>
      <c r="AM425" s="2" t="s">
        <v>3273</v>
      </c>
      <c r="AN425" s="2" t="s">
        <v>3274</v>
      </c>
      <c r="AO425" s="2" t="s">
        <v>3275</v>
      </c>
      <c r="AP425" s="2" t="s">
        <v>830</v>
      </c>
    </row>
    <row r="426" spans="1:48">
      <c r="A426" s="2" t="s">
        <v>1573</v>
      </c>
      <c r="B426" s="12" t="str">
        <f t="shared" si="72"/>
        <v>DEWET</v>
      </c>
      <c r="C426" s="12" t="str">
        <f t="shared" si="73"/>
        <v>DE WET</v>
      </c>
      <c r="D426" s="2" t="s">
        <v>3245</v>
      </c>
      <c r="E426" s="12" t="str">
        <f t="shared" si="83"/>
        <v>Hendrik Francois</v>
      </c>
      <c r="F426" s="2" t="s">
        <v>3246</v>
      </c>
      <c r="G426" s="12" t="str">
        <f t="shared" si="74"/>
        <v>a1b1c2d3e2f11</v>
      </c>
      <c r="H426" s="12" t="str">
        <f t="shared" si="84"/>
        <v>DE WETa1b1c2d3e2f11</v>
      </c>
      <c r="J426" s="2" t="s">
        <v>3247</v>
      </c>
      <c r="K426" s="12" t="str">
        <f t="shared" si="76"/>
        <v>1816</v>
      </c>
      <c r="L426" s="2" t="s">
        <v>74</v>
      </c>
      <c r="M426" s="2" t="s">
        <v>1850</v>
      </c>
      <c r="N426" s="12" t="str">
        <f t="shared" si="81"/>
        <v>1816</v>
      </c>
      <c r="O426" s="12" t="str">
        <f t="shared" si="82"/>
        <v>1816</v>
      </c>
      <c r="P426" s="2" t="s">
        <v>71</v>
      </c>
      <c r="Q426" s="12" t="str">
        <f t="shared" si="77"/>
        <v>1816</v>
      </c>
      <c r="R426" s="2" t="s">
        <v>72</v>
      </c>
      <c r="S426" s="12" t="str">
        <f t="shared" si="78"/>
        <v>1838</v>
      </c>
      <c r="V426" s="12" t="str">
        <f t="shared" si="79"/>
        <v/>
      </c>
      <c r="AF426" s="2" t="s">
        <v>3717</v>
      </c>
      <c r="AG426" s="2" t="s">
        <v>346</v>
      </c>
      <c r="AH426" s="2">
        <v>1837</v>
      </c>
      <c r="AI426" s="12" t="str">
        <f t="shared" si="80"/>
        <v>1837</v>
      </c>
      <c r="AJ426" s="2" t="s">
        <v>1502</v>
      </c>
      <c r="AK426" s="2" t="s">
        <v>90</v>
      </c>
    </row>
    <row r="427" spans="1:48">
      <c r="A427" s="2" t="s">
        <v>1573</v>
      </c>
      <c r="B427" s="12" t="str">
        <f t="shared" si="72"/>
        <v>DEWET</v>
      </c>
      <c r="C427" s="12" t="str">
        <f t="shared" si="73"/>
        <v>DE WET</v>
      </c>
      <c r="D427" s="2" t="s">
        <v>3239</v>
      </c>
      <c r="E427" s="12" t="str">
        <f t="shared" si="83"/>
        <v>Christoffel Johannes</v>
      </c>
      <c r="F427" s="2" t="s">
        <v>3240</v>
      </c>
      <c r="G427" s="12" t="str">
        <f t="shared" si="74"/>
        <v>a1b1c2d3e2f7</v>
      </c>
      <c r="H427" s="12" t="str">
        <f t="shared" si="84"/>
        <v>DE WETa1b1c2d3e2f7</v>
      </c>
      <c r="J427" s="2" t="s">
        <v>3241</v>
      </c>
      <c r="K427" s="12" t="str">
        <f t="shared" si="76"/>
        <v>1806</v>
      </c>
      <c r="M427" s="2" t="s">
        <v>3242</v>
      </c>
      <c r="N427" s="12" t="str">
        <f t="shared" si="81"/>
        <v>1806</v>
      </c>
      <c r="O427" s="12" t="str">
        <f t="shared" si="82"/>
        <v>1807</v>
      </c>
      <c r="Q427" s="12" t="str">
        <f t="shared" si="77"/>
        <v>1806</v>
      </c>
      <c r="S427" s="12" t="str">
        <f t="shared" si="78"/>
        <v/>
      </c>
      <c r="T427" s="2" t="s">
        <v>28</v>
      </c>
      <c r="U427" s="2" t="s">
        <v>3243</v>
      </c>
      <c r="V427" s="12" t="str">
        <f t="shared" si="79"/>
        <v>1829</v>
      </c>
      <c r="W427" s="2" t="s">
        <v>2296</v>
      </c>
      <c r="X427" s="2" t="s">
        <v>2026</v>
      </c>
      <c r="Y427" s="2" t="s">
        <v>3244</v>
      </c>
      <c r="AF427" s="2" t="s">
        <v>3717</v>
      </c>
      <c r="AG427" s="2" t="s">
        <v>346</v>
      </c>
      <c r="AH427" s="2">
        <v>1837</v>
      </c>
      <c r="AI427" s="12" t="str">
        <f t="shared" si="80"/>
        <v>1837</v>
      </c>
      <c r="AJ427" s="2" t="s">
        <v>1502</v>
      </c>
      <c r="AK427" s="2" t="s">
        <v>90</v>
      </c>
    </row>
    <row r="428" spans="1:48">
      <c r="A428" s="2" t="s">
        <v>1573</v>
      </c>
      <c r="B428" s="12" t="str">
        <f t="shared" si="72"/>
        <v>DEWET</v>
      </c>
      <c r="C428" s="12" t="str">
        <f t="shared" si="73"/>
        <v>DE WET</v>
      </c>
      <c r="D428" s="2" t="s">
        <v>3261</v>
      </c>
      <c r="E428" s="12" t="str">
        <f t="shared" si="83"/>
        <v>Johannes Marthinus</v>
      </c>
      <c r="F428" s="2" t="s">
        <v>3262</v>
      </c>
      <c r="G428" s="12" t="str">
        <f t="shared" si="74"/>
        <v>a1b1c2d5e5f1</v>
      </c>
      <c r="H428" s="12" t="str">
        <f t="shared" si="84"/>
        <v>DE WETa1b1c2d5e5f1</v>
      </c>
      <c r="J428" s="2" t="s">
        <v>3263</v>
      </c>
      <c r="K428" s="12" t="str">
        <f t="shared" si="76"/>
        <v>1815</v>
      </c>
      <c r="M428" s="2" t="s">
        <v>3264</v>
      </c>
      <c r="N428" s="12" t="str">
        <f t="shared" si="81"/>
        <v>1815</v>
      </c>
      <c r="O428" s="12" t="str">
        <f t="shared" si="82"/>
        <v>1816</v>
      </c>
      <c r="P428" s="2" t="s">
        <v>71</v>
      </c>
      <c r="Q428" s="12" t="str">
        <f t="shared" si="77"/>
        <v>1815</v>
      </c>
      <c r="R428" s="2" t="s">
        <v>72</v>
      </c>
      <c r="S428" s="12" t="str">
        <f t="shared" si="78"/>
        <v>1838</v>
      </c>
      <c r="V428" s="12" t="str">
        <f t="shared" si="79"/>
        <v/>
      </c>
      <c r="W428" s="2" t="s">
        <v>3265</v>
      </c>
      <c r="X428" s="2" t="s">
        <v>788</v>
      </c>
      <c r="AF428" s="2" t="s">
        <v>16</v>
      </c>
      <c r="AG428" s="2" t="s">
        <v>68</v>
      </c>
      <c r="AH428" s="2">
        <v>1837</v>
      </c>
      <c r="AI428" s="12" t="str">
        <f t="shared" si="80"/>
        <v>1837</v>
      </c>
      <c r="AK428" s="2" t="s">
        <v>551</v>
      </c>
    </row>
    <row r="429" spans="1:48">
      <c r="A429" s="2" t="s">
        <v>1573</v>
      </c>
      <c r="B429" s="12" t="str">
        <f t="shared" si="72"/>
        <v>DEWET</v>
      </c>
      <c r="C429" s="12" t="str">
        <f t="shared" si="73"/>
        <v>DE WET</v>
      </c>
      <c r="D429" s="2" t="s">
        <v>3248</v>
      </c>
      <c r="E429" s="12" t="str">
        <f t="shared" si="83"/>
        <v>Jacobus Ignatius</v>
      </c>
      <c r="F429" s="2" t="s">
        <v>3249</v>
      </c>
      <c r="G429" s="12" t="str">
        <f t="shared" si="74"/>
        <v>a1b1c2d5e5f4</v>
      </c>
      <c r="H429" s="12" t="str">
        <f t="shared" si="84"/>
        <v>DE WETa1b1c2d5e5f4</v>
      </c>
      <c r="J429" s="2" t="s">
        <v>3250</v>
      </c>
      <c r="K429" s="12" t="str">
        <f t="shared" si="76"/>
        <v>1821</v>
      </c>
      <c r="L429" s="2" t="s">
        <v>366</v>
      </c>
      <c r="M429" s="2" t="s">
        <v>3251</v>
      </c>
      <c r="N429" s="12" t="str">
        <f t="shared" si="81"/>
        <v>1821</v>
      </c>
      <c r="O429" s="12" t="str">
        <f t="shared" si="82"/>
        <v>1821</v>
      </c>
      <c r="Q429" s="12" t="str">
        <f t="shared" si="77"/>
        <v>1821</v>
      </c>
      <c r="R429" s="2" t="s">
        <v>3252</v>
      </c>
      <c r="S429" s="12" t="str">
        <f t="shared" si="78"/>
        <v>1899</v>
      </c>
      <c r="U429" s="2" t="s">
        <v>3253</v>
      </c>
      <c r="V429" s="12" t="str">
        <f t="shared" si="79"/>
        <v>1842</v>
      </c>
      <c r="W429" s="2" t="s">
        <v>3254</v>
      </c>
      <c r="X429" s="2" t="s">
        <v>762</v>
      </c>
      <c r="AA429" s="2">
        <v>1827</v>
      </c>
      <c r="AE429" s="2" t="s">
        <v>3255</v>
      </c>
      <c r="AF429" s="2" t="s">
        <v>16</v>
      </c>
      <c r="AG429" s="2" t="s">
        <v>68</v>
      </c>
      <c r="AH429" s="2" t="s">
        <v>362</v>
      </c>
      <c r="AK429" s="2" t="s">
        <v>3260</v>
      </c>
      <c r="AL429" s="2" t="s">
        <v>24</v>
      </c>
      <c r="AM429" s="2" t="s">
        <v>3256</v>
      </c>
      <c r="AN429" s="2" t="s">
        <v>3257</v>
      </c>
      <c r="AO429" s="2" t="s">
        <v>822</v>
      </c>
      <c r="AR429" s="2" t="s">
        <v>3258</v>
      </c>
      <c r="AV429" s="2" t="s">
        <v>3259</v>
      </c>
    </row>
    <row r="430" spans="1:48">
      <c r="A430" s="2" t="s">
        <v>2903</v>
      </c>
      <c r="B430" s="12" t="str">
        <f t="shared" si="72"/>
        <v>DEWINNAAR</v>
      </c>
      <c r="C430" s="12" t="str">
        <f t="shared" si="73"/>
        <v>DE WINNAAR</v>
      </c>
      <c r="D430" s="2" t="s">
        <v>3283</v>
      </c>
      <c r="E430" s="12" t="str">
        <f t="shared" si="83"/>
        <v>Jan Hendrik</v>
      </c>
      <c r="F430" s="2" t="s">
        <v>934</v>
      </c>
      <c r="G430" s="12" t="str">
        <f t="shared" si="74"/>
        <v>a1b1c2</v>
      </c>
      <c r="H430" s="12" t="str">
        <f t="shared" si="84"/>
        <v>DE WINNAARa1b1c2</v>
      </c>
      <c r="I430" s="2" t="s">
        <v>3284</v>
      </c>
      <c r="J430" s="2" t="s">
        <v>3285</v>
      </c>
      <c r="K430" s="12" t="str">
        <f t="shared" si="76"/>
        <v>1797</v>
      </c>
      <c r="N430" s="12" t="str">
        <f t="shared" si="81"/>
        <v>1797</v>
      </c>
      <c r="O430" s="12" t="str">
        <f t="shared" si="82"/>
        <v/>
      </c>
      <c r="P430" s="2" t="s">
        <v>3286</v>
      </c>
      <c r="Q430" s="12" t="str">
        <f t="shared" si="77"/>
        <v>1797</v>
      </c>
      <c r="R430" s="2" t="s">
        <v>3287</v>
      </c>
      <c r="S430" s="12" t="str">
        <f t="shared" si="78"/>
        <v>1874</v>
      </c>
      <c r="T430" s="2" t="s">
        <v>28</v>
      </c>
      <c r="U430" s="2" t="s">
        <v>1667</v>
      </c>
      <c r="V430" s="12" t="str">
        <f t="shared" si="79"/>
        <v>1822</v>
      </c>
      <c r="W430" s="2" t="s">
        <v>3288</v>
      </c>
      <c r="X430" s="2" t="s">
        <v>3289</v>
      </c>
      <c r="AA430" s="2" t="s">
        <v>3290</v>
      </c>
      <c r="AD430" s="2" t="s">
        <v>3286</v>
      </c>
      <c r="AE430" s="2" t="s">
        <v>3291</v>
      </c>
      <c r="AG430" s="2" t="s">
        <v>28</v>
      </c>
      <c r="AH430" s="2">
        <v>1843</v>
      </c>
      <c r="AI430" s="12" t="str">
        <f t="shared" si="80"/>
        <v>1843</v>
      </c>
      <c r="AJ430" s="2" t="s">
        <v>481</v>
      </c>
      <c r="AK430" s="2" t="s">
        <v>3292</v>
      </c>
    </row>
    <row r="431" spans="1:48">
      <c r="A431" s="2" t="s">
        <v>2903</v>
      </c>
      <c r="B431" s="12" t="str">
        <f t="shared" si="72"/>
        <v>DEWINNAAR</v>
      </c>
      <c r="C431" s="12" t="str">
        <f t="shared" si="73"/>
        <v>DE WINNAAR</v>
      </c>
      <c r="D431" s="2" t="s">
        <v>3277</v>
      </c>
      <c r="E431" s="12" t="str">
        <f t="shared" si="83"/>
        <v>Carel Stephanus</v>
      </c>
      <c r="F431" s="2" t="s">
        <v>3278</v>
      </c>
      <c r="G431" s="12" t="str">
        <f t="shared" si="74"/>
        <v>a1b1c5</v>
      </c>
      <c r="H431" s="12" t="str">
        <f t="shared" si="84"/>
        <v>DE WINNAARa1b1c5</v>
      </c>
      <c r="J431" s="2" t="s">
        <v>3279</v>
      </c>
      <c r="K431" s="12" t="str">
        <f t="shared" si="76"/>
        <v>1802</v>
      </c>
      <c r="L431" s="2" t="s">
        <v>32</v>
      </c>
      <c r="M431" s="2" t="s">
        <v>3280</v>
      </c>
      <c r="N431" s="12" t="str">
        <f t="shared" si="81"/>
        <v>1802</v>
      </c>
      <c r="O431" s="12" t="str">
        <f t="shared" si="82"/>
        <v>1804</v>
      </c>
      <c r="Q431" s="12" t="str">
        <f t="shared" si="77"/>
        <v>1802</v>
      </c>
      <c r="S431" s="12" t="str">
        <f t="shared" si="78"/>
        <v/>
      </c>
      <c r="T431" s="2" t="s">
        <v>28</v>
      </c>
      <c r="U431" s="2" t="s">
        <v>529</v>
      </c>
      <c r="V431" s="12" t="str">
        <f t="shared" si="79"/>
        <v>1831</v>
      </c>
      <c r="W431" s="2" t="s">
        <v>3281</v>
      </c>
      <c r="X431" s="2" t="s">
        <v>2901</v>
      </c>
      <c r="Y431" s="2" t="s">
        <v>3282</v>
      </c>
      <c r="AC431" s="2" t="s">
        <v>1429</v>
      </c>
      <c r="AF431" s="2" t="s">
        <v>3709</v>
      </c>
      <c r="AG431" s="2" t="s">
        <v>68</v>
      </c>
      <c r="AH431" s="2" t="s">
        <v>29</v>
      </c>
      <c r="AI431" s="12" t="str">
        <f t="shared" si="80"/>
        <v>1837</v>
      </c>
      <c r="AK431" s="2" t="s">
        <v>2355</v>
      </c>
    </row>
    <row r="432" spans="1:48">
      <c r="A432" s="12" t="s">
        <v>1760</v>
      </c>
      <c r="B432" s="12" t="str">
        <f t="shared" si="72"/>
        <v>DEWIT</v>
      </c>
      <c r="C432" s="12" t="str">
        <f t="shared" si="73"/>
        <v>DE WIT</v>
      </c>
      <c r="D432" s="2" t="s">
        <v>1169</v>
      </c>
      <c r="E432" s="12" t="str">
        <f t="shared" si="83"/>
        <v>Frederik Christoffel</v>
      </c>
      <c r="F432" s="2" t="s">
        <v>3301</v>
      </c>
      <c r="G432" s="12" t="str">
        <f t="shared" si="74"/>
        <v>a1b1c4d3</v>
      </c>
      <c r="H432" s="12" t="str">
        <f t="shared" si="84"/>
        <v>DE WITa1b1c4d3</v>
      </c>
      <c r="J432" s="2">
        <v>1781</v>
      </c>
      <c r="K432" s="12" t="str">
        <f t="shared" si="76"/>
        <v>1781</v>
      </c>
      <c r="L432" s="2" t="s">
        <v>542</v>
      </c>
      <c r="M432" s="2" t="s">
        <v>3302</v>
      </c>
      <c r="N432" s="12" t="str">
        <f t="shared" si="81"/>
        <v>1781</v>
      </c>
      <c r="O432" s="12" t="str">
        <f t="shared" si="82"/>
        <v>1782</v>
      </c>
      <c r="P432" s="2" t="s">
        <v>155</v>
      </c>
      <c r="Q432" s="12" t="str">
        <f t="shared" si="77"/>
        <v>1781</v>
      </c>
      <c r="R432" s="2">
        <v>1864</v>
      </c>
      <c r="S432" s="12" t="str">
        <f t="shared" si="78"/>
        <v>1864</v>
      </c>
      <c r="T432" s="2" t="s">
        <v>961</v>
      </c>
      <c r="V432" s="12" t="str">
        <f t="shared" si="79"/>
        <v/>
      </c>
      <c r="W432" s="2" t="s">
        <v>2296</v>
      </c>
      <c r="X432" s="2" t="s">
        <v>3303</v>
      </c>
      <c r="AE432" s="2" t="s">
        <v>3304</v>
      </c>
      <c r="AG432" s="2" t="s">
        <v>28</v>
      </c>
      <c r="AI432" s="12" t="str">
        <f t="shared" si="80"/>
        <v/>
      </c>
      <c r="AJ432" s="2" t="s">
        <v>379</v>
      </c>
      <c r="AK432" s="2" t="s">
        <v>2457</v>
      </c>
    </row>
    <row r="433" spans="1:59">
      <c r="A433" s="12" t="s">
        <v>1760</v>
      </c>
      <c r="B433" s="12" t="str">
        <f t="shared" si="72"/>
        <v>DEWIT</v>
      </c>
      <c r="C433" s="12" t="str">
        <f t="shared" si="73"/>
        <v>DE WIT</v>
      </c>
      <c r="D433" s="2" t="s">
        <v>3293</v>
      </c>
      <c r="E433" s="12" t="str">
        <f t="shared" si="83"/>
        <v>Abraham Frederik</v>
      </c>
      <c r="F433" s="2" t="s">
        <v>3294</v>
      </c>
      <c r="G433" s="12" t="str">
        <f t="shared" si="74"/>
        <v>a1b1c4d3e1</v>
      </c>
      <c r="H433" s="12" t="str">
        <f t="shared" si="84"/>
        <v>DE WITa1b1c4d3e1</v>
      </c>
      <c r="J433" s="2" t="s">
        <v>3295</v>
      </c>
      <c r="K433" s="12" t="str">
        <f t="shared" si="76"/>
        <v>1807</v>
      </c>
      <c r="L433" s="2" t="s">
        <v>542</v>
      </c>
      <c r="M433" s="2" t="s">
        <v>576</v>
      </c>
      <c r="N433" s="12" t="str">
        <f t="shared" si="81"/>
        <v>1807</v>
      </c>
      <c r="O433" s="12" t="str">
        <f t="shared" si="82"/>
        <v>1808</v>
      </c>
      <c r="P433" s="2" t="s">
        <v>155</v>
      </c>
      <c r="Q433" s="12" t="str">
        <f t="shared" si="77"/>
        <v>1807</v>
      </c>
      <c r="R433" s="2" t="s">
        <v>3296</v>
      </c>
      <c r="S433" s="12" t="str">
        <f t="shared" si="78"/>
        <v>1828</v>
      </c>
      <c r="T433" s="2" t="s">
        <v>28</v>
      </c>
      <c r="U433" s="2" t="s">
        <v>3297</v>
      </c>
      <c r="V433" s="12" t="str">
        <f t="shared" si="79"/>
        <v>1828</v>
      </c>
      <c r="W433" s="2" t="s">
        <v>3298</v>
      </c>
      <c r="X433" s="2" t="s">
        <v>3299</v>
      </c>
      <c r="AA433" s="2" t="s">
        <v>3300</v>
      </c>
      <c r="AB433" s="2" t="s">
        <v>74</v>
      </c>
      <c r="AC433" s="2" t="s">
        <v>1577</v>
      </c>
      <c r="AE433" s="12"/>
      <c r="AG433" s="2" t="s">
        <v>68</v>
      </c>
      <c r="AH433" s="2">
        <v>1836</v>
      </c>
      <c r="AI433" s="12" t="str">
        <f t="shared" si="80"/>
        <v>1836</v>
      </c>
      <c r="AJ433" s="2" t="s">
        <v>379</v>
      </c>
      <c r="AK433" s="2" t="s">
        <v>155</v>
      </c>
    </row>
    <row r="434" spans="1:59">
      <c r="A434" s="12" t="s">
        <v>3146</v>
      </c>
      <c r="B434" s="12" t="str">
        <f t="shared" si="72"/>
        <v>DELPORT</v>
      </c>
      <c r="C434" s="12" t="str">
        <f t="shared" si="73"/>
        <v>DELPORT</v>
      </c>
      <c r="D434" s="2" t="s">
        <v>3165</v>
      </c>
      <c r="E434" s="12" t="str">
        <f t="shared" si="83"/>
        <v>Volckert Johannes</v>
      </c>
      <c r="F434" s="2" t="s">
        <v>3166</v>
      </c>
      <c r="G434" s="12" t="str">
        <f t="shared" si="74"/>
        <v>a1b3c14d7</v>
      </c>
      <c r="H434" s="12" t="str">
        <f t="shared" si="84"/>
        <v>DELPORTa1b3c14d7</v>
      </c>
      <c r="K434" s="12" t="str">
        <f t="shared" si="76"/>
        <v/>
      </c>
      <c r="M434" s="2" t="s">
        <v>1467</v>
      </c>
      <c r="N434" s="12" t="str">
        <f t="shared" si="81"/>
        <v/>
      </c>
      <c r="O434" s="12" t="str">
        <f t="shared" si="82"/>
        <v>1792</v>
      </c>
      <c r="Q434" s="12" t="str">
        <f t="shared" si="77"/>
        <v>1792</v>
      </c>
      <c r="S434" s="12" t="str">
        <f t="shared" si="78"/>
        <v/>
      </c>
      <c r="T434" s="2" t="s">
        <v>28</v>
      </c>
      <c r="U434" s="2" t="s">
        <v>3167</v>
      </c>
      <c r="V434" s="12" t="str">
        <f t="shared" si="79"/>
        <v>1817</v>
      </c>
      <c r="W434" s="2" t="s">
        <v>3168</v>
      </c>
      <c r="X434" s="2" t="s">
        <v>655</v>
      </c>
      <c r="AF434" s="2" t="s">
        <v>3706</v>
      </c>
      <c r="AG434" s="2" t="s">
        <v>68</v>
      </c>
      <c r="AH434" s="2">
        <v>1844</v>
      </c>
      <c r="AI434" s="12" t="str">
        <f t="shared" si="80"/>
        <v>1844</v>
      </c>
    </row>
    <row r="435" spans="1:59">
      <c r="A435" s="12" t="s">
        <v>3146</v>
      </c>
      <c r="B435" s="12" t="str">
        <f t="shared" si="72"/>
        <v>DELPORT</v>
      </c>
      <c r="C435" s="12" t="str">
        <f t="shared" si="73"/>
        <v>DELPORT</v>
      </c>
      <c r="D435" s="2" t="s">
        <v>201</v>
      </c>
      <c r="E435" s="12" t="str">
        <f t="shared" si="83"/>
        <v>Petrus Johannes</v>
      </c>
      <c r="F435" s="2" t="s">
        <v>3157</v>
      </c>
      <c r="G435" s="12" t="str">
        <f t="shared" si="74"/>
        <v>a1b3c6d3e8</v>
      </c>
      <c r="H435" s="12" t="str">
        <f t="shared" si="84"/>
        <v>DELPORTa1b3c6d3e8</v>
      </c>
      <c r="J435" s="2" t="s">
        <v>3158</v>
      </c>
      <c r="K435" s="12" t="str">
        <f t="shared" si="76"/>
        <v>1821</v>
      </c>
      <c r="L435" s="2" t="s">
        <v>28</v>
      </c>
      <c r="M435" s="2" t="s">
        <v>3159</v>
      </c>
      <c r="N435" s="12" t="str">
        <f t="shared" si="81"/>
        <v>1821</v>
      </c>
      <c r="O435" s="12" t="str">
        <f t="shared" si="82"/>
        <v>1821</v>
      </c>
      <c r="Q435" s="12" t="str">
        <f t="shared" si="77"/>
        <v>1821</v>
      </c>
      <c r="S435" s="12" t="str">
        <f t="shared" si="78"/>
        <v/>
      </c>
      <c r="V435" s="12" t="str">
        <f t="shared" si="79"/>
        <v/>
      </c>
      <c r="W435" s="2" t="s">
        <v>3160</v>
      </c>
      <c r="X435" s="2" t="s">
        <v>669</v>
      </c>
      <c r="AG435" s="2" t="s">
        <v>28</v>
      </c>
      <c r="AH435" s="2" t="s">
        <v>362</v>
      </c>
      <c r="AI435" s="12" t="str">
        <f t="shared" si="80"/>
        <v>40'S</v>
      </c>
      <c r="AK435" s="2" t="s">
        <v>140</v>
      </c>
    </row>
    <row r="436" spans="1:59">
      <c r="A436" s="12" t="s">
        <v>3146</v>
      </c>
      <c r="B436" s="12" t="str">
        <f t="shared" si="72"/>
        <v>DELPORT</v>
      </c>
      <c r="C436" s="12" t="str">
        <f t="shared" si="73"/>
        <v>DELPORT</v>
      </c>
      <c r="D436" s="2" t="s">
        <v>151</v>
      </c>
      <c r="E436" s="12" t="str">
        <f t="shared" si="83"/>
        <v>Jacobus Petrus</v>
      </c>
      <c r="F436" s="2" t="s">
        <v>3147</v>
      </c>
      <c r="G436" s="12" t="str">
        <f t="shared" si="74"/>
        <v>a1b6c2d1e1</v>
      </c>
      <c r="H436" s="12" t="str">
        <f t="shared" si="84"/>
        <v>DELPORTa1b6c2d1e1</v>
      </c>
      <c r="K436" s="12" t="str">
        <f t="shared" si="76"/>
        <v/>
      </c>
      <c r="M436" s="2" t="s">
        <v>3148</v>
      </c>
      <c r="N436" s="12" t="str">
        <f t="shared" si="81"/>
        <v/>
      </c>
      <c r="O436" s="12" t="str">
        <f t="shared" si="82"/>
        <v>1797</v>
      </c>
      <c r="Q436" s="12" t="str">
        <f t="shared" si="77"/>
        <v>1797</v>
      </c>
      <c r="S436" s="12" t="str">
        <f t="shared" si="78"/>
        <v/>
      </c>
      <c r="T436" s="2" t="s">
        <v>74</v>
      </c>
      <c r="U436" s="2" t="s">
        <v>486</v>
      </c>
      <c r="V436" s="12" t="str">
        <f t="shared" si="79"/>
        <v>1817</v>
      </c>
      <c r="W436" s="2" t="s">
        <v>3149</v>
      </c>
      <c r="X436" s="2" t="s">
        <v>664</v>
      </c>
      <c r="AF436" s="2" t="s">
        <v>3699</v>
      </c>
      <c r="AG436" s="2" t="s">
        <v>68</v>
      </c>
      <c r="AH436" s="2" t="s">
        <v>1172</v>
      </c>
      <c r="AI436" s="12" t="str">
        <f t="shared" si="80"/>
        <v>1837</v>
      </c>
      <c r="AK436" s="2" t="s">
        <v>1035</v>
      </c>
      <c r="AN436" s="2" t="s">
        <v>692</v>
      </c>
      <c r="AO436" s="2" t="s">
        <v>822</v>
      </c>
    </row>
    <row r="437" spans="1:59">
      <c r="A437" s="2" t="s">
        <v>3146</v>
      </c>
      <c r="B437" s="12" t="str">
        <f t="shared" si="72"/>
        <v>DELPORT</v>
      </c>
      <c r="C437" s="12" t="str">
        <f t="shared" si="73"/>
        <v>DELPORT</v>
      </c>
      <c r="D437" s="2" t="s">
        <v>3150</v>
      </c>
      <c r="E437" s="12" t="str">
        <f t="shared" si="83"/>
        <v>Jacobus Petrus Daniel</v>
      </c>
      <c r="F437" s="2" t="s">
        <v>3151</v>
      </c>
      <c r="G437" s="12" t="str">
        <f t="shared" si="74"/>
        <v>a1b6c2d1e1f1</v>
      </c>
      <c r="H437" s="12" t="str">
        <f t="shared" si="84"/>
        <v>DELPORTa1b6c2d1e1f1</v>
      </c>
      <c r="J437" s="2" t="s">
        <v>3152</v>
      </c>
      <c r="K437" s="12" t="str">
        <f t="shared" si="76"/>
        <v>1818</v>
      </c>
      <c r="L437" s="2" t="s">
        <v>28</v>
      </c>
      <c r="M437" s="2" t="s">
        <v>3153</v>
      </c>
      <c r="N437" s="12" t="str">
        <f t="shared" si="81"/>
        <v>1818</v>
      </c>
      <c r="O437" s="12" t="str">
        <f t="shared" si="82"/>
        <v>1818</v>
      </c>
      <c r="Q437" s="12" t="str">
        <f t="shared" si="77"/>
        <v>1818</v>
      </c>
      <c r="S437" s="12" t="str">
        <f t="shared" si="78"/>
        <v/>
      </c>
      <c r="T437" s="2" t="s">
        <v>28</v>
      </c>
      <c r="U437" s="2" t="s">
        <v>2287</v>
      </c>
      <c r="V437" s="12" t="str">
        <f t="shared" si="79"/>
        <v>1836</v>
      </c>
      <c r="W437" s="2" t="s">
        <v>3154</v>
      </c>
      <c r="X437" s="2" t="s">
        <v>1034</v>
      </c>
      <c r="Y437" s="2" t="s">
        <v>3155</v>
      </c>
      <c r="AC437" s="2" t="s">
        <v>3156</v>
      </c>
      <c r="AE437" s="12"/>
      <c r="AF437" s="2" t="s">
        <v>3699</v>
      </c>
      <c r="AG437" s="2" t="s">
        <v>68</v>
      </c>
      <c r="AH437" s="2" t="s">
        <v>284</v>
      </c>
      <c r="AI437" s="12" t="str">
        <f t="shared" si="80"/>
        <v>1837</v>
      </c>
      <c r="AK437" s="2" t="s">
        <v>140</v>
      </c>
    </row>
    <row r="438" spans="1:59">
      <c r="A438" s="2" t="s">
        <v>3146</v>
      </c>
      <c r="B438" s="12" t="str">
        <f t="shared" si="72"/>
        <v>DELPORT</v>
      </c>
      <c r="C438" s="12" t="str">
        <f t="shared" si="73"/>
        <v>DELPORT</v>
      </c>
      <c r="D438" s="2" t="s">
        <v>3161</v>
      </c>
      <c r="E438" s="12" t="str">
        <f t="shared" si="83"/>
        <v>Petrus Johannes Leopoldus</v>
      </c>
      <c r="F438" s="2" t="s">
        <v>3162</v>
      </c>
      <c r="G438" s="12" t="str">
        <f t="shared" si="74"/>
        <v>a1b6c2d1e1f3</v>
      </c>
      <c r="H438" s="12" t="str">
        <f t="shared" si="84"/>
        <v>DELPORTa1b6c2d1e1f3</v>
      </c>
      <c r="J438" s="2" t="s">
        <v>3163</v>
      </c>
      <c r="K438" s="12" t="str">
        <f t="shared" si="76"/>
        <v>1822</v>
      </c>
      <c r="L438" s="2" t="s">
        <v>28</v>
      </c>
      <c r="M438" s="2" t="s">
        <v>383</v>
      </c>
      <c r="N438" s="12" t="str">
        <f t="shared" si="81"/>
        <v>1822</v>
      </c>
      <c r="O438" s="12" t="str">
        <f t="shared" si="82"/>
        <v>1822</v>
      </c>
      <c r="Q438" s="12" t="str">
        <f t="shared" si="77"/>
        <v>1822</v>
      </c>
      <c r="S438" s="12" t="str">
        <f t="shared" si="78"/>
        <v/>
      </c>
      <c r="V438" s="12" t="str">
        <f t="shared" si="79"/>
        <v/>
      </c>
      <c r="W438" s="2" t="s">
        <v>3160</v>
      </c>
      <c r="X438" s="2" t="s">
        <v>669</v>
      </c>
      <c r="AG438" s="2" t="s">
        <v>28</v>
      </c>
      <c r="AI438" s="12" t="str">
        <f t="shared" si="80"/>
        <v/>
      </c>
      <c r="AK438" s="2" t="s">
        <v>3164</v>
      </c>
    </row>
    <row r="439" spans="1:59">
      <c r="A439" s="12" t="s">
        <v>1067</v>
      </c>
      <c r="B439" s="12" t="str">
        <f t="shared" si="72"/>
        <v>DEYSEL</v>
      </c>
      <c r="C439" s="12" t="str">
        <f t="shared" si="73"/>
        <v>DEYSEL</v>
      </c>
      <c r="D439" s="2" t="s">
        <v>3305</v>
      </c>
      <c r="E439" s="12" t="str">
        <f t="shared" si="83"/>
        <v>Frederik Francois</v>
      </c>
      <c r="F439" s="2" t="s">
        <v>1904</v>
      </c>
      <c r="G439" s="12" t="str">
        <f t="shared" si="74"/>
        <v>a1b6c1d3</v>
      </c>
      <c r="H439" s="12" t="str">
        <f t="shared" si="84"/>
        <v>DEYSELa1b6c1d3</v>
      </c>
      <c r="J439" s="2" t="s">
        <v>3306</v>
      </c>
      <c r="K439" s="12" t="str">
        <f t="shared" si="76"/>
        <v>1817</v>
      </c>
      <c r="L439" s="2" t="s">
        <v>199</v>
      </c>
      <c r="M439" s="2" t="s">
        <v>3307</v>
      </c>
      <c r="N439" s="12" t="str">
        <f t="shared" si="81"/>
        <v>1817</v>
      </c>
      <c r="O439" s="12" t="str">
        <f t="shared" si="82"/>
        <v>1821</v>
      </c>
      <c r="Q439" s="12" t="str">
        <f t="shared" si="77"/>
        <v>1817</v>
      </c>
      <c r="S439" s="12" t="str">
        <f t="shared" si="78"/>
        <v/>
      </c>
      <c r="V439" s="12" t="str">
        <f t="shared" si="79"/>
        <v/>
      </c>
      <c r="W439" s="2" t="s">
        <v>3308</v>
      </c>
      <c r="X439" s="2" t="s">
        <v>2023</v>
      </c>
      <c r="AH439" s="2">
        <v>1840</v>
      </c>
      <c r="AI439" s="12" t="str">
        <f t="shared" si="80"/>
        <v>1840</v>
      </c>
      <c r="AK439" s="2" t="s">
        <v>190</v>
      </c>
      <c r="AN439" s="2" t="s">
        <v>3309</v>
      </c>
      <c r="AO439" s="2" t="s">
        <v>731</v>
      </c>
    </row>
    <row r="440" spans="1:59">
      <c r="A440" s="2" t="s">
        <v>1067</v>
      </c>
      <c r="B440" s="12" t="str">
        <f t="shared" si="72"/>
        <v>DEYSEL</v>
      </c>
      <c r="C440" s="12" t="str">
        <f t="shared" si="73"/>
        <v>DEYSEL</v>
      </c>
      <c r="D440" s="2" t="s">
        <v>3310</v>
      </c>
      <c r="E440" s="12" t="str">
        <f t="shared" si="83"/>
        <v>Marthinus Jacobus Jurgen</v>
      </c>
      <c r="F440" s="2" t="s">
        <v>1835</v>
      </c>
      <c r="G440" s="12" t="str">
        <f t="shared" si="74"/>
        <v>a1b6c1d5</v>
      </c>
      <c r="H440" s="12" t="str">
        <f t="shared" si="84"/>
        <v>DEYSELa1b6c1d5</v>
      </c>
      <c r="J440" s="2" t="s">
        <v>3311</v>
      </c>
      <c r="K440" s="12" t="str">
        <f t="shared" si="76"/>
        <v>1821</v>
      </c>
      <c r="L440" s="2" t="s">
        <v>366</v>
      </c>
      <c r="M440" s="2" t="s">
        <v>3312</v>
      </c>
      <c r="N440" s="12" t="str">
        <f t="shared" si="81"/>
        <v>1821</v>
      </c>
      <c r="O440" s="12" t="str">
        <f t="shared" si="82"/>
        <v>1821</v>
      </c>
      <c r="Q440" s="12" t="str">
        <f t="shared" si="77"/>
        <v>1821</v>
      </c>
      <c r="S440" s="12" t="str">
        <f t="shared" si="78"/>
        <v/>
      </c>
      <c r="V440" s="12" t="str">
        <f t="shared" si="79"/>
        <v/>
      </c>
      <c r="W440" s="2" t="s">
        <v>3313</v>
      </c>
      <c r="X440" s="2" t="s">
        <v>2023</v>
      </c>
      <c r="AG440" s="2" t="s">
        <v>366</v>
      </c>
      <c r="AH440" s="2">
        <v>1840</v>
      </c>
      <c r="AI440" s="12" t="str">
        <f t="shared" si="80"/>
        <v>1840</v>
      </c>
      <c r="AK440" s="2" t="s">
        <v>190</v>
      </c>
    </row>
    <row r="441" spans="1:59">
      <c r="A441" s="2" t="s">
        <v>3314</v>
      </c>
      <c r="B441" s="12" t="str">
        <f t="shared" si="72"/>
        <v>DORFLING</v>
      </c>
      <c r="C441" s="12" t="str">
        <f t="shared" si="73"/>
        <v>DORFLING</v>
      </c>
      <c r="D441" s="2" t="s">
        <v>3315</v>
      </c>
      <c r="E441" s="12" t="str">
        <f t="shared" si="83"/>
        <v>Jacob Bernard</v>
      </c>
      <c r="F441" s="2" t="s">
        <v>3316</v>
      </c>
      <c r="G441" s="12" t="str">
        <f t="shared" si="74"/>
        <v>a1b4</v>
      </c>
      <c r="H441" s="12" t="str">
        <f t="shared" si="84"/>
        <v>DORFLINGa1b4</v>
      </c>
      <c r="K441" s="12" t="str">
        <f t="shared" si="76"/>
        <v/>
      </c>
      <c r="L441" s="2" t="s">
        <v>542</v>
      </c>
      <c r="M441" s="2" t="s">
        <v>3317</v>
      </c>
      <c r="N441" s="12" t="str">
        <f t="shared" si="81"/>
        <v/>
      </c>
      <c r="O441" s="12" t="str">
        <f t="shared" si="82"/>
        <v>1790</v>
      </c>
      <c r="Q441" s="12" t="str">
        <f t="shared" si="77"/>
        <v>1790</v>
      </c>
      <c r="S441" s="12" t="str">
        <f t="shared" si="78"/>
        <v/>
      </c>
      <c r="T441" s="2" t="s">
        <v>74</v>
      </c>
      <c r="U441" s="2" t="s">
        <v>1468</v>
      </c>
      <c r="V441" s="12" t="str">
        <f t="shared" si="79"/>
        <v>1817</v>
      </c>
      <c r="W441" s="2" t="s">
        <v>3318</v>
      </c>
      <c r="X441" s="2" t="s">
        <v>636</v>
      </c>
      <c r="Y441" s="2" t="s">
        <v>3319</v>
      </c>
      <c r="AC441" s="2" t="s">
        <v>3320</v>
      </c>
      <c r="AF441" s="2" t="s">
        <v>3706</v>
      </c>
      <c r="AG441" s="2" t="s">
        <v>53</v>
      </c>
      <c r="AH441" s="2">
        <v>1838</v>
      </c>
      <c r="AI441" s="12" t="str">
        <f t="shared" si="80"/>
        <v>1838</v>
      </c>
      <c r="AK441" s="2" t="s">
        <v>140</v>
      </c>
    </row>
    <row r="442" spans="1:59">
      <c r="A442" s="12" t="s">
        <v>3321</v>
      </c>
      <c r="B442" s="12" t="str">
        <f t="shared" si="72"/>
        <v>DREYER</v>
      </c>
      <c r="C442" s="12" t="str">
        <f t="shared" si="73"/>
        <v>DREYER</v>
      </c>
      <c r="D442" s="12" t="s">
        <v>3362</v>
      </c>
      <c r="E442" s="12" t="str">
        <f t="shared" si="83"/>
        <v>Thomas Frederik</v>
      </c>
      <c r="F442" s="12" t="s">
        <v>3374</v>
      </c>
      <c r="G442" s="12" t="str">
        <f t="shared" si="74"/>
        <v>a1b3c1d3e2</v>
      </c>
      <c r="H442" s="12" t="str">
        <f t="shared" si="84"/>
        <v>DREYERa1b3c1d3e2</v>
      </c>
      <c r="I442" s="12"/>
      <c r="J442" s="12" t="s">
        <v>3375</v>
      </c>
      <c r="K442" s="12" t="str">
        <f t="shared" si="76"/>
        <v>1810</v>
      </c>
      <c r="L442" s="12" t="s">
        <v>74</v>
      </c>
      <c r="M442" s="12" t="s">
        <v>2714</v>
      </c>
      <c r="N442" s="12" t="str">
        <f t="shared" si="81"/>
        <v>1810</v>
      </c>
      <c r="O442" s="12" t="str">
        <f t="shared" si="82"/>
        <v>1811</v>
      </c>
      <c r="P442" s="12" t="s">
        <v>474</v>
      </c>
      <c r="Q442" s="12" t="str">
        <f t="shared" si="77"/>
        <v>1810</v>
      </c>
      <c r="R442" s="12" t="s">
        <v>301</v>
      </c>
      <c r="S442" s="12" t="str">
        <f t="shared" si="78"/>
        <v>1838</v>
      </c>
      <c r="T442" s="12"/>
      <c r="U442" s="12"/>
      <c r="V442" s="12" t="str">
        <f t="shared" si="79"/>
        <v/>
      </c>
      <c r="W442" s="12" t="s">
        <v>1176</v>
      </c>
      <c r="X442" s="12" t="s">
        <v>2901</v>
      </c>
      <c r="Y442" s="12"/>
      <c r="Z442" s="12"/>
      <c r="AA442" s="12" t="s">
        <v>3376</v>
      </c>
      <c r="AB442" s="12"/>
      <c r="AC442" s="12"/>
      <c r="AD442" s="12"/>
      <c r="AE442" s="12"/>
      <c r="AF442" s="12" t="s">
        <v>3728</v>
      </c>
      <c r="AG442" s="12" t="s">
        <v>346</v>
      </c>
      <c r="AH442" s="12" t="s">
        <v>1542</v>
      </c>
      <c r="AI442" s="12" t="str">
        <f t="shared" si="80"/>
        <v>1837</v>
      </c>
      <c r="AJ442" s="12" t="s">
        <v>1502</v>
      </c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</row>
    <row r="443" spans="1:59">
      <c r="A443" s="12" t="s">
        <v>3321</v>
      </c>
      <c r="B443" s="12" t="str">
        <f t="shared" si="72"/>
        <v>DREYER</v>
      </c>
      <c r="C443" s="12" t="str">
        <f t="shared" si="73"/>
        <v>DREYER</v>
      </c>
      <c r="D443" s="12" t="s">
        <v>3362</v>
      </c>
      <c r="E443" s="12" t="str">
        <f t="shared" si="83"/>
        <v>Thomas Frederik</v>
      </c>
      <c r="F443" s="12" t="s">
        <v>3363</v>
      </c>
      <c r="G443" s="12" t="str">
        <f t="shared" si="74"/>
        <v>a1b4c1d1e2</v>
      </c>
      <c r="H443" s="12" t="str">
        <f t="shared" si="84"/>
        <v>DREYERa1b4c1d1e2</v>
      </c>
      <c r="I443" s="12"/>
      <c r="J443" s="12" t="s">
        <v>3364</v>
      </c>
      <c r="K443" s="12" t="str">
        <f t="shared" si="76"/>
        <v>1815</v>
      </c>
      <c r="L443" s="12" t="s">
        <v>199</v>
      </c>
      <c r="M443" s="12" t="s">
        <v>3077</v>
      </c>
      <c r="N443" s="12" t="str">
        <f t="shared" si="81"/>
        <v>1815</v>
      </c>
      <c r="O443" s="12" t="str">
        <f t="shared" si="82"/>
        <v>1816</v>
      </c>
      <c r="P443" s="12" t="s">
        <v>67</v>
      </c>
      <c r="Q443" s="12" t="str">
        <f t="shared" si="77"/>
        <v>1815</v>
      </c>
      <c r="R443" s="12" t="s">
        <v>3365</v>
      </c>
      <c r="S443" s="12" t="str">
        <f t="shared" si="78"/>
        <v>1889</v>
      </c>
      <c r="T443" s="12" t="s">
        <v>366</v>
      </c>
      <c r="U443" s="12" t="s">
        <v>3366</v>
      </c>
      <c r="V443" s="12" t="str">
        <f t="shared" si="79"/>
        <v>1836</v>
      </c>
      <c r="W443" s="12" t="s">
        <v>3367</v>
      </c>
      <c r="X443" s="12" t="s">
        <v>1763</v>
      </c>
      <c r="Y443" s="12" t="s">
        <v>3368</v>
      </c>
      <c r="Z443" s="12"/>
      <c r="AA443" s="12" t="s">
        <v>3369</v>
      </c>
      <c r="AB443" s="12"/>
      <c r="AC443" s="12"/>
      <c r="AD443" s="12" t="s">
        <v>67</v>
      </c>
      <c r="AE443" s="12" t="s">
        <v>3370</v>
      </c>
      <c r="AF443" s="12"/>
      <c r="AG443" s="12" t="s">
        <v>60</v>
      </c>
      <c r="AH443" s="12">
        <v>1840</v>
      </c>
      <c r="AI443" s="12" t="str">
        <f t="shared" si="80"/>
        <v>1840</v>
      </c>
      <c r="AJ443" s="12"/>
      <c r="AK443" s="12" t="s">
        <v>67</v>
      </c>
      <c r="AL443" s="12"/>
      <c r="AM443" s="12">
        <v>1881</v>
      </c>
      <c r="AN443" s="12" t="s">
        <v>3371</v>
      </c>
      <c r="AO443" s="12" t="s">
        <v>3372</v>
      </c>
      <c r="AP443" s="12"/>
      <c r="AQ443" s="12"/>
      <c r="AR443" s="12">
        <v>1832</v>
      </c>
      <c r="AS443" s="12"/>
      <c r="AT443" s="12"/>
      <c r="AU443" s="12"/>
      <c r="AV443" s="12" t="s">
        <v>3373</v>
      </c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</row>
    <row r="444" spans="1:59">
      <c r="A444" s="12" t="s">
        <v>3321</v>
      </c>
      <c r="B444" s="12" t="str">
        <f t="shared" si="72"/>
        <v>DREYER</v>
      </c>
      <c r="C444" s="12" t="str">
        <f t="shared" si="73"/>
        <v>DREYER</v>
      </c>
      <c r="D444" s="12" t="s">
        <v>3322</v>
      </c>
      <c r="E444" s="12" t="str">
        <f t="shared" si="83"/>
        <v>Christiaan Lourens Sr</v>
      </c>
      <c r="F444" s="12" t="s">
        <v>3323</v>
      </c>
      <c r="G444" s="12" t="str">
        <f t="shared" si="74"/>
        <v>a1b4c1d3</v>
      </c>
      <c r="H444" s="12" t="str">
        <f t="shared" si="84"/>
        <v>DREYERa1b4c1d3</v>
      </c>
      <c r="I444" s="12"/>
      <c r="J444" s="12" t="s">
        <v>3324</v>
      </c>
      <c r="K444" s="12" t="str">
        <f t="shared" si="76"/>
        <v>1787</v>
      </c>
      <c r="L444" s="12"/>
      <c r="M444" s="12" t="s">
        <v>3325</v>
      </c>
      <c r="N444" s="12" t="str">
        <f t="shared" si="81"/>
        <v>1787</v>
      </c>
      <c r="O444" s="12" t="str">
        <f t="shared" si="82"/>
        <v>1788</v>
      </c>
      <c r="P444" s="12"/>
      <c r="Q444" s="12" t="str">
        <f t="shared" si="77"/>
        <v>1787</v>
      </c>
      <c r="R444" s="12"/>
      <c r="S444" s="12" t="str">
        <f t="shared" si="78"/>
        <v/>
      </c>
      <c r="T444" s="12" t="s">
        <v>74</v>
      </c>
      <c r="U444" s="12" t="s">
        <v>3326</v>
      </c>
      <c r="V444" s="12" t="str">
        <f t="shared" si="79"/>
        <v>1807</v>
      </c>
      <c r="W444" s="12" t="s">
        <v>3327</v>
      </c>
      <c r="X444" s="12" t="s">
        <v>2995</v>
      </c>
      <c r="Y444" s="12" t="s">
        <v>3328</v>
      </c>
      <c r="Z444" s="12"/>
      <c r="AA444" s="12"/>
      <c r="AB444" s="12"/>
      <c r="AC444" s="12" t="s">
        <v>3329</v>
      </c>
      <c r="AD444" s="12"/>
      <c r="AE444" s="12"/>
      <c r="AF444" s="12" t="s">
        <v>3728</v>
      </c>
      <c r="AG444" s="12" t="s">
        <v>346</v>
      </c>
      <c r="AH444" s="12" t="s">
        <v>1542</v>
      </c>
      <c r="AI444" s="12" t="str">
        <f t="shared" si="80"/>
        <v>1837</v>
      </c>
      <c r="AJ444" s="12" t="s">
        <v>1502</v>
      </c>
      <c r="AK444" s="12" t="s">
        <v>90</v>
      </c>
      <c r="AL444" s="12" t="s">
        <v>140</v>
      </c>
      <c r="AM444" s="12" t="s">
        <v>3330</v>
      </c>
      <c r="AN444" s="12" t="s">
        <v>3331</v>
      </c>
      <c r="AO444" s="12" t="s">
        <v>1034</v>
      </c>
      <c r="AP444" s="12"/>
      <c r="AQ444" s="12"/>
      <c r="AR444" s="12">
        <v>1799</v>
      </c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</row>
    <row r="445" spans="1:59">
      <c r="A445" s="12" t="s">
        <v>3321</v>
      </c>
      <c r="B445" s="12" t="str">
        <f t="shared" si="72"/>
        <v>DREYER</v>
      </c>
      <c r="C445" s="12" t="str">
        <f t="shared" si="73"/>
        <v>DREYER</v>
      </c>
      <c r="D445" s="12" t="s">
        <v>3333</v>
      </c>
      <c r="E445" s="12" t="str">
        <f t="shared" si="83"/>
        <v xml:space="preserve">Christiaan </v>
      </c>
      <c r="F445" s="12" t="s">
        <v>3334</v>
      </c>
      <c r="G445" s="12" t="str">
        <f t="shared" si="74"/>
        <v>a1b4c1d3e4</v>
      </c>
      <c r="H445" s="12" t="str">
        <f t="shared" si="84"/>
        <v>DREYERa1b4c1d3e4</v>
      </c>
      <c r="I445" s="12"/>
      <c r="J445" s="12" t="s">
        <v>3335</v>
      </c>
      <c r="K445" s="12" t="str">
        <f t="shared" si="76"/>
        <v>1814</v>
      </c>
      <c r="L445" s="12" t="s">
        <v>74</v>
      </c>
      <c r="M445" s="12" t="s">
        <v>3336</v>
      </c>
      <c r="N445" s="12" t="str">
        <f t="shared" si="81"/>
        <v>1814</v>
      </c>
      <c r="O445" s="12" t="str">
        <f t="shared" si="82"/>
        <v>1815</v>
      </c>
      <c r="P445" s="12"/>
      <c r="Q445" s="12" t="str">
        <f t="shared" si="77"/>
        <v>1814</v>
      </c>
      <c r="R445" s="12"/>
      <c r="S445" s="12" t="str">
        <f t="shared" si="78"/>
        <v/>
      </c>
      <c r="T445" s="12"/>
      <c r="U445" s="12"/>
      <c r="V445" s="12" t="str">
        <f t="shared" si="79"/>
        <v/>
      </c>
      <c r="W445" s="12" t="s">
        <v>2503</v>
      </c>
      <c r="X445" s="12" t="s">
        <v>1763</v>
      </c>
      <c r="Y445" s="12" t="s">
        <v>3337</v>
      </c>
      <c r="Z445" s="12"/>
      <c r="AA445" s="12"/>
      <c r="AB445" s="12"/>
      <c r="AC445" s="12"/>
      <c r="AD445" s="12"/>
      <c r="AE445" s="12"/>
      <c r="AF445" s="12" t="s">
        <v>3728</v>
      </c>
      <c r="AG445" s="12" t="s">
        <v>346</v>
      </c>
      <c r="AH445" s="12" t="s">
        <v>1542</v>
      </c>
      <c r="AI445" s="12" t="str">
        <f t="shared" si="80"/>
        <v>1837</v>
      </c>
      <c r="AJ445" s="12" t="s">
        <v>1502</v>
      </c>
      <c r="AK445" s="12" t="s">
        <v>90</v>
      </c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</row>
    <row r="446" spans="1:59">
      <c r="A446" s="12" t="s">
        <v>3321</v>
      </c>
      <c r="B446" s="12" t="str">
        <f t="shared" si="72"/>
        <v>DREYER</v>
      </c>
      <c r="C446" s="12" t="str">
        <f t="shared" si="73"/>
        <v>DREYER</v>
      </c>
      <c r="D446" s="12" t="s">
        <v>3345</v>
      </c>
      <c r="E446" s="12" t="str">
        <f t="shared" si="83"/>
        <v>Lucas Cornelis</v>
      </c>
      <c r="F446" s="12" t="s">
        <v>3346</v>
      </c>
      <c r="G446" s="12" t="str">
        <f t="shared" si="74"/>
        <v>a1b4c1d3e7</v>
      </c>
      <c r="H446" s="12" t="str">
        <f t="shared" si="84"/>
        <v>DREYERa1b4c1d3e7</v>
      </c>
      <c r="I446" s="12"/>
      <c r="J446" s="12" t="s">
        <v>3347</v>
      </c>
      <c r="K446" s="12" t="str">
        <f t="shared" si="76"/>
        <v>1820</v>
      </c>
      <c r="L446" s="12" t="s">
        <v>28</v>
      </c>
      <c r="M446" s="12" t="s">
        <v>3348</v>
      </c>
      <c r="N446" s="12" t="str">
        <f t="shared" si="81"/>
        <v>1820</v>
      </c>
      <c r="O446" s="12" t="str">
        <f t="shared" si="82"/>
        <v>1821</v>
      </c>
      <c r="P446" s="12"/>
      <c r="Q446" s="12" t="str">
        <f t="shared" si="77"/>
        <v>1820</v>
      </c>
      <c r="R446" s="12" t="s">
        <v>3349</v>
      </c>
      <c r="S446" s="12" t="str">
        <f t="shared" si="78"/>
        <v>1880</v>
      </c>
      <c r="T446" s="12" t="s">
        <v>168</v>
      </c>
      <c r="U446" s="12" t="s">
        <v>3350</v>
      </c>
      <c r="V446" s="12" t="str">
        <f t="shared" si="79"/>
        <v>1839</v>
      </c>
      <c r="W446" s="12" t="s">
        <v>1903</v>
      </c>
      <c r="X446" s="12" t="s">
        <v>662</v>
      </c>
      <c r="Y446" s="12" t="s">
        <v>3351</v>
      </c>
      <c r="Z446" s="12"/>
      <c r="AA446" s="12"/>
      <c r="AB446" s="12"/>
      <c r="AC446" s="12"/>
      <c r="AD446" s="12"/>
      <c r="AE446" s="12"/>
      <c r="AF446" s="12" t="s">
        <v>3728</v>
      </c>
      <c r="AG446" s="12" t="s">
        <v>346</v>
      </c>
      <c r="AH446" s="12" t="s">
        <v>1542</v>
      </c>
      <c r="AI446" s="12" t="str">
        <f t="shared" si="80"/>
        <v>1837</v>
      </c>
      <c r="AJ446" s="12" t="s">
        <v>1502</v>
      </c>
      <c r="AK446" s="12" t="s">
        <v>90</v>
      </c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</row>
    <row r="447" spans="1:59">
      <c r="A447" s="12" t="s">
        <v>3321</v>
      </c>
      <c r="B447" s="12" t="str">
        <f t="shared" ref="B447:B509" si="85">SUBSTITUTE(A447," ","")</f>
        <v>DREYER</v>
      </c>
      <c r="C447" s="12" t="str">
        <f t="shared" ref="C447:C509" si="86">TRIM(A447)</f>
        <v>DREYER</v>
      </c>
      <c r="D447" s="12" t="s">
        <v>3356</v>
      </c>
      <c r="E447" s="12" t="str">
        <f t="shared" si="83"/>
        <v>Roelof Petrus Gerhardus</v>
      </c>
      <c r="F447" s="12" t="s">
        <v>1698</v>
      </c>
      <c r="G447" s="12" t="str">
        <f t="shared" ref="G447:G509" si="87">IF(LEFT(F447,1)="b","a1"&amp;F447,F447)</f>
        <v>a1b4c1d5</v>
      </c>
      <c r="H447" s="12" t="str">
        <f t="shared" ref="H447:H509" si="88">C447&amp;G447</f>
        <v>DREYERa1b4c1d5</v>
      </c>
      <c r="I447" s="12"/>
      <c r="J447" s="12" t="s">
        <v>3357</v>
      </c>
      <c r="K447" s="12" t="str">
        <f t="shared" ref="K447:K509" si="89">RIGHT(J447,4)</f>
        <v>1793</v>
      </c>
      <c r="L447" s="12" t="s">
        <v>74</v>
      </c>
      <c r="M447" s="12" t="s">
        <v>1389</v>
      </c>
      <c r="N447" s="12" t="str">
        <f t="shared" si="81"/>
        <v>1793</v>
      </c>
      <c r="O447" s="12" t="str">
        <f t="shared" si="82"/>
        <v>1794</v>
      </c>
      <c r="P447" s="12" t="s">
        <v>406</v>
      </c>
      <c r="Q447" s="12" t="str">
        <f t="shared" ref="Q447:Q509" si="90">IF(N447="",O447,N447)</f>
        <v>1793</v>
      </c>
      <c r="R447" s="12" t="s">
        <v>3358</v>
      </c>
      <c r="S447" s="12" t="str">
        <f t="shared" ref="S447:S509" si="91">RIGHT(R447,4)</f>
        <v>1874</v>
      </c>
      <c r="T447" s="12" t="s">
        <v>199</v>
      </c>
      <c r="U447" s="12" t="s">
        <v>3359</v>
      </c>
      <c r="V447" s="12" t="str">
        <f t="shared" ref="V447:V509" si="92">RIGHT(U447,4)</f>
        <v>1814</v>
      </c>
      <c r="W447" s="12" t="s">
        <v>3360</v>
      </c>
      <c r="X447" s="12" t="s">
        <v>1136</v>
      </c>
      <c r="Y447" s="12" t="s">
        <v>3361</v>
      </c>
      <c r="Z447" s="12"/>
      <c r="AA447" s="12"/>
      <c r="AB447" s="12"/>
      <c r="AC447" s="12"/>
      <c r="AD447" s="12"/>
      <c r="AE447" s="12"/>
      <c r="AF447" s="12" t="s">
        <v>3709</v>
      </c>
      <c r="AG447" s="12" t="s">
        <v>68</v>
      </c>
      <c r="AH447" s="12" t="s">
        <v>1542</v>
      </c>
      <c r="AI447" s="12" t="str">
        <f t="shared" ref="AI447:AI509" si="93">RIGHT(AH447,4)</f>
        <v>1837</v>
      </c>
      <c r="AJ447" s="12" t="s">
        <v>1502</v>
      </c>
      <c r="AK447" s="12" t="s">
        <v>90</v>
      </c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</row>
    <row r="448" spans="1:59">
      <c r="A448" s="12" t="s">
        <v>3321</v>
      </c>
      <c r="B448" s="12" t="str">
        <f t="shared" si="85"/>
        <v>DREYER</v>
      </c>
      <c r="C448" s="12" t="str">
        <f t="shared" si="86"/>
        <v>DREYER</v>
      </c>
      <c r="D448" s="12" t="s">
        <v>3377</v>
      </c>
      <c r="E448" s="12" t="str">
        <f t="shared" si="83"/>
        <v>Thomas Frederik Hermanus</v>
      </c>
      <c r="F448" s="12" t="s">
        <v>3378</v>
      </c>
      <c r="G448" s="12" t="str">
        <f t="shared" si="87"/>
        <v>a1b4c1d5e4</v>
      </c>
      <c r="H448" s="12" t="str">
        <f t="shared" si="88"/>
        <v>DREYERa1b4c1d5e4</v>
      </c>
      <c r="I448" s="12"/>
      <c r="J448" s="12" t="s">
        <v>3379</v>
      </c>
      <c r="K448" s="12" t="str">
        <f t="shared" si="89"/>
        <v>1825</v>
      </c>
      <c r="L448" s="12"/>
      <c r="M448" s="12"/>
      <c r="N448" s="12" t="str">
        <f t="shared" si="81"/>
        <v>1825</v>
      </c>
      <c r="O448" s="12" t="str">
        <f t="shared" si="82"/>
        <v/>
      </c>
      <c r="P448" s="12" t="s">
        <v>3380</v>
      </c>
      <c r="Q448" s="12" t="str">
        <f t="shared" si="90"/>
        <v>1825</v>
      </c>
      <c r="R448" s="12" t="s">
        <v>3381</v>
      </c>
      <c r="S448" s="12" t="str">
        <f t="shared" si="91"/>
        <v>1848</v>
      </c>
      <c r="T448" s="12"/>
      <c r="U448" s="12"/>
      <c r="V448" s="12" t="str">
        <f t="shared" si="92"/>
        <v/>
      </c>
      <c r="W448" s="12" t="s">
        <v>3382</v>
      </c>
      <c r="X448" s="12" t="s">
        <v>2363</v>
      </c>
      <c r="Y448" s="12" t="s">
        <v>3383</v>
      </c>
      <c r="Z448" s="12"/>
      <c r="AA448" s="12"/>
      <c r="AB448" s="12"/>
      <c r="AC448" s="12"/>
      <c r="AD448" s="12"/>
      <c r="AE448" s="12"/>
      <c r="AF448" s="12" t="s">
        <v>3709</v>
      </c>
      <c r="AG448" s="12" t="s">
        <v>68</v>
      </c>
      <c r="AH448" s="12" t="s">
        <v>1542</v>
      </c>
      <c r="AI448" s="12" t="str">
        <f t="shared" si="93"/>
        <v>1837</v>
      </c>
      <c r="AJ448" s="12" t="s">
        <v>1502</v>
      </c>
      <c r="AK448" s="12" t="s">
        <v>3384</v>
      </c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</row>
    <row r="449" spans="1:70">
      <c r="A449" s="12" t="s">
        <v>3338</v>
      </c>
      <c r="B449" s="12" t="str">
        <f t="shared" si="85"/>
        <v>DREYER</v>
      </c>
      <c r="C449" s="12" t="str">
        <f t="shared" si="86"/>
        <v>DREYER</v>
      </c>
      <c r="D449" s="12" t="s">
        <v>273</v>
      </c>
      <c r="E449" s="12" t="str">
        <f t="shared" si="83"/>
        <v>Marthinus</v>
      </c>
      <c r="F449" s="12" t="s">
        <v>3352</v>
      </c>
      <c r="G449" s="12" t="str">
        <f t="shared" si="87"/>
        <v>a1b4c1d1e3</v>
      </c>
      <c r="H449" s="12" t="str">
        <f t="shared" si="88"/>
        <v>DREYERa1b4c1d1e3</v>
      </c>
      <c r="I449" s="12"/>
      <c r="J449" s="12" t="s">
        <v>3353</v>
      </c>
      <c r="K449" s="12" t="str">
        <f t="shared" si="89"/>
        <v>1819</v>
      </c>
      <c r="L449" s="12" t="s">
        <v>28</v>
      </c>
      <c r="M449" s="12" t="s">
        <v>1988</v>
      </c>
      <c r="N449" s="12" t="str">
        <f t="shared" si="81"/>
        <v>1819</v>
      </c>
      <c r="O449" s="12" t="str">
        <f t="shared" si="82"/>
        <v>1819</v>
      </c>
      <c r="P449" s="12"/>
      <c r="Q449" s="12" t="str">
        <f t="shared" si="90"/>
        <v>1819</v>
      </c>
      <c r="R449" s="12"/>
      <c r="S449" s="12" t="str">
        <f t="shared" si="91"/>
        <v/>
      </c>
      <c r="T449" s="12" t="s">
        <v>366</v>
      </c>
      <c r="U449" s="12" t="s">
        <v>3354</v>
      </c>
      <c r="V449" s="12" t="str">
        <f t="shared" si="92"/>
        <v>1838</v>
      </c>
      <c r="W449" s="12" t="s">
        <v>3355</v>
      </c>
      <c r="X449" s="12" t="s">
        <v>1763</v>
      </c>
      <c r="Y449" s="12"/>
      <c r="Z449" s="12"/>
      <c r="AA449" s="12"/>
      <c r="AB449" s="12"/>
      <c r="AC449" s="12"/>
      <c r="AD449" s="12"/>
      <c r="AE449" s="12"/>
      <c r="AF449" s="12"/>
      <c r="AG449" s="12" t="s">
        <v>60</v>
      </c>
      <c r="AH449" s="12" t="s">
        <v>362</v>
      </c>
      <c r="AI449" s="12" t="str">
        <f t="shared" si="93"/>
        <v>40'S</v>
      </c>
      <c r="AJ449" s="12"/>
      <c r="AK449" s="12" t="s">
        <v>551</v>
      </c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</row>
    <row r="450" spans="1:70">
      <c r="A450" s="2" t="s">
        <v>3338</v>
      </c>
      <c r="B450" s="12" t="str">
        <f t="shared" si="85"/>
        <v>DREYER</v>
      </c>
      <c r="C450" s="12" t="str">
        <f t="shared" si="86"/>
        <v>DREYER</v>
      </c>
      <c r="D450" s="2" t="s">
        <v>3339</v>
      </c>
      <c r="E450" s="12" t="str">
        <f t="shared" si="83"/>
        <v>Johannes Philippus</v>
      </c>
      <c r="F450" s="2" t="s">
        <v>3340</v>
      </c>
      <c r="G450" s="12" t="str">
        <f t="shared" si="87"/>
        <v>a1b4c1d4e4</v>
      </c>
      <c r="H450" s="12" t="str">
        <f t="shared" si="88"/>
        <v>DREYERa1b4c1d4e4</v>
      </c>
      <c r="J450" s="2" t="s">
        <v>3341</v>
      </c>
      <c r="K450" s="12" t="str">
        <f t="shared" si="89"/>
        <v>1823</v>
      </c>
      <c r="L450" s="2" t="s">
        <v>53</v>
      </c>
      <c r="M450" s="2" t="s">
        <v>3342</v>
      </c>
      <c r="N450" s="12" t="str">
        <f t="shared" ref="N450:N513" si="94">RIGHT(J450,4)</f>
        <v>1823</v>
      </c>
      <c r="O450" s="12" t="str">
        <f t="shared" ref="O450:O513" si="95">RIGHT(M450,4)</f>
        <v>1824</v>
      </c>
      <c r="Q450" s="12" t="str">
        <f t="shared" si="90"/>
        <v>1823</v>
      </c>
      <c r="S450" s="12" t="str">
        <f t="shared" si="91"/>
        <v/>
      </c>
      <c r="V450" s="12" t="str">
        <f t="shared" si="92"/>
        <v/>
      </c>
      <c r="W450" s="2" t="s">
        <v>3343</v>
      </c>
      <c r="X450" s="2" t="s">
        <v>2145</v>
      </c>
      <c r="Y450" s="2" t="s">
        <v>3344</v>
      </c>
      <c r="AH450" s="2">
        <v>1844</v>
      </c>
      <c r="AI450" s="12" t="str">
        <f t="shared" si="93"/>
        <v>1844</v>
      </c>
      <c r="AK450" s="2" t="s">
        <v>90</v>
      </c>
    </row>
    <row r="451" spans="1:70">
      <c r="A451" s="12" t="s">
        <v>1453</v>
      </c>
      <c r="B451" s="12" t="str">
        <f t="shared" si="85"/>
        <v>DUPLESSIS</v>
      </c>
      <c r="C451" s="12" t="str">
        <f t="shared" si="86"/>
        <v>DU PLESSIS</v>
      </c>
      <c r="D451" s="12" t="s">
        <v>968</v>
      </c>
      <c r="E451" s="12" t="str">
        <f t="shared" ref="E451:E514" si="96">PROPER(D451)</f>
        <v>Andries Stephanus</v>
      </c>
      <c r="F451" s="12" t="s">
        <v>3385</v>
      </c>
      <c r="G451" s="12" t="str">
        <f t="shared" si="87"/>
        <v>a1b1c5c12e3</v>
      </c>
      <c r="H451" s="12" t="str">
        <f t="shared" si="88"/>
        <v>DU PLESSISa1b1c5c12e3</v>
      </c>
      <c r="I451" s="12"/>
      <c r="J451" s="12"/>
      <c r="K451" s="12" t="str">
        <f t="shared" si="89"/>
        <v/>
      </c>
      <c r="L451" s="12" t="s">
        <v>542</v>
      </c>
      <c r="M451" s="12" t="s">
        <v>3386</v>
      </c>
      <c r="N451" s="12" t="str">
        <f t="shared" si="94"/>
        <v/>
      </c>
      <c r="O451" s="12" t="str">
        <f t="shared" si="95"/>
        <v>1791</v>
      </c>
      <c r="P451" s="12" t="s">
        <v>3387</v>
      </c>
      <c r="Q451" s="12" t="str">
        <f t="shared" si="90"/>
        <v>1791</v>
      </c>
      <c r="R451" s="12">
        <v>1860</v>
      </c>
      <c r="S451" s="12" t="str">
        <f t="shared" si="91"/>
        <v>1860</v>
      </c>
      <c r="T451" s="12" t="s">
        <v>74</v>
      </c>
      <c r="U451" s="12" t="s">
        <v>3388</v>
      </c>
      <c r="V451" s="12" t="str">
        <f t="shared" si="92"/>
        <v>1812</v>
      </c>
      <c r="W451" s="12" t="s">
        <v>3389</v>
      </c>
      <c r="X451" s="12" t="s">
        <v>655</v>
      </c>
      <c r="Y451" s="12"/>
      <c r="Z451" s="12"/>
      <c r="AA451" s="12"/>
      <c r="AB451" s="12"/>
      <c r="AC451" s="12" t="s">
        <v>3390</v>
      </c>
      <c r="AD451" s="12"/>
      <c r="AE451" s="12" t="s">
        <v>3391</v>
      </c>
      <c r="AF451" s="12" t="s">
        <v>3699</v>
      </c>
      <c r="AG451" s="12" t="s">
        <v>68</v>
      </c>
      <c r="AH451" s="12">
        <v>1836</v>
      </c>
      <c r="AI451" s="12" t="str">
        <f t="shared" si="93"/>
        <v>1836</v>
      </c>
      <c r="AJ451" s="12" t="s">
        <v>379</v>
      </c>
      <c r="AK451" s="12" t="s">
        <v>3140</v>
      </c>
      <c r="AL451" s="12" t="s">
        <v>28</v>
      </c>
      <c r="AM451" s="12" t="s">
        <v>3392</v>
      </c>
      <c r="AN451" s="12" t="s">
        <v>1891</v>
      </c>
      <c r="AO451" s="12" t="s">
        <v>664</v>
      </c>
      <c r="AP451" s="12" t="s">
        <v>3393</v>
      </c>
      <c r="AQ451" s="12"/>
      <c r="AR451" s="12"/>
      <c r="AS451" s="12"/>
      <c r="AT451" s="12" t="s">
        <v>3394</v>
      </c>
      <c r="AU451" s="12"/>
      <c r="AV451" s="12" t="s">
        <v>3395</v>
      </c>
      <c r="AW451" s="12" t="s">
        <v>68</v>
      </c>
      <c r="AX451" s="12" t="s">
        <v>2539</v>
      </c>
      <c r="AY451" s="12" t="s">
        <v>3396</v>
      </c>
      <c r="AZ451" s="12" t="s">
        <v>2363</v>
      </c>
      <c r="BA451" s="12"/>
      <c r="BB451" s="12" t="s">
        <v>3397</v>
      </c>
      <c r="BC451" s="12"/>
      <c r="BD451" s="12" t="s">
        <v>3398</v>
      </c>
      <c r="BE451" s="12"/>
      <c r="BF451" s="12"/>
      <c r="BG451" s="12" t="s">
        <v>3399</v>
      </c>
      <c r="BH451" s="2" t="s">
        <v>3400</v>
      </c>
      <c r="BI451" s="2" t="s">
        <v>804</v>
      </c>
      <c r="BJ451" s="2" t="s">
        <v>2427</v>
      </c>
    </row>
    <row r="452" spans="1:70">
      <c r="A452" s="12" t="s">
        <v>1453</v>
      </c>
      <c r="B452" s="12" t="str">
        <f t="shared" si="85"/>
        <v>DUPLESSIS</v>
      </c>
      <c r="C452" s="12" t="str">
        <f t="shared" si="86"/>
        <v>DU PLESSIS</v>
      </c>
      <c r="D452" s="2" t="s">
        <v>3583</v>
      </c>
      <c r="E452" s="12" t="str">
        <f t="shared" si="96"/>
        <v>Wynand Louw</v>
      </c>
      <c r="F452" s="2" t="s">
        <v>3584</v>
      </c>
      <c r="G452" s="12" t="str">
        <f t="shared" si="87"/>
        <v>a1b1c5d16e4</v>
      </c>
      <c r="H452" s="12" t="str">
        <f t="shared" si="88"/>
        <v>DU PLESSISa1b1c5d16e4</v>
      </c>
      <c r="J452" s="2" t="s">
        <v>3585</v>
      </c>
      <c r="K452" s="12" t="str">
        <f t="shared" si="89"/>
        <v>1803</v>
      </c>
      <c r="L452" s="2" t="s">
        <v>542</v>
      </c>
      <c r="M452" s="2" t="s">
        <v>1767</v>
      </c>
      <c r="N452" s="12" t="str">
        <f t="shared" si="94"/>
        <v>1803</v>
      </c>
      <c r="O452" s="12" t="str">
        <f t="shared" si="95"/>
        <v>1804</v>
      </c>
      <c r="P452" s="2" t="s">
        <v>1774</v>
      </c>
      <c r="Q452" s="12" t="str">
        <f t="shared" si="90"/>
        <v>1803</v>
      </c>
      <c r="R452" s="2" t="s">
        <v>3586</v>
      </c>
      <c r="S452" s="12" t="str">
        <f t="shared" si="91"/>
        <v>1865</v>
      </c>
      <c r="T452" s="2" t="s">
        <v>3587</v>
      </c>
      <c r="U452" s="2" t="s">
        <v>3588</v>
      </c>
      <c r="V452" s="12" t="str">
        <f t="shared" si="92"/>
        <v>1833</v>
      </c>
      <c r="W452" s="2" t="s">
        <v>3589</v>
      </c>
      <c r="X452" s="2" t="s">
        <v>755</v>
      </c>
      <c r="Y452" s="2" t="s">
        <v>3590</v>
      </c>
      <c r="AC452" s="2" t="s">
        <v>3591</v>
      </c>
      <c r="AF452" s="2" t="s">
        <v>3587</v>
      </c>
      <c r="AG452" s="2" t="s">
        <v>395</v>
      </c>
      <c r="AH452" s="2">
        <v>1842</v>
      </c>
      <c r="AI452" s="12" t="str">
        <f t="shared" si="93"/>
        <v>1842</v>
      </c>
      <c r="AK452" s="2" t="s">
        <v>190</v>
      </c>
    </row>
    <row r="453" spans="1:70">
      <c r="A453" s="2" t="s">
        <v>1453</v>
      </c>
      <c r="B453" s="12" t="str">
        <f t="shared" si="85"/>
        <v>DUPLESSIS</v>
      </c>
      <c r="C453" s="12" t="str">
        <f t="shared" si="86"/>
        <v>DU PLESSIS</v>
      </c>
      <c r="D453" s="2" t="s">
        <v>1464</v>
      </c>
      <c r="E453" s="12" t="str">
        <f t="shared" si="96"/>
        <v>Willem</v>
      </c>
      <c r="F453" s="2" t="s">
        <v>3565</v>
      </c>
      <c r="G453" s="12" t="str">
        <f t="shared" si="87"/>
        <v>a1b1c7d4e6</v>
      </c>
      <c r="H453" s="12" t="str">
        <f t="shared" si="88"/>
        <v>DU PLESSISa1b1c7d4e6</v>
      </c>
      <c r="K453" s="12" t="str">
        <f t="shared" si="89"/>
        <v/>
      </c>
      <c r="L453" s="2" t="s">
        <v>542</v>
      </c>
      <c r="M453" s="2" t="s">
        <v>3566</v>
      </c>
      <c r="N453" s="12" t="str">
        <f t="shared" si="94"/>
        <v/>
      </c>
      <c r="O453" s="12" t="str">
        <f t="shared" si="95"/>
        <v>1783</v>
      </c>
      <c r="Q453" s="12" t="str">
        <f t="shared" si="90"/>
        <v>1783</v>
      </c>
      <c r="S453" s="12" t="str">
        <f t="shared" si="91"/>
        <v/>
      </c>
      <c r="T453" s="2" t="s">
        <v>48</v>
      </c>
      <c r="U453" s="2" t="s">
        <v>3567</v>
      </c>
      <c r="V453" s="12" t="str">
        <f t="shared" si="92"/>
        <v>1801</v>
      </c>
      <c r="W453" s="2" t="s">
        <v>3568</v>
      </c>
      <c r="X453" s="2" t="s">
        <v>46</v>
      </c>
      <c r="AG453" s="2" t="s">
        <v>32</v>
      </c>
      <c r="AH453" s="2">
        <v>1839</v>
      </c>
      <c r="AI453" s="12" t="str">
        <f t="shared" si="93"/>
        <v>1839</v>
      </c>
      <c r="AK453" s="2" t="s">
        <v>551</v>
      </c>
      <c r="AL453" s="2" t="s">
        <v>53</v>
      </c>
      <c r="AM453" s="2" t="s">
        <v>3569</v>
      </c>
      <c r="AN453" s="2" t="s">
        <v>715</v>
      </c>
      <c r="AO453" s="2" t="s">
        <v>618</v>
      </c>
    </row>
    <row r="454" spans="1:70">
      <c r="A454" s="2" t="s">
        <v>1453</v>
      </c>
      <c r="B454" s="12" t="str">
        <f t="shared" si="85"/>
        <v>DUPLESSIS</v>
      </c>
      <c r="C454" s="12" t="str">
        <f t="shared" si="86"/>
        <v>DU PLESSIS</v>
      </c>
      <c r="D454" s="2" t="s">
        <v>3490</v>
      </c>
      <c r="E454" s="12" t="str">
        <f t="shared" si="96"/>
        <v>Joseph Albertus</v>
      </c>
      <c r="F454" s="2" t="s">
        <v>3491</v>
      </c>
      <c r="G454" s="12" t="str">
        <f t="shared" si="87"/>
        <v>a1b1c7d5e2f2</v>
      </c>
      <c r="H454" s="12" t="str">
        <f t="shared" si="88"/>
        <v>DU PLESSISa1b1c7d5e2f2</v>
      </c>
      <c r="J454" s="2" t="s">
        <v>3492</v>
      </c>
      <c r="K454" s="12" t="str">
        <f t="shared" si="89"/>
        <v>1800</v>
      </c>
      <c r="L454" s="2" t="s">
        <v>32</v>
      </c>
      <c r="M454" s="2" t="s">
        <v>3493</v>
      </c>
      <c r="N454" s="12" t="str">
        <f t="shared" si="94"/>
        <v>1800</v>
      </c>
      <c r="O454" s="12" t="str">
        <f t="shared" si="95"/>
        <v>1800</v>
      </c>
      <c r="P454" s="2" t="s">
        <v>190</v>
      </c>
      <c r="Q454" s="12" t="str">
        <f t="shared" si="90"/>
        <v>1800</v>
      </c>
      <c r="R454" s="2" t="s">
        <v>2865</v>
      </c>
      <c r="S454" s="12" t="str">
        <f t="shared" si="91"/>
        <v>1885</v>
      </c>
      <c r="T454" s="2" t="s">
        <v>53</v>
      </c>
      <c r="U454" s="2" t="s">
        <v>2734</v>
      </c>
      <c r="V454" s="12" t="str">
        <f t="shared" si="92"/>
        <v>1822</v>
      </c>
      <c r="W454" s="2" t="s">
        <v>3494</v>
      </c>
      <c r="X454" s="2" t="s">
        <v>618</v>
      </c>
      <c r="Y454" s="2" t="s">
        <v>3495</v>
      </c>
      <c r="AA454" s="2" t="s">
        <v>3496</v>
      </c>
      <c r="AC454" s="2" t="s">
        <v>3497</v>
      </c>
      <c r="AD454" s="2" t="s">
        <v>190</v>
      </c>
      <c r="AE454" s="2" t="s">
        <v>3498</v>
      </c>
      <c r="AF454" s="2" t="s">
        <v>3706</v>
      </c>
      <c r="AG454" s="2" t="s">
        <v>53</v>
      </c>
      <c r="AH454" s="2">
        <v>1838</v>
      </c>
      <c r="AI454" s="12" t="str">
        <f t="shared" si="93"/>
        <v>1838</v>
      </c>
      <c r="AK454" s="2" t="s">
        <v>190</v>
      </c>
      <c r="AN454" s="2" t="s">
        <v>3499</v>
      </c>
      <c r="AO454" s="2" t="s">
        <v>3500</v>
      </c>
      <c r="AR454" s="2" t="s">
        <v>3501</v>
      </c>
      <c r="AU454" s="2" t="s">
        <v>190</v>
      </c>
      <c r="AV454" s="2" t="s">
        <v>3502</v>
      </c>
      <c r="AY454" s="2" t="s">
        <v>3503</v>
      </c>
      <c r="AZ454" s="2" t="s">
        <v>3504</v>
      </c>
    </row>
    <row r="455" spans="1:70">
      <c r="A455" s="2" t="s">
        <v>1453</v>
      </c>
      <c r="B455" s="12" t="str">
        <f t="shared" si="85"/>
        <v>DUPLESSIS</v>
      </c>
      <c r="C455" s="12" t="str">
        <f t="shared" si="86"/>
        <v>DU PLESSIS</v>
      </c>
      <c r="D455" s="2" t="s">
        <v>3438</v>
      </c>
      <c r="E455" s="12" t="str">
        <f t="shared" si="96"/>
        <v>Charl Francois</v>
      </c>
      <c r="F455" s="2" t="s">
        <v>3439</v>
      </c>
      <c r="G455" s="12" t="str">
        <f t="shared" si="87"/>
        <v>a1b1c7d5e2f2g1</v>
      </c>
      <c r="H455" s="12" t="str">
        <f t="shared" si="88"/>
        <v>DU PLESSISa1b1c7d5e2f2g1</v>
      </c>
      <c r="J455" s="2" t="s">
        <v>3440</v>
      </c>
      <c r="K455" s="12" t="str">
        <f t="shared" si="89"/>
        <v>1823</v>
      </c>
      <c r="L455" s="2" t="s">
        <v>74</v>
      </c>
      <c r="M455" s="2" t="s">
        <v>2743</v>
      </c>
      <c r="N455" s="12" t="str">
        <f t="shared" si="94"/>
        <v>1823</v>
      </c>
      <c r="O455" s="12" t="str">
        <f t="shared" si="95"/>
        <v>1823</v>
      </c>
      <c r="P455" s="2" t="s">
        <v>190</v>
      </c>
      <c r="Q455" s="12" t="str">
        <f t="shared" si="90"/>
        <v>1823</v>
      </c>
      <c r="R455" s="2" t="s">
        <v>3441</v>
      </c>
      <c r="S455" s="12" t="str">
        <f t="shared" si="91"/>
        <v>1898</v>
      </c>
      <c r="V455" s="12" t="str">
        <f t="shared" si="92"/>
        <v/>
      </c>
      <c r="W455" s="2" t="s">
        <v>3442</v>
      </c>
      <c r="X455" s="2" t="s">
        <v>3443</v>
      </c>
      <c r="Z455" s="2" t="s">
        <v>60</v>
      </c>
      <c r="AA455" s="2" t="s">
        <v>3444</v>
      </c>
      <c r="AE455" s="2" t="s">
        <v>3445</v>
      </c>
      <c r="AF455" s="2" t="s">
        <v>3706</v>
      </c>
      <c r="AG455" s="2" t="s">
        <v>53</v>
      </c>
      <c r="AH455" s="2">
        <v>1838</v>
      </c>
      <c r="AI455" s="12" t="str">
        <f t="shared" si="93"/>
        <v>1838</v>
      </c>
      <c r="AK455" s="2" t="s">
        <v>190</v>
      </c>
    </row>
    <row r="456" spans="1:70">
      <c r="A456" s="2" t="s">
        <v>1453</v>
      </c>
      <c r="B456" s="12" t="str">
        <f t="shared" si="85"/>
        <v>DUPLESSIS</v>
      </c>
      <c r="C456" s="12" t="str">
        <f t="shared" si="86"/>
        <v>DU PLESSIS</v>
      </c>
      <c r="D456" s="2" t="s">
        <v>3451</v>
      </c>
      <c r="E456" s="12" t="str">
        <f t="shared" si="96"/>
        <v>Francois Jacobus</v>
      </c>
      <c r="F456" s="2" t="s">
        <v>3452</v>
      </c>
      <c r="G456" s="12" t="str">
        <f t="shared" si="87"/>
        <v>a1b1c7d5e2f3</v>
      </c>
      <c r="H456" s="12" t="str">
        <f t="shared" si="88"/>
        <v>DU PLESSISa1b1c7d5e2f3</v>
      </c>
      <c r="K456" s="12" t="str">
        <f t="shared" si="89"/>
        <v/>
      </c>
      <c r="M456" s="2" t="s">
        <v>3459</v>
      </c>
      <c r="N456" s="12" t="str">
        <f t="shared" si="94"/>
        <v/>
      </c>
      <c r="O456" s="12" t="str">
        <f t="shared" si="95"/>
        <v>1804</v>
      </c>
      <c r="Q456" s="12" t="str">
        <f t="shared" si="90"/>
        <v>1804</v>
      </c>
      <c r="S456" s="12" t="str">
        <f t="shared" si="91"/>
        <v/>
      </c>
      <c r="T456" s="2" t="s">
        <v>53</v>
      </c>
      <c r="U456" s="2" t="s">
        <v>269</v>
      </c>
      <c r="V456" s="12" t="str">
        <f t="shared" si="92"/>
        <v>1826</v>
      </c>
      <c r="W456" s="2" t="s">
        <v>3453</v>
      </c>
      <c r="X456" s="2" t="s">
        <v>3454</v>
      </c>
      <c r="Y456" s="2" t="s">
        <v>1787</v>
      </c>
      <c r="AB456" s="2" t="s">
        <v>32</v>
      </c>
      <c r="AC456" s="2" t="s">
        <v>3455</v>
      </c>
      <c r="AF456" s="2" t="s">
        <v>3706</v>
      </c>
      <c r="AG456" s="2" t="s">
        <v>53</v>
      </c>
      <c r="AH456" s="2">
        <v>1835</v>
      </c>
      <c r="AI456" s="12" t="str">
        <f t="shared" si="93"/>
        <v>1835</v>
      </c>
      <c r="AJ456" s="2" t="s">
        <v>379</v>
      </c>
      <c r="AK456" s="2" t="s">
        <v>90</v>
      </c>
    </row>
    <row r="457" spans="1:70">
      <c r="A457" s="2" t="s">
        <v>1453</v>
      </c>
      <c r="B457" s="12" t="str">
        <f t="shared" si="85"/>
        <v>DUPLESSIS</v>
      </c>
      <c r="C457" s="12" t="str">
        <f t="shared" si="86"/>
        <v>DU PLESSIS</v>
      </c>
      <c r="D457" s="2" t="s">
        <v>968</v>
      </c>
      <c r="E457" s="12" t="str">
        <f t="shared" si="96"/>
        <v>Andries Stephanus</v>
      </c>
      <c r="F457" s="2" t="s">
        <v>3401</v>
      </c>
      <c r="G457" s="12" t="str">
        <f t="shared" si="87"/>
        <v>a1b1c7d5e6f2</v>
      </c>
      <c r="H457" s="12" t="str">
        <f t="shared" si="88"/>
        <v>DU PLESSISa1b1c7d5e6f2</v>
      </c>
      <c r="K457" s="12" t="str">
        <f t="shared" si="89"/>
        <v/>
      </c>
      <c r="L457" s="2" t="s">
        <v>32</v>
      </c>
      <c r="M457" s="2" t="s">
        <v>3402</v>
      </c>
      <c r="N457" s="12" t="str">
        <f t="shared" si="94"/>
        <v/>
      </c>
      <c r="O457" s="12" t="str">
        <f t="shared" si="95"/>
        <v>1804</v>
      </c>
      <c r="P457" s="2" t="s">
        <v>566</v>
      </c>
      <c r="Q457" s="12" t="str">
        <f t="shared" si="90"/>
        <v>1804</v>
      </c>
      <c r="R457" s="2" t="s">
        <v>3403</v>
      </c>
      <c r="S457" s="12" t="str">
        <f t="shared" si="91"/>
        <v>1895</v>
      </c>
      <c r="T457" s="2" t="s">
        <v>28</v>
      </c>
      <c r="U457" s="2" t="s">
        <v>3392</v>
      </c>
      <c r="V457" s="12" t="str">
        <f t="shared" si="92"/>
        <v>1824</v>
      </c>
      <c r="W457" s="2" t="s">
        <v>1891</v>
      </c>
      <c r="X457" s="2" t="s">
        <v>792</v>
      </c>
      <c r="AG457" s="2" t="s">
        <v>32</v>
      </c>
      <c r="AH457" s="2">
        <v>1839</v>
      </c>
      <c r="AI457" s="12" t="str">
        <f t="shared" si="93"/>
        <v>1839</v>
      </c>
      <c r="AK457" s="2" t="s">
        <v>551</v>
      </c>
      <c r="AL457" s="2" t="s">
        <v>32</v>
      </c>
      <c r="AM457" s="2" t="s">
        <v>3404</v>
      </c>
      <c r="AN457" s="2" t="s">
        <v>3405</v>
      </c>
      <c r="AO457" s="2" t="s">
        <v>3406</v>
      </c>
    </row>
    <row r="458" spans="1:70">
      <c r="A458" s="2" t="s">
        <v>1453</v>
      </c>
      <c r="B458" s="12" t="str">
        <f t="shared" si="85"/>
        <v>DUPLESSIS</v>
      </c>
      <c r="C458" s="12" t="str">
        <f t="shared" si="86"/>
        <v>DU PLESSIS</v>
      </c>
      <c r="D458" s="2" t="s">
        <v>1764</v>
      </c>
      <c r="E458" s="12" t="str">
        <f t="shared" si="96"/>
        <v>Jan</v>
      </c>
      <c r="F458" s="2" t="s">
        <v>3466</v>
      </c>
      <c r="G458" s="12" t="str">
        <f t="shared" si="87"/>
        <v>a1b6c1d10e1</v>
      </c>
      <c r="H458" s="12" t="str">
        <f t="shared" si="88"/>
        <v>DU PLESSISa1b6c1d10e1</v>
      </c>
      <c r="K458" s="12" t="str">
        <f t="shared" si="89"/>
        <v/>
      </c>
      <c r="L458" s="2" t="s">
        <v>74</v>
      </c>
      <c r="M458" s="2" t="s">
        <v>3103</v>
      </c>
      <c r="N458" s="12" t="str">
        <f t="shared" si="94"/>
        <v/>
      </c>
      <c r="O458" s="12" t="str">
        <f t="shared" si="95"/>
        <v>1804</v>
      </c>
      <c r="P458" s="2" t="s">
        <v>1017</v>
      </c>
      <c r="Q458" s="12" t="str">
        <f t="shared" si="90"/>
        <v>1804</v>
      </c>
      <c r="R458" s="2" t="s">
        <v>3467</v>
      </c>
      <c r="S458" s="12" t="str">
        <f t="shared" si="91"/>
        <v>1877</v>
      </c>
      <c r="T458" s="2" t="s">
        <v>28</v>
      </c>
      <c r="U458" s="2" t="s">
        <v>2377</v>
      </c>
      <c r="V458" s="12" t="str">
        <f t="shared" si="92"/>
        <v>1822</v>
      </c>
      <c r="W458" s="2" t="s">
        <v>2146</v>
      </c>
      <c r="X458" s="2" t="s">
        <v>2235</v>
      </c>
      <c r="Y458" s="2" t="s">
        <v>3468</v>
      </c>
      <c r="AC458" s="2" t="s">
        <v>111</v>
      </c>
      <c r="AF458" s="2" t="s">
        <v>3699</v>
      </c>
      <c r="AG458" s="2" t="s">
        <v>68</v>
      </c>
      <c r="AH458" s="2" t="s">
        <v>503</v>
      </c>
      <c r="AI458" s="12" t="str">
        <f t="shared" si="93"/>
        <v>1837</v>
      </c>
      <c r="AK458" s="2" t="s">
        <v>1017</v>
      </c>
      <c r="BR458" s="2">
        <v>1</v>
      </c>
    </row>
    <row r="459" spans="1:70">
      <c r="A459" s="2" t="s">
        <v>1453</v>
      </c>
      <c r="B459" s="12" t="str">
        <f t="shared" si="85"/>
        <v>DUPLESSIS</v>
      </c>
      <c r="C459" s="12" t="str">
        <f t="shared" si="86"/>
        <v>DU PLESSIS</v>
      </c>
      <c r="D459" s="2" t="s">
        <v>3577</v>
      </c>
      <c r="E459" s="12" t="str">
        <f t="shared" si="96"/>
        <v>Willem Jacobus Ignatius Michiel</v>
      </c>
      <c r="F459" s="2" t="s">
        <v>3578</v>
      </c>
      <c r="G459" s="12" t="str">
        <f t="shared" si="87"/>
        <v>a1b6c1d10e10</v>
      </c>
      <c r="H459" s="12" t="str">
        <f t="shared" si="88"/>
        <v>DU PLESSISa1b6c1d10e10</v>
      </c>
      <c r="J459" s="2" t="s">
        <v>3579</v>
      </c>
      <c r="K459" s="12" t="str">
        <f t="shared" si="89"/>
        <v>1819</v>
      </c>
      <c r="L459" s="2" t="s">
        <v>28</v>
      </c>
      <c r="M459" s="2" t="s">
        <v>3580</v>
      </c>
      <c r="N459" s="12" t="str">
        <f t="shared" si="94"/>
        <v>1819</v>
      </c>
      <c r="O459" s="12" t="str">
        <f t="shared" si="95"/>
        <v>1819</v>
      </c>
      <c r="Q459" s="12" t="str">
        <f t="shared" si="90"/>
        <v>1819</v>
      </c>
      <c r="S459" s="12" t="str">
        <f t="shared" si="91"/>
        <v/>
      </c>
      <c r="T459" s="2" t="s">
        <v>28</v>
      </c>
      <c r="U459" s="2" t="s">
        <v>3094</v>
      </c>
      <c r="V459" s="12" t="str">
        <f t="shared" si="92"/>
        <v>1836</v>
      </c>
      <c r="W459" s="2" t="s">
        <v>3581</v>
      </c>
      <c r="X459" s="2" t="s">
        <v>266</v>
      </c>
      <c r="Y459" s="2" t="s">
        <v>3582</v>
      </c>
      <c r="AF459" s="2" t="s">
        <v>3699</v>
      </c>
      <c r="AG459" s="2" t="s">
        <v>68</v>
      </c>
      <c r="AH459" s="2" t="s">
        <v>503</v>
      </c>
      <c r="AI459" s="12" t="str">
        <f t="shared" si="93"/>
        <v>1837</v>
      </c>
      <c r="AJ459" s="2" t="s">
        <v>277</v>
      </c>
      <c r="AK459" s="2" t="s">
        <v>3384</v>
      </c>
    </row>
    <row r="460" spans="1:70">
      <c r="A460" s="2" t="s">
        <v>1453</v>
      </c>
      <c r="B460" s="12" t="str">
        <f t="shared" si="85"/>
        <v>DUPLESSIS</v>
      </c>
      <c r="C460" s="12" t="str">
        <f t="shared" si="86"/>
        <v>DU PLESSIS</v>
      </c>
      <c r="D460" s="2" t="s">
        <v>3407</v>
      </c>
      <c r="E460" s="12" t="str">
        <f t="shared" si="96"/>
        <v>Barend Christoffel</v>
      </c>
      <c r="F460" s="2" t="s">
        <v>3408</v>
      </c>
      <c r="G460" s="12" t="str">
        <f t="shared" si="87"/>
        <v>a1b6c1d10e1f1</v>
      </c>
      <c r="H460" s="12" t="str">
        <f t="shared" si="88"/>
        <v>DU PLESSISa1b6c1d10e1f1</v>
      </c>
      <c r="J460" s="2" t="s">
        <v>3409</v>
      </c>
      <c r="K460" s="12" t="str">
        <f t="shared" si="89"/>
        <v>1825</v>
      </c>
      <c r="L460" s="2" t="s">
        <v>28</v>
      </c>
      <c r="M460" s="2" t="s">
        <v>3410</v>
      </c>
      <c r="N460" s="12" t="str">
        <f t="shared" si="94"/>
        <v>1825</v>
      </c>
      <c r="O460" s="12" t="str">
        <f t="shared" si="95"/>
        <v>1825</v>
      </c>
      <c r="P460" s="2" t="s">
        <v>597</v>
      </c>
      <c r="Q460" s="12" t="str">
        <f t="shared" si="90"/>
        <v>1825</v>
      </c>
      <c r="R460" s="2" t="s">
        <v>3411</v>
      </c>
      <c r="S460" s="12" t="str">
        <f t="shared" si="91"/>
        <v>1848</v>
      </c>
      <c r="V460" s="12" t="str">
        <f t="shared" si="92"/>
        <v/>
      </c>
      <c r="W460" s="2" t="s">
        <v>3412</v>
      </c>
      <c r="X460" s="2" t="s">
        <v>2026</v>
      </c>
      <c r="Y460" s="2" t="s">
        <v>3413</v>
      </c>
      <c r="AF460" s="2" t="s">
        <v>3699</v>
      </c>
      <c r="AG460" s="2" t="s">
        <v>68</v>
      </c>
      <c r="AH460" s="2" t="s">
        <v>503</v>
      </c>
      <c r="AI460" s="12" t="str">
        <f t="shared" si="93"/>
        <v>1837</v>
      </c>
      <c r="AJ460" s="2" t="s">
        <v>277</v>
      </c>
      <c r="AK460" s="2" t="s">
        <v>90</v>
      </c>
      <c r="AN460" s="2" t="s">
        <v>3414</v>
      </c>
      <c r="AO460" s="2" t="s">
        <v>726</v>
      </c>
      <c r="AP460" s="2" t="s">
        <v>3415</v>
      </c>
      <c r="AR460" s="2" t="s">
        <v>3416</v>
      </c>
      <c r="AT460" s="2" t="s">
        <v>3417</v>
      </c>
    </row>
    <row r="461" spans="1:70">
      <c r="A461" s="12" t="s">
        <v>1453</v>
      </c>
      <c r="B461" s="12" t="str">
        <f t="shared" si="85"/>
        <v>DUPLESSIS</v>
      </c>
      <c r="C461" s="12" t="str">
        <f t="shared" si="86"/>
        <v>DU PLESSIS</v>
      </c>
      <c r="D461" s="2" t="s">
        <v>3407</v>
      </c>
      <c r="E461" s="12" t="str">
        <f t="shared" si="96"/>
        <v>Barend Christoffel</v>
      </c>
      <c r="F461" s="2" t="s">
        <v>3418</v>
      </c>
      <c r="G461" s="12" t="str">
        <f t="shared" si="87"/>
        <v>a1b6c1d10e2</v>
      </c>
      <c r="H461" s="12" t="str">
        <f t="shared" si="88"/>
        <v>DU PLESSISa1b6c1d10e2</v>
      </c>
      <c r="K461" s="12" t="str">
        <f t="shared" si="89"/>
        <v/>
      </c>
      <c r="L461" s="2" t="s">
        <v>74</v>
      </c>
      <c r="M461" s="2" t="s">
        <v>3394</v>
      </c>
      <c r="N461" s="12" t="str">
        <f t="shared" si="94"/>
        <v/>
      </c>
      <c r="O461" s="12" t="str">
        <f t="shared" si="95"/>
        <v>1805</v>
      </c>
      <c r="Q461" s="12" t="str">
        <f t="shared" si="90"/>
        <v>1805</v>
      </c>
      <c r="R461" s="2" t="s">
        <v>3419</v>
      </c>
      <c r="S461" s="12" t="str">
        <f t="shared" si="91"/>
        <v>1871</v>
      </c>
      <c r="T461" s="2" t="s">
        <v>28</v>
      </c>
      <c r="U461" s="2" t="s">
        <v>3392</v>
      </c>
      <c r="V461" s="12" t="str">
        <f t="shared" si="92"/>
        <v>1824</v>
      </c>
      <c r="W461" s="2" t="s">
        <v>813</v>
      </c>
      <c r="X461" s="2" t="s">
        <v>2138</v>
      </c>
      <c r="Y461" s="2" t="s">
        <v>3420</v>
      </c>
      <c r="AC461" s="2" t="s">
        <v>3114</v>
      </c>
      <c r="AD461" s="2" t="s">
        <v>2514</v>
      </c>
      <c r="AE461" s="2" t="s">
        <v>3421</v>
      </c>
      <c r="AF461" s="2" t="s">
        <v>3699</v>
      </c>
      <c r="AG461" s="2" t="s">
        <v>68</v>
      </c>
      <c r="AH461" s="2" t="s">
        <v>503</v>
      </c>
      <c r="AI461" s="12" t="str">
        <f t="shared" si="93"/>
        <v>1837</v>
      </c>
      <c r="AJ461" s="2" t="s">
        <v>277</v>
      </c>
      <c r="AK461" s="2" t="s">
        <v>2514</v>
      </c>
      <c r="BQ461" s="2" t="s">
        <v>3422</v>
      </c>
    </row>
    <row r="462" spans="1:70">
      <c r="A462" s="2" t="s">
        <v>1453</v>
      </c>
      <c r="B462" s="12" t="str">
        <f t="shared" si="85"/>
        <v>DUPLESSIS</v>
      </c>
      <c r="C462" s="12" t="str">
        <f t="shared" si="86"/>
        <v>DU PLESSIS</v>
      </c>
      <c r="D462" s="2" t="s">
        <v>1244</v>
      </c>
      <c r="E462" s="12" t="str">
        <f t="shared" si="96"/>
        <v>Jan Adriaan</v>
      </c>
      <c r="F462" s="2" t="s">
        <v>3469</v>
      </c>
      <c r="G462" s="12" t="str">
        <f t="shared" si="87"/>
        <v>a1b6c1d1e10</v>
      </c>
      <c r="H462" s="12" t="str">
        <f t="shared" si="88"/>
        <v>DU PLESSISa1b6c1d1e10</v>
      </c>
      <c r="K462" s="12" t="str">
        <f t="shared" si="89"/>
        <v/>
      </c>
      <c r="M462" s="2" t="s">
        <v>3470</v>
      </c>
      <c r="N462" s="12" t="str">
        <f t="shared" si="94"/>
        <v/>
      </c>
      <c r="O462" s="12" t="str">
        <f t="shared" si="95"/>
        <v>1804</v>
      </c>
      <c r="Q462" s="12" t="str">
        <f t="shared" si="90"/>
        <v>1804</v>
      </c>
      <c r="S462" s="12" t="str">
        <f t="shared" si="91"/>
        <v/>
      </c>
      <c r="T462" s="2" t="s">
        <v>28</v>
      </c>
      <c r="U462" s="2" t="s">
        <v>988</v>
      </c>
      <c r="V462" s="12" t="str">
        <f t="shared" si="92"/>
        <v>1825</v>
      </c>
      <c r="W462" s="2" t="s">
        <v>3471</v>
      </c>
      <c r="X462" s="2" t="s">
        <v>1453</v>
      </c>
      <c r="Y462" s="2" t="s">
        <v>3460</v>
      </c>
      <c r="AC462" s="2" t="s">
        <v>3472</v>
      </c>
      <c r="AE462" s="2" t="s">
        <v>3473</v>
      </c>
      <c r="AF462" s="2" t="s">
        <v>3699</v>
      </c>
      <c r="AG462" s="2" t="s">
        <v>68</v>
      </c>
      <c r="AH462" s="2" t="s">
        <v>1172</v>
      </c>
      <c r="AI462" s="12" t="str">
        <f t="shared" si="93"/>
        <v>1837</v>
      </c>
      <c r="AJ462" s="2" t="s">
        <v>277</v>
      </c>
      <c r="AK462" s="2" t="s">
        <v>3474</v>
      </c>
    </row>
    <row r="463" spans="1:70">
      <c r="A463" s="2" t="s">
        <v>1453</v>
      </c>
      <c r="B463" s="12" t="str">
        <f t="shared" si="85"/>
        <v>DUPLESSIS</v>
      </c>
      <c r="C463" s="12" t="str">
        <f t="shared" si="86"/>
        <v>DU PLESSIS</v>
      </c>
      <c r="D463" s="2" t="s">
        <v>19</v>
      </c>
      <c r="E463" s="12" t="str">
        <f t="shared" si="96"/>
        <v>Lourens Marthinus</v>
      </c>
      <c r="F463" s="2" t="s">
        <v>3513</v>
      </c>
      <c r="G463" s="12" t="str">
        <f t="shared" si="87"/>
        <v>a1b6c1d1e11</v>
      </c>
      <c r="H463" s="12" t="str">
        <f t="shared" si="88"/>
        <v>DU PLESSISa1b6c1d1e11</v>
      </c>
      <c r="J463" s="2" t="s">
        <v>3514</v>
      </c>
      <c r="K463" s="12" t="str">
        <f t="shared" si="89"/>
        <v>1806</v>
      </c>
      <c r="L463" s="2" t="s">
        <v>74</v>
      </c>
      <c r="M463" s="2" t="s">
        <v>3515</v>
      </c>
      <c r="N463" s="12" t="str">
        <f t="shared" si="94"/>
        <v>1806</v>
      </c>
      <c r="O463" s="12" t="str">
        <f t="shared" si="95"/>
        <v>1806</v>
      </c>
      <c r="P463" s="2" t="s">
        <v>3516</v>
      </c>
      <c r="Q463" s="12" t="str">
        <f t="shared" si="90"/>
        <v>1806</v>
      </c>
      <c r="R463" s="2" t="s">
        <v>3517</v>
      </c>
      <c r="S463" s="12" t="str">
        <f t="shared" si="91"/>
        <v>1870</v>
      </c>
      <c r="T463" s="2" t="s">
        <v>28</v>
      </c>
      <c r="U463" s="2" t="s">
        <v>3437</v>
      </c>
      <c r="V463" s="12" t="str">
        <f t="shared" si="92"/>
        <v>1828</v>
      </c>
      <c r="W463" s="2" t="s">
        <v>3518</v>
      </c>
      <c r="X463" s="2" t="s">
        <v>2589</v>
      </c>
      <c r="AF463" s="2" t="s">
        <v>3699</v>
      </c>
      <c r="AG463" s="2" t="s">
        <v>68</v>
      </c>
      <c r="AH463" s="2" t="s">
        <v>1172</v>
      </c>
      <c r="AI463" s="12" t="str">
        <f t="shared" si="93"/>
        <v>1837</v>
      </c>
      <c r="AJ463" s="2" t="s">
        <v>277</v>
      </c>
      <c r="AK463" s="2" t="s">
        <v>3140</v>
      </c>
      <c r="AL463" s="2" t="s">
        <v>28</v>
      </c>
      <c r="AM463" s="2" t="s">
        <v>3519</v>
      </c>
      <c r="AN463" s="2" t="s">
        <v>3520</v>
      </c>
      <c r="AO463" s="2" t="s">
        <v>625</v>
      </c>
      <c r="AR463" s="2" t="s">
        <v>3521</v>
      </c>
      <c r="AU463" s="2" t="s">
        <v>3516</v>
      </c>
      <c r="AV463" s="2" t="s">
        <v>3522</v>
      </c>
    </row>
    <row r="464" spans="1:70">
      <c r="A464" s="2" t="s">
        <v>1453</v>
      </c>
      <c r="B464" s="12" t="str">
        <f t="shared" si="85"/>
        <v>DUPLESSIS</v>
      </c>
      <c r="C464" s="12" t="str">
        <f t="shared" si="86"/>
        <v>DU PLESSIS</v>
      </c>
      <c r="D464" s="2" t="s">
        <v>3423</v>
      </c>
      <c r="E464" s="12" t="str">
        <f t="shared" si="96"/>
        <v>Barend Jacobus Gert Wessel</v>
      </c>
      <c r="F464" s="2" t="s">
        <v>3424</v>
      </c>
      <c r="G464" s="12" t="str">
        <f t="shared" si="87"/>
        <v>a1b6c1d1e17</v>
      </c>
      <c r="H464" s="12" t="str">
        <f t="shared" si="88"/>
        <v>DU PLESSISa1b6c1d1e17</v>
      </c>
      <c r="J464" s="2" t="s">
        <v>3425</v>
      </c>
      <c r="K464" s="12" t="str">
        <f t="shared" si="89"/>
        <v>1821</v>
      </c>
      <c r="L464" s="2" t="s">
        <v>28</v>
      </c>
      <c r="M464" s="2" t="s">
        <v>3426</v>
      </c>
      <c r="N464" s="12" t="str">
        <f t="shared" si="94"/>
        <v>1821</v>
      </c>
      <c r="O464" s="12" t="str">
        <f t="shared" si="95"/>
        <v>1821</v>
      </c>
      <c r="Q464" s="12" t="str">
        <f t="shared" si="90"/>
        <v>1821</v>
      </c>
      <c r="R464" s="2">
        <v>1906</v>
      </c>
      <c r="S464" s="12" t="str">
        <f t="shared" si="91"/>
        <v>1906</v>
      </c>
      <c r="T464" s="2" t="s">
        <v>1043</v>
      </c>
      <c r="U464" s="2" t="s">
        <v>3427</v>
      </c>
      <c r="V464" s="12" t="str">
        <f t="shared" si="92"/>
        <v>1838</v>
      </c>
      <c r="W464" s="2" t="s">
        <v>3428</v>
      </c>
      <c r="X464" s="2" t="s">
        <v>3429</v>
      </c>
      <c r="AF464" s="2" t="s">
        <v>3699</v>
      </c>
      <c r="AG464" s="2" t="s">
        <v>68</v>
      </c>
      <c r="AH464" s="2">
        <v>1836</v>
      </c>
      <c r="AI464" s="12" t="str">
        <f t="shared" si="93"/>
        <v>1836</v>
      </c>
      <c r="AJ464" s="2" t="s">
        <v>379</v>
      </c>
      <c r="AN464" s="2" t="s">
        <v>3430</v>
      </c>
      <c r="AO464" s="2" t="s">
        <v>3431</v>
      </c>
    </row>
    <row r="465" spans="1:69">
      <c r="A465" s="2" t="s">
        <v>1453</v>
      </c>
      <c r="B465" s="12" t="str">
        <f t="shared" si="85"/>
        <v>DUPLESSIS</v>
      </c>
      <c r="C465" s="12" t="str">
        <f t="shared" si="86"/>
        <v>DU PLESSIS</v>
      </c>
      <c r="D465" s="2" t="s">
        <v>352</v>
      </c>
      <c r="E465" s="12" t="str">
        <f t="shared" si="96"/>
        <v>Willem Abraham</v>
      </c>
      <c r="F465" s="2" t="s">
        <v>3570</v>
      </c>
      <c r="G465" s="12" t="str">
        <f t="shared" si="87"/>
        <v>a1b6c1d1e3</v>
      </c>
      <c r="H465" s="12" t="str">
        <f t="shared" si="88"/>
        <v>DU PLESSISa1b6c1d1e3</v>
      </c>
      <c r="K465" s="12" t="str">
        <f t="shared" si="89"/>
        <v/>
      </c>
      <c r="L465" s="2" t="s">
        <v>74</v>
      </c>
      <c r="M465" s="2" t="s">
        <v>3470</v>
      </c>
      <c r="N465" s="12" t="str">
        <f t="shared" si="94"/>
        <v/>
      </c>
      <c r="O465" s="12" t="str">
        <f t="shared" si="95"/>
        <v>1804</v>
      </c>
      <c r="P465" s="2" t="s">
        <v>67</v>
      </c>
      <c r="Q465" s="12" t="str">
        <f t="shared" si="90"/>
        <v>1804</v>
      </c>
      <c r="R465" s="2" t="s">
        <v>3571</v>
      </c>
      <c r="S465" s="12" t="str">
        <f t="shared" si="91"/>
        <v>1876</v>
      </c>
      <c r="T465" s="2" t="s">
        <v>28</v>
      </c>
      <c r="U465" s="2" t="s">
        <v>3572</v>
      </c>
      <c r="V465" s="12" t="str">
        <f t="shared" si="92"/>
        <v>1824</v>
      </c>
      <c r="W465" s="2" t="s">
        <v>649</v>
      </c>
      <c r="X465" s="2" t="s">
        <v>3573</v>
      </c>
      <c r="Y465" s="2" t="s">
        <v>3574</v>
      </c>
      <c r="AA465" s="2" t="s">
        <v>3575</v>
      </c>
      <c r="AB465" s="2" t="s">
        <v>74</v>
      </c>
      <c r="AC465" s="2" t="s">
        <v>1267</v>
      </c>
      <c r="AD465" s="2" t="s">
        <v>120</v>
      </c>
      <c r="AE465" s="2" t="s">
        <v>3576</v>
      </c>
      <c r="AF465" s="2" t="s">
        <v>3699</v>
      </c>
      <c r="AG465" s="2" t="s">
        <v>68</v>
      </c>
      <c r="AH465" s="2" t="s">
        <v>503</v>
      </c>
      <c r="AI465" s="12" t="str">
        <f t="shared" si="93"/>
        <v>1837</v>
      </c>
      <c r="AJ465" s="2" t="s">
        <v>277</v>
      </c>
      <c r="AK465" s="2" t="s">
        <v>1654</v>
      </c>
    </row>
    <row r="466" spans="1:69" s="5" customFormat="1">
      <c r="A466" s="5" t="s">
        <v>1453</v>
      </c>
      <c r="B466" s="5" t="str">
        <f t="shared" si="85"/>
        <v>DUPLESSIS</v>
      </c>
      <c r="C466" s="5" t="str">
        <f t="shared" si="86"/>
        <v>DU PLESSIS</v>
      </c>
      <c r="D466" s="5" t="s">
        <v>2215</v>
      </c>
      <c r="E466" s="12" t="str">
        <f t="shared" si="96"/>
        <v>Pieter</v>
      </c>
      <c r="F466" s="5" t="s">
        <v>3530</v>
      </c>
      <c r="G466" s="5" t="str">
        <f t="shared" si="87"/>
        <v>a1b6c1d1e7</v>
      </c>
      <c r="H466" s="5" t="str">
        <f t="shared" si="88"/>
        <v>DU PLESSISa1b6c1d1e7</v>
      </c>
      <c r="K466" s="5" t="str">
        <f t="shared" si="89"/>
        <v/>
      </c>
      <c r="L466" s="5" t="s">
        <v>74</v>
      </c>
      <c r="M466" s="5" t="s">
        <v>2227</v>
      </c>
      <c r="N466" s="5" t="str">
        <f t="shared" si="94"/>
        <v/>
      </c>
      <c r="O466" s="5" t="str">
        <f t="shared" si="95"/>
        <v>1798</v>
      </c>
      <c r="P466" s="5" t="s">
        <v>67</v>
      </c>
      <c r="Q466" s="5" t="str">
        <f t="shared" si="90"/>
        <v>1798</v>
      </c>
      <c r="R466" s="5" t="s">
        <v>3532</v>
      </c>
      <c r="S466" s="5" t="str">
        <f t="shared" si="91"/>
        <v>/877</v>
      </c>
      <c r="T466" s="5" t="s">
        <v>28</v>
      </c>
      <c r="U466" s="5" t="s">
        <v>3533</v>
      </c>
      <c r="V466" s="5" t="str">
        <f t="shared" si="92"/>
        <v>1820</v>
      </c>
      <c r="W466" s="5" t="s">
        <v>650</v>
      </c>
      <c r="X466" s="5" t="s">
        <v>2901</v>
      </c>
      <c r="Y466" s="5" t="s">
        <v>3534</v>
      </c>
      <c r="AC466" s="5" t="s">
        <v>3535</v>
      </c>
      <c r="AF466" s="5" t="s">
        <v>3699</v>
      </c>
      <c r="AG466" s="5" t="s">
        <v>68</v>
      </c>
      <c r="AH466" s="5">
        <v>1837</v>
      </c>
      <c r="AI466" s="5" t="str">
        <f t="shared" si="93"/>
        <v>1837</v>
      </c>
      <c r="AJ466" s="5" t="s">
        <v>277</v>
      </c>
      <c r="AK466" s="5" t="s">
        <v>3536</v>
      </c>
    </row>
    <row r="467" spans="1:69">
      <c r="A467" s="2" t="s">
        <v>1453</v>
      </c>
      <c r="B467" s="12" t="str">
        <f t="shared" si="85"/>
        <v>DUPLESSIS</v>
      </c>
      <c r="C467" s="12" t="str">
        <f t="shared" si="86"/>
        <v>DU PLESSIS</v>
      </c>
      <c r="D467" s="2" t="s">
        <v>3561</v>
      </c>
      <c r="E467" s="12" t="str">
        <f t="shared" si="96"/>
        <v>Pieter Willem Abraham</v>
      </c>
      <c r="F467" s="2" t="s">
        <v>3562</v>
      </c>
      <c r="G467" s="12" t="str">
        <f t="shared" si="87"/>
        <v>a1b6c1d1e9f1</v>
      </c>
      <c r="H467" s="12" t="str">
        <f t="shared" si="88"/>
        <v>DU PLESSISa1b6c1d1e9f1</v>
      </c>
      <c r="J467" s="2" t="s">
        <v>3563</v>
      </c>
      <c r="K467" s="12" t="str">
        <f t="shared" si="89"/>
        <v>1825</v>
      </c>
      <c r="L467" s="2" t="s">
        <v>28</v>
      </c>
      <c r="M467" s="2" t="s">
        <v>2124</v>
      </c>
      <c r="N467" s="12" t="str">
        <f t="shared" si="94"/>
        <v>1825</v>
      </c>
      <c r="O467" s="12" t="str">
        <f t="shared" si="95"/>
        <v>1825</v>
      </c>
      <c r="Q467" s="12" t="str">
        <f t="shared" si="90"/>
        <v>1825</v>
      </c>
      <c r="S467" s="12" t="str">
        <f t="shared" si="91"/>
        <v/>
      </c>
      <c r="V467" s="12" t="str">
        <f t="shared" si="92"/>
        <v/>
      </c>
      <c r="W467" s="2" t="s">
        <v>3564</v>
      </c>
      <c r="X467" s="2" t="s">
        <v>729</v>
      </c>
      <c r="AF467" s="2" t="s">
        <v>3699</v>
      </c>
      <c r="AG467" s="2" t="s">
        <v>68</v>
      </c>
      <c r="AH467" s="2" t="s">
        <v>503</v>
      </c>
      <c r="AI467" s="12" t="str">
        <f t="shared" si="93"/>
        <v>1837</v>
      </c>
      <c r="AJ467" s="2" t="s">
        <v>277</v>
      </c>
      <c r="AK467" s="2" t="s">
        <v>155</v>
      </c>
      <c r="AV467" s="12"/>
    </row>
    <row r="468" spans="1:69">
      <c r="A468" s="2" t="s">
        <v>1453</v>
      </c>
      <c r="B468" s="12" t="str">
        <f t="shared" si="85"/>
        <v>DUPLESSIS</v>
      </c>
      <c r="C468" s="12" t="str">
        <f t="shared" si="86"/>
        <v>DU PLESSIS</v>
      </c>
      <c r="D468" s="2" t="s">
        <v>3475</v>
      </c>
      <c r="E468" s="12" t="str">
        <f t="shared" si="96"/>
        <v>Jan Harm Pieter Ignatius Michael</v>
      </c>
      <c r="F468" s="2" t="s">
        <v>3476</v>
      </c>
      <c r="G468" s="12" t="str">
        <f t="shared" si="87"/>
        <v>a1b6c1d4e1</v>
      </c>
      <c r="H468" s="12" t="str">
        <f t="shared" si="88"/>
        <v>DU PLESSISa1b6c1d4e1</v>
      </c>
      <c r="K468" s="12" t="str">
        <f t="shared" si="89"/>
        <v/>
      </c>
      <c r="L468" s="2" t="s">
        <v>74</v>
      </c>
      <c r="M468" s="2" t="s">
        <v>3477</v>
      </c>
      <c r="N468" s="12" t="str">
        <f t="shared" si="94"/>
        <v/>
      </c>
      <c r="O468" s="12" t="str">
        <f t="shared" si="95"/>
        <v>1792</v>
      </c>
      <c r="Q468" s="12" t="str">
        <f t="shared" si="90"/>
        <v>1792</v>
      </c>
      <c r="R468" s="12"/>
      <c r="S468" s="12" t="str">
        <f t="shared" si="91"/>
        <v/>
      </c>
      <c r="T468" s="2" t="s">
        <v>74</v>
      </c>
      <c r="U468" s="2" t="s">
        <v>3478</v>
      </c>
      <c r="V468" s="12" t="str">
        <f t="shared" si="92"/>
        <v>1810</v>
      </c>
      <c r="W468" s="2" t="s">
        <v>1640</v>
      </c>
      <c r="X468" s="2" t="s">
        <v>726</v>
      </c>
      <c r="Y468" s="2" t="s">
        <v>3479</v>
      </c>
      <c r="AA468" s="2" t="s">
        <v>3480</v>
      </c>
      <c r="AD468" s="2" t="s">
        <v>140</v>
      </c>
      <c r="AE468" s="2" t="s">
        <v>3481</v>
      </c>
      <c r="AF468" s="2" t="s">
        <v>3699</v>
      </c>
      <c r="AG468" s="2" t="s">
        <v>68</v>
      </c>
      <c r="AH468" s="2">
        <v>1836</v>
      </c>
      <c r="AI468" s="12" t="str">
        <f t="shared" si="93"/>
        <v>1836</v>
      </c>
      <c r="AJ468" s="2" t="s">
        <v>379</v>
      </c>
      <c r="AK468" s="2" t="s">
        <v>155</v>
      </c>
      <c r="AL468" s="2" t="s">
        <v>140</v>
      </c>
      <c r="AM468" s="2" t="s">
        <v>3482</v>
      </c>
      <c r="AN468" s="2" t="s">
        <v>2066</v>
      </c>
      <c r="AO468" s="2" t="s">
        <v>776</v>
      </c>
    </row>
    <row r="469" spans="1:69">
      <c r="A469" s="2" t="s">
        <v>1453</v>
      </c>
      <c r="B469" s="12" t="str">
        <f t="shared" si="85"/>
        <v>DUPLESSIS</v>
      </c>
      <c r="C469" s="12" t="str">
        <f t="shared" si="86"/>
        <v>DU PLESSIS</v>
      </c>
      <c r="D469" s="2" t="s">
        <v>3505</v>
      </c>
      <c r="E469" s="12" t="str">
        <f t="shared" si="96"/>
        <v>Lourens Andries Stephanus</v>
      </c>
      <c r="F469" s="2" t="s">
        <v>3506</v>
      </c>
      <c r="G469" s="12" t="str">
        <f t="shared" si="87"/>
        <v>a1b6c1d4e1f1</v>
      </c>
      <c r="H469" s="12" t="str">
        <f t="shared" si="88"/>
        <v>DU PLESSISa1b6c1d4e1f1</v>
      </c>
      <c r="J469" s="2" t="s">
        <v>3507</v>
      </c>
      <c r="K469" s="12" t="str">
        <f t="shared" si="89"/>
        <v>1811</v>
      </c>
      <c r="L469" s="2" t="s">
        <v>74</v>
      </c>
      <c r="M469" s="2" t="s">
        <v>3508</v>
      </c>
      <c r="N469" s="12" t="str">
        <f t="shared" si="94"/>
        <v>1811</v>
      </c>
      <c r="O469" s="12" t="str">
        <f t="shared" si="95"/>
        <v>1812</v>
      </c>
      <c r="Q469" s="12" t="str">
        <f t="shared" si="90"/>
        <v>1811</v>
      </c>
      <c r="R469" s="2" t="s">
        <v>3509</v>
      </c>
      <c r="S469" s="12" t="str">
        <f t="shared" si="91"/>
        <v>1890</v>
      </c>
      <c r="T469" s="2" t="s">
        <v>68</v>
      </c>
      <c r="U469" s="2" t="s">
        <v>3510</v>
      </c>
      <c r="V469" s="12" t="str">
        <f t="shared" si="92"/>
        <v>1830</v>
      </c>
      <c r="W469" s="2" t="s">
        <v>2293</v>
      </c>
      <c r="X469" s="2" t="s">
        <v>726</v>
      </c>
      <c r="Y469" s="2" t="s">
        <v>3511</v>
      </c>
      <c r="AA469" s="2" t="s">
        <v>3512</v>
      </c>
      <c r="AF469" s="2" t="s">
        <v>3699</v>
      </c>
      <c r="AG469" s="2" t="s">
        <v>68</v>
      </c>
      <c r="AH469" s="2">
        <v>1836</v>
      </c>
      <c r="AI469" s="12" t="str">
        <f t="shared" si="93"/>
        <v>1836</v>
      </c>
      <c r="AJ469" s="2" t="s">
        <v>379</v>
      </c>
      <c r="AK469" s="2" t="s">
        <v>155</v>
      </c>
    </row>
    <row r="470" spans="1:69">
      <c r="A470" s="2" t="s">
        <v>1453</v>
      </c>
      <c r="B470" s="12" t="str">
        <f t="shared" si="85"/>
        <v>DUPLESSIS</v>
      </c>
      <c r="C470" s="12" t="str">
        <f t="shared" si="86"/>
        <v>DU PLESSIS</v>
      </c>
      <c r="D470" s="2" t="s">
        <v>3483</v>
      </c>
      <c r="E470" s="12" t="str">
        <f t="shared" si="96"/>
        <v>Jan Harmen Pieter Ignatius Michael</v>
      </c>
      <c r="F470" s="2" t="s">
        <v>3484</v>
      </c>
      <c r="G470" s="12" t="str">
        <f t="shared" si="87"/>
        <v>a1b6c1d4e1f2</v>
      </c>
      <c r="H470" s="12" t="str">
        <f t="shared" si="88"/>
        <v>DU PLESSISa1b6c1d4e1f2</v>
      </c>
      <c r="J470" s="2" t="s">
        <v>3485</v>
      </c>
      <c r="K470" s="12" t="str">
        <f t="shared" si="89"/>
        <v>1814</v>
      </c>
      <c r="L470" s="2" t="s">
        <v>74</v>
      </c>
      <c r="M470" s="2" t="s">
        <v>3486</v>
      </c>
      <c r="N470" s="12" t="str">
        <f t="shared" si="94"/>
        <v>1814</v>
      </c>
      <c r="O470" s="12" t="str">
        <f t="shared" si="95"/>
        <v>1815</v>
      </c>
      <c r="P470" s="2" t="s">
        <v>93</v>
      </c>
      <c r="Q470" s="12" t="str">
        <f t="shared" si="90"/>
        <v>1814</v>
      </c>
      <c r="R470" s="2" t="s">
        <v>3487</v>
      </c>
      <c r="S470" s="12" t="str">
        <f t="shared" si="91"/>
        <v>1873</v>
      </c>
      <c r="T470" s="2" t="s">
        <v>28</v>
      </c>
      <c r="U470" s="2" t="s">
        <v>3488</v>
      </c>
      <c r="V470" s="12" t="str">
        <f t="shared" si="92"/>
        <v>1832</v>
      </c>
      <c r="W470" s="2" t="s">
        <v>806</v>
      </c>
      <c r="X470" s="2" t="s">
        <v>663</v>
      </c>
      <c r="AC470" s="2" t="s">
        <v>3489</v>
      </c>
      <c r="AF470" s="2" t="s">
        <v>3699</v>
      </c>
      <c r="AG470" s="2" t="s">
        <v>68</v>
      </c>
      <c r="AH470" s="2">
        <v>1836</v>
      </c>
      <c r="AI470" s="12" t="str">
        <f t="shared" si="93"/>
        <v>1836</v>
      </c>
      <c r="AJ470" s="2" t="s">
        <v>379</v>
      </c>
      <c r="AK470" s="2" t="s">
        <v>1654</v>
      </c>
    </row>
    <row r="471" spans="1:69">
      <c r="A471" s="2" t="s">
        <v>1453</v>
      </c>
      <c r="B471" s="12" t="str">
        <f t="shared" si="85"/>
        <v>DUPLESSIS</v>
      </c>
      <c r="C471" s="12" t="str">
        <f t="shared" si="86"/>
        <v>DU PLESSIS</v>
      </c>
      <c r="D471" s="2" t="s">
        <v>3446</v>
      </c>
      <c r="E471" s="12" t="str">
        <f t="shared" si="96"/>
        <v>Francois Jacob Louis</v>
      </c>
      <c r="F471" s="2" t="s">
        <v>3447</v>
      </c>
      <c r="G471" s="12" t="str">
        <f t="shared" si="87"/>
        <v>a1b6c1d4e1f6</v>
      </c>
      <c r="H471" s="12" t="str">
        <f t="shared" si="88"/>
        <v>DU PLESSISa1b6c1d4e1f6</v>
      </c>
      <c r="J471" s="2" t="s">
        <v>3448</v>
      </c>
      <c r="K471" s="12" t="str">
        <f t="shared" si="89"/>
        <v>1821</v>
      </c>
      <c r="L471" s="2" t="s">
        <v>28</v>
      </c>
      <c r="M471" s="2" t="s">
        <v>1349</v>
      </c>
      <c r="N471" s="12" t="str">
        <f t="shared" si="94"/>
        <v>1821</v>
      </c>
      <c r="O471" s="12" t="str">
        <f t="shared" si="95"/>
        <v>1822</v>
      </c>
      <c r="Q471" s="12" t="str">
        <f t="shared" si="90"/>
        <v>1821</v>
      </c>
      <c r="S471" s="12" t="str">
        <f t="shared" si="91"/>
        <v/>
      </c>
      <c r="T471" s="2" t="s">
        <v>1043</v>
      </c>
      <c r="U471" s="2" t="s">
        <v>3449</v>
      </c>
      <c r="V471" s="12" t="str">
        <f t="shared" si="92"/>
        <v>1840</v>
      </c>
      <c r="W471" s="2" t="s">
        <v>3450</v>
      </c>
      <c r="X471" s="2" t="s">
        <v>729</v>
      </c>
      <c r="AF471" s="2" t="s">
        <v>3699</v>
      </c>
      <c r="AG471" s="2" t="s">
        <v>68</v>
      </c>
      <c r="AH471" s="2">
        <v>1836</v>
      </c>
      <c r="AI471" s="12" t="str">
        <f t="shared" si="93"/>
        <v>1836</v>
      </c>
      <c r="AJ471" s="2" t="s">
        <v>379</v>
      </c>
      <c r="AK471" s="2" t="s">
        <v>1654</v>
      </c>
    </row>
    <row r="472" spans="1:69">
      <c r="A472" s="2" t="s">
        <v>1453</v>
      </c>
      <c r="B472" s="12" t="str">
        <f t="shared" si="85"/>
        <v>DUPLESSIS</v>
      </c>
      <c r="C472" s="12" t="str">
        <f t="shared" si="86"/>
        <v>DU PLESSIS</v>
      </c>
      <c r="D472" s="2" t="s">
        <v>3529</v>
      </c>
      <c r="E472" s="12" t="str">
        <f t="shared" si="96"/>
        <v>Lourens Stephanus Sr</v>
      </c>
      <c r="F472" s="2" t="s">
        <v>3523</v>
      </c>
      <c r="G472" s="12" t="str">
        <f t="shared" si="87"/>
        <v>a1b6c1d4e2</v>
      </c>
      <c r="H472" s="12" t="str">
        <f t="shared" si="88"/>
        <v>DU PLESSISa1b6c1d4e2</v>
      </c>
      <c r="K472" s="12" t="str">
        <f t="shared" si="89"/>
        <v/>
      </c>
      <c r="L472" s="2" t="s">
        <v>74</v>
      </c>
      <c r="M472" s="2" t="s">
        <v>3524</v>
      </c>
      <c r="N472" s="12" t="str">
        <f t="shared" si="94"/>
        <v/>
      </c>
      <c r="O472" s="12" t="str">
        <f t="shared" si="95"/>
        <v>1794</v>
      </c>
      <c r="Q472" s="12" t="str">
        <f t="shared" si="90"/>
        <v>1794</v>
      </c>
      <c r="R472" s="2">
        <v>1850</v>
      </c>
      <c r="S472" s="12" t="str">
        <f t="shared" si="91"/>
        <v>1850</v>
      </c>
      <c r="T472" s="2" t="s">
        <v>74</v>
      </c>
      <c r="U472" s="2" t="s">
        <v>3525</v>
      </c>
      <c r="V472" s="12" t="str">
        <f t="shared" si="92"/>
        <v>1813</v>
      </c>
      <c r="W472" s="2" t="s">
        <v>3526</v>
      </c>
      <c r="X472" s="2" t="s">
        <v>1453</v>
      </c>
      <c r="Y472" s="2" t="s">
        <v>3527</v>
      </c>
      <c r="AC472" s="2" t="s">
        <v>3528</v>
      </c>
      <c r="AF472" s="2" t="s">
        <v>3699</v>
      </c>
      <c r="AG472" s="2" t="s">
        <v>68</v>
      </c>
      <c r="AH472" s="2" t="s">
        <v>1172</v>
      </c>
      <c r="AI472" s="12" t="str">
        <f t="shared" si="93"/>
        <v>1837</v>
      </c>
      <c r="AK472" s="2" t="s">
        <v>1654</v>
      </c>
      <c r="AN472" s="2" t="s">
        <v>2472</v>
      </c>
      <c r="AO472" s="2" t="s">
        <v>757</v>
      </c>
    </row>
    <row r="473" spans="1:69">
      <c r="A473" s="12" t="s">
        <v>1453</v>
      </c>
      <c r="B473" s="12" t="str">
        <f t="shared" si="85"/>
        <v>DUPLESSIS</v>
      </c>
      <c r="C473" s="12" t="str">
        <f t="shared" si="86"/>
        <v>DU PLESSIS</v>
      </c>
      <c r="D473" s="2" t="s">
        <v>3537</v>
      </c>
      <c r="E473" s="12" t="str">
        <f t="shared" si="96"/>
        <v>Pieter Gert Wessel</v>
      </c>
      <c r="F473" s="2" t="s">
        <v>3538</v>
      </c>
      <c r="G473" s="12" t="str">
        <f t="shared" si="87"/>
        <v>a1b6c1d4e2f4</v>
      </c>
      <c r="H473" s="12" t="str">
        <f t="shared" si="88"/>
        <v>DU PLESSISa1b6c1d4e2f4</v>
      </c>
      <c r="J473" s="2" t="s">
        <v>3539</v>
      </c>
      <c r="K473" s="12" t="str">
        <f t="shared" si="89"/>
        <v>1820</v>
      </c>
      <c r="L473" s="2" t="s">
        <v>28</v>
      </c>
      <c r="M473" s="2" t="s">
        <v>3540</v>
      </c>
      <c r="N473" s="12" t="str">
        <f t="shared" si="94"/>
        <v>1820</v>
      </c>
      <c r="O473" s="12" t="str">
        <f t="shared" si="95"/>
        <v>1820</v>
      </c>
      <c r="P473" s="2" t="s">
        <v>3541</v>
      </c>
      <c r="Q473" s="12" t="str">
        <f t="shared" si="90"/>
        <v>1820</v>
      </c>
      <c r="R473" s="1" t="s">
        <v>15776</v>
      </c>
      <c r="S473" s="12" t="str">
        <f t="shared" si="91"/>
        <v>1901</v>
      </c>
      <c r="T473" s="2" t="s">
        <v>3399</v>
      </c>
      <c r="U473" s="2" t="s">
        <v>3542</v>
      </c>
      <c r="V473" s="12" t="str">
        <f t="shared" si="92"/>
        <v>1838</v>
      </c>
      <c r="W473" s="2" t="s">
        <v>3543</v>
      </c>
      <c r="X473" s="2" t="s">
        <v>2589</v>
      </c>
      <c r="Z473" s="2" t="s">
        <v>68</v>
      </c>
      <c r="AA473" s="2" t="s">
        <v>3544</v>
      </c>
      <c r="AD473" s="2" t="s">
        <v>67</v>
      </c>
      <c r="AE473" s="2" t="s">
        <v>2078</v>
      </c>
      <c r="AF473" s="2" t="s">
        <v>16</v>
      </c>
      <c r="AG473" s="2" t="s">
        <v>68</v>
      </c>
      <c r="AH473" s="2">
        <v>1836</v>
      </c>
      <c r="AI473" s="12" t="str">
        <f t="shared" si="93"/>
        <v>1836</v>
      </c>
      <c r="AJ473" s="2" t="s">
        <v>379</v>
      </c>
      <c r="AK473" s="2" t="s">
        <v>1654</v>
      </c>
    </row>
    <row r="474" spans="1:69">
      <c r="A474" s="12" t="s">
        <v>1453</v>
      </c>
      <c r="B474" s="12" t="str">
        <f t="shared" si="85"/>
        <v>DUPLESSIS</v>
      </c>
      <c r="C474" s="12" t="str">
        <f t="shared" si="86"/>
        <v>DU PLESSIS</v>
      </c>
      <c r="D474" s="2" t="s">
        <v>3545</v>
      </c>
      <c r="E474" s="12" t="str">
        <f t="shared" si="96"/>
        <v>Pieter Ignatius</v>
      </c>
      <c r="F474" s="2" t="s">
        <v>3546</v>
      </c>
      <c r="G474" s="12" t="str">
        <f t="shared" si="87"/>
        <v>a1b6c1d4e3</v>
      </c>
      <c r="H474" s="12" t="str">
        <f t="shared" si="88"/>
        <v>DU PLESSISa1b6c1d4e3</v>
      </c>
      <c r="K474" s="12" t="str">
        <f t="shared" si="89"/>
        <v/>
      </c>
      <c r="L474" s="2" t="s">
        <v>48</v>
      </c>
      <c r="M474" s="2" t="s">
        <v>3547</v>
      </c>
      <c r="N474" s="12" t="str">
        <f t="shared" si="94"/>
        <v/>
      </c>
      <c r="O474" s="12" t="str">
        <f t="shared" si="95"/>
        <v>1796</v>
      </c>
      <c r="P474" s="2" t="s">
        <v>24</v>
      </c>
      <c r="Q474" s="12" t="str">
        <f t="shared" si="90"/>
        <v>1796</v>
      </c>
      <c r="R474" s="2" t="s">
        <v>3548</v>
      </c>
      <c r="S474" s="12" t="str">
        <f t="shared" si="91"/>
        <v>1879</v>
      </c>
      <c r="T474" s="2" t="s">
        <v>74</v>
      </c>
      <c r="U474" s="2" t="s">
        <v>962</v>
      </c>
      <c r="V474" s="12" t="str">
        <f t="shared" si="92"/>
        <v>1817</v>
      </c>
      <c r="W474" s="2" t="s">
        <v>3549</v>
      </c>
      <c r="X474" s="2" t="s">
        <v>1453</v>
      </c>
      <c r="Y474" s="2" t="s">
        <v>3550</v>
      </c>
      <c r="AC474" s="2" t="s">
        <v>3551</v>
      </c>
      <c r="AF474" s="2" t="s">
        <v>3699</v>
      </c>
      <c r="AG474" s="2" t="s">
        <v>68</v>
      </c>
      <c r="AH474" s="2">
        <v>1836</v>
      </c>
      <c r="AI474" s="12" t="str">
        <f t="shared" si="93"/>
        <v>1836</v>
      </c>
      <c r="AJ474" s="2" t="s">
        <v>3552</v>
      </c>
    </row>
    <row r="475" spans="1:69">
      <c r="A475" s="12" t="s">
        <v>1453</v>
      </c>
      <c r="B475" s="12" t="str">
        <f t="shared" si="85"/>
        <v>DUPLESSIS</v>
      </c>
      <c r="C475" s="12" t="str">
        <f t="shared" si="86"/>
        <v>DU PLESSIS</v>
      </c>
      <c r="D475" s="2" t="s">
        <v>3433</v>
      </c>
      <c r="E475" s="12" t="str">
        <f t="shared" si="96"/>
        <v>Casper Jeremias</v>
      </c>
      <c r="F475" s="2" t="s">
        <v>3434</v>
      </c>
      <c r="G475" s="12" t="str">
        <f t="shared" si="87"/>
        <v>a1b6c1d4e8</v>
      </c>
      <c r="H475" s="12" t="str">
        <f t="shared" si="88"/>
        <v>DU PLESSISa1b6c1d4e8</v>
      </c>
      <c r="K475" s="12" t="str">
        <f t="shared" si="89"/>
        <v/>
      </c>
      <c r="L475" s="2" t="s">
        <v>74</v>
      </c>
      <c r="M475" s="2" t="s">
        <v>2375</v>
      </c>
      <c r="N475" s="12" t="str">
        <f t="shared" si="94"/>
        <v/>
      </c>
      <c r="O475" s="12" t="str">
        <f t="shared" si="95"/>
        <v>1805</v>
      </c>
      <c r="Q475" s="12" t="str">
        <f t="shared" si="90"/>
        <v>1805</v>
      </c>
      <c r="R475" s="2" t="s">
        <v>3435</v>
      </c>
      <c r="S475" s="12" t="str">
        <f t="shared" si="91"/>
        <v>1889</v>
      </c>
      <c r="T475" s="2" t="s">
        <v>28</v>
      </c>
      <c r="U475" s="2" t="s">
        <v>988</v>
      </c>
      <c r="V475" s="12" t="str">
        <f t="shared" si="92"/>
        <v>1825</v>
      </c>
      <c r="W475" s="2" t="s">
        <v>3436</v>
      </c>
      <c r="X475" s="2" t="s">
        <v>1453</v>
      </c>
      <c r="AF475" s="2" t="s">
        <v>3699</v>
      </c>
      <c r="AG475" s="2" t="s">
        <v>68</v>
      </c>
      <c r="AH475" s="2">
        <v>1837</v>
      </c>
      <c r="AI475" s="12" t="str">
        <f t="shared" si="93"/>
        <v>1837</v>
      </c>
      <c r="AK475" s="2" t="s">
        <v>1654</v>
      </c>
      <c r="AL475" s="2" t="s">
        <v>28</v>
      </c>
      <c r="AM475" s="2" t="s">
        <v>3437</v>
      </c>
      <c r="AN475" s="2" t="s">
        <v>712</v>
      </c>
      <c r="AO475" s="2" t="s">
        <v>62</v>
      </c>
    </row>
    <row r="476" spans="1:69">
      <c r="A476" s="12" t="s">
        <v>1453</v>
      </c>
      <c r="B476" s="12" t="str">
        <f t="shared" si="85"/>
        <v>DUPLESSIS</v>
      </c>
      <c r="C476" s="12" t="str">
        <f t="shared" si="86"/>
        <v>DU PLESSIS</v>
      </c>
      <c r="D476" s="2" t="s">
        <v>1180</v>
      </c>
      <c r="E476" s="12" t="str">
        <f t="shared" si="96"/>
        <v>Frederik Willem Jacobus</v>
      </c>
      <c r="F476" s="2" t="s">
        <v>3460</v>
      </c>
      <c r="G476" s="12" t="str">
        <f t="shared" si="87"/>
        <v>a1b6c1d4e9</v>
      </c>
      <c r="H476" s="12" t="str">
        <f t="shared" si="88"/>
        <v>DU PLESSISa1b6c1d4e9</v>
      </c>
      <c r="J476" s="2">
        <v>1806</v>
      </c>
      <c r="K476" s="12" t="str">
        <f t="shared" si="89"/>
        <v>1806</v>
      </c>
      <c r="N476" s="12" t="str">
        <f t="shared" si="94"/>
        <v>1806</v>
      </c>
      <c r="O476" s="12" t="str">
        <f t="shared" si="95"/>
        <v/>
      </c>
      <c r="P476" s="2" t="s">
        <v>67</v>
      </c>
      <c r="Q476" s="12" t="str">
        <f t="shared" si="90"/>
        <v>1806</v>
      </c>
      <c r="R476" s="2" t="s">
        <v>3461</v>
      </c>
      <c r="S476" s="12" t="str">
        <f t="shared" si="91"/>
        <v>1881</v>
      </c>
      <c r="T476" s="2" t="s">
        <v>28</v>
      </c>
      <c r="U476" s="2" t="s">
        <v>3392</v>
      </c>
      <c r="V476" s="12" t="str">
        <f t="shared" si="92"/>
        <v>1824</v>
      </c>
      <c r="W476" s="2" t="s">
        <v>3331</v>
      </c>
      <c r="X476" s="2" t="s">
        <v>726</v>
      </c>
      <c r="Y476" s="2" t="s">
        <v>3462</v>
      </c>
      <c r="AA476" s="2" t="s">
        <v>3463</v>
      </c>
      <c r="AB476" s="2" t="s">
        <v>74</v>
      </c>
      <c r="AC476" s="2" t="s">
        <v>3464</v>
      </c>
      <c r="AF476" s="2" t="s">
        <v>3699</v>
      </c>
      <c r="AG476" s="2" t="s">
        <v>68</v>
      </c>
      <c r="AH476" s="2" t="s">
        <v>1172</v>
      </c>
      <c r="AI476" s="12" t="str">
        <f t="shared" si="93"/>
        <v>1837</v>
      </c>
      <c r="AJ476" s="2" t="s">
        <v>379</v>
      </c>
      <c r="AK476" s="2" t="s">
        <v>140</v>
      </c>
    </row>
    <row r="477" spans="1:69">
      <c r="A477" s="2" t="s">
        <v>1453</v>
      </c>
      <c r="B477" s="12" t="str">
        <f t="shared" si="85"/>
        <v>DUPLESSIS</v>
      </c>
      <c r="C477" s="12" t="str">
        <f t="shared" si="86"/>
        <v>DU PLESSIS</v>
      </c>
      <c r="D477" s="2" t="s">
        <v>3456</v>
      </c>
      <c r="E477" s="12" t="str">
        <f t="shared" si="96"/>
        <v>Frederik</v>
      </c>
      <c r="F477" s="2" t="s">
        <v>3457</v>
      </c>
      <c r="G477" s="12" t="str">
        <f t="shared" si="87"/>
        <v>a1b6c1d9</v>
      </c>
      <c r="H477" s="12" t="str">
        <f t="shared" si="88"/>
        <v>DU PLESSISa1b6c1d9</v>
      </c>
      <c r="K477" s="12" t="str">
        <f t="shared" si="89"/>
        <v/>
      </c>
      <c r="M477" s="2" t="s">
        <v>3458</v>
      </c>
      <c r="N477" s="12" t="str">
        <f t="shared" si="94"/>
        <v/>
      </c>
      <c r="O477" s="12" t="str">
        <f t="shared" si="95"/>
        <v>1778</v>
      </c>
      <c r="Q477" s="12" t="str">
        <f t="shared" si="90"/>
        <v>1778</v>
      </c>
      <c r="R477" s="12"/>
      <c r="S477" s="12" t="str">
        <f t="shared" si="91"/>
        <v/>
      </c>
      <c r="V477" s="12" t="str">
        <f t="shared" si="92"/>
        <v/>
      </c>
      <c r="AF477" s="2" t="s">
        <v>3699</v>
      </c>
      <c r="AG477" s="2" t="s">
        <v>68</v>
      </c>
      <c r="AH477" s="2" t="s">
        <v>1172</v>
      </c>
      <c r="AI477" s="12" t="str">
        <f t="shared" si="93"/>
        <v>1837</v>
      </c>
    </row>
    <row r="478" spans="1:69">
      <c r="A478" s="2" t="s">
        <v>3553</v>
      </c>
      <c r="B478" s="12" t="str">
        <f t="shared" si="85"/>
        <v>DUPLESSIS</v>
      </c>
      <c r="C478" s="12" t="str">
        <f t="shared" si="86"/>
        <v>DU PLESSIS</v>
      </c>
      <c r="D478" s="2" t="s">
        <v>3554</v>
      </c>
      <c r="E478" s="12" t="str">
        <f t="shared" si="96"/>
        <v>Pieter Theunis Christiaan</v>
      </c>
      <c r="F478" s="2" t="s">
        <v>3555</v>
      </c>
      <c r="G478" s="12" t="str">
        <f t="shared" si="87"/>
        <v>a1b6c1d1e7f2</v>
      </c>
      <c r="H478" s="12" t="str">
        <f t="shared" si="88"/>
        <v>DU PLESSISa1b6c1d1e7f2</v>
      </c>
      <c r="J478" s="2" t="s">
        <v>3556</v>
      </c>
      <c r="K478" s="12" t="str">
        <f t="shared" si="89"/>
        <v>1824</v>
      </c>
      <c r="L478" s="2" t="s">
        <v>28</v>
      </c>
      <c r="M478" s="2" t="s">
        <v>3557</v>
      </c>
      <c r="N478" s="12" t="str">
        <f t="shared" si="94"/>
        <v>1824</v>
      </c>
      <c r="O478" s="12" t="str">
        <f t="shared" si="95"/>
        <v>1824</v>
      </c>
      <c r="P478" s="2" t="s">
        <v>3260</v>
      </c>
      <c r="Q478" s="12" t="str">
        <f t="shared" si="90"/>
        <v>1824</v>
      </c>
      <c r="R478" s="2" t="s">
        <v>3558</v>
      </c>
      <c r="S478" s="12" t="str">
        <f t="shared" si="91"/>
        <v>1890</v>
      </c>
      <c r="V478" s="12" t="str">
        <f t="shared" si="92"/>
        <v/>
      </c>
      <c r="W478" s="2" t="s">
        <v>649</v>
      </c>
      <c r="X478" s="2" t="s">
        <v>1167</v>
      </c>
      <c r="AA478" s="2" t="s">
        <v>3559</v>
      </c>
      <c r="AC478" s="2" t="s">
        <v>3560</v>
      </c>
      <c r="AF478" s="2" t="s">
        <v>3699</v>
      </c>
      <c r="AG478" s="2" t="s">
        <v>68</v>
      </c>
      <c r="AH478" s="2" t="s">
        <v>503</v>
      </c>
      <c r="AI478" s="12" t="str">
        <f t="shared" si="93"/>
        <v>1837</v>
      </c>
      <c r="AJ478" s="2" t="s">
        <v>277</v>
      </c>
      <c r="AK478" s="2" t="s">
        <v>3536</v>
      </c>
    </row>
    <row r="479" spans="1:69">
      <c r="A479" s="2" t="s">
        <v>2086</v>
      </c>
      <c r="B479" s="12" t="str">
        <f t="shared" si="85"/>
        <v>DUPLOOY</v>
      </c>
      <c r="C479" s="12" t="str">
        <f t="shared" si="86"/>
        <v>DU PLOOY</v>
      </c>
      <c r="D479" s="2" t="s">
        <v>1203</v>
      </c>
      <c r="E479" s="12" t="str">
        <f t="shared" si="96"/>
        <v>Jacobus</v>
      </c>
      <c r="F479" s="2" t="s">
        <v>3653</v>
      </c>
      <c r="G479" s="12" t="str">
        <f t="shared" si="87"/>
        <v>a1b3c5d1</v>
      </c>
      <c r="H479" s="12" t="str">
        <f t="shared" si="88"/>
        <v>DU PLOOYa1b3c5d1</v>
      </c>
      <c r="J479" s="2" t="s">
        <v>3654</v>
      </c>
      <c r="K479" s="12" t="str">
        <f t="shared" si="89"/>
        <v>1795</v>
      </c>
      <c r="L479" s="2" t="s">
        <v>542</v>
      </c>
      <c r="M479" s="2" t="s">
        <v>1761</v>
      </c>
      <c r="N479" s="12" t="str">
        <f t="shared" si="94"/>
        <v>1795</v>
      </c>
      <c r="O479" s="12" t="str">
        <f t="shared" si="95"/>
        <v>1795</v>
      </c>
      <c r="P479" s="2" t="s">
        <v>2877</v>
      </c>
      <c r="Q479" s="12" t="str">
        <f t="shared" si="90"/>
        <v>1795</v>
      </c>
      <c r="R479" s="2" t="s">
        <v>3655</v>
      </c>
      <c r="S479" s="12" t="str">
        <f t="shared" si="91"/>
        <v>1845</v>
      </c>
      <c r="T479" s="2" t="s">
        <v>74</v>
      </c>
      <c r="U479" s="2" t="s">
        <v>2667</v>
      </c>
      <c r="V479" s="12" t="str">
        <f t="shared" si="92"/>
        <v>1816</v>
      </c>
      <c r="W479" s="2" t="s">
        <v>3656</v>
      </c>
      <c r="X479" s="2" t="s">
        <v>3657</v>
      </c>
      <c r="AF479" s="2" t="s">
        <v>60</v>
      </c>
      <c r="AG479" s="2" t="s">
        <v>366</v>
      </c>
      <c r="AH479" s="2" t="s">
        <v>3596</v>
      </c>
      <c r="AI479" s="12" t="str">
        <f t="shared" si="93"/>
        <v>1838</v>
      </c>
      <c r="AJ479" s="2" t="s">
        <v>433</v>
      </c>
      <c r="AK479" s="2" t="s">
        <v>2877</v>
      </c>
    </row>
    <row r="480" spans="1:69">
      <c r="A480" s="2" t="s">
        <v>2086</v>
      </c>
      <c r="B480" s="12" t="str">
        <f t="shared" si="85"/>
        <v>DUPLOOY</v>
      </c>
      <c r="C480" s="12" t="str">
        <f t="shared" si="86"/>
        <v>DU PLOOY</v>
      </c>
      <c r="D480" s="2" t="s">
        <v>3465</v>
      </c>
      <c r="E480" s="12" t="str">
        <f t="shared" si="96"/>
        <v>Helena</v>
      </c>
      <c r="F480" s="2" t="s">
        <v>3647</v>
      </c>
      <c r="G480" s="12" t="str">
        <f t="shared" si="87"/>
        <v>a1b3c9</v>
      </c>
      <c r="H480" s="12" t="str">
        <f t="shared" si="88"/>
        <v>DU PLOOYa1b3c9</v>
      </c>
      <c r="K480" s="12" t="str">
        <f t="shared" si="89"/>
        <v/>
      </c>
      <c r="M480" s="2" t="s">
        <v>3648</v>
      </c>
      <c r="N480" s="12" t="str">
        <f t="shared" si="94"/>
        <v/>
      </c>
      <c r="O480" s="12" t="str">
        <f t="shared" si="95"/>
        <v>1775</v>
      </c>
      <c r="Q480" s="12" t="str">
        <f t="shared" si="90"/>
        <v>1775</v>
      </c>
      <c r="S480" s="12" t="str">
        <f t="shared" si="91"/>
        <v/>
      </c>
      <c r="U480" s="2" t="s">
        <v>3649</v>
      </c>
      <c r="V480" s="12" t="str">
        <f t="shared" si="92"/>
        <v>1796</v>
      </c>
      <c r="W480" s="2" t="s">
        <v>2215</v>
      </c>
      <c r="X480" s="2" t="s">
        <v>1453</v>
      </c>
      <c r="Y480" s="2" t="s">
        <v>3650</v>
      </c>
      <c r="AC480" s="2" t="s">
        <v>3651</v>
      </c>
      <c r="AD480" s="2" t="s">
        <v>28</v>
      </c>
      <c r="AE480" s="2" t="s">
        <v>3652</v>
      </c>
      <c r="AF480" s="2" t="s">
        <v>3699</v>
      </c>
      <c r="AG480" s="2" t="s">
        <v>68</v>
      </c>
      <c r="AH480" s="2" t="s">
        <v>1172</v>
      </c>
      <c r="AI480" s="12" t="str">
        <f t="shared" si="93"/>
        <v>1837</v>
      </c>
      <c r="AJ480" s="2" t="s">
        <v>277</v>
      </c>
      <c r="BQ480" s="2" t="s">
        <v>1154</v>
      </c>
    </row>
    <row r="481" spans="1:69">
      <c r="A481" s="12" t="s">
        <v>2086</v>
      </c>
      <c r="B481" s="12" t="str">
        <f t="shared" si="85"/>
        <v>DUPLOOY</v>
      </c>
      <c r="C481" s="12" t="str">
        <f t="shared" si="86"/>
        <v>DU PLOOY</v>
      </c>
      <c r="D481" s="12" t="s">
        <v>3624</v>
      </c>
      <c r="E481" s="12" t="str">
        <f t="shared" si="96"/>
        <v>Dirk Wouter Sr</v>
      </c>
      <c r="F481" s="12" t="s">
        <v>3093</v>
      </c>
      <c r="G481" s="12" t="str">
        <f t="shared" si="87"/>
        <v>a2b10</v>
      </c>
      <c r="H481" s="12" t="str">
        <f t="shared" si="88"/>
        <v>DU PLOOYa2b10</v>
      </c>
      <c r="I481" s="12"/>
      <c r="J481" s="12"/>
      <c r="K481" s="12" t="str">
        <f t="shared" si="89"/>
        <v/>
      </c>
      <c r="L481" s="12"/>
      <c r="M481" s="12" t="s">
        <v>3625</v>
      </c>
      <c r="N481" s="12" t="str">
        <f t="shared" si="94"/>
        <v/>
      </c>
      <c r="O481" s="12" t="str">
        <f t="shared" si="95"/>
        <v>1789</v>
      </c>
      <c r="P481" s="12" t="s">
        <v>2526</v>
      </c>
      <c r="Q481" s="12" t="str">
        <f t="shared" si="90"/>
        <v>1789</v>
      </c>
      <c r="R481" s="12" t="s">
        <v>3626</v>
      </c>
      <c r="S481" s="12" t="str">
        <f t="shared" si="91"/>
        <v>1868</v>
      </c>
      <c r="T481" s="12" t="s">
        <v>74</v>
      </c>
      <c r="U481" s="12" t="s">
        <v>3627</v>
      </c>
      <c r="V481" s="12" t="str">
        <f t="shared" si="92"/>
        <v>1811</v>
      </c>
      <c r="W481" s="12" t="s">
        <v>3628</v>
      </c>
      <c r="X481" s="12" t="s">
        <v>3629</v>
      </c>
      <c r="Y481" s="12"/>
      <c r="Z481" s="12"/>
      <c r="AA481" s="12"/>
      <c r="AB481" s="12"/>
      <c r="AC481" s="12"/>
      <c r="AD481" s="12"/>
      <c r="AE481" s="12" t="s">
        <v>3630</v>
      </c>
      <c r="AF481" s="12" t="s">
        <v>2597</v>
      </c>
      <c r="AG481" s="12" t="s">
        <v>366</v>
      </c>
      <c r="AH481" s="12" t="s">
        <v>390</v>
      </c>
      <c r="AI481" s="12" t="str">
        <f t="shared" si="93"/>
        <v>1837</v>
      </c>
      <c r="AJ481" s="12" t="s">
        <v>413</v>
      </c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Q481" s="2" t="s">
        <v>3631</v>
      </c>
    </row>
    <row r="482" spans="1:69">
      <c r="A482" s="12" t="s">
        <v>2086</v>
      </c>
      <c r="B482" s="12" t="str">
        <f t="shared" si="85"/>
        <v>DUPLOOY</v>
      </c>
      <c r="C482" s="12" t="str">
        <f t="shared" si="86"/>
        <v>DU PLOOY</v>
      </c>
      <c r="D482" s="12" t="s">
        <v>3619</v>
      </c>
      <c r="E482" s="12" t="str">
        <f t="shared" si="96"/>
        <v>Cornelis Willem</v>
      </c>
      <c r="F482" s="12" t="s">
        <v>3620</v>
      </c>
      <c r="G482" s="12" t="str">
        <f t="shared" si="87"/>
        <v>a2b10c2</v>
      </c>
      <c r="H482" s="12" t="str">
        <f t="shared" si="88"/>
        <v>DU PLOOYa2b10c2</v>
      </c>
      <c r="I482" s="12"/>
      <c r="J482" s="12" t="s">
        <v>3621</v>
      </c>
      <c r="K482" s="12" t="str">
        <f t="shared" si="89"/>
        <v>1813</v>
      </c>
      <c r="L482" s="12" t="s">
        <v>74</v>
      </c>
      <c r="M482" s="12" t="s">
        <v>3622</v>
      </c>
      <c r="N482" s="12" t="str">
        <f t="shared" si="94"/>
        <v>1813</v>
      </c>
      <c r="O482" s="12" t="str">
        <f t="shared" si="95"/>
        <v>1814</v>
      </c>
      <c r="P482" s="12"/>
      <c r="Q482" s="12" t="str">
        <f t="shared" si="90"/>
        <v>1813</v>
      </c>
      <c r="R482" s="12"/>
      <c r="S482" s="12" t="str">
        <f t="shared" si="91"/>
        <v/>
      </c>
      <c r="T482" s="12" t="s">
        <v>366</v>
      </c>
      <c r="U482" s="12" t="s">
        <v>994</v>
      </c>
      <c r="V482" s="12" t="str">
        <f t="shared" si="92"/>
        <v>1837</v>
      </c>
      <c r="W482" s="12" t="s">
        <v>3623</v>
      </c>
      <c r="X482" s="12" t="s">
        <v>698</v>
      </c>
      <c r="Y482" s="12"/>
      <c r="Z482" s="12"/>
      <c r="AA482" s="12"/>
      <c r="AB482" s="12"/>
      <c r="AC482" s="12"/>
      <c r="AD482" s="12"/>
      <c r="AE482" s="12"/>
      <c r="AF482" s="12" t="s">
        <v>2597</v>
      </c>
      <c r="AG482" s="12" t="s">
        <v>366</v>
      </c>
      <c r="AH482" s="12" t="s">
        <v>390</v>
      </c>
      <c r="AI482" s="12" t="str">
        <f t="shared" si="93"/>
        <v>1837</v>
      </c>
      <c r="AJ482" s="12" t="s">
        <v>413</v>
      </c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Q482" s="2" t="s">
        <v>1168</v>
      </c>
    </row>
    <row r="483" spans="1:69">
      <c r="A483" s="12" t="s">
        <v>2086</v>
      </c>
      <c r="B483" s="12" t="str">
        <f t="shared" si="85"/>
        <v>DUPLOOY</v>
      </c>
      <c r="C483" s="12" t="str">
        <f t="shared" si="86"/>
        <v>DU PLOOY</v>
      </c>
      <c r="D483" s="12" t="s">
        <v>3667</v>
      </c>
      <c r="E483" s="12" t="str">
        <f t="shared" si="96"/>
        <v>Pieter Hendrik Rudolph</v>
      </c>
      <c r="F483" s="12" t="s">
        <v>3668</v>
      </c>
      <c r="G483" s="12" t="str">
        <f t="shared" si="87"/>
        <v>a2b10c3</v>
      </c>
      <c r="H483" s="12" t="str">
        <f t="shared" si="88"/>
        <v>DU PLOOYa2b10c3</v>
      </c>
      <c r="I483" s="12"/>
      <c r="J483" s="12"/>
      <c r="K483" s="12" t="str">
        <f t="shared" si="89"/>
        <v/>
      </c>
      <c r="L483" s="12" t="s">
        <v>74</v>
      </c>
      <c r="M483" s="12" t="s">
        <v>1531</v>
      </c>
      <c r="N483" s="12" t="str">
        <f t="shared" si="94"/>
        <v/>
      </c>
      <c r="O483" s="12" t="str">
        <f t="shared" si="95"/>
        <v>1816</v>
      </c>
      <c r="P483" s="12"/>
      <c r="Q483" s="12" t="str">
        <f t="shared" si="90"/>
        <v>1816</v>
      </c>
      <c r="R483" s="12"/>
      <c r="S483" s="12" t="str">
        <f t="shared" si="91"/>
        <v/>
      </c>
      <c r="T483" s="12" t="s">
        <v>366</v>
      </c>
      <c r="U483" s="12" t="s">
        <v>3669</v>
      </c>
      <c r="V483" s="12" t="str">
        <f t="shared" si="92"/>
        <v>1837</v>
      </c>
      <c r="W483" s="12" t="s">
        <v>3670</v>
      </c>
      <c r="X483" s="12" t="s">
        <v>2086</v>
      </c>
      <c r="Y483" s="12"/>
      <c r="Z483" s="12"/>
      <c r="AA483" s="12"/>
      <c r="AB483" s="12"/>
      <c r="AC483" s="12"/>
      <c r="AD483" s="12"/>
      <c r="AE483" s="12"/>
      <c r="AF483" s="12" t="s">
        <v>2597</v>
      </c>
      <c r="AG483" s="12" t="s">
        <v>366</v>
      </c>
      <c r="AH483" s="12" t="s">
        <v>390</v>
      </c>
      <c r="AI483" s="12" t="str">
        <f t="shared" si="93"/>
        <v>1837</v>
      </c>
      <c r="AJ483" s="12" t="s">
        <v>413</v>
      </c>
      <c r="AK483" s="12" t="s">
        <v>2526</v>
      </c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</row>
    <row r="484" spans="1:69">
      <c r="A484" s="12" t="s">
        <v>2086</v>
      </c>
      <c r="B484" s="12" t="str">
        <f t="shared" si="85"/>
        <v>DUPLOOY</v>
      </c>
      <c r="C484" s="12" t="str">
        <f t="shared" si="86"/>
        <v>DU PLOOY</v>
      </c>
      <c r="D484" s="12" t="s">
        <v>3632</v>
      </c>
      <c r="E484" s="12" t="str">
        <f t="shared" si="96"/>
        <v>Dirk Wouter Jr</v>
      </c>
      <c r="F484" s="12" t="s">
        <v>3633</v>
      </c>
      <c r="G484" s="12" t="str">
        <f t="shared" si="87"/>
        <v>a2b10c4</v>
      </c>
      <c r="H484" s="12" t="str">
        <f t="shared" si="88"/>
        <v>DU PLOOYa2b10c4</v>
      </c>
      <c r="I484" s="12"/>
      <c r="J484" s="12" t="s">
        <v>3634</v>
      </c>
      <c r="K484" s="12" t="str">
        <f t="shared" si="89"/>
        <v>1817</v>
      </c>
      <c r="L484" s="12" t="s">
        <v>74</v>
      </c>
      <c r="M484" s="12" t="s">
        <v>3152</v>
      </c>
      <c r="N484" s="12" t="str">
        <f t="shared" si="94"/>
        <v>1817</v>
      </c>
      <c r="O484" s="12" t="str">
        <f t="shared" si="95"/>
        <v>1818</v>
      </c>
      <c r="P484" s="12"/>
      <c r="Q484" s="12" t="str">
        <f t="shared" si="90"/>
        <v>1817</v>
      </c>
      <c r="R484" s="12" t="s">
        <v>3635</v>
      </c>
      <c r="S484" s="12" t="str">
        <f t="shared" si="91"/>
        <v>1889</v>
      </c>
      <c r="T484" s="12"/>
      <c r="U484" s="12"/>
      <c r="V484" s="12" t="str">
        <f t="shared" si="92"/>
        <v/>
      </c>
      <c r="W484" s="12" t="s">
        <v>3636</v>
      </c>
      <c r="X484" s="12" t="s">
        <v>1340</v>
      </c>
      <c r="Y484" s="12"/>
      <c r="Z484" s="12"/>
      <c r="AA484" s="12"/>
      <c r="AB484" s="12"/>
      <c r="AC484" s="12"/>
      <c r="AD484" s="12"/>
      <c r="AE484" s="12"/>
      <c r="AF484" s="12" t="s">
        <v>2597</v>
      </c>
      <c r="AG484" s="12" t="s">
        <v>366</v>
      </c>
      <c r="AH484" s="12" t="s">
        <v>390</v>
      </c>
      <c r="AI484" s="12" t="str">
        <f t="shared" si="93"/>
        <v>1837</v>
      </c>
      <c r="AJ484" s="12" t="s">
        <v>413</v>
      </c>
      <c r="AK484" s="12"/>
      <c r="AL484" s="12" t="s">
        <v>3637</v>
      </c>
      <c r="AM484" s="12" t="s">
        <v>3638</v>
      </c>
      <c r="AN484" s="12" t="s">
        <v>3639</v>
      </c>
      <c r="AO484" s="12" t="s">
        <v>3640</v>
      </c>
      <c r="AP484" s="12"/>
      <c r="AQ484" s="12"/>
      <c r="AR484" s="12"/>
      <c r="AS484" s="12"/>
      <c r="AT484" s="12"/>
      <c r="AU484" s="12"/>
      <c r="AV484" s="12" t="s">
        <v>3641</v>
      </c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</row>
    <row r="485" spans="1:69">
      <c r="A485" s="12" t="s">
        <v>2086</v>
      </c>
      <c r="B485" s="12" t="str">
        <f t="shared" si="85"/>
        <v>DUPLOOY</v>
      </c>
      <c r="C485" s="12" t="str">
        <f t="shared" si="86"/>
        <v>DU PLOOY</v>
      </c>
      <c r="D485" s="12" t="s">
        <v>3642</v>
      </c>
      <c r="E485" s="12" t="str">
        <f t="shared" si="96"/>
        <v>Gerhardus Andries</v>
      </c>
      <c r="F485" s="12" t="s">
        <v>3643</v>
      </c>
      <c r="G485" s="12" t="str">
        <f t="shared" si="87"/>
        <v>a2b17</v>
      </c>
      <c r="H485" s="12" t="str">
        <f t="shared" si="88"/>
        <v>DU PLOOYa2b17</v>
      </c>
      <c r="I485" s="12"/>
      <c r="J485" s="12"/>
      <c r="K485" s="12" t="str">
        <f t="shared" si="89"/>
        <v/>
      </c>
      <c r="L485" s="12"/>
      <c r="M485" s="12" t="s">
        <v>3644</v>
      </c>
      <c r="N485" s="12" t="str">
        <f t="shared" si="94"/>
        <v/>
      </c>
      <c r="O485" s="12" t="str">
        <f t="shared" si="95"/>
        <v>1802</v>
      </c>
      <c r="P485" s="12"/>
      <c r="Q485" s="12" t="str">
        <f t="shared" si="90"/>
        <v>1802</v>
      </c>
      <c r="R485" s="12"/>
      <c r="S485" s="12" t="str">
        <f t="shared" si="91"/>
        <v/>
      </c>
      <c r="T485" s="12" t="s">
        <v>366</v>
      </c>
      <c r="U485" s="12" t="s">
        <v>3645</v>
      </c>
      <c r="V485" s="12" t="str">
        <f t="shared" si="92"/>
        <v>1822</v>
      </c>
      <c r="W485" s="12" t="s">
        <v>3646</v>
      </c>
      <c r="X485" s="12" t="s">
        <v>2556</v>
      </c>
      <c r="Y485" s="12"/>
      <c r="Z485" s="12"/>
      <c r="AA485" s="12"/>
      <c r="AB485" s="12"/>
      <c r="AC485" s="12"/>
      <c r="AD485" s="12"/>
      <c r="AE485" s="12"/>
      <c r="AF485" s="12"/>
      <c r="AG485" s="12" t="s">
        <v>366</v>
      </c>
      <c r="AH485" s="12" t="s">
        <v>3596</v>
      </c>
      <c r="AI485" s="12" t="str">
        <f t="shared" si="93"/>
        <v>1838</v>
      </c>
      <c r="AJ485" s="12" t="s">
        <v>413</v>
      </c>
      <c r="AK485" s="12" t="s">
        <v>93</v>
      </c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</row>
    <row r="486" spans="1:69">
      <c r="A486" s="12" t="s">
        <v>2086</v>
      </c>
      <c r="B486" s="12" t="str">
        <f t="shared" si="85"/>
        <v>DUPLOOY</v>
      </c>
      <c r="C486" s="12" t="str">
        <f t="shared" si="86"/>
        <v>DU PLOOY</v>
      </c>
      <c r="D486" s="12" t="s">
        <v>3609</v>
      </c>
      <c r="E486" s="12" t="str">
        <f t="shared" si="96"/>
        <v>Cornelis Michiel Sr</v>
      </c>
      <c r="F486" s="12" t="s">
        <v>3610</v>
      </c>
      <c r="G486" s="12" t="str">
        <f t="shared" si="87"/>
        <v>a2b6</v>
      </c>
      <c r="H486" s="12" t="str">
        <f t="shared" si="88"/>
        <v>DU PLOOYa2b6</v>
      </c>
      <c r="I486" s="12"/>
      <c r="J486" s="12"/>
      <c r="K486" s="12" t="str">
        <f t="shared" si="89"/>
        <v/>
      </c>
      <c r="L486" s="12"/>
      <c r="M486" s="12" t="s">
        <v>3615</v>
      </c>
      <c r="N486" s="12" t="str">
        <f t="shared" si="94"/>
        <v/>
      </c>
      <c r="O486" s="12" t="str">
        <f t="shared" si="95"/>
        <v>1777</v>
      </c>
      <c r="P486" s="12" t="s">
        <v>134</v>
      </c>
      <c r="Q486" s="12" t="str">
        <f t="shared" si="90"/>
        <v>1777</v>
      </c>
      <c r="R486" s="12" t="s">
        <v>3611</v>
      </c>
      <c r="S486" s="12" t="str">
        <f t="shared" si="91"/>
        <v>1853</v>
      </c>
      <c r="T486" s="12" t="s">
        <v>48</v>
      </c>
      <c r="U486" s="12" t="s">
        <v>282</v>
      </c>
      <c r="V486" s="12" t="str">
        <f t="shared" si="92"/>
        <v>1802</v>
      </c>
      <c r="W486" s="12" t="s">
        <v>3612</v>
      </c>
      <c r="X486" s="12" t="s">
        <v>2138</v>
      </c>
      <c r="Y486" s="12"/>
      <c r="Z486" s="12"/>
      <c r="AA486" s="12"/>
      <c r="AB486" s="12"/>
      <c r="AC486" s="12"/>
      <c r="AD486" s="12"/>
      <c r="AE486" s="12"/>
      <c r="AF486" s="12" t="s">
        <v>3716</v>
      </c>
      <c r="AG486" s="12" t="s">
        <v>366</v>
      </c>
      <c r="AH486" s="12" t="s">
        <v>3596</v>
      </c>
      <c r="AI486" s="12" t="str">
        <f t="shared" si="93"/>
        <v>1838</v>
      </c>
      <c r="AJ486" s="12" t="s">
        <v>413</v>
      </c>
      <c r="AK486" s="12" t="s">
        <v>134</v>
      </c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</row>
    <row r="487" spans="1:69">
      <c r="A487" s="12" t="s">
        <v>2086</v>
      </c>
      <c r="B487" s="12" t="str">
        <f t="shared" si="85"/>
        <v>DUPLOOY</v>
      </c>
      <c r="C487" s="12" t="str">
        <f t="shared" si="86"/>
        <v>DU PLOOY</v>
      </c>
      <c r="D487" s="12" t="s">
        <v>3613</v>
      </c>
      <c r="E487" s="12" t="str">
        <f t="shared" si="96"/>
        <v>Cornelis Michiel Jr</v>
      </c>
      <c r="F487" s="12" t="s">
        <v>3614</v>
      </c>
      <c r="G487" s="12" t="str">
        <f t="shared" si="87"/>
        <v>a2b6c2</v>
      </c>
      <c r="H487" s="12" t="str">
        <f t="shared" si="88"/>
        <v>DU PLOOYa2b6c2</v>
      </c>
      <c r="I487" s="12"/>
      <c r="J487" s="12"/>
      <c r="K487" s="12" t="str">
        <f t="shared" si="89"/>
        <v/>
      </c>
      <c r="L487" s="12"/>
      <c r="M487" s="12" t="s">
        <v>268</v>
      </c>
      <c r="N487" s="12" t="str">
        <f t="shared" si="94"/>
        <v/>
      </c>
      <c r="O487" s="12" t="str">
        <f t="shared" si="95"/>
        <v>1806</v>
      </c>
      <c r="P487" s="12"/>
      <c r="Q487" s="12" t="str">
        <f t="shared" si="90"/>
        <v>1806</v>
      </c>
      <c r="R487" s="12"/>
      <c r="S487" s="12" t="str">
        <f t="shared" si="91"/>
        <v/>
      </c>
      <c r="T487" s="12" t="s">
        <v>366</v>
      </c>
      <c r="U487" s="12" t="s">
        <v>3616</v>
      </c>
      <c r="V487" s="12" t="str">
        <f t="shared" si="92"/>
        <v>1833</v>
      </c>
      <c r="W487" s="12" t="s">
        <v>1891</v>
      </c>
      <c r="X487" s="12" t="s">
        <v>2138</v>
      </c>
      <c r="Y487" s="12" t="s">
        <v>3617</v>
      </c>
      <c r="Z487" s="12"/>
      <c r="AA487" s="12" t="s">
        <v>3618</v>
      </c>
      <c r="AB487" s="12"/>
      <c r="AC487" s="12"/>
      <c r="AD487" s="12"/>
      <c r="AE487" s="12"/>
      <c r="AF487" s="12" t="s">
        <v>3716</v>
      </c>
      <c r="AG487" s="12" t="s">
        <v>366</v>
      </c>
      <c r="AH487" s="12" t="s">
        <v>3596</v>
      </c>
      <c r="AI487" s="12" t="str">
        <f t="shared" si="93"/>
        <v>1838</v>
      </c>
      <c r="AJ487" s="12" t="s">
        <v>433</v>
      </c>
      <c r="AK487" s="12" t="s">
        <v>90</v>
      </c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</row>
    <row r="488" spans="1:69">
      <c r="A488" s="12" t="s">
        <v>2086</v>
      </c>
      <c r="B488" s="12" t="str">
        <f t="shared" si="85"/>
        <v>DUPLOOY</v>
      </c>
      <c r="C488" s="12" t="str">
        <f t="shared" si="86"/>
        <v>DU PLOOY</v>
      </c>
      <c r="D488" s="12" t="s">
        <v>3025</v>
      </c>
      <c r="E488" s="12" t="str">
        <f t="shared" si="96"/>
        <v>Abraham</v>
      </c>
      <c r="F488" s="12" t="s">
        <v>3592</v>
      </c>
      <c r="G488" s="12" t="str">
        <f t="shared" si="87"/>
        <v>a2b6c8</v>
      </c>
      <c r="H488" s="12" t="str">
        <f t="shared" si="88"/>
        <v>DU PLOOYa2b6c8</v>
      </c>
      <c r="I488" s="12"/>
      <c r="J488" s="12" t="s">
        <v>3593</v>
      </c>
      <c r="K488" s="12" t="str">
        <f t="shared" si="89"/>
        <v>1824</v>
      </c>
      <c r="L488" s="12" t="s">
        <v>366</v>
      </c>
      <c r="M488" s="12" t="s">
        <v>3594</v>
      </c>
      <c r="N488" s="12" t="str">
        <f t="shared" si="94"/>
        <v>1824</v>
      </c>
      <c r="O488" s="12" t="str">
        <f t="shared" si="95"/>
        <v>1824</v>
      </c>
      <c r="P488" s="12"/>
      <c r="Q488" s="12" t="str">
        <f t="shared" si="90"/>
        <v>1824</v>
      </c>
      <c r="R488" s="12"/>
      <c r="S488" s="12" t="str">
        <f t="shared" si="91"/>
        <v/>
      </c>
      <c r="T488" s="12"/>
      <c r="U488" s="12"/>
      <c r="V488" s="12" t="str">
        <f t="shared" si="92"/>
        <v/>
      </c>
      <c r="W488" s="12" t="s">
        <v>3595</v>
      </c>
      <c r="X488" s="12" t="s">
        <v>295</v>
      </c>
      <c r="Y488" s="12"/>
      <c r="Z488" s="12"/>
      <c r="AA488" s="12"/>
      <c r="AB488" s="12"/>
      <c r="AC488" s="12"/>
      <c r="AD488" s="12"/>
      <c r="AE488" s="12"/>
      <c r="AF488" s="12" t="s">
        <v>3716</v>
      </c>
      <c r="AG488" s="12" t="s">
        <v>366</v>
      </c>
      <c r="AH488" s="12" t="s">
        <v>3596</v>
      </c>
      <c r="AI488" s="12" t="str">
        <f t="shared" si="93"/>
        <v>1838</v>
      </c>
      <c r="AJ488" s="12" t="s">
        <v>413</v>
      </c>
      <c r="AK488" s="12" t="s">
        <v>3597</v>
      </c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</row>
    <row r="489" spans="1:69">
      <c r="A489" s="12" t="s">
        <v>2086</v>
      </c>
      <c r="B489" s="12" t="str">
        <f t="shared" si="85"/>
        <v>DUPLOOY</v>
      </c>
      <c r="C489" s="12" t="str">
        <f t="shared" si="86"/>
        <v>DU PLOOY</v>
      </c>
      <c r="D489" s="12" t="s">
        <v>3604</v>
      </c>
      <c r="E489" s="12" t="str">
        <f t="shared" si="96"/>
        <v>Cornelis Johannes Frederik</v>
      </c>
      <c r="F489" s="12" t="s">
        <v>3605</v>
      </c>
      <c r="G489" s="12" t="str">
        <f t="shared" si="87"/>
        <v>a2b8c2</v>
      </c>
      <c r="H489" s="12" t="str">
        <f t="shared" si="88"/>
        <v>DU PLOOYa2b8c2</v>
      </c>
      <c r="I489" s="12"/>
      <c r="J489" s="12"/>
      <c r="K489" s="12" t="str">
        <f t="shared" si="89"/>
        <v/>
      </c>
      <c r="L489" s="12"/>
      <c r="M489" s="12" t="s">
        <v>3606</v>
      </c>
      <c r="N489" s="12" t="str">
        <f t="shared" si="94"/>
        <v/>
      </c>
      <c r="O489" s="12" t="str">
        <f t="shared" si="95"/>
        <v>1809</v>
      </c>
      <c r="P489" s="12" t="s">
        <v>190</v>
      </c>
      <c r="Q489" s="12" t="str">
        <f t="shared" si="90"/>
        <v>1809</v>
      </c>
      <c r="R489" s="12" t="s">
        <v>3607</v>
      </c>
      <c r="S489" s="12" t="str">
        <f t="shared" si="91"/>
        <v>1871</v>
      </c>
      <c r="T489" s="12" t="s">
        <v>60</v>
      </c>
      <c r="U489" s="12" t="s">
        <v>3608</v>
      </c>
      <c r="V489" s="12" t="str">
        <f t="shared" si="92"/>
        <v>1837</v>
      </c>
      <c r="W489" s="12" t="s">
        <v>3589</v>
      </c>
      <c r="X489" s="12" t="s">
        <v>726</v>
      </c>
      <c r="Y489" s="12"/>
      <c r="Z489" s="12"/>
      <c r="AA489" s="12"/>
      <c r="AB489" s="12"/>
      <c r="AC489" s="12"/>
      <c r="AD489" s="12"/>
      <c r="AE489" s="12"/>
      <c r="AF489" s="12" t="s">
        <v>3719</v>
      </c>
      <c r="AG489" s="12" t="s">
        <v>68</v>
      </c>
      <c r="AH489" s="12" t="s">
        <v>1357</v>
      </c>
      <c r="AI489" s="12" t="str">
        <f t="shared" si="93"/>
        <v>1837</v>
      </c>
      <c r="AJ489" s="12"/>
      <c r="AK489" s="12" t="s">
        <v>190</v>
      </c>
      <c r="AL489" s="12"/>
      <c r="AM489" s="12"/>
      <c r="AN489" s="12" t="s">
        <v>3568</v>
      </c>
      <c r="AO489" s="12" t="s">
        <v>775</v>
      </c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</row>
    <row r="490" spans="1:69">
      <c r="A490" s="12" t="s">
        <v>2086</v>
      </c>
      <c r="B490" s="12" t="str">
        <f t="shared" si="85"/>
        <v>DUPLOOY</v>
      </c>
      <c r="C490" s="12" t="str">
        <f t="shared" si="86"/>
        <v>DU PLOOY</v>
      </c>
      <c r="D490" s="12" t="s">
        <v>3658</v>
      </c>
      <c r="E490" s="12" t="str">
        <f t="shared" si="96"/>
        <v>Leendert Hendrik</v>
      </c>
      <c r="F490" s="12" t="s">
        <v>3659</v>
      </c>
      <c r="G490" s="12" t="str">
        <f t="shared" si="87"/>
        <v>a2b9</v>
      </c>
      <c r="H490" s="12" t="str">
        <f t="shared" si="88"/>
        <v>DU PLOOYa2b9</v>
      </c>
      <c r="I490" s="12"/>
      <c r="J490" s="12" t="s">
        <v>3660</v>
      </c>
      <c r="K490" s="12" t="str">
        <f t="shared" si="89"/>
        <v>1786</v>
      </c>
      <c r="L490" s="12"/>
      <c r="M490" s="12"/>
      <c r="N490" s="12" t="str">
        <f t="shared" si="94"/>
        <v>1786</v>
      </c>
      <c r="O490" s="12" t="str">
        <f t="shared" si="95"/>
        <v/>
      </c>
      <c r="P490" s="12" t="s">
        <v>31</v>
      </c>
      <c r="Q490" s="12" t="str">
        <f t="shared" si="90"/>
        <v>1786</v>
      </c>
      <c r="R490" s="12" t="s">
        <v>3661</v>
      </c>
      <c r="S490" s="12" t="str">
        <f t="shared" si="91"/>
        <v>1862</v>
      </c>
      <c r="T490" s="12" t="s">
        <v>74</v>
      </c>
      <c r="U490" s="12" t="s">
        <v>3662</v>
      </c>
      <c r="V490" s="12" t="str">
        <f t="shared" si="92"/>
        <v>1808</v>
      </c>
      <c r="W490" s="12" t="s">
        <v>2066</v>
      </c>
      <c r="X490" s="12" t="s">
        <v>3663</v>
      </c>
      <c r="Y490" s="12"/>
      <c r="Z490" s="12"/>
      <c r="AA490" s="12"/>
      <c r="AB490" s="12"/>
      <c r="AC490" s="12"/>
      <c r="AD490" s="12"/>
      <c r="AE490" s="12"/>
      <c r="AF490" s="12" t="s">
        <v>3716</v>
      </c>
      <c r="AG490" s="12" t="s">
        <v>366</v>
      </c>
      <c r="AH490" s="12" t="s">
        <v>3596</v>
      </c>
      <c r="AI490" s="12" t="str">
        <f t="shared" si="93"/>
        <v>1838</v>
      </c>
      <c r="AJ490" s="12" t="s">
        <v>433</v>
      </c>
      <c r="AK490" s="12" t="s">
        <v>3597</v>
      </c>
      <c r="AL490" s="12" t="s">
        <v>74</v>
      </c>
      <c r="AM490" s="12" t="s">
        <v>3664</v>
      </c>
      <c r="AN490" s="12" t="s">
        <v>2371</v>
      </c>
      <c r="AO490" s="12" t="s">
        <v>703</v>
      </c>
      <c r="AP490" s="12"/>
      <c r="AQ490" s="12"/>
      <c r="AR490" s="12"/>
      <c r="AS490" s="12"/>
      <c r="AT490" s="12"/>
      <c r="AU490" s="12"/>
      <c r="AV490" s="12"/>
      <c r="AW490" s="12" t="s">
        <v>60</v>
      </c>
      <c r="AX490" s="12" t="s">
        <v>3665</v>
      </c>
      <c r="AY490" s="12" t="s">
        <v>2581</v>
      </c>
      <c r="AZ490" s="12" t="s">
        <v>3666</v>
      </c>
      <c r="BA490" s="12"/>
      <c r="BB490" s="12"/>
      <c r="BC490" s="12"/>
      <c r="BD490" s="12"/>
      <c r="BE490" s="12"/>
      <c r="BF490" s="12"/>
      <c r="BG490" s="12"/>
    </row>
    <row r="491" spans="1:69">
      <c r="A491" s="2" t="s">
        <v>2086</v>
      </c>
      <c r="B491" s="12" t="str">
        <f t="shared" si="85"/>
        <v>DUPLOOY</v>
      </c>
      <c r="C491" s="12" t="str">
        <f t="shared" si="86"/>
        <v>DU PLOOY</v>
      </c>
      <c r="D491" s="2" t="s">
        <v>3598</v>
      </c>
      <c r="E491" s="12" t="str">
        <f t="shared" si="96"/>
        <v>Christoffel Cornelis</v>
      </c>
      <c r="F491" s="2" t="s">
        <v>3599</v>
      </c>
      <c r="G491" s="12" t="str">
        <f t="shared" si="87"/>
        <v>a2b9c1</v>
      </c>
      <c r="H491" s="12" t="str">
        <f t="shared" si="88"/>
        <v>DU PLOOYa2b9c1</v>
      </c>
      <c r="K491" s="12" t="str">
        <f t="shared" si="89"/>
        <v/>
      </c>
      <c r="M491" s="2" t="s">
        <v>3600</v>
      </c>
      <c r="N491" s="12" t="str">
        <f t="shared" si="94"/>
        <v/>
      </c>
      <c r="O491" s="12" t="str">
        <f t="shared" si="95"/>
        <v>1809</v>
      </c>
      <c r="Q491" s="12" t="str">
        <f t="shared" si="90"/>
        <v>1809</v>
      </c>
      <c r="S491" s="12" t="str">
        <f t="shared" si="91"/>
        <v/>
      </c>
      <c r="T491" s="2" t="s">
        <v>366</v>
      </c>
      <c r="U491" s="2" t="s">
        <v>1165</v>
      </c>
      <c r="V491" s="12" t="str">
        <f t="shared" si="92"/>
        <v>1831</v>
      </c>
      <c r="W491" s="2" t="s">
        <v>3601</v>
      </c>
      <c r="Y491" s="2" t="s">
        <v>3602</v>
      </c>
      <c r="AC491" s="2" t="s">
        <v>3603</v>
      </c>
      <c r="AF491" s="2" t="s">
        <v>3716</v>
      </c>
      <c r="AG491" s="2" t="s">
        <v>366</v>
      </c>
      <c r="AH491" s="2">
        <v>1883</v>
      </c>
      <c r="AI491" s="12" t="str">
        <f t="shared" si="93"/>
        <v>1883</v>
      </c>
      <c r="AJ491" s="2" t="s">
        <v>379</v>
      </c>
      <c r="AK491" s="2" t="s">
        <v>551</v>
      </c>
    </row>
    <row r="492" spans="1:69">
      <c r="A492" s="2" t="s">
        <v>631</v>
      </c>
      <c r="B492" s="12" t="str">
        <f t="shared" si="85"/>
        <v>DUPREEZ</v>
      </c>
      <c r="C492" s="12" t="str">
        <f t="shared" si="86"/>
        <v>DU PREEZ</v>
      </c>
      <c r="D492" s="2" t="s">
        <v>3139</v>
      </c>
      <c r="E492" s="12" t="str">
        <f t="shared" si="96"/>
        <v>Jacobus Herculas</v>
      </c>
      <c r="F492" s="2" t="s">
        <v>3752</v>
      </c>
      <c r="G492" s="12" t="str">
        <f t="shared" si="87"/>
        <v>a1b2c1d2e2f3</v>
      </c>
      <c r="H492" s="12" t="str">
        <f t="shared" si="88"/>
        <v>DU PREEZa1b2c1d2e2f3</v>
      </c>
      <c r="J492" s="2" t="s">
        <v>3753</v>
      </c>
      <c r="K492" s="12" t="str">
        <f t="shared" si="89"/>
        <v>1807</v>
      </c>
      <c r="M492" s="2" t="s">
        <v>3754</v>
      </c>
      <c r="N492" s="12" t="str">
        <f t="shared" si="94"/>
        <v>1807</v>
      </c>
      <c r="O492" s="12" t="str">
        <f t="shared" si="95"/>
        <v>1807</v>
      </c>
      <c r="P492" s="2" t="s">
        <v>67</v>
      </c>
      <c r="Q492" s="12" t="str">
        <f t="shared" si="90"/>
        <v>1807</v>
      </c>
      <c r="R492" s="2" t="s">
        <v>3755</v>
      </c>
      <c r="S492" s="12" t="str">
        <f t="shared" si="91"/>
        <v>1874</v>
      </c>
      <c r="V492" s="12" t="str">
        <f t="shared" si="92"/>
        <v/>
      </c>
      <c r="W492" s="2" t="s">
        <v>3756</v>
      </c>
      <c r="X492" s="2" t="s">
        <v>3757</v>
      </c>
      <c r="AF492" s="2" t="s">
        <v>16</v>
      </c>
      <c r="AG492" s="2" t="s">
        <v>68</v>
      </c>
      <c r="AH492" s="2">
        <v>1840</v>
      </c>
      <c r="AI492" s="12" t="str">
        <f t="shared" si="93"/>
        <v>1840</v>
      </c>
      <c r="AK492" s="2" t="s">
        <v>160</v>
      </c>
      <c r="AM492" s="2" t="s">
        <v>3758</v>
      </c>
      <c r="AN492" s="2" t="s">
        <v>3759</v>
      </c>
      <c r="AO492" s="2" t="s">
        <v>3321</v>
      </c>
    </row>
    <row r="493" spans="1:69">
      <c r="A493" s="2" t="s">
        <v>631</v>
      </c>
      <c r="B493" s="12" t="str">
        <f t="shared" si="85"/>
        <v>DUPREEZ</v>
      </c>
      <c r="C493" s="12" t="str">
        <f t="shared" si="86"/>
        <v>DU PREEZ</v>
      </c>
      <c r="D493" s="2" t="s">
        <v>3804</v>
      </c>
      <c r="E493" s="12" t="str">
        <f t="shared" si="96"/>
        <v>Salomon Johannes</v>
      </c>
      <c r="F493" s="2" t="s">
        <v>3805</v>
      </c>
      <c r="G493" s="12" t="str">
        <f t="shared" si="87"/>
        <v>a1b4c1d5e3f7</v>
      </c>
      <c r="H493" s="12" t="str">
        <f t="shared" si="88"/>
        <v>DU PREEZa1b4c1d5e3f7</v>
      </c>
      <c r="K493" s="12" t="str">
        <f t="shared" si="89"/>
        <v/>
      </c>
      <c r="M493" s="2" t="s">
        <v>3806</v>
      </c>
      <c r="N493" s="12" t="str">
        <f t="shared" si="94"/>
        <v/>
      </c>
      <c r="O493" s="12" t="str">
        <f t="shared" si="95"/>
        <v>1808</v>
      </c>
      <c r="Q493" s="12" t="str">
        <f t="shared" si="90"/>
        <v>1808</v>
      </c>
      <c r="S493" s="12" t="str">
        <f t="shared" si="91"/>
        <v/>
      </c>
      <c r="V493" s="12" t="str">
        <f t="shared" si="92"/>
        <v/>
      </c>
      <c r="W493" s="2" t="s">
        <v>3807</v>
      </c>
      <c r="X493" s="2" t="s">
        <v>631</v>
      </c>
      <c r="AF493" s="2" t="s">
        <v>3677</v>
      </c>
      <c r="AG493" s="2" t="s">
        <v>53</v>
      </c>
      <c r="AH493" s="2">
        <v>1840</v>
      </c>
      <c r="AI493" s="12" t="str">
        <f t="shared" si="93"/>
        <v>1840</v>
      </c>
    </row>
    <row r="494" spans="1:69">
      <c r="A494" s="2" t="s">
        <v>631</v>
      </c>
      <c r="B494" s="12" t="str">
        <f t="shared" si="85"/>
        <v>DUPREEZ</v>
      </c>
      <c r="C494" s="12" t="str">
        <f t="shared" si="86"/>
        <v>DU PREEZ</v>
      </c>
      <c r="D494" s="2" t="s">
        <v>588</v>
      </c>
      <c r="E494" s="12" t="str">
        <f t="shared" si="96"/>
        <v>Johannes Stephanus</v>
      </c>
      <c r="F494" s="2" t="s">
        <v>3771</v>
      </c>
      <c r="G494" s="12" t="str">
        <f t="shared" si="87"/>
        <v>a1b4c1d5e4f3</v>
      </c>
      <c r="H494" s="12" t="str">
        <f t="shared" si="88"/>
        <v>DU PREEZa1b4c1d5e4f3</v>
      </c>
      <c r="K494" s="12" t="str">
        <f t="shared" si="89"/>
        <v/>
      </c>
      <c r="M494" s="2" t="s">
        <v>3772</v>
      </c>
      <c r="N494" s="12" t="str">
        <f t="shared" si="94"/>
        <v/>
      </c>
      <c r="O494" s="12" t="str">
        <f t="shared" si="95"/>
        <v>1795</v>
      </c>
      <c r="Q494" s="12" t="str">
        <f t="shared" si="90"/>
        <v>1795</v>
      </c>
      <c r="S494" s="12" t="str">
        <f t="shared" si="91"/>
        <v/>
      </c>
      <c r="T494" s="2" t="s">
        <v>53</v>
      </c>
      <c r="U494" s="2" t="s">
        <v>3773</v>
      </c>
      <c r="V494" s="12" t="str">
        <f t="shared" si="92"/>
        <v>1819</v>
      </c>
      <c r="W494" s="2" t="s">
        <v>2351</v>
      </c>
      <c r="X494" s="2" t="s">
        <v>631</v>
      </c>
      <c r="AF494" s="2" t="s">
        <v>3677</v>
      </c>
      <c r="AG494" s="2" t="s">
        <v>53</v>
      </c>
      <c r="AH494" s="2" t="s">
        <v>2479</v>
      </c>
      <c r="AI494" s="12" t="str">
        <f t="shared" si="93"/>
        <v>1836</v>
      </c>
      <c r="AJ494" s="2" t="s">
        <v>1696</v>
      </c>
    </row>
    <row r="495" spans="1:69">
      <c r="A495" s="2" t="s">
        <v>631</v>
      </c>
      <c r="B495" s="12" t="str">
        <f t="shared" si="85"/>
        <v>DUPREEZ</v>
      </c>
      <c r="C495" s="12" t="str">
        <f t="shared" si="86"/>
        <v>DU PREEZ</v>
      </c>
      <c r="D495" s="2" t="s">
        <v>1057</v>
      </c>
      <c r="E495" s="12" t="str">
        <f t="shared" si="96"/>
        <v>Roelof Johannes</v>
      </c>
      <c r="F495" s="2" t="s">
        <v>3790</v>
      </c>
      <c r="G495" s="12" t="str">
        <f t="shared" si="87"/>
        <v>a1b4c1d5e4f7</v>
      </c>
      <c r="H495" s="12" t="str">
        <f t="shared" si="88"/>
        <v>DU PREEZa1b4c1d5e4f7</v>
      </c>
      <c r="J495" s="2" t="s">
        <v>3791</v>
      </c>
      <c r="K495" s="12" t="str">
        <f t="shared" si="89"/>
        <v>1802</v>
      </c>
      <c r="L495" s="2" t="s">
        <v>32</v>
      </c>
      <c r="M495" s="2" t="s">
        <v>3792</v>
      </c>
      <c r="N495" s="12" t="str">
        <f t="shared" si="94"/>
        <v>1802</v>
      </c>
      <c r="O495" s="12" t="str">
        <f t="shared" si="95"/>
        <v>1803</v>
      </c>
      <c r="P495" s="2" t="s">
        <v>93</v>
      </c>
      <c r="Q495" s="12" t="str">
        <f t="shared" si="90"/>
        <v>1802</v>
      </c>
      <c r="R495" s="2" t="s">
        <v>3793</v>
      </c>
      <c r="S495" s="12" t="str">
        <f t="shared" si="91"/>
        <v>1875</v>
      </c>
      <c r="U495" s="2" t="s">
        <v>3794</v>
      </c>
      <c r="V495" s="12" t="str">
        <f t="shared" si="92"/>
        <v>1823</v>
      </c>
      <c r="W495" s="2" t="s">
        <v>3795</v>
      </c>
      <c r="X495" s="2" t="s">
        <v>1077</v>
      </c>
      <c r="AA495" s="2" t="s">
        <v>3796</v>
      </c>
      <c r="AC495" s="2" t="s">
        <v>1893</v>
      </c>
      <c r="AE495" s="2" t="s">
        <v>3797</v>
      </c>
      <c r="AF495" s="2" t="s">
        <v>3677</v>
      </c>
      <c r="AG495" s="2" t="s">
        <v>53</v>
      </c>
      <c r="AH495" s="2" t="s">
        <v>2479</v>
      </c>
      <c r="AI495" s="12" t="str">
        <f t="shared" si="93"/>
        <v>1836</v>
      </c>
      <c r="AJ495" s="2" t="s">
        <v>1696</v>
      </c>
      <c r="AK495" s="2" t="s">
        <v>93</v>
      </c>
      <c r="AL495" s="2" t="s">
        <v>140</v>
      </c>
      <c r="AM495" s="2" t="s">
        <v>3798</v>
      </c>
      <c r="AN495" s="2" t="s">
        <v>1757</v>
      </c>
      <c r="AO495" s="2" t="s">
        <v>3799</v>
      </c>
      <c r="AR495" s="2" t="s">
        <v>3800</v>
      </c>
      <c r="AV495" s="2">
        <v>1853</v>
      </c>
      <c r="AX495" s="2" t="s">
        <v>3801</v>
      </c>
      <c r="AY495" s="2" t="s">
        <v>3802</v>
      </c>
      <c r="AZ495" s="2" t="s">
        <v>3803</v>
      </c>
      <c r="BB495" s="2">
        <v>1803</v>
      </c>
    </row>
    <row r="496" spans="1:69">
      <c r="A496" s="2" t="s">
        <v>631</v>
      </c>
      <c r="B496" s="12" t="str">
        <f t="shared" si="85"/>
        <v>DUPREEZ</v>
      </c>
      <c r="C496" s="12" t="str">
        <f t="shared" si="86"/>
        <v>DU PREEZ</v>
      </c>
      <c r="D496" s="2" t="s">
        <v>891</v>
      </c>
      <c r="E496" s="12" t="str">
        <f t="shared" si="96"/>
        <v>Andries</v>
      </c>
      <c r="F496" s="2" t="s">
        <v>3671</v>
      </c>
      <c r="G496" s="12" t="str">
        <f t="shared" si="87"/>
        <v>a1b4c1d5e4f7g1</v>
      </c>
      <c r="H496" s="12" t="str">
        <f t="shared" si="88"/>
        <v>DU PREEZa1b4c1d5e4f7g1</v>
      </c>
      <c r="J496" s="2" t="s">
        <v>3672</v>
      </c>
      <c r="K496" s="12" t="str">
        <f t="shared" si="89"/>
        <v>1824</v>
      </c>
      <c r="N496" s="12" t="str">
        <f t="shared" si="94"/>
        <v>1824</v>
      </c>
      <c r="O496" s="12" t="str">
        <f t="shared" si="95"/>
        <v/>
      </c>
      <c r="P496" s="2" t="s">
        <v>93</v>
      </c>
      <c r="Q496" s="12" t="str">
        <f t="shared" si="90"/>
        <v>1824</v>
      </c>
      <c r="R496" s="2" t="s">
        <v>3673</v>
      </c>
      <c r="S496" s="12" t="str">
        <f t="shared" si="91"/>
        <v>1881</v>
      </c>
      <c r="U496" s="2" t="s">
        <v>3674</v>
      </c>
      <c r="V496" s="12" t="str">
        <f t="shared" si="92"/>
        <v>1846</v>
      </c>
      <c r="W496" s="2" t="s">
        <v>819</v>
      </c>
      <c r="X496" s="2" t="s">
        <v>1077</v>
      </c>
      <c r="AA496" s="2" t="s">
        <v>3675</v>
      </c>
      <c r="AB496" s="2" t="s">
        <v>53</v>
      </c>
      <c r="AC496" s="2" t="s">
        <v>3676</v>
      </c>
      <c r="AF496" s="2" t="s">
        <v>3677</v>
      </c>
      <c r="AG496" s="2" t="s">
        <v>53</v>
      </c>
      <c r="AH496" s="2" t="s">
        <v>2479</v>
      </c>
      <c r="AI496" s="12" t="str">
        <f t="shared" si="93"/>
        <v>1836</v>
      </c>
      <c r="AJ496" s="2" t="s">
        <v>1696</v>
      </c>
      <c r="AK496" s="2" t="s">
        <v>93</v>
      </c>
    </row>
    <row r="497" spans="1:69">
      <c r="A497" s="12" t="s">
        <v>631</v>
      </c>
      <c r="B497" s="12" t="str">
        <f t="shared" si="85"/>
        <v>DUPREEZ</v>
      </c>
      <c r="C497" s="12" t="str">
        <f t="shared" si="86"/>
        <v>DU PREEZ</v>
      </c>
      <c r="D497" s="12" t="s">
        <v>3761</v>
      </c>
      <c r="E497" s="12" t="str">
        <f t="shared" si="96"/>
        <v>Johannes Petrus</v>
      </c>
      <c r="F497" s="12" t="s">
        <v>3762</v>
      </c>
      <c r="G497" s="12" t="str">
        <f t="shared" si="87"/>
        <v>a1b4c2d1e3</v>
      </c>
      <c r="H497" s="12" t="str">
        <f t="shared" si="88"/>
        <v>DU PREEZa1b4c2d1e3</v>
      </c>
      <c r="I497" s="12"/>
      <c r="J497" s="12"/>
      <c r="K497" s="12" t="str">
        <f t="shared" si="89"/>
        <v/>
      </c>
      <c r="L497" s="12" t="s">
        <v>74</v>
      </c>
      <c r="M497" s="12" t="s">
        <v>2233</v>
      </c>
      <c r="N497" s="12" t="str">
        <f t="shared" si="94"/>
        <v/>
      </c>
      <c r="O497" s="12" t="str">
        <f t="shared" si="95"/>
        <v>1772</v>
      </c>
      <c r="P497" s="12"/>
      <c r="Q497" s="12" t="str">
        <f t="shared" si="90"/>
        <v>1772</v>
      </c>
      <c r="R497" s="12"/>
      <c r="S497" s="12" t="str">
        <f t="shared" si="91"/>
        <v/>
      </c>
      <c r="T497" s="12"/>
      <c r="U497" s="12" t="s">
        <v>3763</v>
      </c>
      <c r="V497" s="12" t="str">
        <f t="shared" si="92"/>
        <v>1802</v>
      </c>
      <c r="W497" s="12" t="s">
        <v>3764</v>
      </c>
      <c r="X497" s="12" t="s">
        <v>3765</v>
      </c>
      <c r="Y497" s="12" t="s">
        <v>930</v>
      </c>
      <c r="Z497" s="12"/>
      <c r="AA497" s="12"/>
      <c r="AB497" s="12"/>
      <c r="AC497" s="12" t="s">
        <v>3766</v>
      </c>
      <c r="AD497" s="12"/>
      <c r="AE497" s="12"/>
      <c r="AF497" s="12"/>
      <c r="AG497" s="12" t="s">
        <v>74</v>
      </c>
      <c r="AH497" s="12" t="s">
        <v>1789</v>
      </c>
      <c r="AI497" s="12" t="str">
        <f t="shared" si="93"/>
        <v>1836</v>
      </c>
      <c r="AJ497" s="12"/>
      <c r="AK497" s="12" t="s">
        <v>168</v>
      </c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</row>
    <row r="498" spans="1:69">
      <c r="A498" s="12" t="s">
        <v>631</v>
      </c>
      <c r="B498" s="12" t="str">
        <f t="shared" si="85"/>
        <v>DUPREEZ</v>
      </c>
      <c r="C498" s="12" t="str">
        <f t="shared" si="86"/>
        <v>DU PREEZ</v>
      </c>
      <c r="D498" s="12" t="s">
        <v>201</v>
      </c>
      <c r="E498" s="12" t="str">
        <f t="shared" si="96"/>
        <v>Petrus Johannes</v>
      </c>
      <c r="F498" s="12" t="s">
        <v>3774</v>
      </c>
      <c r="G498" s="12" t="str">
        <f t="shared" si="87"/>
        <v>a1b4c2d1e3f3</v>
      </c>
      <c r="H498" s="12" t="str">
        <f t="shared" si="88"/>
        <v>DU PREEZa1b4c2d1e3f3</v>
      </c>
      <c r="I498" s="12"/>
      <c r="J498" s="12" t="s">
        <v>3775</v>
      </c>
      <c r="K498" s="12" t="str">
        <f t="shared" si="89"/>
        <v>1805</v>
      </c>
      <c r="L498" s="12"/>
      <c r="M498" s="12"/>
      <c r="N498" s="12" t="str">
        <f t="shared" si="94"/>
        <v>1805</v>
      </c>
      <c r="O498" s="12" t="str">
        <f t="shared" si="95"/>
        <v/>
      </c>
      <c r="P498" s="12"/>
      <c r="Q498" s="12" t="str">
        <f t="shared" si="90"/>
        <v>1805</v>
      </c>
      <c r="R498" s="12"/>
      <c r="S498" s="12" t="str">
        <f t="shared" si="91"/>
        <v/>
      </c>
      <c r="T498" s="12"/>
      <c r="U498" s="12"/>
      <c r="V498" s="12" t="str">
        <f t="shared" si="92"/>
        <v/>
      </c>
      <c r="W498" s="12" t="s">
        <v>3776</v>
      </c>
      <c r="X498" s="12" t="s">
        <v>3777</v>
      </c>
      <c r="Y498" s="12"/>
      <c r="Z498" s="12"/>
      <c r="AA498" s="12"/>
      <c r="AB498" s="12"/>
      <c r="AC498" s="12"/>
      <c r="AD498" s="12"/>
      <c r="AE498" s="12"/>
      <c r="AF498" s="12"/>
      <c r="AG498" s="12" t="s">
        <v>74</v>
      </c>
      <c r="AH498" s="12">
        <v>1836</v>
      </c>
      <c r="AI498" s="12" t="str">
        <f t="shared" si="93"/>
        <v>1836</v>
      </c>
      <c r="AJ498" s="12"/>
      <c r="AK498" s="12" t="s">
        <v>1864</v>
      </c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</row>
    <row r="499" spans="1:69">
      <c r="A499" s="12" t="s">
        <v>631</v>
      </c>
      <c r="B499" s="12" t="str">
        <f t="shared" si="85"/>
        <v>DUPREEZ</v>
      </c>
      <c r="C499" s="12" t="str">
        <f t="shared" si="86"/>
        <v>DU PREEZ</v>
      </c>
      <c r="D499" s="12" t="s">
        <v>2586</v>
      </c>
      <c r="E499" s="12" t="str">
        <f t="shared" si="96"/>
        <v>Hendrik Stephanus</v>
      </c>
      <c r="F499" s="12" t="s">
        <v>3737</v>
      </c>
      <c r="G499" s="12" t="str">
        <f t="shared" si="87"/>
        <v>a1b4c2d1e3f8</v>
      </c>
      <c r="H499" s="12" t="str">
        <f t="shared" si="88"/>
        <v>DU PREEZa1b4c2d1e3f8</v>
      </c>
      <c r="I499" s="12"/>
      <c r="J499" s="12" t="s">
        <v>3738</v>
      </c>
      <c r="K499" s="12" t="str">
        <f t="shared" si="89"/>
        <v>1819</v>
      </c>
      <c r="L499" s="12"/>
      <c r="M499" s="12"/>
      <c r="N499" s="12" t="str">
        <f t="shared" si="94"/>
        <v>1819</v>
      </c>
      <c r="O499" s="12" t="str">
        <f t="shared" si="95"/>
        <v/>
      </c>
      <c r="P499" s="12" t="s">
        <v>3739</v>
      </c>
      <c r="Q499" s="12" t="str">
        <f t="shared" si="90"/>
        <v>1819</v>
      </c>
      <c r="R499" s="12" t="s">
        <v>3740</v>
      </c>
      <c r="S499" s="12" t="str">
        <f t="shared" si="91"/>
        <v>1889</v>
      </c>
      <c r="T499" s="12"/>
      <c r="U499" s="12"/>
      <c r="V499" s="12" t="str">
        <f t="shared" si="92"/>
        <v/>
      </c>
      <c r="W499" s="12" t="s">
        <v>3741</v>
      </c>
      <c r="X499" s="12" t="s">
        <v>1675</v>
      </c>
      <c r="Y499" s="12" t="s">
        <v>3742</v>
      </c>
      <c r="Z499" s="12"/>
      <c r="AA499" s="12" t="s">
        <v>3743</v>
      </c>
      <c r="AB499" s="12"/>
      <c r="AC499" s="12"/>
      <c r="AD499" s="12" t="s">
        <v>3739</v>
      </c>
      <c r="AE499" s="12" t="s">
        <v>3744</v>
      </c>
      <c r="AF499" s="12"/>
      <c r="AG499" s="12" t="s">
        <v>74</v>
      </c>
      <c r="AH499" s="12" t="s">
        <v>1789</v>
      </c>
      <c r="AI499" s="12" t="str">
        <f t="shared" si="93"/>
        <v>1836</v>
      </c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</row>
    <row r="500" spans="1:69">
      <c r="A500" s="12" t="s">
        <v>631</v>
      </c>
      <c r="B500" s="12" t="str">
        <f t="shared" si="85"/>
        <v>DUPREEZ</v>
      </c>
      <c r="C500" s="12" t="str">
        <f t="shared" si="86"/>
        <v>DU PREEZ</v>
      </c>
      <c r="D500" s="12" t="s">
        <v>3733</v>
      </c>
      <c r="E500" s="12" t="str">
        <f t="shared" si="96"/>
        <v>Daniel Johannes Lodewicus Hermanus</v>
      </c>
      <c r="F500" s="12" t="s">
        <v>3734</v>
      </c>
      <c r="G500" s="12" t="str">
        <f t="shared" si="87"/>
        <v>a1b6c4d2e10</v>
      </c>
      <c r="H500" s="12" t="str">
        <f t="shared" si="88"/>
        <v>DU PREEZa1b6c4d2e10</v>
      </c>
      <c r="I500" s="12"/>
      <c r="J500" s="12"/>
      <c r="K500" s="12" t="str">
        <f t="shared" si="89"/>
        <v/>
      </c>
      <c r="L500" s="12"/>
      <c r="M500" s="12"/>
      <c r="N500" s="12" t="str">
        <f t="shared" si="94"/>
        <v/>
      </c>
      <c r="O500" s="12" t="str">
        <f t="shared" si="95"/>
        <v/>
      </c>
      <c r="P500" s="12"/>
      <c r="Q500" s="12" t="str">
        <f t="shared" si="90"/>
        <v/>
      </c>
      <c r="R500" s="12"/>
      <c r="S500" s="12" t="str">
        <f t="shared" si="91"/>
        <v/>
      </c>
      <c r="U500" s="12"/>
      <c r="V500" s="12" t="str">
        <f t="shared" si="92"/>
        <v/>
      </c>
      <c r="W500" s="12"/>
      <c r="X500" s="12"/>
      <c r="Y500" s="12"/>
      <c r="Z500" s="12"/>
      <c r="AA500" s="12"/>
      <c r="AB500" s="12"/>
      <c r="AC500" s="12"/>
      <c r="AD500" s="12"/>
      <c r="AE500" s="12"/>
      <c r="AF500" s="12" t="s">
        <v>3735</v>
      </c>
      <c r="AG500" s="12" t="s">
        <v>199</v>
      </c>
      <c r="AH500" s="12" t="s">
        <v>479</v>
      </c>
      <c r="AI500" s="12" t="str">
        <f t="shared" si="93"/>
        <v>1838</v>
      </c>
      <c r="AJ500" s="12" t="s">
        <v>1502</v>
      </c>
      <c r="AK500" s="12" t="s">
        <v>3736</v>
      </c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</row>
    <row r="501" spans="1:69">
      <c r="A501" s="12" t="s">
        <v>631</v>
      </c>
      <c r="B501" s="12" t="str">
        <f t="shared" si="85"/>
        <v>DUPREEZ</v>
      </c>
      <c r="C501" s="12" t="str">
        <f t="shared" si="86"/>
        <v>DU PREEZ</v>
      </c>
      <c r="D501" s="2" t="s">
        <v>3760</v>
      </c>
      <c r="E501" s="12" t="str">
        <f t="shared" si="96"/>
        <v>Johannes Lodewicus</v>
      </c>
      <c r="F501" s="2" t="s">
        <v>3767</v>
      </c>
      <c r="G501" s="12" t="str">
        <f t="shared" si="87"/>
        <v>a1b6c4d2e10f1</v>
      </c>
      <c r="H501" s="12" t="str">
        <f t="shared" si="88"/>
        <v>DU PREEZa1b6c4d2e10f1</v>
      </c>
      <c r="K501" s="12" t="str">
        <f t="shared" si="89"/>
        <v/>
      </c>
      <c r="M501" s="2" t="s">
        <v>3768</v>
      </c>
      <c r="N501" s="12" t="str">
        <f t="shared" si="94"/>
        <v/>
      </c>
      <c r="O501" s="12" t="str">
        <f t="shared" si="95"/>
        <v>1803</v>
      </c>
      <c r="P501" s="2" t="s">
        <v>134</v>
      </c>
      <c r="Q501" s="12" t="str">
        <f t="shared" si="90"/>
        <v>1803</v>
      </c>
      <c r="R501" s="2">
        <v>1849</v>
      </c>
      <c r="S501" s="12" t="str">
        <f t="shared" si="91"/>
        <v>1849</v>
      </c>
      <c r="V501" s="12" t="str">
        <f t="shared" si="92"/>
        <v/>
      </c>
      <c r="W501" s="2" t="s">
        <v>3503</v>
      </c>
      <c r="X501" s="2" t="s">
        <v>2427</v>
      </c>
      <c r="Y501" s="2" t="s">
        <v>3769</v>
      </c>
      <c r="AA501" s="2" t="s">
        <v>2444</v>
      </c>
      <c r="AB501" s="2" t="s">
        <v>32</v>
      </c>
      <c r="AC501" s="2" t="s">
        <v>3770</v>
      </c>
      <c r="AD501" s="2" t="s">
        <v>134</v>
      </c>
      <c r="AE501" s="2">
        <v>1849</v>
      </c>
      <c r="AF501" s="2" t="s">
        <v>3735</v>
      </c>
      <c r="AG501" s="2" t="s">
        <v>199</v>
      </c>
      <c r="AH501" s="2">
        <v>1840</v>
      </c>
      <c r="AI501" s="12" t="str">
        <f t="shared" si="93"/>
        <v>1840</v>
      </c>
      <c r="AK501" s="2" t="s">
        <v>140</v>
      </c>
    </row>
    <row r="502" spans="1:69">
      <c r="A502" s="2" t="s">
        <v>631</v>
      </c>
      <c r="B502" s="12" t="str">
        <f t="shared" si="85"/>
        <v>DUPREEZ</v>
      </c>
      <c r="C502" s="12" t="str">
        <f t="shared" si="86"/>
        <v>DU PREEZ</v>
      </c>
      <c r="D502" s="2" t="s">
        <v>3778</v>
      </c>
      <c r="E502" s="12" t="str">
        <f t="shared" si="96"/>
        <v>Pieter Daniel Andreas Salomon</v>
      </c>
      <c r="F502" s="2" t="s">
        <v>3779</v>
      </c>
      <c r="G502" s="12" t="str">
        <f t="shared" si="87"/>
        <v>a1b6c4d2e10f5</v>
      </c>
      <c r="H502" s="12" t="str">
        <f t="shared" si="88"/>
        <v>DU PREEZa1b6c4d2e10f5</v>
      </c>
      <c r="I502" s="2" t="s">
        <v>3697</v>
      </c>
      <c r="J502" s="2" t="s">
        <v>3780</v>
      </c>
      <c r="K502" s="12" t="str">
        <f t="shared" si="89"/>
        <v>1807</v>
      </c>
      <c r="M502" s="2" t="s">
        <v>3781</v>
      </c>
      <c r="N502" s="12" t="str">
        <f t="shared" si="94"/>
        <v>1807</v>
      </c>
      <c r="O502" s="12" t="str">
        <f t="shared" si="95"/>
        <v>1809</v>
      </c>
      <c r="P502" s="2" t="s">
        <v>3782</v>
      </c>
      <c r="Q502" s="12" t="str">
        <f t="shared" si="90"/>
        <v>1807</v>
      </c>
      <c r="R502" s="2" t="s">
        <v>3783</v>
      </c>
      <c r="S502" s="12" t="str">
        <f t="shared" si="91"/>
        <v>1889</v>
      </c>
      <c r="T502" s="2" t="s">
        <v>74</v>
      </c>
      <c r="U502" s="2" t="s">
        <v>44</v>
      </c>
      <c r="V502" s="12" t="str">
        <f t="shared" si="92"/>
        <v>1826</v>
      </c>
      <c r="W502" s="2" t="s">
        <v>3784</v>
      </c>
      <c r="X502" s="2" t="s">
        <v>2136</v>
      </c>
      <c r="AD502" s="2" t="s">
        <v>474</v>
      </c>
      <c r="AE502" s="2" t="s">
        <v>301</v>
      </c>
      <c r="AF502" s="2" t="s">
        <v>3735</v>
      </c>
      <c r="AG502" s="2" t="s">
        <v>199</v>
      </c>
      <c r="AH502" s="2" t="s">
        <v>3785</v>
      </c>
      <c r="AI502" s="12" t="str">
        <f t="shared" si="93"/>
        <v>1836</v>
      </c>
      <c r="AJ502" s="2" t="s">
        <v>1502</v>
      </c>
      <c r="AK502" s="2" t="s">
        <v>3736</v>
      </c>
      <c r="AL502" s="2" t="s">
        <v>168</v>
      </c>
      <c r="AM502" s="2" t="s">
        <v>3693</v>
      </c>
      <c r="AN502" s="2" t="s">
        <v>3786</v>
      </c>
      <c r="AO502" s="2" t="s">
        <v>669</v>
      </c>
      <c r="AP502" s="2" t="s">
        <v>3787</v>
      </c>
      <c r="AT502" s="2" t="s">
        <v>3788</v>
      </c>
      <c r="AY502" s="2" t="s">
        <v>3789</v>
      </c>
      <c r="AZ502" s="2" t="s">
        <v>655</v>
      </c>
      <c r="BB502" s="2" t="s">
        <v>1096</v>
      </c>
      <c r="BE502" s="2" t="s">
        <v>3782</v>
      </c>
      <c r="BF502" s="2">
        <v>1901</v>
      </c>
    </row>
    <row r="503" spans="1:69">
      <c r="A503" s="2" t="s">
        <v>631</v>
      </c>
      <c r="B503" s="12" t="str">
        <f t="shared" si="85"/>
        <v>DUPREEZ</v>
      </c>
      <c r="C503" s="12" t="str">
        <f t="shared" si="86"/>
        <v>DU PREEZ</v>
      </c>
      <c r="D503" s="2" t="s">
        <v>3139</v>
      </c>
      <c r="E503" s="12" t="str">
        <f t="shared" si="96"/>
        <v>Jacobus Herculas</v>
      </c>
      <c r="F503" s="2" t="s">
        <v>3745</v>
      </c>
      <c r="G503" s="12" t="str">
        <f t="shared" si="87"/>
        <v>a1b6c4d2e6f1g1</v>
      </c>
      <c r="H503" s="12" t="str">
        <f t="shared" si="88"/>
        <v>DU PREEZa1b6c4d2e6f1g1</v>
      </c>
      <c r="J503" s="2" t="s">
        <v>3746</v>
      </c>
      <c r="K503" s="12" t="str">
        <f t="shared" si="89"/>
        <v>1813</v>
      </c>
      <c r="M503" s="2" t="s">
        <v>3747</v>
      </c>
      <c r="N503" s="12" t="str">
        <f t="shared" si="94"/>
        <v>1813</v>
      </c>
      <c r="O503" s="12" t="str">
        <f t="shared" si="95"/>
        <v>1813</v>
      </c>
      <c r="Q503" s="12" t="str">
        <f t="shared" si="90"/>
        <v>1813</v>
      </c>
      <c r="S503" s="12" t="str">
        <f t="shared" si="91"/>
        <v/>
      </c>
      <c r="U503" s="2" t="s">
        <v>3748</v>
      </c>
      <c r="V503" s="12" t="str">
        <f t="shared" si="92"/>
        <v>1833</v>
      </c>
      <c r="W503" s="2" t="s">
        <v>692</v>
      </c>
      <c r="X503" s="2" t="s">
        <v>1167</v>
      </c>
      <c r="Y503" s="2" t="s">
        <v>3749</v>
      </c>
      <c r="AF503" s="2" t="s">
        <v>16</v>
      </c>
      <c r="AG503" s="2" t="s">
        <v>68</v>
      </c>
      <c r="AI503" s="12" t="str">
        <f t="shared" si="93"/>
        <v/>
      </c>
      <c r="AK503" s="2" t="s">
        <v>3387</v>
      </c>
      <c r="AL503" s="2" t="s">
        <v>190</v>
      </c>
      <c r="AM503" s="2" t="s">
        <v>3750</v>
      </c>
      <c r="AN503" s="2" t="s">
        <v>3751</v>
      </c>
      <c r="AO503" s="2" t="s">
        <v>777</v>
      </c>
    </row>
    <row r="504" spans="1:69">
      <c r="A504" s="2" t="s">
        <v>631</v>
      </c>
      <c r="B504" s="12" t="str">
        <f t="shared" si="85"/>
        <v>DUPREEZ</v>
      </c>
      <c r="C504" s="12" t="str">
        <f t="shared" si="86"/>
        <v>DU PREEZ</v>
      </c>
      <c r="D504" s="2" t="s">
        <v>3686</v>
      </c>
      <c r="E504" s="12" t="str">
        <f t="shared" si="96"/>
        <v>Casper Philippus</v>
      </c>
      <c r="F504" s="2" t="s">
        <v>3687</v>
      </c>
      <c r="G504" s="12" t="str">
        <f t="shared" si="87"/>
        <v>a1b6c4d2e6f5</v>
      </c>
      <c r="H504" s="12" t="str">
        <f t="shared" si="88"/>
        <v>DU PREEZa1b6c4d2e6f5</v>
      </c>
      <c r="K504" s="12" t="str">
        <f t="shared" si="89"/>
        <v/>
      </c>
      <c r="M504" s="2" t="s">
        <v>2920</v>
      </c>
      <c r="N504" s="12" t="str">
        <f t="shared" si="94"/>
        <v/>
      </c>
      <c r="O504" s="12" t="str">
        <f t="shared" si="95"/>
        <v>1807</v>
      </c>
      <c r="Q504" s="12" t="str">
        <f t="shared" si="90"/>
        <v>1807</v>
      </c>
      <c r="S504" s="12" t="str">
        <f t="shared" si="91"/>
        <v/>
      </c>
      <c r="V504" s="12" t="str">
        <f t="shared" si="92"/>
        <v/>
      </c>
      <c r="W504" s="2" t="s">
        <v>3688</v>
      </c>
      <c r="X504" s="2" t="s">
        <v>78</v>
      </c>
      <c r="Y504" s="2" t="s">
        <v>3689</v>
      </c>
      <c r="AA504" s="2" t="s">
        <v>3690</v>
      </c>
      <c r="AC504" s="2" t="s">
        <v>3691</v>
      </c>
      <c r="AF504" s="2" t="s">
        <v>16</v>
      </c>
      <c r="AG504" s="2" t="s">
        <v>68</v>
      </c>
      <c r="AH504" s="2">
        <v>1837</v>
      </c>
      <c r="AI504" s="12" t="str">
        <f t="shared" si="93"/>
        <v>1837</v>
      </c>
      <c r="AK504" s="2" t="s">
        <v>3692</v>
      </c>
      <c r="AM504" s="9" t="s">
        <v>3693</v>
      </c>
      <c r="AN504" s="2" t="s">
        <v>3694</v>
      </c>
      <c r="AO504" s="2" t="s">
        <v>669</v>
      </c>
    </row>
    <row r="505" spans="1:69">
      <c r="A505" s="2" t="s">
        <v>631</v>
      </c>
      <c r="B505" s="12" t="str">
        <f t="shared" si="85"/>
        <v>DUPREEZ</v>
      </c>
      <c r="C505" s="12" t="str">
        <f t="shared" si="86"/>
        <v>DU PREEZ</v>
      </c>
      <c r="D505" s="2" t="s">
        <v>3678</v>
      </c>
      <c r="E505" s="12" t="str">
        <f t="shared" si="96"/>
        <v>Barend Gerhardus</v>
      </c>
      <c r="F505" s="2" t="s">
        <v>3679</v>
      </c>
      <c r="G505" s="12" t="str">
        <f t="shared" si="87"/>
        <v>a1b6c4d2e6f8</v>
      </c>
      <c r="H505" s="12" t="str">
        <f t="shared" si="88"/>
        <v>DU PREEZa1b6c4d2e6f8</v>
      </c>
      <c r="J505" s="2" t="s">
        <v>3680</v>
      </c>
      <c r="K505" s="12" t="str">
        <f t="shared" si="89"/>
        <v>1813</v>
      </c>
      <c r="M505" s="2" t="s">
        <v>3681</v>
      </c>
      <c r="N505" s="12" t="str">
        <f t="shared" si="94"/>
        <v>1813</v>
      </c>
      <c r="O505" s="12" t="str">
        <f t="shared" si="95"/>
        <v>1813</v>
      </c>
      <c r="P505" s="2" t="s">
        <v>120</v>
      </c>
      <c r="Q505" s="12" t="str">
        <f t="shared" si="90"/>
        <v>1813</v>
      </c>
      <c r="R505" s="2" t="s">
        <v>3682</v>
      </c>
      <c r="S505" s="12" t="str">
        <f t="shared" si="91"/>
        <v>1892</v>
      </c>
      <c r="V505" s="12" t="str">
        <f t="shared" si="92"/>
        <v/>
      </c>
      <c r="W505" s="2" t="s">
        <v>3683</v>
      </c>
      <c r="X505" s="2" t="s">
        <v>667</v>
      </c>
      <c r="AA505" s="2">
        <v>1816</v>
      </c>
      <c r="AD505" s="2" t="s">
        <v>3684</v>
      </c>
      <c r="AE505" s="2" t="s">
        <v>3685</v>
      </c>
      <c r="AF505" s="2" t="s">
        <v>16</v>
      </c>
      <c r="AG505" s="2" t="s">
        <v>68</v>
      </c>
      <c r="AH505" s="2">
        <v>1837</v>
      </c>
      <c r="AI505" s="12" t="str">
        <f t="shared" si="93"/>
        <v>1837</v>
      </c>
      <c r="AK505" s="2" t="s">
        <v>120</v>
      </c>
    </row>
    <row r="506" spans="1:69">
      <c r="A506" s="2" t="s">
        <v>772</v>
      </c>
      <c r="B506" s="12" t="str">
        <f t="shared" si="85"/>
        <v>DUTOIT</v>
      </c>
      <c r="C506" s="12" t="str">
        <f t="shared" si="86"/>
        <v>DU TOIT</v>
      </c>
      <c r="D506" s="2" t="s">
        <v>3884</v>
      </c>
      <c r="E506" s="12" t="str">
        <f t="shared" si="96"/>
        <v>Gerhardus Johannes</v>
      </c>
      <c r="F506" s="2" t="s">
        <v>3885</v>
      </c>
      <c r="G506" s="12" t="str">
        <f t="shared" si="87"/>
        <v>a1b1c6d10e1f2</v>
      </c>
      <c r="H506" s="12" t="str">
        <f t="shared" si="88"/>
        <v>DU TOITa1b1c6d10e1f2</v>
      </c>
      <c r="I506" s="2" t="s">
        <v>74</v>
      </c>
      <c r="J506" s="2" t="s">
        <v>3886</v>
      </c>
      <c r="K506" s="12" t="str">
        <f t="shared" si="89"/>
        <v>1817</v>
      </c>
      <c r="L506" s="2" t="s">
        <v>74</v>
      </c>
      <c r="M506" s="2" t="s">
        <v>3887</v>
      </c>
      <c r="N506" s="12" t="str">
        <f t="shared" si="94"/>
        <v>1817</v>
      </c>
      <c r="O506" s="12" t="str">
        <f t="shared" si="95"/>
        <v>1817</v>
      </c>
      <c r="P506" s="2" t="s">
        <v>1092</v>
      </c>
      <c r="Q506" s="12" t="str">
        <f t="shared" si="90"/>
        <v>1817</v>
      </c>
      <c r="R506" s="2" t="s">
        <v>3888</v>
      </c>
      <c r="S506" s="12" t="str">
        <f t="shared" si="91"/>
        <v>1899</v>
      </c>
      <c r="T506" s="2" t="s">
        <v>68</v>
      </c>
      <c r="U506" s="2" t="s">
        <v>3889</v>
      </c>
      <c r="V506" s="12" t="str">
        <f t="shared" si="92"/>
        <v>1836</v>
      </c>
      <c r="W506" s="2" t="s">
        <v>3890</v>
      </c>
      <c r="AA506" s="2" t="s">
        <v>3891</v>
      </c>
      <c r="AB506" s="2" t="s">
        <v>74</v>
      </c>
      <c r="AC506" s="2" t="s">
        <v>3892</v>
      </c>
      <c r="AD506" s="2" t="s">
        <v>3893</v>
      </c>
      <c r="AE506" s="2" t="s">
        <v>3894</v>
      </c>
      <c r="AG506" s="2" t="s">
        <v>68</v>
      </c>
      <c r="AH506" s="2" t="s">
        <v>1159</v>
      </c>
      <c r="AI506" s="12" t="str">
        <f t="shared" si="93"/>
        <v>1836</v>
      </c>
      <c r="AJ506" s="2" t="s">
        <v>1404</v>
      </c>
      <c r="AK506" s="2" t="s">
        <v>3384</v>
      </c>
      <c r="AM506" s="2">
        <v>1851</v>
      </c>
      <c r="AN506" s="2" t="s">
        <v>3895</v>
      </c>
      <c r="AO506" s="2" t="s">
        <v>726</v>
      </c>
      <c r="AR506" s="2">
        <v>1828</v>
      </c>
      <c r="AU506" s="2" t="s">
        <v>1092</v>
      </c>
      <c r="AV506" s="1">
        <v>312</v>
      </c>
    </row>
    <row r="507" spans="1:69">
      <c r="A507" s="2" t="s">
        <v>772</v>
      </c>
      <c r="B507" s="12" t="str">
        <f t="shared" si="85"/>
        <v>DUTOIT</v>
      </c>
      <c r="C507" s="12" t="str">
        <f t="shared" si="86"/>
        <v>DU TOIT</v>
      </c>
      <c r="D507" s="2" t="s">
        <v>3960</v>
      </c>
      <c r="E507" s="12" t="str">
        <f t="shared" si="96"/>
        <v>Roelof Petrus</v>
      </c>
      <c r="F507" s="2" t="s">
        <v>3961</v>
      </c>
      <c r="G507" s="12" t="str">
        <f t="shared" si="87"/>
        <v>a1b1c6d10e2</v>
      </c>
      <c r="H507" s="12" t="str">
        <f t="shared" si="88"/>
        <v>DU TOITa1b1c6d10e2</v>
      </c>
      <c r="K507" s="12" t="str">
        <f t="shared" si="89"/>
        <v/>
      </c>
      <c r="M507" s="2" t="s">
        <v>3962</v>
      </c>
      <c r="N507" s="12" t="str">
        <f t="shared" si="94"/>
        <v/>
      </c>
      <c r="O507" s="12" t="str">
        <f t="shared" si="95"/>
        <v>1796</v>
      </c>
      <c r="P507" s="2" t="s">
        <v>67</v>
      </c>
      <c r="Q507" s="12" t="str">
        <f t="shared" si="90"/>
        <v>1796</v>
      </c>
      <c r="R507" s="2" t="s">
        <v>3963</v>
      </c>
      <c r="S507" s="12" t="str">
        <f t="shared" si="91"/>
        <v>1880</v>
      </c>
      <c r="T507" s="2" t="s">
        <v>32</v>
      </c>
      <c r="U507" s="2" t="s">
        <v>1117</v>
      </c>
      <c r="V507" s="12" t="str">
        <f t="shared" si="92"/>
        <v>1818</v>
      </c>
      <c r="W507" s="2" t="s">
        <v>3964</v>
      </c>
      <c r="X507" s="2" t="s">
        <v>2556</v>
      </c>
      <c r="Y507" s="2" t="s">
        <v>3965</v>
      </c>
      <c r="AC507" s="2" t="s">
        <v>3966</v>
      </c>
      <c r="AD507" s="2" t="s">
        <v>3698</v>
      </c>
      <c r="AE507" s="2" t="s">
        <v>3967</v>
      </c>
      <c r="AG507" s="2" t="s">
        <v>366</v>
      </c>
      <c r="AH507" s="2" t="s">
        <v>1159</v>
      </c>
      <c r="AI507" s="12" t="str">
        <f t="shared" si="93"/>
        <v>1836</v>
      </c>
      <c r="AK507" s="2" t="s">
        <v>3698</v>
      </c>
    </row>
    <row r="508" spans="1:69">
      <c r="A508" s="2" t="s">
        <v>772</v>
      </c>
      <c r="B508" s="12" t="str">
        <f t="shared" si="85"/>
        <v>DUTOIT</v>
      </c>
      <c r="C508" s="12" t="str">
        <f t="shared" si="86"/>
        <v>DU TOIT</v>
      </c>
      <c r="D508" s="2" t="s">
        <v>3954</v>
      </c>
      <c r="E508" s="12" t="str">
        <f t="shared" si="96"/>
        <v>Petrus Hendrik Stephanus</v>
      </c>
      <c r="F508" s="2" t="s">
        <v>3955</v>
      </c>
      <c r="G508" s="12" t="str">
        <f t="shared" si="87"/>
        <v>a1b1c6d10e2f2</v>
      </c>
      <c r="H508" s="12" t="str">
        <f t="shared" si="88"/>
        <v>DU TOITa1b1c6d10e2f2</v>
      </c>
      <c r="J508" s="2" t="s">
        <v>3956</v>
      </c>
      <c r="K508" s="12" t="str">
        <f t="shared" si="89"/>
        <v>1821</v>
      </c>
      <c r="L508" s="2" t="s">
        <v>366</v>
      </c>
      <c r="M508" s="2" t="s">
        <v>1583</v>
      </c>
      <c r="N508" s="12" t="str">
        <f t="shared" si="94"/>
        <v>1821</v>
      </c>
      <c r="O508" s="12" t="str">
        <f t="shared" si="95"/>
        <v>1821</v>
      </c>
      <c r="P508" s="2" t="s">
        <v>140</v>
      </c>
      <c r="Q508" s="12" t="str">
        <f t="shared" si="90"/>
        <v>1821</v>
      </c>
      <c r="R508" s="2" t="s">
        <v>3957</v>
      </c>
      <c r="S508" s="12" t="str">
        <f t="shared" si="91"/>
        <v>1902</v>
      </c>
      <c r="T508" s="2" t="s">
        <v>140</v>
      </c>
      <c r="V508" s="12" t="str">
        <f t="shared" si="92"/>
        <v/>
      </c>
      <c r="W508" s="2" t="s">
        <v>1419</v>
      </c>
      <c r="X508" s="2" t="s">
        <v>636</v>
      </c>
      <c r="AA508" s="2">
        <v>1829</v>
      </c>
      <c r="AD508" s="2" t="s">
        <v>3698</v>
      </c>
      <c r="AE508" s="2" t="s">
        <v>3958</v>
      </c>
      <c r="AG508" s="2" t="s">
        <v>366</v>
      </c>
      <c r="AH508" s="2" t="s">
        <v>1159</v>
      </c>
      <c r="AI508" s="12" t="str">
        <f t="shared" si="93"/>
        <v>1836</v>
      </c>
      <c r="AK508" s="2" t="s">
        <v>3698</v>
      </c>
      <c r="BQ508" s="2" t="s">
        <v>3959</v>
      </c>
    </row>
    <row r="509" spans="1:69">
      <c r="A509" s="2" t="s">
        <v>772</v>
      </c>
      <c r="B509" s="12" t="str">
        <f t="shared" si="85"/>
        <v>DUTOIT</v>
      </c>
      <c r="C509" s="12" t="str">
        <f t="shared" si="86"/>
        <v>DU TOIT</v>
      </c>
      <c r="D509" s="2" t="s">
        <v>968</v>
      </c>
      <c r="E509" s="12" t="str">
        <f t="shared" si="96"/>
        <v>Andries Stephanus</v>
      </c>
      <c r="F509" s="2" t="s">
        <v>3823</v>
      </c>
      <c r="G509" s="12" t="str">
        <f t="shared" si="87"/>
        <v>a1b1c6d10e5</v>
      </c>
      <c r="H509" s="12" t="str">
        <f t="shared" si="88"/>
        <v>DU TOITa1b1c6d10e5</v>
      </c>
      <c r="I509" s="2" t="s">
        <v>3190</v>
      </c>
      <c r="J509" s="2" t="s">
        <v>2502</v>
      </c>
      <c r="K509" s="12" t="str">
        <f t="shared" si="89"/>
        <v>1806</v>
      </c>
      <c r="L509" s="2" t="s">
        <v>961</v>
      </c>
      <c r="M509" s="2" t="s">
        <v>1199</v>
      </c>
      <c r="N509" s="12" t="str">
        <f t="shared" si="94"/>
        <v>1806</v>
      </c>
      <c r="O509" s="12" t="str">
        <f t="shared" si="95"/>
        <v>1806</v>
      </c>
      <c r="P509" s="2" t="s">
        <v>3698</v>
      </c>
      <c r="Q509" s="12" t="str">
        <f t="shared" si="90"/>
        <v>1806</v>
      </c>
      <c r="R509" s="2" t="s">
        <v>3824</v>
      </c>
      <c r="S509" s="12" t="str">
        <f t="shared" si="91"/>
        <v>1889</v>
      </c>
      <c r="T509" s="2" t="s">
        <v>366</v>
      </c>
      <c r="U509" s="2" t="s">
        <v>3825</v>
      </c>
      <c r="V509" s="12" t="str">
        <f t="shared" si="92"/>
        <v>1827</v>
      </c>
      <c r="W509" s="2" t="s">
        <v>1917</v>
      </c>
      <c r="X509" s="2" t="s">
        <v>1824</v>
      </c>
      <c r="Z509" s="2" t="s">
        <v>366</v>
      </c>
      <c r="AA509" s="2" t="s">
        <v>3826</v>
      </c>
      <c r="AB509" s="2" t="s">
        <v>1071</v>
      </c>
      <c r="AC509" s="2" t="s">
        <v>3827</v>
      </c>
      <c r="AE509" s="2">
        <v>1863</v>
      </c>
      <c r="AF509" s="2" t="s">
        <v>3702</v>
      </c>
      <c r="AG509" s="2" t="s">
        <v>366</v>
      </c>
      <c r="AH509" s="2" t="s">
        <v>390</v>
      </c>
      <c r="AI509" s="12" t="str">
        <f t="shared" si="93"/>
        <v>1837</v>
      </c>
      <c r="AJ509" s="2" t="s">
        <v>413</v>
      </c>
      <c r="AK509" s="2" t="s">
        <v>140</v>
      </c>
      <c r="AL509" s="2" t="s">
        <v>67</v>
      </c>
      <c r="AM509" s="2" t="s">
        <v>3828</v>
      </c>
      <c r="AN509" s="2" t="s">
        <v>692</v>
      </c>
      <c r="AO509" s="2" t="s">
        <v>728</v>
      </c>
      <c r="AR509" s="2">
        <v>1820</v>
      </c>
    </row>
    <row r="510" spans="1:69">
      <c r="A510" s="2" t="s">
        <v>772</v>
      </c>
      <c r="B510" s="12" t="str">
        <f t="shared" ref="B510:B573" si="97">SUBSTITUTE(A510," ","")</f>
        <v>DUTOIT</v>
      </c>
      <c r="C510" s="12" t="str">
        <f t="shared" ref="C510:C573" si="98">TRIM(A510)</f>
        <v>DU TOIT</v>
      </c>
      <c r="D510" s="2" t="s">
        <v>3808</v>
      </c>
      <c r="E510" s="12" t="str">
        <f t="shared" si="96"/>
        <v>Albertus Hendrik Adriaan</v>
      </c>
      <c r="F510" s="2" t="s">
        <v>3809</v>
      </c>
      <c r="G510" s="12" t="str">
        <f t="shared" ref="G510:G573" si="99">IF(LEFT(F510,1)="b","a1"&amp;F510,F510)</f>
        <v>a1b5c7d1e1f4</v>
      </c>
      <c r="H510" s="12" t="str">
        <f t="shared" ref="H510:H573" si="100">C510&amp;G510</f>
        <v>DU TOITa1b5c7d1e1f4</v>
      </c>
      <c r="J510" s="2" t="s">
        <v>3810</v>
      </c>
      <c r="K510" s="12" t="str">
        <f t="shared" ref="K510:K573" si="101">RIGHT(J510,4)</f>
        <v>1810</v>
      </c>
      <c r="L510" s="2" t="s">
        <v>32</v>
      </c>
      <c r="M510" s="2" t="s">
        <v>3811</v>
      </c>
      <c r="N510" s="12" t="str">
        <f t="shared" si="94"/>
        <v>1810</v>
      </c>
      <c r="O510" s="12" t="str">
        <f t="shared" si="95"/>
        <v>1810</v>
      </c>
      <c r="P510" s="2" t="s">
        <v>1774</v>
      </c>
      <c r="Q510" s="12" t="str">
        <f t="shared" ref="Q510:Q573" si="102">IF(N510="",O510,N510)</f>
        <v>1810</v>
      </c>
      <c r="R510" s="2" t="s">
        <v>3812</v>
      </c>
      <c r="S510" s="12" t="str">
        <f t="shared" ref="S510:S573" si="103">RIGHT(R510,4)</f>
        <v>1885</v>
      </c>
      <c r="T510" s="2" t="s">
        <v>74</v>
      </c>
      <c r="U510" s="2" t="s">
        <v>3813</v>
      </c>
      <c r="V510" s="12" t="str">
        <f t="shared" ref="V510:V573" si="104">RIGHT(U510,4)</f>
        <v>1836</v>
      </c>
      <c r="W510" s="2" t="s">
        <v>3814</v>
      </c>
      <c r="X510" s="2" t="s">
        <v>662</v>
      </c>
      <c r="AA510" s="2" t="s">
        <v>3815</v>
      </c>
      <c r="AG510" s="2" t="s">
        <v>60</v>
      </c>
      <c r="AI510" s="12" t="str">
        <f t="shared" ref="AI510:AI573" si="105">RIGHT(AH510,4)</f>
        <v/>
      </c>
      <c r="AJ510" s="2" t="s">
        <v>481</v>
      </c>
      <c r="AK510" s="2" t="s">
        <v>1774</v>
      </c>
      <c r="AL510" s="2" t="s">
        <v>1774</v>
      </c>
      <c r="AM510" s="2" t="s">
        <v>3816</v>
      </c>
      <c r="AN510" s="2" t="s">
        <v>3817</v>
      </c>
      <c r="AO510" s="2" t="s">
        <v>725</v>
      </c>
      <c r="AR510" s="2" t="s">
        <v>3818</v>
      </c>
      <c r="AS510" s="2" t="s">
        <v>74</v>
      </c>
      <c r="AT510" s="2" t="s">
        <v>3819</v>
      </c>
      <c r="AY510" s="2" t="s">
        <v>819</v>
      </c>
      <c r="AZ510" s="2" t="s">
        <v>729</v>
      </c>
      <c r="BD510" s="2" t="s">
        <v>3820</v>
      </c>
      <c r="BE510" s="2" t="s">
        <v>3821</v>
      </c>
      <c r="BF510" s="2" t="s">
        <v>3822</v>
      </c>
    </row>
    <row r="511" spans="1:69">
      <c r="A511" s="2" t="s">
        <v>772</v>
      </c>
      <c r="B511" s="12" t="str">
        <f t="shared" si="97"/>
        <v>DUTOIT</v>
      </c>
      <c r="C511" s="12" t="str">
        <f t="shared" si="98"/>
        <v>DU TOIT</v>
      </c>
      <c r="D511" s="2" t="s">
        <v>3944</v>
      </c>
      <c r="E511" s="12" t="str">
        <f t="shared" si="96"/>
        <v>Nicolaas Johannes</v>
      </c>
      <c r="F511" s="2" t="s">
        <v>3945</v>
      </c>
      <c r="G511" s="12" t="str">
        <f t="shared" si="99"/>
        <v>a1b5c7d1e1f5</v>
      </c>
      <c r="H511" s="12" t="str">
        <f t="shared" si="100"/>
        <v>DU TOITa1b5c7d1e1f5</v>
      </c>
      <c r="J511" s="2" t="s">
        <v>3946</v>
      </c>
      <c r="K511" s="12" t="str">
        <f t="shared" si="101"/>
        <v>1813</v>
      </c>
      <c r="L511" s="2" t="s">
        <v>74</v>
      </c>
      <c r="M511" s="2" t="s">
        <v>3947</v>
      </c>
      <c r="N511" s="12" t="str">
        <f t="shared" si="94"/>
        <v>1813</v>
      </c>
      <c r="O511" s="12" t="str">
        <f t="shared" si="95"/>
        <v>1814</v>
      </c>
      <c r="P511" s="2" t="s">
        <v>566</v>
      </c>
      <c r="Q511" s="12" t="str">
        <f t="shared" si="102"/>
        <v>1813</v>
      </c>
      <c r="R511" s="2" t="s">
        <v>3948</v>
      </c>
      <c r="S511" s="12" t="str">
        <f t="shared" si="103"/>
        <v>1881</v>
      </c>
      <c r="T511" s="2" t="s">
        <v>74</v>
      </c>
      <c r="U511" s="2" t="s">
        <v>3949</v>
      </c>
      <c r="V511" s="12" t="str">
        <f t="shared" si="104"/>
        <v>1832</v>
      </c>
      <c r="W511" s="2" t="s">
        <v>3950</v>
      </c>
      <c r="X511" s="2" t="s">
        <v>1330</v>
      </c>
      <c r="Z511" s="2" t="s">
        <v>3951</v>
      </c>
      <c r="AA511" s="2" t="s">
        <v>3952</v>
      </c>
      <c r="AD511" s="2" t="s">
        <v>566</v>
      </c>
      <c r="AE511" s="2" t="s">
        <v>3953</v>
      </c>
      <c r="AG511" s="2" t="s">
        <v>60</v>
      </c>
      <c r="AH511" s="2">
        <v>1845</v>
      </c>
      <c r="AI511" s="12" t="str">
        <f t="shared" si="105"/>
        <v>1845</v>
      </c>
      <c r="AK511" s="2" t="s">
        <v>566</v>
      </c>
    </row>
    <row r="512" spans="1:69">
      <c r="A512" s="2" t="s">
        <v>772</v>
      </c>
      <c r="B512" s="12" t="str">
        <f t="shared" si="97"/>
        <v>DUTOIT</v>
      </c>
      <c r="C512" s="12" t="str">
        <f t="shared" si="98"/>
        <v>DU TOIT</v>
      </c>
      <c r="D512" s="2" t="s">
        <v>3451</v>
      </c>
      <c r="E512" s="12" t="str">
        <f t="shared" si="96"/>
        <v>Francois Jacobus</v>
      </c>
      <c r="F512" s="2" t="s">
        <v>3860</v>
      </c>
      <c r="G512" s="12" t="str">
        <f t="shared" si="99"/>
        <v>a1b6c7d1e1</v>
      </c>
      <c r="H512" s="12" t="str">
        <f t="shared" si="100"/>
        <v>DU TOITa1b6c7d1e1</v>
      </c>
      <c r="K512" s="12" t="str">
        <f t="shared" si="101"/>
        <v/>
      </c>
      <c r="L512" s="2" t="s">
        <v>542</v>
      </c>
      <c r="M512" s="2" t="s">
        <v>3861</v>
      </c>
      <c r="N512" s="12" t="str">
        <f t="shared" si="94"/>
        <v/>
      </c>
      <c r="O512" s="12" t="str">
        <f t="shared" si="95"/>
        <v>1786</v>
      </c>
      <c r="Q512" s="12" t="str">
        <f t="shared" si="102"/>
        <v>1786</v>
      </c>
      <c r="S512" s="12" t="str">
        <f t="shared" si="103"/>
        <v/>
      </c>
      <c r="V512" s="12" t="str">
        <f t="shared" si="104"/>
        <v/>
      </c>
      <c r="W512" s="2" t="s">
        <v>3862</v>
      </c>
      <c r="X512" s="2" t="s">
        <v>3096</v>
      </c>
      <c r="AA512" s="2" t="s">
        <v>3863</v>
      </c>
      <c r="AB512" s="2" t="s">
        <v>1955</v>
      </c>
      <c r="AC512" s="2" t="s">
        <v>3864</v>
      </c>
      <c r="AD512" s="2" t="s">
        <v>2877</v>
      </c>
      <c r="AE512" s="2" t="s">
        <v>3865</v>
      </c>
      <c r="AG512" s="2" t="s">
        <v>60</v>
      </c>
      <c r="AH512" s="2">
        <v>1832</v>
      </c>
      <c r="AI512" s="12" t="str">
        <f t="shared" si="105"/>
        <v>1832</v>
      </c>
      <c r="AJ512" s="2" t="s">
        <v>481</v>
      </c>
    </row>
    <row r="513" spans="1:59">
      <c r="A513" s="2" t="s">
        <v>772</v>
      </c>
      <c r="B513" s="12" t="str">
        <f t="shared" si="97"/>
        <v>DUTOIT</v>
      </c>
      <c r="C513" s="12" t="str">
        <f t="shared" si="98"/>
        <v>DU TOIT</v>
      </c>
      <c r="D513" s="2" t="s">
        <v>3925</v>
      </c>
      <c r="E513" s="12" t="str">
        <f t="shared" si="96"/>
        <v>Johannes Hermanus (Jan)</v>
      </c>
      <c r="F513" s="2" t="s">
        <v>3926</v>
      </c>
      <c r="G513" s="12" t="str">
        <f t="shared" si="99"/>
        <v>a1b6c7d1e1f2</v>
      </c>
      <c r="H513" s="12" t="str">
        <f t="shared" si="100"/>
        <v>DU TOITa1b6c7d1e1f2</v>
      </c>
      <c r="J513" s="2" t="s">
        <v>3927</v>
      </c>
      <c r="K513" s="12" t="str">
        <f t="shared" si="101"/>
        <v>1807</v>
      </c>
      <c r="L513" s="2" t="s">
        <v>74</v>
      </c>
      <c r="M513" s="2" t="s">
        <v>3928</v>
      </c>
      <c r="N513" s="12" t="str">
        <f t="shared" si="94"/>
        <v>1807</v>
      </c>
      <c r="O513" s="12" t="str">
        <f t="shared" si="95"/>
        <v>1807</v>
      </c>
      <c r="P513" s="2" t="s">
        <v>3218</v>
      </c>
      <c r="Q513" s="12" t="str">
        <f t="shared" si="102"/>
        <v>1807</v>
      </c>
      <c r="R513" s="2" t="s">
        <v>1886</v>
      </c>
      <c r="S513" s="12" t="str">
        <f t="shared" si="103"/>
        <v>1836</v>
      </c>
      <c r="T513" s="2" t="s">
        <v>74</v>
      </c>
      <c r="U513" s="2" t="s">
        <v>3876</v>
      </c>
      <c r="V513" s="12" t="str">
        <f t="shared" si="104"/>
        <v>1826</v>
      </c>
      <c r="W513" s="2" t="s">
        <v>1387</v>
      </c>
      <c r="X513" s="2" t="s">
        <v>784</v>
      </c>
      <c r="Y513" s="2" t="s">
        <v>3929</v>
      </c>
      <c r="AC513" s="2" t="s">
        <v>3930</v>
      </c>
      <c r="AD513" s="2" t="s">
        <v>3218</v>
      </c>
      <c r="AE513" s="2" t="s">
        <v>1886</v>
      </c>
      <c r="AF513" s="2" t="s">
        <v>3723</v>
      </c>
      <c r="AG513" s="2" t="s">
        <v>74</v>
      </c>
      <c r="AH513" s="2">
        <v>1836</v>
      </c>
      <c r="AI513" s="12" t="str">
        <f t="shared" si="105"/>
        <v>1836</v>
      </c>
      <c r="AJ513" s="2" t="s">
        <v>379</v>
      </c>
    </row>
    <row r="514" spans="1:59">
      <c r="A514" s="2" t="s">
        <v>772</v>
      </c>
      <c r="B514" s="12" t="str">
        <f t="shared" si="97"/>
        <v>DUTOIT</v>
      </c>
      <c r="C514" s="12" t="str">
        <f t="shared" si="98"/>
        <v>DU TOIT</v>
      </c>
      <c r="D514" s="2" t="s">
        <v>3451</v>
      </c>
      <c r="E514" s="12" t="str">
        <f t="shared" si="96"/>
        <v>Francois Jacobus</v>
      </c>
      <c r="F514" s="2" t="s">
        <v>3866</v>
      </c>
      <c r="G514" s="12" t="str">
        <f t="shared" si="99"/>
        <v>a1b6c7d1e1f3</v>
      </c>
      <c r="H514" s="12" t="str">
        <f t="shared" si="100"/>
        <v>DU TOITa1b6c7d1e1f3</v>
      </c>
      <c r="J514" s="2" t="s">
        <v>3867</v>
      </c>
      <c r="K514" s="12" t="str">
        <f t="shared" si="101"/>
        <v>1808</v>
      </c>
      <c r="L514" s="2" t="s">
        <v>32</v>
      </c>
      <c r="M514" s="2" t="s">
        <v>3868</v>
      </c>
      <c r="N514" s="12" t="str">
        <f t="shared" ref="N514:N577" si="106">RIGHT(J514,4)</f>
        <v>1808</v>
      </c>
      <c r="O514" s="12" t="str">
        <f t="shared" ref="O514:O577" si="107">RIGHT(M514,4)</f>
        <v>1809</v>
      </c>
      <c r="P514" s="2" t="s">
        <v>140</v>
      </c>
      <c r="Q514" s="12" t="str">
        <f t="shared" si="102"/>
        <v>1808</v>
      </c>
      <c r="R514" s="2" t="s">
        <v>3869</v>
      </c>
      <c r="S514" s="12" t="str">
        <f t="shared" si="103"/>
        <v>1881</v>
      </c>
      <c r="T514" s="2" t="s">
        <v>74</v>
      </c>
      <c r="U514" s="2" t="s">
        <v>3870</v>
      </c>
      <c r="V514" s="12" t="str">
        <f t="shared" si="104"/>
        <v>1832</v>
      </c>
      <c r="W514" s="2" t="s">
        <v>3871</v>
      </c>
      <c r="AA514" s="2" t="s">
        <v>3872</v>
      </c>
      <c r="AB514" s="2" t="s">
        <v>74</v>
      </c>
      <c r="AC514" s="2" t="s">
        <v>1331</v>
      </c>
      <c r="AE514" s="2" t="s">
        <v>3873</v>
      </c>
      <c r="AG514" s="2" t="s">
        <v>60</v>
      </c>
      <c r="AI514" s="12" t="str">
        <f t="shared" si="105"/>
        <v/>
      </c>
      <c r="AJ514" s="2" t="s">
        <v>481</v>
      </c>
      <c r="AL514" s="2" t="s">
        <v>31</v>
      </c>
      <c r="AM514" s="2" t="s">
        <v>3874</v>
      </c>
      <c r="AN514" s="2" t="s">
        <v>3581</v>
      </c>
      <c r="AO514" s="2" t="s">
        <v>700</v>
      </c>
      <c r="AQ514" s="2" t="s">
        <v>3875</v>
      </c>
      <c r="AR514" s="2" t="s">
        <v>3042</v>
      </c>
      <c r="AS514" s="2" t="s">
        <v>74</v>
      </c>
      <c r="AT514" s="2" t="s">
        <v>3876</v>
      </c>
      <c r="AU514" s="2" t="s">
        <v>3877</v>
      </c>
      <c r="AV514" s="2" t="s">
        <v>3878</v>
      </c>
    </row>
    <row r="515" spans="1:59">
      <c r="A515" s="2" t="s">
        <v>772</v>
      </c>
      <c r="B515" s="12" t="str">
        <f t="shared" si="97"/>
        <v>DUTOIT</v>
      </c>
      <c r="C515" s="12" t="str">
        <f t="shared" si="98"/>
        <v>DU TOIT</v>
      </c>
      <c r="D515" s="2" t="s">
        <v>3853</v>
      </c>
      <c r="E515" s="12" t="str">
        <f t="shared" ref="E515:E578" si="108">PROPER(D515)</f>
        <v>Francois Arnoldus</v>
      </c>
      <c r="F515" s="2" t="s">
        <v>3854</v>
      </c>
      <c r="G515" s="12" t="str">
        <f t="shared" si="99"/>
        <v>a1b6c7d2e3</v>
      </c>
      <c r="H515" s="12" t="str">
        <f t="shared" si="100"/>
        <v>DU TOITa1b6c7d2e3</v>
      </c>
      <c r="K515" s="12" t="str">
        <f t="shared" si="101"/>
        <v/>
      </c>
      <c r="L515" s="2" t="s">
        <v>542</v>
      </c>
      <c r="M515" s="2" t="s">
        <v>3855</v>
      </c>
      <c r="N515" s="12" t="str">
        <f t="shared" si="106"/>
        <v/>
      </c>
      <c r="O515" s="12" t="str">
        <f t="shared" si="107"/>
        <v>1791</v>
      </c>
      <c r="Q515" s="12" t="str">
        <f t="shared" si="102"/>
        <v>1791</v>
      </c>
      <c r="S515" s="12" t="str">
        <f t="shared" si="103"/>
        <v/>
      </c>
      <c r="T515" s="2" t="s">
        <v>32</v>
      </c>
      <c r="U515" s="2" t="s">
        <v>3856</v>
      </c>
      <c r="V515" s="12" t="str">
        <f t="shared" si="104"/>
        <v>1822</v>
      </c>
      <c r="W515" s="2" t="s">
        <v>3857</v>
      </c>
      <c r="X515" s="2" t="s">
        <v>2402</v>
      </c>
      <c r="AC515" s="2" t="s">
        <v>3858</v>
      </c>
      <c r="AD515" s="2" t="s">
        <v>67</v>
      </c>
      <c r="AE515" s="2" t="s">
        <v>3859</v>
      </c>
      <c r="AG515" s="2" t="s">
        <v>60</v>
      </c>
      <c r="AI515" s="12" t="str">
        <f t="shared" si="105"/>
        <v/>
      </c>
      <c r="AK515" s="2" t="s">
        <v>67</v>
      </c>
    </row>
    <row r="516" spans="1:59">
      <c r="A516" s="12" t="s">
        <v>772</v>
      </c>
      <c r="B516" s="12" t="str">
        <f t="shared" si="97"/>
        <v>DUTOIT</v>
      </c>
      <c r="C516" s="12" t="str">
        <f t="shared" si="98"/>
        <v>DU TOIT</v>
      </c>
      <c r="D516" s="2" t="s">
        <v>3841</v>
      </c>
      <c r="E516" s="12" t="str">
        <f t="shared" si="108"/>
        <v>Daniel Petrus</v>
      </c>
      <c r="F516" s="2" t="s">
        <v>3842</v>
      </c>
      <c r="G516" s="12" t="str">
        <f t="shared" si="99"/>
        <v>a1b6c7d3e10</v>
      </c>
      <c r="H516" s="12" t="str">
        <f t="shared" si="100"/>
        <v>DU TOITa1b6c7d3e10</v>
      </c>
      <c r="J516" s="2" t="s">
        <v>3843</v>
      </c>
      <c r="K516" s="12" t="str">
        <f t="shared" si="101"/>
        <v>1814</v>
      </c>
      <c r="L516" s="2" t="s">
        <v>74</v>
      </c>
      <c r="M516" s="2" t="s">
        <v>3844</v>
      </c>
      <c r="N516" s="12" t="str">
        <f t="shared" si="106"/>
        <v>1814</v>
      </c>
      <c r="O516" s="12" t="str">
        <f t="shared" si="107"/>
        <v>1815</v>
      </c>
      <c r="P516" s="2" t="s">
        <v>566</v>
      </c>
      <c r="Q516" s="12" t="str">
        <f t="shared" si="102"/>
        <v>1814</v>
      </c>
      <c r="R516" s="2" t="s">
        <v>3845</v>
      </c>
      <c r="S516" s="12" t="str">
        <f t="shared" si="103"/>
        <v>1884</v>
      </c>
      <c r="T516" s="2" t="s">
        <v>74</v>
      </c>
      <c r="U516" s="2" t="s">
        <v>3846</v>
      </c>
      <c r="V516" s="12" t="str">
        <f t="shared" si="104"/>
        <v>1835</v>
      </c>
      <c r="W516" s="2" t="s">
        <v>2756</v>
      </c>
      <c r="X516" s="2" t="s">
        <v>3847</v>
      </c>
      <c r="Z516" s="2" t="s">
        <v>74</v>
      </c>
      <c r="AA516" s="2" t="s">
        <v>3848</v>
      </c>
      <c r="AB516" s="2" t="s">
        <v>74</v>
      </c>
      <c r="AC516" s="2" t="s">
        <v>106</v>
      </c>
      <c r="AD516" s="2" t="s">
        <v>566</v>
      </c>
      <c r="AE516" s="2" t="s">
        <v>3849</v>
      </c>
      <c r="AG516" s="2" t="s">
        <v>60</v>
      </c>
      <c r="AH516" s="2">
        <v>1845</v>
      </c>
      <c r="AI516" s="12" t="str">
        <f t="shared" si="105"/>
        <v>1845</v>
      </c>
      <c r="AL516" s="2" t="s">
        <v>566</v>
      </c>
      <c r="AM516" s="2" t="s">
        <v>3850</v>
      </c>
      <c r="AN516" s="2" t="s">
        <v>3851</v>
      </c>
      <c r="AO516" s="2" t="s">
        <v>2073</v>
      </c>
      <c r="AR516" s="2">
        <v>1842</v>
      </c>
      <c r="AU516" s="2" t="s">
        <v>566</v>
      </c>
      <c r="AV516" s="2" t="s">
        <v>3852</v>
      </c>
    </row>
    <row r="517" spans="1:59">
      <c r="A517" s="12" t="s">
        <v>772</v>
      </c>
      <c r="B517" s="12" t="str">
        <f t="shared" si="97"/>
        <v>DUTOIT</v>
      </c>
      <c r="C517" s="12" t="str">
        <f t="shared" si="98"/>
        <v>DU TOIT</v>
      </c>
      <c r="D517" s="2" t="s">
        <v>3917</v>
      </c>
      <c r="E517" s="12" t="str">
        <f t="shared" si="108"/>
        <v>Jan Jacob</v>
      </c>
      <c r="F517" s="2" t="s">
        <v>3918</v>
      </c>
      <c r="G517" s="12" t="str">
        <f t="shared" si="99"/>
        <v>a1b6c7d3e11</v>
      </c>
      <c r="H517" s="12" t="str">
        <f t="shared" si="100"/>
        <v>DU TOITa1b6c7d3e11</v>
      </c>
      <c r="J517" s="2" t="s">
        <v>1850</v>
      </c>
      <c r="K517" s="12" t="str">
        <f t="shared" si="101"/>
        <v>1816</v>
      </c>
      <c r="L517" s="2" t="s">
        <v>74</v>
      </c>
      <c r="M517" s="2" t="s">
        <v>3919</v>
      </c>
      <c r="N517" s="12" t="str">
        <f t="shared" si="106"/>
        <v>1816</v>
      </c>
      <c r="O517" s="12" t="str">
        <f t="shared" si="107"/>
        <v>1816</v>
      </c>
      <c r="P517" s="2" t="s">
        <v>566</v>
      </c>
      <c r="Q517" s="12" t="str">
        <f t="shared" si="102"/>
        <v>1816</v>
      </c>
      <c r="R517" s="2" t="s">
        <v>3920</v>
      </c>
      <c r="S517" s="12" t="str">
        <f t="shared" si="103"/>
        <v>1887</v>
      </c>
      <c r="T517" s="2" t="s">
        <v>3908</v>
      </c>
      <c r="U517" s="2" t="s">
        <v>3921</v>
      </c>
      <c r="V517" s="12" t="str">
        <f t="shared" si="104"/>
        <v>1837</v>
      </c>
      <c r="W517" s="2" t="s">
        <v>3922</v>
      </c>
      <c r="X517" s="2" t="s">
        <v>1489</v>
      </c>
      <c r="AA517" s="2" t="s">
        <v>3923</v>
      </c>
      <c r="AD517" s="2" t="s">
        <v>566</v>
      </c>
      <c r="AE517" s="2" t="s">
        <v>3924</v>
      </c>
      <c r="AG517" s="2" t="s">
        <v>60</v>
      </c>
      <c r="AH517" s="2">
        <v>1845</v>
      </c>
      <c r="AI517" s="12" t="str">
        <f t="shared" si="105"/>
        <v>1845</v>
      </c>
      <c r="AK517" s="2" t="s">
        <v>551</v>
      </c>
    </row>
    <row r="518" spans="1:59">
      <c r="A518" s="12" t="s">
        <v>772</v>
      </c>
      <c r="B518" s="12" t="str">
        <f t="shared" si="97"/>
        <v>DUTOIT</v>
      </c>
      <c r="C518" s="12" t="str">
        <f t="shared" si="98"/>
        <v>DU TOIT</v>
      </c>
      <c r="D518" s="2" t="s">
        <v>3903</v>
      </c>
      <c r="E518" s="12" t="str">
        <f t="shared" si="108"/>
        <v>Jacobus Andries</v>
      </c>
      <c r="F518" s="2" t="s">
        <v>3904</v>
      </c>
      <c r="G518" s="12" t="str">
        <f t="shared" si="99"/>
        <v>a1b6c7d3e12</v>
      </c>
      <c r="H518" s="12" t="str">
        <f t="shared" si="100"/>
        <v>DU TOITa1b6c7d3e12</v>
      </c>
      <c r="J518" s="2" t="s">
        <v>3905</v>
      </c>
      <c r="K518" s="12" t="str">
        <f t="shared" si="101"/>
        <v>1817</v>
      </c>
      <c r="L518" s="2" t="s">
        <v>74</v>
      </c>
      <c r="M518" s="2" t="s">
        <v>3906</v>
      </c>
      <c r="N518" s="12" t="str">
        <f t="shared" si="106"/>
        <v>1817</v>
      </c>
      <c r="O518" s="12" t="str">
        <f t="shared" si="107"/>
        <v>1818</v>
      </c>
      <c r="P518" s="2" t="s">
        <v>566</v>
      </c>
      <c r="Q518" s="12" t="str">
        <f t="shared" si="102"/>
        <v>1817</v>
      </c>
      <c r="R518" s="2" t="s">
        <v>3907</v>
      </c>
      <c r="S518" s="12" t="str">
        <f t="shared" si="103"/>
        <v>1885</v>
      </c>
      <c r="T518" s="2" t="s">
        <v>3908</v>
      </c>
      <c r="U518" s="2" t="s">
        <v>3909</v>
      </c>
      <c r="V518" s="12" t="str">
        <f t="shared" si="104"/>
        <v>1838</v>
      </c>
      <c r="W518" s="2" t="s">
        <v>3910</v>
      </c>
      <c r="X518" s="2" t="s">
        <v>704</v>
      </c>
      <c r="AA518" s="2" t="s">
        <v>3911</v>
      </c>
      <c r="AB518" s="2" t="s">
        <v>74</v>
      </c>
      <c r="AC518" s="2" t="s">
        <v>3912</v>
      </c>
      <c r="AG518" s="2" t="s">
        <v>60</v>
      </c>
      <c r="AH518" s="2">
        <v>1842</v>
      </c>
      <c r="AI518" s="12" t="str">
        <f t="shared" si="105"/>
        <v>1842</v>
      </c>
      <c r="AK518" s="2" t="s">
        <v>566</v>
      </c>
      <c r="AL518" s="2" t="s">
        <v>566</v>
      </c>
      <c r="AM518" s="2" t="s">
        <v>3913</v>
      </c>
      <c r="AN518" s="2" t="s">
        <v>3914</v>
      </c>
      <c r="AO518" s="2" t="s">
        <v>2136</v>
      </c>
      <c r="AQ518" s="2" t="s">
        <v>3915</v>
      </c>
      <c r="AR518" s="2" t="s">
        <v>74</v>
      </c>
      <c r="AS518" s="2" t="s">
        <v>3916</v>
      </c>
    </row>
    <row r="519" spans="1:59">
      <c r="A519" s="12" t="s">
        <v>772</v>
      </c>
      <c r="B519" s="12" t="str">
        <f t="shared" si="97"/>
        <v>DUTOIT</v>
      </c>
      <c r="C519" s="12" t="str">
        <f t="shared" si="98"/>
        <v>DU TOIT</v>
      </c>
      <c r="D519" s="2" t="s">
        <v>3879</v>
      </c>
      <c r="E519" s="12" t="str">
        <f t="shared" si="108"/>
        <v>Francois Petrus Jacobus</v>
      </c>
      <c r="F519" s="2" t="s">
        <v>3880</v>
      </c>
      <c r="G519" s="12" t="str">
        <f t="shared" si="99"/>
        <v>a1b6c7d3e3</v>
      </c>
      <c r="H519" s="12" t="str">
        <f t="shared" si="100"/>
        <v>DU TOITa1b6c7d3e3</v>
      </c>
      <c r="J519" s="2" t="s">
        <v>3881</v>
      </c>
      <c r="K519" s="12" t="str">
        <f t="shared" si="101"/>
        <v>1797</v>
      </c>
      <c r="L519" s="2" t="s">
        <v>542</v>
      </c>
      <c r="M519" s="2" t="s">
        <v>3882</v>
      </c>
      <c r="N519" s="12" t="str">
        <f t="shared" si="106"/>
        <v>1797</v>
      </c>
      <c r="O519" s="12" t="str">
        <f t="shared" si="107"/>
        <v>1798</v>
      </c>
      <c r="P519" s="2" t="s">
        <v>2625</v>
      </c>
      <c r="Q519" s="12" t="str">
        <f t="shared" si="102"/>
        <v>1797</v>
      </c>
      <c r="R519" s="2">
        <v>1862</v>
      </c>
      <c r="S519" s="12" t="str">
        <f t="shared" si="103"/>
        <v>1862</v>
      </c>
      <c r="T519" s="2" t="s">
        <v>74</v>
      </c>
      <c r="U519" s="2" t="s">
        <v>1349</v>
      </c>
      <c r="V519" s="12" t="str">
        <f t="shared" si="104"/>
        <v>1822</v>
      </c>
      <c r="W519" s="2" t="s">
        <v>3883</v>
      </c>
      <c r="X519" s="2" t="s">
        <v>700</v>
      </c>
      <c r="AB519" s="2" t="s">
        <v>542</v>
      </c>
      <c r="AC519" s="2" t="s">
        <v>3882</v>
      </c>
      <c r="AG519" s="2" t="s">
        <v>60</v>
      </c>
      <c r="AH519" s="2">
        <v>1845</v>
      </c>
      <c r="AI519" s="12" t="str">
        <f t="shared" si="105"/>
        <v>1845</v>
      </c>
      <c r="AK519" s="2" t="s">
        <v>2625</v>
      </c>
    </row>
    <row r="520" spans="1:59">
      <c r="A520" s="2" t="s">
        <v>772</v>
      </c>
      <c r="B520" s="12" t="str">
        <f t="shared" si="97"/>
        <v>DUTOIT</v>
      </c>
      <c r="C520" s="12" t="str">
        <f t="shared" si="98"/>
        <v>DU TOIT</v>
      </c>
      <c r="D520" s="2" t="s">
        <v>3968</v>
      </c>
      <c r="E520" s="12" t="str">
        <f t="shared" si="108"/>
        <v>Thomas Arnoldus</v>
      </c>
      <c r="F520" s="2" t="s">
        <v>3979</v>
      </c>
      <c r="G520" s="12" t="str">
        <f t="shared" si="99"/>
        <v>a1b6c7d3e4</v>
      </c>
      <c r="H520" s="12" t="str">
        <f t="shared" si="100"/>
        <v>DU TOITa1b6c7d3e4</v>
      </c>
      <c r="J520" s="2" t="s">
        <v>3980</v>
      </c>
      <c r="K520" s="12" t="str">
        <f t="shared" si="101"/>
        <v>1800</v>
      </c>
      <c r="L520" s="2" t="s">
        <v>542</v>
      </c>
      <c r="M520" s="2" t="s">
        <v>3981</v>
      </c>
      <c r="N520" s="12" t="str">
        <f t="shared" si="106"/>
        <v>1800</v>
      </c>
      <c r="O520" s="12" t="str">
        <f t="shared" si="107"/>
        <v>1800</v>
      </c>
      <c r="P520" s="2" t="s">
        <v>566</v>
      </c>
      <c r="Q520" s="12" t="str">
        <f t="shared" si="102"/>
        <v>1800</v>
      </c>
      <c r="R520" s="12" t="s">
        <v>3982</v>
      </c>
      <c r="S520" s="12" t="str">
        <f t="shared" si="103"/>
        <v>1875</v>
      </c>
      <c r="T520" s="2" t="s">
        <v>74</v>
      </c>
      <c r="U520" s="2" t="s">
        <v>3983</v>
      </c>
      <c r="V520" s="12" t="str">
        <f t="shared" si="104"/>
        <v>1820</v>
      </c>
      <c r="W520" s="2" t="s">
        <v>1674</v>
      </c>
      <c r="X520" s="2" t="s">
        <v>2023</v>
      </c>
      <c r="Z520" s="2" t="s">
        <v>1924</v>
      </c>
      <c r="AA520" s="2">
        <v>1800</v>
      </c>
      <c r="AB520" s="2" t="s">
        <v>92</v>
      </c>
      <c r="AD520" s="2" t="s">
        <v>566</v>
      </c>
      <c r="AE520" s="2" t="s">
        <v>3984</v>
      </c>
      <c r="AG520" s="2" t="s">
        <v>60</v>
      </c>
      <c r="AH520" s="2">
        <v>1829</v>
      </c>
      <c r="AI520" s="12" t="str">
        <f t="shared" si="105"/>
        <v>1829</v>
      </c>
      <c r="AK520" s="2" t="s">
        <v>566</v>
      </c>
      <c r="AL520" s="2" t="s">
        <v>566</v>
      </c>
      <c r="AM520" s="2" t="s">
        <v>3985</v>
      </c>
      <c r="AN520" s="2" t="s">
        <v>3986</v>
      </c>
      <c r="AO520" s="2" t="s">
        <v>391</v>
      </c>
      <c r="AR520" s="1" t="s">
        <v>3987</v>
      </c>
      <c r="AS520" s="2" t="s">
        <v>1071</v>
      </c>
      <c r="AT520" s="2" t="s">
        <v>3988</v>
      </c>
      <c r="AV520" s="2" t="s">
        <v>3989</v>
      </c>
    </row>
    <row r="521" spans="1:59">
      <c r="A521" s="2" t="s">
        <v>772</v>
      </c>
      <c r="B521" s="12" t="str">
        <f t="shared" si="97"/>
        <v>DUTOIT</v>
      </c>
      <c r="C521" s="12" t="str">
        <f t="shared" si="98"/>
        <v>DU TOIT</v>
      </c>
      <c r="D521" s="2" t="s">
        <v>1510</v>
      </c>
      <c r="E521" s="12" t="str">
        <f t="shared" si="108"/>
        <v>Christiaan Petrus</v>
      </c>
      <c r="F521" s="2" t="s">
        <v>3829</v>
      </c>
      <c r="G521" s="12" t="str">
        <f t="shared" si="99"/>
        <v>a1b6c7d3e6</v>
      </c>
      <c r="H521" s="12" t="str">
        <f t="shared" si="100"/>
        <v>DU TOITa1b6c7d3e6</v>
      </c>
      <c r="J521" s="2" t="s">
        <v>3830</v>
      </c>
      <c r="K521" s="12" t="str">
        <f t="shared" si="101"/>
        <v>1804</v>
      </c>
      <c r="L521" s="2" t="s">
        <v>32</v>
      </c>
      <c r="M521" s="2" t="s">
        <v>3831</v>
      </c>
      <c r="N521" s="12" t="str">
        <f t="shared" si="106"/>
        <v>1804</v>
      </c>
      <c r="O521" s="12" t="str">
        <f t="shared" si="107"/>
        <v>1804</v>
      </c>
      <c r="P521" s="2" t="s">
        <v>566</v>
      </c>
      <c r="Q521" s="12" t="str">
        <f t="shared" si="102"/>
        <v>1804</v>
      </c>
      <c r="R521" s="2" t="s">
        <v>3832</v>
      </c>
      <c r="S521" s="12" t="str">
        <f t="shared" si="103"/>
        <v>1873</v>
      </c>
      <c r="T521" s="2" t="s">
        <v>74</v>
      </c>
      <c r="U521" s="2" t="s">
        <v>3133</v>
      </c>
      <c r="V521" s="12" t="str">
        <f t="shared" si="104"/>
        <v>1826</v>
      </c>
      <c r="W521" s="2" t="s">
        <v>3833</v>
      </c>
      <c r="X521" s="2" t="s">
        <v>3834</v>
      </c>
      <c r="AA521" s="2" t="s">
        <v>3835</v>
      </c>
      <c r="AG521" s="2" t="s">
        <v>60</v>
      </c>
      <c r="AH521" s="2">
        <v>1832</v>
      </c>
      <c r="AI521" s="12" t="str">
        <f t="shared" si="105"/>
        <v>1832</v>
      </c>
      <c r="AK521" s="2" t="s">
        <v>566</v>
      </c>
      <c r="AL521" s="2" t="s">
        <v>60</v>
      </c>
      <c r="AM521" s="2" t="s">
        <v>3836</v>
      </c>
      <c r="AN521" s="2" t="s">
        <v>3836</v>
      </c>
      <c r="AO521" s="2" t="s">
        <v>1611</v>
      </c>
      <c r="AP521" s="2" t="s">
        <v>3837</v>
      </c>
      <c r="AR521" s="2" t="s">
        <v>3838</v>
      </c>
      <c r="AS521" s="2" t="s">
        <v>60</v>
      </c>
      <c r="AT521" s="2" t="s">
        <v>3839</v>
      </c>
      <c r="AU521" s="2" t="s">
        <v>3821</v>
      </c>
      <c r="AV521" s="1" t="s">
        <v>3840</v>
      </c>
    </row>
    <row r="522" spans="1:59">
      <c r="A522" s="12" t="s">
        <v>772</v>
      </c>
      <c r="B522" s="12" t="str">
        <f t="shared" si="97"/>
        <v>DUTOIT</v>
      </c>
      <c r="C522" s="12" t="str">
        <f t="shared" si="98"/>
        <v>DU TOIT</v>
      </c>
      <c r="D522" s="12" t="s">
        <v>3896</v>
      </c>
      <c r="E522" s="12" t="str">
        <f t="shared" si="108"/>
        <v>Hendrik Lodewikus</v>
      </c>
      <c r="F522" s="12" t="s">
        <v>3897</v>
      </c>
      <c r="G522" s="12" t="str">
        <f t="shared" si="99"/>
        <v>a1b6c7d3e9</v>
      </c>
      <c r="H522" s="12" t="str">
        <f t="shared" si="100"/>
        <v>DU TOITa1b6c7d3e9</v>
      </c>
      <c r="I522" s="12" t="s">
        <v>3898</v>
      </c>
      <c r="J522" s="12" t="s">
        <v>3746</v>
      </c>
      <c r="K522" s="12" t="str">
        <f t="shared" si="101"/>
        <v>1813</v>
      </c>
      <c r="L522" s="12" t="s">
        <v>74</v>
      </c>
      <c r="M522" s="12" t="s">
        <v>3899</v>
      </c>
      <c r="N522" s="12" t="str">
        <f t="shared" si="106"/>
        <v>1813</v>
      </c>
      <c r="O522" s="12" t="str">
        <f t="shared" si="107"/>
        <v>1813</v>
      </c>
      <c r="P522" s="12" t="s">
        <v>566</v>
      </c>
      <c r="Q522" s="12" t="str">
        <f t="shared" si="102"/>
        <v>1813</v>
      </c>
      <c r="R522" s="12" t="s">
        <v>3900</v>
      </c>
      <c r="S522" s="12" t="str">
        <f t="shared" si="103"/>
        <v>1859</v>
      </c>
      <c r="T522" s="12" t="s">
        <v>74</v>
      </c>
      <c r="U522" s="12" t="s">
        <v>407</v>
      </c>
      <c r="V522" s="12" t="str">
        <f t="shared" si="104"/>
        <v>1835</v>
      </c>
      <c r="W522" s="12" t="s">
        <v>1757</v>
      </c>
      <c r="X522" s="12" t="s">
        <v>700</v>
      </c>
      <c r="Y522" s="12"/>
      <c r="Z522" s="12"/>
      <c r="AA522" s="12" t="s">
        <v>3901</v>
      </c>
      <c r="AB522" s="12"/>
      <c r="AC522" s="12"/>
      <c r="AD522" s="12" t="s">
        <v>112</v>
      </c>
      <c r="AE522" s="12" t="s">
        <v>3902</v>
      </c>
      <c r="AF522" s="12"/>
      <c r="AG522" s="12" t="s">
        <v>60</v>
      </c>
      <c r="AH522" s="12">
        <v>1842</v>
      </c>
      <c r="AI522" s="12" t="str">
        <f t="shared" si="105"/>
        <v>1842</v>
      </c>
      <c r="AJ522" s="12"/>
      <c r="AK522" s="12" t="s">
        <v>112</v>
      </c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</row>
    <row r="523" spans="1:59">
      <c r="A523" s="12" t="s">
        <v>772</v>
      </c>
      <c r="B523" s="12" t="str">
        <f t="shared" si="97"/>
        <v>DUTOIT</v>
      </c>
      <c r="C523" s="12" t="str">
        <f t="shared" si="98"/>
        <v>DU TOIT</v>
      </c>
      <c r="D523" s="12" t="s">
        <v>3968</v>
      </c>
      <c r="E523" s="12" t="str">
        <f t="shared" si="108"/>
        <v>Thomas Arnoldus</v>
      </c>
      <c r="F523" s="12" t="s">
        <v>3969</v>
      </c>
      <c r="G523" s="12" t="str">
        <f t="shared" si="99"/>
        <v>a1b6d7d3</v>
      </c>
      <c r="H523" s="12" t="str">
        <f t="shared" si="100"/>
        <v>DU TOITa1b6d7d3</v>
      </c>
      <c r="I523" s="12"/>
      <c r="J523" s="12" t="s">
        <v>3970</v>
      </c>
      <c r="K523" s="12" t="str">
        <f t="shared" si="101"/>
        <v>1767</v>
      </c>
      <c r="L523" s="12" t="s">
        <v>542</v>
      </c>
      <c r="M523" s="12" t="s">
        <v>3971</v>
      </c>
      <c r="N523" s="12" t="str">
        <f t="shared" si="106"/>
        <v>1767</v>
      </c>
      <c r="O523" s="12" t="str">
        <f t="shared" si="107"/>
        <v>1768</v>
      </c>
      <c r="P523" s="12" t="s">
        <v>566</v>
      </c>
      <c r="Q523" s="12" t="str">
        <f t="shared" si="102"/>
        <v>1767</v>
      </c>
      <c r="R523" s="12">
        <v>1850</v>
      </c>
      <c r="S523" s="12" t="str">
        <f t="shared" si="103"/>
        <v>1850</v>
      </c>
      <c r="T523" s="12"/>
      <c r="U523" s="12" t="s">
        <v>3972</v>
      </c>
      <c r="V523" s="12" t="str">
        <f t="shared" si="104"/>
        <v>1792</v>
      </c>
      <c r="W523" s="12" t="s">
        <v>3973</v>
      </c>
      <c r="X523" s="12" t="s">
        <v>2901</v>
      </c>
      <c r="Y523" s="12"/>
      <c r="Z523" s="12"/>
      <c r="AA523" s="12"/>
      <c r="AB523" s="12"/>
      <c r="AC523" s="12" t="s">
        <v>3974</v>
      </c>
      <c r="AD523" s="12"/>
      <c r="AE523" s="12"/>
      <c r="AF523" s="12"/>
      <c r="AG523" s="12" t="s">
        <v>60</v>
      </c>
      <c r="AH523" s="12"/>
      <c r="AI523" s="12" t="str">
        <f t="shared" si="105"/>
        <v/>
      </c>
      <c r="AJ523" s="12"/>
      <c r="AK523" s="12" t="s">
        <v>566</v>
      </c>
      <c r="AL523" s="12" t="s">
        <v>74</v>
      </c>
      <c r="AM523" s="12" t="s">
        <v>3975</v>
      </c>
      <c r="AN523" s="12" t="s">
        <v>3976</v>
      </c>
      <c r="AO523" s="12" t="s">
        <v>3977</v>
      </c>
      <c r="AP523" s="12"/>
      <c r="AQ523" s="12"/>
      <c r="AR523" s="12"/>
      <c r="AS523" s="12"/>
      <c r="AT523" s="12" t="s">
        <v>3978</v>
      </c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</row>
    <row r="524" spans="1:59">
      <c r="A524" s="12" t="s">
        <v>3931</v>
      </c>
      <c r="B524" s="12" t="str">
        <f t="shared" si="97"/>
        <v>DUTOIT</v>
      </c>
      <c r="C524" s="12" t="str">
        <f t="shared" si="98"/>
        <v>DU TOIT</v>
      </c>
      <c r="D524" s="12" t="s">
        <v>588</v>
      </c>
      <c r="E524" s="12" t="str">
        <f t="shared" si="108"/>
        <v>Johannes Stephanus</v>
      </c>
      <c r="F524" s="12" t="s">
        <v>3932</v>
      </c>
      <c r="G524" s="12" t="str">
        <f t="shared" si="99"/>
        <v>a1b1c6d10e1f4</v>
      </c>
      <c r="H524" s="12" t="str">
        <f t="shared" si="100"/>
        <v>DU TOITa1b1c6d10e1f4</v>
      </c>
      <c r="I524" s="12"/>
      <c r="J524" s="12" t="s">
        <v>3933</v>
      </c>
      <c r="K524" s="12" t="str">
        <f t="shared" si="101"/>
        <v>1821</v>
      </c>
      <c r="L524" s="12" t="s">
        <v>74</v>
      </c>
      <c r="M524" s="12" t="s">
        <v>3934</v>
      </c>
      <c r="N524" s="12" t="str">
        <f t="shared" si="106"/>
        <v>1821</v>
      </c>
      <c r="O524" s="12" t="str">
        <f t="shared" si="107"/>
        <v>1822</v>
      </c>
      <c r="P524" s="12" t="s">
        <v>190</v>
      </c>
      <c r="Q524" s="12" t="str">
        <f t="shared" si="102"/>
        <v>1821</v>
      </c>
      <c r="R524" s="12" t="s">
        <v>3935</v>
      </c>
      <c r="S524" s="12" t="str">
        <f t="shared" si="103"/>
        <v>1892</v>
      </c>
      <c r="T524" s="12"/>
      <c r="U524" s="12">
        <v>1841</v>
      </c>
      <c r="V524" s="12" t="str">
        <f t="shared" si="104"/>
        <v>1841</v>
      </c>
      <c r="W524" s="12" t="s">
        <v>3936</v>
      </c>
      <c r="X524" s="12" t="s">
        <v>772</v>
      </c>
      <c r="Y524" s="12"/>
      <c r="Z524" s="12"/>
      <c r="AA524" s="12" t="s">
        <v>3111</v>
      </c>
      <c r="AB524" s="12" t="s">
        <v>366</v>
      </c>
      <c r="AC524" s="12" t="s">
        <v>3937</v>
      </c>
      <c r="AD524" s="12" t="s">
        <v>190</v>
      </c>
      <c r="AE524" s="12" t="s">
        <v>3938</v>
      </c>
      <c r="AF524" s="12"/>
      <c r="AG524" s="12" t="s">
        <v>68</v>
      </c>
      <c r="AH524" s="12" t="s">
        <v>1159</v>
      </c>
      <c r="AI524" s="12" t="str">
        <f t="shared" si="105"/>
        <v>1836</v>
      </c>
      <c r="AJ524" s="2" t="s">
        <v>1404</v>
      </c>
      <c r="AK524" s="12" t="s">
        <v>190</v>
      </c>
      <c r="AL524" s="12" t="s">
        <v>190</v>
      </c>
      <c r="AM524" s="12" t="s">
        <v>3939</v>
      </c>
      <c r="AN524" s="12" t="s">
        <v>3940</v>
      </c>
      <c r="AO524" s="12" t="s">
        <v>668</v>
      </c>
      <c r="AP524" s="12"/>
      <c r="AQ524" s="12"/>
      <c r="AR524" s="12">
        <v>1840</v>
      </c>
      <c r="AS524" s="12"/>
      <c r="AT524" s="12"/>
      <c r="AU524" s="12" t="s">
        <v>190</v>
      </c>
      <c r="AV524" s="12" t="s">
        <v>3941</v>
      </c>
      <c r="AW524" s="12" t="s">
        <v>1092</v>
      </c>
      <c r="AX524" s="12" t="s">
        <v>3942</v>
      </c>
      <c r="AY524" s="12" t="s">
        <v>3943</v>
      </c>
      <c r="AZ524" s="12" t="s">
        <v>698</v>
      </c>
      <c r="BA524" s="12"/>
      <c r="BB524" s="12"/>
      <c r="BC524" s="12">
        <v>1840</v>
      </c>
      <c r="BD524" s="12"/>
      <c r="BE524" s="12"/>
      <c r="BF524" s="12"/>
      <c r="BG524" s="12"/>
    </row>
    <row r="525" spans="1:59">
      <c r="A525" s="12" t="s">
        <v>3990</v>
      </c>
      <c r="B525" s="12" t="str">
        <f t="shared" si="97"/>
        <v>DUVENHAGE</v>
      </c>
      <c r="C525" s="12" t="str">
        <f t="shared" si="98"/>
        <v>DUVENHAGE</v>
      </c>
      <c r="D525" s="12" t="s">
        <v>3991</v>
      </c>
      <c r="E525" s="12" t="str">
        <f t="shared" si="108"/>
        <v>Abraham Christiaan</v>
      </c>
      <c r="F525" s="12" t="s">
        <v>3992</v>
      </c>
      <c r="G525" s="12" t="str">
        <f t="shared" si="99"/>
        <v>a1b1c1</v>
      </c>
      <c r="H525" s="12" t="str">
        <f t="shared" si="100"/>
        <v>DUVENHAGEa1b1c1</v>
      </c>
      <c r="I525" s="12"/>
      <c r="J525" s="12" t="s">
        <v>3993</v>
      </c>
      <c r="K525" s="12" t="str">
        <f t="shared" si="101"/>
        <v>1798</v>
      </c>
      <c r="L525" s="12" t="s">
        <v>74</v>
      </c>
      <c r="M525" s="12" t="s">
        <v>2247</v>
      </c>
      <c r="N525" s="12" t="str">
        <f t="shared" si="106"/>
        <v>1798</v>
      </c>
      <c r="O525" s="12" t="str">
        <f t="shared" si="107"/>
        <v>1798</v>
      </c>
      <c r="P525" s="12"/>
      <c r="Q525" s="12" t="str">
        <f t="shared" si="102"/>
        <v>1798</v>
      </c>
      <c r="R525" s="12"/>
      <c r="S525" s="12" t="str">
        <f t="shared" si="103"/>
        <v/>
      </c>
      <c r="T525" s="12" t="s">
        <v>542</v>
      </c>
      <c r="U525" s="12" t="s">
        <v>1862</v>
      </c>
      <c r="V525" s="12" t="str">
        <f t="shared" si="104"/>
        <v>1818</v>
      </c>
      <c r="W525" s="12" t="s">
        <v>3994</v>
      </c>
      <c r="X525" s="12" t="s">
        <v>3995</v>
      </c>
      <c r="Y525" s="12" t="s">
        <v>3996</v>
      </c>
      <c r="Z525" s="12"/>
      <c r="AA525" s="12"/>
      <c r="AB525" s="12"/>
      <c r="AC525" s="12">
        <v>1801</v>
      </c>
      <c r="AD525" s="12"/>
      <c r="AE525" s="12"/>
      <c r="AF525" s="12" t="s">
        <v>3709</v>
      </c>
      <c r="AG525" s="12" t="s">
        <v>68</v>
      </c>
      <c r="AH525" s="12"/>
      <c r="AI525" s="12" t="str">
        <f t="shared" si="105"/>
        <v/>
      </c>
      <c r="AJ525" s="12"/>
      <c r="AK525" s="12" t="s">
        <v>248</v>
      </c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</row>
    <row r="526" spans="1:59">
      <c r="A526" s="12" t="s">
        <v>3990</v>
      </c>
      <c r="B526" s="12" t="str">
        <f t="shared" si="97"/>
        <v>DUVENHAGE</v>
      </c>
      <c r="C526" s="12" t="str">
        <f t="shared" si="98"/>
        <v>DUVENHAGE</v>
      </c>
      <c r="D526" s="12" t="s">
        <v>3997</v>
      </c>
      <c r="E526" s="12" t="str">
        <f t="shared" si="108"/>
        <v>Jan George</v>
      </c>
      <c r="F526" s="12" t="s">
        <v>3998</v>
      </c>
      <c r="G526" s="12" t="str">
        <f t="shared" si="99"/>
        <v>a1b1c1d2</v>
      </c>
      <c r="H526" s="12" t="str">
        <f t="shared" si="100"/>
        <v>DUVENHAGEa1b1c1d2</v>
      </c>
      <c r="I526" s="12"/>
      <c r="J526" s="12"/>
      <c r="K526" s="12" t="str">
        <f t="shared" si="101"/>
        <v/>
      </c>
      <c r="L526" s="12" t="s">
        <v>32</v>
      </c>
      <c r="M526" s="12" t="s">
        <v>250</v>
      </c>
      <c r="N526" s="12" t="str">
        <f t="shared" si="106"/>
        <v/>
      </c>
      <c r="O526" s="12" t="str">
        <f t="shared" si="107"/>
        <v>1822</v>
      </c>
      <c r="P526" s="12" t="s">
        <v>1864</v>
      </c>
      <c r="Q526" s="12" t="str">
        <f t="shared" si="102"/>
        <v>1822</v>
      </c>
      <c r="R526" s="12" t="s">
        <v>3999</v>
      </c>
      <c r="S526" s="12" t="str">
        <f t="shared" si="103"/>
        <v>1887</v>
      </c>
      <c r="T526" s="12"/>
      <c r="U526" s="12"/>
      <c r="V526" s="12" t="str">
        <f t="shared" si="104"/>
        <v/>
      </c>
      <c r="W526" s="12" t="s">
        <v>2472</v>
      </c>
      <c r="X526" s="12" t="s">
        <v>2582</v>
      </c>
      <c r="Y526" s="12"/>
      <c r="Z526" s="12"/>
      <c r="AA526" s="12">
        <v>1824</v>
      </c>
      <c r="AB526" s="12"/>
      <c r="AC526" s="12"/>
      <c r="AD526" s="12"/>
      <c r="AE526" s="12"/>
      <c r="AF526" s="12" t="s">
        <v>3709</v>
      </c>
      <c r="AG526" s="12" t="s">
        <v>68</v>
      </c>
      <c r="AH526" s="12"/>
      <c r="AI526" s="12" t="str">
        <f t="shared" si="105"/>
        <v/>
      </c>
      <c r="AJ526" s="12"/>
      <c r="AK526" s="12" t="s">
        <v>155</v>
      </c>
      <c r="AL526" s="12"/>
      <c r="AM526" s="12"/>
      <c r="AN526" s="12" t="s">
        <v>3355</v>
      </c>
      <c r="AO526" s="12" t="s">
        <v>655</v>
      </c>
      <c r="AP526" s="12"/>
      <c r="AQ526" s="12"/>
      <c r="AR526" s="12" t="s">
        <v>4000</v>
      </c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</row>
    <row r="527" spans="1:59">
      <c r="A527" s="12" t="s">
        <v>3990</v>
      </c>
      <c r="B527" s="12" t="str">
        <f t="shared" si="97"/>
        <v>DUVENHAGE</v>
      </c>
      <c r="C527" s="12" t="str">
        <f t="shared" si="98"/>
        <v>DUVENHAGE</v>
      </c>
      <c r="D527" s="12" t="s">
        <v>4006</v>
      </c>
      <c r="E527" s="12" t="str">
        <f t="shared" si="108"/>
        <v>Johannes Theunis</v>
      </c>
      <c r="F527" s="12" t="s">
        <v>934</v>
      </c>
      <c r="G527" s="12" t="str">
        <f t="shared" si="99"/>
        <v>a1b1c2</v>
      </c>
      <c r="H527" s="12" t="str">
        <f t="shared" si="100"/>
        <v>DUVENHAGEa1b1c2</v>
      </c>
      <c r="I527" s="12"/>
      <c r="J527" s="12" t="s">
        <v>4007</v>
      </c>
      <c r="K527" s="12" t="str">
        <f t="shared" si="101"/>
        <v>1799</v>
      </c>
      <c r="L527" s="12"/>
      <c r="M527" s="12" t="s">
        <v>4008</v>
      </c>
      <c r="N527" s="12" t="str">
        <f t="shared" si="106"/>
        <v>1799</v>
      </c>
      <c r="O527" s="12" t="str">
        <f t="shared" si="107"/>
        <v>1799</v>
      </c>
      <c r="P527" s="12"/>
      <c r="Q527" s="12" t="str">
        <f t="shared" si="102"/>
        <v>1799</v>
      </c>
      <c r="R527" s="12"/>
      <c r="S527" s="12" t="str">
        <f t="shared" si="103"/>
        <v/>
      </c>
      <c r="T527" s="12" t="s">
        <v>32</v>
      </c>
      <c r="U527" s="12" t="s">
        <v>4009</v>
      </c>
      <c r="V527" s="12" t="str">
        <f t="shared" si="104"/>
        <v>1820</v>
      </c>
      <c r="W527" s="12" t="s">
        <v>4010</v>
      </c>
      <c r="X527" s="12" t="s">
        <v>3995</v>
      </c>
      <c r="Y527" s="12" t="s">
        <v>4011</v>
      </c>
      <c r="Z527" s="12"/>
      <c r="AA527" s="12"/>
      <c r="AB527" s="12"/>
      <c r="AC527" s="12">
        <v>1803</v>
      </c>
      <c r="AD527" s="12"/>
      <c r="AE527" s="12"/>
      <c r="AF527" s="12" t="s">
        <v>3723</v>
      </c>
      <c r="AG527" s="12" t="s">
        <v>74</v>
      </c>
      <c r="AH527" s="12">
        <v>1834</v>
      </c>
      <c r="AI527" s="12" t="str">
        <f t="shared" si="105"/>
        <v>1834</v>
      </c>
      <c r="AJ527" s="12"/>
      <c r="AK527" s="12" t="s">
        <v>190</v>
      </c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</row>
    <row r="528" spans="1:59">
      <c r="A528" s="12" t="s">
        <v>3990</v>
      </c>
      <c r="B528" s="12" t="str">
        <f t="shared" si="97"/>
        <v>DUVENHAGE</v>
      </c>
      <c r="C528" s="12" t="str">
        <f t="shared" si="98"/>
        <v>DUVENHAGE</v>
      </c>
      <c r="D528" s="12" t="s">
        <v>1250</v>
      </c>
      <c r="E528" s="12" t="str">
        <f t="shared" si="108"/>
        <v>Johan Hendrik</v>
      </c>
      <c r="F528" s="12" t="s">
        <v>4001</v>
      </c>
      <c r="G528" s="12" t="str">
        <f t="shared" si="99"/>
        <v>a1b1c3</v>
      </c>
      <c r="H528" s="12" t="str">
        <f t="shared" si="100"/>
        <v>DUVENHAGEa1b1c3</v>
      </c>
      <c r="I528" s="12"/>
      <c r="J528" s="12" t="s">
        <v>4002</v>
      </c>
      <c r="K528" s="12" t="str">
        <f t="shared" si="101"/>
        <v>1800</v>
      </c>
      <c r="L528" s="12"/>
      <c r="M528" s="12" t="s">
        <v>2068</v>
      </c>
      <c r="N528" s="12" t="str">
        <f t="shared" si="106"/>
        <v>1800</v>
      </c>
      <c r="O528" s="12" t="str">
        <f t="shared" si="107"/>
        <v>1801</v>
      </c>
      <c r="P528" s="12"/>
      <c r="Q528" s="12" t="str">
        <f t="shared" si="102"/>
        <v>1800</v>
      </c>
      <c r="R528" s="12"/>
      <c r="S528" s="12" t="str">
        <f t="shared" si="103"/>
        <v/>
      </c>
      <c r="T528" s="12" t="s">
        <v>32</v>
      </c>
      <c r="U528" s="12" t="s">
        <v>257</v>
      </c>
      <c r="V528" s="12" t="str">
        <f t="shared" si="104"/>
        <v>1822</v>
      </c>
      <c r="W528" s="12" t="s">
        <v>4003</v>
      </c>
      <c r="X528" s="12" t="s">
        <v>3995</v>
      </c>
      <c r="Y528" s="12" t="s">
        <v>4004</v>
      </c>
      <c r="Z528" s="12"/>
      <c r="AA528" s="12"/>
      <c r="AB528" s="12"/>
      <c r="AC528" s="12" t="s">
        <v>4005</v>
      </c>
      <c r="AD528" s="12"/>
      <c r="AE528" s="12"/>
      <c r="AF528" s="12" t="s">
        <v>3723</v>
      </c>
      <c r="AG528" s="12" t="s">
        <v>74</v>
      </c>
      <c r="AH528" s="12">
        <v>1834</v>
      </c>
      <c r="AI528" s="12" t="str">
        <f t="shared" si="105"/>
        <v>1834</v>
      </c>
      <c r="AJ528" s="12"/>
      <c r="AK528" s="12" t="s">
        <v>406</v>
      </c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</row>
    <row r="529" spans="1:59">
      <c r="A529" s="12" t="s">
        <v>3299</v>
      </c>
      <c r="B529" s="12" t="str">
        <f t="shared" si="97"/>
        <v>ELOFF</v>
      </c>
      <c r="C529" s="12" t="str">
        <f t="shared" si="98"/>
        <v>ELOFF</v>
      </c>
      <c r="D529" s="12" t="s">
        <v>4022</v>
      </c>
      <c r="E529" s="12" t="str">
        <f t="shared" si="108"/>
        <v xml:space="preserve">Petrus Johannes </v>
      </c>
      <c r="F529" s="12" t="s">
        <v>946</v>
      </c>
      <c r="G529" s="12" t="str">
        <f t="shared" si="99"/>
        <v>a1b1c10</v>
      </c>
      <c r="H529" s="12" t="str">
        <f t="shared" si="100"/>
        <v>ELOFFa1b1c10</v>
      </c>
      <c r="I529" s="12"/>
      <c r="J529" s="12" t="s">
        <v>4023</v>
      </c>
      <c r="K529" s="12" t="str">
        <f t="shared" si="101"/>
        <v>1819</v>
      </c>
      <c r="L529" s="12" t="s">
        <v>28</v>
      </c>
      <c r="M529" s="12" t="s">
        <v>4024</v>
      </c>
      <c r="N529" s="12" t="str">
        <f t="shared" si="106"/>
        <v>1819</v>
      </c>
      <c r="O529" s="12" t="str">
        <f t="shared" si="107"/>
        <v>1820</v>
      </c>
      <c r="P529" s="12"/>
      <c r="Q529" s="12" t="str">
        <f t="shared" si="102"/>
        <v>1819</v>
      </c>
      <c r="R529" s="12">
        <v>1860</v>
      </c>
      <c r="S529" s="12" t="str">
        <f t="shared" si="103"/>
        <v>1860</v>
      </c>
      <c r="V529" s="12" t="str">
        <f t="shared" si="104"/>
        <v/>
      </c>
      <c r="W529" s="12" t="s">
        <v>1124</v>
      </c>
      <c r="X529" s="12" t="s">
        <v>4025</v>
      </c>
      <c r="Y529" s="12"/>
      <c r="Z529" s="12"/>
      <c r="AA529" s="12"/>
      <c r="AB529" s="12"/>
      <c r="AC529" s="12"/>
      <c r="AD529" s="12"/>
      <c r="AE529" s="12"/>
      <c r="AF529" s="12" t="s">
        <v>3699</v>
      </c>
      <c r="AG529" s="12" t="s">
        <v>68</v>
      </c>
      <c r="AH529" s="12">
        <v>1836</v>
      </c>
      <c r="AI529" s="12" t="str">
        <f t="shared" si="105"/>
        <v>1836</v>
      </c>
      <c r="AJ529" s="12" t="s">
        <v>379</v>
      </c>
      <c r="AK529" s="12" t="s">
        <v>67</v>
      </c>
      <c r="AL529" s="12" t="s">
        <v>1043</v>
      </c>
      <c r="AM529" s="12" t="s">
        <v>3427</v>
      </c>
      <c r="AN529" s="12" t="s">
        <v>4026</v>
      </c>
      <c r="AO529" s="12" t="s">
        <v>700</v>
      </c>
      <c r="AP529" s="12"/>
      <c r="AQ529" s="12"/>
      <c r="AR529" s="12"/>
      <c r="AS529" s="12"/>
      <c r="AT529" s="12"/>
      <c r="AU529" s="12"/>
      <c r="AV529" s="12"/>
      <c r="AW529" s="12" t="s">
        <v>3399</v>
      </c>
      <c r="AX529" s="12" t="s">
        <v>4027</v>
      </c>
      <c r="AY529" s="12" t="s">
        <v>1321</v>
      </c>
      <c r="AZ529" s="12" t="s">
        <v>1167</v>
      </c>
      <c r="BA529" s="12" t="s">
        <v>4028</v>
      </c>
      <c r="BB529" s="12"/>
      <c r="BC529" s="12" t="s">
        <v>4029</v>
      </c>
      <c r="BD529" s="12"/>
      <c r="BE529" s="12"/>
      <c r="BF529" s="12"/>
      <c r="BG529" s="12"/>
    </row>
    <row r="530" spans="1:59">
      <c r="A530" s="2" t="s">
        <v>3299</v>
      </c>
      <c r="B530" s="12" t="str">
        <f t="shared" si="97"/>
        <v>ELOFF</v>
      </c>
      <c r="C530" s="12" t="str">
        <f t="shared" si="98"/>
        <v>ELOFF</v>
      </c>
      <c r="D530" s="2" t="s">
        <v>1169</v>
      </c>
      <c r="E530" s="12" t="str">
        <f t="shared" si="108"/>
        <v>Frederik Christoffel</v>
      </c>
      <c r="F530" s="2" t="s">
        <v>4001</v>
      </c>
      <c r="G530" s="12" t="str">
        <f t="shared" si="99"/>
        <v>a1b1c3</v>
      </c>
      <c r="H530" s="12" t="str">
        <f t="shared" si="100"/>
        <v>ELOFFa1b1c3</v>
      </c>
      <c r="K530" s="12" t="str">
        <f t="shared" si="101"/>
        <v/>
      </c>
      <c r="L530" s="2" t="s">
        <v>74</v>
      </c>
      <c r="M530" s="2" t="s">
        <v>1366</v>
      </c>
      <c r="N530" s="12" t="str">
        <f t="shared" si="106"/>
        <v/>
      </c>
      <c r="O530" s="12" t="str">
        <f t="shared" si="107"/>
        <v>1800</v>
      </c>
      <c r="P530" s="2" t="s">
        <v>67</v>
      </c>
      <c r="Q530" s="12" t="str">
        <f t="shared" si="102"/>
        <v>1800</v>
      </c>
      <c r="R530" s="2" t="s">
        <v>4017</v>
      </c>
      <c r="S530" s="12" t="str">
        <f t="shared" si="103"/>
        <v>1890</v>
      </c>
      <c r="T530" s="2" t="s">
        <v>74</v>
      </c>
      <c r="U530" s="2" t="s">
        <v>4018</v>
      </c>
      <c r="V530" s="12" t="str">
        <f t="shared" si="104"/>
        <v>1818</v>
      </c>
      <c r="W530" s="12" t="s">
        <v>4019</v>
      </c>
      <c r="X530" s="12" t="s">
        <v>1771</v>
      </c>
      <c r="AA530" s="2">
        <v>1803</v>
      </c>
      <c r="AE530" s="2" t="s">
        <v>4020</v>
      </c>
      <c r="AF530" s="2" t="s">
        <v>16</v>
      </c>
      <c r="AG530" s="2" t="s">
        <v>68</v>
      </c>
      <c r="AH530" s="2" t="s">
        <v>4021</v>
      </c>
      <c r="AI530" s="12" t="str">
        <f t="shared" si="105"/>
        <v>1839</v>
      </c>
      <c r="AJ530" s="2" t="s">
        <v>379</v>
      </c>
      <c r="AK530" s="2" t="s">
        <v>67</v>
      </c>
    </row>
    <row r="531" spans="1:59">
      <c r="A531" s="2" t="s">
        <v>3299</v>
      </c>
      <c r="B531" s="12" t="str">
        <f t="shared" si="97"/>
        <v>ELOFF</v>
      </c>
      <c r="C531" s="12" t="str">
        <f t="shared" si="98"/>
        <v>ELOFF</v>
      </c>
      <c r="D531" s="2" t="s">
        <v>4033</v>
      </c>
      <c r="E531" s="12" t="str">
        <f t="shared" si="108"/>
        <v xml:space="preserve">Sarel Johannes </v>
      </c>
      <c r="F531" s="2" t="s">
        <v>4034</v>
      </c>
      <c r="G531" s="12" t="str">
        <f t="shared" si="99"/>
        <v>a1b1c3d2</v>
      </c>
      <c r="H531" s="12" t="str">
        <f t="shared" si="100"/>
        <v>ELOFFa1b1c3d2</v>
      </c>
      <c r="J531" s="2" t="s">
        <v>4035</v>
      </c>
      <c r="K531" s="12" t="str">
        <f t="shared" si="101"/>
        <v>1822</v>
      </c>
      <c r="L531" s="2" t="s">
        <v>28</v>
      </c>
      <c r="M531" s="2" t="s">
        <v>383</v>
      </c>
      <c r="N531" s="12" t="str">
        <f t="shared" si="106"/>
        <v>1822</v>
      </c>
      <c r="O531" s="12" t="str">
        <f t="shared" si="107"/>
        <v>1822</v>
      </c>
      <c r="P531" s="2" t="s">
        <v>67</v>
      </c>
      <c r="Q531" s="12" t="str">
        <f t="shared" si="102"/>
        <v>1822</v>
      </c>
      <c r="R531" s="2" t="s">
        <v>4036</v>
      </c>
      <c r="S531" s="12" t="str">
        <f t="shared" si="103"/>
        <v>1840</v>
      </c>
      <c r="T531" s="2" t="s">
        <v>4037</v>
      </c>
      <c r="U531" s="2" t="s">
        <v>1044</v>
      </c>
      <c r="V531" s="12" t="str">
        <f t="shared" si="104"/>
        <v>1840</v>
      </c>
      <c r="W531" s="2" t="s">
        <v>4038</v>
      </c>
      <c r="X531" s="2" t="s">
        <v>4039</v>
      </c>
      <c r="AA531" s="2" t="s">
        <v>4040</v>
      </c>
      <c r="AF531" s="2" t="s">
        <v>3699</v>
      </c>
      <c r="AG531" s="2" t="s">
        <v>68</v>
      </c>
      <c r="AH531" s="2">
        <v>1836</v>
      </c>
      <c r="AI531" s="12" t="str">
        <f t="shared" si="105"/>
        <v>1836</v>
      </c>
      <c r="AJ531" s="2" t="s">
        <v>379</v>
      </c>
      <c r="AK531" s="2" t="s">
        <v>155</v>
      </c>
    </row>
    <row r="532" spans="1:59">
      <c r="A532" s="2" t="s">
        <v>3299</v>
      </c>
      <c r="B532" s="12" t="str">
        <f t="shared" si="97"/>
        <v>ELOFF</v>
      </c>
      <c r="C532" s="12" t="str">
        <f t="shared" si="98"/>
        <v>ELOFF</v>
      </c>
      <c r="D532" s="2" t="s">
        <v>4030</v>
      </c>
      <c r="E532" s="12" t="str">
        <f t="shared" si="108"/>
        <v>Philippus Arnoldus</v>
      </c>
      <c r="F532" s="2" t="s">
        <v>865</v>
      </c>
      <c r="G532" s="12" t="str">
        <f t="shared" si="99"/>
        <v>a1b1c3d3</v>
      </c>
      <c r="H532" s="12" t="str">
        <f t="shared" si="100"/>
        <v>ELOFFa1b1c3d3</v>
      </c>
      <c r="J532" s="2" t="s">
        <v>4031</v>
      </c>
      <c r="K532" s="12" t="str">
        <f t="shared" si="101"/>
        <v>1824</v>
      </c>
      <c r="L532" s="2" t="s">
        <v>28</v>
      </c>
      <c r="M532" s="2" t="s">
        <v>4032</v>
      </c>
      <c r="N532" s="12" t="str">
        <f t="shared" si="106"/>
        <v>1824</v>
      </c>
      <c r="O532" s="12" t="str">
        <f t="shared" si="107"/>
        <v>1825</v>
      </c>
      <c r="Q532" s="12" t="str">
        <f t="shared" si="102"/>
        <v>1824</v>
      </c>
      <c r="S532" s="12" t="str">
        <f t="shared" si="103"/>
        <v/>
      </c>
      <c r="V532" s="12" t="str">
        <f t="shared" si="104"/>
        <v/>
      </c>
      <c r="W532" s="2" t="s">
        <v>2249</v>
      </c>
      <c r="X532" s="2" t="s">
        <v>1824</v>
      </c>
      <c r="AF532" s="2" t="s">
        <v>16</v>
      </c>
      <c r="AG532" s="2" t="s">
        <v>68</v>
      </c>
      <c r="AH532" s="2">
        <v>1839</v>
      </c>
      <c r="AI532" s="12" t="str">
        <f t="shared" si="105"/>
        <v>1839</v>
      </c>
      <c r="AJ532" s="2" t="s">
        <v>379</v>
      </c>
      <c r="AK532" s="2" t="s">
        <v>155</v>
      </c>
    </row>
    <row r="533" spans="1:59">
      <c r="A533" s="12" t="s">
        <v>3299</v>
      </c>
      <c r="B533" s="12" t="str">
        <f t="shared" si="97"/>
        <v>ELOFF</v>
      </c>
      <c r="C533" s="12" t="str">
        <f t="shared" si="98"/>
        <v>ELOFF</v>
      </c>
      <c r="D533" s="2" t="s">
        <v>4013</v>
      </c>
      <c r="E533" s="12" t="str">
        <f t="shared" si="108"/>
        <v>Ernst Hendrik</v>
      </c>
      <c r="F533" s="2" t="s">
        <v>4014</v>
      </c>
      <c r="G533" s="12" t="str">
        <f t="shared" si="99"/>
        <v>a1b1c9</v>
      </c>
      <c r="H533" s="12" t="str">
        <f t="shared" si="100"/>
        <v>ELOFFa1b1c9</v>
      </c>
      <c r="J533" s="2" t="s">
        <v>4015</v>
      </c>
      <c r="K533" s="12" t="str">
        <f t="shared" si="101"/>
        <v>1816</v>
      </c>
      <c r="L533" s="2" t="s">
        <v>74</v>
      </c>
      <c r="M533" s="2" t="s">
        <v>486</v>
      </c>
      <c r="N533" s="12" t="str">
        <f t="shared" si="106"/>
        <v>1816</v>
      </c>
      <c r="O533" s="12" t="str">
        <f t="shared" si="107"/>
        <v>1817</v>
      </c>
      <c r="Q533" s="12" t="str">
        <f t="shared" si="102"/>
        <v>1816</v>
      </c>
      <c r="S533" s="12" t="str">
        <f t="shared" si="103"/>
        <v/>
      </c>
      <c r="T533" s="2" t="s">
        <v>28</v>
      </c>
      <c r="U533" s="2" t="s">
        <v>281</v>
      </c>
      <c r="V533" s="12" t="str">
        <f t="shared" si="104"/>
        <v>1836</v>
      </c>
      <c r="W533" s="2" t="s">
        <v>4016</v>
      </c>
      <c r="X533" s="2" t="s">
        <v>670</v>
      </c>
      <c r="AF533" s="2" t="s">
        <v>16</v>
      </c>
      <c r="AG533" s="2" t="s">
        <v>68</v>
      </c>
      <c r="AH533" s="2">
        <v>1836</v>
      </c>
      <c r="AI533" s="12" t="str">
        <f t="shared" si="105"/>
        <v>1836</v>
      </c>
      <c r="AJ533" s="2" t="s">
        <v>379</v>
      </c>
      <c r="AK533" s="2" t="s">
        <v>67</v>
      </c>
    </row>
    <row r="534" spans="1:59">
      <c r="A534" s="2" t="s">
        <v>1433</v>
      </c>
      <c r="B534" s="12" t="str">
        <f t="shared" si="97"/>
        <v>ELS</v>
      </c>
      <c r="C534" s="12" t="str">
        <f t="shared" si="98"/>
        <v>ELS</v>
      </c>
      <c r="D534" s="2" t="s">
        <v>4046</v>
      </c>
      <c r="E534" s="12" t="str">
        <f t="shared" si="108"/>
        <v>Cornelis Wilhelmus</v>
      </c>
      <c r="F534" s="2" t="s">
        <v>4001</v>
      </c>
      <c r="G534" s="12" t="str">
        <f t="shared" si="99"/>
        <v>a1b1c3</v>
      </c>
      <c r="H534" s="12" t="str">
        <f t="shared" si="100"/>
        <v>ELSa1b1c3</v>
      </c>
      <c r="K534" s="12" t="str">
        <f t="shared" si="101"/>
        <v/>
      </c>
      <c r="M534" s="2" t="s">
        <v>4047</v>
      </c>
      <c r="N534" s="12" t="str">
        <f t="shared" si="106"/>
        <v/>
      </c>
      <c r="O534" s="12" t="str">
        <f t="shared" si="107"/>
        <v>1793</v>
      </c>
      <c r="P534" s="2" t="s">
        <v>2520</v>
      </c>
      <c r="Q534" s="12" t="str">
        <f t="shared" si="102"/>
        <v>1793</v>
      </c>
      <c r="R534" s="2" t="s">
        <v>4048</v>
      </c>
      <c r="S534" s="12" t="str">
        <f t="shared" si="103"/>
        <v>1878</v>
      </c>
      <c r="T534" s="2" t="s">
        <v>74</v>
      </c>
      <c r="U534" s="2" t="s">
        <v>1594</v>
      </c>
      <c r="V534" s="12" t="str">
        <f t="shared" si="104"/>
        <v>1812</v>
      </c>
      <c r="W534" s="2" t="s">
        <v>1611</v>
      </c>
      <c r="X534" s="2" t="s">
        <v>785</v>
      </c>
      <c r="AG534" s="2" t="s">
        <v>68</v>
      </c>
      <c r="AI534" s="12" t="str">
        <f t="shared" si="105"/>
        <v/>
      </c>
      <c r="AK534" s="2" t="s">
        <v>551</v>
      </c>
    </row>
    <row r="535" spans="1:59">
      <c r="A535" s="2" t="s">
        <v>1433</v>
      </c>
      <c r="B535" s="12" t="str">
        <f t="shared" si="97"/>
        <v>ELS</v>
      </c>
      <c r="C535" s="12" t="str">
        <f t="shared" si="98"/>
        <v>ELS</v>
      </c>
      <c r="D535" s="2" t="s">
        <v>3239</v>
      </c>
      <c r="E535" s="12" t="str">
        <f t="shared" si="108"/>
        <v>Christoffel Johannes</v>
      </c>
      <c r="F535" s="2" t="s">
        <v>865</v>
      </c>
      <c r="G535" s="12" t="str">
        <f t="shared" si="99"/>
        <v>a1b1c3d3</v>
      </c>
      <c r="H535" s="12" t="str">
        <f t="shared" si="100"/>
        <v>ELSa1b1c3d3</v>
      </c>
      <c r="J535" s="2" t="s">
        <v>4041</v>
      </c>
      <c r="K535" s="12" t="str">
        <f t="shared" si="101"/>
        <v>1817</v>
      </c>
      <c r="L535" s="2" t="s">
        <v>74</v>
      </c>
      <c r="M535" s="2" t="s">
        <v>4042</v>
      </c>
      <c r="N535" s="12" t="str">
        <f t="shared" si="106"/>
        <v>1817</v>
      </c>
      <c r="O535" s="12" t="str">
        <f t="shared" si="107"/>
        <v>1817</v>
      </c>
      <c r="P535" s="2" t="s">
        <v>2520</v>
      </c>
      <c r="Q535" s="12" t="str">
        <f t="shared" si="102"/>
        <v>1817</v>
      </c>
      <c r="R535" s="2" t="s">
        <v>4043</v>
      </c>
      <c r="S535" s="12" t="str">
        <f t="shared" si="103"/>
        <v>1895</v>
      </c>
      <c r="T535" s="2" t="s">
        <v>68</v>
      </c>
      <c r="U535" s="2" t="s">
        <v>4044</v>
      </c>
      <c r="V535" s="12" t="str">
        <f t="shared" si="104"/>
        <v>1835</v>
      </c>
      <c r="W535" s="2" t="s">
        <v>4045</v>
      </c>
      <c r="X535" s="2" t="s">
        <v>785</v>
      </c>
      <c r="AG535" s="2" t="s">
        <v>68</v>
      </c>
      <c r="AI535" s="12" t="str">
        <f t="shared" si="105"/>
        <v/>
      </c>
    </row>
    <row r="536" spans="1:59">
      <c r="A536" s="2" t="s">
        <v>1433</v>
      </c>
      <c r="B536" s="12" t="str">
        <f t="shared" si="97"/>
        <v>ELS</v>
      </c>
      <c r="C536" s="12" t="str">
        <f t="shared" si="98"/>
        <v>ELS</v>
      </c>
      <c r="D536" s="2" t="s">
        <v>278</v>
      </c>
      <c r="E536" s="12" t="str">
        <f t="shared" si="108"/>
        <v>Marthinus Johannes</v>
      </c>
      <c r="F536" s="2" t="s">
        <v>4063</v>
      </c>
      <c r="G536" s="12" t="str">
        <f t="shared" si="99"/>
        <v>a1b1c3d4</v>
      </c>
      <c r="H536" s="12" t="str">
        <f t="shared" si="100"/>
        <v>ELSa1b1c3d4</v>
      </c>
      <c r="J536" s="2" t="s">
        <v>4064</v>
      </c>
      <c r="K536" s="12" t="str">
        <f t="shared" si="101"/>
        <v>1818</v>
      </c>
      <c r="L536" s="2" t="s">
        <v>53</v>
      </c>
      <c r="M536" s="2" t="s">
        <v>4065</v>
      </c>
      <c r="N536" s="12" t="str">
        <f t="shared" si="106"/>
        <v>1818</v>
      </c>
      <c r="O536" s="12" t="str">
        <f t="shared" si="107"/>
        <v>1818</v>
      </c>
      <c r="P536" s="2" t="s">
        <v>2520</v>
      </c>
      <c r="Q536" s="12" t="str">
        <f t="shared" si="102"/>
        <v>1818</v>
      </c>
      <c r="R536" s="2" t="s">
        <v>4066</v>
      </c>
      <c r="S536" s="12" t="str">
        <f t="shared" si="103"/>
        <v>1889</v>
      </c>
      <c r="V536" s="12" t="str">
        <f t="shared" si="104"/>
        <v/>
      </c>
      <c r="W536" s="2" t="s">
        <v>4067</v>
      </c>
      <c r="X536" s="2" t="s">
        <v>2427</v>
      </c>
      <c r="AG536" s="2" t="s">
        <v>68</v>
      </c>
      <c r="AI536" s="12" t="str">
        <f t="shared" si="105"/>
        <v/>
      </c>
      <c r="AK536" s="2" t="s">
        <v>140</v>
      </c>
    </row>
    <row r="537" spans="1:59">
      <c r="A537" s="12" t="s">
        <v>1433</v>
      </c>
      <c r="B537" s="12" t="str">
        <f t="shared" si="97"/>
        <v>ELS</v>
      </c>
      <c r="C537" s="12" t="str">
        <f t="shared" si="98"/>
        <v>ELS</v>
      </c>
      <c r="D537" s="12" t="s">
        <v>4049</v>
      </c>
      <c r="E537" s="12" t="str">
        <f t="shared" si="108"/>
        <v>Frederik Christiaan</v>
      </c>
      <c r="F537" s="12" t="s">
        <v>4050</v>
      </c>
      <c r="G537" s="12" t="str">
        <f t="shared" si="99"/>
        <v>a1b1c6</v>
      </c>
      <c r="H537" s="12" t="str">
        <f t="shared" si="100"/>
        <v>ELSa1b1c6</v>
      </c>
      <c r="I537" s="12"/>
      <c r="J537" s="12"/>
      <c r="K537" s="12" t="str">
        <f t="shared" si="101"/>
        <v/>
      </c>
      <c r="L537" s="12"/>
      <c r="M537" s="12" t="s">
        <v>4051</v>
      </c>
      <c r="N537" s="12" t="str">
        <f t="shared" si="106"/>
        <v/>
      </c>
      <c r="O537" s="12" t="str">
        <f t="shared" si="107"/>
        <v>1801</v>
      </c>
      <c r="P537" s="12"/>
      <c r="Q537" s="12" t="str">
        <f t="shared" si="102"/>
        <v>1801</v>
      </c>
      <c r="R537" s="12"/>
      <c r="S537" s="12" t="str">
        <f t="shared" si="103"/>
        <v/>
      </c>
      <c r="T537" s="12" t="s">
        <v>28</v>
      </c>
      <c r="U537" s="12" t="s">
        <v>4052</v>
      </c>
      <c r="V537" s="12" t="str">
        <f t="shared" si="104"/>
        <v>1823</v>
      </c>
      <c r="W537" s="12" t="s">
        <v>4053</v>
      </c>
      <c r="X537" s="12" t="s">
        <v>822</v>
      </c>
      <c r="Y537" s="12"/>
      <c r="Z537" s="12"/>
      <c r="AA537" s="12"/>
      <c r="AB537" s="12"/>
      <c r="AC537" s="12"/>
      <c r="AD537" s="12"/>
      <c r="AE537" s="12"/>
      <c r="AF537" s="12"/>
      <c r="AG537" s="12" t="s">
        <v>68</v>
      </c>
      <c r="AH537" s="12"/>
      <c r="AI537" s="12" t="str">
        <f t="shared" si="105"/>
        <v/>
      </c>
      <c r="AJ537" s="12"/>
      <c r="AK537" s="12" t="s">
        <v>67</v>
      </c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</row>
    <row r="538" spans="1:59">
      <c r="A538" s="12" t="s">
        <v>1433</v>
      </c>
      <c r="B538" s="12" t="str">
        <f t="shared" si="97"/>
        <v>ELS</v>
      </c>
      <c r="C538" s="12" t="str">
        <f t="shared" si="98"/>
        <v>ELS</v>
      </c>
      <c r="D538" s="12" t="s">
        <v>4054</v>
      </c>
      <c r="E538" s="12" t="str">
        <f t="shared" si="108"/>
        <v>Frederik Nicolaas</v>
      </c>
      <c r="F538" s="12" t="s">
        <v>4055</v>
      </c>
      <c r="G538" s="12" t="str">
        <f t="shared" si="99"/>
        <v>a1b5</v>
      </c>
      <c r="H538" s="12" t="str">
        <f t="shared" si="100"/>
        <v>ELSa1b5</v>
      </c>
      <c r="I538" s="12"/>
      <c r="J538" s="12"/>
      <c r="K538" s="12" t="str">
        <f t="shared" si="101"/>
        <v/>
      </c>
      <c r="L538" s="12"/>
      <c r="M538" s="12" t="s">
        <v>4056</v>
      </c>
      <c r="N538" s="12" t="str">
        <f t="shared" si="106"/>
        <v/>
      </c>
      <c r="O538" s="12" t="str">
        <f t="shared" si="107"/>
        <v>1777</v>
      </c>
      <c r="P538" s="12"/>
      <c r="Q538" s="12" t="str">
        <f t="shared" si="102"/>
        <v>1777</v>
      </c>
      <c r="R538" s="12"/>
      <c r="S538" s="12" t="str">
        <f t="shared" si="103"/>
        <v/>
      </c>
      <c r="T538" s="12" t="s">
        <v>48</v>
      </c>
      <c r="U538" s="12" t="s">
        <v>4057</v>
      </c>
      <c r="V538" s="12" t="str">
        <f t="shared" si="104"/>
        <v>1803</v>
      </c>
      <c r="W538" s="12" t="s">
        <v>4038</v>
      </c>
      <c r="X538" s="12" t="s">
        <v>2250</v>
      </c>
      <c r="Y538" s="12" t="s">
        <v>4058</v>
      </c>
      <c r="AA538" s="12"/>
      <c r="AB538" s="12" t="s">
        <v>48</v>
      </c>
      <c r="AC538" s="12" t="s">
        <v>1791</v>
      </c>
      <c r="AD538" s="12"/>
      <c r="AE538" s="12"/>
      <c r="AF538" s="12" t="s">
        <v>3699</v>
      </c>
      <c r="AG538" s="12" t="s">
        <v>68</v>
      </c>
      <c r="AH538" s="12" t="s">
        <v>1172</v>
      </c>
      <c r="AI538" s="12" t="str">
        <f t="shared" si="105"/>
        <v>1837</v>
      </c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</row>
    <row r="539" spans="1:59">
      <c r="A539" s="12" t="s">
        <v>4059</v>
      </c>
      <c r="B539" s="12" t="str">
        <f t="shared" si="97"/>
        <v>ELS</v>
      </c>
      <c r="C539" s="12" t="str">
        <f t="shared" si="98"/>
        <v>ELS</v>
      </c>
      <c r="D539" s="12" t="s">
        <v>3261</v>
      </c>
      <c r="E539" s="12" t="str">
        <f t="shared" si="108"/>
        <v>Johannes Marthinus</v>
      </c>
      <c r="F539" s="12" t="s">
        <v>912</v>
      </c>
      <c r="G539" s="12" t="str">
        <f t="shared" si="99"/>
        <v>a1b1c2d2</v>
      </c>
      <c r="H539" s="12" t="str">
        <f t="shared" si="100"/>
        <v>ELSa1b1c2d2</v>
      </c>
      <c r="I539" s="12"/>
      <c r="J539" s="12" t="s">
        <v>4060</v>
      </c>
      <c r="K539" s="12" t="str">
        <f t="shared" si="101"/>
        <v>1813</v>
      </c>
      <c r="L539" s="12" t="s">
        <v>74</v>
      </c>
      <c r="M539" s="12" t="s">
        <v>4061</v>
      </c>
      <c r="N539" s="12" t="str">
        <f t="shared" si="106"/>
        <v>1813</v>
      </c>
      <c r="O539" s="12" t="str">
        <f t="shared" si="107"/>
        <v>1813</v>
      </c>
      <c r="P539" s="12"/>
      <c r="Q539" s="12" t="str">
        <f t="shared" si="102"/>
        <v>1813</v>
      </c>
      <c r="R539" s="12"/>
      <c r="S539" s="12" t="str">
        <f t="shared" si="103"/>
        <v/>
      </c>
      <c r="T539" s="12"/>
      <c r="U539" s="12"/>
      <c r="V539" s="12" t="str">
        <f t="shared" si="104"/>
        <v/>
      </c>
      <c r="W539" s="12" t="s">
        <v>4062</v>
      </c>
      <c r="X539" s="12" t="s">
        <v>697</v>
      </c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 t="str">
        <f t="shared" si="105"/>
        <v/>
      </c>
      <c r="AJ539" s="12"/>
      <c r="AK539" s="12" t="s">
        <v>67</v>
      </c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</row>
    <row r="540" spans="1:59">
      <c r="A540" s="12" t="s">
        <v>704</v>
      </c>
      <c r="B540" s="12" t="str">
        <f t="shared" si="97"/>
        <v>ENGELBRECHT</v>
      </c>
      <c r="C540" s="12" t="str">
        <f t="shared" si="98"/>
        <v>ENGELBRECHT</v>
      </c>
      <c r="D540" s="12" t="s">
        <v>4086</v>
      </c>
      <c r="E540" s="12" t="str">
        <f t="shared" si="108"/>
        <v>Eduard Johannes</v>
      </c>
      <c r="F540" s="12" t="s">
        <v>4087</v>
      </c>
      <c r="G540" s="12" t="str">
        <f t="shared" si="99"/>
        <v>a2b1c4d5</v>
      </c>
      <c r="H540" s="12" t="str">
        <f t="shared" si="100"/>
        <v>ENGELBRECHTa2b1c4d5</v>
      </c>
      <c r="I540" s="12"/>
      <c r="J540" s="12"/>
      <c r="K540" s="12" t="str">
        <f t="shared" si="101"/>
        <v/>
      </c>
      <c r="L540" s="12"/>
      <c r="M540" s="12" t="s">
        <v>4088</v>
      </c>
      <c r="N540" s="12" t="str">
        <f t="shared" si="106"/>
        <v/>
      </c>
      <c r="O540" s="12" t="str">
        <f t="shared" si="107"/>
        <v>1799</v>
      </c>
      <c r="P540" s="12"/>
      <c r="Q540" s="12" t="str">
        <f t="shared" si="102"/>
        <v>1799</v>
      </c>
      <c r="R540" s="12"/>
      <c r="S540" s="12" t="str">
        <f t="shared" si="103"/>
        <v/>
      </c>
      <c r="T540" s="12" t="s">
        <v>74</v>
      </c>
      <c r="U540" s="12" t="s">
        <v>4089</v>
      </c>
      <c r="V540" s="12" t="str">
        <f t="shared" si="104"/>
        <v>1823</v>
      </c>
      <c r="W540" s="12" t="s">
        <v>4090</v>
      </c>
      <c r="X540" s="12" t="s">
        <v>4091</v>
      </c>
      <c r="Y540" s="12"/>
      <c r="Z540" s="12"/>
      <c r="AA540" s="12"/>
      <c r="AB540" s="12"/>
      <c r="AC540" s="12"/>
      <c r="AD540" s="12"/>
      <c r="AE540" s="12"/>
      <c r="AF540" s="12"/>
      <c r="AG540" s="12" t="s">
        <v>60</v>
      </c>
      <c r="AH540" s="12">
        <v>1840</v>
      </c>
      <c r="AI540" s="12" t="str">
        <f t="shared" si="105"/>
        <v>1840</v>
      </c>
      <c r="AJ540" s="12"/>
      <c r="AK540" s="12" t="s">
        <v>4092</v>
      </c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</row>
    <row r="541" spans="1:59">
      <c r="A541" s="12" t="s">
        <v>704</v>
      </c>
      <c r="B541" s="12" t="str">
        <f t="shared" si="97"/>
        <v>ENGELBRECHT</v>
      </c>
      <c r="C541" s="12" t="str">
        <f t="shared" si="98"/>
        <v>ENGELBRECHT</v>
      </c>
      <c r="D541" s="12" t="s">
        <v>2629</v>
      </c>
      <c r="E541" s="12" t="str">
        <f t="shared" si="108"/>
        <v>Johannes Frederik</v>
      </c>
      <c r="F541" s="12" t="s">
        <v>4115</v>
      </c>
      <c r="G541" s="12" t="str">
        <f t="shared" si="99"/>
        <v>a2b1c4d7</v>
      </c>
      <c r="H541" s="12" t="str">
        <f t="shared" si="100"/>
        <v>ENGELBRECHTa2b1c4d7</v>
      </c>
      <c r="I541" s="12"/>
      <c r="J541" s="12"/>
      <c r="K541" s="12" t="str">
        <f t="shared" si="101"/>
        <v/>
      </c>
      <c r="L541" s="12"/>
      <c r="M541" s="12" t="s">
        <v>4116</v>
      </c>
      <c r="N541" s="12" t="str">
        <f t="shared" si="106"/>
        <v/>
      </c>
      <c r="O541" s="12" t="str">
        <f t="shared" si="107"/>
        <v>1807</v>
      </c>
      <c r="P541" s="12"/>
      <c r="Q541" s="12" t="str">
        <f t="shared" si="102"/>
        <v>1807</v>
      </c>
      <c r="R541" s="12"/>
      <c r="S541" s="12" t="str">
        <f t="shared" si="103"/>
        <v/>
      </c>
      <c r="T541" s="12" t="s">
        <v>28</v>
      </c>
      <c r="U541" s="12" t="s">
        <v>4117</v>
      </c>
      <c r="V541" s="12" t="str">
        <f t="shared" si="104"/>
        <v>1832</v>
      </c>
      <c r="W541" s="12" t="s">
        <v>1550</v>
      </c>
      <c r="X541" s="12" t="s">
        <v>4091</v>
      </c>
      <c r="Y541" s="12"/>
      <c r="Z541" s="12"/>
      <c r="AA541" s="12"/>
      <c r="AB541" s="12"/>
      <c r="AC541" s="12"/>
      <c r="AD541" s="12"/>
      <c r="AE541" s="12"/>
      <c r="AF541" s="12"/>
      <c r="AG541" s="12"/>
      <c r="AH541" s="12">
        <v>1840</v>
      </c>
      <c r="AI541" s="12" t="str">
        <f t="shared" si="105"/>
        <v>1840</v>
      </c>
      <c r="AJ541" s="12"/>
      <c r="AK541" s="12" t="s">
        <v>190</v>
      </c>
      <c r="AL541" s="12" t="s">
        <v>60</v>
      </c>
      <c r="AM541" s="12" t="s">
        <v>4118</v>
      </c>
      <c r="AN541" s="12" t="s">
        <v>4119</v>
      </c>
      <c r="AO541" s="12" t="s">
        <v>760</v>
      </c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</row>
    <row r="542" spans="1:59">
      <c r="A542" s="12" t="s">
        <v>704</v>
      </c>
      <c r="B542" s="12" t="str">
        <f t="shared" si="97"/>
        <v>ENGELBRECHT</v>
      </c>
      <c r="C542" s="12" t="str">
        <f t="shared" si="98"/>
        <v>ENGELBRECHT</v>
      </c>
      <c r="D542" s="12" t="s">
        <v>4093</v>
      </c>
      <c r="E542" s="12" t="str">
        <f t="shared" si="108"/>
        <v>Gerhardus Sr</v>
      </c>
      <c r="F542" s="12" t="s">
        <v>4094</v>
      </c>
      <c r="G542" s="12" t="str">
        <f t="shared" si="99"/>
        <v>a4b2c3</v>
      </c>
      <c r="H542" s="12" t="str">
        <f t="shared" si="100"/>
        <v>ENGELBRECHTa4b2c3</v>
      </c>
      <c r="I542" s="12"/>
      <c r="J542" s="12"/>
      <c r="K542" s="12" t="str">
        <f t="shared" si="101"/>
        <v/>
      </c>
      <c r="L542" s="12"/>
      <c r="M542" s="12" t="s">
        <v>152</v>
      </c>
      <c r="N542" s="12" t="str">
        <f t="shared" si="106"/>
        <v/>
      </c>
      <c r="O542" s="12" t="str">
        <f t="shared" si="107"/>
        <v>1785</v>
      </c>
      <c r="P542" s="12" t="s">
        <v>474</v>
      </c>
      <c r="Q542" s="12" t="str">
        <f t="shared" si="102"/>
        <v>1785</v>
      </c>
      <c r="R542" s="12" t="s">
        <v>301</v>
      </c>
      <c r="S542" s="12" t="str">
        <f t="shared" si="103"/>
        <v>1838</v>
      </c>
      <c r="T542" s="12" t="s">
        <v>48</v>
      </c>
      <c r="U542" s="12" t="s">
        <v>4095</v>
      </c>
      <c r="V542" s="12" t="str">
        <f t="shared" si="104"/>
        <v>1804</v>
      </c>
      <c r="W542" s="12" t="s">
        <v>714</v>
      </c>
      <c r="X542" s="12" t="s">
        <v>700</v>
      </c>
      <c r="Y542" s="12" t="s">
        <v>4096</v>
      </c>
      <c r="Z542" s="12"/>
      <c r="AA542" s="12"/>
      <c r="AB542" s="12"/>
      <c r="AC542" s="12" t="s">
        <v>4097</v>
      </c>
      <c r="AD542" s="12"/>
      <c r="AE542" s="12"/>
      <c r="AF542" s="12" t="s">
        <v>3709</v>
      </c>
      <c r="AG542" s="12" t="s">
        <v>68</v>
      </c>
      <c r="AH542" s="12" t="s">
        <v>215</v>
      </c>
      <c r="AI542" s="12" t="str">
        <f t="shared" si="105"/>
        <v>1837</v>
      </c>
      <c r="AJ542" s="12" t="s">
        <v>1502</v>
      </c>
      <c r="AK542" s="12" t="s">
        <v>90</v>
      </c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</row>
    <row r="543" spans="1:59">
      <c r="A543" s="12" t="s">
        <v>704</v>
      </c>
      <c r="B543" s="12" t="str">
        <f t="shared" si="97"/>
        <v>ENGELBRECHT</v>
      </c>
      <c r="C543" s="12" t="str">
        <f t="shared" si="98"/>
        <v>ENGELBRECHT</v>
      </c>
      <c r="D543" s="12" t="s">
        <v>4113</v>
      </c>
      <c r="E543" s="12" t="str">
        <f t="shared" si="108"/>
        <v>Gerrit Johannes Jacobus</v>
      </c>
      <c r="F543" s="12" t="s">
        <v>4114</v>
      </c>
      <c r="G543" s="12" t="str">
        <f t="shared" si="99"/>
        <v>a4b2c3d2</v>
      </c>
      <c r="H543" s="12" t="str">
        <f t="shared" si="100"/>
        <v>ENGELBRECHTa4b2c3d2</v>
      </c>
      <c r="I543" s="12"/>
      <c r="J543" s="12" t="s">
        <v>1296</v>
      </c>
      <c r="K543" s="12" t="str">
        <f t="shared" si="101"/>
        <v>1809</v>
      </c>
      <c r="L543" s="12"/>
      <c r="M543" s="12"/>
      <c r="N543" s="12" t="str">
        <f t="shared" si="106"/>
        <v>1809</v>
      </c>
      <c r="O543" s="12" t="str">
        <f t="shared" si="107"/>
        <v/>
      </c>
      <c r="P543" s="12" t="s">
        <v>474</v>
      </c>
      <c r="Q543" s="12" t="str">
        <f t="shared" si="102"/>
        <v>1809</v>
      </c>
      <c r="R543" s="12" t="s">
        <v>301</v>
      </c>
      <c r="S543" s="12" t="str">
        <f t="shared" si="103"/>
        <v>1838</v>
      </c>
      <c r="T543" s="12"/>
      <c r="U543" s="12"/>
      <c r="V543" s="12" t="str">
        <f t="shared" si="104"/>
        <v/>
      </c>
      <c r="W543" s="12"/>
      <c r="X543" s="12"/>
      <c r="Y543" s="12"/>
      <c r="Z543" s="12"/>
      <c r="AA543" s="12"/>
      <c r="AB543" s="12"/>
      <c r="AC543" s="12"/>
      <c r="AD543" s="12" t="s">
        <v>474</v>
      </c>
      <c r="AE543" s="12" t="s">
        <v>301</v>
      </c>
      <c r="AF543" s="12" t="s">
        <v>3709</v>
      </c>
      <c r="AG543" s="12" t="s">
        <v>68</v>
      </c>
      <c r="AH543" s="12" t="s">
        <v>1542</v>
      </c>
      <c r="AI543" s="12" t="str">
        <f t="shared" si="105"/>
        <v>1837</v>
      </c>
      <c r="AJ543" s="12" t="s">
        <v>1502</v>
      </c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</row>
    <row r="544" spans="1:59">
      <c r="A544" s="12" t="s">
        <v>704</v>
      </c>
      <c r="B544" s="12" t="str">
        <f t="shared" si="97"/>
        <v>ENGELBRECHT</v>
      </c>
      <c r="C544" s="12" t="str">
        <f t="shared" si="98"/>
        <v>ENGELBRECHT</v>
      </c>
      <c r="D544" s="12" t="s">
        <v>1484</v>
      </c>
      <c r="E544" s="12" t="str">
        <f t="shared" si="108"/>
        <v>Willem Jacobus</v>
      </c>
      <c r="F544" s="12" t="s">
        <v>4125</v>
      </c>
      <c r="G544" s="12" t="str">
        <f t="shared" si="99"/>
        <v>a4b2c3d3</v>
      </c>
      <c r="H544" s="12" t="str">
        <f t="shared" si="100"/>
        <v>ENGELBRECHTa4b2c3d3</v>
      </c>
      <c r="I544" s="12"/>
      <c r="J544" s="12"/>
      <c r="K544" s="12" t="str">
        <f t="shared" si="101"/>
        <v/>
      </c>
      <c r="L544" s="12"/>
      <c r="M544" s="12" t="s">
        <v>1296</v>
      </c>
      <c r="N544" s="12" t="str">
        <f t="shared" si="106"/>
        <v/>
      </c>
      <c r="O544" s="12" t="str">
        <f t="shared" si="107"/>
        <v>1809</v>
      </c>
      <c r="P544" s="12" t="s">
        <v>474</v>
      </c>
      <c r="Q544" s="12" t="str">
        <f t="shared" si="102"/>
        <v>1809</v>
      </c>
      <c r="R544" s="12" t="s">
        <v>301</v>
      </c>
      <c r="S544" s="12" t="str">
        <f t="shared" si="103"/>
        <v>1838</v>
      </c>
      <c r="T544" s="12"/>
      <c r="U544" s="12"/>
      <c r="V544" s="12" t="str">
        <f t="shared" si="104"/>
        <v/>
      </c>
      <c r="W544" s="12" t="s">
        <v>2756</v>
      </c>
      <c r="X544" s="12" t="s">
        <v>704</v>
      </c>
      <c r="Y544" s="12"/>
      <c r="Z544" s="12"/>
      <c r="AA544" s="12"/>
      <c r="AB544" s="12"/>
      <c r="AC544" s="12"/>
      <c r="AD544" s="12" t="s">
        <v>474</v>
      </c>
      <c r="AE544" s="12" t="s">
        <v>301</v>
      </c>
      <c r="AF544" s="12" t="s">
        <v>3709</v>
      </c>
      <c r="AG544" s="12" t="s">
        <v>68</v>
      </c>
      <c r="AH544" s="12" t="s">
        <v>215</v>
      </c>
      <c r="AI544" s="12" t="str">
        <f t="shared" si="105"/>
        <v>1837</v>
      </c>
      <c r="AJ544" s="2" t="s">
        <v>1502</v>
      </c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</row>
    <row r="545" spans="1:70">
      <c r="A545" s="12" t="s">
        <v>704</v>
      </c>
      <c r="B545" s="12" t="str">
        <f t="shared" si="97"/>
        <v>ENGELBRECHT</v>
      </c>
      <c r="C545" s="12" t="str">
        <f t="shared" si="98"/>
        <v>ENGELBRECHT</v>
      </c>
      <c r="D545" s="12" t="s">
        <v>1284</v>
      </c>
      <c r="E545" s="12" t="str">
        <f t="shared" si="108"/>
        <v>Johannes Hendrik</v>
      </c>
      <c r="F545" s="12" t="s">
        <v>4120</v>
      </c>
      <c r="G545" s="12" t="str">
        <f t="shared" si="99"/>
        <v>a4b2c3d4</v>
      </c>
      <c r="H545" s="12" t="str">
        <f t="shared" si="100"/>
        <v>ENGELBRECHTa4b2c3d4</v>
      </c>
      <c r="I545" s="12"/>
      <c r="J545" s="12" t="s">
        <v>4121</v>
      </c>
      <c r="K545" s="12" t="str">
        <f t="shared" si="101"/>
        <v>1814</v>
      </c>
      <c r="L545" s="12"/>
      <c r="M545" s="12"/>
      <c r="N545" s="12" t="str">
        <f t="shared" si="106"/>
        <v>1814</v>
      </c>
      <c r="O545" s="12" t="str">
        <f t="shared" si="107"/>
        <v/>
      </c>
      <c r="P545" s="12"/>
      <c r="Q545" s="12" t="str">
        <f t="shared" si="102"/>
        <v>1814</v>
      </c>
      <c r="R545" s="12"/>
      <c r="S545" s="12" t="str">
        <f t="shared" si="103"/>
        <v/>
      </c>
      <c r="T545" s="12" t="s">
        <v>28</v>
      </c>
      <c r="U545" s="12" t="s">
        <v>4122</v>
      </c>
      <c r="V545" s="12" t="str">
        <f t="shared" si="104"/>
        <v>1835</v>
      </c>
      <c r="W545" s="12" t="s">
        <v>4123</v>
      </c>
      <c r="X545" s="12" t="s">
        <v>700</v>
      </c>
      <c r="Y545" s="12" t="s">
        <v>4124</v>
      </c>
      <c r="Z545" s="12"/>
      <c r="AA545" s="12"/>
      <c r="AB545" s="12"/>
      <c r="AC545" s="12"/>
      <c r="AD545" s="12"/>
      <c r="AE545" s="12"/>
      <c r="AF545" s="12" t="s">
        <v>3709</v>
      </c>
      <c r="AG545" s="12" t="s">
        <v>68</v>
      </c>
      <c r="AH545" s="12" t="s">
        <v>215</v>
      </c>
      <c r="AI545" s="12" t="str">
        <f t="shared" si="105"/>
        <v>1837</v>
      </c>
      <c r="AJ545" s="12" t="s">
        <v>1502</v>
      </c>
      <c r="AK545" s="12" t="s">
        <v>90</v>
      </c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</row>
    <row r="546" spans="1:70">
      <c r="A546" s="12" t="s">
        <v>704</v>
      </c>
      <c r="B546" s="12" t="str">
        <f t="shared" si="97"/>
        <v>ENGELBRECHT</v>
      </c>
      <c r="C546" s="12" t="str">
        <f t="shared" si="98"/>
        <v>ENGELBRECHT</v>
      </c>
      <c r="D546" s="12" t="s">
        <v>4068</v>
      </c>
      <c r="E546" s="12" t="str">
        <f t="shared" si="108"/>
        <v>Adriaan Stephanus</v>
      </c>
      <c r="F546" s="12" t="s">
        <v>4069</v>
      </c>
      <c r="G546" s="12" t="str">
        <f t="shared" si="99"/>
        <v>a4b2c3d5</v>
      </c>
      <c r="H546" s="12" t="str">
        <f t="shared" si="100"/>
        <v>ENGELBRECHTa4b2c3d5</v>
      </c>
      <c r="I546" s="12"/>
      <c r="J546" s="12" t="s">
        <v>4070</v>
      </c>
      <c r="K546" s="12" t="str">
        <f t="shared" si="101"/>
        <v>1815</v>
      </c>
      <c r="L546" s="12" t="s">
        <v>74</v>
      </c>
      <c r="M546" s="12" t="s">
        <v>4071</v>
      </c>
      <c r="N546" s="12" t="str">
        <f t="shared" si="106"/>
        <v>1815</v>
      </c>
      <c r="O546" s="12" t="str">
        <f t="shared" si="107"/>
        <v>1816</v>
      </c>
      <c r="P546" s="12"/>
      <c r="Q546" s="12" t="str">
        <f t="shared" si="102"/>
        <v>1815</v>
      </c>
      <c r="R546" s="12"/>
      <c r="S546" s="12" t="str">
        <f t="shared" si="103"/>
        <v/>
      </c>
      <c r="T546" s="12" t="s">
        <v>28</v>
      </c>
      <c r="U546" s="12" t="s">
        <v>4072</v>
      </c>
      <c r="V546" s="12" t="str">
        <f t="shared" si="104"/>
        <v>1836</v>
      </c>
      <c r="W546" s="12" t="s">
        <v>4073</v>
      </c>
      <c r="X546" s="12" t="s">
        <v>700</v>
      </c>
      <c r="Y546" s="12"/>
      <c r="Z546" s="12"/>
      <c r="AA546" s="12"/>
      <c r="AB546" s="12"/>
      <c r="AC546" s="12"/>
      <c r="AD546" s="12"/>
      <c r="AE546" s="12"/>
      <c r="AF546" s="12" t="s">
        <v>3699</v>
      </c>
      <c r="AG546" s="12" t="s">
        <v>68</v>
      </c>
      <c r="AH546" s="12">
        <v>1837</v>
      </c>
      <c r="AI546" s="12" t="str">
        <f t="shared" si="105"/>
        <v>1837</v>
      </c>
      <c r="AJ546" s="12" t="s">
        <v>3091</v>
      </c>
      <c r="AK546" s="12" t="s">
        <v>3692</v>
      </c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</row>
    <row r="547" spans="1:70">
      <c r="A547" s="12" t="s">
        <v>704</v>
      </c>
      <c r="B547" s="12" t="str">
        <f t="shared" si="97"/>
        <v>ENGELBRECHT</v>
      </c>
      <c r="C547" s="12" t="str">
        <f t="shared" si="98"/>
        <v>ENGELBRECHT</v>
      </c>
      <c r="D547" s="12" t="s">
        <v>4098</v>
      </c>
      <c r="E547" s="12" t="str">
        <f t="shared" si="108"/>
        <v>Gerhardus Jr</v>
      </c>
      <c r="F547" s="12" t="s">
        <v>4099</v>
      </c>
      <c r="G547" s="12" t="str">
        <f t="shared" si="99"/>
        <v>a4b2c3d8</v>
      </c>
      <c r="H547" s="12" t="str">
        <f t="shared" si="100"/>
        <v>ENGELBRECHTa4b2c3d8</v>
      </c>
      <c r="I547" s="12" t="s">
        <v>4100</v>
      </c>
      <c r="J547" s="12" t="s">
        <v>4101</v>
      </c>
      <c r="K547" s="12" t="str">
        <f t="shared" si="101"/>
        <v>1821</v>
      </c>
      <c r="L547" s="12" t="s">
        <v>28</v>
      </c>
      <c r="M547" s="12" t="s">
        <v>4102</v>
      </c>
      <c r="N547" s="12" t="str">
        <f t="shared" si="106"/>
        <v>1821</v>
      </c>
      <c r="O547" s="12" t="str">
        <f t="shared" si="107"/>
        <v>1821</v>
      </c>
      <c r="P547" s="12" t="s">
        <v>4103</v>
      </c>
      <c r="Q547" s="12" t="str">
        <f t="shared" si="102"/>
        <v>1821</v>
      </c>
      <c r="R547" s="12" t="s">
        <v>4104</v>
      </c>
      <c r="S547" s="12" t="str">
        <f t="shared" si="103"/>
        <v>1904</v>
      </c>
      <c r="T547" s="12"/>
      <c r="U547" s="12" t="s">
        <v>4105</v>
      </c>
      <c r="V547" s="12" t="str">
        <f t="shared" si="104"/>
        <v>1841</v>
      </c>
      <c r="W547" s="12" t="s">
        <v>4106</v>
      </c>
      <c r="X547" s="12" t="s">
        <v>2901</v>
      </c>
      <c r="Y547" s="12"/>
      <c r="Z547" s="12"/>
      <c r="AA547" s="12"/>
      <c r="AB547" s="12"/>
      <c r="AC547" s="12"/>
      <c r="AD547" s="12"/>
      <c r="AE547" s="12"/>
      <c r="AF547" s="12" t="s">
        <v>3709</v>
      </c>
      <c r="AG547" s="12" t="s">
        <v>68</v>
      </c>
      <c r="AH547" s="12" t="s">
        <v>215</v>
      </c>
      <c r="AI547" s="12" t="str">
        <f t="shared" si="105"/>
        <v>1837</v>
      </c>
      <c r="AJ547" s="12" t="s">
        <v>1502</v>
      </c>
      <c r="AK547" s="12" t="s">
        <v>140</v>
      </c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</row>
    <row r="548" spans="1:70">
      <c r="A548" s="12" t="s">
        <v>704</v>
      </c>
      <c r="B548" s="12" t="str">
        <f t="shared" si="97"/>
        <v>ENGELBRECHT</v>
      </c>
      <c r="C548" s="12" t="str">
        <f t="shared" si="98"/>
        <v>ENGELBRECHT</v>
      </c>
      <c r="D548" s="2" t="s">
        <v>3884</v>
      </c>
      <c r="E548" s="12" t="str">
        <f t="shared" si="108"/>
        <v>Gerhardus Johannes</v>
      </c>
      <c r="F548" s="2" t="s">
        <v>4107</v>
      </c>
      <c r="G548" s="12" t="str">
        <f t="shared" si="99"/>
        <v>a4b2c5d3</v>
      </c>
      <c r="H548" s="12" t="str">
        <f t="shared" si="100"/>
        <v>ENGELBRECHTa4b2c5d3</v>
      </c>
      <c r="J548" s="2" t="s">
        <v>4108</v>
      </c>
      <c r="K548" s="12" t="str">
        <f t="shared" si="101"/>
        <v>1820</v>
      </c>
      <c r="L548" s="2" t="s">
        <v>28</v>
      </c>
      <c r="M548" s="2" t="s">
        <v>4109</v>
      </c>
      <c r="N548" s="12" t="str">
        <f t="shared" si="106"/>
        <v>1820</v>
      </c>
      <c r="O548" s="12" t="str">
        <f t="shared" si="107"/>
        <v>1820</v>
      </c>
      <c r="Q548" s="12" t="str">
        <f t="shared" si="102"/>
        <v>1820</v>
      </c>
      <c r="S548" s="12" t="str">
        <f t="shared" si="103"/>
        <v/>
      </c>
      <c r="T548" s="2" t="s">
        <v>28</v>
      </c>
      <c r="U548" s="2" t="s">
        <v>4110</v>
      </c>
      <c r="V548" s="12" t="str">
        <f t="shared" si="104"/>
        <v>1837</v>
      </c>
      <c r="W548" s="2" t="s">
        <v>4111</v>
      </c>
      <c r="X548" s="2" t="s">
        <v>2106</v>
      </c>
      <c r="Y548" s="2" t="s">
        <v>4112</v>
      </c>
      <c r="AF548" s="2" t="s">
        <v>3706</v>
      </c>
      <c r="AG548" s="2" t="s">
        <v>68</v>
      </c>
      <c r="AH548" s="2" t="s">
        <v>1357</v>
      </c>
      <c r="AI548" s="12" t="str">
        <f t="shared" si="105"/>
        <v>1837</v>
      </c>
      <c r="AJ548" s="2" t="s">
        <v>1502</v>
      </c>
    </row>
    <row r="549" spans="1:70">
      <c r="A549" s="12" t="s">
        <v>704</v>
      </c>
      <c r="B549" s="12" t="str">
        <f t="shared" si="97"/>
        <v>ENGELBRECHT</v>
      </c>
      <c r="C549" s="12" t="str">
        <f t="shared" si="98"/>
        <v>ENGELBRECHT</v>
      </c>
      <c r="D549" s="12" t="s">
        <v>4068</v>
      </c>
      <c r="E549" s="12" t="str">
        <f t="shared" si="108"/>
        <v>Adriaan Stephanus</v>
      </c>
      <c r="F549" s="12" t="s">
        <v>4074</v>
      </c>
      <c r="G549" s="12" t="str">
        <f t="shared" si="99"/>
        <v>a4b3c10</v>
      </c>
      <c r="H549" s="12" t="str">
        <f t="shared" si="100"/>
        <v>ENGELBRECHTa4b3c10</v>
      </c>
      <c r="I549" s="12"/>
      <c r="J549" s="12"/>
      <c r="K549" s="12" t="str">
        <f t="shared" si="101"/>
        <v/>
      </c>
      <c r="L549" s="12"/>
      <c r="M549" s="12" t="s">
        <v>3103</v>
      </c>
      <c r="N549" s="12" t="str">
        <f t="shared" si="106"/>
        <v/>
      </c>
      <c r="O549" s="12" t="str">
        <f t="shared" si="107"/>
        <v>1804</v>
      </c>
      <c r="P549" s="12"/>
      <c r="Q549" s="12" t="str">
        <f t="shared" si="102"/>
        <v>1804</v>
      </c>
      <c r="R549" s="12"/>
      <c r="S549" s="12" t="str">
        <f t="shared" si="103"/>
        <v/>
      </c>
      <c r="T549" s="12" t="s">
        <v>53</v>
      </c>
      <c r="U549" s="12" t="s">
        <v>4075</v>
      </c>
      <c r="V549" s="12" t="str">
        <f t="shared" si="104"/>
        <v>1820</v>
      </c>
      <c r="W549" s="12" t="s">
        <v>746</v>
      </c>
      <c r="X549" s="12" t="s">
        <v>662</v>
      </c>
      <c r="Y549" s="12"/>
      <c r="Z549" s="12"/>
      <c r="AA549" s="12"/>
      <c r="AB549" s="12"/>
      <c r="AC549" s="12"/>
      <c r="AD549" s="12"/>
      <c r="AE549" s="12"/>
      <c r="AF549" s="12" t="s">
        <v>3706</v>
      </c>
      <c r="AG549" s="12" t="s">
        <v>68</v>
      </c>
      <c r="AH549" s="12">
        <v>1837</v>
      </c>
      <c r="AI549" s="12" t="str">
        <f t="shared" si="105"/>
        <v>1837</v>
      </c>
      <c r="AJ549" s="12" t="s">
        <v>3091</v>
      </c>
      <c r="AK549" s="12" t="s">
        <v>190</v>
      </c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</row>
    <row r="550" spans="1:70">
      <c r="A550" s="2" t="s">
        <v>704</v>
      </c>
      <c r="B550" s="12" t="str">
        <f t="shared" si="97"/>
        <v>ENGELBRECHT</v>
      </c>
      <c r="C550" s="12" t="str">
        <f t="shared" si="98"/>
        <v>ENGELBRECHT</v>
      </c>
      <c r="D550" s="2" t="s">
        <v>3033</v>
      </c>
      <c r="E550" s="12" t="str">
        <f t="shared" si="108"/>
        <v>Barend Jacobus</v>
      </c>
      <c r="F550" s="2" t="s">
        <v>4076</v>
      </c>
      <c r="G550" s="12" t="str">
        <f t="shared" si="99"/>
        <v>a4b3c2d9</v>
      </c>
      <c r="H550" s="12" t="str">
        <f t="shared" si="100"/>
        <v>ENGELBRECHTa4b3c2d9</v>
      </c>
      <c r="J550" s="2" t="s">
        <v>4077</v>
      </c>
      <c r="K550" s="12" t="str">
        <f t="shared" si="101"/>
        <v>1818</v>
      </c>
      <c r="L550" s="2" t="s">
        <v>53</v>
      </c>
      <c r="M550" s="2" t="s">
        <v>4078</v>
      </c>
      <c r="N550" s="12" t="str">
        <f t="shared" si="106"/>
        <v>1818</v>
      </c>
      <c r="O550" s="12" t="str">
        <f t="shared" si="107"/>
        <v>1818</v>
      </c>
      <c r="Q550" s="12" t="str">
        <f t="shared" si="102"/>
        <v>1818</v>
      </c>
      <c r="S550" s="12" t="str">
        <f t="shared" si="103"/>
        <v/>
      </c>
      <c r="V550" s="12" t="str">
        <f t="shared" si="104"/>
        <v/>
      </c>
      <c r="AH550" s="2">
        <v>1840</v>
      </c>
      <c r="AI550" s="12" t="str">
        <f t="shared" si="105"/>
        <v>1840</v>
      </c>
    </row>
    <row r="551" spans="1:70">
      <c r="A551" s="12" t="s">
        <v>704</v>
      </c>
      <c r="B551" s="12" t="str">
        <f t="shared" si="97"/>
        <v>ENGELBRECHT</v>
      </c>
      <c r="C551" s="12" t="str">
        <f t="shared" si="98"/>
        <v>ENGELBRECHT</v>
      </c>
      <c r="D551" s="12" t="s">
        <v>4079</v>
      </c>
      <c r="E551" s="12" t="str">
        <f t="shared" si="108"/>
        <v>Carolus Lourens</v>
      </c>
      <c r="F551" s="12" t="s">
        <v>4080</v>
      </c>
      <c r="G551" s="12" t="str">
        <f t="shared" si="99"/>
        <v>a4b3c3d3</v>
      </c>
      <c r="H551" s="12" t="str">
        <f t="shared" si="100"/>
        <v>ENGELBRECHTa4b3c3d3</v>
      </c>
      <c r="I551" s="12" t="s">
        <v>74</v>
      </c>
      <c r="J551" s="12" t="s">
        <v>15764</v>
      </c>
      <c r="K551" s="12" t="str">
        <f t="shared" si="101"/>
        <v>1812</v>
      </c>
      <c r="L551" s="12" t="s">
        <v>74</v>
      </c>
      <c r="M551" s="12" t="s">
        <v>4081</v>
      </c>
      <c r="N551" s="12" t="str">
        <f t="shared" si="106"/>
        <v>1812</v>
      </c>
      <c r="O551" s="12" t="str">
        <f t="shared" si="107"/>
        <v>1813</v>
      </c>
      <c r="P551" s="12"/>
      <c r="Q551" s="12" t="str">
        <f t="shared" si="102"/>
        <v>1812</v>
      </c>
      <c r="R551" s="12"/>
      <c r="S551" s="12" t="str">
        <f t="shared" si="103"/>
        <v/>
      </c>
      <c r="T551" s="12" t="s">
        <v>68</v>
      </c>
      <c r="U551" s="12" t="s">
        <v>4082</v>
      </c>
      <c r="V551" s="12" t="str">
        <f t="shared" si="104"/>
        <v>1833</v>
      </c>
      <c r="W551" s="12" t="s">
        <v>4083</v>
      </c>
      <c r="X551" s="12" t="s">
        <v>1900</v>
      </c>
      <c r="Y551" s="12" t="s">
        <v>4084</v>
      </c>
      <c r="Z551" s="12"/>
      <c r="AA551" s="12"/>
      <c r="AB551" s="12"/>
      <c r="AC551" s="12" t="s">
        <v>4085</v>
      </c>
      <c r="AD551" s="12"/>
      <c r="AE551" s="12"/>
      <c r="AF551" s="12" t="s">
        <v>3705</v>
      </c>
      <c r="AG551" s="12" t="s">
        <v>68</v>
      </c>
      <c r="AH551" s="12">
        <v>1840</v>
      </c>
      <c r="AI551" s="12" t="str">
        <f t="shared" si="105"/>
        <v>1840</v>
      </c>
      <c r="AJ551" s="12"/>
      <c r="AK551" s="12" t="s">
        <v>90</v>
      </c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</row>
    <row r="552" spans="1:70">
      <c r="A552" s="2" t="s">
        <v>4126</v>
      </c>
      <c r="B552" s="12" t="str">
        <f t="shared" si="97"/>
        <v>ENSLIN</v>
      </c>
      <c r="C552" s="12" t="str">
        <f t="shared" si="98"/>
        <v>ENSLIN</v>
      </c>
      <c r="D552" s="2" t="s">
        <v>2615</v>
      </c>
      <c r="E552" s="12" t="str">
        <f t="shared" si="108"/>
        <v>Johan Adam</v>
      </c>
      <c r="F552" s="2" t="s">
        <v>4127</v>
      </c>
      <c r="G552" s="12" t="str">
        <f t="shared" si="99"/>
        <v>a1b7c1</v>
      </c>
      <c r="H552" s="12" t="str">
        <f t="shared" si="100"/>
        <v>ENSLINa1b7c1</v>
      </c>
      <c r="K552" s="12" t="str">
        <f t="shared" si="101"/>
        <v/>
      </c>
      <c r="L552" s="2" t="s">
        <v>74</v>
      </c>
      <c r="M552" s="2" t="s">
        <v>4128</v>
      </c>
      <c r="N552" s="12" t="str">
        <f t="shared" si="106"/>
        <v/>
      </c>
      <c r="O552" s="12" t="str">
        <f t="shared" si="107"/>
        <v>1800</v>
      </c>
      <c r="P552" s="2" t="s">
        <v>4129</v>
      </c>
      <c r="Q552" s="12" t="str">
        <f t="shared" si="102"/>
        <v>1800</v>
      </c>
      <c r="R552" s="2">
        <v>1852</v>
      </c>
      <c r="S552" s="12" t="str">
        <f t="shared" si="103"/>
        <v>1852</v>
      </c>
      <c r="T552" s="2" t="s">
        <v>28</v>
      </c>
      <c r="U552" s="2" t="s">
        <v>1386</v>
      </c>
      <c r="V552" s="12" t="str">
        <f t="shared" si="104"/>
        <v>1825</v>
      </c>
      <c r="W552" s="2" t="s">
        <v>1838</v>
      </c>
      <c r="X552" s="2" t="s">
        <v>1109</v>
      </c>
      <c r="AF552" s="2" t="s">
        <v>3706</v>
      </c>
      <c r="AG552" s="2" t="s">
        <v>68</v>
      </c>
      <c r="AH552" s="2" t="s">
        <v>1357</v>
      </c>
      <c r="AI552" s="12" t="str">
        <f t="shared" si="105"/>
        <v>1837</v>
      </c>
      <c r="AJ552" s="2" t="s">
        <v>4130</v>
      </c>
      <c r="AK552" s="2" t="s">
        <v>90</v>
      </c>
    </row>
    <row r="553" spans="1:70">
      <c r="A553" s="2" t="s">
        <v>667</v>
      </c>
      <c r="B553" s="12" t="str">
        <f t="shared" si="97"/>
        <v>ERASMUS</v>
      </c>
      <c r="C553" s="12" t="str">
        <f t="shared" si="98"/>
        <v>ERASMUS</v>
      </c>
      <c r="D553" s="2" t="s">
        <v>4150</v>
      </c>
      <c r="E553" s="12" t="str">
        <f t="shared" si="108"/>
        <v>Carolus Johannes</v>
      </c>
      <c r="F553" s="2" t="s">
        <v>4151</v>
      </c>
      <c r="G553" s="12" t="str">
        <f t="shared" si="99"/>
        <v>a1b3c10d5</v>
      </c>
      <c r="H553" s="12" t="str">
        <f t="shared" si="100"/>
        <v>ERASMUSa1b3c10d5</v>
      </c>
      <c r="K553" s="12" t="str">
        <f t="shared" si="101"/>
        <v/>
      </c>
      <c r="M553" s="2" t="s">
        <v>4152</v>
      </c>
      <c r="N553" s="12" t="str">
        <f t="shared" si="106"/>
        <v/>
      </c>
      <c r="O553" s="12" t="str">
        <f t="shared" si="107"/>
        <v>1803</v>
      </c>
      <c r="P553" s="2" t="s">
        <v>190</v>
      </c>
      <c r="Q553" s="12" t="str">
        <f t="shared" si="102"/>
        <v>1803</v>
      </c>
      <c r="R553" s="2" t="s">
        <v>4153</v>
      </c>
      <c r="S553" s="12" t="str">
        <f t="shared" si="103"/>
        <v>1879</v>
      </c>
      <c r="T553" s="2" t="s">
        <v>74</v>
      </c>
      <c r="U553" s="2" t="s">
        <v>246</v>
      </c>
      <c r="V553" s="12" t="str">
        <f t="shared" si="104"/>
        <v>1823</v>
      </c>
      <c r="W553" s="2" t="s">
        <v>813</v>
      </c>
      <c r="X553" s="2" t="s">
        <v>695</v>
      </c>
      <c r="Y553" s="2" t="s">
        <v>4154</v>
      </c>
      <c r="AC553" s="2" t="s">
        <v>4155</v>
      </c>
      <c r="AE553" s="2" t="s">
        <v>4156</v>
      </c>
      <c r="AF553" s="2" t="s">
        <v>3710</v>
      </c>
      <c r="AG553" s="2" t="s">
        <v>346</v>
      </c>
      <c r="AH553" s="2">
        <v>1837</v>
      </c>
      <c r="AI553" s="12" t="str">
        <f t="shared" si="105"/>
        <v>1837</v>
      </c>
      <c r="AJ553" s="2" t="s">
        <v>1502</v>
      </c>
      <c r="AK553" s="2" t="s">
        <v>90</v>
      </c>
      <c r="AL553" s="2" t="s">
        <v>4157</v>
      </c>
      <c r="AM553" s="2" t="s">
        <v>3909</v>
      </c>
      <c r="AN553" s="2" t="s">
        <v>4158</v>
      </c>
      <c r="AO553" s="2" t="s">
        <v>1109</v>
      </c>
      <c r="AP553" s="2" t="s">
        <v>4159</v>
      </c>
    </row>
    <row r="554" spans="1:70">
      <c r="A554" s="2" t="s">
        <v>667</v>
      </c>
      <c r="B554" s="12" t="str">
        <f t="shared" si="97"/>
        <v>ERASMUS</v>
      </c>
      <c r="C554" s="12" t="str">
        <f t="shared" si="98"/>
        <v>ERASMUS</v>
      </c>
      <c r="D554" s="2" t="s">
        <v>4161</v>
      </c>
      <c r="E554" s="12" t="str">
        <f t="shared" si="108"/>
        <v>Christoffel Petrus Johannes</v>
      </c>
      <c r="F554" s="2" t="s">
        <v>4162</v>
      </c>
      <c r="G554" s="12" t="str">
        <f t="shared" si="99"/>
        <v>a1b3c10d6</v>
      </c>
      <c r="H554" s="12" t="str">
        <f t="shared" si="100"/>
        <v>ERASMUSa1b3c10d6</v>
      </c>
      <c r="K554" s="12" t="str">
        <f t="shared" si="101"/>
        <v/>
      </c>
      <c r="M554" s="2" t="s">
        <v>4163</v>
      </c>
      <c r="N554" s="12" t="str">
        <f t="shared" si="106"/>
        <v/>
      </c>
      <c r="O554" s="12" t="str">
        <f t="shared" si="107"/>
        <v>1806</v>
      </c>
      <c r="P554" s="2" t="s">
        <v>90</v>
      </c>
      <c r="Q554" s="12" t="str">
        <f t="shared" si="102"/>
        <v>1806</v>
      </c>
      <c r="R554" s="2" t="s">
        <v>2729</v>
      </c>
      <c r="S554" s="12" t="str">
        <f t="shared" si="103"/>
        <v>1840</v>
      </c>
      <c r="T554" s="2" t="s">
        <v>28</v>
      </c>
      <c r="U554" s="2" t="s">
        <v>2539</v>
      </c>
      <c r="V554" s="12" t="str">
        <f t="shared" si="104"/>
        <v>1825</v>
      </c>
      <c r="W554" s="2" t="s">
        <v>1611</v>
      </c>
      <c r="X554" s="2" t="s">
        <v>667</v>
      </c>
      <c r="Y554" s="2" t="s">
        <v>4164</v>
      </c>
      <c r="AC554" s="2" t="s">
        <v>3072</v>
      </c>
      <c r="AD554" s="2" t="s">
        <v>168</v>
      </c>
      <c r="AE554" s="2" t="s">
        <v>4165</v>
      </c>
      <c r="AF554" s="2" t="s">
        <v>3719</v>
      </c>
      <c r="AG554" s="2" t="s">
        <v>68</v>
      </c>
      <c r="AH554" s="2">
        <v>1837</v>
      </c>
      <c r="AI554" s="12" t="str">
        <f t="shared" si="105"/>
        <v>1837</v>
      </c>
      <c r="AK554" s="2" t="s">
        <v>90</v>
      </c>
    </row>
    <row r="555" spans="1:70">
      <c r="A555" s="2" t="s">
        <v>667</v>
      </c>
      <c r="B555" s="12" t="str">
        <f t="shared" si="97"/>
        <v>ERASMUS</v>
      </c>
      <c r="C555" s="12" t="str">
        <f t="shared" si="98"/>
        <v>ERASMUS</v>
      </c>
      <c r="D555" s="2" t="s">
        <v>4243</v>
      </c>
      <c r="E555" s="12" t="str">
        <f t="shared" si="108"/>
        <v>Lourens Abraham</v>
      </c>
      <c r="F555" s="2" t="s">
        <v>4244</v>
      </c>
      <c r="G555" s="12" t="str">
        <f t="shared" si="99"/>
        <v>a1b3c12d1</v>
      </c>
      <c r="H555" s="12" t="str">
        <f t="shared" si="100"/>
        <v>ERASMUSa1b3c12d1</v>
      </c>
      <c r="K555" s="12" t="str">
        <f t="shared" si="101"/>
        <v/>
      </c>
      <c r="L555" s="2" t="s">
        <v>48</v>
      </c>
      <c r="M555" s="2" t="s">
        <v>4245</v>
      </c>
      <c r="N555" s="12" t="str">
        <f t="shared" si="106"/>
        <v/>
      </c>
      <c r="O555" s="12" t="str">
        <f t="shared" si="107"/>
        <v>1780</v>
      </c>
      <c r="P555" s="2" t="s">
        <v>1317</v>
      </c>
      <c r="Q555" s="12" t="str">
        <f t="shared" si="102"/>
        <v>1780</v>
      </c>
      <c r="R555" s="2">
        <v>1849</v>
      </c>
      <c r="S555" s="12" t="str">
        <f t="shared" si="103"/>
        <v>1849</v>
      </c>
      <c r="T555" s="2" t="s">
        <v>48</v>
      </c>
      <c r="U555" s="2" t="s">
        <v>4246</v>
      </c>
      <c r="V555" s="12" t="str">
        <f t="shared" si="104"/>
        <v>1800</v>
      </c>
      <c r="W555" s="2" t="s">
        <v>4247</v>
      </c>
      <c r="X555" s="2" t="s">
        <v>266</v>
      </c>
      <c r="AE555" s="2">
        <v>1840</v>
      </c>
      <c r="AF555" s="2" t="s">
        <v>16</v>
      </c>
      <c r="AG555" s="2" t="s">
        <v>68</v>
      </c>
      <c r="AH555" s="2" t="s">
        <v>3097</v>
      </c>
      <c r="AI555" s="12" t="str">
        <f t="shared" si="105"/>
        <v>1837</v>
      </c>
      <c r="AJ555" s="2" t="s">
        <v>1254</v>
      </c>
      <c r="AK555" s="2" t="s">
        <v>1654</v>
      </c>
      <c r="AM555" s="2">
        <v>1841</v>
      </c>
      <c r="AN555" s="2" t="s">
        <v>4248</v>
      </c>
      <c r="AO555" s="2" t="s">
        <v>2136</v>
      </c>
      <c r="AT555" s="2" t="s">
        <v>4249</v>
      </c>
    </row>
    <row r="556" spans="1:70">
      <c r="A556" s="2" t="s">
        <v>667</v>
      </c>
      <c r="B556" s="12" t="str">
        <f t="shared" si="97"/>
        <v>ERASMUS</v>
      </c>
      <c r="C556" s="12" t="str">
        <f t="shared" si="98"/>
        <v>ERASMUS</v>
      </c>
      <c r="D556" s="2" t="s">
        <v>4184</v>
      </c>
      <c r="E556" s="12" t="str">
        <f t="shared" si="108"/>
        <v>Daniel Elardus</v>
      </c>
      <c r="F556" s="2" t="s">
        <v>4185</v>
      </c>
      <c r="G556" s="12" t="str">
        <f t="shared" si="99"/>
        <v>a1b3c12d1e1</v>
      </c>
      <c r="H556" s="12" t="str">
        <f t="shared" si="100"/>
        <v>ERASMUSa1b3c12d1e1</v>
      </c>
      <c r="J556" s="2" t="s">
        <v>4186</v>
      </c>
      <c r="K556" s="12" t="str">
        <f t="shared" si="101"/>
        <v>1804</v>
      </c>
      <c r="M556" s="2" t="s">
        <v>92</v>
      </c>
      <c r="N556" s="12" t="str">
        <f t="shared" si="106"/>
        <v>1804</v>
      </c>
      <c r="O556" s="12" t="str">
        <f t="shared" si="107"/>
        <v>1804</v>
      </c>
      <c r="P556" s="2" t="s">
        <v>67</v>
      </c>
      <c r="Q556" s="12" t="str">
        <f t="shared" si="102"/>
        <v>1804</v>
      </c>
      <c r="R556" s="2" t="s">
        <v>4187</v>
      </c>
      <c r="S556" s="12" t="str">
        <f t="shared" si="103"/>
        <v>1878</v>
      </c>
      <c r="T556" s="2" t="s">
        <v>28</v>
      </c>
      <c r="U556" s="2" t="s">
        <v>3086</v>
      </c>
      <c r="V556" s="12" t="str">
        <f t="shared" si="104"/>
        <v>1824</v>
      </c>
      <c r="W556" s="2" t="s">
        <v>681</v>
      </c>
      <c r="X556" s="2" t="s">
        <v>4188</v>
      </c>
      <c r="AF556" s="2" t="s">
        <v>16</v>
      </c>
      <c r="AG556" s="2" t="s">
        <v>68</v>
      </c>
      <c r="AH556" s="2">
        <v>1837</v>
      </c>
      <c r="AI556" s="12" t="str">
        <f t="shared" si="105"/>
        <v>1837</v>
      </c>
      <c r="AJ556" s="2" t="s">
        <v>1254</v>
      </c>
      <c r="AK556" s="2" t="s">
        <v>140</v>
      </c>
      <c r="AL556" s="2" t="s">
        <v>28</v>
      </c>
      <c r="AM556" s="2" t="s">
        <v>3915</v>
      </c>
      <c r="AN556" s="2" t="s">
        <v>4189</v>
      </c>
      <c r="AO556" s="2" t="s">
        <v>1453</v>
      </c>
    </row>
    <row r="557" spans="1:70">
      <c r="A557" s="2" t="s">
        <v>667</v>
      </c>
      <c r="B557" s="12" t="str">
        <f t="shared" si="97"/>
        <v>ERASMUS</v>
      </c>
      <c r="C557" s="12" t="str">
        <f t="shared" si="98"/>
        <v>ERASMUS</v>
      </c>
      <c r="D557" s="2" t="s">
        <v>2756</v>
      </c>
      <c r="E557" s="12" t="str">
        <f t="shared" si="108"/>
        <v>Catharina Elizabeth</v>
      </c>
      <c r="F557" s="2" t="s">
        <v>4160</v>
      </c>
      <c r="G557" s="12" t="str">
        <f t="shared" si="99"/>
        <v>a1b3c12d1e3</v>
      </c>
      <c r="H557" s="12" t="str">
        <f t="shared" si="100"/>
        <v>ERASMUSa1b3c12d1e3</v>
      </c>
      <c r="K557" s="12" t="str">
        <f t="shared" si="101"/>
        <v/>
      </c>
      <c r="M557" s="2" t="s">
        <v>322</v>
      </c>
      <c r="N557" s="12" t="str">
        <f t="shared" si="106"/>
        <v/>
      </c>
      <c r="O557" s="12" t="str">
        <f t="shared" si="107"/>
        <v>1808</v>
      </c>
      <c r="Q557" s="12" t="str">
        <f t="shared" si="102"/>
        <v>1808</v>
      </c>
      <c r="S557" s="12" t="str">
        <f t="shared" si="103"/>
        <v/>
      </c>
      <c r="V557" s="12" t="str">
        <f t="shared" si="104"/>
        <v/>
      </c>
      <c r="X557" s="2" t="s">
        <v>2136</v>
      </c>
      <c r="AI557" s="12" t="str">
        <f t="shared" si="105"/>
        <v/>
      </c>
      <c r="AK557" s="2" t="s">
        <v>2184</v>
      </c>
      <c r="BQ557" s="2" t="s">
        <v>1154</v>
      </c>
    </row>
    <row r="558" spans="1:70">
      <c r="A558" s="2" t="s">
        <v>667</v>
      </c>
      <c r="B558" s="12" t="str">
        <f t="shared" si="97"/>
        <v>ERASMUS</v>
      </c>
      <c r="C558" s="12" t="str">
        <f t="shared" si="98"/>
        <v>ERASMUS</v>
      </c>
      <c r="D558" s="2" t="s">
        <v>3201</v>
      </c>
      <c r="E558" s="12" t="str">
        <f t="shared" si="108"/>
        <v>Daniel Jacobus</v>
      </c>
      <c r="F558" s="2" t="s">
        <v>4192</v>
      </c>
      <c r="G558" s="12" t="str">
        <f t="shared" si="99"/>
        <v>a1b3c12d3</v>
      </c>
      <c r="H558" s="12" t="str">
        <f t="shared" si="100"/>
        <v>ERASMUSa1b3c12d3</v>
      </c>
      <c r="K558" s="12" t="str">
        <f t="shared" si="101"/>
        <v/>
      </c>
      <c r="M558" s="2" t="s">
        <v>2407</v>
      </c>
      <c r="N558" s="12" t="str">
        <f t="shared" si="106"/>
        <v/>
      </c>
      <c r="O558" s="12" t="str">
        <f t="shared" si="107"/>
        <v>1786</v>
      </c>
      <c r="Q558" s="12" t="str">
        <f t="shared" si="102"/>
        <v>1786</v>
      </c>
      <c r="S558" s="12" t="str">
        <f t="shared" si="103"/>
        <v/>
      </c>
      <c r="T558" s="2" t="s">
        <v>32</v>
      </c>
      <c r="U558" s="2" t="s">
        <v>4193</v>
      </c>
      <c r="V558" s="12" t="str">
        <f t="shared" si="104"/>
        <v>1807</v>
      </c>
      <c r="W558" s="2" t="s">
        <v>4194</v>
      </c>
      <c r="X558" s="2" t="s">
        <v>2589</v>
      </c>
      <c r="AC558" s="2" t="s">
        <v>4195</v>
      </c>
      <c r="AF558" s="2" t="s">
        <v>3720</v>
      </c>
      <c r="AG558" s="2" t="s">
        <v>68</v>
      </c>
      <c r="AH558" s="2">
        <v>1837</v>
      </c>
      <c r="AI558" s="12" t="str">
        <f t="shared" si="105"/>
        <v>1837</v>
      </c>
      <c r="AJ558" s="2" t="s">
        <v>1254</v>
      </c>
      <c r="AK558" s="2" t="s">
        <v>155</v>
      </c>
    </row>
    <row r="559" spans="1:70">
      <c r="A559" s="12" t="s">
        <v>667</v>
      </c>
      <c r="B559" s="12" t="str">
        <f t="shared" si="97"/>
        <v>ERASMUS</v>
      </c>
      <c r="C559" s="12" t="str">
        <f t="shared" si="98"/>
        <v>ERASMUS</v>
      </c>
      <c r="D559" s="2" t="s">
        <v>4184</v>
      </c>
      <c r="E559" s="12" t="str">
        <f t="shared" si="108"/>
        <v>Daniel Elardus</v>
      </c>
      <c r="F559" s="2" t="s">
        <v>4190</v>
      </c>
      <c r="G559" s="12" t="str">
        <f t="shared" si="99"/>
        <v>a1b3c12d3e5</v>
      </c>
      <c r="H559" s="12" t="str">
        <f t="shared" si="100"/>
        <v>ERASMUSa1b3c12d3e5</v>
      </c>
      <c r="K559" s="12" t="str">
        <f t="shared" si="101"/>
        <v/>
      </c>
      <c r="M559" s="2" t="s">
        <v>1780</v>
      </c>
      <c r="N559" s="12" t="str">
        <f t="shared" si="106"/>
        <v/>
      </c>
      <c r="O559" s="12" t="str">
        <f t="shared" si="107"/>
        <v>1816</v>
      </c>
      <c r="Q559" s="12" t="str">
        <f t="shared" si="102"/>
        <v>1816</v>
      </c>
      <c r="S559" s="12" t="str">
        <f t="shared" si="103"/>
        <v/>
      </c>
      <c r="T559" s="2" t="s">
        <v>28</v>
      </c>
      <c r="U559" s="2" t="s">
        <v>2606</v>
      </c>
      <c r="V559" s="12" t="str">
        <f t="shared" si="104"/>
        <v>1834</v>
      </c>
      <c r="W559" s="2" t="s">
        <v>4191</v>
      </c>
      <c r="X559" s="2" t="s">
        <v>2136</v>
      </c>
      <c r="AF559" s="2" t="s">
        <v>16</v>
      </c>
      <c r="AG559" s="2" t="s">
        <v>68</v>
      </c>
      <c r="AH559" s="2" t="s">
        <v>503</v>
      </c>
      <c r="AI559" s="12" t="str">
        <f t="shared" si="105"/>
        <v>1837</v>
      </c>
      <c r="AJ559" s="2" t="s">
        <v>1254</v>
      </c>
      <c r="AK559" s="2" t="s">
        <v>1864</v>
      </c>
      <c r="AV559" s="12"/>
    </row>
    <row r="560" spans="1:70">
      <c r="A560" s="12" t="s">
        <v>667</v>
      </c>
      <c r="B560" s="12" t="str">
        <f t="shared" si="97"/>
        <v>ERASMUS</v>
      </c>
      <c r="C560" s="12" t="str">
        <f t="shared" si="98"/>
        <v>ERASMUS</v>
      </c>
      <c r="D560" s="2" t="s">
        <v>4327</v>
      </c>
      <c r="E560" s="12" t="str">
        <f t="shared" si="108"/>
        <v>Stephanus Petrus</v>
      </c>
      <c r="F560" s="2" t="s">
        <v>4328</v>
      </c>
      <c r="G560" s="12" t="str">
        <f t="shared" si="99"/>
        <v>a1b3c12d4</v>
      </c>
      <c r="H560" s="12" t="str">
        <f t="shared" si="100"/>
        <v>ERASMUSa1b3c12d4</v>
      </c>
      <c r="K560" s="12" t="str">
        <f t="shared" si="101"/>
        <v/>
      </c>
      <c r="M560" s="2" t="s">
        <v>4329</v>
      </c>
      <c r="N560" s="12" t="str">
        <f t="shared" si="106"/>
        <v/>
      </c>
      <c r="O560" s="12" t="str">
        <f t="shared" si="107"/>
        <v>1788</v>
      </c>
      <c r="P560" s="2" t="s">
        <v>155</v>
      </c>
      <c r="Q560" s="12" t="str">
        <f t="shared" si="102"/>
        <v>1788</v>
      </c>
      <c r="R560" s="2" t="s">
        <v>4330</v>
      </c>
      <c r="S560" s="12" t="str">
        <f t="shared" si="103"/>
        <v>1847</v>
      </c>
      <c r="T560" s="2" t="s">
        <v>32</v>
      </c>
      <c r="U560" s="2" t="s">
        <v>4331</v>
      </c>
      <c r="V560" s="12" t="str">
        <f t="shared" si="104"/>
        <v>1812</v>
      </c>
      <c r="W560" s="2" t="s">
        <v>4332</v>
      </c>
      <c r="X560" s="2" t="s">
        <v>2589</v>
      </c>
      <c r="Y560" s="2" t="s">
        <v>4333</v>
      </c>
      <c r="AC560" s="2" t="s">
        <v>3081</v>
      </c>
      <c r="AF560" s="2" t="s">
        <v>4307</v>
      </c>
      <c r="AG560" s="2" t="s">
        <v>68</v>
      </c>
      <c r="AH560" s="2" t="s">
        <v>3097</v>
      </c>
      <c r="AI560" s="12" t="str">
        <f t="shared" si="105"/>
        <v>1837</v>
      </c>
      <c r="AK560" s="2" t="s">
        <v>90</v>
      </c>
      <c r="AM560" s="2" t="s">
        <v>4334</v>
      </c>
      <c r="AN560" s="2" t="s">
        <v>1387</v>
      </c>
      <c r="AO560" s="2" t="s">
        <v>2880</v>
      </c>
      <c r="BR560" s="2">
        <v>1</v>
      </c>
    </row>
    <row r="561" spans="1:70">
      <c r="A561" s="12" t="s">
        <v>667</v>
      </c>
      <c r="B561" s="12" t="str">
        <f t="shared" si="97"/>
        <v>ERASMUS</v>
      </c>
      <c r="C561" s="12" t="str">
        <f t="shared" si="98"/>
        <v>ERASMUS</v>
      </c>
      <c r="D561" s="2" t="s">
        <v>4304</v>
      </c>
      <c r="E561" s="12" t="str">
        <f t="shared" si="108"/>
        <v>Pieter Ernst</v>
      </c>
      <c r="F561" s="2" t="s">
        <v>4305</v>
      </c>
      <c r="G561" s="12" t="str">
        <f t="shared" si="99"/>
        <v>a1b3c12d4e2</v>
      </c>
      <c r="H561" s="12" t="str">
        <f t="shared" si="100"/>
        <v>ERASMUSa1b3c12d4e2</v>
      </c>
      <c r="K561" s="12" t="str">
        <f t="shared" si="101"/>
        <v/>
      </c>
      <c r="M561" s="2" t="s">
        <v>4306</v>
      </c>
      <c r="N561" s="12" t="str">
        <f t="shared" si="106"/>
        <v/>
      </c>
      <c r="O561" s="12" t="str">
        <f t="shared" si="107"/>
        <v>1816</v>
      </c>
      <c r="Q561" s="12" t="str">
        <f t="shared" si="102"/>
        <v>1816</v>
      </c>
      <c r="S561" s="12" t="str">
        <f t="shared" si="103"/>
        <v/>
      </c>
      <c r="T561" s="2" t="s">
        <v>28</v>
      </c>
      <c r="U561" s="2" t="s">
        <v>4122</v>
      </c>
      <c r="V561" s="12" t="str">
        <f t="shared" si="104"/>
        <v>1835</v>
      </c>
      <c r="W561" s="2" t="s">
        <v>642</v>
      </c>
      <c r="X561" s="2" t="s">
        <v>3640</v>
      </c>
      <c r="AF561" s="2" t="s">
        <v>4307</v>
      </c>
      <c r="AG561" s="2" t="s">
        <v>68</v>
      </c>
      <c r="AH561" s="2" t="s">
        <v>3097</v>
      </c>
      <c r="AI561" s="12" t="str">
        <f t="shared" si="105"/>
        <v>1837</v>
      </c>
      <c r="AJ561" s="2" t="s">
        <v>1254</v>
      </c>
      <c r="AK561" s="2" t="s">
        <v>90</v>
      </c>
    </row>
    <row r="562" spans="1:70">
      <c r="A562" s="2" t="s">
        <v>667</v>
      </c>
      <c r="B562" s="12" t="str">
        <f t="shared" si="97"/>
        <v>ERASMUS</v>
      </c>
      <c r="C562" s="12" t="str">
        <f t="shared" si="98"/>
        <v>ERASMUS</v>
      </c>
      <c r="D562" s="2" t="s">
        <v>4134</v>
      </c>
      <c r="E562" s="12" t="str">
        <f t="shared" si="108"/>
        <v>Antonie Philippus</v>
      </c>
      <c r="F562" s="2" t="s">
        <v>4135</v>
      </c>
      <c r="G562" s="12" t="str">
        <f t="shared" si="99"/>
        <v>a1b3c1d2e12</v>
      </c>
      <c r="H562" s="12" t="str">
        <f t="shared" si="100"/>
        <v>ERASMUSa1b3c1d2e12</v>
      </c>
      <c r="K562" s="12" t="str">
        <f t="shared" si="101"/>
        <v/>
      </c>
      <c r="M562" s="2" t="s">
        <v>77</v>
      </c>
      <c r="N562" s="12" t="str">
        <f t="shared" si="106"/>
        <v/>
      </c>
      <c r="O562" s="12" t="str">
        <f t="shared" si="107"/>
        <v>1805</v>
      </c>
      <c r="Q562" s="12" t="str">
        <f t="shared" si="102"/>
        <v>1805</v>
      </c>
      <c r="S562" s="12" t="str">
        <f t="shared" si="103"/>
        <v/>
      </c>
      <c r="T562" s="2" t="s">
        <v>68</v>
      </c>
      <c r="U562" s="2" t="s">
        <v>974</v>
      </c>
      <c r="V562" s="12" t="str">
        <f t="shared" si="104"/>
        <v>1826</v>
      </c>
      <c r="W562" s="2" t="s">
        <v>2296</v>
      </c>
      <c r="X562" s="2" t="s">
        <v>655</v>
      </c>
      <c r="AF562" s="2" t="s">
        <v>3706</v>
      </c>
      <c r="AG562" s="2" t="s">
        <v>68</v>
      </c>
      <c r="AH562" s="2" t="s">
        <v>1202</v>
      </c>
      <c r="AI562" s="12" t="str">
        <f t="shared" si="105"/>
        <v>1838</v>
      </c>
      <c r="AJ562" s="2" t="s">
        <v>4136</v>
      </c>
      <c r="AK562" s="2" t="s">
        <v>551</v>
      </c>
      <c r="AL562" s="2" t="s">
        <v>28</v>
      </c>
      <c r="AM562" s="2" t="s">
        <v>4137</v>
      </c>
      <c r="AN562" s="2" t="s">
        <v>4138</v>
      </c>
      <c r="AO562" s="2" t="s">
        <v>658</v>
      </c>
    </row>
    <row r="563" spans="1:70">
      <c r="A563" s="2" t="s">
        <v>667</v>
      </c>
      <c r="B563" s="12" t="str">
        <f t="shared" si="97"/>
        <v>ERASMUS</v>
      </c>
      <c r="C563" s="12" t="str">
        <f t="shared" si="98"/>
        <v>ERASMUS</v>
      </c>
      <c r="D563" s="2" t="s">
        <v>4139</v>
      </c>
      <c r="E563" s="12" t="str">
        <f t="shared" si="108"/>
        <v>Balthasar Johannes</v>
      </c>
      <c r="F563" s="2" t="s">
        <v>4140</v>
      </c>
      <c r="G563" s="12" t="str">
        <f t="shared" si="99"/>
        <v>a1b3c1d2e7</v>
      </c>
      <c r="H563" s="12" t="str">
        <f t="shared" si="100"/>
        <v>ERASMUSa1b3c1d2e7</v>
      </c>
      <c r="K563" s="12" t="str">
        <f t="shared" si="101"/>
        <v/>
      </c>
      <c r="M563" s="2" t="s">
        <v>4141</v>
      </c>
      <c r="N563" s="12" t="str">
        <f t="shared" si="106"/>
        <v/>
      </c>
      <c r="O563" s="12" t="str">
        <f t="shared" si="107"/>
        <v>1795</v>
      </c>
      <c r="P563" s="2" t="s">
        <v>4145</v>
      </c>
      <c r="Q563" s="12" t="str">
        <f t="shared" si="102"/>
        <v>1795</v>
      </c>
      <c r="R563" s="2" t="s">
        <v>4142</v>
      </c>
      <c r="S563" s="12" t="str">
        <f t="shared" si="103"/>
        <v>1868</v>
      </c>
      <c r="T563" s="2" t="s">
        <v>28</v>
      </c>
      <c r="U563" s="2" t="s">
        <v>988</v>
      </c>
      <c r="V563" s="12" t="str">
        <f t="shared" si="104"/>
        <v>1825</v>
      </c>
      <c r="W563" s="2" t="s">
        <v>642</v>
      </c>
      <c r="X563" s="2" t="s">
        <v>4126</v>
      </c>
      <c r="Y563" s="2" t="s">
        <v>4143</v>
      </c>
      <c r="AA563" s="2" t="s">
        <v>1351</v>
      </c>
      <c r="AC563" s="2" t="s">
        <v>4144</v>
      </c>
      <c r="AD563" s="2" t="s">
        <v>4145</v>
      </c>
      <c r="AE563" s="2" t="s">
        <v>4146</v>
      </c>
      <c r="AF563" s="2" t="s">
        <v>3706</v>
      </c>
      <c r="AG563" s="2" t="s">
        <v>68</v>
      </c>
      <c r="AH563" s="2" t="s">
        <v>1202</v>
      </c>
      <c r="AI563" s="12" t="str">
        <f t="shared" si="105"/>
        <v>1838</v>
      </c>
      <c r="AJ563" s="2" t="s">
        <v>4147</v>
      </c>
      <c r="AK563" s="2" t="s">
        <v>190</v>
      </c>
    </row>
    <row r="564" spans="1:70">
      <c r="A564" s="2" t="s">
        <v>667</v>
      </c>
      <c r="B564" s="12" t="str">
        <f t="shared" si="97"/>
        <v>ERASMUS</v>
      </c>
      <c r="C564" s="12" t="str">
        <f t="shared" si="98"/>
        <v>ERASMUS</v>
      </c>
      <c r="D564" s="2" t="s">
        <v>4178</v>
      </c>
      <c r="E564" s="12" t="str">
        <f t="shared" si="108"/>
        <v>Daniel Balthazar</v>
      </c>
      <c r="F564" s="2" t="s">
        <v>4179</v>
      </c>
      <c r="G564" s="12" t="str">
        <f t="shared" si="99"/>
        <v>a1b3c1d4e5</v>
      </c>
      <c r="H564" s="12" t="str">
        <f t="shared" si="100"/>
        <v>ERASMUSa1b3c1d4e5</v>
      </c>
      <c r="K564" s="12" t="str">
        <f t="shared" si="101"/>
        <v/>
      </c>
      <c r="M564" s="2" t="s">
        <v>4180</v>
      </c>
      <c r="N564" s="12" t="str">
        <f t="shared" si="106"/>
        <v/>
      </c>
      <c r="O564" s="12" t="str">
        <f t="shared" si="107"/>
        <v>1794</v>
      </c>
      <c r="Q564" s="12" t="str">
        <f t="shared" si="102"/>
        <v>1794</v>
      </c>
      <c r="S564" s="12" t="str">
        <f t="shared" si="103"/>
        <v/>
      </c>
      <c r="V564" s="12" t="str">
        <f t="shared" si="104"/>
        <v/>
      </c>
      <c r="W564" s="2" t="s">
        <v>4181</v>
      </c>
      <c r="X564" s="2" t="s">
        <v>3146</v>
      </c>
      <c r="Y564" s="2" t="s">
        <v>4182</v>
      </c>
      <c r="AC564" s="2" t="s">
        <v>4183</v>
      </c>
      <c r="AF564" s="2" t="s">
        <v>3710</v>
      </c>
      <c r="AG564" s="2" t="s">
        <v>346</v>
      </c>
      <c r="AH564" s="2" t="s">
        <v>1542</v>
      </c>
      <c r="AI564" s="12" t="str">
        <f t="shared" si="105"/>
        <v>1837</v>
      </c>
      <c r="AJ564" s="2" t="s">
        <v>1502</v>
      </c>
      <c r="AK564" s="2" t="s">
        <v>90</v>
      </c>
    </row>
    <row r="565" spans="1:70">
      <c r="A565" s="12" t="s">
        <v>667</v>
      </c>
      <c r="B565" s="12" t="str">
        <f t="shared" si="97"/>
        <v>ERASMUS</v>
      </c>
      <c r="C565" s="12" t="str">
        <f t="shared" si="98"/>
        <v>ERASMUS</v>
      </c>
      <c r="D565" s="2" t="s">
        <v>19</v>
      </c>
      <c r="E565" s="12" t="str">
        <f t="shared" si="108"/>
        <v>Lourens Marthinus</v>
      </c>
      <c r="F565" s="2" t="s">
        <v>4262</v>
      </c>
      <c r="G565" s="12" t="str">
        <f t="shared" si="99"/>
        <v>a1b3c1d4e6</v>
      </c>
      <c r="H565" s="12" t="str">
        <f t="shared" si="100"/>
        <v>ERASMUSa1b3c1d4e6</v>
      </c>
      <c r="K565" s="12" t="str">
        <f t="shared" si="101"/>
        <v/>
      </c>
      <c r="M565" s="2" t="s">
        <v>4263</v>
      </c>
      <c r="N565" s="12" t="str">
        <f t="shared" si="106"/>
        <v/>
      </c>
      <c r="O565" s="12" t="str">
        <f t="shared" si="107"/>
        <v>1797</v>
      </c>
      <c r="P565" s="2" t="s">
        <v>31</v>
      </c>
      <c r="Q565" s="12" t="str">
        <f t="shared" si="102"/>
        <v>1797</v>
      </c>
      <c r="R565" s="2" t="s">
        <v>4264</v>
      </c>
      <c r="S565" s="12" t="str">
        <f t="shared" si="103"/>
        <v>1859</v>
      </c>
      <c r="T565" s="2" t="s">
        <v>1071</v>
      </c>
      <c r="U565" s="2" t="s">
        <v>4265</v>
      </c>
      <c r="V565" s="12" t="str">
        <f t="shared" si="104"/>
        <v>1816</v>
      </c>
      <c r="W565" s="2" t="s">
        <v>4266</v>
      </c>
      <c r="X565" s="2" t="s">
        <v>625</v>
      </c>
      <c r="AG565" s="2" t="s">
        <v>74</v>
      </c>
      <c r="AI565" s="12" t="str">
        <f t="shared" si="105"/>
        <v/>
      </c>
      <c r="AK565" s="2" t="s">
        <v>566</v>
      </c>
      <c r="AL565" s="2" t="s">
        <v>53</v>
      </c>
      <c r="AM565" s="2" t="s">
        <v>1117</v>
      </c>
      <c r="AN565" s="2" t="s">
        <v>4267</v>
      </c>
      <c r="AO565" s="2" t="s">
        <v>266</v>
      </c>
      <c r="AP565" s="2" t="s">
        <v>4268</v>
      </c>
      <c r="AT565" s="2" t="s">
        <v>4269</v>
      </c>
      <c r="AU565" s="2" t="s">
        <v>566</v>
      </c>
      <c r="AV565" s="12" t="s">
        <v>4270</v>
      </c>
    </row>
    <row r="566" spans="1:70">
      <c r="A566" s="12" t="s">
        <v>667</v>
      </c>
      <c r="B566" s="12" t="str">
        <f t="shared" si="97"/>
        <v>ERASMUS</v>
      </c>
      <c r="C566" s="12" t="str">
        <f t="shared" si="98"/>
        <v>ERASMUS</v>
      </c>
      <c r="D566" s="2" t="s">
        <v>3407</v>
      </c>
      <c r="E566" s="12" t="str">
        <f t="shared" si="108"/>
        <v>Barend Christoffel</v>
      </c>
      <c r="F566" s="2" t="s">
        <v>4148</v>
      </c>
      <c r="G566" s="12" t="str">
        <f t="shared" si="99"/>
        <v>a1b3c2d2e10</v>
      </c>
      <c r="H566" s="12" t="str">
        <f t="shared" si="100"/>
        <v>ERASMUSa1b3c2d2e10</v>
      </c>
      <c r="K566" s="12" t="str">
        <f t="shared" si="101"/>
        <v/>
      </c>
      <c r="M566" s="2" t="s">
        <v>4149</v>
      </c>
      <c r="N566" s="12" t="str">
        <f t="shared" si="106"/>
        <v/>
      </c>
      <c r="O566" s="12" t="str">
        <f t="shared" si="107"/>
        <v>1801</v>
      </c>
      <c r="Q566" s="12" t="str">
        <f t="shared" si="102"/>
        <v>1801</v>
      </c>
      <c r="S566" s="12" t="str">
        <f t="shared" si="103"/>
        <v/>
      </c>
      <c r="V566" s="12" t="str">
        <f t="shared" si="104"/>
        <v/>
      </c>
      <c r="AF566" s="2" t="s">
        <v>3706</v>
      </c>
      <c r="AG566" s="2" t="s">
        <v>68</v>
      </c>
      <c r="AH566" s="2" t="s">
        <v>1357</v>
      </c>
      <c r="AI566" s="12" t="str">
        <f t="shared" si="105"/>
        <v>1837</v>
      </c>
    </row>
    <row r="567" spans="1:70">
      <c r="A567" s="12" t="s">
        <v>667</v>
      </c>
      <c r="B567" s="12" t="str">
        <f t="shared" si="97"/>
        <v>ERASMUS</v>
      </c>
      <c r="C567" s="12" t="str">
        <f t="shared" si="98"/>
        <v>ERASMUS</v>
      </c>
      <c r="D567" s="2" t="s">
        <v>1626</v>
      </c>
      <c r="E567" s="12" t="str">
        <f t="shared" si="108"/>
        <v>Jacob</v>
      </c>
      <c r="F567" s="2" t="s">
        <v>4201</v>
      </c>
      <c r="G567" s="12" t="str">
        <f t="shared" si="99"/>
        <v>a1b3c2d2e11</v>
      </c>
      <c r="H567" s="12" t="str">
        <f t="shared" si="100"/>
        <v>ERASMUSa1b3c2d2e11</v>
      </c>
      <c r="J567" s="2" t="s">
        <v>4202</v>
      </c>
      <c r="K567" s="12" t="str">
        <f t="shared" si="101"/>
        <v>1803</v>
      </c>
      <c r="M567" s="2" t="s">
        <v>1429</v>
      </c>
      <c r="N567" s="12" t="str">
        <f t="shared" si="106"/>
        <v>1803</v>
      </c>
      <c r="O567" s="12" t="str">
        <f t="shared" si="107"/>
        <v>1804</v>
      </c>
      <c r="Q567" s="12" t="str">
        <f t="shared" si="102"/>
        <v>1803</v>
      </c>
      <c r="S567" s="12" t="str">
        <f t="shared" si="103"/>
        <v/>
      </c>
      <c r="T567" s="2" t="s">
        <v>4203</v>
      </c>
      <c r="U567" s="2" t="s">
        <v>4204</v>
      </c>
      <c r="V567" s="12" t="str">
        <f t="shared" si="104"/>
        <v>1828</v>
      </c>
      <c r="W567" s="2" t="s">
        <v>4205</v>
      </c>
      <c r="X567" s="2" t="s">
        <v>730</v>
      </c>
      <c r="AF567" s="2" t="s">
        <v>3706</v>
      </c>
      <c r="AG567" s="2" t="s">
        <v>68</v>
      </c>
      <c r="AH567" s="2">
        <v>1837</v>
      </c>
      <c r="AI567" s="12" t="str">
        <f t="shared" si="105"/>
        <v>1837</v>
      </c>
      <c r="AJ567" s="2" t="s">
        <v>272</v>
      </c>
      <c r="AK567" s="2" t="s">
        <v>190</v>
      </c>
    </row>
    <row r="568" spans="1:70">
      <c r="A568" s="12" t="s">
        <v>667</v>
      </c>
      <c r="B568" s="12" t="str">
        <f t="shared" si="97"/>
        <v>ERASMUS</v>
      </c>
      <c r="C568" s="12" t="str">
        <f t="shared" si="98"/>
        <v>ERASMUS</v>
      </c>
      <c r="D568" s="2" t="s">
        <v>4250</v>
      </c>
      <c r="E568" s="12" t="str">
        <f t="shared" si="108"/>
        <v>Lourens Johannes</v>
      </c>
      <c r="F568" s="2" t="s">
        <v>4251</v>
      </c>
      <c r="G568" s="12" t="str">
        <f t="shared" si="99"/>
        <v>a1b3c2d2e9</v>
      </c>
      <c r="H568" s="12" t="str">
        <f t="shared" si="100"/>
        <v>ERASMUSa1b3c2d2e9</v>
      </c>
      <c r="K568" s="12" t="str">
        <f t="shared" si="101"/>
        <v/>
      </c>
      <c r="M568" s="2" t="s">
        <v>2733</v>
      </c>
      <c r="N568" s="12" t="str">
        <f t="shared" si="106"/>
        <v/>
      </c>
      <c r="O568" s="12" t="str">
        <f t="shared" si="107"/>
        <v>1800</v>
      </c>
      <c r="Q568" s="12" t="str">
        <f t="shared" si="102"/>
        <v>1800</v>
      </c>
      <c r="S568" s="12" t="str">
        <f t="shared" si="103"/>
        <v/>
      </c>
      <c r="V568" s="12" t="str">
        <f t="shared" si="104"/>
        <v/>
      </c>
      <c r="W568" s="2" t="s">
        <v>4252</v>
      </c>
      <c r="X568" s="2" t="s">
        <v>4253</v>
      </c>
      <c r="Y568" s="2" t="s">
        <v>1490</v>
      </c>
      <c r="AF568" s="2" t="s">
        <v>3709</v>
      </c>
      <c r="AG568" s="2" t="s">
        <v>68</v>
      </c>
      <c r="AI568" s="12" t="str">
        <f t="shared" si="105"/>
        <v/>
      </c>
      <c r="AK568" s="2" t="s">
        <v>458</v>
      </c>
    </row>
    <row r="569" spans="1:70">
      <c r="A569" s="12" t="s">
        <v>667</v>
      </c>
      <c r="B569" s="12" t="str">
        <f t="shared" si="97"/>
        <v>ERASMUS</v>
      </c>
      <c r="C569" s="12" t="str">
        <f t="shared" si="98"/>
        <v>ERASMUS</v>
      </c>
      <c r="D569" s="2" t="s">
        <v>4319</v>
      </c>
      <c r="E569" s="12" t="str">
        <f t="shared" si="108"/>
        <v>Pieter Rasmus</v>
      </c>
      <c r="F569" s="2" t="s">
        <v>4320</v>
      </c>
      <c r="G569" s="12" t="str">
        <f t="shared" si="99"/>
        <v>a1b3c2d4e2f1</v>
      </c>
      <c r="H569" s="12" t="str">
        <f t="shared" si="100"/>
        <v>ERASMUSa1b3c2d4e2f1</v>
      </c>
      <c r="K569" s="12" t="str">
        <f t="shared" si="101"/>
        <v/>
      </c>
      <c r="M569" s="2" t="s">
        <v>3600</v>
      </c>
      <c r="N569" s="12" t="str">
        <f t="shared" si="106"/>
        <v/>
      </c>
      <c r="O569" s="12" t="str">
        <f t="shared" si="107"/>
        <v>1809</v>
      </c>
      <c r="Q569" s="12" t="str">
        <f t="shared" si="102"/>
        <v>1809</v>
      </c>
      <c r="S569" s="12" t="str">
        <f t="shared" si="103"/>
        <v/>
      </c>
      <c r="T569" s="2" t="s">
        <v>68</v>
      </c>
      <c r="U569" s="2" t="s">
        <v>4321</v>
      </c>
      <c r="V569" s="12" t="str">
        <f t="shared" si="104"/>
        <v>1829</v>
      </c>
      <c r="W569" s="2" t="s">
        <v>3092</v>
      </c>
      <c r="X569" s="2" t="s">
        <v>695</v>
      </c>
      <c r="Y569" s="2" t="s">
        <v>4322</v>
      </c>
      <c r="AC569" s="2" t="s">
        <v>4323</v>
      </c>
      <c r="AD569" s="2" t="s">
        <v>4324</v>
      </c>
      <c r="AE569" s="12" t="s">
        <v>4325</v>
      </c>
      <c r="AF569" s="2" t="s">
        <v>3706</v>
      </c>
      <c r="AG569" s="2" t="s">
        <v>68</v>
      </c>
      <c r="AH569" s="2">
        <v>1837</v>
      </c>
      <c r="AI569" s="12" t="str">
        <f t="shared" si="105"/>
        <v>1837</v>
      </c>
      <c r="AJ569" s="2" t="s">
        <v>4326</v>
      </c>
      <c r="AK569" s="2" t="s">
        <v>90</v>
      </c>
    </row>
    <row r="570" spans="1:70">
      <c r="A570" s="12" t="s">
        <v>667</v>
      </c>
      <c r="B570" s="12" t="str">
        <f t="shared" si="97"/>
        <v>ERASMUS</v>
      </c>
      <c r="C570" s="12" t="str">
        <f t="shared" si="98"/>
        <v>ERASMUS</v>
      </c>
      <c r="D570" s="12" t="s">
        <v>2253</v>
      </c>
      <c r="E570" s="12" t="str">
        <f t="shared" si="108"/>
        <v>Johannes Jacobus</v>
      </c>
      <c r="F570" s="12" t="s">
        <v>4224</v>
      </c>
      <c r="G570" s="12" t="str">
        <f t="shared" si="99"/>
        <v>a1b3c2d4e3</v>
      </c>
      <c r="H570" s="12" t="str">
        <f t="shared" si="100"/>
        <v>ERASMUSa1b3c2d4e3</v>
      </c>
      <c r="I570" s="12"/>
      <c r="J570" s="12"/>
      <c r="K570" s="12" t="str">
        <f t="shared" si="101"/>
        <v/>
      </c>
      <c r="L570" s="12"/>
      <c r="M570" s="12" t="s">
        <v>4225</v>
      </c>
      <c r="N570" s="12" t="str">
        <f t="shared" si="106"/>
        <v/>
      </c>
      <c r="O570" s="12" t="str">
        <f t="shared" si="107"/>
        <v>1790</v>
      </c>
      <c r="P570" s="12" t="s">
        <v>4226</v>
      </c>
      <c r="Q570" s="12" t="str">
        <f t="shared" si="102"/>
        <v>1790</v>
      </c>
      <c r="R570" s="12" t="s">
        <v>4227</v>
      </c>
      <c r="S570" s="12" t="str">
        <f t="shared" si="103"/>
        <v>1868</v>
      </c>
      <c r="T570" s="12" t="s">
        <v>74</v>
      </c>
      <c r="U570" s="12" t="s">
        <v>4228</v>
      </c>
      <c r="V570" s="12" t="str">
        <f t="shared" si="104"/>
        <v>1811</v>
      </c>
      <c r="W570" s="12" t="s">
        <v>4229</v>
      </c>
      <c r="X570" s="12" t="s">
        <v>655</v>
      </c>
      <c r="Y570" s="12" t="s">
        <v>4230</v>
      </c>
      <c r="Z570" s="12"/>
      <c r="AA570" s="12"/>
      <c r="AB570" s="12"/>
      <c r="AC570" s="12" t="s">
        <v>4231</v>
      </c>
      <c r="AD570" s="12"/>
      <c r="AE570" s="12"/>
      <c r="AF570" s="12" t="s">
        <v>3699</v>
      </c>
      <c r="AG570" s="12" t="s">
        <v>68</v>
      </c>
      <c r="AH570" s="12" t="s">
        <v>503</v>
      </c>
      <c r="AI570" s="12" t="str">
        <f t="shared" si="105"/>
        <v>1837</v>
      </c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R570" s="2">
        <v>1</v>
      </c>
    </row>
    <row r="571" spans="1:70">
      <c r="A571" s="12" t="s">
        <v>667</v>
      </c>
      <c r="B571" s="12" t="str">
        <f t="shared" si="97"/>
        <v>ERASMUS</v>
      </c>
      <c r="C571" s="12" t="str">
        <f t="shared" si="98"/>
        <v>ERASMUS</v>
      </c>
      <c r="D571" s="2" t="s">
        <v>4290</v>
      </c>
      <c r="E571" s="12" t="str">
        <f t="shared" si="108"/>
        <v>Petrus Rasmus</v>
      </c>
      <c r="F571" s="2" t="s">
        <v>4291</v>
      </c>
      <c r="G571" s="12" t="str">
        <f t="shared" si="99"/>
        <v>a1b3c2d4e5f2</v>
      </c>
      <c r="H571" s="12" t="str">
        <f t="shared" si="100"/>
        <v>ERASMUSa1b3c2d4e5f2</v>
      </c>
      <c r="J571" s="2" t="s">
        <v>4292</v>
      </c>
      <c r="K571" s="12" t="str">
        <f t="shared" si="101"/>
        <v>1817</v>
      </c>
      <c r="L571" s="2" t="s">
        <v>74</v>
      </c>
      <c r="M571" s="2" t="s">
        <v>4293</v>
      </c>
      <c r="N571" s="12" t="str">
        <f t="shared" si="106"/>
        <v>1817</v>
      </c>
      <c r="O571" s="12" t="str">
        <f t="shared" si="107"/>
        <v>1817</v>
      </c>
      <c r="Q571" s="12" t="str">
        <f t="shared" si="102"/>
        <v>1817</v>
      </c>
      <c r="R571" s="2" t="s">
        <v>4294</v>
      </c>
      <c r="S571" s="12" t="str">
        <f t="shared" si="103"/>
        <v>1886</v>
      </c>
      <c r="V571" s="12" t="str">
        <f t="shared" si="104"/>
        <v/>
      </c>
      <c r="W571" s="2" t="s">
        <v>4295</v>
      </c>
      <c r="X571" s="2" t="s">
        <v>295</v>
      </c>
      <c r="Y571" s="2" t="s">
        <v>4296</v>
      </c>
      <c r="AA571" s="2" t="s">
        <v>4297</v>
      </c>
      <c r="AB571" s="2" t="s">
        <v>53</v>
      </c>
      <c r="AC571" s="2" t="s">
        <v>4298</v>
      </c>
      <c r="AE571" s="2" t="s">
        <v>4299</v>
      </c>
      <c r="AF571" s="2" t="s">
        <v>3710</v>
      </c>
      <c r="AG571" s="2" t="s">
        <v>346</v>
      </c>
      <c r="AH571" s="2" t="s">
        <v>1542</v>
      </c>
      <c r="AI571" s="12" t="str">
        <f t="shared" si="105"/>
        <v>1837</v>
      </c>
      <c r="AJ571" s="2" t="s">
        <v>1502</v>
      </c>
      <c r="AK571" s="2" t="s">
        <v>3692</v>
      </c>
    </row>
    <row r="572" spans="1:70">
      <c r="A572" s="12" t="s">
        <v>667</v>
      </c>
      <c r="B572" s="12" t="str">
        <f t="shared" si="97"/>
        <v>ERASMUS</v>
      </c>
      <c r="C572" s="12" t="str">
        <f t="shared" si="98"/>
        <v>ERASMUS</v>
      </c>
      <c r="D572" s="2" t="s">
        <v>4232</v>
      </c>
      <c r="E572" s="12" t="str">
        <f t="shared" si="108"/>
        <v>Johannes Jurgen Cornelis</v>
      </c>
      <c r="F572" s="2" t="s">
        <v>4233</v>
      </c>
      <c r="G572" s="12" t="str">
        <f t="shared" si="99"/>
        <v>a1b3c2d6e11</v>
      </c>
      <c r="H572" s="12" t="str">
        <f t="shared" si="100"/>
        <v>ERASMUSa1b3c2d6e11</v>
      </c>
      <c r="J572" s="2">
        <v>1812</v>
      </c>
      <c r="K572" s="12" t="str">
        <f t="shared" si="101"/>
        <v>1812</v>
      </c>
      <c r="L572" s="2" t="s">
        <v>74</v>
      </c>
      <c r="M572" s="2" t="s">
        <v>4234</v>
      </c>
      <c r="N572" s="12" t="str">
        <f t="shared" si="106"/>
        <v>1812</v>
      </c>
      <c r="O572" s="12" t="str">
        <f t="shared" si="107"/>
        <v>1812</v>
      </c>
      <c r="Q572" s="12" t="str">
        <f t="shared" si="102"/>
        <v>1812</v>
      </c>
      <c r="S572" s="12" t="str">
        <f t="shared" si="103"/>
        <v/>
      </c>
      <c r="V572" s="12" t="str">
        <f t="shared" si="104"/>
        <v/>
      </c>
      <c r="W572" s="2" t="s">
        <v>4235</v>
      </c>
      <c r="X572" s="2" t="s">
        <v>4236</v>
      </c>
      <c r="AF572" s="2" t="s">
        <v>3706</v>
      </c>
      <c r="AG572" s="2" t="s">
        <v>68</v>
      </c>
      <c r="AH572" s="2" t="s">
        <v>1357</v>
      </c>
      <c r="AI572" s="12" t="str">
        <f t="shared" si="105"/>
        <v>1837</v>
      </c>
      <c r="AK572" s="2" t="s">
        <v>190</v>
      </c>
    </row>
    <row r="573" spans="1:70">
      <c r="A573" s="12" t="s">
        <v>667</v>
      </c>
      <c r="B573" s="12" t="str">
        <f t="shared" si="97"/>
        <v>ERASMUS</v>
      </c>
      <c r="C573" s="12" t="str">
        <f t="shared" si="98"/>
        <v>ERASMUS</v>
      </c>
      <c r="D573" s="12" t="s">
        <v>4250</v>
      </c>
      <c r="E573" s="12" t="str">
        <f t="shared" si="108"/>
        <v>Lourens Johannes</v>
      </c>
      <c r="F573" s="12" t="s">
        <v>4254</v>
      </c>
      <c r="G573" s="12" t="str">
        <f t="shared" si="99"/>
        <v>a1b3c2d6e8</v>
      </c>
      <c r="H573" s="12" t="str">
        <f t="shared" si="100"/>
        <v>ERASMUSa1b3c2d6e8</v>
      </c>
      <c r="I573" s="12"/>
      <c r="J573" s="12"/>
      <c r="K573" s="12" t="str">
        <f t="shared" si="101"/>
        <v/>
      </c>
      <c r="L573" s="12"/>
      <c r="M573" s="12" t="s">
        <v>2920</v>
      </c>
      <c r="N573" s="12" t="str">
        <f t="shared" si="106"/>
        <v/>
      </c>
      <c r="O573" s="12" t="str">
        <f t="shared" si="107"/>
        <v>1807</v>
      </c>
      <c r="P573" s="12" t="s">
        <v>474</v>
      </c>
      <c r="Q573" s="12" t="str">
        <f t="shared" si="102"/>
        <v>1807</v>
      </c>
      <c r="R573" s="12" t="s">
        <v>301</v>
      </c>
      <c r="S573" s="12" t="str">
        <f t="shared" si="103"/>
        <v>1838</v>
      </c>
      <c r="T573" s="12"/>
      <c r="U573" s="12"/>
      <c r="V573" s="12" t="str">
        <f t="shared" si="104"/>
        <v/>
      </c>
      <c r="W573" s="12" t="s">
        <v>4256</v>
      </c>
      <c r="X573" s="12" t="s">
        <v>758</v>
      </c>
      <c r="Y573" s="12" t="s">
        <v>4257</v>
      </c>
      <c r="Z573" s="12"/>
      <c r="AA573" s="12"/>
      <c r="AB573" s="12"/>
      <c r="AC573" s="12" t="s">
        <v>3136</v>
      </c>
      <c r="AD573" s="12" t="s">
        <v>474</v>
      </c>
      <c r="AE573" s="12" t="s">
        <v>301</v>
      </c>
      <c r="AF573" s="12" t="s">
        <v>16</v>
      </c>
      <c r="AG573" s="12" t="s">
        <v>68</v>
      </c>
      <c r="AH573" s="12">
        <v>1837</v>
      </c>
      <c r="AI573" s="12" t="str">
        <f t="shared" si="105"/>
        <v>1837</v>
      </c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</row>
    <row r="574" spans="1:70">
      <c r="A574" s="12" t="s">
        <v>667</v>
      </c>
      <c r="B574" s="12" t="str">
        <f t="shared" ref="B574:B634" si="109">SUBSTITUTE(A574," ","")</f>
        <v>ERASMUS</v>
      </c>
      <c r="C574" s="12" t="str">
        <f t="shared" ref="C574:C634" si="110">TRIM(A574)</f>
        <v>ERASMUS</v>
      </c>
      <c r="D574" s="12" t="s">
        <v>1484</v>
      </c>
      <c r="E574" s="12" t="str">
        <f t="shared" si="108"/>
        <v>Willem Jacobus</v>
      </c>
      <c r="F574" s="12" t="s">
        <v>4335</v>
      </c>
      <c r="G574" s="12" t="str">
        <f t="shared" ref="G574:G634" si="111">IF(LEFT(F574,1)="b","a1"&amp;F574,F574)</f>
        <v>a1b3c2e13</v>
      </c>
      <c r="H574" s="12" t="str">
        <f t="shared" ref="H574:H605" si="112">C574&amp;G574</f>
        <v>ERASMUSa1b3c2e13</v>
      </c>
      <c r="I574" s="12"/>
      <c r="J574" s="12"/>
      <c r="K574" s="12" t="str">
        <f t="shared" ref="K574:K634" si="113">RIGHT(J574,4)</f>
        <v/>
      </c>
      <c r="L574" s="12"/>
      <c r="M574" s="12" t="s">
        <v>322</v>
      </c>
      <c r="N574" s="12" t="str">
        <f t="shared" si="106"/>
        <v/>
      </c>
      <c r="O574" s="12" t="str">
        <f t="shared" si="107"/>
        <v>1808</v>
      </c>
      <c r="P574" s="12"/>
      <c r="Q574" s="12" t="str">
        <f t="shared" ref="Q574:Q634" si="114">IF(N574="",O574,N574)</f>
        <v>1808</v>
      </c>
      <c r="R574" s="12"/>
      <c r="S574" s="12" t="str">
        <f t="shared" ref="S574:S634" si="115">RIGHT(R574,4)</f>
        <v/>
      </c>
      <c r="T574" s="12" t="s">
        <v>28</v>
      </c>
      <c r="U574" s="12" t="s">
        <v>4336</v>
      </c>
      <c r="V574" s="12" t="str">
        <f t="shared" ref="V574:V634" si="116">RIGHT(U574,4)</f>
        <v>1831</v>
      </c>
      <c r="W574" s="12" t="s">
        <v>4337</v>
      </c>
      <c r="X574" s="12" t="s">
        <v>1573</v>
      </c>
      <c r="Y574" s="12"/>
      <c r="Z574" s="12"/>
      <c r="AA574" s="12"/>
      <c r="AB574" s="12"/>
      <c r="AC574" s="12"/>
      <c r="AD574" s="12"/>
      <c r="AE574" s="12"/>
      <c r="AF574" s="12" t="s">
        <v>3706</v>
      </c>
      <c r="AG574" s="12" t="s">
        <v>68</v>
      </c>
      <c r="AH574" s="12" t="s">
        <v>2033</v>
      </c>
      <c r="AI574" s="12" t="str">
        <f t="shared" ref="AI574:AI634" si="117">RIGHT(AH574,4)</f>
        <v>1837</v>
      </c>
      <c r="AJ574" s="12" t="s">
        <v>4147</v>
      </c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</row>
    <row r="575" spans="1:70">
      <c r="A575" s="2" t="s">
        <v>667</v>
      </c>
      <c r="B575" s="12" t="str">
        <f t="shared" si="109"/>
        <v>ERASMUS</v>
      </c>
      <c r="C575" s="12" t="str">
        <f t="shared" si="110"/>
        <v>ERASMUS</v>
      </c>
      <c r="D575" s="2" t="s">
        <v>4308</v>
      </c>
      <c r="E575" s="12" t="str">
        <f t="shared" si="108"/>
        <v>Pieter Johannes</v>
      </c>
      <c r="F575" s="2" t="s">
        <v>4309</v>
      </c>
      <c r="G575" s="12" t="str">
        <f t="shared" si="111"/>
        <v>a1b3c4d8e?</v>
      </c>
      <c r="H575" s="12" t="str">
        <f t="shared" si="112"/>
        <v>ERASMUSa1b3c4d8e?</v>
      </c>
      <c r="K575" s="12" t="str">
        <f t="shared" si="113"/>
        <v/>
      </c>
      <c r="N575" s="12" t="str">
        <f t="shared" si="106"/>
        <v/>
      </c>
      <c r="O575" s="12" t="str">
        <f t="shared" si="107"/>
        <v/>
      </c>
      <c r="Q575" s="12" t="str">
        <f t="shared" si="114"/>
        <v/>
      </c>
      <c r="S575" s="12" t="str">
        <f t="shared" si="115"/>
        <v/>
      </c>
      <c r="V575" s="12" t="str">
        <f t="shared" si="116"/>
        <v/>
      </c>
      <c r="W575" s="2" t="s">
        <v>4310</v>
      </c>
      <c r="X575" s="2" t="s">
        <v>667</v>
      </c>
      <c r="AF575" s="2" t="s">
        <v>3719</v>
      </c>
      <c r="AG575" s="2" t="s">
        <v>68</v>
      </c>
      <c r="AI575" s="12" t="str">
        <f t="shared" si="117"/>
        <v/>
      </c>
      <c r="AK575" s="2" t="s">
        <v>458</v>
      </c>
      <c r="AR575" s="12"/>
    </row>
    <row r="576" spans="1:70">
      <c r="A576" s="2" t="s">
        <v>667</v>
      </c>
      <c r="B576" s="12" t="str">
        <f t="shared" si="109"/>
        <v>ERASMUS</v>
      </c>
      <c r="C576" s="12" t="str">
        <f t="shared" si="110"/>
        <v>ERASMUS</v>
      </c>
      <c r="D576" s="2" t="s">
        <v>4250</v>
      </c>
      <c r="E576" s="12" t="str">
        <f t="shared" si="108"/>
        <v>Lourens Johannes</v>
      </c>
      <c r="F576" s="2" t="s">
        <v>4258</v>
      </c>
      <c r="G576" s="12" t="str">
        <f t="shared" si="111"/>
        <v>a1b3c5d3e1</v>
      </c>
      <c r="H576" s="12" t="str">
        <f t="shared" si="112"/>
        <v>ERASMUSa1b3c5d3e1</v>
      </c>
      <c r="K576" s="12" t="str">
        <f t="shared" si="113"/>
        <v/>
      </c>
      <c r="M576" s="2" t="s">
        <v>4259</v>
      </c>
      <c r="N576" s="12" t="str">
        <f t="shared" si="106"/>
        <v/>
      </c>
      <c r="O576" s="12" t="str">
        <f t="shared" si="107"/>
        <v>1789</v>
      </c>
      <c r="Q576" s="12" t="str">
        <f t="shared" si="114"/>
        <v>1789</v>
      </c>
      <c r="R576" s="2" t="s">
        <v>4260</v>
      </c>
      <c r="S576" s="12" t="str">
        <f t="shared" si="115"/>
        <v>1836</v>
      </c>
      <c r="T576" s="2" t="s">
        <v>74</v>
      </c>
      <c r="U576" s="2" t="s">
        <v>4255</v>
      </c>
      <c r="V576" s="12" t="str">
        <f t="shared" si="116"/>
        <v>1813</v>
      </c>
      <c r="W576" s="2" t="s">
        <v>4261</v>
      </c>
      <c r="X576" s="2" t="s">
        <v>2427</v>
      </c>
      <c r="AF576" s="2" t="s">
        <v>3706</v>
      </c>
      <c r="AG576" s="2" t="s">
        <v>68</v>
      </c>
      <c r="AH576" s="2" t="s">
        <v>2738</v>
      </c>
      <c r="AI576" s="12" t="str">
        <f t="shared" si="117"/>
        <v>1836</v>
      </c>
      <c r="AJ576" s="2" t="s">
        <v>379</v>
      </c>
      <c r="AK576" s="2" t="s">
        <v>140</v>
      </c>
    </row>
    <row r="577" spans="1:70">
      <c r="A577" s="2" t="s">
        <v>667</v>
      </c>
      <c r="B577" s="12" t="str">
        <f t="shared" si="109"/>
        <v>ERASMUS</v>
      </c>
      <c r="C577" s="12" t="str">
        <f t="shared" si="110"/>
        <v>ERASMUS</v>
      </c>
      <c r="D577" s="2" t="s">
        <v>4277</v>
      </c>
      <c r="E577" s="12" t="str">
        <f t="shared" si="108"/>
        <v>Michiel Coenraad</v>
      </c>
      <c r="F577" s="2" t="s">
        <v>4278</v>
      </c>
      <c r="G577" s="12" t="str">
        <f t="shared" si="111"/>
        <v>a1b3c5d3e1f5</v>
      </c>
      <c r="H577" s="12" t="str">
        <f t="shared" si="112"/>
        <v>ERASMUSa1b3c5d3e1f5</v>
      </c>
      <c r="J577" s="2" t="s">
        <v>4279</v>
      </c>
      <c r="K577" s="12" t="str">
        <f t="shared" si="113"/>
        <v>1824</v>
      </c>
      <c r="L577" s="2" t="s">
        <v>74</v>
      </c>
      <c r="N577" s="12" t="str">
        <f t="shared" si="106"/>
        <v>1824</v>
      </c>
      <c r="O577" s="12" t="str">
        <f t="shared" si="107"/>
        <v/>
      </c>
      <c r="Q577" s="12" t="str">
        <f t="shared" si="114"/>
        <v>1824</v>
      </c>
      <c r="S577" s="12" t="str">
        <f t="shared" si="115"/>
        <v/>
      </c>
      <c r="V577" s="12" t="str">
        <f t="shared" si="116"/>
        <v/>
      </c>
      <c r="W577" s="2" t="s">
        <v>4280</v>
      </c>
      <c r="X577" s="2" t="s">
        <v>3314</v>
      </c>
      <c r="AF577" s="2" t="s">
        <v>3706</v>
      </c>
      <c r="AG577" s="2" t="s">
        <v>68</v>
      </c>
      <c r="AH577" s="2" t="s">
        <v>4276</v>
      </c>
      <c r="AI577" s="12" t="str">
        <f t="shared" si="117"/>
        <v>1838</v>
      </c>
      <c r="AK577" s="2" t="s">
        <v>155</v>
      </c>
    </row>
    <row r="578" spans="1:70">
      <c r="A578" s="2" t="s">
        <v>667</v>
      </c>
      <c r="B578" s="12" t="str">
        <f t="shared" si="109"/>
        <v>ERASMUS</v>
      </c>
      <c r="C578" s="12" t="str">
        <f t="shared" si="110"/>
        <v>ERASMUS</v>
      </c>
      <c r="D578" s="2" t="s">
        <v>4277</v>
      </c>
      <c r="E578" s="12" t="str">
        <f t="shared" si="108"/>
        <v>Michiel Coenraad</v>
      </c>
      <c r="F578" s="2" t="s">
        <v>4281</v>
      </c>
      <c r="G578" s="12" t="str">
        <f t="shared" si="111"/>
        <v>a1b3c5d3e2</v>
      </c>
      <c r="H578" s="12" t="str">
        <f t="shared" si="112"/>
        <v>ERASMUSa1b3c5d3e2</v>
      </c>
      <c r="K578" s="12" t="str">
        <f t="shared" si="113"/>
        <v/>
      </c>
      <c r="M578" s="2" t="s">
        <v>4282</v>
      </c>
      <c r="N578" s="12" t="str">
        <f t="shared" ref="N578:N641" si="118">RIGHT(J578,4)</f>
        <v/>
      </c>
      <c r="O578" s="12" t="str">
        <f t="shared" ref="O578:O641" si="119">RIGHT(M578,4)</f>
        <v>1791</v>
      </c>
      <c r="Q578" s="12" t="str">
        <f t="shared" si="114"/>
        <v>1791</v>
      </c>
      <c r="S578" s="12" t="str">
        <f t="shared" si="115"/>
        <v/>
      </c>
      <c r="V578" s="12" t="str">
        <f t="shared" si="116"/>
        <v/>
      </c>
      <c r="W578" s="2" t="s">
        <v>1943</v>
      </c>
      <c r="X578" s="2" t="s">
        <v>2427</v>
      </c>
      <c r="AF578" s="2" t="s">
        <v>3706</v>
      </c>
      <c r="AG578" s="2" t="s">
        <v>68</v>
      </c>
      <c r="AH578" s="2" t="s">
        <v>4283</v>
      </c>
      <c r="AI578" s="12" t="str">
        <f t="shared" si="117"/>
        <v>1838</v>
      </c>
      <c r="AK578" s="2" t="s">
        <v>155</v>
      </c>
    </row>
    <row r="579" spans="1:70">
      <c r="A579" s="2" t="s">
        <v>667</v>
      </c>
      <c r="B579" s="12" t="str">
        <f t="shared" si="109"/>
        <v>ERASMUS</v>
      </c>
      <c r="C579" s="12" t="str">
        <f t="shared" si="110"/>
        <v>ERASMUS</v>
      </c>
      <c r="D579" s="2" t="s">
        <v>311</v>
      </c>
      <c r="E579" s="12" t="str">
        <f t="shared" ref="E579:E642" si="120">PROPER(D579)</f>
        <v>Lourens Rasmus</v>
      </c>
      <c r="F579" s="2" t="s">
        <v>4271</v>
      </c>
      <c r="G579" s="12" t="str">
        <f t="shared" si="111"/>
        <v>a1b3c5d3e3f1</v>
      </c>
      <c r="H579" s="12" t="str">
        <f t="shared" si="112"/>
        <v>ERASMUSa1b3c5d3e3f1</v>
      </c>
      <c r="J579" s="2" t="s">
        <v>4272</v>
      </c>
      <c r="K579" s="12" t="str">
        <f t="shared" si="113"/>
        <v>1816</v>
      </c>
      <c r="L579" s="2" t="s">
        <v>28</v>
      </c>
      <c r="M579" s="2" t="s">
        <v>4273</v>
      </c>
      <c r="N579" s="12" t="str">
        <f t="shared" si="118"/>
        <v>1816</v>
      </c>
      <c r="O579" s="12" t="str">
        <f t="shared" si="119"/>
        <v>1819</v>
      </c>
      <c r="P579" s="2" t="s">
        <v>31</v>
      </c>
      <c r="Q579" s="12" t="str">
        <f t="shared" si="114"/>
        <v>1816</v>
      </c>
      <c r="R579" s="2" t="s">
        <v>4274</v>
      </c>
      <c r="S579" s="12" t="str">
        <f t="shared" si="115"/>
        <v>1850</v>
      </c>
      <c r="V579" s="12" t="str">
        <f t="shared" si="116"/>
        <v/>
      </c>
      <c r="W579" s="2" t="s">
        <v>4275</v>
      </c>
      <c r="X579" s="2" t="s">
        <v>78</v>
      </c>
      <c r="AF579" s="2" t="s">
        <v>3699</v>
      </c>
      <c r="AG579" s="2" t="s">
        <v>68</v>
      </c>
      <c r="AI579" s="12" t="str">
        <f t="shared" si="117"/>
        <v/>
      </c>
      <c r="AK579" s="2" t="s">
        <v>155</v>
      </c>
    </row>
    <row r="580" spans="1:70">
      <c r="A580" s="2" t="s">
        <v>667</v>
      </c>
      <c r="B580" s="12" t="str">
        <f t="shared" si="109"/>
        <v>ERASMUS</v>
      </c>
      <c r="C580" s="12" t="str">
        <f t="shared" si="110"/>
        <v>ERASMUS</v>
      </c>
      <c r="D580" s="2" t="s">
        <v>4300</v>
      </c>
      <c r="E580" s="12" t="str">
        <f t="shared" si="120"/>
        <v>Philippus Johannes Lodewicus</v>
      </c>
      <c r="F580" s="2" t="s">
        <v>4301</v>
      </c>
      <c r="G580" s="12" t="str">
        <f t="shared" si="111"/>
        <v>a1b3c5d3e6</v>
      </c>
      <c r="H580" s="12" t="str">
        <f t="shared" si="112"/>
        <v>ERASMUSa1b3c5d3e6</v>
      </c>
      <c r="K580" s="12" t="str">
        <f t="shared" si="113"/>
        <v/>
      </c>
      <c r="M580" s="2" t="s">
        <v>217</v>
      </c>
      <c r="N580" s="12" t="str">
        <f t="shared" si="118"/>
        <v/>
      </c>
      <c r="O580" s="12" t="str">
        <f t="shared" si="119"/>
        <v>1800</v>
      </c>
      <c r="P580" s="2" t="s">
        <v>31</v>
      </c>
      <c r="Q580" s="12" t="str">
        <f t="shared" si="114"/>
        <v>1800</v>
      </c>
      <c r="R580" s="2">
        <v>1854</v>
      </c>
      <c r="S580" s="12" t="str">
        <f t="shared" si="115"/>
        <v>1854</v>
      </c>
      <c r="T580" s="2" t="s">
        <v>74</v>
      </c>
      <c r="U580" s="2" t="s">
        <v>4302</v>
      </c>
      <c r="V580" s="12" t="str">
        <f t="shared" si="116"/>
        <v>1823</v>
      </c>
      <c r="W580" s="2" t="s">
        <v>4303</v>
      </c>
      <c r="X580" s="2" t="s">
        <v>730</v>
      </c>
      <c r="Y580" s="2" t="s">
        <v>2390</v>
      </c>
      <c r="AC580" s="2" t="s">
        <v>1451</v>
      </c>
      <c r="AF580" s="2" t="s">
        <v>3719</v>
      </c>
      <c r="AG580" s="2" t="s">
        <v>68</v>
      </c>
      <c r="AH580" s="2" t="s">
        <v>2442</v>
      </c>
      <c r="AI580" s="12" t="str">
        <f t="shared" si="117"/>
        <v>1839</v>
      </c>
      <c r="AK580" s="2" t="s">
        <v>140</v>
      </c>
    </row>
    <row r="581" spans="1:70">
      <c r="A581" s="12" t="s">
        <v>667</v>
      </c>
      <c r="B581" s="12" t="str">
        <f t="shared" si="109"/>
        <v>ERASMUS</v>
      </c>
      <c r="C581" s="12" t="str">
        <f t="shared" si="110"/>
        <v>ERASMUS</v>
      </c>
      <c r="D581" s="12" t="s">
        <v>4206</v>
      </c>
      <c r="E581" s="12" t="str">
        <f t="shared" si="120"/>
        <v>Jacob Lourens Carolus</v>
      </c>
      <c r="F581" s="12" t="s">
        <v>4207</v>
      </c>
      <c r="G581" s="12" t="str">
        <f t="shared" si="111"/>
        <v>a1b3c9d1e2</v>
      </c>
      <c r="H581" s="12" t="str">
        <f t="shared" si="112"/>
        <v>ERASMUSa1b3c9d1e2</v>
      </c>
      <c r="I581" s="12"/>
      <c r="J581" s="12"/>
      <c r="K581" s="12" t="str">
        <f t="shared" si="113"/>
        <v/>
      </c>
      <c r="L581" s="12"/>
      <c r="M581" s="12" t="s">
        <v>4208</v>
      </c>
      <c r="N581" s="12" t="str">
        <f t="shared" si="118"/>
        <v/>
      </c>
      <c r="O581" s="12" t="str">
        <f t="shared" si="119"/>
        <v>1801</v>
      </c>
      <c r="P581" s="12"/>
      <c r="Q581" s="12" t="str">
        <f t="shared" si="114"/>
        <v>1801</v>
      </c>
      <c r="R581" s="12"/>
      <c r="S581" s="12" t="str">
        <f t="shared" si="115"/>
        <v/>
      </c>
      <c r="T581" s="12" t="s">
        <v>74</v>
      </c>
      <c r="U581" s="12" t="s">
        <v>4209</v>
      </c>
      <c r="V581" s="12" t="str">
        <f t="shared" si="116"/>
        <v>1821</v>
      </c>
      <c r="W581" s="12" t="s">
        <v>2958</v>
      </c>
      <c r="X581" s="12" t="s">
        <v>667</v>
      </c>
      <c r="Y581" s="12" t="s">
        <v>4210</v>
      </c>
      <c r="Z581" s="12"/>
      <c r="AA581" s="12"/>
      <c r="AB581" s="12"/>
      <c r="AC581" s="12" t="s">
        <v>4211</v>
      </c>
      <c r="AD581" s="12"/>
      <c r="AE581" s="12"/>
      <c r="AF581" s="12" t="s">
        <v>3720</v>
      </c>
      <c r="AG581" s="12" t="s">
        <v>68</v>
      </c>
      <c r="AH581" s="12">
        <v>1836</v>
      </c>
      <c r="AI581" s="12" t="str">
        <f t="shared" si="117"/>
        <v>1836</v>
      </c>
      <c r="AJ581" s="12"/>
      <c r="AK581" s="12" t="s">
        <v>90</v>
      </c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</row>
    <row r="582" spans="1:70">
      <c r="A582" s="12" t="s">
        <v>667</v>
      </c>
      <c r="B582" s="12" t="str">
        <f t="shared" si="109"/>
        <v>ERASMUS</v>
      </c>
      <c r="C582" s="12" t="str">
        <f t="shared" si="110"/>
        <v>ERASMUS</v>
      </c>
      <c r="D582" s="12" t="s">
        <v>4166</v>
      </c>
      <c r="E582" s="12" t="str">
        <f t="shared" si="120"/>
        <v>Coert</v>
      </c>
      <c r="F582" s="12" t="s">
        <v>4167</v>
      </c>
      <c r="G582" s="12" t="str">
        <f t="shared" si="111"/>
        <v>a1b3c9d1e5</v>
      </c>
      <c r="H582" s="12" t="str">
        <f t="shared" si="112"/>
        <v>ERASMUSa1b3c9d1e5</v>
      </c>
      <c r="I582" s="12"/>
      <c r="J582" s="12"/>
      <c r="K582" s="12" t="str">
        <f t="shared" si="113"/>
        <v/>
      </c>
      <c r="L582" s="12"/>
      <c r="M582" s="12" t="s">
        <v>1491</v>
      </c>
      <c r="N582" s="12" t="str">
        <f t="shared" si="118"/>
        <v/>
      </c>
      <c r="O582" s="12" t="str">
        <f t="shared" si="119"/>
        <v>1807</v>
      </c>
      <c r="P582" s="12"/>
      <c r="Q582" s="12" t="str">
        <f t="shared" si="114"/>
        <v>1807</v>
      </c>
      <c r="R582" s="12"/>
      <c r="S582" s="12" t="str">
        <f t="shared" si="115"/>
        <v/>
      </c>
      <c r="T582" s="12" t="s">
        <v>74</v>
      </c>
      <c r="U582" s="12" t="s">
        <v>1409</v>
      </c>
      <c r="V582" s="12" t="str">
        <f t="shared" si="116"/>
        <v>1827</v>
      </c>
      <c r="W582" s="12" t="s">
        <v>708</v>
      </c>
      <c r="X582" s="12" t="s">
        <v>2026</v>
      </c>
      <c r="Y582" s="12" t="s">
        <v>4168</v>
      </c>
      <c r="Z582" s="12"/>
      <c r="AA582" s="12"/>
      <c r="AB582" s="12"/>
      <c r="AC582" s="12" t="s">
        <v>1577</v>
      </c>
      <c r="AD582" s="12"/>
      <c r="AE582" s="12"/>
      <c r="AF582" s="12" t="s">
        <v>3720</v>
      </c>
      <c r="AG582" s="12" t="s">
        <v>68</v>
      </c>
      <c r="AH582" s="12">
        <v>1835</v>
      </c>
      <c r="AI582" s="12" t="str">
        <f t="shared" si="117"/>
        <v>1835</v>
      </c>
      <c r="AJ582" s="12"/>
      <c r="AK582" s="12" t="s">
        <v>90</v>
      </c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</row>
    <row r="583" spans="1:70">
      <c r="A583" s="12" t="s">
        <v>667</v>
      </c>
      <c r="B583" s="12" t="str">
        <f t="shared" si="109"/>
        <v>ERASMUS</v>
      </c>
      <c r="C583" s="12" t="str">
        <f t="shared" si="110"/>
        <v>ERASMUS</v>
      </c>
      <c r="D583" s="12" t="s">
        <v>4219</v>
      </c>
      <c r="E583" s="12" t="str">
        <f t="shared" si="120"/>
        <v>Jacobus Lourens Rasmus</v>
      </c>
      <c r="F583" s="12" t="s">
        <v>4220</v>
      </c>
      <c r="G583" s="12" t="str">
        <f t="shared" si="111"/>
        <v>a1b3c9d2e3</v>
      </c>
      <c r="H583" s="12" t="str">
        <f t="shared" si="112"/>
        <v>ERASMUSa1b3c9d2e3</v>
      </c>
      <c r="I583" s="12"/>
      <c r="J583" s="12"/>
      <c r="K583" s="12" t="str">
        <f t="shared" si="113"/>
        <v/>
      </c>
      <c r="L583" s="12"/>
      <c r="M583" s="12" t="s">
        <v>3478</v>
      </c>
      <c r="N583" s="12" t="str">
        <f t="shared" si="118"/>
        <v/>
      </c>
      <c r="O583" s="12" t="str">
        <f t="shared" si="119"/>
        <v>1810</v>
      </c>
      <c r="P583" s="12"/>
      <c r="Q583" s="12" t="str">
        <f t="shared" si="114"/>
        <v>1810</v>
      </c>
      <c r="R583" s="12"/>
      <c r="S583" s="12" t="str">
        <f t="shared" si="115"/>
        <v/>
      </c>
      <c r="T583" s="12"/>
      <c r="U583" s="12"/>
      <c r="V583" s="12" t="str">
        <f t="shared" si="116"/>
        <v/>
      </c>
      <c r="W583" s="12" t="s">
        <v>4221</v>
      </c>
      <c r="X583" s="12" t="s">
        <v>1985</v>
      </c>
      <c r="Y583" s="12" t="s">
        <v>2156</v>
      </c>
      <c r="Z583" s="12"/>
      <c r="AA583" s="12" t="s">
        <v>4222</v>
      </c>
      <c r="AB583" s="12" t="s">
        <v>74</v>
      </c>
      <c r="AC583" s="12" t="s">
        <v>4223</v>
      </c>
      <c r="AD583" s="12"/>
      <c r="AE583" s="12"/>
      <c r="AF583" s="12" t="s">
        <v>3719</v>
      </c>
      <c r="AG583" s="12" t="s">
        <v>68</v>
      </c>
      <c r="AH583" s="12"/>
      <c r="AI583" s="12" t="str">
        <f t="shared" si="117"/>
        <v/>
      </c>
      <c r="AJ583" s="12"/>
      <c r="AK583" s="12" t="s">
        <v>520</v>
      </c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</row>
    <row r="584" spans="1:70">
      <c r="A584" s="12" t="s">
        <v>667</v>
      </c>
      <c r="B584" s="12" t="str">
        <f t="shared" si="109"/>
        <v>ERASMUS</v>
      </c>
      <c r="C584" s="12" t="str">
        <f t="shared" si="110"/>
        <v>ERASMUS</v>
      </c>
      <c r="D584" s="12" t="s">
        <v>201</v>
      </c>
      <c r="E584" s="12" t="str">
        <f t="shared" si="120"/>
        <v>Petrus Johannes</v>
      </c>
      <c r="F584" s="12" t="s">
        <v>4286</v>
      </c>
      <c r="G584" s="12" t="str">
        <f t="shared" si="111"/>
        <v>a1b3c9d4e6</v>
      </c>
      <c r="H584" s="12" t="str">
        <f t="shared" si="112"/>
        <v>ERASMUSa1b3c9d4e6</v>
      </c>
      <c r="I584" s="12"/>
      <c r="J584" s="12" t="s">
        <v>1973</v>
      </c>
      <c r="K584" s="12" t="str">
        <f t="shared" si="113"/>
        <v>1817</v>
      </c>
      <c r="L584" s="12" t="s">
        <v>74</v>
      </c>
      <c r="M584" s="12" t="s">
        <v>4287</v>
      </c>
      <c r="N584" s="12" t="str">
        <f t="shared" si="118"/>
        <v>1817</v>
      </c>
      <c r="O584" s="12" t="str">
        <f t="shared" si="119"/>
        <v>1818</v>
      </c>
      <c r="P584" s="12"/>
      <c r="Q584" s="12" t="str">
        <f t="shared" si="114"/>
        <v>1817</v>
      </c>
      <c r="R584" s="12"/>
      <c r="S584" s="12" t="str">
        <f t="shared" si="115"/>
        <v/>
      </c>
      <c r="T584" s="12"/>
      <c r="U584" s="12"/>
      <c r="V584" s="12" t="str">
        <f t="shared" si="116"/>
        <v/>
      </c>
      <c r="W584" s="12" t="s">
        <v>3789</v>
      </c>
      <c r="X584" s="12" t="s">
        <v>661</v>
      </c>
      <c r="Y584" s="12" t="s">
        <v>4288</v>
      </c>
      <c r="Z584" s="12"/>
      <c r="AA584" s="12"/>
      <c r="AB584" s="12"/>
      <c r="AC584" s="12"/>
      <c r="AD584" s="12"/>
      <c r="AE584" s="12"/>
      <c r="AF584" s="12" t="s">
        <v>3719</v>
      </c>
      <c r="AG584" s="12" t="s">
        <v>68</v>
      </c>
      <c r="AH584" s="12" t="s">
        <v>4289</v>
      </c>
      <c r="AI584" s="12" t="str">
        <f t="shared" si="117"/>
        <v>1841</v>
      </c>
      <c r="AJ584" s="12"/>
      <c r="AK584" s="12" t="s">
        <v>90</v>
      </c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</row>
    <row r="585" spans="1:70">
      <c r="A585" s="12" t="s">
        <v>667</v>
      </c>
      <c r="B585" s="12" t="str">
        <f t="shared" si="109"/>
        <v>ERASMUS</v>
      </c>
      <c r="C585" s="12" t="str">
        <f t="shared" si="110"/>
        <v>ERASMUS</v>
      </c>
      <c r="D585" s="12" t="s">
        <v>398</v>
      </c>
      <c r="E585" s="12" t="str">
        <f t="shared" si="120"/>
        <v>Cornelis Johannes</v>
      </c>
      <c r="F585" s="12" t="s">
        <v>4169</v>
      </c>
      <c r="G585" s="12" t="str">
        <f t="shared" si="111"/>
        <v>a1b6c1d1e1f3</v>
      </c>
      <c r="H585" s="12" t="str">
        <f t="shared" si="112"/>
        <v>ERASMUSa1b6c1d1e1f3</v>
      </c>
      <c r="I585" s="12"/>
      <c r="J585" s="12" t="s">
        <v>4170</v>
      </c>
      <c r="K585" s="12" t="str">
        <f t="shared" si="113"/>
        <v>1816</v>
      </c>
      <c r="L585" s="12" t="s">
        <v>74</v>
      </c>
      <c r="M585" s="12" t="s">
        <v>962</v>
      </c>
      <c r="N585" s="12" t="str">
        <f t="shared" si="118"/>
        <v>1816</v>
      </c>
      <c r="O585" s="12" t="str">
        <f t="shared" si="119"/>
        <v>1817</v>
      </c>
      <c r="P585" s="12" t="s">
        <v>81</v>
      </c>
      <c r="Q585" s="12" t="str">
        <f t="shared" si="114"/>
        <v>1816</v>
      </c>
      <c r="R585" s="12" t="s">
        <v>4171</v>
      </c>
      <c r="S585" s="12" t="str">
        <f t="shared" si="115"/>
        <v>1900</v>
      </c>
      <c r="T585" s="12" t="s">
        <v>168</v>
      </c>
      <c r="U585" s="12" t="s">
        <v>4172</v>
      </c>
      <c r="V585" s="12" t="str">
        <f t="shared" si="116"/>
        <v>1839</v>
      </c>
      <c r="W585" s="12" t="s">
        <v>4173</v>
      </c>
      <c r="X585" s="12" t="s">
        <v>1675</v>
      </c>
      <c r="Y585" s="12" t="s">
        <v>4174</v>
      </c>
      <c r="Z585" s="12"/>
      <c r="AA585" s="12" t="s">
        <v>4175</v>
      </c>
      <c r="AB585" s="12"/>
      <c r="AC585" s="12"/>
      <c r="AD585" s="12" t="s">
        <v>81</v>
      </c>
      <c r="AE585" s="12" t="s">
        <v>4176</v>
      </c>
      <c r="AF585" s="12" t="s">
        <v>3719</v>
      </c>
      <c r="AG585" s="12" t="s">
        <v>68</v>
      </c>
      <c r="AH585" s="12" t="s">
        <v>4177</v>
      </c>
      <c r="AI585" s="12" t="str">
        <f t="shared" si="117"/>
        <v>1837</v>
      </c>
      <c r="AJ585" s="12"/>
      <c r="AK585" s="12" t="s">
        <v>90</v>
      </c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</row>
    <row r="586" spans="1:70">
      <c r="A586" s="2" t="s">
        <v>667</v>
      </c>
      <c r="B586" s="12" t="str">
        <f t="shared" si="109"/>
        <v>ERASMUS</v>
      </c>
      <c r="C586" s="12" t="str">
        <f t="shared" si="110"/>
        <v>ERASMUS</v>
      </c>
      <c r="D586" s="2" t="s">
        <v>4237</v>
      </c>
      <c r="E586" s="12" t="str">
        <f t="shared" si="120"/>
        <v>Johannes Lucas Albertus</v>
      </c>
      <c r="F586" s="2" t="s">
        <v>4238</v>
      </c>
      <c r="G586" s="12" t="str">
        <f t="shared" si="111"/>
        <v>a1b6c1d7e7</v>
      </c>
      <c r="H586" s="12" t="str">
        <f t="shared" si="112"/>
        <v>ERASMUSa1b6c1d7e7</v>
      </c>
      <c r="J586" s="2" t="s">
        <v>4239</v>
      </c>
      <c r="K586" s="12" t="str">
        <f t="shared" si="113"/>
        <v>1815</v>
      </c>
      <c r="L586" s="2" t="s">
        <v>542</v>
      </c>
      <c r="M586" s="2" t="s">
        <v>4240</v>
      </c>
      <c r="N586" s="12" t="str">
        <f t="shared" si="118"/>
        <v>1815</v>
      </c>
      <c r="O586" s="12" t="str">
        <f t="shared" si="119"/>
        <v>1816</v>
      </c>
      <c r="Q586" s="12" t="str">
        <f t="shared" si="114"/>
        <v>1815</v>
      </c>
      <c r="S586" s="12" t="str">
        <f t="shared" si="115"/>
        <v/>
      </c>
      <c r="T586" s="2" t="s">
        <v>28</v>
      </c>
      <c r="U586" s="2" t="s">
        <v>3616</v>
      </c>
      <c r="V586" s="12" t="str">
        <f t="shared" si="116"/>
        <v>1833</v>
      </c>
      <c r="W586" s="2" t="s">
        <v>4241</v>
      </c>
      <c r="X586" s="2" t="s">
        <v>667</v>
      </c>
      <c r="AG586" s="2" t="s">
        <v>28</v>
      </c>
      <c r="AI586" s="12" t="str">
        <f t="shared" si="117"/>
        <v/>
      </c>
      <c r="AK586" s="2" t="s">
        <v>458</v>
      </c>
      <c r="AN586" s="2" t="s">
        <v>619</v>
      </c>
      <c r="AO586" s="2" t="s">
        <v>4242</v>
      </c>
    </row>
    <row r="587" spans="1:70">
      <c r="A587" s="12" t="s">
        <v>667</v>
      </c>
      <c r="B587" s="12" t="str">
        <f t="shared" si="109"/>
        <v>ERASMUS</v>
      </c>
      <c r="C587" s="12" t="str">
        <f t="shared" si="110"/>
        <v>ERASMUS</v>
      </c>
      <c r="D587" s="12" t="s">
        <v>4213</v>
      </c>
      <c r="E587" s="12" t="str">
        <f t="shared" si="120"/>
        <v>Jacobus Johannes Petrus</v>
      </c>
      <c r="F587" s="12" t="s">
        <v>4214</v>
      </c>
      <c r="G587" s="12" t="str">
        <f t="shared" si="111"/>
        <v>a1b6c2d2e2f2</v>
      </c>
      <c r="H587" s="12" t="str">
        <f t="shared" si="112"/>
        <v>ERASMUSa1b6c2d2e2f2</v>
      </c>
      <c r="I587" s="12"/>
      <c r="J587" s="12" t="s">
        <v>4215</v>
      </c>
      <c r="K587" s="12" t="str">
        <f t="shared" si="113"/>
        <v>1821</v>
      </c>
      <c r="L587" s="12" t="s">
        <v>53</v>
      </c>
      <c r="M587" s="12" t="s">
        <v>2708</v>
      </c>
      <c r="N587" s="12" t="str">
        <f t="shared" si="118"/>
        <v>1821</v>
      </c>
      <c r="O587" s="12" t="str">
        <f t="shared" si="119"/>
        <v>1821</v>
      </c>
      <c r="P587" s="12"/>
      <c r="Q587" s="12" t="str">
        <f t="shared" si="114"/>
        <v>1821</v>
      </c>
      <c r="R587" s="12"/>
      <c r="S587" s="12" t="str">
        <f t="shared" si="115"/>
        <v/>
      </c>
      <c r="T587" s="12"/>
      <c r="U587" s="12"/>
      <c r="V587" s="12" t="str">
        <f t="shared" si="116"/>
        <v/>
      </c>
      <c r="W587" s="12" t="s">
        <v>4216</v>
      </c>
      <c r="X587" s="12" t="s">
        <v>2235</v>
      </c>
      <c r="Y587" s="12" t="s">
        <v>4217</v>
      </c>
      <c r="Z587" s="12"/>
      <c r="AA587" s="12" t="s">
        <v>4218</v>
      </c>
      <c r="AB587" s="12" t="s">
        <v>28</v>
      </c>
      <c r="AC587" s="12" t="s">
        <v>3410</v>
      </c>
      <c r="AD587" s="12"/>
      <c r="AE587" s="12"/>
      <c r="AF587" s="12" t="s">
        <v>3699</v>
      </c>
      <c r="AG587" s="12" t="s">
        <v>68</v>
      </c>
      <c r="AH587" s="12">
        <v>1836</v>
      </c>
      <c r="AI587" s="12" t="str">
        <f t="shared" si="117"/>
        <v>1836</v>
      </c>
      <c r="AJ587" s="12"/>
      <c r="AK587" s="12" t="s">
        <v>90</v>
      </c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</row>
    <row r="588" spans="1:70">
      <c r="A588" s="12" t="s">
        <v>667</v>
      </c>
      <c r="B588" s="12" t="str">
        <f t="shared" si="109"/>
        <v>ERASMUS</v>
      </c>
      <c r="C588" s="12" t="str">
        <f t="shared" si="110"/>
        <v>ERASMUS</v>
      </c>
      <c r="D588" s="12" t="s">
        <v>143</v>
      </c>
      <c r="E588" s="12" t="str">
        <f t="shared" si="120"/>
        <v>Hendrik Johannes</v>
      </c>
      <c r="F588" s="12" t="s">
        <v>4196</v>
      </c>
      <c r="G588" s="12" t="str">
        <f t="shared" si="111"/>
        <v>a1b6c2d2e4</v>
      </c>
      <c r="H588" s="12" t="str">
        <f t="shared" si="112"/>
        <v>ERASMUSa1b6c2d2e4</v>
      </c>
      <c r="I588" s="12"/>
      <c r="J588" s="12"/>
      <c r="K588" s="12" t="str">
        <f t="shared" si="113"/>
        <v/>
      </c>
      <c r="L588" s="12"/>
      <c r="M588" s="12" t="s">
        <v>92</v>
      </c>
      <c r="N588" s="12" t="str">
        <f t="shared" si="118"/>
        <v/>
      </c>
      <c r="O588" s="12" t="str">
        <f t="shared" si="119"/>
        <v>1804</v>
      </c>
      <c r="P588" s="12"/>
      <c r="Q588" s="12" t="str">
        <f t="shared" si="114"/>
        <v>1804</v>
      </c>
      <c r="R588" s="12"/>
      <c r="S588" s="12" t="str">
        <f t="shared" si="115"/>
        <v/>
      </c>
      <c r="T588" s="12" t="s">
        <v>74</v>
      </c>
      <c r="U588" s="12" t="s">
        <v>4197</v>
      </c>
      <c r="V588" s="12" t="str">
        <f t="shared" si="116"/>
        <v>1827</v>
      </c>
      <c r="W588" s="12" t="s">
        <v>4198</v>
      </c>
      <c r="X588" s="12" t="s">
        <v>784</v>
      </c>
      <c r="Y588" s="12"/>
      <c r="Z588" s="12"/>
      <c r="AA588" s="12"/>
      <c r="AB588" s="12"/>
      <c r="AC588" s="12"/>
      <c r="AD588" s="12"/>
      <c r="AE588" s="12"/>
      <c r="AF588" s="12"/>
      <c r="AG588" s="12" t="s">
        <v>60</v>
      </c>
      <c r="AH588" s="12" t="s">
        <v>362</v>
      </c>
      <c r="AI588" s="12" t="str">
        <f t="shared" si="117"/>
        <v>40'S</v>
      </c>
      <c r="AJ588" s="12"/>
      <c r="AK588" s="12" t="s">
        <v>140</v>
      </c>
      <c r="AL588" s="12" t="s">
        <v>140</v>
      </c>
      <c r="AM588" s="12" t="s">
        <v>4199</v>
      </c>
      <c r="AN588" s="12" t="s">
        <v>4200</v>
      </c>
      <c r="AO588" s="12" t="s">
        <v>633</v>
      </c>
      <c r="AP588" s="12"/>
      <c r="AQ588" s="12"/>
      <c r="AR588" s="12">
        <v>1836</v>
      </c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</row>
    <row r="589" spans="1:70">
      <c r="A589" s="12" t="s">
        <v>667</v>
      </c>
      <c r="B589" s="12" t="str">
        <f t="shared" si="109"/>
        <v>ERASMUS</v>
      </c>
      <c r="C589" s="12" t="str">
        <f t="shared" si="110"/>
        <v>ERASMUS</v>
      </c>
      <c r="D589" s="12" t="s">
        <v>4131</v>
      </c>
      <c r="E589" s="12" t="str">
        <f t="shared" si="120"/>
        <v>Abraham Stephanus</v>
      </c>
      <c r="F589" s="12" t="s">
        <v>4132</v>
      </c>
      <c r="G589" s="12" t="str">
        <f t="shared" si="111"/>
        <v>a1b6c2d3e8</v>
      </c>
      <c r="H589" s="12" t="str">
        <f t="shared" si="112"/>
        <v>ERASMUSa1b6c2d3e8</v>
      </c>
      <c r="I589" s="12"/>
      <c r="J589" s="12"/>
      <c r="K589" s="12" t="str">
        <f t="shared" si="113"/>
        <v/>
      </c>
      <c r="L589" s="12"/>
      <c r="M589" s="12" t="s">
        <v>2737</v>
      </c>
      <c r="N589" s="12" t="str">
        <f t="shared" si="118"/>
        <v/>
      </c>
      <c r="O589" s="12" t="str">
        <f t="shared" si="119"/>
        <v>1810</v>
      </c>
      <c r="P589" s="12"/>
      <c r="Q589" s="12" t="str">
        <f t="shared" si="114"/>
        <v>1810</v>
      </c>
      <c r="R589" s="12"/>
      <c r="S589" s="12" t="str">
        <f t="shared" si="115"/>
        <v/>
      </c>
      <c r="T589" s="12" t="s">
        <v>74</v>
      </c>
      <c r="U589" s="12" t="s">
        <v>4133</v>
      </c>
      <c r="V589" s="12" t="str">
        <f t="shared" si="116"/>
        <v>1833</v>
      </c>
      <c r="W589" s="12" t="s">
        <v>1413</v>
      </c>
      <c r="X589" s="12" t="s">
        <v>760</v>
      </c>
      <c r="Y589" s="12"/>
      <c r="Z589" s="12"/>
      <c r="AA589" s="12"/>
      <c r="AB589" s="12"/>
      <c r="AC589" s="12"/>
      <c r="AD589" s="12"/>
      <c r="AE589" s="12"/>
      <c r="AF589" s="12"/>
      <c r="AG589" s="12" t="s">
        <v>74</v>
      </c>
      <c r="AH589" s="12"/>
      <c r="AI589" s="12" t="str">
        <f t="shared" si="117"/>
        <v/>
      </c>
      <c r="AJ589" s="12"/>
      <c r="AK589" s="12" t="s">
        <v>551</v>
      </c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</row>
    <row r="590" spans="1:70">
      <c r="A590" s="12" t="s">
        <v>4311</v>
      </c>
      <c r="B590" s="12" t="str">
        <f t="shared" si="109"/>
        <v>ERASMUS</v>
      </c>
      <c r="C590" s="12" t="str">
        <f t="shared" si="110"/>
        <v>ERASMUS</v>
      </c>
      <c r="D590" s="12" t="s">
        <v>4308</v>
      </c>
      <c r="E590" s="12" t="str">
        <f t="shared" si="120"/>
        <v>Pieter Johannes</v>
      </c>
      <c r="F590" s="12" t="s">
        <v>4312</v>
      </c>
      <c r="G590" s="12" t="str">
        <f t="shared" si="111"/>
        <v>a1b3c5d3e3</v>
      </c>
      <c r="H590" s="12" t="str">
        <f t="shared" si="112"/>
        <v>ERASMUSa1b3c5d3e3</v>
      </c>
      <c r="I590" s="12"/>
      <c r="J590" s="12"/>
      <c r="K590" s="12" t="str">
        <f t="shared" si="113"/>
        <v/>
      </c>
      <c r="L590" s="12"/>
      <c r="M590" s="12" t="s">
        <v>4313</v>
      </c>
      <c r="N590" s="12" t="str">
        <f t="shared" si="118"/>
        <v/>
      </c>
      <c r="O590" s="12" t="str">
        <f t="shared" si="119"/>
        <v>1793</v>
      </c>
      <c r="P590" s="12" t="s">
        <v>4314</v>
      </c>
      <c r="Q590" s="12" t="str">
        <f t="shared" si="114"/>
        <v>1793</v>
      </c>
      <c r="R590" s="12" t="s">
        <v>4315</v>
      </c>
      <c r="S590" s="12" t="str">
        <f t="shared" si="115"/>
        <v>1849</v>
      </c>
      <c r="T590" s="12" t="s">
        <v>74</v>
      </c>
      <c r="U590" s="12" t="s">
        <v>4316</v>
      </c>
      <c r="V590" s="12" t="str">
        <f t="shared" si="116"/>
        <v>1817</v>
      </c>
      <c r="W590" s="12" t="s">
        <v>642</v>
      </c>
      <c r="X590" s="12" t="s">
        <v>667</v>
      </c>
      <c r="Y590" s="12"/>
      <c r="Z590" s="12"/>
      <c r="AA590" s="12" t="s">
        <v>4317</v>
      </c>
      <c r="AB590" s="12"/>
      <c r="AC590" s="12"/>
      <c r="AD590" s="12" t="s">
        <v>4314</v>
      </c>
      <c r="AE590" s="12" t="s">
        <v>4318</v>
      </c>
      <c r="AF590" s="12" t="s">
        <v>3699</v>
      </c>
      <c r="AG590" s="12" t="s">
        <v>68</v>
      </c>
      <c r="AH590" s="12"/>
      <c r="AI590" s="12" t="str">
        <f t="shared" si="117"/>
        <v/>
      </c>
      <c r="AJ590" s="12"/>
      <c r="AK590" s="12" t="s">
        <v>155</v>
      </c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</row>
    <row r="591" spans="1:70">
      <c r="A591" s="12" t="s">
        <v>4338</v>
      </c>
      <c r="B591" s="12" t="str">
        <f t="shared" si="109"/>
        <v>ERWEE</v>
      </c>
      <c r="C591" s="12" t="str">
        <f t="shared" si="110"/>
        <v>ERWEE</v>
      </c>
      <c r="D591" s="12" t="s">
        <v>4339</v>
      </c>
      <c r="E591" s="12" t="str">
        <f t="shared" si="120"/>
        <v>Andries Johannes</v>
      </c>
      <c r="F591" s="12" t="s">
        <v>3010</v>
      </c>
      <c r="G591" s="12" t="str">
        <f t="shared" si="111"/>
        <v>a1b3</v>
      </c>
      <c r="H591" s="12" t="str">
        <f t="shared" si="112"/>
        <v>ERWEEa1b3</v>
      </c>
      <c r="I591" s="12"/>
      <c r="J591" s="12"/>
      <c r="K591" s="12" t="str">
        <f t="shared" si="113"/>
        <v/>
      </c>
      <c r="L591" s="12"/>
      <c r="M591" s="12" t="s">
        <v>4340</v>
      </c>
      <c r="N591" s="12" t="str">
        <f t="shared" si="118"/>
        <v/>
      </c>
      <c r="O591" s="12" t="str">
        <f t="shared" si="119"/>
        <v>1802</v>
      </c>
      <c r="P591" s="12" t="s">
        <v>31</v>
      </c>
      <c r="Q591" s="12" t="str">
        <f t="shared" si="114"/>
        <v>1802</v>
      </c>
      <c r="R591" s="12" t="s">
        <v>4341</v>
      </c>
      <c r="S591" s="12" t="str">
        <f t="shared" si="115"/>
        <v>1894</v>
      </c>
      <c r="T591" s="12" t="s">
        <v>32</v>
      </c>
      <c r="U591" s="12" t="s">
        <v>3876</v>
      </c>
      <c r="V591" s="12" t="str">
        <f t="shared" si="116"/>
        <v>1826</v>
      </c>
      <c r="W591" s="12" t="s">
        <v>765</v>
      </c>
      <c r="X591" s="12" t="s">
        <v>4342</v>
      </c>
      <c r="Y591" s="12" t="s">
        <v>4343</v>
      </c>
      <c r="Z591" s="12"/>
      <c r="AA591" s="12"/>
      <c r="AB591" s="12"/>
      <c r="AC591" s="12" t="s">
        <v>3183</v>
      </c>
      <c r="AD591" s="12" t="s">
        <v>31</v>
      </c>
      <c r="AE591" s="12" t="s">
        <v>4344</v>
      </c>
      <c r="AF591" s="12" t="s">
        <v>3708</v>
      </c>
      <c r="AG591" s="12" t="s">
        <v>32</v>
      </c>
      <c r="AH591" s="12" t="s">
        <v>4345</v>
      </c>
      <c r="AI591" s="12" t="str">
        <f t="shared" si="117"/>
        <v>1838</v>
      </c>
      <c r="AJ591" s="12"/>
      <c r="AK591" s="12" t="s">
        <v>190</v>
      </c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</row>
    <row r="592" spans="1:70">
      <c r="A592" s="12" t="s">
        <v>4346</v>
      </c>
      <c r="B592" s="12" t="str">
        <f t="shared" si="109"/>
        <v>ESPAG</v>
      </c>
      <c r="C592" s="12" t="str">
        <f t="shared" si="110"/>
        <v>ESPAG</v>
      </c>
      <c r="D592" s="12" t="s">
        <v>4352</v>
      </c>
      <c r="E592" s="12" t="str">
        <f t="shared" si="120"/>
        <v>Joachim Christoffel</v>
      </c>
      <c r="F592" s="12" t="s">
        <v>932</v>
      </c>
      <c r="G592" s="12" t="str">
        <f t="shared" si="111"/>
        <v>a1b2</v>
      </c>
      <c r="H592" s="12" t="str">
        <f t="shared" si="112"/>
        <v>ESPAGa1b2</v>
      </c>
      <c r="I592" s="12"/>
      <c r="J592" s="12"/>
      <c r="K592" s="12" t="str">
        <f t="shared" si="113"/>
        <v/>
      </c>
      <c r="L592" s="12"/>
      <c r="M592" s="12" t="s">
        <v>4353</v>
      </c>
      <c r="N592" s="12" t="str">
        <f t="shared" si="118"/>
        <v/>
      </c>
      <c r="O592" s="12" t="str">
        <f t="shared" si="119"/>
        <v>1782</v>
      </c>
      <c r="P592" s="12"/>
      <c r="Q592" s="12" t="str">
        <f t="shared" si="114"/>
        <v>1782</v>
      </c>
      <c r="R592" s="12"/>
      <c r="S592" s="12" t="str">
        <f t="shared" si="115"/>
        <v/>
      </c>
      <c r="T592" s="12" t="s">
        <v>74</v>
      </c>
      <c r="U592" s="12" t="s">
        <v>4354</v>
      </c>
      <c r="V592" s="12" t="str">
        <f t="shared" si="116"/>
        <v>1810</v>
      </c>
      <c r="W592" s="12" t="s">
        <v>4355</v>
      </c>
      <c r="X592" s="12" t="s">
        <v>695</v>
      </c>
      <c r="Y592" s="12" t="s">
        <v>4356</v>
      </c>
      <c r="Z592" s="12"/>
      <c r="AA592" s="12"/>
      <c r="AB592" s="12"/>
      <c r="AC592" s="12" t="s">
        <v>4357</v>
      </c>
      <c r="AD592" s="12"/>
      <c r="AE592" s="12"/>
      <c r="AF592" s="12" t="s">
        <v>3717</v>
      </c>
      <c r="AG592" s="12" t="s">
        <v>346</v>
      </c>
      <c r="AH592" s="12">
        <v>1842</v>
      </c>
      <c r="AI592" s="12" t="str">
        <f t="shared" si="117"/>
        <v>1842</v>
      </c>
      <c r="AJ592" s="12"/>
      <c r="AK592" s="12" t="s">
        <v>155</v>
      </c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R592" s="2">
        <v>1</v>
      </c>
    </row>
    <row r="593" spans="1:69">
      <c r="A593" s="12" t="s">
        <v>4346</v>
      </c>
      <c r="B593" s="12" t="str">
        <f t="shared" si="109"/>
        <v>ESPAG</v>
      </c>
      <c r="C593" s="12" t="str">
        <f t="shared" si="110"/>
        <v>ESPAG</v>
      </c>
      <c r="D593" s="12" t="s">
        <v>4347</v>
      </c>
      <c r="E593" s="12" t="str">
        <f t="shared" si="120"/>
        <v>Hendrik Joachim Johannes</v>
      </c>
      <c r="F593" s="12" t="s">
        <v>4348</v>
      </c>
      <c r="G593" s="12" t="str">
        <f t="shared" si="111"/>
        <v>a1b6c1</v>
      </c>
      <c r="H593" s="12" t="str">
        <f t="shared" si="112"/>
        <v>ESPAGa1b6c1</v>
      </c>
      <c r="I593" s="12"/>
      <c r="J593" s="12" t="s">
        <v>4349</v>
      </c>
      <c r="K593" s="12" t="str">
        <f t="shared" si="113"/>
        <v>1817</v>
      </c>
      <c r="L593" s="12"/>
      <c r="M593" s="12" t="s">
        <v>4350</v>
      </c>
      <c r="N593" s="12" t="str">
        <f t="shared" si="118"/>
        <v>1817</v>
      </c>
      <c r="O593" s="12" t="str">
        <f t="shared" si="119"/>
        <v>1818</v>
      </c>
      <c r="P593" s="12"/>
      <c r="Q593" s="12" t="str">
        <f t="shared" si="114"/>
        <v>1817</v>
      </c>
      <c r="R593" s="12"/>
      <c r="S593" s="12" t="str">
        <f t="shared" si="115"/>
        <v/>
      </c>
      <c r="T593" s="12" t="s">
        <v>346</v>
      </c>
      <c r="U593" s="12" t="s">
        <v>2883</v>
      </c>
      <c r="V593" s="12" t="str">
        <f t="shared" si="116"/>
        <v>1840</v>
      </c>
      <c r="W593" s="12" t="s">
        <v>4351</v>
      </c>
      <c r="X593" s="12" t="s">
        <v>4346</v>
      </c>
      <c r="Y593" s="12"/>
      <c r="Z593" s="12"/>
      <c r="AA593" s="12"/>
      <c r="AB593" s="12"/>
      <c r="AC593" s="12"/>
      <c r="AD593" s="12"/>
      <c r="AE593" s="12"/>
      <c r="AF593" s="12" t="s">
        <v>3717</v>
      </c>
      <c r="AG593" s="12" t="s">
        <v>346</v>
      </c>
      <c r="AH593" s="12">
        <v>1842</v>
      </c>
      <c r="AI593" s="12" t="str">
        <f t="shared" si="117"/>
        <v>1842</v>
      </c>
      <c r="AJ593" s="12" t="s">
        <v>1494</v>
      </c>
      <c r="AK593" s="12" t="s">
        <v>155</v>
      </c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</row>
    <row r="594" spans="1:69">
      <c r="A594" s="12" t="s">
        <v>3663</v>
      </c>
      <c r="B594" s="12" t="str">
        <f t="shared" si="109"/>
        <v>ESTERHUIZEN</v>
      </c>
      <c r="C594" s="12" t="str">
        <f t="shared" si="110"/>
        <v>ESTERHUIZEN</v>
      </c>
      <c r="D594" s="12" t="s">
        <v>4358</v>
      </c>
      <c r="E594" s="12" t="str">
        <f t="shared" si="120"/>
        <v>Barend Daniel</v>
      </c>
      <c r="F594" s="12" t="s">
        <v>4360</v>
      </c>
      <c r="G594" s="12" t="str">
        <f t="shared" si="111"/>
        <v>a1b3c2d5e1f3</v>
      </c>
      <c r="H594" s="12" t="str">
        <f t="shared" si="112"/>
        <v>ESTERHUIZENa1b3c2d5e1f3</v>
      </c>
      <c r="I594" s="12"/>
      <c r="J594" s="12" t="s">
        <v>4361</v>
      </c>
      <c r="K594" s="12" t="str">
        <f t="shared" si="113"/>
        <v>1815</v>
      </c>
      <c r="L594" s="12" t="s">
        <v>74</v>
      </c>
      <c r="M594" s="12" t="s">
        <v>1602</v>
      </c>
      <c r="N594" s="12" t="str">
        <f t="shared" si="118"/>
        <v>1815</v>
      </c>
      <c r="O594" s="12" t="str">
        <f t="shared" si="119"/>
        <v>1815</v>
      </c>
      <c r="P594" s="12"/>
      <c r="Q594" s="12" t="str">
        <f t="shared" si="114"/>
        <v>1815</v>
      </c>
      <c r="R594" s="12"/>
      <c r="S594" s="12" t="str">
        <f t="shared" si="115"/>
        <v/>
      </c>
      <c r="T594" s="12" t="s">
        <v>74</v>
      </c>
      <c r="U594" s="12" t="s">
        <v>4362</v>
      </c>
      <c r="V594" s="12" t="str">
        <f t="shared" si="116"/>
        <v>1837</v>
      </c>
      <c r="W594" s="12" t="s">
        <v>4235</v>
      </c>
      <c r="X594" s="12" t="s">
        <v>4363</v>
      </c>
      <c r="Y594" s="12" t="s">
        <v>4364</v>
      </c>
      <c r="Z594" s="12"/>
      <c r="AA594" s="12" t="s">
        <v>4365</v>
      </c>
      <c r="AB594" s="12" t="s">
        <v>74</v>
      </c>
      <c r="AC594" s="12" t="s">
        <v>106</v>
      </c>
      <c r="AD594" s="12"/>
      <c r="AE594" s="12"/>
      <c r="AF594" s="12"/>
      <c r="AG594" s="12" t="s">
        <v>366</v>
      </c>
      <c r="AH594" s="12">
        <v>1838</v>
      </c>
      <c r="AI594" s="12" t="str">
        <f t="shared" si="117"/>
        <v>1838</v>
      </c>
      <c r="AJ594" s="12"/>
      <c r="AK594" s="12" t="s">
        <v>551</v>
      </c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</row>
    <row r="595" spans="1:69">
      <c r="A595" s="12" t="s">
        <v>3663</v>
      </c>
      <c r="B595" s="12" t="str">
        <f t="shared" si="109"/>
        <v>ESTERHUIZEN</v>
      </c>
      <c r="C595" s="12" t="str">
        <f t="shared" si="110"/>
        <v>ESTERHUIZEN</v>
      </c>
      <c r="D595" s="12" t="s">
        <v>4370</v>
      </c>
      <c r="E595" s="12" t="str">
        <f t="shared" si="120"/>
        <v>Jesaias</v>
      </c>
      <c r="F595" s="12" t="s">
        <v>4371</v>
      </c>
      <c r="G595" s="12" t="str">
        <f t="shared" si="111"/>
        <v>a1b3c2d6e3f1</v>
      </c>
      <c r="H595" s="12" t="str">
        <f t="shared" si="112"/>
        <v>ESTERHUIZENa1b3c2d6e3f1</v>
      </c>
      <c r="I595" s="12"/>
      <c r="J595" s="12" t="s">
        <v>4372</v>
      </c>
      <c r="K595" s="12" t="str">
        <f t="shared" si="113"/>
        <v>1820</v>
      </c>
      <c r="L595" s="12" t="s">
        <v>366</v>
      </c>
      <c r="M595" s="12" t="s">
        <v>4373</v>
      </c>
      <c r="N595" s="12" t="str">
        <f t="shared" si="118"/>
        <v>1820</v>
      </c>
      <c r="O595" s="12" t="str">
        <f t="shared" si="119"/>
        <v>1820</v>
      </c>
      <c r="P595" s="12"/>
      <c r="Q595" s="12" t="str">
        <f t="shared" si="114"/>
        <v>1820</v>
      </c>
      <c r="R595" s="12"/>
      <c r="S595" s="12" t="str">
        <f t="shared" si="115"/>
        <v/>
      </c>
      <c r="T595" s="12"/>
      <c r="U595" s="12"/>
      <c r="V595" s="12" t="str">
        <f t="shared" si="116"/>
        <v/>
      </c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 t="s">
        <v>366</v>
      </c>
      <c r="AH595" s="12">
        <v>1838</v>
      </c>
      <c r="AI595" s="12" t="str">
        <f t="shared" si="117"/>
        <v>1838</v>
      </c>
      <c r="AJ595" s="12"/>
      <c r="AK595" s="12" t="s">
        <v>90</v>
      </c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</row>
    <row r="596" spans="1:69">
      <c r="A596" s="12" t="s">
        <v>3663</v>
      </c>
      <c r="B596" s="12" t="str">
        <f t="shared" si="109"/>
        <v>ESTERHUIZEN</v>
      </c>
      <c r="C596" s="12" t="str">
        <f t="shared" si="110"/>
        <v>ESTERHUIZEN</v>
      </c>
      <c r="D596" s="12" t="s">
        <v>63</v>
      </c>
      <c r="E596" s="12" t="str">
        <f t="shared" si="120"/>
        <v>Jan Christoffel</v>
      </c>
      <c r="F596" s="12" t="s">
        <v>4366</v>
      </c>
      <c r="G596" s="12" t="str">
        <f t="shared" si="111"/>
        <v>a1b3c2d6e7</v>
      </c>
      <c r="H596" s="12" t="str">
        <f t="shared" si="112"/>
        <v>ESTERHUIZENa1b3c2d6e7</v>
      </c>
      <c r="I596" s="12"/>
      <c r="J596" s="12"/>
      <c r="K596" s="12" t="str">
        <f t="shared" si="113"/>
        <v/>
      </c>
      <c r="L596" s="12"/>
      <c r="M596" s="12" t="s">
        <v>1927</v>
      </c>
      <c r="N596" s="12" t="str">
        <f t="shared" si="118"/>
        <v/>
      </c>
      <c r="O596" s="12" t="str">
        <f t="shared" si="119"/>
        <v>1806</v>
      </c>
      <c r="P596" s="12"/>
      <c r="Q596" s="12" t="str">
        <f t="shared" si="114"/>
        <v>1806</v>
      </c>
      <c r="R596" s="12"/>
      <c r="S596" s="12" t="str">
        <f t="shared" si="115"/>
        <v/>
      </c>
      <c r="T596" s="12"/>
      <c r="U596" s="12"/>
      <c r="V596" s="12" t="str">
        <f t="shared" si="116"/>
        <v/>
      </c>
      <c r="W596" s="12" t="s">
        <v>642</v>
      </c>
      <c r="X596" s="12" t="s">
        <v>4367</v>
      </c>
      <c r="Y596" s="12" t="s">
        <v>2966</v>
      </c>
      <c r="Z596" s="12"/>
      <c r="AA596" s="12" t="s">
        <v>4368</v>
      </c>
      <c r="AB596" s="12" t="s">
        <v>74</v>
      </c>
      <c r="AC596" s="12" t="s">
        <v>4369</v>
      </c>
      <c r="AD596" s="12"/>
      <c r="AE596" s="12"/>
      <c r="AF596" s="12"/>
      <c r="AG596" s="12" t="s">
        <v>366</v>
      </c>
      <c r="AH596" s="12">
        <v>1838</v>
      </c>
      <c r="AI596" s="12" t="str">
        <f t="shared" si="117"/>
        <v>1838</v>
      </c>
      <c r="AJ596" s="12"/>
      <c r="AK596" s="12" t="s">
        <v>190</v>
      </c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Q596" s="2" t="s">
        <v>1168</v>
      </c>
    </row>
    <row r="597" spans="1:69">
      <c r="A597" s="12" t="s">
        <v>4374</v>
      </c>
      <c r="B597" s="12" t="str">
        <f t="shared" si="109"/>
        <v>EVERT</v>
      </c>
      <c r="C597" s="12" t="str">
        <f t="shared" si="110"/>
        <v>EVERT</v>
      </c>
      <c r="D597" s="12" t="s">
        <v>4376</v>
      </c>
      <c r="E597" s="12" t="str">
        <f t="shared" si="120"/>
        <v>Michiel Daniel Pieter Egbert</v>
      </c>
      <c r="F597" s="12" t="s">
        <v>3010</v>
      </c>
      <c r="G597" s="12" t="str">
        <f t="shared" si="111"/>
        <v>a1b3</v>
      </c>
      <c r="H597" s="12" t="str">
        <f t="shared" si="112"/>
        <v>EVERTa1b3</v>
      </c>
      <c r="I597" s="12"/>
      <c r="J597" s="12" t="s">
        <v>4377</v>
      </c>
      <c r="K597" s="12" t="str">
        <f t="shared" si="113"/>
        <v>1822</v>
      </c>
      <c r="L597" s="12" t="s">
        <v>199</v>
      </c>
      <c r="M597" s="12" t="s">
        <v>4378</v>
      </c>
      <c r="N597" s="12" t="str">
        <f t="shared" si="118"/>
        <v>1822</v>
      </c>
      <c r="O597" s="12" t="str">
        <f t="shared" si="119"/>
        <v>1822</v>
      </c>
      <c r="P597" s="12"/>
      <c r="Q597" s="12" t="str">
        <f t="shared" si="114"/>
        <v>1822</v>
      </c>
      <c r="R597" s="12">
        <v>1850</v>
      </c>
      <c r="S597" s="12" t="str">
        <f t="shared" si="115"/>
        <v>1850</v>
      </c>
      <c r="T597" s="12"/>
      <c r="U597" s="12"/>
      <c r="V597" s="12" t="str">
        <f t="shared" si="116"/>
        <v/>
      </c>
      <c r="W597" s="12" t="s">
        <v>1770</v>
      </c>
      <c r="X597" s="12" t="s">
        <v>2649</v>
      </c>
      <c r="Y597" s="12"/>
      <c r="Z597" s="12"/>
      <c r="AA597" s="12"/>
      <c r="AB597" s="12"/>
      <c r="AC597" s="12"/>
      <c r="AD597" s="12"/>
      <c r="AE597" s="12"/>
      <c r="AF597" s="12"/>
      <c r="AG597" s="12" t="s">
        <v>366</v>
      </c>
      <c r="AH597" s="12">
        <v>1839</v>
      </c>
      <c r="AI597" s="12" t="str">
        <f t="shared" si="117"/>
        <v>1839</v>
      </c>
      <c r="AJ597" s="12"/>
      <c r="AK597" s="12" t="s">
        <v>140</v>
      </c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Q597" s="2" t="s">
        <v>4375</v>
      </c>
    </row>
    <row r="598" spans="1:69">
      <c r="A598" s="12" t="s">
        <v>4379</v>
      </c>
      <c r="B598" s="12" t="str">
        <f t="shared" si="109"/>
        <v>FAASEN</v>
      </c>
      <c r="C598" s="12" t="str">
        <f t="shared" si="110"/>
        <v>FAASEN</v>
      </c>
      <c r="D598" s="12" t="s">
        <v>4380</v>
      </c>
      <c r="E598" s="12" t="str">
        <f t="shared" si="120"/>
        <v>Coenraad Hendrik</v>
      </c>
      <c r="F598" s="12" t="s">
        <v>4381</v>
      </c>
      <c r="G598" s="12" t="str">
        <f t="shared" si="111"/>
        <v>a1b3c8d5e1</v>
      </c>
      <c r="H598" s="12" t="str">
        <f t="shared" si="112"/>
        <v>FAASENa1b3c8d5e1</v>
      </c>
      <c r="I598" s="12" t="s">
        <v>4382</v>
      </c>
      <c r="J598" s="12" t="s">
        <v>4383</v>
      </c>
      <c r="K598" s="12" t="str">
        <f t="shared" si="113"/>
        <v>1815</v>
      </c>
      <c r="L598" s="12" t="s">
        <v>1071</v>
      </c>
      <c r="M598" s="12" t="s">
        <v>4384</v>
      </c>
      <c r="N598" s="12" t="str">
        <f t="shared" si="118"/>
        <v>1815</v>
      </c>
      <c r="O598" s="12" t="str">
        <f t="shared" si="119"/>
        <v>1815</v>
      </c>
      <c r="P598" s="12"/>
      <c r="Q598" s="12" t="str">
        <f t="shared" si="114"/>
        <v>1815</v>
      </c>
      <c r="R598" s="12"/>
      <c r="S598" s="12" t="str">
        <f t="shared" si="115"/>
        <v/>
      </c>
      <c r="T598" s="12" t="s">
        <v>366</v>
      </c>
      <c r="U598" s="12" t="s">
        <v>4385</v>
      </c>
      <c r="V598" s="12" t="str">
        <f t="shared" si="116"/>
        <v>1836</v>
      </c>
      <c r="W598" s="12" t="s">
        <v>982</v>
      </c>
      <c r="X598" s="12" t="s">
        <v>701</v>
      </c>
      <c r="Y598" s="12"/>
      <c r="Z598" s="12"/>
      <c r="AA598" s="12" t="s">
        <v>4386</v>
      </c>
      <c r="AB598" s="12" t="s">
        <v>542</v>
      </c>
      <c r="AC598" s="12" t="s">
        <v>4387</v>
      </c>
      <c r="AD598" s="12"/>
      <c r="AE598" s="12"/>
      <c r="AF598" s="12" t="s">
        <v>3716</v>
      </c>
      <c r="AG598" s="12" t="s">
        <v>366</v>
      </c>
      <c r="AH598" s="12"/>
      <c r="AI598" s="12" t="str">
        <f t="shared" si="117"/>
        <v/>
      </c>
      <c r="AJ598" s="12"/>
      <c r="AK598" s="12" t="s">
        <v>4388</v>
      </c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</row>
    <row r="599" spans="1:69">
      <c r="A599" s="12" t="s">
        <v>4389</v>
      </c>
      <c r="B599" s="12" t="str">
        <f t="shared" si="109"/>
        <v>FERREIRA</v>
      </c>
      <c r="C599" s="12" t="str">
        <f t="shared" si="110"/>
        <v>FERREIRA</v>
      </c>
      <c r="D599" s="12" t="s">
        <v>4396</v>
      </c>
      <c r="E599" s="12" t="str">
        <f t="shared" si="120"/>
        <v>Marthinus Philippus Cornelis</v>
      </c>
      <c r="F599" s="12" t="s">
        <v>2088</v>
      </c>
      <c r="G599" s="12" t="str">
        <f t="shared" si="111"/>
        <v>a1b7c1d8</v>
      </c>
      <c r="H599" s="12" t="str">
        <f t="shared" si="112"/>
        <v>FERREIRAa1b7c1d8</v>
      </c>
      <c r="I599" s="12" t="s">
        <v>32</v>
      </c>
      <c r="J599" s="12" t="s">
        <v>4397</v>
      </c>
      <c r="K599" s="12" t="str">
        <f t="shared" si="113"/>
        <v>1811</v>
      </c>
      <c r="L599" s="12"/>
      <c r="M599" s="12" t="s">
        <v>4398</v>
      </c>
      <c r="N599" s="12" t="str">
        <f t="shared" si="118"/>
        <v>1811</v>
      </c>
      <c r="O599" s="12" t="str">
        <f t="shared" si="119"/>
        <v>1811</v>
      </c>
      <c r="P599" s="12" t="s">
        <v>168</v>
      </c>
      <c r="Q599" s="12" t="str">
        <f t="shared" si="114"/>
        <v>1811</v>
      </c>
      <c r="R599" s="12" t="s">
        <v>4399</v>
      </c>
      <c r="S599" s="12" t="str">
        <f t="shared" si="115"/>
        <v>1875</v>
      </c>
      <c r="T599" s="12"/>
      <c r="U599" s="12"/>
      <c r="V599" s="12" t="str">
        <f t="shared" si="116"/>
        <v/>
      </c>
      <c r="W599" s="12" t="s">
        <v>4400</v>
      </c>
      <c r="X599" s="12" t="s">
        <v>4401</v>
      </c>
      <c r="Y599" s="12"/>
      <c r="Z599" s="12"/>
      <c r="AA599" s="12" t="s">
        <v>4402</v>
      </c>
      <c r="AB599" s="12"/>
      <c r="AC599" s="12"/>
      <c r="AD599" s="12" t="s">
        <v>168</v>
      </c>
      <c r="AE599" s="12" t="s">
        <v>4403</v>
      </c>
      <c r="AF599" s="12"/>
      <c r="AG599" s="12" t="s">
        <v>32</v>
      </c>
      <c r="AH599" s="12">
        <v>1839</v>
      </c>
      <c r="AI599" s="12" t="str">
        <f t="shared" si="117"/>
        <v>1839</v>
      </c>
      <c r="AJ599" s="12"/>
      <c r="AK599" s="12" t="s">
        <v>168</v>
      </c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</row>
    <row r="600" spans="1:69">
      <c r="A600" s="12" t="s">
        <v>4389</v>
      </c>
      <c r="B600" s="12" t="str">
        <f t="shared" si="109"/>
        <v>FERREIRA</v>
      </c>
      <c r="C600" s="12" t="str">
        <f t="shared" si="110"/>
        <v>FERREIRA</v>
      </c>
      <c r="D600" s="12" t="s">
        <v>4404</v>
      </c>
      <c r="E600" s="12" t="str">
        <f t="shared" si="120"/>
        <v>Marthinus Stephanus</v>
      </c>
      <c r="F600" s="12" t="s">
        <v>4405</v>
      </c>
      <c r="G600" s="12" t="str">
        <f t="shared" si="111"/>
        <v>a1b9c1d6</v>
      </c>
      <c r="H600" s="12" t="str">
        <f t="shared" si="112"/>
        <v>FERREIRAa1b9c1d6</v>
      </c>
      <c r="I600" s="12"/>
      <c r="J600" s="12" t="s">
        <v>4406</v>
      </c>
      <c r="K600" s="12" t="str">
        <f t="shared" si="113"/>
        <v>1810</v>
      </c>
      <c r="L600" s="12" t="s">
        <v>32</v>
      </c>
      <c r="M600" s="12" t="s">
        <v>3478</v>
      </c>
      <c r="N600" s="12" t="str">
        <f t="shared" si="118"/>
        <v>1810</v>
      </c>
      <c r="O600" s="12" t="str">
        <f t="shared" si="119"/>
        <v>1810</v>
      </c>
      <c r="P600" s="12"/>
      <c r="Q600" s="12" t="str">
        <f t="shared" si="114"/>
        <v>1810</v>
      </c>
      <c r="R600" s="12"/>
      <c r="S600" s="12" t="str">
        <f t="shared" si="115"/>
        <v/>
      </c>
      <c r="T600" s="12" t="s">
        <v>53</v>
      </c>
      <c r="U600" s="12" t="s">
        <v>1741</v>
      </c>
      <c r="V600" s="12" t="str">
        <f t="shared" si="116"/>
        <v>1831</v>
      </c>
      <c r="W600" s="12" t="s">
        <v>4407</v>
      </c>
      <c r="X600" s="12" t="s">
        <v>696</v>
      </c>
      <c r="Y600" s="12" t="s">
        <v>2491</v>
      </c>
      <c r="Z600" s="12"/>
      <c r="AA600" s="12"/>
      <c r="AB600" s="12"/>
      <c r="AC600" s="12" t="s">
        <v>4408</v>
      </c>
      <c r="AD600" s="12"/>
      <c r="AE600" s="12"/>
      <c r="AF600" s="12"/>
      <c r="AG600" s="12" t="s">
        <v>53</v>
      </c>
      <c r="AH600" s="12" t="s">
        <v>479</v>
      </c>
      <c r="AI600" s="12" t="str">
        <f t="shared" si="117"/>
        <v>1838</v>
      </c>
      <c r="AJ600" s="12"/>
      <c r="AK600" s="12" t="s">
        <v>597</v>
      </c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</row>
    <row r="601" spans="1:69">
      <c r="A601" s="12" t="s">
        <v>4389</v>
      </c>
      <c r="B601" s="12" t="str">
        <f t="shared" si="109"/>
        <v>FERREIRA</v>
      </c>
      <c r="C601" s="12" t="str">
        <f t="shared" si="110"/>
        <v>FERREIRA</v>
      </c>
      <c r="D601" s="12" t="s">
        <v>4390</v>
      </c>
      <c r="E601" s="12" t="str">
        <f t="shared" si="120"/>
        <v>Marthinus Gerrit Thomas</v>
      </c>
      <c r="F601" s="12" t="s">
        <v>4391</v>
      </c>
      <c r="G601" s="12" t="str">
        <f t="shared" si="111"/>
        <v>a1b9c2d1</v>
      </c>
      <c r="H601" s="12" t="str">
        <f t="shared" si="112"/>
        <v>FERREIRAa1b9c2d1</v>
      </c>
      <c r="I601" s="12"/>
      <c r="J601" s="12"/>
      <c r="K601" s="12" t="str">
        <f t="shared" si="113"/>
        <v/>
      </c>
      <c r="L601" s="12"/>
      <c r="M601" s="12" t="s">
        <v>4392</v>
      </c>
      <c r="N601" s="12" t="str">
        <f t="shared" si="118"/>
        <v/>
      </c>
      <c r="O601" s="12" t="str">
        <f t="shared" si="119"/>
        <v>1801</v>
      </c>
      <c r="P601" s="12"/>
      <c r="Q601" s="12" t="str">
        <f t="shared" si="114"/>
        <v>1801</v>
      </c>
      <c r="R601" s="12"/>
      <c r="S601" s="12" t="str">
        <f t="shared" si="115"/>
        <v/>
      </c>
      <c r="T601" s="12" t="s">
        <v>74</v>
      </c>
      <c r="U601" s="12" t="s">
        <v>3426</v>
      </c>
      <c r="V601" s="12" t="str">
        <f t="shared" si="116"/>
        <v>1821</v>
      </c>
      <c r="W601" s="12" t="s">
        <v>2472</v>
      </c>
      <c r="X601" s="12" t="s">
        <v>4393</v>
      </c>
      <c r="Y601" s="12" t="s">
        <v>4394</v>
      </c>
      <c r="Z601" s="12"/>
      <c r="AA601" s="12"/>
      <c r="AB601" s="12"/>
      <c r="AC601" s="12" t="s">
        <v>4395</v>
      </c>
      <c r="AD601" s="12"/>
      <c r="AE601" s="12"/>
      <c r="AF601" s="12"/>
      <c r="AG601" s="12" t="s">
        <v>53</v>
      </c>
      <c r="AH601" s="12" t="s">
        <v>4276</v>
      </c>
      <c r="AI601" s="12" t="str">
        <f t="shared" si="117"/>
        <v>1838</v>
      </c>
      <c r="AJ601" s="12"/>
      <c r="AK601" s="12" t="s">
        <v>168</v>
      </c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</row>
    <row r="602" spans="1:69">
      <c r="A602" s="12" t="s">
        <v>4409</v>
      </c>
      <c r="B602" s="12" t="str">
        <f t="shared" si="109"/>
        <v>FICK</v>
      </c>
      <c r="C602" s="12" t="str">
        <f t="shared" si="110"/>
        <v>FICK</v>
      </c>
      <c r="D602" s="12" t="s">
        <v>4416</v>
      </c>
      <c r="E602" s="12" t="str">
        <f t="shared" si="120"/>
        <v>Johan Izak Jacobus</v>
      </c>
      <c r="F602" s="12" t="s">
        <v>4417</v>
      </c>
      <c r="G602" s="12" t="str">
        <f t="shared" si="111"/>
        <v>a1b6c1d2e2</v>
      </c>
      <c r="H602" s="12" t="str">
        <f t="shared" si="112"/>
        <v>FICKa1b6c1d2e2</v>
      </c>
      <c r="I602" s="12" t="s">
        <v>53</v>
      </c>
      <c r="J602" s="12" t="s">
        <v>4418</v>
      </c>
      <c r="K602" s="12" t="str">
        <f t="shared" si="113"/>
        <v>1816</v>
      </c>
      <c r="L602" s="12" t="s">
        <v>74</v>
      </c>
      <c r="M602" s="12" t="s">
        <v>4419</v>
      </c>
      <c r="N602" s="12" t="str">
        <f t="shared" si="118"/>
        <v>1816</v>
      </c>
      <c r="O602" s="12" t="str">
        <f t="shared" si="119"/>
        <v>1817</v>
      </c>
      <c r="P602" s="12" t="s">
        <v>2084</v>
      </c>
      <c r="Q602" s="12" t="str">
        <f t="shared" si="114"/>
        <v>1816</v>
      </c>
      <c r="R602" s="12" t="s">
        <v>4420</v>
      </c>
      <c r="S602" s="12" t="str">
        <f t="shared" si="115"/>
        <v>1892</v>
      </c>
      <c r="T602" s="12"/>
      <c r="U602" s="12" t="s">
        <v>4421</v>
      </c>
      <c r="V602" s="12" t="str">
        <f t="shared" si="116"/>
        <v>1837</v>
      </c>
      <c r="W602" s="12" t="s">
        <v>4422</v>
      </c>
      <c r="X602" s="12" t="s">
        <v>757</v>
      </c>
      <c r="Y602" s="12"/>
      <c r="Z602" s="12"/>
      <c r="AA602" s="12">
        <v>1820</v>
      </c>
      <c r="AB602" s="12"/>
      <c r="AC602" s="12"/>
      <c r="AD602" s="12"/>
      <c r="AE602" s="12">
        <v>1894</v>
      </c>
      <c r="AF602" s="12" t="s">
        <v>3717</v>
      </c>
      <c r="AG602" s="12" t="s">
        <v>346</v>
      </c>
      <c r="AH602" s="12">
        <v>1842</v>
      </c>
      <c r="AI602" s="12" t="str">
        <f t="shared" si="117"/>
        <v>1842</v>
      </c>
      <c r="AJ602" s="12" t="s">
        <v>1494</v>
      </c>
      <c r="AK602" s="12" t="s">
        <v>551</v>
      </c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</row>
    <row r="603" spans="1:69">
      <c r="A603" s="12" t="s">
        <v>4409</v>
      </c>
      <c r="B603" s="12" t="str">
        <f t="shared" si="109"/>
        <v>FICK</v>
      </c>
      <c r="C603" s="12" t="str">
        <f t="shared" si="110"/>
        <v>FICK</v>
      </c>
      <c r="D603" s="12" t="s">
        <v>4410</v>
      </c>
      <c r="E603" s="12" t="str">
        <f t="shared" si="120"/>
        <v>Anthonie Frederik</v>
      </c>
      <c r="F603" s="12" t="s">
        <v>4411</v>
      </c>
      <c r="G603" s="12" t="str">
        <f t="shared" si="111"/>
        <v>a1b6c4d9</v>
      </c>
      <c r="H603" s="12" t="str">
        <f t="shared" si="112"/>
        <v>FICKa1b6c4d9</v>
      </c>
      <c r="I603" s="12"/>
      <c r="J603" s="12"/>
      <c r="K603" s="12" t="str">
        <f t="shared" si="113"/>
        <v/>
      </c>
      <c r="L603" s="12"/>
      <c r="M603" s="12" t="s">
        <v>4412</v>
      </c>
      <c r="N603" s="12" t="str">
        <f t="shared" si="118"/>
        <v/>
      </c>
      <c r="O603" s="12" t="str">
        <f t="shared" si="119"/>
        <v>1801</v>
      </c>
      <c r="P603" s="12"/>
      <c r="Q603" s="12" t="str">
        <f t="shared" si="114"/>
        <v>1801</v>
      </c>
      <c r="R603" s="12"/>
      <c r="S603" s="12" t="str">
        <f t="shared" si="115"/>
        <v/>
      </c>
      <c r="T603" s="12" t="s">
        <v>961</v>
      </c>
      <c r="U603" s="12" t="s">
        <v>4413</v>
      </c>
      <c r="V603" s="12" t="str">
        <f t="shared" si="116"/>
        <v>1827</v>
      </c>
      <c r="W603" s="12" t="s">
        <v>2309</v>
      </c>
      <c r="X603" s="12" t="s">
        <v>4414</v>
      </c>
      <c r="Y603" s="12"/>
      <c r="Z603" s="12"/>
      <c r="AA603" s="12"/>
      <c r="AB603" s="12"/>
      <c r="AC603" s="12"/>
      <c r="AD603" s="12"/>
      <c r="AE603" s="12"/>
      <c r="AF603" s="12"/>
      <c r="AG603" s="12" t="s">
        <v>961</v>
      </c>
      <c r="AH603" s="12">
        <v>1838</v>
      </c>
      <c r="AI603" s="12" t="str">
        <f t="shared" si="117"/>
        <v>1838</v>
      </c>
      <c r="AJ603" s="12"/>
      <c r="AK603" s="12" t="s">
        <v>155</v>
      </c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Q603" s="2" t="s">
        <v>4415</v>
      </c>
    </row>
    <row r="604" spans="1:69">
      <c r="A604" s="12" t="s">
        <v>4423</v>
      </c>
      <c r="B604" s="12" t="str">
        <f t="shared" si="109"/>
        <v>FOORD</v>
      </c>
      <c r="C604" s="12" t="str">
        <f t="shared" si="110"/>
        <v>FOORD</v>
      </c>
      <c r="D604" s="12" t="s">
        <v>4012</v>
      </c>
      <c r="E604" s="12" t="str">
        <f t="shared" si="120"/>
        <v>James</v>
      </c>
      <c r="F604" s="12" t="s">
        <v>3010</v>
      </c>
      <c r="G604" s="12" t="str">
        <f t="shared" si="111"/>
        <v>a1b3</v>
      </c>
      <c r="H604" s="12" t="str">
        <f t="shared" si="112"/>
        <v>FOORDa1b3</v>
      </c>
      <c r="I604" s="12" t="s">
        <v>4424</v>
      </c>
      <c r="J604" s="12">
        <v>1802</v>
      </c>
      <c r="K604" s="12" t="str">
        <f t="shared" si="113"/>
        <v>1802</v>
      </c>
      <c r="L604" s="12"/>
      <c r="M604" s="12"/>
      <c r="N604" s="12" t="str">
        <f t="shared" si="118"/>
        <v>1802</v>
      </c>
      <c r="O604" s="12" t="str">
        <f t="shared" si="119"/>
        <v/>
      </c>
      <c r="P604" s="12"/>
      <c r="Q604" s="12" t="str">
        <f t="shared" si="114"/>
        <v>1802</v>
      </c>
      <c r="R604" s="12"/>
      <c r="S604" s="12" t="str">
        <f t="shared" si="115"/>
        <v/>
      </c>
      <c r="T604" s="12" t="s">
        <v>4425</v>
      </c>
      <c r="U604" s="12" t="s">
        <v>4426</v>
      </c>
      <c r="V604" s="12" t="str">
        <f t="shared" si="116"/>
        <v>1824</v>
      </c>
      <c r="W604" s="12" t="s">
        <v>717</v>
      </c>
      <c r="X604" s="12" t="s">
        <v>4427</v>
      </c>
      <c r="Y604" s="12"/>
      <c r="Z604" s="12"/>
      <c r="AA604" s="12"/>
      <c r="AB604" s="12"/>
      <c r="AC604" s="12"/>
      <c r="AD604" s="12"/>
      <c r="AE604" s="12"/>
      <c r="AF604" s="12" t="s">
        <v>4428</v>
      </c>
      <c r="AG604" s="12" t="s">
        <v>68</v>
      </c>
      <c r="AH604" s="12">
        <v>1840</v>
      </c>
      <c r="AI604" s="12" t="str">
        <f t="shared" si="117"/>
        <v>1840</v>
      </c>
      <c r="AJ604" s="12" t="s">
        <v>1494</v>
      </c>
      <c r="AK604" s="12" t="s">
        <v>168</v>
      </c>
      <c r="AL604" s="12"/>
      <c r="AM604" s="12"/>
      <c r="AN604" s="12" t="s">
        <v>4429</v>
      </c>
      <c r="AO604" s="12" t="s">
        <v>757</v>
      </c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</row>
    <row r="605" spans="1:69">
      <c r="A605" s="12" t="s">
        <v>4423</v>
      </c>
      <c r="B605" s="12" t="str">
        <f t="shared" si="109"/>
        <v>FOORD</v>
      </c>
      <c r="C605" s="12" t="str">
        <f t="shared" si="110"/>
        <v>FOORD</v>
      </c>
      <c r="D605" s="12" t="s">
        <v>4430</v>
      </c>
      <c r="E605" s="12" t="str">
        <f t="shared" si="120"/>
        <v>Willem Ignatius</v>
      </c>
      <c r="F605" s="12" t="s">
        <v>950</v>
      </c>
      <c r="G605" s="12" t="str">
        <f t="shared" si="111"/>
        <v>a1b3c1</v>
      </c>
      <c r="H605" s="12" t="str">
        <f t="shared" si="112"/>
        <v>FOORDa1b3c1</v>
      </c>
      <c r="I605" s="12"/>
      <c r="J605" s="12" t="s">
        <v>4431</v>
      </c>
      <c r="K605" s="12" t="str">
        <f t="shared" si="113"/>
        <v>1825</v>
      </c>
      <c r="L605" s="12" t="s">
        <v>53</v>
      </c>
      <c r="M605" s="12" t="s">
        <v>2042</v>
      </c>
      <c r="N605" s="12" t="str">
        <f t="shared" si="118"/>
        <v>1825</v>
      </c>
      <c r="O605" s="12" t="str">
        <f t="shared" si="119"/>
        <v>1826</v>
      </c>
      <c r="P605" s="12"/>
      <c r="Q605" s="12" t="str">
        <f t="shared" si="114"/>
        <v>1825</v>
      </c>
      <c r="R605" s="12"/>
      <c r="S605" s="12" t="str">
        <f t="shared" si="115"/>
        <v/>
      </c>
      <c r="T605" s="12" t="s">
        <v>168</v>
      </c>
      <c r="U605" s="12" t="s">
        <v>4432</v>
      </c>
      <c r="V605" s="12" t="str">
        <f t="shared" si="116"/>
        <v>1845</v>
      </c>
      <c r="W605" s="12" t="s">
        <v>3503</v>
      </c>
      <c r="X605" s="12" t="s">
        <v>1824</v>
      </c>
      <c r="Y605" s="12" t="s">
        <v>4433</v>
      </c>
      <c r="Z605" s="12"/>
      <c r="AA605" s="12">
        <v>1829</v>
      </c>
      <c r="AB605" s="12"/>
      <c r="AC605" s="12"/>
      <c r="AD605" s="12"/>
      <c r="AE605" s="12"/>
      <c r="AF605" s="12" t="s">
        <v>4428</v>
      </c>
      <c r="AG605" s="12" t="s">
        <v>68</v>
      </c>
      <c r="AH605" s="12">
        <v>1840</v>
      </c>
      <c r="AI605" s="12" t="str">
        <f t="shared" si="117"/>
        <v>1840</v>
      </c>
      <c r="AJ605" s="12" t="s">
        <v>1494</v>
      </c>
      <c r="AK605" s="12" t="s">
        <v>168</v>
      </c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</row>
    <row r="606" spans="1:69">
      <c r="A606" s="2" t="s">
        <v>663</v>
      </c>
      <c r="B606" s="12" t="str">
        <f t="shared" si="109"/>
        <v>FOUCHE</v>
      </c>
      <c r="C606" s="12" t="str">
        <f t="shared" si="110"/>
        <v>FOUCHE</v>
      </c>
      <c r="D606" s="2" t="s">
        <v>4440</v>
      </c>
      <c r="E606" s="12" t="str">
        <f t="shared" si="120"/>
        <v>Jacobus Paulus</v>
      </c>
      <c r="F606" s="2" t="s">
        <v>4441</v>
      </c>
      <c r="G606" s="12" t="str">
        <f t="shared" si="111"/>
        <v>a1b6c2d2e7</v>
      </c>
      <c r="H606" s="12" t="str">
        <f t="shared" ref="H606:H637" si="121">C606&amp;G606</f>
        <v>FOUCHEa1b6c2d2e7</v>
      </c>
      <c r="K606" s="12" t="str">
        <f t="shared" si="113"/>
        <v/>
      </c>
      <c r="M606" s="2" t="s">
        <v>4442</v>
      </c>
      <c r="N606" s="12" t="str">
        <f t="shared" si="118"/>
        <v/>
      </c>
      <c r="O606" s="12" t="str">
        <f t="shared" si="119"/>
        <v>1806</v>
      </c>
      <c r="P606" s="2" t="s">
        <v>24</v>
      </c>
      <c r="Q606" s="12" t="str">
        <f t="shared" si="114"/>
        <v>1806</v>
      </c>
      <c r="R606" s="2" t="s">
        <v>4443</v>
      </c>
      <c r="S606" s="12" t="str">
        <f t="shared" si="115"/>
        <v>1876</v>
      </c>
      <c r="T606" s="2" t="s">
        <v>74</v>
      </c>
      <c r="U606" s="2" t="s">
        <v>259</v>
      </c>
      <c r="V606" s="12" t="str">
        <f t="shared" si="116"/>
        <v>1828</v>
      </c>
      <c r="W606" s="2" t="s">
        <v>714</v>
      </c>
      <c r="X606" s="2" t="s">
        <v>210</v>
      </c>
      <c r="AB606" s="2" t="s">
        <v>74</v>
      </c>
      <c r="AC606" s="2" t="s">
        <v>70</v>
      </c>
      <c r="AF606" s="2" t="s">
        <v>3698</v>
      </c>
      <c r="AG606" s="2" t="s">
        <v>74</v>
      </c>
      <c r="AH606" s="2" t="s">
        <v>4439</v>
      </c>
      <c r="AI606" s="12" t="str">
        <f t="shared" si="117"/>
        <v>1837</v>
      </c>
      <c r="AK606" s="2" t="s">
        <v>551</v>
      </c>
    </row>
    <row r="607" spans="1:69">
      <c r="A607" s="12" t="s">
        <v>663</v>
      </c>
      <c r="B607" s="12" t="str">
        <f t="shared" si="109"/>
        <v>FOUCHE</v>
      </c>
      <c r="C607" s="12" t="str">
        <f t="shared" si="110"/>
        <v>FOUCHE</v>
      </c>
      <c r="D607" s="12" t="s">
        <v>4434</v>
      </c>
      <c r="E607" s="12" t="str">
        <f t="shared" si="120"/>
        <v>Gustavus Wilhemus</v>
      </c>
      <c r="F607" s="12" t="s">
        <v>4435</v>
      </c>
      <c r="G607" s="12" t="str">
        <f t="shared" si="111"/>
        <v>a1b6c2d2e8</v>
      </c>
      <c r="H607" s="12" t="str">
        <f t="shared" si="121"/>
        <v>FOUCHEa1b6c2d2e8</v>
      </c>
      <c r="I607" s="12"/>
      <c r="J607" s="12" t="s">
        <v>4436</v>
      </c>
      <c r="K607" s="12" t="str">
        <f t="shared" si="113"/>
        <v>1808</v>
      </c>
      <c r="L607" s="12" t="s">
        <v>32</v>
      </c>
      <c r="M607" s="12" t="s">
        <v>4437</v>
      </c>
      <c r="N607" s="12" t="str">
        <f t="shared" si="118"/>
        <v>1808</v>
      </c>
      <c r="O607" s="12" t="str">
        <f t="shared" si="119"/>
        <v>1809</v>
      </c>
      <c r="P607" s="12"/>
      <c r="Q607" s="12" t="str">
        <f t="shared" si="114"/>
        <v>1808</v>
      </c>
      <c r="R607" s="12"/>
      <c r="S607" s="12" t="str">
        <f t="shared" si="115"/>
        <v/>
      </c>
      <c r="T607" s="12" t="s">
        <v>74</v>
      </c>
      <c r="U607" s="12" t="s">
        <v>4438</v>
      </c>
      <c r="V607" s="12" t="str">
        <f t="shared" si="116"/>
        <v>1828</v>
      </c>
      <c r="W607" s="12" t="s">
        <v>684</v>
      </c>
      <c r="X607" s="12" t="s">
        <v>1824</v>
      </c>
      <c r="Y607" s="12"/>
      <c r="Z607" s="12"/>
      <c r="AA607" s="12"/>
      <c r="AB607" s="12"/>
      <c r="AC607" s="12"/>
      <c r="AD607" s="12"/>
      <c r="AE607" s="12"/>
      <c r="AF607" s="12" t="s">
        <v>3698</v>
      </c>
      <c r="AG607" s="12" t="s">
        <v>74</v>
      </c>
      <c r="AH607" s="12">
        <v>1839</v>
      </c>
      <c r="AI607" s="12" t="str">
        <f t="shared" si="117"/>
        <v>1839</v>
      </c>
      <c r="AJ607" s="12"/>
      <c r="AK607" s="12" t="s">
        <v>1289</v>
      </c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</row>
    <row r="608" spans="1:69">
      <c r="A608" s="12" t="s">
        <v>663</v>
      </c>
      <c r="B608" s="12" t="str">
        <f t="shared" si="109"/>
        <v>FOUCHE</v>
      </c>
      <c r="C608" s="12" t="str">
        <f t="shared" si="110"/>
        <v>FOUCHE</v>
      </c>
      <c r="D608" s="12" t="s">
        <v>4465</v>
      </c>
      <c r="E608" s="12" t="str">
        <f t="shared" si="120"/>
        <v>Stephanus Jacobus</v>
      </c>
      <c r="F608" s="12" t="s">
        <v>4466</v>
      </c>
      <c r="G608" s="12" t="str">
        <f t="shared" si="111"/>
        <v>a1b6c2d3e2</v>
      </c>
      <c r="H608" s="12" t="str">
        <f t="shared" si="121"/>
        <v>FOUCHEa1b6c2d3e2</v>
      </c>
      <c r="I608" s="12"/>
      <c r="J608" s="12"/>
      <c r="K608" s="12" t="str">
        <f t="shared" si="113"/>
        <v/>
      </c>
      <c r="L608" s="12" t="s">
        <v>32</v>
      </c>
      <c r="M608" s="12" t="s">
        <v>4467</v>
      </c>
      <c r="N608" s="12" t="str">
        <f t="shared" si="118"/>
        <v/>
      </c>
      <c r="O608" s="12" t="str">
        <f t="shared" si="119"/>
        <v>1802</v>
      </c>
      <c r="P608" s="12"/>
      <c r="Q608" s="12" t="str">
        <f t="shared" si="114"/>
        <v>1802</v>
      </c>
      <c r="R608" s="12"/>
      <c r="S608" s="12" t="str">
        <f t="shared" si="115"/>
        <v/>
      </c>
      <c r="T608" s="12" t="s">
        <v>32</v>
      </c>
      <c r="U608" s="12" t="s">
        <v>4468</v>
      </c>
      <c r="V608" s="12" t="str">
        <f t="shared" si="116"/>
        <v>1825</v>
      </c>
      <c r="W608" s="12" t="s">
        <v>4469</v>
      </c>
      <c r="X608" s="12" t="s">
        <v>664</v>
      </c>
      <c r="Y608" s="12"/>
      <c r="Z608" s="12"/>
      <c r="AA608" s="12"/>
      <c r="AB608" s="12"/>
      <c r="AC608" s="12"/>
      <c r="AD608" s="12"/>
      <c r="AE608" s="12"/>
      <c r="AF608" s="12" t="s">
        <v>3722</v>
      </c>
      <c r="AG608" s="12" t="s">
        <v>32</v>
      </c>
      <c r="AH608" s="12" t="s">
        <v>1186</v>
      </c>
      <c r="AI608" s="12" t="str">
        <f t="shared" si="117"/>
        <v>1840</v>
      </c>
      <c r="AJ608" s="12"/>
      <c r="AK608" s="12" t="s">
        <v>60</v>
      </c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Q608" s="2" t="s">
        <v>2028</v>
      </c>
    </row>
    <row r="609" spans="1:70">
      <c r="A609" s="12" t="s">
        <v>663</v>
      </c>
      <c r="B609" s="12" t="str">
        <f t="shared" si="109"/>
        <v>FOUCHE</v>
      </c>
      <c r="C609" s="12" t="str">
        <f t="shared" si="110"/>
        <v>FOUCHE</v>
      </c>
      <c r="D609" s="12" t="s">
        <v>4462</v>
      </c>
      <c r="E609" s="12" t="str">
        <f t="shared" si="120"/>
        <v>Stephanus</v>
      </c>
      <c r="F609" s="12" t="s">
        <v>4463</v>
      </c>
      <c r="G609" s="12" t="str">
        <f t="shared" si="111"/>
        <v>a1b6c2d6e1</v>
      </c>
      <c r="H609" s="12" t="str">
        <f t="shared" si="121"/>
        <v>FOUCHEa1b6c2d6e1</v>
      </c>
      <c r="I609" s="12"/>
      <c r="J609" s="12"/>
      <c r="K609" s="12" t="str">
        <f t="shared" si="113"/>
        <v/>
      </c>
      <c r="L609" s="12" t="s">
        <v>32</v>
      </c>
      <c r="M609" s="12" t="s">
        <v>3489</v>
      </c>
      <c r="N609" s="12" t="str">
        <f t="shared" si="118"/>
        <v/>
      </c>
      <c r="O609" s="12" t="str">
        <f t="shared" si="119"/>
        <v>1811</v>
      </c>
      <c r="P609" s="12"/>
      <c r="Q609" s="12" t="str">
        <f t="shared" si="114"/>
        <v>1811</v>
      </c>
      <c r="R609" s="12"/>
      <c r="S609" s="12" t="str">
        <f t="shared" si="115"/>
        <v/>
      </c>
      <c r="T609" s="12" t="s">
        <v>28</v>
      </c>
      <c r="U609" s="12" t="s">
        <v>4464</v>
      </c>
      <c r="V609" s="12" t="str">
        <f t="shared" si="116"/>
        <v>1832</v>
      </c>
      <c r="W609" s="12" t="s">
        <v>1640</v>
      </c>
      <c r="X609" s="12" t="s">
        <v>1453</v>
      </c>
      <c r="Y609" s="12"/>
      <c r="Z609" s="12"/>
      <c r="AA609" s="12"/>
      <c r="AB609" s="12"/>
      <c r="AC609" s="12"/>
      <c r="AD609" s="12"/>
      <c r="AE609" s="12"/>
      <c r="AF609" s="12" t="s">
        <v>3699</v>
      </c>
      <c r="AG609" s="12" t="s">
        <v>68</v>
      </c>
      <c r="AH609" s="12" t="s">
        <v>4283</v>
      </c>
      <c r="AI609" s="12" t="str">
        <f t="shared" si="117"/>
        <v>1838</v>
      </c>
      <c r="AJ609" s="12"/>
      <c r="AK609" s="12" t="s">
        <v>551</v>
      </c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</row>
    <row r="610" spans="1:70">
      <c r="A610" s="2" t="s">
        <v>663</v>
      </c>
      <c r="B610" s="12" t="str">
        <f t="shared" si="109"/>
        <v>FOUCHE</v>
      </c>
      <c r="C610" s="12" t="str">
        <f t="shared" si="110"/>
        <v>FOUCHE</v>
      </c>
      <c r="D610" s="2" t="s">
        <v>4453</v>
      </c>
      <c r="E610" s="12" t="str">
        <f t="shared" si="120"/>
        <v>Pieter Marthinus</v>
      </c>
      <c r="F610" s="2" t="s">
        <v>4454</v>
      </c>
      <c r="G610" s="12" t="str">
        <f t="shared" si="111"/>
        <v>a1b6c2d6e2</v>
      </c>
      <c r="H610" s="12" t="str">
        <f t="shared" si="121"/>
        <v>FOUCHEa1b6c2d6e2</v>
      </c>
      <c r="J610" s="2" t="s">
        <v>3388</v>
      </c>
      <c r="K610" s="12" t="str">
        <f t="shared" si="113"/>
        <v>1812</v>
      </c>
      <c r="L610" s="2" t="s">
        <v>74</v>
      </c>
      <c r="M610" s="2" t="s">
        <v>4455</v>
      </c>
      <c r="N610" s="12" t="str">
        <f t="shared" si="118"/>
        <v>1812</v>
      </c>
      <c r="O610" s="12" t="str">
        <f t="shared" si="119"/>
        <v>1812</v>
      </c>
      <c r="Q610" s="12" t="str">
        <f t="shared" si="114"/>
        <v>1812</v>
      </c>
      <c r="R610" s="2" t="s">
        <v>4456</v>
      </c>
      <c r="S610" s="12" t="str">
        <f t="shared" si="115"/>
        <v>1898</v>
      </c>
      <c r="T610" s="2" t="s">
        <v>28</v>
      </c>
      <c r="U610" s="2" t="s">
        <v>4457</v>
      </c>
      <c r="V610" s="12" t="str">
        <f t="shared" si="116"/>
        <v>1834</v>
      </c>
      <c r="W610" s="2" t="s">
        <v>4458</v>
      </c>
      <c r="X610" s="2" t="s">
        <v>1003</v>
      </c>
      <c r="AA610" s="2" t="s">
        <v>4459</v>
      </c>
      <c r="AD610" s="2" t="s">
        <v>4460</v>
      </c>
      <c r="AE610" s="2" t="s">
        <v>4461</v>
      </c>
      <c r="AF610" s="2" t="s">
        <v>3699</v>
      </c>
      <c r="AG610" s="2" t="s">
        <v>68</v>
      </c>
      <c r="AH610" s="2" t="s">
        <v>1172</v>
      </c>
      <c r="AI610" s="12" t="str">
        <f t="shared" si="117"/>
        <v>1837</v>
      </c>
      <c r="AK610" s="2" t="s">
        <v>31</v>
      </c>
    </row>
    <row r="611" spans="1:70">
      <c r="A611" s="12" t="s">
        <v>663</v>
      </c>
      <c r="B611" s="12" t="str">
        <f t="shared" si="109"/>
        <v>FOUCHE</v>
      </c>
      <c r="C611" s="12" t="str">
        <f t="shared" si="110"/>
        <v>FOUCHE</v>
      </c>
      <c r="D611" s="2" t="s">
        <v>4444</v>
      </c>
      <c r="E611" s="12" t="str">
        <f t="shared" si="120"/>
        <v>Louis Joachim</v>
      </c>
      <c r="F611" s="2" t="s">
        <v>4445</v>
      </c>
      <c r="G611" s="12" t="str">
        <f t="shared" si="111"/>
        <v>a1b6c2d6e5</v>
      </c>
      <c r="H611" s="12" t="str">
        <f t="shared" si="121"/>
        <v>FOUCHEa1b6c2d6e5</v>
      </c>
      <c r="K611" s="12" t="str">
        <f t="shared" si="113"/>
        <v/>
      </c>
      <c r="M611" s="2" t="s">
        <v>4446</v>
      </c>
      <c r="N611" s="12" t="str">
        <f t="shared" si="118"/>
        <v/>
      </c>
      <c r="O611" s="12" t="str">
        <f t="shared" si="119"/>
        <v>1819</v>
      </c>
      <c r="Q611" s="12" t="str">
        <f t="shared" si="114"/>
        <v>1819</v>
      </c>
      <c r="S611" s="12" t="str">
        <f t="shared" si="115"/>
        <v/>
      </c>
      <c r="T611" s="2" t="s">
        <v>28</v>
      </c>
      <c r="U611" s="2" t="s">
        <v>4447</v>
      </c>
      <c r="V611" s="12" t="str">
        <f t="shared" si="116"/>
        <v>1835</v>
      </c>
      <c r="W611" s="2" t="s">
        <v>4448</v>
      </c>
      <c r="X611" s="2" t="s">
        <v>4449</v>
      </c>
      <c r="AG611" s="2" t="s">
        <v>28</v>
      </c>
      <c r="AH611" s="2">
        <v>1844</v>
      </c>
      <c r="AI611" s="12" t="str">
        <f t="shared" si="117"/>
        <v>1844</v>
      </c>
      <c r="AK611" s="2" t="s">
        <v>551</v>
      </c>
      <c r="AL611" s="2" t="s">
        <v>60</v>
      </c>
      <c r="AM611" s="2" t="s">
        <v>4450</v>
      </c>
      <c r="AN611" s="2" t="s">
        <v>4451</v>
      </c>
      <c r="AO611" s="2" t="s">
        <v>4452</v>
      </c>
    </row>
    <row r="612" spans="1:70">
      <c r="A612" s="2" t="s">
        <v>757</v>
      </c>
      <c r="B612" s="12" t="str">
        <f t="shared" si="109"/>
        <v>FOURIE</v>
      </c>
      <c r="C612" s="12" t="str">
        <f t="shared" si="110"/>
        <v>FOURIE</v>
      </c>
      <c r="D612" s="2" t="s">
        <v>4496</v>
      </c>
      <c r="E612" s="12" t="str">
        <f t="shared" si="120"/>
        <v>David Stephanus Sr</v>
      </c>
      <c r="F612" s="2" t="s">
        <v>4497</v>
      </c>
      <c r="G612" s="12" t="str">
        <f t="shared" si="111"/>
        <v>a1b14c2d1</v>
      </c>
      <c r="H612" s="12" t="str">
        <f t="shared" si="121"/>
        <v>FOURIEa1b14c2d1</v>
      </c>
      <c r="K612" s="12" t="str">
        <f t="shared" si="113"/>
        <v/>
      </c>
      <c r="M612" s="2" t="s">
        <v>4498</v>
      </c>
      <c r="N612" s="12" t="str">
        <f t="shared" si="118"/>
        <v/>
      </c>
      <c r="O612" s="12" t="str">
        <f t="shared" si="119"/>
        <v>1784</v>
      </c>
      <c r="Q612" s="12" t="str">
        <f t="shared" si="114"/>
        <v>1784</v>
      </c>
      <c r="S612" s="12" t="str">
        <f t="shared" si="115"/>
        <v/>
      </c>
      <c r="U612" s="2" t="s">
        <v>4211</v>
      </c>
      <c r="V612" s="12" t="str">
        <f t="shared" si="116"/>
        <v>1802</v>
      </c>
      <c r="W612" s="2" t="s">
        <v>4499</v>
      </c>
      <c r="X612" s="2" t="s">
        <v>2486</v>
      </c>
      <c r="Y612" s="2" t="s">
        <v>4500</v>
      </c>
      <c r="AC612" s="2" t="s">
        <v>4501</v>
      </c>
      <c r="AF612" s="2" t="s">
        <v>3703</v>
      </c>
      <c r="AG612" s="2" t="s">
        <v>366</v>
      </c>
      <c r="AH612" s="2" t="s">
        <v>4502</v>
      </c>
      <c r="AI612" s="12" t="str">
        <f t="shared" si="117"/>
        <v>1838</v>
      </c>
      <c r="AK612" s="2" t="s">
        <v>1035</v>
      </c>
      <c r="BR612" s="2">
        <v>1</v>
      </c>
    </row>
    <row r="613" spans="1:70">
      <c r="A613" s="2" t="s">
        <v>757</v>
      </c>
      <c r="B613" s="12" t="str">
        <f t="shared" si="109"/>
        <v>FOURIE</v>
      </c>
      <c r="C613" s="12" t="str">
        <f t="shared" si="110"/>
        <v>FOURIE</v>
      </c>
      <c r="D613" s="2" t="s">
        <v>4503</v>
      </c>
      <c r="E613" s="12" t="str">
        <f t="shared" si="120"/>
        <v>David Stephanus Jr</v>
      </c>
      <c r="F613" s="2" t="s">
        <v>4504</v>
      </c>
      <c r="G613" s="12" t="str">
        <f t="shared" si="111"/>
        <v>a1b14c2d1e4</v>
      </c>
      <c r="H613" s="12" t="str">
        <f t="shared" si="121"/>
        <v>FOURIEa1b14c2d1e4</v>
      </c>
      <c r="J613" s="2" t="s">
        <v>4505</v>
      </c>
      <c r="K613" s="12" t="str">
        <f t="shared" si="113"/>
        <v>1813</v>
      </c>
      <c r="L613" s="2" t="s">
        <v>74</v>
      </c>
      <c r="M613" s="2" t="s">
        <v>4506</v>
      </c>
      <c r="N613" s="12" t="str">
        <f t="shared" si="118"/>
        <v>1813</v>
      </c>
      <c r="O613" s="12" t="str">
        <f t="shared" si="119"/>
        <v>1813</v>
      </c>
      <c r="Q613" s="12" t="str">
        <f t="shared" si="114"/>
        <v>1813</v>
      </c>
      <c r="S613" s="12" t="str">
        <f t="shared" si="115"/>
        <v/>
      </c>
      <c r="V613" s="12" t="str">
        <f t="shared" si="116"/>
        <v/>
      </c>
      <c r="W613" s="2" t="s">
        <v>712</v>
      </c>
      <c r="X613" s="2" t="s">
        <v>667</v>
      </c>
      <c r="AF613" s="2" t="s">
        <v>3703</v>
      </c>
      <c r="AG613" s="2" t="s">
        <v>366</v>
      </c>
      <c r="AH613" s="2" t="s">
        <v>2236</v>
      </c>
      <c r="AI613" s="12" t="str">
        <f t="shared" si="117"/>
        <v>1838</v>
      </c>
      <c r="AJ613" s="2" t="s">
        <v>4507</v>
      </c>
      <c r="AK613" s="2" t="s">
        <v>31</v>
      </c>
    </row>
    <row r="614" spans="1:70">
      <c r="A614" s="2" t="s">
        <v>757</v>
      </c>
      <c r="B614" s="12" t="str">
        <f t="shared" si="109"/>
        <v>FOURIE</v>
      </c>
      <c r="C614" s="12" t="str">
        <f t="shared" si="110"/>
        <v>FOURIE</v>
      </c>
      <c r="D614" s="2" t="s">
        <v>4619</v>
      </c>
      <c r="E614" s="12" t="str">
        <f t="shared" si="120"/>
        <v>Petrusstephanus Zacharias</v>
      </c>
      <c r="F614" s="2" t="s">
        <v>4620</v>
      </c>
      <c r="G614" s="12" t="str">
        <f t="shared" si="111"/>
        <v>a1b14c2d1e9</v>
      </c>
      <c r="H614" s="12" t="str">
        <f t="shared" si="121"/>
        <v>FOURIEa1b14c2d1e9</v>
      </c>
      <c r="J614" s="2" t="s">
        <v>4621</v>
      </c>
      <c r="K614" s="12" t="str">
        <f t="shared" si="113"/>
        <v>1822</v>
      </c>
      <c r="L614" s="2" t="s">
        <v>366</v>
      </c>
      <c r="M614" s="2" t="s">
        <v>2899</v>
      </c>
      <c r="N614" s="12" t="str">
        <f t="shared" si="118"/>
        <v>1822</v>
      </c>
      <c r="O614" s="12" t="str">
        <f t="shared" si="119"/>
        <v>1822</v>
      </c>
      <c r="P614" s="2" t="s">
        <v>1774</v>
      </c>
      <c r="Q614" s="12" t="str">
        <f t="shared" si="114"/>
        <v>1822</v>
      </c>
      <c r="R614" s="2" t="s">
        <v>4622</v>
      </c>
      <c r="S614" s="12" t="str">
        <f t="shared" si="115"/>
        <v>1901</v>
      </c>
      <c r="V614" s="12" t="str">
        <f t="shared" si="116"/>
        <v/>
      </c>
      <c r="W614" s="2" t="s">
        <v>4623</v>
      </c>
      <c r="X614" s="2" t="s">
        <v>4624</v>
      </c>
      <c r="AF614" s="2" t="s">
        <v>3703</v>
      </c>
      <c r="AG614" s="2" t="s">
        <v>366</v>
      </c>
      <c r="AH614" s="2">
        <v>1838</v>
      </c>
      <c r="AI614" s="12" t="str">
        <f t="shared" si="117"/>
        <v>1838</v>
      </c>
      <c r="AJ614" s="2" t="s">
        <v>4507</v>
      </c>
      <c r="AN614" s="2" t="s">
        <v>4625</v>
      </c>
      <c r="AO614" s="2" t="s">
        <v>610</v>
      </c>
      <c r="AY614" s="2" t="s">
        <v>1838</v>
      </c>
      <c r="AZ614" s="2" t="s">
        <v>4626</v>
      </c>
    </row>
    <row r="615" spans="1:70">
      <c r="A615" s="2" t="s">
        <v>757</v>
      </c>
      <c r="B615" s="12" t="str">
        <f t="shared" si="109"/>
        <v>FOURIE</v>
      </c>
      <c r="C615" s="12" t="str">
        <f t="shared" si="110"/>
        <v>FOURIE</v>
      </c>
      <c r="D615" s="2" t="s">
        <v>4607</v>
      </c>
      <c r="E615" s="12" t="str">
        <f t="shared" si="120"/>
        <v xml:space="preserve">Petruz Jacobus </v>
      </c>
      <c r="F615" s="2" t="s">
        <v>4608</v>
      </c>
      <c r="G615" s="12" t="str">
        <f t="shared" si="111"/>
        <v>a1b14c2d3e1</v>
      </c>
      <c r="H615" s="12" t="str">
        <f t="shared" si="121"/>
        <v>FOURIEa1b14c2d3e1</v>
      </c>
      <c r="K615" s="12" t="str">
        <f t="shared" si="113"/>
        <v/>
      </c>
      <c r="M615" s="2" t="s">
        <v>4609</v>
      </c>
      <c r="N615" s="12" t="str">
        <f t="shared" si="118"/>
        <v/>
      </c>
      <c r="O615" s="12" t="str">
        <f t="shared" si="119"/>
        <v>1810</v>
      </c>
      <c r="Q615" s="12" t="str">
        <f t="shared" si="114"/>
        <v>1810</v>
      </c>
      <c r="S615" s="12" t="str">
        <f t="shared" si="115"/>
        <v/>
      </c>
      <c r="T615" s="2" t="s">
        <v>366</v>
      </c>
      <c r="U615" s="2" t="s">
        <v>4610</v>
      </c>
      <c r="V615" s="12" t="str">
        <f t="shared" si="116"/>
        <v>1829</v>
      </c>
      <c r="W615" s="2" t="s">
        <v>2952</v>
      </c>
      <c r="X615" s="2" t="s">
        <v>2136</v>
      </c>
      <c r="AF615" s="2" t="s">
        <v>3703</v>
      </c>
      <c r="AG615" s="2" t="s">
        <v>366</v>
      </c>
      <c r="AH615" s="2" t="s">
        <v>432</v>
      </c>
      <c r="AI615" s="12" t="str">
        <f t="shared" si="117"/>
        <v>1838</v>
      </c>
      <c r="AJ615" s="2" t="s">
        <v>433</v>
      </c>
      <c r="AK615" s="2" t="s">
        <v>140</v>
      </c>
    </row>
    <row r="616" spans="1:70">
      <c r="A616" s="2" t="s">
        <v>757</v>
      </c>
      <c r="B616" s="12" t="str">
        <f t="shared" si="109"/>
        <v>FOURIE</v>
      </c>
      <c r="C616" s="12" t="str">
        <f t="shared" si="110"/>
        <v>FOURIE</v>
      </c>
      <c r="D616" s="2" t="s">
        <v>4491</v>
      </c>
      <c r="E616" s="12" t="str">
        <f t="shared" si="120"/>
        <v>David Johannes</v>
      </c>
      <c r="F616" s="2" t="s">
        <v>4492</v>
      </c>
      <c r="G616" s="12" t="str">
        <f t="shared" si="111"/>
        <v>a1b14c2d3e3</v>
      </c>
      <c r="H616" s="12" t="str">
        <f t="shared" si="121"/>
        <v>FOURIEa1b14c2d3e3</v>
      </c>
      <c r="I616" s="2" t="s">
        <v>366</v>
      </c>
      <c r="J616" s="2" t="s">
        <v>4493</v>
      </c>
      <c r="K616" s="12" t="str">
        <f t="shared" si="113"/>
        <v>1813</v>
      </c>
      <c r="L616" s="2" t="s">
        <v>1071</v>
      </c>
      <c r="M616" s="2" t="s">
        <v>2344</v>
      </c>
      <c r="N616" s="12" t="str">
        <f t="shared" si="118"/>
        <v>1813</v>
      </c>
      <c r="O616" s="12" t="str">
        <f t="shared" si="119"/>
        <v>1815</v>
      </c>
      <c r="Q616" s="12" t="str">
        <f t="shared" si="114"/>
        <v>1813</v>
      </c>
      <c r="S616" s="12" t="str">
        <f t="shared" si="115"/>
        <v/>
      </c>
      <c r="T616" s="2" t="s">
        <v>74</v>
      </c>
      <c r="U616" s="2" t="s">
        <v>4494</v>
      </c>
      <c r="V616" s="12" t="str">
        <f t="shared" si="116"/>
        <v>1833</v>
      </c>
      <c r="W616" s="2" t="s">
        <v>4495</v>
      </c>
      <c r="X616" s="2" t="s">
        <v>772</v>
      </c>
      <c r="AG616" s="2" t="s">
        <v>60</v>
      </c>
      <c r="AH616" s="2" t="s">
        <v>1910</v>
      </c>
      <c r="AI616" s="12" t="str">
        <f t="shared" si="117"/>
        <v>1840</v>
      </c>
      <c r="AK616" s="2" t="s">
        <v>168</v>
      </c>
    </row>
    <row r="617" spans="1:70">
      <c r="A617" s="2" t="s">
        <v>757</v>
      </c>
      <c r="B617" s="12" t="str">
        <f t="shared" si="109"/>
        <v>FOURIE</v>
      </c>
      <c r="C617" s="12" t="str">
        <f t="shared" si="110"/>
        <v>FOURIE</v>
      </c>
      <c r="D617" s="2" t="s">
        <v>4471</v>
      </c>
      <c r="E617" s="12" t="str">
        <f t="shared" si="120"/>
        <v>Bartholomeus Jacobus</v>
      </c>
      <c r="F617" s="2" t="s">
        <v>4472</v>
      </c>
      <c r="G617" s="12" t="str">
        <f t="shared" si="111"/>
        <v>a1b14c3d12</v>
      </c>
      <c r="H617" s="12" t="str">
        <f t="shared" si="121"/>
        <v>FOURIEa1b14c3d12</v>
      </c>
      <c r="K617" s="12" t="str">
        <f t="shared" si="113"/>
        <v/>
      </c>
      <c r="M617" s="2" t="s">
        <v>4473</v>
      </c>
      <c r="N617" s="12" t="str">
        <f t="shared" si="118"/>
        <v/>
      </c>
      <c r="O617" s="12" t="str">
        <f t="shared" si="119"/>
        <v>1802</v>
      </c>
      <c r="Q617" s="12" t="str">
        <f t="shared" si="114"/>
        <v>1802</v>
      </c>
      <c r="S617" s="12" t="str">
        <f t="shared" si="115"/>
        <v/>
      </c>
      <c r="T617" s="2" t="s">
        <v>366</v>
      </c>
      <c r="U617" s="2" t="s">
        <v>3825</v>
      </c>
      <c r="V617" s="12" t="str">
        <f t="shared" si="116"/>
        <v>1827</v>
      </c>
      <c r="W617" s="2" t="s">
        <v>642</v>
      </c>
      <c r="X617" s="2" t="s">
        <v>4474</v>
      </c>
      <c r="AG617" s="2" t="s">
        <v>60</v>
      </c>
      <c r="AH617" s="2">
        <v>1837</v>
      </c>
      <c r="AI617" s="12" t="str">
        <f t="shared" si="117"/>
        <v>1837</v>
      </c>
      <c r="AK617" s="2" t="s">
        <v>155</v>
      </c>
      <c r="AL617" s="2" t="s">
        <v>3399</v>
      </c>
      <c r="AM617" s="2" t="s">
        <v>4475</v>
      </c>
      <c r="AN617" s="2" t="s">
        <v>3581</v>
      </c>
      <c r="AO617" s="2" t="s">
        <v>2901</v>
      </c>
    </row>
    <row r="618" spans="1:70">
      <c r="A618" s="2" t="s">
        <v>757</v>
      </c>
      <c r="B618" s="12" t="str">
        <f t="shared" si="109"/>
        <v>FOURIE</v>
      </c>
      <c r="C618" s="12" t="str">
        <f t="shared" si="110"/>
        <v>FOURIE</v>
      </c>
      <c r="D618" s="2" t="s">
        <v>4641</v>
      </c>
      <c r="E618" s="12" t="str">
        <f t="shared" si="120"/>
        <v>Willem Andries Johannes</v>
      </c>
      <c r="F618" s="2" t="s">
        <v>4642</v>
      </c>
      <c r="G618" s="12" t="str">
        <f t="shared" si="111"/>
        <v>a1b14c3d13</v>
      </c>
      <c r="H618" s="12" t="str">
        <f t="shared" si="121"/>
        <v>FOURIEa1b14c3d13</v>
      </c>
      <c r="K618" s="12" t="str">
        <f t="shared" si="113"/>
        <v/>
      </c>
      <c r="M618" s="2" t="s">
        <v>4643</v>
      </c>
      <c r="N618" s="12" t="str">
        <f t="shared" si="118"/>
        <v/>
      </c>
      <c r="O618" s="12" t="str">
        <f t="shared" si="119"/>
        <v>1805</v>
      </c>
      <c r="Q618" s="12" t="str">
        <f t="shared" si="114"/>
        <v>1805</v>
      </c>
      <c r="S618" s="12" t="str">
        <f t="shared" si="115"/>
        <v/>
      </c>
      <c r="V618" s="12" t="str">
        <f t="shared" si="116"/>
        <v/>
      </c>
      <c r="W618" s="2" t="s">
        <v>764</v>
      </c>
      <c r="X618" s="2" t="s">
        <v>2589</v>
      </c>
      <c r="Y618" s="2" t="s">
        <v>4644</v>
      </c>
      <c r="AF618" s="2" t="s">
        <v>16</v>
      </c>
      <c r="AG618" s="2" t="s">
        <v>68</v>
      </c>
      <c r="AH618" s="2">
        <v>1837</v>
      </c>
      <c r="AI618" s="12" t="str">
        <f t="shared" si="117"/>
        <v>1837</v>
      </c>
      <c r="AK618" s="2" t="s">
        <v>168</v>
      </c>
    </row>
    <row r="619" spans="1:70">
      <c r="A619" s="12" t="s">
        <v>757</v>
      </c>
      <c r="B619" s="12" t="str">
        <f t="shared" si="109"/>
        <v>FOURIE</v>
      </c>
      <c r="C619" s="12" t="str">
        <f t="shared" si="110"/>
        <v>FOURIE</v>
      </c>
      <c r="D619" s="2" t="s">
        <v>4508</v>
      </c>
      <c r="E619" s="12" t="str">
        <f t="shared" si="120"/>
        <v>David Willem Ezra</v>
      </c>
      <c r="F619" s="2" t="s">
        <v>4509</v>
      </c>
      <c r="G619" s="12" t="str">
        <f t="shared" si="111"/>
        <v>a1b14c3d5e4</v>
      </c>
      <c r="H619" s="12" t="str">
        <f t="shared" si="121"/>
        <v>FOURIEa1b14c3d5e4</v>
      </c>
      <c r="J619" s="2" t="s">
        <v>4510</v>
      </c>
      <c r="K619" s="12" t="str">
        <f t="shared" si="113"/>
        <v>1817</v>
      </c>
      <c r="L619" s="2" t="s">
        <v>158</v>
      </c>
      <c r="M619" s="2" t="s">
        <v>4511</v>
      </c>
      <c r="N619" s="12" t="str">
        <f t="shared" si="118"/>
        <v>1817</v>
      </c>
      <c r="O619" s="12" t="str">
        <f t="shared" si="119"/>
        <v>1818</v>
      </c>
      <c r="P619" s="2" t="s">
        <v>24</v>
      </c>
      <c r="Q619" s="12" t="str">
        <f t="shared" si="114"/>
        <v>1817</v>
      </c>
      <c r="R619" s="2" t="s">
        <v>4512</v>
      </c>
      <c r="S619" s="12" t="str">
        <f t="shared" si="115"/>
        <v>1865</v>
      </c>
      <c r="V619" s="12" t="str">
        <f t="shared" si="116"/>
        <v/>
      </c>
      <c r="W619" s="2" t="s">
        <v>4513</v>
      </c>
      <c r="X619" s="2" t="s">
        <v>779</v>
      </c>
      <c r="AI619" s="12" t="str">
        <f t="shared" si="117"/>
        <v/>
      </c>
      <c r="AJ619" s="2">
        <v>1845</v>
      </c>
      <c r="AK619" s="2" t="s">
        <v>24</v>
      </c>
    </row>
    <row r="620" spans="1:70">
      <c r="A620" s="12" t="s">
        <v>757</v>
      </c>
      <c r="B620" s="12" t="str">
        <f t="shared" si="109"/>
        <v>FOURIE</v>
      </c>
      <c r="C620" s="12" t="str">
        <f t="shared" si="110"/>
        <v>FOURIE</v>
      </c>
      <c r="D620" s="2" t="s">
        <v>4483</v>
      </c>
      <c r="E620" s="12" t="str">
        <f t="shared" si="120"/>
        <v>David Gerhardus</v>
      </c>
      <c r="F620" s="2" t="s">
        <v>4484</v>
      </c>
      <c r="G620" s="12" t="str">
        <f t="shared" si="111"/>
        <v>a1b14c3d8e1</v>
      </c>
      <c r="H620" s="12" t="str">
        <f t="shared" si="121"/>
        <v>FOURIEa1b14c3d8e1</v>
      </c>
      <c r="J620" s="2" t="s">
        <v>4485</v>
      </c>
      <c r="K620" s="12" t="str">
        <f t="shared" si="113"/>
        <v>1815</v>
      </c>
      <c r="L620" s="2" t="s">
        <v>542</v>
      </c>
      <c r="M620" s="2" t="s">
        <v>4486</v>
      </c>
      <c r="N620" s="12" t="str">
        <f t="shared" si="118"/>
        <v>1815</v>
      </c>
      <c r="O620" s="12" t="str">
        <f t="shared" si="119"/>
        <v>1816</v>
      </c>
      <c r="P620" s="2" t="s">
        <v>1774</v>
      </c>
      <c r="Q620" s="12" t="str">
        <f t="shared" si="114"/>
        <v>1815</v>
      </c>
      <c r="R620" s="2" t="s">
        <v>4487</v>
      </c>
      <c r="S620" s="12" t="str">
        <f t="shared" si="115"/>
        <v>1869</v>
      </c>
      <c r="V620" s="12" t="str">
        <f t="shared" si="116"/>
        <v/>
      </c>
      <c r="W620" s="2" t="s">
        <v>4488</v>
      </c>
      <c r="X620" s="2" t="s">
        <v>4479</v>
      </c>
      <c r="Y620" s="2" t="s">
        <v>3301</v>
      </c>
      <c r="AA620" s="2" t="s">
        <v>4489</v>
      </c>
      <c r="AC620" s="2" t="s">
        <v>3825</v>
      </c>
      <c r="AF620" s="2" t="s">
        <v>3716</v>
      </c>
      <c r="AG620" s="2" t="s">
        <v>366</v>
      </c>
      <c r="AH620" s="2" t="s">
        <v>4490</v>
      </c>
      <c r="AI620" s="12" t="str">
        <f t="shared" si="117"/>
        <v>1842</v>
      </c>
    </row>
    <row r="621" spans="1:70">
      <c r="A621" s="12" t="s">
        <v>757</v>
      </c>
      <c r="B621" s="12" t="str">
        <f t="shared" si="109"/>
        <v>FOURIE</v>
      </c>
      <c r="C621" s="12" t="str">
        <f t="shared" si="110"/>
        <v>FOURIE</v>
      </c>
      <c r="D621" s="2" t="s">
        <v>3201</v>
      </c>
      <c r="E621" s="12" t="str">
        <f t="shared" si="120"/>
        <v>Daniel Jacobus</v>
      </c>
      <c r="F621" s="2" t="s">
        <v>4480</v>
      </c>
      <c r="G621" s="12" t="str">
        <f t="shared" si="111"/>
        <v>a1b14c6d2</v>
      </c>
      <c r="H621" s="12" t="str">
        <f t="shared" si="121"/>
        <v>FOURIEa1b14c6d2</v>
      </c>
      <c r="K621" s="12" t="str">
        <f t="shared" si="113"/>
        <v/>
      </c>
      <c r="M621" s="2" t="s">
        <v>1828</v>
      </c>
      <c r="N621" s="12" t="str">
        <f t="shared" si="118"/>
        <v/>
      </c>
      <c r="O621" s="12" t="str">
        <f t="shared" si="119"/>
        <v>1787</v>
      </c>
      <c r="Q621" s="12" t="str">
        <f t="shared" si="114"/>
        <v>1787</v>
      </c>
      <c r="S621" s="12" t="str">
        <f t="shared" si="115"/>
        <v/>
      </c>
      <c r="T621" s="2" t="s">
        <v>366</v>
      </c>
      <c r="U621" s="2" t="s">
        <v>428</v>
      </c>
      <c r="V621" s="12" t="str">
        <f t="shared" si="116"/>
        <v>1825</v>
      </c>
      <c r="W621" s="2" t="s">
        <v>4481</v>
      </c>
      <c r="X621" s="2" t="s">
        <v>757</v>
      </c>
      <c r="AF621" s="2" t="s">
        <v>3703</v>
      </c>
      <c r="AG621" s="2" t="s">
        <v>366</v>
      </c>
      <c r="AH621" s="2" t="s">
        <v>4482</v>
      </c>
      <c r="AI621" s="12" t="str">
        <f t="shared" si="117"/>
        <v>1837</v>
      </c>
      <c r="AK621" s="2" t="s">
        <v>190</v>
      </c>
    </row>
    <row r="622" spans="1:70">
      <c r="A622" s="12" t="s">
        <v>757</v>
      </c>
      <c r="B622" s="12" t="str">
        <f t="shared" si="109"/>
        <v>FOURIE</v>
      </c>
      <c r="C622" s="12" t="str">
        <f t="shared" si="110"/>
        <v>FOURIE</v>
      </c>
      <c r="D622" s="12" t="s">
        <v>4627</v>
      </c>
      <c r="E622" s="12" t="str">
        <f t="shared" si="120"/>
        <v>Philippus Jacobus</v>
      </c>
      <c r="F622" s="12" t="s">
        <v>4628</v>
      </c>
      <c r="G622" s="12" t="str">
        <f t="shared" si="111"/>
        <v>a1b15c1d5</v>
      </c>
      <c r="H622" s="12" t="str">
        <f t="shared" si="121"/>
        <v>FOURIEa1b15c1d5</v>
      </c>
      <c r="I622" s="12"/>
      <c r="J622" s="12"/>
      <c r="K622" s="12" t="str">
        <f t="shared" si="113"/>
        <v/>
      </c>
      <c r="L622" s="12"/>
      <c r="M622" s="12" t="s">
        <v>4629</v>
      </c>
      <c r="N622" s="12" t="str">
        <f t="shared" si="118"/>
        <v/>
      </c>
      <c r="O622" s="12" t="str">
        <f t="shared" si="119"/>
        <v>1803</v>
      </c>
      <c r="P622" s="12"/>
      <c r="Q622" s="12" t="str">
        <f t="shared" si="114"/>
        <v>1803</v>
      </c>
      <c r="R622" s="12"/>
      <c r="S622" s="12" t="str">
        <f t="shared" si="115"/>
        <v/>
      </c>
      <c r="T622" s="12" t="s">
        <v>28</v>
      </c>
      <c r="U622" s="12" t="s">
        <v>4630</v>
      </c>
      <c r="V622" s="12" t="str">
        <f t="shared" si="116"/>
        <v>1826</v>
      </c>
      <c r="W622" s="12" t="s">
        <v>3168</v>
      </c>
      <c r="X622" s="12" t="s">
        <v>2363</v>
      </c>
      <c r="Y622" s="12" t="s">
        <v>4631</v>
      </c>
      <c r="Z622" s="12"/>
      <c r="AA622" s="12">
        <v>1808</v>
      </c>
      <c r="AB622" s="12"/>
      <c r="AC622" s="12"/>
      <c r="AD622" s="12"/>
      <c r="AE622" s="12"/>
      <c r="AF622" s="12"/>
      <c r="AG622" s="12" t="s">
        <v>4634</v>
      </c>
      <c r="AH622" s="12">
        <v>1836</v>
      </c>
      <c r="AI622" s="12" t="str">
        <f t="shared" si="117"/>
        <v>1836</v>
      </c>
      <c r="AJ622" s="12" t="s">
        <v>379</v>
      </c>
      <c r="AK622" s="12"/>
      <c r="AL622" s="12" t="s">
        <v>1864</v>
      </c>
      <c r="AM622" s="12" t="s">
        <v>4632</v>
      </c>
      <c r="AN622" s="12" t="s">
        <v>4633</v>
      </c>
      <c r="AO622" s="12" t="s">
        <v>729</v>
      </c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Q622" s="2" t="s">
        <v>4635</v>
      </c>
    </row>
    <row r="623" spans="1:70">
      <c r="A623" s="12" t="s">
        <v>757</v>
      </c>
      <c r="B623" s="12" t="str">
        <f t="shared" si="109"/>
        <v>FOURIE</v>
      </c>
      <c r="C623" s="12" t="str">
        <f t="shared" si="110"/>
        <v>FOURIE</v>
      </c>
      <c r="D623" s="2" t="s">
        <v>4523</v>
      </c>
      <c r="E623" s="12" t="str">
        <f t="shared" si="120"/>
        <v>Hermanus</v>
      </c>
      <c r="F623" s="2" t="s">
        <v>4524</v>
      </c>
      <c r="G623" s="12" t="str">
        <f t="shared" si="111"/>
        <v>a1b16c3</v>
      </c>
      <c r="H623" s="12" t="str">
        <f t="shared" si="121"/>
        <v>FOURIEa1b16c3</v>
      </c>
      <c r="K623" s="12" t="str">
        <f t="shared" si="113"/>
        <v/>
      </c>
      <c r="M623" s="2" t="s">
        <v>4525</v>
      </c>
      <c r="N623" s="12" t="str">
        <f t="shared" si="118"/>
        <v/>
      </c>
      <c r="O623" s="12" t="str">
        <f t="shared" si="119"/>
        <v>1774</v>
      </c>
      <c r="Q623" s="12" t="str">
        <f t="shared" si="114"/>
        <v>1774</v>
      </c>
      <c r="S623" s="12" t="str">
        <f t="shared" si="115"/>
        <v/>
      </c>
      <c r="T623" s="2" t="s">
        <v>48</v>
      </c>
      <c r="U623" s="2" t="s">
        <v>4526</v>
      </c>
      <c r="V623" s="12" t="str">
        <f t="shared" si="116"/>
        <v>1800</v>
      </c>
      <c r="W623" s="2" t="s">
        <v>4527</v>
      </c>
      <c r="X623" s="2" t="s">
        <v>2486</v>
      </c>
      <c r="AF623" s="2" t="s">
        <v>3717</v>
      </c>
      <c r="AG623" s="2" t="s">
        <v>346</v>
      </c>
      <c r="AH623" s="2">
        <v>1842</v>
      </c>
      <c r="AI623" s="12" t="str">
        <f t="shared" si="117"/>
        <v>1842</v>
      </c>
      <c r="AJ623" s="2" t="s">
        <v>1494</v>
      </c>
      <c r="AK623" s="2" t="s">
        <v>190</v>
      </c>
      <c r="AL623" s="2" t="s">
        <v>48</v>
      </c>
      <c r="AM623" s="2" t="s">
        <v>4528</v>
      </c>
      <c r="AN623" s="2" t="s">
        <v>4529</v>
      </c>
      <c r="AO623" s="2" t="s">
        <v>3321</v>
      </c>
    </row>
    <row r="624" spans="1:70">
      <c r="A624" s="12" t="s">
        <v>757</v>
      </c>
      <c r="B624" s="12" t="str">
        <f t="shared" si="109"/>
        <v>FOURIE</v>
      </c>
      <c r="C624" s="12" t="str">
        <f t="shared" si="110"/>
        <v>FOURIE</v>
      </c>
      <c r="D624" s="2" t="s">
        <v>201</v>
      </c>
      <c r="E624" s="12" t="str">
        <f t="shared" si="120"/>
        <v>Petrus Johannes</v>
      </c>
      <c r="F624" s="2" t="s">
        <v>4611</v>
      </c>
      <c r="G624" s="12" t="str">
        <f t="shared" si="111"/>
        <v>a1b16c3d4</v>
      </c>
      <c r="H624" s="12" t="str">
        <f t="shared" si="121"/>
        <v>FOURIEa1b16c3d4</v>
      </c>
      <c r="K624" s="12" t="str">
        <f t="shared" si="113"/>
        <v/>
      </c>
      <c r="M624" s="2" t="s">
        <v>4612</v>
      </c>
      <c r="N624" s="12" t="str">
        <f t="shared" si="118"/>
        <v/>
      </c>
      <c r="O624" s="12" t="str">
        <f t="shared" si="119"/>
        <v>1810</v>
      </c>
      <c r="Q624" s="12" t="str">
        <f t="shared" si="114"/>
        <v>1810</v>
      </c>
      <c r="S624" s="12" t="str">
        <f t="shared" si="115"/>
        <v/>
      </c>
      <c r="V624" s="12" t="str">
        <f t="shared" si="116"/>
        <v/>
      </c>
      <c r="W624" s="2" t="s">
        <v>4613</v>
      </c>
      <c r="X624" s="2" t="s">
        <v>4409</v>
      </c>
      <c r="AF624" s="2" t="s">
        <v>3717</v>
      </c>
      <c r="AG624" s="2" t="s">
        <v>346</v>
      </c>
      <c r="AH624" s="2">
        <v>1842</v>
      </c>
      <c r="AI624" s="12" t="str">
        <f t="shared" si="117"/>
        <v>1842</v>
      </c>
      <c r="AJ624" s="2" t="s">
        <v>1494</v>
      </c>
      <c r="AK624" s="2" t="s">
        <v>90</v>
      </c>
    </row>
    <row r="625" spans="1:69">
      <c r="A625" s="12" t="s">
        <v>757</v>
      </c>
      <c r="B625" s="12" t="str">
        <f t="shared" si="109"/>
        <v>FOURIE</v>
      </c>
      <c r="C625" s="12" t="str">
        <f t="shared" si="110"/>
        <v>FOURIE</v>
      </c>
      <c r="D625" s="12" t="s">
        <v>4530</v>
      </c>
      <c r="E625" s="12" t="str">
        <f t="shared" si="120"/>
        <v>Hermanus Casparus Johannes</v>
      </c>
      <c r="F625" s="2" t="s">
        <v>4531</v>
      </c>
      <c r="G625" s="12" t="str">
        <f t="shared" si="111"/>
        <v>a1b16c3d5</v>
      </c>
      <c r="H625" s="12" t="str">
        <f t="shared" si="121"/>
        <v>FOURIEa1b16c3d5</v>
      </c>
      <c r="I625" s="12"/>
      <c r="J625" s="12" t="s">
        <v>4532</v>
      </c>
      <c r="K625" s="12" t="str">
        <f t="shared" si="113"/>
        <v>1810</v>
      </c>
      <c r="L625" s="12" t="s">
        <v>74</v>
      </c>
      <c r="M625" s="12" t="s">
        <v>2714</v>
      </c>
      <c r="N625" s="12" t="str">
        <f t="shared" si="118"/>
        <v>1810</v>
      </c>
      <c r="O625" s="12" t="str">
        <f t="shared" si="119"/>
        <v>1811</v>
      </c>
      <c r="P625" s="12"/>
      <c r="Q625" s="12" t="str">
        <f t="shared" si="114"/>
        <v>1810</v>
      </c>
      <c r="R625" s="12"/>
      <c r="S625" s="12" t="str">
        <f t="shared" si="115"/>
        <v/>
      </c>
      <c r="T625" s="12"/>
      <c r="U625" s="12"/>
      <c r="V625" s="12" t="str">
        <f t="shared" si="116"/>
        <v/>
      </c>
      <c r="W625" s="12" t="s">
        <v>4181</v>
      </c>
      <c r="X625" s="12" t="s">
        <v>1167</v>
      </c>
      <c r="Y625" s="12" t="s">
        <v>4533</v>
      </c>
      <c r="Z625" s="12"/>
      <c r="AA625" s="12" t="s">
        <v>1979</v>
      </c>
      <c r="AB625" s="12"/>
      <c r="AC625" s="12" t="s">
        <v>336</v>
      </c>
      <c r="AD625" s="12" t="s">
        <v>474</v>
      </c>
      <c r="AE625" s="12" t="s">
        <v>301</v>
      </c>
      <c r="AF625" s="12" t="s">
        <v>3717</v>
      </c>
      <c r="AG625" s="12" t="s">
        <v>346</v>
      </c>
      <c r="AH625" s="12">
        <v>1837</v>
      </c>
      <c r="AI625" s="12" t="str">
        <f t="shared" si="117"/>
        <v>1837</v>
      </c>
      <c r="AJ625" s="12"/>
      <c r="AK625" s="12" t="s">
        <v>90</v>
      </c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</row>
    <row r="626" spans="1:69">
      <c r="A626" s="12" t="s">
        <v>757</v>
      </c>
      <c r="B626" s="12" t="str">
        <f t="shared" si="109"/>
        <v>FOURIE</v>
      </c>
      <c r="C626" s="12" t="str">
        <f t="shared" si="110"/>
        <v>FOURIE</v>
      </c>
      <c r="D626" s="2" t="s">
        <v>4574</v>
      </c>
      <c r="E626" s="12" t="str">
        <f t="shared" si="120"/>
        <v>Loius Lucas</v>
      </c>
      <c r="F626" s="2" t="s">
        <v>4575</v>
      </c>
      <c r="G626" s="12" t="str">
        <f t="shared" si="111"/>
        <v>a1b16c3d6</v>
      </c>
      <c r="H626" s="12" t="str">
        <f t="shared" si="121"/>
        <v>FOURIEa1b16c3d6</v>
      </c>
      <c r="J626" s="2" t="s">
        <v>4576</v>
      </c>
      <c r="K626" s="12" t="str">
        <f t="shared" si="113"/>
        <v>1814</v>
      </c>
      <c r="L626" s="2" t="s">
        <v>199</v>
      </c>
      <c r="M626" s="2" t="s">
        <v>4577</v>
      </c>
      <c r="N626" s="12" t="str">
        <f t="shared" si="118"/>
        <v>1814</v>
      </c>
      <c r="O626" s="12" t="str">
        <f t="shared" si="119"/>
        <v>1814</v>
      </c>
      <c r="Q626" s="12" t="str">
        <f t="shared" si="114"/>
        <v>1814</v>
      </c>
      <c r="S626" s="12" t="str">
        <f t="shared" si="115"/>
        <v/>
      </c>
      <c r="T626" s="2" t="s">
        <v>68</v>
      </c>
      <c r="U626" s="2" t="s">
        <v>3846</v>
      </c>
      <c r="V626" s="12" t="str">
        <f t="shared" si="116"/>
        <v>1835</v>
      </c>
      <c r="W626" s="2" t="s">
        <v>4578</v>
      </c>
      <c r="X626" s="2" t="s">
        <v>4579</v>
      </c>
      <c r="AF626" s="2" t="s">
        <v>3717</v>
      </c>
      <c r="AG626" s="2" t="s">
        <v>346</v>
      </c>
      <c r="AH626" s="2">
        <v>1842</v>
      </c>
      <c r="AI626" s="12" t="str">
        <f t="shared" si="117"/>
        <v>1842</v>
      </c>
      <c r="AJ626" s="2" t="s">
        <v>1494</v>
      </c>
      <c r="AK626" s="2" t="s">
        <v>551</v>
      </c>
    </row>
    <row r="627" spans="1:69">
      <c r="A627" s="12" t="s">
        <v>757</v>
      </c>
      <c r="B627" s="12" t="str">
        <f t="shared" si="109"/>
        <v>FOURIE</v>
      </c>
      <c r="C627" s="12" t="str">
        <f t="shared" si="110"/>
        <v>FOURIE</v>
      </c>
      <c r="D627" s="2" t="s">
        <v>201</v>
      </c>
      <c r="E627" s="12" t="str">
        <f t="shared" si="120"/>
        <v>Petrus Johannes</v>
      </c>
      <c r="F627" s="2" t="s">
        <v>4614</v>
      </c>
      <c r="G627" s="12" t="str">
        <f t="shared" si="111"/>
        <v>a1b16c4</v>
      </c>
      <c r="H627" s="12" t="str">
        <f t="shared" si="121"/>
        <v>FOURIEa1b16c4</v>
      </c>
      <c r="K627" s="12" t="str">
        <f t="shared" si="113"/>
        <v/>
      </c>
      <c r="M627" s="2" t="s">
        <v>4616</v>
      </c>
      <c r="N627" s="12" t="str">
        <f t="shared" si="118"/>
        <v/>
      </c>
      <c r="O627" s="12" t="str">
        <f t="shared" si="119"/>
        <v>1777</v>
      </c>
      <c r="Q627" s="12" t="str">
        <f t="shared" si="114"/>
        <v>1777</v>
      </c>
      <c r="S627" s="12" t="str">
        <f t="shared" si="115"/>
        <v/>
      </c>
      <c r="U627" s="2" t="s">
        <v>4615</v>
      </c>
      <c r="V627" s="12" t="str">
        <f t="shared" si="116"/>
        <v>1797</v>
      </c>
      <c r="W627" s="2" t="s">
        <v>2490</v>
      </c>
      <c r="X627" s="2" t="s">
        <v>493</v>
      </c>
      <c r="AF627" s="2" t="s">
        <v>4617</v>
      </c>
      <c r="AG627" s="2" t="s">
        <v>68</v>
      </c>
      <c r="AH627" s="2">
        <v>1837</v>
      </c>
      <c r="AI627" s="12" t="str">
        <f t="shared" si="117"/>
        <v>1837</v>
      </c>
      <c r="AJ627" s="2" t="s">
        <v>4618</v>
      </c>
      <c r="AK627" s="2" t="s">
        <v>90</v>
      </c>
    </row>
    <row r="628" spans="1:69">
      <c r="A628" s="12" t="s">
        <v>757</v>
      </c>
      <c r="B628" s="12" t="str">
        <f t="shared" si="109"/>
        <v>FOURIE</v>
      </c>
      <c r="C628" s="12" t="str">
        <f t="shared" si="110"/>
        <v>FOURIE</v>
      </c>
      <c r="D628" s="2" t="s">
        <v>4580</v>
      </c>
      <c r="E628" s="12" t="str">
        <f t="shared" si="120"/>
        <v>Louis Theunis</v>
      </c>
      <c r="F628" s="2" t="s">
        <v>4581</v>
      </c>
      <c r="G628" s="12" t="str">
        <f t="shared" si="111"/>
        <v>a1b16c4d2</v>
      </c>
      <c r="H628" s="12" t="str">
        <f t="shared" si="121"/>
        <v>FOURIEa1b16c4d2</v>
      </c>
      <c r="K628" s="12" t="str">
        <f t="shared" si="113"/>
        <v/>
      </c>
      <c r="M628" s="2" t="s">
        <v>4582</v>
      </c>
      <c r="N628" s="12" t="str">
        <f t="shared" si="118"/>
        <v/>
      </c>
      <c r="O628" s="12" t="str">
        <f t="shared" si="119"/>
        <v>1802</v>
      </c>
      <c r="Q628" s="12" t="str">
        <f t="shared" si="114"/>
        <v>1802</v>
      </c>
      <c r="S628" s="12" t="str">
        <f t="shared" si="115"/>
        <v/>
      </c>
      <c r="V628" s="12" t="str">
        <f t="shared" si="116"/>
        <v/>
      </c>
      <c r="W628" s="2" t="s">
        <v>4583</v>
      </c>
      <c r="X628" s="2" t="s">
        <v>2402</v>
      </c>
      <c r="Y628" s="2" t="s">
        <v>2955</v>
      </c>
      <c r="AE628" s="12"/>
      <c r="AF628" s="2" t="s">
        <v>4584</v>
      </c>
      <c r="AG628" s="2" t="s">
        <v>4585</v>
      </c>
      <c r="AH628" s="2" t="s">
        <v>4586</v>
      </c>
      <c r="AI628" s="12" t="str">
        <f t="shared" si="117"/>
        <v>1837</v>
      </c>
      <c r="AJ628" s="2" t="s">
        <v>4587</v>
      </c>
      <c r="AK628" s="2" t="s">
        <v>4588</v>
      </c>
    </row>
    <row r="629" spans="1:69">
      <c r="A629" s="2" t="s">
        <v>757</v>
      </c>
      <c r="B629" s="12" t="str">
        <f t="shared" si="109"/>
        <v>FOURIE</v>
      </c>
      <c r="C629" s="12" t="str">
        <f t="shared" si="110"/>
        <v>FOURIE</v>
      </c>
      <c r="D629" s="2" t="s">
        <v>4543</v>
      </c>
      <c r="E629" s="12" t="str">
        <f t="shared" si="120"/>
        <v>Johannes Louis</v>
      </c>
      <c r="F629" s="2" t="s">
        <v>4544</v>
      </c>
      <c r="G629" s="12" t="str">
        <f t="shared" si="111"/>
        <v>a1b16c4d4</v>
      </c>
      <c r="H629" s="12" t="str">
        <f t="shared" si="121"/>
        <v>FOURIEa1b16c4d4</v>
      </c>
      <c r="K629" s="12" t="str">
        <f t="shared" si="113"/>
        <v/>
      </c>
      <c r="M629" s="2" t="s">
        <v>4545</v>
      </c>
      <c r="N629" s="12" t="str">
        <f t="shared" si="118"/>
        <v/>
      </c>
      <c r="O629" s="12" t="str">
        <f t="shared" si="119"/>
        <v>1804</v>
      </c>
      <c r="Q629" s="12" t="str">
        <f t="shared" si="114"/>
        <v>1804</v>
      </c>
      <c r="S629" s="12" t="str">
        <f t="shared" si="115"/>
        <v/>
      </c>
      <c r="T629" s="2" t="s">
        <v>68</v>
      </c>
      <c r="U629" s="2" t="s">
        <v>4546</v>
      </c>
      <c r="V629" s="12" t="str">
        <f t="shared" si="116"/>
        <v>1826</v>
      </c>
      <c r="W629" s="2" t="s">
        <v>819</v>
      </c>
      <c r="X629" s="2" t="s">
        <v>1985</v>
      </c>
      <c r="Y629" s="2" t="s">
        <v>4547</v>
      </c>
      <c r="AC629" s="2" t="s">
        <v>1224</v>
      </c>
      <c r="AF629" s="2" t="s">
        <v>3720</v>
      </c>
      <c r="AG629" s="2" t="s">
        <v>68</v>
      </c>
      <c r="AH629" s="2">
        <v>1837</v>
      </c>
      <c r="AI629" s="12" t="str">
        <f t="shared" si="117"/>
        <v>1837</v>
      </c>
      <c r="BQ629" s="2" t="s">
        <v>2028</v>
      </c>
    </row>
    <row r="630" spans="1:69">
      <c r="A630" s="12" t="s">
        <v>757</v>
      </c>
      <c r="B630" s="12" t="str">
        <f t="shared" si="109"/>
        <v>FOURIE</v>
      </c>
      <c r="C630" s="12" t="str">
        <f t="shared" si="110"/>
        <v>FOURIE</v>
      </c>
      <c r="D630" s="12" t="s">
        <v>4534</v>
      </c>
      <c r="E630" s="12" t="str">
        <f t="shared" si="120"/>
        <v>Hermanus Nicolaas</v>
      </c>
      <c r="F630" s="12" t="s">
        <v>4535</v>
      </c>
      <c r="G630" s="12" t="str">
        <f t="shared" si="111"/>
        <v>a1b16c4d5</v>
      </c>
      <c r="H630" s="12" t="str">
        <f t="shared" si="121"/>
        <v>FOURIEa1b16c4d5</v>
      </c>
      <c r="I630" s="12"/>
      <c r="J630" s="12" t="s">
        <v>4536</v>
      </c>
      <c r="K630" s="12" t="str">
        <f t="shared" si="113"/>
        <v>1806</v>
      </c>
      <c r="L630" s="12" t="s">
        <v>90</v>
      </c>
      <c r="M630" s="12">
        <v>1857</v>
      </c>
      <c r="N630" s="12" t="str">
        <f t="shared" si="118"/>
        <v>1806</v>
      </c>
      <c r="O630" s="12" t="str">
        <f t="shared" si="119"/>
        <v>1857</v>
      </c>
      <c r="P630" s="12"/>
      <c r="Q630" s="12" t="str">
        <f t="shared" si="114"/>
        <v>1806</v>
      </c>
      <c r="R630" s="12"/>
      <c r="S630" s="12" t="str">
        <f t="shared" si="115"/>
        <v/>
      </c>
      <c r="T630" s="12"/>
      <c r="U630" s="12"/>
      <c r="V630" s="12" t="str">
        <f t="shared" si="116"/>
        <v/>
      </c>
      <c r="W630" s="12" t="s">
        <v>2472</v>
      </c>
      <c r="X630" s="12" t="s">
        <v>2402</v>
      </c>
      <c r="Y630" s="12" t="s">
        <v>4537</v>
      </c>
      <c r="Z630" s="12"/>
      <c r="AA630" s="12"/>
      <c r="AB630" s="12"/>
      <c r="AC630" s="12"/>
      <c r="AD630" s="12"/>
      <c r="AE630" s="12"/>
      <c r="AF630" s="12" t="s">
        <v>3677</v>
      </c>
      <c r="AG630" s="12" t="s">
        <v>53</v>
      </c>
      <c r="AH630" s="12">
        <v>1837</v>
      </c>
      <c r="AI630" s="12" t="str">
        <f t="shared" si="117"/>
        <v>1837</v>
      </c>
      <c r="AJ630" s="12" t="s">
        <v>4538</v>
      </c>
      <c r="AK630" s="12" t="s">
        <v>90</v>
      </c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</row>
    <row r="631" spans="1:69">
      <c r="A631" s="12" t="s">
        <v>757</v>
      </c>
      <c r="B631" s="12" t="str">
        <f t="shared" si="109"/>
        <v>FOURIE</v>
      </c>
      <c r="C631" s="12" t="str">
        <f t="shared" si="110"/>
        <v>FOURIE</v>
      </c>
      <c r="D631" s="12" t="s">
        <v>4548</v>
      </c>
      <c r="E631" s="12" t="str">
        <f t="shared" si="120"/>
        <v>Joseph Johannes</v>
      </c>
      <c r="F631" s="12" t="s">
        <v>4557</v>
      </c>
      <c r="G631" s="12" t="str">
        <f t="shared" si="111"/>
        <v>a1b16c5d2e2</v>
      </c>
      <c r="H631" s="12" t="str">
        <f t="shared" si="121"/>
        <v>FOURIEa1b16c5d2e2</v>
      </c>
      <c r="I631" s="12"/>
      <c r="J631" s="12" t="s">
        <v>2065</v>
      </c>
      <c r="K631" s="12" t="str">
        <f t="shared" si="113"/>
        <v>1823</v>
      </c>
      <c r="L631" s="12" t="s">
        <v>542</v>
      </c>
      <c r="M631" s="12" t="s">
        <v>4558</v>
      </c>
      <c r="N631" s="12" t="str">
        <f t="shared" si="118"/>
        <v>1823</v>
      </c>
      <c r="O631" s="12" t="str">
        <f t="shared" si="119"/>
        <v>1823</v>
      </c>
      <c r="P631" s="12"/>
      <c r="Q631" s="12" t="str">
        <f t="shared" si="114"/>
        <v>1823</v>
      </c>
      <c r="R631" s="12" t="s">
        <v>4559</v>
      </c>
      <c r="S631" s="12" t="str">
        <f t="shared" si="115"/>
        <v>1920</v>
      </c>
      <c r="T631" s="12" t="s">
        <v>140</v>
      </c>
      <c r="U631" s="12" t="s">
        <v>4560</v>
      </c>
      <c r="V631" s="12" t="str">
        <f t="shared" si="116"/>
        <v>1845</v>
      </c>
      <c r="W631" s="12" t="s">
        <v>2756</v>
      </c>
      <c r="X631" s="12" t="s">
        <v>655</v>
      </c>
      <c r="Y631" s="12"/>
      <c r="Z631" s="12"/>
      <c r="AA631" s="12"/>
      <c r="AB631" s="12"/>
      <c r="AC631" s="12"/>
      <c r="AD631" s="12"/>
      <c r="AE631" s="12"/>
      <c r="AF631" s="12" t="s">
        <v>4556</v>
      </c>
      <c r="AG631" s="12" t="s">
        <v>32</v>
      </c>
      <c r="AH631" s="12">
        <v>1840</v>
      </c>
      <c r="AI631" s="12" t="str">
        <f t="shared" si="117"/>
        <v>1840</v>
      </c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</row>
    <row r="632" spans="1:69">
      <c r="A632" s="12" t="s">
        <v>757</v>
      </c>
      <c r="B632" s="12" t="str">
        <f t="shared" si="109"/>
        <v>FOURIE</v>
      </c>
      <c r="C632" s="12" t="str">
        <f t="shared" si="110"/>
        <v>FOURIE</v>
      </c>
      <c r="D632" s="12" t="s">
        <v>4548</v>
      </c>
      <c r="E632" s="12" t="str">
        <f t="shared" si="120"/>
        <v>Joseph Johannes</v>
      </c>
      <c r="F632" s="12" t="s">
        <v>4549</v>
      </c>
      <c r="G632" s="12" t="str">
        <f t="shared" si="111"/>
        <v>a1b19c5d2</v>
      </c>
      <c r="H632" s="12" t="str">
        <f t="shared" si="121"/>
        <v>FOURIEa1b19c5d2</v>
      </c>
      <c r="I632" s="12"/>
      <c r="J632" s="12"/>
      <c r="K632" s="12" t="str">
        <f t="shared" si="113"/>
        <v/>
      </c>
      <c r="L632" s="12"/>
      <c r="M632" s="12" t="s">
        <v>4550</v>
      </c>
      <c r="N632" s="12" t="str">
        <f t="shared" si="118"/>
        <v/>
      </c>
      <c r="O632" s="12" t="str">
        <f t="shared" si="119"/>
        <v>1795</v>
      </c>
      <c r="P632" s="12"/>
      <c r="Q632" s="12" t="str">
        <f t="shared" si="114"/>
        <v>1795</v>
      </c>
      <c r="R632" s="12" t="s">
        <v>4551</v>
      </c>
      <c r="S632" s="12" t="str">
        <f t="shared" si="115"/>
        <v>1882</v>
      </c>
      <c r="T632" s="12" t="s">
        <v>542</v>
      </c>
      <c r="U632" s="12" t="s">
        <v>4552</v>
      </c>
      <c r="V632" s="12" t="str">
        <f t="shared" si="116"/>
        <v>1820</v>
      </c>
      <c r="W632" s="12" t="s">
        <v>3389</v>
      </c>
      <c r="X632" s="12" t="s">
        <v>4553</v>
      </c>
      <c r="Y632" s="12" t="s">
        <v>4554</v>
      </c>
      <c r="Z632" s="12"/>
      <c r="AA632" s="12"/>
      <c r="AB632" s="12"/>
      <c r="AC632" s="12" t="s">
        <v>4555</v>
      </c>
      <c r="AD632" s="12"/>
      <c r="AE632" s="12"/>
      <c r="AF632" s="12" t="s">
        <v>4556</v>
      </c>
      <c r="AG632" s="12" t="s">
        <v>32</v>
      </c>
      <c r="AH632" s="12">
        <v>1840</v>
      </c>
      <c r="AI632" s="12" t="str">
        <f t="shared" si="117"/>
        <v>1840</v>
      </c>
      <c r="AJ632" s="12"/>
      <c r="AK632" s="12" t="s">
        <v>90</v>
      </c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</row>
    <row r="633" spans="1:69">
      <c r="A633" s="12" t="s">
        <v>757</v>
      </c>
      <c r="B633" s="12" t="str">
        <f t="shared" si="109"/>
        <v>FOURIE</v>
      </c>
      <c r="C633" s="12" t="str">
        <f t="shared" si="110"/>
        <v>FOURIE</v>
      </c>
      <c r="D633" s="12" t="s">
        <v>4562</v>
      </c>
      <c r="E633" s="12" t="str">
        <f t="shared" si="120"/>
        <v>Louis Johannes</v>
      </c>
      <c r="F633" s="12" t="s">
        <v>4563</v>
      </c>
      <c r="G633" s="12" t="str">
        <f t="shared" si="111"/>
        <v>a1b6c1d1e1</v>
      </c>
      <c r="H633" s="12" t="str">
        <f t="shared" si="121"/>
        <v>FOURIEa1b6c1d1e1</v>
      </c>
      <c r="I633" s="12"/>
      <c r="J633" s="12"/>
      <c r="K633" s="12" t="str">
        <f t="shared" si="113"/>
        <v/>
      </c>
      <c r="L633" s="12"/>
      <c r="M633" s="12" t="s">
        <v>4564</v>
      </c>
      <c r="N633" s="12" t="str">
        <f t="shared" si="118"/>
        <v/>
      </c>
      <c r="O633" s="12" t="str">
        <f t="shared" si="119"/>
        <v>1797</v>
      </c>
      <c r="P633" s="12"/>
      <c r="Q633" s="12" t="str">
        <f t="shared" si="114"/>
        <v>1797</v>
      </c>
      <c r="R633" s="12" t="s">
        <v>4565</v>
      </c>
      <c r="S633" s="12" t="str">
        <f t="shared" si="115"/>
        <v>1876</v>
      </c>
      <c r="T633" s="12" t="s">
        <v>32</v>
      </c>
      <c r="U633" s="12" t="s">
        <v>3217</v>
      </c>
      <c r="V633" s="12" t="str">
        <f t="shared" si="116"/>
        <v>1820</v>
      </c>
      <c r="W633" s="12" t="s">
        <v>4566</v>
      </c>
      <c r="X633" s="12" t="s">
        <v>2402</v>
      </c>
      <c r="Y633" s="12"/>
      <c r="Z633" s="12"/>
      <c r="AA633" s="12"/>
      <c r="AB633" s="12"/>
      <c r="AC633" s="12"/>
      <c r="AD633" s="12"/>
      <c r="AE633" s="12" t="s">
        <v>4567</v>
      </c>
      <c r="AF633" s="12"/>
      <c r="AG633" s="12" t="s">
        <v>32</v>
      </c>
      <c r="AH633" s="12">
        <v>1840</v>
      </c>
      <c r="AI633" s="12" t="str">
        <f t="shared" si="117"/>
        <v>1840</v>
      </c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</row>
    <row r="634" spans="1:69">
      <c r="A634" s="12" t="s">
        <v>757</v>
      </c>
      <c r="B634" s="12" t="str">
        <f t="shared" si="109"/>
        <v>FOURIE</v>
      </c>
      <c r="C634" s="12" t="str">
        <f t="shared" si="110"/>
        <v>FOURIE</v>
      </c>
      <c r="D634" s="12" t="s">
        <v>2412</v>
      </c>
      <c r="E634" s="12" t="str">
        <f t="shared" si="120"/>
        <v>Carel Pieter</v>
      </c>
      <c r="F634" s="12" t="s">
        <v>4476</v>
      </c>
      <c r="G634" s="12" t="str">
        <f t="shared" si="111"/>
        <v>a1b6c1d3e2</v>
      </c>
      <c r="H634" s="12" t="str">
        <f t="shared" si="121"/>
        <v>FOURIEa1b6c1d3e2</v>
      </c>
      <c r="I634" s="12"/>
      <c r="J634" s="12"/>
      <c r="K634" s="12" t="str">
        <f t="shared" si="113"/>
        <v/>
      </c>
      <c r="L634" s="12"/>
      <c r="M634" s="12" t="s">
        <v>4477</v>
      </c>
      <c r="N634" s="12" t="str">
        <f t="shared" si="118"/>
        <v/>
      </c>
      <c r="O634" s="12" t="str">
        <f t="shared" si="119"/>
        <v>1812</v>
      </c>
      <c r="P634" s="12"/>
      <c r="Q634" s="12" t="str">
        <f t="shared" si="114"/>
        <v>1812</v>
      </c>
      <c r="R634" s="12"/>
      <c r="S634" s="12" t="str">
        <f t="shared" si="115"/>
        <v/>
      </c>
      <c r="T634" s="12"/>
      <c r="U634" s="12"/>
      <c r="V634" s="12" t="str">
        <f t="shared" si="116"/>
        <v/>
      </c>
      <c r="W634" s="12" t="s">
        <v>4478</v>
      </c>
      <c r="X634" s="12" t="s">
        <v>2995</v>
      </c>
      <c r="Y634" s="12"/>
      <c r="Z634" s="12"/>
      <c r="AA634" s="12"/>
      <c r="AB634" s="12"/>
      <c r="AC634" s="12"/>
      <c r="AD634" s="12"/>
      <c r="AE634" s="12"/>
      <c r="AF634" s="12" t="s">
        <v>3726</v>
      </c>
      <c r="AG634" s="12" t="s">
        <v>32</v>
      </c>
      <c r="AH634" s="12">
        <v>1839</v>
      </c>
      <c r="AI634" s="12" t="str">
        <f t="shared" si="117"/>
        <v>1839</v>
      </c>
      <c r="AJ634" s="12"/>
      <c r="AK634" s="12" t="s">
        <v>190</v>
      </c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</row>
    <row r="635" spans="1:69">
      <c r="A635" s="12" t="s">
        <v>757</v>
      </c>
      <c r="B635" s="12" t="str">
        <f t="shared" ref="B635:B697" si="122">SUBSTITUTE(A635," ","")</f>
        <v>FOURIE</v>
      </c>
      <c r="C635" s="12" t="str">
        <f t="shared" ref="C635:C697" si="123">TRIM(A635)</f>
        <v>FOURIE</v>
      </c>
      <c r="D635" s="12" t="s">
        <v>4562</v>
      </c>
      <c r="E635" s="12" t="str">
        <f t="shared" si="120"/>
        <v>Louis Johannes</v>
      </c>
      <c r="F635" s="12" t="s">
        <v>4568</v>
      </c>
      <c r="G635" s="12" t="str">
        <f t="shared" ref="G635:G697" si="124">IF(LEFT(F635,1)="b","a1"&amp;F635,F635)</f>
        <v>a1b6c1d3e3</v>
      </c>
      <c r="H635" s="12" t="str">
        <f t="shared" si="121"/>
        <v>FOURIEa1b6c1d3e3</v>
      </c>
      <c r="I635" s="12"/>
      <c r="J635" s="12" t="s">
        <v>3947</v>
      </c>
      <c r="K635" s="12" t="str">
        <f t="shared" ref="K635:K697" si="125">RIGHT(J635,4)</f>
        <v>1814</v>
      </c>
      <c r="L635" s="12" t="s">
        <v>158</v>
      </c>
      <c r="M635" s="12" t="s">
        <v>2440</v>
      </c>
      <c r="N635" s="12" t="str">
        <f t="shared" si="118"/>
        <v>1814</v>
      </c>
      <c r="O635" s="12" t="str">
        <f t="shared" si="119"/>
        <v>1814</v>
      </c>
      <c r="P635" s="12" t="s">
        <v>406</v>
      </c>
      <c r="Q635" s="12" t="str">
        <f t="shared" ref="Q635:Q697" si="126">IF(N635="",O635,N635)</f>
        <v>1814</v>
      </c>
      <c r="R635" s="12" t="s">
        <v>4569</v>
      </c>
      <c r="S635" s="12" t="str">
        <f t="shared" ref="S635:S697" si="127">RIGHT(R635,4)</f>
        <v>1881</v>
      </c>
      <c r="T635" s="12" t="s">
        <v>32</v>
      </c>
      <c r="U635" s="12" t="s">
        <v>4570</v>
      </c>
      <c r="V635" s="12" t="str">
        <f t="shared" ref="V635:V697" si="128">RIGHT(U635,4)</f>
        <v>1835</v>
      </c>
      <c r="W635" s="12" t="s">
        <v>4571</v>
      </c>
      <c r="X635" s="12" t="s">
        <v>2394</v>
      </c>
      <c r="Y635" s="12" t="s">
        <v>4572</v>
      </c>
      <c r="Z635" s="12"/>
      <c r="AA635" s="12"/>
      <c r="AB635" s="12"/>
      <c r="AC635" s="12" t="s">
        <v>3906</v>
      </c>
      <c r="AD635" s="12"/>
      <c r="AE635" s="12"/>
      <c r="AF635" s="12" t="s">
        <v>3726</v>
      </c>
      <c r="AG635" s="12" t="s">
        <v>32</v>
      </c>
      <c r="AH635" s="12">
        <v>1838</v>
      </c>
      <c r="AI635" s="12" t="str">
        <f t="shared" ref="AI635:AI697" si="129">RIGHT(AH635,4)</f>
        <v>1838</v>
      </c>
      <c r="AJ635" s="12"/>
      <c r="AK635" s="12" t="s">
        <v>190</v>
      </c>
      <c r="AL635" s="12"/>
      <c r="AM635" s="12"/>
      <c r="AN635" s="12" t="s">
        <v>4573</v>
      </c>
      <c r="AO635" s="12" t="s">
        <v>631</v>
      </c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</row>
    <row r="636" spans="1:69">
      <c r="A636" s="12" t="s">
        <v>757</v>
      </c>
      <c r="B636" s="12" t="str">
        <f t="shared" si="122"/>
        <v>FOURIE</v>
      </c>
      <c r="C636" s="12" t="str">
        <f t="shared" si="123"/>
        <v>FOURIE</v>
      </c>
      <c r="D636" s="12" t="s">
        <v>2253</v>
      </c>
      <c r="E636" s="12" t="str">
        <f t="shared" si="120"/>
        <v>Johannes Jacobus</v>
      </c>
      <c r="F636" s="12" t="s">
        <v>4539</v>
      </c>
      <c r="G636" s="12" t="str">
        <f t="shared" si="124"/>
        <v>a1b6c1d3e5</v>
      </c>
      <c r="H636" s="12" t="str">
        <f t="shared" si="121"/>
        <v>FOURIEa1b6c1d3e5</v>
      </c>
      <c r="I636" s="12"/>
      <c r="J636" s="12"/>
      <c r="K636" s="12" t="str">
        <f t="shared" si="125"/>
        <v/>
      </c>
      <c r="L636" s="12" t="s">
        <v>32</v>
      </c>
      <c r="M636" s="12" t="s">
        <v>3906</v>
      </c>
      <c r="N636" s="12" t="str">
        <f t="shared" si="118"/>
        <v/>
      </c>
      <c r="O636" s="12" t="str">
        <f t="shared" si="119"/>
        <v>1818</v>
      </c>
      <c r="P636" s="12"/>
      <c r="Q636" s="12" t="str">
        <f t="shared" si="126"/>
        <v>1818</v>
      </c>
      <c r="R636" s="12"/>
      <c r="S636" s="12" t="str">
        <f t="shared" si="127"/>
        <v/>
      </c>
      <c r="T636" s="12" t="s">
        <v>168</v>
      </c>
      <c r="U636" s="12" t="s">
        <v>4540</v>
      </c>
      <c r="V636" s="12" t="str">
        <f t="shared" si="128"/>
        <v>1830</v>
      </c>
      <c r="W636" s="12" t="s">
        <v>4541</v>
      </c>
      <c r="X636" s="12" t="s">
        <v>1330</v>
      </c>
      <c r="Y636" s="12" t="s">
        <v>4542</v>
      </c>
      <c r="Z636" s="12"/>
      <c r="AA636" s="12">
        <v>1832</v>
      </c>
      <c r="AB636" s="12"/>
      <c r="AC636" s="12"/>
      <c r="AD636" s="12"/>
      <c r="AE636" s="12"/>
      <c r="AF636" s="12" t="s">
        <v>3726</v>
      </c>
      <c r="AG636" s="12" t="s">
        <v>32</v>
      </c>
      <c r="AH636" s="12">
        <v>1839</v>
      </c>
      <c r="AI636" s="12" t="str">
        <f t="shared" si="129"/>
        <v>1839</v>
      </c>
      <c r="AJ636" s="12"/>
      <c r="AK636" s="12" t="s">
        <v>90</v>
      </c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</row>
    <row r="637" spans="1:69">
      <c r="A637" s="12" t="s">
        <v>757</v>
      </c>
      <c r="B637" s="12" t="str">
        <f t="shared" si="122"/>
        <v>FOURIE</v>
      </c>
      <c r="C637" s="12" t="str">
        <f t="shared" si="123"/>
        <v>FOURIE</v>
      </c>
      <c r="D637" s="12" t="s">
        <v>4636</v>
      </c>
      <c r="E637" s="12" t="str">
        <f t="shared" si="120"/>
        <v>Philippus Rudolph</v>
      </c>
      <c r="F637" s="12" t="s">
        <v>4637</v>
      </c>
      <c r="G637" s="12" t="str">
        <f t="shared" si="124"/>
        <v>a1b6c1d3e7</v>
      </c>
      <c r="H637" s="12" t="str">
        <f t="shared" si="121"/>
        <v>FOURIEa1b6c1d3e7</v>
      </c>
      <c r="I637" s="12"/>
      <c r="J637" s="12"/>
      <c r="K637" s="12" t="str">
        <f t="shared" si="125"/>
        <v/>
      </c>
      <c r="L637" s="12"/>
      <c r="M637" s="12" t="s">
        <v>4638</v>
      </c>
      <c r="N637" s="12" t="str">
        <f t="shared" si="118"/>
        <v/>
      </c>
      <c r="O637" s="12" t="str">
        <f t="shared" si="119"/>
        <v>1822</v>
      </c>
      <c r="P637" s="12"/>
      <c r="Q637" s="12" t="str">
        <f t="shared" si="126"/>
        <v>1822</v>
      </c>
      <c r="R637" s="12"/>
      <c r="S637" s="12" t="str">
        <f t="shared" si="127"/>
        <v/>
      </c>
      <c r="T637" s="12"/>
      <c r="U637" s="12"/>
      <c r="V637" s="12" t="str">
        <f t="shared" si="128"/>
        <v/>
      </c>
      <c r="W637" s="12" t="s">
        <v>4639</v>
      </c>
      <c r="X637" s="12" t="s">
        <v>1330</v>
      </c>
      <c r="Y637" s="12" t="s">
        <v>4640</v>
      </c>
      <c r="Z637" s="12"/>
      <c r="AA637" s="12"/>
      <c r="AB637" s="12"/>
      <c r="AC637" s="12"/>
      <c r="AD637" s="12"/>
      <c r="AE637" s="12"/>
      <c r="AF637" s="12" t="s">
        <v>3726</v>
      </c>
      <c r="AG637" s="12" t="s">
        <v>32</v>
      </c>
      <c r="AH637" s="12">
        <v>1839</v>
      </c>
      <c r="AI637" s="12" t="str">
        <f t="shared" si="129"/>
        <v>1839</v>
      </c>
      <c r="AJ637" s="12"/>
      <c r="AK637" s="12" t="s">
        <v>168</v>
      </c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</row>
    <row r="638" spans="1:69">
      <c r="A638" s="12" t="s">
        <v>4514</v>
      </c>
      <c r="B638" s="12" t="str">
        <f t="shared" si="122"/>
        <v>FOURIE</v>
      </c>
      <c r="C638" s="12" t="str">
        <f t="shared" si="123"/>
        <v>FOURIE</v>
      </c>
      <c r="D638" s="12" t="s">
        <v>4595</v>
      </c>
      <c r="E638" s="12" t="str">
        <f t="shared" si="120"/>
        <v xml:space="preserve">Marthinus Jacobus </v>
      </c>
      <c r="F638" s="12" t="s">
        <v>4596</v>
      </c>
      <c r="G638" s="12" t="str">
        <f t="shared" si="124"/>
        <v>a1b14c2d3e2</v>
      </c>
      <c r="H638" s="12" t="str">
        <f t="shared" ref="H638:H669" si="130">C638&amp;G638</f>
        <v>FOURIEa1b14c2d3e2</v>
      </c>
      <c r="I638" s="12"/>
      <c r="J638" s="12" t="s">
        <v>4597</v>
      </c>
      <c r="K638" s="12" t="str">
        <f t="shared" si="125"/>
        <v>1811</v>
      </c>
      <c r="L638" s="12" t="s">
        <v>4591</v>
      </c>
      <c r="M638" s="12" t="s">
        <v>4598</v>
      </c>
      <c r="N638" s="12" t="str">
        <f t="shared" si="118"/>
        <v>1811</v>
      </c>
      <c r="O638" s="12" t="str">
        <f t="shared" si="119"/>
        <v>1812</v>
      </c>
      <c r="P638" s="12"/>
      <c r="Q638" s="12" t="str">
        <f t="shared" si="126"/>
        <v>1811</v>
      </c>
      <c r="R638" s="12" t="s">
        <v>4599</v>
      </c>
      <c r="S638" s="12" t="str">
        <f t="shared" si="127"/>
        <v>1850</v>
      </c>
      <c r="T638" s="12" t="s">
        <v>366</v>
      </c>
      <c r="U638" s="12" t="s">
        <v>4600</v>
      </c>
      <c r="V638" s="12" t="str">
        <f t="shared" si="128"/>
        <v>1836</v>
      </c>
      <c r="W638" s="12" t="s">
        <v>4601</v>
      </c>
      <c r="X638" s="12" t="s">
        <v>2136</v>
      </c>
      <c r="Y638" s="12"/>
      <c r="Z638" s="12"/>
      <c r="AA638" s="12"/>
      <c r="AB638" s="12"/>
      <c r="AC638" s="12"/>
      <c r="AD638" s="12"/>
      <c r="AE638" s="12"/>
      <c r="AF638" s="12"/>
      <c r="AG638" s="12" t="s">
        <v>366</v>
      </c>
      <c r="AH638" s="12" t="s">
        <v>4602</v>
      </c>
      <c r="AI638" s="12" t="str">
        <f t="shared" si="129"/>
        <v>1842</v>
      </c>
      <c r="AJ638" s="12"/>
      <c r="AK638" s="12" t="s">
        <v>551</v>
      </c>
      <c r="AL638" s="12"/>
      <c r="AM638" s="12"/>
      <c r="AN638" s="12" t="s">
        <v>2472</v>
      </c>
      <c r="AO638" s="12" t="s">
        <v>701</v>
      </c>
      <c r="AP638" s="12"/>
      <c r="AQ638" s="12"/>
      <c r="AR638" s="12"/>
      <c r="AS638" s="12"/>
      <c r="AT638" s="12"/>
      <c r="AU638" s="12"/>
      <c r="AV638" s="12">
        <v>1850</v>
      </c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</row>
    <row r="639" spans="1:69">
      <c r="A639" s="12" t="s">
        <v>4514</v>
      </c>
      <c r="B639" s="12" t="str">
        <f t="shared" si="122"/>
        <v>FOURIE</v>
      </c>
      <c r="C639" s="12" t="str">
        <f t="shared" si="123"/>
        <v>FOURIE</v>
      </c>
      <c r="D639" s="12" t="s">
        <v>4515</v>
      </c>
      <c r="E639" s="12" t="str">
        <f t="shared" si="120"/>
        <v>Dirk Bernard Petrus</v>
      </c>
      <c r="F639" s="12" t="s">
        <v>4516</v>
      </c>
      <c r="G639" s="12" t="str">
        <f t="shared" si="124"/>
        <v>a1b16c4d8</v>
      </c>
      <c r="H639" s="12" t="str">
        <f t="shared" si="130"/>
        <v>FOURIEa1b16c4d8</v>
      </c>
      <c r="I639" s="12"/>
      <c r="J639" s="12" t="s">
        <v>4517</v>
      </c>
      <c r="K639" s="12" t="str">
        <f t="shared" si="125"/>
        <v>1815</v>
      </c>
      <c r="L639" s="12" t="s">
        <v>199</v>
      </c>
      <c r="M639" s="12" t="s">
        <v>515</v>
      </c>
      <c r="N639" s="12" t="str">
        <f t="shared" si="118"/>
        <v>1815</v>
      </c>
      <c r="O639" s="12" t="str">
        <f t="shared" si="119"/>
        <v>1815</v>
      </c>
      <c r="P639" s="12"/>
      <c r="Q639" s="12" t="str">
        <f t="shared" si="126"/>
        <v>1815</v>
      </c>
      <c r="R639" s="12"/>
      <c r="S639" s="12" t="str">
        <f t="shared" si="127"/>
        <v/>
      </c>
      <c r="T639" s="12" t="s">
        <v>68</v>
      </c>
      <c r="U639" s="12" t="s">
        <v>4518</v>
      </c>
      <c r="V639" s="12" t="str">
        <f t="shared" si="128"/>
        <v>1835</v>
      </c>
      <c r="W639" s="12" t="s">
        <v>803</v>
      </c>
      <c r="X639" s="12" t="s">
        <v>695</v>
      </c>
      <c r="Y639" s="12" t="s">
        <v>4519</v>
      </c>
      <c r="Z639" s="12"/>
      <c r="AA639" s="12"/>
      <c r="AB639" s="12"/>
      <c r="AC639" s="12"/>
      <c r="AD639" s="12"/>
      <c r="AE639" s="12" t="s">
        <v>4520</v>
      </c>
      <c r="AF639" s="12" t="s">
        <v>3709</v>
      </c>
      <c r="AG639" s="12" t="s">
        <v>68</v>
      </c>
      <c r="AH639" s="12" t="s">
        <v>1357</v>
      </c>
      <c r="AI639" s="12" t="str">
        <f t="shared" si="129"/>
        <v>1837</v>
      </c>
      <c r="AJ639" s="12" t="s">
        <v>4521</v>
      </c>
      <c r="AK639" s="12" t="s">
        <v>2702</v>
      </c>
      <c r="AL639" s="12"/>
      <c r="AM639" s="12" t="s">
        <v>4522</v>
      </c>
      <c r="AN639" s="12" t="s">
        <v>2987</v>
      </c>
      <c r="AO639" s="12" t="s">
        <v>697</v>
      </c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</row>
    <row r="640" spans="1:69">
      <c r="A640" s="12" t="s">
        <v>4514</v>
      </c>
      <c r="B640" s="12" t="str">
        <f t="shared" si="122"/>
        <v>FOURIE</v>
      </c>
      <c r="C640" s="12" t="str">
        <f t="shared" si="123"/>
        <v>FOURIE</v>
      </c>
      <c r="D640" s="12" t="s">
        <v>4589</v>
      </c>
      <c r="E640" s="12" t="str">
        <f t="shared" si="120"/>
        <v>Marcus Johannes</v>
      </c>
      <c r="F640" s="12" t="s">
        <v>4590</v>
      </c>
      <c r="G640" s="12" t="str">
        <f t="shared" si="124"/>
        <v>a1b17c2d1</v>
      </c>
      <c r="H640" s="12" t="str">
        <f t="shared" si="130"/>
        <v>FOURIEa1b17c2d1</v>
      </c>
      <c r="I640" s="12"/>
      <c r="J640" s="12"/>
      <c r="K640" s="12" t="str">
        <f t="shared" si="125"/>
        <v/>
      </c>
      <c r="L640" s="12"/>
      <c r="M640" s="12" t="s">
        <v>238</v>
      </c>
      <c r="N640" s="12" t="str">
        <f t="shared" si="118"/>
        <v/>
      </c>
      <c r="O640" s="12" t="str">
        <f t="shared" si="119"/>
        <v>1797</v>
      </c>
      <c r="P640" s="12"/>
      <c r="Q640" s="12" t="str">
        <f t="shared" si="126"/>
        <v>1797</v>
      </c>
      <c r="R640" s="12"/>
      <c r="S640" s="12" t="str">
        <f t="shared" si="127"/>
        <v/>
      </c>
      <c r="T640" s="12" t="s">
        <v>4591</v>
      </c>
      <c r="U640" s="12" t="s">
        <v>4350</v>
      </c>
      <c r="V640" s="12" t="str">
        <f t="shared" si="128"/>
        <v>1818</v>
      </c>
      <c r="W640" s="12" t="s">
        <v>4592</v>
      </c>
      <c r="X640" s="12" t="s">
        <v>728</v>
      </c>
      <c r="Y640" s="12"/>
      <c r="Z640" s="12"/>
      <c r="AA640" s="12"/>
      <c r="AB640" s="12"/>
      <c r="AC640" s="12"/>
      <c r="AD640" s="12"/>
      <c r="AE640" s="12"/>
      <c r="AF640" s="12"/>
      <c r="AG640" s="12" t="s">
        <v>74</v>
      </c>
      <c r="AH640" s="12">
        <v>1841</v>
      </c>
      <c r="AI640" s="12" t="str">
        <f t="shared" si="129"/>
        <v>1841</v>
      </c>
      <c r="AJ640" s="12"/>
      <c r="AK640" s="12" t="s">
        <v>90</v>
      </c>
      <c r="AL640" s="12"/>
      <c r="AM640" s="12"/>
      <c r="AN640" s="12" t="s">
        <v>4593</v>
      </c>
      <c r="AO640" s="12" t="s">
        <v>4594</v>
      </c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</row>
    <row r="641" spans="1:69">
      <c r="A641" s="2" t="s">
        <v>4514</v>
      </c>
      <c r="B641" s="12" t="str">
        <f t="shared" si="122"/>
        <v>FOURIE</v>
      </c>
      <c r="C641" s="12" t="str">
        <f t="shared" si="123"/>
        <v>FOURIE</v>
      </c>
      <c r="D641" s="2" t="s">
        <v>4603</v>
      </c>
      <c r="E641" s="12" t="str">
        <f t="shared" si="120"/>
        <v>Matthys Daniel</v>
      </c>
      <c r="F641" s="2" t="s">
        <v>4604</v>
      </c>
      <c r="G641" s="12" t="str">
        <f t="shared" si="124"/>
        <v>a1b6c1d3e8</v>
      </c>
      <c r="H641" s="12" t="str">
        <f t="shared" si="130"/>
        <v>FOURIEa1b6c1d3e8</v>
      </c>
      <c r="J641" s="2" t="s">
        <v>4605</v>
      </c>
      <c r="K641" s="12" t="str">
        <f t="shared" si="125"/>
        <v>1824</v>
      </c>
      <c r="L641" s="2" t="s">
        <v>32</v>
      </c>
      <c r="M641" s="2" t="s">
        <v>218</v>
      </c>
      <c r="N641" s="12" t="str">
        <f t="shared" si="118"/>
        <v>1824</v>
      </c>
      <c r="O641" s="12" t="str">
        <f t="shared" si="119"/>
        <v>1824</v>
      </c>
      <c r="Q641" s="12" t="str">
        <f t="shared" si="126"/>
        <v>1824</v>
      </c>
      <c r="S641" s="12" t="str">
        <f t="shared" si="127"/>
        <v/>
      </c>
      <c r="V641" s="12" t="str">
        <f t="shared" si="128"/>
        <v/>
      </c>
      <c r="W641" s="2" t="s">
        <v>4606</v>
      </c>
      <c r="X641" s="2" t="s">
        <v>2402</v>
      </c>
      <c r="AF641" s="2" t="s">
        <v>3726</v>
      </c>
      <c r="AG641" s="2" t="s">
        <v>32</v>
      </c>
      <c r="AH641" s="2">
        <v>1839</v>
      </c>
      <c r="AI641" s="12" t="str">
        <f t="shared" si="129"/>
        <v>1839</v>
      </c>
      <c r="AK641" s="2" t="s">
        <v>551</v>
      </c>
    </row>
    <row r="642" spans="1:69">
      <c r="A642" s="2" t="s">
        <v>4645</v>
      </c>
      <c r="B642" s="12" t="str">
        <f t="shared" si="122"/>
        <v>FRONEMAN</v>
      </c>
      <c r="C642" s="12" t="str">
        <f t="shared" si="123"/>
        <v>FRONEMAN</v>
      </c>
      <c r="D642" s="2" t="s">
        <v>4646</v>
      </c>
      <c r="E642" s="12" t="str">
        <f t="shared" si="120"/>
        <v>Carolus Antonie Fredericus</v>
      </c>
      <c r="F642" s="2" t="s">
        <v>2482</v>
      </c>
      <c r="G642" s="12" t="str">
        <f t="shared" si="124"/>
        <v>a1b6</v>
      </c>
      <c r="H642" s="12" t="str">
        <f t="shared" si="130"/>
        <v>FRONEMANa1b6</v>
      </c>
      <c r="J642" s="2" t="s">
        <v>4647</v>
      </c>
      <c r="K642" s="12" t="str">
        <f t="shared" si="125"/>
        <v>1805</v>
      </c>
      <c r="L642" s="2" t="s">
        <v>4591</v>
      </c>
      <c r="M642" s="2" t="s">
        <v>145</v>
      </c>
      <c r="N642" s="12" t="str">
        <f t="shared" ref="N642:N705" si="131">RIGHT(J642,4)</f>
        <v>1805</v>
      </c>
      <c r="O642" s="12" t="str">
        <f t="shared" ref="O642:O705" si="132">RIGHT(M642,4)</f>
        <v>1805</v>
      </c>
      <c r="P642" s="2" t="s">
        <v>24</v>
      </c>
      <c r="Q642" s="12" t="str">
        <f t="shared" si="126"/>
        <v>1805</v>
      </c>
      <c r="R642" s="2" t="s">
        <v>1206</v>
      </c>
      <c r="S642" s="12" t="str">
        <f t="shared" si="127"/>
        <v>1880</v>
      </c>
      <c r="T642" s="2" t="s">
        <v>68</v>
      </c>
      <c r="U642" s="2" t="s">
        <v>4464</v>
      </c>
      <c r="V642" s="12" t="str">
        <f t="shared" si="128"/>
        <v>1832</v>
      </c>
      <c r="W642" s="2" t="s">
        <v>4648</v>
      </c>
      <c r="X642" s="2" t="s">
        <v>629</v>
      </c>
      <c r="Y642" s="2" t="s">
        <v>4649</v>
      </c>
      <c r="AA642" s="2" t="s">
        <v>4650</v>
      </c>
      <c r="AC642" s="2" t="s">
        <v>336</v>
      </c>
      <c r="AF642" s="2" t="s">
        <v>4428</v>
      </c>
      <c r="AG642" s="2" t="s">
        <v>68</v>
      </c>
      <c r="AH642" s="2">
        <v>1837</v>
      </c>
      <c r="AI642" s="12" t="str">
        <f t="shared" si="129"/>
        <v>1837</v>
      </c>
      <c r="AJ642" s="2" t="s">
        <v>4651</v>
      </c>
      <c r="AK642" s="2" t="s">
        <v>1301</v>
      </c>
    </row>
    <row r="643" spans="1:69">
      <c r="A643" s="2" t="s">
        <v>4645</v>
      </c>
      <c r="B643" s="12" t="str">
        <f t="shared" si="122"/>
        <v>FRONEMAN</v>
      </c>
      <c r="C643" s="12" t="str">
        <f t="shared" si="123"/>
        <v>FRONEMAN</v>
      </c>
      <c r="D643" s="2" t="s">
        <v>3598</v>
      </c>
      <c r="E643" s="12" t="str">
        <f t="shared" ref="E643:E706" si="133">PROPER(D643)</f>
        <v>Christoffel Cornelis</v>
      </c>
      <c r="F643" s="2" t="s">
        <v>4652</v>
      </c>
      <c r="G643" s="12" t="str">
        <f t="shared" si="124"/>
        <v>a1b7</v>
      </c>
      <c r="H643" s="12" t="str">
        <f t="shared" si="130"/>
        <v>FRONEMANa1b7</v>
      </c>
      <c r="J643" s="2" t="s">
        <v>4653</v>
      </c>
      <c r="K643" s="12" t="str">
        <f t="shared" si="125"/>
        <v>1807</v>
      </c>
      <c r="L643" s="2" t="s">
        <v>542</v>
      </c>
      <c r="M643" s="2" t="s">
        <v>4654</v>
      </c>
      <c r="N643" s="12" t="str">
        <f t="shared" si="131"/>
        <v>1807</v>
      </c>
      <c r="O643" s="12" t="str">
        <f t="shared" si="132"/>
        <v>1807</v>
      </c>
      <c r="Q643" s="12" t="str">
        <f t="shared" si="126"/>
        <v>1807</v>
      </c>
      <c r="S643" s="12" t="str">
        <f t="shared" si="127"/>
        <v/>
      </c>
      <c r="U643" s="2" t="s">
        <v>3915</v>
      </c>
      <c r="V643" s="12" t="str">
        <f t="shared" si="128"/>
        <v>1834</v>
      </c>
      <c r="W643" s="2" t="s">
        <v>3389</v>
      </c>
      <c r="X643" s="2" t="s">
        <v>1292</v>
      </c>
      <c r="AA643" s="2" t="s">
        <v>4655</v>
      </c>
      <c r="AF643" s="2" t="s">
        <v>4656</v>
      </c>
      <c r="AG643" s="2" t="s">
        <v>68</v>
      </c>
      <c r="AH643" s="2">
        <v>1837</v>
      </c>
      <c r="AI643" s="12" t="str">
        <f t="shared" si="129"/>
        <v>1837</v>
      </c>
      <c r="AJ643" s="2" t="s">
        <v>4657</v>
      </c>
      <c r="AK643" s="2" t="s">
        <v>4658</v>
      </c>
      <c r="AL643" s="2" t="s">
        <v>190</v>
      </c>
      <c r="BQ643" s="2" t="s">
        <v>4659</v>
      </c>
    </row>
    <row r="644" spans="1:69">
      <c r="A644" s="12" t="s">
        <v>4645</v>
      </c>
      <c r="B644" s="12" t="str">
        <f t="shared" si="122"/>
        <v>FRONEMAN</v>
      </c>
      <c r="C644" s="12" t="str">
        <f t="shared" si="123"/>
        <v>FRONEMAN</v>
      </c>
      <c r="D644" s="2" t="s">
        <v>4660</v>
      </c>
      <c r="E644" s="12" t="str">
        <f t="shared" si="133"/>
        <v>Johannes Coenraad Jonas</v>
      </c>
      <c r="F644" s="2" t="s">
        <v>4661</v>
      </c>
      <c r="G644" s="12" t="str">
        <f t="shared" si="124"/>
        <v>a1b8</v>
      </c>
      <c r="H644" s="12" t="str">
        <f t="shared" si="130"/>
        <v>FRONEMANa1b8</v>
      </c>
      <c r="J644" s="2" t="s">
        <v>4662</v>
      </c>
      <c r="K644" s="12" t="str">
        <f t="shared" si="125"/>
        <v>1812</v>
      </c>
      <c r="L644" s="2" t="s">
        <v>4591</v>
      </c>
      <c r="M644" s="2" t="s">
        <v>4663</v>
      </c>
      <c r="N644" s="12" t="str">
        <f t="shared" si="131"/>
        <v>1812</v>
      </c>
      <c r="O644" s="12" t="str">
        <f t="shared" si="132"/>
        <v>1812</v>
      </c>
      <c r="P644" s="2" t="s">
        <v>4664</v>
      </c>
      <c r="Q644" s="12" t="str">
        <f t="shared" si="126"/>
        <v>1812</v>
      </c>
      <c r="R644" s="2" t="s">
        <v>4283</v>
      </c>
      <c r="S644" s="12" t="str">
        <f t="shared" si="127"/>
        <v>1838</v>
      </c>
      <c r="T644" s="2" t="s">
        <v>68</v>
      </c>
      <c r="U644" s="2" t="s">
        <v>4665</v>
      </c>
      <c r="V644" s="12" t="str">
        <f t="shared" si="128"/>
        <v>1835</v>
      </c>
      <c r="W644" s="2" t="s">
        <v>708</v>
      </c>
      <c r="X644" s="2" t="s">
        <v>695</v>
      </c>
      <c r="Y644" s="2" t="s">
        <v>4666</v>
      </c>
      <c r="AA644" s="2" t="s">
        <v>4667</v>
      </c>
      <c r="AF644" s="2" t="s">
        <v>4656</v>
      </c>
      <c r="AG644" s="2" t="s">
        <v>68</v>
      </c>
      <c r="AH644" s="2" t="s">
        <v>2155</v>
      </c>
      <c r="AI644" s="12" t="str">
        <f t="shared" si="129"/>
        <v>1837</v>
      </c>
      <c r="AJ644" s="2" t="s">
        <v>4668</v>
      </c>
      <c r="AK644" s="2" t="s">
        <v>90</v>
      </c>
    </row>
    <row r="645" spans="1:69">
      <c r="A645" s="12" t="s">
        <v>1388</v>
      </c>
      <c r="B645" s="12" t="str">
        <f t="shared" si="122"/>
        <v>GEERE</v>
      </c>
      <c r="C645" s="12" t="str">
        <f t="shared" si="123"/>
        <v>GEERE</v>
      </c>
      <c r="D645" s="2" t="s">
        <v>4669</v>
      </c>
      <c r="E645" s="12" t="str">
        <f t="shared" si="133"/>
        <v>Carel Frederik Christoffel</v>
      </c>
      <c r="F645" s="2" t="s">
        <v>4670</v>
      </c>
      <c r="G645" s="12" t="str">
        <f t="shared" si="124"/>
        <v>a1b6c10</v>
      </c>
      <c r="H645" s="12" t="str">
        <f t="shared" si="130"/>
        <v>GEEREa1b6c10</v>
      </c>
      <c r="J645" s="2" t="s">
        <v>4671</v>
      </c>
      <c r="K645" s="12" t="str">
        <f t="shared" si="125"/>
        <v>1811</v>
      </c>
      <c r="L645" s="2" t="s">
        <v>4591</v>
      </c>
      <c r="M645" s="2" t="s">
        <v>4672</v>
      </c>
      <c r="N645" s="12" t="str">
        <f t="shared" si="131"/>
        <v>1811</v>
      </c>
      <c r="O645" s="12" t="str">
        <f t="shared" si="132"/>
        <v>1811</v>
      </c>
      <c r="P645" s="2" t="s">
        <v>3225</v>
      </c>
      <c r="Q645" s="12" t="str">
        <f t="shared" si="126"/>
        <v>1811</v>
      </c>
      <c r="R645" s="2" t="s">
        <v>4673</v>
      </c>
      <c r="S645" s="12" t="str">
        <f t="shared" si="127"/>
        <v>1901</v>
      </c>
      <c r="V645" s="12" t="str">
        <f t="shared" si="128"/>
        <v/>
      </c>
      <c r="W645" s="2" t="s">
        <v>4674</v>
      </c>
      <c r="X645" s="2" t="s">
        <v>210</v>
      </c>
      <c r="Y645" s="2" t="s">
        <v>4675</v>
      </c>
      <c r="AA645" s="2" t="s">
        <v>4676</v>
      </c>
      <c r="AB645" s="2" t="s">
        <v>199</v>
      </c>
      <c r="AC645" s="2" t="s">
        <v>4677</v>
      </c>
      <c r="AF645" s="2" t="s">
        <v>3698</v>
      </c>
      <c r="AG645" s="2" t="s">
        <v>74</v>
      </c>
      <c r="AH645" s="2" t="s">
        <v>4678</v>
      </c>
      <c r="AI645" s="12" t="str">
        <f t="shared" si="129"/>
        <v>1843</v>
      </c>
      <c r="AK645" s="2" t="s">
        <v>4679</v>
      </c>
    </row>
    <row r="646" spans="1:69">
      <c r="A646" s="2" t="s">
        <v>1388</v>
      </c>
      <c r="B646" s="12" t="str">
        <f t="shared" si="122"/>
        <v>GEERE</v>
      </c>
      <c r="C646" s="12" t="str">
        <f t="shared" si="123"/>
        <v>GEERE</v>
      </c>
      <c r="D646" s="2" t="s">
        <v>4680</v>
      </c>
      <c r="E646" s="12" t="str">
        <f t="shared" si="133"/>
        <v>Willem George</v>
      </c>
      <c r="F646" s="2" t="s">
        <v>4681</v>
      </c>
      <c r="G646" s="12" t="str">
        <f t="shared" si="124"/>
        <v>a1b6c7</v>
      </c>
      <c r="H646" s="12" t="str">
        <f t="shared" si="130"/>
        <v>GEEREa1b6c7</v>
      </c>
      <c r="K646" s="12" t="str">
        <f t="shared" si="125"/>
        <v/>
      </c>
      <c r="L646" s="2" t="s">
        <v>4591</v>
      </c>
      <c r="M646" s="2" t="s">
        <v>4682</v>
      </c>
      <c r="N646" s="12" t="str">
        <f t="shared" si="131"/>
        <v/>
      </c>
      <c r="O646" s="12" t="str">
        <f t="shared" si="132"/>
        <v>1803</v>
      </c>
      <c r="P646" s="2" t="s">
        <v>4683</v>
      </c>
      <c r="Q646" s="12" t="str">
        <f t="shared" si="126"/>
        <v>1803</v>
      </c>
      <c r="R646" s="2" t="s">
        <v>4684</v>
      </c>
      <c r="S646" s="12" t="str">
        <f t="shared" si="127"/>
        <v>1880</v>
      </c>
      <c r="T646" s="2" t="s">
        <v>4591</v>
      </c>
      <c r="U646" s="2" t="s">
        <v>4685</v>
      </c>
      <c r="V646" s="12" t="str">
        <f t="shared" si="128"/>
        <v>1825</v>
      </c>
      <c r="W646" s="2" t="s">
        <v>4686</v>
      </c>
      <c r="X646" s="2" t="s">
        <v>210</v>
      </c>
      <c r="Y646" s="2" t="s">
        <v>4687</v>
      </c>
      <c r="AA646" s="2" t="s">
        <v>4688</v>
      </c>
      <c r="AB646" s="2" t="s">
        <v>74</v>
      </c>
      <c r="AC646" s="2" t="s">
        <v>4689</v>
      </c>
      <c r="AF646" s="2" t="s">
        <v>3698</v>
      </c>
      <c r="AG646" s="2" t="s">
        <v>74</v>
      </c>
      <c r="AH646" s="2" t="s">
        <v>4690</v>
      </c>
      <c r="AI646" s="12" t="str">
        <f t="shared" si="129"/>
        <v>1837</v>
      </c>
      <c r="AJ646" s="2" t="s">
        <v>277</v>
      </c>
      <c r="AK646" s="2" t="s">
        <v>90</v>
      </c>
      <c r="AY646" s="2" t="s">
        <v>804</v>
      </c>
      <c r="AZ646" s="2" t="s">
        <v>654</v>
      </c>
      <c r="BE646" s="2" t="s">
        <v>93</v>
      </c>
      <c r="BF646" s="2">
        <v>1884</v>
      </c>
    </row>
    <row r="647" spans="1:69">
      <c r="A647" s="2" t="s">
        <v>4691</v>
      </c>
      <c r="B647" s="12" t="str">
        <f t="shared" si="122"/>
        <v>GELDENHUYS</v>
      </c>
      <c r="C647" s="12" t="str">
        <f t="shared" si="123"/>
        <v>GELDENHUYS</v>
      </c>
      <c r="D647" s="2" t="s">
        <v>1707</v>
      </c>
      <c r="E647" s="12" t="str">
        <f t="shared" si="133"/>
        <v>Jan Andries</v>
      </c>
      <c r="F647" s="2" t="s">
        <v>4692</v>
      </c>
      <c r="G647" s="12" t="str">
        <f t="shared" si="124"/>
        <v>a2b3c2</v>
      </c>
      <c r="H647" s="12" t="str">
        <f t="shared" si="130"/>
        <v>GELDENHUYSa2b3c2</v>
      </c>
      <c r="J647" s="2" t="s">
        <v>4693</v>
      </c>
      <c r="K647" s="12" t="str">
        <f t="shared" si="125"/>
        <v>1813</v>
      </c>
      <c r="L647" s="2" t="s">
        <v>158</v>
      </c>
      <c r="M647" s="2" t="s">
        <v>2440</v>
      </c>
      <c r="N647" s="12" t="str">
        <f t="shared" si="131"/>
        <v>1813</v>
      </c>
      <c r="O647" s="12" t="str">
        <f t="shared" si="132"/>
        <v>1814</v>
      </c>
      <c r="Q647" s="12" t="str">
        <f t="shared" si="126"/>
        <v>1813</v>
      </c>
      <c r="S647" s="12" t="str">
        <f t="shared" si="127"/>
        <v/>
      </c>
      <c r="T647" s="2" t="s">
        <v>68</v>
      </c>
      <c r="U647" s="2" t="s">
        <v>1192</v>
      </c>
      <c r="V647" s="12" t="str">
        <f t="shared" si="128"/>
        <v>1834</v>
      </c>
      <c r="W647" s="2" t="s">
        <v>4694</v>
      </c>
      <c r="X647" s="2" t="s">
        <v>1136</v>
      </c>
      <c r="Y647" s="2" t="s">
        <v>4695</v>
      </c>
      <c r="AG647" s="2" t="s">
        <v>68</v>
      </c>
      <c r="AH647" s="2" t="s">
        <v>4696</v>
      </c>
      <c r="AI647" s="12" t="str">
        <f t="shared" si="129"/>
        <v>1844</v>
      </c>
      <c r="AK647" s="2" t="s">
        <v>4697</v>
      </c>
    </row>
    <row r="648" spans="1:69">
      <c r="A648" s="2" t="s">
        <v>4706</v>
      </c>
      <c r="B648" s="12" t="str">
        <f t="shared" si="122"/>
        <v>GEYSER</v>
      </c>
      <c r="C648" s="12" t="str">
        <f t="shared" si="123"/>
        <v>GEYSER</v>
      </c>
      <c r="D648" s="2" t="s">
        <v>4707</v>
      </c>
      <c r="E648" s="12" t="str">
        <f t="shared" si="133"/>
        <v>Hendrik Josephus</v>
      </c>
      <c r="F648" s="12" t="s">
        <v>3052</v>
      </c>
      <c r="G648" s="12" t="str">
        <f t="shared" si="124"/>
        <v>a1b6c3</v>
      </c>
      <c r="H648" s="12" t="str">
        <f t="shared" si="130"/>
        <v>GEYSERa1b6c3</v>
      </c>
      <c r="K648" s="12" t="str">
        <f t="shared" si="125"/>
        <v/>
      </c>
      <c r="M648" s="2">
        <v>1801</v>
      </c>
      <c r="N648" s="12" t="str">
        <f t="shared" si="131"/>
        <v/>
      </c>
      <c r="O648" s="12" t="str">
        <f t="shared" si="132"/>
        <v>1801</v>
      </c>
      <c r="P648" s="2" t="s">
        <v>3387</v>
      </c>
      <c r="Q648" s="12" t="str">
        <f t="shared" si="126"/>
        <v>1801</v>
      </c>
      <c r="R648" s="2">
        <v>1870</v>
      </c>
      <c r="S648" s="12" t="str">
        <f t="shared" si="127"/>
        <v>1870</v>
      </c>
      <c r="T648" s="2" t="s">
        <v>199</v>
      </c>
      <c r="U648" s="2" t="s">
        <v>3410</v>
      </c>
      <c r="V648" s="12" t="str">
        <f t="shared" si="128"/>
        <v>1825</v>
      </c>
      <c r="W648" s="2" t="s">
        <v>1410</v>
      </c>
      <c r="X648" s="2" t="s">
        <v>731</v>
      </c>
      <c r="Y648" s="2" t="s">
        <v>4708</v>
      </c>
      <c r="AC648" s="2" t="s">
        <v>4709</v>
      </c>
      <c r="AD648" s="2" t="s">
        <v>3387</v>
      </c>
      <c r="AE648" s="2">
        <v>1880</v>
      </c>
      <c r="AF648" s="2" t="s">
        <v>4710</v>
      </c>
      <c r="AG648" s="2" t="s">
        <v>199</v>
      </c>
      <c r="AH648" s="2">
        <v>1840</v>
      </c>
      <c r="AI648" s="12" t="str">
        <f t="shared" si="129"/>
        <v>1840</v>
      </c>
      <c r="AJ648" s="2" t="s">
        <v>4711</v>
      </c>
      <c r="AK648" s="2" t="s">
        <v>4712</v>
      </c>
    </row>
    <row r="649" spans="1:69">
      <c r="A649" s="2" t="s">
        <v>4698</v>
      </c>
      <c r="B649" s="12" t="str">
        <f t="shared" si="122"/>
        <v>GILDENHUIZEN</v>
      </c>
      <c r="C649" s="12" t="str">
        <f t="shared" si="123"/>
        <v>GILDENHUIZEN</v>
      </c>
      <c r="D649" s="2" t="s">
        <v>201</v>
      </c>
      <c r="E649" s="12" t="str">
        <f t="shared" si="133"/>
        <v>Petrus Johannes</v>
      </c>
      <c r="F649" s="2" t="s">
        <v>4699</v>
      </c>
      <c r="G649" s="12" t="str">
        <f t="shared" si="124"/>
        <v>a1b6c3d5e8f3</v>
      </c>
      <c r="H649" s="12" t="str">
        <f t="shared" si="130"/>
        <v>GILDENHUIZENa1b6c3d5e8f3</v>
      </c>
      <c r="J649" s="2" t="s">
        <v>4700</v>
      </c>
      <c r="K649" s="12" t="str">
        <f t="shared" si="125"/>
        <v>1819</v>
      </c>
      <c r="L649" s="2" t="s">
        <v>32</v>
      </c>
      <c r="M649" s="2" t="s">
        <v>4701</v>
      </c>
      <c r="N649" s="12" t="str">
        <f t="shared" si="131"/>
        <v>1819</v>
      </c>
      <c r="O649" s="12" t="str">
        <f t="shared" si="132"/>
        <v>1820</v>
      </c>
      <c r="P649" s="2" t="s">
        <v>4702</v>
      </c>
      <c r="Q649" s="12" t="str">
        <f t="shared" si="126"/>
        <v>1819</v>
      </c>
      <c r="R649" s="2" t="s">
        <v>4703</v>
      </c>
      <c r="S649" s="12" t="str">
        <f t="shared" si="127"/>
        <v>1866</v>
      </c>
      <c r="V649" s="12" t="str">
        <f t="shared" si="128"/>
        <v/>
      </c>
      <c r="W649" s="2" t="s">
        <v>1903</v>
      </c>
      <c r="X649" s="2" t="s">
        <v>2394</v>
      </c>
      <c r="AG649" s="2" t="s">
        <v>60</v>
      </c>
      <c r="AH649" s="2" t="s">
        <v>385</v>
      </c>
      <c r="AI649" s="12" t="str">
        <f t="shared" si="129"/>
        <v>1840</v>
      </c>
      <c r="AK649" s="2" t="s">
        <v>4704</v>
      </c>
      <c r="BQ649" s="2" t="s">
        <v>4705</v>
      </c>
    </row>
    <row r="650" spans="1:69">
      <c r="A650" s="2" t="s">
        <v>657</v>
      </c>
      <c r="B650" s="12" t="str">
        <f t="shared" si="122"/>
        <v>GOUWS</v>
      </c>
      <c r="C650" s="12" t="str">
        <f t="shared" si="123"/>
        <v>GOUWS</v>
      </c>
      <c r="D650" s="2" t="s">
        <v>4308</v>
      </c>
      <c r="E650" s="12" t="str">
        <f t="shared" si="133"/>
        <v>Pieter Johannes</v>
      </c>
      <c r="F650" s="2" t="s">
        <v>4763</v>
      </c>
      <c r="G650" s="12" t="str">
        <f t="shared" si="124"/>
        <v>a1b10c1</v>
      </c>
      <c r="H650" s="12" t="str">
        <f t="shared" si="130"/>
        <v>GOUWSa1b10c1</v>
      </c>
      <c r="K650" s="12" t="str">
        <f t="shared" si="125"/>
        <v/>
      </c>
      <c r="M650" s="2" t="s">
        <v>3835</v>
      </c>
      <c r="N650" s="12" t="str">
        <f t="shared" si="131"/>
        <v/>
      </c>
      <c r="O650" s="12" t="str">
        <f t="shared" si="132"/>
        <v>1808</v>
      </c>
      <c r="Q650" s="12" t="str">
        <f t="shared" si="126"/>
        <v>1808</v>
      </c>
      <c r="S650" s="12" t="str">
        <f t="shared" si="127"/>
        <v/>
      </c>
      <c r="T650" s="2" t="s">
        <v>53</v>
      </c>
      <c r="U650" s="2" t="s">
        <v>4764</v>
      </c>
      <c r="V650" s="12" t="str">
        <f t="shared" si="128"/>
        <v>1830</v>
      </c>
      <c r="W650" s="2" t="s">
        <v>4765</v>
      </c>
      <c r="X650" s="2" t="s">
        <v>636</v>
      </c>
      <c r="AG650" s="2" t="s">
        <v>53</v>
      </c>
      <c r="AH650" s="2" t="s">
        <v>2489</v>
      </c>
      <c r="AI650" s="12" t="str">
        <f t="shared" si="129"/>
        <v>1841</v>
      </c>
      <c r="AK650" s="2" t="s">
        <v>1301</v>
      </c>
    </row>
    <row r="651" spans="1:69">
      <c r="A651" s="2" t="s">
        <v>657</v>
      </c>
      <c r="B651" s="12" t="str">
        <f t="shared" si="122"/>
        <v>GOUWS</v>
      </c>
      <c r="C651" s="12" t="str">
        <f t="shared" si="123"/>
        <v>GOUWS</v>
      </c>
      <c r="D651" s="2" t="s">
        <v>1464</v>
      </c>
      <c r="E651" s="12" t="str">
        <f t="shared" si="133"/>
        <v>Willem</v>
      </c>
      <c r="F651" s="2" t="s">
        <v>4777</v>
      </c>
      <c r="G651" s="12" t="str">
        <f t="shared" si="124"/>
        <v>a1b1c1d1e6</v>
      </c>
      <c r="H651" s="12" t="str">
        <f t="shared" si="130"/>
        <v>GOUWSa1b1c1d1e6</v>
      </c>
      <c r="K651" s="12" t="str">
        <f t="shared" si="125"/>
        <v/>
      </c>
      <c r="M651" s="2" t="s">
        <v>3060</v>
      </c>
      <c r="N651" s="12" t="str">
        <f t="shared" si="131"/>
        <v/>
      </c>
      <c r="O651" s="12" t="str">
        <f t="shared" si="132"/>
        <v>1792</v>
      </c>
      <c r="Q651" s="12" t="str">
        <f t="shared" si="126"/>
        <v>1792</v>
      </c>
      <c r="S651" s="12" t="str">
        <f t="shared" si="127"/>
        <v/>
      </c>
      <c r="T651" s="2" t="s">
        <v>74</v>
      </c>
      <c r="U651" s="2" t="s">
        <v>4778</v>
      </c>
      <c r="V651" s="12" t="str">
        <f t="shared" si="128"/>
        <v>1813</v>
      </c>
      <c r="W651" s="2" t="s">
        <v>4779</v>
      </c>
      <c r="X651" s="2" t="s">
        <v>1034</v>
      </c>
      <c r="AD651" s="2" t="s">
        <v>90</v>
      </c>
      <c r="AE651" s="2" t="s">
        <v>4780</v>
      </c>
      <c r="AF651" s="2" t="s">
        <v>3699</v>
      </c>
      <c r="AG651" s="2" t="s">
        <v>68</v>
      </c>
      <c r="AH651" s="2">
        <v>1837</v>
      </c>
      <c r="AI651" s="12" t="str">
        <f t="shared" si="129"/>
        <v>1837</v>
      </c>
      <c r="AJ651" s="2" t="s">
        <v>4784</v>
      </c>
      <c r="AK651" s="2" t="s">
        <v>90</v>
      </c>
      <c r="AL651" s="2" t="s">
        <v>168</v>
      </c>
      <c r="AM651" s="2" t="s">
        <v>4781</v>
      </c>
      <c r="AN651" s="2" t="s">
        <v>1516</v>
      </c>
      <c r="AO651" s="2" t="s">
        <v>4782</v>
      </c>
      <c r="AP651" s="2" t="s">
        <v>4783</v>
      </c>
      <c r="AT651" s="2" t="s">
        <v>3271</v>
      </c>
    </row>
    <row r="652" spans="1:69">
      <c r="A652" s="2" t="s">
        <v>657</v>
      </c>
      <c r="B652" s="12" t="str">
        <f t="shared" si="122"/>
        <v>GOUWS</v>
      </c>
      <c r="C652" s="12" t="str">
        <f t="shared" si="123"/>
        <v>GOUWS</v>
      </c>
      <c r="D652" s="2" t="s">
        <v>4756</v>
      </c>
      <c r="E652" s="12" t="str">
        <f t="shared" si="133"/>
        <v xml:space="preserve">Petrus Andries </v>
      </c>
      <c r="F652" s="2" t="s">
        <v>4757</v>
      </c>
      <c r="G652" s="12" t="str">
        <f t="shared" si="124"/>
        <v>a1b3c10d1</v>
      </c>
      <c r="H652" s="12" t="str">
        <f t="shared" si="130"/>
        <v>GOUWSa1b3c10d1</v>
      </c>
      <c r="K652" s="12" t="str">
        <f t="shared" si="125"/>
        <v/>
      </c>
      <c r="M652" s="2" t="s">
        <v>4758</v>
      </c>
      <c r="N652" s="12" t="str">
        <f t="shared" si="131"/>
        <v/>
      </c>
      <c r="O652" s="12" t="str">
        <f t="shared" si="132"/>
        <v>1781</v>
      </c>
      <c r="P652" s="2" t="s">
        <v>90</v>
      </c>
      <c r="Q652" s="12" t="str">
        <f t="shared" si="126"/>
        <v>1781</v>
      </c>
      <c r="R652" s="2" t="s">
        <v>4759</v>
      </c>
      <c r="S652" s="12" t="str">
        <f t="shared" si="127"/>
        <v>1844</v>
      </c>
      <c r="V652" s="12" t="str">
        <f t="shared" si="128"/>
        <v/>
      </c>
      <c r="W652" s="2" t="s">
        <v>4760</v>
      </c>
      <c r="X652" s="2" t="s">
        <v>4753</v>
      </c>
      <c r="Y652" s="2" t="s">
        <v>4761</v>
      </c>
      <c r="AC652" s="2" t="s">
        <v>4762</v>
      </c>
      <c r="AD652" s="2" t="s">
        <v>140</v>
      </c>
      <c r="AE652" s="2" t="s">
        <v>1318</v>
      </c>
      <c r="AG652" s="2" t="s">
        <v>53</v>
      </c>
      <c r="AH652" s="2" t="s">
        <v>4755</v>
      </c>
      <c r="AI652" s="12" t="str">
        <f t="shared" si="129"/>
        <v>37/8</v>
      </c>
      <c r="AK652" s="2" t="s">
        <v>90</v>
      </c>
    </row>
    <row r="653" spans="1:69">
      <c r="A653" s="2" t="s">
        <v>657</v>
      </c>
      <c r="B653" s="12" t="str">
        <f t="shared" si="122"/>
        <v>GOUWS</v>
      </c>
      <c r="C653" s="12" t="str">
        <f t="shared" si="123"/>
        <v>GOUWS</v>
      </c>
      <c r="D653" s="2" t="s">
        <v>4749</v>
      </c>
      <c r="E653" s="12" t="str">
        <f t="shared" si="133"/>
        <v>Marthinus Gerhardus</v>
      </c>
      <c r="F653" s="2" t="s">
        <v>4750</v>
      </c>
      <c r="G653" s="12" t="str">
        <f t="shared" si="124"/>
        <v>a1b3c10d1e2</v>
      </c>
      <c r="H653" s="12" t="str">
        <f t="shared" si="130"/>
        <v>GOUWSa1b3c10d1e2</v>
      </c>
      <c r="J653" s="2" t="s">
        <v>4751</v>
      </c>
      <c r="K653" s="12" t="str">
        <f t="shared" si="125"/>
        <v>1810</v>
      </c>
      <c r="L653" s="2" t="s">
        <v>74</v>
      </c>
      <c r="M653" s="2" t="s">
        <v>4752</v>
      </c>
      <c r="N653" s="12" t="str">
        <f t="shared" si="131"/>
        <v>1810</v>
      </c>
      <c r="O653" s="12" t="str">
        <f t="shared" si="132"/>
        <v>1811</v>
      </c>
      <c r="Q653" s="12" t="str">
        <f t="shared" si="126"/>
        <v>1810</v>
      </c>
      <c r="S653" s="12" t="str">
        <f t="shared" si="127"/>
        <v/>
      </c>
      <c r="V653" s="12" t="str">
        <f t="shared" si="128"/>
        <v/>
      </c>
      <c r="W653" s="2" t="s">
        <v>1903</v>
      </c>
      <c r="X653" s="2" t="s">
        <v>4753</v>
      </c>
      <c r="Y653" s="2" t="s">
        <v>4754</v>
      </c>
      <c r="AG653" s="2" t="s">
        <v>28</v>
      </c>
      <c r="AH653" s="2" t="s">
        <v>4755</v>
      </c>
      <c r="AI653" s="12" t="str">
        <f t="shared" si="129"/>
        <v>37/8</v>
      </c>
      <c r="AK653" s="2" t="s">
        <v>90</v>
      </c>
    </row>
    <row r="654" spans="1:69">
      <c r="A654" s="2" t="s">
        <v>657</v>
      </c>
      <c r="B654" s="12" t="str">
        <f t="shared" si="122"/>
        <v>GOUWS</v>
      </c>
      <c r="C654" s="12" t="str">
        <f t="shared" si="123"/>
        <v>GOUWS</v>
      </c>
      <c r="D654" s="2" t="s">
        <v>4716</v>
      </c>
      <c r="E654" s="12" t="str">
        <f t="shared" si="133"/>
        <v>Andries Evert Stephanus</v>
      </c>
      <c r="F654" s="2" t="s">
        <v>4717</v>
      </c>
      <c r="G654" s="12" t="str">
        <f t="shared" si="124"/>
        <v>a1b3c10d1e4</v>
      </c>
      <c r="H654" s="12" t="str">
        <f t="shared" si="130"/>
        <v>GOUWSa1b3c10d1e4</v>
      </c>
      <c r="J654" s="2" t="s">
        <v>4718</v>
      </c>
      <c r="K654" s="12" t="str">
        <f t="shared" si="125"/>
        <v>1818</v>
      </c>
      <c r="L654" s="2" t="s">
        <v>53</v>
      </c>
      <c r="M654" s="2" t="s">
        <v>4720</v>
      </c>
      <c r="N654" s="12" t="str">
        <f t="shared" si="131"/>
        <v>1818</v>
      </c>
      <c r="O654" s="12" t="str">
        <f t="shared" si="132"/>
        <v>1819</v>
      </c>
      <c r="Q654" s="12" t="str">
        <f t="shared" si="126"/>
        <v>1818</v>
      </c>
      <c r="S654" s="12" t="str">
        <f t="shared" si="127"/>
        <v/>
      </c>
      <c r="T654" s="2" t="s">
        <v>28</v>
      </c>
      <c r="U654" s="2" t="s">
        <v>4719</v>
      </c>
      <c r="V654" s="12" t="str">
        <f t="shared" si="128"/>
        <v>1837</v>
      </c>
      <c r="W654" s="2" t="s">
        <v>4721</v>
      </c>
      <c r="X654" s="2" t="s">
        <v>1682</v>
      </c>
      <c r="AG654" s="2" t="s">
        <v>28</v>
      </c>
      <c r="AH654" s="2">
        <v>1839</v>
      </c>
      <c r="AI654" s="12" t="str">
        <f t="shared" si="129"/>
        <v>1839</v>
      </c>
      <c r="AK654" s="2" t="s">
        <v>551</v>
      </c>
      <c r="AN654" s="2" t="s">
        <v>4722</v>
      </c>
      <c r="AO654" s="2" t="s">
        <v>637</v>
      </c>
      <c r="AP654" s="2" t="s">
        <v>4723</v>
      </c>
      <c r="AT654" s="2" t="s">
        <v>2530</v>
      </c>
    </row>
    <row r="655" spans="1:69">
      <c r="A655" s="2" t="s">
        <v>657</v>
      </c>
      <c r="B655" s="12" t="str">
        <f t="shared" si="122"/>
        <v>GOUWS</v>
      </c>
      <c r="C655" s="12" t="str">
        <f t="shared" si="123"/>
        <v>GOUWS</v>
      </c>
      <c r="D655" s="2" t="s">
        <v>1057</v>
      </c>
      <c r="E655" s="12" t="str">
        <f t="shared" si="133"/>
        <v>Roelof Johannes</v>
      </c>
      <c r="F655" s="2" t="s">
        <v>4771</v>
      </c>
      <c r="G655" s="12" t="str">
        <f t="shared" si="124"/>
        <v>a1b3c4d1e1f8</v>
      </c>
      <c r="H655" s="12" t="str">
        <f t="shared" si="130"/>
        <v>GOUWSa1b3c4d1e1f8</v>
      </c>
      <c r="J655" s="2" t="s">
        <v>4772</v>
      </c>
      <c r="K655" s="12" t="str">
        <f t="shared" si="125"/>
        <v>1820</v>
      </c>
      <c r="L655" s="2" t="s">
        <v>366</v>
      </c>
      <c r="M655" s="2" t="s">
        <v>4773</v>
      </c>
      <c r="N655" s="12" t="str">
        <f t="shared" si="131"/>
        <v>1820</v>
      </c>
      <c r="O655" s="12" t="str">
        <f t="shared" si="132"/>
        <v>1820</v>
      </c>
      <c r="Q655" s="12" t="str">
        <f t="shared" si="126"/>
        <v>1820</v>
      </c>
      <c r="S655" s="12" t="str">
        <f t="shared" si="127"/>
        <v/>
      </c>
      <c r="V655" s="12" t="str">
        <f t="shared" si="128"/>
        <v/>
      </c>
      <c r="W655" s="2" t="s">
        <v>2371</v>
      </c>
      <c r="X655" s="2" t="s">
        <v>778</v>
      </c>
      <c r="Y655" s="2" t="s">
        <v>4774</v>
      </c>
      <c r="AB655" s="2" t="s">
        <v>366</v>
      </c>
      <c r="AC655" s="2" t="s">
        <v>508</v>
      </c>
      <c r="AG655" s="2" t="s">
        <v>366</v>
      </c>
      <c r="AH655" s="2" t="s">
        <v>4775</v>
      </c>
      <c r="AI655" s="12" t="str">
        <f t="shared" si="129"/>
        <v>1842</v>
      </c>
      <c r="AK655" s="2" t="s">
        <v>140</v>
      </c>
    </row>
    <row r="656" spans="1:69">
      <c r="A656" s="12" t="s">
        <v>657</v>
      </c>
      <c r="B656" s="12" t="str">
        <f t="shared" si="122"/>
        <v>GOUWS</v>
      </c>
      <c r="C656" s="12" t="str">
        <f t="shared" si="123"/>
        <v>GOUWS</v>
      </c>
      <c r="D656" s="12" t="s">
        <v>4739</v>
      </c>
      <c r="E656" s="12" t="str">
        <f t="shared" si="133"/>
        <v>Jacob Marthinus</v>
      </c>
      <c r="F656" s="12" t="s">
        <v>4740</v>
      </c>
      <c r="G656" s="12" t="str">
        <f t="shared" si="124"/>
        <v>a1b3c4d1e4</v>
      </c>
      <c r="H656" s="12" t="str">
        <f t="shared" si="130"/>
        <v>GOUWSa1b3c4d1e4</v>
      </c>
      <c r="I656" s="12"/>
      <c r="J656" s="12"/>
      <c r="K656" s="12" t="str">
        <f t="shared" si="125"/>
        <v/>
      </c>
      <c r="L656" s="12"/>
      <c r="M656" s="12" t="s">
        <v>4741</v>
      </c>
      <c r="N656" s="12" t="str">
        <f t="shared" si="131"/>
        <v/>
      </c>
      <c r="O656" s="12" t="str">
        <f t="shared" si="132"/>
        <v>1791</v>
      </c>
      <c r="P656" s="12" t="s">
        <v>90</v>
      </c>
      <c r="Q656" s="12" t="str">
        <f t="shared" si="126"/>
        <v>1791</v>
      </c>
      <c r="R656" s="12" t="s">
        <v>2765</v>
      </c>
      <c r="S656" s="12" t="str">
        <f t="shared" si="127"/>
        <v>1838</v>
      </c>
      <c r="T656" s="12" t="s">
        <v>32</v>
      </c>
      <c r="U656" s="12" t="s">
        <v>4742</v>
      </c>
      <c r="V656" s="12" t="str">
        <f t="shared" si="128"/>
        <v>1860</v>
      </c>
      <c r="W656" s="12" t="s">
        <v>4743</v>
      </c>
      <c r="X656" s="12" t="s">
        <v>757</v>
      </c>
      <c r="Y656" s="12" t="s">
        <v>4744</v>
      </c>
      <c r="Z656" s="12"/>
      <c r="AA656" s="12"/>
      <c r="AB656" s="12"/>
      <c r="AC656" s="12" t="s">
        <v>4745</v>
      </c>
      <c r="AD656" s="12"/>
      <c r="AE656" s="12"/>
      <c r="AF656" s="12" t="s">
        <v>4746</v>
      </c>
      <c r="AG656" s="12" t="s">
        <v>32</v>
      </c>
      <c r="AH656" s="12" t="s">
        <v>4747</v>
      </c>
      <c r="AI656" s="12" t="str">
        <f t="shared" si="129"/>
        <v>1837</v>
      </c>
      <c r="AJ656" s="12" t="s">
        <v>272</v>
      </c>
      <c r="AK656" s="12" t="s">
        <v>4748</v>
      </c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</row>
    <row r="657" spans="1:59">
      <c r="A657" s="12" t="s">
        <v>657</v>
      </c>
      <c r="B657" s="12" t="str">
        <f t="shared" si="122"/>
        <v>GOUWS</v>
      </c>
      <c r="C657" s="12" t="str">
        <f t="shared" si="123"/>
        <v>GOUWS</v>
      </c>
      <c r="D657" s="12" t="s">
        <v>4453</v>
      </c>
      <c r="E657" s="12" t="str">
        <f t="shared" si="133"/>
        <v>Pieter Marthinus</v>
      </c>
      <c r="F657" s="12" t="s">
        <v>4766</v>
      </c>
      <c r="G657" s="12" t="str">
        <f t="shared" si="124"/>
        <v>a1b3c4d1e4f2</v>
      </c>
      <c r="H657" s="12" t="str">
        <f t="shared" si="130"/>
        <v>GOUWSa1b3c4d1e4f2</v>
      </c>
      <c r="I657" s="12"/>
      <c r="J657" s="12"/>
      <c r="K657" s="12" t="str">
        <f t="shared" si="125"/>
        <v/>
      </c>
      <c r="L657" s="12" t="s">
        <v>1071</v>
      </c>
      <c r="M657" s="12" t="s">
        <v>1247</v>
      </c>
      <c r="N657" s="12" t="str">
        <f t="shared" si="131"/>
        <v/>
      </c>
      <c r="O657" s="12" t="str">
        <f t="shared" si="132"/>
        <v>1815</v>
      </c>
      <c r="P657" s="12"/>
      <c r="Q657" s="12" t="str">
        <f t="shared" si="126"/>
        <v>1815</v>
      </c>
      <c r="R657" s="12"/>
      <c r="S657" s="12" t="str">
        <f t="shared" si="127"/>
        <v/>
      </c>
      <c r="T657" s="12" t="s">
        <v>32</v>
      </c>
      <c r="U657" s="12" t="s">
        <v>4767</v>
      </c>
      <c r="V657" s="12" t="str">
        <f t="shared" si="128"/>
        <v>1833</v>
      </c>
      <c r="W657" s="12" t="s">
        <v>4768</v>
      </c>
      <c r="X657" s="12" t="s">
        <v>2383</v>
      </c>
      <c r="Y657" s="12"/>
      <c r="Z657" s="12"/>
      <c r="AA657" s="12"/>
      <c r="AB657" s="12"/>
      <c r="AC657" s="12"/>
      <c r="AD657" s="12"/>
      <c r="AE657" s="12"/>
      <c r="AF657" s="12" t="s">
        <v>4746</v>
      </c>
      <c r="AG657" s="12" t="s">
        <v>32</v>
      </c>
      <c r="AH657" s="12" t="s">
        <v>4769</v>
      </c>
      <c r="AI657" s="12" t="str">
        <f t="shared" si="129"/>
        <v>1837</v>
      </c>
      <c r="AJ657" s="12" t="s">
        <v>4770</v>
      </c>
      <c r="AK657" s="12" t="s">
        <v>90</v>
      </c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</row>
    <row r="658" spans="1:59">
      <c r="A658" s="12" t="s">
        <v>657</v>
      </c>
      <c r="B658" s="12" t="str">
        <f t="shared" si="122"/>
        <v>GOUWS</v>
      </c>
      <c r="C658" s="12" t="str">
        <f t="shared" si="123"/>
        <v>GOUWS</v>
      </c>
      <c r="D658" s="12" t="s">
        <v>4730</v>
      </c>
      <c r="E658" s="12" t="str">
        <f t="shared" si="133"/>
        <v>Jacob Joseph</v>
      </c>
      <c r="F658" s="12" t="s">
        <v>4731</v>
      </c>
      <c r="G658" s="12" t="str">
        <f t="shared" si="124"/>
        <v>a1b3c4d1e4f5</v>
      </c>
      <c r="H658" s="12" t="str">
        <f t="shared" si="130"/>
        <v>GOUWSa1b3c4d1e4f5</v>
      </c>
      <c r="I658" s="12"/>
      <c r="J658" s="12" t="s">
        <v>4732</v>
      </c>
      <c r="K658" s="12" t="str">
        <f t="shared" si="125"/>
        <v>1821</v>
      </c>
      <c r="L658" s="12" t="s">
        <v>395</v>
      </c>
      <c r="M658" s="12" t="s">
        <v>4733</v>
      </c>
      <c r="N658" s="12" t="str">
        <f t="shared" si="131"/>
        <v>1821</v>
      </c>
      <c r="O658" s="12" t="str">
        <f t="shared" si="132"/>
        <v>1821</v>
      </c>
      <c r="P658" s="12"/>
      <c r="Q658" s="12" t="str">
        <f t="shared" si="126"/>
        <v>1821</v>
      </c>
      <c r="R658" s="12" t="s">
        <v>4734</v>
      </c>
      <c r="S658" s="12" t="str">
        <f t="shared" si="127"/>
        <v>1884</v>
      </c>
      <c r="T658" s="12" t="s">
        <v>168</v>
      </c>
      <c r="U658" s="12" t="s">
        <v>1701</v>
      </c>
      <c r="V658" s="12" t="str">
        <f t="shared" si="128"/>
        <v>1843</v>
      </c>
      <c r="W658" s="12" t="s">
        <v>4735</v>
      </c>
      <c r="X658" s="12" t="s">
        <v>655</v>
      </c>
      <c r="Y658" s="12"/>
      <c r="Z658" s="12"/>
      <c r="AA658" s="12" t="s">
        <v>4736</v>
      </c>
      <c r="AB658" s="12"/>
      <c r="AC658" s="12"/>
      <c r="AD658" s="12"/>
      <c r="AE658" s="12" t="s">
        <v>4737</v>
      </c>
      <c r="AF658" s="12"/>
      <c r="AG658" s="12" t="s">
        <v>366</v>
      </c>
      <c r="AH658" s="12" t="s">
        <v>4738</v>
      </c>
      <c r="AI658" s="12" t="str">
        <f t="shared" si="129"/>
        <v>1840</v>
      </c>
      <c r="AJ658" s="12"/>
      <c r="AK658" s="12" t="s">
        <v>90</v>
      </c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</row>
    <row r="659" spans="1:59">
      <c r="A659" s="2" t="s">
        <v>657</v>
      </c>
      <c r="B659" s="12" t="str">
        <f t="shared" si="122"/>
        <v>GOUWS</v>
      </c>
      <c r="C659" s="12" t="str">
        <f t="shared" si="123"/>
        <v>GOUWS</v>
      </c>
      <c r="D659" s="2" t="s">
        <v>1147</v>
      </c>
      <c r="E659" s="12" t="str">
        <f t="shared" si="133"/>
        <v>Cornelis</v>
      </c>
      <c r="F659" s="2" t="s">
        <v>4724</v>
      </c>
      <c r="G659" s="12" t="str">
        <f t="shared" si="124"/>
        <v>a1b3c4d5e5</v>
      </c>
      <c r="H659" s="12" t="str">
        <f t="shared" si="130"/>
        <v>GOUWSa1b3c4d5e5</v>
      </c>
      <c r="K659" s="12" t="str">
        <f t="shared" si="125"/>
        <v/>
      </c>
      <c r="M659" s="2" t="s">
        <v>4725</v>
      </c>
      <c r="N659" s="12" t="str">
        <f t="shared" si="131"/>
        <v/>
      </c>
      <c r="O659" s="12" t="str">
        <f t="shared" si="132"/>
        <v>1797</v>
      </c>
      <c r="Q659" s="12" t="str">
        <f t="shared" si="126"/>
        <v>1797</v>
      </c>
      <c r="S659" s="12" t="str">
        <f t="shared" si="127"/>
        <v/>
      </c>
      <c r="T659" s="2" t="s">
        <v>53</v>
      </c>
      <c r="U659" s="2" t="s">
        <v>4726</v>
      </c>
      <c r="V659" s="12" t="str">
        <f t="shared" si="128"/>
        <v>1829</v>
      </c>
      <c r="W659" s="2" t="s">
        <v>4727</v>
      </c>
      <c r="X659" s="2" t="s">
        <v>696</v>
      </c>
      <c r="Y659" s="2" t="s">
        <v>4728</v>
      </c>
      <c r="AC659" s="2" t="s">
        <v>4729</v>
      </c>
      <c r="AG659" s="2" t="s">
        <v>53</v>
      </c>
      <c r="AH659" s="2">
        <v>1840</v>
      </c>
      <c r="AI659" s="12" t="str">
        <f t="shared" si="129"/>
        <v>1840</v>
      </c>
      <c r="AK659" s="2" t="s">
        <v>90</v>
      </c>
    </row>
    <row r="660" spans="1:59">
      <c r="A660" s="2" t="s">
        <v>730</v>
      </c>
      <c r="B660" s="12" t="str">
        <f t="shared" si="122"/>
        <v>GREYLING</v>
      </c>
      <c r="C660" s="12" t="str">
        <f t="shared" si="123"/>
        <v>GREYLING</v>
      </c>
      <c r="D660" s="2" t="s">
        <v>1496</v>
      </c>
      <c r="E660" s="12" t="str">
        <f t="shared" si="133"/>
        <v>Abraham Carel</v>
      </c>
      <c r="F660" s="2" t="s">
        <v>4786</v>
      </c>
      <c r="G660" s="12" t="str">
        <f t="shared" si="124"/>
        <v>a1b11c2d1</v>
      </c>
      <c r="H660" s="12" t="str">
        <f t="shared" si="130"/>
        <v>GREYLINGa1b11c2d1</v>
      </c>
      <c r="J660" s="2" t="s">
        <v>4787</v>
      </c>
      <c r="K660" s="12" t="str">
        <f t="shared" si="125"/>
        <v>1799</v>
      </c>
      <c r="M660" s="2" t="s">
        <v>4788</v>
      </c>
      <c r="N660" s="12" t="str">
        <f t="shared" si="131"/>
        <v>1799</v>
      </c>
      <c r="O660" s="12" t="str">
        <f t="shared" si="132"/>
        <v>1799</v>
      </c>
      <c r="P660" s="2" t="s">
        <v>90</v>
      </c>
      <c r="Q660" s="12" t="str">
        <f t="shared" si="126"/>
        <v>1799</v>
      </c>
      <c r="R660" s="2" t="s">
        <v>72</v>
      </c>
      <c r="S660" s="12" t="str">
        <f t="shared" si="127"/>
        <v>1838</v>
      </c>
      <c r="V660" s="12" t="str">
        <f t="shared" si="128"/>
        <v/>
      </c>
      <c r="W660" s="2" t="s">
        <v>4789</v>
      </c>
      <c r="X660" s="2" t="s">
        <v>1590</v>
      </c>
      <c r="AF660" s="2" t="s">
        <v>3728</v>
      </c>
      <c r="AG660" s="2" t="s">
        <v>346</v>
      </c>
      <c r="AH660" s="2" t="s">
        <v>1542</v>
      </c>
      <c r="AI660" s="12" t="str">
        <f t="shared" si="129"/>
        <v>1837</v>
      </c>
      <c r="AJ660" s="2" t="s">
        <v>4797</v>
      </c>
      <c r="AL660" s="2" t="s">
        <v>331</v>
      </c>
      <c r="AM660" s="2" t="s">
        <v>4790</v>
      </c>
      <c r="AN660" s="2" t="s">
        <v>4791</v>
      </c>
      <c r="AO660" s="2" t="s">
        <v>4792</v>
      </c>
      <c r="AP660" s="2" t="s">
        <v>4793</v>
      </c>
      <c r="AR660" s="2" t="s">
        <v>4794</v>
      </c>
      <c r="AS660" s="2" t="s">
        <v>4795</v>
      </c>
      <c r="AT660" s="2" t="s">
        <v>4796</v>
      </c>
    </row>
    <row r="661" spans="1:59">
      <c r="A661" s="2" t="s">
        <v>730</v>
      </c>
      <c r="B661" s="12" t="str">
        <f t="shared" si="122"/>
        <v>GREYLING</v>
      </c>
      <c r="C661" s="12" t="str">
        <f t="shared" si="123"/>
        <v>GREYLING</v>
      </c>
      <c r="D661" s="2" t="s">
        <v>3232</v>
      </c>
      <c r="E661" s="12" t="str">
        <f t="shared" si="133"/>
        <v>Pieter Jacobus</v>
      </c>
      <c r="F661" s="2" t="s">
        <v>4850</v>
      </c>
      <c r="G661" s="12" t="str">
        <f t="shared" si="124"/>
        <v>a1b11c2d2</v>
      </c>
      <c r="H661" s="12" t="str">
        <f t="shared" si="130"/>
        <v>GREYLINGa1b11c2d2</v>
      </c>
      <c r="J661" s="2" t="s">
        <v>4851</v>
      </c>
      <c r="K661" s="12" t="str">
        <f t="shared" si="125"/>
        <v>1801</v>
      </c>
      <c r="M661" s="2" t="s">
        <v>212</v>
      </c>
      <c r="N661" s="12" t="str">
        <f t="shared" si="131"/>
        <v>1801</v>
      </c>
      <c r="O661" s="12" t="str">
        <f t="shared" si="132"/>
        <v>1801</v>
      </c>
      <c r="Q661" s="12" t="str">
        <f t="shared" si="126"/>
        <v>1801</v>
      </c>
      <c r="S661" s="12" t="str">
        <f t="shared" si="127"/>
        <v/>
      </c>
      <c r="T661" s="2" t="s">
        <v>74</v>
      </c>
      <c r="U661" s="2" t="s">
        <v>4852</v>
      </c>
      <c r="V661" s="12" t="str">
        <f t="shared" si="128"/>
        <v>1823</v>
      </c>
      <c r="W661" s="2" t="s">
        <v>2296</v>
      </c>
      <c r="X661" s="2" t="s">
        <v>1495</v>
      </c>
      <c r="Y661" s="2" t="s">
        <v>1519</v>
      </c>
      <c r="AC661" s="2" t="s">
        <v>4853</v>
      </c>
      <c r="AF661" s="2" t="s">
        <v>3728</v>
      </c>
      <c r="AG661" s="2" t="s">
        <v>346</v>
      </c>
      <c r="AH661" s="2" t="s">
        <v>1542</v>
      </c>
      <c r="AI661" s="12" t="str">
        <f t="shared" si="129"/>
        <v>1837</v>
      </c>
      <c r="AJ661" s="2" t="s">
        <v>4797</v>
      </c>
      <c r="AK661" s="2" t="s">
        <v>1301</v>
      </c>
    </row>
    <row r="662" spans="1:59">
      <c r="A662" s="2" t="s">
        <v>730</v>
      </c>
      <c r="B662" s="12" t="str">
        <f t="shared" si="122"/>
        <v>GREYLING</v>
      </c>
      <c r="C662" s="12" t="str">
        <f t="shared" si="123"/>
        <v>GREYLING</v>
      </c>
      <c r="D662" s="2" t="s">
        <v>63</v>
      </c>
      <c r="E662" s="12" t="str">
        <f t="shared" si="133"/>
        <v>Jan Christoffel</v>
      </c>
      <c r="F662" s="2" t="s">
        <v>4824</v>
      </c>
      <c r="G662" s="12" t="str">
        <f t="shared" si="124"/>
        <v>a1b11c2d3 (or d1?)e1</v>
      </c>
      <c r="H662" s="12" t="str">
        <f t="shared" si="130"/>
        <v>GREYLINGa1b11c2d3 (or d1?)e1</v>
      </c>
      <c r="J662" s="2" t="s">
        <v>4825</v>
      </c>
      <c r="K662" s="12" t="str">
        <f t="shared" si="125"/>
        <v>1823</v>
      </c>
      <c r="L662" s="2" t="s">
        <v>331</v>
      </c>
      <c r="M662" s="2" t="s">
        <v>2259</v>
      </c>
      <c r="N662" s="12" t="str">
        <f t="shared" si="131"/>
        <v>1823</v>
      </c>
      <c r="O662" s="12" t="str">
        <f t="shared" si="132"/>
        <v>1824</v>
      </c>
      <c r="Q662" s="12" t="str">
        <f t="shared" si="126"/>
        <v>1823</v>
      </c>
      <c r="R662" s="2" t="s">
        <v>4826</v>
      </c>
      <c r="S662" s="12" t="str">
        <f t="shared" si="127"/>
        <v>1901</v>
      </c>
      <c r="T662" s="2" t="s">
        <v>168</v>
      </c>
      <c r="U662" s="2" t="s">
        <v>4827</v>
      </c>
      <c r="V662" s="12" t="str">
        <f t="shared" si="128"/>
        <v>1843</v>
      </c>
      <c r="W662" s="2" t="s">
        <v>4828</v>
      </c>
      <c r="X662" s="2" t="s">
        <v>695</v>
      </c>
      <c r="Y662" s="2" t="s">
        <v>4829</v>
      </c>
      <c r="AA662" s="2">
        <v>1824</v>
      </c>
      <c r="AE662" s="2" t="s">
        <v>4830</v>
      </c>
      <c r="AF662" s="2" t="s">
        <v>3706</v>
      </c>
      <c r="AG662" s="2" t="s">
        <v>68</v>
      </c>
      <c r="AI662" s="12" t="str">
        <f t="shared" si="129"/>
        <v/>
      </c>
      <c r="AJ662" s="2" t="s">
        <v>90</v>
      </c>
      <c r="AN662" s="2" t="s">
        <v>3274</v>
      </c>
      <c r="AO662" s="2" t="s">
        <v>2394</v>
      </c>
      <c r="AR662" s="2" t="s">
        <v>4831</v>
      </c>
    </row>
    <row r="663" spans="1:59">
      <c r="A663" s="2" t="s">
        <v>730</v>
      </c>
      <c r="B663" s="12" t="str">
        <f t="shared" si="122"/>
        <v>GREYLING</v>
      </c>
      <c r="C663" s="12" t="str">
        <f t="shared" si="123"/>
        <v>GREYLING</v>
      </c>
      <c r="D663" s="2" t="s">
        <v>4807</v>
      </c>
      <c r="E663" s="12" t="str">
        <f t="shared" si="133"/>
        <v xml:space="preserve">Barend Christiaan </v>
      </c>
      <c r="F663" s="2" t="s">
        <v>4813</v>
      </c>
      <c r="G663" s="12" t="str">
        <f t="shared" si="124"/>
        <v>a1b11c2d6</v>
      </c>
      <c r="H663" s="12" t="str">
        <f t="shared" si="130"/>
        <v>GREYLINGa1b11c2d6</v>
      </c>
      <c r="J663" s="2" t="s">
        <v>4814</v>
      </c>
      <c r="K663" s="12" t="str">
        <f t="shared" si="125"/>
        <v>1812</v>
      </c>
      <c r="N663" s="12" t="str">
        <f t="shared" si="131"/>
        <v>1812</v>
      </c>
      <c r="O663" s="12" t="str">
        <f t="shared" si="132"/>
        <v/>
      </c>
      <c r="Q663" s="12" t="str">
        <f t="shared" si="126"/>
        <v>1812</v>
      </c>
      <c r="R663" s="2">
        <v>1859</v>
      </c>
      <c r="S663" s="12" t="str">
        <f t="shared" si="127"/>
        <v>1859</v>
      </c>
      <c r="T663" s="2" t="s">
        <v>331</v>
      </c>
      <c r="U663" s="2" t="s">
        <v>4815</v>
      </c>
      <c r="V663" s="12" t="str">
        <f t="shared" si="128"/>
        <v>1830</v>
      </c>
      <c r="W663" s="2" t="s">
        <v>4816</v>
      </c>
      <c r="X663" s="2" t="s">
        <v>3146</v>
      </c>
      <c r="AA663" s="2" t="s">
        <v>4817</v>
      </c>
      <c r="AD663" s="2" t="s">
        <v>4818</v>
      </c>
      <c r="AE663" s="2" t="s">
        <v>4819</v>
      </c>
      <c r="AF663" s="2" t="s">
        <v>3728</v>
      </c>
      <c r="AG663" s="2" t="s">
        <v>346</v>
      </c>
      <c r="AH663" s="2" t="s">
        <v>1542</v>
      </c>
      <c r="AI663" s="12" t="str">
        <f t="shared" si="129"/>
        <v>1837</v>
      </c>
      <c r="AJ663" s="2" t="s">
        <v>4797</v>
      </c>
      <c r="AK663" s="2" t="s">
        <v>4820</v>
      </c>
    </row>
    <row r="664" spans="1:59">
      <c r="A664" s="2" t="s">
        <v>730</v>
      </c>
      <c r="B664" s="12" t="str">
        <f t="shared" si="122"/>
        <v>GREYLING</v>
      </c>
      <c r="C664" s="12" t="str">
        <f t="shared" si="123"/>
        <v>GREYLING</v>
      </c>
      <c r="D664" s="2" t="s">
        <v>4798</v>
      </c>
      <c r="E664" s="12" t="str">
        <f t="shared" si="133"/>
        <v>Arnoldus Jacobus</v>
      </c>
      <c r="F664" s="2" t="s">
        <v>4799</v>
      </c>
      <c r="G664" s="12" t="str">
        <f t="shared" si="124"/>
        <v>a1b3c4d8</v>
      </c>
      <c r="H664" s="12" t="str">
        <f t="shared" si="130"/>
        <v>GREYLINGa1b3c4d8</v>
      </c>
      <c r="K664" s="12" t="str">
        <f t="shared" si="125"/>
        <v/>
      </c>
      <c r="M664" s="2" t="s">
        <v>4800</v>
      </c>
      <c r="N664" s="12" t="str">
        <f t="shared" si="131"/>
        <v/>
      </c>
      <c r="O664" s="12" t="str">
        <f t="shared" si="132"/>
        <v>1807</v>
      </c>
      <c r="P664" s="2" t="s">
        <v>4801</v>
      </c>
      <c r="Q664" s="12" t="str">
        <f t="shared" si="126"/>
        <v>1807</v>
      </c>
      <c r="R664" s="2" t="s">
        <v>4802</v>
      </c>
      <c r="S664" s="12" t="str">
        <f t="shared" si="127"/>
        <v>1879</v>
      </c>
      <c r="V664" s="12" t="str">
        <f t="shared" si="128"/>
        <v/>
      </c>
      <c r="W664" s="2" t="s">
        <v>4803</v>
      </c>
      <c r="X664" s="2" t="s">
        <v>2589</v>
      </c>
      <c r="AF664" s="2" t="s">
        <v>4806</v>
      </c>
      <c r="AG664" s="2" t="s">
        <v>28</v>
      </c>
      <c r="AH664" s="2">
        <v>1837</v>
      </c>
      <c r="AI664" s="12" t="str">
        <f t="shared" si="129"/>
        <v>1837</v>
      </c>
      <c r="AN664" s="2" t="s">
        <v>4804</v>
      </c>
      <c r="AO664" s="2" t="s">
        <v>1985</v>
      </c>
      <c r="AY664" s="2" t="s">
        <v>4805</v>
      </c>
      <c r="AZ664" s="2" t="s">
        <v>1985</v>
      </c>
    </row>
    <row r="665" spans="1:59">
      <c r="A665" s="2" t="s">
        <v>730</v>
      </c>
      <c r="B665" s="12" t="str">
        <f t="shared" si="122"/>
        <v>GREYLING</v>
      </c>
      <c r="C665" s="12" t="str">
        <f t="shared" si="123"/>
        <v>GREYLING</v>
      </c>
      <c r="D665" s="2" t="s">
        <v>4832</v>
      </c>
      <c r="E665" s="12" t="str">
        <f t="shared" si="133"/>
        <v>Johannes Arnoldus</v>
      </c>
      <c r="F665" s="2" t="s">
        <v>1925</v>
      </c>
      <c r="G665" s="12" t="str">
        <f t="shared" si="124"/>
        <v>a1b9c1</v>
      </c>
      <c r="H665" s="12" t="str">
        <f t="shared" si="130"/>
        <v>GREYLINGa1b9c1</v>
      </c>
      <c r="K665" s="12" t="str">
        <f t="shared" si="125"/>
        <v/>
      </c>
      <c r="M665" s="2" t="s">
        <v>4833</v>
      </c>
      <c r="N665" s="12" t="str">
        <f t="shared" si="131"/>
        <v/>
      </c>
      <c r="O665" s="12" t="str">
        <f t="shared" si="132"/>
        <v>1775</v>
      </c>
      <c r="Q665" s="12" t="str">
        <f t="shared" si="126"/>
        <v>1775</v>
      </c>
      <c r="S665" s="12" t="str">
        <f t="shared" si="127"/>
        <v/>
      </c>
      <c r="U665" s="2" t="s">
        <v>4834</v>
      </c>
      <c r="V665" s="12" t="str">
        <f t="shared" si="128"/>
        <v>1798</v>
      </c>
      <c r="W665" s="2" t="s">
        <v>4835</v>
      </c>
      <c r="X665" s="2" t="s">
        <v>2901</v>
      </c>
      <c r="AF665" s="2" t="s">
        <v>3706</v>
      </c>
      <c r="AG665" s="2" t="s">
        <v>68</v>
      </c>
      <c r="AH665" s="2" t="s">
        <v>4812</v>
      </c>
      <c r="AI665" s="12" t="str">
        <f t="shared" si="129"/>
        <v>1838</v>
      </c>
      <c r="AJ665" s="2" t="s">
        <v>481</v>
      </c>
    </row>
    <row r="666" spans="1:59">
      <c r="A666" s="2" t="s">
        <v>730</v>
      </c>
      <c r="B666" s="12" t="str">
        <f t="shared" si="122"/>
        <v>GREYLING</v>
      </c>
      <c r="C666" s="12" t="str">
        <f t="shared" si="123"/>
        <v>GREYLING</v>
      </c>
      <c r="D666" s="2" t="s">
        <v>4832</v>
      </c>
      <c r="E666" s="12" t="str">
        <f t="shared" si="133"/>
        <v>Johannes Arnoldus</v>
      </c>
      <c r="F666" s="2" t="s">
        <v>4836</v>
      </c>
      <c r="G666" s="12" t="str">
        <f t="shared" si="124"/>
        <v>a1b9c1d1e2</v>
      </c>
      <c r="H666" s="12" t="str">
        <f t="shared" si="130"/>
        <v>GREYLINGa1b9c1d1e2</v>
      </c>
      <c r="J666" s="2" t="s">
        <v>4837</v>
      </c>
      <c r="K666" s="12" t="str">
        <f t="shared" si="125"/>
        <v>1820</v>
      </c>
      <c r="L666" s="2" t="s">
        <v>28</v>
      </c>
      <c r="M666" s="2" t="s">
        <v>3426</v>
      </c>
      <c r="N666" s="12" t="str">
        <f t="shared" si="131"/>
        <v>1820</v>
      </c>
      <c r="O666" s="12" t="str">
        <f t="shared" si="132"/>
        <v>1821</v>
      </c>
      <c r="Q666" s="12" t="str">
        <f t="shared" si="126"/>
        <v>1820</v>
      </c>
      <c r="S666" s="12" t="str">
        <f t="shared" si="127"/>
        <v/>
      </c>
      <c r="V666" s="12" t="str">
        <f t="shared" si="128"/>
        <v/>
      </c>
      <c r="AF666" s="2" t="s">
        <v>3706</v>
      </c>
      <c r="AG666" s="2" t="s">
        <v>68</v>
      </c>
      <c r="AH666" s="2" t="s">
        <v>4812</v>
      </c>
      <c r="AI666" s="12" t="str">
        <f t="shared" si="129"/>
        <v>1838</v>
      </c>
      <c r="AJ666" s="2" t="s">
        <v>481</v>
      </c>
    </row>
    <row r="667" spans="1:59">
      <c r="A667" s="2" t="s">
        <v>730</v>
      </c>
      <c r="B667" s="12" t="str">
        <f t="shared" si="122"/>
        <v>GREYLING</v>
      </c>
      <c r="C667" s="12" t="str">
        <f t="shared" si="123"/>
        <v>GREYLING</v>
      </c>
      <c r="D667" s="2" t="s">
        <v>4821</v>
      </c>
      <c r="E667" s="12" t="str">
        <f t="shared" si="133"/>
        <v>Hendrik Balthasar</v>
      </c>
      <c r="F667" s="2" t="s">
        <v>4405</v>
      </c>
      <c r="G667" s="12" t="str">
        <f t="shared" si="124"/>
        <v>a1b9c1d6</v>
      </c>
      <c r="H667" s="12" t="str">
        <f t="shared" si="130"/>
        <v>GREYLINGa1b9c1d6</v>
      </c>
      <c r="J667" s="2" t="s">
        <v>4822</v>
      </c>
      <c r="K667" s="12" t="str">
        <f t="shared" si="125"/>
        <v>1821</v>
      </c>
      <c r="L667" s="2" t="s">
        <v>28</v>
      </c>
      <c r="M667" s="2" t="s">
        <v>4823</v>
      </c>
      <c r="N667" s="12" t="str">
        <f t="shared" si="131"/>
        <v>1821</v>
      </c>
      <c r="O667" s="12" t="str">
        <f t="shared" si="132"/>
        <v>1821</v>
      </c>
      <c r="Q667" s="12" t="str">
        <f t="shared" si="126"/>
        <v>1821</v>
      </c>
      <c r="S667" s="12" t="str">
        <f t="shared" si="127"/>
        <v/>
      </c>
      <c r="V667" s="12" t="str">
        <f t="shared" si="128"/>
        <v/>
      </c>
      <c r="W667" s="2" t="s">
        <v>714</v>
      </c>
      <c r="X667" s="2" t="s">
        <v>3799</v>
      </c>
      <c r="AF667" s="2" t="s">
        <v>3706</v>
      </c>
      <c r="AG667" s="2" t="s">
        <v>68</v>
      </c>
      <c r="AH667" s="2" t="s">
        <v>4812</v>
      </c>
      <c r="AI667" s="12" t="str">
        <f t="shared" si="129"/>
        <v>1838</v>
      </c>
      <c r="AK667" s="2" t="s">
        <v>551</v>
      </c>
    </row>
    <row r="668" spans="1:59">
      <c r="A668" s="2" t="s">
        <v>730</v>
      </c>
      <c r="B668" s="12" t="str">
        <f t="shared" si="122"/>
        <v>GREYLING</v>
      </c>
      <c r="C668" s="12" t="str">
        <f t="shared" si="123"/>
        <v>GREYLING</v>
      </c>
      <c r="D668" s="2" t="s">
        <v>4807</v>
      </c>
      <c r="E668" s="12" t="str">
        <f t="shared" si="133"/>
        <v xml:space="preserve">Barend Christiaan </v>
      </c>
      <c r="F668" s="2" t="s">
        <v>4808</v>
      </c>
      <c r="G668" s="12" t="str">
        <f t="shared" si="124"/>
        <v>a1b9c3</v>
      </c>
      <c r="H668" s="12" t="str">
        <f t="shared" si="130"/>
        <v>GREYLINGa1b9c3</v>
      </c>
      <c r="K668" s="12" t="str">
        <f t="shared" si="125"/>
        <v/>
      </c>
      <c r="M668" s="2" t="s">
        <v>4809</v>
      </c>
      <c r="N668" s="12" t="str">
        <f t="shared" si="131"/>
        <v/>
      </c>
      <c r="O668" s="12" t="str">
        <f t="shared" si="132"/>
        <v>1784</v>
      </c>
      <c r="Q668" s="12" t="str">
        <f t="shared" si="126"/>
        <v>1784</v>
      </c>
      <c r="S668" s="12" t="str">
        <f t="shared" si="127"/>
        <v/>
      </c>
      <c r="T668" s="2" t="s">
        <v>48</v>
      </c>
      <c r="U668" s="2" t="s">
        <v>4810</v>
      </c>
      <c r="V668" s="12" t="str">
        <f t="shared" si="128"/>
        <v>1804</v>
      </c>
      <c r="W668" s="2" t="s">
        <v>4811</v>
      </c>
      <c r="X668" s="2" t="s">
        <v>3799</v>
      </c>
      <c r="AF668" s="2" t="s">
        <v>3706</v>
      </c>
      <c r="AG668" s="2" t="s">
        <v>68</v>
      </c>
      <c r="AH668" s="2" t="s">
        <v>4812</v>
      </c>
      <c r="AI668" s="12" t="str">
        <f t="shared" si="129"/>
        <v>1838</v>
      </c>
    </row>
    <row r="669" spans="1:59">
      <c r="A669" s="2" t="s">
        <v>730</v>
      </c>
      <c r="B669" s="12" t="str">
        <f t="shared" si="122"/>
        <v>GREYLING</v>
      </c>
      <c r="C669" s="12" t="str">
        <f t="shared" si="123"/>
        <v>GREYLING</v>
      </c>
      <c r="D669" s="2" t="s">
        <v>4854</v>
      </c>
      <c r="E669" s="12" t="str">
        <f t="shared" si="133"/>
        <v>Stephanus Gerhardus</v>
      </c>
      <c r="F669" s="2" t="s">
        <v>4855</v>
      </c>
      <c r="G669" s="12" t="str">
        <f t="shared" si="124"/>
        <v>a1b9c3d4</v>
      </c>
      <c r="H669" s="12" t="str">
        <f t="shared" si="130"/>
        <v>GREYLINGa1b9c3d4</v>
      </c>
      <c r="J669" s="2" t="s">
        <v>4856</v>
      </c>
      <c r="K669" s="12" t="str">
        <f t="shared" si="125"/>
        <v>1813</v>
      </c>
      <c r="L669" s="2" t="s">
        <v>74</v>
      </c>
      <c r="M669" s="2" t="s">
        <v>4857</v>
      </c>
      <c r="N669" s="12" t="str">
        <f t="shared" si="131"/>
        <v>1813</v>
      </c>
      <c r="O669" s="12" t="str">
        <f t="shared" si="132"/>
        <v>1814</v>
      </c>
      <c r="Q669" s="12" t="str">
        <f t="shared" si="126"/>
        <v>1813</v>
      </c>
      <c r="S669" s="12" t="str">
        <f t="shared" si="127"/>
        <v/>
      </c>
      <c r="T669" s="2" t="s">
        <v>28</v>
      </c>
      <c r="U669" s="2" t="s">
        <v>4600</v>
      </c>
      <c r="V669" s="12" t="str">
        <f t="shared" si="128"/>
        <v>1836</v>
      </c>
      <c r="W669" s="2" t="s">
        <v>3389</v>
      </c>
      <c r="X669" s="2" t="s">
        <v>662</v>
      </c>
      <c r="Z669" s="2" t="s">
        <v>53</v>
      </c>
      <c r="AA669" s="2" t="s">
        <v>4858</v>
      </c>
      <c r="AD669" s="2" t="s">
        <v>4859</v>
      </c>
      <c r="AE669" s="2" t="s">
        <v>4860</v>
      </c>
      <c r="AF669" s="2" t="s">
        <v>3706</v>
      </c>
      <c r="AG669" s="2" t="s">
        <v>68</v>
      </c>
      <c r="AI669" s="12" t="str">
        <f t="shared" si="129"/>
        <v/>
      </c>
      <c r="AK669" s="2" t="s">
        <v>551</v>
      </c>
    </row>
    <row r="670" spans="1:59">
      <c r="A670" s="5" t="s">
        <v>730</v>
      </c>
      <c r="B670" s="12" t="str">
        <f t="shared" si="122"/>
        <v>GREYLING</v>
      </c>
      <c r="C670" s="12" t="str">
        <f t="shared" si="123"/>
        <v>GREYLING</v>
      </c>
      <c r="D670" s="2" t="s">
        <v>169</v>
      </c>
      <c r="E670" s="12" t="str">
        <f t="shared" si="133"/>
        <v>Lourens Petrus</v>
      </c>
      <c r="F670" s="2" t="s">
        <v>4838</v>
      </c>
      <c r="G670" s="12" t="str">
        <f t="shared" si="124"/>
        <v>a1b9c4d6</v>
      </c>
      <c r="H670" s="12" t="str">
        <f t="shared" ref="H670:H697" si="134">C670&amp;G670</f>
        <v>GREYLINGa1b9c4d6</v>
      </c>
      <c r="J670" s="2" t="s">
        <v>4839</v>
      </c>
      <c r="K670" s="12" t="str">
        <f t="shared" si="125"/>
        <v>1817</v>
      </c>
      <c r="L670" s="2" t="s">
        <v>74</v>
      </c>
      <c r="M670" s="2" t="s">
        <v>4840</v>
      </c>
      <c r="N670" s="12" t="str">
        <f t="shared" si="131"/>
        <v>1817</v>
      </c>
      <c r="O670" s="12" t="str">
        <f t="shared" si="132"/>
        <v>1817</v>
      </c>
      <c r="P670" s="2" t="s">
        <v>4841</v>
      </c>
      <c r="Q670" s="12" t="str">
        <f t="shared" si="126"/>
        <v>1817</v>
      </c>
      <c r="R670" s="2" t="s">
        <v>4842</v>
      </c>
      <c r="S670" s="12" t="str">
        <f t="shared" si="127"/>
        <v>1901</v>
      </c>
      <c r="U670" s="2" t="s">
        <v>4843</v>
      </c>
      <c r="V670" s="12" t="str">
        <f t="shared" si="128"/>
        <v>1840</v>
      </c>
      <c r="AA670" s="2" t="s">
        <v>4844</v>
      </c>
      <c r="AD670" s="2" t="s">
        <v>4845</v>
      </c>
      <c r="AE670" s="2" t="s">
        <v>4846</v>
      </c>
      <c r="AF670" s="2" t="s">
        <v>3706</v>
      </c>
      <c r="AG670" s="2" t="s">
        <v>68</v>
      </c>
      <c r="AI670" s="12" t="str">
        <f t="shared" si="129"/>
        <v/>
      </c>
      <c r="AK670" s="2" t="s">
        <v>4849</v>
      </c>
      <c r="AL670" s="2" t="s">
        <v>24</v>
      </c>
      <c r="AM670" s="2" t="s">
        <v>4847</v>
      </c>
      <c r="AN670" s="2" t="s">
        <v>4848</v>
      </c>
      <c r="AO670" s="2" t="s">
        <v>637</v>
      </c>
      <c r="AR670" s="2">
        <v>1864</v>
      </c>
    </row>
    <row r="671" spans="1:59">
      <c r="A671" s="2" t="s">
        <v>2436</v>
      </c>
      <c r="B671" s="12" t="str">
        <f t="shared" si="122"/>
        <v>GRIESEL</v>
      </c>
      <c r="C671" s="12" t="str">
        <f t="shared" si="123"/>
        <v>GRIESEL</v>
      </c>
      <c r="D671" s="2" t="s">
        <v>139</v>
      </c>
      <c r="E671" s="12" t="str">
        <f t="shared" si="133"/>
        <v>Hendrik Jacobus</v>
      </c>
      <c r="F671" s="2" t="s">
        <v>4127</v>
      </c>
      <c r="G671" s="12" t="str">
        <f t="shared" si="124"/>
        <v>a1b7c1</v>
      </c>
      <c r="H671" s="12" t="str">
        <f t="shared" si="134"/>
        <v>GRIESELa1b7c1</v>
      </c>
      <c r="J671" s="2" t="s">
        <v>4862</v>
      </c>
      <c r="K671" s="12" t="str">
        <f t="shared" si="125"/>
        <v>1804</v>
      </c>
      <c r="L671" s="2" t="s">
        <v>4863</v>
      </c>
      <c r="M671" s="2" t="s">
        <v>4864</v>
      </c>
      <c r="N671" s="12" t="str">
        <f t="shared" si="131"/>
        <v>1804</v>
      </c>
      <c r="O671" s="12" t="str">
        <f t="shared" si="132"/>
        <v>1805</v>
      </c>
      <c r="Q671" s="12" t="str">
        <f t="shared" si="126"/>
        <v>1804</v>
      </c>
      <c r="S671" s="12" t="str">
        <f t="shared" si="127"/>
        <v/>
      </c>
      <c r="V671" s="12" t="str">
        <f t="shared" si="128"/>
        <v/>
      </c>
      <c r="AI671" s="12" t="str">
        <f t="shared" si="129"/>
        <v/>
      </c>
    </row>
    <row r="672" spans="1:59">
      <c r="A672" s="2" t="s">
        <v>2436</v>
      </c>
      <c r="B672" s="12" t="str">
        <f t="shared" si="122"/>
        <v>GRIESEL</v>
      </c>
      <c r="C672" s="12" t="str">
        <f t="shared" si="123"/>
        <v>GRIESEL</v>
      </c>
      <c r="D672" s="2" t="s">
        <v>4865</v>
      </c>
      <c r="E672" s="12" t="str">
        <f t="shared" si="133"/>
        <v>Jan Harmse</v>
      </c>
      <c r="F672" s="2" t="s">
        <v>4866</v>
      </c>
      <c r="G672" s="12" t="str">
        <f t="shared" si="124"/>
        <v>a1b7c6</v>
      </c>
      <c r="H672" s="12" t="str">
        <f t="shared" si="134"/>
        <v>GRIESELa1b7c6</v>
      </c>
      <c r="J672" s="2" t="s">
        <v>4867</v>
      </c>
      <c r="K672" s="12" t="str">
        <f t="shared" si="125"/>
        <v>1814</v>
      </c>
      <c r="L672" s="2" t="s">
        <v>74</v>
      </c>
      <c r="M672" s="2" t="s">
        <v>2632</v>
      </c>
      <c r="N672" s="12" t="str">
        <f t="shared" si="131"/>
        <v>1814</v>
      </c>
      <c r="O672" s="12" t="str">
        <f t="shared" si="132"/>
        <v>1814</v>
      </c>
      <c r="P672" s="2" t="s">
        <v>4868</v>
      </c>
      <c r="Q672" s="12" t="str">
        <f t="shared" si="126"/>
        <v>1814</v>
      </c>
      <c r="R672" s="2" t="s">
        <v>4869</v>
      </c>
      <c r="S672" s="12" t="str">
        <f t="shared" si="127"/>
        <v>1857</v>
      </c>
      <c r="T672" s="2" t="s">
        <v>74</v>
      </c>
      <c r="U672" s="2" t="s">
        <v>2654</v>
      </c>
      <c r="V672" s="12" t="str">
        <f t="shared" si="128"/>
        <v>1837</v>
      </c>
      <c r="W672" s="2" t="s">
        <v>4870</v>
      </c>
      <c r="X672" s="2" t="s">
        <v>4871</v>
      </c>
      <c r="AG672" s="2" t="s">
        <v>60</v>
      </c>
      <c r="AH672" s="2" t="s">
        <v>385</v>
      </c>
      <c r="AI672" s="12" t="str">
        <f t="shared" si="129"/>
        <v>1840</v>
      </c>
    </row>
    <row r="673" spans="1:59">
      <c r="A673" s="2" t="s">
        <v>3096</v>
      </c>
      <c r="B673" s="12" t="str">
        <f t="shared" si="122"/>
        <v>GROBBELAAR</v>
      </c>
      <c r="C673" s="12" t="str">
        <f t="shared" si="123"/>
        <v>GROBBELAAR</v>
      </c>
      <c r="D673" s="2" t="s">
        <v>5099</v>
      </c>
      <c r="E673" s="12" t="str">
        <f t="shared" si="133"/>
        <v>Renier Nicolaas Johannes</v>
      </c>
      <c r="F673" s="2" t="s">
        <v>5100</v>
      </c>
      <c r="G673" s="12" t="str">
        <f t="shared" si="124"/>
        <v>a1b6c10d2</v>
      </c>
      <c r="H673" s="12" t="str">
        <f t="shared" si="134"/>
        <v>GROBBELAARa1b6c10d2</v>
      </c>
      <c r="J673" s="2" t="s">
        <v>5101</v>
      </c>
      <c r="K673" s="12" t="str">
        <f t="shared" si="125"/>
        <v>1809</v>
      </c>
      <c r="L673" s="2" t="s">
        <v>32</v>
      </c>
      <c r="M673" s="2" t="s">
        <v>3811</v>
      </c>
      <c r="N673" s="12" t="str">
        <f t="shared" si="131"/>
        <v>1809</v>
      </c>
      <c r="O673" s="12" t="str">
        <f t="shared" si="132"/>
        <v>1810</v>
      </c>
      <c r="P673" s="2" t="s">
        <v>5102</v>
      </c>
      <c r="Q673" s="12" t="str">
        <f t="shared" si="126"/>
        <v>1809</v>
      </c>
      <c r="R673" s="2" t="s">
        <v>72</v>
      </c>
      <c r="S673" s="12" t="str">
        <f t="shared" si="127"/>
        <v>1838</v>
      </c>
      <c r="V673" s="12" t="str">
        <f t="shared" si="128"/>
        <v/>
      </c>
      <c r="W673" s="2" t="s">
        <v>5103</v>
      </c>
      <c r="X673" s="2" t="s">
        <v>1167</v>
      </c>
      <c r="AA673" s="2" t="s">
        <v>5104</v>
      </c>
      <c r="AB673" s="2" t="s">
        <v>74</v>
      </c>
      <c r="AC673" s="2" t="s">
        <v>1280</v>
      </c>
      <c r="AE673" s="2">
        <v>1858</v>
      </c>
      <c r="AG673" s="2" t="s">
        <v>28</v>
      </c>
      <c r="AH673" s="2" t="s">
        <v>5105</v>
      </c>
      <c r="AI673" s="12" t="str">
        <f t="shared" si="129"/>
        <v>37 ?</v>
      </c>
    </row>
    <row r="674" spans="1:59">
      <c r="A674" s="2" t="s">
        <v>3096</v>
      </c>
      <c r="B674" s="12" t="str">
        <f t="shared" si="122"/>
        <v>GROBBELAAR</v>
      </c>
      <c r="C674" s="12" t="str">
        <f t="shared" si="123"/>
        <v>GROBBELAAR</v>
      </c>
      <c r="D674" s="2" t="s">
        <v>3944</v>
      </c>
      <c r="E674" s="12" t="str">
        <f t="shared" si="133"/>
        <v>Nicolaas Johannes</v>
      </c>
      <c r="F674" s="2" t="s">
        <v>5030</v>
      </c>
      <c r="G674" s="12" t="str">
        <f t="shared" si="124"/>
        <v>a1b9c11d4</v>
      </c>
      <c r="H674" s="12" t="str">
        <f t="shared" si="134"/>
        <v>GROBBELAARa1b9c11d4</v>
      </c>
      <c r="J674" s="2" t="s">
        <v>5031</v>
      </c>
      <c r="K674" s="12" t="str">
        <f t="shared" si="125"/>
        <v>1812</v>
      </c>
      <c r="L674" s="2" t="s">
        <v>74</v>
      </c>
      <c r="M674" s="2" t="s">
        <v>5032</v>
      </c>
      <c r="N674" s="12" t="str">
        <f t="shared" si="131"/>
        <v>1812</v>
      </c>
      <c r="O674" s="12" t="str">
        <f t="shared" si="132"/>
        <v>1812</v>
      </c>
      <c r="Q674" s="12" t="str">
        <f t="shared" si="126"/>
        <v>1812</v>
      </c>
      <c r="R674" s="2" t="s">
        <v>5033</v>
      </c>
      <c r="S674" s="12" t="str">
        <f t="shared" si="127"/>
        <v>1898</v>
      </c>
      <c r="T674" s="2" t="s">
        <v>74</v>
      </c>
      <c r="U674" s="2" t="s">
        <v>5034</v>
      </c>
      <c r="V674" s="12" t="str">
        <f t="shared" si="128"/>
        <v>1831</v>
      </c>
      <c r="W674" s="2" t="s">
        <v>5035</v>
      </c>
      <c r="X674" s="2" t="s">
        <v>2222</v>
      </c>
      <c r="Y674" s="2" t="s">
        <v>5036</v>
      </c>
      <c r="Z674" s="2" t="s">
        <v>74</v>
      </c>
      <c r="AA674" s="2" t="s">
        <v>5037</v>
      </c>
      <c r="AB674" s="2" t="s">
        <v>74</v>
      </c>
      <c r="AC674" s="2" t="s">
        <v>5038</v>
      </c>
      <c r="AD674" s="2" t="s">
        <v>5039</v>
      </c>
      <c r="AF674" s="2" t="s">
        <v>3718</v>
      </c>
      <c r="AG674" s="2" t="s">
        <v>4892</v>
      </c>
      <c r="AH674" s="2">
        <v>1838</v>
      </c>
      <c r="AI674" s="12" t="str">
        <f t="shared" si="129"/>
        <v>1838</v>
      </c>
      <c r="AK674" s="2" t="s">
        <v>5048</v>
      </c>
      <c r="AN674" s="2" t="s">
        <v>5040</v>
      </c>
      <c r="AO674" s="2" t="s">
        <v>726</v>
      </c>
      <c r="AQ674" s="2" t="s">
        <v>199</v>
      </c>
      <c r="AR674" s="2" t="s">
        <v>5041</v>
      </c>
      <c r="AU674" s="2" t="s">
        <v>5042</v>
      </c>
      <c r="AV674" s="2" t="s">
        <v>5043</v>
      </c>
      <c r="AW674" s="2" t="s">
        <v>5044</v>
      </c>
      <c r="AY674" s="2" t="s">
        <v>5045</v>
      </c>
      <c r="AZ674" s="2" t="s">
        <v>757</v>
      </c>
      <c r="BB674" s="2" t="s">
        <v>5046</v>
      </c>
      <c r="BE674" s="2" t="s">
        <v>5044</v>
      </c>
      <c r="BF674" s="2" t="s">
        <v>5047</v>
      </c>
    </row>
    <row r="675" spans="1:59">
      <c r="A675" s="2" t="s">
        <v>2427</v>
      </c>
      <c r="B675" s="12" t="str">
        <f t="shared" si="122"/>
        <v>GROBLER</v>
      </c>
      <c r="C675" s="12" t="str">
        <f t="shared" si="123"/>
        <v>GROBLER</v>
      </c>
      <c r="D675" s="2" t="s">
        <v>5061</v>
      </c>
      <c r="E675" s="12" t="str">
        <f t="shared" si="133"/>
        <v>Paulus Johannes</v>
      </c>
      <c r="F675" s="2" t="s">
        <v>5062</v>
      </c>
      <c r="G675" s="12" t="str">
        <f t="shared" si="124"/>
        <v>a1b5c4d10</v>
      </c>
      <c r="H675" s="12" t="str">
        <f t="shared" si="134"/>
        <v>GROBLERa1b5c4d10</v>
      </c>
      <c r="J675" s="2" t="s">
        <v>5063</v>
      </c>
      <c r="K675" s="12" t="str">
        <f t="shared" si="125"/>
        <v>1796</v>
      </c>
      <c r="L675" s="2" t="s">
        <v>32</v>
      </c>
      <c r="M675" s="2" t="s">
        <v>5064</v>
      </c>
      <c r="N675" s="12" t="str">
        <f t="shared" si="131"/>
        <v>1796</v>
      </c>
      <c r="O675" s="12" t="str">
        <f t="shared" si="132"/>
        <v>1796</v>
      </c>
      <c r="P675" s="2" t="s">
        <v>5065</v>
      </c>
      <c r="Q675" s="12" t="str">
        <f t="shared" si="126"/>
        <v>1796</v>
      </c>
      <c r="R675" s="2" t="s">
        <v>5066</v>
      </c>
      <c r="S675" s="12" t="str">
        <f t="shared" si="127"/>
        <v>1873</v>
      </c>
      <c r="T675" s="2" t="s">
        <v>32</v>
      </c>
      <c r="U675" s="2" t="s">
        <v>5067</v>
      </c>
      <c r="V675" s="12" t="str">
        <f t="shared" si="128"/>
        <v>1820</v>
      </c>
      <c r="W675" s="2" t="s">
        <v>5068</v>
      </c>
      <c r="X675" s="2" t="s">
        <v>695</v>
      </c>
      <c r="AA675" s="2">
        <v>1802</v>
      </c>
      <c r="AD675" s="2" t="s">
        <v>1864</v>
      </c>
      <c r="AE675" s="2" t="s">
        <v>5069</v>
      </c>
      <c r="AG675" s="2" t="s">
        <v>5070</v>
      </c>
      <c r="AH675" s="2" t="s">
        <v>5071</v>
      </c>
      <c r="AI675" s="12" t="str">
        <f t="shared" si="129"/>
        <v>1836</v>
      </c>
      <c r="AK675" s="2" t="s">
        <v>5072</v>
      </c>
    </row>
    <row r="676" spans="1:59">
      <c r="A676" s="12" t="s">
        <v>2427</v>
      </c>
      <c r="B676" s="12" t="str">
        <f t="shared" si="122"/>
        <v>GROBLER</v>
      </c>
      <c r="C676" s="12" t="str">
        <f t="shared" si="123"/>
        <v>GROBLER</v>
      </c>
      <c r="D676" s="2" t="s">
        <v>4971</v>
      </c>
      <c r="E676" s="12" t="str">
        <f t="shared" si="133"/>
        <v>Johannes Esias</v>
      </c>
      <c r="F676" s="2" t="s">
        <v>4972</v>
      </c>
      <c r="G676" s="12" t="str">
        <f t="shared" si="124"/>
        <v>a1b5c4d10e1</v>
      </c>
      <c r="H676" s="12" t="str">
        <f t="shared" si="134"/>
        <v>GROBLERa1b5c4d10e1</v>
      </c>
      <c r="J676" s="2" t="s">
        <v>4973</v>
      </c>
      <c r="K676" s="12" t="str">
        <f t="shared" si="125"/>
        <v>1820</v>
      </c>
      <c r="L676" s="2" t="s">
        <v>199</v>
      </c>
      <c r="M676" s="2" t="s">
        <v>4974</v>
      </c>
      <c r="N676" s="12" t="str">
        <f t="shared" si="131"/>
        <v>1820</v>
      </c>
      <c r="O676" s="12" t="str">
        <f t="shared" si="132"/>
        <v>1821</v>
      </c>
      <c r="P676" s="2" t="s">
        <v>93</v>
      </c>
      <c r="Q676" s="12" t="str">
        <f t="shared" si="126"/>
        <v>1820</v>
      </c>
      <c r="R676" s="2" t="s">
        <v>4975</v>
      </c>
      <c r="S676" s="12" t="str">
        <f t="shared" si="127"/>
        <v>1887</v>
      </c>
      <c r="V676" s="12" t="str">
        <f t="shared" si="128"/>
        <v/>
      </c>
      <c r="W676" s="2" t="s">
        <v>3883</v>
      </c>
      <c r="X676" s="2" t="s">
        <v>187</v>
      </c>
      <c r="Z676" s="2" t="s">
        <v>366</v>
      </c>
      <c r="AA676" s="2">
        <v>1823</v>
      </c>
      <c r="AD676" s="2" t="s">
        <v>1017</v>
      </c>
      <c r="AE676" s="2" t="s">
        <v>4976</v>
      </c>
      <c r="AG676" s="2" t="s">
        <v>60</v>
      </c>
      <c r="AH676" s="2">
        <v>1840</v>
      </c>
      <c r="AI676" s="12" t="str">
        <f t="shared" si="129"/>
        <v>1840</v>
      </c>
      <c r="AK676" s="2" t="s">
        <v>4979</v>
      </c>
      <c r="AN676" s="2" t="s">
        <v>4977</v>
      </c>
      <c r="AO676" s="2" t="s">
        <v>655</v>
      </c>
      <c r="AR676" s="2">
        <v>1815</v>
      </c>
      <c r="AU676" s="2" t="s">
        <v>93</v>
      </c>
      <c r="AV676" s="2" t="s">
        <v>4978</v>
      </c>
    </row>
    <row r="677" spans="1:59">
      <c r="A677" s="2" t="s">
        <v>2427</v>
      </c>
      <c r="B677" s="12" t="str">
        <f t="shared" si="122"/>
        <v>GROBLER</v>
      </c>
      <c r="C677" s="12" t="str">
        <f t="shared" si="123"/>
        <v>GROBLER</v>
      </c>
      <c r="D677" s="2" t="s">
        <v>4908</v>
      </c>
      <c r="E677" s="12" t="str">
        <f t="shared" si="133"/>
        <v>Gerrit Hendrik</v>
      </c>
      <c r="F677" s="2" t="s">
        <v>4909</v>
      </c>
      <c r="G677" s="12" t="str">
        <f t="shared" si="124"/>
        <v>a1b5c4d10e2</v>
      </c>
      <c r="H677" s="12" t="str">
        <f t="shared" si="134"/>
        <v>GROBLERa1b5c4d10e2</v>
      </c>
      <c r="J677" s="2" t="s">
        <v>4910</v>
      </c>
      <c r="K677" s="12" t="str">
        <f t="shared" si="125"/>
        <v>1823</v>
      </c>
      <c r="L677" s="2" t="s">
        <v>199</v>
      </c>
      <c r="M677" s="2" t="s">
        <v>4911</v>
      </c>
      <c r="N677" s="12" t="str">
        <f t="shared" si="131"/>
        <v>1823</v>
      </c>
      <c r="O677" s="12" t="str">
        <f t="shared" si="132"/>
        <v>1823</v>
      </c>
      <c r="P677" s="2" t="s">
        <v>140</v>
      </c>
      <c r="Q677" s="12" t="str">
        <f t="shared" si="126"/>
        <v>1823</v>
      </c>
      <c r="R677" s="2" t="s">
        <v>4912</v>
      </c>
      <c r="S677" s="12" t="str">
        <f t="shared" si="127"/>
        <v>1901</v>
      </c>
      <c r="T677" s="2" t="s">
        <v>31</v>
      </c>
      <c r="U677" s="2" t="s">
        <v>4913</v>
      </c>
      <c r="V677" s="12" t="str">
        <f t="shared" si="128"/>
        <v>1849</v>
      </c>
      <c r="W677" s="2" t="s">
        <v>4914</v>
      </c>
      <c r="X677" s="2" t="s">
        <v>1425</v>
      </c>
      <c r="AA677" s="2" t="s">
        <v>4915</v>
      </c>
      <c r="AB677" s="2" t="s">
        <v>32</v>
      </c>
      <c r="AC677" s="2" t="s">
        <v>2302</v>
      </c>
      <c r="AD677" s="2" t="s">
        <v>140</v>
      </c>
      <c r="AE677" s="2" t="s">
        <v>4916</v>
      </c>
      <c r="AG677" s="2" t="s">
        <v>60</v>
      </c>
      <c r="AH677" s="2" t="s">
        <v>4917</v>
      </c>
      <c r="AI677" s="12" t="str">
        <f t="shared" si="129"/>
        <v>38/9</v>
      </c>
    </row>
    <row r="678" spans="1:59">
      <c r="A678" s="2" t="s">
        <v>2427</v>
      </c>
      <c r="B678" s="12" t="str">
        <f t="shared" si="122"/>
        <v>GROBLER</v>
      </c>
      <c r="C678" s="12" t="str">
        <f t="shared" si="123"/>
        <v>GROBLER</v>
      </c>
      <c r="D678" s="2" t="s">
        <v>4918</v>
      </c>
      <c r="E678" s="12" t="str">
        <f t="shared" si="133"/>
        <v>Hendrik Christoffel Ignatius</v>
      </c>
      <c r="F678" s="2" t="s">
        <v>4919</v>
      </c>
      <c r="G678" s="12" t="str">
        <f t="shared" si="124"/>
        <v>a1b5c4d15</v>
      </c>
      <c r="H678" s="12" t="str">
        <f t="shared" si="134"/>
        <v>GROBLERa1b5c4d15</v>
      </c>
      <c r="J678" s="2">
        <v>1808</v>
      </c>
      <c r="K678" s="12" t="str">
        <f t="shared" si="125"/>
        <v>1808</v>
      </c>
      <c r="L678" s="2" t="s">
        <v>199</v>
      </c>
      <c r="M678" s="2" t="s">
        <v>4920</v>
      </c>
      <c r="N678" s="12" t="str">
        <f t="shared" si="131"/>
        <v>1808</v>
      </c>
      <c r="O678" s="12" t="str">
        <f t="shared" si="132"/>
        <v>1809</v>
      </c>
      <c r="P678" s="2" t="s">
        <v>4103</v>
      </c>
      <c r="Q678" s="12" t="str">
        <f t="shared" si="126"/>
        <v>1808</v>
      </c>
      <c r="R678" s="2" t="s">
        <v>4921</v>
      </c>
      <c r="S678" s="12" t="str">
        <f t="shared" si="127"/>
        <v>1892</v>
      </c>
      <c r="T678" s="2" t="s">
        <v>158</v>
      </c>
      <c r="U678" s="2" t="s">
        <v>4922</v>
      </c>
      <c r="V678" s="12" t="str">
        <f t="shared" si="128"/>
        <v>1830</v>
      </c>
      <c r="W678" s="2" t="s">
        <v>4923</v>
      </c>
      <c r="X678" s="2" t="s">
        <v>640</v>
      </c>
      <c r="AA678" s="2" t="s">
        <v>4924</v>
      </c>
      <c r="AB678" s="2" t="s">
        <v>961</v>
      </c>
      <c r="AC678" s="2" t="s">
        <v>4879</v>
      </c>
      <c r="AD678" s="2" t="s">
        <v>24</v>
      </c>
      <c r="AE678" s="2" t="s">
        <v>4925</v>
      </c>
      <c r="AF678" s="2" t="s">
        <v>3699</v>
      </c>
      <c r="AG678" s="2" t="s">
        <v>68</v>
      </c>
      <c r="AI678" s="12" t="str">
        <f t="shared" si="129"/>
        <v/>
      </c>
      <c r="AJ678" s="2" t="s">
        <v>379</v>
      </c>
    </row>
    <row r="679" spans="1:59">
      <c r="A679" s="12" t="s">
        <v>2427</v>
      </c>
      <c r="B679" s="12" t="str">
        <f t="shared" si="122"/>
        <v>GROBLER</v>
      </c>
      <c r="C679" s="12" t="str">
        <f t="shared" si="123"/>
        <v>GROBLER</v>
      </c>
      <c r="D679" s="12" t="s">
        <v>2137</v>
      </c>
      <c r="E679" s="12" t="str">
        <f t="shared" si="133"/>
        <v>Johanna Hendrina</v>
      </c>
      <c r="F679" s="12" t="s">
        <v>4961</v>
      </c>
      <c r="G679" s="12" t="str">
        <f t="shared" si="124"/>
        <v>a1b6c1d2</v>
      </c>
      <c r="H679" s="12" t="str">
        <f t="shared" si="134"/>
        <v>GROBLERa1b6c1d2</v>
      </c>
      <c r="I679" s="12"/>
      <c r="J679" s="12"/>
      <c r="K679" s="12" t="str">
        <f t="shared" si="125"/>
        <v/>
      </c>
      <c r="L679" s="12" t="s">
        <v>4863</v>
      </c>
      <c r="M679" s="12" t="s">
        <v>4962</v>
      </c>
      <c r="N679" s="12" t="str">
        <f t="shared" si="131"/>
        <v/>
      </c>
      <c r="O679" s="12" t="str">
        <f t="shared" si="132"/>
        <v>1784</v>
      </c>
      <c r="P679" s="12" t="s">
        <v>4963</v>
      </c>
      <c r="Q679" s="12" t="str">
        <f t="shared" si="126"/>
        <v>1784</v>
      </c>
      <c r="R679" s="12" t="s">
        <v>4964</v>
      </c>
      <c r="S679" s="12" t="str">
        <f t="shared" si="127"/>
        <v>1839</v>
      </c>
      <c r="T679" s="12"/>
      <c r="U679" s="12" t="s">
        <v>1993</v>
      </c>
      <c r="V679" s="12" t="str">
        <f t="shared" si="128"/>
        <v>1806</v>
      </c>
      <c r="W679" s="12" t="s">
        <v>4965</v>
      </c>
      <c r="X679" s="12" t="s">
        <v>631</v>
      </c>
      <c r="Y679" s="12" t="s">
        <v>3734</v>
      </c>
      <c r="Z679" s="12"/>
      <c r="AA679" s="12"/>
      <c r="AB679" s="12" t="s">
        <v>199</v>
      </c>
      <c r="AC679" s="12" t="s">
        <v>4966</v>
      </c>
      <c r="AD679" s="12" t="s">
        <v>4967</v>
      </c>
      <c r="AE679" s="12" t="s">
        <v>2236</v>
      </c>
      <c r="AF679" s="12" t="s">
        <v>3735</v>
      </c>
      <c r="AG679" s="12" t="s">
        <v>4968</v>
      </c>
      <c r="AH679" s="12" t="s">
        <v>4969</v>
      </c>
      <c r="AI679" s="12" t="str">
        <f t="shared" si="129"/>
        <v xml:space="preserve"> (?)</v>
      </c>
      <c r="AJ679" s="12" t="s">
        <v>4970</v>
      </c>
      <c r="AK679" s="12" t="s">
        <v>90</v>
      </c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</row>
    <row r="680" spans="1:59">
      <c r="A680" s="2" t="s">
        <v>2427</v>
      </c>
      <c r="B680" s="12" t="str">
        <f t="shared" si="122"/>
        <v>GROBLER</v>
      </c>
      <c r="C680" s="12" t="str">
        <f t="shared" si="123"/>
        <v>GROBLER</v>
      </c>
      <c r="D680" s="2" t="s">
        <v>5008</v>
      </c>
      <c r="E680" s="12" t="str">
        <f t="shared" si="133"/>
        <v>Johannes Nicolaas Hermanus</v>
      </c>
      <c r="F680" s="2" t="s">
        <v>4476</v>
      </c>
      <c r="G680" s="12" t="str">
        <f t="shared" si="124"/>
        <v>a1b6c1d3e2</v>
      </c>
      <c r="H680" s="12" t="str">
        <f t="shared" si="134"/>
        <v>GROBLERa1b6c1d3e2</v>
      </c>
      <c r="J680" s="2" t="s">
        <v>5009</v>
      </c>
      <c r="K680" s="12" t="str">
        <f t="shared" si="125"/>
        <v>1807</v>
      </c>
      <c r="L680" s="2" t="s">
        <v>199</v>
      </c>
      <c r="M680" s="2" t="s">
        <v>5010</v>
      </c>
      <c r="N680" s="12" t="str">
        <f t="shared" si="131"/>
        <v>1807</v>
      </c>
      <c r="O680" s="12" t="str">
        <f t="shared" si="132"/>
        <v>1808</v>
      </c>
      <c r="P680" s="2" t="s">
        <v>120</v>
      </c>
      <c r="Q680" s="12" t="str">
        <f t="shared" si="126"/>
        <v>1807</v>
      </c>
      <c r="R680" s="2" t="s">
        <v>5011</v>
      </c>
      <c r="S680" s="12" t="str">
        <f t="shared" si="127"/>
        <v>1886</v>
      </c>
      <c r="T680" s="2" t="s">
        <v>199</v>
      </c>
      <c r="U680" s="2" t="s">
        <v>5012</v>
      </c>
      <c r="V680" s="12" t="str">
        <f t="shared" si="128"/>
        <v>1828</v>
      </c>
      <c r="W680" s="2" t="s">
        <v>1475</v>
      </c>
      <c r="X680" s="2" t="s">
        <v>266</v>
      </c>
      <c r="AA680" s="2">
        <v>1811</v>
      </c>
      <c r="AG680" s="2" t="s">
        <v>5020</v>
      </c>
      <c r="AH680" s="2" t="s">
        <v>5021</v>
      </c>
      <c r="AI680" s="12" t="str">
        <f t="shared" si="129"/>
        <v>1842</v>
      </c>
      <c r="AK680" s="2" t="s">
        <v>120</v>
      </c>
      <c r="AN680" s="2" t="s">
        <v>5013</v>
      </c>
      <c r="AO680" s="2" t="s">
        <v>1495</v>
      </c>
      <c r="AR680" s="2" t="s">
        <v>5014</v>
      </c>
      <c r="AS680" s="2" t="s">
        <v>542</v>
      </c>
      <c r="AT680" s="2" t="s">
        <v>5015</v>
      </c>
      <c r="AW680" s="2" t="s">
        <v>134</v>
      </c>
      <c r="AX680" s="2" t="s">
        <v>5016</v>
      </c>
      <c r="AY680" s="2" t="s">
        <v>5017</v>
      </c>
      <c r="AZ680" s="2" t="s">
        <v>660</v>
      </c>
      <c r="BB680" s="2" t="s">
        <v>5018</v>
      </c>
      <c r="BE680" s="2" t="s">
        <v>120</v>
      </c>
      <c r="BF680" s="2" t="s">
        <v>5019</v>
      </c>
    </row>
    <row r="681" spans="1:59">
      <c r="A681" s="2" t="s">
        <v>2427</v>
      </c>
      <c r="B681" s="12" t="str">
        <f t="shared" si="122"/>
        <v>GROBLER</v>
      </c>
      <c r="C681" s="12" t="str">
        <f t="shared" si="123"/>
        <v>GROBLER</v>
      </c>
      <c r="D681" s="2" t="s">
        <v>4894</v>
      </c>
      <c r="E681" s="12" t="str">
        <f t="shared" si="133"/>
        <v>Frederik Albertus</v>
      </c>
      <c r="F681" s="2" t="s">
        <v>4568</v>
      </c>
      <c r="G681" s="12" t="str">
        <f t="shared" si="124"/>
        <v>a1b6c1d3e3</v>
      </c>
      <c r="H681" s="12" t="str">
        <f t="shared" si="134"/>
        <v>GROBLERa1b6c1d3e3</v>
      </c>
      <c r="J681" s="2" t="s">
        <v>4895</v>
      </c>
      <c r="K681" s="12" t="str">
        <f t="shared" si="125"/>
        <v>1810</v>
      </c>
      <c r="L681" s="2" t="s">
        <v>32</v>
      </c>
      <c r="M681" s="2" t="s">
        <v>4896</v>
      </c>
      <c r="N681" s="12" t="str">
        <f t="shared" si="131"/>
        <v>1810</v>
      </c>
      <c r="O681" s="12" t="str">
        <f t="shared" si="132"/>
        <v>1810</v>
      </c>
      <c r="Q681" s="12" t="str">
        <f t="shared" si="126"/>
        <v>1810</v>
      </c>
      <c r="S681" s="12" t="str">
        <f t="shared" si="127"/>
        <v/>
      </c>
      <c r="T681" s="2" t="s">
        <v>4897</v>
      </c>
      <c r="U681" s="2" t="s">
        <v>4898</v>
      </c>
      <c r="V681" s="12" t="str">
        <f t="shared" si="128"/>
        <v>1831</v>
      </c>
      <c r="W681" s="2" t="s">
        <v>4578</v>
      </c>
      <c r="X681" s="2" t="s">
        <v>2153</v>
      </c>
      <c r="AG681" s="2" t="s">
        <v>366</v>
      </c>
      <c r="AI681" s="12" t="str">
        <f t="shared" si="129"/>
        <v/>
      </c>
      <c r="AN681" s="2" t="s">
        <v>714</v>
      </c>
      <c r="AO681" s="2" t="s">
        <v>756</v>
      </c>
    </row>
    <row r="682" spans="1:59">
      <c r="A682" s="12" t="s">
        <v>2427</v>
      </c>
      <c r="B682" s="12" t="str">
        <f t="shared" si="122"/>
        <v>GROBLER</v>
      </c>
      <c r="C682" s="12" t="str">
        <f t="shared" si="123"/>
        <v>GROBLER</v>
      </c>
      <c r="D682" s="12" t="s">
        <v>4935</v>
      </c>
      <c r="E682" s="12" t="str">
        <f t="shared" si="133"/>
        <v>Hendrik Michael</v>
      </c>
      <c r="F682" s="12" t="s">
        <v>4936</v>
      </c>
      <c r="G682" s="12" t="str">
        <f t="shared" si="124"/>
        <v>a1b6c1d3e4</v>
      </c>
      <c r="H682" s="12" t="str">
        <f t="shared" si="134"/>
        <v>GROBLERa1b6c1d3e4</v>
      </c>
      <c r="I682" s="12"/>
      <c r="J682" s="12" t="s">
        <v>1830</v>
      </c>
      <c r="K682" s="12" t="str">
        <f t="shared" si="125"/>
        <v>1813</v>
      </c>
      <c r="L682" s="12" t="s">
        <v>199</v>
      </c>
      <c r="M682" s="12" t="s">
        <v>3622</v>
      </c>
      <c r="N682" s="12" t="str">
        <f t="shared" si="131"/>
        <v>1813</v>
      </c>
      <c r="O682" s="12" t="str">
        <f t="shared" si="132"/>
        <v>1814</v>
      </c>
      <c r="P682" s="12" t="s">
        <v>120</v>
      </c>
      <c r="Q682" s="12" t="str">
        <f t="shared" si="126"/>
        <v>1813</v>
      </c>
      <c r="R682" s="12" t="s">
        <v>4937</v>
      </c>
      <c r="S682" s="12" t="str">
        <f t="shared" si="127"/>
        <v>1892</v>
      </c>
      <c r="T682" s="12" t="s">
        <v>199</v>
      </c>
      <c r="U682" s="12" t="s">
        <v>4938</v>
      </c>
      <c r="V682" s="12" t="str">
        <f t="shared" si="128"/>
        <v>1834</v>
      </c>
      <c r="W682" s="12" t="s">
        <v>4939</v>
      </c>
      <c r="X682" s="12" t="s">
        <v>660</v>
      </c>
      <c r="Y682" s="12"/>
      <c r="Z682" s="12"/>
      <c r="AA682" s="12" t="s">
        <v>4940</v>
      </c>
      <c r="AB682" s="12"/>
      <c r="AC682" s="12"/>
      <c r="AD682" s="12" t="s">
        <v>120</v>
      </c>
      <c r="AE682" s="12" t="s">
        <v>4941</v>
      </c>
      <c r="AF682" s="12"/>
      <c r="AG682" s="12" t="s">
        <v>199</v>
      </c>
      <c r="AH682" s="12" t="s">
        <v>4917</v>
      </c>
      <c r="AI682" s="12" t="str">
        <f t="shared" si="129"/>
        <v>38/9</v>
      </c>
      <c r="AJ682" s="12"/>
      <c r="AK682" s="12" t="s">
        <v>4934</v>
      </c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</row>
    <row r="683" spans="1:59">
      <c r="A683" s="2" t="s">
        <v>2427</v>
      </c>
      <c r="B683" s="12" t="str">
        <f t="shared" si="122"/>
        <v>GROBLER</v>
      </c>
      <c r="C683" s="12" t="str">
        <f t="shared" si="123"/>
        <v>GROBLER</v>
      </c>
      <c r="D683" s="2" t="s">
        <v>1484</v>
      </c>
      <c r="E683" s="12" t="str">
        <f t="shared" si="133"/>
        <v>Willem Jacobus</v>
      </c>
      <c r="F683" s="2" t="s">
        <v>4539</v>
      </c>
      <c r="G683" s="12" t="str">
        <f t="shared" si="124"/>
        <v>a1b6c1d3e5</v>
      </c>
      <c r="H683" s="12" t="str">
        <f t="shared" si="134"/>
        <v>GROBLERa1b6c1d3e5</v>
      </c>
      <c r="J683" s="2" t="s">
        <v>5124</v>
      </c>
      <c r="K683" s="12" t="str">
        <f t="shared" si="125"/>
        <v>1815</v>
      </c>
      <c r="L683" s="2" t="s">
        <v>199</v>
      </c>
      <c r="M683" s="2" t="s">
        <v>5125</v>
      </c>
      <c r="N683" s="12" t="str">
        <f t="shared" si="131"/>
        <v>1815</v>
      </c>
      <c r="O683" s="12" t="str">
        <f t="shared" si="132"/>
        <v>1815</v>
      </c>
      <c r="P683" s="2" t="s">
        <v>120</v>
      </c>
      <c r="Q683" s="12" t="str">
        <f t="shared" si="126"/>
        <v>1815</v>
      </c>
      <c r="R683" s="2" t="s">
        <v>5126</v>
      </c>
      <c r="S683" s="12" t="str">
        <f t="shared" si="127"/>
        <v>1888</v>
      </c>
      <c r="T683" s="2" t="s">
        <v>366</v>
      </c>
      <c r="U683" s="2" t="s">
        <v>281</v>
      </c>
      <c r="V683" s="12" t="str">
        <f t="shared" si="128"/>
        <v>1836</v>
      </c>
      <c r="W683" s="2" t="s">
        <v>5127</v>
      </c>
      <c r="X683" s="2" t="s">
        <v>731</v>
      </c>
      <c r="AG683" s="2" t="s">
        <v>4897</v>
      </c>
      <c r="AH683" s="2" t="s">
        <v>5131</v>
      </c>
      <c r="AI683" s="12" t="str">
        <f t="shared" si="129"/>
        <v>1840</v>
      </c>
      <c r="AK683" s="2" t="s">
        <v>5132</v>
      </c>
      <c r="AN683" s="2" t="s">
        <v>3910</v>
      </c>
      <c r="AO683" s="2" t="s">
        <v>1876</v>
      </c>
      <c r="AW683" s="2" t="s">
        <v>140</v>
      </c>
      <c r="AX683" s="2" t="s">
        <v>5128</v>
      </c>
      <c r="AY683" s="2" t="s">
        <v>1307</v>
      </c>
      <c r="AZ683" s="2" t="s">
        <v>5129</v>
      </c>
      <c r="BB683" s="2">
        <v>1809</v>
      </c>
      <c r="BF683" s="2" t="s">
        <v>5130</v>
      </c>
    </row>
    <row r="684" spans="1:59">
      <c r="A684" s="2" t="s">
        <v>2427</v>
      </c>
      <c r="B684" s="12" t="str">
        <f t="shared" si="122"/>
        <v>GROBLER</v>
      </c>
      <c r="C684" s="12" t="str">
        <f t="shared" si="123"/>
        <v>GROBLER</v>
      </c>
      <c r="D684" s="2" t="s">
        <v>5073</v>
      </c>
      <c r="E684" s="12" t="str">
        <f t="shared" si="133"/>
        <v>Paulus Stephanus</v>
      </c>
      <c r="F684" s="2" t="s">
        <v>5074</v>
      </c>
      <c r="G684" s="12" t="str">
        <f t="shared" si="124"/>
        <v>a1b6c1d3e6</v>
      </c>
      <c r="H684" s="12" t="str">
        <f t="shared" si="134"/>
        <v>GROBLERa1b6c1d3e6</v>
      </c>
      <c r="J684" s="2" t="s">
        <v>5075</v>
      </c>
      <c r="K684" s="12" t="str">
        <f t="shared" si="125"/>
        <v>1816</v>
      </c>
      <c r="L684" s="2" t="s">
        <v>74</v>
      </c>
      <c r="M684" s="2" t="s">
        <v>4293</v>
      </c>
      <c r="N684" s="12" t="str">
        <f t="shared" si="131"/>
        <v>1816</v>
      </c>
      <c r="O684" s="12" t="str">
        <f t="shared" si="132"/>
        <v>1817</v>
      </c>
      <c r="Q684" s="12" t="str">
        <f t="shared" si="126"/>
        <v>1816</v>
      </c>
      <c r="S684" s="12" t="str">
        <f t="shared" si="127"/>
        <v/>
      </c>
      <c r="T684" s="2" t="s">
        <v>53</v>
      </c>
      <c r="U684" s="2" t="s">
        <v>5076</v>
      </c>
      <c r="V684" s="12" t="str">
        <f t="shared" si="128"/>
        <v>1838</v>
      </c>
      <c r="W684" s="2" t="s">
        <v>5077</v>
      </c>
      <c r="X684" s="2" t="s">
        <v>698</v>
      </c>
      <c r="Z684" s="2" t="s">
        <v>199</v>
      </c>
      <c r="AA684" s="2" t="s">
        <v>5078</v>
      </c>
      <c r="AD684" s="2" t="s">
        <v>134</v>
      </c>
      <c r="AE684" s="2" t="s">
        <v>5079</v>
      </c>
      <c r="AG684" s="2" t="s">
        <v>53</v>
      </c>
      <c r="AH684" s="2" t="s">
        <v>4775</v>
      </c>
      <c r="AI684" s="12" t="str">
        <f t="shared" si="129"/>
        <v>1842</v>
      </c>
      <c r="AK684" s="2" t="s">
        <v>120</v>
      </c>
      <c r="AL684" s="2" t="s">
        <v>120</v>
      </c>
      <c r="AM684" s="2" t="s">
        <v>5080</v>
      </c>
      <c r="AN684" s="2" t="s">
        <v>4715</v>
      </c>
      <c r="AO684" s="2" t="s">
        <v>1824</v>
      </c>
      <c r="AR684" s="2">
        <v>1837</v>
      </c>
    </row>
    <row r="685" spans="1:59">
      <c r="A685" s="2" t="s">
        <v>2427</v>
      </c>
      <c r="B685" s="12" t="str">
        <f t="shared" si="122"/>
        <v>GROBLER</v>
      </c>
      <c r="C685" s="12" t="str">
        <f t="shared" si="123"/>
        <v>GROBLER</v>
      </c>
      <c r="D685" s="2" t="s">
        <v>4955</v>
      </c>
      <c r="E685" s="12" t="str">
        <f t="shared" si="133"/>
        <v>Jan Adriaan Pieter</v>
      </c>
      <c r="F685" s="2" t="s">
        <v>4637</v>
      </c>
      <c r="G685" s="12" t="str">
        <f t="shared" si="124"/>
        <v>a1b6c1d3e7</v>
      </c>
      <c r="H685" s="12" t="str">
        <f t="shared" si="134"/>
        <v>GROBLERa1b6c1d3e7</v>
      </c>
      <c r="J685" s="2" t="s">
        <v>2653</v>
      </c>
      <c r="K685" s="12" t="str">
        <f t="shared" si="125"/>
        <v>1818</v>
      </c>
      <c r="L685" s="2" t="s">
        <v>28</v>
      </c>
      <c r="M685" s="2" t="s">
        <v>4956</v>
      </c>
      <c r="N685" s="12" t="str">
        <f t="shared" si="131"/>
        <v>1818</v>
      </c>
      <c r="O685" s="12" t="str">
        <f t="shared" si="132"/>
        <v>1819</v>
      </c>
      <c r="P685" s="2" t="s">
        <v>4957</v>
      </c>
      <c r="Q685" s="12" t="str">
        <f t="shared" si="126"/>
        <v>1818</v>
      </c>
      <c r="R685" s="2" t="s">
        <v>4958</v>
      </c>
      <c r="S685" s="12" t="str">
        <f t="shared" si="127"/>
        <v>1868</v>
      </c>
      <c r="T685" s="2" t="s">
        <v>60</v>
      </c>
      <c r="U685" s="2" t="s">
        <v>4959</v>
      </c>
      <c r="V685" s="12" t="str">
        <f t="shared" si="128"/>
        <v>1839</v>
      </c>
      <c r="W685" s="2" t="s">
        <v>4261</v>
      </c>
      <c r="X685" s="2" t="s">
        <v>780</v>
      </c>
      <c r="AA685" s="2" t="s">
        <v>4378</v>
      </c>
      <c r="AE685" s="2">
        <v>1866</v>
      </c>
      <c r="AG685" s="2" t="s">
        <v>60</v>
      </c>
      <c r="AH685" s="2">
        <v>1840</v>
      </c>
      <c r="AI685" s="12" t="str">
        <f t="shared" si="129"/>
        <v>1840</v>
      </c>
      <c r="AK685" s="2" t="s">
        <v>4960</v>
      </c>
    </row>
    <row r="686" spans="1:59">
      <c r="A686" s="2" t="s">
        <v>2427</v>
      </c>
      <c r="B686" s="12" t="str">
        <f t="shared" si="122"/>
        <v>GROBLER</v>
      </c>
      <c r="C686" s="12" t="str">
        <f t="shared" si="123"/>
        <v>GROBLER</v>
      </c>
      <c r="D686" s="2" t="s">
        <v>4980</v>
      </c>
      <c r="E686" s="12" t="str">
        <f t="shared" si="133"/>
        <v>Johannes Hermanus</v>
      </c>
      <c r="F686" s="2" t="s">
        <v>1883</v>
      </c>
      <c r="G686" s="12" t="str">
        <f t="shared" si="124"/>
        <v>a1b6c1d5e1</v>
      </c>
      <c r="H686" s="12" t="str">
        <f t="shared" si="134"/>
        <v>GROBLERa1b6c1d5e1</v>
      </c>
      <c r="I686" s="2" t="s">
        <v>4996</v>
      </c>
      <c r="J686" s="2" t="s">
        <v>4997</v>
      </c>
      <c r="K686" s="12" t="str">
        <f t="shared" si="125"/>
        <v>1813</v>
      </c>
      <c r="L686" s="2" t="s">
        <v>74</v>
      </c>
      <c r="M686" s="2" t="s">
        <v>3621</v>
      </c>
      <c r="N686" s="12" t="str">
        <f t="shared" si="131"/>
        <v>1813</v>
      </c>
      <c r="O686" s="12" t="str">
        <f t="shared" si="132"/>
        <v>1813</v>
      </c>
      <c r="P686" s="2" t="s">
        <v>4998</v>
      </c>
      <c r="Q686" s="12" t="str">
        <f t="shared" si="126"/>
        <v>1813</v>
      </c>
      <c r="R686" s="2" t="s">
        <v>4999</v>
      </c>
      <c r="S686" s="12" t="str">
        <f t="shared" si="127"/>
        <v>1892</v>
      </c>
      <c r="T686" s="2" t="s">
        <v>199</v>
      </c>
      <c r="U686" s="2" t="s">
        <v>5000</v>
      </c>
      <c r="V686" s="12" t="str">
        <f t="shared" si="128"/>
        <v>1836</v>
      </c>
      <c r="W686" s="2" t="s">
        <v>5001</v>
      </c>
      <c r="X686" s="2" t="s">
        <v>2541</v>
      </c>
      <c r="Y686" s="2" t="s">
        <v>1730</v>
      </c>
      <c r="AA686" s="2" t="s">
        <v>5002</v>
      </c>
      <c r="AB686" s="2" t="s">
        <v>199</v>
      </c>
      <c r="AC686" s="2" t="s">
        <v>5003</v>
      </c>
      <c r="AD686" s="2" t="s">
        <v>120</v>
      </c>
      <c r="AE686" s="2" t="s">
        <v>5004</v>
      </c>
      <c r="AG686" s="2" t="s">
        <v>199</v>
      </c>
      <c r="AH686" s="2">
        <v>1838</v>
      </c>
      <c r="AI686" s="12" t="str">
        <f t="shared" si="129"/>
        <v>1838</v>
      </c>
      <c r="AJ686" s="2" t="s">
        <v>5005</v>
      </c>
      <c r="AK686" s="2" t="s">
        <v>5006</v>
      </c>
      <c r="AM686" s="2">
        <v>1890</v>
      </c>
      <c r="AN686" s="2" t="s">
        <v>3943</v>
      </c>
      <c r="AO686" s="2" t="s">
        <v>5007</v>
      </c>
    </row>
    <row r="687" spans="1:59">
      <c r="A687" s="2" t="s">
        <v>2427</v>
      </c>
      <c r="B687" s="12" t="str">
        <f t="shared" si="122"/>
        <v>GROBLER</v>
      </c>
      <c r="C687" s="12" t="str">
        <f t="shared" si="123"/>
        <v>GROBLER</v>
      </c>
      <c r="D687" s="2" t="s">
        <v>5106</v>
      </c>
      <c r="E687" s="12" t="str">
        <f t="shared" si="133"/>
        <v>Stephanus Johannes</v>
      </c>
      <c r="F687" s="2" t="s">
        <v>5107</v>
      </c>
      <c r="G687" s="12" t="str">
        <f t="shared" si="124"/>
        <v>a1b6c1d5e2</v>
      </c>
      <c r="H687" s="12" t="str">
        <f t="shared" si="134"/>
        <v>GROBLERa1b6c1d5e2</v>
      </c>
      <c r="J687" s="2" t="s">
        <v>1117</v>
      </c>
      <c r="K687" s="12" t="str">
        <f t="shared" si="125"/>
        <v>1818</v>
      </c>
      <c r="L687" s="2" t="s">
        <v>74</v>
      </c>
      <c r="M687" s="2" t="s">
        <v>5108</v>
      </c>
      <c r="N687" s="12" t="str">
        <f t="shared" si="131"/>
        <v>1818</v>
      </c>
      <c r="O687" s="12" t="str">
        <f t="shared" si="132"/>
        <v>1818</v>
      </c>
      <c r="P687" s="2" t="s">
        <v>5109</v>
      </c>
      <c r="Q687" s="12" t="str">
        <f t="shared" si="126"/>
        <v>1818</v>
      </c>
      <c r="R687" s="2" t="s">
        <v>5110</v>
      </c>
      <c r="S687" s="12" t="str">
        <f t="shared" si="127"/>
        <v>1887</v>
      </c>
      <c r="T687" s="2" t="s">
        <v>199</v>
      </c>
      <c r="U687" s="2" t="s">
        <v>5111</v>
      </c>
      <c r="V687" s="12" t="str">
        <f t="shared" si="128"/>
        <v>1838</v>
      </c>
      <c r="W687" s="2" t="s">
        <v>5112</v>
      </c>
      <c r="X687" s="2" t="s">
        <v>3799</v>
      </c>
      <c r="Z687" s="2" t="s">
        <v>199</v>
      </c>
      <c r="AA687" s="2" t="s">
        <v>5113</v>
      </c>
      <c r="AD687" s="2" t="s">
        <v>1864</v>
      </c>
      <c r="AE687" s="2" t="s">
        <v>5114</v>
      </c>
      <c r="AG687" s="2" t="s">
        <v>199</v>
      </c>
      <c r="AH687" s="2">
        <v>1838</v>
      </c>
      <c r="AI687" s="12" t="str">
        <f t="shared" si="129"/>
        <v>1838</v>
      </c>
      <c r="AK687" s="2" t="s">
        <v>5123</v>
      </c>
      <c r="AL687" s="2" t="s">
        <v>120</v>
      </c>
      <c r="AM687" s="2" t="s">
        <v>5115</v>
      </c>
      <c r="AN687" s="2" t="s">
        <v>5116</v>
      </c>
      <c r="AO687" s="2" t="s">
        <v>633</v>
      </c>
      <c r="AQ687" s="2" t="s">
        <v>32</v>
      </c>
      <c r="AR687" s="2" t="s">
        <v>5117</v>
      </c>
      <c r="AU687" s="2" t="s">
        <v>1864</v>
      </c>
      <c r="AV687" s="2" t="s">
        <v>5118</v>
      </c>
      <c r="AW687" s="2" t="s">
        <v>4932</v>
      </c>
      <c r="AX687" s="2" t="s">
        <v>5119</v>
      </c>
      <c r="AY687" s="2" t="s">
        <v>5120</v>
      </c>
      <c r="AZ687" s="2" t="s">
        <v>5121</v>
      </c>
      <c r="BB687" s="2">
        <v>1833</v>
      </c>
      <c r="BE687" s="2" t="s">
        <v>81</v>
      </c>
      <c r="BF687" s="2" t="s">
        <v>5122</v>
      </c>
    </row>
    <row r="688" spans="1:59">
      <c r="A688" s="2" t="s">
        <v>2427</v>
      </c>
      <c r="B688" s="12" t="str">
        <f t="shared" si="122"/>
        <v>GROBLER</v>
      </c>
      <c r="C688" s="12" t="str">
        <f t="shared" si="123"/>
        <v>GROBLER</v>
      </c>
      <c r="D688" s="2" t="s">
        <v>4926</v>
      </c>
      <c r="E688" s="12" t="str">
        <f t="shared" si="133"/>
        <v>Hendrik Frederik</v>
      </c>
      <c r="F688" s="2" t="s">
        <v>4927</v>
      </c>
      <c r="G688" s="12" t="str">
        <f t="shared" si="124"/>
        <v>a1b6c1d5e5</v>
      </c>
      <c r="H688" s="12" t="str">
        <f t="shared" si="134"/>
        <v>GROBLERa1b6c1d5e5</v>
      </c>
      <c r="J688" s="2" t="s">
        <v>4928</v>
      </c>
      <c r="K688" s="12" t="str">
        <f t="shared" si="125"/>
        <v>1824</v>
      </c>
      <c r="L688" s="2" t="s">
        <v>32</v>
      </c>
      <c r="M688" s="2" t="s">
        <v>3557</v>
      </c>
      <c r="N688" s="12" t="str">
        <f t="shared" si="131"/>
        <v>1824</v>
      </c>
      <c r="O688" s="12" t="str">
        <f t="shared" si="132"/>
        <v>1824</v>
      </c>
      <c r="P688" s="2" t="s">
        <v>120</v>
      </c>
      <c r="Q688" s="12" t="str">
        <f t="shared" si="126"/>
        <v>1824</v>
      </c>
      <c r="R688" s="2" t="s">
        <v>4929</v>
      </c>
      <c r="S688" s="12" t="str">
        <f t="shared" si="127"/>
        <v>1898</v>
      </c>
      <c r="V688" s="12" t="str">
        <f t="shared" si="128"/>
        <v/>
      </c>
      <c r="W688" s="2" t="s">
        <v>4267</v>
      </c>
      <c r="X688" s="2" t="s">
        <v>3799</v>
      </c>
      <c r="AG688" s="2" t="s">
        <v>199</v>
      </c>
      <c r="AH688" s="10" t="s">
        <v>4917</v>
      </c>
      <c r="AI688" s="12" t="str">
        <f t="shared" si="129"/>
        <v>38/9</v>
      </c>
      <c r="AK688" s="2" t="s">
        <v>4934</v>
      </c>
      <c r="AL688" s="2" t="s">
        <v>140</v>
      </c>
      <c r="AM688" s="2" t="s">
        <v>4930</v>
      </c>
      <c r="AN688" s="2" t="s">
        <v>4931</v>
      </c>
      <c r="AO688" s="2" t="s">
        <v>2757</v>
      </c>
      <c r="AQ688" s="2" t="s">
        <v>32</v>
      </c>
      <c r="AR688" s="2">
        <v>1833</v>
      </c>
      <c r="AU688" s="2" t="s">
        <v>4932</v>
      </c>
      <c r="AV688" s="2" t="s">
        <v>4933</v>
      </c>
    </row>
    <row r="689" spans="1:62">
      <c r="A689" s="2" t="s">
        <v>2427</v>
      </c>
      <c r="B689" s="12" t="str">
        <f t="shared" si="122"/>
        <v>GROBLER</v>
      </c>
      <c r="C689" s="12" t="str">
        <f t="shared" si="123"/>
        <v>GROBLER</v>
      </c>
      <c r="D689" s="2" t="s">
        <v>4885</v>
      </c>
      <c r="E689" s="12" t="str">
        <f t="shared" si="133"/>
        <v>Douw Gerbrand</v>
      </c>
      <c r="F689" s="2" t="s">
        <v>4886</v>
      </c>
      <c r="G689" s="12" t="str">
        <f t="shared" si="124"/>
        <v>a1b6c2d2e3</v>
      </c>
      <c r="H689" s="12" t="str">
        <f t="shared" si="134"/>
        <v>GROBLERa1b6c2d2e3</v>
      </c>
      <c r="J689" s="2" t="s">
        <v>4887</v>
      </c>
      <c r="K689" s="12" t="str">
        <f t="shared" si="125"/>
        <v>1811</v>
      </c>
      <c r="L689" s="2" t="s">
        <v>74</v>
      </c>
      <c r="M689" s="2" t="s">
        <v>4888</v>
      </c>
      <c r="N689" s="12" t="str">
        <f t="shared" si="131"/>
        <v>1811</v>
      </c>
      <c r="O689" s="12" t="str">
        <f t="shared" si="132"/>
        <v>1811</v>
      </c>
      <c r="Q689" s="12" t="str">
        <f t="shared" si="126"/>
        <v>1811</v>
      </c>
      <c r="R689" s="2" t="s">
        <v>4889</v>
      </c>
      <c r="S689" s="12" t="str">
        <f t="shared" si="127"/>
        <v>1864</v>
      </c>
      <c r="T689" s="2" t="s">
        <v>28</v>
      </c>
      <c r="U689" s="2" t="s">
        <v>4790</v>
      </c>
      <c r="V689" s="12" t="str">
        <f t="shared" si="128"/>
        <v>1829</v>
      </c>
      <c r="W689" s="2" t="s">
        <v>4890</v>
      </c>
      <c r="X689" s="2" t="s">
        <v>3299</v>
      </c>
      <c r="AA689" s="2" t="s">
        <v>4891</v>
      </c>
      <c r="AB689" s="2" t="s">
        <v>74</v>
      </c>
      <c r="AC689" s="2" t="s">
        <v>332</v>
      </c>
      <c r="AG689" s="2" t="s">
        <v>4892</v>
      </c>
      <c r="AH689" s="2" t="s">
        <v>4893</v>
      </c>
      <c r="AI689" s="12" t="str">
        <f t="shared" si="129"/>
        <v>1838</v>
      </c>
    </row>
    <row r="690" spans="1:62">
      <c r="A690" s="12" t="s">
        <v>2427</v>
      </c>
      <c r="B690" s="12" t="str">
        <f t="shared" si="122"/>
        <v>GROBLER</v>
      </c>
      <c r="C690" s="12" t="str">
        <f t="shared" si="123"/>
        <v>GROBLER</v>
      </c>
      <c r="D690" s="2" t="s">
        <v>4980</v>
      </c>
      <c r="E690" s="12" t="str">
        <f t="shared" si="133"/>
        <v>Johannes Hermanus</v>
      </c>
      <c r="F690" s="2" t="s">
        <v>4989</v>
      </c>
      <c r="G690" s="12" t="str">
        <f t="shared" si="124"/>
        <v>a1b6c2d6</v>
      </c>
      <c r="H690" s="12" t="str">
        <f t="shared" si="134"/>
        <v>GROBLERa1b6c2d6</v>
      </c>
      <c r="J690" s="2" t="s">
        <v>4990</v>
      </c>
      <c r="K690" s="12" t="str">
        <f t="shared" si="125"/>
        <v>1795</v>
      </c>
      <c r="L690" s="2" t="s">
        <v>4863</v>
      </c>
      <c r="M690" s="2" t="s">
        <v>3649</v>
      </c>
      <c r="N690" s="12" t="str">
        <f t="shared" si="131"/>
        <v>1795</v>
      </c>
      <c r="O690" s="12" t="str">
        <f t="shared" si="132"/>
        <v>1796</v>
      </c>
      <c r="P690" s="2" t="s">
        <v>67</v>
      </c>
      <c r="Q690" s="12" t="str">
        <f t="shared" si="126"/>
        <v>1795</v>
      </c>
      <c r="R690" s="2" t="s">
        <v>4991</v>
      </c>
      <c r="S690" s="12" t="str">
        <f t="shared" si="127"/>
        <v>1976</v>
      </c>
      <c r="T690" s="2" t="s">
        <v>74</v>
      </c>
      <c r="U690" s="1">
        <v>41165</v>
      </c>
      <c r="V690" s="12" t="str">
        <f t="shared" si="128"/>
        <v>1165</v>
      </c>
      <c r="W690" s="2" t="s">
        <v>1516</v>
      </c>
      <c r="X690" s="2" t="s">
        <v>2867</v>
      </c>
      <c r="AC690" s="2" t="s">
        <v>4992</v>
      </c>
      <c r="AF690" s="2" t="s">
        <v>3699</v>
      </c>
      <c r="AG690" s="2" t="s">
        <v>68</v>
      </c>
      <c r="AH690" s="2">
        <v>1836</v>
      </c>
      <c r="AI690" s="12" t="str">
        <f t="shared" si="129"/>
        <v>1836</v>
      </c>
      <c r="AJ690" s="2" t="s">
        <v>379</v>
      </c>
      <c r="AK690" s="2" t="s">
        <v>67</v>
      </c>
      <c r="AL690" s="2" t="s">
        <v>53</v>
      </c>
      <c r="AM690" s="2" t="s">
        <v>44</v>
      </c>
      <c r="AN690" s="2" t="s">
        <v>4993</v>
      </c>
      <c r="AO690" s="2" t="s">
        <v>726</v>
      </c>
      <c r="AP690" s="2" t="s">
        <v>4994</v>
      </c>
      <c r="AY690" s="2" t="s">
        <v>4995</v>
      </c>
      <c r="AZ690" s="2" t="s">
        <v>700</v>
      </c>
    </row>
    <row r="691" spans="1:62">
      <c r="A691" s="12" t="s">
        <v>2427</v>
      </c>
      <c r="B691" s="12" t="str">
        <f t="shared" si="122"/>
        <v>GROBLER</v>
      </c>
      <c r="C691" s="12" t="str">
        <f t="shared" si="123"/>
        <v>GROBLER</v>
      </c>
      <c r="D691" s="2" t="s">
        <v>3944</v>
      </c>
      <c r="E691" s="12" t="str">
        <f t="shared" si="133"/>
        <v>Nicolaas Johannes</v>
      </c>
      <c r="F691" s="2" t="s">
        <v>4463</v>
      </c>
      <c r="G691" s="12" t="str">
        <f t="shared" si="124"/>
        <v>a1b6c2d6e1</v>
      </c>
      <c r="H691" s="12" t="str">
        <f t="shared" si="134"/>
        <v>GROBLERa1b6c2d6e1</v>
      </c>
      <c r="I691" s="2" t="s">
        <v>5049</v>
      </c>
      <c r="K691" s="12" t="str">
        <f t="shared" si="125"/>
        <v/>
      </c>
      <c r="L691" s="2" t="s">
        <v>74</v>
      </c>
      <c r="M691" s="2" t="s">
        <v>2632</v>
      </c>
      <c r="N691" s="12" t="str">
        <f t="shared" si="131"/>
        <v/>
      </c>
      <c r="O691" s="12" t="str">
        <f t="shared" si="132"/>
        <v>1814</v>
      </c>
      <c r="P691" s="2" t="s">
        <v>24</v>
      </c>
      <c r="Q691" s="12" t="str">
        <f t="shared" si="126"/>
        <v>1814</v>
      </c>
      <c r="R691" s="12" t="s">
        <v>5050</v>
      </c>
      <c r="S691" s="12" t="str">
        <f t="shared" si="127"/>
        <v>1879</v>
      </c>
      <c r="T691" s="2" t="s">
        <v>28</v>
      </c>
      <c r="U691" s="2" t="s">
        <v>5051</v>
      </c>
      <c r="V691" s="12" t="str">
        <f t="shared" si="128"/>
        <v>1832</v>
      </c>
      <c r="W691" s="2" t="s">
        <v>5052</v>
      </c>
      <c r="X691" s="2" t="s">
        <v>1109</v>
      </c>
      <c r="AC691" s="2" t="s">
        <v>2641</v>
      </c>
      <c r="AF691" s="2" t="s">
        <v>3699</v>
      </c>
      <c r="AG691" s="2" t="s">
        <v>68</v>
      </c>
      <c r="AH691" s="2">
        <v>1836</v>
      </c>
      <c r="AI691" s="12" t="str">
        <f t="shared" si="129"/>
        <v>1836</v>
      </c>
      <c r="AJ691" s="2" t="s">
        <v>379</v>
      </c>
      <c r="AL691" s="2" t="s">
        <v>155</v>
      </c>
      <c r="AM691" s="2" t="s">
        <v>5053</v>
      </c>
      <c r="AN691" s="2" t="s">
        <v>2146</v>
      </c>
      <c r="AO691" s="2" t="s">
        <v>726</v>
      </c>
      <c r="AP691" s="2" t="s">
        <v>3415</v>
      </c>
      <c r="AX691" s="2" t="s">
        <v>5054</v>
      </c>
      <c r="AY691" s="2" t="s">
        <v>2283</v>
      </c>
      <c r="AZ691" s="2" t="s">
        <v>2235</v>
      </c>
    </row>
    <row r="692" spans="1:62">
      <c r="A692" s="12" t="s">
        <v>2427</v>
      </c>
      <c r="B692" s="12" t="str">
        <f t="shared" si="122"/>
        <v>GROBLER</v>
      </c>
      <c r="C692" s="12" t="str">
        <f t="shared" si="123"/>
        <v>GROBLER</v>
      </c>
      <c r="D692" s="2" t="s">
        <v>1764</v>
      </c>
      <c r="E692" s="12" t="str">
        <f t="shared" si="133"/>
        <v>Jan</v>
      </c>
      <c r="F692" s="2" t="s">
        <v>4942</v>
      </c>
      <c r="G692" s="12" t="str">
        <f t="shared" si="124"/>
        <v>a1b6c2d6e3</v>
      </c>
      <c r="H692" s="12" t="str">
        <f t="shared" si="134"/>
        <v>GROBLERa1b6c2d6e3</v>
      </c>
      <c r="J692" s="2" t="s">
        <v>4943</v>
      </c>
      <c r="K692" s="12" t="str">
        <f t="shared" si="125"/>
        <v>1818</v>
      </c>
      <c r="L692" s="2" t="s">
        <v>28</v>
      </c>
      <c r="M692" s="2" t="s">
        <v>4944</v>
      </c>
      <c r="N692" s="12" t="str">
        <f t="shared" si="131"/>
        <v>1818</v>
      </c>
      <c r="O692" s="12" t="str">
        <f t="shared" si="132"/>
        <v>1818</v>
      </c>
      <c r="P692" s="2" t="s">
        <v>67</v>
      </c>
      <c r="Q692" s="12" t="str">
        <f t="shared" si="126"/>
        <v>1818</v>
      </c>
      <c r="R692" s="2" t="s">
        <v>4945</v>
      </c>
      <c r="S692" s="12" t="str">
        <f t="shared" si="127"/>
        <v>1889</v>
      </c>
      <c r="T692" s="2" t="s">
        <v>28</v>
      </c>
      <c r="U692" s="2" t="s">
        <v>1981</v>
      </c>
      <c r="V692" s="12" t="str">
        <f t="shared" si="128"/>
        <v>1836</v>
      </c>
      <c r="W692" s="2" t="s">
        <v>4946</v>
      </c>
      <c r="X692" s="2" t="s">
        <v>726</v>
      </c>
      <c r="AF692" s="2" t="s">
        <v>3699</v>
      </c>
      <c r="AG692" s="2" t="s">
        <v>68</v>
      </c>
      <c r="AH692" s="2" t="s">
        <v>4952</v>
      </c>
      <c r="AI692" s="12" t="str">
        <f t="shared" si="129"/>
        <v>1837</v>
      </c>
      <c r="AJ692" s="2" t="s">
        <v>4953</v>
      </c>
      <c r="AK692" s="2" t="s">
        <v>4954</v>
      </c>
      <c r="AN692" s="2" t="s">
        <v>4947</v>
      </c>
      <c r="AO692" s="2" t="s">
        <v>1824</v>
      </c>
      <c r="AV692" s="12">
        <v>1870</v>
      </c>
      <c r="AW692" s="2" t="s">
        <v>67</v>
      </c>
      <c r="AX692" s="2" t="s">
        <v>4948</v>
      </c>
      <c r="AY692" s="2" t="s">
        <v>4949</v>
      </c>
      <c r="AZ692" s="2" t="s">
        <v>1453</v>
      </c>
      <c r="BB692" s="2" t="s">
        <v>4950</v>
      </c>
      <c r="BI692" s="2" t="s">
        <v>4951</v>
      </c>
      <c r="BJ692" s="2" t="s">
        <v>618</v>
      </c>
    </row>
    <row r="693" spans="1:62">
      <c r="A693" s="12" t="s">
        <v>2427</v>
      </c>
      <c r="B693" s="12" t="str">
        <f t="shared" si="122"/>
        <v>GROBLER</v>
      </c>
      <c r="C693" s="12" t="str">
        <f t="shared" si="123"/>
        <v>GROBLER</v>
      </c>
      <c r="D693" s="2" t="s">
        <v>5133</v>
      </c>
      <c r="E693" s="12" t="str">
        <f t="shared" si="133"/>
        <v>Willem Pieter</v>
      </c>
      <c r="F693" s="2" t="s">
        <v>5134</v>
      </c>
      <c r="G693" s="12" t="str">
        <f t="shared" si="124"/>
        <v>a1b6c2d8</v>
      </c>
      <c r="H693" s="12" t="str">
        <f t="shared" si="134"/>
        <v>GROBLERa1b6c2d8</v>
      </c>
      <c r="J693" s="2" t="s">
        <v>5135</v>
      </c>
      <c r="K693" s="12" t="str">
        <f t="shared" si="125"/>
        <v>1800</v>
      </c>
      <c r="L693" s="2" t="s">
        <v>74</v>
      </c>
      <c r="M693" s="2" t="s">
        <v>5136</v>
      </c>
      <c r="N693" s="12" t="str">
        <f t="shared" si="131"/>
        <v>1800</v>
      </c>
      <c r="O693" s="12" t="str">
        <f t="shared" si="132"/>
        <v>1800</v>
      </c>
      <c r="P693" s="2" t="s">
        <v>67</v>
      </c>
      <c r="Q693" s="12" t="str">
        <f t="shared" si="126"/>
        <v>1800</v>
      </c>
      <c r="R693" s="2" t="s">
        <v>5137</v>
      </c>
      <c r="S693" s="12" t="str">
        <f t="shared" si="127"/>
        <v>1869</v>
      </c>
      <c r="T693" s="2" t="s">
        <v>28</v>
      </c>
      <c r="U693" s="2" t="s">
        <v>5138</v>
      </c>
      <c r="V693" s="12" t="str">
        <f t="shared" si="128"/>
        <v>1824</v>
      </c>
      <c r="W693" s="2" t="s">
        <v>692</v>
      </c>
      <c r="X693" s="2" t="s">
        <v>1109</v>
      </c>
      <c r="Y693" s="2" t="s">
        <v>5139</v>
      </c>
      <c r="AC693" s="2" t="s">
        <v>1288</v>
      </c>
      <c r="AD693" s="2" t="s">
        <v>67</v>
      </c>
      <c r="AE693" s="2" t="s">
        <v>5140</v>
      </c>
      <c r="AF693" s="2" t="s">
        <v>3699</v>
      </c>
      <c r="AG693" s="2" t="s">
        <v>68</v>
      </c>
      <c r="AH693" s="2">
        <v>1837</v>
      </c>
      <c r="AI693" s="12" t="str">
        <f t="shared" si="129"/>
        <v>1837</v>
      </c>
      <c r="AK693" s="2" t="s">
        <v>67</v>
      </c>
    </row>
    <row r="694" spans="1:62">
      <c r="A694" s="12" t="s">
        <v>2427</v>
      </c>
      <c r="B694" s="12" t="str">
        <f t="shared" si="122"/>
        <v>GROBLER</v>
      </c>
      <c r="C694" s="12" t="str">
        <f t="shared" si="123"/>
        <v>GROBLER</v>
      </c>
      <c r="D694" s="2" t="s">
        <v>1147</v>
      </c>
      <c r="E694" s="12" t="str">
        <f t="shared" si="133"/>
        <v>Cornelis</v>
      </c>
      <c r="F694" s="2" t="s">
        <v>3041</v>
      </c>
      <c r="G694" s="12" t="str">
        <f t="shared" si="124"/>
        <v>a1b6c3d11</v>
      </c>
      <c r="H694" s="12" t="str">
        <f t="shared" si="134"/>
        <v>GROBLERa1b6c3d11</v>
      </c>
      <c r="J694" s="2" t="s">
        <v>4878</v>
      </c>
      <c r="K694" s="12" t="str">
        <f t="shared" si="125"/>
        <v>1811</v>
      </c>
      <c r="L694" s="2" t="s">
        <v>74</v>
      </c>
      <c r="M694" s="2" t="s">
        <v>4879</v>
      </c>
      <c r="N694" s="12" t="str">
        <f t="shared" si="131"/>
        <v>1811</v>
      </c>
      <c r="O694" s="12" t="str">
        <f t="shared" si="132"/>
        <v>1811</v>
      </c>
      <c r="P694" s="2" t="s">
        <v>67</v>
      </c>
      <c r="Q694" s="12" t="str">
        <f t="shared" si="126"/>
        <v>1811</v>
      </c>
      <c r="R694" s="2" t="s">
        <v>4880</v>
      </c>
      <c r="S694" s="12" t="str">
        <f t="shared" si="127"/>
        <v>1885</v>
      </c>
      <c r="T694" s="2" t="s">
        <v>28</v>
      </c>
      <c r="U694" s="2" t="s">
        <v>3519</v>
      </c>
      <c r="V694" s="12" t="str">
        <f t="shared" si="128"/>
        <v>1831</v>
      </c>
      <c r="W694" s="2" t="s">
        <v>4881</v>
      </c>
      <c r="X694" s="2" t="s">
        <v>669</v>
      </c>
      <c r="AF694" s="2" t="s">
        <v>16</v>
      </c>
      <c r="AG694" s="2" t="s">
        <v>68</v>
      </c>
      <c r="AH694" s="2">
        <v>1840</v>
      </c>
      <c r="AI694" s="12" t="str">
        <f t="shared" si="129"/>
        <v>1840</v>
      </c>
      <c r="AK694" s="2" t="s">
        <v>67</v>
      </c>
      <c r="AL694" s="2" t="s">
        <v>140</v>
      </c>
      <c r="AM694" s="2" t="s">
        <v>4882</v>
      </c>
      <c r="AN694" s="2" t="s">
        <v>4883</v>
      </c>
      <c r="AO694" s="2" t="s">
        <v>2589</v>
      </c>
      <c r="AR694" s="2">
        <v>1824</v>
      </c>
      <c r="AU694" s="2" t="s">
        <v>67</v>
      </c>
      <c r="AV694" s="2" t="s">
        <v>4884</v>
      </c>
    </row>
    <row r="695" spans="1:62">
      <c r="A695" s="12" t="s">
        <v>2427</v>
      </c>
      <c r="B695" s="12" t="str">
        <f t="shared" si="122"/>
        <v>GROBLER</v>
      </c>
      <c r="C695" s="12" t="str">
        <f t="shared" si="123"/>
        <v>GROBLER</v>
      </c>
      <c r="D695" s="2" t="s">
        <v>4980</v>
      </c>
      <c r="E695" s="12" t="str">
        <f t="shared" si="133"/>
        <v>Johannes Hermanus</v>
      </c>
      <c r="F695" s="2" t="s">
        <v>1888</v>
      </c>
      <c r="G695" s="12" t="str">
        <f t="shared" si="124"/>
        <v>a1b6c5d6</v>
      </c>
      <c r="H695" s="12" t="str">
        <f t="shared" si="134"/>
        <v>GROBLERa1b6c5d6</v>
      </c>
      <c r="J695" s="2" t="s">
        <v>4981</v>
      </c>
      <c r="K695" s="12" t="str">
        <f t="shared" si="125"/>
        <v>1804</v>
      </c>
      <c r="L695" s="2" t="s">
        <v>961</v>
      </c>
      <c r="M695" s="2" t="s">
        <v>4982</v>
      </c>
      <c r="N695" s="12" t="str">
        <f t="shared" si="131"/>
        <v>1804</v>
      </c>
      <c r="O695" s="12" t="str">
        <f t="shared" si="132"/>
        <v>1806</v>
      </c>
      <c r="Q695" s="12" t="str">
        <f t="shared" si="126"/>
        <v>1804</v>
      </c>
      <c r="S695" s="12" t="str">
        <f t="shared" si="127"/>
        <v/>
      </c>
      <c r="T695" s="2" t="s">
        <v>28</v>
      </c>
      <c r="U695" s="2" t="s">
        <v>4983</v>
      </c>
      <c r="V695" s="12" t="str">
        <f t="shared" si="128"/>
        <v>1825</v>
      </c>
      <c r="W695" s="2" t="s">
        <v>4984</v>
      </c>
      <c r="X695" s="2" t="s">
        <v>2427</v>
      </c>
      <c r="Y695" s="2" t="s">
        <v>4985</v>
      </c>
      <c r="AA695" s="2" t="s">
        <v>4986</v>
      </c>
      <c r="AB695" s="2" t="s">
        <v>74</v>
      </c>
      <c r="AC695" s="2" t="s">
        <v>189</v>
      </c>
      <c r="AF695" s="2" t="s">
        <v>570</v>
      </c>
      <c r="AG695" s="2" t="s">
        <v>4987</v>
      </c>
      <c r="AH695" s="2" t="s">
        <v>4988</v>
      </c>
      <c r="AI695" s="12" t="str">
        <f t="shared" si="129"/>
        <v>1840</v>
      </c>
    </row>
    <row r="696" spans="1:62">
      <c r="A696" s="12" t="s">
        <v>2427</v>
      </c>
      <c r="B696" s="12" t="str">
        <f t="shared" si="122"/>
        <v>GROBLER</v>
      </c>
      <c r="C696" s="12" t="str">
        <f t="shared" si="123"/>
        <v>GROBLER</v>
      </c>
      <c r="D696" s="2" t="s">
        <v>4872</v>
      </c>
      <c r="E696" s="12" t="str">
        <f t="shared" si="133"/>
        <v>Ceort Nicolaas</v>
      </c>
      <c r="F696" s="2" t="s">
        <v>4873</v>
      </c>
      <c r="G696" s="12" t="str">
        <f t="shared" si="124"/>
        <v>a1b6c6d3</v>
      </c>
      <c r="H696" s="12" t="str">
        <f t="shared" si="134"/>
        <v>GROBLERa1b6c6d3</v>
      </c>
      <c r="J696" s="2" t="s">
        <v>4874</v>
      </c>
      <c r="K696" s="12" t="str">
        <f t="shared" si="125"/>
        <v>1803</v>
      </c>
      <c r="L696" s="2" t="s">
        <v>4863</v>
      </c>
      <c r="M696" s="2" t="s">
        <v>4875</v>
      </c>
      <c r="N696" s="12" t="str">
        <f t="shared" si="131"/>
        <v>1803</v>
      </c>
      <c r="O696" s="12" t="str">
        <f t="shared" si="132"/>
        <v>1804</v>
      </c>
      <c r="P696" s="2" t="s">
        <v>4876</v>
      </c>
      <c r="Q696" s="12" t="str">
        <f t="shared" si="126"/>
        <v>1803</v>
      </c>
      <c r="R696" s="2">
        <v>1881</v>
      </c>
      <c r="S696" s="12" t="str">
        <f t="shared" si="127"/>
        <v>1881</v>
      </c>
      <c r="T696" s="2" t="s">
        <v>53</v>
      </c>
      <c r="U696" s="2" t="s">
        <v>1732</v>
      </c>
      <c r="V696" s="12" t="str">
        <f t="shared" si="128"/>
        <v>1826</v>
      </c>
      <c r="W696" s="2" t="s">
        <v>1135</v>
      </c>
      <c r="X696" s="2" t="s">
        <v>657</v>
      </c>
      <c r="AA696" s="2" t="s">
        <v>4877</v>
      </c>
      <c r="AB696" s="2" t="s">
        <v>74</v>
      </c>
      <c r="AC696" s="2" t="s">
        <v>4609</v>
      </c>
      <c r="AD696" s="2" t="s">
        <v>4876</v>
      </c>
      <c r="AE696" s="2">
        <v>1881</v>
      </c>
      <c r="AF696" s="2" t="s">
        <v>3698</v>
      </c>
      <c r="AG696" s="2" t="s">
        <v>53</v>
      </c>
      <c r="AH696" s="2">
        <v>1839</v>
      </c>
      <c r="AI696" s="12" t="str">
        <f t="shared" si="129"/>
        <v>1839</v>
      </c>
      <c r="AK696" s="2" t="s">
        <v>551</v>
      </c>
    </row>
    <row r="697" spans="1:62">
      <c r="A697" s="12" t="s">
        <v>2427</v>
      </c>
      <c r="B697" s="12" t="str">
        <f t="shared" si="122"/>
        <v>GROBLER</v>
      </c>
      <c r="C697" s="12" t="str">
        <f t="shared" si="123"/>
        <v>GROBLER</v>
      </c>
      <c r="D697" s="2" t="s">
        <v>5055</v>
      </c>
      <c r="E697" s="12" t="str">
        <f t="shared" si="133"/>
        <v>Nicolaas Marthinus Johannes</v>
      </c>
      <c r="F697" s="2" t="s">
        <v>5056</v>
      </c>
      <c r="G697" s="12" t="str">
        <f t="shared" si="124"/>
        <v>a1b6c6d5</v>
      </c>
      <c r="H697" s="12" t="str">
        <f t="shared" si="134"/>
        <v>GROBLERa1b6c6d5</v>
      </c>
      <c r="J697" s="2" t="s">
        <v>5057</v>
      </c>
      <c r="K697" s="12" t="str">
        <f t="shared" si="125"/>
        <v>1810</v>
      </c>
      <c r="L697" s="2" t="s">
        <v>74</v>
      </c>
      <c r="M697" s="2" t="s">
        <v>5057</v>
      </c>
      <c r="N697" s="12" t="str">
        <f t="shared" si="131"/>
        <v>1810</v>
      </c>
      <c r="O697" s="12" t="str">
        <f t="shared" si="132"/>
        <v>1810</v>
      </c>
      <c r="Q697" s="12" t="str">
        <f t="shared" si="126"/>
        <v>1810</v>
      </c>
      <c r="S697" s="12" t="str">
        <f t="shared" si="127"/>
        <v/>
      </c>
      <c r="T697" s="2" t="s">
        <v>28</v>
      </c>
      <c r="U697" s="2" t="s">
        <v>5058</v>
      </c>
      <c r="V697" s="12" t="str">
        <f t="shared" si="128"/>
        <v>1835</v>
      </c>
      <c r="W697" s="2" t="s">
        <v>5059</v>
      </c>
      <c r="X697" s="2" t="s">
        <v>1824</v>
      </c>
      <c r="AG697" s="2" t="s">
        <v>28</v>
      </c>
      <c r="AH697" s="2" t="s">
        <v>5060</v>
      </c>
      <c r="AI697" s="12" t="str">
        <f t="shared" si="129"/>
        <v>1844</v>
      </c>
      <c r="AK697" s="2" t="s">
        <v>160</v>
      </c>
    </row>
    <row r="698" spans="1:62">
      <c r="A698" s="12" t="s">
        <v>2427</v>
      </c>
      <c r="B698" s="12" t="str">
        <f t="shared" ref="B698:B761" si="135">SUBSTITUTE(A698," ","")</f>
        <v>GROBLER</v>
      </c>
      <c r="C698" s="12" t="str">
        <f t="shared" ref="C698:C761" si="136">TRIM(A698)</f>
        <v>GROBLER</v>
      </c>
      <c r="D698" s="2" t="s">
        <v>3943</v>
      </c>
      <c r="E698" s="12" t="str">
        <f t="shared" si="133"/>
        <v>Martha Johanna</v>
      </c>
      <c r="F698" s="2" t="s">
        <v>5022</v>
      </c>
      <c r="G698" s="12" t="str">
        <f t="shared" ref="G698:G761" si="137">IF(LEFT(F698,1)="b","a1"&amp;F698,F698)</f>
        <v>a1b9c13</v>
      </c>
      <c r="H698" s="12" t="str">
        <f t="shared" ref="H698:H761" si="138">C698&amp;G698</f>
        <v>GROBLERa1b9c13</v>
      </c>
      <c r="J698" s="2" t="s">
        <v>5023</v>
      </c>
      <c r="K698" s="12" t="str">
        <f t="shared" ref="K698:K761" si="139">RIGHT(J698,4)</f>
        <v>1786</v>
      </c>
      <c r="L698" s="2" t="s">
        <v>1955</v>
      </c>
      <c r="M698" s="2" t="s">
        <v>5024</v>
      </c>
      <c r="N698" s="12" t="str">
        <f t="shared" si="131"/>
        <v>1786</v>
      </c>
      <c r="O698" s="12" t="str">
        <f t="shared" si="132"/>
        <v>1787</v>
      </c>
      <c r="Q698" s="12" t="str">
        <f t="shared" ref="Q698:Q761" si="140">IF(N698="",O698,N698)</f>
        <v>1786</v>
      </c>
      <c r="S698" s="12" t="str">
        <f t="shared" ref="S698:S761" si="141">RIGHT(R698,4)</f>
        <v/>
      </c>
      <c r="V698" s="12" t="str">
        <f t="shared" ref="V698:V761" si="142">RIGHT(U698,4)</f>
        <v/>
      </c>
      <c r="W698" s="2" t="s">
        <v>5025</v>
      </c>
      <c r="X698" s="2" t="s">
        <v>5026</v>
      </c>
      <c r="Y698" s="2" t="s">
        <v>5027</v>
      </c>
      <c r="AC698" s="2" t="s">
        <v>5028</v>
      </c>
      <c r="AD698" s="2" t="s">
        <v>5029</v>
      </c>
      <c r="AF698" s="2" t="s">
        <v>3706</v>
      </c>
      <c r="AG698" s="2" t="s">
        <v>68</v>
      </c>
      <c r="AH698" s="2" t="s">
        <v>503</v>
      </c>
      <c r="AI698" s="12" t="str">
        <f t="shared" ref="AI698:AI761" si="143">RIGHT(AH698,4)</f>
        <v>1837</v>
      </c>
      <c r="AJ698" s="2" t="s">
        <v>277</v>
      </c>
      <c r="AK698" s="2" t="s">
        <v>90</v>
      </c>
    </row>
    <row r="699" spans="1:62">
      <c r="A699" s="12" t="s">
        <v>2427</v>
      </c>
      <c r="B699" s="12" t="str">
        <f t="shared" si="135"/>
        <v>GROBLER</v>
      </c>
      <c r="C699" s="12" t="str">
        <f t="shared" si="136"/>
        <v>GROBLER</v>
      </c>
      <c r="D699" s="12" t="s">
        <v>4899</v>
      </c>
      <c r="E699" s="12" t="str">
        <f t="shared" si="133"/>
        <v>Frederik Johannes Nicolaas Andries</v>
      </c>
      <c r="F699" s="12" t="s">
        <v>4900</v>
      </c>
      <c r="G699" s="12" t="str">
        <f t="shared" si="137"/>
        <v>a1b9c5d4</v>
      </c>
      <c r="H699" s="12" t="str">
        <f t="shared" si="138"/>
        <v>GROBLERa1b9c5d4</v>
      </c>
      <c r="I699" s="12"/>
      <c r="J699" s="12" t="s">
        <v>2197</v>
      </c>
      <c r="K699" s="12" t="str">
        <f t="shared" si="139"/>
        <v>1808</v>
      </c>
      <c r="L699" s="12" t="s">
        <v>74</v>
      </c>
      <c r="M699" s="12" t="s">
        <v>4901</v>
      </c>
      <c r="N699" s="12" t="str">
        <f t="shared" si="131"/>
        <v>1808</v>
      </c>
      <c r="O699" s="12" t="str">
        <f t="shared" si="132"/>
        <v>1809</v>
      </c>
      <c r="P699" s="12" t="s">
        <v>81</v>
      </c>
      <c r="Q699" s="12" t="str">
        <f t="shared" si="140"/>
        <v>1808</v>
      </c>
      <c r="R699" s="12" t="s">
        <v>4902</v>
      </c>
      <c r="S699" s="12" t="str">
        <f t="shared" si="141"/>
        <v>1893</v>
      </c>
      <c r="T699" s="12" t="s">
        <v>28</v>
      </c>
      <c r="U699" s="12" t="s">
        <v>4790</v>
      </c>
      <c r="V699" s="12" t="str">
        <f t="shared" si="142"/>
        <v>1829</v>
      </c>
      <c r="W699" s="12" t="s">
        <v>4903</v>
      </c>
      <c r="X699" s="12" t="s">
        <v>776</v>
      </c>
      <c r="Y699" s="12" t="s">
        <v>4904</v>
      </c>
      <c r="Z699" s="12"/>
      <c r="AA699" s="12" t="s">
        <v>4905</v>
      </c>
      <c r="AB699" s="12"/>
      <c r="AC699" s="12" t="s">
        <v>3136</v>
      </c>
      <c r="AD699" s="12"/>
      <c r="AE699" s="12"/>
      <c r="AF699" s="12" t="s">
        <v>3699</v>
      </c>
      <c r="AG699" s="12" t="s">
        <v>68</v>
      </c>
      <c r="AH699" s="12" t="s">
        <v>4907</v>
      </c>
      <c r="AI699" s="12" t="str">
        <f t="shared" si="143"/>
        <v>1838</v>
      </c>
      <c r="AJ699" s="12"/>
      <c r="AK699" s="12" t="s">
        <v>90</v>
      </c>
      <c r="AL699" s="12" t="s">
        <v>168</v>
      </c>
      <c r="AM699" s="12" t="s">
        <v>3693</v>
      </c>
      <c r="AN699" s="12" t="s">
        <v>3331</v>
      </c>
      <c r="AO699" s="12" t="s">
        <v>700</v>
      </c>
      <c r="AP699" s="12" t="s">
        <v>4906</v>
      </c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</row>
    <row r="700" spans="1:62">
      <c r="A700" s="2" t="s">
        <v>5081</v>
      </c>
      <c r="B700" s="12" t="str">
        <f t="shared" si="135"/>
        <v>GROBLER</v>
      </c>
      <c r="C700" s="12" t="str">
        <f t="shared" si="136"/>
        <v>GROBLER</v>
      </c>
      <c r="D700" s="2" t="s">
        <v>2215</v>
      </c>
      <c r="E700" s="12" t="str">
        <f t="shared" si="133"/>
        <v>Pieter</v>
      </c>
      <c r="F700" s="2" t="s">
        <v>5082</v>
      </c>
      <c r="G700" s="12" t="str">
        <f t="shared" si="137"/>
        <v>a1b6c5d4</v>
      </c>
      <c r="H700" s="12" t="str">
        <f t="shared" si="138"/>
        <v>GROBLERa1b6c5d4</v>
      </c>
      <c r="J700" s="2" t="s">
        <v>5083</v>
      </c>
      <c r="K700" s="12" t="str">
        <f t="shared" si="139"/>
        <v>1797</v>
      </c>
      <c r="L700" s="2" t="s">
        <v>542</v>
      </c>
      <c r="N700" s="12" t="str">
        <f t="shared" si="131"/>
        <v>1797</v>
      </c>
      <c r="O700" s="12" t="str">
        <f t="shared" si="132"/>
        <v/>
      </c>
      <c r="P700" s="2" t="s">
        <v>5084</v>
      </c>
      <c r="Q700" s="12" t="str">
        <f t="shared" si="140"/>
        <v>1797</v>
      </c>
      <c r="R700" s="2" t="s">
        <v>5085</v>
      </c>
      <c r="S700" s="12" t="str">
        <f t="shared" si="141"/>
        <v>1883</v>
      </c>
      <c r="T700" s="2" t="s">
        <v>53</v>
      </c>
      <c r="U700" s="2" t="s">
        <v>5015</v>
      </c>
      <c r="V700" s="12" t="str">
        <f t="shared" si="142"/>
        <v>1821</v>
      </c>
      <c r="W700" s="2" t="s">
        <v>3814</v>
      </c>
      <c r="X700" s="2" t="s">
        <v>5086</v>
      </c>
      <c r="AC700" s="2" t="s">
        <v>5087</v>
      </c>
      <c r="AF700" s="2" t="s">
        <v>16</v>
      </c>
      <c r="AG700" s="2" t="s">
        <v>68</v>
      </c>
      <c r="AH700" s="2" t="s">
        <v>5088</v>
      </c>
      <c r="AI700" s="12" t="str">
        <f t="shared" si="143"/>
        <v>1842</v>
      </c>
    </row>
    <row r="701" spans="1:62">
      <c r="A701" s="6" t="s">
        <v>2427</v>
      </c>
      <c r="B701" s="12" t="str">
        <f t="shared" si="135"/>
        <v>GROBLER</v>
      </c>
      <c r="C701" s="6" t="str">
        <f t="shared" si="136"/>
        <v>GROBLER</v>
      </c>
      <c r="D701" s="12" t="s">
        <v>5089</v>
      </c>
      <c r="E701" s="12" t="str">
        <f t="shared" si="133"/>
        <v>Pieter Schalk</v>
      </c>
      <c r="F701" s="12" t="s">
        <v>5090</v>
      </c>
      <c r="G701" s="12" t="str">
        <f t="shared" si="137"/>
        <v>a1b9c11d2</v>
      </c>
      <c r="H701" s="12" t="str">
        <f t="shared" si="138"/>
        <v>GROBLERa1b9c11d2</v>
      </c>
      <c r="I701" s="12"/>
      <c r="J701" s="12" t="s">
        <v>5091</v>
      </c>
      <c r="K701" s="12" t="str">
        <f t="shared" si="139"/>
        <v>1805</v>
      </c>
      <c r="L701" s="12" t="s">
        <v>74</v>
      </c>
      <c r="M701" s="12" t="s">
        <v>2375</v>
      </c>
      <c r="N701" s="12" t="str">
        <f t="shared" si="131"/>
        <v>1805</v>
      </c>
      <c r="O701" s="12" t="str">
        <f t="shared" si="132"/>
        <v>1805</v>
      </c>
      <c r="P701" s="12"/>
      <c r="Q701" s="12" t="str">
        <f t="shared" si="140"/>
        <v>1805</v>
      </c>
      <c r="R701" s="12"/>
      <c r="S701" s="12" t="str">
        <f t="shared" si="141"/>
        <v/>
      </c>
      <c r="T701" s="12" t="s">
        <v>74</v>
      </c>
      <c r="U701" s="12" t="s">
        <v>3086</v>
      </c>
      <c r="V701" s="12" t="str">
        <f t="shared" si="142"/>
        <v>1824</v>
      </c>
      <c r="W701" s="12" t="s">
        <v>5092</v>
      </c>
      <c r="X701" s="12" t="s">
        <v>669</v>
      </c>
      <c r="Y701" s="12" t="s">
        <v>5093</v>
      </c>
      <c r="Z701" s="12"/>
      <c r="AA701" s="12"/>
      <c r="AB701" s="12"/>
      <c r="AC701" s="12" t="s">
        <v>3868</v>
      </c>
      <c r="AD701" s="12"/>
      <c r="AE701" s="12"/>
      <c r="AF701" s="12" t="s">
        <v>3699</v>
      </c>
      <c r="AG701" s="12" t="s">
        <v>4892</v>
      </c>
      <c r="AH701" s="12" t="s">
        <v>5097</v>
      </c>
      <c r="AI701" s="12" t="str">
        <f t="shared" si="143"/>
        <v>1838</v>
      </c>
      <c r="AJ701" s="12"/>
      <c r="AK701" s="12" t="s">
        <v>5098</v>
      </c>
      <c r="AL701" s="12" t="s">
        <v>74</v>
      </c>
      <c r="AM701" s="12" t="s">
        <v>3519</v>
      </c>
      <c r="AN701" s="12" t="s">
        <v>1297</v>
      </c>
      <c r="AO701" s="12" t="s">
        <v>2222</v>
      </c>
      <c r="AP701" s="12" t="s">
        <v>5094</v>
      </c>
      <c r="AQ701" s="12"/>
      <c r="AR701" s="12">
        <v>1813</v>
      </c>
      <c r="AS701" s="12"/>
      <c r="AT701" s="12"/>
      <c r="AU701" s="12" t="s">
        <v>5095</v>
      </c>
      <c r="AV701" s="12" t="s">
        <v>5096</v>
      </c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</row>
    <row r="702" spans="1:62">
      <c r="A702" s="2" t="s">
        <v>5141</v>
      </c>
      <c r="B702" s="12" t="str">
        <f t="shared" si="135"/>
        <v>GROENEWALD</v>
      </c>
      <c r="C702" s="12" t="str">
        <f t="shared" si="136"/>
        <v>GROENEWALD</v>
      </c>
      <c r="D702" s="2" t="s">
        <v>1203</v>
      </c>
      <c r="E702" s="12" t="str">
        <f t="shared" si="133"/>
        <v>Jacobus</v>
      </c>
      <c r="F702" s="2" t="s">
        <v>5142</v>
      </c>
      <c r="G702" s="12" t="str">
        <f t="shared" si="137"/>
        <v>a1b1c5d6e2</v>
      </c>
      <c r="H702" s="12" t="str">
        <f t="shared" si="138"/>
        <v>GROENEWALDa1b1c5d6e2</v>
      </c>
      <c r="J702" s="2" t="s">
        <v>5143</v>
      </c>
      <c r="K702" s="12" t="str">
        <f t="shared" si="139"/>
        <v>1808</v>
      </c>
      <c r="M702" s="2" t="s">
        <v>1055</v>
      </c>
      <c r="N702" s="12" t="str">
        <f t="shared" si="131"/>
        <v>1808</v>
      </c>
      <c r="O702" s="12" t="str">
        <f t="shared" si="132"/>
        <v>1809</v>
      </c>
      <c r="P702" s="2" t="s">
        <v>5144</v>
      </c>
      <c r="Q702" s="12" t="str">
        <f t="shared" si="140"/>
        <v>1808</v>
      </c>
      <c r="R702" s="2" t="s">
        <v>5145</v>
      </c>
      <c r="S702" s="12" t="str">
        <f t="shared" si="141"/>
        <v>1842</v>
      </c>
      <c r="T702" s="2" t="s">
        <v>5146</v>
      </c>
      <c r="U702" s="2" t="s">
        <v>5147</v>
      </c>
      <c r="V702" s="12" t="str">
        <f t="shared" si="142"/>
        <v>1840</v>
      </c>
      <c r="W702" s="2" t="s">
        <v>5148</v>
      </c>
      <c r="X702" s="2" t="s">
        <v>726</v>
      </c>
      <c r="Y702" s="2" t="s">
        <v>5149</v>
      </c>
      <c r="AA702" s="2" t="s">
        <v>5150</v>
      </c>
      <c r="AB702" s="2" t="s">
        <v>53</v>
      </c>
      <c r="AC702" s="2" t="s">
        <v>508</v>
      </c>
      <c r="AG702" s="2" t="s">
        <v>199</v>
      </c>
      <c r="AH702" s="2" t="s">
        <v>385</v>
      </c>
      <c r="AI702" s="12" t="str">
        <f t="shared" si="143"/>
        <v>1840</v>
      </c>
      <c r="AK702" s="2" t="s">
        <v>90</v>
      </c>
    </row>
    <row r="703" spans="1:62">
      <c r="A703" s="12" t="s">
        <v>5151</v>
      </c>
      <c r="B703" s="12" t="str">
        <f t="shared" si="135"/>
        <v>GROVE</v>
      </c>
      <c r="C703" s="12" t="str">
        <f t="shared" si="136"/>
        <v>GROVE</v>
      </c>
      <c r="D703" s="12" t="s">
        <v>5152</v>
      </c>
      <c r="E703" s="12" t="str">
        <f t="shared" si="133"/>
        <v>Hermanus Gerhardus</v>
      </c>
      <c r="F703" s="12" t="s">
        <v>5153</v>
      </c>
      <c r="G703" s="12" t="str">
        <f t="shared" si="137"/>
        <v>a1b3c9d5</v>
      </c>
      <c r="H703" s="12" t="str">
        <f t="shared" si="138"/>
        <v>GROVEa1b3c9d5</v>
      </c>
      <c r="I703" s="12" t="s">
        <v>48</v>
      </c>
      <c r="J703" s="12" t="s">
        <v>5154</v>
      </c>
      <c r="K703" s="12" t="str">
        <f t="shared" si="139"/>
        <v>1794</v>
      </c>
      <c r="L703" s="12"/>
      <c r="M703" s="12" t="s">
        <v>5155</v>
      </c>
      <c r="N703" s="12" t="str">
        <f t="shared" si="131"/>
        <v>1794</v>
      </c>
      <c r="O703" s="12" t="str">
        <f t="shared" si="132"/>
        <v>1794</v>
      </c>
      <c r="P703" s="12" t="s">
        <v>5156</v>
      </c>
      <c r="Q703" s="12" t="str">
        <f t="shared" si="140"/>
        <v>1794</v>
      </c>
      <c r="R703" s="12" t="s">
        <v>5157</v>
      </c>
      <c r="S703" s="12" t="str">
        <f t="shared" si="141"/>
        <v>1856</v>
      </c>
      <c r="T703" s="12" t="s">
        <v>961</v>
      </c>
      <c r="U703" s="12" t="s">
        <v>5158</v>
      </c>
      <c r="V703" s="12" t="str">
        <f t="shared" si="142"/>
        <v>1815</v>
      </c>
      <c r="W703" s="12" t="s">
        <v>3015</v>
      </c>
      <c r="X703" s="12" t="s">
        <v>5159</v>
      </c>
      <c r="Y703" s="12"/>
      <c r="Z703" s="12"/>
      <c r="AA703" s="12"/>
      <c r="AB703" s="12"/>
      <c r="AC703" s="12"/>
      <c r="AD703" s="12" t="s">
        <v>90</v>
      </c>
      <c r="AE703" s="12" t="s">
        <v>5160</v>
      </c>
      <c r="AF703" s="12" t="s">
        <v>5165</v>
      </c>
      <c r="AG703" s="12" t="s">
        <v>74</v>
      </c>
      <c r="AH703" s="12" t="s">
        <v>5166</v>
      </c>
      <c r="AI703" s="12" t="str">
        <f t="shared" si="143"/>
        <v>1838</v>
      </c>
      <c r="AJ703" s="12"/>
      <c r="AK703" s="12" t="s">
        <v>5167</v>
      </c>
      <c r="AL703" s="12"/>
      <c r="AM703" s="12" t="s">
        <v>5161</v>
      </c>
      <c r="AN703" s="12" t="s">
        <v>2958</v>
      </c>
      <c r="AO703" s="12" t="s">
        <v>5162</v>
      </c>
      <c r="AP703" s="12"/>
      <c r="AQ703" s="12"/>
      <c r="AR703" s="12"/>
      <c r="AS703" s="12"/>
      <c r="AT703" s="12" t="s">
        <v>3072</v>
      </c>
      <c r="AU703" s="12" t="s">
        <v>90</v>
      </c>
      <c r="AV703" s="12" t="s">
        <v>4165</v>
      </c>
      <c r="AW703" s="12"/>
      <c r="AX703" s="12" t="s">
        <v>5163</v>
      </c>
      <c r="AY703" s="12" t="s">
        <v>3389</v>
      </c>
      <c r="AZ703" s="12" t="s">
        <v>662</v>
      </c>
      <c r="BA703" s="12" t="s">
        <v>5164</v>
      </c>
      <c r="BB703" s="12"/>
      <c r="BC703" s="12"/>
      <c r="BD703" s="12"/>
      <c r="BE703" s="12"/>
      <c r="BF703" s="12"/>
      <c r="BG703" s="12"/>
    </row>
    <row r="704" spans="1:62">
      <c r="A704" s="12" t="s">
        <v>5168</v>
      </c>
      <c r="B704" s="12" t="str">
        <f t="shared" si="135"/>
        <v>GRUENDLINGH</v>
      </c>
      <c r="C704" s="12" t="str">
        <f t="shared" si="136"/>
        <v>GRUENDLINGH</v>
      </c>
      <c r="D704" s="12" t="s">
        <v>3761</v>
      </c>
      <c r="E704" s="12" t="str">
        <f t="shared" si="133"/>
        <v>Johannes Petrus</v>
      </c>
      <c r="F704" s="12" t="s">
        <v>5169</v>
      </c>
      <c r="G704" s="12" t="str">
        <f t="shared" si="137"/>
        <v>a1b8c1</v>
      </c>
      <c r="H704" s="12" t="str">
        <f t="shared" si="138"/>
        <v>GRUENDLINGHa1b8c1</v>
      </c>
      <c r="I704" s="12"/>
      <c r="J704" s="12"/>
      <c r="K704" s="12" t="str">
        <f t="shared" si="139"/>
        <v/>
      </c>
      <c r="L704" s="12"/>
      <c r="M704" s="12" t="s">
        <v>5170</v>
      </c>
      <c r="N704" s="12" t="str">
        <f t="shared" si="131"/>
        <v/>
      </c>
      <c r="O704" s="12" t="str">
        <f t="shared" si="132"/>
        <v>1791</v>
      </c>
      <c r="P704" s="12"/>
      <c r="Q704" s="12" t="str">
        <f t="shared" si="140"/>
        <v>1791</v>
      </c>
      <c r="R704" s="12"/>
      <c r="S704" s="12" t="str">
        <f t="shared" si="141"/>
        <v/>
      </c>
      <c r="T704" s="12" t="s">
        <v>199</v>
      </c>
      <c r="U704" s="12" t="s">
        <v>1885</v>
      </c>
      <c r="V704" s="12" t="str">
        <f t="shared" si="142"/>
        <v>1822</v>
      </c>
      <c r="W704" s="12" t="s">
        <v>5171</v>
      </c>
      <c r="X704" s="12" t="s">
        <v>1003</v>
      </c>
      <c r="Y704" s="12"/>
      <c r="Z704" s="12"/>
      <c r="AA704" s="12"/>
      <c r="AB704" s="12"/>
      <c r="AC704" s="12"/>
      <c r="AD704" s="12"/>
      <c r="AE704" s="12" t="s">
        <v>5172</v>
      </c>
      <c r="AF704" s="12"/>
      <c r="AG704" s="12" t="s">
        <v>5175</v>
      </c>
      <c r="AH704" s="12" t="s">
        <v>5176</v>
      </c>
      <c r="AI704" s="12" t="str">
        <f t="shared" si="143"/>
        <v>1840</v>
      </c>
      <c r="AJ704" s="12"/>
      <c r="AK704" s="12" t="s">
        <v>5177</v>
      </c>
      <c r="AL704" s="12" t="s">
        <v>28</v>
      </c>
      <c r="AM704" s="12" t="s">
        <v>2341</v>
      </c>
      <c r="AN704" s="12" t="s">
        <v>5173</v>
      </c>
      <c r="AO704" s="12" t="s">
        <v>5174</v>
      </c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</row>
    <row r="705" spans="1:59">
      <c r="A705" s="12" t="s">
        <v>5178</v>
      </c>
      <c r="B705" s="12" t="str">
        <f t="shared" si="135"/>
        <v>HAASBROEK</v>
      </c>
      <c r="C705" s="12" t="str">
        <f t="shared" si="136"/>
        <v>HAASBROEK</v>
      </c>
      <c r="D705" s="12" t="s">
        <v>5179</v>
      </c>
      <c r="E705" s="12" t="str">
        <f t="shared" si="133"/>
        <v xml:space="preserve">Martha Margaretha </v>
      </c>
      <c r="F705" s="12" t="s">
        <v>837</v>
      </c>
      <c r="G705" s="12" t="str">
        <f t="shared" si="137"/>
        <v>a1b1</v>
      </c>
      <c r="H705" s="12" t="str">
        <f t="shared" si="138"/>
        <v>HAASBROEKa1b1</v>
      </c>
      <c r="I705" s="12"/>
      <c r="J705" s="12"/>
      <c r="K705" s="12" t="str">
        <f t="shared" si="139"/>
        <v/>
      </c>
      <c r="L705" s="12"/>
      <c r="M705" s="12" t="s">
        <v>5180</v>
      </c>
      <c r="N705" s="12" t="str">
        <f t="shared" si="131"/>
        <v/>
      </c>
      <c r="O705" s="12" t="str">
        <f t="shared" si="132"/>
        <v>1788</v>
      </c>
      <c r="P705" s="12" t="s">
        <v>155</v>
      </c>
      <c r="Q705" s="12" t="str">
        <f t="shared" si="140"/>
        <v>1788</v>
      </c>
      <c r="R705" s="12" t="s">
        <v>5181</v>
      </c>
      <c r="S705" s="12" t="str">
        <f t="shared" si="141"/>
        <v>1859</v>
      </c>
      <c r="T705" s="12" t="s">
        <v>32</v>
      </c>
      <c r="U705" s="12" t="s">
        <v>2409</v>
      </c>
      <c r="V705" s="12" t="str">
        <f t="shared" si="142"/>
        <v>1807</v>
      </c>
      <c r="W705" s="12" t="s">
        <v>5182</v>
      </c>
      <c r="X705" s="12" t="s">
        <v>5183</v>
      </c>
      <c r="Y705" s="12"/>
      <c r="Z705" s="12"/>
      <c r="AA705" s="12">
        <v>1782</v>
      </c>
      <c r="AB705" s="12" t="s">
        <v>542</v>
      </c>
      <c r="AC705" s="12" t="s">
        <v>5184</v>
      </c>
      <c r="AD705" s="12"/>
      <c r="AE705" s="12"/>
      <c r="AF705" s="12"/>
      <c r="AG705" s="12" t="s">
        <v>5185</v>
      </c>
      <c r="AH705" s="12" t="s">
        <v>362</v>
      </c>
      <c r="AI705" s="12" t="str">
        <f t="shared" si="143"/>
        <v>40'S</v>
      </c>
      <c r="AJ705" s="12" t="s">
        <v>5186</v>
      </c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</row>
    <row r="706" spans="1:59">
      <c r="A706" s="12" t="s">
        <v>5187</v>
      </c>
      <c r="B706" s="12" t="str">
        <f t="shared" si="135"/>
        <v>HAMMAN</v>
      </c>
      <c r="C706" s="12" t="str">
        <f t="shared" si="136"/>
        <v>HAMMAN</v>
      </c>
      <c r="D706" s="12" t="s">
        <v>5188</v>
      </c>
      <c r="E706" s="12" t="str">
        <f t="shared" si="133"/>
        <v>Jacobus Johannes Sr.</v>
      </c>
      <c r="F706" s="12" t="s">
        <v>5189</v>
      </c>
      <c r="G706" s="12" t="str">
        <f t="shared" si="137"/>
        <v>a1b5c1</v>
      </c>
      <c r="H706" s="12" t="str">
        <f t="shared" si="138"/>
        <v>HAMMANa1b5c1</v>
      </c>
      <c r="I706" s="12"/>
      <c r="J706" s="12"/>
      <c r="K706" s="12" t="str">
        <f t="shared" si="139"/>
        <v/>
      </c>
      <c r="L706" s="12"/>
      <c r="M706" s="12" t="s">
        <v>5190</v>
      </c>
      <c r="N706" s="12" t="str">
        <f t="shared" ref="N706:N769" si="144">RIGHT(J706,4)</f>
        <v/>
      </c>
      <c r="O706" s="12" t="str">
        <f t="shared" ref="O706:O769" si="145">RIGHT(M706,4)</f>
        <v>1788</v>
      </c>
      <c r="P706" s="12" t="s">
        <v>5191</v>
      </c>
      <c r="Q706" s="12" t="str">
        <f t="shared" si="140"/>
        <v>1788</v>
      </c>
      <c r="R706" s="12" t="s">
        <v>5192</v>
      </c>
      <c r="S706" s="12" t="str">
        <f t="shared" si="141"/>
        <v>1852</v>
      </c>
      <c r="T706" s="12" t="s">
        <v>53</v>
      </c>
      <c r="U706" s="12" t="s">
        <v>5193</v>
      </c>
      <c r="V706" s="12" t="str">
        <f t="shared" si="142"/>
        <v>1821</v>
      </c>
      <c r="W706" s="12" t="s">
        <v>5194</v>
      </c>
      <c r="X706" s="12" t="s">
        <v>664</v>
      </c>
      <c r="Y706" s="12" t="s">
        <v>5195</v>
      </c>
      <c r="Z706" s="12"/>
      <c r="AA706" s="12" t="s">
        <v>5196</v>
      </c>
      <c r="AB706" s="12"/>
      <c r="AC706" s="12" t="s">
        <v>5197</v>
      </c>
      <c r="AD706" s="12"/>
      <c r="AE706" s="12" t="s">
        <v>5198</v>
      </c>
      <c r="AF706" s="12" t="s">
        <v>3709</v>
      </c>
      <c r="AG706" s="12" t="s">
        <v>68</v>
      </c>
      <c r="AH706" s="12">
        <v>1837</v>
      </c>
      <c r="AI706" s="12" t="str">
        <f t="shared" si="143"/>
        <v>1837</v>
      </c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</row>
    <row r="707" spans="1:59">
      <c r="A707" s="12" t="s">
        <v>5187</v>
      </c>
      <c r="B707" s="12" t="str">
        <f t="shared" si="135"/>
        <v>HAMMAN</v>
      </c>
      <c r="C707" s="12" t="str">
        <f t="shared" si="136"/>
        <v>HAMMAN</v>
      </c>
      <c r="D707" s="12" t="s">
        <v>5199</v>
      </c>
      <c r="E707" s="12" t="str">
        <f t="shared" ref="E707:E770" si="146">PROPER(D707)</f>
        <v>Jacobus Johannes Jr.</v>
      </c>
      <c r="F707" s="12" t="s">
        <v>5200</v>
      </c>
      <c r="G707" s="12" t="str">
        <f t="shared" si="137"/>
        <v>a1b5c1d2</v>
      </c>
      <c r="H707" s="12" t="str">
        <f t="shared" si="138"/>
        <v>HAMMANa1b5c1d2</v>
      </c>
      <c r="I707" s="12"/>
      <c r="J707" s="12" t="s">
        <v>4031</v>
      </c>
      <c r="K707" s="12" t="str">
        <f t="shared" si="139"/>
        <v>1824</v>
      </c>
      <c r="L707" s="12" t="s">
        <v>28</v>
      </c>
      <c r="M707" s="12" t="s">
        <v>2780</v>
      </c>
      <c r="N707" s="12" t="str">
        <f t="shared" si="144"/>
        <v>1824</v>
      </c>
      <c r="O707" s="12" t="str">
        <f t="shared" si="145"/>
        <v>1825</v>
      </c>
      <c r="P707" s="12"/>
      <c r="Q707" s="12" t="str">
        <f t="shared" si="140"/>
        <v>1824</v>
      </c>
      <c r="R707" s="12"/>
      <c r="S707" s="12" t="str">
        <f t="shared" si="141"/>
        <v/>
      </c>
      <c r="T707" s="12" t="s">
        <v>140</v>
      </c>
      <c r="U707" s="12" t="s">
        <v>2643</v>
      </c>
      <c r="V707" s="12" t="str">
        <f t="shared" si="142"/>
        <v>1845</v>
      </c>
      <c r="W707" s="12" t="s">
        <v>5201</v>
      </c>
      <c r="X707" s="12" t="s">
        <v>696</v>
      </c>
      <c r="Y707" s="12"/>
      <c r="Z707" s="12" t="s">
        <v>68</v>
      </c>
      <c r="AA707" s="12">
        <v>1826</v>
      </c>
      <c r="AB707" s="12"/>
      <c r="AC707" s="12"/>
      <c r="AD707" s="12"/>
      <c r="AE707" s="12"/>
      <c r="AF707" s="12" t="s">
        <v>3709</v>
      </c>
      <c r="AG707" s="12" t="s">
        <v>68</v>
      </c>
      <c r="AH707" s="12">
        <v>1837</v>
      </c>
      <c r="AI707" s="12" t="str">
        <f t="shared" si="143"/>
        <v>1837</v>
      </c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</row>
    <row r="708" spans="1:59">
      <c r="A708" s="12" t="s">
        <v>5202</v>
      </c>
      <c r="B708" s="12" t="str">
        <f t="shared" si="135"/>
        <v>HAMMES</v>
      </c>
      <c r="C708" s="12" t="str">
        <f t="shared" si="136"/>
        <v>HAMMES</v>
      </c>
      <c r="D708" s="12" t="s">
        <v>4308</v>
      </c>
      <c r="E708" s="12" t="str">
        <f t="shared" si="146"/>
        <v>Pieter Johannes</v>
      </c>
      <c r="F708" s="12" t="s">
        <v>934</v>
      </c>
      <c r="G708" s="12" t="str">
        <f t="shared" si="137"/>
        <v>a1b1c2</v>
      </c>
      <c r="H708" s="12" t="str">
        <f t="shared" si="138"/>
        <v>HAMMESa1b1c2</v>
      </c>
      <c r="I708" s="12"/>
      <c r="J708" s="12"/>
      <c r="K708" s="12" t="str">
        <f t="shared" si="139"/>
        <v/>
      </c>
      <c r="L708" s="12"/>
      <c r="M708" s="12" t="s">
        <v>5203</v>
      </c>
      <c r="N708" s="12" t="str">
        <f t="shared" si="144"/>
        <v/>
      </c>
      <c r="O708" s="12" t="str">
        <f t="shared" si="145"/>
        <v>1797</v>
      </c>
      <c r="P708" s="12" t="s">
        <v>1017</v>
      </c>
      <c r="Q708" s="12" t="str">
        <f t="shared" si="140"/>
        <v>1797</v>
      </c>
      <c r="R708" s="12" t="s">
        <v>5204</v>
      </c>
      <c r="S708" s="12" t="str">
        <f t="shared" si="141"/>
        <v>1878</v>
      </c>
      <c r="T708" s="12" t="s">
        <v>48</v>
      </c>
      <c r="U708" s="12" t="s">
        <v>5205</v>
      </c>
      <c r="V708" s="12" t="str">
        <f t="shared" si="142"/>
        <v>1826</v>
      </c>
      <c r="W708" s="12" t="s">
        <v>5206</v>
      </c>
      <c r="X708" s="12" t="s">
        <v>5207</v>
      </c>
      <c r="Y708" s="12"/>
      <c r="Z708" s="12"/>
      <c r="AA708" s="12"/>
      <c r="AB708" s="12"/>
      <c r="AC708" s="12"/>
      <c r="AD708" s="12"/>
      <c r="AE708" s="12"/>
      <c r="AF708" s="12"/>
      <c r="AG708" s="12" t="s">
        <v>74</v>
      </c>
      <c r="AH708" s="12" t="s">
        <v>1159</v>
      </c>
      <c r="AI708" s="12" t="str">
        <f t="shared" si="143"/>
        <v>1836</v>
      </c>
      <c r="AJ708" s="12" t="s">
        <v>1404</v>
      </c>
      <c r="AK708" s="12" t="s">
        <v>5214</v>
      </c>
      <c r="AL708" s="12" t="s">
        <v>5208</v>
      </c>
      <c r="AM708" s="12" t="s">
        <v>5209</v>
      </c>
      <c r="AN708" s="12" t="s">
        <v>5210</v>
      </c>
      <c r="AO708" s="12" t="s">
        <v>2427</v>
      </c>
      <c r="AP708" s="12" t="s">
        <v>5211</v>
      </c>
      <c r="AQ708" s="12"/>
      <c r="AR708" s="12" t="s">
        <v>5212</v>
      </c>
      <c r="AS708" s="12"/>
      <c r="AT708" s="12"/>
      <c r="AU708" s="12" t="s">
        <v>168</v>
      </c>
      <c r="AV708" s="12" t="s">
        <v>547</v>
      </c>
      <c r="AW708" s="12"/>
      <c r="AX708" s="12"/>
      <c r="AY708" s="12" t="s">
        <v>819</v>
      </c>
      <c r="AZ708" s="12" t="s">
        <v>698</v>
      </c>
      <c r="BA708" s="12"/>
      <c r="BB708" s="12">
        <v>1830</v>
      </c>
      <c r="BC708" s="12"/>
      <c r="BD708" s="12"/>
      <c r="BE708" s="12" t="s">
        <v>1017</v>
      </c>
      <c r="BF708" s="12" t="s">
        <v>5213</v>
      </c>
      <c r="BG708" s="12"/>
    </row>
    <row r="709" spans="1:59">
      <c r="A709" s="12" t="s">
        <v>5215</v>
      </c>
      <c r="B709" s="12" t="str">
        <f t="shared" si="135"/>
        <v>HANSMEYER</v>
      </c>
      <c r="C709" s="12" t="str">
        <f t="shared" si="136"/>
        <v>HANSMEYER</v>
      </c>
      <c r="D709" s="12" t="s">
        <v>5216</v>
      </c>
      <c r="E709" s="12" t="str">
        <f t="shared" si="146"/>
        <v>Joseph</v>
      </c>
      <c r="F709" s="12" t="s">
        <v>829</v>
      </c>
      <c r="G709" s="12" t="str">
        <f t="shared" si="137"/>
        <v>a1</v>
      </c>
      <c r="H709" s="12" t="str">
        <f t="shared" si="138"/>
        <v>HANSMEYERa1</v>
      </c>
      <c r="I709" s="12" t="s">
        <v>4713</v>
      </c>
      <c r="J709" s="12" t="s">
        <v>5217</v>
      </c>
      <c r="K709" s="12" t="str">
        <f t="shared" si="139"/>
        <v>1813</v>
      </c>
      <c r="L709" s="12"/>
      <c r="M709" s="12"/>
      <c r="N709" s="12" t="str">
        <f t="shared" si="144"/>
        <v>1813</v>
      </c>
      <c r="O709" s="12" t="str">
        <f t="shared" si="145"/>
        <v/>
      </c>
      <c r="P709" s="12" t="s">
        <v>168</v>
      </c>
      <c r="Q709" s="12" t="str">
        <f t="shared" si="140"/>
        <v>1813</v>
      </c>
      <c r="R709" s="12" t="s">
        <v>5218</v>
      </c>
      <c r="S709" s="12" t="str">
        <f t="shared" si="141"/>
        <v>1855</v>
      </c>
      <c r="T709" s="12" t="s">
        <v>168</v>
      </c>
      <c r="U709" s="12" t="s">
        <v>5219</v>
      </c>
      <c r="V709" s="12" t="str">
        <f t="shared" si="142"/>
        <v>1841</v>
      </c>
      <c r="W709" s="12" t="s">
        <v>5220</v>
      </c>
      <c r="X709" s="12" t="s">
        <v>1876</v>
      </c>
      <c r="Y709" s="12" t="s">
        <v>5221</v>
      </c>
      <c r="Z709" s="12"/>
      <c r="AA709" s="12" t="s">
        <v>3618</v>
      </c>
      <c r="AB709" s="12"/>
      <c r="AC709" s="12" t="s">
        <v>5222</v>
      </c>
      <c r="AD709" s="12"/>
      <c r="AE709" s="12" t="s">
        <v>5223</v>
      </c>
      <c r="AF709" s="12"/>
      <c r="AG709" s="12" t="s">
        <v>168</v>
      </c>
      <c r="AH709" s="12" t="s">
        <v>5224</v>
      </c>
      <c r="AI709" s="12" t="str">
        <f t="shared" si="143"/>
        <v>ENTS</v>
      </c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</row>
    <row r="710" spans="1:59">
      <c r="A710" s="12" t="s">
        <v>5225</v>
      </c>
      <c r="B710" s="12" t="str">
        <f t="shared" si="135"/>
        <v>HANSONIUS</v>
      </c>
      <c r="C710" s="12" t="str">
        <f t="shared" si="136"/>
        <v>HANSONIUS</v>
      </c>
      <c r="D710" s="12" t="s">
        <v>5226</v>
      </c>
      <c r="E710" s="12" t="str">
        <f t="shared" si="146"/>
        <v>Aegidius Anthonie</v>
      </c>
      <c r="F710" s="12" t="s">
        <v>3316</v>
      </c>
      <c r="G710" s="12" t="str">
        <f t="shared" si="137"/>
        <v>a1b4</v>
      </c>
      <c r="H710" s="12" t="str">
        <f t="shared" si="138"/>
        <v>HANSONIUSa1b4</v>
      </c>
      <c r="I710" s="12"/>
      <c r="J710" s="12"/>
      <c r="K710" s="12" t="str">
        <f t="shared" si="139"/>
        <v/>
      </c>
      <c r="L710" s="12"/>
      <c r="M710" s="12" t="s">
        <v>5227</v>
      </c>
      <c r="N710" s="12" t="str">
        <f t="shared" si="144"/>
        <v/>
      </c>
      <c r="O710" s="12" t="str">
        <f t="shared" si="145"/>
        <v>1788</v>
      </c>
      <c r="P710" s="12"/>
      <c r="Q710" s="12" t="str">
        <f t="shared" si="140"/>
        <v>1788</v>
      </c>
      <c r="R710" s="12"/>
      <c r="S710" s="12" t="str">
        <f t="shared" si="141"/>
        <v/>
      </c>
      <c r="T710" s="12" t="s">
        <v>366</v>
      </c>
      <c r="U710" s="12" t="s">
        <v>5228</v>
      </c>
      <c r="V710" s="12" t="str">
        <f t="shared" si="142"/>
        <v>1820</v>
      </c>
      <c r="W710" s="12" t="s">
        <v>5229</v>
      </c>
      <c r="X710" s="12" t="s">
        <v>701</v>
      </c>
      <c r="Y710" s="12"/>
      <c r="Z710" s="12"/>
      <c r="AA710" s="12"/>
      <c r="AB710" s="12"/>
      <c r="AC710" s="12"/>
      <c r="AD710" s="12"/>
      <c r="AE710" s="12"/>
      <c r="AF710" s="12" t="s">
        <v>3703</v>
      </c>
      <c r="AG710" s="12" t="s">
        <v>366</v>
      </c>
      <c r="AH710" s="12" t="s">
        <v>5231</v>
      </c>
      <c r="AI710" s="12" t="str">
        <f t="shared" si="143"/>
        <v>1840</v>
      </c>
      <c r="AJ710" s="12"/>
      <c r="AK710" s="12"/>
      <c r="AL710" s="12" t="s">
        <v>168</v>
      </c>
      <c r="AM710" s="12" t="s">
        <v>5230</v>
      </c>
      <c r="AN710" s="12" t="s">
        <v>1387</v>
      </c>
      <c r="AO710" s="12" t="s">
        <v>1388</v>
      </c>
      <c r="AP710" s="12"/>
      <c r="AQ710" s="12"/>
      <c r="AR710" s="12"/>
      <c r="AS710" s="12"/>
      <c r="AT710" s="12" t="s">
        <v>1389</v>
      </c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</row>
    <row r="711" spans="1:59">
      <c r="A711" s="12" t="s">
        <v>5232</v>
      </c>
      <c r="B711" s="12" t="str">
        <f t="shared" si="135"/>
        <v>HARMSE</v>
      </c>
      <c r="C711" s="12" t="str">
        <f t="shared" si="136"/>
        <v>HARMSE</v>
      </c>
      <c r="D711" s="12" t="s">
        <v>5243</v>
      </c>
      <c r="E711" s="12" t="str">
        <f t="shared" si="146"/>
        <v>Christiaan Barend Stephanus</v>
      </c>
      <c r="F711" s="12" t="s">
        <v>5244</v>
      </c>
      <c r="G711" s="12" t="str">
        <f t="shared" si="137"/>
        <v>a1b10c6d4</v>
      </c>
      <c r="H711" s="12" t="str">
        <f t="shared" si="138"/>
        <v>HARMSEa1b10c6d4</v>
      </c>
      <c r="I711" s="12"/>
      <c r="J711" s="12"/>
      <c r="K711" s="12" t="str">
        <f t="shared" si="139"/>
        <v/>
      </c>
      <c r="L711" s="12"/>
      <c r="M711" s="12" t="s">
        <v>5245</v>
      </c>
      <c r="N711" s="12" t="str">
        <f t="shared" si="144"/>
        <v/>
      </c>
      <c r="O711" s="12" t="str">
        <f t="shared" si="145"/>
        <v>1793</v>
      </c>
      <c r="P711" s="12"/>
      <c r="Q711" s="12" t="str">
        <f t="shared" si="140"/>
        <v>1793</v>
      </c>
      <c r="R711" s="12"/>
      <c r="S711" s="12" t="str">
        <f t="shared" si="141"/>
        <v/>
      </c>
      <c r="T711" s="12" t="s">
        <v>542</v>
      </c>
      <c r="U711" s="12" t="s">
        <v>5246</v>
      </c>
      <c r="V711" s="12" t="str">
        <f t="shared" si="142"/>
        <v>1814</v>
      </c>
      <c r="W711" s="12" t="s">
        <v>692</v>
      </c>
      <c r="X711" s="12" t="s">
        <v>757</v>
      </c>
      <c r="Y711" s="12"/>
      <c r="Z711" s="12"/>
      <c r="AA711" s="12"/>
      <c r="AB711" s="12"/>
      <c r="AC711" s="12"/>
      <c r="AD711" s="12"/>
      <c r="AE711" s="12"/>
      <c r="AF711" s="12"/>
      <c r="AG711" s="12" t="s">
        <v>60</v>
      </c>
      <c r="AH711" s="12" t="s">
        <v>5247</v>
      </c>
      <c r="AI711" s="12" t="str">
        <f t="shared" si="143"/>
        <v>1839</v>
      </c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</row>
    <row r="712" spans="1:59">
      <c r="A712" s="2" t="s">
        <v>5232</v>
      </c>
      <c r="B712" s="12" t="str">
        <f t="shared" si="135"/>
        <v>HARMSE</v>
      </c>
      <c r="C712" s="12" t="str">
        <f t="shared" si="136"/>
        <v>HARMSE</v>
      </c>
      <c r="D712" s="2" t="s">
        <v>1147</v>
      </c>
      <c r="E712" s="12" t="str">
        <f t="shared" si="146"/>
        <v>Cornelis</v>
      </c>
      <c r="F712" s="2" t="s">
        <v>5249</v>
      </c>
      <c r="G712" s="12" t="str">
        <f t="shared" si="137"/>
        <v>a1b10c6d6</v>
      </c>
      <c r="H712" s="12" t="str">
        <f t="shared" si="138"/>
        <v>HARMSEa1b10c6d6</v>
      </c>
      <c r="K712" s="12" t="str">
        <f t="shared" si="139"/>
        <v/>
      </c>
      <c r="M712" s="2" t="s">
        <v>5294</v>
      </c>
      <c r="N712" s="12" t="str">
        <f t="shared" si="144"/>
        <v/>
      </c>
      <c r="O712" s="12" t="str">
        <f t="shared" si="145"/>
        <v>1797</v>
      </c>
      <c r="Q712" s="12" t="str">
        <f t="shared" si="140"/>
        <v>1797</v>
      </c>
      <c r="S712" s="12" t="str">
        <f t="shared" si="141"/>
        <v/>
      </c>
      <c r="T712" s="2" t="s">
        <v>366</v>
      </c>
      <c r="U712" s="2" t="s">
        <v>2530</v>
      </c>
      <c r="V712" s="12" t="str">
        <f t="shared" si="142"/>
        <v>1819</v>
      </c>
      <c r="W712" s="2" t="s">
        <v>5301</v>
      </c>
      <c r="X712" s="2" t="s">
        <v>5232</v>
      </c>
      <c r="Y712" s="2" t="s">
        <v>5295</v>
      </c>
      <c r="AC712" s="2" t="s">
        <v>1744</v>
      </c>
      <c r="AG712" s="2" t="s">
        <v>60</v>
      </c>
      <c r="AH712" s="2" t="s">
        <v>5296</v>
      </c>
      <c r="AI712" s="12" t="str">
        <f t="shared" si="143"/>
        <v>1836</v>
      </c>
      <c r="AJ712" s="2" t="s">
        <v>5242</v>
      </c>
    </row>
    <row r="713" spans="1:59">
      <c r="A713" s="2" t="s">
        <v>5232</v>
      </c>
      <c r="B713" s="12" t="str">
        <f t="shared" si="135"/>
        <v>HARMSE</v>
      </c>
      <c r="C713" s="12" t="str">
        <f t="shared" si="136"/>
        <v>HARMSE</v>
      </c>
      <c r="D713" s="2" t="s">
        <v>5233</v>
      </c>
      <c r="E713" s="12" t="str">
        <f t="shared" si="146"/>
        <v>Bartholomeus</v>
      </c>
      <c r="F713" s="2" t="s">
        <v>4649</v>
      </c>
      <c r="G713" s="12" t="str">
        <f t="shared" si="137"/>
        <v>a1b10c9</v>
      </c>
      <c r="H713" s="12" t="str">
        <f t="shared" si="138"/>
        <v>HARMSEa1b10c9</v>
      </c>
      <c r="K713" s="12" t="str">
        <f t="shared" si="139"/>
        <v/>
      </c>
      <c r="M713" s="2" t="s">
        <v>5234</v>
      </c>
      <c r="N713" s="12" t="str">
        <f t="shared" si="144"/>
        <v/>
      </c>
      <c r="O713" s="12" t="str">
        <f t="shared" si="145"/>
        <v>1759</v>
      </c>
      <c r="Q713" s="12" t="str">
        <f t="shared" si="140"/>
        <v>1759</v>
      </c>
      <c r="S713" s="12" t="str">
        <f t="shared" si="141"/>
        <v/>
      </c>
      <c r="V713" s="12" t="str">
        <f t="shared" si="142"/>
        <v/>
      </c>
      <c r="W713" s="2" t="s">
        <v>3857</v>
      </c>
      <c r="X713" s="2" t="s">
        <v>5235</v>
      </c>
      <c r="AG713" s="2" t="s">
        <v>5236</v>
      </c>
      <c r="AH713" s="2" t="s">
        <v>2069</v>
      </c>
      <c r="AI713" s="12" t="str">
        <f t="shared" si="143"/>
        <v>1836</v>
      </c>
      <c r="AJ713" s="2" t="s">
        <v>5237</v>
      </c>
      <c r="AM713" s="2" t="s">
        <v>1232</v>
      </c>
      <c r="AN713" s="2" t="s">
        <v>1380</v>
      </c>
      <c r="AO713" s="2" t="s">
        <v>757</v>
      </c>
    </row>
    <row r="714" spans="1:59">
      <c r="A714" s="2" t="s">
        <v>5232</v>
      </c>
      <c r="B714" s="12" t="str">
        <f t="shared" si="135"/>
        <v>HARMSE</v>
      </c>
      <c r="C714" s="12" t="str">
        <f t="shared" si="136"/>
        <v>HARMSE</v>
      </c>
      <c r="D714" s="2" t="s">
        <v>5238</v>
      </c>
      <c r="E714" s="12" t="str">
        <f t="shared" si="146"/>
        <v>Bartholomeus Roelof Jacobus</v>
      </c>
      <c r="F714" s="2" t="s">
        <v>5239</v>
      </c>
      <c r="G714" s="12" t="str">
        <f t="shared" si="137"/>
        <v>a1b10c9d10</v>
      </c>
      <c r="H714" s="12" t="str">
        <f t="shared" si="138"/>
        <v>HARMSEa1b10c9d10</v>
      </c>
      <c r="J714" s="2" t="s">
        <v>2734</v>
      </c>
      <c r="K714" s="12" t="str">
        <f t="shared" si="139"/>
        <v>1822</v>
      </c>
      <c r="L714" s="2" t="s">
        <v>366</v>
      </c>
      <c r="M714" s="2" t="s">
        <v>5240</v>
      </c>
      <c r="N714" s="12" t="str">
        <f t="shared" si="144"/>
        <v>1822</v>
      </c>
      <c r="O714" s="12" t="str">
        <f t="shared" si="145"/>
        <v>1823</v>
      </c>
      <c r="Q714" s="12" t="str">
        <f t="shared" si="140"/>
        <v>1822</v>
      </c>
      <c r="S714" s="12" t="str">
        <f t="shared" si="141"/>
        <v/>
      </c>
      <c r="T714" s="2" t="s">
        <v>140</v>
      </c>
      <c r="U714" s="2" t="s">
        <v>1710</v>
      </c>
      <c r="V714" s="12" t="str">
        <f t="shared" si="142"/>
        <v>1849</v>
      </c>
      <c r="W714" s="2" t="s">
        <v>5241</v>
      </c>
      <c r="X714" s="2" t="s">
        <v>1824</v>
      </c>
      <c r="AG714" s="2" t="s">
        <v>5236</v>
      </c>
      <c r="AH714" s="2" t="s">
        <v>2069</v>
      </c>
      <c r="AI714" s="12" t="str">
        <f t="shared" si="143"/>
        <v>1836</v>
      </c>
      <c r="AJ714" s="2" t="s">
        <v>5242</v>
      </c>
    </row>
    <row r="715" spans="1:59">
      <c r="A715" s="12" t="s">
        <v>5232</v>
      </c>
      <c r="B715" s="12" t="str">
        <f t="shared" si="135"/>
        <v>HARMSE</v>
      </c>
      <c r="C715" s="12" t="str">
        <f t="shared" si="136"/>
        <v>HARMSE</v>
      </c>
      <c r="D715" s="12" t="s">
        <v>5248</v>
      </c>
      <c r="E715" s="12" t="str">
        <f t="shared" si="146"/>
        <v>Daniel Johannes Hendrik</v>
      </c>
      <c r="F715" s="12" t="s">
        <v>5250</v>
      </c>
      <c r="G715" s="12" t="str">
        <f t="shared" si="137"/>
        <v>a1b10c9d7</v>
      </c>
      <c r="H715" s="12" t="str">
        <f t="shared" si="138"/>
        <v>HARMSEa1b10c9d7</v>
      </c>
      <c r="I715" s="12" t="s">
        <v>5298</v>
      </c>
      <c r="J715" s="12" t="s">
        <v>5299</v>
      </c>
      <c r="K715" s="12" t="str">
        <f t="shared" si="139"/>
        <v>1814</v>
      </c>
      <c r="L715" s="12" t="s">
        <v>1071</v>
      </c>
      <c r="M715" s="12" t="s">
        <v>4408</v>
      </c>
      <c r="N715" s="12" t="str">
        <f t="shared" si="144"/>
        <v>1814</v>
      </c>
      <c r="O715" s="12" t="str">
        <f t="shared" si="145"/>
        <v>1815</v>
      </c>
      <c r="P715" s="12"/>
      <c r="Q715" s="12" t="str">
        <f t="shared" si="140"/>
        <v>1814</v>
      </c>
      <c r="R715" s="12"/>
      <c r="S715" s="12" t="str">
        <f t="shared" si="141"/>
        <v/>
      </c>
      <c r="T715" s="12"/>
      <c r="U715" s="12"/>
      <c r="V715" s="12" t="str">
        <f t="shared" si="142"/>
        <v/>
      </c>
      <c r="W715" s="12" t="s">
        <v>5300</v>
      </c>
      <c r="X715" s="12"/>
      <c r="Y715" s="12"/>
      <c r="Z715" s="12"/>
      <c r="AA715" s="12"/>
      <c r="AB715" s="12"/>
      <c r="AC715" s="12"/>
      <c r="AD715" s="12"/>
      <c r="AE715" s="12"/>
      <c r="AF715" s="12"/>
      <c r="AG715" s="12" t="s">
        <v>5302</v>
      </c>
      <c r="AH715" s="12" t="s">
        <v>385</v>
      </c>
      <c r="AI715" s="12" t="str">
        <f t="shared" si="143"/>
        <v>1840</v>
      </c>
      <c r="AJ715" s="12"/>
      <c r="AK715" s="12" t="s">
        <v>140</v>
      </c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</row>
    <row r="716" spans="1:59">
      <c r="A716" s="2" t="s">
        <v>5251</v>
      </c>
      <c r="B716" s="12" t="str">
        <f t="shared" si="135"/>
        <v>HARTZENBERG</v>
      </c>
      <c r="C716" s="12" t="str">
        <f t="shared" si="136"/>
        <v>HARTZENBERG</v>
      </c>
      <c r="D716" s="2" t="s">
        <v>1250</v>
      </c>
      <c r="E716" s="12" t="str">
        <f t="shared" si="146"/>
        <v>Johan Hendrik</v>
      </c>
      <c r="F716" s="2" t="s">
        <v>944</v>
      </c>
      <c r="G716" s="12" t="str">
        <f t="shared" si="137"/>
        <v>a1b1c4</v>
      </c>
      <c r="H716" s="12" t="str">
        <f t="shared" si="138"/>
        <v>HARTZENBERGa1b1c4</v>
      </c>
      <c r="J716" s="2" t="s">
        <v>5304</v>
      </c>
      <c r="K716" s="12" t="str">
        <f t="shared" si="139"/>
        <v>1818</v>
      </c>
      <c r="L716" s="2" t="s">
        <v>28</v>
      </c>
      <c r="M716" s="2" t="s">
        <v>5305</v>
      </c>
      <c r="N716" s="12" t="str">
        <f t="shared" si="144"/>
        <v>1818</v>
      </c>
      <c r="O716" s="12" t="str">
        <f t="shared" si="145"/>
        <v>1818</v>
      </c>
      <c r="Q716" s="12" t="str">
        <f t="shared" si="140"/>
        <v>1818</v>
      </c>
      <c r="S716" s="12" t="str">
        <f t="shared" si="141"/>
        <v/>
      </c>
      <c r="T716" s="2" t="s">
        <v>28</v>
      </c>
      <c r="U716" s="2" t="s">
        <v>4122</v>
      </c>
      <c r="V716" s="12" t="str">
        <f t="shared" si="142"/>
        <v>1835</v>
      </c>
      <c r="W716" s="2" t="s">
        <v>5306</v>
      </c>
      <c r="X716" s="2" t="s">
        <v>2153</v>
      </c>
      <c r="AG716" s="2" t="s">
        <v>4892</v>
      </c>
      <c r="AH716" s="2" t="s">
        <v>385</v>
      </c>
      <c r="AI716" s="12" t="str">
        <f t="shared" si="143"/>
        <v>1840</v>
      </c>
      <c r="AK716" s="2" t="s">
        <v>5307</v>
      </c>
    </row>
    <row r="717" spans="1:59">
      <c r="A717" s="2" t="s">
        <v>822</v>
      </c>
      <c r="B717" s="12" t="str">
        <f t="shared" si="135"/>
        <v>HATTINGH</v>
      </c>
      <c r="C717" s="12" t="str">
        <f t="shared" si="136"/>
        <v>HATTINGH</v>
      </c>
      <c r="D717" s="2" t="s">
        <v>3283</v>
      </c>
      <c r="E717" s="12" t="str">
        <f t="shared" si="146"/>
        <v>Jan Hendrik</v>
      </c>
      <c r="F717" s="2" t="s">
        <v>5265</v>
      </c>
      <c r="G717" s="12" t="str">
        <f t="shared" si="137"/>
        <v>a1b11c1d2</v>
      </c>
      <c r="H717" s="12" t="str">
        <f t="shared" si="138"/>
        <v>HATTINGHa1b11c1d2</v>
      </c>
      <c r="K717" s="12" t="str">
        <f t="shared" si="139"/>
        <v/>
      </c>
      <c r="M717" s="2" t="s">
        <v>5315</v>
      </c>
      <c r="N717" s="12" t="str">
        <f t="shared" si="144"/>
        <v/>
      </c>
      <c r="O717" s="12" t="str">
        <f t="shared" si="145"/>
        <v>1794</v>
      </c>
      <c r="Q717" s="12" t="str">
        <f t="shared" si="140"/>
        <v>1794</v>
      </c>
      <c r="S717" s="12" t="str">
        <f t="shared" si="141"/>
        <v/>
      </c>
      <c r="T717" s="2" t="s">
        <v>74</v>
      </c>
      <c r="U717" s="2" t="s">
        <v>5360</v>
      </c>
      <c r="V717" s="12" t="str">
        <f t="shared" si="142"/>
        <v>1812</v>
      </c>
      <c r="W717" s="2" t="s">
        <v>5361</v>
      </c>
      <c r="X717" s="2" t="s">
        <v>1109</v>
      </c>
      <c r="AF717" s="2" t="s">
        <v>3699</v>
      </c>
      <c r="AG717" s="2" t="s">
        <v>68</v>
      </c>
      <c r="AH717" s="2" t="s">
        <v>5435</v>
      </c>
      <c r="AI717" s="12" t="str">
        <f t="shared" si="143"/>
        <v>1837</v>
      </c>
      <c r="AJ717" s="2" t="s">
        <v>5437</v>
      </c>
      <c r="AK717" s="2" t="s">
        <v>5436</v>
      </c>
    </row>
    <row r="718" spans="1:59">
      <c r="A718" s="12" t="s">
        <v>822</v>
      </c>
      <c r="B718" s="12" t="str">
        <f t="shared" si="135"/>
        <v>HATTINGH</v>
      </c>
      <c r="C718" s="12" t="str">
        <f t="shared" si="136"/>
        <v>HATTINGH</v>
      </c>
      <c r="D718" s="12" t="s">
        <v>1284</v>
      </c>
      <c r="E718" s="12" t="str">
        <f t="shared" si="146"/>
        <v>Johannes Hendrik</v>
      </c>
      <c r="F718" s="12" t="s">
        <v>5271</v>
      </c>
      <c r="G718" s="12" t="str">
        <f t="shared" si="137"/>
        <v>a1b11c1d2e1</v>
      </c>
      <c r="H718" s="12" t="str">
        <f t="shared" si="138"/>
        <v>HATTINGHa1b11c1d2e1</v>
      </c>
      <c r="I718" s="12"/>
      <c r="J718" s="12" t="s">
        <v>5320</v>
      </c>
      <c r="K718" s="12" t="str">
        <f t="shared" si="139"/>
        <v>1819</v>
      </c>
      <c r="L718" s="12" t="s">
        <v>28</v>
      </c>
      <c r="M718" s="12" t="s">
        <v>4273</v>
      </c>
      <c r="N718" s="12" t="str">
        <f t="shared" si="144"/>
        <v>1819</v>
      </c>
      <c r="O718" s="12" t="str">
        <f t="shared" si="145"/>
        <v>1819</v>
      </c>
      <c r="P718" s="12" t="s">
        <v>5374</v>
      </c>
      <c r="Q718" s="12" t="str">
        <f t="shared" si="140"/>
        <v>1819</v>
      </c>
      <c r="R718" s="12" t="s">
        <v>5375</v>
      </c>
      <c r="S718" s="12" t="str">
        <f t="shared" si="141"/>
        <v>1897</v>
      </c>
      <c r="T718" s="12" t="s">
        <v>5376</v>
      </c>
      <c r="U718" s="12" t="s">
        <v>5377</v>
      </c>
      <c r="V718" s="12" t="str">
        <f t="shared" si="142"/>
        <v>1840</v>
      </c>
      <c r="W718" s="12" t="s">
        <v>5378</v>
      </c>
      <c r="X718" s="12" t="s">
        <v>1453</v>
      </c>
      <c r="Y718" s="12" t="s">
        <v>5379</v>
      </c>
      <c r="Z718" s="12"/>
      <c r="AA718" s="12" t="s">
        <v>5380</v>
      </c>
      <c r="AB718" s="12"/>
      <c r="AC718" s="12"/>
      <c r="AD718" s="12" t="s">
        <v>2355</v>
      </c>
      <c r="AE718" s="12" t="s">
        <v>5381</v>
      </c>
      <c r="AF718" s="12" t="s">
        <v>3699</v>
      </c>
      <c r="AG718" s="12" t="s">
        <v>68</v>
      </c>
      <c r="AH718" s="12" t="s">
        <v>5442</v>
      </c>
      <c r="AI718" s="12" t="str">
        <f t="shared" si="143"/>
        <v xml:space="preserve">837 </v>
      </c>
      <c r="AJ718" s="12" t="s">
        <v>277</v>
      </c>
      <c r="AK718" s="12" t="s">
        <v>90</v>
      </c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</row>
    <row r="719" spans="1:59">
      <c r="A719" s="12" t="s">
        <v>822</v>
      </c>
      <c r="B719" s="12" t="str">
        <f t="shared" si="135"/>
        <v>HATTINGH</v>
      </c>
      <c r="C719" s="12" t="str">
        <f t="shared" si="136"/>
        <v>HATTINGH</v>
      </c>
      <c r="D719" s="12" t="s">
        <v>5263</v>
      </c>
      <c r="E719" s="12" t="str">
        <f t="shared" si="146"/>
        <v>Jacobus Johannes Gerhardus</v>
      </c>
      <c r="F719" s="12" t="s">
        <v>5264</v>
      </c>
      <c r="G719" s="12" t="str">
        <f t="shared" si="137"/>
        <v>a1b11c1d2e2</v>
      </c>
      <c r="H719" s="12" t="str">
        <f t="shared" si="138"/>
        <v>HATTINGHa1b11c1d2e2</v>
      </c>
      <c r="I719" s="12"/>
      <c r="J719" s="12" t="s">
        <v>5313</v>
      </c>
      <c r="K719" s="12" t="str">
        <f t="shared" si="139"/>
        <v>1820</v>
      </c>
      <c r="L719" s="12" t="s">
        <v>28</v>
      </c>
      <c r="M719" s="12" t="s">
        <v>5314</v>
      </c>
      <c r="N719" s="12" t="str">
        <f t="shared" si="144"/>
        <v>1820</v>
      </c>
      <c r="O719" s="12" t="str">
        <f t="shared" si="145"/>
        <v>1812</v>
      </c>
      <c r="P719" s="12" t="s">
        <v>5354</v>
      </c>
      <c r="Q719" s="12" t="str">
        <f t="shared" si="140"/>
        <v>1820</v>
      </c>
      <c r="R719" s="12" t="s">
        <v>5355</v>
      </c>
      <c r="S719" s="12" t="str">
        <f t="shared" si="141"/>
        <v>1890</v>
      </c>
      <c r="T719" s="12"/>
      <c r="U719" s="12">
        <v>1845</v>
      </c>
      <c r="V719" s="12" t="str">
        <f t="shared" si="142"/>
        <v>1845</v>
      </c>
      <c r="W719" s="12" t="s">
        <v>5356</v>
      </c>
      <c r="X719" s="12" t="s">
        <v>700</v>
      </c>
      <c r="Y719" s="12" t="s">
        <v>5357</v>
      </c>
      <c r="Z719" s="12"/>
      <c r="AA719" s="12" t="s">
        <v>5358</v>
      </c>
      <c r="AB719" s="12"/>
      <c r="AC719" s="12"/>
      <c r="AD719" s="12"/>
      <c r="AE719" s="12" t="s">
        <v>5359</v>
      </c>
      <c r="AF719" s="12" t="s">
        <v>3699</v>
      </c>
      <c r="AG719" s="12" t="s">
        <v>68</v>
      </c>
      <c r="AH719" s="12"/>
      <c r="AI719" s="12" t="str">
        <f t="shared" si="143"/>
        <v/>
      </c>
      <c r="AJ719" s="12"/>
      <c r="AK719" s="12" t="s">
        <v>90</v>
      </c>
      <c r="AL719" s="12"/>
      <c r="AM719" s="12"/>
      <c r="AN719" s="12" t="s">
        <v>2324</v>
      </c>
      <c r="AO719" s="12" t="s">
        <v>2306</v>
      </c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</row>
    <row r="720" spans="1:59">
      <c r="A720" s="12" t="s">
        <v>822</v>
      </c>
      <c r="B720" s="12" t="str">
        <f t="shared" si="135"/>
        <v>HATTINGH</v>
      </c>
      <c r="C720" s="12" t="str">
        <f t="shared" si="136"/>
        <v>HATTINGH</v>
      </c>
      <c r="D720" s="12" t="s">
        <v>5272</v>
      </c>
      <c r="E720" s="12" t="str">
        <f t="shared" si="146"/>
        <v xml:space="preserve">Johannes Michiel </v>
      </c>
      <c r="F720" s="12" t="s">
        <v>5273</v>
      </c>
      <c r="G720" s="12" t="str">
        <f t="shared" si="137"/>
        <v>a1b11c1d2e3</v>
      </c>
      <c r="H720" s="12" t="str">
        <f t="shared" si="138"/>
        <v>HATTINGHa1b11c1d2e3</v>
      </c>
      <c r="I720" s="12"/>
      <c r="J720" s="12" t="s">
        <v>5321</v>
      </c>
      <c r="K720" s="12" t="str">
        <f t="shared" si="139"/>
        <v>1823</v>
      </c>
      <c r="L720" s="12" t="s">
        <v>28</v>
      </c>
      <c r="M720" s="12" t="s">
        <v>5322</v>
      </c>
      <c r="N720" s="12" t="str">
        <f t="shared" si="144"/>
        <v>1823</v>
      </c>
      <c r="O720" s="12" t="str">
        <f t="shared" si="145"/>
        <v>1823</v>
      </c>
      <c r="P720" s="12" t="s">
        <v>597</v>
      </c>
      <c r="Q720" s="12" t="str">
        <f t="shared" si="140"/>
        <v>1823</v>
      </c>
      <c r="R720" s="12" t="s">
        <v>5382</v>
      </c>
      <c r="S720" s="12" t="str">
        <f t="shared" si="141"/>
        <v>1891</v>
      </c>
      <c r="T720" s="12"/>
      <c r="U720" s="12"/>
      <c r="V720" s="12" t="str">
        <f t="shared" si="142"/>
        <v/>
      </c>
      <c r="W720" s="12" t="s">
        <v>4946</v>
      </c>
      <c r="X720" s="12" t="s">
        <v>2235</v>
      </c>
      <c r="Y720" s="12" t="s">
        <v>5383</v>
      </c>
      <c r="Z720" s="12"/>
      <c r="AA720" s="12" t="s">
        <v>5384</v>
      </c>
      <c r="AB720" s="12"/>
      <c r="AC720" s="12"/>
      <c r="AD720" s="12"/>
      <c r="AE720" s="12"/>
      <c r="AF720" s="12" t="s">
        <v>3699</v>
      </c>
      <c r="AG720" s="12" t="s">
        <v>68</v>
      </c>
      <c r="AH720" s="12" t="s">
        <v>5443</v>
      </c>
      <c r="AI720" s="12" t="str">
        <f t="shared" si="143"/>
        <v>1837</v>
      </c>
      <c r="AJ720" s="12" t="s">
        <v>5444</v>
      </c>
      <c r="AK720" s="12" t="s">
        <v>90</v>
      </c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</row>
    <row r="721" spans="1:62">
      <c r="A721" s="12" t="s">
        <v>822</v>
      </c>
      <c r="B721" s="12" t="str">
        <f t="shared" si="135"/>
        <v>HATTINGH</v>
      </c>
      <c r="C721" s="12" t="str">
        <f t="shared" si="136"/>
        <v>HATTINGH</v>
      </c>
      <c r="D721" s="12" t="s">
        <v>5254</v>
      </c>
      <c r="E721" s="12" t="str">
        <f t="shared" si="146"/>
        <v>Christiaan Jacobus</v>
      </c>
      <c r="F721" s="12" t="s">
        <v>5255</v>
      </c>
      <c r="G721" s="12" t="str">
        <f t="shared" si="137"/>
        <v>a1b11c1d3</v>
      </c>
      <c r="H721" s="12" t="str">
        <f t="shared" si="138"/>
        <v>HATTINGHa1b11c1d3</v>
      </c>
      <c r="I721" s="12"/>
      <c r="J721" s="12"/>
      <c r="K721" s="12" t="str">
        <f t="shared" si="139"/>
        <v/>
      </c>
      <c r="L721" s="12"/>
      <c r="M721" s="12" t="s">
        <v>4141</v>
      </c>
      <c r="N721" s="12" t="str">
        <f t="shared" si="144"/>
        <v/>
      </c>
      <c r="O721" s="12" t="str">
        <f t="shared" si="145"/>
        <v>1795</v>
      </c>
      <c r="P721" s="12"/>
      <c r="Q721" s="12" t="str">
        <f t="shared" si="140"/>
        <v>1795</v>
      </c>
      <c r="R721" s="12"/>
      <c r="S721" s="12" t="str">
        <f t="shared" si="141"/>
        <v/>
      </c>
      <c r="T721" s="12" t="s">
        <v>74</v>
      </c>
      <c r="U721" s="12" t="s">
        <v>2914</v>
      </c>
      <c r="V721" s="12" t="str">
        <f t="shared" si="142"/>
        <v>1817</v>
      </c>
      <c r="W721" s="12" t="s">
        <v>5341</v>
      </c>
      <c r="X721" s="12" t="s">
        <v>2427</v>
      </c>
      <c r="Y721" s="12" t="s">
        <v>5342</v>
      </c>
      <c r="Z721" s="12"/>
      <c r="AA721" s="12" t="s">
        <v>1483</v>
      </c>
      <c r="AB721" s="12"/>
      <c r="AC721" s="12"/>
      <c r="AD721" s="12"/>
      <c r="AE721" s="12"/>
      <c r="AF721" s="12" t="s">
        <v>3699</v>
      </c>
      <c r="AG721" s="12" t="s">
        <v>68</v>
      </c>
      <c r="AH721" s="12" t="s">
        <v>5431</v>
      </c>
      <c r="AI721" s="12" t="str">
        <f t="shared" si="143"/>
        <v xml:space="preserve"> (?)</v>
      </c>
      <c r="AJ721" s="12"/>
      <c r="AK721" s="12" t="s">
        <v>90</v>
      </c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</row>
    <row r="722" spans="1:62">
      <c r="A722" s="2" t="s">
        <v>822</v>
      </c>
      <c r="B722" s="12" t="str">
        <f t="shared" si="135"/>
        <v>HATTINGH</v>
      </c>
      <c r="C722" s="12" t="str">
        <f t="shared" si="136"/>
        <v>HATTINGH</v>
      </c>
      <c r="D722" s="2" t="s">
        <v>1284</v>
      </c>
      <c r="E722" s="12" t="str">
        <f t="shared" si="146"/>
        <v>Johannes Hendrik</v>
      </c>
      <c r="F722" s="2" t="s">
        <v>5270</v>
      </c>
      <c r="G722" s="12" t="str">
        <f t="shared" si="137"/>
        <v>a1b11c1d3e1</v>
      </c>
      <c r="H722" s="12" t="str">
        <f t="shared" si="138"/>
        <v>HATTINGHa1b11c1d3e1</v>
      </c>
      <c r="J722" s="2" t="s">
        <v>5318</v>
      </c>
      <c r="K722" s="12" t="str">
        <f t="shared" si="139"/>
        <v>1823</v>
      </c>
      <c r="L722" s="2" t="s">
        <v>28</v>
      </c>
      <c r="M722" s="2" t="s">
        <v>5319</v>
      </c>
      <c r="N722" s="12" t="str">
        <f t="shared" si="144"/>
        <v>1823</v>
      </c>
      <c r="O722" s="12" t="str">
        <f t="shared" si="145"/>
        <v>1824</v>
      </c>
      <c r="P722" s="2" t="s">
        <v>90</v>
      </c>
      <c r="Q722" s="12" t="str">
        <f t="shared" si="140"/>
        <v>1823</v>
      </c>
      <c r="R722" s="2" t="s">
        <v>5373</v>
      </c>
      <c r="S722" s="12" t="str">
        <f t="shared" si="141"/>
        <v>1840</v>
      </c>
      <c r="V722" s="12" t="str">
        <f t="shared" si="142"/>
        <v/>
      </c>
      <c r="AF722" s="2" t="s">
        <v>3699</v>
      </c>
      <c r="AG722" s="2" t="s">
        <v>68</v>
      </c>
      <c r="AH722" s="2" t="s">
        <v>5433</v>
      </c>
      <c r="AI722" s="12" t="str">
        <f t="shared" si="143"/>
        <v>1837</v>
      </c>
    </row>
    <row r="723" spans="1:62">
      <c r="A723" s="2" t="s">
        <v>822</v>
      </c>
      <c r="B723" s="12" t="str">
        <f t="shared" si="135"/>
        <v>HATTINGH</v>
      </c>
      <c r="C723" s="12" t="str">
        <f t="shared" si="136"/>
        <v>HATTINGH</v>
      </c>
      <c r="D723" s="2" t="s">
        <v>5261</v>
      </c>
      <c r="E723" s="12" t="str">
        <f t="shared" si="146"/>
        <v>Jacobus Gerhardus</v>
      </c>
      <c r="F723" s="2" t="s">
        <v>5262</v>
      </c>
      <c r="G723" s="12" t="str">
        <f t="shared" si="137"/>
        <v>a1b11c1d5</v>
      </c>
      <c r="H723" s="12" t="str">
        <f t="shared" si="138"/>
        <v>HATTINGHa1b11c1d5</v>
      </c>
      <c r="K723" s="12" t="str">
        <f t="shared" si="139"/>
        <v/>
      </c>
      <c r="L723" s="2" t="s">
        <v>74</v>
      </c>
      <c r="M723" s="2" t="s">
        <v>416</v>
      </c>
      <c r="N723" s="12" t="str">
        <f t="shared" si="144"/>
        <v/>
      </c>
      <c r="O723" s="12" t="str">
        <f t="shared" si="145"/>
        <v>1799</v>
      </c>
      <c r="Q723" s="12" t="str">
        <f t="shared" si="140"/>
        <v>1799</v>
      </c>
      <c r="S723" s="12" t="str">
        <f t="shared" si="141"/>
        <v/>
      </c>
      <c r="T723" s="2" t="s">
        <v>5351</v>
      </c>
      <c r="U723" s="2" t="s">
        <v>5352</v>
      </c>
      <c r="V723" s="12" t="str">
        <f t="shared" si="142"/>
        <v>1826</v>
      </c>
      <c r="W723" s="2" t="s">
        <v>5353</v>
      </c>
      <c r="X723" s="2" t="s">
        <v>776</v>
      </c>
      <c r="AF723" s="2" t="s">
        <v>3699</v>
      </c>
      <c r="AG723" s="2" t="s">
        <v>68</v>
      </c>
      <c r="AH723" s="2" t="s">
        <v>1110</v>
      </c>
      <c r="AI723" s="12" t="str">
        <f t="shared" si="143"/>
        <v>1837</v>
      </c>
    </row>
    <row r="724" spans="1:62">
      <c r="A724" s="2" t="s">
        <v>822</v>
      </c>
      <c r="B724" s="12" t="str">
        <f t="shared" si="135"/>
        <v>HATTINGH</v>
      </c>
      <c r="C724" s="12" t="str">
        <f t="shared" si="136"/>
        <v>HATTINGH</v>
      </c>
      <c r="D724" s="2" t="s">
        <v>1188</v>
      </c>
      <c r="E724" s="12" t="str">
        <f t="shared" si="146"/>
        <v>Hendrik Petrus</v>
      </c>
      <c r="F724" s="2" t="s">
        <v>5260</v>
      </c>
      <c r="G724" s="12" t="str">
        <f t="shared" si="137"/>
        <v>a1b11c1d6</v>
      </c>
      <c r="H724" s="12" t="str">
        <f t="shared" si="138"/>
        <v>HATTINGHa1b11c1d6</v>
      </c>
      <c r="J724" s="2" t="s">
        <v>5312</v>
      </c>
      <c r="K724" s="12" t="str">
        <f t="shared" si="139"/>
        <v>1801</v>
      </c>
      <c r="N724" s="12" t="str">
        <f t="shared" si="144"/>
        <v>1801</v>
      </c>
      <c r="O724" s="12" t="str">
        <f t="shared" si="145"/>
        <v/>
      </c>
      <c r="P724" s="2" t="s">
        <v>406</v>
      </c>
      <c r="Q724" s="12" t="str">
        <f t="shared" si="140"/>
        <v>1801</v>
      </c>
      <c r="R724" s="2" t="s">
        <v>5348</v>
      </c>
      <c r="S724" s="12" t="str">
        <f t="shared" si="141"/>
        <v>1883</v>
      </c>
      <c r="T724" s="2" t="s">
        <v>28</v>
      </c>
      <c r="U724" s="2" t="s">
        <v>3243</v>
      </c>
      <c r="V724" s="12" t="str">
        <f t="shared" si="142"/>
        <v>1829</v>
      </c>
      <c r="W724" s="2" t="s">
        <v>5349</v>
      </c>
      <c r="X724" s="2" t="s">
        <v>698</v>
      </c>
      <c r="Y724" s="2" t="s">
        <v>5350</v>
      </c>
      <c r="AF724" s="2" t="s">
        <v>3699</v>
      </c>
      <c r="AG724" s="2" t="s">
        <v>68</v>
      </c>
      <c r="AH724" s="2" t="s">
        <v>5434</v>
      </c>
      <c r="AI724" s="12" t="str">
        <f t="shared" si="143"/>
        <v>1840</v>
      </c>
      <c r="AK724" s="2" t="s">
        <v>90</v>
      </c>
    </row>
    <row r="725" spans="1:62">
      <c r="A725" s="2" t="s">
        <v>822</v>
      </c>
      <c r="B725" s="12" t="str">
        <f t="shared" si="135"/>
        <v>HATTINGH</v>
      </c>
      <c r="C725" s="12" t="str">
        <f t="shared" si="136"/>
        <v>HATTINGH</v>
      </c>
      <c r="D725" s="2" t="s">
        <v>5256</v>
      </c>
      <c r="E725" s="12" t="str">
        <f t="shared" si="146"/>
        <v>Dewald Lambertus</v>
      </c>
      <c r="F725" s="2" t="s">
        <v>5257</v>
      </c>
      <c r="G725" s="12" t="str">
        <f t="shared" si="137"/>
        <v>a1b11c1d9</v>
      </c>
      <c r="H725" s="12" t="str">
        <f t="shared" si="138"/>
        <v>HATTINGHa1b11c1d9</v>
      </c>
      <c r="J725" s="2" t="s">
        <v>5309</v>
      </c>
      <c r="K725" s="12" t="str">
        <f t="shared" si="139"/>
        <v>1807</v>
      </c>
      <c r="N725" s="12" t="str">
        <f t="shared" si="144"/>
        <v>1807</v>
      </c>
      <c r="O725" s="12" t="str">
        <f t="shared" si="145"/>
        <v/>
      </c>
      <c r="Q725" s="12" t="str">
        <f t="shared" si="140"/>
        <v>1807</v>
      </c>
      <c r="S725" s="12" t="str">
        <f t="shared" si="141"/>
        <v/>
      </c>
      <c r="T725" s="2" t="s">
        <v>28</v>
      </c>
      <c r="U725" s="2" t="s">
        <v>5343</v>
      </c>
      <c r="V725" s="12" t="str">
        <f t="shared" si="142"/>
        <v>1827</v>
      </c>
      <c r="W725" s="2" t="s">
        <v>4789</v>
      </c>
      <c r="X725" s="2" t="s">
        <v>776</v>
      </c>
      <c r="AF725" s="2" t="s">
        <v>3699</v>
      </c>
      <c r="AG725" s="2" t="s">
        <v>68</v>
      </c>
      <c r="AH725" s="2" t="s">
        <v>5432</v>
      </c>
      <c r="AI725" s="12" t="str">
        <f t="shared" si="143"/>
        <v>1839</v>
      </c>
    </row>
    <row r="726" spans="1:62">
      <c r="A726" s="2" t="s">
        <v>822</v>
      </c>
      <c r="B726" s="12" t="str">
        <f t="shared" si="135"/>
        <v>HATTINGH</v>
      </c>
      <c r="C726" s="12" t="str">
        <f t="shared" si="136"/>
        <v>HATTINGH</v>
      </c>
      <c r="D726" s="2" t="s">
        <v>5252</v>
      </c>
      <c r="E726" s="12" t="str">
        <f t="shared" si="146"/>
        <v xml:space="preserve">Christiaan Sr. </v>
      </c>
      <c r="F726" s="2" t="s">
        <v>5253</v>
      </c>
      <c r="G726" s="12" t="str">
        <f t="shared" si="137"/>
        <v>a1b11c4</v>
      </c>
      <c r="H726" s="12" t="str">
        <f t="shared" si="138"/>
        <v>HATTINGHa1b11c4</v>
      </c>
      <c r="K726" s="12" t="str">
        <f t="shared" si="139"/>
        <v/>
      </c>
      <c r="M726" s="2" t="s">
        <v>5308</v>
      </c>
      <c r="N726" s="12" t="str">
        <f t="shared" si="144"/>
        <v/>
      </c>
      <c r="O726" s="12" t="str">
        <f t="shared" si="145"/>
        <v>1776</v>
      </c>
      <c r="Q726" s="12" t="str">
        <f t="shared" si="140"/>
        <v>1776</v>
      </c>
      <c r="S726" s="12" t="str">
        <f t="shared" si="141"/>
        <v/>
      </c>
      <c r="U726" s="2" t="s">
        <v>4231</v>
      </c>
      <c r="V726" s="12" t="str">
        <f t="shared" si="142"/>
        <v>1797</v>
      </c>
      <c r="W726" s="2" t="s">
        <v>5340</v>
      </c>
      <c r="X726" s="2" t="s">
        <v>18</v>
      </c>
      <c r="AF726" s="2" t="s">
        <v>3699</v>
      </c>
      <c r="AG726" s="2" t="s">
        <v>68</v>
      </c>
      <c r="AH726" s="12" t="s">
        <v>5429</v>
      </c>
      <c r="AI726" s="12" t="str">
        <f t="shared" si="143"/>
        <v>1837</v>
      </c>
      <c r="AK726" s="2" t="s">
        <v>5430</v>
      </c>
      <c r="AN726" s="2" t="s">
        <v>692</v>
      </c>
      <c r="AO726" s="2" t="s">
        <v>1453</v>
      </c>
      <c r="AY726" s="2" t="s">
        <v>5428</v>
      </c>
      <c r="AZ726" s="2" t="s">
        <v>5251</v>
      </c>
    </row>
    <row r="727" spans="1:62">
      <c r="A727" s="2" t="s">
        <v>822</v>
      </c>
      <c r="B727" s="12" t="str">
        <f t="shared" si="135"/>
        <v>HATTINGH</v>
      </c>
      <c r="C727" s="12" t="str">
        <f t="shared" si="136"/>
        <v>HATTINGH</v>
      </c>
      <c r="D727" s="2" t="s">
        <v>5266</v>
      </c>
      <c r="E727" s="12" t="str">
        <f t="shared" si="146"/>
        <v>Johannes Dewald(T)</v>
      </c>
      <c r="F727" s="2" t="s">
        <v>5267</v>
      </c>
      <c r="G727" s="12" t="str">
        <f t="shared" si="137"/>
        <v>a1b8c7d4</v>
      </c>
      <c r="H727" s="12" t="str">
        <f t="shared" si="138"/>
        <v>HATTINGHa1b8c7d4</v>
      </c>
      <c r="K727" s="12" t="str">
        <f t="shared" si="139"/>
        <v/>
      </c>
      <c r="L727" s="2" t="s">
        <v>74</v>
      </c>
      <c r="M727" s="2" t="s">
        <v>5316</v>
      </c>
      <c r="N727" s="12" t="str">
        <f t="shared" si="144"/>
        <v/>
      </c>
      <c r="O727" s="12" t="str">
        <f t="shared" si="145"/>
        <v>1793</v>
      </c>
      <c r="P727" s="2" t="s">
        <v>5362</v>
      </c>
      <c r="Q727" s="12" t="str">
        <f t="shared" si="140"/>
        <v>1793</v>
      </c>
      <c r="R727" s="2" t="s">
        <v>5363</v>
      </c>
      <c r="S727" s="12" t="str">
        <f t="shared" si="141"/>
        <v>1838</v>
      </c>
      <c r="T727" s="2" t="s">
        <v>74</v>
      </c>
      <c r="U727" s="2" t="s">
        <v>5364</v>
      </c>
      <c r="V727" s="12" t="str">
        <f t="shared" si="142"/>
        <v>1812</v>
      </c>
      <c r="W727" s="2" t="s">
        <v>5365</v>
      </c>
      <c r="X727" s="2" t="s">
        <v>5366</v>
      </c>
      <c r="Y727" s="2" t="s">
        <v>5367</v>
      </c>
      <c r="AA727" s="2" t="s">
        <v>5368</v>
      </c>
      <c r="AC727" s="2" t="s">
        <v>5369</v>
      </c>
      <c r="AD727" s="2" t="s">
        <v>5370</v>
      </c>
      <c r="AE727" s="2" t="s">
        <v>5371</v>
      </c>
      <c r="AF727" s="2" t="s">
        <v>5438</v>
      </c>
      <c r="AG727" s="2" t="s">
        <v>74</v>
      </c>
      <c r="AH727" s="2" t="s">
        <v>4421</v>
      </c>
      <c r="AI727" s="12" t="str">
        <f t="shared" si="143"/>
        <v>1837</v>
      </c>
      <c r="AJ727" s="2" t="s">
        <v>5439</v>
      </c>
      <c r="AK727" s="2" t="s">
        <v>90</v>
      </c>
    </row>
    <row r="728" spans="1:62">
      <c r="A728" s="2" t="s">
        <v>822</v>
      </c>
      <c r="B728" s="12" t="str">
        <f t="shared" si="135"/>
        <v>HATTINGH</v>
      </c>
      <c r="C728" s="12" t="str">
        <f t="shared" si="136"/>
        <v>HATTINGH</v>
      </c>
      <c r="D728" s="2" t="s">
        <v>5258</v>
      </c>
      <c r="E728" s="12" t="str">
        <f t="shared" si="146"/>
        <v>Francois Marthinus</v>
      </c>
      <c r="F728" s="2" t="s">
        <v>5259</v>
      </c>
      <c r="G728" s="12" t="str">
        <f t="shared" si="137"/>
        <v>a1b8c7d4e1</v>
      </c>
      <c r="H728" s="12" t="str">
        <f t="shared" si="138"/>
        <v>HATTINGHa1b8c7d4e1</v>
      </c>
      <c r="J728" s="2" t="s">
        <v>5310</v>
      </c>
      <c r="K728" s="12" t="str">
        <f t="shared" si="139"/>
        <v>1814</v>
      </c>
      <c r="L728" s="2" t="s">
        <v>74</v>
      </c>
      <c r="M728" s="2" t="s">
        <v>5311</v>
      </c>
      <c r="N728" s="12" t="str">
        <f t="shared" si="144"/>
        <v>1814</v>
      </c>
      <c r="O728" s="12" t="str">
        <f t="shared" si="145"/>
        <v>1814</v>
      </c>
      <c r="P728" s="2" t="s">
        <v>90</v>
      </c>
      <c r="Q728" s="12" t="str">
        <f t="shared" si="140"/>
        <v>1814</v>
      </c>
      <c r="R728" s="2" t="s">
        <v>5344</v>
      </c>
      <c r="S728" s="12" t="str">
        <f t="shared" si="141"/>
        <v>1839</v>
      </c>
      <c r="T728" s="2" t="s">
        <v>74</v>
      </c>
      <c r="U728" s="2" t="s">
        <v>5345</v>
      </c>
      <c r="V728" s="12" t="str">
        <f t="shared" si="142"/>
        <v>1834</v>
      </c>
      <c r="W728" s="2" t="s">
        <v>5346</v>
      </c>
      <c r="X728" s="2" t="s">
        <v>1760</v>
      </c>
      <c r="Y728" s="2" t="s">
        <v>5347</v>
      </c>
      <c r="AG728" s="2" t="s">
        <v>74</v>
      </c>
      <c r="AH728" s="2" t="s">
        <v>5433</v>
      </c>
      <c r="AI728" s="12" t="str">
        <f t="shared" si="143"/>
        <v>1837</v>
      </c>
      <c r="AK728" s="2" t="s">
        <v>90</v>
      </c>
    </row>
    <row r="729" spans="1:62">
      <c r="A729" s="2" t="s">
        <v>822</v>
      </c>
      <c r="B729" s="12" t="str">
        <f t="shared" si="135"/>
        <v>HATTINGH</v>
      </c>
      <c r="C729" s="12" t="str">
        <f t="shared" si="136"/>
        <v>HATTINGH</v>
      </c>
      <c r="D729" s="2" t="s">
        <v>5268</v>
      </c>
      <c r="E729" s="12" t="str">
        <f t="shared" si="146"/>
        <v xml:space="preserve">Johannes Dewald </v>
      </c>
      <c r="F729" s="2" t="s">
        <v>5269</v>
      </c>
      <c r="G729" s="12" t="str">
        <f t="shared" si="137"/>
        <v>a1b8c7d4e7</v>
      </c>
      <c r="H729" s="12" t="str">
        <f t="shared" si="138"/>
        <v>HATTINGHa1b8c7d4e7</v>
      </c>
      <c r="J729" s="2" t="s">
        <v>5317</v>
      </c>
      <c r="K729" s="12" t="str">
        <f t="shared" si="139"/>
        <v>1825</v>
      </c>
      <c r="N729" s="12" t="str">
        <f t="shared" si="144"/>
        <v>1825</v>
      </c>
      <c r="O729" s="12" t="str">
        <f t="shared" si="145"/>
        <v/>
      </c>
      <c r="Q729" s="12" t="str">
        <f t="shared" si="140"/>
        <v>1825</v>
      </c>
      <c r="S729" s="12" t="str">
        <f t="shared" si="141"/>
        <v/>
      </c>
      <c r="T729" s="2" t="s">
        <v>2084</v>
      </c>
      <c r="V729" s="12" t="str">
        <f t="shared" si="142"/>
        <v/>
      </c>
      <c r="W729" s="2" t="s">
        <v>5372</v>
      </c>
      <c r="X729" s="2" t="s">
        <v>1930</v>
      </c>
      <c r="AF729" s="2" t="s">
        <v>5440</v>
      </c>
      <c r="AG729" s="2" t="s">
        <v>74</v>
      </c>
      <c r="AH729" s="2" t="s">
        <v>4421</v>
      </c>
      <c r="AI729" s="12" t="str">
        <f t="shared" si="143"/>
        <v>1837</v>
      </c>
      <c r="AJ729" s="2" t="s">
        <v>5441</v>
      </c>
      <c r="AK729" s="2" t="s">
        <v>90</v>
      </c>
      <c r="AV729" s="12"/>
    </row>
    <row r="730" spans="1:62">
      <c r="A730" s="2" t="s">
        <v>5274</v>
      </c>
      <c r="B730" s="12" t="str">
        <f t="shared" si="135"/>
        <v>HAVEMANN</v>
      </c>
      <c r="C730" s="12" t="str">
        <f t="shared" si="136"/>
        <v>HAVEMANN</v>
      </c>
      <c r="D730" s="2" t="s">
        <v>5275</v>
      </c>
      <c r="E730" s="12" t="str">
        <f t="shared" si="146"/>
        <v>Johann Heinrich Carl</v>
      </c>
      <c r="F730" s="2" t="s">
        <v>829</v>
      </c>
      <c r="G730" s="12" t="str">
        <f t="shared" si="137"/>
        <v>a1</v>
      </c>
      <c r="H730" s="12" t="str">
        <f t="shared" si="138"/>
        <v>HAVEMANNa1</v>
      </c>
      <c r="J730" s="2" t="s">
        <v>5323</v>
      </c>
      <c r="K730" s="12" t="str">
        <f t="shared" si="139"/>
        <v>1819</v>
      </c>
      <c r="N730" s="12" t="str">
        <f t="shared" si="144"/>
        <v>1819</v>
      </c>
      <c r="O730" s="12" t="str">
        <f t="shared" si="145"/>
        <v/>
      </c>
      <c r="Q730" s="12" t="str">
        <f t="shared" si="140"/>
        <v>1819</v>
      </c>
      <c r="R730" s="2" t="s">
        <v>5385</v>
      </c>
      <c r="S730" s="12" t="str">
        <f t="shared" si="141"/>
        <v>1879</v>
      </c>
      <c r="T730" s="2" t="s">
        <v>5376</v>
      </c>
      <c r="U730" s="2" t="s">
        <v>5219</v>
      </c>
      <c r="V730" s="12" t="str">
        <f t="shared" si="142"/>
        <v>1841</v>
      </c>
      <c r="W730" s="2" t="s">
        <v>5386</v>
      </c>
      <c r="X730" s="2" t="s">
        <v>5387</v>
      </c>
      <c r="AA730" s="2" t="s">
        <v>5388</v>
      </c>
      <c r="AE730" s="2" t="s">
        <v>5389</v>
      </c>
      <c r="AH730" s="2" t="s">
        <v>5445</v>
      </c>
      <c r="AI730" s="12" t="str">
        <f t="shared" si="143"/>
        <v>1839</v>
      </c>
      <c r="AK730" s="2" t="s">
        <v>90</v>
      </c>
    </row>
    <row r="731" spans="1:62">
      <c r="A731" s="2" t="s">
        <v>5276</v>
      </c>
      <c r="B731" s="12" t="str">
        <f t="shared" si="135"/>
        <v>HAVENGA</v>
      </c>
      <c r="C731" s="12" t="str">
        <f t="shared" si="136"/>
        <v>HAVENGA</v>
      </c>
      <c r="D731" s="2" t="s">
        <v>2550</v>
      </c>
      <c r="E731" s="12" t="str">
        <f t="shared" si="146"/>
        <v>Barend Petrus</v>
      </c>
      <c r="F731" s="2" t="s">
        <v>5277</v>
      </c>
      <c r="G731" s="12" t="str">
        <f t="shared" si="137"/>
        <v>a1b3c4</v>
      </c>
      <c r="H731" s="12" t="str">
        <f t="shared" si="138"/>
        <v>HAVENGAa1b3c4</v>
      </c>
      <c r="K731" s="12" t="str">
        <f t="shared" si="139"/>
        <v/>
      </c>
      <c r="L731" s="2" t="s">
        <v>961</v>
      </c>
      <c r="M731" s="2" t="s">
        <v>5324</v>
      </c>
      <c r="N731" s="12" t="str">
        <f t="shared" si="144"/>
        <v/>
      </c>
      <c r="O731" s="12" t="str">
        <f t="shared" si="145"/>
        <v>1800</v>
      </c>
      <c r="P731" s="2" t="s">
        <v>5390</v>
      </c>
      <c r="Q731" s="12" t="str">
        <f t="shared" si="140"/>
        <v>1800</v>
      </c>
      <c r="R731" s="2" t="s">
        <v>5391</v>
      </c>
      <c r="S731" s="12" t="str">
        <f t="shared" si="141"/>
        <v>1871</v>
      </c>
      <c r="T731" s="2" t="s">
        <v>28</v>
      </c>
      <c r="U731" s="2" t="s">
        <v>5392</v>
      </c>
      <c r="V731" s="12" t="str">
        <f t="shared" si="142"/>
        <v>1821</v>
      </c>
      <c r="W731" s="2" t="s">
        <v>5393</v>
      </c>
      <c r="X731" s="2" t="s">
        <v>5394</v>
      </c>
      <c r="Z731" s="2" t="s">
        <v>331</v>
      </c>
      <c r="AC731" s="2" t="s">
        <v>77</v>
      </c>
      <c r="AD731" s="2" t="s">
        <v>5390</v>
      </c>
      <c r="AE731" s="2" t="s">
        <v>5395</v>
      </c>
      <c r="AG731" s="2" t="s">
        <v>28</v>
      </c>
      <c r="AH731" s="2" t="s">
        <v>5446</v>
      </c>
      <c r="AI731" s="12" t="str">
        <f t="shared" si="143"/>
        <v>1842</v>
      </c>
      <c r="AK731" s="2" t="s">
        <v>67</v>
      </c>
    </row>
    <row r="732" spans="1:62">
      <c r="A732" s="2" t="s">
        <v>5278</v>
      </c>
      <c r="B732" s="12" t="str">
        <f t="shared" si="135"/>
        <v>HEINE</v>
      </c>
      <c r="C732" s="12" t="str">
        <f t="shared" si="136"/>
        <v>HEINE</v>
      </c>
      <c r="D732" s="2" t="s">
        <v>5279</v>
      </c>
      <c r="E732" s="12" t="str">
        <f t="shared" si="146"/>
        <v>Casper Heinrich</v>
      </c>
      <c r="F732" s="2" t="s">
        <v>829</v>
      </c>
      <c r="G732" s="12" t="str">
        <f t="shared" si="137"/>
        <v>a1</v>
      </c>
      <c r="H732" s="12" t="str">
        <f t="shared" si="138"/>
        <v>HEINEa1</v>
      </c>
      <c r="J732" s="2" t="s">
        <v>5325</v>
      </c>
      <c r="K732" s="12" t="str">
        <f t="shared" si="139"/>
        <v>1812</v>
      </c>
      <c r="N732" s="12" t="str">
        <f t="shared" si="144"/>
        <v>1812</v>
      </c>
      <c r="O732" s="12" t="str">
        <f t="shared" si="145"/>
        <v/>
      </c>
      <c r="Q732" s="12" t="str">
        <f t="shared" si="140"/>
        <v>1812</v>
      </c>
      <c r="S732" s="12" t="str">
        <f t="shared" si="141"/>
        <v/>
      </c>
      <c r="V732" s="12" t="str">
        <f t="shared" si="142"/>
        <v/>
      </c>
      <c r="AG732" s="2" t="s">
        <v>5447</v>
      </c>
      <c r="AH732" s="2" t="s">
        <v>5448</v>
      </c>
      <c r="AI732" s="12" t="str">
        <f t="shared" si="143"/>
        <v>1839</v>
      </c>
    </row>
    <row r="733" spans="1:62">
      <c r="A733" s="2" t="s">
        <v>5281</v>
      </c>
      <c r="B733" s="12" t="str">
        <f t="shared" si="135"/>
        <v>HELLBERG</v>
      </c>
      <c r="C733" s="12" t="str">
        <f t="shared" si="136"/>
        <v>HELLBERG</v>
      </c>
      <c r="D733" s="2" t="s">
        <v>5282</v>
      </c>
      <c r="E733" s="12" t="str">
        <f t="shared" si="146"/>
        <v>Johannes Zacharyas</v>
      </c>
      <c r="F733" s="2" t="s">
        <v>950</v>
      </c>
      <c r="G733" s="12" t="str">
        <f t="shared" si="137"/>
        <v>a1b3c1</v>
      </c>
      <c r="H733" s="12" t="str">
        <f t="shared" si="138"/>
        <v>HELLBERGa1b3c1</v>
      </c>
      <c r="J733" s="2" t="s">
        <v>5326</v>
      </c>
      <c r="K733" s="12" t="str">
        <f t="shared" si="139"/>
        <v>1811</v>
      </c>
      <c r="L733" s="2" t="s">
        <v>74</v>
      </c>
      <c r="M733" s="2" t="s">
        <v>5327</v>
      </c>
      <c r="N733" s="12" t="str">
        <f t="shared" si="144"/>
        <v>1811</v>
      </c>
      <c r="O733" s="12" t="str">
        <f t="shared" si="145"/>
        <v>1811</v>
      </c>
      <c r="P733" s="2" t="s">
        <v>5396</v>
      </c>
      <c r="Q733" s="12" t="str">
        <f t="shared" si="140"/>
        <v>1811</v>
      </c>
      <c r="S733" s="12" t="str">
        <f t="shared" si="141"/>
        <v/>
      </c>
      <c r="T733" s="2" t="s">
        <v>74</v>
      </c>
      <c r="U733" s="2" t="s">
        <v>5397</v>
      </c>
      <c r="V733" s="12" t="str">
        <f t="shared" si="142"/>
        <v>1832</v>
      </c>
      <c r="W733" s="2" t="s">
        <v>5398</v>
      </c>
      <c r="X733" s="2" t="s">
        <v>618</v>
      </c>
      <c r="AG733" s="2" t="s">
        <v>74</v>
      </c>
      <c r="AH733" s="2" t="s">
        <v>5449</v>
      </c>
      <c r="AI733" s="12" t="str">
        <f t="shared" si="143"/>
        <v>1836</v>
      </c>
      <c r="AJ733" s="2" t="s">
        <v>1404</v>
      </c>
      <c r="AK733" s="2" t="s">
        <v>5450</v>
      </c>
      <c r="AN733" s="2" t="s">
        <v>1387</v>
      </c>
      <c r="AO733" s="2" t="s">
        <v>696</v>
      </c>
      <c r="AY733" s="2" t="s">
        <v>5451</v>
      </c>
      <c r="AZ733" s="2" t="s">
        <v>631</v>
      </c>
      <c r="BI733" s="2" t="s">
        <v>5452</v>
      </c>
      <c r="BJ733" s="2" t="s">
        <v>1037</v>
      </c>
    </row>
    <row r="734" spans="1:62">
      <c r="A734" s="6" t="s">
        <v>15791</v>
      </c>
      <c r="B734" s="12" t="str">
        <f t="shared" si="135"/>
        <v>HELMOND</v>
      </c>
      <c r="C734" s="6" t="str">
        <f t="shared" si="136"/>
        <v>HELMOND</v>
      </c>
      <c r="D734" s="2" t="s">
        <v>4548</v>
      </c>
      <c r="E734" s="12" t="str">
        <f t="shared" si="146"/>
        <v>Joseph Johannes</v>
      </c>
      <c r="F734" s="2" t="s">
        <v>837</v>
      </c>
      <c r="G734" s="12" t="str">
        <f t="shared" si="137"/>
        <v>a1b1</v>
      </c>
      <c r="H734" s="12" t="str">
        <f t="shared" si="138"/>
        <v>HELMONDa1b1</v>
      </c>
      <c r="J734" s="2" t="s">
        <v>5328</v>
      </c>
      <c r="K734" s="12" t="str">
        <f t="shared" si="139"/>
        <v>1803</v>
      </c>
      <c r="L734" s="2" t="s">
        <v>32</v>
      </c>
      <c r="M734" s="2" t="s">
        <v>5329</v>
      </c>
      <c r="N734" s="12" t="str">
        <f t="shared" si="144"/>
        <v>1803</v>
      </c>
      <c r="O734" s="12" t="str">
        <f t="shared" si="145"/>
        <v>1811</v>
      </c>
      <c r="Q734" s="12" t="str">
        <f t="shared" si="140"/>
        <v>1803</v>
      </c>
      <c r="S734" s="12" t="str">
        <f t="shared" si="141"/>
        <v/>
      </c>
      <c r="T734" s="2" t="s">
        <v>53</v>
      </c>
      <c r="U734" s="2" t="s">
        <v>5399</v>
      </c>
      <c r="V734" s="12" t="str">
        <f t="shared" si="142"/>
        <v>1829</v>
      </c>
      <c r="W734" s="2" t="s">
        <v>5400</v>
      </c>
      <c r="X734" s="2" t="s">
        <v>5401</v>
      </c>
      <c r="AG734" s="2" t="s">
        <v>53</v>
      </c>
      <c r="AH734" s="2" t="s">
        <v>5453</v>
      </c>
      <c r="AI734" s="12" t="str">
        <f t="shared" si="143"/>
        <v>1844</v>
      </c>
      <c r="AK734" s="2" t="s">
        <v>90</v>
      </c>
      <c r="AL734" s="2" t="s">
        <v>5454</v>
      </c>
      <c r="AM734" s="2" t="s">
        <v>5455</v>
      </c>
      <c r="AN734" s="2" t="s">
        <v>5456</v>
      </c>
      <c r="AO734" s="2" t="s">
        <v>5457</v>
      </c>
    </row>
    <row r="735" spans="1:62">
      <c r="A735" s="2" t="s">
        <v>3429</v>
      </c>
      <c r="B735" s="12" t="str">
        <f t="shared" si="135"/>
        <v>HENNING</v>
      </c>
      <c r="C735" s="12" t="str">
        <f t="shared" si="136"/>
        <v>HENNING</v>
      </c>
      <c r="D735" s="2" t="s">
        <v>5283</v>
      </c>
      <c r="E735" s="12" t="str">
        <f t="shared" si="146"/>
        <v xml:space="preserve">Jan Hendrik </v>
      </c>
      <c r="F735" s="2" t="s">
        <v>1921</v>
      </c>
      <c r="G735" s="12" t="str">
        <f t="shared" si="137"/>
        <v>a1b9</v>
      </c>
      <c r="H735" s="12" t="str">
        <f t="shared" si="138"/>
        <v>HENNINGa1b9</v>
      </c>
      <c r="J735" s="2" t="s">
        <v>5330</v>
      </c>
      <c r="K735" s="12" t="str">
        <f t="shared" si="139"/>
        <v>1790</v>
      </c>
      <c r="M735" s="2" t="s">
        <v>5331</v>
      </c>
      <c r="N735" s="12" t="str">
        <f t="shared" si="144"/>
        <v>1790</v>
      </c>
      <c r="O735" s="12" t="str">
        <f t="shared" si="145"/>
        <v>1790</v>
      </c>
      <c r="P735" s="2" t="s">
        <v>1774</v>
      </c>
      <c r="Q735" s="12" t="str">
        <f t="shared" si="140"/>
        <v>1790</v>
      </c>
      <c r="R735" s="2" t="s">
        <v>5402</v>
      </c>
      <c r="S735" s="12" t="str">
        <f t="shared" si="141"/>
        <v>1881</v>
      </c>
      <c r="T735" s="2" t="s">
        <v>74</v>
      </c>
      <c r="U735" s="2" t="s">
        <v>5403</v>
      </c>
      <c r="V735" s="12" t="str">
        <f t="shared" si="142"/>
        <v>1812</v>
      </c>
      <c r="W735" s="2" t="s">
        <v>5404</v>
      </c>
      <c r="X735" s="2" t="s">
        <v>700</v>
      </c>
      <c r="Z735" s="2" t="s">
        <v>74</v>
      </c>
      <c r="AA735" s="2">
        <v>1792</v>
      </c>
      <c r="AD735" s="2" t="s">
        <v>5405</v>
      </c>
      <c r="AE735" s="2" t="s">
        <v>5406</v>
      </c>
      <c r="AG735" s="2" t="s">
        <v>74</v>
      </c>
      <c r="AH735" s="2" t="s">
        <v>5458</v>
      </c>
      <c r="AI735" s="12" t="str">
        <f t="shared" si="143"/>
        <v xml:space="preserve"> (?)</v>
      </c>
      <c r="AK735" s="2" t="s">
        <v>5459</v>
      </c>
    </row>
    <row r="736" spans="1:62">
      <c r="A736" s="12" t="s">
        <v>3429</v>
      </c>
      <c r="B736" s="12" t="str">
        <f t="shared" si="135"/>
        <v>HENNING</v>
      </c>
      <c r="C736" s="12" t="str">
        <f t="shared" si="136"/>
        <v>HENNING</v>
      </c>
      <c r="D736" s="2" t="s">
        <v>5283</v>
      </c>
      <c r="E736" s="12" t="str">
        <f t="shared" si="146"/>
        <v xml:space="preserve">Jan Hendrik </v>
      </c>
      <c r="F736" s="2" t="s">
        <v>4808</v>
      </c>
      <c r="G736" s="12" t="str">
        <f t="shared" si="137"/>
        <v>a1b9c3</v>
      </c>
      <c r="H736" s="12" t="str">
        <f t="shared" si="138"/>
        <v>HENNINGa1b9c3</v>
      </c>
      <c r="I736" s="2" t="s">
        <v>74</v>
      </c>
      <c r="J736" s="2" t="s">
        <v>5332</v>
      </c>
      <c r="K736" s="12" t="str">
        <f t="shared" si="139"/>
        <v>1816</v>
      </c>
      <c r="L736" s="2" t="s">
        <v>74</v>
      </c>
      <c r="M736" s="2" t="s">
        <v>3919</v>
      </c>
      <c r="N736" s="12" t="str">
        <f t="shared" si="144"/>
        <v>1816</v>
      </c>
      <c r="O736" s="12" t="str">
        <f t="shared" si="145"/>
        <v>1816</v>
      </c>
      <c r="P736" s="2" t="s">
        <v>5407</v>
      </c>
      <c r="Q736" s="12" t="str">
        <f t="shared" si="140"/>
        <v>1816</v>
      </c>
      <c r="R736" s="2" t="s">
        <v>5408</v>
      </c>
      <c r="S736" s="12" t="str">
        <f t="shared" si="141"/>
        <v>1893</v>
      </c>
      <c r="T736" s="2" t="s">
        <v>74</v>
      </c>
      <c r="U736" s="2" t="s">
        <v>4362</v>
      </c>
      <c r="V736" s="12" t="str">
        <f t="shared" si="142"/>
        <v>1837</v>
      </c>
      <c r="W736" s="2" t="s">
        <v>5409</v>
      </c>
      <c r="X736" s="2" t="s">
        <v>700</v>
      </c>
      <c r="Z736" s="2" t="s">
        <v>5410</v>
      </c>
      <c r="AD736" s="2" t="s">
        <v>5411</v>
      </c>
      <c r="AE736" s="2" t="s">
        <v>5412</v>
      </c>
      <c r="AG736" s="2" t="s">
        <v>5460</v>
      </c>
      <c r="AH736" s="2" t="s">
        <v>5461</v>
      </c>
      <c r="AI736" s="12" t="str">
        <f t="shared" si="143"/>
        <v xml:space="preserve">838 </v>
      </c>
      <c r="AK736" s="2" t="s">
        <v>5462</v>
      </c>
      <c r="AN736" s="2" t="s">
        <v>5463</v>
      </c>
      <c r="AO736" s="2" t="s">
        <v>701</v>
      </c>
      <c r="AR736" s="2" t="s">
        <v>5464</v>
      </c>
      <c r="AU736" s="2" t="s">
        <v>5407</v>
      </c>
      <c r="AV736" s="2" t="s">
        <v>5465</v>
      </c>
    </row>
    <row r="737" spans="1:56">
      <c r="A737" s="2" t="s">
        <v>1489</v>
      </c>
      <c r="B737" s="12" t="str">
        <f t="shared" si="135"/>
        <v>HENNOP</v>
      </c>
      <c r="C737" s="12" t="str">
        <f t="shared" si="136"/>
        <v>HENNOP</v>
      </c>
      <c r="D737" s="2" t="s">
        <v>5286</v>
      </c>
      <c r="E737" s="12" t="str">
        <f t="shared" si="146"/>
        <v>Jan Philip Carel</v>
      </c>
      <c r="F737" s="2" t="s">
        <v>3992</v>
      </c>
      <c r="G737" s="12" t="str">
        <f t="shared" si="137"/>
        <v>a1b1c1</v>
      </c>
      <c r="H737" s="12" t="str">
        <f t="shared" si="138"/>
        <v>HENNOPa1b1c1</v>
      </c>
      <c r="K737" s="12" t="str">
        <f t="shared" si="139"/>
        <v/>
      </c>
      <c r="N737" s="12" t="str">
        <f t="shared" si="144"/>
        <v/>
      </c>
      <c r="O737" s="12" t="str">
        <f t="shared" si="145"/>
        <v/>
      </c>
      <c r="Q737" s="12" t="str">
        <f t="shared" si="140"/>
        <v/>
      </c>
      <c r="S737" s="12" t="str">
        <f t="shared" si="141"/>
        <v/>
      </c>
      <c r="T737" s="2" t="s">
        <v>542</v>
      </c>
      <c r="U737" s="2" t="s">
        <v>5415</v>
      </c>
      <c r="V737" s="12" t="str">
        <f t="shared" si="142"/>
        <v>1806</v>
      </c>
      <c r="W737" s="2" t="s">
        <v>5416</v>
      </c>
      <c r="X737" s="2" t="s">
        <v>2436</v>
      </c>
      <c r="AE737" s="2" t="s">
        <v>5417</v>
      </c>
      <c r="AG737" s="2" t="s">
        <v>5467</v>
      </c>
      <c r="AH737" s="2" t="s">
        <v>5468</v>
      </c>
      <c r="AI737" s="12" t="str">
        <f t="shared" si="143"/>
        <v>1840</v>
      </c>
      <c r="AJ737" s="2" t="s">
        <v>379</v>
      </c>
      <c r="AK737" s="2" t="s">
        <v>140</v>
      </c>
      <c r="AL737" s="2" t="s">
        <v>74</v>
      </c>
      <c r="AM737" s="2" t="s">
        <v>1368</v>
      </c>
      <c r="AN737" s="2" t="s">
        <v>5469</v>
      </c>
      <c r="AO737" s="2" t="s">
        <v>5470</v>
      </c>
    </row>
    <row r="738" spans="1:56">
      <c r="A738" s="2" t="s">
        <v>1489</v>
      </c>
      <c r="B738" s="12" t="str">
        <f t="shared" si="135"/>
        <v>HENNOP</v>
      </c>
      <c r="C738" s="12" t="str">
        <f t="shared" si="136"/>
        <v>HENNOP</v>
      </c>
      <c r="D738" s="2" t="s">
        <v>5284</v>
      </c>
      <c r="E738" s="12" t="str">
        <f t="shared" si="146"/>
        <v>Abraham Jacobus</v>
      </c>
      <c r="F738" s="2" t="s">
        <v>3998</v>
      </c>
      <c r="G738" s="12" t="str">
        <f t="shared" si="137"/>
        <v>a1b1c1d2</v>
      </c>
      <c r="H738" s="12" t="str">
        <f t="shared" si="138"/>
        <v>HENNOPa1b1c1d2</v>
      </c>
      <c r="J738" s="2" t="s">
        <v>5333</v>
      </c>
      <c r="K738" s="12" t="str">
        <f t="shared" si="139"/>
        <v>1808</v>
      </c>
      <c r="M738" s="2" t="s">
        <v>4436</v>
      </c>
      <c r="N738" s="12" t="str">
        <f t="shared" si="144"/>
        <v>1808</v>
      </c>
      <c r="O738" s="12" t="str">
        <f t="shared" si="145"/>
        <v>1808</v>
      </c>
      <c r="Q738" s="12" t="str">
        <f t="shared" si="140"/>
        <v>1808</v>
      </c>
      <c r="S738" s="12" t="str">
        <f t="shared" si="141"/>
        <v/>
      </c>
      <c r="V738" s="12" t="str">
        <f t="shared" si="142"/>
        <v/>
      </c>
      <c r="AG738" s="2" t="s">
        <v>5302</v>
      </c>
      <c r="AH738" s="2" t="s">
        <v>5466</v>
      </c>
      <c r="AI738" s="12" t="str">
        <f t="shared" si="143"/>
        <v>1840</v>
      </c>
    </row>
    <row r="739" spans="1:56">
      <c r="A739" s="2" t="s">
        <v>1489</v>
      </c>
      <c r="B739" s="12" t="str">
        <f t="shared" si="135"/>
        <v>HENNOP</v>
      </c>
      <c r="C739" s="12" t="str">
        <f t="shared" si="136"/>
        <v>HENNOP</v>
      </c>
      <c r="D739" s="2" t="s">
        <v>4491</v>
      </c>
      <c r="E739" s="12" t="str">
        <f t="shared" si="146"/>
        <v>David Johannes</v>
      </c>
      <c r="F739" s="2" t="s">
        <v>5285</v>
      </c>
      <c r="G739" s="12" t="str">
        <f t="shared" si="137"/>
        <v>a1b1c1d8</v>
      </c>
      <c r="H739" s="12" t="str">
        <f t="shared" si="138"/>
        <v>HENNOPa1b1c1d8</v>
      </c>
      <c r="J739" s="2" t="s">
        <v>5334</v>
      </c>
      <c r="K739" s="12" t="str">
        <f t="shared" si="139"/>
        <v>1824</v>
      </c>
      <c r="L739" s="2" t="s">
        <v>74</v>
      </c>
      <c r="M739" s="2" t="s">
        <v>988</v>
      </c>
      <c r="N739" s="12" t="str">
        <f t="shared" si="144"/>
        <v>1824</v>
      </c>
      <c r="O739" s="12" t="str">
        <f t="shared" si="145"/>
        <v>1825</v>
      </c>
      <c r="Q739" s="12" t="str">
        <f t="shared" si="140"/>
        <v>1824</v>
      </c>
      <c r="S739" s="12" t="str">
        <f t="shared" si="141"/>
        <v/>
      </c>
      <c r="T739" s="2" t="s">
        <v>140</v>
      </c>
      <c r="U739" s="2" t="s">
        <v>5413</v>
      </c>
      <c r="V739" s="12" t="str">
        <f t="shared" si="142"/>
        <v>1849</v>
      </c>
      <c r="W739" s="2" t="s">
        <v>5414</v>
      </c>
      <c r="X739" s="2" t="s">
        <v>1453</v>
      </c>
      <c r="AG739" s="2" t="s">
        <v>5302</v>
      </c>
      <c r="AH739" s="2" t="s">
        <v>5466</v>
      </c>
      <c r="AI739" s="12" t="str">
        <f t="shared" si="143"/>
        <v>1840</v>
      </c>
    </row>
    <row r="740" spans="1:56">
      <c r="A740" s="2" t="s">
        <v>3765</v>
      </c>
      <c r="B740" s="12" t="str">
        <f t="shared" si="135"/>
        <v>HERBST</v>
      </c>
      <c r="C740" s="12" t="str">
        <f t="shared" si="136"/>
        <v>HERBST</v>
      </c>
      <c r="D740" s="2" t="s">
        <v>5291</v>
      </c>
      <c r="E740" s="12" t="str">
        <f t="shared" si="146"/>
        <v>Johan George</v>
      </c>
      <c r="F740" s="2" t="s">
        <v>950</v>
      </c>
      <c r="G740" s="12" t="str">
        <f t="shared" si="137"/>
        <v>a1b3c1</v>
      </c>
      <c r="H740" s="12" t="str">
        <f t="shared" si="138"/>
        <v>HERBSTa1b3c1</v>
      </c>
      <c r="J740" s="2" t="s">
        <v>5337</v>
      </c>
      <c r="K740" s="12" t="str">
        <f t="shared" si="139"/>
        <v>1811</v>
      </c>
      <c r="L740" s="2" t="s">
        <v>74</v>
      </c>
      <c r="M740" s="2" t="s">
        <v>3507</v>
      </c>
      <c r="N740" s="12" t="str">
        <f t="shared" si="144"/>
        <v>1811</v>
      </c>
      <c r="O740" s="12" t="str">
        <f t="shared" si="145"/>
        <v>1811</v>
      </c>
      <c r="Q740" s="12" t="str">
        <f t="shared" si="140"/>
        <v>1811</v>
      </c>
      <c r="S740" s="12" t="str">
        <f t="shared" si="141"/>
        <v/>
      </c>
      <c r="T740" s="2" t="s">
        <v>74</v>
      </c>
      <c r="U740" s="2" t="s">
        <v>5420</v>
      </c>
      <c r="V740" s="12" t="str">
        <f t="shared" si="142"/>
        <v>1831</v>
      </c>
      <c r="W740" s="2" t="s">
        <v>2421</v>
      </c>
      <c r="X740" s="2" t="s">
        <v>5421</v>
      </c>
      <c r="AA740" s="2" t="s">
        <v>5422</v>
      </c>
      <c r="AG740" s="2" t="s">
        <v>60</v>
      </c>
      <c r="AH740" s="2" t="s">
        <v>5482</v>
      </c>
      <c r="AI740" s="12" t="str">
        <f t="shared" si="143"/>
        <v>840s</v>
      </c>
      <c r="AK740" s="2" t="s">
        <v>3821</v>
      </c>
    </row>
    <row r="741" spans="1:56">
      <c r="A741" s="2" t="s">
        <v>3765</v>
      </c>
      <c r="B741" s="12" t="str">
        <f t="shared" si="135"/>
        <v>HERBST</v>
      </c>
      <c r="C741" s="12" t="str">
        <f t="shared" si="136"/>
        <v>HERBST</v>
      </c>
      <c r="D741" s="2" t="s">
        <v>5292</v>
      </c>
      <c r="E741" s="12" t="str">
        <f t="shared" si="146"/>
        <v>Marthinus Johannes Hendrik</v>
      </c>
      <c r="F741" s="2" t="s">
        <v>5293</v>
      </c>
      <c r="G741" s="12" t="str">
        <f t="shared" si="137"/>
        <v>a1b3c5</v>
      </c>
      <c r="H741" s="12" t="str">
        <f t="shared" si="138"/>
        <v>HERBSTa1b3c5</v>
      </c>
      <c r="J741" s="2" t="s">
        <v>5338</v>
      </c>
      <c r="K741" s="12" t="str">
        <f t="shared" si="139"/>
        <v>1820</v>
      </c>
      <c r="L741" s="2" t="s">
        <v>74</v>
      </c>
      <c r="M741" s="2" t="s">
        <v>5339</v>
      </c>
      <c r="N741" s="12" t="str">
        <f t="shared" si="144"/>
        <v>1820</v>
      </c>
      <c r="O741" s="12" t="str">
        <f t="shared" si="145"/>
        <v>1820</v>
      </c>
      <c r="P741" s="2" t="s">
        <v>5423</v>
      </c>
      <c r="Q741" s="12" t="str">
        <f t="shared" si="140"/>
        <v>1820</v>
      </c>
      <c r="R741" s="2" t="s">
        <v>5424</v>
      </c>
      <c r="S741" s="12" t="str">
        <f t="shared" si="141"/>
        <v>1898</v>
      </c>
      <c r="V741" s="12" t="str">
        <f t="shared" si="142"/>
        <v/>
      </c>
      <c r="W741" s="2" t="s">
        <v>5425</v>
      </c>
      <c r="X741" s="2" t="s">
        <v>1021</v>
      </c>
      <c r="Y741" s="2" t="s">
        <v>1343</v>
      </c>
      <c r="AA741" s="2" t="s">
        <v>5426</v>
      </c>
      <c r="AB741" s="2" t="s">
        <v>199</v>
      </c>
      <c r="AC741" s="2" t="s">
        <v>4350</v>
      </c>
      <c r="AE741" s="2" t="s">
        <v>5427</v>
      </c>
      <c r="AG741" s="2" t="s">
        <v>5477</v>
      </c>
      <c r="AH741" s="2" t="s">
        <v>5483</v>
      </c>
      <c r="AI741" s="12" t="str">
        <f t="shared" si="143"/>
        <v xml:space="preserve">40s </v>
      </c>
      <c r="AK741" s="2" t="s">
        <v>551</v>
      </c>
      <c r="AN741" s="2" t="s">
        <v>4694</v>
      </c>
      <c r="AO741" s="2" t="s">
        <v>655</v>
      </c>
      <c r="AR741" s="2" t="s">
        <v>5484</v>
      </c>
      <c r="AU741" s="2" t="s">
        <v>5423</v>
      </c>
      <c r="AV741" s="2" t="s">
        <v>5485</v>
      </c>
    </row>
    <row r="742" spans="1:56">
      <c r="A742" s="2" t="s">
        <v>3765</v>
      </c>
      <c r="B742" s="12" t="str">
        <f t="shared" si="135"/>
        <v>HERBST</v>
      </c>
      <c r="C742" s="12" t="str">
        <f t="shared" si="136"/>
        <v>HERBST</v>
      </c>
      <c r="D742" s="2" t="s">
        <v>5287</v>
      </c>
      <c r="E742" s="12" t="str">
        <f t="shared" si="146"/>
        <v xml:space="preserve">Christiaan Frederik </v>
      </c>
      <c r="F742" s="2" t="s">
        <v>5189</v>
      </c>
      <c r="G742" s="12" t="str">
        <f t="shared" si="137"/>
        <v>a1b5c1</v>
      </c>
      <c r="H742" s="12" t="str">
        <f t="shared" si="138"/>
        <v>HERBSTa1b5c1</v>
      </c>
      <c r="K742" s="12" t="str">
        <f t="shared" si="139"/>
        <v/>
      </c>
      <c r="M742" s="2">
        <v>1797</v>
      </c>
      <c r="N742" s="12" t="str">
        <f t="shared" si="144"/>
        <v/>
      </c>
      <c r="O742" s="12" t="str">
        <f t="shared" si="145"/>
        <v>1797</v>
      </c>
      <c r="P742" s="2" t="s">
        <v>24</v>
      </c>
      <c r="Q742" s="12" t="str">
        <f t="shared" si="140"/>
        <v>1797</v>
      </c>
      <c r="R742" s="2" t="s">
        <v>5418</v>
      </c>
      <c r="S742" s="12" t="str">
        <f t="shared" si="141"/>
        <v>1868</v>
      </c>
      <c r="T742" s="2" t="s">
        <v>74</v>
      </c>
      <c r="U742" s="2" t="s">
        <v>4075</v>
      </c>
      <c r="V742" s="12" t="str">
        <f t="shared" si="142"/>
        <v>1820</v>
      </c>
      <c r="W742" s="2" t="s">
        <v>3612</v>
      </c>
      <c r="X742" s="2" t="s">
        <v>2026</v>
      </c>
      <c r="AG742" s="2" t="s">
        <v>74</v>
      </c>
      <c r="AH742" s="2" t="s">
        <v>5471</v>
      </c>
      <c r="AI742" s="12" t="str">
        <f t="shared" si="143"/>
        <v>1842</v>
      </c>
      <c r="AK742" s="2" t="s">
        <v>190</v>
      </c>
      <c r="AN742" s="2" t="s">
        <v>5472</v>
      </c>
      <c r="AO742" s="2" t="s">
        <v>5473</v>
      </c>
      <c r="AW742" s="2" t="s">
        <v>74</v>
      </c>
      <c r="AX742" s="2" t="s">
        <v>3588</v>
      </c>
      <c r="AY742" s="2" t="s">
        <v>5474</v>
      </c>
      <c r="AZ742" s="2" t="s">
        <v>2436</v>
      </c>
      <c r="BA742" s="2" t="s">
        <v>5475</v>
      </c>
      <c r="BB742" s="2" t="s">
        <v>4350</v>
      </c>
      <c r="BC742" s="2" t="s">
        <v>28</v>
      </c>
      <c r="BD742" s="2" t="s">
        <v>5476</v>
      </c>
    </row>
    <row r="743" spans="1:56">
      <c r="A743" s="2" t="s">
        <v>3765</v>
      </c>
      <c r="B743" s="12" t="str">
        <f t="shared" si="135"/>
        <v>HERBST</v>
      </c>
      <c r="C743" s="12" t="str">
        <f t="shared" si="136"/>
        <v>HERBST</v>
      </c>
      <c r="D743" s="2" t="s">
        <v>5288</v>
      </c>
      <c r="E743" s="12" t="str">
        <f t="shared" si="146"/>
        <v>Christiaan Servaas</v>
      </c>
      <c r="F743" s="2" t="s">
        <v>5289</v>
      </c>
      <c r="G743" s="12" t="str">
        <f t="shared" si="137"/>
        <v>a1b5c1d1</v>
      </c>
      <c r="H743" s="12" t="str">
        <f t="shared" si="138"/>
        <v>HERBSTa1b5c1d1</v>
      </c>
      <c r="J743" s="2" t="s">
        <v>5335</v>
      </c>
      <c r="K743" s="12" t="str">
        <f t="shared" si="139"/>
        <v>1821</v>
      </c>
      <c r="L743" s="2" t="s">
        <v>74</v>
      </c>
      <c r="M743" s="2" t="s">
        <v>4369</v>
      </c>
      <c r="N743" s="12" t="str">
        <f t="shared" si="144"/>
        <v>1821</v>
      </c>
      <c r="O743" s="12" t="str">
        <f t="shared" si="145"/>
        <v>1821</v>
      </c>
      <c r="Q743" s="12" t="str">
        <f t="shared" si="140"/>
        <v>1821</v>
      </c>
      <c r="S743" s="12" t="str">
        <f t="shared" si="141"/>
        <v/>
      </c>
      <c r="V743" s="12" t="str">
        <f t="shared" si="142"/>
        <v/>
      </c>
      <c r="W743" s="2" t="s">
        <v>3857</v>
      </c>
      <c r="X743" s="2" t="s">
        <v>655</v>
      </c>
      <c r="AG743" s="2" t="s">
        <v>5477</v>
      </c>
      <c r="AH743" s="2" t="s">
        <v>5478</v>
      </c>
      <c r="AI743" s="12" t="str">
        <f t="shared" si="143"/>
        <v>1842</v>
      </c>
      <c r="AK743" s="2" t="s">
        <v>5479</v>
      </c>
    </row>
    <row r="744" spans="1:56">
      <c r="A744" s="2" t="s">
        <v>3765</v>
      </c>
      <c r="B744" s="12" t="str">
        <f t="shared" si="135"/>
        <v>HERBST</v>
      </c>
      <c r="C744" s="12" t="str">
        <f t="shared" si="136"/>
        <v>HERBST</v>
      </c>
      <c r="D744" s="2" t="s">
        <v>5290</v>
      </c>
      <c r="E744" s="12" t="str">
        <f t="shared" si="146"/>
        <v>Johan Christiaan Jacobus</v>
      </c>
      <c r="F744" s="2" t="s">
        <v>4652</v>
      </c>
      <c r="G744" s="12" t="str">
        <f t="shared" si="137"/>
        <v>a1b7</v>
      </c>
      <c r="H744" s="12" t="str">
        <f t="shared" si="138"/>
        <v>HERBSTa1b7</v>
      </c>
      <c r="K744" s="12" t="str">
        <f t="shared" si="139"/>
        <v/>
      </c>
      <c r="M744" s="2" t="s">
        <v>5336</v>
      </c>
      <c r="N744" s="12" t="str">
        <f t="shared" si="144"/>
        <v/>
      </c>
      <c r="O744" s="12" t="str">
        <f t="shared" si="145"/>
        <v>1802</v>
      </c>
      <c r="Q744" s="12" t="str">
        <f t="shared" si="140"/>
        <v>1802</v>
      </c>
      <c r="R744" s="12"/>
      <c r="S744" s="12" t="str">
        <f t="shared" si="141"/>
        <v/>
      </c>
      <c r="T744" s="2" t="s">
        <v>74</v>
      </c>
      <c r="U744" s="2" t="s">
        <v>1248</v>
      </c>
      <c r="V744" s="12" t="str">
        <f t="shared" si="142"/>
        <v>1833</v>
      </c>
      <c r="W744" s="2" t="s">
        <v>4527</v>
      </c>
      <c r="X744" s="2" t="s">
        <v>2136</v>
      </c>
      <c r="Y744" s="2" t="s">
        <v>5419</v>
      </c>
      <c r="AC744" s="2" t="s">
        <v>1429</v>
      </c>
      <c r="AF744" s="2" t="s">
        <v>5480</v>
      </c>
      <c r="AG744" s="2" t="s">
        <v>74</v>
      </c>
      <c r="AH744" s="2" t="s">
        <v>5481</v>
      </c>
      <c r="AI744" s="12" t="str">
        <f t="shared" si="143"/>
        <v>1842</v>
      </c>
      <c r="AK744" s="2" t="s">
        <v>551</v>
      </c>
    </row>
    <row r="745" spans="1:56">
      <c r="A745" s="2" t="s">
        <v>2261</v>
      </c>
      <c r="B745" s="12" t="str">
        <f t="shared" si="135"/>
        <v>HEYDENRYCH</v>
      </c>
      <c r="C745" s="12" t="str">
        <f t="shared" si="136"/>
        <v>HEYDENRYCH</v>
      </c>
      <c r="D745" s="2" t="s">
        <v>5499</v>
      </c>
      <c r="E745" s="12" t="str">
        <f t="shared" si="146"/>
        <v>Jan Ernst</v>
      </c>
      <c r="F745" s="2" t="s">
        <v>5500</v>
      </c>
      <c r="G745" s="12" t="str">
        <f t="shared" si="137"/>
        <v>a1b6c2d1</v>
      </c>
      <c r="H745" s="12" t="str">
        <f t="shared" si="138"/>
        <v>HEYDENRYCHa1b6c2d1</v>
      </c>
      <c r="J745" s="2" t="s">
        <v>5501</v>
      </c>
      <c r="K745" s="12" t="str">
        <f t="shared" si="139"/>
        <v>1800</v>
      </c>
      <c r="L745" s="2" t="s">
        <v>5489</v>
      </c>
      <c r="M745" s="2" t="s">
        <v>5502</v>
      </c>
      <c r="N745" s="12" t="str">
        <f t="shared" si="144"/>
        <v>1800</v>
      </c>
      <c r="O745" s="12" t="str">
        <f t="shared" si="145"/>
        <v>1800</v>
      </c>
      <c r="Q745" s="12" t="str">
        <f t="shared" si="140"/>
        <v>1800</v>
      </c>
      <c r="S745" s="12" t="str">
        <f t="shared" si="141"/>
        <v/>
      </c>
      <c r="T745" s="2" t="s">
        <v>68</v>
      </c>
      <c r="U745" s="2" t="s">
        <v>5503</v>
      </c>
      <c r="V745" s="12" t="str">
        <f t="shared" si="142"/>
        <v>1832</v>
      </c>
      <c r="W745" s="2" t="s">
        <v>4488</v>
      </c>
      <c r="X745" s="2" t="s">
        <v>668</v>
      </c>
      <c r="AF745" s="2" t="s">
        <v>3709</v>
      </c>
      <c r="AG745" s="2" t="s">
        <v>68</v>
      </c>
      <c r="AH745" s="2">
        <v>1837</v>
      </c>
      <c r="AI745" s="12" t="str">
        <f t="shared" si="143"/>
        <v>1837</v>
      </c>
    </row>
    <row r="746" spans="1:56">
      <c r="A746" s="2" t="s">
        <v>2261</v>
      </c>
      <c r="B746" s="12" t="str">
        <f t="shared" si="135"/>
        <v>HEYDENRYCH</v>
      </c>
      <c r="C746" s="12" t="str">
        <f t="shared" si="136"/>
        <v>HEYDENRYCH</v>
      </c>
      <c r="D746" s="2" t="s">
        <v>5486</v>
      </c>
      <c r="E746" s="12" t="str">
        <f t="shared" si="146"/>
        <v>Cornelis Frederik</v>
      </c>
      <c r="F746" s="2" t="s">
        <v>5487</v>
      </c>
      <c r="G746" s="12" t="str">
        <f t="shared" si="137"/>
        <v>a1b6c2d2</v>
      </c>
      <c r="H746" s="12" t="str">
        <f t="shared" si="138"/>
        <v>HEYDENRYCHa1b6c2d2</v>
      </c>
      <c r="J746" s="2" t="s">
        <v>5488</v>
      </c>
      <c r="K746" s="12" t="str">
        <f t="shared" si="139"/>
        <v>1801</v>
      </c>
      <c r="L746" s="2" t="s">
        <v>5489</v>
      </c>
      <c r="M746" s="2" t="s">
        <v>5490</v>
      </c>
      <c r="N746" s="12" t="str">
        <f t="shared" si="144"/>
        <v>1801</v>
      </c>
      <c r="O746" s="12" t="str">
        <f t="shared" si="145"/>
        <v>1802</v>
      </c>
      <c r="P746" s="2" t="s">
        <v>406</v>
      </c>
      <c r="Q746" s="12" t="str">
        <f t="shared" si="140"/>
        <v>1801</v>
      </c>
      <c r="R746" s="2" t="s">
        <v>5491</v>
      </c>
      <c r="S746" s="12" t="str">
        <f t="shared" si="141"/>
        <v>1887</v>
      </c>
      <c r="T746" s="2" t="s">
        <v>28</v>
      </c>
      <c r="U746" s="2" t="s">
        <v>2539</v>
      </c>
      <c r="V746" s="12" t="str">
        <f t="shared" si="142"/>
        <v>1825</v>
      </c>
      <c r="W746" s="2" t="s">
        <v>5492</v>
      </c>
      <c r="X746" s="2" t="s">
        <v>655</v>
      </c>
      <c r="Y746" s="2" t="s">
        <v>5493</v>
      </c>
      <c r="AC746" s="2" t="s">
        <v>4901</v>
      </c>
      <c r="AE746" s="2" t="s">
        <v>5494</v>
      </c>
      <c r="AF746" s="2" t="s">
        <v>3706</v>
      </c>
      <c r="AG746" s="2" t="s">
        <v>68</v>
      </c>
      <c r="AH746" s="2" t="s">
        <v>5495</v>
      </c>
      <c r="AI746" s="12" t="str">
        <f t="shared" si="143"/>
        <v>1841</v>
      </c>
      <c r="AK746" s="2" t="s">
        <v>90</v>
      </c>
      <c r="AM746" s="2" t="s">
        <v>3693</v>
      </c>
      <c r="AN746" s="2" t="s">
        <v>5496</v>
      </c>
      <c r="AO746" s="2" t="s">
        <v>822</v>
      </c>
      <c r="AP746" s="2" t="s">
        <v>5497</v>
      </c>
      <c r="AR746" s="2" t="s">
        <v>5498</v>
      </c>
    </row>
    <row r="747" spans="1:56">
      <c r="A747" s="2" t="s">
        <v>2649</v>
      </c>
      <c r="B747" s="12" t="str">
        <f t="shared" si="135"/>
        <v>HEYNEKE</v>
      </c>
      <c r="C747" s="12" t="str">
        <f t="shared" si="136"/>
        <v>HEYNEKE</v>
      </c>
      <c r="D747" s="2" t="s">
        <v>5510</v>
      </c>
      <c r="E747" s="12" t="str">
        <f t="shared" si="146"/>
        <v xml:space="preserve">Johannes Christoffel Sr. </v>
      </c>
      <c r="F747" s="2" t="s">
        <v>933</v>
      </c>
      <c r="G747" s="12" t="str">
        <f t="shared" si="137"/>
        <v>a1b2c1</v>
      </c>
      <c r="H747" s="12" t="str">
        <f t="shared" si="138"/>
        <v>HEYNEKEa1b2c1</v>
      </c>
      <c r="K747" s="12" t="str">
        <f t="shared" si="139"/>
        <v/>
      </c>
      <c r="M747" s="2" t="s">
        <v>2247</v>
      </c>
      <c r="N747" s="12" t="str">
        <f t="shared" si="144"/>
        <v/>
      </c>
      <c r="O747" s="12" t="str">
        <f t="shared" si="145"/>
        <v>1798</v>
      </c>
      <c r="Q747" s="12" t="str">
        <f t="shared" si="140"/>
        <v>1798</v>
      </c>
      <c r="S747" s="12" t="str">
        <f t="shared" si="141"/>
        <v/>
      </c>
      <c r="T747" s="2" t="s">
        <v>366</v>
      </c>
      <c r="U747" s="2" t="s">
        <v>5511</v>
      </c>
      <c r="V747" s="12" t="str">
        <f t="shared" si="142"/>
        <v>1821</v>
      </c>
      <c r="W747" s="2" t="s">
        <v>5512</v>
      </c>
      <c r="X747" s="2" t="s">
        <v>3663</v>
      </c>
      <c r="Y747" s="2" t="s">
        <v>5513</v>
      </c>
      <c r="AC747" s="2" t="s">
        <v>5514</v>
      </c>
      <c r="AF747" s="2" t="s">
        <v>3703</v>
      </c>
      <c r="AG747" s="2" t="s">
        <v>366</v>
      </c>
      <c r="AH747" s="2" t="s">
        <v>432</v>
      </c>
      <c r="AI747" s="12" t="str">
        <f t="shared" si="143"/>
        <v>1838</v>
      </c>
      <c r="AJ747" s="2" t="s">
        <v>433</v>
      </c>
      <c r="AK747" s="2" t="s">
        <v>140</v>
      </c>
    </row>
    <row r="748" spans="1:56">
      <c r="A748" s="2" t="s">
        <v>2649</v>
      </c>
      <c r="B748" s="12" t="str">
        <f t="shared" si="135"/>
        <v>HEYNEKE</v>
      </c>
      <c r="C748" s="12" t="str">
        <f t="shared" si="136"/>
        <v>HEYNEKE</v>
      </c>
      <c r="D748" s="2" t="s">
        <v>5515</v>
      </c>
      <c r="E748" s="12" t="str">
        <f t="shared" si="146"/>
        <v>Johannes Christoffel Jr.</v>
      </c>
      <c r="F748" s="2" t="s">
        <v>3178</v>
      </c>
      <c r="G748" s="12" t="str">
        <f t="shared" si="137"/>
        <v>a1b2c1d1</v>
      </c>
      <c r="H748" s="12" t="str">
        <f t="shared" si="138"/>
        <v>HEYNEKEa1b2c1d1</v>
      </c>
      <c r="J748" s="2" t="s">
        <v>5516</v>
      </c>
      <c r="K748" s="12" t="str">
        <f t="shared" si="139"/>
        <v>1822</v>
      </c>
      <c r="L748" s="2" t="s">
        <v>366</v>
      </c>
      <c r="M748" s="2" t="s">
        <v>5517</v>
      </c>
      <c r="N748" s="12" t="str">
        <f t="shared" si="144"/>
        <v>1822</v>
      </c>
      <c r="O748" s="12" t="str">
        <f t="shared" si="145"/>
        <v>1822</v>
      </c>
      <c r="Q748" s="12" t="str">
        <f t="shared" si="140"/>
        <v>1822</v>
      </c>
      <c r="S748" s="12" t="str">
        <f t="shared" si="141"/>
        <v/>
      </c>
      <c r="T748" s="2" t="s">
        <v>140</v>
      </c>
      <c r="U748" s="2" t="s">
        <v>5518</v>
      </c>
      <c r="V748" s="12" t="str">
        <f t="shared" si="142"/>
        <v>1847</v>
      </c>
      <c r="W748" s="2" t="s">
        <v>3994</v>
      </c>
      <c r="X748" s="2" t="s">
        <v>5519</v>
      </c>
      <c r="AA748" s="2">
        <v>1829</v>
      </c>
      <c r="AE748" s="2" t="s">
        <v>5520</v>
      </c>
      <c r="AF748" s="2" t="s">
        <v>3703</v>
      </c>
      <c r="AG748" s="2" t="s">
        <v>366</v>
      </c>
      <c r="AH748" s="2" t="s">
        <v>432</v>
      </c>
      <c r="AI748" s="12" t="str">
        <f t="shared" si="143"/>
        <v>1838</v>
      </c>
      <c r="AJ748" s="2" t="s">
        <v>433</v>
      </c>
      <c r="AK748" s="2" t="s">
        <v>140</v>
      </c>
      <c r="AN748" s="2" t="s">
        <v>2639</v>
      </c>
      <c r="AO748" s="2" t="s">
        <v>667</v>
      </c>
    </row>
    <row r="749" spans="1:56">
      <c r="A749" s="12" t="s">
        <v>2649</v>
      </c>
      <c r="B749" s="12" t="str">
        <f t="shared" si="135"/>
        <v>HEYNEKE</v>
      </c>
      <c r="C749" s="12" t="str">
        <f t="shared" si="136"/>
        <v>HEYNEKE</v>
      </c>
      <c r="D749" s="2" t="s">
        <v>5504</v>
      </c>
      <c r="E749" s="12" t="str">
        <f t="shared" si="146"/>
        <v>Anthonie Willem</v>
      </c>
      <c r="F749" s="2" t="s">
        <v>5505</v>
      </c>
      <c r="G749" s="12" t="str">
        <f t="shared" si="137"/>
        <v>a1b2c1d2</v>
      </c>
      <c r="H749" s="12" t="str">
        <f t="shared" si="138"/>
        <v>HEYNEKEa1b2c1d2</v>
      </c>
      <c r="J749" s="2" t="s">
        <v>5506</v>
      </c>
      <c r="K749" s="12" t="str">
        <f t="shared" si="139"/>
        <v>1824</v>
      </c>
      <c r="L749" s="2" t="s">
        <v>366</v>
      </c>
      <c r="M749" s="2" t="s">
        <v>5507</v>
      </c>
      <c r="N749" s="12" t="str">
        <f t="shared" si="144"/>
        <v>1824</v>
      </c>
      <c r="O749" s="12" t="str">
        <f t="shared" si="145"/>
        <v>1825</v>
      </c>
      <c r="Q749" s="12" t="str">
        <f t="shared" si="140"/>
        <v>1824</v>
      </c>
      <c r="S749" s="12" t="str">
        <f t="shared" si="141"/>
        <v/>
      </c>
      <c r="V749" s="12" t="str">
        <f t="shared" si="142"/>
        <v/>
      </c>
      <c r="W749" s="2" t="s">
        <v>715</v>
      </c>
      <c r="X749" s="2" t="s">
        <v>636</v>
      </c>
      <c r="AE749" s="12"/>
      <c r="AF749" s="2" t="s">
        <v>3703</v>
      </c>
      <c r="AG749" s="2" t="s">
        <v>366</v>
      </c>
      <c r="AH749" s="12" t="s">
        <v>432</v>
      </c>
      <c r="AI749" s="12" t="str">
        <f t="shared" si="143"/>
        <v>1838</v>
      </c>
      <c r="AJ749" s="2" t="s">
        <v>433</v>
      </c>
      <c r="AK749" s="2" t="s">
        <v>140</v>
      </c>
      <c r="AL749" s="2" t="s">
        <v>140</v>
      </c>
      <c r="AM749" s="2" t="s">
        <v>5508</v>
      </c>
      <c r="AN749" s="2" t="s">
        <v>5496</v>
      </c>
      <c r="AO749" s="2" t="s">
        <v>5509</v>
      </c>
    </row>
    <row r="750" spans="1:56">
      <c r="A750" s="12" t="s">
        <v>5523</v>
      </c>
      <c r="B750" s="12" t="str">
        <f t="shared" si="135"/>
        <v>HOLTZHAUSEN</v>
      </c>
      <c r="C750" s="12" t="str">
        <f t="shared" si="136"/>
        <v>HOLTZHAUSEN</v>
      </c>
      <c r="D750" s="2" t="s">
        <v>5524</v>
      </c>
      <c r="E750" s="12" t="str">
        <f t="shared" si="146"/>
        <v>Hillegert</v>
      </c>
      <c r="F750" s="2" t="s">
        <v>5525</v>
      </c>
      <c r="G750" s="12" t="str">
        <f t="shared" si="137"/>
        <v>a1b3c1d10</v>
      </c>
      <c r="H750" s="12" t="str">
        <f t="shared" si="138"/>
        <v>HOLTZHAUSENa1b3c1d10</v>
      </c>
      <c r="K750" s="12" t="str">
        <f t="shared" si="139"/>
        <v/>
      </c>
      <c r="M750" s="2" t="s">
        <v>5526</v>
      </c>
      <c r="N750" s="12" t="str">
        <f t="shared" si="144"/>
        <v/>
      </c>
      <c r="O750" s="12" t="str">
        <f t="shared" si="145"/>
        <v>1801</v>
      </c>
      <c r="Q750" s="12" t="str">
        <f t="shared" si="140"/>
        <v>1801</v>
      </c>
      <c r="S750" s="12" t="str">
        <f t="shared" si="141"/>
        <v/>
      </c>
      <c r="T750" s="2" t="s">
        <v>53</v>
      </c>
      <c r="U750" s="2" t="s">
        <v>5527</v>
      </c>
      <c r="V750" s="12" t="str">
        <f t="shared" si="142"/>
        <v>1822</v>
      </c>
      <c r="W750" s="2" t="s">
        <v>4715</v>
      </c>
      <c r="X750" s="2" t="s">
        <v>726</v>
      </c>
      <c r="Y750" s="2" t="s">
        <v>5528</v>
      </c>
      <c r="AC750" s="2" t="s">
        <v>3806</v>
      </c>
      <c r="AF750" s="2" t="s">
        <v>3677</v>
      </c>
      <c r="AG750" s="2" t="s">
        <v>53</v>
      </c>
      <c r="AH750" s="2" t="s">
        <v>2479</v>
      </c>
      <c r="AI750" s="12" t="str">
        <f t="shared" si="143"/>
        <v>1836</v>
      </c>
      <c r="AJ750" s="2" t="s">
        <v>1696</v>
      </c>
      <c r="AK750" s="2" t="s">
        <v>90</v>
      </c>
    </row>
    <row r="751" spans="1:56">
      <c r="A751" s="12" t="s">
        <v>5523</v>
      </c>
      <c r="B751" s="12" t="str">
        <f t="shared" si="135"/>
        <v>HOLTZHAUSEN</v>
      </c>
      <c r="C751" s="12" t="str">
        <f t="shared" si="136"/>
        <v>HOLTZHAUSEN</v>
      </c>
      <c r="D751" s="2" t="s">
        <v>237</v>
      </c>
      <c r="E751" s="12" t="str">
        <f t="shared" si="146"/>
        <v>Johannes Andries</v>
      </c>
      <c r="F751" s="2" t="s">
        <v>3344</v>
      </c>
      <c r="G751" s="12" t="str">
        <f t="shared" si="137"/>
        <v>a1b3c1d10e2</v>
      </c>
      <c r="H751" s="12" t="str">
        <f t="shared" si="138"/>
        <v>HOLTZHAUSENa1b3c1d10e2</v>
      </c>
      <c r="J751" s="2" t="s">
        <v>420</v>
      </c>
      <c r="K751" s="12" t="str">
        <f t="shared" si="139"/>
        <v>1825</v>
      </c>
      <c r="L751" s="2" t="s">
        <v>53</v>
      </c>
      <c r="M751" s="2" t="s">
        <v>2468</v>
      </c>
      <c r="N751" s="12" t="str">
        <f t="shared" si="144"/>
        <v>1825</v>
      </c>
      <c r="O751" s="12" t="str">
        <f t="shared" si="145"/>
        <v>1825</v>
      </c>
      <c r="Q751" s="12" t="str">
        <f t="shared" si="140"/>
        <v>1825</v>
      </c>
      <c r="S751" s="12" t="str">
        <f t="shared" si="141"/>
        <v/>
      </c>
      <c r="V751" s="12" t="str">
        <f t="shared" si="142"/>
        <v/>
      </c>
      <c r="W751" s="2" t="s">
        <v>5365</v>
      </c>
      <c r="X751" s="2" t="s">
        <v>4389</v>
      </c>
      <c r="AF751" s="2" t="s">
        <v>5529</v>
      </c>
      <c r="AG751" s="2" t="s">
        <v>53</v>
      </c>
      <c r="AH751" s="2" t="s">
        <v>2479</v>
      </c>
      <c r="AI751" s="12" t="str">
        <f t="shared" si="143"/>
        <v>1836</v>
      </c>
      <c r="AJ751" s="2" t="s">
        <v>1696</v>
      </c>
      <c r="AK751" s="2" t="s">
        <v>90</v>
      </c>
    </row>
    <row r="752" spans="1:56">
      <c r="A752" s="12" t="s">
        <v>5523</v>
      </c>
      <c r="B752" s="12" t="str">
        <f t="shared" si="135"/>
        <v>HOLTZHAUSEN</v>
      </c>
      <c r="C752" s="12" t="str">
        <f t="shared" si="136"/>
        <v>HOLTZHAUSEN</v>
      </c>
      <c r="D752" s="2" t="s">
        <v>5530</v>
      </c>
      <c r="E752" s="12" t="str">
        <f t="shared" si="146"/>
        <v xml:space="preserve">Louis Lorens </v>
      </c>
      <c r="F752" s="2" t="s">
        <v>5531</v>
      </c>
      <c r="G752" s="12" t="str">
        <f t="shared" si="137"/>
        <v>a1b3c3d1e1</v>
      </c>
      <c r="H752" s="12" t="str">
        <f t="shared" si="138"/>
        <v>HOLTZHAUSENa1b3c3d1e1</v>
      </c>
      <c r="J752" s="2" t="s">
        <v>5532</v>
      </c>
      <c r="K752" s="12" t="str">
        <f t="shared" si="139"/>
        <v>1813</v>
      </c>
      <c r="L752" s="2" t="s">
        <v>74</v>
      </c>
      <c r="M752" s="2" t="s">
        <v>4255</v>
      </c>
      <c r="N752" s="12" t="str">
        <f t="shared" si="144"/>
        <v>1813</v>
      </c>
      <c r="O752" s="12" t="str">
        <f t="shared" si="145"/>
        <v>1813</v>
      </c>
      <c r="Q752" s="12" t="str">
        <f t="shared" si="140"/>
        <v>1813</v>
      </c>
      <c r="S752" s="12" t="str">
        <f t="shared" si="141"/>
        <v/>
      </c>
      <c r="T752" s="2" t="s">
        <v>140</v>
      </c>
      <c r="U752" s="2" t="s">
        <v>5533</v>
      </c>
      <c r="V752" s="12" t="str">
        <f t="shared" si="142"/>
        <v>1839</v>
      </c>
      <c r="W752" s="2" t="s">
        <v>1020</v>
      </c>
      <c r="X752" s="2" t="s">
        <v>700</v>
      </c>
      <c r="AF752" s="2" t="s">
        <v>3703</v>
      </c>
      <c r="AG752" s="2" t="s">
        <v>366</v>
      </c>
      <c r="AH752" s="2" t="s">
        <v>4276</v>
      </c>
      <c r="AI752" s="12" t="str">
        <f t="shared" si="143"/>
        <v>1838</v>
      </c>
      <c r="AJ752" s="2" t="s">
        <v>5534</v>
      </c>
      <c r="AK752" s="2" t="s">
        <v>140</v>
      </c>
    </row>
    <row r="753" spans="1:62">
      <c r="A753" s="12" t="s">
        <v>5523</v>
      </c>
      <c r="B753" s="12" t="str">
        <f t="shared" si="135"/>
        <v>HOLTZHAUSEN</v>
      </c>
      <c r="C753" s="12" t="str">
        <f t="shared" si="136"/>
        <v>HOLTZHAUSEN</v>
      </c>
      <c r="D753" s="2" t="s">
        <v>1882</v>
      </c>
      <c r="E753" s="12" t="str">
        <f t="shared" si="146"/>
        <v>Rudolph Johannes</v>
      </c>
      <c r="F753" s="2" t="s">
        <v>5535</v>
      </c>
      <c r="G753" s="12" t="str">
        <f t="shared" si="137"/>
        <v>a1b3c3d1e3</v>
      </c>
      <c r="H753" s="12" t="str">
        <f t="shared" si="138"/>
        <v>HOLTZHAUSENa1b3c3d1e3</v>
      </c>
      <c r="J753" s="2" t="s">
        <v>5536</v>
      </c>
      <c r="K753" s="12" t="str">
        <f t="shared" si="139"/>
        <v>1816</v>
      </c>
      <c r="L753" s="2" t="s">
        <v>74</v>
      </c>
      <c r="M753" s="2" t="s">
        <v>5537</v>
      </c>
      <c r="N753" s="12" t="str">
        <f t="shared" si="144"/>
        <v>1816</v>
      </c>
      <c r="O753" s="12" t="str">
        <f t="shared" si="145"/>
        <v>1817</v>
      </c>
      <c r="P753" s="2" t="s">
        <v>5538</v>
      </c>
      <c r="Q753" s="12" t="str">
        <f t="shared" si="140"/>
        <v>1816</v>
      </c>
      <c r="R753" s="2" t="s">
        <v>5539</v>
      </c>
      <c r="S753" s="12" t="str">
        <f t="shared" si="141"/>
        <v>1896</v>
      </c>
      <c r="T753" s="2" t="s">
        <v>140</v>
      </c>
      <c r="U753" s="2">
        <v>1842</v>
      </c>
      <c r="V753" s="12" t="str">
        <f t="shared" si="142"/>
        <v>1842</v>
      </c>
      <c r="W753" s="2" t="s">
        <v>1033</v>
      </c>
      <c r="X753" s="2" t="s">
        <v>1320</v>
      </c>
      <c r="Z753" s="2" t="s">
        <v>74</v>
      </c>
      <c r="AA753" s="2" t="s">
        <v>5540</v>
      </c>
      <c r="AB753" s="2" t="s">
        <v>74</v>
      </c>
      <c r="AC753" s="2" t="s">
        <v>5541</v>
      </c>
      <c r="AE753" s="2" t="s">
        <v>5542</v>
      </c>
      <c r="AF753" s="2" t="s">
        <v>3703</v>
      </c>
      <c r="AG753" s="2" t="s">
        <v>366</v>
      </c>
      <c r="AH753" s="2" t="s">
        <v>5543</v>
      </c>
      <c r="AI753" s="12" t="str">
        <f t="shared" si="143"/>
        <v>1840</v>
      </c>
      <c r="AK753" s="2" t="s">
        <v>67</v>
      </c>
      <c r="AL753" s="2" t="s">
        <v>5544</v>
      </c>
      <c r="AM753" s="2" t="s">
        <v>5545</v>
      </c>
      <c r="AN753" s="2" t="s">
        <v>5546</v>
      </c>
      <c r="AO753" s="2" t="s">
        <v>3429</v>
      </c>
      <c r="AR753" s="2" t="s">
        <v>5547</v>
      </c>
      <c r="AS753" s="2" t="s">
        <v>190</v>
      </c>
      <c r="AT753" s="2" t="s">
        <v>5548</v>
      </c>
      <c r="AU753" s="2" t="s">
        <v>5549</v>
      </c>
      <c r="AV753" s="2" t="s">
        <v>5550</v>
      </c>
      <c r="AW753" s="2" t="s">
        <v>67</v>
      </c>
      <c r="AX753" s="2" t="s">
        <v>5551</v>
      </c>
      <c r="AY753" s="2" t="s">
        <v>5552</v>
      </c>
      <c r="AZ753" s="2" t="s">
        <v>729</v>
      </c>
      <c r="BE753" s="2" t="s">
        <v>5553</v>
      </c>
      <c r="BF753" s="2" t="s">
        <v>82</v>
      </c>
      <c r="BG753" s="2" t="s">
        <v>67</v>
      </c>
      <c r="BH753" s="2" t="s">
        <v>5554</v>
      </c>
      <c r="BI753" s="2" t="s">
        <v>5555</v>
      </c>
      <c r="BJ753" s="2" t="s">
        <v>3657</v>
      </c>
    </row>
    <row r="754" spans="1:62">
      <c r="A754" s="2" t="s">
        <v>2582</v>
      </c>
      <c r="B754" s="12" t="str">
        <f t="shared" si="135"/>
        <v>HORN</v>
      </c>
      <c r="C754" s="12" t="str">
        <f t="shared" si="136"/>
        <v>HORN</v>
      </c>
      <c r="D754" s="2" t="s">
        <v>1111</v>
      </c>
      <c r="E754" s="12" t="str">
        <f t="shared" si="146"/>
        <v>Christiaan</v>
      </c>
      <c r="F754" s="2" t="s">
        <v>3278</v>
      </c>
      <c r="G754" s="12" t="str">
        <f t="shared" si="137"/>
        <v>a1b1c5</v>
      </c>
      <c r="H754" s="12" t="str">
        <f t="shared" si="138"/>
        <v>HORNa1b1c5</v>
      </c>
      <c r="K754" s="12" t="str">
        <f t="shared" si="139"/>
        <v/>
      </c>
      <c r="M754" s="2" t="s">
        <v>5562</v>
      </c>
      <c r="N754" s="12" t="str">
        <f t="shared" si="144"/>
        <v/>
      </c>
      <c r="O754" s="12" t="str">
        <f t="shared" si="145"/>
        <v>1777</v>
      </c>
      <c r="Q754" s="12" t="str">
        <f t="shared" si="140"/>
        <v>1777</v>
      </c>
      <c r="R754" s="12"/>
      <c r="S754" s="12" t="str">
        <f t="shared" si="141"/>
        <v/>
      </c>
      <c r="U754" s="2" t="s">
        <v>5563</v>
      </c>
      <c r="V754" s="12" t="str">
        <f t="shared" si="142"/>
        <v>1799</v>
      </c>
      <c r="W754" s="2" t="s">
        <v>5564</v>
      </c>
      <c r="X754" s="2" t="s">
        <v>1031</v>
      </c>
      <c r="AB754" s="2" t="s">
        <v>1071</v>
      </c>
      <c r="AC754" s="2" t="s">
        <v>5565</v>
      </c>
      <c r="AF754" s="2" t="s">
        <v>5566</v>
      </c>
      <c r="AG754" s="2" t="s">
        <v>5567</v>
      </c>
      <c r="AH754" s="2">
        <v>1838</v>
      </c>
      <c r="AI754" s="12" t="str">
        <f t="shared" si="143"/>
        <v>1838</v>
      </c>
    </row>
    <row r="755" spans="1:62">
      <c r="A755" s="2" t="s">
        <v>2582</v>
      </c>
      <c r="B755" s="12" t="str">
        <f t="shared" si="135"/>
        <v>HORN</v>
      </c>
      <c r="C755" s="12" t="str">
        <f t="shared" si="136"/>
        <v>HORN</v>
      </c>
      <c r="D755" s="2" t="s">
        <v>5556</v>
      </c>
      <c r="E755" s="12" t="str">
        <f t="shared" si="146"/>
        <v>Christiaan Wynand</v>
      </c>
      <c r="F755" s="2" t="s">
        <v>5559</v>
      </c>
      <c r="G755" s="12" t="str">
        <f t="shared" si="137"/>
        <v>a1b1c5d3</v>
      </c>
      <c r="H755" s="12" t="str">
        <f t="shared" si="138"/>
        <v>HORNa1b1c5d3</v>
      </c>
      <c r="J755" s="2" t="s">
        <v>5568</v>
      </c>
      <c r="K755" s="12" t="str">
        <f t="shared" si="139"/>
        <v>1804</v>
      </c>
      <c r="L755" s="2" t="s">
        <v>542</v>
      </c>
      <c r="M755" s="2" t="s">
        <v>3103</v>
      </c>
      <c r="N755" s="12" t="str">
        <f t="shared" si="144"/>
        <v>1804</v>
      </c>
      <c r="O755" s="12" t="str">
        <f t="shared" si="145"/>
        <v>1804</v>
      </c>
      <c r="Q755" s="12" t="str">
        <f t="shared" si="140"/>
        <v>1804</v>
      </c>
      <c r="S755" s="12" t="str">
        <f t="shared" si="141"/>
        <v/>
      </c>
      <c r="T755" s="2" t="s">
        <v>366</v>
      </c>
      <c r="U755" s="2" t="s">
        <v>3437</v>
      </c>
      <c r="V755" s="12" t="str">
        <f t="shared" si="142"/>
        <v>1828</v>
      </c>
      <c r="W755" s="2" t="s">
        <v>1020</v>
      </c>
      <c r="X755" s="2" t="s">
        <v>3663</v>
      </c>
      <c r="AG755" s="2" t="s">
        <v>366</v>
      </c>
      <c r="AH755" s="2" t="s">
        <v>5569</v>
      </c>
      <c r="AI755" s="12" t="str">
        <f t="shared" si="143"/>
        <v xml:space="preserve">841 </v>
      </c>
      <c r="AK755" s="2" t="s">
        <v>190</v>
      </c>
      <c r="AN755" s="2" t="s">
        <v>5570</v>
      </c>
      <c r="AO755" s="2" t="s">
        <v>792</v>
      </c>
    </row>
    <row r="756" spans="1:62">
      <c r="A756" s="2" t="s">
        <v>2582</v>
      </c>
      <c r="B756" s="12" t="str">
        <f t="shared" si="135"/>
        <v>HORN</v>
      </c>
      <c r="C756" s="12" t="str">
        <f t="shared" si="136"/>
        <v>HORN</v>
      </c>
      <c r="D756" s="2" t="s">
        <v>5557</v>
      </c>
      <c r="E756" s="12" t="str">
        <f t="shared" si="146"/>
        <v xml:space="preserve">Johannes Willem </v>
      </c>
      <c r="F756" s="2" t="s">
        <v>1908</v>
      </c>
      <c r="G756" s="12" t="str">
        <f t="shared" si="137"/>
        <v>a1b3c5d1</v>
      </c>
      <c r="H756" s="12" t="str">
        <f t="shared" si="138"/>
        <v>HORNa1b3c5d1</v>
      </c>
      <c r="J756" s="2" t="s">
        <v>5212</v>
      </c>
      <c r="K756" s="12" t="str">
        <f t="shared" si="139"/>
        <v>1807</v>
      </c>
      <c r="L756" s="2" t="s">
        <v>48</v>
      </c>
      <c r="M756" s="2" t="s">
        <v>42</v>
      </c>
      <c r="N756" s="12" t="str">
        <f t="shared" si="144"/>
        <v>1807</v>
      </c>
      <c r="O756" s="12" t="str">
        <f t="shared" si="145"/>
        <v>1808</v>
      </c>
      <c r="Q756" s="12" t="str">
        <f t="shared" si="140"/>
        <v>1807</v>
      </c>
      <c r="S756" s="12" t="str">
        <f t="shared" si="141"/>
        <v/>
      </c>
      <c r="T756" s="2" t="s">
        <v>32</v>
      </c>
      <c r="U756" s="12" t="s">
        <v>4767</v>
      </c>
      <c r="V756" s="12" t="str">
        <f t="shared" si="142"/>
        <v>1833</v>
      </c>
      <c r="W756" s="2" t="s">
        <v>5575</v>
      </c>
      <c r="X756" s="2" t="s">
        <v>5576</v>
      </c>
      <c r="AB756" s="2" t="s">
        <v>32</v>
      </c>
      <c r="AC756" s="2" t="s">
        <v>5577</v>
      </c>
      <c r="AF756" s="2" t="s">
        <v>5578</v>
      </c>
      <c r="AG756" s="2" t="s">
        <v>32</v>
      </c>
      <c r="AH756" s="2">
        <v>1839</v>
      </c>
      <c r="AI756" s="12" t="str">
        <f t="shared" si="143"/>
        <v>1839</v>
      </c>
      <c r="AK756" s="2" t="s">
        <v>5579</v>
      </c>
    </row>
    <row r="757" spans="1:62">
      <c r="A757" s="12" t="s">
        <v>2582</v>
      </c>
      <c r="B757" s="12" t="str">
        <f t="shared" si="135"/>
        <v>HORN</v>
      </c>
      <c r="C757" s="12" t="str">
        <f t="shared" si="136"/>
        <v>HORN</v>
      </c>
      <c r="D757" s="12" t="s">
        <v>5558</v>
      </c>
      <c r="E757" s="12" t="str">
        <f t="shared" si="146"/>
        <v>Michiel Frederik</v>
      </c>
      <c r="F757" s="12" t="s">
        <v>2473</v>
      </c>
      <c r="G757" s="12" t="str">
        <f t="shared" si="137"/>
        <v>a1b3c6</v>
      </c>
      <c r="H757" s="12" t="str">
        <f t="shared" si="138"/>
        <v>HORNa1b3c6</v>
      </c>
      <c r="I757" s="12"/>
      <c r="J757" s="12" t="s">
        <v>5580</v>
      </c>
      <c r="K757" s="12" t="str">
        <f t="shared" si="139"/>
        <v>1789</v>
      </c>
      <c r="L757" s="12"/>
      <c r="M757" s="12"/>
      <c r="N757" s="12" t="str">
        <f t="shared" si="144"/>
        <v>1789</v>
      </c>
      <c r="O757" s="12" t="str">
        <f t="shared" si="145"/>
        <v/>
      </c>
      <c r="P757" s="12"/>
      <c r="Q757" s="12" t="str">
        <f t="shared" si="140"/>
        <v>1789</v>
      </c>
      <c r="R757" s="12"/>
      <c r="S757" s="12" t="str">
        <f t="shared" si="141"/>
        <v/>
      </c>
      <c r="T757" s="12" t="s">
        <v>32</v>
      </c>
      <c r="U757" s="12" t="s">
        <v>5581</v>
      </c>
      <c r="V757" s="12" t="str">
        <f t="shared" si="142"/>
        <v>1809</v>
      </c>
      <c r="W757" s="12" t="s">
        <v>5582</v>
      </c>
      <c r="X757" s="12" t="s">
        <v>3995</v>
      </c>
      <c r="Y757" s="12"/>
      <c r="Z757" s="12"/>
      <c r="AA757" s="12"/>
      <c r="AB757" s="12"/>
      <c r="AC757" s="12"/>
      <c r="AD757" s="12"/>
      <c r="AE757" s="12"/>
      <c r="AF757" s="12"/>
      <c r="AG757" s="12" t="s">
        <v>74</v>
      </c>
      <c r="AH757" s="12"/>
      <c r="AI757" s="12" t="str">
        <f t="shared" si="143"/>
        <v/>
      </c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</row>
    <row r="758" spans="1:62">
      <c r="A758" s="12" t="s">
        <v>2582</v>
      </c>
      <c r="B758" s="12" t="str">
        <f t="shared" si="135"/>
        <v>HORN</v>
      </c>
      <c r="C758" s="12" t="str">
        <f t="shared" si="136"/>
        <v>HORN</v>
      </c>
      <c r="D758" s="12" t="s">
        <v>5558</v>
      </c>
      <c r="E758" s="12" t="str">
        <f t="shared" si="146"/>
        <v>Michiel Frederik</v>
      </c>
      <c r="F758" s="12" t="s">
        <v>5561</v>
      </c>
      <c r="G758" s="12" t="str">
        <f t="shared" si="137"/>
        <v>a1b3c6d4</v>
      </c>
      <c r="H758" s="12" t="str">
        <f t="shared" si="138"/>
        <v>HORNa1b3c6d4</v>
      </c>
      <c r="I758" s="12"/>
      <c r="J758" s="12" t="s">
        <v>2240</v>
      </c>
      <c r="K758" s="12" t="str">
        <f t="shared" si="139"/>
        <v>1817</v>
      </c>
      <c r="L758" s="12" t="s">
        <v>542</v>
      </c>
      <c r="M758" s="12" t="s">
        <v>5537</v>
      </c>
      <c r="N758" s="12" t="str">
        <f t="shared" si="144"/>
        <v>1817</v>
      </c>
      <c r="O758" s="12" t="str">
        <f t="shared" si="145"/>
        <v>1817</v>
      </c>
      <c r="P758" s="12"/>
      <c r="Q758" s="12" t="str">
        <f t="shared" si="140"/>
        <v>1817</v>
      </c>
      <c r="R758" s="12"/>
      <c r="S758" s="12" t="str">
        <f t="shared" si="141"/>
        <v/>
      </c>
      <c r="T758" s="12"/>
      <c r="U758" s="12"/>
      <c r="V758" s="12" t="str">
        <f t="shared" si="142"/>
        <v/>
      </c>
      <c r="W758" s="12" t="s">
        <v>5583</v>
      </c>
      <c r="X758" s="12" t="s">
        <v>729</v>
      </c>
      <c r="Y758" s="12"/>
      <c r="Z758" s="12"/>
      <c r="AA758" s="12"/>
      <c r="AB758" s="12"/>
      <c r="AC758" s="12"/>
      <c r="AD758" s="12"/>
      <c r="AE758" s="12"/>
      <c r="AF758" s="12"/>
      <c r="AG758" s="12" t="s">
        <v>5302</v>
      </c>
      <c r="AH758" s="12" t="s">
        <v>5569</v>
      </c>
      <c r="AI758" s="12" t="str">
        <f t="shared" si="143"/>
        <v xml:space="preserve">841 </v>
      </c>
      <c r="AJ758" s="12"/>
      <c r="AK758" s="12" t="s">
        <v>190</v>
      </c>
      <c r="AL758" s="12"/>
      <c r="AM758" s="12"/>
      <c r="AN758" s="12" t="s">
        <v>5584</v>
      </c>
      <c r="AO758" s="12" t="s">
        <v>669</v>
      </c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</row>
    <row r="759" spans="1:62">
      <c r="A759" s="12" t="s">
        <v>2582</v>
      </c>
      <c r="B759" s="12" t="str">
        <f t="shared" si="135"/>
        <v>HORN</v>
      </c>
      <c r="C759" s="12" t="str">
        <f t="shared" si="136"/>
        <v>HORN</v>
      </c>
      <c r="D759" s="12" t="s">
        <v>1764</v>
      </c>
      <c r="E759" s="12" t="str">
        <f t="shared" si="146"/>
        <v>Jan</v>
      </c>
      <c r="F759" s="12" t="s">
        <v>5560</v>
      </c>
      <c r="G759" s="12" t="str">
        <f t="shared" si="137"/>
        <v>a1b3c6d5</v>
      </c>
      <c r="H759" s="12" t="str">
        <f t="shared" si="138"/>
        <v>HORNa1b3c6d5</v>
      </c>
      <c r="I759" s="12"/>
      <c r="J759" s="12" t="s">
        <v>1271</v>
      </c>
      <c r="K759" s="12" t="str">
        <f t="shared" si="139"/>
        <v>1819</v>
      </c>
      <c r="L759" s="12" t="s">
        <v>74</v>
      </c>
      <c r="M759" s="12" t="s">
        <v>5571</v>
      </c>
      <c r="N759" s="12" t="str">
        <f t="shared" si="144"/>
        <v>1819</v>
      </c>
      <c r="O759" s="12" t="str">
        <f t="shared" si="145"/>
        <v>1821</v>
      </c>
      <c r="P759" s="12"/>
      <c r="Q759" s="12" t="str">
        <f t="shared" si="140"/>
        <v>1819</v>
      </c>
      <c r="R759" s="12"/>
      <c r="S759" s="12" t="str">
        <f t="shared" si="141"/>
        <v/>
      </c>
      <c r="T759" s="12" t="s">
        <v>60</v>
      </c>
      <c r="U759" s="12" t="s">
        <v>5572</v>
      </c>
      <c r="V759" s="12" t="str">
        <f t="shared" si="142"/>
        <v>1839</v>
      </c>
      <c r="W759" s="12" t="s">
        <v>5573</v>
      </c>
      <c r="X759" s="12" t="s">
        <v>5574</v>
      </c>
      <c r="Y759" s="12"/>
      <c r="Z759" s="12"/>
      <c r="AA759" s="12"/>
      <c r="AB759" s="12"/>
      <c r="AC759" s="12"/>
      <c r="AD759" s="12"/>
      <c r="AE759" s="12"/>
      <c r="AF759" s="12"/>
      <c r="AG759" s="12" t="s">
        <v>60</v>
      </c>
      <c r="AH759" s="12" t="s">
        <v>5569</v>
      </c>
      <c r="AI759" s="12" t="str">
        <f t="shared" si="143"/>
        <v xml:space="preserve">841 </v>
      </c>
      <c r="AJ759" s="12"/>
      <c r="AK759" s="12" t="s">
        <v>190</v>
      </c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</row>
    <row r="760" spans="1:62">
      <c r="A760" s="12" t="s">
        <v>5585</v>
      </c>
      <c r="B760" s="12" t="str">
        <f t="shared" si="135"/>
        <v>HUGO</v>
      </c>
      <c r="C760" s="12" t="str">
        <f t="shared" si="136"/>
        <v>HUGO</v>
      </c>
      <c r="D760" s="12" t="s">
        <v>5587</v>
      </c>
      <c r="E760" s="12" t="str">
        <f t="shared" si="146"/>
        <v>Jacobus Johannes Petrus Paulus</v>
      </c>
      <c r="F760" s="12" t="s">
        <v>5590</v>
      </c>
      <c r="G760" s="12" t="str">
        <f t="shared" si="137"/>
        <v>a1b3c1d2e1f1</v>
      </c>
      <c r="H760" s="12" t="str">
        <f t="shared" si="138"/>
        <v>HUGOa1b3c1d2e1f1</v>
      </c>
      <c r="I760" s="12"/>
      <c r="J760" s="12" t="s">
        <v>2838</v>
      </c>
      <c r="K760" s="12" t="str">
        <f t="shared" si="139"/>
        <v>1807</v>
      </c>
      <c r="L760" s="12" t="s">
        <v>74</v>
      </c>
      <c r="M760" s="12" t="s">
        <v>322</v>
      </c>
      <c r="N760" s="12" t="str">
        <f t="shared" si="144"/>
        <v>1807</v>
      </c>
      <c r="O760" s="12" t="str">
        <f t="shared" si="145"/>
        <v>1808</v>
      </c>
      <c r="P760" s="12" t="s">
        <v>71</v>
      </c>
      <c r="Q760" s="12" t="str">
        <f t="shared" si="140"/>
        <v>1807</v>
      </c>
      <c r="R760" s="12" t="s">
        <v>72</v>
      </c>
      <c r="S760" s="12" t="str">
        <f t="shared" si="141"/>
        <v>1838</v>
      </c>
      <c r="T760" s="12" t="s">
        <v>28</v>
      </c>
      <c r="U760" s="12" t="s">
        <v>3243</v>
      </c>
      <c r="V760" s="12" t="str">
        <f t="shared" si="142"/>
        <v>1829</v>
      </c>
      <c r="W760" s="12" t="s">
        <v>5594</v>
      </c>
      <c r="X760" s="12" t="s">
        <v>669</v>
      </c>
      <c r="Y760" s="12" t="s">
        <v>3787</v>
      </c>
      <c r="Z760" s="12"/>
      <c r="AA760" s="12"/>
      <c r="AB760" s="12"/>
      <c r="AC760" s="12" t="s">
        <v>3788</v>
      </c>
      <c r="AD760" s="12"/>
      <c r="AE760" s="12"/>
      <c r="AF760" s="12" t="s">
        <v>3699</v>
      </c>
      <c r="AG760" s="12" t="s">
        <v>68</v>
      </c>
      <c r="AH760" s="12" t="s">
        <v>1542</v>
      </c>
      <c r="AI760" s="12" t="str">
        <f t="shared" si="143"/>
        <v>1837</v>
      </c>
      <c r="AJ760" s="12" t="s">
        <v>5423</v>
      </c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</row>
    <row r="761" spans="1:62">
      <c r="A761" s="12" t="s">
        <v>5585</v>
      </c>
      <c r="B761" s="12" t="str">
        <f t="shared" si="135"/>
        <v>HUGO</v>
      </c>
      <c r="C761" s="12" t="str">
        <f t="shared" si="136"/>
        <v>HUGO</v>
      </c>
      <c r="D761" s="12" t="s">
        <v>5588</v>
      </c>
      <c r="E761" s="12" t="str">
        <f t="shared" si="146"/>
        <v>Petrus Paulus</v>
      </c>
      <c r="F761" s="12" t="s">
        <v>5591</v>
      </c>
      <c r="G761" s="12" t="str">
        <f t="shared" si="137"/>
        <v>a1b3c1d2e1f6</v>
      </c>
      <c r="H761" s="12" t="str">
        <f t="shared" si="138"/>
        <v>HUGOa1b3c1d2e1f6</v>
      </c>
      <c r="I761" s="12"/>
      <c r="J761" s="12" t="s">
        <v>5595</v>
      </c>
      <c r="K761" s="12" t="str">
        <f t="shared" si="139"/>
        <v>1816</v>
      </c>
      <c r="L761" s="12" t="s">
        <v>74</v>
      </c>
      <c r="M761" s="12" t="s">
        <v>5596</v>
      </c>
      <c r="N761" s="12" t="str">
        <f t="shared" si="144"/>
        <v>1816</v>
      </c>
      <c r="O761" s="12" t="str">
        <f t="shared" si="145"/>
        <v>1816</v>
      </c>
      <c r="P761" s="12"/>
      <c r="Q761" s="12" t="str">
        <f t="shared" si="140"/>
        <v>1816</v>
      </c>
      <c r="R761" s="12">
        <v>1905</v>
      </c>
      <c r="S761" s="12" t="str">
        <f t="shared" si="141"/>
        <v>1905</v>
      </c>
      <c r="T761" s="12"/>
      <c r="U761" s="12" t="s">
        <v>463</v>
      </c>
      <c r="V761" s="12" t="str">
        <f t="shared" si="142"/>
        <v>1835</v>
      </c>
      <c r="W761" s="12" t="s">
        <v>5597</v>
      </c>
      <c r="X761" s="12" t="s">
        <v>1638</v>
      </c>
      <c r="Y761" s="12"/>
      <c r="Z761" s="12"/>
      <c r="AA761" s="12"/>
      <c r="AB761" s="12"/>
      <c r="AC761" s="12" t="s">
        <v>5598</v>
      </c>
      <c r="AD761" s="12"/>
      <c r="AE761" s="12"/>
      <c r="AF761" s="12"/>
      <c r="AG761" s="12" t="s">
        <v>68</v>
      </c>
      <c r="AH761" s="12" t="s">
        <v>5445</v>
      </c>
      <c r="AI761" s="12" t="str">
        <f t="shared" si="143"/>
        <v>1839</v>
      </c>
      <c r="AJ761" s="12"/>
      <c r="AK761" s="12" t="s">
        <v>5593</v>
      </c>
      <c r="AL761" s="12"/>
      <c r="AM761" s="12"/>
      <c r="AN761" s="12" t="s">
        <v>5599</v>
      </c>
      <c r="AO761" s="12" t="s">
        <v>633</v>
      </c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</row>
    <row r="762" spans="1:62">
      <c r="A762" s="12" t="s">
        <v>5585</v>
      </c>
      <c r="B762" s="12" t="str">
        <f t="shared" ref="B762:B825" si="147">SUBSTITUTE(A762," ","")</f>
        <v>HUGO</v>
      </c>
      <c r="C762" s="12" t="str">
        <f t="shared" ref="C762:C825" si="148">TRIM(A762)</f>
        <v>HUGO</v>
      </c>
      <c r="D762" s="12" t="s">
        <v>5586</v>
      </c>
      <c r="E762" s="12" t="str">
        <f t="shared" si="146"/>
        <v>Francois Philippus</v>
      </c>
      <c r="F762" s="12" t="s">
        <v>5589</v>
      </c>
      <c r="G762" s="12" t="str">
        <f t="shared" ref="G762:G825" si="149">IF(LEFT(F762,1)="b","a1"&amp;F762,F762)</f>
        <v>a1b3c4d6e9</v>
      </c>
      <c r="H762" s="12" t="str">
        <f t="shared" ref="H762:H825" si="150">C762&amp;G762</f>
        <v>HUGOa1b3c4d6e9</v>
      </c>
      <c r="I762" s="12"/>
      <c r="J762" s="12"/>
      <c r="K762" s="12" t="str">
        <f t="shared" ref="K762:K825" si="151">RIGHT(J762,4)</f>
        <v/>
      </c>
      <c r="L762" s="12"/>
      <c r="M762" s="12">
        <v>1809</v>
      </c>
      <c r="N762" s="12" t="str">
        <f t="shared" si="144"/>
        <v/>
      </c>
      <c r="O762" s="12" t="str">
        <f t="shared" si="145"/>
        <v>1809</v>
      </c>
      <c r="P762" s="12"/>
      <c r="Q762" s="12" t="str">
        <f t="shared" ref="Q762:Q825" si="152">IF(N762="",O762,N762)</f>
        <v>1809</v>
      </c>
      <c r="R762" s="12">
        <v>1863</v>
      </c>
      <c r="S762" s="12" t="str">
        <f t="shared" ref="S762:S825" si="153">RIGHT(R762,4)</f>
        <v>1863</v>
      </c>
      <c r="T762" s="12"/>
      <c r="U762" s="12">
        <v>1812</v>
      </c>
      <c r="V762" s="12" t="str">
        <f t="shared" ref="V762:V825" si="154">RIGHT(U762,4)</f>
        <v>1812</v>
      </c>
      <c r="W762" s="12" t="s">
        <v>5592</v>
      </c>
      <c r="X762" s="12" t="s">
        <v>1997</v>
      </c>
      <c r="Y762" s="12"/>
      <c r="Z762" s="12"/>
      <c r="AA762" s="12"/>
      <c r="AB762" s="12"/>
      <c r="AC762" s="12"/>
      <c r="AD762" s="12"/>
      <c r="AE762" s="12">
        <v>1858</v>
      </c>
      <c r="AF762" s="12"/>
      <c r="AG762" s="12" t="s">
        <v>74</v>
      </c>
      <c r="AH762" s="12" t="s">
        <v>385</v>
      </c>
      <c r="AI762" s="12" t="str">
        <f t="shared" ref="AI762:AI825" si="155">RIGHT(AH762,4)</f>
        <v>1840</v>
      </c>
      <c r="AJ762" s="12"/>
      <c r="AK762" s="12" t="s">
        <v>5593</v>
      </c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</row>
    <row r="763" spans="1:62">
      <c r="A763" s="12" t="s">
        <v>4342</v>
      </c>
      <c r="B763" s="12" t="str">
        <f t="shared" si="147"/>
        <v>HUMAN</v>
      </c>
      <c r="C763" s="12" t="str">
        <f t="shared" si="148"/>
        <v>HUMAN</v>
      </c>
      <c r="D763" s="12" t="s">
        <v>5600</v>
      </c>
      <c r="E763" s="12" t="str">
        <f t="shared" si="146"/>
        <v>Petrus Gerhardus Sr.</v>
      </c>
      <c r="F763" s="12" t="s">
        <v>5601</v>
      </c>
      <c r="G763" s="12" t="str">
        <f t="shared" si="149"/>
        <v>a1b5c7d1</v>
      </c>
      <c r="H763" s="12" t="str">
        <f t="shared" si="150"/>
        <v>HUMANa1b5c7d1</v>
      </c>
      <c r="I763" s="12"/>
      <c r="J763" s="12"/>
      <c r="K763" s="12" t="str">
        <f t="shared" si="151"/>
        <v/>
      </c>
      <c r="L763" s="12"/>
      <c r="M763" s="12" t="s">
        <v>5602</v>
      </c>
      <c r="N763" s="12" t="str">
        <f t="shared" si="144"/>
        <v/>
      </c>
      <c r="O763" s="12" t="str">
        <f t="shared" si="145"/>
        <v>1797</v>
      </c>
      <c r="P763" s="12"/>
      <c r="Q763" s="12" t="str">
        <f t="shared" si="152"/>
        <v>1797</v>
      </c>
      <c r="R763" s="12"/>
      <c r="S763" s="12" t="str">
        <f t="shared" si="153"/>
        <v/>
      </c>
      <c r="T763" s="12" t="s">
        <v>32</v>
      </c>
      <c r="U763" s="12" t="s">
        <v>233</v>
      </c>
      <c r="V763" s="12" t="str">
        <f t="shared" si="154"/>
        <v>1820</v>
      </c>
      <c r="W763" s="12" t="s">
        <v>5603</v>
      </c>
      <c r="X763" s="12" t="s">
        <v>775</v>
      </c>
      <c r="Y763" s="12" t="s">
        <v>5604</v>
      </c>
      <c r="Z763" s="12"/>
      <c r="AA763" s="12" t="s">
        <v>5605</v>
      </c>
      <c r="AB763" s="12"/>
      <c r="AC763" s="12"/>
      <c r="AD763" s="12"/>
      <c r="AE763" s="12"/>
      <c r="AF763" s="12" t="s">
        <v>4785</v>
      </c>
      <c r="AG763" s="12" t="s">
        <v>53</v>
      </c>
      <c r="AH763" s="12" t="s">
        <v>29</v>
      </c>
      <c r="AI763" s="12" t="str">
        <f t="shared" si="155"/>
        <v>1837</v>
      </c>
      <c r="AJ763" s="12" t="s">
        <v>5606</v>
      </c>
      <c r="AK763" s="12" t="s">
        <v>90</v>
      </c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</row>
    <row r="764" spans="1:62">
      <c r="A764" s="12" t="s">
        <v>2136</v>
      </c>
      <c r="B764" s="12" t="str">
        <f t="shared" si="147"/>
        <v>JACOBS</v>
      </c>
      <c r="C764" s="12" t="str">
        <f t="shared" si="148"/>
        <v>JACOBS</v>
      </c>
      <c r="D764" s="12" t="s">
        <v>3283</v>
      </c>
      <c r="E764" s="12" t="str">
        <f t="shared" si="146"/>
        <v>Jan Hendrik</v>
      </c>
      <c r="F764" s="12" t="s">
        <v>2577</v>
      </c>
      <c r="G764" s="12" t="str">
        <f t="shared" si="149"/>
        <v>a2b6c7d1e1</v>
      </c>
      <c r="H764" s="12" t="str">
        <f t="shared" si="150"/>
        <v>JACOBSa2b6c7d1e1</v>
      </c>
      <c r="I764" s="12"/>
      <c r="J764" s="12" t="s">
        <v>3022</v>
      </c>
      <c r="K764" s="12" t="str">
        <f t="shared" si="151"/>
        <v>1825</v>
      </c>
      <c r="L764" s="12" t="s">
        <v>28</v>
      </c>
      <c r="M764" s="12" t="s">
        <v>5745</v>
      </c>
      <c r="N764" s="12" t="str">
        <f t="shared" si="144"/>
        <v>1825</v>
      </c>
      <c r="O764" s="12" t="str">
        <f t="shared" si="145"/>
        <v>1825</v>
      </c>
      <c r="P764" s="12" t="s">
        <v>5746</v>
      </c>
      <c r="Q764" s="12" t="str">
        <f t="shared" si="152"/>
        <v>1825</v>
      </c>
      <c r="R764" s="12"/>
      <c r="S764" s="12" t="str">
        <f t="shared" si="153"/>
        <v/>
      </c>
      <c r="T764" s="12"/>
      <c r="U764" s="12"/>
      <c r="V764" s="12" t="str">
        <f t="shared" si="154"/>
        <v/>
      </c>
      <c r="W764" s="12" t="s">
        <v>5747</v>
      </c>
      <c r="X764" s="12" t="s">
        <v>667</v>
      </c>
      <c r="Y764" s="12"/>
      <c r="Z764" s="12"/>
      <c r="AA764" s="12"/>
      <c r="AB764" s="12"/>
      <c r="AC764" s="12"/>
      <c r="AD764" s="12"/>
      <c r="AE764" s="12"/>
      <c r="AF764" s="12"/>
      <c r="AG764" s="12" t="s">
        <v>4892</v>
      </c>
      <c r="AH764" s="12"/>
      <c r="AI764" s="12" t="str">
        <f t="shared" si="155"/>
        <v/>
      </c>
      <c r="AJ764" s="12"/>
      <c r="AK764" s="12" t="s">
        <v>5748</v>
      </c>
      <c r="AL764" s="12"/>
      <c r="AM764" s="12"/>
      <c r="AN764" s="12" t="s">
        <v>5749</v>
      </c>
      <c r="AO764" s="12" t="s">
        <v>3321</v>
      </c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</row>
    <row r="765" spans="1:62">
      <c r="A765" s="2" t="s">
        <v>2136</v>
      </c>
      <c r="B765" s="12" t="str">
        <f t="shared" si="147"/>
        <v>JACOBS</v>
      </c>
      <c r="C765" s="12" t="str">
        <f t="shared" si="148"/>
        <v>JACOBS</v>
      </c>
      <c r="D765" s="2" t="s">
        <v>1464</v>
      </c>
      <c r="E765" s="12" t="str">
        <f t="shared" si="146"/>
        <v>Willem</v>
      </c>
      <c r="F765" s="2" t="s">
        <v>1634</v>
      </c>
      <c r="G765" s="12" t="str">
        <f t="shared" si="149"/>
        <v>a1b2c9</v>
      </c>
      <c r="H765" s="12" t="str">
        <f t="shared" si="150"/>
        <v>JACOBSa1b2c9</v>
      </c>
      <c r="K765" s="12" t="str">
        <f t="shared" si="151"/>
        <v/>
      </c>
      <c r="M765" s="2" t="s">
        <v>7100</v>
      </c>
      <c r="N765" s="12" t="str">
        <f t="shared" si="144"/>
        <v/>
      </c>
      <c r="O765" s="12" t="str">
        <f t="shared" si="145"/>
        <v>1787</v>
      </c>
      <c r="P765" s="2" t="s">
        <v>7101</v>
      </c>
      <c r="Q765" s="12" t="str">
        <f t="shared" si="152"/>
        <v>1787</v>
      </c>
      <c r="R765" s="2" t="s">
        <v>301</v>
      </c>
      <c r="S765" s="12" t="str">
        <f t="shared" si="153"/>
        <v>1838</v>
      </c>
      <c r="T765" s="2" t="s">
        <v>48</v>
      </c>
      <c r="U765" s="2" t="s">
        <v>7102</v>
      </c>
      <c r="V765" s="12" t="str">
        <f t="shared" si="154"/>
        <v>1818</v>
      </c>
      <c r="W765" s="2" t="s">
        <v>7103</v>
      </c>
      <c r="X765" s="2" t="s">
        <v>7104</v>
      </c>
      <c r="AH765" s="2" t="s">
        <v>5431</v>
      </c>
      <c r="AI765" s="12" t="str">
        <f t="shared" si="155"/>
        <v xml:space="preserve"> (?)</v>
      </c>
      <c r="AJ765" s="2" t="s">
        <v>7099</v>
      </c>
    </row>
    <row r="766" spans="1:62">
      <c r="A766" s="2" t="s">
        <v>2136</v>
      </c>
      <c r="B766" s="12" t="str">
        <f t="shared" si="147"/>
        <v>JACOBS</v>
      </c>
      <c r="C766" s="12" t="str">
        <f t="shared" si="148"/>
        <v>JACOBS</v>
      </c>
      <c r="D766" s="2" t="s">
        <v>5654</v>
      </c>
      <c r="E766" s="12" t="str">
        <f t="shared" si="146"/>
        <v>Simon Petrus Johan</v>
      </c>
      <c r="F766" s="2" t="s">
        <v>5685</v>
      </c>
      <c r="G766" s="12" t="str">
        <f t="shared" si="149"/>
        <v>a1b2c9d2</v>
      </c>
      <c r="H766" s="12" t="str">
        <f t="shared" si="150"/>
        <v>JACOBSa1b2c9d2</v>
      </c>
      <c r="J766" s="2" t="s">
        <v>7096</v>
      </c>
      <c r="K766" s="12" t="str">
        <f t="shared" si="151"/>
        <v>1822</v>
      </c>
      <c r="L766" s="2" t="s">
        <v>48</v>
      </c>
      <c r="M766" s="2" t="s">
        <v>7097</v>
      </c>
      <c r="N766" s="12" t="str">
        <f t="shared" si="144"/>
        <v>1822</v>
      </c>
      <c r="O766" s="12" t="str">
        <f t="shared" si="145"/>
        <v>1822</v>
      </c>
      <c r="P766" s="2" t="s">
        <v>7098</v>
      </c>
      <c r="Q766" s="12" t="str">
        <f t="shared" si="152"/>
        <v>1822</v>
      </c>
      <c r="R766" s="2" t="s">
        <v>301</v>
      </c>
      <c r="S766" s="12" t="str">
        <f t="shared" si="153"/>
        <v>1838</v>
      </c>
      <c r="V766" s="12" t="str">
        <f t="shared" si="154"/>
        <v/>
      </c>
      <c r="AH766" s="2" t="s">
        <v>5431</v>
      </c>
      <c r="AI766" s="12" t="str">
        <f t="shared" si="155"/>
        <v xml:space="preserve"> (?)</v>
      </c>
      <c r="AJ766" s="2" t="s">
        <v>7099</v>
      </c>
    </row>
    <row r="767" spans="1:62">
      <c r="A767" s="2" t="s">
        <v>2136</v>
      </c>
      <c r="B767" s="12" t="str">
        <f t="shared" si="147"/>
        <v>JACOBS</v>
      </c>
      <c r="C767" s="12" t="str">
        <f t="shared" si="148"/>
        <v>JACOBS</v>
      </c>
      <c r="D767" s="2" t="s">
        <v>5656</v>
      </c>
      <c r="E767" s="12" t="str">
        <f t="shared" si="146"/>
        <v>Willem Johan</v>
      </c>
      <c r="F767" s="2" t="s">
        <v>5687</v>
      </c>
      <c r="G767" s="12" t="str">
        <f t="shared" si="149"/>
        <v>a1b2c9d3</v>
      </c>
      <c r="H767" s="12" t="str">
        <f t="shared" si="150"/>
        <v>JACOBSa1b2c9d3</v>
      </c>
      <c r="K767" s="12" t="str">
        <f t="shared" si="151"/>
        <v/>
      </c>
      <c r="N767" s="12" t="str">
        <f t="shared" si="144"/>
        <v/>
      </c>
      <c r="O767" s="12" t="str">
        <f t="shared" si="145"/>
        <v/>
      </c>
      <c r="Q767" s="12" t="str">
        <f t="shared" si="152"/>
        <v/>
      </c>
      <c r="S767" s="12" t="str">
        <f t="shared" si="153"/>
        <v/>
      </c>
      <c r="V767" s="12" t="str">
        <f t="shared" si="154"/>
        <v/>
      </c>
      <c r="AI767" s="12" t="str">
        <f t="shared" si="155"/>
        <v/>
      </c>
    </row>
    <row r="768" spans="1:62">
      <c r="A768" s="2" t="s">
        <v>2136</v>
      </c>
      <c r="B768" s="12" t="str">
        <f t="shared" si="147"/>
        <v>JACOBS</v>
      </c>
      <c r="C768" s="12" t="str">
        <f t="shared" si="148"/>
        <v>JACOBS</v>
      </c>
      <c r="D768" s="2" t="s">
        <v>3339</v>
      </c>
      <c r="E768" s="12" t="str">
        <f t="shared" si="146"/>
        <v>Johannes Philippus</v>
      </c>
      <c r="F768" s="2" t="s">
        <v>5670</v>
      </c>
      <c r="G768" s="12" t="str">
        <f t="shared" si="149"/>
        <v>a1b5c1d10e6</v>
      </c>
      <c r="H768" s="12" t="str">
        <f t="shared" si="150"/>
        <v>JACOBSa1b5c1d10e6</v>
      </c>
      <c r="K768" s="12" t="str">
        <f t="shared" si="151"/>
        <v/>
      </c>
      <c r="M768" s="2" t="s">
        <v>5758</v>
      </c>
      <c r="N768" s="12" t="str">
        <f t="shared" si="144"/>
        <v/>
      </c>
      <c r="O768" s="12" t="str">
        <f t="shared" si="145"/>
        <v>1799</v>
      </c>
      <c r="Q768" s="12" t="str">
        <f t="shared" si="152"/>
        <v>1799</v>
      </c>
      <c r="S768" s="12" t="str">
        <f t="shared" si="153"/>
        <v/>
      </c>
      <c r="T768" s="2" t="s">
        <v>395</v>
      </c>
      <c r="U768" s="2" t="s">
        <v>5759</v>
      </c>
      <c r="V768" s="12" t="str">
        <f t="shared" si="154"/>
        <v>1822</v>
      </c>
      <c r="W768" s="2" t="s">
        <v>1090</v>
      </c>
      <c r="AG768" s="2" t="s">
        <v>74</v>
      </c>
      <c r="AH768" s="2" t="s">
        <v>5760</v>
      </c>
      <c r="AI768" s="12" t="str">
        <f t="shared" si="155"/>
        <v>1842</v>
      </c>
      <c r="AK768" s="2" t="s">
        <v>551</v>
      </c>
    </row>
    <row r="769" spans="1:46">
      <c r="A769" s="2" t="s">
        <v>2136</v>
      </c>
      <c r="B769" s="12" t="str">
        <f t="shared" si="147"/>
        <v>JACOBS</v>
      </c>
      <c r="C769" s="12" t="str">
        <f t="shared" si="148"/>
        <v>JACOBS</v>
      </c>
      <c r="D769" s="2" t="s">
        <v>5643</v>
      </c>
      <c r="E769" s="12" t="str">
        <f t="shared" si="146"/>
        <v>Petrus Casparus</v>
      </c>
      <c r="F769" s="2" t="s">
        <v>5672</v>
      </c>
      <c r="G769" s="12" t="str">
        <f t="shared" si="149"/>
        <v>a1b5c1d5e2f6</v>
      </c>
      <c r="H769" s="12" t="str">
        <f t="shared" si="150"/>
        <v>JACOBSa1b5c1d5e2f6</v>
      </c>
      <c r="J769" s="2" t="s">
        <v>5774</v>
      </c>
      <c r="K769" s="12" t="str">
        <f t="shared" si="151"/>
        <v>1806</v>
      </c>
      <c r="L769" s="2" t="s">
        <v>542</v>
      </c>
      <c r="M769" s="2" t="s">
        <v>5775</v>
      </c>
      <c r="N769" s="12" t="str">
        <f t="shared" si="144"/>
        <v>1806</v>
      </c>
      <c r="O769" s="12" t="str">
        <f t="shared" si="145"/>
        <v>1806</v>
      </c>
      <c r="Q769" s="12" t="str">
        <f t="shared" si="152"/>
        <v>1806</v>
      </c>
      <c r="S769" s="12" t="str">
        <f t="shared" si="153"/>
        <v/>
      </c>
      <c r="T769" s="2" t="s">
        <v>366</v>
      </c>
      <c r="U769" s="2" t="s">
        <v>4790</v>
      </c>
      <c r="V769" s="12" t="str">
        <f t="shared" si="154"/>
        <v>1829</v>
      </c>
      <c r="W769" s="2" t="s">
        <v>1307</v>
      </c>
      <c r="X769" s="2" t="s">
        <v>778</v>
      </c>
      <c r="AG769" s="2" t="s">
        <v>366</v>
      </c>
      <c r="AH769" s="2" t="s">
        <v>5776</v>
      </c>
      <c r="AI769" s="12" t="str">
        <f t="shared" si="155"/>
        <v>840S</v>
      </c>
      <c r="AK769" s="2" t="s">
        <v>5777</v>
      </c>
    </row>
    <row r="770" spans="1:46">
      <c r="A770" s="2" t="s">
        <v>2136</v>
      </c>
      <c r="B770" s="12" t="str">
        <f t="shared" si="147"/>
        <v>JACOBS</v>
      </c>
      <c r="C770" s="12" t="str">
        <f t="shared" si="148"/>
        <v>JACOBS</v>
      </c>
      <c r="D770" s="2" t="s">
        <v>5644</v>
      </c>
      <c r="E770" s="12" t="str">
        <f t="shared" si="146"/>
        <v>Petrus Johannes Francois</v>
      </c>
      <c r="F770" s="2" t="s">
        <v>5674</v>
      </c>
      <c r="G770" s="12" t="str">
        <f t="shared" si="149"/>
        <v>a1b5c1d5e4f6</v>
      </c>
      <c r="H770" s="12" t="str">
        <f t="shared" si="150"/>
        <v>JACOBSa1b5c1d5e4f6</v>
      </c>
      <c r="J770" s="2" t="s">
        <v>7046</v>
      </c>
      <c r="K770" s="12" t="str">
        <f t="shared" si="151"/>
        <v>1813</v>
      </c>
      <c r="L770" s="2" t="s">
        <v>74</v>
      </c>
      <c r="M770" s="2" t="s">
        <v>1799</v>
      </c>
      <c r="N770" s="12" t="str">
        <f t="shared" ref="N770:N833" si="156">RIGHT(J770,4)</f>
        <v>1813</v>
      </c>
      <c r="O770" s="12" t="str">
        <f t="shared" ref="O770:O833" si="157">RIGHT(M770,4)</f>
        <v>1814</v>
      </c>
      <c r="Q770" s="12" t="str">
        <f t="shared" si="152"/>
        <v>1813</v>
      </c>
      <c r="S770" s="12" t="str">
        <f t="shared" si="153"/>
        <v/>
      </c>
      <c r="T770" s="2" t="s">
        <v>366</v>
      </c>
      <c r="U770" s="2" t="s">
        <v>7047</v>
      </c>
      <c r="V770" s="12" t="str">
        <f t="shared" si="154"/>
        <v>1837</v>
      </c>
      <c r="W770" s="2" t="s">
        <v>4261</v>
      </c>
      <c r="X770" s="2" t="s">
        <v>2145</v>
      </c>
      <c r="AG770" s="2" t="s">
        <v>366</v>
      </c>
      <c r="AH770" s="2" t="s">
        <v>5445</v>
      </c>
      <c r="AI770" s="12" t="str">
        <f t="shared" si="155"/>
        <v>1839</v>
      </c>
      <c r="AK770" s="2" t="s">
        <v>551</v>
      </c>
    </row>
    <row r="771" spans="1:46">
      <c r="A771" s="2" t="s">
        <v>2136</v>
      </c>
      <c r="B771" s="12" t="str">
        <f t="shared" si="147"/>
        <v>JACOBS</v>
      </c>
      <c r="C771" s="12" t="str">
        <f t="shared" si="148"/>
        <v>JACOBS</v>
      </c>
      <c r="D771" s="2" t="s">
        <v>5650</v>
      </c>
      <c r="E771" s="12" t="str">
        <f t="shared" ref="E771:E834" si="158">PROPER(D771)</f>
        <v>Rasmus Stephanus Lourens Petrus</v>
      </c>
      <c r="F771" s="2" t="s">
        <v>5681</v>
      </c>
      <c r="G771" s="12" t="str">
        <f t="shared" si="149"/>
        <v>a1b5c1d5e5f4</v>
      </c>
      <c r="H771" s="12" t="str">
        <f t="shared" si="150"/>
        <v>JACOBSa1b5c1d5e5f4</v>
      </c>
      <c r="J771" s="2" t="s">
        <v>7082</v>
      </c>
      <c r="K771" s="12" t="str">
        <f t="shared" si="151"/>
        <v>1820</v>
      </c>
      <c r="L771" s="2" t="s">
        <v>366</v>
      </c>
      <c r="M771" s="2" t="s">
        <v>5015</v>
      </c>
      <c r="N771" s="12" t="str">
        <f t="shared" si="156"/>
        <v>1820</v>
      </c>
      <c r="O771" s="12" t="str">
        <f t="shared" si="157"/>
        <v>1821</v>
      </c>
      <c r="Q771" s="12" t="str">
        <f t="shared" si="152"/>
        <v>1820</v>
      </c>
      <c r="S771" s="12" t="str">
        <f t="shared" si="153"/>
        <v/>
      </c>
      <c r="V771" s="12" t="str">
        <f t="shared" si="154"/>
        <v/>
      </c>
      <c r="W771" s="2" t="s">
        <v>7083</v>
      </c>
      <c r="X771" s="2" t="s">
        <v>2136</v>
      </c>
      <c r="AG771" s="2" t="s">
        <v>366</v>
      </c>
      <c r="AH771" s="2" t="s">
        <v>5021</v>
      </c>
      <c r="AI771" s="12" t="str">
        <f t="shared" si="155"/>
        <v>1842</v>
      </c>
      <c r="AK771" s="2" t="s">
        <v>140</v>
      </c>
    </row>
    <row r="772" spans="1:46">
      <c r="A772" s="2" t="s">
        <v>2136</v>
      </c>
      <c r="B772" s="12" t="str">
        <f t="shared" si="147"/>
        <v>JACOBS</v>
      </c>
      <c r="C772" s="12" t="str">
        <f t="shared" si="148"/>
        <v>JACOBS</v>
      </c>
      <c r="D772" s="2" t="s">
        <v>5607</v>
      </c>
      <c r="E772" s="12" t="str">
        <f t="shared" si="158"/>
        <v>Carel Philippus</v>
      </c>
      <c r="F772" s="2" t="s">
        <v>5608</v>
      </c>
      <c r="G772" s="12" t="str">
        <f t="shared" si="149"/>
        <v>a1b5c1d5e6</v>
      </c>
      <c r="H772" s="12" t="str">
        <f t="shared" si="150"/>
        <v>JACOBSa1b5c1d5e6</v>
      </c>
      <c r="K772" s="12" t="str">
        <f t="shared" si="151"/>
        <v/>
      </c>
      <c r="M772" s="2" t="s">
        <v>5609</v>
      </c>
      <c r="N772" s="12" t="str">
        <f t="shared" si="156"/>
        <v/>
      </c>
      <c r="O772" s="12" t="str">
        <f t="shared" si="157"/>
        <v>1787</v>
      </c>
      <c r="Q772" s="12" t="str">
        <f t="shared" si="152"/>
        <v>1787</v>
      </c>
      <c r="S772" s="12" t="str">
        <f t="shared" si="153"/>
        <v/>
      </c>
      <c r="T772" s="2" t="s">
        <v>542</v>
      </c>
      <c r="U772" s="2" t="s">
        <v>5610</v>
      </c>
      <c r="V772" s="12" t="str">
        <f t="shared" si="154"/>
        <v>1809</v>
      </c>
      <c r="W772" s="2" t="s">
        <v>5127</v>
      </c>
      <c r="X772" s="2" t="s">
        <v>667</v>
      </c>
      <c r="AF772" s="2" t="s">
        <v>5611</v>
      </c>
      <c r="AG772" s="2" t="s">
        <v>366</v>
      </c>
      <c r="AH772" s="2" t="s">
        <v>390</v>
      </c>
      <c r="AI772" s="12" t="str">
        <f t="shared" si="155"/>
        <v>1837</v>
      </c>
      <c r="AJ772" s="2" t="s">
        <v>413</v>
      </c>
      <c r="AN772" s="2" t="s">
        <v>5612</v>
      </c>
      <c r="AO772" s="2" t="s">
        <v>1771</v>
      </c>
    </row>
    <row r="773" spans="1:46">
      <c r="A773" s="2" t="s">
        <v>2136</v>
      </c>
      <c r="B773" s="12" t="str">
        <f t="shared" si="147"/>
        <v>JACOBS</v>
      </c>
      <c r="C773" s="12" t="str">
        <f t="shared" si="148"/>
        <v>JACOBS</v>
      </c>
      <c r="D773" s="2" t="s">
        <v>3239</v>
      </c>
      <c r="E773" s="12" t="str">
        <f t="shared" si="158"/>
        <v>Christoffel Johannes</v>
      </c>
      <c r="F773" s="2" t="s">
        <v>5613</v>
      </c>
      <c r="G773" s="12" t="str">
        <f t="shared" si="149"/>
        <v>a1b5c1d6e2</v>
      </c>
      <c r="H773" s="12" t="str">
        <f t="shared" si="150"/>
        <v>JACOBSa1b5c1d6e2</v>
      </c>
      <c r="K773" s="12" t="str">
        <f t="shared" si="151"/>
        <v/>
      </c>
      <c r="M773" s="2" t="s">
        <v>5614</v>
      </c>
      <c r="N773" s="12" t="str">
        <f t="shared" si="156"/>
        <v/>
      </c>
      <c r="O773" s="12" t="str">
        <f t="shared" si="157"/>
        <v>1787</v>
      </c>
      <c r="P773" s="2" t="s">
        <v>5615</v>
      </c>
      <c r="Q773" s="12" t="str">
        <f t="shared" si="152"/>
        <v>1787</v>
      </c>
      <c r="R773" s="2" t="s">
        <v>5616</v>
      </c>
      <c r="S773" s="12" t="str">
        <f t="shared" si="153"/>
        <v>1872</v>
      </c>
      <c r="T773" s="2" t="s">
        <v>74</v>
      </c>
      <c r="U773" s="2" t="s">
        <v>1677</v>
      </c>
      <c r="V773" s="12" t="str">
        <f t="shared" si="154"/>
        <v>1807</v>
      </c>
      <c r="W773" s="2" t="s">
        <v>5617</v>
      </c>
      <c r="X773" s="2" t="s">
        <v>5618</v>
      </c>
      <c r="Y773" s="2" t="s">
        <v>5619</v>
      </c>
      <c r="AC773" s="2" t="s">
        <v>5620</v>
      </c>
      <c r="AG773" s="2" t="s">
        <v>74</v>
      </c>
      <c r="AH773" s="2" t="s">
        <v>5621</v>
      </c>
      <c r="AI773" s="12" t="str">
        <f t="shared" si="155"/>
        <v>1837</v>
      </c>
      <c r="AK773" s="2" t="s">
        <v>5622</v>
      </c>
    </row>
    <row r="774" spans="1:46">
      <c r="A774" s="2" t="s">
        <v>2136</v>
      </c>
      <c r="B774" s="12" t="str">
        <f t="shared" si="147"/>
        <v>JACOBS</v>
      </c>
      <c r="C774" s="12" t="str">
        <f t="shared" si="148"/>
        <v>JACOBS</v>
      </c>
      <c r="D774" s="2" t="s">
        <v>175</v>
      </c>
      <c r="E774" s="12" t="str">
        <f t="shared" si="158"/>
        <v>Petrus Jacobus</v>
      </c>
      <c r="F774" s="2" t="s">
        <v>5673</v>
      </c>
      <c r="G774" s="12" t="str">
        <f t="shared" si="149"/>
        <v>a1b5c1d6e3</v>
      </c>
      <c r="H774" s="12" t="str">
        <f t="shared" si="150"/>
        <v>JACOBSa1b5c1d6e3</v>
      </c>
      <c r="K774" s="12" t="str">
        <f t="shared" si="151"/>
        <v/>
      </c>
      <c r="M774" s="2" t="s">
        <v>5778</v>
      </c>
      <c r="N774" s="12" t="str">
        <f t="shared" si="156"/>
        <v/>
      </c>
      <c r="O774" s="12" t="str">
        <f t="shared" si="157"/>
        <v>1789</v>
      </c>
      <c r="Q774" s="12" t="str">
        <f t="shared" si="152"/>
        <v>1789</v>
      </c>
      <c r="S774" s="12" t="str">
        <f t="shared" si="153"/>
        <v/>
      </c>
      <c r="T774" s="2" t="s">
        <v>74</v>
      </c>
      <c r="U774" s="2" t="s">
        <v>5779</v>
      </c>
      <c r="V774" s="12" t="str">
        <f t="shared" si="154"/>
        <v>1811</v>
      </c>
      <c r="W774" s="2" t="s">
        <v>5780</v>
      </c>
      <c r="X774" s="2" t="s">
        <v>662</v>
      </c>
      <c r="AG774" s="2" t="s">
        <v>366</v>
      </c>
      <c r="AH774" s="2">
        <v>1838</v>
      </c>
      <c r="AI774" s="12" t="str">
        <f t="shared" si="155"/>
        <v>1838</v>
      </c>
      <c r="AJ774" s="2" t="s">
        <v>433</v>
      </c>
    </row>
    <row r="775" spans="1:46">
      <c r="A775" s="2" t="s">
        <v>2136</v>
      </c>
      <c r="B775" s="12" t="str">
        <f t="shared" si="147"/>
        <v>JACOBS</v>
      </c>
      <c r="C775" s="12" t="str">
        <f t="shared" si="148"/>
        <v>JACOBS</v>
      </c>
      <c r="D775" s="2" t="s">
        <v>5634</v>
      </c>
      <c r="E775" s="12" t="str">
        <f t="shared" si="158"/>
        <v>David Stephanus</v>
      </c>
      <c r="F775" s="2" t="s">
        <v>5661</v>
      </c>
      <c r="G775" s="12" t="str">
        <f t="shared" si="149"/>
        <v>a1b5c1d6e5</v>
      </c>
      <c r="H775" s="12" t="str">
        <f t="shared" si="150"/>
        <v>JACOBSa1b5c1d6e5</v>
      </c>
      <c r="K775" s="12" t="str">
        <f t="shared" si="151"/>
        <v/>
      </c>
      <c r="L775" s="2" t="s">
        <v>3703</v>
      </c>
      <c r="M775" s="2" t="s">
        <v>959</v>
      </c>
      <c r="N775" s="12" t="str">
        <f t="shared" si="156"/>
        <v/>
      </c>
      <c r="O775" s="12" t="str">
        <f t="shared" si="157"/>
        <v>1795</v>
      </c>
      <c r="P775" s="2" t="s">
        <v>5701</v>
      </c>
      <c r="Q775" s="12" t="str">
        <f t="shared" si="152"/>
        <v>1795</v>
      </c>
      <c r="R775" s="2" t="s">
        <v>5702</v>
      </c>
      <c r="S775" s="12" t="str">
        <f t="shared" si="153"/>
        <v>1863</v>
      </c>
      <c r="T775" s="2" t="s">
        <v>5703</v>
      </c>
      <c r="U775" s="2" t="s">
        <v>5704</v>
      </c>
      <c r="V775" s="12" t="str">
        <f t="shared" si="154"/>
        <v>1817</v>
      </c>
      <c r="W775" s="2" t="s">
        <v>5612</v>
      </c>
      <c r="X775" s="2" t="s">
        <v>760</v>
      </c>
      <c r="AG775" s="2" t="s">
        <v>74</v>
      </c>
      <c r="AH775" s="2" t="s">
        <v>5705</v>
      </c>
      <c r="AI775" s="12" t="str">
        <f t="shared" si="155"/>
        <v xml:space="preserve"> (?)</v>
      </c>
      <c r="AK775" s="2" t="s">
        <v>190</v>
      </c>
      <c r="AL775" s="2" t="s">
        <v>60</v>
      </c>
      <c r="AM775" s="2" t="s">
        <v>182</v>
      </c>
      <c r="AN775" s="2" t="s">
        <v>2221</v>
      </c>
      <c r="AO775" s="2" t="s">
        <v>2880</v>
      </c>
    </row>
    <row r="776" spans="1:46">
      <c r="A776" s="2" t="s">
        <v>2136</v>
      </c>
      <c r="B776" s="12" t="str">
        <f t="shared" si="147"/>
        <v>JACOBS</v>
      </c>
      <c r="C776" s="12" t="str">
        <f t="shared" si="148"/>
        <v>JACOBS</v>
      </c>
      <c r="D776" s="2" t="s">
        <v>5655</v>
      </c>
      <c r="E776" s="12" t="str">
        <f t="shared" si="158"/>
        <v>Willem Daniel</v>
      </c>
      <c r="F776" s="2" t="s">
        <v>5686</v>
      </c>
      <c r="G776" s="12" t="str">
        <f t="shared" si="149"/>
        <v>a1b5c1d6e9</v>
      </c>
      <c r="H776" s="12" t="str">
        <f t="shared" si="150"/>
        <v>JACOBSa1b5c1d6e9</v>
      </c>
      <c r="J776" s="2" t="s">
        <v>7105</v>
      </c>
      <c r="K776" s="12" t="str">
        <f t="shared" si="151"/>
        <v>1804</v>
      </c>
      <c r="L776" s="2" t="s">
        <v>542</v>
      </c>
      <c r="M776" s="2" t="s">
        <v>7106</v>
      </c>
      <c r="N776" s="12" t="str">
        <f t="shared" si="156"/>
        <v>1804</v>
      </c>
      <c r="O776" s="12" t="str">
        <f t="shared" si="157"/>
        <v>1805</v>
      </c>
      <c r="Q776" s="12" t="str">
        <f t="shared" si="152"/>
        <v>1804</v>
      </c>
      <c r="S776" s="12" t="str">
        <f t="shared" si="153"/>
        <v/>
      </c>
      <c r="T776" s="2" t="s">
        <v>74</v>
      </c>
      <c r="U776" s="2" t="s">
        <v>2124</v>
      </c>
      <c r="V776" s="12" t="str">
        <f t="shared" si="154"/>
        <v>1825</v>
      </c>
      <c r="W776" s="2" t="s">
        <v>7107</v>
      </c>
      <c r="X776" s="2" t="s">
        <v>3847</v>
      </c>
      <c r="AA776" s="2" t="s">
        <v>7108</v>
      </c>
      <c r="AG776" s="2" t="s">
        <v>60</v>
      </c>
      <c r="AH776" s="2" t="s">
        <v>7109</v>
      </c>
      <c r="AI776" s="12" t="str">
        <f t="shared" si="155"/>
        <v>1843</v>
      </c>
      <c r="AK776" s="2" t="s">
        <v>551</v>
      </c>
    </row>
    <row r="777" spans="1:46">
      <c r="A777" s="2" t="s">
        <v>2136</v>
      </c>
      <c r="B777" s="12" t="str">
        <f t="shared" si="147"/>
        <v>JACOBS</v>
      </c>
      <c r="C777" s="12" t="str">
        <f t="shared" si="148"/>
        <v>JACOBS</v>
      </c>
      <c r="D777" s="2" t="s">
        <v>3339</v>
      </c>
      <c r="E777" s="12" t="str">
        <f t="shared" si="158"/>
        <v>Johannes Philippus</v>
      </c>
      <c r="F777" s="2" t="s">
        <v>5669</v>
      </c>
      <c r="G777" s="12" t="str">
        <f t="shared" si="149"/>
        <v>a1b5c1d7e7f5</v>
      </c>
      <c r="H777" s="12" t="str">
        <f t="shared" si="150"/>
        <v>JACOBSa1b5c1d7e7f5</v>
      </c>
      <c r="J777" s="2" t="s">
        <v>5755</v>
      </c>
      <c r="K777" s="12" t="str">
        <f t="shared" si="151"/>
        <v>1822</v>
      </c>
      <c r="L777" s="2" t="s">
        <v>74</v>
      </c>
      <c r="M777" s="2" t="s">
        <v>5756</v>
      </c>
      <c r="N777" s="12" t="str">
        <f t="shared" si="156"/>
        <v>1822</v>
      </c>
      <c r="O777" s="12" t="str">
        <f t="shared" si="157"/>
        <v>1823</v>
      </c>
      <c r="Q777" s="12" t="str">
        <f t="shared" si="152"/>
        <v>1822</v>
      </c>
      <c r="S777" s="12" t="str">
        <f t="shared" si="153"/>
        <v/>
      </c>
      <c r="V777" s="12" t="str">
        <f t="shared" si="154"/>
        <v/>
      </c>
      <c r="W777" s="2" t="s">
        <v>5757</v>
      </c>
      <c r="X777" s="2" t="s">
        <v>760</v>
      </c>
      <c r="AG777" s="2" t="s">
        <v>366</v>
      </c>
      <c r="AH777" s="2" t="s">
        <v>4696</v>
      </c>
      <c r="AI777" s="12" t="str">
        <f t="shared" si="155"/>
        <v>1844</v>
      </c>
      <c r="AK777" s="2" t="s">
        <v>190</v>
      </c>
    </row>
    <row r="778" spans="1:46">
      <c r="A778" s="2" t="s">
        <v>2136</v>
      </c>
      <c r="B778" s="12" t="str">
        <f t="shared" si="147"/>
        <v>JACOBS</v>
      </c>
      <c r="C778" s="12" t="str">
        <f t="shared" si="148"/>
        <v>JACOBS</v>
      </c>
      <c r="D778" s="2" t="s">
        <v>4308</v>
      </c>
      <c r="E778" s="12" t="str">
        <f t="shared" si="158"/>
        <v>Pieter Johannes</v>
      </c>
      <c r="F778" s="2" t="s">
        <v>5680</v>
      </c>
      <c r="G778" s="12" t="str">
        <f t="shared" si="149"/>
        <v>a1b5c1d9e1</v>
      </c>
      <c r="H778" s="12" t="str">
        <f t="shared" si="150"/>
        <v>JACOBSa1b5c1d9e1</v>
      </c>
      <c r="K778" s="12" t="str">
        <f t="shared" si="151"/>
        <v/>
      </c>
      <c r="L778" s="2" t="s">
        <v>74</v>
      </c>
      <c r="M778" s="2" t="s">
        <v>7076</v>
      </c>
      <c r="N778" s="12" t="str">
        <f t="shared" si="156"/>
        <v/>
      </c>
      <c r="O778" s="12" t="str">
        <f t="shared" si="157"/>
        <v>1798</v>
      </c>
      <c r="Q778" s="12" t="str">
        <f t="shared" si="152"/>
        <v>1798</v>
      </c>
      <c r="R778" s="12"/>
      <c r="S778" s="12" t="str">
        <f t="shared" si="153"/>
        <v/>
      </c>
      <c r="T778" s="2" t="s">
        <v>28</v>
      </c>
      <c r="U778" s="2" t="s">
        <v>7077</v>
      </c>
      <c r="V778" s="12" t="str">
        <f t="shared" si="154"/>
        <v>1820</v>
      </c>
      <c r="W778" s="2" t="s">
        <v>7078</v>
      </c>
      <c r="X778" s="2" t="s">
        <v>7079</v>
      </c>
      <c r="AE778" s="12"/>
      <c r="AG778" s="2" t="s">
        <v>74</v>
      </c>
      <c r="AH778" s="2" t="s">
        <v>7080</v>
      </c>
      <c r="AI778" s="12" t="str">
        <f t="shared" si="155"/>
        <v>1839</v>
      </c>
      <c r="AK778" s="2" t="s">
        <v>190</v>
      </c>
    </row>
    <row r="779" spans="1:46">
      <c r="A779" s="2" t="s">
        <v>2136</v>
      </c>
      <c r="B779" s="12" t="str">
        <f t="shared" si="147"/>
        <v>JACOBS</v>
      </c>
      <c r="C779" s="12" t="str">
        <f t="shared" si="148"/>
        <v>JACOBS</v>
      </c>
      <c r="D779" s="2" t="s">
        <v>5647</v>
      </c>
      <c r="E779" s="12" t="str">
        <f t="shared" si="158"/>
        <v>Philippus Paul Jacobus</v>
      </c>
      <c r="F779" s="2" t="s">
        <v>5677</v>
      </c>
      <c r="G779" s="12" t="str">
        <f t="shared" si="149"/>
        <v>a1b5c1d9e1f2</v>
      </c>
      <c r="H779" s="12" t="str">
        <f t="shared" si="150"/>
        <v>JACOBSa1b5c1d9e1f2</v>
      </c>
      <c r="J779" s="2" t="s">
        <v>7054</v>
      </c>
      <c r="K779" s="12" t="str">
        <f t="shared" si="151"/>
        <v>1824</v>
      </c>
      <c r="L779" s="2" t="s">
        <v>74</v>
      </c>
      <c r="M779" s="2" t="s">
        <v>3572</v>
      </c>
      <c r="N779" s="12" t="str">
        <f t="shared" si="156"/>
        <v>1824</v>
      </c>
      <c r="O779" s="12" t="str">
        <f t="shared" si="157"/>
        <v>1824</v>
      </c>
      <c r="Q779" s="12" t="str">
        <f t="shared" si="152"/>
        <v>1824</v>
      </c>
      <c r="S779" s="12" t="str">
        <f t="shared" si="153"/>
        <v/>
      </c>
      <c r="V779" s="12" t="str">
        <f t="shared" si="154"/>
        <v/>
      </c>
      <c r="W779" s="2" t="s">
        <v>7055</v>
      </c>
      <c r="X779" s="2" t="s">
        <v>7056</v>
      </c>
      <c r="AG779" s="2" t="s">
        <v>5302</v>
      </c>
      <c r="AH779" s="2" t="s">
        <v>4696</v>
      </c>
      <c r="AI779" s="12" t="str">
        <f t="shared" si="155"/>
        <v>1844</v>
      </c>
      <c r="AK779" s="2" t="s">
        <v>7057</v>
      </c>
    </row>
    <row r="780" spans="1:46">
      <c r="A780" s="2" t="s">
        <v>2136</v>
      </c>
      <c r="B780" s="12" t="str">
        <f t="shared" si="147"/>
        <v>JACOBS</v>
      </c>
      <c r="C780" s="12" t="str">
        <f t="shared" si="148"/>
        <v>JACOBS</v>
      </c>
      <c r="D780" s="2" t="s">
        <v>5623</v>
      </c>
      <c r="E780" s="12" t="str">
        <f t="shared" si="158"/>
        <v>Daniel</v>
      </c>
      <c r="F780" s="2" t="s">
        <v>5624</v>
      </c>
      <c r="G780" s="12" t="str">
        <f t="shared" si="149"/>
        <v>a1b5c3d11e1</v>
      </c>
      <c r="H780" s="12" t="str">
        <f t="shared" si="150"/>
        <v>JACOBSa1b5c3d11e1</v>
      </c>
      <c r="J780" s="2" t="s">
        <v>5625</v>
      </c>
      <c r="K780" s="12" t="str">
        <f t="shared" si="151"/>
        <v>1791</v>
      </c>
      <c r="L780" s="2" t="s">
        <v>1071</v>
      </c>
      <c r="M780" s="2" t="s">
        <v>5626</v>
      </c>
      <c r="N780" s="12" t="str">
        <f t="shared" si="156"/>
        <v>1791</v>
      </c>
      <c r="O780" s="12" t="str">
        <f t="shared" si="157"/>
        <v>1791</v>
      </c>
      <c r="P780" s="2" t="s">
        <v>5627</v>
      </c>
      <c r="Q780" s="12" t="str">
        <f t="shared" si="152"/>
        <v>1791</v>
      </c>
      <c r="R780" s="2" t="s">
        <v>5628</v>
      </c>
      <c r="S780" s="12" t="str">
        <f t="shared" si="153"/>
        <v>1876</v>
      </c>
      <c r="T780" s="2" t="s">
        <v>74</v>
      </c>
      <c r="U780" s="2" t="s">
        <v>5629</v>
      </c>
      <c r="V780" s="12" t="str">
        <f t="shared" si="154"/>
        <v>1815</v>
      </c>
      <c r="W780" s="2" t="s">
        <v>5630</v>
      </c>
      <c r="X780" s="2" t="s">
        <v>663</v>
      </c>
      <c r="AG780" s="2" t="s">
        <v>366</v>
      </c>
      <c r="AH780" s="2" t="s">
        <v>432</v>
      </c>
      <c r="AI780" s="12" t="str">
        <f t="shared" si="155"/>
        <v>1838</v>
      </c>
      <c r="AJ780" s="2" t="s">
        <v>433</v>
      </c>
      <c r="AK780" s="2" t="s">
        <v>1774</v>
      </c>
    </row>
    <row r="781" spans="1:46">
      <c r="A781" s="2" t="s">
        <v>2136</v>
      </c>
      <c r="B781" s="12" t="str">
        <f t="shared" si="147"/>
        <v>JACOBS</v>
      </c>
      <c r="C781" s="12" t="str">
        <f t="shared" si="148"/>
        <v>JACOBS</v>
      </c>
      <c r="D781" s="2" t="s">
        <v>5646</v>
      </c>
      <c r="E781" s="12" t="str">
        <f t="shared" si="158"/>
        <v xml:space="preserve">Philippus Johannes </v>
      </c>
      <c r="F781" s="2" t="s">
        <v>5676</v>
      </c>
      <c r="G781" s="12" t="str">
        <f t="shared" si="149"/>
        <v>a1b5c3d11e1f1</v>
      </c>
      <c r="H781" s="12" t="str">
        <f t="shared" si="150"/>
        <v>JACOBSa1b5c3d11e1f1</v>
      </c>
      <c r="J781" s="2" t="s">
        <v>7050</v>
      </c>
      <c r="K781" s="12" t="str">
        <f t="shared" si="151"/>
        <v>1816</v>
      </c>
      <c r="L781" s="2" t="s">
        <v>74</v>
      </c>
      <c r="M781" s="2" t="s">
        <v>7051</v>
      </c>
      <c r="N781" s="12" t="str">
        <f t="shared" si="156"/>
        <v>1816</v>
      </c>
      <c r="O781" s="12" t="str">
        <f t="shared" si="157"/>
        <v>1816</v>
      </c>
      <c r="Q781" s="12" t="str">
        <f t="shared" si="152"/>
        <v>1816</v>
      </c>
      <c r="S781" s="12" t="str">
        <f t="shared" si="153"/>
        <v/>
      </c>
      <c r="T781" s="2" t="s">
        <v>366</v>
      </c>
      <c r="U781" s="2" t="s">
        <v>7052</v>
      </c>
      <c r="V781" s="12" t="str">
        <f t="shared" si="154"/>
        <v>1835</v>
      </c>
      <c r="W781" s="2" t="s">
        <v>7053</v>
      </c>
      <c r="X781" s="2" t="s">
        <v>702</v>
      </c>
      <c r="AG781" s="2" t="s">
        <v>366</v>
      </c>
      <c r="AH781" s="2" t="s">
        <v>385</v>
      </c>
      <c r="AI781" s="12" t="str">
        <f t="shared" si="155"/>
        <v>1840</v>
      </c>
      <c r="AK781" s="2" t="s">
        <v>190</v>
      </c>
    </row>
    <row r="782" spans="1:46">
      <c r="A782" s="2" t="s">
        <v>2136</v>
      </c>
      <c r="B782" s="12" t="str">
        <f t="shared" si="147"/>
        <v>JACOBS</v>
      </c>
      <c r="C782" s="12" t="str">
        <f t="shared" si="148"/>
        <v>JACOBS</v>
      </c>
      <c r="D782" s="2" t="s">
        <v>5642</v>
      </c>
      <c r="E782" s="12" t="str">
        <f t="shared" si="158"/>
        <v>Paulus Petrus</v>
      </c>
      <c r="F782" s="2" t="s">
        <v>5671</v>
      </c>
      <c r="G782" s="12" t="str">
        <f t="shared" si="149"/>
        <v>a1b5c3d11e1f2</v>
      </c>
      <c r="H782" s="12" t="str">
        <f t="shared" si="150"/>
        <v>JACOBSa1b5c3d11e1f2</v>
      </c>
      <c r="J782" s="2" t="s">
        <v>5766</v>
      </c>
      <c r="K782" s="12" t="str">
        <f t="shared" si="151"/>
        <v>1817</v>
      </c>
      <c r="L782" s="2" t="s">
        <v>74</v>
      </c>
      <c r="M782" s="2" t="s">
        <v>5767</v>
      </c>
      <c r="N782" s="12" t="str">
        <f t="shared" si="156"/>
        <v>1817</v>
      </c>
      <c r="O782" s="12" t="str">
        <f t="shared" si="157"/>
        <v>1817</v>
      </c>
      <c r="Q782" s="12" t="str">
        <f t="shared" si="152"/>
        <v>1817</v>
      </c>
      <c r="S782" s="12" t="str">
        <f t="shared" si="153"/>
        <v/>
      </c>
      <c r="T782" s="2" t="s">
        <v>366</v>
      </c>
      <c r="U782" s="2" t="s">
        <v>5768</v>
      </c>
      <c r="V782" s="12" t="str">
        <f t="shared" si="154"/>
        <v>1838</v>
      </c>
      <c r="W782" s="2" t="s">
        <v>628</v>
      </c>
      <c r="X782" s="2" t="s">
        <v>5769</v>
      </c>
      <c r="AG782" s="2" t="s">
        <v>366</v>
      </c>
      <c r="AI782" s="12" t="str">
        <f t="shared" si="155"/>
        <v/>
      </c>
      <c r="AK782" s="2" t="s">
        <v>5770</v>
      </c>
      <c r="AL782" s="2" t="s">
        <v>31</v>
      </c>
      <c r="AM782" s="2" t="s">
        <v>5771</v>
      </c>
      <c r="AN782" s="2" t="s">
        <v>5772</v>
      </c>
      <c r="AO782" s="2" t="s">
        <v>5773</v>
      </c>
    </row>
    <row r="783" spans="1:46">
      <c r="A783" s="2" t="s">
        <v>2136</v>
      </c>
      <c r="B783" s="12" t="str">
        <f t="shared" si="147"/>
        <v>JACOBS</v>
      </c>
      <c r="C783" s="12" t="str">
        <f t="shared" si="148"/>
        <v>JACOBS</v>
      </c>
      <c r="D783" s="2" t="s">
        <v>5631</v>
      </c>
      <c r="E783" s="12" t="str">
        <f t="shared" si="158"/>
        <v xml:space="preserve">Daniel Jacobus </v>
      </c>
      <c r="F783" s="2" t="s">
        <v>5657</v>
      </c>
      <c r="G783" s="12" t="str">
        <f t="shared" si="149"/>
        <v>a1b5c3d11e1f4</v>
      </c>
      <c r="H783" s="12" t="str">
        <f t="shared" si="150"/>
        <v>JACOBSa1b5c3d11e1f4</v>
      </c>
      <c r="J783" s="2" t="s">
        <v>5688</v>
      </c>
      <c r="K783" s="12" t="str">
        <f t="shared" si="151"/>
        <v>1820</v>
      </c>
      <c r="L783" s="2" t="s">
        <v>74</v>
      </c>
      <c r="M783" s="2" t="s">
        <v>5689</v>
      </c>
      <c r="N783" s="12" t="str">
        <f t="shared" si="156"/>
        <v>1820</v>
      </c>
      <c r="O783" s="12" t="str">
        <f t="shared" si="157"/>
        <v>1821</v>
      </c>
      <c r="Q783" s="12" t="str">
        <f t="shared" si="152"/>
        <v>1820</v>
      </c>
      <c r="S783" s="12" t="str">
        <f t="shared" si="153"/>
        <v/>
      </c>
      <c r="V783" s="12" t="str">
        <f t="shared" si="154"/>
        <v/>
      </c>
      <c r="W783" s="2" t="s">
        <v>5690</v>
      </c>
      <c r="X783" s="2" t="s">
        <v>5618</v>
      </c>
      <c r="AG783" s="2" t="s">
        <v>366</v>
      </c>
      <c r="AH783" s="2" t="s">
        <v>432</v>
      </c>
      <c r="AI783" s="12" t="str">
        <f t="shared" si="155"/>
        <v>1838</v>
      </c>
      <c r="AJ783" s="2" t="s">
        <v>433</v>
      </c>
      <c r="AK783" s="2" t="s">
        <v>190</v>
      </c>
    </row>
    <row r="784" spans="1:46">
      <c r="A784" s="2" t="s">
        <v>2136</v>
      </c>
      <c r="B784" s="12" t="str">
        <f t="shared" si="147"/>
        <v>JACOBS</v>
      </c>
      <c r="C784" s="12" t="str">
        <f t="shared" si="148"/>
        <v>JACOBS</v>
      </c>
      <c r="D784" s="2" t="s">
        <v>2253</v>
      </c>
      <c r="E784" s="12" t="str">
        <f t="shared" si="158"/>
        <v>Johannes Jacobus</v>
      </c>
      <c r="F784" s="2" t="s">
        <v>5668</v>
      </c>
      <c r="G784" s="12" t="str">
        <f t="shared" si="149"/>
        <v>a1b5c3d11e2</v>
      </c>
      <c r="H784" s="12" t="str">
        <f t="shared" si="150"/>
        <v>JACOBSa1b5c3d11e2</v>
      </c>
      <c r="K784" s="12" t="str">
        <f t="shared" si="151"/>
        <v/>
      </c>
      <c r="M784" s="2" t="s">
        <v>5750</v>
      </c>
      <c r="N784" s="12" t="str">
        <f t="shared" si="156"/>
        <v/>
      </c>
      <c r="O784" s="12" t="str">
        <f t="shared" si="157"/>
        <v>1793</v>
      </c>
      <c r="P784" s="2" t="s">
        <v>1774</v>
      </c>
      <c r="Q784" s="12" t="str">
        <f t="shared" si="152"/>
        <v>1793</v>
      </c>
      <c r="R784" s="2" t="s">
        <v>5751</v>
      </c>
      <c r="S784" s="12" t="str">
        <f t="shared" si="153"/>
        <v>1860</v>
      </c>
      <c r="T784" s="2" t="s">
        <v>74</v>
      </c>
      <c r="U784" s="2" t="s">
        <v>5752</v>
      </c>
      <c r="V784" s="12" t="str">
        <f t="shared" si="154"/>
        <v>1815</v>
      </c>
      <c r="W784" s="2" t="s">
        <v>5753</v>
      </c>
      <c r="X784" s="2" t="s">
        <v>667</v>
      </c>
      <c r="AF784" s="2" t="s">
        <v>3703</v>
      </c>
      <c r="AG784" s="2" t="s">
        <v>366</v>
      </c>
      <c r="AH784" s="2" t="s">
        <v>5021</v>
      </c>
      <c r="AI784" s="12" t="str">
        <f t="shared" si="155"/>
        <v>1842</v>
      </c>
      <c r="AK784" s="2" t="s">
        <v>140</v>
      </c>
      <c r="AL784" s="2" t="s">
        <v>366</v>
      </c>
      <c r="AM784" s="2" t="s">
        <v>2743</v>
      </c>
      <c r="AN784" s="2" t="s">
        <v>5754</v>
      </c>
      <c r="AO784" s="2" t="s">
        <v>757</v>
      </c>
      <c r="AT784" s="2" t="s">
        <v>1927</v>
      </c>
    </row>
    <row r="785" spans="1:59">
      <c r="A785" s="2" t="s">
        <v>2136</v>
      </c>
      <c r="B785" s="12" t="str">
        <f t="shared" si="147"/>
        <v>JACOBS</v>
      </c>
      <c r="C785" s="12" t="str">
        <f t="shared" si="148"/>
        <v>JACOBS</v>
      </c>
      <c r="D785" s="2" t="s">
        <v>5645</v>
      </c>
      <c r="E785" s="12" t="str">
        <f t="shared" si="158"/>
        <v>Philipus</v>
      </c>
      <c r="F785" s="2" t="s">
        <v>5675</v>
      </c>
      <c r="G785" s="12" t="str">
        <f t="shared" si="149"/>
        <v>a1b5c3d11e2f3</v>
      </c>
      <c r="H785" s="12" t="str">
        <f t="shared" si="150"/>
        <v>JACOBSa1b5c3d11e2f3</v>
      </c>
      <c r="J785" s="2" t="s">
        <v>7048</v>
      </c>
      <c r="K785" s="12" t="str">
        <f t="shared" si="151"/>
        <v>1820</v>
      </c>
      <c r="L785" s="2" t="s">
        <v>74</v>
      </c>
      <c r="M785" s="2" t="s">
        <v>4837</v>
      </c>
      <c r="N785" s="12" t="str">
        <f t="shared" si="156"/>
        <v>1820</v>
      </c>
      <c r="O785" s="12" t="str">
        <f t="shared" si="157"/>
        <v>1820</v>
      </c>
      <c r="Q785" s="12" t="str">
        <f t="shared" si="152"/>
        <v>1820</v>
      </c>
      <c r="S785" s="12" t="str">
        <f t="shared" si="153"/>
        <v/>
      </c>
      <c r="V785" s="12" t="str">
        <f t="shared" si="154"/>
        <v/>
      </c>
      <c r="W785" s="2" t="s">
        <v>7049</v>
      </c>
      <c r="X785" s="2" t="s">
        <v>655</v>
      </c>
      <c r="AG785" s="2" t="s">
        <v>5302</v>
      </c>
      <c r="AH785" s="2" t="s">
        <v>432</v>
      </c>
      <c r="AI785" s="12" t="str">
        <f t="shared" si="155"/>
        <v>1838</v>
      </c>
      <c r="AJ785" s="2" t="s">
        <v>433</v>
      </c>
      <c r="AK785" s="2" t="s">
        <v>551</v>
      </c>
    </row>
    <row r="786" spans="1:59">
      <c r="A786" s="2" t="s">
        <v>2136</v>
      </c>
      <c r="B786" s="12" t="str">
        <f t="shared" si="147"/>
        <v>JACOBS</v>
      </c>
      <c r="C786" s="12" t="str">
        <f t="shared" si="148"/>
        <v>JACOBS</v>
      </c>
      <c r="D786" s="2" t="s">
        <v>5651</v>
      </c>
      <c r="E786" s="12" t="str">
        <f t="shared" si="158"/>
        <v>Salomon Jacobus</v>
      </c>
      <c r="F786" s="2" t="s">
        <v>5682</v>
      </c>
      <c r="G786" s="12" t="str">
        <f t="shared" si="149"/>
        <v>a1b5c3d12</v>
      </c>
      <c r="H786" s="12" t="str">
        <f t="shared" si="150"/>
        <v>JACOBSa1b5c3d12</v>
      </c>
      <c r="K786" s="12" t="str">
        <f t="shared" si="151"/>
        <v/>
      </c>
      <c r="M786" s="2" t="s">
        <v>7084</v>
      </c>
      <c r="N786" s="12" t="str">
        <f t="shared" si="156"/>
        <v/>
      </c>
      <c r="O786" s="12" t="str">
        <f t="shared" si="157"/>
        <v>1766</v>
      </c>
      <c r="Q786" s="12" t="str">
        <f t="shared" si="152"/>
        <v>1766</v>
      </c>
      <c r="R786" s="2" t="s">
        <v>7085</v>
      </c>
      <c r="S786" s="12" t="str">
        <f t="shared" si="153"/>
        <v>1841</v>
      </c>
      <c r="U786" s="2" t="s">
        <v>7086</v>
      </c>
      <c r="V786" s="12" t="str">
        <f t="shared" si="154"/>
        <v>1794</v>
      </c>
      <c r="W786" s="2" t="s">
        <v>4275</v>
      </c>
      <c r="X786" s="2" t="s">
        <v>7087</v>
      </c>
      <c r="AG786" s="2" t="s">
        <v>366</v>
      </c>
      <c r="AH786" s="2" t="s">
        <v>390</v>
      </c>
      <c r="AI786" s="12" t="str">
        <f t="shared" si="155"/>
        <v>1837</v>
      </c>
      <c r="AJ786" s="2" t="s">
        <v>5694</v>
      </c>
      <c r="AL786" s="2" t="s">
        <v>74</v>
      </c>
      <c r="AM786" s="2" t="s">
        <v>7088</v>
      </c>
    </row>
    <row r="787" spans="1:59">
      <c r="A787" s="2" t="s">
        <v>2136</v>
      </c>
      <c r="B787" s="12" t="str">
        <f t="shared" si="147"/>
        <v>JACOBS</v>
      </c>
      <c r="C787" s="12" t="str">
        <f t="shared" si="148"/>
        <v>JACOBS</v>
      </c>
      <c r="D787" s="2" t="s">
        <v>403</v>
      </c>
      <c r="E787" s="12" t="str">
        <f t="shared" si="158"/>
        <v>Daniel Pieter</v>
      </c>
      <c r="F787" s="2" t="s">
        <v>5658</v>
      </c>
      <c r="G787" s="12" t="str">
        <f t="shared" si="149"/>
        <v>a1b5c3d12e1</v>
      </c>
      <c r="H787" s="12" t="str">
        <f t="shared" si="150"/>
        <v>JACOBSa1b5c3d12e1</v>
      </c>
      <c r="K787" s="12" t="str">
        <f t="shared" si="151"/>
        <v/>
      </c>
      <c r="L787" s="2" t="s">
        <v>74</v>
      </c>
      <c r="M787" s="2" t="s">
        <v>5691</v>
      </c>
      <c r="N787" s="12" t="str">
        <f t="shared" si="156"/>
        <v/>
      </c>
      <c r="O787" s="12" t="str">
        <f t="shared" si="157"/>
        <v>1799</v>
      </c>
      <c r="Q787" s="12" t="str">
        <f t="shared" si="152"/>
        <v>1799</v>
      </c>
      <c r="S787" s="12" t="str">
        <f t="shared" si="153"/>
        <v/>
      </c>
      <c r="T787" s="2" t="s">
        <v>74</v>
      </c>
      <c r="U787" s="2" t="s">
        <v>415</v>
      </c>
      <c r="V787" s="12" t="str">
        <f t="shared" si="154"/>
        <v>1819</v>
      </c>
      <c r="W787" s="2" t="s">
        <v>5692</v>
      </c>
      <c r="X787" s="2" t="s">
        <v>5618</v>
      </c>
      <c r="AG787" s="2" t="s">
        <v>5693</v>
      </c>
      <c r="AH787" s="2" t="s">
        <v>4861</v>
      </c>
      <c r="AI787" s="12" t="str">
        <f t="shared" si="155"/>
        <v>1840</v>
      </c>
      <c r="AJ787" s="2" t="s">
        <v>5694</v>
      </c>
      <c r="AL787" s="2" t="s">
        <v>366</v>
      </c>
      <c r="AM787" s="2" t="s">
        <v>2055</v>
      </c>
      <c r="AN787" s="2" t="s">
        <v>5695</v>
      </c>
      <c r="AO787" s="2" t="s">
        <v>701</v>
      </c>
    </row>
    <row r="788" spans="1:59">
      <c r="A788" s="2" t="s">
        <v>2136</v>
      </c>
      <c r="B788" s="12" t="str">
        <f t="shared" si="147"/>
        <v>JACOBS</v>
      </c>
      <c r="C788" s="12" t="str">
        <f t="shared" si="148"/>
        <v>JACOBS</v>
      </c>
      <c r="D788" s="2" t="s">
        <v>5652</v>
      </c>
      <c r="E788" s="12" t="str">
        <f t="shared" si="158"/>
        <v>Salomon Jacobus Loius</v>
      </c>
      <c r="F788" s="2" t="s">
        <v>5683</v>
      </c>
      <c r="G788" s="12" t="str">
        <f t="shared" si="149"/>
        <v>a1b5c3d12e6</v>
      </c>
      <c r="H788" s="12" t="str">
        <f t="shared" si="150"/>
        <v>JACOBSa1b5c3d12e6</v>
      </c>
      <c r="J788" s="2" t="s">
        <v>3627</v>
      </c>
      <c r="K788" s="12" t="str">
        <f t="shared" si="151"/>
        <v>1811</v>
      </c>
      <c r="L788" s="2" t="s">
        <v>74</v>
      </c>
      <c r="M788" s="2" t="s">
        <v>4398</v>
      </c>
      <c r="N788" s="12" t="str">
        <f t="shared" si="156"/>
        <v>1811</v>
      </c>
      <c r="O788" s="12" t="str">
        <f t="shared" si="157"/>
        <v>1811</v>
      </c>
      <c r="Q788" s="12" t="str">
        <f t="shared" si="152"/>
        <v>1811</v>
      </c>
      <c r="S788" s="12" t="str">
        <f t="shared" si="153"/>
        <v/>
      </c>
      <c r="T788" s="2" t="s">
        <v>366</v>
      </c>
      <c r="U788" s="2" t="s">
        <v>3404</v>
      </c>
      <c r="V788" s="12" t="str">
        <f t="shared" si="154"/>
        <v>1831</v>
      </c>
      <c r="W788" s="2" t="s">
        <v>4566</v>
      </c>
      <c r="X788" s="2" t="s">
        <v>2136</v>
      </c>
      <c r="AG788" s="2" t="s">
        <v>366</v>
      </c>
      <c r="AH788" s="2" t="s">
        <v>7089</v>
      </c>
      <c r="AI788" s="12" t="str">
        <f t="shared" si="155"/>
        <v>1837</v>
      </c>
      <c r="AJ788" s="2" t="s">
        <v>5694</v>
      </c>
      <c r="AK788" s="2" t="s">
        <v>551</v>
      </c>
    </row>
    <row r="789" spans="1:59">
      <c r="A789" s="12" t="s">
        <v>2136</v>
      </c>
      <c r="B789" s="12" t="str">
        <f t="shared" si="147"/>
        <v>JACOBS</v>
      </c>
      <c r="C789" s="12" t="str">
        <f t="shared" si="148"/>
        <v>JACOBS</v>
      </c>
      <c r="D789" s="2" t="s">
        <v>5640</v>
      </c>
      <c r="E789" s="12" t="str">
        <f t="shared" si="158"/>
        <v>Jan Abraham Gerhardus</v>
      </c>
      <c r="F789" s="2" t="s">
        <v>5667</v>
      </c>
      <c r="G789" s="12" t="str">
        <f t="shared" si="149"/>
        <v>a1b5c3d12e9</v>
      </c>
      <c r="H789" s="12" t="str">
        <f t="shared" si="150"/>
        <v>JACOBSa1b5c3d12e9</v>
      </c>
      <c r="J789" s="2" t="s">
        <v>5741</v>
      </c>
      <c r="K789" s="12" t="str">
        <f t="shared" si="151"/>
        <v>1817</v>
      </c>
      <c r="L789" s="2" t="s">
        <v>74</v>
      </c>
      <c r="M789" s="2" t="s">
        <v>5742</v>
      </c>
      <c r="N789" s="12" t="str">
        <f t="shared" si="156"/>
        <v>1817</v>
      </c>
      <c r="O789" s="12" t="str">
        <f t="shared" si="157"/>
        <v>1817</v>
      </c>
      <c r="Q789" s="12" t="str">
        <f t="shared" si="152"/>
        <v>1817</v>
      </c>
      <c r="S789" s="12" t="str">
        <f t="shared" si="153"/>
        <v/>
      </c>
      <c r="T789" s="2" t="s">
        <v>366</v>
      </c>
      <c r="U789" s="2" t="s">
        <v>994</v>
      </c>
      <c r="V789" s="12" t="str">
        <f t="shared" si="154"/>
        <v>1837</v>
      </c>
      <c r="W789" s="2" t="s">
        <v>5743</v>
      </c>
      <c r="X789" s="2" t="s">
        <v>5744</v>
      </c>
      <c r="AG789" s="2" t="s">
        <v>366</v>
      </c>
      <c r="AH789" s="2" t="s">
        <v>432</v>
      </c>
      <c r="AI789" s="12" t="str">
        <f t="shared" si="155"/>
        <v>1838</v>
      </c>
      <c r="AJ789" s="2" t="s">
        <v>433</v>
      </c>
    </row>
    <row r="790" spans="1:59">
      <c r="A790" s="2" t="s">
        <v>2136</v>
      </c>
      <c r="B790" s="12" t="str">
        <f t="shared" si="147"/>
        <v>JACOBS</v>
      </c>
      <c r="C790" s="12" t="str">
        <f t="shared" si="148"/>
        <v>JACOBS</v>
      </c>
      <c r="D790" s="2" t="s">
        <v>5648</v>
      </c>
      <c r="E790" s="12" t="str">
        <f t="shared" si="158"/>
        <v xml:space="preserve">Pieter Daniel Sr. </v>
      </c>
      <c r="F790" s="2" t="s">
        <v>5678</v>
      </c>
      <c r="G790" s="12" t="str">
        <f t="shared" si="149"/>
        <v>a1b5c3d8e1</v>
      </c>
      <c r="H790" s="12" t="str">
        <f t="shared" si="150"/>
        <v>JACOBSa1b5c3d8e1</v>
      </c>
      <c r="K790" s="12" t="str">
        <f t="shared" si="151"/>
        <v/>
      </c>
      <c r="L790" s="2" t="s">
        <v>961</v>
      </c>
      <c r="M790" s="2" t="s">
        <v>7058</v>
      </c>
      <c r="N790" s="12" t="str">
        <f t="shared" si="156"/>
        <v/>
      </c>
      <c r="O790" s="12" t="str">
        <f t="shared" si="157"/>
        <v>1780</v>
      </c>
      <c r="P790" s="2" t="s">
        <v>7059</v>
      </c>
      <c r="Q790" s="12" t="str">
        <f t="shared" si="152"/>
        <v>1780</v>
      </c>
      <c r="R790" s="2" t="s">
        <v>7060</v>
      </c>
      <c r="S790" s="12" t="str">
        <f t="shared" si="153"/>
        <v>1845</v>
      </c>
      <c r="T790" s="2" t="s">
        <v>48</v>
      </c>
      <c r="U790" s="2" t="s">
        <v>3103</v>
      </c>
      <c r="V790" s="12" t="str">
        <f t="shared" si="154"/>
        <v>1804</v>
      </c>
      <c r="W790" s="2" t="s">
        <v>1475</v>
      </c>
      <c r="X790" s="2" t="s">
        <v>781</v>
      </c>
      <c r="Y790" s="2" t="s">
        <v>7061</v>
      </c>
      <c r="AA790" s="2" t="s">
        <v>7062</v>
      </c>
      <c r="AD790" s="2" t="s">
        <v>7063</v>
      </c>
      <c r="AE790" s="2" t="s">
        <v>7064</v>
      </c>
      <c r="AF790" s="2" t="s">
        <v>7065</v>
      </c>
      <c r="AG790" s="2" t="s">
        <v>366</v>
      </c>
      <c r="AH790" s="2" t="s">
        <v>432</v>
      </c>
      <c r="AI790" s="12" t="str">
        <f t="shared" si="155"/>
        <v>1838</v>
      </c>
      <c r="AJ790" s="2" t="s">
        <v>7066</v>
      </c>
      <c r="AK790" s="2" t="s">
        <v>7067</v>
      </c>
    </row>
    <row r="791" spans="1:59">
      <c r="A791" s="12" t="s">
        <v>2136</v>
      </c>
      <c r="B791" s="12" t="str">
        <f t="shared" si="147"/>
        <v>JACOBS</v>
      </c>
      <c r="C791" s="12" t="str">
        <f t="shared" si="148"/>
        <v>JACOBS</v>
      </c>
      <c r="D791" s="12" t="s">
        <v>5635</v>
      </c>
      <c r="E791" s="12" t="str">
        <f t="shared" si="158"/>
        <v>David Stephanus (P. Seun)</v>
      </c>
      <c r="F791" s="12" t="s">
        <v>5662</v>
      </c>
      <c r="G791" s="12" t="str">
        <f t="shared" si="149"/>
        <v>a1b5c3d8e1f(?)</v>
      </c>
      <c r="H791" s="12" t="str">
        <f t="shared" si="150"/>
        <v>JACOBSa1b5c3d8e1f(?)</v>
      </c>
      <c r="I791" s="12"/>
      <c r="J791" s="12"/>
      <c r="K791" s="12" t="str">
        <f t="shared" si="151"/>
        <v/>
      </c>
      <c r="L791" s="12"/>
      <c r="M791" s="12"/>
      <c r="N791" s="12" t="str">
        <f t="shared" si="156"/>
        <v/>
      </c>
      <c r="O791" s="12" t="str">
        <f t="shared" si="157"/>
        <v/>
      </c>
      <c r="P791" s="12"/>
      <c r="Q791" s="12" t="str">
        <f t="shared" si="152"/>
        <v/>
      </c>
      <c r="R791" s="12"/>
      <c r="S791" s="12" t="str">
        <f t="shared" si="153"/>
        <v/>
      </c>
      <c r="T791" s="12"/>
      <c r="U791" s="12"/>
      <c r="V791" s="12" t="str">
        <f t="shared" si="154"/>
        <v/>
      </c>
      <c r="W791" s="12"/>
      <c r="X791" s="12"/>
      <c r="Y791" s="12"/>
      <c r="Z791" s="12"/>
      <c r="AA791" s="12"/>
      <c r="AB791" s="12"/>
      <c r="AC791" s="12"/>
      <c r="AD791" s="12"/>
      <c r="AE791" s="12"/>
      <c r="AF791" s="12" t="s">
        <v>3703</v>
      </c>
      <c r="AG791" s="12" t="s">
        <v>366</v>
      </c>
      <c r="AH791" s="12" t="s">
        <v>432</v>
      </c>
      <c r="AI791" s="12" t="str">
        <f t="shared" si="155"/>
        <v>1838</v>
      </c>
      <c r="AJ791" s="12" t="s">
        <v>5706</v>
      </c>
      <c r="AK791" s="12" t="s">
        <v>484</v>
      </c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</row>
    <row r="792" spans="1:59">
      <c r="A792" s="2" t="s">
        <v>2136</v>
      </c>
      <c r="B792" s="12" t="str">
        <f t="shared" si="147"/>
        <v>JACOBS</v>
      </c>
      <c r="C792" s="12" t="str">
        <f t="shared" si="148"/>
        <v>JACOBS</v>
      </c>
      <c r="D792" s="2" t="s">
        <v>5649</v>
      </c>
      <c r="E792" s="12" t="str">
        <f t="shared" si="158"/>
        <v>Pieter Daniel Jr.</v>
      </c>
      <c r="F792" s="2" t="s">
        <v>5679</v>
      </c>
      <c r="G792" s="12" t="str">
        <f t="shared" si="149"/>
        <v>a1b5c3d8e1f2</v>
      </c>
      <c r="H792" s="12" t="str">
        <f t="shared" si="150"/>
        <v>JACOBSa1b5c3d8e1f2</v>
      </c>
      <c r="J792" s="2" t="s">
        <v>7068</v>
      </c>
      <c r="K792" s="12" t="str">
        <f t="shared" si="151"/>
        <v>1807</v>
      </c>
      <c r="L792" s="2" t="s">
        <v>542</v>
      </c>
      <c r="M792" s="2" t="s">
        <v>3114</v>
      </c>
      <c r="N792" s="12" t="str">
        <f t="shared" si="156"/>
        <v>1807</v>
      </c>
      <c r="O792" s="12" t="str">
        <f t="shared" si="157"/>
        <v>1808</v>
      </c>
      <c r="Q792" s="12" t="str">
        <f t="shared" si="152"/>
        <v>1807</v>
      </c>
      <c r="R792" s="2" t="s">
        <v>7069</v>
      </c>
      <c r="S792" s="12" t="str">
        <f t="shared" si="153"/>
        <v>1854</v>
      </c>
      <c r="T792" s="2" t="s">
        <v>366</v>
      </c>
      <c r="U792" s="2" t="s">
        <v>2318</v>
      </c>
      <c r="V792" s="12" t="str">
        <f t="shared" si="154"/>
        <v>1827</v>
      </c>
      <c r="W792" s="2" t="s">
        <v>7070</v>
      </c>
      <c r="X792" s="2" t="s">
        <v>757</v>
      </c>
      <c r="AF792" s="2" t="s">
        <v>7071</v>
      </c>
      <c r="AG792" s="2" t="s">
        <v>366</v>
      </c>
      <c r="AH792" s="2" t="s">
        <v>432</v>
      </c>
      <c r="AI792" s="12" t="str">
        <f t="shared" si="155"/>
        <v>1838</v>
      </c>
      <c r="AJ792" s="2" t="s">
        <v>7072</v>
      </c>
      <c r="AK792" s="2" t="s">
        <v>7073</v>
      </c>
      <c r="AL792" s="2" t="s">
        <v>366</v>
      </c>
      <c r="AM792" s="2" t="s">
        <v>4518</v>
      </c>
      <c r="AN792" s="2" t="s">
        <v>3389</v>
      </c>
      <c r="AO792" s="2" t="s">
        <v>2153</v>
      </c>
      <c r="AP792" s="2" t="s">
        <v>7074</v>
      </c>
      <c r="AT792" s="2" t="s">
        <v>280</v>
      </c>
      <c r="AV792" s="2" t="s">
        <v>7075</v>
      </c>
    </row>
    <row r="793" spans="1:59">
      <c r="A793" s="2" t="s">
        <v>2136</v>
      </c>
      <c r="B793" s="12" t="str">
        <f t="shared" si="147"/>
        <v>JACOBS</v>
      </c>
      <c r="C793" s="12" t="str">
        <f t="shared" si="148"/>
        <v>JACOBS</v>
      </c>
      <c r="D793" s="2" t="s">
        <v>5637</v>
      </c>
      <c r="E793" s="12" t="str">
        <f t="shared" si="158"/>
        <v>Gert Petrus</v>
      </c>
      <c r="F793" s="2" t="s">
        <v>5664</v>
      </c>
      <c r="G793" s="12" t="str">
        <f t="shared" si="149"/>
        <v>a1b5c3d8e1f3</v>
      </c>
      <c r="H793" s="12" t="str">
        <f t="shared" si="150"/>
        <v>JACOBSa1b5c3d8e1f3</v>
      </c>
      <c r="J793" s="2" t="s">
        <v>5715</v>
      </c>
      <c r="K793" s="12" t="str">
        <f t="shared" si="151"/>
        <v>1809</v>
      </c>
      <c r="L793" s="2" t="s">
        <v>542</v>
      </c>
      <c r="M793" s="2" t="s">
        <v>5716</v>
      </c>
      <c r="N793" s="12" t="str">
        <f t="shared" si="156"/>
        <v>1809</v>
      </c>
      <c r="O793" s="12" t="str">
        <f t="shared" si="157"/>
        <v>1809</v>
      </c>
      <c r="P793" s="2" t="s">
        <v>5717</v>
      </c>
      <c r="Q793" s="12" t="str">
        <f t="shared" si="152"/>
        <v>1809</v>
      </c>
      <c r="R793" s="2" t="s">
        <v>5718</v>
      </c>
      <c r="S793" s="12" t="str">
        <f t="shared" si="153"/>
        <v>1877</v>
      </c>
      <c r="T793" s="2" t="s">
        <v>366</v>
      </c>
      <c r="U793" s="2" t="s">
        <v>5719</v>
      </c>
      <c r="V793" s="12" t="str">
        <f t="shared" si="154"/>
        <v>1830</v>
      </c>
      <c r="W793" s="2" t="s">
        <v>4789</v>
      </c>
      <c r="X793" s="2" t="s">
        <v>757</v>
      </c>
      <c r="Y793" s="2" t="s">
        <v>5720</v>
      </c>
      <c r="AA793" s="2" t="s">
        <v>4505</v>
      </c>
      <c r="AB793" s="2" t="s">
        <v>74</v>
      </c>
      <c r="AC793" s="2" t="s">
        <v>4506</v>
      </c>
      <c r="AD793" s="2" t="s">
        <v>5721</v>
      </c>
      <c r="AE793" s="2" t="s">
        <v>5722</v>
      </c>
      <c r="AF793" s="2" t="s">
        <v>3703</v>
      </c>
      <c r="AG793" s="2" t="s">
        <v>366</v>
      </c>
      <c r="AH793" s="2" t="s">
        <v>432</v>
      </c>
      <c r="AI793" s="12" t="str">
        <f t="shared" si="155"/>
        <v>1838</v>
      </c>
      <c r="AJ793" s="2" t="s">
        <v>433</v>
      </c>
      <c r="AK793" s="2" t="s">
        <v>5725</v>
      </c>
      <c r="AL793" s="2" t="s">
        <v>1774</v>
      </c>
      <c r="AM793" s="2" t="s">
        <v>5723</v>
      </c>
      <c r="AN793" s="2" t="s">
        <v>5724</v>
      </c>
      <c r="AO793" s="2" t="s">
        <v>3115</v>
      </c>
      <c r="AU793" s="2" t="s">
        <v>566</v>
      </c>
    </row>
    <row r="794" spans="1:59">
      <c r="A794" s="2" t="s">
        <v>2136</v>
      </c>
      <c r="B794" s="12" t="str">
        <f t="shared" si="147"/>
        <v>JACOBS</v>
      </c>
      <c r="C794" s="12" t="str">
        <f t="shared" si="148"/>
        <v>JACOBS</v>
      </c>
      <c r="D794" s="2" t="s">
        <v>5636</v>
      </c>
      <c r="E794" s="12" t="str">
        <f t="shared" si="158"/>
        <v>Gabriel Gerhardus Nicolaas</v>
      </c>
      <c r="F794" s="2" t="s">
        <v>5663</v>
      </c>
      <c r="G794" s="12" t="str">
        <f t="shared" si="149"/>
        <v>a1b5c3d8e1f7</v>
      </c>
      <c r="H794" s="12" t="str">
        <f t="shared" si="150"/>
        <v>JACOBSa1b5c3d8e1f7</v>
      </c>
      <c r="J794" s="2" t="s">
        <v>5707</v>
      </c>
      <c r="K794" s="12" t="str">
        <f t="shared" si="151"/>
        <v>1817</v>
      </c>
      <c r="L794" s="2" t="s">
        <v>1071</v>
      </c>
      <c r="M794" s="2" t="s">
        <v>3906</v>
      </c>
      <c r="N794" s="12" t="str">
        <f t="shared" si="156"/>
        <v>1817</v>
      </c>
      <c r="O794" s="12" t="str">
        <f t="shared" si="157"/>
        <v>1818</v>
      </c>
      <c r="Q794" s="12" t="str">
        <f t="shared" si="152"/>
        <v>1817</v>
      </c>
      <c r="R794" s="2">
        <v>1894</v>
      </c>
      <c r="S794" s="12" t="str">
        <f t="shared" si="153"/>
        <v>1894</v>
      </c>
      <c r="U794" s="2" t="s">
        <v>5709</v>
      </c>
      <c r="V794" s="12" t="str">
        <f t="shared" si="154"/>
        <v>1839</v>
      </c>
      <c r="W794" s="2" t="s">
        <v>5708</v>
      </c>
      <c r="X794" s="2" t="s">
        <v>2136</v>
      </c>
      <c r="AF794" s="2" t="s">
        <v>3703</v>
      </c>
      <c r="AG794" s="2" t="s">
        <v>366</v>
      </c>
      <c r="AH794" s="2" t="s">
        <v>432</v>
      </c>
      <c r="AI794" s="12" t="str">
        <f t="shared" si="155"/>
        <v>1838</v>
      </c>
      <c r="AJ794" s="2" t="s">
        <v>433</v>
      </c>
      <c r="AK794" s="2" t="s">
        <v>5710</v>
      </c>
      <c r="AL794" s="2" t="s">
        <v>140</v>
      </c>
      <c r="AM794" s="2" t="s">
        <v>5711</v>
      </c>
      <c r="AN794" s="2" t="s">
        <v>5712</v>
      </c>
      <c r="AO794" s="2" t="s">
        <v>700</v>
      </c>
      <c r="AY794" s="2" t="s">
        <v>5713</v>
      </c>
      <c r="AZ794" s="2" t="s">
        <v>5714</v>
      </c>
    </row>
    <row r="795" spans="1:59">
      <c r="A795" s="2" t="s">
        <v>2136</v>
      </c>
      <c r="B795" s="12" t="str">
        <f t="shared" si="147"/>
        <v>JACOBS</v>
      </c>
      <c r="C795" s="12" t="str">
        <f t="shared" si="148"/>
        <v>JACOBS</v>
      </c>
      <c r="D795" s="12" t="s">
        <v>5632</v>
      </c>
      <c r="E795" s="12" t="str">
        <f t="shared" si="158"/>
        <v>Daniel Roelof Sr.</v>
      </c>
      <c r="F795" s="2" t="s">
        <v>5659</v>
      </c>
      <c r="G795" s="12" t="str">
        <f t="shared" si="149"/>
        <v>a1b5c3d8e4</v>
      </c>
      <c r="H795" s="12" t="str">
        <f t="shared" si="150"/>
        <v>JACOBSa1b5c3d8e4</v>
      </c>
      <c r="K795" s="12" t="str">
        <f t="shared" si="151"/>
        <v/>
      </c>
      <c r="M795" s="2" t="s">
        <v>5696</v>
      </c>
      <c r="N795" s="12" t="str">
        <f t="shared" si="156"/>
        <v/>
      </c>
      <c r="O795" s="12" t="str">
        <f t="shared" si="157"/>
        <v>1792</v>
      </c>
      <c r="Q795" s="12" t="str">
        <f t="shared" si="152"/>
        <v>1792</v>
      </c>
      <c r="S795" s="12" t="str">
        <f t="shared" si="153"/>
        <v/>
      </c>
      <c r="T795" s="2" t="s">
        <v>542</v>
      </c>
      <c r="U795" s="2" t="s">
        <v>5697</v>
      </c>
      <c r="V795" s="12" t="str">
        <f t="shared" si="154"/>
        <v>1812</v>
      </c>
      <c r="W795" s="2" t="s">
        <v>1709</v>
      </c>
      <c r="X795" s="2" t="s">
        <v>4871</v>
      </c>
      <c r="AF795" s="2" t="s">
        <v>3703</v>
      </c>
      <c r="AG795" s="2" t="s">
        <v>366</v>
      </c>
      <c r="AH795" s="2" t="s">
        <v>432</v>
      </c>
      <c r="AI795" s="12" t="str">
        <f t="shared" si="155"/>
        <v>1838</v>
      </c>
      <c r="AJ795" s="2" t="s">
        <v>433</v>
      </c>
      <c r="AK795" s="2" t="s">
        <v>140</v>
      </c>
    </row>
    <row r="796" spans="1:59">
      <c r="A796" s="2" t="s">
        <v>2136</v>
      </c>
      <c r="B796" s="12" t="str">
        <f t="shared" si="147"/>
        <v>JACOBS</v>
      </c>
      <c r="C796" s="12" t="str">
        <f t="shared" si="148"/>
        <v>JACOBS</v>
      </c>
      <c r="D796" s="2" t="s">
        <v>5633</v>
      </c>
      <c r="E796" s="12" t="str">
        <f t="shared" si="158"/>
        <v>Daniel Roelof Jr.</v>
      </c>
      <c r="F796" s="2" t="s">
        <v>5660</v>
      </c>
      <c r="G796" s="12" t="str">
        <f t="shared" si="149"/>
        <v>a1b5c3d8e4f5</v>
      </c>
      <c r="H796" s="12" t="str">
        <f t="shared" si="150"/>
        <v>JACOBSa1b5c3d8e4f5</v>
      </c>
      <c r="J796" s="2" t="s">
        <v>5698</v>
      </c>
      <c r="K796" s="12" t="str">
        <f t="shared" si="151"/>
        <v>1824</v>
      </c>
      <c r="L796" s="2" t="s">
        <v>366</v>
      </c>
      <c r="M796" s="2" t="s">
        <v>5699</v>
      </c>
      <c r="N796" s="12" t="str">
        <f t="shared" si="156"/>
        <v>1824</v>
      </c>
      <c r="O796" s="12" t="str">
        <f t="shared" si="157"/>
        <v>1825</v>
      </c>
      <c r="Q796" s="12" t="str">
        <f t="shared" si="152"/>
        <v>1824</v>
      </c>
      <c r="S796" s="12" t="str">
        <f t="shared" si="153"/>
        <v/>
      </c>
      <c r="T796" s="2" t="s">
        <v>5700</v>
      </c>
      <c r="U796" s="2" t="s">
        <v>509</v>
      </c>
      <c r="V796" s="12" t="str">
        <f t="shared" si="154"/>
        <v>1846</v>
      </c>
      <c r="W796" s="2" t="s">
        <v>1380</v>
      </c>
      <c r="X796" s="2" t="s">
        <v>1381</v>
      </c>
      <c r="AG796" s="2" t="s">
        <v>366</v>
      </c>
      <c r="AH796" s="2" t="s">
        <v>432</v>
      </c>
      <c r="AI796" s="12" t="str">
        <f t="shared" si="155"/>
        <v>1838</v>
      </c>
      <c r="AJ796" s="2" t="s">
        <v>433</v>
      </c>
      <c r="AK796" s="2" t="s">
        <v>155</v>
      </c>
    </row>
    <row r="797" spans="1:59">
      <c r="A797" s="2" t="s">
        <v>2136</v>
      </c>
      <c r="B797" s="12" t="str">
        <f t="shared" si="147"/>
        <v>JACOBS</v>
      </c>
      <c r="C797" s="12" t="str">
        <f t="shared" si="148"/>
        <v>JACOBS</v>
      </c>
      <c r="D797" s="2" t="s">
        <v>5653</v>
      </c>
      <c r="E797" s="12" t="str">
        <f t="shared" si="158"/>
        <v>Sarel (Carel) Francois</v>
      </c>
      <c r="F797" s="2" t="s">
        <v>5684</v>
      </c>
      <c r="G797" s="12" t="str">
        <f t="shared" si="149"/>
        <v>a1b5c3d8e4f6</v>
      </c>
      <c r="H797" s="12" t="str">
        <f t="shared" si="150"/>
        <v>JACOBSa1b5c3d8e4f6</v>
      </c>
      <c r="J797" s="2" t="s">
        <v>7090</v>
      </c>
      <c r="K797" s="12" t="str">
        <f t="shared" si="151"/>
        <v>1825</v>
      </c>
      <c r="M797" s="2" t="s">
        <v>7091</v>
      </c>
      <c r="N797" s="12" t="str">
        <f t="shared" si="156"/>
        <v>1825</v>
      </c>
      <c r="O797" s="12" t="str">
        <f t="shared" si="157"/>
        <v>1826</v>
      </c>
      <c r="P797" s="2" t="s">
        <v>7092</v>
      </c>
      <c r="Q797" s="12" t="str">
        <f t="shared" si="152"/>
        <v>1825</v>
      </c>
      <c r="R797" s="2" t="s">
        <v>7093</v>
      </c>
      <c r="S797" s="12" t="str">
        <f t="shared" si="153"/>
        <v>1902</v>
      </c>
      <c r="V797" s="12" t="str">
        <f t="shared" si="154"/>
        <v/>
      </c>
      <c r="W797" s="2" t="s">
        <v>1685</v>
      </c>
      <c r="AE797" s="2" t="s">
        <v>7094</v>
      </c>
      <c r="AG797" s="2" t="s">
        <v>366</v>
      </c>
      <c r="AH797" s="2" t="s">
        <v>432</v>
      </c>
      <c r="AI797" s="12" t="str">
        <f t="shared" si="155"/>
        <v>1838</v>
      </c>
      <c r="AJ797" s="2" t="s">
        <v>433</v>
      </c>
      <c r="AK797" s="2" t="s">
        <v>5593</v>
      </c>
      <c r="AL797" s="2" t="s">
        <v>140</v>
      </c>
      <c r="AM797" s="2" t="s">
        <v>7095</v>
      </c>
      <c r="AN797" s="2" t="s">
        <v>5496</v>
      </c>
      <c r="AO797" s="2" t="s">
        <v>669</v>
      </c>
    </row>
    <row r="798" spans="1:59">
      <c r="A798" s="2" t="s">
        <v>2136</v>
      </c>
      <c r="B798" s="12" t="str">
        <f t="shared" si="147"/>
        <v>JACOBS</v>
      </c>
      <c r="C798" s="12" t="str">
        <f t="shared" si="148"/>
        <v>JACOBS</v>
      </c>
      <c r="D798" s="2" t="s">
        <v>205</v>
      </c>
      <c r="E798" s="12" t="str">
        <f t="shared" si="158"/>
        <v>Willem Hendrik</v>
      </c>
      <c r="F798" s="2" t="s">
        <v>1737</v>
      </c>
      <c r="G798" s="12" t="str">
        <f t="shared" si="149"/>
        <v>a1b6c11</v>
      </c>
      <c r="H798" s="12" t="str">
        <f t="shared" si="150"/>
        <v>JACOBSa1b6c11</v>
      </c>
      <c r="J798" s="2" t="s">
        <v>7110</v>
      </c>
      <c r="K798" s="12" t="str">
        <f t="shared" si="151"/>
        <v>1804</v>
      </c>
      <c r="L798" s="2" t="s">
        <v>542</v>
      </c>
      <c r="M798" s="2" t="s">
        <v>7111</v>
      </c>
      <c r="N798" s="12" t="str">
        <f t="shared" si="156"/>
        <v>1804</v>
      </c>
      <c r="O798" s="12" t="str">
        <f t="shared" si="157"/>
        <v>1804</v>
      </c>
      <c r="P798" s="2" t="s">
        <v>7112</v>
      </c>
      <c r="Q798" s="12" t="str">
        <f t="shared" si="152"/>
        <v>1804</v>
      </c>
      <c r="R798" s="2" t="s">
        <v>1873</v>
      </c>
      <c r="S798" s="12" t="str">
        <f t="shared" si="153"/>
        <v>1868</v>
      </c>
      <c r="T798" s="2" t="s">
        <v>74</v>
      </c>
      <c r="U798" s="2" t="s">
        <v>1052</v>
      </c>
      <c r="V798" s="12" t="str">
        <f t="shared" si="154"/>
        <v>1825</v>
      </c>
      <c r="W798" s="2" t="s">
        <v>7113</v>
      </c>
      <c r="X798" s="2" t="s">
        <v>187</v>
      </c>
      <c r="AG798" s="2" t="s">
        <v>74</v>
      </c>
      <c r="AH798" s="2" t="s">
        <v>385</v>
      </c>
      <c r="AI798" s="12" t="str">
        <f t="shared" si="155"/>
        <v>1840</v>
      </c>
      <c r="AK798" s="2" t="s">
        <v>7114</v>
      </c>
      <c r="AL798" s="2" t="s">
        <v>74</v>
      </c>
      <c r="AM798" s="2" t="s">
        <v>7115</v>
      </c>
      <c r="AN798" s="2" t="s">
        <v>7116</v>
      </c>
      <c r="AO798" s="2" t="s">
        <v>187</v>
      </c>
    </row>
    <row r="799" spans="1:59">
      <c r="A799" s="2" t="s">
        <v>2136</v>
      </c>
      <c r="B799" s="12" t="str">
        <f t="shared" si="147"/>
        <v>JACOBS</v>
      </c>
      <c r="C799" s="12" t="str">
        <f t="shared" si="148"/>
        <v>JACOBS</v>
      </c>
      <c r="D799" s="2" t="s">
        <v>1764</v>
      </c>
      <c r="E799" s="12" t="str">
        <f t="shared" si="158"/>
        <v>Jan</v>
      </c>
      <c r="F799" s="2" t="s">
        <v>5666</v>
      </c>
      <c r="G799" s="12" t="str">
        <f t="shared" si="149"/>
        <v>a1b6c3d1</v>
      </c>
      <c r="H799" s="12" t="str">
        <f t="shared" si="150"/>
        <v>JACOBSa1b6c3d1</v>
      </c>
      <c r="J799" s="2" t="s">
        <v>5729</v>
      </c>
      <c r="K799" s="12" t="str">
        <f t="shared" si="151"/>
        <v>1812</v>
      </c>
      <c r="L799" s="2" t="s">
        <v>32</v>
      </c>
      <c r="M799" s="2" t="s">
        <v>5730</v>
      </c>
      <c r="N799" s="12" t="str">
        <f t="shared" si="156"/>
        <v>1812</v>
      </c>
      <c r="O799" s="12" t="str">
        <f t="shared" si="157"/>
        <v>1812</v>
      </c>
      <c r="Q799" s="12" t="str">
        <f t="shared" si="152"/>
        <v>1812</v>
      </c>
      <c r="S799" s="12" t="str">
        <f t="shared" si="153"/>
        <v/>
      </c>
      <c r="T799" s="2" t="s">
        <v>28</v>
      </c>
      <c r="U799" s="2" t="s">
        <v>5731</v>
      </c>
      <c r="V799" s="12" t="str">
        <f t="shared" si="154"/>
        <v>1834</v>
      </c>
      <c r="W799" s="2" t="s">
        <v>1020</v>
      </c>
      <c r="X799" s="2" t="s">
        <v>667</v>
      </c>
      <c r="Y799" s="2" t="s">
        <v>5732</v>
      </c>
      <c r="AA799" s="2" t="s">
        <v>5733</v>
      </c>
      <c r="AC799" s="2" t="s">
        <v>1973</v>
      </c>
      <c r="AG799" s="2" t="s">
        <v>366</v>
      </c>
      <c r="AH799" s="2" t="s">
        <v>432</v>
      </c>
      <c r="AI799" s="12" t="str">
        <f t="shared" si="155"/>
        <v>1838</v>
      </c>
      <c r="AJ799" s="2" t="s">
        <v>433</v>
      </c>
    </row>
    <row r="800" spans="1:59">
      <c r="A800" s="6" t="s">
        <v>5638</v>
      </c>
      <c r="B800" s="12" t="str">
        <f t="shared" si="147"/>
        <v>JACOBS(Z)</v>
      </c>
      <c r="C800" s="12" t="str">
        <f t="shared" si="148"/>
        <v>JACOBS(Z)</v>
      </c>
      <c r="D800" s="2" t="s">
        <v>143</v>
      </c>
      <c r="E800" s="12" t="str">
        <f t="shared" si="158"/>
        <v>Hendrik Johannes</v>
      </c>
      <c r="F800" s="2" t="s">
        <v>5665</v>
      </c>
      <c r="G800" s="12" t="str">
        <f t="shared" si="149"/>
        <v>a1b2c3d11e7</v>
      </c>
      <c r="H800" s="12" t="str">
        <f t="shared" si="150"/>
        <v>JACOBS(Z)a1b2c3d11e7</v>
      </c>
      <c r="J800" s="2" t="s">
        <v>5726</v>
      </c>
      <c r="K800" s="12" t="str">
        <f t="shared" si="151"/>
        <v>1814</v>
      </c>
      <c r="L800" s="2" t="s">
        <v>74</v>
      </c>
      <c r="M800" s="2" t="s">
        <v>342</v>
      </c>
      <c r="N800" s="12" t="str">
        <f t="shared" si="156"/>
        <v>1814</v>
      </c>
      <c r="O800" s="12" t="str">
        <f t="shared" si="157"/>
        <v>1814</v>
      </c>
      <c r="Q800" s="12" t="str">
        <f t="shared" si="152"/>
        <v>1814</v>
      </c>
      <c r="S800" s="12" t="str">
        <f t="shared" si="153"/>
        <v/>
      </c>
      <c r="T800" s="2" t="s">
        <v>366</v>
      </c>
      <c r="U800" s="2" t="s">
        <v>5727</v>
      </c>
      <c r="V800" s="12" t="str">
        <f t="shared" si="154"/>
        <v>1836</v>
      </c>
      <c r="W800" s="2" t="s">
        <v>5728</v>
      </c>
      <c r="X800" s="2" t="s">
        <v>2136</v>
      </c>
      <c r="AG800" s="2" t="s">
        <v>366</v>
      </c>
      <c r="AH800" s="2" t="s">
        <v>432</v>
      </c>
      <c r="AI800" s="12" t="str">
        <f t="shared" si="155"/>
        <v>1838</v>
      </c>
      <c r="AJ800" s="2" t="s">
        <v>433</v>
      </c>
      <c r="AK800" s="2" t="s">
        <v>190</v>
      </c>
    </row>
    <row r="801" spans="1:62">
      <c r="A801" s="6" t="s">
        <v>5638</v>
      </c>
      <c r="B801" s="12" t="str">
        <f t="shared" si="147"/>
        <v>JACOBS(Z)</v>
      </c>
      <c r="C801" s="12" t="str">
        <f>TRIM(A801)</f>
        <v>JACOBS(Z)</v>
      </c>
      <c r="D801" s="2" t="s">
        <v>5639</v>
      </c>
      <c r="E801" s="12" t="str">
        <f t="shared" si="158"/>
        <v xml:space="preserve">Jan </v>
      </c>
      <c r="F801" s="2" t="s">
        <v>1835</v>
      </c>
      <c r="G801" s="12" t="str">
        <f t="shared" si="149"/>
        <v>a1b6c1d5</v>
      </c>
      <c r="H801" s="12" t="str">
        <f t="shared" si="150"/>
        <v>JACOBS(Z)a1b6c1d5</v>
      </c>
      <c r="J801" s="2" t="s">
        <v>460</v>
      </c>
      <c r="K801" s="12" t="str">
        <f t="shared" si="151"/>
        <v>1817</v>
      </c>
      <c r="L801" s="2" t="s">
        <v>74</v>
      </c>
      <c r="M801" s="2" t="s">
        <v>5734</v>
      </c>
      <c r="N801" s="12" t="str">
        <f t="shared" si="156"/>
        <v>1817</v>
      </c>
      <c r="O801" s="12" t="str">
        <f t="shared" si="157"/>
        <v>1817</v>
      </c>
      <c r="Q801" s="12" t="str">
        <f t="shared" si="152"/>
        <v>1817</v>
      </c>
      <c r="S801" s="12" t="str">
        <f t="shared" si="153"/>
        <v/>
      </c>
      <c r="T801" s="2" t="s">
        <v>140</v>
      </c>
      <c r="U801" s="2" t="s">
        <v>5735</v>
      </c>
      <c r="V801" s="12" t="str">
        <f t="shared" si="154"/>
        <v>1839</v>
      </c>
      <c r="W801" s="2" t="s">
        <v>5736</v>
      </c>
      <c r="X801" s="2" t="s">
        <v>760</v>
      </c>
      <c r="Y801" s="2" t="s">
        <v>5737</v>
      </c>
      <c r="AB801" s="2" t="s">
        <v>5738</v>
      </c>
      <c r="AC801" s="2" t="s">
        <v>1589</v>
      </c>
      <c r="AH801" s="2" t="s">
        <v>5739</v>
      </c>
      <c r="AI801" s="12" t="str">
        <f t="shared" si="155"/>
        <v>1839</v>
      </c>
      <c r="AK801" s="2" t="s">
        <v>5740</v>
      </c>
    </row>
    <row r="802" spans="1:62">
      <c r="A802" s="6" t="s">
        <v>5638</v>
      </c>
      <c r="B802" s="12" t="str">
        <f t="shared" si="147"/>
        <v>JACOBS(Z)</v>
      </c>
      <c r="C802" s="12" t="str">
        <f t="shared" si="148"/>
        <v>JACOBS(Z)</v>
      </c>
      <c r="D802" s="2" t="s">
        <v>5641</v>
      </c>
      <c r="E802" s="12" t="str">
        <f t="shared" si="158"/>
        <v>Michiel Christiaan</v>
      </c>
      <c r="F802" s="2" t="s">
        <v>3052</v>
      </c>
      <c r="G802" s="12" t="str">
        <f t="shared" si="149"/>
        <v>a1b6c3</v>
      </c>
      <c r="H802" s="12" t="str">
        <f t="shared" si="150"/>
        <v>JACOBS(Z)a1b6c3</v>
      </c>
      <c r="K802" s="12" t="str">
        <f t="shared" si="151"/>
        <v/>
      </c>
      <c r="M802" s="2" t="s">
        <v>5762</v>
      </c>
      <c r="N802" s="12" t="str">
        <f t="shared" si="156"/>
        <v/>
      </c>
      <c r="O802" s="12" t="str">
        <f t="shared" si="157"/>
        <v>1786</v>
      </c>
      <c r="Q802" s="12" t="str">
        <f t="shared" si="152"/>
        <v>1786</v>
      </c>
      <c r="S802" s="12" t="str">
        <f t="shared" si="153"/>
        <v/>
      </c>
      <c r="T802" s="2" t="s">
        <v>32</v>
      </c>
      <c r="U802" s="2" t="s">
        <v>5763</v>
      </c>
      <c r="V802" s="12" t="str">
        <f t="shared" si="154"/>
        <v>1811</v>
      </c>
      <c r="W802" s="2" t="s">
        <v>5582</v>
      </c>
      <c r="X802" s="2" t="s">
        <v>2394</v>
      </c>
      <c r="AF802" s="2" t="s">
        <v>16</v>
      </c>
      <c r="AG802" s="2" t="s">
        <v>68</v>
      </c>
      <c r="AH802" s="2" t="s">
        <v>5764</v>
      </c>
      <c r="AI802" s="12" t="str">
        <f t="shared" si="155"/>
        <v>1838</v>
      </c>
      <c r="AJ802" s="2" t="s">
        <v>5765</v>
      </c>
      <c r="AK802" s="2" t="s">
        <v>140</v>
      </c>
    </row>
    <row r="803" spans="1:62">
      <c r="A803" s="2" t="s">
        <v>728</v>
      </c>
      <c r="B803" s="12" t="str">
        <f t="shared" si="147"/>
        <v>JANSEN</v>
      </c>
      <c r="C803" s="12" t="str">
        <f t="shared" si="148"/>
        <v>JANSEN</v>
      </c>
      <c r="D803" s="2" t="s">
        <v>1132</v>
      </c>
      <c r="E803" s="12" t="str">
        <f t="shared" si="158"/>
        <v>Christoffel Jacobus</v>
      </c>
      <c r="F803" s="2" t="s">
        <v>950</v>
      </c>
      <c r="G803" s="12" t="str">
        <f t="shared" si="149"/>
        <v>a1b3c1</v>
      </c>
      <c r="H803" s="12" t="str">
        <f t="shared" si="150"/>
        <v>JANSENa1b3c1</v>
      </c>
      <c r="K803" s="12" t="str">
        <f t="shared" si="151"/>
        <v/>
      </c>
      <c r="M803" s="2" t="s">
        <v>7122</v>
      </c>
      <c r="N803" s="12" t="str">
        <f t="shared" si="156"/>
        <v/>
      </c>
      <c r="O803" s="12" t="str">
        <f t="shared" si="157"/>
        <v>1779</v>
      </c>
      <c r="P803" s="2" t="s">
        <v>7123</v>
      </c>
      <c r="Q803" s="12" t="str">
        <f t="shared" si="152"/>
        <v>1779</v>
      </c>
      <c r="R803" s="2" t="s">
        <v>7124</v>
      </c>
      <c r="S803" s="12" t="str">
        <f t="shared" si="153"/>
        <v>1864</v>
      </c>
      <c r="V803" s="12" t="str">
        <f t="shared" si="154"/>
        <v/>
      </c>
      <c r="W803" s="2" t="s">
        <v>7125</v>
      </c>
      <c r="X803" s="2" t="s">
        <v>780</v>
      </c>
      <c r="Y803" s="2" t="s">
        <v>7126</v>
      </c>
      <c r="AF803" s="2" t="s">
        <v>3703</v>
      </c>
      <c r="AG803" s="2" t="s">
        <v>366</v>
      </c>
      <c r="AH803" s="2" t="s">
        <v>385</v>
      </c>
      <c r="AI803" s="12" t="str">
        <f t="shared" si="155"/>
        <v>1840</v>
      </c>
      <c r="AK803" s="2" t="s">
        <v>24</v>
      </c>
    </row>
    <row r="804" spans="1:62">
      <c r="A804" s="12" t="s">
        <v>728</v>
      </c>
      <c r="B804" s="12" t="str">
        <f t="shared" si="147"/>
        <v>JANSEN</v>
      </c>
      <c r="C804" s="12" t="str">
        <f t="shared" si="148"/>
        <v>JANSEN</v>
      </c>
      <c r="D804" s="2" t="s">
        <v>7117</v>
      </c>
      <c r="E804" s="12" t="str">
        <f t="shared" si="158"/>
        <v>Cornelis Alwyn Johannes</v>
      </c>
      <c r="F804" s="2" t="s">
        <v>7120</v>
      </c>
      <c r="G804" s="12" t="str">
        <f t="shared" si="149"/>
        <v>a1b3c1d2</v>
      </c>
      <c r="H804" s="12" t="str">
        <f t="shared" si="150"/>
        <v>JANSENa1b3c1d2</v>
      </c>
      <c r="J804" s="2" t="s">
        <v>7127</v>
      </c>
      <c r="K804" s="12" t="str">
        <f t="shared" si="151"/>
        <v>1810</v>
      </c>
      <c r="L804" s="2" t="s">
        <v>74</v>
      </c>
      <c r="M804" s="2" t="s">
        <v>3478</v>
      </c>
      <c r="N804" s="12" t="str">
        <f t="shared" si="156"/>
        <v>1810</v>
      </c>
      <c r="O804" s="12" t="str">
        <f t="shared" si="157"/>
        <v>1810</v>
      </c>
      <c r="Q804" s="12" t="str">
        <f t="shared" si="152"/>
        <v>1810</v>
      </c>
      <c r="S804" s="12" t="str">
        <f t="shared" si="153"/>
        <v/>
      </c>
      <c r="T804" s="2" t="s">
        <v>74</v>
      </c>
      <c r="U804" s="2" t="s">
        <v>7128</v>
      </c>
      <c r="V804" s="12" t="str">
        <f t="shared" si="154"/>
        <v>1832</v>
      </c>
      <c r="W804" s="2" t="s">
        <v>642</v>
      </c>
      <c r="X804" s="2" t="s">
        <v>7129</v>
      </c>
      <c r="AF804" s="2" t="s">
        <v>3703</v>
      </c>
      <c r="AG804" s="2" t="s">
        <v>366</v>
      </c>
      <c r="AH804" s="2" t="s">
        <v>5471</v>
      </c>
      <c r="AI804" s="12" t="str">
        <f t="shared" si="155"/>
        <v>1842</v>
      </c>
      <c r="AK804" s="2" t="s">
        <v>24</v>
      </c>
    </row>
    <row r="805" spans="1:62">
      <c r="A805" s="12" t="s">
        <v>728</v>
      </c>
      <c r="B805" s="12" t="str">
        <f t="shared" si="147"/>
        <v>JANSEN</v>
      </c>
      <c r="C805" s="12" t="str">
        <f t="shared" si="148"/>
        <v>JANSEN</v>
      </c>
      <c r="D805" s="2" t="s">
        <v>7119</v>
      </c>
      <c r="E805" s="12" t="str">
        <f t="shared" si="158"/>
        <v>Willem Schalk Jacobus</v>
      </c>
      <c r="F805" s="2" t="s">
        <v>953</v>
      </c>
      <c r="G805" s="12" t="str">
        <f t="shared" si="149"/>
        <v>a1b3c1d3</v>
      </c>
      <c r="H805" s="12" t="str">
        <f t="shared" si="150"/>
        <v>JANSENa1b3c1d3</v>
      </c>
      <c r="J805" s="2" t="s">
        <v>7134</v>
      </c>
      <c r="K805" s="12" t="str">
        <f t="shared" si="151"/>
        <v>1812</v>
      </c>
      <c r="L805" s="2" t="s">
        <v>74</v>
      </c>
      <c r="M805" s="2" t="s">
        <v>2789</v>
      </c>
      <c r="N805" s="12" t="str">
        <f t="shared" si="156"/>
        <v>1812</v>
      </c>
      <c r="O805" s="12" t="str">
        <f t="shared" si="157"/>
        <v>1812</v>
      </c>
      <c r="Q805" s="12" t="str">
        <f t="shared" si="152"/>
        <v>1812</v>
      </c>
      <c r="S805" s="12" t="str">
        <f t="shared" si="153"/>
        <v/>
      </c>
      <c r="T805" s="2" t="s">
        <v>74</v>
      </c>
      <c r="U805" s="2" t="s">
        <v>544</v>
      </c>
      <c r="V805" s="12" t="str">
        <f t="shared" si="154"/>
        <v>1834</v>
      </c>
      <c r="W805" s="2" t="s">
        <v>754</v>
      </c>
      <c r="X805" s="2" t="s">
        <v>7129</v>
      </c>
      <c r="AF805" s="2" t="s">
        <v>3703</v>
      </c>
      <c r="AG805" s="2" t="s">
        <v>366</v>
      </c>
      <c r="AH805" s="2" t="s">
        <v>7135</v>
      </c>
      <c r="AI805" s="12" t="str">
        <f t="shared" si="155"/>
        <v>1837</v>
      </c>
      <c r="AK805" s="2" t="s">
        <v>551</v>
      </c>
    </row>
    <row r="806" spans="1:62">
      <c r="A806" s="12" t="s">
        <v>728</v>
      </c>
      <c r="B806" s="12" t="str">
        <f t="shared" si="147"/>
        <v>JANSEN</v>
      </c>
      <c r="C806" s="12" t="str">
        <f t="shared" si="148"/>
        <v>JANSEN</v>
      </c>
      <c r="D806" s="2" t="s">
        <v>1057</v>
      </c>
      <c r="E806" s="12" t="str">
        <f t="shared" si="158"/>
        <v>Roelof Johannes</v>
      </c>
      <c r="F806" s="2" t="s">
        <v>7121</v>
      </c>
      <c r="G806" s="12" t="str">
        <f t="shared" si="149"/>
        <v>a1b3c7</v>
      </c>
      <c r="H806" s="12" t="str">
        <f t="shared" si="150"/>
        <v>JANSENa1b3c7</v>
      </c>
      <c r="K806" s="12" t="str">
        <f t="shared" si="151"/>
        <v/>
      </c>
      <c r="M806" s="2" t="s">
        <v>7131</v>
      </c>
      <c r="N806" s="12" t="str">
        <f t="shared" si="156"/>
        <v/>
      </c>
      <c r="O806" s="12" t="str">
        <f t="shared" si="157"/>
        <v>1797</v>
      </c>
      <c r="Q806" s="12" t="str">
        <f t="shared" si="152"/>
        <v>1797</v>
      </c>
      <c r="S806" s="12" t="str">
        <f t="shared" si="153"/>
        <v/>
      </c>
      <c r="T806" s="2" t="s">
        <v>366</v>
      </c>
      <c r="U806" s="2" t="s">
        <v>7132</v>
      </c>
      <c r="V806" s="12" t="str">
        <f t="shared" si="154"/>
        <v>1821</v>
      </c>
      <c r="W806" s="2" t="s">
        <v>644</v>
      </c>
      <c r="X806" s="2" t="s">
        <v>778</v>
      </c>
      <c r="AG806" s="2" t="s">
        <v>366</v>
      </c>
      <c r="AH806" s="2" t="s">
        <v>7133</v>
      </c>
      <c r="AI806" s="12" t="str">
        <f t="shared" si="155"/>
        <v>1839</v>
      </c>
      <c r="AK806" s="2" t="s">
        <v>140</v>
      </c>
    </row>
    <row r="807" spans="1:62">
      <c r="A807" s="12" t="s">
        <v>3303</v>
      </c>
      <c r="B807" s="12" t="str">
        <f t="shared" si="147"/>
        <v>JONKER</v>
      </c>
      <c r="C807" s="12" t="str">
        <f t="shared" si="148"/>
        <v>JONKER</v>
      </c>
      <c r="D807" s="2" t="s">
        <v>2215</v>
      </c>
      <c r="E807" s="12" t="str">
        <f t="shared" si="158"/>
        <v>Pieter</v>
      </c>
      <c r="F807" s="2" t="s">
        <v>953</v>
      </c>
      <c r="G807" s="12" t="str">
        <f t="shared" si="149"/>
        <v>a1b3c1d3</v>
      </c>
      <c r="H807" s="12" t="str">
        <f t="shared" si="150"/>
        <v>JONKERa1b3c1d3</v>
      </c>
      <c r="K807" s="12" t="str">
        <f t="shared" si="151"/>
        <v/>
      </c>
      <c r="L807" s="2" t="s">
        <v>32</v>
      </c>
      <c r="M807" s="2" t="s">
        <v>7143</v>
      </c>
      <c r="N807" s="12" t="str">
        <f t="shared" si="156"/>
        <v/>
      </c>
      <c r="O807" s="12" t="str">
        <f t="shared" si="157"/>
        <v>1800</v>
      </c>
      <c r="Q807" s="12" t="str">
        <f t="shared" si="152"/>
        <v>1800</v>
      </c>
      <c r="S807" s="12" t="str">
        <f t="shared" si="153"/>
        <v/>
      </c>
      <c r="T807" s="2" t="s">
        <v>32</v>
      </c>
      <c r="U807" s="2" t="s">
        <v>4075</v>
      </c>
      <c r="V807" s="12" t="str">
        <f t="shared" si="154"/>
        <v>1820</v>
      </c>
      <c r="W807" s="2" t="s">
        <v>7144</v>
      </c>
      <c r="X807" s="2" t="s">
        <v>7145</v>
      </c>
      <c r="Y807" s="2" t="s">
        <v>2385</v>
      </c>
      <c r="AA807" s="2" t="s">
        <v>5488</v>
      </c>
      <c r="AG807" s="2" t="s">
        <v>7146</v>
      </c>
      <c r="AH807" s="2" t="s">
        <v>385</v>
      </c>
      <c r="AI807" s="12" t="str">
        <f t="shared" si="155"/>
        <v>1840</v>
      </c>
      <c r="AJ807" s="2" t="s">
        <v>190</v>
      </c>
    </row>
    <row r="808" spans="1:62">
      <c r="A808" s="12" t="s">
        <v>3303</v>
      </c>
      <c r="B808" s="12" t="str">
        <f t="shared" si="147"/>
        <v>JONKER</v>
      </c>
      <c r="C808" s="12" t="str">
        <f t="shared" si="148"/>
        <v>JONKER</v>
      </c>
      <c r="D808" s="2" t="s">
        <v>30</v>
      </c>
      <c r="E808" s="12" t="str">
        <f t="shared" si="158"/>
        <v>Johannes</v>
      </c>
      <c r="F808" s="2" t="s">
        <v>956</v>
      </c>
      <c r="G808" s="12" t="str">
        <f t="shared" si="149"/>
        <v>a1b3c1d4</v>
      </c>
      <c r="H808" s="12" t="str">
        <f t="shared" si="150"/>
        <v>JONKERa1b3c1d4</v>
      </c>
      <c r="J808" s="2" t="s">
        <v>7137</v>
      </c>
      <c r="K808" s="12" t="str">
        <f t="shared" si="151"/>
        <v>1804</v>
      </c>
      <c r="L808" s="2" t="s">
        <v>961</v>
      </c>
      <c r="M808" s="2" t="s">
        <v>7138</v>
      </c>
      <c r="N808" s="12" t="str">
        <f t="shared" si="156"/>
        <v>1804</v>
      </c>
      <c r="O808" s="12" t="str">
        <f t="shared" si="157"/>
        <v>1805</v>
      </c>
      <c r="Q808" s="12" t="str">
        <f t="shared" si="152"/>
        <v>1804</v>
      </c>
      <c r="S808" s="12" t="str">
        <f t="shared" si="153"/>
        <v/>
      </c>
      <c r="T808" s="2" t="s">
        <v>366</v>
      </c>
      <c r="U808" s="2" t="s">
        <v>2135</v>
      </c>
      <c r="V808" s="12" t="str">
        <f t="shared" si="154"/>
        <v>1828</v>
      </c>
      <c r="W808" s="2" t="s">
        <v>7139</v>
      </c>
      <c r="X808" s="2" t="s">
        <v>7140</v>
      </c>
      <c r="AD808" s="2" t="s">
        <v>7141</v>
      </c>
      <c r="AG808" s="2" t="s">
        <v>366</v>
      </c>
      <c r="AH808" s="2" t="s">
        <v>385</v>
      </c>
      <c r="AI808" s="12" t="str">
        <f t="shared" si="155"/>
        <v>1840</v>
      </c>
      <c r="AJ808" s="2" t="s">
        <v>7142</v>
      </c>
    </row>
    <row r="809" spans="1:62">
      <c r="A809" s="12" t="s">
        <v>659</v>
      </c>
      <c r="B809" s="12" t="str">
        <f t="shared" si="147"/>
        <v>JOOSTE</v>
      </c>
      <c r="C809" s="12" t="str">
        <f t="shared" si="148"/>
        <v>JOOSTE</v>
      </c>
      <c r="D809" s="2" t="s">
        <v>7165</v>
      </c>
      <c r="E809" s="12" t="str">
        <f t="shared" si="158"/>
        <v xml:space="preserve">Francois (Frans) Jacobus Sr. </v>
      </c>
      <c r="F809" s="2" t="s">
        <v>7166</v>
      </c>
      <c r="G809" s="12" t="str">
        <f t="shared" si="149"/>
        <v>a1b1c2d8</v>
      </c>
      <c r="H809" s="12" t="str">
        <f t="shared" si="150"/>
        <v>JOOSTEa1b1c2d8</v>
      </c>
      <c r="K809" s="12" t="str">
        <f t="shared" si="151"/>
        <v/>
      </c>
      <c r="M809" s="2" t="s">
        <v>7167</v>
      </c>
      <c r="N809" s="12" t="str">
        <f t="shared" si="156"/>
        <v/>
      </c>
      <c r="O809" s="12" t="str">
        <f t="shared" si="157"/>
        <v>1783</v>
      </c>
      <c r="P809" s="2" t="s">
        <v>190</v>
      </c>
      <c r="Q809" s="12" t="str">
        <f t="shared" si="152"/>
        <v>1783</v>
      </c>
      <c r="R809" s="2" t="s">
        <v>7168</v>
      </c>
      <c r="S809" s="12" t="str">
        <f t="shared" si="153"/>
        <v>1854</v>
      </c>
      <c r="T809" s="2" t="s">
        <v>48</v>
      </c>
      <c r="U809" s="2" t="s">
        <v>7169</v>
      </c>
      <c r="V809" s="12" t="str">
        <f t="shared" si="154"/>
        <v>1804</v>
      </c>
      <c r="W809" s="2" t="s">
        <v>1709</v>
      </c>
      <c r="X809" s="2" t="s">
        <v>661</v>
      </c>
      <c r="AF809" s="2" t="s">
        <v>16</v>
      </c>
      <c r="AG809" s="2" t="s">
        <v>68</v>
      </c>
      <c r="AH809" s="2" t="s">
        <v>7170</v>
      </c>
      <c r="AI809" s="12" t="str">
        <f t="shared" si="155"/>
        <v xml:space="preserve"> (?)</v>
      </c>
      <c r="AK809" s="2" t="s">
        <v>1035</v>
      </c>
    </row>
    <row r="810" spans="1:62">
      <c r="A810" s="12" t="s">
        <v>659</v>
      </c>
      <c r="B810" s="12" t="str">
        <f t="shared" si="147"/>
        <v>JOOSTE</v>
      </c>
      <c r="C810" s="12" t="str">
        <f t="shared" si="148"/>
        <v>JOOSTE</v>
      </c>
      <c r="D810" s="2" t="s">
        <v>7155</v>
      </c>
      <c r="E810" s="12" t="str">
        <f t="shared" si="158"/>
        <v xml:space="preserve">Francois (Frans) Jacobus Jr. </v>
      </c>
      <c r="F810" s="2" t="s">
        <v>7156</v>
      </c>
      <c r="G810" s="12" t="str">
        <f t="shared" si="149"/>
        <v>a1b1c2d8e1</v>
      </c>
      <c r="H810" s="12" t="str">
        <f t="shared" si="150"/>
        <v>JOOSTEa1b1c2d8e1</v>
      </c>
      <c r="J810" s="2" t="s">
        <v>394</v>
      </c>
      <c r="K810" s="12" t="str">
        <f t="shared" si="151"/>
        <v>1805</v>
      </c>
      <c r="L810" s="2" t="s">
        <v>542</v>
      </c>
      <c r="M810" s="2" t="s">
        <v>7157</v>
      </c>
      <c r="N810" s="12" t="str">
        <f t="shared" si="156"/>
        <v>1805</v>
      </c>
      <c r="O810" s="12" t="str">
        <f t="shared" si="157"/>
        <v>1805</v>
      </c>
      <c r="P810" s="2" t="s">
        <v>7158</v>
      </c>
      <c r="Q810" s="12" t="str">
        <f t="shared" si="152"/>
        <v>1805</v>
      </c>
      <c r="R810" s="2" t="s">
        <v>3127</v>
      </c>
      <c r="S810" s="12" t="str">
        <f t="shared" si="153"/>
        <v>1884</v>
      </c>
      <c r="T810" s="2" t="s">
        <v>74</v>
      </c>
      <c r="U810" s="2" t="s">
        <v>4714</v>
      </c>
      <c r="V810" s="12" t="str">
        <f t="shared" si="154"/>
        <v>1827</v>
      </c>
      <c r="W810" s="2" t="s">
        <v>7159</v>
      </c>
      <c r="X810" s="2" t="s">
        <v>7160</v>
      </c>
      <c r="Z810" s="2" t="s">
        <v>74</v>
      </c>
      <c r="AA810" s="2" t="s">
        <v>7161</v>
      </c>
      <c r="AF810" s="2" t="s">
        <v>16</v>
      </c>
      <c r="AG810" s="2" t="s">
        <v>68</v>
      </c>
      <c r="AH810" s="2" t="s">
        <v>7162</v>
      </c>
      <c r="AI810" s="12" t="str">
        <f t="shared" si="155"/>
        <v>1838</v>
      </c>
      <c r="AK810" s="2" t="s">
        <v>140</v>
      </c>
      <c r="AL810" s="2" t="s">
        <v>140</v>
      </c>
      <c r="AM810" s="2" t="s">
        <v>4359</v>
      </c>
      <c r="AN810" s="2" t="s">
        <v>7163</v>
      </c>
      <c r="AO810" s="2" t="s">
        <v>729</v>
      </c>
      <c r="AW810" s="2" t="s">
        <v>24</v>
      </c>
      <c r="AX810" s="2" t="s">
        <v>3828</v>
      </c>
      <c r="AY810" s="2" t="s">
        <v>7164</v>
      </c>
      <c r="AZ810" s="2" t="s">
        <v>663</v>
      </c>
      <c r="BI810" s="2" t="s">
        <v>1709</v>
      </c>
      <c r="BJ810" s="2" t="s">
        <v>2016</v>
      </c>
    </row>
    <row r="811" spans="1:62">
      <c r="A811" s="12" t="s">
        <v>659</v>
      </c>
      <c r="B811" s="12" t="str">
        <f t="shared" si="147"/>
        <v>JOOSTE</v>
      </c>
      <c r="C811" s="12" t="str">
        <f t="shared" si="148"/>
        <v>JOOSTE</v>
      </c>
      <c r="D811" s="2" t="s">
        <v>7147</v>
      </c>
      <c r="E811" s="12" t="str">
        <f t="shared" si="158"/>
        <v>Cornlis (F Son)</v>
      </c>
      <c r="F811" s="2" t="s">
        <v>7148</v>
      </c>
      <c r="G811" s="12" t="str">
        <f t="shared" si="149"/>
        <v>a1b1c2d8e4</v>
      </c>
      <c r="H811" s="12" t="str">
        <f t="shared" si="150"/>
        <v>JOOSTEa1b1c2d8e4</v>
      </c>
      <c r="J811" s="2" t="s">
        <v>7149</v>
      </c>
      <c r="K811" s="12" t="str">
        <f t="shared" si="151"/>
        <v>1810</v>
      </c>
      <c r="L811" s="2" t="s">
        <v>74</v>
      </c>
      <c r="M811" s="2" t="s">
        <v>7150</v>
      </c>
      <c r="N811" s="12" t="str">
        <f t="shared" si="156"/>
        <v>1810</v>
      </c>
      <c r="O811" s="12" t="str">
        <f t="shared" si="157"/>
        <v>1811</v>
      </c>
      <c r="Q811" s="12" t="str">
        <f t="shared" si="152"/>
        <v>1810</v>
      </c>
      <c r="S811" s="12" t="str">
        <f t="shared" si="153"/>
        <v/>
      </c>
      <c r="T811" s="2" t="s">
        <v>74</v>
      </c>
      <c r="U811" s="2" t="s">
        <v>7151</v>
      </c>
      <c r="V811" s="12" t="str">
        <f t="shared" si="154"/>
        <v>1837</v>
      </c>
      <c r="W811" s="2" t="s">
        <v>7152</v>
      </c>
      <c r="X811" s="2" t="s">
        <v>7153</v>
      </c>
      <c r="Z811" s="2" t="s">
        <v>60</v>
      </c>
      <c r="AA811" s="2" t="s">
        <v>2529</v>
      </c>
      <c r="AF811" s="2" t="s">
        <v>16</v>
      </c>
      <c r="AG811" s="2" t="s">
        <v>68</v>
      </c>
      <c r="AH811" s="2" t="s">
        <v>7154</v>
      </c>
      <c r="AI811" s="12" t="str">
        <f t="shared" si="155"/>
        <v xml:space="preserve"> (?)</v>
      </c>
      <c r="AK811" s="2" t="s">
        <v>190</v>
      </c>
    </row>
    <row r="812" spans="1:62">
      <c r="A812" s="12" t="s">
        <v>659</v>
      </c>
      <c r="B812" s="12" t="str">
        <f t="shared" si="147"/>
        <v>JOOSTE</v>
      </c>
      <c r="C812" s="12" t="str">
        <f t="shared" si="148"/>
        <v>JOOSTE</v>
      </c>
      <c r="D812" s="2" t="s">
        <v>7171</v>
      </c>
      <c r="E812" s="12" t="str">
        <f t="shared" si="158"/>
        <v>Joseph Cornelis</v>
      </c>
      <c r="F812" s="2" t="s">
        <v>7172</v>
      </c>
      <c r="G812" s="12" t="str">
        <f t="shared" si="149"/>
        <v>a1b1c2d8e9</v>
      </c>
      <c r="H812" s="12" t="str">
        <f t="shared" si="150"/>
        <v>JOOSTEa1b1c2d8e9</v>
      </c>
      <c r="J812" s="2" t="s">
        <v>7173</v>
      </c>
      <c r="K812" s="12" t="str">
        <f t="shared" si="151"/>
        <v>1822</v>
      </c>
      <c r="L812" s="2" t="s">
        <v>74</v>
      </c>
      <c r="M812" s="2" t="s">
        <v>7174</v>
      </c>
      <c r="N812" s="12" t="str">
        <f t="shared" si="156"/>
        <v>1822</v>
      </c>
      <c r="O812" s="12" t="str">
        <f t="shared" si="157"/>
        <v>1823</v>
      </c>
      <c r="P812" s="2" t="s">
        <v>31</v>
      </c>
      <c r="Q812" s="12" t="str">
        <f t="shared" si="152"/>
        <v>1822</v>
      </c>
      <c r="R812" s="2" t="s">
        <v>7175</v>
      </c>
      <c r="S812" s="12" t="str">
        <f t="shared" si="153"/>
        <v>1879</v>
      </c>
      <c r="T812" s="2" t="s">
        <v>140</v>
      </c>
      <c r="U812" s="2" t="s">
        <v>7176</v>
      </c>
      <c r="V812" s="12" t="str">
        <f t="shared" si="154"/>
        <v>1846</v>
      </c>
      <c r="W812" s="2" t="s">
        <v>7177</v>
      </c>
      <c r="X812" s="2" t="s">
        <v>1612</v>
      </c>
      <c r="Y812" s="2" t="s">
        <v>7178</v>
      </c>
      <c r="AA812" s="2" t="s">
        <v>7179</v>
      </c>
      <c r="AB812" s="2" t="s">
        <v>28</v>
      </c>
      <c r="AC812" s="2" t="s">
        <v>7180</v>
      </c>
      <c r="AG812" s="2" t="s">
        <v>7181</v>
      </c>
      <c r="AH812" s="2" t="s">
        <v>7182</v>
      </c>
      <c r="AI812" s="12" t="str">
        <f t="shared" si="155"/>
        <v>1846</v>
      </c>
      <c r="AK812" s="2" t="s">
        <v>7183</v>
      </c>
      <c r="AL812" s="2" t="s">
        <v>190</v>
      </c>
      <c r="AM812" s="2" t="s">
        <v>7184</v>
      </c>
      <c r="AN812" s="2" t="s">
        <v>7185</v>
      </c>
      <c r="AO812" s="2" t="s">
        <v>7186</v>
      </c>
      <c r="AP812" s="2" t="s">
        <v>957</v>
      </c>
      <c r="AQ812" s="2" t="s">
        <v>7187</v>
      </c>
      <c r="AS812" s="2" t="s">
        <v>366</v>
      </c>
      <c r="AT812" s="2" t="s">
        <v>1705</v>
      </c>
    </row>
    <row r="813" spans="1:62">
      <c r="A813" s="12" t="s">
        <v>2235</v>
      </c>
      <c r="B813" s="12" t="str">
        <f t="shared" si="147"/>
        <v>JORDAAN</v>
      </c>
      <c r="C813" s="12" t="str">
        <f t="shared" si="148"/>
        <v>JORDAAN</v>
      </c>
      <c r="D813" s="2" t="s">
        <v>7190</v>
      </c>
      <c r="E813" s="12" t="str">
        <f t="shared" si="158"/>
        <v>David Benjamin</v>
      </c>
      <c r="F813" s="2" t="s">
        <v>7191</v>
      </c>
      <c r="G813" s="12" t="str">
        <f t="shared" si="149"/>
        <v>a1b1c5d1e12</v>
      </c>
      <c r="H813" s="12" t="str">
        <f t="shared" si="150"/>
        <v>JORDAANa1b1c5d1e12</v>
      </c>
      <c r="J813" s="2" t="s">
        <v>7211</v>
      </c>
      <c r="K813" s="12" t="str">
        <f t="shared" si="151"/>
        <v>1804</v>
      </c>
      <c r="L813" s="2" t="s">
        <v>542</v>
      </c>
      <c r="M813" s="2" t="s">
        <v>7212</v>
      </c>
      <c r="N813" s="12" t="str">
        <f t="shared" si="156"/>
        <v>1804</v>
      </c>
      <c r="O813" s="12" t="str">
        <f t="shared" si="157"/>
        <v>1805</v>
      </c>
      <c r="P813" s="2" t="s">
        <v>7213</v>
      </c>
      <c r="Q813" s="12" t="str">
        <f t="shared" si="152"/>
        <v>1804</v>
      </c>
      <c r="R813" s="2" t="s">
        <v>7214</v>
      </c>
      <c r="S813" s="12" t="str">
        <f t="shared" si="153"/>
        <v>1881</v>
      </c>
      <c r="T813" s="2" t="s">
        <v>28</v>
      </c>
      <c r="U813" s="2" t="s">
        <v>2539</v>
      </c>
      <c r="V813" s="12" t="str">
        <f t="shared" si="154"/>
        <v>1825</v>
      </c>
      <c r="W813" s="2" t="s">
        <v>1709</v>
      </c>
      <c r="X813" s="2" t="s">
        <v>2547</v>
      </c>
      <c r="AA813" s="12"/>
      <c r="AF813" s="2" t="s">
        <v>3699</v>
      </c>
      <c r="AG813" s="2" t="s">
        <v>68</v>
      </c>
      <c r="AH813" s="2" t="s">
        <v>1110</v>
      </c>
      <c r="AI813" s="12" t="str">
        <f t="shared" si="155"/>
        <v>1837</v>
      </c>
    </row>
    <row r="814" spans="1:62">
      <c r="A814" s="2" t="s">
        <v>2235</v>
      </c>
      <c r="B814" s="12" t="str">
        <f t="shared" si="147"/>
        <v>JORDAAN</v>
      </c>
      <c r="C814" s="12" t="str">
        <f t="shared" si="148"/>
        <v>JORDAAN</v>
      </c>
      <c r="D814" s="2" t="s">
        <v>7195</v>
      </c>
      <c r="E814" s="12" t="str">
        <f t="shared" si="158"/>
        <v>Jacob Daniel</v>
      </c>
      <c r="F814" s="2" t="s">
        <v>7196</v>
      </c>
      <c r="G814" s="12" t="str">
        <f t="shared" si="149"/>
        <v>a1b1c5d1e13</v>
      </c>
      <c r="H814" s="12" t="str">
        <f t="shared" si="150"/>
        <v>JORDAANa1b1c5d1e13</v>
      </c>
      <c r="J814" s="2" t="s">
        <v>7231</v>
      </c>
      <c r="K814" s="12" t="str">
        <f t="shared" si="151"/>
        <v>1806</v>
      </c>
      <c r="L814" s="2" t="s">
        <v>74</v>
      </c>
      <c r="M814" s="2" t="s">
        <v>268</v>
      </c>
      <c r="N814" s="12" t="str">
        <f t="shared" si="156"/>
        <v>1806</v>
      </c>
      <c r="O814" s="12" t="str">
        <f t="shared" si="157"/>
        <v>1806</v>
      </c>
      <c r="Q814" s="12" t="str">
        <f t="shared" si="152"/>
        <v>1806</v>
      </c>
      <c r="S814" s="12" t="str">
        <f t="shared" si="153"/>
        <v/>
      </c>
      <c r="T814" s="2" t="s">
        <v>28</v>
      </c>
      <c r="U814" s="2" t="s">
        <v>2780</v>
      </c>
      <c r="V814" s="12" t="str">
        <f t="shared" si="154"/>
        <v>1825</v>
      </c>
      <c r="W814" s="2" t="s">
        <v>7232</v>
      </c>
      <c r="X814" s="2" t="s">
        <v>2250</v>
      </c>
      <c r="Y814" s="2" t="s">
        <v>7233</v>
      </c>
      <c r="AA814" s="2" t="s">
        <v>7234</v>
      </c>
      <c r="AB814" s="2" t="s">
        <v>74</v>
      </c>
      <c r="AC814" s="2" t="s">
        <v>1758</v>
      </c>
      <c r="AF814" s="2" t="s">
        <v>3699</v>
      </c>
      <c r="AG814" s="2" t="s">
        <v>68</v>
      </c>
      <c r="AH814" s="2" t="s">
        <v>503</v>
      </c>
      <c r="AI814" s="12" t="str">
        <f t="shared" si="155"/>
        <v>1837</v>
      </c>
      <c r="AJ814" s="2" t="s">
        <v>277</v>
      </c>
      <c r="AK814" s="2" t="s">
        <v>5098</v>
      </c>
    </row>
    <row r="815" spans="1:62">
      <c r="A815" s="2" t="s">
        <v>2235</v>
      </c>
      <c r="B815" s="12" t="str">
        <f t="shared" si="147"/>
        <v>JORDAAN</v>
      </c>
      <c r="C815" s="12" t="str">
        <f t="shared" si="148"/>
        <v>JORDAAN</v>
      </c>
      <c r="D815" s="2" t="s">
        <v>7202</v>
      </c>
      <c r="E815" s="12" t="str">
        <f t="shared" si="158"/>
        <v>Pieter Willem Sr.</v>
      </c>
      <c r="F815" s="2" t="s">
        <v>7203</v>
      </c>
      <c r="G815" s="12" t="str">
        <f t="shared" si="149"/>
        <v>a1b1c5d1e4</v>
      </c>
      <c r="H815" s="12" t="str">
        <f t="shared" si="150"/>
        <v>JORDAANa1b1c5d1e4</v>
      </c>
      <c r="J815" s="2" t="s">
        <v>7254</v>
      </c>
      <c r="K815" s="12" t="str">
        <f t="shared" si="151"/>
        <v>1790</v>
      </c>
      <c r="N815" s="12" t="str">
        <f t="shared" si="156"/>
        <v>1790</v>
      </c>
      <c r="O815" s="12" t="str">
        <f t="shared" si="157"/>
        <v/>
      </c>
      <c r="Q815" s="12" t="str">
        <f t="shared" si="152"/>
        <v>1790</v>
      </c>
      <c r="S815" s="12" t="str">
        <f t="shared" si="153"/>
        <v/>
      </c>
      <c r="T815" s="2" t="s">
        <v>74</v>
      </c>
      <c r="U815" s="2" t="s">
        <v>7255</v>
      </c>
      <c r="V815" s="12" t="str">
        <f t="shared" si="154"/>
        <v>1813</v>
      </c>
      <c r="W815" s="2" t="s">
        <v>1020</v>
      </c>
      <c r="X815" s="2" t="s">
        <v>7256</v>
      </c>
      <c r="Y815" s="2" t="s">
        <v>7257</v>
      </c>
      <c r="AC815" s="2" t="s">
        <v>2150</v>
      </c>
      <c r="AF815" s="2" t="s">
        <v>7224</v>
      </c>
      <c r="AG815" s="2" t="s">
        <v>68</v>
      </c>
      <c r="AH815" s="2" t="s">
        <v>7258</v>
      </c>
      <c r="AI815" s="12" t="str">
        <f t="shared" si="155"/>
        <v>1837</v>
      </c>
      <c r="AJ815" s="2" t="s">
        <v>7099</v>
      </c>
    </row>
    <row r="816" spans="1:62">
      <c r="A816" s="2" t="s">
        <v>2235</v>
      </c>
      <c r="B816" s="12" t="str">
        <f t="shared" si="147"/>
        <v>JORDAAN</v>
      </c>
      <c r="C816" s="12" t="str">
        <f t="shared" si="148"/>
        <v>JORDAAN</v>
      </c>
      <c r="D816" s="2" t="s">
        <v>7204</v>
      </c>
      <c r="E816" s="12" t="str">
        <f t="shared" si="158"/>
        <v>Pieter Willem Jr.</v>
      </c>
      <c r="F816" s="2" t="s">
        <v>7205</v>
      </c>
      <c r="G816" s="12" t="str">
        <f t="shared" si="149"/>
        <v>a1b1c5d1e4f4</v>
      </c>
      <c r="H816" s="12" t="str">
        <f t="shared" si="150"/>
        <v>JORDAANa1b1c5d1e4f4</v>
      </c>
      <c r="J816" s="2" t="s">
        <v>2810</v>
      </c>
      <c r="K816" s="12" t="str">
        <f t="shared" si="151"/>
        <v>1823</v>
      </c>
      <c r="L816" s="2" t="s">
        <v>28</v>
      </c>
      <c r="M816" s="2" t="s">
        <v>5322</v>
      </c>
      <c r="N816" s="12" t="str">
        <f t="shared" si="156"/>
        <v>1823</v>
      </c>
      <c r="O816" s="12" t="str">
        <f t="shared" si="157"/>
        <v>1823</v>
      </c>
      <c r="Q816" s="12" t="str">
        <f t="shared" si="152"/>
        <v>1823</v>
      </c>
      <c r="R816" s="2" t="s">
        <v>7259</v>
      </c>
      <c r="S816" s="12" t="str">
        <f t="shared" si="153"/>
        <v>1906</v>
      </c>
      <c r="U816" s="2" t="s">
        <v>5548</v>
      </c>
      <c r="V816" s="12" t="str">
        <f t="shared" si="154"/>
        <v>1844</v>
      </c>
      <c r="W816" s="2" t="s">
        <v>7260</v>
      </c>
      <c r="X816" s="2" t="s">
        <v>2235</v>
      </c>
      <c r="AF816" s="2" t="s">
        <v>7224</v>
      </c>
      <c r="AG816" s="2" t="s">
        <v>68</v>
      </c>
      <c r="AH816" s="2" t="s">
        <v>7258</v>
      </c>
      <c r="AI816" s="12" t="str">
        <f t="shared" si="155"/>
        <v>1837</v>
      </c>
      <c r="AJ816" s="2" t="s">
        <v>7099</v>
      </c>
    </row>
    <row r="817" spans="1:68">
      <c r="A817" s="2" t="s">
        <v>2235</v>
      </c>
      <c r="B817" s="12" t="str">
        <f t="shared" si="147"/>
        <v>JORDAAN</v>
      </c>
      <c r="C817" s="12" t="str">
        <f t="shared" si="148"/>
        <v>JORDAAN</v>
      </c>
      <c r="D817" s="2" t="s">
        <v>2253</v>
      </c>
      <c r="E817" s="12" t="str">
        <f t="shared" si="158"/>
        <v>Johannes Jacobus</v>
      </c>
      <c r="F817" s="2" t="s">
        <v>7198</v>
      </c>
      <c r="G817" s="12" t="str">
        <f t="shared" si="149"/>
        <v>a1b1c5d1e5</v>
      </c>
      <c r="H817" s="12" t="str">
        <f t="shared" si="150"/>
        <v>JORDAANa1b1c5d1e5</v>
      </c>
      <c r="J817" s="2" t="s">
        <v>7215</v>
      </c>
      <c r="K817" s="12" t="str">
        <f t="shared" si="151"/>
        <v>1792</v>
      </c>
      <c r="M817" s="2" t="s">
        <v>7238</v>
      </c>
      <c r="N817" s="12" t="str">
        <f t="shared" si="156"/>
        <v>1792</v>
      </c>
      <c r="O817" s="12" t="str">
        <f t="shared" si="157"/>
        <v>1792</v>
      </c>
      <c r="P817" s="2" t="s">
        <v>24</v>
      </c>
      <c r="Q817" s="12" t="str">
        <f t="shared" si="152"/>
        <v>1792</v>
      </c>
      <c r="R817" s="2" t="s">
        <v>7239</v>
      </c>
      <c r="S817" s="12" t="str">
        <f t="shared" si="153"/>
        <v>1877</v>
      </c>
      <c r="T817" s="2" t="s">
        <v>28</v>
      </c>
      <c r="U817" s="2" t="s">
        <v>7240</v>
      </c>
      <c r="V817" s="12" t="str">
        <f t="shared" si="154"/>
        <v>1821</v>
      </c>
      <c r="W817" s="2" t="s">
        <v>7241</v>
      </c>
      <c r="X817" s="2" t="s">
        <v>822</v>
      </c>
      <c r="Y817" s="2" t="s">
        <v>7242</v>
      </c>
      <c r="AA817" s="2" t="s">
        <v>7243</v>
      </c>
      <c r="AF817" s="2" t="s">
        <v>3699</v>
      </c>
      <c r="AG817" s="2" t="s">
        <v>68</v>
      </c>
      <c r="AH817" s="2" t="s">
        <v>7230</v>
      </c>
      <c r="AI817" s="12" t="str">
        <f t="shared" si="155"/>
        <v>1845</v>
      </c>
      <c r="AK817" s="2" t="s">
        <v>24</v>
      </c>
    </row>
    <row r="818" spans="1:68">
      <c r="A818" s="2" t="s">
        <v>2235</v>
      </c>
      <c r="B818" s="12" t="str">
        <f t="shared" si="147"/>
        <v>JORDAAN</v>
      </c>
      <c r="C818" s="12" t="str">
        <f t="shared" si="148"/>
        <v>JORDAAN</v>
      </c>
      <c r="D818" s="2" t="s">
        <v>7193</v>
      </c>
      <c r="E818" s="12" t="str">
        <f t="shared" si="158"/>
        <v>Gert</v>
      </c>
      <c r="F818" s="2" t="s">
        <v>7194</v>
      </c>
      <c r="G818" s="12" t="str">
        <f t="shared" si="149"/>
        <v>a1b1c5d1e5f1</v>
      </c>
      <c r="H818" s="12" t="str">
        <f t="shared" si="150"/>
        <v>JORDAANa1b1c5d1e5f1</v>
      </c>
      <c r="J818" s="2" t="s">
        <v>7226</v>
      </c>
      <c r="K818" s="12" t="str">
        <f t="shared" si="151"/>
        <v>1822</v>
      </c>
      <c r="L818" s="2" t="s">
        <v>28</v>
      </c>
      <c r="M818" s="2" t="s">
        <v>7227</v>
      </c>
      <c r="N818" s="12" t="str">
        <f t="shared" si="156"/>
        <v>1822</v>
      </c>
      <c r="O818" s="12" t="str">
        <f t="shared" si="157"/>
        <v>1822</v>
      </c>
      <c r="P818" s="2" t="s">
        <v>2520</v>
      </c>
      <c r="Q818" s="12" t="str">
        <f t="shared" si="152"/>
        <v>1822</v>
      </c>
      <c r="R818" s="2" t="s">
        <v>7228</v>
      </c>
      <c r="S818" s="12" t="str">
        <f t="shared" si="153"/>
        <v>1890</v>
      </c>
      <c r="V818" s="12" t="str">
        <f t="shared" si="154"/>
        <v/>
      </c>
      <c r="W818" s="2" t="s">
        <v>7229</v>
      </c>
      <c r="X818" s="2" t="s">
        <v>2106</v>
      </c>
      <c r="AF818" s="2" t="s">
        <v>3699</v>
      </c>
      <c r="AG818" s="2" t="s">
        <v>68</v>
      </c>
      <c r="AH818" s="2" t="s">
        <v>7230</v>
      </c>
      <c r="AI818" s="12" t="str">
        <f t="shared" si="155"/>
        <v>1845</v>
      </c>
      <c r="AK818" s="2" t="s">
        <v>24</v>
      </c>
    </row>
    <row r="819" spans="1:68">
      <c r="A819" s="12" t="s">
        <v>2235</v>
      </c>
      <c r="B819" s="12" t="str">
        <f t="shared" si="147"/>
        <v>JORDAAN</v>
      </c>
      <c r="C819" s="12" t="str">
        <f t="shared" si="148"/>
        <v>JORDAAN</v>
      </c>
      <c r="D819" s="2" t="s">
        <v>1284</v>
      </c>
      <c r="E819" s="12" t="str">
        <f t="shared" si="158"/>
        <v>Johannes Hendrik</v>
      </c>
      <c r="F819" s="2" t="s">
        <v>7197</v>
      </c>
      <c r="G819" s="12" t="str">
        <f t="shared" si="149"/>
        <v>a1b1c5d1e5f2</v>
      </c>
      <c r="H819" s="12" t="str">
        <f t="shared" si="150"/>
        <v>JORDAANa1b1c5d1e5f2</v>
      </c>
      <c r="J819" s="2" t="s">
        <v>428</v>
      </c>
      <c r="K819" s="12" t="str">
        <f t="shared" si="151"/>
        <v>1825</v>
      </c>
      <c r="L819" s="2" t="s">
        <v>28</v>
      </c>
      <c r="M819" s="2" t="s">
        <v>3410</v>
      </c>
      <c r="N819" s="12" t="str">
        <f t="shared" si="156"/>
        <v>1825</v>
      </c>
      <c r="O819" s="12" t="str">
        <f t="shared" si="157"/>
        <v>1825</v>
      </c>
      <c r="P819" s="2" t="s">
        <v>7235</v>
      </c>
      <c r="Q819" s="12" t="str">
        <f t="shared" si="152"/>
        <v>1825</v>
      </c>
      <c r="R819" s="2" t="s">
        <v>7236</v>
      </c>
      <c r="S819" s="12" t="str">
        <f t="shared" si="153"/>
        <v>1901</v>
      </c>
      <c r="V819" s="12" t="str">
        <f t="shared" si="154"/>
        <v/>
      </c>
      <c r="W819" s="2" t="s">
        <v>680</v>
      </c>
      <c r="X819" s="2" t="s">
        <v>2153</v>
      </c>
      <c r="AF819" s="2" t="s">
        <v>3699</v>
      </c>
      <c r="AG819" s="2" t="s">
        <v>68</v>
      </c>
      <c r="AH819" s="2" t="s">
        <v>7230</v>
      </c>
      <c r="AI819" s="12" t="str">
        <f t="shared" si="155"/>
        <v>1845</v>
      </c>
      <c r="AK819" s="2" t="s">
        <v>24</v>
      </c>
      <c r="AN819" s="2" t="s">
        <v>7237</v>
      </c>
      <c r="AO819" s="2" t="s">
        <v>1983</v>
      </c>
    </row>
    <row r="820" spans="1:68">
      <c r="A820" s="12" t="s">
        <v>2235</v>
      </c>
      <c r="B820" s="12" t="str">
        <f t="shared" si="147"/>
        <v>JORDAAN</v>
      </c>
      <c r="C820" s="12" t="str">
        <f t="shared" si="148"/>
        <v>JORDAAN</v>
      </c>
      <c r="D820" s="12" t="s">
        <v>6271</v>
      </c>
      <c r="E820" s="12" t="str">
        <f t="shared" si="158"/>
        <v>Gerrit Jacobus</v>
      </c>
      <c r="F820" s="12" t="s">
        <v>7192</v>
      </c>
      <c r="G820" s="12" t="str">
        <f t="shared" si="149"/>
        <v>a1b1c5d1e6</v>
      </c>
      <c r="H820" s="12" t="str">
        <f t="shared" si="150"/>
        <v>JORDAANa1b1c5d1e6</v>
      </c>
      <c r="I820" s="12"/>
      <c r="J820" s="12" t="s">
        <v>7215</v>
      </c>
      <c r="K820" s="12" t="str">
        <f t="shared" si="151"/>
        <v>1792</v>
      </c>
      <c r="L820" s="12"/>
      <c r="M820" s="12" t="s">
        <v>7216</v>
      </c>
      <c r="N820" s="12" t="str">
        <f t="shared" si="156"/>
        <v>1792</v>
      </c>
      <c r="O820" s="12" t="str">
        <f t="shared" si="157"/>
        <v>1793</v>
      </c>
      <c r="P820" s="12" t="s">
        <v>7217</v>
      </c>
      <c r="Q820" s="12" t="str">
        <f t="shared" si="152"/>
        <v>1792</v>
      </c>
      <c r="R820" s="12" t="s">
        <v>7218</v>
      </c>
      <c r="S820" s="12" t="str">
        <f t="shared" si="153"/>
        <v>1866</v>
      </c>
      <c r="T820" s="12" t="s">
        <v>74</v>
      </c>
      <c r="U820" s="12" t="s">
        <v>7219</v>
      </c>
      <c r="V820" s="12" t="str">
        <f t="shared" si="154"/>
        <v>1818</v>
      </c>
      <c r="W820" s="12" t="s">
        <v>7220</v>
      </c>
      <c r="X820" s="12" t="s">
        <v>7221</v>
      </c>
      <c r="Y820" s="12" t="s">
        <v>7222</v>
      </c>
      <c r="Z820" s="12"/>
      <c r="AA820" s="12"/>
      <c r="AB820" s="12"/>
      <c r="AC820" s="12" t="s">
        <v>7223</v>
      </c>
      <c r="AD820" s="12"/>
      <c r="AE820" s="12"/>
      <c r="AF820" s="12" t="s">
        <v>7224</v>
      </c>
      <c r="AG820" s="12" t="s">
        <v>68</v>
      </c>
      <c r="AH820" s="12" t="s">
        <v>503</v>
      </c>
      <c r="AI820" s="12" t="str">
        <f t="shared" si="155"/>
        <v>1837</v>
      </c>
      <c r="AJ820" s="12" t="s">
        <v>5437</v>
      </c>
      <c r="AK820" s="12" t="s">
        <v>4588</v>
      </c>
      <c r="AL820" s="12" t="s">
        <v>74</v>
      </c>
      <c r="AM820" s="12" t="s">
        <v>7225</v>
      </c>
      <c r="AN820" s="12" t="s">
        <v>2250</v>
      </c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</row>
    <row r="821" spans="1:68">
      <c r="A821" s="12" t="s">
        <v>2235</v>
      </c>
      <c r="B821" s="12" t="str">
        <f t="shared" si="147"/>
        <v>JORDAAN</v>
      </c>
      <c r="C821" s="12" t="str">
        <f t="shared" si="148"/>
        <v>JORDAAN</v>
      </c>
      <c r="D821" s="12" t="s">
        <v>7199</v>
      </c>
      <c r="E821" s="12" t="str">
        <f t="shared" si="158"/>
        <v>Louis Hosea</v>
      </c>
      <c r="F821" s="12" t="s">
        <v>7200</v>
      </c>
      <c r="G821" s="12" t="str">
        <f t="shared" si="149"/>
        <v>a1b1c5d1e8</v>
      </c>
      <c r="H821" s="12" t="str">
        <f t="shared" si="150"/>
        <v>JORDAANa1b1c5d1e8</v>
      </c>
      <c r="I821" s="12"/>
      <c r="J821" s="12" t="s">
        <v>7244</v>
      </c>
      <c r="K821" s="12" t="str">
        <f t="shared" si="151"/>
        <v>1795</v>
      </c>
      <c r="L821" s="12"/>
      <c r="M821" s="12" t="s">
        <v>3649</v>
      </c>
      <c r="N821" s="12" t="str">
        <f t="shared" si="156"/>
        <v>1795</v>
      </c>
      <c r="O821" s="12" t="str">
        <f t="shared" si="157"/>
        <v>1796</v>
      </c>
      <c r="P821" s="12" t="s">
        <v>24</v>
      </c>
      <c r="Q821" s="12" t="str">
        <f t="shared" si="152"/>
        <v>1795</v>
      </c>
      <c r="R821" s="12" t="s">
        <v>7245</v>
      </c>
      <c r="S821" s="12" t="str">
        <f t="shared" si="153"/>
        <v>1874</v>
      </c>
      <c r="T821" s="12" t="s">
        <v>74</v>
      </c>
      <c r="U821" s="12" t="s">
        <v>159</v>
      </c>
      <c r="V821" s="12" t="str">
        <f t="shared" si="154"/>
        <v>1819</v>
      </c>
      <c r="W821" s="12" t="s">
        <v>7246</v>
      </c>
      <c r="X821" s="12" t="s">
        <v>2250</v>
      </c>
      <c r="Y821" s="12" t="s">
        <v>7247</v>
      </c>
      <c r="Z821" s="12"/>
      <c r="AA821" s="12" t="s">
        <v>7248</v>
      </c>
      <c r="AB821" s="12" t="s">
        <v>74</v>
      </c>
      <c r="AC821" s="12" t="s">
        <v>22</v>
      </c>
      <c r="AD821" s="12"/>
      <c r="AE821" s="12"/>
      <c r="AF821" s="12" t="s">
        <v>3699</v>
      </c>
      <c r="AG821" s="12" t="s">
        <v>68</v>
      </c>
      <c r="AH821" s="12" t="s">
        <v>1110</v>
      </c>
      <c r="AI821" s="12" t="str">
        <f t="shared" si="155"/>
        <v>1837</v>
      </c>
      <c r="AJ821" s="12" t="s">
        <v>5444</v>
      </c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</row>
    <row r="822" spans="1:68">
      <c r="A822" s="12" t="s">
        <v>2235</v>
      </c>
      <c r="B822" s="12" t="str">
        <f t="shared" si="147"/>
        <v>JORDAAN</v>
      </c>
      <c r="C822" s="12" t="str">
        <f t="shared" si="148"/>
        <v>JORDAAN</v>
      </c>
      <c r="D822" s="12" t="s">
        <v>7201</v>
      </c>
      <c r="E822" s="12" t="str">
        <f t="shared" si="158"/>
        <v>Pieter Georg</v>
      </c>
      <c r="F822" s="12" t="s">
        <v>3468</v>
      </c>
      <c r="G822" s="12" t="str">
        <f t="shared" si="149"/>
        <v>a1b1c5d6e3</v>
      </c>
      <c r="H822" s="12" t="str">
        <f t="shared" si="150"/>
        <v>JORDAANa1b1c5d6e3</v>
      </c>
      <c r="I822" s="12"/>
      <c r="J822" s="12" t="s">
        <v>7249</v>
      </c>
      <c r="K822" s="12" t="str">
        <f t="shared" si="151"/>
        <v>1803</v>
      </c>
      <c r="L822" s="12" t="s">
        <v>542</v>
      </c>
      <c r="M822" s="12" t="s">
        <v>7250</v>
      </c>
      <c r="N822" s="12" t="str">
        <f t="shared" si="156"/>
        <v>1803</v>
      </c>
      <c r="O822" s="12" t="str">
        <f t="shared" si="157"/>
        <v>1804</v>
      </c>
      <c r="P822" s="12" t="s">
        <v>71</v>
      </c>
      <c r="Q822" s="12" t="str">
        <f t="shared" si="152"/>
        <v>1803</v>
      </c>
      <c r="R822" s="12" t="s">
        <v>72</v>
      </c>
      <c r="S822" s="12" t="str">
        <f t="shared" si="153"/>
        <v>1838</v>
      </c>
      <c r="T822" s="12" t="s">
        <v>28</v>
      </c>
      <c r="U822" s="12" t="s">
        <v>1621</v>
      </c>
      <c r="V822" s="12" t="str">
        <f t="shared" si="154"/>
        <v>1824</v>
      </c>
      <c r="W822" s="12" t="s">
        <v>7251</v>
      </c>
      <c r="X822" s="12" t="s">
        <v>726</v>
      </c>
      <c r="Y822" s="12" t="s">
        <v>7252</v>
      </c>
      <c r="Z822" s="12"/>
      <c r="AA822" s="12"/>
      <c r="AB822" s="12"/>
      <c r="AC822" s="12" t="s">
        <v>7253</v>
      </c>
      <c r="AD822" s="12"/>
      <c r="AE822" s="12"/>
      <c r="AF822" s="12" t="s">
        <v>3699</v>
      </c>
      <c r="AG822" s="12" t="s">
        <v>68</v>
      </c>
      <c r="AH822" s="12" t="s">
        <v>5423</v>
      </c>
      <c r="AI822" s="12" t="str">
        <f t="shared" si="155"/>
        <v>TIEF</v>
      </c>
      <c r="AJ822" s="12" t="s">
        <v>1542</v>
      </c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</row>
    <row r="823" spans="1:68">
      <c r="A823" s="12" t="s">
        <v>2235</v>
      </c>
      <c r="B823" s="12" t="str">
        <f t="shared" si="147"/>
        <v>JORDAAN</v>
      </c>
      <c r="C823" s="12" t="str">
        <f t="shared" si="148"/>
        <v>JORDAAN</v>
      </c>
      <c r="D823" s="12" t="s">
        <v>7188</v>
      </c>
      <c r="E823" s="12" t="str">
        <f t="shared" si="158"/>
        <v>Christoffel Johannes Petrus</v>
      </c>
      <c r="F823" s="12" t="s">
        <v>7189</v>
      </c>
      <c r="G823" s="12" t="str">
        <f t="shared" si="149"/>
        <v>a1b1c5d6e5</v>
      </c>
      <c r="H823" s="12" t="str">
        <f t="shared" si="150"/>
        <v>JORDAANa1b1c5d6e5</v>
      </c>
      <c r="I823" s="12"/>
      <c r="J823" s="12"/>
      <c r="K823" s="12" t="str">
        <f t="shared" si="151"/>
        <v/>
      </c>
      <c r="M823" s="2" t="s">
        <v>7206</v>
      </c>
      <c r="N823" s="12" t="str">
        <f t="shared" si="156"/>
        <v/>
      </c>
      <c r="O823" s="12" t="str">
        <f t="shared" si="157"/>
        <v>1809</v>
      </c>
      <c r="P823" s="12" t="s">
        <v>90</v>
      </c>
      <c r="Q823" s="12" t="str">
        <f t="shared" si="152"/>
        <v>1809</v>
      </c>
      <c r="R823" s="12" t="s">
        <v>6663</v>
      </c>
      <c r="S823" s="12" t="str">
        <f t="shared" si="153"/>
        <v>1883</v>
      </c>
      <c r="T823" s="12" t="s">
        <v>68</v>
      </c>
      <c r="U823" s="12" t="s">
        <v>7207</v>
      </c>
      <c r="V823" s="12" t="str">
        <f t="shared" si="154"/>
        <v>1830</v>
      </c>
      <c r="W823" s="12" t="s">
        <v>644</v>
      </c>
      <c r="X823" s="12" t="s">
        <v>2901</v>
      </c>
      <c r="Y823" s="12" t="s">
        <v>7208</v>
      </c>
      <c r="Z823" s="12"/>
      <c r="AA823" s="12"/>
      <c r="AB823" s="12"/>
      <c r="AC823" s="12"/>
      <c r="AD823" s="12"/>
      <c r="AE823" s="12" t="s">
        <v>7209</v>
      </c>
      <c r="AF823" s="12" t="s">
        <v>3699</v>
      </c>
      <c r="AG823" s="12" t="s">
        <v>68</v>
      </c>
      <c r="AH823" s="12" t="s">
        <v>503</v>
      </c>
      <c r="AI823" s="12" t="str">
        <f t="shared" si="155"/>
        <v>1837</v>
      </c>
      <c r="AJ823" s="12" t="s">
        <v>7210</v>
      </c>
      <c r="AK823" s="12"/>
      <c r="AL823" s="12" t="s">
        <v>5098</v>
      </c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</row>
    <row r="824" spans="1:68">
      <c r="A824" s="12" t="s">
        <v>758</v>
      </c>
      <c r="B824" s="12" t="str">
        <f t="shared" si="147"/>
        <v>JOUBERT</v>
      </c>
      <c r="C824" s="12" t="str">
        <f t="shared" si="148"/>
        <v>JOUBERT</v>
      </c>
      <c r="D824" s="12" t="s">
        <v>7277</v>
      </c>
      <c r="E824" s="12" t="str">
        <f t="shared" si="158"/>
        <v xml:space="preserve">Jan Abraham </v>
      </c>
      <c r="F824" s="12" t="s">
        <v>7278</v>
      </c>
      <c r="G824" s="12" t="str">
        <f t="shared" si="149"/>
        <v>a1b10c4d2e3</v>
      </c>
      <c r="H824" s="12" t="str">
        <f t="shared" si="150"/>
        <v>JOUBERTa1b10c4d2e3</v>
      </c>
      <c r="I824" s="12"/>
      <c r="J824" s="12" t="s">
        <v>7377</v>
      </c>
      <c r="K824" s="12" t="str">
        <f t="shared" si="151"/>
        <v>1809</v>
      </c>
      <c r="L824" s="12" t="s">
        <v>74</v>
      </c>
      <c r="M824" s="12" t="s">
        <v>3072</v>
      </c>
      <c r="N824" s="12" t="str">
        <f t="shared" si="156"/>
        <v>1809</v>
      </c>
      <c r="O824" s="12" t="str">
        <f t="shared" si="157"/>
        <v>1810</v>
      </c>
      <c r="P824" s="12" t="s">
        <v>134</v>
      </c>
      <c r="Q824" s="12" t="str">
        <f t="shared" si="152"/>
        <v>1809</v>
      </c>
      <c r="R824" s="12" t="s">
        <v>7378</v>
      </c>
      <c r="S824" s="12" t="str">
        <f t="shared" si="153"/>
        <v>1880</v>
      </c>
      <c r="T824" s="12" t="s">
        <v>68</v>
      </c>
      <c r="U824" s="12" t="s">
        <v>7379</v>
      </c>
      <c r="V824" s="12" t="str">
        <f t="shared" si="154"/>
        <v>1832</v>
      </c>
      <c r="W824" s="12" t="s">
        <v>7380</v>
      </c>
      <c r="X824" s="12" t="s">
        <v>7381</v>
      </c>
      <c r="Y824" s="12"/>
      <c r="Z824" s="12"/>
      <c r="AA824" s="12"/>
      <c r="AB824" s="12"/>
      <c r="AC824" s="12"/>
      <c r="AD824" s="12"/>
      <c r="AE824" s="12"/>
      <c r="AF824" s="12" t="s">
        <v>3706</v>
      </c>
      <c r="AG824" s="12" t="s">
        <v>7382</v>
      </c>
      <c r="AH824" s="12" t="s">
        <v>5431</v>
      </c>
      <c r="AI824" s="12" t="str">
        <f t="shared" si="155"/>
        <v xml:space="preserve"> (?)</v>
      </c>
      <c r="AJ824" s="12"/>
      <c r="AK824" s="12" t="s">
        <v>7383</v>
      </c>
      <c r="AL824" s="12"/>
      <c r="AM824" s="12"/>
      <c r="AN824" s="12" t="s">
        <v>7384</v>
      </c>
      <c r="AO824" s="12" t="s">
        <v>758</v>
      </c>
      <c r="AP824" s="12"/>
      <c r="AQ824" s="12"/>
      <c r="AR824" s="12"/>
      <c r="AS824" s="12"/>
      <c r="AT824" s="12"/>
      <c r="AU824" s="12"/>
      <c r="AV824" s="12"/>
      <c r="AW824" s="12" t="s">
        <v>5098</v>
      </c>
      <c r="AX824" s="12" t="s">
        <v>7385</v>
      </c>
      <c r="AY824" s="12" t="s">
        <v>7386</v>
      </c>
      <c r="AZ824" s="12" t="s">
        <v>7387</v>
      </c>
      <c r="BA824" s="12" t="s">
        <v>7388</v>
      </c>
      <c r="BB824" s="12" t="s">
        <v>7389</v>
      </c>
      <c r="BC824" s="12"/>
      <c r="BD824" s="12"/>
      <c r="BE824" s="12"/>
      <c r="BF824" s="12" t="s">
        <v>7390</v>
      </c>
      <c r="BG824" s="12"/>
      <c r="BH824" s="2" t="s">
        <v>7391</v>
      </c>
      <c r="BI824" s="2" t="s">
        <v>7392</v>
      </c>
      <c r="BJ824" s="2" t="s">
        <v>7393</v>
      </c>
      <c r="BK824" s="2" t="s">
        <v>7394</v>
      </c>
      <c r="BO824" s="2" t="s">
        <v>7395</v>
      </c>
      <c r="BP824" s="2" t="s">
        <v>7396</v>
      </c>
    </row>
    <row r="825" spans="1:68">
      <c r="A825" s="12" t="s">
        <v>758</v>
      </c>
      <c r="B825" s="12" t="str">
        <f t="shared" si="147"/>
        <v>JOUBERT</v>
      </c>
      <c r="C825" s="12" t="str">
        <f t="shared" si="148"/>
        <v>JOUBERT</v>
      </c>
      <c r="D825" s="12" t="s">
        <v>7285</v>
      </c>
      <c r="E825" s="12" t="str">
        <f t="shared" si="158"/>
        <v>Josua</v>
      </c>
      <c r="F825" s="12" t="s">
        <v>7286</v>
      </c>
      <c r="G825" s="12" t="str">
        <f t="shared" si="149"/>
        <v>a1b10c6d3e2</v>
      </c>
      <c r="H825" s="12" t="str">
        <f t="shared" si="150"/>
        <v>JOUBERTa1b10c6d3e2</v>
      </c>
      <c r="I825" s="12"/>
      <c r="J825" s="12"/>
      <c r="K825" s="12" t="str">
        <f t="shared" si="151"/>
        <v/>
      </c>
      <c r="L825" s="12"/>
      <c r="M825" s="12" t="s">
        <v>7420</v>
      </c>
      <c r="N825" s="12" t="str">
        <f t="shared" si="156"/>
        <v/>
      </c>
      <c r="O825" s="12" t="str">
        <f t="shared" si="157"/>
        <v>1834</v>
      </c>
      <c r="P825" s="12"/>
      <c r="Q825" s="12" t="str">
        <f t="shared" si="152"/>
        <v>1834</v>
      </c>
      <c r="R825" s="12"/>
      <c r="S825" s="12" t="str">
        <f t="shared" si="153"/>
        <v/>
      </c>
      <c r="T825" s="12" t="s">
        <v>32</v>
      </c>
      <c r="U825" s="12" t="s">
        <v>7421</v>
      </c>
      <c r="V825" s="12" t="str">
        <f t="shared" si="154"/>
        <v>1830</v>
      </c>
      <c r="W825" s="12" t="s">
        <v>7422</v>
      </c>
      <c r="X825" s="12" t="s">
        <v>698</v>
      </c>
      <c r="Y825" s="12"/>
      <c r="Z825" s="12"/>
      <c r="AA825" s="12"/>
      <c r="AB825" s="12"/>
      <c r="AC825" s="12"/>
      <c r="AD825" s="12"/>
      <c r="AE825" s="12"/>
      <c r="AF825" s="12" t="s">
        <v>3730</v>
      </c>
      <c r="AG825" s="12"/>
      <c r="AH825" s="12">
        <v>1838</v>
      </c>
      <c r="AI825" s="12" t="str">
        <f t="shared" si="155"/>
        <v>1838</v>
      </c>
      <c r="AJ825" s="12"/>
      <c r="AK825" s="12" t="s">
        <v>90</v>
      </c>
      <c r="AL825" s="12"/>
      <c r="AM825" s="12"/>
      <c r="AN825" s="12" t="s">
        <v>7426</v>
      </c>
      <c r="AO825" s="12" t="s">
        <v>6072</v>
      </c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</row>
    <row r="826" spans="1:68">
      <c r="A826" s="12" t="s">
        <v>758</v>
      </c>
      <c r="B826" s="12" t="str">
        <f t="shared" ref="B826:B887" si="159">SUBSTITUTE(A826," ","")</f>
        <v>JOUBERT</v>
      </c>
      <c r="C826" s="12" t="str">
        <f t="shared" ref="C826:C887" si="160">TRIM(A826)</f>
        <v>JOUBERT</v>
      </c>
      <c r="D826" s="12" t="s">
        <v>151</v>
      </c>
      <c r="E826" s="12" t="str">
        <f t="shared" si="158"/>
        <v>Jacobus Petrus</v>
      </c>
      <c r="F826" s="12" t="s">
        <v>5244</v>
      </c>
      <c r="G826" s="12" t="str">
        <f t="shared" ref="G826:G887" si="161">IF(LEFT(F826,1)="b","a1"&amp;F826,F826)</f>
        <v>a1b10c6d4</v>
      </c>
      <c r="H826" s="12" t="str">
        <f t="shared" ref="H826:H887" si="162">C826&amp;G826</f>
        <v>JOUBERTa1b10c6d4</v>
      </c>
      <c r="I826" s="12"/>
      <c r="J826" s="12" t="s">
        <v>7371</v>
      </c>
      <c r="K826" s="12" t="str">
        <f t="shared" ref="K826:K887" si="163">RIGHT(J826,4)</f>
        <v>1775</v>
      </c>
      <c r="L826" s="12"/>
      <c r="M826" s="12"/>
      <c r="N826" s="12" t="str">
        <f t="shared" si="156"/>
        <v>1775</v>
      </c>
      <c r="O826" s="12" t="str">
        <f t="shared" si="157"/>
        <v/>
      </c>
      <c r="P826" s="12" t="s">
        <v>7101</v>
      </c>
      <c r="Q826" s="12" t="str">
        <f t="shared" ref="Q826:Q887" si="164">IF(N826="",O826,N826)</f>
        <v>1775</v>
      </c>
      <c r="R826" s="12" t="s">
        <v>301</v>
      </c>
      <c r="S826" s="12" t="str">
        <f t="shared" ref="S826:S887" si="165">RIGHT(R826,4)</f>
        <v>1838</v>
      </c>
      <c r="T826" s="12"/>
      <c r="U826" s="12"/>
      <c r="V826" s="12" t="str">
        <f t="shared" ref="V826:V887" si="166">RIGHT(U826,4)</f>
        <v/>
      </c>
      <c r="W826" s="12" t="s">
        <v>7372</v>
      </c>
      <c r="X826" s="12" t="s">
        <v>2016</v>
      </c>
      <c r="Y826" s="12" t="s">
        <v>7373</v>
      </c>
      <c r="Z826" s="12"/>
      <c r="AA826" s="12"/>
      <c r="AB826" s="12"/>
      <c r="AC826" s="12" t="s">
        <v>7374</v>
      </c>
      <c r="AD826" s="12" t="s">
        <v>7101</v>
      </c>
      <c r="AE826" s="12" t="s">
        <v>301</v>
      </c>
      <c r="AF826" s="12" t="s">
        <v>7375</v>
      </c>
      <c r="AG826" s="12" t="s">
        <v>7376</v>
      </c>
      <c r="AH826" s="12" t="s">
        <v>1542</v>
      </c>
      <c r="AI826" s="12" t="str">
        <f t="shared" ref="AI826:AI887" si="167">RIGHT(AH826,4)</f>
        <v>1837</v>
      </c>
      <c r="AJ826" s="12" t="s">
        <v>5423</v>
      </c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</row>
    <row r="827" spans="1:68">
      <c r="A827" s="12" t="s">
        <v>758</v>
      </c>
      <c r="B827" s="12" t="str">
        <f t="shared" si="159"/>
        <v>JOUBERT</v>
      </c>
      <c r="C827" s="12" t="str">
        <f t="shared" si="160"/>
        <v>JOUBERT</v>
      </c>
      <c r="D827" s="12" t="s">
        <v>7261</v>
      </c>
      <c r="E827" s="12" t="str">
        <f t="shared" si="158"/>
        <v>Adriaan Josua Jacobus</v>
      </c>
      <c r="F827" s="12" t="s">
        <v>7262</v>
      </c>
      <c r="G827" s="12" t="str">
        <f t="shared" si="161"/>
        <v>a1b10c6d4e2</v>
      </c>
      <c r="H827" s="12" t="str">
        <f t="shared" si="162"/>
        <v>JOUBERTa1b10c6d4e2</v>
      </c>
      <c r="I827" s="12"/>
      <c r="J827" s="12" t="s">
        <v>7311</v>
      </c>
      <c r="K827" s="12" t="str">
        <f t="shared" si="163"/>
        <v>1797</v>
      </c>
      <c r="L827" s="12" t="s">
        <v>542</v>
      </c>
      <c r="M827" s="12" t="s">
        <v>5294</v>
      </c>
      <c r="N827" s="12" t="str">
        <f t="shared" si="156"/>
        <v>1797</v>
      </c>
      <c r="O827" s="12" t="str">
        <f t="shared" si="157"/>
        <v>1797</v>
      </c>
      <c r="P827" s="12" t="s">
        <v>7101</v>
      </c>
      <c r="Q827" s="12" t="str">
        <f t="shared" si="164"/>
        <v>1797</v>
      </c>
      <c r="R827" s="12" t="s">
        <v>301</v>
      </c>
      <c r="S827" s="12" t="str">
        <f t="shared" si="165"/>
        <v>1838</v>
      </c>
      <c r="T827" s="12" t="s">
        <v>74</v>
      </c>
      <c r="U827" s="12" t="s">
        <v>4075</v>
      </c>
      <c r="V827" s="12" t="str">
        <f t="shared" si="166"/>
        <v>1820</v>
      </c>
      <c r="W827" s="12" t="s">
        <v>622</v>
      </c>
      <c r="X827" s="12" t="s">
        <v>788</v>
      </c>
      <c r="Y827" s="12"/>
      <c r="Z827" s="12"/>
      <c r="AA827" s="12"/>
      <c r="AB827" s="12"/>
      <c r="AC827" s="12"/>
      <c r="AD827" s="12" t="s">
        <v>7101</v>
      </c>
      <c r="AE827" s="12" t="s">
        <v>301</v>
      </c>
      <c r="AF827" s="12" t="s">
        <v>3728</v>
      </c>
      <c r="AG827" s="12" t="s">
        <v>346</v>
      </c>
      <c r="AH827" s="12" t="s">
        <v>1542</v>
      </c>
      <c r="AI827" s="12" t="str">
        <f t="shared" si="167"/>
        <v>1837</v>
      </c>
      <c r="AJ827" s="12" t="s">
        <v>5423</v>
      </c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</row>
    <row r="828" spans="1:68">
      <c r="A828" s="2" t="s">
        <v>758</v>
      </c>
      <c r="B828" s="12" t="str">
        <f t="shared" si="159"/>
        <v>JOUBERT</v>
      </c>
      <c r="C828" s="12" t="str">
        <f t="shared" si="160"/>
        <v>JOUBERT</v>
      </c>
      <c r="D828" s="2" t="s">
        <v>63</v>
      </c>
      <c r="E828" s="12" t="str">
        <f t="shared" si="158"/>
        <v>Jan Christoffel</v>
      </c>
      <c r="F828" s="2" t="s">
        <v>7280</v>
      </c>
      <c r="G828" s="12" t="str">
        <f t="shared" si="161"/>
        <v>a1b10c6d7</v>
      </c>
      <c r="H828" s="12" t="str">
        <f t="shared" si="162"/>
        <v>JOUBERTa1b10c6d7</v>
      </c>
      <c r="J828" s="2" t="s">
        <v>7406</v>
      </c>
      <c r="K828" s="12" t="str">
        <f t="shared" si="163"/>
        <v>1781</v>
      </c>
      <c r="M828" s="2" t="s">
        <v>7407</v>
      </c>
      <c r="N828" s="12" t="str">
        <f t="shared" si="156"/>
        <v>1781</v>
      </c>
      <c r="O828" s="12" t="str">
        <f t="shared" si="157"/>
        <v>1781</v>
      </c>
      <c r="P828" s="2" t="s">
        <v>7408</v>
      </c>
      <c r="Q828" s="12" t="str">
        <f t="shared" si="164"/>
        <v>1781</v>
      </c>
      <c r="R828" s="12" t="s">
        <v>301</v>
      </c>
      <c r="S828" s="12" t="str">
        <f t="shared" si="165"/>
        <v>1838</v>
      </c>
      <c r="T828" s="2" t="s">
        <v>74</v>
      </c>
      <c r="U828" s="2" t="s">
        <v>7409</v>
      </c>
      <c r="V828" s="12" t="str">
        <f t="shared" si="166"/>
        <v>1808</v>
      </c>
      <c r="W828" s="2" t="s">
        <v>1674</v>
      </c>
      <c r="X828" s="2" t="s">
        <v>78</v>
      </c>
      <c r="AD828" s="2" t="s">
        <v>7408</v>
      </c>
      <c r="AE828" s="2" t="s">
        <v>301</v>
      </c>
      <c r="AF828" s="2" t="s">
        <v>7375</v>
      </c>
      <c r="AG828" s="2" t="s">
        <v>7376</v>
      </c>
      <c r="AH828" s="2" t="s">
        <v>1542</v>
      </c>
      <c r="AI828" s="12" t="str">
        <f t="shared" si="167"/>
        <v>1837</v>
      </c>
      <c r="AJ828" s="2" t="s">
        <v>5423</v>
      </c>
    </row>
    <row r="829" spans="1:68">
      <c r="A829" s="2" t="s">
        <v>758</v>
      </c>
      <c r="B829" s="12" t="str">
        <f t="shared" si="159"/>
        <v>JOUBERT</v>
      </c>
      <c r="C829" s="12" t="str">
        <f t="shared" si="160"/>
        <v>JOUBERT</v>
      </c>
      <c r="D829" s="2" t="s">
        <v>3283</v>
      </c>
      <c r="E829" s="12" t="str">
        <f t="shared" si="158"/>
        <v>Jan Hendrik</v>
      </c>
      <c r="F829" s="2" t="s">
        <v>7281</v>
      </c>
      <c r="G829" s="12" t="str">
        <f t="shared" si="161"/>
        <v>a1b10c6d7e5</v>
      </c>
      <c r="H829" s="12" t="str">
        <f t="shared" si="162"/>
        <v>JOUBERTa1b10c6d7e5</v>
      </c>
      <c r="J829" s="2" t="s">
        <v>855</v>
      </c>
      <c r="K829" s="12" t="str">
        <f t="shared" si="163"/>
        <v>1819</v>
      </c>
      <c r="L829" s="2" t="s">
        <v>74</v>
      </c>
      <c r="M829" s="2" t="s">
        <v>535</v>
      </c>
      <c r="N829" s="12" t="str">
        <f t="shared" si="156"/>
        <v>1819</v>
      </c>
      <c r="O829" s="12" t="str">
        <f t="shared" si="157"/>
        <v>1819</v>
      </c>
      <c r="P829" s="2" t="s">
        <v>7101</v>
      </c>
      <c r="Q829" s="12" t="str">
        <f t="shared" si="164"/>
        <v>1819</v>
      </c>
      <c r="R829" s="2" t="s">
        <v>301</v>
      </c>
      <c r="S829" s="12" t="str">
        <f t="shared" si="165"/>
        <v>1838</v>
      </c>
      <c r="V829" s="12" t="str">
        <f t="shared" si="166"/>
        <v/>
      </c>
      <c r="AF829" s="2" t="s">
        <v>3728</v>
      </c>
      <c r="AG829" s="2" t="s">
        <v>346</v>
      </c>
      <c r="AH829" s="2" t="s">
        <v>1542</v>
      </c>
      <c r="AI829" s="12" t="str">
        <f t="shared" si="167"/>
        <v>1837</v>
      </c>
      <c r="AJ829" s="2" t="s">
        <v>5423</v>
      </c>
    </row>
    <row r="830" spans="1:68">
      <c r="A830" s="2" t="s">
        <v>758</v>
      </c>
      <c r="B830" s="12" t="str">
        <f t="shared" si="159"/>
        <v>JOUBERT</v>
      </c>
      <c r="C830" s="12" t="str">
        <f t="shared" si="160"/>
        <v>JOUBERT</v>
      </c>
      <c r="D830" s="2" t="s">
        <v>7291</v>
      </c>
      <c r="E830" s="12" t="str">
        <f t="shared" si="158"/>
        <v>Josua Francois</v>
      </c>
      <c r="F830" s="2" t="s">
        <v>7293</v>
      </c>
      <c r="G830" s="12" t="str">
        <f t="shared" si="161"/>
        <v>a1b10c6d7e6</v>
      </c>
      <c r="H830" s="12" t="str">
        <f t="shared" si="162"/>
        <v>JOUBERTa1b10c6d7e6</v>
      </c>
      <c r="J830" s="2" t="s">
        <v>7440</v>
      </c>
      <c r="K830" s="12" t="str">
        <f t="shared" si="163"/>
        <v>1821</v>
      </c>
      <c r="L830" s="2" t="s">
        <v>7101</v>
      </c>
      <c r="M830" s="2" t="s">
        <v>301</v>
      </c>
      <c r="N830" s="12" t="str">
        <f t="shared" si="156"/>
        <v>1821</v>
      </c>
      <c r="O830" s="12" t="str">
        <f t="shared" si="157"/>
        <v>1838</v>
      </c>
      <c r="Q830" s="12" t="str">
        <f t="shared" si="164"/>
        <v>1821</v>
      </c>
      <c r="S830" s="12" t="str">
        <f t="shared" si="165"/>
        <v/>
      </c>
      <c r="V830" s="12" t="str">
        <f t="shared" si="166"/>
        <v/>
      </c>
      <c r="AF830" s="2" t="s">
        <v>3728</v>
      </c>
      <c r="AG830" s="2" t="s">
        <v>346</v>
      </c>
      <c r="AH830" s="2" t="s">
        <v>1542</v>
      </c>
      <c r="AI830" s="12" t="str">
        <f t="shared" si="167"/>
        <v>1837</v>
      </c>
      <c r="AJ830" s="2" t="s">
        <v>7099</v>
      </c>
    </row>
    <row r="831" spans="1:68">
      <c r="A831" s="12" t="s">
        <v>758</v>
      </c>
      <c r="B831" s="12" t="str">
        <f t="shared" si="159"/>
        <v>JOUBERT</v>
      </c>
      <c r="C831" s="12" t="str">
        <f t="shared" si="160"/>
        <v>JOUBERT</v>
      </c>
      <c r="D831" s="2" t="s">
        <v>7298</v>
      </c>
      <c r="E831" s="12" t="str">
        <f t="shared" si="158"/>
        <v>Petrus (Pieter) Jacobus</v>
      </c>
      <c r="F831" s="2" t="s">
        <v>7299</v>
      </c>
      <c r="G831" s="12" t="str">
        <f t="shared" si="161"/>
        <v>a1b10c6d9</v>
      </c>
      <c r="H831" s="12" t="str">
        <f t="shared" si="162"/>
        <v>JOUBERTa1b10c6d9</v>
      </c>
      <c r="K831" s="12" t="str">
        <f t="shared" si="163"/>
        <v/>
      </c>
      <c r="M831" s="2" t="s">
        <v>103</v>
      </c>
      <c r="N831" s="12" t="str">
        <f t="shared" si="156"/>
        <v/>
      </c>
      <c r="O831" s="12" t="str">
        <f t="shared" si="157"/>
        <v>1786</v>
      </c>
      <c r="P831" s="2" t="s">
        <v>1301</v>
      </c>
      <c r="Q831" s="12" t="str">
        <f t="shared" si="164"/>
        <v>1786</v>
      </c>
      <c r="R831" s="2" t="s">
        <v>7437</v>
      </c>
      <c r="S831" s="12" t="str">
        <f t="shared" si="165"/>
        <v>1843</v>
      </c>
      <c r="T831" s="2" t="s">
        <v>32</v>
      </c>
      <c r="U831" s="2" t="s">
        <v>7445</v>
      </c>
      <c r="V831" s="12" t="str">
        <f t="shared" si="166"/>
        <v>1806</v>
      </c>
      <c r="W831" s="2" t="s">
        <v>7446</v>
      </c>
      <c r="X831" s="2" t="s">
        <v>2153</v>
      </c>
      <c r="Y831" s="2" t="s">
        <v>7447</v>
      </c>
      <c r="AD831" s="2" t="s">
        <v>7448</v>
      </c>
      <c r="AE831" s="2" t="s">
        <v>7449</v>
      </c>
      <c r="AG831" s="2" t="s">
        <v>366</v>
      </c>
      <c r="AH831" s="2" t="s">
        <v>4276</v>
      </c>
      <c r="AI831" s="12" t="str">
        <f t="shared" si="167"/>
        <v>1838</v>
      </c>
      <c r="AK831" s="2" t="s">
        <v>90</v>
      </c>
      <c r="AL831" s="2" t="s">
        <v>366</v>
      </c>
      <c r="AM831" s="2" t="s">
        <v>3616</v>
      </c>
      <c r="AN831" s="2" t="s">
        <v>7450</v>
      </c>
      <c r="AO831" s="2" t="s">
        <v>776</v>
      </c>
    </row>
    <row r="832" spans="1:68">
      <c r="A832" s="12" t="s">
        <v>758</v>
      </c>
      <c r="B832" s="12" t="str">
        <f t="shared" si="159"/>
        <v>JOUBERT</v>
      </c>
      <c r="C832" s="12" t="str">
        <f t="shared" si="160"/>
        <v>JOUBERT</v>
      </c>
      <c r="D832" s="2" t="s">
        <v>7291</v>
      </c>
      <c r="E832" s="12" t="str">
        <f t="shared" si="158"/>
        <v>Josua Francois</v>
      </c>
      <c r="F832" s="2" t="s">
        <v>7292</v>
      </c>
      <c r="G832" s="12" t="str">
        <f t="shared" si="161"/>
        <v>a1b10c6d9e1</v>
      </c>
      <c r="H832" s="12" t="str">
        <f t="shared" si="162"/>
        <v>JOUBERTa1b10c6d9e1</v>
      </c>
      <c r="J832" s="2" t="s">
        <v>7436</v>
      </c>
      <c r="K832" s="12" t="str">
        <f t="shared" si="163"/>
        <v>1808</v>
      </c>
      <c r="L832" s="2" t="s">
        <v>32</v>
      </c>
      <c r="M832" s="2" t="s">
        <v>3835</v>
      </c>
      <c r="N832" s="12" t="str">
        <f t="shared" si="156"/>
        <v>1808</v>
      </c>
      <c r="O832" s="12" t="str">
        <f t="shared" si="157"/>
        <v>1808</v>
      </c>
      <c r="P832" s="2" t="s">
        <v>5098</v>
      </c>
      <c r="Q832" s="12" t="str">
        <f t="shared" si="164"/>
        <v>1808</v>
      </c>
      <c r="R832" s="2" t="s">
        <v>7437</v>
      </c>
      <c r="S832" s="12" t="str">
        <f t="shared" si="165"/>
        <v>1843</v>
      </c>
      <c r="T832" s="2" t="s">
        <v>395</v>
      </c>
      <c r="U832" s="2" t="s">
        <v>1029</v>
      </c>
      <c r="V832" s="12" t="str">
        <f t="shared" si="166"/>
        <v>1830</v>
      </c>
      <c r="W832" s="2" t="s">
        <v>7438</v>
      </c>
      <c r="X832" s="2" t="s">
        <v>2556</v>
      </c>
      <c r="Y832" s="2" t="s">
        <v>7439</v>
      </c>
      <c r="AC832" s="2" t="s">
        <v>1314</v>
      </c>
      <c r="AD832" s="2" t="s">
        <v>4129</v>
      </c>
      <c r="AE832" s="2">
        <v>1853</v>
      </c>
      <c r="AF832" s="2" t="s">
        <v>6174</v>
      </c>
      <c r="AG832" s="2" t="s">
        <v>32</v>
      </c>
      <c r="AH832" s="2" t="s">
        <v>4755</v>
      </c>
      <c r="AI832" s="12" t="str">
        <f t="shared" si="167"/>
        <v>37/8</v>
      </c>
    </row>
    <row r="833" spans="1:59">
      <c r="A833" s="12" t="s">
        <v>758</v>
      </c>
      <c r="B833" s="12" t="str">
        <f t="shared" si="159"/>
        <v>JOUBERT</v>
      </c>
      <c r="C833" s="12" t="str">
        <f t="shared" si="160"/>
        <v>JOUBERT</v>
      </c>
      <c r="D833" s="2" t="s">
        <v>3761</v>
      </c>
      <c r="E833" s="12" t="str">
        <f t="shared" si="158"/>
        <v>Johannes Petrus</v>
      </c>
      <c r="F833" s="2" t="s">
        <v>7284</v>
      </c>
      <c r="G833" s="12" t="str">
        <f t="shared" si="161"/>
        <v>a1b10c6d9e3</v>
      </c>
      <c r="H833" s="12" t="str">
        <f t="shared" si="162"/>
        <v>JOUBERTa1b10c6d9e3</v>
      </c>
      <c r="J833" s="2" t="s">
        <v>7413</v>
      </c>
      <c r="K833" s="12" t="str">
        <f t="shared" si="163"/>
        <v>1812</v>
      </c>
      <c r="L833" s="2" t="s">
        <v>32</v>
      </c>
      <c r="M833" s="2" t="s">
        <v>7414</v>
      </c>
      <c r="N833" s="12" t="str">
        <f t="shared" si="156"/>
        <v>1812</v>
      </c>
      <c r="O833" s="12" t="str">
        <f t="shared" si="157"/>
        <v>1812</v>
      </c>
      <c r="P833" s="2" t="s">
        <v>7415</v>
      </c>
      <c r="Q833" s="12" t="str">
        <f t="shared" si="164"/>
        <v>1812</v>
      </c>
      <c r="R833" s="2" t="s">
        <v>1456</v>
      </c>
      <c r="S833" s="12" t="str">
        <f t="shared" si="165"/>
        <v>1888</v>
      </c>
      <c r="T833" s="2" t="s">
        <v>32</v>
      </c>
      <c r="U833" s="2" t="s">
        <v>7416</v>
      </c>
      <c r="V833" s="12" t="str">
        <f t="shared" si="166"/>
        <v>1831</v>
      </c>
      <c r="W833" s="2" t="s">
        <v>7417</v>
      </c>
      <c r="X833" s="2" t="s">
        <v>6072</v>
      </c>
      <c r="AC833" s="2" t="s">
        <v>7418</v>
      </c>
      <c r="AD833" s="2" t="s">
        <v>7415</v>
      </c>
      <c r="AE833" s="12" t="s">
        <v>7419</v>
      </c>
      <c r="AF833" s="2" t="s">
        <v>6174</v>
      </c>
      <c r="AG833" s="2" t="s">
        <v>32</v>
      </c>
      <c r="AH833" s="2">
        <v>1838</v>
      </c>
      <c r="AI833" s="12" t="str">
        <f t="shared" si="167"/>
        <v>1838</v>
      </c>
      <c r="AK833" s="2" t="s">
        <v>90</v>
      </c>
      <c r="AN833" s="2" t="s">
        <v>7427</v>
      </c>
      <c r="AO833" s="2" t="s">
        <v>2016</v>
      </c>
    </row>
    <row r="834" spans="1:59">
      <c r="A834" s="2" t="s">
        <v>758</v>
      </c>
      <c r="B834" s="12" t="str">
        <f t="shared" si="159"/>
        <v>JOUBERT</v>
      </c>
      <c r="C834" s="12" t="str">
        <f t="shared" si="160"/>
        <v>JOUBERT</v>
      </c>
      <c r="D834" s="2" t="s">
        <v>2179</v>
      </c>
      <c r="E834" s="12" t="str">
        <f t="shared" si="158"/>
        <v>Jan Abraham</v>
      </c>
      <c r="F834" s="2" t="s">
        <v>7279</v>
      </c>
      <c r="G834" s="12" t="str">
        <f t="shared" si="161"/>
        <v>a1b10c6d9e7</v>
      </c>
      <c r="H834" s="12" t="str">
        <f t="shared" si="162"/>
        <v>JOUBERTa1b10c6d9e7</v>
      </c>
      <c r="J834" s="2" t="s">
        <v>7397</v>
      </c>
      <c r="K834" s="12" t="str">
        <f t="shared" si="163"/>
        <v>1823</v>
      </c>
      <c r="L834" s="2" t="s">
        <v>32</v>
      </c>
      <c r="M834" s="2" t="s">
        <v>246</v>
      </c>
      <c r="N834" s="12" t="str">
        <f t="shared" ref="N834:N897" si="168">RIGHT(J834,4)</f>
        <v>1823</v>
      </c>
      <c r="O834" s="12" t="str">
        <f t="shared" ref="O834:O897" si="169">RIGHT(M834,4)</f>
        <v>1823</v>
      </c>
      <c r="P834" s="2" t="s">
        <v>1864</v>
      </c>
      <c r="Q834" s="12" t="str">
        <f t="shared" si="164"/>
        <v>1823</v>
      </c>
      <c r="R834" s="2" t="s">
        <v>7398</v>
      </c>
      <c r="S834" s="12" t="str">
        <f t="shared" si="165"/>
        <v>1887</v>
      </c>
      <c r="V834" s="12" t="str">
        <f t="shared" si="166"/>
        <v/>
      </c>
      <c r="W834" s="2" t="s">
        <v>7399</v>
      </c>
      <c r="X834" s="2" t="s">
        <v>758</v>
      </c>
      <c r="AA834" s="2" t="s">
        <v>7400</v>
      </c>
      <c r="AD834" s="2" t="s">
        <v>7401</v>
      </c>
      <c r="AE834" s="2" t="s">
        <v>7402</v>
      </c>
      <c r="AF834" s="2" t="s">
        <v>3697</v>
      </c>
      <c r="AG834" s="2" t="s">
        <v>366</v>
      </c>
      <c r="AH834" s="2" t="s">
        <v>7403</v>
      </c>
      <c r="AI834" s="12" t="str">
        <f t="shared" si="167"/>
        <v>27/8</v>
      </c>
      <c r="AN834" s="2" t="s">
        <v>804</v>
      </c>
      <c r="AO834" s="2" t="s">
        <v>669</v>
      </c>
      <c r="AU834" s="2" t="s">
        <v>7404</v>
      </c>
      <c r="AV834" s="2" t="s">
        <v>7405</v>
      </c>
    </row>
    <row r="835" spans="1:59">
      <c r="A835" s="2" t="s">
        <v>758</v>
      </c>
      <c r="B835" s="12" t="str">
        <f t="shared" si="159"/>
        <v>JOUBERT</v>
      </c>
      <c r="C835" s="12" t="str">
        <f t="shared" si="160"/>
        <v>JOUBERT</v>
      </c>
      <c r="D835" s="2" t="s">
        <v>7266</v>
      </c>
      <c r="E835" s="12" t="str">
        <f t="shared" ref="E835:E898" si="170">PROPER(D835)</f>
        <v>Francois Jacobus Sr.</v>
      </c>
      <c r="F835" s="2" t="s">
        <v>7267</v>
      </c>
      <c r="G835" s="12" t="str">
        <f t="shared" si="161"/>
        <v>a1b10c9d4</v>
      </c>
      <c r="H835" s="12" t="str">
        <f t="shared" si="162"/>
        <v>JOUBERTa1b10c9d4</v>
      </c>
      <c r="K835" s="12" t="str">
        <f t="shared" si="163"/>
        <v/>
      </c>
      <c r="M835" s="2" t="s">
        <v>7334</v>
      </c>
      <c r="N835" s="12" t="str">
        <f t="shared" si="168"/>
        <v/>
      </c>
      <c r="O835" s="12" t="str">
        <f t="shared" si="169"/>
        <v>1781</v>
      </c>
      <c r="P835" s="2" t="s">
        <v>7335</v>
      </c>
      <c r="Q835" s="12" t="str">
        <f t="shared" si="164"/>
        <v>1781</v>
      </c>
      <c r="R835" s="2" t="s">
        <v>7336</v>
      </c>
      <c r="S835" s="12" t="str">
        <f t="shared" si="165"/>
        <v>1861</v>
      </c>
      <c r="T835" s="2" t="s">
        <v>48</v>
      </c>
      <c r="U835" s="2" t="s">
        <v>599</v>
      </c>
      <c r="V835" s="12" t="str">
        <f t="shared" si="166"/>
        <v>1801</v>
      </c>
      <c r="W835" s="2" t="s">
        <v>2211</v>
      </c>
      <c r="X835" s="2" t="s">
        <v>3977</v>
      </c>
      <c r="AD835" s="2" t="s">
        <v>7337</v>
      </c>
      <c r="AE835" s="2" t="s">
        <v>7245</v>
      </c>
      <c r="AG835" s="2" t="s">
        <v>68</v>
      </c>
      <c r="AH835" s="2">
        <v>1843</v>
      </c>
      <c r="AI835" s="12" t="str">
        <f t="shared" si="167"/>
        <v>1843</v>
      </c>
      <c r="AJ835" s="2" t="s">
        <v>7338</v>
      </c>
      <c r="AK835" s="2" t="s">
        <v>5701</v>
      </c>
    </row>
    <row r="836" spans="1:59">
      <c r="A836" s="2" t="s">
        <v>758</v>
      </c>
      <c r="B836" s="12" t="str">
        <f t="shared" si="159"/>
        <v>JOUBERT</v>
      </c>
      <c r="C836" s="12" t="str">
        <f t="shared" si="160"/>
        <v>JOUBERT</v>
      </c>
      <c r="D836" s="2" t="s">
        <v>7268</v>
      </c>
      <c r="E836" s="12" t="str">
        <f t="shared" si="170"/>
        <v>Francois Jacobus Jr.</v>
      </c>
      <c r="F836" s="2" t="s">
        <v>7269</v>
      </c>
      <c r="G836" s="12" t="str">
        <f t="shared" si="161"/>
        <v>a1b10c9d4e5</v>
      </c>
      <c r="H836" s="12" t="str">
        <f t="shared" si="162"/>
        <v>JOUBERTa1b10c9d4e5</v>
      </c>
      <c r="J836" s="2" t="s">
        <v>7339</v>
      </c>
      <c r="K836" s="12" t="str">
        <f t="shared" si="163"/>
        <v>1811</v>
      </c>
      <c r="L836" s="2" t="s">
        <v>74</v>
      </c>
      <c r="M836" s="2" t="s">
        <v>7340</v>
      </c>
      <c r="N836" s="12" t="str">
        <f t="shared" si="168"/>
        <v>1811</v>
      </c>
      <c r="O836" s="12" t="str">
        <f t="shared" si="169"/>
        <v>1911</v>
      </c>
      <c r="P836" s="2" t="s">
        <v>5701</v>
      </c>
      <c r="Q836" s="12" t="str">
        <f t="shared" si="164"/>
        <v>1811</v>
      </c>
      <c r="R836" s="2" t="s">
        <v>7341</v>
      </c>
      <c r="S836" s="12" t="str">
        <f t="shared" si="165"/>
        <v>1876</v>
      </c>
      <c r="T836" s="2" t="s">
        <v>68</v>
      </c>
      <c r="U836" s="2" t="s">
        <v>3510</v>
      </c>
      <c r="V836" s="12" t="str">
        <f t="shared" si="166"/>
        <v>1830</v>
      </c>
      <c r="W836" s="2" t="s">
        <v>2218</v>
      </c>
      <c r="X836" s="2" t="s">
        <v>1985</v>
      </c>
      <c r="AE836" s="2" t="s">
        <v>7342</v>
      </c>
      <c r="AG836" s="2" t="s">
        <v>68</v>
      </c>
      <c r="AH836" s="2">
        <v>1843</v>
      </c>
      <c r="AI836" s="12" t="str">
        <f t="shared" si="167"/>
        <v>1843</v>
      </c>
      <c r="AJ836" s="2" t="s">
        <v>7338</v>
      </c>
      <c r="AK836" s="2" t="s">
        <v>5701</v>
      </c>
    </row>
    <row r="837" spans="1:59">
      <c r="A837" s="12" t="s">
        <v>758</v>
      </c>
      <c r="B837" s="12" t="str">
        <f t="shared" si="159"/>
        <v>JOUBERT</v>
      </c>
      <c r="C837" s="12" t="str">
        <f t="shared" si="160"/>
        <v>JOUBERT</v>
      </c>
      <c r="D837" s="12" t="s">
        <v>7273</v>
      </c>
      <c r="E837" s="12" t="str">
        <f t="shared" si="170"/>
        <v>Hendrik Lodewyk</v>
      </c>
      <c r="F837" s="12" t="s">
        <v>7274</v>
      </c>
      <c r="G837" s="12" t="str">
        <f t="shared" si="161"/>
        <v>a1b10c9d4e7</v>
      </c>
      <c r="H837" s="12" t="str">
        <f t="shared" si="162"/>
        <v>JOUBERTa1b10c9d4e7</v>
      </c>
      <c r="I837" s="12"/>
      <c r="J837" s="12" t="s">
        <v>7360</v>
      </c>
      <c r="K837" s="12" t="str">
        <f t="shared" si="163"/>
        <v>1814</v>
      </c>
      <c r="L837" s="12" t="s">
        <v>74</v>
      </c>
      <c r="M837" s="12" t="s">
        <v>2632</v>
      </c>
      <c r="N837" s="12" t="str">
        <f t="shared" si="168"/>
        <v>1814</v>
      </c>
      <c r="O837" s="12" t="str">
        <f t="shared" si="169"/>
        <v>1814</v>
      </c>
      <c r="P837" s="12" t="s">
        <v>7361</v>
      </c>
      <c r="Q837" s="12" t="str">
        <f t="shared" si="164"/>
        <v>1814</v>
      </c>
      <c r="R837" s="12" t="s">
        <v>7362</v>
      </c>
      <c r="S837" s="12" t="str">
        <f t="shared" si="165"/>
        <v>1885</v>
      </c>
      <c r="T837" s="12" t="s">
        <v>68</v>
      </c>
      <c r="U837" s="12" t="s">
        <v>1807</v>
      </c>
      <c r="V837" s="12" t="str">
        <f t="shared" si="166"/>
        <v>1834</v>
      </c>
      <c r="W837" s="12" t="s">
        <v>7363</v>
      </c>
      <c r="X837" s="12" t="s">
        <v>776</v>
      </c>
      <c r="Y837" s="12"/>
      <c r="Z837" s="12"/>
      <c r="AA837" s="12"/>
      <c r="AB837" s="12"/>
      <c r="AC837" s="12"/>
      <c r="AD837" s="12"/>
      <c r="AE837" s="12"/>
      <c r="AF837" s="12"/>
      <c r="AG837" s="12" t="s">
        <v>68</v>
      </c>
      <c r="AH837" s="12">
        <v>1842</v>
      </c>
      <c r="AI837" s="12" t="str">
        <f t="shared" si="167"/>
        <v>1842</v>
      </c>
      <c r="AJ837" s="12" t="s">
        <v>7364</v>
      </c>
      <c r="AK837" s="12" t="s">
        <v>7365</v>
      </c>
      <c r="AL837" s="12" t="s">
        <v>140</v>
      </c>
      <c r="AM837" s="12" t="s">
        <v>7366</v>
      </c>
      <c r="AN837" s="12" t="s">
        <v>5112</v>
      </c>
      <c r="AO837" s="12" t="s">
        <v>7367</v>
      </c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</row>
    <row r="838" spans="1:59">
      <c r="A838" s="2" t="s">
        <v>758</v>
      </c>
      <c r="B838" s="12" t="str">
        <f t="shared" si="159"/>
        <v>JOUBERT</v>
      </c>
      <c r="C838" s="12" t="str">
        <f t="shared" si="160"/>
        <v>JOUBERT</v>
      </c>
      <c r="D838" s="2" t="s">
        <v>4308</v>
      </c>
      <c r="E838" s="12" t="str">
        <f t="shared" si="170"/>
        <v>Pieter Johannes</v>
      </c>
      <c r="F838" s="2" t="s">
        <v>7302</v>
      </c>
      <c r="G838" s="12" t="str">
        <f t="shared" si="161"/>
        <v>a1b10c9d4e8</v>
      </c>
      <c r="H838" s="12" t="str">
        <f t="shared" si="162"/>
        <v>JOUBERTa1b10c9d4e8</v>
      </c>
      <c r="J838" s="2" t="s">
        <v>7462</v>
      </c>
      <c r="K838" s="12" t="str">
        <f t="shared" si="163"/>
        <v>1816</v>
      </c>
      <c r="L838" s="2" t="s">
        <v>74</v>
      </c>
      <c r="M838" s="2" t="s">
        <v>7463</v>
      </c>
      <c r="N838" s="12" t="str">
        <f t="shared" si="168"/>
        <v>1816</v>
      </c>
      <c r="O838" s="12" t="str">
        <f t="shared" si="169"/>
        <v>1816</v>
      </c>
      <c r="P838" s="2" t="s">
        <v>31</v>
      </c>
      <c r="Q838" s="12" t="str">
        <f t="shared" si="164"/>
        <v>1816</v>
      </c>
      <c r="R838" s="2" t="s">
        <v>7464</v>
      </c>
      <c r="S838" s="12" t="str">
        <f t="shared" si="165"/>
        <v>1856</v>
      </c>
      <c r="T838" s="2" t="s">
        <v>68</v>
      </c>
      <c r="U838" s="2" t="s">
        <v>7465</v>
      </c>
      <c r="V838" s="12" t="str">
        <f t="shared" si="166"/>
        <v>1836</v>
      </c>
      <c r="W838" s="2" t="s">
        <v>7466</v>
      </c>
      <c r="X838" s="2" t="s">
        <v>1985</v>
      </c>
      <c r="AG838" s="2" t="s">
        <v>68</v>
      </c>
      <c r="AH838" s="2" t="s">
        <v>7467</v>
      </c>
      <c r="AI838" s="12" t="str">
        <f t="shared" si="167"/>
        <v>1845</v>
      </c>
      <c r="AJ838" s="2" t="s">
        <v>7468</v>
      </c>
      <c r="AK838" s="2" t="s">
        <v>551</v>
      </c>
      <c r="AN838" s="2" t="s">
        <v>4694</v>
      </c>
      <c r="AO838" s="2" t="s">
        <v>700</v>
      </c>
    </row>
    <row r="839" spans="1:59">
      <c r="A839" s="2" t="s">
        <v>758</v>
      </c>
      <c r="B839" s="12" t="str">
        <f t="shared" si="159"/>
        <v>JOUBERT</v>
      </c>
      <c r="C839" s="12" t="str">
        <f t="shared" si="160"/>
        <v>JOUBERT</v>
      </c>
      <c r="D839" s="2" t="s">
        <v>5089</v>
      </c>
      <c r="E839" s="12" t="str">
        <f t="shared" si="170"/>
        <v>Pieter Schalk</v>
      </c>
      <c r="F839" s="2" t="s">
        <v>7303</v>
      </c>
      <c r="G839" s="12" t="str">
        <f t="shared" si="161"/>
        <v>a1b10c9d5</v>
      </c>
      <c r="H839" s="12" t="str">
        <f t="shared" si="162"/>
        <v>JOUBERTa1b10c9d5</v>
      </c>
      <c r="K839" s="12" t="str">
        <f t="shared" si="163"/>
        <v/>
      </c>
      <c r="L839" s="2" t="s">
        <v>542</v>
      </c>
      <c r="M839" s="2" t="s">
        <v>7469</v>
      </c>
      <c r="N839" s="12" t="str">
        <f t="shared" si="168"/>
        <v/>
      </c>
      <c r="O839" s="12" t="str">
        <f t="shared" si="169"/>
        <v>1784</v>
      </c>
      <c r="Q839" s="12" t="str">
        <f t="shared" si="164"/>
        <v>1784</v>
      </c>
      <c r="S839" s="12" t="str">
        <f t="shared" si="165"/>
        <v/>
      </c>
      <c r="T839" s="2" t="s">
        <v>48</v>
      </c>
      <c r="U839" s="2" t="s">
        <v>5197</v>
      </c>
      <c r="V839" s="12" t="str">
        <f t="shared" si="166"/>
        <v>1804</v>
      </c>
      <c r="W839" s="2" t="s">
        <v>715</v>
      </c>
      <c r="X839" s="2" t="s">
        <v>785</v>
      </c>
      <c r="AG839" s="2" t="s">
        <v>53</v>
      </c>
      <c r="AH839" s="2" t="s">
        <v>4988</v>
      </c>
      <c r="AI839" s="12" t="str">
        <f t="shared" si="167"/>
        <v>1840</v>
      </c>
    </row>
    <row r="840" spans="1:59">
      <c r="A840" s="2" t="s">
        <v>758</v>
      </c>
      <c r="B840" s="12" t="str">
        <f t="shared" si="159"/>
        <v>JOUBERT</v>
      </c>
      <c r="C840" s="12" t="str">
        <f t="shared" si="160"/>
        <v>JOUBERT</v>
      </c>
      <c r="D840" s="2" t="s">
        <v>3239</v>
      </c>
      <c r="E840" s="12" t="str">
        <f t="shared" si="170"/>
        <v>Christoffel Johannes</v>
      </c>
      <c r="F840" s="2" t="s">
        <v>7264</v>
      </c>
      <c r="G840" s="12" t="str">
        <f t="shared" si="161"/>
        <v>a1b10c9d5e2</v>
      </c>
      <c r="H840" s="12" t="str">
        <f t="shared" si="162"/>
        <v>JOUBERTa1b10c9d5e2</v>
      </c>
      <c r="J840" s="2" t="s">
        <v>7320</v>
      </c>
      <c r="K840" s="12" t="str">
        <f t="shared" si="163"/>
        <v>1807</v>
      </c>
      <c r="M840" s="2" t="s">
        <v>4653</v>
      </c>
      <c r="N840" s="12" t="str">
        <f t="shared" si="168"/>
        <v>1807</v>
      </c>
      <c r="O840" s="12" t="str">
        <f t="shared" si="169"/>
        <v>1807</v>
      </c>
      <c r="P840" s="2" t="s">
        <v>6274</v>
      </c>
      <c r="Q840" s="12" t="str">
        <f t="shared" si="164"/>
        <v>1807</v>
      </c>
      <c r="R840" s="2" t="s">
        <v>7321</v>
      </c>
      <c r="S840" s="12" t="str">
        <f t="shared" si="165"/>
        <v>1889</v>
      </c>
      <c r="T840" s="2" t="s">
        <v>53</v>
      </c>
      <c r="U840" s="2" t="s">
        <v>7322</v>
      </c>
      <c r="V840" s="12" t="str">
        <f t="shared" si="166"/>
        <v>1827</v>
      </c>
      <c r="W840" s="2" t="s">
        <v>4261</v>
      </c>
      <c r="X840" s="2" t="s">
        <v>2427</v>
      </c>
      <c r="AG840" s="2" t="s">
        <v>53</v>
      </c>
      <c r="AH840" s="2" t="s">
        <v>7323</v>
      </c>
      <c r="AI840" s="12" t="str">
        <f t="shared" si="167"/>
        <v>1839</v>
      </c>
      <c r="AK840" s="2" t="s">
        <v>190</v>
      </c>
      <c r="AN840" s="2" t="s">
        <v>7324</v>
      </c>
      <c r="AO840" s="2" t="s">
        <v>7325</v>
      </c>
    </row>
    <row r="841" spans="1:59">
      <c r="A841" s="2" t="s">
        <v>758</v>
      </c>
      <c r="B841" s="12" t="str">
        <f t="shared" si="159"/>
        <v>JOUBERT</v>
      </c>
      <c r="C841" s="12" t="str">
        <f t="shared" si="160"/>
        <v>JOUBERT</v>
      </c>
      <c r="D841" s="2" t="s">
        <v>5089</v>
      </c>
      <c r="E841" s="12" t="str">
        <f t="shared" si="170"/>
        <v>Pieter Schalk</v>
      </c>
      <c r="F841" s="2" t="s">
        <v>7304</v>
      </c>
      <c r="G841" s="12" t="str">
        <f t="shared" si="161"/>
        <v>a1b10c9d5e3</v>
      </c>
      <c r="H841" s="12" t="str">
        <f t="shared" si="162"/>
        <v>JOUBERTa1b10c9d5e3</v>
      </c>
      <c r="K841" s="12" t="str">
        <f t="shared" si="163"/>
        <v/>
      </c>
      <c r="L841" s="2" t="s">
        <v>74</v>
      </c>
      <c r="M841" s="2" t="s">
        <v>3975</v>
      </c>
      <c r="N841" s="12" t="str">
        <f t="shared" si="168"/>
        <v/>
      </c>
      <c r="O841" s="12" t="str">
        <f t="shared" si="169"/>
        <v>1810</v>
      </c>
      <c r="P841" s="2" t="s">
        <v>7470</v>
      </c>
      <c r="Q841" s="12" t="str">
        <f t="shared" si="164"/>
        <v>1810</v>
      </c>
      <c r="R841" s="2" t="s">
        <v>7471</v>
      </c>
      <c r="S841" s="12" t="str">
        <f t="shared" si="165"/>
        <v>1844</v>
      </c>
      <c r="T841" s="2" t="s">
        <v>68</v>
      </c>
      <c r="U841" s="2" t="s">
        <v>7472</v>
      </c>
      <c r="V841" s="12" t="str">
        <f t="shared" si="166"/>
        <v>1835</v>
      </c>
      <c r="W841" s="2" t="s">
        <v>715</v>
      </c>
      <c r="X841" s="2" t="s">
        <v>1433</v>
      </c>
      <c r="AG841" s="2" t="s">
        <v>68</v>
      </c>
      <c r="AH841" s="2" t="s">
        <v>7473</v>
      </c>
      <c r="AI841" s="12" t="str">
        <f t="shared" si="167"/>
        <v>1844</v>
      </c>
      <c r="AJ841" s="2" t="s">
        <v>7468</v>
      </c>
    </row>
    <row r="842" spans="1:59">
      <c r="A842" s="2" t="s">
        <v>758</v>
      </c>
      <c r="B842" s="12" t="str">
        <f t="shared" si="159"/>
        <v>JOUBERT</v>
      </c>
      <c r="C842" s="12" t="str">
        <f t="shared" si="160"/>
        <v>JOUBERT</v>
      </c>
      <c r="D842" s="2" t="s">
        <v>3451</v>
      </c>
      <c r="E842" s="12" t="str">
        <f t="shared" si="170"/>
        <v>Francois Jacobus</v>
      </c>
      <c r="F842" s="2" t="s">
        <v>7270</v>
      </c>
      <c r="G842" s="12" t="str">
        <f t="shared" si="161"/>
        <v>a1b10c9d5e9</v>
      </c>
      <c r="H842" s="12" t="str">
        <f t="shared" si="162"/>
        <v>JOUBERTa1b10c9d5e9</v>
      </c>
      <c r="J842" s="2" t="s">
        <v>7343</v>
      </c>
      <c r="K842" s="12" t="str">
        <f t="shared" si="163"/>
        <v>1826</v>
      </c>
      <c r="L842" s="2" t="s">
        <v>53</v>
      </c>
      <c r="M842" s="2" t="s">
        <v>7344</v>
      </c>
      <c r="N842" s="12" t="str">
        <f t="shared" si="168"/>
        <v>1826</v>
      </c>
      <c r="O842" s="12" t="str">
        <f t="shared" si="169"/>
        <v>1826</v>
      </c>
      <c r="P842" s="2" t="s">
        <v>7345</v>
      </c>
      <c r="Q842" s="12" t="str">
        <f t="shared" si="164"/>
        <v>1826</v>
      </c>
      <c r="R842" s="2" t="s">
        <v>7346</v>
      </c>
      <c r="S842" s="12" t="str">
        <f t="shared" si="165"/>
        <v>1895</v>
      </c>
      <c r="T842" s="2" t="s">
        <v>140</v>
      </c>
      <c r="U842" s="2" t="s">
        <v>7347</v>
      </c>
      <c r="V842" s="12" t="str">
        <f t="shared" si="166"/>
        <v>1847</v>
      </c>
      <c r="W842" s="2" t="s">
        <v>7348</v>
      </c>
      <c r="X842" s="2" t="s">
        <v>1495</v>
      </c>
      <c r="AA842" s="2" t="s">
        <v>7349</v>
      </c>
      <c r="AB842" s="2" t="s">
        <v>366</v>
      </c>
      <c r="AC842" s="2" t="s">
        <v>1088</v>
      </c>
      <c r="AD842" s="2" t="s">
        <v>7350</v>
      </c>
      <c r="AE842" s="2" t="s">
        <v>7351</v>
      </c>
      <c r="AG842" s="2" t="s">
        <v>7352</v>
      </c>
      <c r="AH842" s="2">
        <v>1840</v>
      </c>
      <c r="AI842" s="12" t="str">
        <f t="shared" si="167"/>
        <v>1840</v>
      </c>
      <c r="AK842" s="2" t="s">
        <v>4876</v>
      </c>
    </row>
    <row r="843" spans="1:59">
      <c r="A843" s="2" t="s">
        <v>758</v>
      </c>
      <c r="B843" s="12" t="str">
        <f t="shared" si="159"/>
        <v>JOUBERT</v>
      </c>
      <c r="C843" s="12" t="str">
        <f t="shared" si="160"/>
        <v>JOUBERT</v>
      </c>
      <c r="D843" s="2" t="s">
        <v>4339</v>
      </c>
      <c r="E843" s="12" t="str">
        <f t="shared" si="170"/>
        <v>Andries Johannes</v>
      </c>
      <c r="F843" s="2" t="s">
        <v>7263</v>
      </c>
      <c r="G843" s="12" t="str">
        <f t="shared" si="161"/>
        <v>a1b5c7d1e1</v>
      </c>
      <c r="H843" s="12" t="str">
        <f t="shared" si="162"/>
        <v>JOUBERTa1b5c7d1e1</v>
      </c>
      <c r="K843" s="12" t="str">
        <f t="shared" si="163"/>
        <v/>
      </c>
      <c r="L843" s="2" t="s">
        <v>32</v>
      </c>
      <c r="M843" s="2" t="s">
        <v>7312</v>
      </c>
      <c r="N843" s="12" t="str">
        <f t="shared" si="168"/>
        <v/>
      </c>
      <c r="O843" s="12" t="str">
        <f t="shared" si="169"/>
        <v>1805</v>
      </c>
      <c r="Q843" s="12" t="str">
        <f t="shared" si="164"/>
        <v>1805</v>
      </c>
      <c r="S843" s="12" t="str">
        <f t="shared" si="165"/>
        <v/>
      </c>
      <c r="T843" s="2" t="s">
        <v>32</v>
      </c>
      <c r="U843" s="2" t="s">
        <v>7313</v>
      </c>
      <c r="V843" s="12" t="str">
        <f t="shared" si="166"/>
        <v>1826</v>
      </c>
      <c r="W843" s="2" t="s">
        <v>7314</v>
      </c>
      <c r="X843" s="2" t="s">
        <v>6072</v>
      </c>
      <c r="AA843" s="2" t="s">
        <v>7127</v>
      </c>
      <c r="AC843" s="2" t="s">
        <v>7315</v>
      </c>
      <c r="AG843" s="2" t="s">
        <v>32</v>
      </c>
      <c r="AH843" s="2" t="s">
        <v>7316</v>
      </c>
      <c r="AI843" s="12" t="str">
        <f t="shared" si="167"/>
        <v>840S</v>
      </c>
      <c r="AJ843" s="2" t="s">
        <v>7317</v>
      </c>
      <c r="AK843" s="2" t="s">
        <v>7318</v>
      </c>
      <c r="AN843" s="2" t="s">
        <v>7319</v>
      </c>
      <c r="AO843" s="2" t="s">
        <v>4579</v>
      </c>
    </row>
    <row r="844" spans="1:59">
      <c r="A844" s="2" t="s">
        <v>758</v>
      </c>
      <c r="B844" s="12" t="str">
        <f t="shared" si="159"/>
        <v>JOUBERT</v>
      </c>
      <c r="C844" s="12" t="str">
        <f t="shared" si="160"/>
        <v>JOUBERT</v>
      </c>
      <c r="D844" s="2" t="s">
        <v>7285</v>
      </c>
      <c r="E844" s="12" t="str">
        <f t="shared" si="170"/>
        <v>Josua</v>
      </c>
      <c r="F844" s="2" t="s">
        <v>7288</v>
      </c>
      <c r="G844" s="12" t="str">
        <f t="shared" si="161"/>
        <v>a1b5c7d3e4</v>
      </c>
      <c r="H844" s="12" t="str">
        <f t="shared" si="162"/>
        <v>JOUBERTa1b5c7d3e4</v>
      </c>
      <c r="K844" s="12" t="str">
        <f t="shared" si="163"/>
        <v/>
      </c>
      <c r="L844" s="2" t="s">
        <v>32</v>
      </c>
      <c r="M844" s="2" t="s">
        <v>7430</v>
      </c>
      <c r="N844" s="12" t="str">
        <f t="shared" si="168"/>
        <v/>
      </c>
      <c r="O844" s="12" t="str">
        <f t="shared" si="169"/>
        <v>1801</v>
      </c>
      <c r="P844" s="2" t="s">
        <v>190</v>
      </c>
      <c r="Q844" s="12" t="str">
        <f t="shared" si="164"/>
        <v>1801</v>
      </c>
      <c r="R844" s="2" t="s">
        <v>7431</v>
      </c>
      <c r="S844" s="12" t="str">
        <f t="shared" si="165"/>
        <v>1876</v>
      </c>
      <c r="V844" s="12" t="str">
        <f t="shared" si="166"/>
        <v/>
      </c>
      <c r="W844" s="2" t="s">
        <v>2936</v>
      </c>
      <c r="X844" s="2" t="s">
        <v>633</v>
      </c>
      <c r="AG844" s="2" t="s">
        <v>4892</v>
      </c>
      <c r="AH844" s="2" t="s">
        <v>7432</v>
      </c>
      <c r="AI844" s="12" t="str">
        <f t="shared" si="167"/>
        <v>1841</v>
      </c>
      <c r="AJ844" s="2" t="s">
        <v>7364</v>
      </c>
      <c r="AK844" s="2" t="s">
        <v>551</v>
      </c>
    </row>
    <row r="845" spans="1:59">
      <c r="A845" s="2" t="s">
        <v>758</v>
      </c>
      <c r="B845" s="12" t="str">
        <f t="shared" si="159"/>
        <v>JOUBERT</v>
      </c>
      <c r="C845" s="12" t="str">
        <f t="shared" si="160"/>
        <v>JOUBERT</v>
      </c>
      <c r="D845" s="2" t="s">
        <v>2215</v>
      </c>
      <c r="E845" s="12" t="str">
        <f t="shared" si="170"/>
        <v>Pieter</v>
      </c>
      <c r="F845" s="2" t="s">
        <v>7300</v>
      </c>
      <c r="G845" s="12" t="str">
        <f t="shared" si="161"/>
        <v>a1b5c7d3e6</v>
      </c>
      <c r="H845" s="12" t="str">
        <f t="shared" si="162"/>
        <v>JOUBERTa1b5c7d3e6</v>
      </c>
      <c r="K845" s="12" t="str">
        <f t="shared" si="163"/>
        <v/>
      </c>
      <c r="L845" s="2" t="s">
        <v>32</v>
      </c>
      <c r="M845" s="2" t="s">
        <v>7451</v>
      </c>
      <c r="N845" s="12" t="str">
        <f t="shared" si="168"/>
        <v/>
      </c>
      <c r="O845" s="12" t="str">
        <f t="shared" si="169"/>
        <v>1810</v>
      </c>
      <c r="Q845" s="12" t="str">
        <f t="shared" si="164"/>
        <v>1810</v>
      </c>
      <c r="S845" s="12" t="str">
        <f t="shared" si="165"/>
        <v/>
      </c>
      <c r="T845" s="2" t="s">
        <v>28</v>
      </c>
      <c r="U845" s="2" t="s">
        <v>7452</v>
      </c>
      <c r="V845" s="12" t="str">
        <f t="shared" si="166"/>
        <v>1836</v>
      </c>
      <c r="W845" s="2" t="s">
        <v>7453</v>
      </c>
      <c r="X845" s="2" t="s">
        <v>655</v>
      </c>
      <c r="AD845" s="2" t="s">
        <v>7454</v>
      </c>
      <c r="AE845" s="2" t="s">
        <v>7455</v>
      </c>
      <c r="AG845" s="2" t="s">
        <v>28</v>
      </c>
      <c r="AH845" s="2" t="s">
        <v>5021</v>
      </c>
      <c r="AI845" s="12" t="str">
        <f t="shared" si="167"/>
        <v>1842</v>
      </c>
      <c r="AK845" s="2" t="s">
        <v>1864</v>
      </c>
    </row>
    <row r="846" spans="1:59">
      <c r="A846" s="2" t="s">
        <v>758</v>
      </c>
      <c r="B846" s="12" t="str">
        <f t="shared" si="159"/>
        <v>JOUBERT</v>
      </c>
      <c r="C846" s="12" t="str">
        <f t="shared" si="160"/>
        <v>JOUBERT</v>
      </c>
      <c r="D846" s="2" t="s">
        <v>7285</v>
      </c>
      <c r="E846" s="12" t="str">
        <f t="shared" si="170"/>
        <v>Josua</v>
      </c>
      <c r="F846" s="2" t="s">
        <v>7287</v>
      </c>
      <c r="G846" s="12" t="str">
        <f t="shared" si="161"/>
        <v>a1b5c7d4e6</v>
      </c>
      <c r="H846" s="12" t="str">
        <f t="shared" si="162"/>
        <v>JOUBERTa1b5c7d4e6</v>
      </c>
      <c r="J846" s="2" t="s">
        <v>7423</v>
      </c>
      <c r="K846" s="12" t="str">
        <f t="shared" si="163"/>
        <v>1813</v>
      </c>
      <c r="L846" s="2" t="s">
        <v>1071</v>
      </c>
      <c r="M846" s="2" t="s">
        <v>7424</v>
      </c>
      <c r="N846" s="12" t="str">
        <f t="shared" si="168"/>
        <v>1813</v>
      </c>
      <c r="O846" s="12" t="str">
        <f t="shared" si="169"/>
        <v>1814</v>
      </c>
      <c r="P846" s="2" t="s">
        <v>90</v>
      </c>
      <c r="Q846" s="12" t="str">
        <f t="shared" si="164"/>
        <v>1813</v>
      </c>
      <c r="R846" s="2" t="s">
        <v>7425</v>
      </c>
      <c r="S846" s="12" t="str">
        <f t="shared" si="165"/>
        <v>1882</v>
      </c>
      <c r="T846" s="2" t="s">
        <v>395</v>
      </c>
      <c r="U846" s="2" t="s">
        <v>3748</v>
      </c>
      <c r="V846" s="12" t="str">
        <f t="shared" si="166"/>
        <v>1833</v>
      </c>
      <c r="W846" s="2" t="s">
        <v>5173</v>
      </c>
      <c r="X846" s="2" t="s">
        <v>6072</v>
      </c>
      <c r="AG846" s="2" t="s">
        <v>7428</v>
      </c>
      <c r="AH846" s="2" t="s">
        <v>4696</v>
      </c>
      <c r="AI846" s="12" t="str">
        <f t="shared" si="167"/>
        <v>1844</v>
      </c>
      <c r="AJ846" s="2" t="s">
        <v>7429</v>
      </c>
    </row>
    <row r="847" spans="1:59">
      <c r="A847" s="2" t="s">
        <v>758</v>
      </c>
      <c r="B847" s="12" t="str">
        <f t="shared" si="159"/>
        <v>JOUBERT</v>
      </c>
      <c r="C847" s="12" t="str">
        <f t="shared" si="160"/>
        <v>JOUBERT</v>
      </c>
      <c r="D847" s="2" t="s">
        <v>4491</v>
      </c>
      <c r="E847" s="12" t="str">
        <f t="shared" si="170"/>
        <v>David Johannes</v>
      </c>
      <c r="F847" s="2" t="s">
        <v>7265</v>
      </c>
      <c r="G847" s="12" t="str">
        <f t="shared" si="161"/>
        <v>a1b5c7d5e2</v>
      </c>
      <c r="H847" s="12" t="str">
        <f t="shared" si="162"/>
        <v>JOUBERTa1b5c7d5e2</v>
      </c>
      <c r="J847" s="2" t="s">
        <v>7326</v>
      </c>
      <c r="K847" s="12" t="str">
        <f t="shared" si="163"/>
        <v>1799</v>
      </c>
      <c r="L847" s="2" t="s">
        <v>542</v>
      </c>
      <c r="M847" s="2" t="s">
        <v>7327</v>
      </c>
      <c r="N847" s="12" t="str">
        <f t="shared" si="168"/>
        <v>1799</v>
      </c>
      <c r="O847" s="12" t="str">
        <f t="shared" si="169"/>
        <v>1799</v>
      </c>
      <c r="Q847" s="12" t="str">
        <f t="shared" si="164"/>
        <v>1799</v>
      </c>
      <c r="R847" s="2" t="s">
        <v>7328</v>
      </c>
      <c r="S847" s="12" t="str">
        <f t="shared" si="165"/>
        <v>1849</v>
      </c>
      <c r="T847" s="2" t="s">
        <v>32</v>
      </c>
      <c r="U847" s="2" t="s">
        <v>2456</v>
      </c>
      <c r="V847" s="12" t="str">
        <f t="shared" si="166"/>
        <v>1823</v>
      </c>
      <c r="W847" s="2" t="s">
        <v>7329</v>
      </c>
      <c r="X847" s="2" t="s">
        <v>758</v>
      </c>
      <c r="AC847" s="2" t="s">
        <v>3497</v>
      </c>
      <c r="AD847" s="2" t="s">
        <v>7330</v>
      </c>
      <c r="AE847" s="2" t="s">
        <v>7331</v>
      </c>
      <c r="AG847" s="2" t="s">
        <v>7332</v>
      </c>
      <c r="AH847" s="2" t="s">
        <v>2069</v>
      </c>
      <c r="AI847" s="12" t="str">
        <f t="shared" si="167"/>
        <v>1836</v>
      </c>
      <c r="AJ847" s="2" t="s">
        <v>5242</v>
      </c>
      <c r="AK847" s="2" t="s">
        <v>7333</v>
      </c>
    </row>
    <row r="848" spans="1:59">
      <c r="A848" s="12" t="s">
        <v>758</v>
      </c>
      <c r="B848" s="12" t="str">
        <f t="shared" si="159"/>
        <v>JOUBERT</v>
      </c>
      <c r="C848" s="12" t="str">
        <f t="shared" si="160"/>
        <v>JOUBERT</v>
      </c>
      <c r="D848" s="2" t="s">
        <v>7305</v>
      </c>
      <c r="E848" s="12" t="str">
        <f t="shared" si="170"/>
        <v>Willem Francois Sr.</v>
      </c>
      <c r="F848" s="2" t="s">
        <v>7306</v>
      </c>
      <c r="G848" s="12" t="str">
        <f t="shared" si="161"/>
        <v>a1b5c7d5e3</v>
      </c>
      <c r="H848" s="12" t="str">
        <f t="shared" si="162"/>
        <v>JOUBERTa1b5c7d5e3</v>
      </c>
      <c r="J848" s="2" t="s">
        <v>7474</v>
      </c>
      <c r="K848" s="12" t="str">
        <f t="shared" si="163"/>
        <v>1801</v>
      </c>
      <c r="L848" s="2" t="s">
        <v>32</v>
      </c>
      <c r="M848" s="2" t="s">
        <v>7430</v>
      </c>
      <c r="N848" s="12" t="str">
        <f t="shared" si="168"/>
        <v>1801</v>
      </c>
      <c r="O848" s="12" t="str">
        <f t="shared" si="169"/>
        <v>1801</v>
      </c>
      <c r="Q848" s="12" t="str">
        <f t="shared" si="164"/>
        <v>1801</v>
      </c>
      <c r="S848" s="12" t="str">
        <f t="shared" si="165"/>
        <v/>
      </c>
      <c r="T848" s="2" t="s">
        <v>32</v>
      </c>
      <c r="U848" s="2" t="s">
        <v>7475</v>
      </c>
      <c r="V848" s="12" t="str">
        <f t="shared" si="166"/>
        <v>1823</v>
      </c>
      <c r="W848" s="2" t="s">
        <v>7476</v>
      </c>
      <c r="X848" s="2" t="s">
        <v>7477</v>
      </c>
      <c r="AA848" s="2" t="s">
        <v>7253</v>
      </c>
      <c r="AE848" s="2" t="s">
        <v>7478</v>
      </c>
      <c r="AG848" s="2" t="s">
        <v>74</v>
      </c>
      <c r="AH848" s="2" t="s">
        <v>7479</v>
      </c>
      <c r="AI848" s="12" t="str">
        <f t="shared" si="167"/>
        <v>1836</v>
      </c>
      <c r="AJ848" s="2" t="s">
        <v>5242</v>
      </c>
      <c r="AK848" s="2" t="s">
        <v>4679</v>
      </c>
      <c r="AM848" s="2" t="s">
        <v>7480</v>
      </c>
      <c r="AN848" s="2" t="s">
        <v>692</v>
      </c>
      <c r="AO848" s="2" t="s">
        <v>1003</v>
      </c>
      <c r="AV848" s="2" t="s">
        <v>7481</v>
      </c>
    </row>
    <row r="849" spans="1:59">
      <c r="A849" s="12" t="s">
        <v>758</v>
      </c>
      <c r="B849" s="12" t="str">
        <f t="shared" si="159"/>
        <v>JOUBERT</v>
      </c>
      <c r="C849" s="12" t="str">
        <f t="shared" si="160"/>
        <v>JOUBERT</v>
      </c>
      <c r="D849" s="12" t="s">
        <v>7307</v>
      </c>
      <c r="E849" s="12" t="str">
        <f t="shared" si="170"/>
        <v>Willem Francois Jr.</v>
      </c>
      <c r="F849" s="12" t="s">
        <v>7308</v>
      </c>
      <c r="G849" s="12" t="str">
        <f t="shared" si="161"/>
        <v>a1b5c7d5e3f1</v>
      </c>
      <c r="H849" s="12" t="str">
        <f t="shared" si="162"/>
        <v>JOUBERTa1b5c7d5e3f1</v>
      </c>
      <c r="I849" s="12"/>
      <c r="J849" s="12" t="s">
        <v>7482</v>
      </c>
      <c r="K849" s="12" t="str">
        <f t="shared" si="163"/>
        <v>1824</v>
      </c>
      <c r="L849" s="12" t="s">
        <v>32</v>
      </c>
      <c r="M849" s="12" t="s">
        <v>218</v>
      </c>
      <c r="N849" s="12" t="str">
        <f t="shared" si="168"/>
        <v>1824</v>
      </c>
      <c r="O849" s="12" t="str">
        <f t="shared" si="169"/>
        <v>1824</v>
      </c>
      <c r="P849" s="12"/>
      <c r="Q849" s="12" t="str">
        <f t="shared" si="164"/>
        <v>1824</v>
      </c>
      <c r="R849" s="12"/>
      <c r="S849" s="12" t="str">
        <f t="shared" si="165"/>
        <v/>
      </c>
      <c r="T849" s="12"/>
      <c r="U849" s="12"/>
      <c r="V849" s="12" t="str">
        <f t="shared" si="166"/>
        <v/>
      </c>
      <c r="W849" s="12" t="s">
        <v>1629</v>
      </c>
      <c r="X849" s="12" t="s">
        <v>660</v>
      </c>
      <c r="Y849" s="12"/>
      <c r="Z849" s="12"/>
      <c r="AA849" s="12"/>
      <c r="AB849" s="12"/>
      <c r="AC849" s="12"/>
      <c r="AF849" s="12"/>
      <c r="AG849" s="12" t="s">
        <v>74</v>
      </c>
      <c r="AH849" s="12" t="s">
        <v>7479</v>
      </c>
      <c r="AI849" s="12" t="str">
        <f t="shared" si="167"/>
        <v>1836</v>
      </c>
      <c r="AJ849" s="12" t="s">
        <v>5242</v>
      </c>
      <c r="AK849" s="12" t="s">
        <v>134</v>
      </c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</row>
    <row r="850" spans="1:59">
      <c r="A850" s="12" t="s">
        <v>758</v>
      </c>
      <c r="B850" s="12" t="str">
        <f t="shared" si="159"/>
        <v>JOUBERT</v>
      </c>
      <c r="C850" s="12" t="str">
        <f t="shared" si="160"/>
        <v>JOUBERT</v>
      </c>
      <c r="D850" s="12" t="s">
        <v>7289</v>
      </c>
      <c r="E850" s="12" t="str">
        <f t="shared" si="170"/>
        <v>Josua Andries</v>
      </c>
      <c r="F850" s="12" t="s">
        <v>7290</v>
      </c>
      <c r="G850" s="12" t="str">
        <f t="shared" si="161"/>
        <v>a1b5c7d7e11</v>
      </c>
      <c r="H850" s="12" t="str">
        <f t="shared" si="162"/>
        <v>JOUBERTa1b5c7d7e11</v>
      </c>
      <c r="I850" s="12"/>
      <c r="J850" s="12" t="s">
        <v>7434</v>
      </c>
      <c r="K850" s="12" t="str">
        <f t="shared" si="163"/>
        <v>1825</v>
      </c>
      <c r="L850" s="12" t="s">
        <v>32</v>
      </c>
      <c r="M850" s="12" t="s">
        <v>7313</v>
      </c>
      <c r="N850" s="12" t="str">
        <f t="shared" si="168"/>
        <v>1825</v>
      </c>
      <c r="O850" s="12" t="str">
        <f t="shared" si="169"/>
        <v>1826</v>
      </c>
      <c r="P850" s="12" t="s">
        <v>134</v>
      </c>
      <c r="Q850" s="12" t="str">
        <f t="shared" si="164"/>
        <v>1825</v>
      </c>
      <c r="R850" s="12" t="s">
        <v>7435</v>
      </c>
      <c r="S850" s="12" t="str">
        <f t="shared" si="165"/>
        <v>1847</v>
      </c>
      <c r="T850" s="12"/>
      <c r="U850" s="12"/>
      <c r="V850" s="12" t="str">
        <f t="shared" si="166"/>
        <v/>
      </c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 t="s">
        <v>7411</v>
      </c>
      <c r="AH850" s="12" t="s">
        <v>5776</v>
      </c>
      <c r="AI850" s="12" t="str">
        <f t="shared" si="167"/>
        <v>840S</v>
      </c>
      <c r="AJ850" s="12" t="s">
        <v>7412</v>
      </c>
      <c r="AK850" s="12" t="s">
        <v>155</v>
      </c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</row>
    <row r="851" spans="1:59">
      <c r="A851" s="12" t="s">
        <v>758</v>
      </c>
      <c r="B851" s="12" t="str">
        <f t="shared" si="159"/>
        <v>JOUBERT</v>
      </c>
      <c r="C851" s="12" t="str">
        <f t="shared" si="160"/>
        <v>JOUBERT</v>
      </c>
      <c r="D851" s="12" t="s">
        <v>7294</v>
      </c>
      <c r="E851" s="12" t="str">
        <f t="shared" si="170"/>
        <v>Leendert Francois</v>
      </c>
      <c r="F851" s="12" t="s">
        <v>7295</v>
      </c>
      <c r="G851" s="12" t="str">
        <f t="shared" si="161"/>
        <v>a1b5c7d7e3</v>
      </c>
      <c r="H851" s="12" t="str">
        <f t="shared" si="162"/>
        <v>JOUBERTa1b5c7d7e3</v>
      </c>
      <c r="I851" s="12"/>
      <c r="J851" s="12" t="s">
        <v>7441</v>
      </c>
      <c r="K851" s="12" t="str">
        <f t="shared" si="163"/>
        <v>1810</v>
      </c>
      <c r="L851" s="12" t="s">
        <v>32</v>
      </c>
      <c r="M851" s="12" t="s">
        <v>7442</v>
      </c>
      <c r="N851" s="12" t="str">
        <f t="shared" si="168"/>
        <v>1810</v>
      </c>
      <c r="O851" s="12" t="str">
        <f t="shared" si="169"/>
        <v>1811</v>
      </c>
      <c r="P851" s="12"/>
      <c r="Q851" s="12" t="str">
        <f t="shared" si="164"/>
        <v>1810</v>
      </c>
      <c r="R851" s="12"/>
      <c r="S851" s="12" t="str">
        <f t="shared" si="165"/>
        <v/>
      </c>
      <c r="T851" s="12"/>
      <c r="U851" s="12"/>
      <c r="V851" s="12" t="str">
        <f t="shared" si="166"/>
        <v/>
      </c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 t="s">
        <v>32</v>
      </c>
      <c r="AH851" s="12" t="s">
        <v>5776</v>
      </c>
      <c r="AI851" s="12" t="str">
        <f t="shared" si="167"/>
        <v>840S</v>
      </c>
      <c r="AJ851" s="12" t="s">
        <v>7412</v>
      </c>
      <c r="AK851" s="12" t="s">
        <v>155</v>
      </c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</row>
    <row r="852" spans="1:59">
      <c r="A852" s="12" t="s">
        <v>758</v>
      </c>
      <c r="B852" s="12" t="str">
        <f t="shared" si="159"/>
        <v>JOUBERT</v>
      </c>
      <c r="C852" s="12" t="str">
        <f t="shared" si="160"/>
        <v>JOUBERT</v>
      </c>
      <c r="D852" s="12" t="s">
        <v>7271</v>
      </c>
      <c r="E852" s="12" t="str">
        <f t="shared" si="170"/>
        <v>Gideon Johannes</v>
      </c>
      <c r="F852" s="12" t="s">
        <v>7272</v>
      </c>
      <c r="G852" s="12" t="str">
        <f t="shared" si="161"/>
        <v>a1b5c7d7e5</v>
      </c>
      <c r="H852" s="12" t="str">
        <f t="shared" si="162"/>
        <v>JOUBERTa1b5c7d7e5</v>
      </c>
      <c r="I852" s="12"/>
      <c r="J852" s="12" t="s">
        <v>7353</v>
      </c>
      <c r="K852" s="12" t="str">
        <f t="shared" si="163"/>
        <v>1812</v>
      </c>
      <c r="L852" s="12" t="s">
        <v>1071</v>
      </c>
      <c r="M852" s="12" t="s">
        <v>7354</v>
      </c>
      <c r="N852" s="12" t="str">
        <f t="shared" si="168"/>
        <v>1812</v>
      </c>
      <c r="O852" s="12" t="str">
        <f t="shared" si="169"/>
        <v>1814</v>
      </c>
      <c r="P852" s="12" t="s">
        <v>7355</v>
      </c>
      <c r="Q852" s="12" t="str">
        <f t="shared" si="164"/>
        <v>1812</v>
      </c>
      <c r="R852" s="12" t="s">
        <v>7356</v>
      </c>
      <c r="S852" s="12" t="str">
        <f t="shared" si="165"/>
        <v>1894</v>
      </c>
      <c r="T852" s="12" t="s">
        <v>32</v>
      </c>
      <c r="U852" s="12" t="s">
        <v>7357</v>
      </c>
      <c r="V852" s="12" t="str">
        <f t="shared" si="166"/>
        <v>1836</v>
      </c>
      <c r="W852" s="12" t="s">
        <v>2421</v>
      </c>
      <c r="X852" s="12" t="s">
        <v>758</v>
      </c>
      <c r="Y852" s="12"/>
      <c r="Z852" s="12"/>
      <c r="AA852" s="12"/>
      <c r="AB852" s="12"/>
      <c r="AC852" s="12"/>
      <c r="AD852" s="12"/>
      <c r="AE852" s="12" t="s">
        <v>7358</v>
      </c>
      <c r="AF852" s="12"/>
      <c r="AG852" s="12" t="s">
        <v>32</v>
      </c>
      <c r="AH852" s="12" t="s">
        <v>7316</v>
      </c>
      <c r="AI852" s="12" t="str">
        <f t="shared" si="167"/>
        <v>840S</v>
      </c>
      <c r="AJ852" s="12" t="s">
        <v>7338</v>
      </c>
      <c r="AK852" s="12" t="s">
        <v>551</v>
      </c>
      <c r="AL852" s="12"/>
      <c r="AM852" s="12"/>
      <c r="AN852" s="12" t="s">
        <v>7359</v>
      </c>
      <c r="AO852" s="12" t="s">
        <v>2944</v>
      </c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</row>
    <row r="853" spans="1:59">
      <c r="A853" s="12" t="s">
        <v>758</v>
      </c>
      <c r="B853" s="12" t="str">
        <f t="shared" si="159"/>
        <v>JOUBERT</v>
      </c>
      <c r="C853" s="12" t="str">
        <f t="shared" si="160"/>
        <v>JOUBERT</v>
      </c>
      <c r="D853" s="12" t="s">
        <v>4308</v>
      </c>
      <c r="E853" s="12" t="str">
        <f t="shared" si="170"/>
        <v>Pieter Johannes</v>
      </c>
      <c r="F853" s="12" t="s">
        <v>7301</v>
      </c>
      <c r="G853" s="12" t="str">
        <f t="shared" si="161"/>
        <v>a1b5c7d7e6</v>
      </c>
      <c r="H853" s="12" t="str">
        <f t="shared" si="162"/>
        <v>JOUBERTa1b5c7d7e6</v>
      </c>
      <c r="I853" s="12"/>
      <c r="J853" s="12" t="s">
        <v>4365</v>
      </c>
      <c r="K853" s="12" t="str">
        <f t="shared" si="163"/>
        <v>1816</v>
      </c>
      <c r="L853" s="12" t="s">
        <v>1071</v>
      </c>
      <c r="M853" s="12" t="s">
        <v>7456</v>
      </c>
      <c r="N853" s="12" t="str">
        <f t="shared" si="168"/>
        <v>1816</v>
      </c>
      <c r="O853" s="12" t="str">
        <f t="shared" si="169"/>
        <v>1817</v>
      </c>
      <c r="P853" s="12" t="s">
        <v>7457</v>
      </c>
      <c r="Q853" s="12" t="str">
        <f t="shared" si="164"/>
        <v>1816</v>
      </c>
      <c r="R853" s="12" t="s">
        <v>7458</v>
      </c>
      <c r="S853" s="12" t="str">
        <f t="shared" si="165"/>
        <v>1897</v>
      </c>
      <c r="T853" s="12"/>
      <c r="U853" s="12"/>
      <c r="V853" s="12" t="str">
        <f t="shared" si="166"/>
        <v/>
      </c>
      <c r="W853" s="12" t="s">
        <v>7459</v>
      </c>
      <c r="X853" s="12"/>
      <c r="Y853" s="12"/>
      <c r="Z853" s="12"/>
      <c r="AA853" s="12"/>
      <c r="AB853" s="12"/>
      <c r="AC853" s="12"/>
      <c r="AD853" s="12"/>
      <c r="AE853" s="12"/>
      <c r="AF853" s="12"/>
      <c r="AG853" s="12" t="s">
        <v>32</v>
      </c>
      <c r="AH853" s="12" t="s">
        <v>5776</v>
      </c>
      <c r="AI853" s="12" t="str">
        <f t="shared" si="167"/>
        <v>840S</v>
      </c>
      <c r="AJ853" s="12" t="s">
        <v>7364</v>
      </c>
      <c r="AK853" s="12" t="s">
        <v>7460</v>
      </c>
      <c r="AL853" s="12"/>
      <c r="AM853" s="12"/>
      <c r="AN853" s="12" t="s">
        <v>7461</v>
      </c>
      <c r="AO853" s="12" t="s">
        <v>2250</v>
      </c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</row>
    <row r="854" spans="1:59">
      <c r="A854" s="12" t="s">
        <v>758</v>
      </c>
      <c r="B854" s="12" t="str">
        <f t="shared" si="159"/>
        <v>JOUBERT</v>
      </c>
      <c r="C854" s="12" t="str">
        <f t="shared" si="160"/>
        <v>JOUBERT</v>
      </c>
      <c r="D854" s="12" t="s">
        <v>7282</v>
      </c>
      <c r="E854" s="12" t="str">
        <f t="shared" si="170"/>
        <v>Johannes Bernhardus</v>
      </c>
      <c r="F854" s="12" t="s">
        <v>7283</v>
      </c>
      <c r="G854" s="12" t="str">
        <f t="shared" si="161"/>
        <v>a1b5c7d7e9</v>
      </c>
      <c r="H854" s="12" t="str">
        <f t="shared" si="162"/>
        <v>JOUBERTa1b5c7d7e9</v>
      </c>
      <c r="I854" s="12"/>
      <c r="J854" s="12" t="s">
        <v>7410</v>
      </c>
      <c r="K854" s="12" t="str">
        <f t="shared" si="163"/>
        <v>1822</v>
      </c>
      <c r="L854" s="12" t="s">
        <v>32</v>
      </c>
      <c r="M854" s="12" t="s">
        <v>2525</v>
      </c>
      <c r="N854" s="12" t="str">
        <f t="shared" si="168"/>
        <v>1822</v>
      </c>
      <c r="O854" s="12" t="str">
        <f t="shared" si="169"/>
        <v>1823</v>
      </c>
      <c r="P854" s="12"/>
      <c r="Q854" s="12" t="str">
        <f t="shared" si="164"/>
        <v>1822</v>
      </c>
      <c r="R854" s="12"/>
      <c r="S854" s="12" t="str">
        <f t="shared" si="165"/>
        <v/>
      </c>
      <c r="T854" s="12"/>
      <c r="U854" s="12"/>
      <c r="V854" s="12" t="str">
        <f t="shared" si="166"/>
        <v/>
      </c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 t="s">
        <v>7411</v>
      </c>
      <c r="AH854" s="12" t="s">
        <v>5776</v>
      </c>
      <c r="AI854" s="12" t="str">
        <f t="shared" si="167"/>
        <v>840S</v>
      </c>
      <c r="AJ854" s="12" t="s">
        <v>7412</v>
      </c>
      <c r="AK854" s="12" t="s">
        <v>155</v>
      </c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</row>
    <row r="855" spans="1:59">
      <c r="A855" s="12" t="s">
        <v>758</v>
      </c>
      <c r="B855" s="12" t="str">
        <f t="shared" si="159"/>
        <v>JOUBERT</v>
      </c>
      <c r="C855" s="12" t="str">
        <f t="shared" si="160"/>
        <v>JOUBERT</v>
      </c>
      <c r="D855" s="12" t="s">
        <v>7275</v>
      </c>
      <c r="E855" s="12" t="str">
        <f t="shared" si="170"/>
        <v>Jacobus Francois</v>
      </c>
      <c r="F855" s="12" t="s">
        <v>7276</v>
      </c>
      <c r="G855" s="12" t="str">
        <f t="shared" si="161"/>
        <v>a1b8c3d3e2f1</v>
      </c>
      <c r="H855" s="12" t="str">
        <f t="shared" si="162"/>
        <v>JOUBERTa1b8c3d3e2f1</v>
      </c>
      <c r="I855" s="12"/>
      <c r="J855" s="12"/>
      <c r="K855" s="12" t="str">
        <f t="shared" si="163"/>
        <v/>
      </c>
      <c r="L855" s="12"/>
      <c r="M855" s="12" t="s">
        <v>7368</v>
      </c>
      <c r="N855" s="12" t="str">
        <f t="shared" si="168"/>
        <v/>
      </c>
      <c r="O855" s="12" t="str">
        <f t="shared" si="169"/>
        <v>1803</v>
      </c>
      <c r="P855" s="12"/>
      <c r="Q855" s="12" t="str">
        <f t="shared" si="164"/>
        <v>1803</v>
      </c>
      <c r="R855" s="12"/>
      <c r="S855" s="12" t="str">
        <f t="shared" si="165"/>
        <v/>
      </c>
      <c r="T855" s="12"/>
      <c r="U855" s="12"/>
      <c r="V855" s="12" t="str">
        <f t="shared" si="166"/>
        <v/>
      </c>
      <c r="W855" s="12" t="s">
        <v>1674</v>
      </c>
      <c r="X855" s="12" t="s">
        <v>633</v>
      </c>
      <c r="Y855" s="12"/>
      <c r="Z855" s="12"/>
      <c r="AA855" s="12"/>
      <c r="AB855" s="12"/>
      <c r="AC855" s="12"/>
      <c r="AD855" s="12"/>
      <c r="AE855" s="12"/>
      <c r="AF855" s="12"/>
      <c r="AG855" s="12" t="s">
        <v>32</v>
      </c>
      <c r="AH855" s="12" t="s">
        <v>7369</v>
      </c>
      <c r="AI855" s="12" t="str">
        <f t="shared" si="167"/>
        <v>840S</v>
      </c>
      <c r="AJ855" s="12" t="s">
        <v>5242</v>
      </c>
      <c r="AK855" s="12" t="s">
        <v>7370</v>
      </c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</row>
    <row r="856" spans="1:59">
      <c r="A856" s="12" t="s">
        <v>758</v>
      </c>
      <c r="B856" s="12" t="str">
        <f t="shared" si="159"/>
        <v>JOUBERT</v>
      </c>
      <c r="C856" s="12" t="str">
        <f t="shared" si="160"/>
        <v>JOUBERT</v>
      </c>
      <c r="D856" s="12" t="s">
        <v>7296</v>
      </c>
      <c r="E856" s="12" t="str">
        <f t="shared" si="170"/>
        <v>Marthinus Godfried</v>
      </c>
      <c r="F856" s="12" t="s">
        <v>7297</v>
      </c>
      <c r="G856" s="12" t="str">
        <f t="shared" si="161"/>
        <v>a1b8c3d3e2f2</v>
      </c>
      <c r="H856" s="12" t="str">
        <f t="shared" si="162"/>
        <v>JOUBERTa1b8c3d3e2f2</v>
      </c>
      <c r="I856" s="12"/>
      <c r="J856" s="12"/>
      <c r="K856" s="12" t="str">
        <f t="shared" si="163"/>
        <v/>
      </c>
      <c r="L856" s="12" t="s">
        <v>32</v>
      </c>
      <c r="M856" s="12" t="s">
        <v>7443</v>
      </c>
      <c r="N856" s="12" t="str">
        <f t="shared" si="168"/>
        <v/>
      </c>
      <c r="O856" s="12" t="str">
        <f t="shared" si="169"/>
        <v>1805</v>
      </c>
      <c r="P856" s="12"/>
      <c r="Q856" s="12" t="str">
        <f t="shared" si="164"/>
        <v>1805</v>
      </c>
      <c r="R856" s="12"/>
      <c r="S856" s="12" t="str">
        <f t="shared" si="165"/>
        <v/>
      </c>
      <c r="T856" s="12" t="s">
        <v>32</v>
      </c>
      <c r="U856" s="12" t="s">
        <v>2539</v>
      </c>
      <c r="V856" s="12" t="str">
        <f t="shared" si="166"/>
        <v>1825</v>
      </c>
      <c r="W856" s="12" t="s">
        <v>2421</v>
      </c>
      <c r="X856" s="12" t="s">
        <v>5159</v>
      </c>
      <c r="Y856" s="12"/>
      <c r="Z856" s="12"/>
      <c r="AA856" s="12"/>
      <c r="AB856" s="12"/>
      <c r="AC856" s="12"/>
      <c r="AD856" s="12"/>
      <c r="AE856" s="12"/>
      <c r="AF856" s="12" t="s">
        <v>3706</v>
      </c>
      <c r="AG856" s="12" t="s">
        <v>68</v>
      </c>
      <c r="AH856" s="12" t="s">
        <v>7444</v>
      </c>
      <c r="AI856" s="12" t="str">
        <f t="shared" si="167"/>
        <v>1844</v>
      </c>
      <c r="AJ856" s="12" t="s">
        <v>7364</v>
      </c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</row>
    <row r="857" spans="1:59">
      <c r="A857" s="6" t="s">
        <v>15788</v>
      </c>
      <c r="B857" s="12" t="str">
        <f t="shared" si="159"/>
        <v>KEBEL</v>
      </c>
      <c r="C857" s="6" t="str">
        <f t="shared" si="160"/>
        <v>KEBEL</v>
      </c>
      <c r="D857" s="12" t="s">
        <v>7483</v>
      </c>
      <c r="E857" s="12" t="str">
        <f t="shared" si="170"/>
        <v>Johan (Johannes) August</v>
      </c>
      <c r="F857" s="12" t="s">
        <v>829</v>
      </c>
      <c r="G857" s="12" t="str">
        <f t="shared" si="161"/>
        <v>a1</v>
      </c>
      <c r="H857" s="12" t="str">
        <f t="shared" si="162"/>
        <v>KEBELa1</v>
      </c>
      <c r="I857" s="12"/>
      <c r="J857" s="12"/>
      <c r="K857" s="12" t="str">
        <f t="shared" si="163"/>
        <v/>
      </c>
      <c r="L857" s="12"/>
      <c r="M857" s="12"/>
      <c r="N857" s="12" t="str">
        <f t="shared" si="168"/>
        <v/>
      </c>
      <c r="O857" s="12" t="str">
        <f t="shared" si="169"/>
        <v/>
      </c>
      <c r="P857" s="12"/>
      <c r="Q857" s="12" t="str">
        <f t="shared" si="164"/>
        <v/>
      </c>
      <c r="R857" s="12"/>
      <c r="S857" s="12" t="str">
        <f t="shared" si="165"/>
        <v/>
      </c>
      <c r="T857" s="12" t="s">
        <v>32</v>
      </c>
      <c r="U857" s="12" t="s">
        <v>7484</v>
      </c>
      <c r="V857" s="12" t="str">
        <f t="shared" si="166"/>
        <v>1824</v>
      </c>
      <c r="W857" s="12" t="s">
        <v>7485</v>
      </c>
      <c r="X857" s="12" t="s">
        <v>1590</v>
      </c>
      <c r="Y857" s="12"/>
      <c r="Z857" s="12"/>
      <c r="AA857" s="12"/>
      <c r="AB857" s="12"/>
      <c r="AC857" s="12"/>
      <c r="AD857" s="12"/>
      <c r="AE857" s="12"/>
      <c r="AF857" s="12" t="s">
        <v>3727</v>
      </c>
      <c r="AG857" s="12" t="s">
        <v>32</v>
      </c>
      <c r="AH857" s="12"/>
      <c r="AI857" s="12" t="str">
        <f t="shared" si="167"/>
        <v/>
      </c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</row>
    <row r="858" spans="1:59">
      <c r="A858" s="2" t="s">
        <v>791</v>
      </c>
      <c r="B858" s="12" t="str">
        <f t="shared" si="159"/>
        <v>KEMP</v>
      </c>
      <c r="C858" s="12" t="str">
        <f t="shared" si="160"/>
        <v>KEMP</v>
      </c>
      <c r="D858" s="2" t="s">
        <v>7486</v>
      </c>
      <c r="E858" s="12" t="str">
        <f t="shared" si="170"/>
        <v>Gerhardus Philippus</v>
      </c>
      <c r="F858" s="2" t="s">
        <v>7487</v>
      </c>
      <c r="G858" s="12" t="str">
        <f t="shared" si="161"/>
        <v>a1b3c5d7</v>
      </c>
      <c r="H858" s="12" t="str">
        <f t="shared" si="162"/>
        <v>KEMPa1b3c5d7</v>
      </c>
      <c r="K858" s="12" t="str">
        <f t="shared" si="163"/>
        <v/>
      </c>
      <c r="L858" s="2" t="s">
        <v>961</v>
      </c>
      <c r="M858" s="2" t="s">
        <v>7488</v>
      </c>
      <c r="N858" s="12" t="str">
        <f t="shared" si="168"/>
        <v/>
      </c>
      <c r="O858" s="12" t="str">
        <f t="shared" si="169"/>
        <v>1791</v>
      </c>
      <c r="Q858" s="12" t="str">
        <f t="shared" si="164"/>
        <v>1791</v>
      </c>
      <c r="S858" s="12" t="str">
        <f t="shared" si="165"/>
        <v/>
      </c>
      <c r="T858" s="2" t="s">
        <v>74</v>
      </c>
      <c r="U858" s="2" t="s">
        <v>4796</v>
      </c>
      <c r="V858" s="12" t="str">
        <f t="shared" si="166"/>
        <v>1814</v>
      </c>
      <c r="W858" s="2" t="s">
        <v>642</v>
      </c>
      <c r="X858" s="2" t="s">
        <v>726</v>
      </c>
      <c r="Y858" s="2" t="s">
        <v>7489</v>
      </c>
      <c r="AF858" s="2" t="s">
        <v>7490</v>
      </c>
      <c r="AG858" s="2" t="s">
        <v>53</v>
      </c>
      <c r="AH858" s="2" t="s">
        <v>7491</v>
      </c>
      <c r="AI858" s="12" t="str">
        <f t="shared" si="167"/>
        <v>1837</v>
      </c>
      <c r="AJ858" s="2" t="s">
        <v>2262</v>
      </c>
      <c r="AK858" s="2" t="s">
        <v>90</v>
      </c>
    </row>
    <row r="859" spans="1:59">
      <c r="A859" s="12" t="s">
        <v>791</v>
      </c>
      <c r="B859" s="12" t="str">
        <f t="shared" si="159"/>
        <v>KEMP</v>
      </c>
      <c r="C859" s="12" t="str">
        <f t="shared" si="160"/>
        <v>KEMP</v>
      </c>
      <c r="D859" s="2" t="s">
        <v>201</v>
      </c>
      <c r="E859" s="12" t="str">
        <f t="shared" si="170"/>
        <v>Petrus Johannes</v>
      </c>
      <c r="F859" s="2" t="s">
        <v>7498</v>
      </c>
      <c r="G859" s="12" t="str">
        <f t="shared" si="161"/>
        <v>a1b3c5d7e2</v>
      </c>
      <c r="H859" s="12" t="str">
        <f t="shared" si="162"/>
        <v>KEMPa1b3c5d7e2</v>
      </c>
      <c r="J859" s="2" t="s">
        <v>3306</v>
      </c>
      <c r="K859" s="12" t="str">
        <f t="shared" si="163"/>
        <v>1817</v>
      </c>
      <c r="L859" s="2" t="s">
        <v>53</v>
      </c>
      <c r="M859" s="2" t="s">
        <v>7499</v>
      </c>
      <c r="N859" s="12" t="str">
        <f t="shared" si="168"/>
        <v>1817</v>
      </c>
      <c r="O859" s="12" t="str">
        <f t="shared" si="169"/>
        <v>1818</v>
      </c>
      <c r="P859" s="2" t="s">
        <v>2355</v>
      </c>
      <c r="Q859" s="12" t="str">
        <f t="shared" si="164"/>
        <v>1817</v>
      </c>
      <c r="R859" s="2" t="s">
        <v>7500</v>
      </c>
      <c r="S859" s="12" t="str">
        <f t="shared" si="165"/>
        <v>1898</v>
      </c>
      <c r="U859" s="2" t="s">
        <v>7501</v>
      </c>
      <c r="V859" s="12" t="str">
        <f t="shared" si="166"/>
        <v>1838</v>
      </c>
      <c r="W859" s="2" t="s">
        <v>7502</v>
      </c>
      <c r="X859" s="2" t="s">
        <v>3799</v>
      </c>
      <c r="Y859" s="2" t="s">
        <v>7503</v>
      </c>
      <c r="AC859" s="2" t="s">
        <v>7504</v>
      </c>
      <c r="AF859" s="2" t="s">
        <v>4785</v>
      </c>
      <c r="AG859" s="2" t="s">
        <v>53</v>
      </c>
      <c r="AH859" s="2" t="s">
        <v>7491</v>
      </c>
      <c r="AI859" s="12" t="str">
        <f t="shared" si="167"/>
        <v>1837</v>
      </c>
      <c r="AJ859" s="2" t="s">
        <v>2262</v>
      </c>
      <c r="AK859" s="2" t="s">
        <v>90</v>
      </c>
    </row>
    <row r="860" spans="1:59">
      <c r="A860" s="2" t="s">
        <v>791</v>
      </c>
      <c r="B860" s="12" t="str">
        <f t="shared" si="159"/>
        <v>KEMP</v>
      </c>
      <c r="C860" s="12" t="str">
        <f t="shared" si="160"/>
        <v>KEMP</v>
      </c>
      <c r="D860" s="2" t="s">
        <v>1222</v>
      </c>
      <c r="E860" s="12" t="str">
        <f t="shared" si="170"/>
        <v>Jacobus Frederik</v>
      </c>
      <c r="F860" s="2" t="s">
        <v>7492</v>
      </c>
      <c r="G860" s="12" t="str">
        <f t="shared" si="161"/>
        <v>a1b3c5d7e3</v>
      </c>
      <c r="H860" s="12" t="str">
        <f t="shared" si="162"/>
        <v>KEMPa1b3c5d7e3</v>
      </c>
      <c r="I860" s="2" t="s">
        <v>4785</v>
      </c>
      <c r="J860" s="2" t="s">
        <v>7493</v>
      </c>
      <c r="K860" s="12" t="str">
        <f t="shared" si="163"/>
        <v>1819</v>
      </c>
      <c r="M860" s="2" t="s">
        <v>7494</v>
      </c>
      <c r="N860" s="12" t="str">
        <f t="shared" si="168"/>
        <v>1819</v>
      </c>
      <c r="O860" s="12" t="str">
        <f t="shared" si="169"/>
        <v>1820</v>
      </c>
      <c r="P860" s="2" t="s">
        <v>7495</v>
      </c>
      <c r="Q860" s="12" t="str">
        <f t="shared" si="164"/>
        <v>1819</v>
      </c>
      <c r="R860" s="2" t="s">
        <v>7496</v>
      </c>
      <c r="S860" s="12" t="str">
        <f t="shared" si="165"/>
        <v>1899</v>
      </c>
      <c r="V860" s="12" t="str">
        <f t="shared" si="166"/>
        <v/>
      </c>
      <c r="W860" s="2" t="s">
        <v>7497</v>
      </c>
      <c r="AI860" s="12" t="str">
        <f t="shared" si="167"/>
        <v/>
      </c>
    </row>
    <row r="861" spans="1:59">
      <c r="A861" s="2" t="s">
        <v>7505</v>
      </c>
      <c r="B861" s="12" t="str">
        <f t="shared" si="159"/>
        <v>KILLIAN</v>
      </c>
      <c r="C861" s="12" t="str">
        <f t="shared" si="160"/>
        <v>KILLIAN</v>
      </c>
      <c r="D861" s="2" t="s">
        <v>7506</v>
      </c>
      <c r="E861" s="12" t="str">
        <f t="shared" si="170"/>
        <v>Justus Daniel</v>
      </c>
      <c r="F861" s="2" t="s">
        <v>7507</v>
      </c>
      <c r="G861" s="12" t="str">
        <f t="shared" si="161"/>
        <v>a1b11</v>
      </c>
      <c r="H861" s="12" t="str">
        <f t="shared" si="162"/>
        <v>KILLIANa1b11</v>
      </c>
      <c r="J861" s="2" t="s">
        <v>7508</v>
      </c>
      <c r="K861" s="12" t="str">
        <f t="shared" si="163"/>
        <v>1810</v>
      </c>
      <c r="L861" s="2" t="s">
        <v>32</v>
      </c>
      <c r="M861" s="2" t="s">
        <v>7509</v>
      </c>
      <c r="N861" s="12" t="str">
        <f t="shared" si="168"/>
        <v>1810</v>
      </c>
      <c r="O861" s="12" t="str">
        <f t="shared" si="169"/>
        <v>1810</v>
      </c>
      <c r="P861" s="2" t="s">
        <v>1017</v>
      </c>
      <c r="Q861" s="12" t="str">
        <f t="shared" si="164"/>
        <v>1810</v>
      </c>
      <c r="R861" s="2" t="s">
        <v>7510</v>
      </c>
      <c r="S861" s="12" t="str">
        <f t="shared" si="165"/>
        <v>1850</v>
      </c>
      <c r="T861" s="2" t="s">
        <v>74</v>
      </c>
      <c r="U861" s="2" t="s">
        <v>2341</v>
      </c>
      <c r="V861" s="12" t="str">
        <f t="shared" si="166"/>
        <v>1836</v>
      </c>
      <c r="W861" s="2" t="s">
        <v>3389</v>
      </c>
      <c r="X861" s="2" t="s">
        <v>729</v>
      </c>
      <c r="AA861" s="2" t="s">
        <v>7511</v>
      </c>
      <c r="AD861" s="2" t="s">
        <v>3214</v>
      </c>
      <c r="AE861" s="2" t="s">
        <v>7512</v>
      </c>
      <c r="AG861" s="2" t="s">
        <v>28</v>
      </c>
      <c r="AH861" s="2">
        <v>1840</v>
      </c>
      <c r="AI861" s="12" t="str">
        <f t="shared" si="167"/>
        <v>1840</v>
      </c>
      <c r="AJ861" s="2" t="s">
        <v>7468</v>
      </c>
      <c r="AK861" s="2" t="s">
        <v>551</v>
      </c>
    </row>
    <row r="862" spans="1:59">
      <c r="A862" s="2" t="s">
        <v>7513</v>
      </c>
      <c r="B862" s="12" t="str">
        <f t="shared" si="159"/>
        <v>KLEYNSHANS</v>
      </c>
      <c r="C862" s="12" t="str">
        <f t="shared" si="160"/>
        <v>KLEYNSHANS</v>
      </c>
      <c r="D862" s="2" t="s">
        <v>6006</v>
      </c>
      <c r="E862" s="12" t="str">
        <f t="shared" si="170"/>
        <v>Hermanus Johannes</v>
      </c>
      <c r="F862" s="2" t="s">
        <v>7514</v>
      </c>
      <c r="G862" s="12" t="str">
        <f t="shared" si="161"/>
        <v>a1b9c5</v>
      </c>
      <c r="H862" s="12" t="str">
        <f t="shared" si="162"/>
        <v>KLEYNSHANSa1b9c5</v>
      </c>
      <c r="J862" s="2" t="s">
        <v>7515</v>
      </c>
      <c r="K862" s="12" t="str">
        <f t="shared" si="163"/>
        <v>1813</v>
      </c>
      <c r="L862" s="2" t="s">
        <v>32</v>
      </c>
      <c r="M862" s="2" t="s">
        <v>7516</v>
      </c>
      <c r="N862" s="12" t="str">
        <f t="shared" si="168"/>
        <v>1813</v>
      </c>
      <c r="O862" s="12" t="str">
        <f t="shared" si="169"/>
        <v>1813</v>
      </c>
      <c r="P862" s="2" t="s">
        <v>24</v>
      </c>
      <c r="Q862" s="12" t="str">
        <f t="shared" si="164"/>
        <v>1813</v>
      </c>
      <c r="R862" s="2" t="s">
        <v>7517</v>
      </c>
      <c r="S862" s="12" t="str">
        <f t="shared" si="165"/>
        <v>1887</v>
      </c>
      <c r="T862" s="2" t="s">
        <v>74</v>
      </c>
      <c r="U862" s="2" t="s">
        <v>7518</v>
      </c>
      <c r="V862" s="12" t="str">
        <f t="shared" si="166"/>
        <v>1834</v>
      </c>
      <c r="W862" s="2" t="s">
        <v>1881</v>
      </c>
      <c r="X862" s="2" t="s">
        <v>729</v>
      </c>
      <c r="AG862" s="2" t="s">
        <v>28</v>
      </c>
      <c r="AH862" s="2" t="s">
        <v>7519</v>
      </c>
      <c r="AI862" s="12" t="str">
        <f t="shared" si="167"/>
        <v>1838</v>
      </c>
    </row>
    <row r="863" spans="1:59">
      <c r="A863" s="2" t="s">
        <v>2901</v>
      </c>
      <c r="B863" s="12" t="str">
        <f t="shared" si="159"/>
        <v>KLOPPER</v>
      </c>
      <c r="C863" s="12" t="str">
        <f t="shared" si="160"/>
        <v>KLOPPER</v>
      </c>
      <c r="D863" s="2" t="s">
        <v>7527</v>
      </c>
      <c r="E863" s="12" t="str">
        <f t="shared" si="170"/>
        <v>Hendrik Coenraad ( De Oude)</v>
      </c>
      <c r="F863" s="2" t="s">
        <v>7528</v>
      </c>
      <c r="G863" s="12" t="str">
        <f t="shared" si="161"/>
        <v>a1b7c2</v>
      </c>
      <c r="H863" s="12" t="str">
        <f t="shared" si="162"/>
        <v>KLOPPERa1b7c2</v>
      </c>
      <c r="K863" s="12" t="str">
        <f t="shared" si="163"/>
        <v/>
      </c>
      <c r="M863" s="2" t="s">
        <v>7561</v>
      </c>
      <c r="N863" s="12" t="str">
        <f t="shared" si="168"/>
        <v/>
      </c>
      <c r="O863" s="12" t="str">
        <f t="shared" si="169"/>
        <v>1756</v>
      </c>
      <c r="Q863" s="12" t="str">
        <f t="shared" si="164"/>
        <v>1756</v>
      </c>
      <c r="S863" s="12" t="str">
        <f t="shared" si="165"/>
        <v/>
      </c>
      <c r="U863" s="2" t="s">
        <v>7562</v>
      </c>
      <c r="V863" s="12" t="str">
        <f t="shared" si="166"/>
        <v>1784</v>
      </c>
      <c r="W863" s="2" t="s">
        <v>3331</v>
      </c>
      <c r="X863" s="2" t="s">
        <v>655</v>
      </c>
      <c r="AF863" s="2" t="s">
        <v>7563</v>
      </c>
      <c r="AG863" s="2" t="s">
        <v>68</v>
      </c>
      <c r="AI863" s="12" t="str">
        <f t="shared" si="167"/>
        <v/>
      </c>
      <c r="AJ863" s="2" t="s">
        <v>7564</v>
      </c>
      <c r="AK863" s="2" t="s">
        <v>155</v>
      </c>
      <c r="AM863" s="2" t="s">
        <v>7565</v>
      </c>
      <c r="AN863" s="2" t="s">
        <v>5365</v>
      </c>
      <c r="AO863" s="2" t="s">
        <v>2589</v>
      </c>
    </row>
    <row r="864" spans="1:59">
      <c r="A864" s="2" t="s">
        <v>2901</v>
      </c>
      <c r="B864" s="12" t="str">
        <f t="shared" si="159"/>
        <v>KLOPPER</v>
      </c>
      <c r="C864" s="12" t="str">
        <f t="shared" si="160"/>
        <v>KLOPPER</v>
      </c>
      <c r="D864" s="2" t="s">
        <v>5966</v>
      </c>
      <c r="E864" s="12" t="str">
        <f t="shared" si="170"/>
        <v>Petrus Hendrik</v>
      </c>
      <c r="F864" s="2" t="s">
        <v>7541</v>
      </c>
      <c r="G864" s="12" t="str">
        <f t="shared" si="161"/>
        <v>a1b7c2d10</v>
      </c>
      <c r="H864" s="12" t="str">
        <f t="shared" si="162"/>
        <v>KLOPPERa1b7c2d10</v>
      </c>
      <c r="J864" s="2" t="s">
        <v>7613</v>
      </c>
      <c r="K864" s="12" t="str">
        <f t="shared" si="163"/>
        <v>1812</v>
      </c>
      <c r="L864" s="2" t="s">
        <v>74</v>
      </c>
      <c r="M864" s="2" t="s">
        <v>7614</v>
      </c>
      <c r="N864" s="12" t="str">
        <f t="shared" si="168"/>
        <v>1812</v>
      </c>
      <c r="O864" s="12" t="str">
        <f t="shared" si="169"/>
        <v>1813</v>
      </c>
      <c r="P864" s="2" t="s">
        <v>71</v>
      </c>
      <c r="Q864" s="12" t="str">
        <f t="shared" si="164"/>
        <v>1812</v>
      </c>
      <c r="R864" s="2" t="s">
        <v>72</v>
      </c>
      <c r="S864" s="12" t="str">
        <f t="shared" si="165"/>
        <v>1838</v>
      </c>
      <c r="T864" s="2" t="s">
        <v>28</v>
      </c>
      <c r="U864" s="2" t="s">
        <v>7615</v>
      </c>
      <c r="V864" s="12" t="str">
        <f t="shared" si="166"/>
        <v>1836</v>
      </c>
      <c r="W864" s="2" t="s">
        <v>3943</v>
      </c>
      <c r="X864" s="2" t="s">
        <v>2547</v>
      </c>
      <c r="AA864" s="2" t="s">
        <v>7616</v>
      </c>
      <c r="AD864" s="2" t="s">
        <v>7617</v>
      </c>
      <c r="AE864" s="2" t="s">
        <v>7618</v>
      </c>
      <c r="AF864" s="2" t="s">
        <v>7619</v>
      </c>
      <c r="AG864" s="2" t="s">
        <v>68</v>
      </c>
      <c r="AH864" s="2" t="s">
        <v>7520</v>
      </c>
      <c r="AI864" s="12" t="str">
        <f t="shared" si="167"/>
        <v>1837</v>
      </c>
      <c r="AJ864" s="2" t="s">
        <v>7099</v>
      </c>
    </row>
    <row r="865" spans="1:52">
      <c r="A865" s="2" t="s">
        <v>2901</v>
      </c>
      <c r="B865" s="12" t="str">
        <f t="shared" si="159"/>
        <v>KLOPPER</v>
      </c>
      <c r="C865" s="12" t="str">
        <f t="shared" si="160"/>
        <v>KLOPPER</v>
      </c>
      <c r="D865" s="2" t="s">
        <v>2253</v>
      </c>
      <c r="E865" s="12" t="str">
        <f t="shared" si="170"/>
        <v>Johannes Jacobus</v>
      </c>
      <c r="F865" s="2" t="s">
        <v>7529</v>
      </c>
      <c r="G865" s="12" t="str">
        <f t="shared" si="161"/>
        <v>a1b7c2d4</v>
      </c>
      <c r="H865" s="12" t="str">
        <f t="shared" si="162"/>
        <v>KLOPPERa1b7c2d4</v>
      </c>
      <c r="K865" s="12" t="str">
        <f t="shared" si="163"/>
        <v/>
      </c>
      <c r="L865" s="2" t="s">
        <v>74</v>
      </c>
      <c r="M865" s="2" t="s">
        <v>5750</v>
      </c>
      <c r="N865" s="12" t="str">
        <f t="shared" si="168"/>
        <v/>
      </c>
      <c r="O865" s="12" t="str">
        <f t="shared" si="169"/>
        <v>1793</v>
      </c>
      <c r="Q865" s="12" t="str">
        <f t="shared" si="164"/>
        <v>1793</v>
      </c>
      <c r="S865" s="12" t="str">
        <f t="shared" si="165"/>
        <v/>
      </c>
      <c r="T865" s="2" t="s">
        <v>74</v>
      </c>
      <c r="U865" s="2" t="s">
        <v>1531</v>
      </c>
      <c r="V865" s="12" t="str">
        <f t="shared" si="166"/>
        <v>1816</v>
      </c>
      <c r="W865" s="12" t="s">
        <v>7566</v>
      </c>
      <c r="X865" s="12" t="s">
        <v>7567</v>
      </c>
      <c r="AF865" s="2" t="s">
        <v>7568</v>
      </c>
      <c r="AG865" s="2" t="s">
        <v>68</v>
      </c>
      <c r="AH865" s="12"/>
      <c r="AI865" s="12" t="str">
        <f t="shared" si="167"/>
        <v/>
      </c>
      <c r="AJ865" s="2" t="s">
        <v>5242</v>
      </c>
      <c r="AK865" s="12" t="s">
        <v>155</v>
      </c>
    </row>
    <row r="866" spans="1:52">
      <c r="A866" s="2" t="s">
        <v>2901</v>
      </c>
      <c r="B866" s="12" t="str">
        <f t="shared" si="159"/>
        <v>KLOPPER</v>
      </c>
      <c r="C866" s="12" t="str">
        <f t="shared" si="160"/>
        <v>KLOPPER</v>
      </c>
      <c r="D866" s="2" t="s">
        <v>7523</v>
      </c>
      <c r="E866" s="12" t="str">
        <f t="shared" si="170"/>
        <v>Balthazar Marthinus</v>
      </c>
      <c r="F866" s="2" t="s">
        <v>7524</v>
      </c>
      <c r="G866" s="12" t="str">
        <f t="shared" si="161"/>
        <v>a1b7c2d7</v>
      </c>
      <c r="H866" s="12" t="str">
        <f t="shared" si="162"/>
        <v>KLOPPERa1b7c2d7</v>
      </c>
      <c r="J866" s="12" t="s">
        <v>7547</v>
      </c>
      <c r="K866" s="12" t="str">
        <f t="shared" si="163"/>
        <v>1805</v>
      </c>
      <c r="L866" s="12" t="s">
        <v>74</v>
      </c>
      <c r="M866" s="12" t="s">
        <v>77</v>
      </c>
      <c r="N866" s="12" t="str">
        <f t="shared" si="168"/>
        <v>1805</v>
      </c>
      <c r="O866" s="12" t="str">
        <f t="shared" si="169"/>
        <v>1805</v>
      </c>
      <c r="P866" s="2" t="s">
        <v>71</v>
      </c>
      <c r="Q866" s="12" t="str">
        <f t="shared" si="164"/>
        <v>1805</v>
      </c>
      <c r="R866" s="2" t="s">
        <v>72</v>
      </c>
      <c r="S866" s="12" t="str">
        <f t="shared" si="165"/>
        <v>1838</v>
      </c>
      <c r="T866" s="12" t="s">
        <v>28</v>
      </c>
      <c r="U866" s="12" t="s">
        <v>7548</v>
      </c>
      <c r="V866" s="12" t="str">
        <f t="shared" si="166"/>
        <v>1830</v>
      </c>
      <c r="W866" s="12" t="s">
        <v>7549</v>
      </c>
      <c r="X866" s="12" t="s">
        <v>2903</v>
      </c>
      <c r="AF866" s="2" t="s">
        <v>3699</v>
      </c>
      <c r="AG866" s="12" t="s">
        <v>68</v>
      </c>
      <c r="AH866" s="12" t="s">
        <v>7520</v>
      </c>
      <c r="AI866" s="12" t="str">
        <f t="shared" si="167"/>
        <v>1837</v>
      </c>
      <c r="AJ866" s="2" t="s">
        <v>7099</v>
      </c>
      <c r="AK866" s="12"/>
    </row>
    <row r="867" spans="1:52">
      <c r="A867" s="2" t="s">
        <v>2901</v>
      </c>
      <c r="B867" s="12" t="str">
        <f t="shared" si="159"/>
        <v>KLOPPER</v>
      </c>
      <c r="C867" s="12" t="str">
        <f t="shared" si="160"/>
        <v>KLOPPER</v>
      </c>
      <c r="D867" s="2" t="s">
        <v>537</v>
      </c>
      <c r="E867" s="12" t="str">
        <f t="shared" si="170"/>
        <v>Johan Christiaan</v>
      </c>
      <c r="F867" s="2" t="s">
        <v>7534</v>
      </c>
      <c r="G867" s="12" t="str">
        <f t="shared" si="161"/>
        <v>a1b7c2d9</v>
      </c>
      <c r="H867" s="12" t="str">
        <f t="shared" si="162"/>
        <v>KLOPPERa1b7c2d9</v>
      </c>
      <c r="J867" s="12" t="s">
        <v>7594</v>
      </c>
      <c r="K867" s="12" t="str">
        <f t="shared" si="163"/>
        <v>1809</v>
      </c>
      <c r="L867" s="12" t="s">
        <v>74</v>
      </c>
      <c r="M867" s="12" t="s">
        <v>1296</v>
      </c>
      <c r="N867" s="12" t="str">
        <f t="shared" si="168"/>
        <v>1809</v>
      </c>
      <c r="O867" s="12" t="str">
        <f t="shared" si="169"/>
        <v>1809</v>
      </c>
      <c r="P867" s="2" t="s">
        <v>90</v>
      </c>
      <c r="Q867" s="12" t="str">
        <f t="shared" si="164"/>
        <v>1809</v>
      </c>
      <c r="R867" s="2" t="s">
        <v>7595</v>
      </c>
      <c r="S867" s="12" t="str">
        <f t="shared" si="165"/>
        <v>1891</v>
      </c>
      <c r="T867" s="2" t="s">
        <v>68</v>
      </c>
      <c r="U867" s="2" t="s">
        <v>1200</v>
      </c>
      <c r="V867" s="12" t="str">
        <f t="shared" si="166"/>
        <v>1829</v>
      </c>
      <c r="W867" s="12" t="s">
        <v>5617</v>
      </c>
      <c r="X867" s="12" t="s">
        <v>2547</v>
      </c>
      <c r="AF867" s="2" t="s">
        <v>7545</v>
      </c>
      <c r="AG867" s="12" t="s">
        <v>68</v>
      </c>
      <c r="AH867" s="12" t="s">
        <v>7596</v>
      </c>
      <c r="AI867" s="12" t="str">
        <f t="shared" si="167"/>
        <v>1837</v>
      </c>
      <c r="AJ867" s="12" t="s">
        <v>7597</v>
      </c>
      <c r="AK867" s="12" t="s">
        <v>7598</v>
      </c>
      <c r="AN867" s="2" t="s">
        <v>2066</v>
      </c>
      <c r="AO867" s="2" t="s">
        <v>625</v>
      </c>
      <c r="AP867" s="2" t="s">
        <v>7599</v>
      </c>
      <c r="AR867" s="2" t="s">
        <v>7600</v>
      </c>
      <c r="AT867" s="2" t="s">
        <v>3095</v>
      </c>
      <c r="AY867" s="2" t="s">
        <v>4694</v>
      </c>
      <c r="AZ867" s="2" t="s">
        <v>1330</v>
      </c>
    </row>
    <row r="868" spans="1:52">
      <c r="A868" s="2" t="s">
        <v>2901</v>
      </c>
      <c r="B868" s="12" t="str">
        <f t="shared" si="159"/>
        <v>KLOPPER</v>
      </c>
      <c r="C868" s="12" t="str">
        <f t="shared" si="160"/>
        <v>KLOPPER</v>
      </c>
      <c r="D868" s="2" t="s">
        <v>1312</v>
      </c>
      <c r="E868" s="12" t="str">
        <f t="shared" si="170"/>
        <v>Paul Stephanus</v>
      </c>
      <c r="F868" s="2" t="s">
        <v>7539</v>
      </c>
      <c r="G868" s="12" t="str">
        <f t="shared" si="161"/>
        <v>a1b7c4d3</v>
      </c>
      <c r="H868" s="12" t="str">
        <f t="shared" si="162"/>
        <v>KLOPPERa1b7c4d3</v>
      </c>
      <c r="J868" s="12"/>
      <c r="K868" s="12" t="str">
        <f t="shared" si="163"/>
        <v/>
      </c>
      <c r="L868" s="12" t="s">
        <v>74</v>
      </c>
      <c r="M868" s="12" t="s">
        <v>1288</v>
      </c>
      <c r="N868" s="12" t="str">
        <f t="shared" si="168"/>
        <v/>
      </c>
      <c r="O868" s="12" t="str">
        <f t="shared" si="169"/>
        <v>1805</v>
      </c>
      <c r="Q868" s="12" t="str">
        <f t="shared" si="164"/>
        <v>1805</v>
      </c>
      <c r="S868" s="12" t="str">
        <f t="shared" si="165"/>
        <v/>
      </c>
      <c r="T868" s="12"/>
      <c r="U868" s="12"/>
      <c r="V868" s="12" t="str">
        <f t="shared" si="166"/>
        <v/>
      </c>
      <c r="W868" s="12"/>
      <c r="X868" s="12"/>
      <c r="AF868" s="2" t="s">
        <v>7568</v>
      </c>
      <c r="AG868" s="12" t="s">
        <v>68</v>
      </c>
      <c r="AH868" s="12" t="s">
        <v>7611</v>
      </c>
      <c r="AI868" s="12" t="str">
        <f t="shared" si="167"/>
        <v>OVED</v>
      </c>
      <c r="AJ868" s="2" t="s">
        <v>4953</v>
      </c>
      <c r="AK868" s="12"/>
    </row>
    <row r="869" spans="1:52">
      <c r="A869" s="2" t="s">
        <v>2901</v>
      </c>
      <c r="B869" s="12" t="str">
        <f t="shared" si="159"/>
        <v>KLOPPER</v>
      </c>
      <c r="C869" s="12" t="str">
        <f t="shared" si="160"/>
        <v>KLOPPER</v>
      </c>
      <c r="D869" s="2" t="s">
        <v>4821</v>
      </c>
      <c r="E869" s="12" t="str">
        <f t="shared" si="170"/>
        <v>Hendrik Balthasar</v>
      </c>
      <c r="F869" s="2" t="s">
        <v>7208</v>
      </c>
      <c r="G869" s="12" t="str">
        <f t="shared" si="161"/>
        <v>a1b7c4d6</v>
      </c>
      <c r="H869" s="12" t="str">
        <f t="shared" si="162"/>
        <v>KLOPPERa1b7c4d6</v>
      </c>
      <c r="J869" s="12" t="s">
        <v>7555</v>
      </c>
      <c r="K869" s="12" t="str">
        <f t="shared" si="163"/>
        <v>1812</v>
      </c>
      <c r="L869" s="12" t="s">
        <v>74</v>
      </c>
      <c r="M869" s="12" t="s">
        <v>5032</v>
      </c>
      <c r="N869" s="12" t="str">
        <f t="shared" si="168"/>
        <v>1812</v>
      </c>
      <c r="O869" s="12" t="str">
        <f t="shared" si="169"/>
        <v>1812</v>
      </c>
      <c r="Q869" s="12" t="str">
        <f t="shared" si="164"/>
        <v>1812</v>
      </c>
      <c r="S869" s="12" t="str">
        <f t="shared" si="165"/>
        <v/>
      </c>
      <c r="V869" s="12" t="str">
        <f t="shared" si="166"/>
        <v/>
      </c>
      <c r="W869" s="12" t="s">
        <v>7556</v>
      </c>
      <c r="X869" s="12" t="s">
        <v>7557</v>
      </c>
      <c r="Y869" s="2" t="s">
        <v>3383</v>
      </c>
      <c r="AF869" s="2" t="s">
        <v>3699</v>
      </c>
      <c r="AG869" s="12" t="s">
        <v>68</v>
      </c>
      <c r="AH869" s="12" t="s">
        <v>7558</v>
      </c>
      <c r="AI869" s="12" t="str">
        <f t="shared" si="167"/>
        <v>1838</v>
      </c>
      <c r="AK869" s="12" t="s">
        <v>7559</v>
      </c>
      <c r="AN869" s="2" t="s">
        <v>7560</v>
      </c>
      <c r="AO869" s="2" t="s">
        <v>669</v>
      </c>
    </row>
    <row r="870" spans="1:52">
      <c r="A870" s="2" t="s">
        <v>2901</v>
      </c>
      <c r="B870" s="12" t="str">
        <f t="shared" si="159"/>
        <v>KLOPPER</v>
      </c>
      <c r="C870" s="12" t="str">
        <f t="shared" si="160"/>
        <v>KLOPPER</v>
      </c>
      <c r="D870" s="2" t="s">
        <v>1244</v>
      </c>
      <c r="E870" s="12" t="str">
        <f t="shared" si="170"/>
        <v>Jan Adriaan</v>
      </c>
      <c r="F870" s="2" t="s">
        <v>1949</v>
      </c>
      <c r="G870" s="12" t="str">
        <f t="shared" si="161"/>
        <v>a1b7c4d7</v>
      </c>
      <c r="H870" s="12" t="str">
        <f t="shared" si="162"/>
        <v>KLOPPERa1b7c4d7</v>
      </c>
      <c r="J870" s="2" t="s">
        <v>7586</v>
      </c>
      <c r="K870" s="12" t="str">
        <f t="shared" si="163"/>
        <v>1816</v>
      </c>
      <c r="L870" s="2" t="s">
        <v>74</v>
      </c>
      <c r="M870" s="2" t="s">
        <v>57</v>
      </c>
      <c r="N870" s="12" t="str">
        <f t="shared" si="168"/>
        <v>1816</v>
      </c>
      <c r="O870" s="12" t="str">
        <f t="shared" si="169"/>
        <v>1816</v>
      </c>
      <c r="Q870" s="12" t="str">
        <f t="shared" si="164"/>
        <v>1816</v>
      </c>
      <c r="S870" s="12" t="str">
        <f t="shared" si="165"/>
        <v/>
      </c>
      <c r="T870" s="2" t="s">
        <v>28</v>
      </c>
      <c r="U870" s="2" t="s">
        <v>7588</v>
      </c>
      <c r="V870" s="12" t="str">
        <f t="shared" si="166"/>
        <v>1835</v>
      </c>
      <c r="W870" s="2" t="s">
        <v>712</v>
      </c>
      <c r="X870" s="2" t="s">
        <v>726</v>
      </c>
      <c r="Y870" s="2" t="s">
        <v>7589</v>
      </c>
      <c r="AA870" s="2" t="s">
        <v>7590</v>
      </c>
      <c r="AC870" s="2" t="s">
        <v>7591</v>
      </c>
      <c r="AE870" s="12"/>
      <c r="AF870" s="12" t="s">
        <v>3699</v>
      </c>
      <c r="AG870" s="12" t="s">
        <v>68</v>
      </c>
      <c r="AH870" s="12" t="s">
        <v>7592</v>
      </c>
      <c r="AI870" s="12" t="str">
        <f t="shared" si="167"/>
        <v>1837</v>
      </c>
      <c r="AJ870" s="2" t="s">
        <v>7593</v>
      </c>
      <c r="AK870" s="2" t="s">
        <v>90</v>
      </c>
    </row>
    <row r="871" spans="1:52">
      <c r="A871" s="2" t="s">
        <v>2901</v>
      </c>
      <c r="B871" s="12" t="str">
        <f t="shared" si="159"/>
        <v>KLOPPER</v>
      </c>
      <c r="C871" s="12" t="str">
        <f t="shared" si="160"/>
        <v>KLOPPER</v>
      </c>
      <c r="D871" s="2" t="s">
        <v>7525</v>
      </c>
      <c r="E871" s="12" t="str">
        <f t="shared" si="170"/>
        <v>Cornelis Petrus</v>
      </c>
      <c r="F871" s="2" t="s">
        <v>7526</v>
      </c>
      <c r="G871" s="12" t="str">
        <f t="shared" si="161"/>
        <v>a1b7c4d9</v>
      </c>
      <c r="H871" s="12" t="str">
        <f t="shared" si="162"/>
        <v>KLOPPERa1b7c4d9</v>
      </c>
      <c r="J871" s="2" t="s">
        <v>7550</v>
      </c>
      <c r="K871" s="12" t="str">
        <f t="shared" si="163"/>
        <v>1819</v>
      </c>
      <c r="L871" s="12" t="s">
        <v>74</v>
      </c>
      <c r="M871" s="12" t="s">
        <v>4273</v>
      </c>
      <c r="N871" s="12" t="str">
        <f t="shared" si="168"/>
        <v>1819</v>
      </c>
      <c r="O871" s="12" t="str">
        <f t="shared" si="169"/>
        <v>1819</v>
      </c>
      <c r="P871" s="12"/>
      <c r="Q871" s="12" t="str">
        <f t="shared" si="164"/>
        <v>1819</v>
      </c>
      <c r="R871" s="12" t="s">
        <v>7551</v>
      </c>
      <c r="S871" s="12" t="str">
        <f t="shared" si="165"/>
        <v>1886</v>
      </c>
      <c r="T871" s="12"/>
      <c r="U871" s="12"/>
      <c r="V871" s="12" t="str">
        <f t="shared" si="166"/>
        <v/>
      </c>
      <c r="W871" s="12" t="s">
        <v>7552</v>
      </c>
      <c r="X871" s="12" t="s">
        <v>792</v>
      </c>
      <c r="Y871" s="12" t="s">
        <v>7553</v>
      </c>
      <c r="AA871" s="12"/>
      <c r="AC871" s="2" t="s">
        <v>7554</v>
      </c>
      <c r="AD871" s="12"/>
      <c r="AE871" s="12"/>
      <c r="AF871" s="12" t="s">
        <v>3699</v>
      </c>
      <c r="AG871" s="12" t="s">
        <v>68</v>
      </c>
      <c r="AH871" s="12" t="s">
        <v>4696</v>
      </c>
      <c r="AI871" s="12" t="str">
        <f t="shared" si="167"/>
        <v>1844</v>
      </c>
      <c r="AJ871" s="12"/>
      <c r="AK871" s="12" t="s">
        <v>90</v>
      </c>
    </row>
    <row r="872" spans="1:52">
      <c r="A872" s="2" t="s">
        <v>2901</v>
      </c>
      <c r="B872" s="12" t="str">
        <f t="shared" si="159"/>
        <v>KLOPPER</v>
      </c>
      <c r="C872" s="12" t="str">
        <f t="shared" si="160"/>
        <v>KLOPPER</v>
      </c>
      <c r="D872" s="2" t="s">
        <v>2629</v>
      </c>
      <c r="E872" s="12" t="str">
        <f t="shared" si="170"/>
        <v>Johannes Frederik</v>
      </c>
      <c r="F872" s="2" t="s">
        <v>7535</v>
      </c>
      <c r="G872" s="12" t="str">
        <f t="shared" si="161"/>
        <v>a1b8c10</v>
      </c>
      <c r="H872" s="12" t="str">
        <f t="shared" si="162"/>
        <v>KLOPPERa1b8c10</v>
      </c>
      <c r="J872" s="12"/>
      <c r="K872" s="12" t="str">
        <f t="shared" si="163"/>
        <v/>
      </c>
      <c r="L872" s="12"/>
      <c r="M872" s="12" t="s">
        <v>7601</v>
      </c>
      <c r="N872" s="12" t="str">
        <f t="shared" si="168"/>
        <v/>
      </c>
      <c r="O872" s="12" t="str">
        <f t="shared" si="169"/>
        <v>1787</v>
      </c>
      <c r="Q872" s="12" t="str">
        <f t="shared" si="164"/>
        <v>1787</v>
      </c>
      <c r="R872" s="12"/>
      <c r="S872" s="12" t="str">
        <f t="shared" si="165"/>
        <v/>
      </c>
      <c r="T872" s="12"/>
      <c r="U872" s="12" t="s">
        <v>1009</v>
      </c>
      <c r="V872" s="12" t="str">
        <f t="shared" si="166"/>
        <v>1804</v>
      </c>
      <c r="W872" s="12" t="s">
        <v>4715</v>
      </c>
      <c r="X872" s="12" t="s">
        <v>667</v>
      </c>
      <c r="Y872" s="2" t="s">
        <v>6079</v>
      </c>
      <c r="AC872" s="2" t="s">
        <v>7602</v>
      </c>
      <c r="AF872" s="12" t="s">
        <v>3709</v>
      </c>
      <c r="AG872" s="12" t="s">
        <v>7603</v>
      </c>
      <c r="AH872" s="12" t="s">
        <v>1542</v>
      </c>
      <c r="AI872" s="12" t="str">
        <f t="shared" si="167"/>
        <v>1837</v>
      </c>
      <c r="AJ872" s="12" t="s">
        <v>5423</v>
      </c>
      <c r="AK872" s="12"/>
      <c r="AL872" s="12"/>
      <c r="AM872" s="12"/>
      <c r="AN872" s="12"/>
      <c r="AO872" s="12"/>
      <c r="AP872" s="12"/>
      <c r="AT872" s="12"/>
      <c r="AV872" s="12"/>
    </row>
    <row r="873" spans="1:52">
      <c r="A873" s="2" t="s">
        <v>2901</v>
      </c>
      <c r="B873" s="12" t="str">
        <f t="shared" si="159"/>
        <v>KLOPPER</v>
      </c>
      <c r="C873" s="12" t="str">
        <f t="shared" si="160"/>
        <v>KLOPPER</v>
      </c>
      <c r="D873" s="2" t="s">
        <v>2629</v>
      </c>
      <c r="E873" s="12" t="str">
        <f t="shared" si="170"/>
        <v>Johannes Frederik</v>
      </c>
      <c r="F873" s="2" t="s">
        <v>7536</v>
      </c>
      <c r="G873" s="12" t="str">
        <f t="shared" si="161"/>
        <v>a1b8c10d3</v>
      </c>
      <c r="H873" s="12" t="str">
        <f t="shared" si="162"/>
        <v>KLOPPERa1b8c10d3</v>
      </c>
      <c r="J873" s="2" t="s">
        <v>7604</v>
      </c>
      <c r="K873" s="12" t="str">
        <f t="shared" si="163"/>
        <v>1808</v>
      </c>
      <c r="L873" s="12" t="s">
        <v>74</v>
      </c>
      <c r="M873" s="12" t="s">
        <v>3398</v>
      </c>
      <c r="N873" s="12" t="str">
        <f t="shared" si="168"/>
        <v>1808</v>
      </c>
      <c r="O873" s="12" t="str">
        <f t="shared" si="169"/>
        <v>1808</v>
      </c>
      <c r="Q873" s="12" t="str">
        <f t="shared" si="164"/>
        <v>1808</v>
      </c>
      <c r="S873" s="12" t="str">
        <f t="shared" si="165"/>
        <v/>
      </c>
      <c r="T873" s="12" t="s">
        <v>68</v>
      </c>
      <c r="U873" s="12" t="s">
        <v>7605</v>
      </c>
      <c r="V873" s="12" t="str">
        <f t="shared" si="166"/>
        <v>1830</v>
      </c>
      <c r="W873" s="12" t="s">
        <v>2249</v>
      </c>
      <c r="X873" s="12" t="s">
        <v>772</v>
      </c>
      <c r="Y873" s="2" t="s">
        <v>3955</v>
      </c>
      <c r="AF873" s="2" t="s">
        <v>3728</v>
      </c>
      <c r="AG873" s="12" t="s">
        <v>346</v>
      </c>
      <c r="AH873" s="12" t="s">
        <v>7520</v>
      </c>
      <c r="AI873" s="12" t="str">
        <f t="shared" si="167"/>
        <v>1837</v>
      </c>
      <c r="AJ873" s="2" t="s">
        <v>5423</v>
      </c>
      <c r="AK873" s="12" t="s">
        <v>7606</v>
      </c>
    </row>
    <row r="874" spans="1:52">
      <c r="A874" s="2" t="s">
        <v>2901</v>
      </c>
      <c r="B874" s="12" t="str">
        <f t="shared" si="159"/>
        <v>KLOPPER</v>
      </c>
      <c r="C874" s="12" t="str">
        <f t="shared" si="160"/>
        <v>KLOPPER</v>
      </c>
      <c r="D874" s="2" t="s">
        <v>7531</v>
      </c>
      <c r="E874" s="12" t="str">
        <f t="shared" si="170"/>
        <v>Jacobus Marthinus</v>
      </c>
      <c r="F874" s="2" t="s">
        <v>5907</v>
      </c>
      <c r="G874" s="12" t="str">
        <f t="shared" si="161"/>
        <v>a1b8c6d3</v>
      </c>
      <c r="H874" s="12" t="str">
        <f t="shared" si="162"/>
        <v>KLOPPERa1b8c6d3</v>
      </c>
      <c r="K874" s="12" t="str">
        <f t="shared" si="163"/>
        <v/>
      </c>
      <c r="L874" s="2" t="s">
        <v>74</v>
      </c>
      <c r="M874" s="2" t="s">
        <v>7580</v>
      </c>
      <c r="N874" s="12" t="str">
        <f t="shared" si="168"/>
        <v/>
      </c>
      <c r="O874" s="12" t="str">
        <f t="shared" si="169"/>
        <v>1794</v>
      </c>
      <c r="Q874" s="12" t="str">
        <f t="shared" si="164"/>
        <v>1794</v>
      </c>
      <c r="R874" s="2" t="s">
        <v>7581</v>
      </c>
      <c r="S874" s="12" t="str">
        <f t="shared" si="165"/>
        <v>1837</v>
      </c>
      <c r="T874" s="12" t="s">
        <v>53</v>
      </c>
      <c r="U874" s="12" t="s">
        <v>171</v>
      </c>
      <c r="V874" s="12" t="str">
        <f t="shared" si="166"/>
        <v>1818</v>
      </c>
      <c r="W874" s="12" t="s">
        <v>2639</v>
      </c>
      <c r="X874" s="12" t="s">
        <v>696</v>
      </c>
      <c r="Y874" s="12"/>
      <c r="AA874" s="12"/>
      <c r="AB874" s="12"/>
      <c r="AC874" s="12"/>
      <c r="AF874" s="2" t="s">
        <v>3709</v>
      </c>
      <c r="AG874" s="2" t="s">
        <v>7582</v>
      </c>
      <c r="AH874" s="12" t="s">
        <v>7583</v>
      </c>
      <c r="AI874" s="12" t="str">
        <f t="shared" si="167"/>
        <v>1837</v>
      </c>
      <c r="AK874" s="12"/>
    </row>
    <row r="875" spans="1:52">
      <c r="A875" s="2" t="s">
        <v>2901</v>
      </c>
      <c r="B875" s="12" t="str">
        <f t="shared" si="159"/>
        <v>KLOPPER</v>
      </c>
      <c r="C875" s="12" t="str">
        <f t="shared" si="160"/>
        <v>KLOPPER</v>
      </c>
      <c r="D875" s="2" t="s">
        <v>1477</v>
      </c>
      <c r="E875" s="12" t="str">
        <f t="shared" si="170"/>
        <v>Willem Frederik</v>
      </c>
      <c r="F875" s="2" t="s">
        <v>7542</v>
      </c>
      <c r="G875" s="12" t="str">
        <f t="shared" si="161"/>
        <v>a1b8c6d7</v>
      </c>
      <c r="H875" s="12" t="str">
        <f t="shared" si="162"/>
        <v>KLOPPERa1b8c6d7</v>
      </c>
      <c r="J875" s="12"/>
      <c r="K875" s="12" t="str">
        <f t="shared" si="163"/>
        <v/>
      </c>
      <c r="L875" s="12" t="s">
        <v>74</v>
      </c>
      <c r="M875" s="12" t="s">
        <v>3103</v>
      </c>
      <c r="N875" s="12" t="str">
        <f t="shared" si="168"/>
        <v/>
      </c>
      <c r="O875" s="12" t="str">
        <f t="shared" si="169"/>
        <v>1804</v>
      </c>
      <c r="Q875" s="12" t="str">
        <f t="shared" si="164"/>
        <v>1804</v>
      </c>
      <c r="S875" s="12" t="str">
        <f t="shared" si="165"/>
        <v/>
      </c>
      <c r="T875" s="2" t="s">
        <v>28</v>
      </c>
      <c r="U875" s="2" t="s">
        <v>2780</v>
      </c>
      <c r="V875" s="12" t="str">
        <f t="shared" si="166"/>
        <v>1825</v>
      </c>
      <c r="W875" s="12" t="s">
        <v>7620</v>
      </c>
      <c r="X875" s="12" t="s">
        <v>655</v>
      </c>
      <c r="AF875" s="2" t="s">
        <v>3709</v>
      </c>
      <c r="AG875" s="12" t="s">
        <v>68</v>
      </c>
      <c r="AH875" s="12" t="s">
        <v>7621</v>
      </c>
      <c r="AI875" s="12" t="str">
        <f t="shared" si="167"/>
        <v>1842</v>
      </c>
      <c r="AJ875" s="2" t="s">
        <v>7622</v>
      </c>
      <c r="AK875" s="12"/>
    </row>
    <row r="876" spans="1:52">
      <c r="A876" s="12" t="s">
        <v>2901</v>
      </c>
      <c r="B876" s="12" t="str">
        <f t="shared" si="159"/>
        <v>KLOPPER</v>
      </c>
      <c r="C876" s="12" t="str">
        <f t="shared" si="160"/>
        <v>KLOPPER</v>
      </c>
      <c r="D876" s="2" t="s">
        <v>7537</v>
      </c>
      <c r="E876" s="12" t="str">
        <f t="shared" si="170"/>
        <v>Lucas Cornelis Johannes</v>
      </c>
      <c r="F876" s="2" t="s">
        <v>7538</v>
      </c>
      <c r="G876" s="12" t="str">
        <f t="shared" si="161"/>
        <v>a1b8c8d3</v>
      </c>
      <c r="H876" s="12" t="str">
        <f t="shared" si="162"/>
        <v>KLOPPERa1b8c8d3</v>
      </c>
      <c r="J876" s="2" t="s">
        <v>7607</v>
      </c>
      <c r="K876" s="12" t="str">
        <f t="shared" si="163"/>
        <v>1803</v>
      </c>
      <c r="M876" s="12" t="s">
        <v>1429</v>
      </c>
      <c r="N876" s="12" t="str">
        <f t="shared" si="168"/>
        <v>1803</v>
      </c>
      <c r="O876" s="12" t="str">
        <f t="shared" si="169"/>
        <v>1804</v>
      </c>
      <c r="P876" s="2" t="s">
        <v>7608</v>
      </c>
      <c r="Q876" s="12" t="str">
        <f t="shared" si="164"/>
        <v>1803</v>
      </c>
      <c r="R876" s="12" t="s">
        <v>72</v>
      </c>
      <c r="S876" s="12" t="str">
        <f t="shared" si="165"/>
        <v>1838</v>
      </c>
      <c r="T876" s="2" t="s">
        <v>74</v>
      </c>
      <c r="U876" s="12" t="s">
        <v>428</v>
      </c>
      <c r="V876" s="12" t="str">
        <f t="shared" si="166"/>
        <v>1825</v>
      </c>
      <c r="W876" s="12" t="s">
        <v>7609</v>
      </c>
      <c r="X876" s="12" t="s">
        <v>2427</v>
      </c>
      <c r="Y876" s="2" t="s">
        <v>7610</v>
      </c>
      <c r="AC876" s="2" t="s">
        <v>1893</v>
      </c>
      <c r="AF876" s="2" t="s">
        <v>16</v>
      </c>
      <c r="AG876" s="12" t="s">
        <v>68</v>
      </c>
      <c r="AH876" s="12" t="s">
        <v>7520</v>
      </c>
      <c r="AI876" s="12" t="str">
        <f t="shared" si="167"/>
        <v>1837</v>
      </c>
      <c r="AJ876" s="12" t="s">
        <v>7597</v>
      </c>
      <c r="AL876" s="12"/>
      <c r="AM876" s="12"/>
    </row>
    <row r="877" spans="1:52">
      <c r="A877" s="12" t="s">
        <v>2901</v>
      </c>
      <c r="B877" s="12" t="str">
        <f t="shared" si="159"/>
        <v>KLOPPER</v>
      </c>
      <c r="C877" s="12" t="str">
        <f t="shared" si="160"/>
        <v>KLOPPER</v>
      </c>
      <c r="D877" s="2" t="s">
        <v>7532</v>
      </c>
      <c r="E877" s="12" t="str">
        <f t="shared" si="170"/>
        <v>Jacobus Marthinus Lourens</v>
      </c>
      <c r="F877" s="2" t="s">
        <v>7533</v>
      </c>
      <c r="G877" s="12" t="str">
        <f t="shared" si="161"/>
        <v>a1b8c8d7</v>
      </c>
      <c r="H877" s="12" t="str">
        <f t="shared" si="162"/>
        <v>KLOPPERa1b8c8d7</v>
      </c>
      <c r="J877" s="12"/>
      <c r="K877" s="12" t="str">
        <f t="shared" si="163"/>
        <v/>
      </c>
      <c r="L877" s="12" t="s">
        <v>28</v>
      </c>
      <c r="M877" s="12" t="s">
        <v>7584</v>
      </c>
      <c r="N877" s="12" t="str">
        <f t="shared" si="168"/>
        <v/>
      </c>
      <c r="O877" s="12" t="str">
        <f t="shared" si="169"/>
        <v>1816</v>
      </c>
      <c r="P877" s="2" t="s">
        <v>90</v>
      </c>
      <c r="Q877" s="12" t="str">
        <f t="shared" si="164"/>
        <v>1816</v>
      </c>
      <c r="R877" s="2" t="s">
        <v>7432</v>
      </c>
      <c r="S877" s="12" t="str">
        <f t="shared" si="165"/>
        <v>1841</v>
      </c>
      <c r="T877" s="12"/>
      <c r="U877" s="12"/>
      <c r="V877" s="12" t="str">
        <f t="shared" si="166"/>
        <v/>
      </c>
      <c r="W877" s="12" t="s">
        <v>1891</v>
      </c>
      <c r="X877" s="12" t="s">
        <v>704</v>
      </c>
      <c r="AF877" s="2" t="s">
        <v>7585</v>
      </c>
      <c r="AG877" s="12" t="s">
        <v>346</v>
      </c>
      <c r="AH877" s="12" t="s">
        <v>7323</v>
      </c>
      <c r="AI877" s="12" t="str">
        <f t="shared" si="167"/>
        <v>1839</v>
      </c>
      <c r="AJ877" s="12"/>
      <c r="AK877" s="12" t="s">
        <v>90</v>
      </c>
      <c r="AM877" s="2" t="s">
        <v>1149</v>
      </c>
      <c r="AN877" s="2" t="s">
        <v>7587</v>
      </c>
      <c r="AO877" s="2" t="s">
        <v>3321</v>
      </c>
    </row>
    <row r="878" spans="1:52">
      <c r="A878" s="12" t="s">
        <v>2901</v>
      </c>
      <c r="B878" s="12" t="str">
        <f t="shared" si="159"/>
        <v>KLOPPER</v>
      </c>
      <c r="C878" s="12" t="str">
        <f t="shared" si="160"/>
        <v>KLOPPER</v>
      </c>
      <c r="D878" s="2" t="s">
        <v>4139</v>
      </c>
      <c r="E878" s="12" t="str">
        <f t="shared" si="170"/>
        <v>Balthasar Johannes</v>
      </c>
      <c r="F878" s="2" t="s">
        <v>7522</v>
      </c>
      <c r="G878" s="12" t="str">
        <f t="shared" si="161"/>
        <v>maybe b7c5d3e1</v>
      </c>
      <c r="H878" s="12" t="str">
        <f t="shared" si="162"/>
        <v>KLOPPERmaybe b7c5d3e1</v>
      </c>
      <c r="I878" s="2" t="s">
        <v>542</v>
      </c>
      <c r="J878" s="12" t="s">
        <v>7543</v>
      </c>
      <c r="K878" s="12" t="str">
        <f t="shared" si="163"/>
        <v>1820</v>
      </c>
      <c r="L878" s="2" t="s">
        <v>542</v>
      </c>
      <c r="M878" s="12" t="s">
        <v>7544</v>
      </c>
      <c r="N878" s="12" t="str">
        <f t="shared" si="168"/>
        <v>1820</v>
      </c>
      <c r="O878" s="12" t="str">
        <f t="shared" si="169"/>
        <v>1820</v>
      </c>
      <c r="P878" s="12"/>
      <c r="Q878" s="12" t="str">
        <f t="shared" si="164"/>
        <v>1820</v>
      </c>
      <c r="R878" s="12"/>
      <c r="S878" s="12" t="str">
        <f t="shared" si="165"/>
        <v/>
      </c>
      <c r="V878" s="12" t="str">
        <f t="shared" si="166"/>
        <v/>
      </c>
      <c r="W878" s="12"/>
      <c r="AE878" s="12"/>
      <c r="AF878" s="2" t="s">
        <v>7545</v>
      </c>
      <c r="AG878" s="12" t="s">
        <v>68</v>
      </c>
      <c r="AH878" s="12" t="s">
        <v>7546</v>
      </c>
      <c r="AI878" s="12" t="str">
        <f t="shared" si="167"/>
        <v>1837</v>
      </c>
      <c r="AJ878" s="12" t="s">
        <v>7521</v>
      </c>
      <c r="AK878" s="12"/>
      <c r="AL878" s="12"/>
      <c r="AM878" s="12"/>
      <c r="AN878" s="12"/>
      <c r="AO878" s="12"/>
      <c r="AV878" s="12"/>
    </row>
    <row r="879" spans="1:52">
      <c r="A879" s="6" t="s">
        <v>2901</v>
      </c>
      <c r="B879" s="12" t="str">
        <f t="shared" si="159"/>
        <v>KLOPPER</v>
      </c>
      <c r="C879" s="12" t="str">
        <f t="shared" si="160"/>
        <v>KLOPPER</v>
      </c>
      <c r="D879" s="2" t="s">
        <v>2253</v>
      </c>
      <c r="E879" s="12" t="str">
        <f t="shared" si="170"/>
        <v>Johannes Jacobus</v>
      </c>
      <c r="F879" s="2" t="s">
        <v>7530</v>
      </c>
      <c r="G879" s="12" t="str">
        <f t="shared" si="161"/>
        <v>a1b7c4d2</v>
      </c>
      <c r="H879" s="12" t="str">
        <f t="shared" si="162"/>
        <v>KLOPPERa1b7c4d2</v>
      </c>
      <c r="J879" s="12" t="s">
        <v>7569</v>
      </c>
      <c r="K879" s="12" t="str">
        <f t="shared" si="163"/>
        <v>1802</v>
      </c>
      <c r="L879" s="12" t="s">
        <v>74</v>
      </c>
      <c r="M879" s="12" t="s">
        <v>92</v>
      </c>
      <c r="N879" s="12" t="str">
        <f t="shared" si="168"/>
        <v>1802</v>
      </c>
      <c r="O879" s="12" t="str">
        <f t="shared" si="169"/>
        <v>1804</v>
      </c>
      <c r="P879" s="12" t="s">
        <v>7570</v>
      </c>
      <c r="Q879" s="12" t="str">
        <f t="shared" si="164"/>
        <v>1802</v>
      </c>
      <c r="R879" s="12" t="s">
        <v>7571</v>
      </c>
      <c r="S879" s="12" t="str">
        <f t="shared" si="165"/>
        <v>1876</v>
      </c>
      <c r="T879" s="2" t="s">
        <v>74</v>
      </c>
      <c r="U879" s="2" t="s">
        <v>4546</v>
      </c>
      <c r="V879" s="12" t="str">
        <f t="shared" si="166"/>
        <v>1826</v>
      </c>
      <c r="W879" s="2" t="s">
        <v>1642</v>
      </c>
      <c r="X879" s="2" t="s">
        <v>627</v>
      </c>
      <c r="AG879" s="2" t="s">
        <v>74</v>
      </c>
      <c r="AH879" s="12" t="s">
        <v>7572</v>
      </c>
      <c r="AI879" s="12" t="str">
        <f t="shared" si="167"/>
        <v>1846</v>
      </c>
      <c r="AJ879" s="12"/>
      <c r="AL879" s="2" t="s">
        <v>199</v>
      </c>
      <c r="AM879" s="2" t="s">
        <v>7573</v>
      </c>
      <c r="AN879" s="2" t="s">
        <v>7574</v>
      </c>
      <c r="AO879" s="2" t="s">
        <v>7575</v>
      </c>
      <c r="AP879" s="2" t="s">
        <v>7576</v>
      </c>
      <c r="AR879" s="2" t="s">
        <v>7577</v>
      </c>
      <c r="AS879" s="2" t="s">
        <v>199</v>
      </c>
      <c r="AT879" s="2" t="s">
        <v>7578</v>
      </c>
      <c r="AU879" s="2" t="s">
        <v>7570</v>
      </c>
      <c r="AV879" s="2" t="s">
        <v>7579</v>
      </c>
    </row>
    <row r="880" spans="1:52">
      <c r="A880" s="12" t="s">
        <v>2305</v>
      </c>
      <c r="B880" s="12" t="str">
        <f t="shared" si="159"/>
        <v>KOCH</v>
      </c>
      <c r="C880" s="12" t="str">
        <f t="shared" si="160"/>
        <v>KOCH</v>
      </c>
      <c r="D880" s="2" t="s">
        <v>7623</v>
      </c>
      <c r="E880" s="12" t="str">
        <f t="shared" si="170"/>
        <v>Johan Philippus Jacobus</v>
      </c>
      <c r="F880" s="2" t="s">
        <v>837</v>
      </c>
      <c r="G880" s="12" t="str">
        <f t="shared" si="161"/>
        <v>a1b1</v>
      </c>
      <c r="H880" s="12" t="str">
        <f t="shared" si="162"/>
        <v>KOCHa1b1</v>
      </c>
      <c r="J880" s="2" t="s">
        <v>7624</v>
      </c>
      <c r="K880" s="12" t="str">
        <f t="shared" si="163"/>
        <v>1809</v>
      </c>
      <c r="L880" s="2" t="s">
        <v>7625</v>
      </c>
      <c r="M880" s="12" t="s">
        <v>7626</v>
      </c>
      <c r="N880" s="12" t="str">
        <f t="shared" si="168"/>
        <v>1809</v>
      </c>
      <c r="O880" s="12" t="str">
        <f t="shared" si="169"/>
        <v>1809</v>
      </c>
      <c r="P880" s="12"/>
      <c r="Q880" s="12" t="str">
        <f t="shared" si="164"/>
        <v>1809</v>
      </c>
      <c r="R880" s="12"/>
      <c r="S880" s="12" t="str">
        <f t="shared" si="165"/>
        <v/>
      </c>
      <c r="T880" s="12" t="s">
        <v>53</v>
      </c>
      <c r="U880" s="12" t="s">
        <v>7627</v>
      </c>
      <c r="V880" s="12" t="str">
        <f t="shared" si="166"/>
        <v>1828</v>
      </c>
      <c r="W880" s="12" t="s">
        <v>7628</v>
      </c>
      <c r="X880" s="12" t="s">
        <v>700</v>
      </c>
      <c r="AF880" s="2" t="s">
        <v>7629</v>
      </c>
      <c r="AG880" s="2" t="s">
        <v>346</v>
      </c>
      <c r="AH880" s="12">
        <v>1842</v>
      </c>
      <c r="AI880" s="12" t="str">
        <f t="shared" si="167"/>
        <v>1842</v>
      </c>
      <c r="AJ880" s="12" t="s">
        <v>1494</v>
      </c>
      <c r="AK880" s="2" t="s">
        <v>7630</v>
      </c>
    </row>
    <row r="881" spans="1:62">
      <c r="A881" s="2" t="s">
        <v>1555</v>
      </c>
      <c r="B881" s="12" t="str">
        <f t="shared" si="159"/>
        <v>KOCK</v>
      </c>
      <c r="C881" s="12" t="str">
        <f t="shared" si="160"/>
        <v>KOCK</v>
      </c>
      <c r="D881" s="2" t="s">
        <v>7642</v>
      </c>
      <c r="E881" s="12" t="str">
        <f t="shared" si="170"/>
        <v>Johannes (Jan) Henricus Lambertus</v>
      </c>
      <c r="F881" s="2" t="s">
        <v>837</v>
      </c>
      <c r="G881" s="12" t="str">
        <f t="shared" si="161"/>
        <v>a1b1</v>
      </c>
      <c r="H881" s="12" t="str">
        <f t="shared" si="162"/>
        <v>KOCKa1b1</v>
      </c>
      <c r="J881" s="12" t="s">
        <v>7643</v>
      </c>
      <c r="K881" s="12" t="str">
        <f t="shared" si="163"/>
        <v>1813</v>
      </c>
      <c r="L881" s="12" t="s">
        <v>74</v>
      </c>
      <c r="M881" s="12" t="s">
        <v>2618</v>
      </c>
      <c r="N881" s="12" t="str">
        <f t="shared" si="168"/>
        <v>1813</v>
      </c>
      <c r="O881" s="12" t="str">
        <f t="shared" si="169"/>
        <v>1813</v>
      </c>
      <c r="P881" s="2" t="s">
        <v>255</v>
      </c>
      <c r="Q881" s="12" t="str">
        <f t="shared" si="164"/>
        <v>1813</v>
      </c>
      <c r="R881" s="2" t="s">
        <v>7644</v>
      </c>
      <c r="S881" s="12" t="str">
        <f t="shared" si="165"/>
        <v>1889</v>
      </c>
      <c r="T881" s="12" t="s">
        <v>74</v>
      </c>
      <c r="U881" s="12" t="s">
        <v>7645</v>
      </c>
      <c r="V881" s="12" t="str">
        <f t="shared" si="166"/>
        <v>1834</v>
      </c>
      <c r="W881" s="12" t="s">
        <v>7646</v>
      </c>
      <c r="X881" s="12" t="s">
        <v>664</v>
      </c>
      <c r="Y881" s="2" t="s">
        <v>7647</v>
      </c>
      <c r="AA881" s="12" t="s">
        <v>7648</v>
      </c>
      <c r="AB881" s="2" t="s">
        <v>74</v>
      </c>
      <c r="AC881" s="2" t="s">
        <v>7649</v>
      </c>
      <c r="AF881" s="2" t="s">
        <v>7650</v>
      </c>
      <c r="AG881" s="12" t="s">
        <v>74</v>
      </c>
      <c r="AH881" s="12" t="s">
        <v>7639</v>
      </c>
      <c r="AI881" s="12" t="str">
        <f t="shared" si="167"/>
        <v>41/2</v>
      </c>
      <c r="AJ881" s="2" t="s">
        <v>7468</v>
      </c>
      <c r="AK881" s="12" t="s">
        <v>7651</v>
      </c>
      <c r="AN881" s="2" t="s">
        <v>715</v>
      </c>
      <c r="AO881" s="2" t="s">
        <v>760</v>
      </c>
    </row>
    <row r="882" spans="1:62">
      <c r="A882" s="2" t="s">
        <v>1555</v>
      </c>
      <c r="B882" s="12" t="str">
        <f t="shared" si="159"/>
        <v>KOCK</v>
      </c>
      <c r="C882" s="12" t="str">
        <f t="shared" si="160"/>
        <v>KOCK</v>
      </c>
      <c r="D882" s="2" t="s">
        <v>7631</v>
      </c>
      <c r="E882" s="12" t="str">
        <f t="shared" si="170"/>
        <v>Frans Willem</v>
      </c>
      <c r="F882" s="2" t="s">
        <v>3010</v>
      </c>
      <c r="G882" s="12" t="str">
        <f t="shared" si="161"/>
        <v>a1b3</v>
      </c>
      <c r="H882" s="12" t="str">
        <f t="shared" si="162"/>
        <v>KOCKa1b3</v>
      </c>
      <c r="J882" s="12" t="s">
        <v>7632</v>
      </c>
      <c r="K882" s="12" t="str">
        <f t="shared" si="163"/>
        <v>1817</v>
      </c>
      <c r="L882" s="12" t="s">
        <v>74</v>
      </c>
      <c r="M882" s="12" t="s">
        <v>2914</v>
      </c>
      <c r="N882" s="12" t="str">
        <f t="shared" si="168"/>
        <v>1817</v>
      </c>
      <c r="O882" s="12" t="str">
        <f t="shared" si="169"/>
        <v>1817</v>
      </c>
      <c r="P882" s="12" t="s">
        <v>7633</v>
      </c>
      <c r="Q882" s="12" t="str">
        <f t="shared" si="164"/>
        <v>1817</v>
      </c>
      <c r="R882" s="12" t="s">
        <v>7634</v>
      </c>
      <c r="S882" s="12" t="str">
        <f t="shared" si="165"/>
        <v>1902</v>
      </c>
      <c r="T882" s="12" t="s">
        <v>74</v>
      </c>
      <c r="U882" s="12" t="s">
        <v>7635</v>
      </c>
      <c r="V882" s="12" t="str">
        <f t="shared" si="166"/>
        <v>1838</v>
      </c>
      <c r="W882" s="12" t="s">
        <v>7636</v>
      </c>
      <c r="X882" s="12" t="s">
        <v>700</v>
      </c>
      <c r="AE882" s="2" t="s">
        <v>7637</v>
      </c>
      <c r="AF882" s="2" t="s">
        <v>7638</v>
      </c>
      <c r="AG882" s="12" t="s">
        <v>74</v>
      </c>
      <c r="AH882" s="12" t="s">
        <v>7639</v>
      </c>
      <c r="AI882" s="12" t="str">
        <f t="shared" si="167"/>
        <v>41/2</v>
      </c>
      <c r="AJ882" s="2" t="s">
        <v>7640</v>
      </c>
      <c r="AK882" s="12" t="s">
        <v>7641</v>
      </c>
      <c r="AL882" s="12"/>
      <c r="AM882" s="12"/>
      <c r="AN882" s="12"/>
      <c r="AO882" s="12"/>
    </row>
    <row r="883" spans="1:62">
      <c r="A883" s="12" t="s">
        <v>2222</v>
      </c>
      <c r="B883" s="12" t="str">
        <f t="shared" si="159"/>
        <v>KOEKEMOER</v>
      </c>
      <c r="C883" s="12" t="str">
        <f t="shared" si="160"/>
        <v>KOEKEMOER</v>
      </c>
      <c r="D883" s="12" t="s">
        <v>7655</v>
      </c>
      <c r="E883" s="12" t="str">
        <f t="shared" si="170"/>
        <v xml:space="preserve">Joachim Marthinus Sr. </v>
      </c>
      <c r="F883" s="12" t="s">
        <v>7656</v>
      </c>
      <c r="G883" s="12" t="str">
        <f t="shared" si="161"/>
        <v>a1b1c4d1</v>
      </c>
      <c r="H883" s="12" t="str">
        <f t="shared" si="162"/>
        <v>KOEKEMOERa1b1c4d1</v>
      </c>
      <c r="I883" s="12"/>
      <c r="J883" s="12" t="s">
        <v>7699</v>
      </c>
      <c r="K883" s="12" t="str">
        <f t="shared" si="163"/>
        <v>1790</v>
      </c>
      <c r="L883" s="12" t="s">
        <v>1071</v>
      </c>
      <c r="M883" s="12" t="s">
        <v>208</v>
      </c>
      <c r="N883" s="12" t="str">
        <f t="shared" si="168"/>
        <v>1790</v>
      </c>
      <c r="O883" s="12" t="str">
        <f t="shared" si="169"/>
        <v>1790</v>
      </c>
      <c r="P883" s="12"/>
      <c r="Q883" s="12" t="str">
        <f t="shared" si="164"/>
        <v>1790</v>
      </c>
      <c r="R883" s="12"/>
      <c r="S883" s="12" t="str">
        <f t="shared" si="165"/>
        <v/>
      </c>
      <c r="T883" s="12" t="s">
        <v>74</v>
      </c>
      <c r="U883" s="12" t="s">
        <v>7700</v>
      </c>
      <c r="V883" s="12" t="str">
        <f t="shared" si="166"/>
        <v>1809</v>
      </c>
      <c r="W883" s="12" t="s">
        <v>7701</v>
      </c>
      <c r="X883" s="12" t="s">
        <v>776</v>
      </c>
      <c r="Y883" s="12" t="s">
        <v>7702</v>
      </c>
      <c r="Z883" s="12"/>
      <c r="AA883" s="12"/>
      <c r="AB883" s="12" t="s">
        <v>7703</v>
      </c>
      <c r="AC883" s="12"/>
      <c r="AD883" s="12"/>
      <c r="AE883" s="12"/>
      <c r="AF883" s="12" t="s">
        <v>7704</v>
      </c>
      <c r="AG883" s="12" t="s">
        <v>74</v>
      </c>
      <c r="AH883" s="12" t="s">
        <v>7705</v>
      </c>
      <c r="AI883" s="12" t="str">
        <f t="shared" si="167"/>
        <v>1838</v>
      </c>
      <c r="AJ883" s="12"/>
      <c r="AK883" s="12" t="s">
        <v>90</v>
      </c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</row>
    <row r="884" spans="1:62">
      <c r="A884" s="12" t="s">
        <v>2222</v>
      </c>
      <c r="B884" s="12" t="str">
        <f t="shared" si="159"/>
        <v>KOEKEMOER</v>
      </c>
      <c r="C884" s="12" t="str">
        <f t="shared" si="160"/>
        <v>KOEKEMOER</v>
      </c>
      <c r="D884" s="12" t="s">
        <v>7657</v>
      </c>
      <c r="E884" s="12" t="str">
        <f t="shared" si="170"/>
        <v xml:space="preserve">Joachim Marthinus Jr. </v>
      </c>
      <c r="F884" s="12" t="s">
        <v>7658</v>
      </c>
      <c r="G884" s="12" t="str">
        <f t="shared" si="161"/>
        <v>a1b1c4d1e4</v>
      </c>
      <c r="H884" s="12" t="str">
        <f t="shared" si="162"/>
        <v>KOEKEMOERa1b1c4d1e4</v>
      </c>
      <c r="I884" s="12"/>
      <c r="J884" s="12" t="s">
        <v>7706</v>
      </c>
      <c r="K884" s="12" t="str">
        <f t="shared" si="163"/>
        <v>1817</v>
      </c>
      <c r="L884" s="12" t="s">
        <v>74</v>
      </c>
      <c r="M884" s="12" t="s">
        <v>486</v>
      </c>
      <c r="N884" s="12" t="str">
        <f t="shared" si="168"/>
        <v>1817</v>
      </c>
      <c r="O884" s="12" t="str">
        <f t="shared" si="169"/>
        <v>1817</v>
      </c>
      <c r="P884" s="12"/>
      <c r="Q884" s="12" t="str">
        <f t="shared" si="164"/>
        <v>1817</v>
      </c>
      <c r="R884" s="12"/>
      <c r="S884" s="12" t="str">
        <f t="shared" si="165"/>
        <v/>
      </c>
      <c r="T884" s="12" t="s">
        <v>74</v>
      </c>
      <c r="U884" s="12" t="s">
        <v>7707</v>
      </c>
      <c r="V884" s="12" t="str">
        <f t="shared" si="166"/>
        <v>1837</v>
      </c>
      <c r="W884" s="12" t="s">
        <v>7708</v>
      </c>
      <c r="X884" s="12" t="s">
        <v>776</v>
      </c>
      <c r="Y884" s="12" t="s">
        <v>7709</v>
      </c>
      <c r="Z884" s="12"/>
      <c r="AA884" s="12"/>
      <c r="AB884" s="12"/>
      <c r="AC884" s="12"/>
      <c r="AD884" s="12"/>
      <c r="AE884" s="12"/>
      <c r="AF884" s="12" t="s">
        <v>7704</v>
      </c>
      <c r="AG884" s="12" t="s">
        <v>74</v>
      </c>
      <c r="AH884" s="12" t="s">
        <v>4755</v>
      </c>
      <c r="AI884" s="12" t="str">
        <f t="shared" si="167"/>
        <v>37/8</v>
      </c>
      <c r="AJ884" s="12"/>
      <c r="AK884" s="12" t="s">
        <v>90</v>
      </c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</row>
    <row r="885" spans="1:62">
      <c r="A885" s="12" t="s">
        <v>2222</v>
      </c>
      <c r="B885" s="12" t="str">
        <f t="shared" si="159"/>
        <v>KOEKEMOER</v>
      </c>
      <c r="C885" s="12" t="str">
        <f t="shared" si="160"/>
        <v>KOEKEMOER</v>
      </c>
      <c r="D885" s="12" t="s">
        <v>7662</v>
      </c>
      <c r="E885" s="12" t="str">
        <f t="shared" si="170"/>
        <v>Johannes Mattheus</v>
      </c>
      <c r="F885" s="12" t="s">
        <v>7663</v>
      </c>
      <c r="G885" s="12" t="str">
        <f t="shared" si="161"/>
        <v>a1b1c4d1e5</v>
      </c>
      <c r="H885" s="12" t="str">
        <f t="shared" si="162"/>
        <v>KOEKEMOERa1b1c4d1e5</v>
      </c>
      <c r="I885" s="12"/>
      <c r="J885" s="12" t="s">
        <v>7722</v>
      </c>
      <c r="K885" s="12" t="str">
        <f t="shared" si="163"/>
        <v>1819</v>
      </c>
      <c r="L885" s="12" t="s">
        <v>74</v>
      </c>
      <c r="M885" s="12" t="s">
        <v>7723</v>
      </c>
      <c r="N885" s="12" t="str">
        <f t="shared" si="168"/>
        <v>1819</v>
      </c>
      <c r="O885" s="12" t="str">
        <f t="shared" si="169"/>
        <v>1819</v>
      </c>
      <c r="P885" s="12" t="s">
        <v>190</v>
      </c>
      <c r="Q885" s="12" t="str">
        <f t="shared" si="164"/>
        <v>1819</v>
      </c>
      <c r="R885" s="12" t="s">
        <v>7724</v>
      </c>
      <c r="S885" s="12" t="str">
        <f t="shared" si="165"/>
        <v>1855</v>
      </c>
      <c r="T885" s="12" t="s">
        <v>28</v>
      </c>
      <c r="U885" s="12" t="s">
        <v>5768</v>
      </c>
      <c r="V885" s="12" t="str">
        <f t="shared" si="166"/>
        <v>1838</v>
      </c>
      <c r="W885" s="12" t="s">
        <v>1297</v>
      </c>
      <c r="X885" s="12" t="s">
        <v>7725</v>
      </c>
      <c r="Y885" s="12"/>
      <c r="Z885" s="12"/>
      <c r="AA885" s="12"/>
      <c r="AB885" s="12"/>
      <c r="AC885" s="12"/>
      <c r="AD885" s="12"/>
      <c r="AE885" s="12"/>
      <c r="AF885" s="12" t="s">
        <v>7704</v>
      </c>
      <c r="AG885" s="12" t="s">
        <v>74</v>
      </c>
      <c r="AH885" s="12" t="s">
        <v>7726</v>
      </c>
      <c r="AI885" s="12" t="str">
        <f t="shared" si="167"/>
        <v>1843</v>
      </c>
      <c r="AJ885" s="12"/>
      <c r="AK885" s="12" t="s">
        <v>7630</v>
      </c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</row>
    <row r="886" spans="1:62">
      <c r="A886" s="12" t="s">
        <v>2222</v>
      </c>
      <c r="B886" s="12" t="str">
        <f t="shared" si="159"/>
        <v>KOEKEMOER</v>
      </c>
      <c r="C886" s="12" t="str">
        <f t="shared" si="160"/>
        <v>KOEKEMOER</v>
      </c>
      <c r="D886" s="12" t="s">
        <v>7666</v>
      </c>
      <c r="E886" s="12" t="str">
        <f t="shared" si="170"/>
        <v>Zacharias</v>
      </c>
      <c r="F886" s="12" t="s">
        <v>7667</v>
      </c>
      <c r="G886" s="12" t="str">
        <f t="shared" si="161"/>
        <v>a1b1c4d1e7</v>
      </c>
      <c r="H886" s="12" t="str">
        <f t="shared" si="162"/>
        <v>KOEKEMOERa1b1c4d1e7</v>
      </c>
      <c r="I886" s="12"/>
      <c r="J886" s="12" t="s">
        <v>7740</v>
      </c>
      <c r="K886" s="12" t="str">
        <f t="shared" si="163"/>
        <v>1823</v>
      </c>
      <c r="L886" s="12" t="s">
        <v>74</v>
      </c>
      <c r="M886" s="12" t="s">
        <v>7081</v>
      </c>
      <c r="N886" s="12" t="str">
        <f t="shared" si="168"/>
        <v>1823</v>
      </c>
      <c r="O886" s="12" t="str">
        <f t="shared" si="169"/>
        <v>1823</v>
      </c>
      <c r="P886" s="12" t="s">
        <v>7741</v>
      </c>
      <c r="Q886" s="12" t="str">
        <f t="shared" si="164"/>
        <v>1823</v>
      </c>
      <c r="R886" s="12" t="s">
        <v>7742</v>
      </c>
      <c r="S886" s="12" t="str">
        <f t="shared" si="165"/>
        <v>1893</v>
      </c>
      <c r="T886" s="12"/>
      <c r="U886" s="12"/>
      <c r="V886" s="12" t="str">
        <f t="shared" si="166"/>
        <v/>
      </c>
      <c r="W886" s="12" t="s">
        <v>5241</v>
      </c>
      <c r="X886" s="12" t="s">
        <v>698</v>
      </c>
      <c r="Y886" s="12" t="s">
        <v>7743</v>
      </c>
      <c r="Z886" s="12"/>
      <c r="AA886" s="12" t="s">
        <v>7744</v>
      </c>
      <c r="AB886" s="12" t="s">
        <v>68</v>
      </c>
      <c r="AC886" s="12" t="s">
        <v>7745</v>
      </c>
      <c r="AD886" s="12"/>
      <c r="AE886" s="12"/>
      <c r="AF886" s="12" t="s">
        <v>7704</v>
      </c>
      <c r="AG886" s="12" t="s">
        <v>74</v>
      </c>
      <c r="AH886" s="12" t="s">
        <v>7746</v>
      </c>
      <c r="AI886" s="12" t="str">
        <f t="shared" si="167"/>
        <v xml:space="preserve"> (?)</v>
      </c>
      <c r="AJ886" s="12"/>
      <c r="AK886" s="12" t="s">
        <v>90</v>
      </c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</row>
    <row r="887" spans="1:62">
      <c r="A887" s="12" t="s">
        <v>2222</v>
      </c>
      <c r="B887" s="12" t="str">
        <f t="shared" si="159"/>
        <v>KOEKEMOER</v>
      </c>
      <c r="C887" s="12" t="str">
        <f t="shared" si="160"/>
        <v>KOEKEMOER</v>
      </c>
      <c r="D887" s="12" t="s">
        <v>273</v>
      </c>
      <c r="E887" s="12" t="str">
        <f t="shared" si="170"/>
        <v>Marthinus</v>
      </c>
      <c r="F887" s="12" t="s">
        <v>7664</v>
      </c>
      <c r="G887" s="12" t="str">
        <f t="shared" si="161"/>
        <v>a1b1c4d1e8</v>
      </c>
      <c r="H887" s="12" t="str">
        <f t="shared" si="162"/>
        <v>KOEKEMOERa1b1c4d1e8</v>
      </c>
      <c r="I887" s="12"/>
      <c r="J887" s="12" t="s">
        <v>7727</v>
      </c>
      <c r="K887" s="12" t="str">
        <f t="shared" si="163"/>
        <v>1825</v>
      </c>
      <c r="L887" s="12" t="s">
        <v>74</v>
      </c>
      <c r="M887" s="12" t="s">
        <v>7344</v>
      </c>
      <c r="N887" s="12" t="str">
        <f t="shared" si="168"/>
        <v>1825</v>
      </c>
      <c r="O887" s="12" t="str">
        <f t="shared" si="169"/>
        <v>1826</v>
      </c>
      <c r="P887" s="12" t="s">
        <v>7728</v>
      </c>
      <c r="Q887" s="12" t="str">
        <f t="shared" si="164"/>
        <v>1825</v>
      </c>
      <c r="R887" s="12" t="s">
        <v>7729</v>
      </c>
      <c r="S887" s="12" t="str">
        <f t="shared" si="165"/>
        <v>1876</v>
      </c>
      <c r="T887" s="12"/>
      <c r="U887" s="12"/>
      <c r="V887" s="12" t="str">
        <f t="shared" si="166"/>
        <v/>
      </c>
      <c r="W887" s="12" t="s">
        <v>7730</v>
      </c>
      <c r="X887" s="12" t="s">
        <v>636</v>
      </c>
      <c r="Y887" s="12" t="s">
        <v>7731</v>
      </c>
      <c r="Z887" s="12"/>
      <c r="AA887" s="12"/>
      <c r="AB887" s="12"/>
      <c r="AC887" s="12"/>
      <c r="AD887" s="12"/>
      <c r="AE887" s="12" t="s">
        <v>7732</v>
      </c>
      <c r="AF887" s="12" t="s">
        <v>7704</v>
      </c>
      <c r="AG887" s="12" t="s">
        <v>74</v>
      </c>
      <c r="AH887" s="12" t="s">
        <v>7726</v>
      </c>
      <c r="AI887" s="12" t="str">
        <f t="shared" si="167"/>
        <v>1843</v>
      </c>
      <c r="AJ887" s="12"/>
      <c r="AK887" s="12" t="s">
        <v>7733</v>
      </c>
      <c r="AL887" s="12"/>
      <c r="AM887" s="12" t="s">
        <v>7734</v>
      </c>
      <c r="AN887" s="12" t="s">
        <v>7163</v>
      </c>
      <c r="AO887" s="12" t="s">
        <v>7015</v>
      </c>
      <c r="AP887" s="12" t="s">
        <v>1827</v>
      </c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</row>
    <row r="888" spans="1:62">
      <c r="A888" s="12" t="s">
        <v>2222</v>
      </c>
      <c r="B888" s="12" t="str">
        <f t="shared" ref="B888:B949" si="171">SUBSTITUTE(A888," ","")</f>
        <v>KOEKEMOER</v>
      </c>
      <c r="C888" s="12" t="str">
        <f t="shared" ref="C888:C949" si="172">TRIM(A888)</f>
        <v>KOEKEMOER</v>
      </c>
      <c r="D888" s="12" t="s">
        <v>1759</v>
      </c>
      <c r="E888" s="12" t="str">
        <f t="shared" si="170"/>
        <v>Gerhardus Petrus</v>
      </c>
      <c r="F888" s="12" t="s">
        <v>2894</v>
      </c>
      <c r="G888" s="12" t="str">
        <f t="shared" ref="G888:G949" si="173">IF(LEFT(F888,1)="b","a1"&amp;F888,F888)</f>
        <v>a1b1c4d5</v>
      </c>
      <c r="H888" s="12" t="str">
        <f t="shared" ref="H888:H949" si="174">C888&amp;G888</f>
        <v>KOEKEMOERa1b1c4d5</v>
      </c>
      <c r="I888" s="12"/>
      <c r="J888" s="12"/>
      <c r="K888" s="12" t="str">
        <f t="shared" ref="K888:K949" si="175">RIGHT(J888,4)</f>
        <v/>
      </c>
      <c r="L888" s="12" t="s">
        <v>74</v>
      </c>
      <c r="M888" s="12" t="s">
        <v>7076</v>
      </c>
      <c r="N888" s="12" t="str">
        <f t="shared" si="168"/>
        <v/>
      </c>
      <c r="O888" s="12" t="str">
        <f t="shared" si="169"/>
        <v>1798</v>
      </c>
      <c r="P888" s="12"/>
      <c r="Q888" s="12" t="str">
        <f t="shared" ref="Q888:Q949" si="176">IF(N888="",O888,N888)</f>
        <v>1798</v>
      </c>
      <c r="R888" s="12"/>
      <c r="S888" s="12" t="str">
        <f t="shared" ref="S888:S949" si="177">RIGHT(R888,4)</f>
        <v/>
      </c>
      <c r="T888" s="12" t="s">
        <v>74</v>
      </c>
      <c r="U888" s="12" t="s">
        <v>7688</v>
      </c>
      <c r="V888" s="12" t="str">
        <f t="shared" ref="V888:V949" si="178">RIGHT(U888,4)</f>
        <v>1819</v>
      </c>
      <c r="W888" s="12" t="s">
        <v>7689</v>
      </c>
      <c r="X888" s="12" t="s">
        <v>655</v>
      </c>
      <c r="Y888" s="12" t="s">
        <v>7690</v>
      </c>
      <c r="Z888" s="12"/>
      <c r="AA888" s="12"/>
      <c r="AB888" s="12" t="s">
        <v>4862</v>
      </c>
      <c r="AC888" s="12"/>
      <c r="AD888" s="12"/>
      <c r="AE888" s="12"/>
      <c r="AF888" s="12" t="s">
        <v>7691</v>
      </c>
      <c r="AG888" s="12" t="s">
        <v>7692</v>
      </c>
      <c r="AH888" s="12" t="s">
        <v>7693</v>
      </c>
      <c r="AI888" s="12" t="str">
        <f t="shared" ref="AI888:AI949" si="179">RIGHT(AH888,4)</f>
        <v>1842</v>
      </c>
      <c r="AJ888" s="12"/>
      <c r="AK888" s="12" t="s">
        <v>140</v>
      </c>
      <c r="AL888" s="12"/>
      <c r="AM888" s="12"/>
      <c r="AN888" s="12" t="s">
        <v>7694</v>
      </c>
      <c r="AO888" s="12" t="s">
        <v>4514</v>
      </c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</row>
    <row r="889" spans="1:62">
      <c r="A889" s="12" t="s">
        <v>2222</v>
      </c>
      <c r="B889" s="12" t="str">
        <f t="shared" si="171"/>
        <v>KOEKEMOER</v>
      </c>
      <c r="C889" s="12" t="str">
        <f t="shared" si="172"/>
        <v>KOEKEMOER</v>
      </c>
      <c r="D889" s="12" t="s">
        <v>5025</v>
      </c>
      <c r="E889" s="12" t="str">
        <f t="shared" si="170"/>
        <v>Diederik Johannes</v>
      </c>
      <c r="F889" s="12" t="s">
        <v>7653</v>
      </c>
      <c r="G889" s="12" t="str">
        <f t="shared" si="173"/>
        <v>a1b1c4d5e3</v>
      </c>
      <c r="H889" s="12" t="str">
        <f t="shared" si="174"/>
        <v>KOEKEMOERa1b1c4d5e3</v>
      </c>
      <c r="I889" s="12"/>
      <c r="J889" s="12" t="s">
        <v>7685</v>
      </c>
      <c r="K889" s="12" t="str">
        <f t="shared" si="175"/>
        <v>1824</v>
      </c>
      <c r="L889" s="12" t="s">
        <v>28</v>
      </c>
      <c r="M889" s="12" t="s">
        <v>7686</v>
      </c>
      <c r="N889" s="12" t="str">
        <f t="shared" si="168"/>
        <v>1824</v>
      </c>
      <c r="O889" s="12" t="str">
        <f t="shared" si="169"/>
        <v>1824</v>
      </c>
      <c r="P889" s="12"/>
      <c r="Q889" s="12" t="str">
        <f t="shared" si="176"/>
        <v>1824</v>
      </c>
      <c r="R889" s="12"/>
      <c r="S889" s="12" t="str">
        <f t="shared" si="177"/>
        <v/>
      </c>
      <c r="T889" s="12"/>
      <c r="U889" s="12"/>
      <c r="V889" s="12" t="str">
        <f t="shared" si="178"/>
        <v/>
      </c>
      <c r="W889" s="12" t="s">
        <v>7687</v>
      </c>
      <c r="X889" s="12" t="s">
        <v>702</v>
      </c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 t="str">
        <f t="shared" si="179"/>
        <v/>
      </c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</row>
    <row r="890" spans="1:62">
      <c r="A890" s="12" t="s">
        <v>2222</v>
      </c>
      <c r="B890" s="12" t="str">
        <f t="shared" si="171"/>
        <v>KOEKEMOER</v>
      </c>
      <c r="C890" s="12" t="str">
        <f t="shared" si="172"/>
        <v>KOEKEMOER</v>
      </c>
      <c r="D890" s="12" t="s">
        <v>1777</v>
      </c>
      <c r="E890" s="12" t="str">
        <f t="shared" si="170"/>
        <v>Marthinus Wessel</v>
      </c>
      <c r="F890" s="12" t="s">
        <v>7665</v>
      </c>
      <c r="G890" s="12" t="str">
        <f t="shared" si="173"/>
        <v>a1b1c4d6</v>
      </c>
      <c r="H890" s="12" t="str">
        <f t="shared" si="174"/>
        <v>KOEKEMOERa1b1c4d6</v>
      </c>
      <c r="I890" s="12"/>
      <c r="J890" s="12"/>
      <c r="K890" s="12" t="str">
        <f t="shared" si="175"/>
        <v/>
      </c>
      <c r="L890" s="12" t="s">
        <v>74</v>
      </c>
      <c r="M890" s="12" t="s">
        <v>7735</v>
      </c>
      <c r="N890" s="12" t="str">
        <f t="shared" si="168"/>
        <v/>
      </c>
      <c r="O890" s="12" t="str">
        <f t="shared" si="169"/>
        <v>1800</v>
      </c>
      <c r="P890" s="12"/>
      <c r="Q890" s="12" t="str">
        <f t="shared" si="176"/>
        <v>1800</v>
      </c>
      <c r="R890" s="12"/>
      <c r="S890" s="12" t="str">
        <f t="shared" si="177"/>
        <v/>
      </c>
      <c r="T890" s="12" t="s">
        <v>74</v>
      </c>
      <c r="U890" s="12" t="s">
        <v>974</v>
      </c>
      <c r="V890" s="12" t="str">
        <f t="shared" si="178"/>
        <v>1826</v>
      </c>
      <c r="W890" s="12" t="s">
        <v>1674</v>
      </c>
      <c r="X890" s="12" t="s">
        <v>776</v>
      </c>
      <c r="Y890" s="12" t="s">
        <v>7736</v>
      </c>
      <c r="Z890" s="12"/>
      <c r="AA890" s="12" t="s">
        <v>7737</v>
      </c>
      <c r="AB890" s="12"/>
      <c r="AC890" s="12" t="s">
        <v>4576</v>
      </c>
      <c r="AD890" s="12"/>
      <c r="AE890" s="12"/>
      <c r="AF890" s="12"/>
      <c r="AG890" s="12" t="s">
        <v>60</v>
      </c>
      <c r="AH890" s="12" t="s">
        <v>7738</v>
      </c>
      <c r="AI890" s="12" t="str">
        <f t="shared" si="179"/>
        <v>1838</v>
      </c>
      <c r="AJ890" s="12" t="s">
        <v>7739</v>
      </c>
      <c r="AK890" s="12" t="s">
        <v>551</v>
      </c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</row>
    <row r="891" spans="1:62">
      <c r="A891" s="12" t="s">
        <v>2222</v>
      </c>
      <c r="B891" s="12" t="str">
        <f t="shared" si="171"/>
        <v>KOEKEMOER</v>
      </c>
      <c r="C891" s="12" t="str">
        <f t="shared" si="172"/>
        <v>KOEKEMOER</v>
      </c>
      <c r="D891" s="12" t="s">
        <v>7659</v>
      </c>
      <c r="E891" s="12" t="str">
        <f t="shared" si="170"/>
        <v>Jacobus Mattys Wynand</v>
      </c>
      <c r="F891" s="12" t="s">
        <v>7660</v>
      </c>
      <c r="G891" s="12" t="str">
        <f t="shared" si="173"/>
        <v>a1b1c4d8</v>
      </c>
      <c r="H891" s="12" t="str">
        <f t="shared" si="174"/>
        <v>KOEKEMOERa1b1c4d8</v>
      </c>
      <c r="I891" s="12"/>
      <c r="J891" s="12" t="s">
        <v>7710</v>
      </c>
      <c r="K891" s="12" t="str">
        <f t="shared" si="175"/>
        <v>1806</v>
      </c>
      <c r="L891" s="12" t="s">
        <v>542</v>
      </c>
      <c r="M891" s="12" t="s">
        <v>4395</v>
      </c>
      <c r="N891" s="12" t="str">
        <f t="shared" si="168"/>
        <v>1806</v>
      </c>
      <c r="O891" s="12" t="str">
        <f t="shared" si="169"/>
        <v>1806</v>
      </c>
      <c r="P891" s="12"/>
      <c r="Q891" s="12" t="str">
        <f t="shared" si="176"/>
        <v>1806</v>
      </c>
      <c r="R891" s="12"/>
      <c r="S891" s="12" t="str">
        <f t="shared" si="177"/>
        <v/>
      </c>
      <c r="T891" s="12" t="s">
        <v>28</v>
      </c>
      <c r="U891" s="12" t="s">
        <v>988</v>
      </c>
      <c r="V891" s="12" t="str">
        <f t="shared" si="178"/>
        <v>1825</v>
      </c>
      <c r="W891" s="12" t="s">
        <v>7711</v>
      </c>
      <c r="X891" s="12" t="s">
        <v>5574</v>
      </c>
      <c r="Y891" s="12"/>
      <c r="Z891" s="12"/>
      <c r="AA891" s="12"/>
      <c r="AB891" s="12"/>
      <c r="AC891" s="12"/>
      <c r="AD891" s="12"/>
      <c r="AE891" s="12"/>
      <c r="AF891" s="12"/>
      <c r="AG891" s="12" t="s">
        <v>60</v>
      </c>
      <c r="AH891" s="12" t="s">
        <v>7712</v>
      </c>
      <c r="AI891" s="12" t="str">
        <f t="shared" si="179"/>
        <v>9/40</v>
      </c>
      <c r="AJ891" s="12"/>
      <c r="AK891" s="12" t="s">
        <v>190</v>
      </c>
      <c r="AL891" s="12" t="s">
        <v>60</v>
      </c>
      <c r="AM891" s="12" t="s">
        <v>7713</v>
      </c>
      <c r="AN891" s="12" t="s">
        <v>4488</v>
      </c>
      <c r="AO891" s="12" t="s">
        <v>669</v>
      </c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</row>
    <row r="892" spans="1:62">
      <c r="A892" s="12" t="s">
        <v>2222</v>
      </c>
      <c r="B892" s="12" t="str">
        <f t="shared" si="171"/>
        <v>KOEKEMOER</v>
      </c>
      <c r="C892" s="12" t="str">
        <f t="shared" si="172"/>
        <v>KOEKEMOER</v>
      </c>
      <c r="D892" s="12" t="s">
        <v>5829</v>
      </c>
      <c r="E892" s="12" t="str">
        <f t="shared" si="170"/>
        <v>Johannes Lodewyk</v>
      </c>
      <c r="F892" s="2" t="s">
        <v>7661</v>
      </c>
      <c r="G892" s="12" t="str">
        <f t="shared" si="173"/>
        <v>a1b1c4d9</v>
      </c>
      <c r="H892" s="12" t="str">
        <f t="shared" si="174"/>
        <v>KOEKEMOERa1b1c4d9</v>
      </c>
      <c r="J892" s="2" t="s">
        <v>7714</v>
      </c>
      <c r="K892" s="12" t="str">
        <f t="shared" si="175"/>
        <v>1808</v>
      </c>
      <c r="L892" s="2" t="s">
        <v>74</v>
      </c>
      <c r="M892" s="2" t="s">
        <v>7715</v>
      </c>
      <c r="N892" s="12" t="str">
        <f t="shared" si="168"/>
        <v>1808</v>
      </c>
      <c r="O892" s="12" t="str">
        <f t="shared" si="169"/>
        <v>1808</v>
      </c>
      <c r="P892" s="12" t="s">
        <v>7716</v>
      </c>
      <c r="Q892" s="12" t="str">
        <f t="shared" si="176"/>
        <v>1808</v>
      </c>
      <c r="R892" s="2" t="s">
        <v>7717</v>
      </c>
      <c r="S892" s="12" t="str">
        <f t="shared" si="177"/>
        <v>1867</v>
      </c>
      <c r="T892" s="2" t="s">
        <v>74</v>
      </c>
      <c r="U892" s="2" t="s">
        <v>1306</v>
      </c>
      <c r="V892" s="12" t="str">
        <f t="shared" si="178"/>
        <v>1829</v>
      </c>
      <c r="W892" s="12" t="s">
        <v>7718</v>
      </c>
      <c r="X892" s="12" t="s">
        <v>776</v>
      </c>
      <c r="Y892" s="12"/>
      <c r="AA892" s="12"/>
      <c r="AG892" s="12" t="s">
        <v>60</v>
      </c>
      <c r="AH892" s="2" t="s">
        <v>7719</v>
      </c>
      <c r="AI892" s="12" t="str">
        <f t="shared" si="179"/>
        <v>1841</v>
      </c>
      <c r="AJ892" s="12"/>
      <c r="AK892" s="12" t="s">
        <v>190</v>
      </c>
      <c r="AN892" s="2" t="s">
        <v>7720</v>
      </c>
      <c r="AO892" s="2" t="s">
        <v>778</v>
      </c>
      <c r="AP892" s="2" t="s">
        <v>7721</v>
      </c>
      <c r="AR892" s="2" t="s">
        <v>2950</v>
      </c>
      <c r="AS892" s="2" t="s">
        <v>366</v>
      </c>
      <c r="AT892" s="2" t="s">
        <v>257</v>
      </c>
      <c r="AV892" s="12"/>
    </row>
    <row r="893" spans="1:62">
      <c r="A893" s="12" t="s">
        <v>2222</v>
      </c>
      <c r="B893" s="12" t="str">
        <f t="shared" si="171"/>
        <v>KOEKEMOER</v>
      </c>
      <c r="C893" s="12" t="str">
        <f t="shared" si="172"/>
        <v>KOEKEMOER</v>
      </c>
      <c r="D893" s="12" t="s">
        <v>5025</v>
      </c>
      <c r="E893" s="12" t="str">
        <f t="shared" si="170"/>
        <v>Diederik Johannes</v>
      </c>
      <c r="F893" s="12" t="s">
        <v>7652</v>
      </c>
      <c r="G893" s="12" t="str">
        <f t="shared" si="173"/>
        <v>a1b1c6d1</v>
      </c>
      <c r="H893" s="12" t="str">
        <f t="shared" si="174"/>
        <v>KOEKEMOERa1b1c6d1</v>
      </c>
      <c r="J893" s="12" t="s">
        <v>7678</v>
      </c>
      <c r="K893" s="12" t="str">
        <f t="shared" si="175"/>
        <v>1796</v>
      </c>
      <c r="L893" s="12" t="s">
        <v>542</v>
      </c>
      <c r="M893" s="12" t="s">
        <v>7679</v>
      </c>
      <c r="N893" s="12" t="str">
        <f t="shared" si="168"/>
        <v>1796</v>
      </c>
      <c r="O893" s="12" t="str">
        <f t="shared" si="169"/>
        <v>1796</v>
      </c>
      <c r="P893" s="2" t="s">
        <v>406</v>
      </c>
      <c r="Q893" s="12" t="str">
        <f t="shared" si="176"/>
        <v>1796</v>
      </c>
      <c r="R893" s="2" t="s">
        <v>7680</v>
      </c>
      <c r="S893" s="12" t="str">
        <f t="shared" si="177"/>
        <v>1872</v>
      </c>
      <c r="T893" s="12" t="s">
        <v>28</v>
      </c>
      <c r="U893" s="12" t="s">
        <v>4249</v>
      </c>
      <c r="V893" s="12" t="str">
        <f t="shared" si="178"/>
        <v>1819</v>
      </c>
      <c r="W893" s="12" t="s">
        <v>7681</v>
      </c>
      <c r="X893" s="12" t="s">
        <v>757</v>
      </c>
      <c r="Y893" s="2" t="s">
        <v>7682</v>
      </c>
      <c r="AC893" s="2" t="s">
        <v>145</v>
      </c>
      <c r="AD893" s="12"/>
      <c r="AF893" s="2" t="s">
        <v>16</v>
      </c>
      <c r="AG893" s="12" t="s">
        <v>7683</v>
      </c>
      <c r="AH893" s="12" t="s">
        <v>7684</v>
      </c>
      <c r="AI893" s="12" t="str">
        <f t="shared" si="179"/>
        <v>1839</v>
      </c>
      <c r="AJ893" s="12"/>
      <c r="AK893" s="2" t="s">
        <v>90</v>
      </c>
    </row>
    <row r="894" spans="1:62">
      <c r="A894" s="12" t="s">
        <v>2222</v>
      </c>
      <c r="B894" s="12" t="str">
        <f t="shared" si="171"/>
        <v>KOEKEMOER</v>
      </c>
      <c r="C894" s="12" t="str">
        <f t="shared" si="172"/>
        <v>KOEKEMOER</v>
      </c>
      <c r="D894" s="12" t="s">
        <v>6271</v>
      </c>
      <c r="E894" s="12" t="str">
        <f t="shared" si="170"/>
        <v>Gerrit Jacobus</v>
      </c>
      <c r="F894" s="12" t="s">
        <v>7654</v>
      </c>
      <c r="G894" s="12" t="str">
        <f t="shared" si="173"/>
        <v>a1b1c7d3</v>
      </c>
      <c r="H894" s="12" t="str">
        <f t="shared" si="174"/>
        <v>KOEKEMOERa1b1c7d3</v>
      </c>
      <c r="J894" s="2" t="s">
        <v>7695</v>
      </c>
      <c r="K894" s="12" t="str">
        <f t="shared" si="175"/>
        <v>1803</v>
      </c>
      <c r="L894" s="12" t="s">
        <v>74</v>
      </c>
      <c r="M894" s="12" t="s">
        <v>92</v>
      </c>
      <c r="N894" s="12" t="str">
        <f t="shared" si="168"/>
        <v>1803</v>
      </c>
      <c r="O894" s="12" t="str">
        <f t="shared" si="169"/>
        <v>1804</v>
      </c>
      <c r="P894" s="2" t="s">
        <v>90</v>
      </c>
      <c r="Q894" s="12" t="str">
        <f t="shared" si="176"/>
        <v>1803</v>
      </c>
      <c r="R894" s="2" t="s">
        <v>7696</v>
      </c>
      <c r="S894" s="12" t="str">
        <f t="shared" si="177"/>
        <v>1839</v>
      </c>
      <c r="T894" s="12" t="s">
        <v>28</v>
      </c>
      <c r="U894" s="12" t="s">
        <v>7697</v>
      </c>
      <c r="V894" s="12" t="str">
        <f t="shared" si="178"/>
        <v>1832</v>
      </c>
      <c r="W894" s="12" t="s">
        <v>3581</v>
      </c>
      <c r="X894" s="12" t="s">
        <v>2250</v>
      </c>
      <c r="Y894" s="12"/>
      <c r="AA894" s="12"/>
      <c r="AF894" s="2" t="s">
        <v>3699</v>
      </c>
      <c r="AG894" s="12" t="s">
        <v>68</v>
      </c>
      <c r="AH894" s="12" t="s">
        <v>7698</v>
      </c>
      <c r="AI894" s="12" t="str">
        <f t="shared" si="179"/>
        <v>1837</v>
      </c>
      <c r="AJ894" s="12" t="s">
        <v>277</v>
      </c>
      <c r="AK894" s="2" t="s">
        <v>90</v>
      </c>
    </row>
    <row r="895" spans="1:62">
      <c r="A895" s="12" t="s">
        <v>7668</v>
      </c>
      <c r="B895" s="12" t="str">
        <f t="shared" si="171"/>
        <v>KOOPMAN</v>
      </c>
      <c r="C895" s="12" t="str">
        <f t="shared" si="172"/>
        <v>KOOPMAN</v>
      </c>
      <c r="D895" s="12" t="s">
        <v>7669</v>
      </c>
      <c r="E895" s="12" t="str">
        <f t="shared" si="170"/>
        <v>Dawid</v>
      </c>
      <c r="F895" s="12" t="s">
        <v>7670</v>
      </c>
      <c r="G895" s="12" t="str">
        <f t="shared" si="173"/>
        <v>a1b5c3d3</v>
      </c>
      <c r="H895" s="12" t="str">
        <f t="shared" si="174"/>
        <v>KOOPMANa1b5c3d3</v>
      </c>
      <c r="J895" s="12"/>
      <c r="K895" s="12" t="str">
        <f t="shared" si="175"/>
        <v/>
      </c>
      <c r="L895" s="12"/>
      <c r="M895" s="12" t="s">
        <v>7747</v>
      </c>
      <c r="N895" s="12" t="str">
        <f t="shared" si="168"/>
        <v/>
      </c>
      <c r="O895" s="12" t="str">
        <f t="shared" si="169"/>
        <v>1792</v>
      </c>
      <c r="Q895" s="12" t="str">
        <f t="shared" si="176"/>
        <v>1792</v>
      </c>
      <c r="S895" s="12" t="str">
        <f t="shared" si="177"/>
        <v/>
      </c>
      <c r="T895" s="12" t="s">
        <v>366</v>
      </c>
      <c r="U895" s="12" t="s">
        <v>7748</v>
      </c>
      <c r="V895" s="12" t="str">
        <f t="shared" si="178"/>
        <v>1814</v>
      </c>
      <c r="W895" s="12" t="s">
        <v>5173</v>
      </c>
      <c r="X895" s="12" t="s">
        <v>2589</v>
      </c>
      <c r="Z895" s="12"/>
      <c r="AA895" s="12"/>
      <c r="AF895" s="12" t="s">
        <v>3703</v>
      </c>
      <c r="AG895" s="12" t="s">
        <v>366</v>
      </c>
      <c r="AH895" s="12" t="s">
        <v>7749</v>
      </c>
      <c r="AI895" s="12" t="str">
        <f t="shared" si="179"/>
        <v>1837</v>
      </c>
      <c r="AJ895" s="2" t="s">
        <v>7751</v>
      </c>
      <c r="AK895" s="12" t="s">
        <v>7750</v>
      </c>
    </row>
    <row r="896" spans="1:62">
      <c r="A896" s="12" t="s">
        <v>7668</v>
      </c>
      <c r="B896" s="12" t="str">
        <f t="shared" si="171"/>
        <v>KOOPMAN</v>
      </c>
      <c r="C896" s="12" t="str">
        <f t="shared" si="172"/>
        <v>KOOPMAN</v>
      </c>
      <c r="D896" s="12" t="s">
        <v>7671</v>
      </c>
      <c r="E896" s="12" t="str">
        <f t="shared" si="170"/>
        <v>Jan Michiel</v>
      </c>
      <c r="F896" s="12" t="s">
        <v>3787</v>
      </c>
      <c r="G896" s="12" t="str">
        <f t="shared" si="173"/>
        <v>a1b5c3d7</v>
      </c>
      <c r="H896" s="12" t="str">
        <f t="shared" si="174"/>
        <v>KOOPMANa1b5c3d7</v>
      </c>
      <c r="J896" s="12"/>
      <c r="K896" s="12" t="str">
        <f t="shared" si="175"/>
        <v/>
      </c>
      <c r="L896" s="12"/>
      <c r="M896" s="12" t="s">
        <v>7752</v>
      </c>
      <c r="N896" s="12" t="str">
        <f t="shared" si="168"/>
        <v/>
      </c>
      <c r="O896" s="12" t="str">
        <f t="shared" si="169"/>
        <v>1800</v>
      </c>
      <c r="P896" s="12"/>
      <c r="Q896" s="12" t="str">
        <f t="shared" si="176"/>
        <v>1800</v>
      </c>
      <c r="R896" s="12"/>
      <c r="S896" s="12" t="str">
        <f t="shared" si="177"/>
        <v/>
      </c>
      <c r="T896" s="12"/>
      <c r="U896" s="12"/>
      <c r="V896" s="12" t="str">
        <f t="shared" si="178"/>
        <v/>
      </c>
      <c r="W896" s="12"/>
      <c r="X896" s="12"/>
      <c r="Z896" s="12"/>
      <c r="AA896" s="12"/>
      <c r="AF896" s="12" t="s">
        <v>3703</v>
      </c>
      <c r="AG896" s="12" t="s">
        <v>366</v>
      </c>
      <c r="AH896" s="12" t="s">
        <v>7749</v>
      </c>
      <c r="AI896" s="12" t="str">
        <f t="shared" si="179"/>
        <v>1837</v>
      </c>
      <c r="AJ896" s="2" t="s">
        <v>7753</v>
      </c>
      <c r="AK896" s="12" t="s">
        <v>5777</v>
      </c>
      <c r="AL896" s="12"/>
      <c r="AM896" s="12"/>
      <c r="AN896" s="12"/>
      <c r="AO896" s="12"/>
      <c r="AW896" s="12"/>
      <c r="AX896" s="12"/>
      <c r="AY896" s="12"/>
      <c r="AZ896" s="12"/>
      <c r="BI896" s="12"/>
      <c r="BJ896" s="12"/>
    </row>
    <row r="897" spans="1:82">
      <c r="A897" s="12" t="s">
        <v>7668</v>
      </c>
      <c r="B897" s="12" t="str">
        <f t="shared" si="171"/>
        <v>KOOPMAN</v>
      </c>
      <c r="C897" s="12" t="str">
        <f t="shared" si="172"/>
        <v>KOOPMAN</v>
      </c>
      <c r="D897" s="12" t="s">
        <v>7672</v>
      </c>
      <c r="E897" s="12" t="str">
        <f t="shared" si="170"/>
        <v>Willem Petrus</v>
      </c>
      <c r="F897" s="12" t="s">
        <v>7673</v>
      </c>
      <c r="G897" s="12" t="str">
        <f t="shared" si="173"/>
        <v>a1b5c3d8</v>
      </c>
      <c r="H897" s="12" t="str">
        <f t="shared" si="174"/>
        <v>KOOPMANa1b5c3d8</v>
      </c>
      <c r="J897" s="2" t="s">
        <v>7754</v>
      </c>
      <c r="K897" s="12" t="str">
        <f t="shared" si="175"/>
        <v>1802</v>
      </c>
      <c r="L897" s="2" t="s">
        <v>542</v>
      </c>
      <c r="M897" s="12" t="s">
        <v>7755</v>
      </c>
      <c r="N897" s="12" t="str">
        <f t="shared" si="168"/>
        <v>1802</v>
      </c>
      <c r="O897" s="12" t="str">
        <f t="shared" si="169"/>
        <v>1803</v>
      </c>
      <c r="P897" s="12"/>
      <c r="Q897" s="12" t="str">
        <f t="shared" si="176"/>
        <v>1802</v>
      </c>
      <c r="R897" s="12"/>
      <c r="S897" s="12" t="str">
        <f t="shared" si="177"/>
        <v/>
      </c>
      <c r="T897" s="12"/>
      <c r="U897" s="12"/>
      <c r="V897" s="12" t="str">
        <f t="shared" si="178"/>
        <v/>
      </c>
      <c r="W897" s="12"/>
      <c r="X897" s="12"/>
      <c r="AF897" s="12" t="s">
        <v>3703</v>
      </c>
      <c r="AG897" s="12" t="s">
        <v>366</v>
      </c>
      <c r="AH897" s="12" t="s">
        <v>7749</v>
      </c>
      <c r="AI897" s="12" t="str">
        <f t="shared" si="179"/>
        <v>1837</v>
      </c>
      <c r="AJ897" s="2" t="s">
        <v>7753</v>
      </c>
      <c r="AK897" s="12" t="s">
        <v>7756</v>
      </c>
    </row>
    <row r="898" spans="1:82">
      <c r="A898" s="12" t="s">
        <v>7674</v>
      </c>
      <c r="B898" s="12" t="str">
        <f t="shared" si="171"/>
        <v>KORFF</v>
      </c>
      <c r="C898" s="12" t="str">
        <f t="shared" si="172"/>
        <v>KORFF</v>
      </c>
      <c r="D898" s="12" t="s">
        <v>7677</v>
      </c>
      <c r="E898" s="12" t="str">
        <f t="shared" si="170"/>
        <v>Hendrik Johannes Gerhardus</v>
      </c>
      <c r="F898" s="2" t="s">
        <v>4763</v>
      </c>
      <c r="G898" s="12" t="str">
        <f t="shared" si="173"/>
        <v>a1b10c1</v>
      </c>
      <c r="H898" s="12" t="str">
        <f t="shared" si="174"/>
        <v>KORFFa1b10c1</v>
      </c>
      <c r="J898" s="2" t="s">
        <v>7761</v>
      </c>
      <c r="K898" s="12" t="str">
        <f t="shared" si="175"/>
        <v>1810</v>
      </c>
      <c r="L898" s="2" t="s">
        <v>542</v>
      </c>
      <c r="M898" s="2" t="s">
        <v>7762</v>
      </c>
      <c r="N898" s="12" t="str">
        <f t="shared" ref="N898:N961" si="180">RIGHT(J898,4)</f>
        <v>1810</v>
      </c>
      <c r="O898" s="12" t="str">
        <f t="shared" ref="O898:O961" si="181">RIGHT(M898,4)</f>
        <v>1811</v>
      </c>
      <c r="Q898" s="12" t="str">
        <f t="shared" si="176"/>
        <v>1810</v>
      </c>
      <c r="S898" s="12" t="str">
        <f t="shared" si="177"/>
        <v/>
      </c>
      <c r="V898" s="12" t="str">
        <f t="shared" si="178"/>
        <v/>
      </c>
      <c r="W898" s="12" t="s">
        <v>1838</v>
      </c>
      <c r="X898" s="12" t="s">
        <v>1985</v>
      </c>
      <c r="Y898" s="12"/>
      <c r="AC898" s="12"/>
      <c r="AG898" s="2" t="s">
        <v>366</v>
      </c>
      <c r="AH898" s="12" t="s">
        <v>4775</v>
      </c>
      <c r="AI898" s="12" t="str">
        <f t="shared" si="179"/>
        <v>1842</v>
      </c>
      <c r="AK898" s="12" t="s">
        <v>7763</v>
      </c>
      <c r="AL898" s="2" t="s">
        <v>140</v>
      </c>
      <c r="AM898" s="2" t="s">
        <v>7764</v>
      </c>
      <c r="AN898" s="2" t="s">
        <v>699</v>
      </c>
      <c r="AQ898" s="2" t="s">
        <v>32</v>
      </c>
      <c r="AR898" s="2">
        <v>1831</v>
      </c>
    </row>
    <row r="899" spans="1:82">
      <c r="A899" s="12" t="s">
        <v>7674</v>
      </c>
      <c r="B899" s="12" t="str">
        <f t="shared" si="171"/>
        <v>KORFF</v>
      </c>
      <c r="C899" s="12" t="str">
        <f t="shared" si="172"/>
        <v>KORFF</v>
      </c>
      <c r="D899" s="12" t="s">
        <v>7675</v>
      </c>
      <c r="E899" s="12" t="str">
        <f t="shared" ref="E899:E962" si="182">PROPER(D899)</f>
        <v>Abraham Johannes Arie Petrus</v>
      </c>
      <c r="F899" s="12" t="s">
        <v>7676</v>
      </c>
      <c r="G899" s="12" t="str">
        <f t="shared" si="173"/>
        <v>a1b10c4</v>
      </c>
      <c r="H899" s="12" t="str">
        <f t="shared" si="174"/>
        <v>KORFFa1b10c4</v>
      </c>
      <c r="I899" s="2" t="s">
        <v>3703</v>
      </c>
      <c r="J899" s="12" t="s">
        <v>7757</v>
      </c>
      <c r="K899" s="12" t="str">
        <f t="shared" si="175"/>
        <v>1823</v>
      </c>
      <c r="L899" s="12" t="s">
        <v>366</v>
      </c>
      <c r="M899" s="12" t="s">
        <v>7758</v>
      </c>
      <c r="N899" s="12" t="str">
        <f t="shared" si="180"/>
        <v>1823</v>
      </c>
      <c r="O899" s="12" t="str">
        <f t="shared" si="181"/>
        <v>1825</v>
      </c>
      <c r="P899" s="12"/>
      <c r="Q899" s="12" t="str">
        <f t="shared" si="176"/>
        <v>1823</v>
      </c>
      <c r="R899" s="12"/>
      <c r="S899" s="12" t="str">
        <f t="shared" si="177"/>
        <v/>
      </c>
      <c r="T899" s="12"/>
      <c r="U899" s="12"/>
      <c r="V899" s="12" t="str">
        <f t="shared" si="178"/>
        <v/>
      </c>
      <c r="W899" s="12" t="s">
        <v>7759</v>
      </c>
      <c r="X899" s="12" t="s">
        <v>2086</v>
      </c>
      <c r="Y899" s="12"/>
      <c r="AA899" s="12"/>
      <c r="AB899" s="12"/>
      <c r="AC899" s="12"/>
      <c r="AF899" s="2" t="s">
        <v>3703</v>
      </c>
      <c r="AG899" s="12" t="s">
        <v>5302</v>
      </c>
      <c r="AH899" s="12" t="s">
        <v>7760</v>
      </c>
      <c r="AI899" s="12" t="str">
        <f t="shared" si="179"/>
        <v>1842</v>
      </c>
      <c r="AK899" s="12" t="s">
        <v>551</v>
      </c>
      <c r="AL899" s="12"/>
      <c r="AM899" s="12"/>
      <c r="AN899" s="12"/>
      <c r="AO899" s="12"/>
      <c r="AP899" s="12"/>
      <c r="AQ899" s="12"/>
      <c r="AS899" s="12"/>
      <c r="AT899" s="12"/>
    </row>
    <row r="900" spans="1:82">
      <c r="A900" s="12" t="s">
        <v>3289</v>
      </c>
      <c r="B900" s="12" t="str">
        <f t="shared" si="171"/>
        <v>KOTZE</v>
      </c>
      <c r="C900" s="12" t="str">
        <f t="shared" si="172"/>
        <v>KOTZE</v>
      </c>
      <c r="D900" s="12" t="s">
        <v>7769</v>
      </c>
      <c r="E900" s="12" t="str">
        <f t="shared" si="182"/>
        <v>Jacobus Johannes Jurgen</v>
      </c>
      <c r="F900" s="12" t="s">
        <v>7770</v>
      </c>
      <c r="G900" s="12" t="str">
        <f t="shared" si="173"/>
        <v>a1b2c4d1e2</v>
      </c>
      <c r="H900" s="12" t="str">
        <f t="shared" si="174"/>
        <v>KOTZEa1b2c4d1e2</v>
      </c>
      <c r="K900" s="12" t="str">
        <f t="shared" si="175"/>
        <v/>
      </c>
      <c r="M900" s="12" t="s">
        <v>7771</v>
      </c>
      <c r="N900" s="12" t="str">
        <f t="shared" si="180"/>
        <v/>
      </c>
      <c r="O900" s="12" t="str">
        <f t="shared" si="181"/>
        <v>1788</v>
      </c>
      <c r="P900" s="12"/>
      <c r="Q900" s="12" t="str">
        <f t="shared" si="176"/>
        <v>1788</v>
      </c>
      <c r="R900" s="12"/>
      <c r="S900" s="12" t="str">
        <f t="shared" si="177"/>
        <v/>
      </c>
      <c r="T900" s="12" t="s">
        <v>74</v>
      </c>
      <c r="U900" s="12" t="s">
        <v>3899</v>
      </c>
      <c r="V900" s="12" t="str">
        <f t="shared" si="178"/>
        <v>1813</v>
      </c>
      <c r="W900" s="12" t="s">
        <v>717</v>
      </c>
      <c r="X900" s="12" t="s">
        <v>2589</v>
      </c>
      <c r="Y900" s="12"/>
      <c r="AE900" s="12"/>
      <c r="AF900" s="12"/>
      <c r="AG900" s="12" t="s">
        <v>60</v>
      </c>
      <c r="AH900" s="12" t="s">
        <v>4775</v>
      </c>
      <c r="AI900" s="12" t="str">
        <f t="shared" si="179"/>
        <v>1842</v>
      </c>
      <c r="AJ900" s="12"/>
      <c r="AK900" s="2" t="s">
        <v>140</v>
      </c>
      <c r="AL900" s="12"/>
    </row>
    <row r="901" spans="1:82">
      <c r="A901" s="12" t="s">
        <v>3289</v>
      </c>
      <c r="B901" s="12" t="str">
        <f t="shared" si="171"/>
        <v>KOTZE</v>
      </c>
      <c r="C901" s="12" t="str">
        <f t="shared" si="172"/>
        <v>KOTZE</v>
      </c>
      <c r="D901" s="12" t="s">
        <v>7765</v>
      </c>
      <c r="E901" s="12" t="str">
        <f t="shared" si="182"/>
        <v>Gerhardus Dirk Johan(Nes) Christiaan</v>
      </c>
      <c r="F901" s="12" t="s">
        <v>7766</v>
      </c>
      <c r="G901" s="12" t="str">
        <f t="shared" si="173"/>
        <v>a1b2c4d1e2f2</v>
      </c>
      <c r="H901" s="12" t="str">
        <f t="shared" si="174"/>
        <v>KOTZEa1b2c4d1e2f2</v>
      </c>
      <c r="J901" s="12" t="s">
        <v>7767</v>
      </c>
      <c r="K901" s="12" t="str">
        <f t="shared" si="175"/>
        <v>1816</v>
      </c>
      <c r="L901" s="12" t="s">
        <v>74</v>
      </c>
      <c r="M901" s="12" t="s">
        <v>2682</v>
      </c>
      <c r="N901" s="12" t="str">
        <f t="shared" si="180"/>
        <v>1816</v>
      </c>
      <c r="O901" s="12" t="str">
        <f t="shared" si="181"/>
        <v>1816</v>
      </c>
      <c r="P901" s="12"/>
      <c r="Q901" s="12" t="str">
        <f t="shared" si="176"/>
        <v>1816</v>
      </c>
      <c r="R901" s="12"/>
      <c r="S901" s="12" t="str">
        <f t="shared" si="177"/>
        <v/>
      </c>
      <c r="T901" s="12" t="s">
        <v>28</v>
      </c>
      <c r="U901" s="12" t="s">
        <v>2612</v>
      </c>
      <c r="V901" s="12" t="str">
        <f t="shared" si="178"/>
        <v>1834</v>
      </c>
      <c r="W901" s="12" t="s">
        <v>7759</v>
      </c>
      <c r="X901" s="12" t="s">
        <v>7768</v>
      </c>
      <c r="AF901" s="12"/>
      <c r="AG901" s="12" t="s">
        <v>28</v>
      </c>
      <c r="AH901" s="12" t="s">
        <v>4775</v>
      </c>
      <c r="AI901" s="12" t="str">
        <f t="shared" si="179"/>
        <v>1842</v>
      </c>
      <c r="AK901" s="2" t="s">
        <v>140</v>
      </c>
    </row>
    <row r="902" spans="1:82">
      <c r="A902" s="6" t="s">
        <v>7772</v>
      </c>
      <c r="B902" s="12" t="str">
        <f t="shared" si="171"/>
        <v>KRAAY/KRAAYENBURG/VANKRADENBURG</v>
      </c>
      <c r="C902" s="6" t="str">
        <f t="shared" si="172"/>
        <v>KRAAY/ KRAAYENBURG/ VAN KRADENBURG</v>
      </c>
      <c r="D902" s="12" t="s">
        <v>298</v>
      </c>
      <c r="E902" s="12" t="str">
        <f t="shared" si="182"/>
        <v>Andries Nicolaas</v>
      </c>
      <c r="F902" s="12" t="s">
        <v>3010</v>
      </c>
      <c r="G902" s="12" t="str">
        <f t="shared" si="173"/>
        <v>a1b3</v>
      </c>
      <c r="H902" s="12" t="str">
        <f t="shared" si="174"/>
        <v>KRAAY/ KRAAYENBURG/ VAN KRADENBURGa1b3</v>
      </c>
      <c r="J902" s="12"/>
      <c r="K902" s="12" t="str">
        <f t="shared" si="175"/>
        <v/>
      </c>
      <c r="L902" s="2" t="s">
        <v>5738</v>
      </c>
      <c r="M902" s="12" t="s">
        <v>7773</v>
      </c>
      <c r="N902" s="12" t="str">
        <f t="shared" si="180"/>
        <v/>
      </c>
      <c r="O902" s="12" t="str">
        <f t="shared" si="181"/>
        <v>1802</v>
      </c>
      <c r="P902" s="12"/>
      <c r="Q902" s="12" t="str">
        <f t="shared" si="176"/>
        <v>1802</v>
      </c>
      <c r="R902" s="12"/>
      <c r="S902" s="12" t="str">
        <f t="shared" si="177"/>
        <v/>
      </c>
      <c r="T902" s="12" t="s">
        <v>542</v>
      </c>
      <c r="U902" s="12" t="s">
        <v>257</v>
      </c>
      <c r="V902" s="12" t="str">
        <f t="shared" si="178"/>
        <v>1822</v>
      </c>
      <c r="W902" s="12" t="s">
        <v>7774</v>
      </c>
      <c r="X902" s="12" t="s">
        <v>781</v>
      </c>
      <c r="Y902" s="12"/>
      <c r="AC902" s="12"/>
      <c r="AF902" s="12"/>
      <c r="AG902" s="12" t="s">
        <v>3587</v>
      </c>
      <c r="AH902" s="12" t="s">
        <v>7775</v>
      </c>
      <c r="AI902" s="12" t="str">
        <f t="shared" si="179"/>
        <v>1837</v>
      </c>
      <c r="AJ902" s="12"/>
      <c r="AK902" s="12" t="s">
        <v>551</v>
      </c>
      <c r="AL902" s="12"/>
      <c r="AM902" s="12"/>
      <c r="AN902" s="12"/>
    </row>
    <row r="903" spans="1:82">
      <c r="A903" s="12" t="s">
        <v>3208</v>
      </c>
      <c r="B903" s="12" t="str">
        <f t="shared" si="171"/>
        <v>KRIEL</v>
      </c>
      <c r="C903" s="12" t="str">
        <f t="shared" si="172"/>
        <v>KRIEL</v>
      </c>
      <c r="D903" s="12" t="s">
        <v>7776</v>
      </c>
      <c r="E903" s="12" t="str">
        <f t="shared" si="182"/>
        <v>Jacbobus Albertus</v>
      </c>
      <c r="F903" s="12" t="s">
        <v>7777</v>
      </c>
      <c r="G903" s="12" t="str">
        <f t="shared" si="173"/>
        <v>a1b9c2d5</v>
      </c>
      <c r="H903" s="12" t="str">
        <f t="shared" si="174"/>
        <v>KRIELa1b9c2d5</v>
      </c>
      <c r="J903" s="12"/>
      <c r="K903" s="12" t="str">
        <f t="shared" si="175"/>
        <v/>
      </c>
      <c r="L903" s="12"/>
      <c r="M903" s="12" t="s">
        <v>7778</v>
      </c>
      <c r="N903" s="12" t="str">
        <f t="shared" si="180"/>
        <v/>
      </c>
      <c r="O903" s="12" t="str">
        <f t="shared" si="181"/>
        <v>1799</v>
      </c>
      <c r="P903" s="12" t="s">
        <v>7779</v>
      </c>
      <c r="Q903" s="12" t="str">
        <f t="shared" si="176"/>
        <v>1799</v>
      </c>
      <c r="R903" s="12" t="s">
        <v>7780</v>
      </c>
      <c r="S903" s="12" t="str">
        <f t="shared" si="177"/>
        <v>1865</v>
      </c>
      <c r="T903" s="2" t="s">
        <v>32</v>
      </c>
      <c r="U903" s="2" t="s">
        <v>4075</v>
      </c>
      <c r="V903" s="12" t="str">
        <f t="shared" si="178"/>
        <v>1820</v>
      </c>
      <c r="W903" s="12" t="s">
        <v>7781</v>
      </c>
      <c r="X903" s="12" t="s">
        <v>78</v>
      </c>
      <c r="Y903" s="2" t="s">
        <v>7782</v>
      </c>
      <c r="AC903" s="2" t="s">
        <v>7783</v>
      </c>
      <c r="AD903" s="2" t="s">
        <v>7785</v>
      </c>
      <c r="AF903" s="12"/>
      <c r="AG903" s="12" t="s">
        <v>32</v>
      </c>
      <c r="AH903" s="12" t="s">
        <v>7784</v>
      </c>
      <c r="AI903" s="12" t="str">
        <f t="shared" si="179"/>
        <v>1838</v>
      </c>
      <c r="AJ903" s="2" t="s">
        <v>7786</v>
      </c>
      <c r="AK903" s="12" t="s">
        <v>90</v>
      </c>
    </row>
    <row r="904" spans="1:82">
      <c r="A904" s="12" t="s">
        <v>638</v>
      </c>
      <c r="B904" s="12" t="str">
        <f t="shared" si="171"/>
        <v>KRITZINGER</v>
      </c>
      <c r="C904" s="12" t="str">
        <f t="shared" si="172"/>
        <v>KRITZINGER</v>
      </c>
      <c r="D904" s="12" t="s">
        <v>7787</v>
      </c>
      <c r="E904" s="12" t="str">
        <f t="shared" si="182"/>
        <v>Johan Jacob</v>
      </c>
      <c r="F904" s="12" t="s">
        <v>7788</v>
      </c>
      <c r="G904" s="12" t="str">
        <f t="shared" si="173"/>
        <v>a1b1c3</v>
      </c>
      <c r="H904" s="12" t="str">
        <f t="shared" si="174"/>
        <v>KRITZINGERa1b1c3</v>
      </c>
      <c r="J904" s="12"/>
      <c r="K904" s="12" t="str">
        <f t="shared" si="175"/>
        <v/>
      </c>
      <c r="L904" s="12"/>
      <c r="M904" s="12" t="s">
        <v>7789</v>
      </c>
      <c r="N904" s="12" t="str">
        <f t="shared" si="180"/>
        <v/>
      </c>
      <c r="O904" s="12" t="str">
        <f t="shared" si="181"/>
        <v>1808</v>
      </c>
      <c r="Q904" s="12" t="str">
        <f t="shared" si="176"/>
        <v>1808</v>
      </c>
      <c r="S904" s="12" t="str">
        <f t="shared" si="177"/>
        <v/>
      </c>
      <c r="T904" s="12" t="s">
        <v>53</v>
      </c>
      <c r="U904" s="12" t="s">
        <v>7790</v>
      </c>
      <c r="V904" s="12" t="str">
        <f t="shared" si="178"/>
        <v>1835</v>
      </c>
      <c r="W904" s="12" t="s">
        <v>7791</v>
      </c>
      <c r="X904" s="12" t="s">
        <v>1151</v>
      </c>
      <c r="Y904" s="12" t="s">
        <v>7792</v>
      </c>
      <c r="AA904" s="12" t="s">
        <v>7793</v>
      </c>
      <c r="AB904" s="12"/>
      <c r="AC904" s="12"/>
      <c r="AF904" s="12" t="s">
        <v>7794</v>
      </c>
      <c r="AG904" s="12" t="s">
        <v>53</v>
      </c>
      <c r="AH904" s="12" t="s">
        <v>2479</v>
      </c>
      <c r="AI904" s="12" t="str">
        <f t="shared" si="179"/>
        <v>1836</v>
      </c>
      <c r="AJ904" s="12" t="s">
        <v>7795</v>
      </c>
      <c r="AK904" s="12" t="s">
        <v>5098</v>
      </c>
    </row>
    <row r="905" spans="1:82">
      <c r="A905" s="12" t="s">
        <v>638</v>
      </c>
      <c r="B905" s="12" t="str">
        <f t="shared" si="171"/>
        <v>KRITZINGER</v>
      </c>
      <c r="C905" s="12" t="str">
        <f t="shared" si="172"/>
        <v>KRITZINGER</v>
      </c>
      <c r="D905" s="12" t="s">
        <v>7797</v>
      </c>
      <c r="E905" s="12" t="str">
        <f t="shared" si="182"/>
        <v>Mattys Stephanus Benjamin</v>
      </c>
      <c r="F905" s="12" t="s">
        <v>7798</v>
      </c>
      <c r="G905" s="12" t="str">
        <f t="shared" si="173"/>
        <v>a1b1c9</v>
      </c>
      <c r="H905" s="12" t="str">
        <f t="shared" si="174"/>
        <v>KRITZINGERa1b1c9</v>
      </c>
      <c r="J905" s="12" t="s">
        <v>7808</v>
      </c>
      <c r="K905" s="12" t="str">
        <f t="shared" si="175"/>
        <v>1820</v>
      </c>
      <c r="L905" s="12" t="s">
        <v>53</v>
      </c>
      <c r="M905" s="12" t="s">
        <v>7809</v>
      </c>
      <c r="N905" s="12" t="str">
        <f t="shared" si="180"/>
        <v>1820</v>
      </c>
      <c r="O905" s="12" t="str">
        <f t="shared" si="181"/>
        <v>1820</v>
      </c>
      <c r="P905" s="12"/>
      <c r="Q905" s="12" t="str">
        <f t="shared" si="176"/>
        <v>1820</v>
      </c>
      <c r="R905" s="12" t="s">
        <v>7810</v>
      </c>
      <c r="S905" s="12" t="str">
        <f t="shared" si="177"/>
        <v>1896</v>
      </c>
      <c r="U905" s="2" t="s">
        <v>7811</v>
      </c>
      <c r="V905" s="12" t="str">
        <f t="shared" si="178"/>
        <v>1846</v>
      </c>
      <c r="W905" s="12" t="s">
        <v>7812</v>
      </c>
      <c r="X905" s="12" t="s">
        <v>1774</v>
      </c>
      <c r="Y905" s="2" t="s">
        <v>2390</v>
      </c>
      <c r="AA905" s="2" t="s">
        <v>7813</v>
      </c>
      <c r="AB905" s="2" t="s">
        <v>74</v>
      </c>
      <c r="AC905" s="2" t="s">
        <v>7627</v>
      </c>
      <c r="AD905" s="2" t="s">
        <v>7814</v>
      </c>
      <c r="AE905" s="2" t="s">
        <v>7815</v>
      </c>
      <c r="AF905" s="12" t="s">
        <v>3677</v>
      </c>
      <c r="AG905" s="12" t="s">
        <v>53</v>
      </c>
      <c r="AH905" s="12" t="s">
        <v>2479</v>
      </c>
      <c r="AI905" s="12" t="str">
        <f t="shared" si="179"/>
        <v>1836</v>
      </c>
      <c r="AJ905" s="2" t="s">
        <v>7816</v>
      </c>
      <c r="AK905" s="12" t="s">
        <v>90</v>
      </c>
      <c r="AN905" s="12" t="s">
        <v>7817</v>
      </c>
      <c r="AO905" s="12" t="s">
        <v>7818</v>
      </c>
    </row>
    <row r="906" spans="1:82">
      <c r="A906" s="12" t="s">
        <v>638</v>
      </c>
      <c r="B906" s="12" t="str">
        <f t="shared" si="171"/>
        <v>KRITZINGER</v>
      </c>
      <c r="C906" s="12" t="str">
        <f t="shared" si="172"/>
        <v>KRITZINGER</v>
      </c>
      <c r="D906" s="12" t="s">
        <v>1363</v>
      </c>
      <c r="E906" s="12" t="str">
        <f t="shared" si="182"/>
        <v>Pieter Hendrik</v>
      </c>
      <c r="F906" s="12" t="s">
        <v>837</v>
      </c>
      <c r="G906" s="12" t="str">
        <f t="shared" si="173"/>
        <v>a1b1</v>
      </c>
      <c r="H906" s="12" t="str">
        <f t="shared" si="174"/>
        <v>KRITZINGERa1b1</v>
      </c>
      <c r="J906" s="12"/>
      <c r="K906" s="12" t="str">
        <f t="shared" si="175"/>
        <v/>
      </c>
      <c r="M906" s="12" t="s">
        <v>7819</v>
      </c>
      <c r="N906" s="12" t="str">
        <f t="shared" si="180"/>
        <v/>
      </c>
      <c r="O906" s="12" t="str">
        <f t="shared" si="181"/>
        <v>1778</v>
      </c>
      <c r="P906" s="12"/>
      <c r="Q906" s="12" t="str">
        <f t="shared" si="176"/>
        <v>1778</v>
      </c>
      <c r="R906" s="12"/>
      <c r="S906" s="12" t="str">
        <f t="shared" si="177"/>
        <v/>
      </c>
      <c r="T906" s="12"/>
      <c r="U906" s="12" t="s">
        <v>2964</v>
      </c>
      <c r="V906" s="12" t="str">
        <f t="shared" si="178"/>
        <v>1803</v>
      </c>
      <c r="W906" s="12" t="s">
        <v>714</v>
      </c>
      <c r="X906" s="12" t="s">
        <v>7820</v>
      </c>
      <c r="Y906" s="12" t="s">
        <v>4034</v>
      </c>
      <c r="AA906" s="12"/>
      <c r="AC906" s="2" t="s">
        <v>7821</v>
      </c>
      <c r="AE906" s="2" t="s">
        <v>7822</v>
      </c>
      <c r="AF906" s="12" t="s">
        <v>7823</v>
      </c>
      <c r="AG906" s="12" t="s">
        <v>53</v>
      </c>
      <c r="AH906" s="12" t="s">
        <v>7824</v>
      </c>
      <c r="AI906" s="12" t="str">
        <f t="shared" si="179"/>
        <v>1840</v>
      </c>
      <c r="AK906" s="12" t="s">
        <v>90</v>
      </c>
      <c r="AL906" s="2" t="s">
        <v>5146</v>
      </c>
      <c r="AM906" s="2" t="s">
        <v>7825</v>
      </c>
      <c r="AN906" s="2" t="s">
        <v>7826</v>
      </c>
      <c r="AO906" s="2" t="s">
        <v>698</v>
      </c>
    </row>
    <row r="907" spans="1:82">
      <c r="A907" s="12" t="s">
        <v>638</v>
      </c>
      <c r="B907" s="12" t="str">
        <f t="shared" si="171"/>
        <v>KRITZINGER</v>
      </c>
      <c r="C907" s="12" t="str">
        <f t="shared" si="172"/>
        <v>KRITZINGER</v>
      </c>
      <c r="D907" s="12" t="s">
        <v>7799</v>
      </c>
      <c r="E907" s="12" t="str">
        <f t="shared" si="182"/>
        <v>Pieter Henddrik Cornelis</v>
      </c>
      <c r="F907" s="12" t="s">
        <v>3278</v>
      </c>
      <c r="G907" s="12" t="str">
        <f t="shared" si="173"/>
        <v>a1b1c5</v>
      </c>
      <c r="H907" s="12" t="str">
        <f t="shared" si="174"/>
        <v>KRITZINGERa1b1c5</v>
      </c>
      <c r="J907" s="12"/>
      <c r="K907" s="12" t="str">
        <f t="shared" si="175"/>
        <v/>
      </c>
      <c r="L907" s="2" t="s">
        <v>32</v>
      </c>
      <c r="M907" s="12" t="s">
        <v>7827</v>
      </c>
      <c r="N907" s="12" t="str">
        <f t="shared" si="180"/>
        <v/>
      </c>
      <c r="O907" s="12" t="str">
        <f t="shared" si="181"/>
        <v>1812</v>
      </c>
      <c r="P907" s="12" t="s">
        <v>7828</v>
      </c>
      <c r="Q907" s="12" t="str">
        <f t="shared" si="176"/>
        <v>1812</v>
      </c>
      <c r="R907" s="12" t="s">
        <v>7829</v>
      </c>
      <c r="S907" s="12" t="str">
        <f t="shared" si="177"/>
        <v>1864</v>
      </c>
      <c r="T907" s="12" t="s">
        <v>53</v>
      </c>
      <c r="U907" s="12" t="s">
        <v>7830</v>
      </c>
      <c r="V907" s="12" t="str">
        <f t="shared" si="178"/>
        <v>1836</v>
      </c>
      <c r="W907" s="12" t="s">
        <v>7831</v>
      </c>
      <c r="X907" s="12" t="s">
        <v>7832</v>
      </c>
      <c r="Y907" s="12"/>
      <c r="AA907" s="12"/>
      <c r="AB907" s="12"/>
      <c r="AC907" s="12"/>
      <c r="AD907" s="2" t="s">
        <v>7833</v>
      </c>
      <c r="AE907" s="2" t="s">
        <v>7834</v>
      </c>
      <c r="AF907" s="12" t="s">
        <v>7823</v>
      </c>
      <c r="AG907" s="12" t="s">
        <v>53</v>
      </c>
      <c r="AH907" s="12" t="s">
        <v>7824</v>
      </c>
      <c r="AI907" s="12" t="str">
        <f t="shared" si="179"/>
        <v>1840</v>
      </c>
      <c r="AJ907" s="12"/>
      <c r="AK907" s="2" t="s">
        <v>90</v>
      </c>
      <c r="AV907" s="12"/>
    </row>
    <row r="908" spans="1:82">
      <c r="A908" s="12" t="s">
        <v>638</v>
      </c>
      <c r="B908" s="12" t="str">
        <f t="shared" si="171"/>
        <v>KRITZINGER</v>
      </c>
      <c r="C908" s="12" t="str">
        <f t="shared" si="172"/>
        <v>KRITZINGER</v>
      </c>
      <c r="D908" s="12" t="s">
        <v>7796</v>
      </c>
      <c r="E908" s="12" t="str">
        <f t="shared" si="182"/>
        <v>Johan(Nes) Jacob</v>
      </c>
      <c r="F908" s="2" t="s">
        <v>2500</v>
      </c>
      <c r="G908" s="12" t="str">
        <f t="shared" si="173"/>
        <v>a1b3c2</v>
      </c>
      <c r="H908" s="12" t="str">
        <f t="shared" si="174"/>
        <v>KRITZINGERa1b3c2</v>
      </c>
      <c r="I908" s="2" t="s">
        <v>4785</v>
      </c>
      <c r="J908" s="2" t="s">
        <v>7800</v>
      </c>
      <c r="K908" s="12" t="str">
        <f t="shared" si="175"/>
        <v>1816</v>
      </c>
      <c r="L908" s="2" t="s">
        <v>74</v>
      </c>
      <c r="M908" s="2" t="s">
        <v>7801</v>
      </c>
      <c r="N908" s="12" t="str">
        <f t="shared" si="180"/>
        <v>1816</v>
      </c>
      <c r="O908" s="12" t="str">
        <f t="shared" si="181"/>
        <v>1817</v>
      </c>
      <c r="P908" s="2" t="s">
        <v>7802</v>
      </c>
      <c r="Q908" s="12" t="str">
        <f t="shared" si="176"/>
        <v>1816</v>
      </c>
      <c r="R908" s="2" t="s">
        <v>7803</v>
      </c>
      <c r="S908" s="12" t="str">
        <f t="shared" si="177"/>
        <v>1888</v>
      </c>
      <c r="T908" s="2" t="s">
        <v>53</v>
      </c>
      <c r="U908" s="2" t="s">
        <v>7804</v>
      </c>
      <c r="V908" s="12" t="str">
        <f t="shared" si="178"/>
        <v>1837</v>
      </c>
      <c r="W908" s="2" t="s">
        <v>7461</v>
      </c>
      <c r="X908" s="2" t="s">
        <v>726</v>
      </c>
      <c r="Y908" s="2" t="s">
        <v>7805</v>
      </c>
      <c r="AA908" s="2" t="s">
        <v>7806</v>
      </c>
      <c r="AB908" s="2" t="s">
        <v>199</v>
      </c>
      <c r="AC908" s="2" t="s">
        <v>515</v>
      </c>
      <c r="AF908" s="12" t="s">
        <v>3677</v>
      </c>
      <c r="AG908" s="12" t="s">
        <v>53</v>
      </c>
      <c r="AH908" s="12" t="s">
        <v>1734</v>
      </c>
      <c r="AI908" s="12" t="str">
        <f t="shared" si="179"/>
        <v>1838</v>
      </c>
      <c r="AJ908" s="2" t="s">
        <v>7807</v>
      </c>
      <c r="AK908" s="2" t="s">
        <v>4954</v>
      </c>
    </row>
    <row r="909" spans="1:82">
      <c r="A909" s="12" t="s">
        <v>623</v>
      </c>
      <c r="B909" s="12" t="str">
        <f t="shared" si="171"/>
        <v>KROUKAMP</v>
      </c>
      <c r="C909" s="12" t="str">
        <f t="shared" si="172"/>
        <v>KROUKAMP</v>
      </c>
      <c r="D909" s="12" t="s">
        <v>7835</v>
      </c>
      <c r="E909" s="12" t="str">
        <f t="shared" si="182"/>
        <v>Hendrik (Johannes) Jacobus</v>
      </c>
      <c r="F909" s="12" t="s">
        <v>1713</v>
      </c>
      <c r="G909" s="12" t="str">
        <f t="shared" si="173"/>
        <v>a1b4c1</v>
      </c>
      <c r="H909" s="12" t="str">
        <f t="shared" si="174"/>
        <v>KROUKAMPa1b4c1</v>
      </c>
      <c r="J909" s="12"/>
      <c r="K909" s="12" t="str">
        <f t="shared" si="175"/>
        <v/>
      </c>
      <c r="L909" s="12" t="s">
        <v>48</v>
      </c>
      <c r="M909" s="12" t="s">
        <v>4211</v>
      </c>
      <c r="N909" s="12" t="str">
        <f t="shared" si="180"/>
        <v/>
      </c>
      <c r="O909" s="12" t="str">
        <f t="shared" si="181"/>
        <v>1802</v>
      </c>
      <c r="P909" s="12" t="s">
        <v>7836</v>
      </c>
      <c r="Q909" s="12" t="str">
        <f t="shared" si="176"/>
        <v>1802</v>
      </c>
      <c r="R909" s="12" t="s">
        <v>7837</v>
      </c>
      <c r="S909" s="12" t="str">
        <f t="shared" si="177"/>
        <v>1836</v>
      </c>
      <c r="T909" s="12" t="s">
        <v>74</v>
      </c>
      <c r="U909" s="12" t="s">
        <v>7838</v>
      </c>
      <c r="V909" s="12" t="str">
        <f t="shared" si="178"/>
        <v>1825</v>
      </c>
      <c r="W909" s="12" t="s">
        <v>2421</v>
      </c>
      <c r="X909" s="12" t="s">
        <v>2153</v>
      </c>
      <c r="Y909" s="12"/>
      <c r="AC909" s="12"/>
      <c r="AD909" s="2" t="s">
        <v>7836</v>
      </c>
      <c r="AE909" s="2" t="s">
        <v>7837</v>
      </c>
      <c r="AF909" s="12" t="s">
        <v>16</v>
      </c>
      <c r="AG909" s="12" t="s">
        <v>68</v>
      </c>
      <c r="AH909" s="12" t="s">
        <v>7839</v>
      </c>
      <c r="AI909" s="12" t="str">
        <f t="shared" si="179"/>
        <v>1835</v>
      </c>
      <c r="AJ909" s="12" t="s">
        <v>7840</v>
      </c>
    </row>
    <row r="910" spans="1:82">
      <c r="A910" s="12" t="s">
        <v>1578</v>
      </c>
      <c r="B910" s="12" t="str">
        <f t="shared" si="171"/>
        <v>KRUGEL</v>
      </c>
      <c r="C910" s="12" t="str">
        <f t="shared" si="172"/>
        <v>KRUGEL</v>
      </c>
      <c r="D910" s="12" t="s">
        <v>7841</v>
      </c>
      <c r="E910" s="12" t="str">
        <f t="shared" si="182"/>
        <v>Andries Jacobus</v>
      </c>
      <c r="F910" s="2" t="s">
        <v>7842</v>
      </c>
      <c r="G910" s="12" t="str">
        <f t="shared" si="173"/>
        <v>a1b4c2d9</v>
      </c>
      <c r="H910" s="12" t="str">
        <f t="shared" si="174"/>
        <v>KRUGELa1b4c2d9</v>
      </c>
      <c r="K910" s="12" t="str">
        <f t="shared" si="175"/>
        <v/>
      </c>
      <c r="M910" s="2" t="s">
        <v>7843</v>
      </c>
      <c r="N910" s="12" t="str">
        <f t="shared" si="180"/>
        <v/>
      </c>
      <c r="O910" s="12" t="str">
        <f t="shared" si="181"/>
        <v>1791</v>
      </c>
      <c r="Q910" s="12" t="str">
        <f t="shared" si="176"/>
        <v>1791</v>
      </c>
      <c r="S910" s="12" t="str">
        <f t="shared" si="177"/>
        <v/>
      </c>
      <c r="T910" s="2" t="s">
        <v>74</v>
      </c>
      <c r="U910" s="2" t="s">
        <v>2921</v>
      </c>
      <c r="V910" s="12" t="str">
        <f t="shared" si="178"/>
        <v>1807</v>
      </c>
      <c r="W910" s="2" t="s">
        <v>5393</v>
      </c>
      <c r="X910" s="2" t="s">
        <v>1453</v>
      </c>
      <c r="Y910" s="2" t="s">
        <v>1458</v>
      </c>
      <c r="AC910" s="2" t="s">
        <v>7844</v>
      </c>
      <c r="AF910" s="12" t="s">
        <v>3699</v>
      </c>
      <c r="AG910" s="12" t="s">
        <v>68</v>
      </c>
      <c r="AH910" s="12" t="s">
        <v>7558</v>
      </c>
      <c r="AI910" s="12" t="str">
        <f t="shared" si="179"/>
        <v>1838</v>
      </c>
      <c r="AK910" s="2" t="s">
        <v>7845</v>
      </c>
      <c r="AL910" s="2" t="s">
        <v>74</v>
      </c>
      <c r="AM910" s="2" t="s">
        <v>7846</v>
      </c>
      <c r="AN910" s="2" t="s">
        <v>4835</v>
      </c>
      <c r="AO910" s="2" t="s">
        <v>2886</v>
      </c>
      <c r="AP910" s="2" t="s">
        <v>7847</v>
      </c>
      <c r="AS910" s="2" t="s">
        <v>1071</v>
      </c>
      <c r="AT910" s="2" t="s">
        <v>7848</v>
      </c>
      <c r="AU910" s="2" t="s">
        <v>7849</v>
      </c>
      <c r="AV910" s="2" t="s">
        <v>7850</v>
      </c>
      <c r="AW910" s="2" t="s">
        <v>90</v>
      </c>
      <c r="AX910" s="2" t="s">
        <v>7851</v>
      </c>
      <c r="AY910" s="2" t="s">
        <v>7852</v>
      </c>
      <c r="AZ910" s="2" t="s">
        <v>669</v>
      </c>
      <c r="BC910" s="2" t="s">
        <v>7853</v>
      </c>
    </row>
    <row r="911" spans="1:82">
      <c r="A911" s="12" t="s">
        <v>2589</v>
      </c>
      <c r="B911" s="12" t="str">
        <f t="shared" si="171"/>
        <v>KRUGER</v>
      </c>
      <c r="C911" s="12" t="str">
        <f t="shared" si="172"/>
        <v>KRUGER</v>
      </c>
      <c r="D911" s="12" t="s">
        <v>7867</v>
      </c>
      <c r="E911" s="12" t="str">
        <f t="shared" si="182"/>
        <v>Frans Johannes Christiaan</v>
      </c>
      <c r="F911" s="12" t="s">
        <v>2458</v>
      </c>
      <c r="G911" s="12" t="str">
        <f t="shared" si="173"/>
        <v>a1b3c8d1</v>
      </c>
      <c r="H911" s="12" t="str">
        <f t="shared" si="174"/>
        <v>KRUGERa1b3c8d1</v>
      </c>
      <c r="I911" s="2" t="s">
        <v>5703</v>
      </c>
      <c r="J911" s="12"/>
      <c r="K911" s="12" t="str">
        <f t="shared" si="175"/>
        <v/>
      </c>
      <c r="M911" s="2" t="s">
        <v>3329</v>
      </c>
      <c r="N911" s="12" t="str">
        <f t="shared" si="180"/>
        <v/>
      </c>
      <c r="O911" s="12" t="str">
        <f t="shared" si="181"/>
        <v>1793</v>
      </c>
      <c r="Q911" s="12" t="str">
        <f t="shared" si="176"/>
        <v>1793</v>
      </c>
      <c r="S911" s="12" t="str">
        <f t="shared" si="177"/>
        <v/>
      </c>
      <c r="T911" s="12" t="s">
        <v>74</v>
      </c>
      <c r="U911" s="12"/>
      <c r="V911" s="12" t="str">
        <f t="shared" si="178"/>
        <v/>
      </c>
      <c r="W911" s="12" t="s">
        <v>7903</v>
      </c>
      <c r="X911" s="12"/>
      <c r="Y911" s="12"/>
      <c r="AC911" s="12"/>
      <c r="AF911" s="12" t="s">
        <v>7904</v>
      </c>
      <c r="AG911" s="12" t="s">
        <v>74</v>
      </c>
      <c r="AH911" s="12" t="s">
        <v>7905</v>
      </c>
      <c r="AI911" s="12" t="str">
        <f t="shared" si="179"/>
        <v>1837</v>
      </c>
      <c r="AJ911" s="12"/>
      <c r="AK911" s="2" t="s">
        <v>90</v>
      </c>
    </row>
    <row r="912" spans="1:82">
      <c r="A912" s="12" t="s">
        <v>2589</v>
      </c>
      <c r="B912" s="12" t="str">
        <f t="shared" si="171"/>
        <v>KRUGER</v>
      </c>
      <c r="C912" s="12" t="str">
        <f t="shared" si="172"/>
        <v>KRUGER</v>
      </c>
      <c r="D912" s="12" t="s">
        <v>7868</v>
      </c>
      <c r="E912" s="12" t="str">
        <f t="shared" si="182"/>
        <v>Frans Johannes</v>
      </c>
      <c r="F912" s="12" t="s">
        <v>4572</v>
      </c>
      <c r="G912" s="12" t="str">
        <f t="shared" si="173"/>
        <v>a1b3c8d1e3</v>
      </c>
      <c r="H912" s="12" t="str">
        <f t="shared" si="174"/>
        <v>KRUGERa1b3c8d1e3</v>
      </c>
      <c r="I912" s="12"/>
      <c r="J912" s="12" t="s">
        <v>7906</v>
      </c>
      <c r="K912" s="12" t="str">
        <f t="shared" si="175"/>
        <v>1816</v>
      </c>
      <c r="L912" s="12" t="s">
        <v>74</v>
      </c>
      <c r="M912" s="12" t="s">
        <v>962</v>
      </c>
      <c r="N912" s="12" t="str">
        <f t="shared" si="180"/>
        <v>1816</v>
      </c>
      <c r="O912" s="12" t="str">
        <f t="shared" si="181"/>
        <v>1817</v>
      </c>
      <c r="P912" s="12" t="s">
        <v>90</v>
      </c>
      <c r="Q912" s="12" t="str">
        <f t="shared" si="176"/>
        <v>1816</v>
      </c>
      <c r="R912" s="12" t="s">
        <v>7907</v>
      </c>
      <c r="S912" s="12" t="str">
        <f t="shared" si="177"/>
        <v>1901</v>
      </c>
      <c r="T912" s="12" t="s">
        <v>74</v>
      </c>
      <c r="U912" s="12" t="s">
        <v>7908</v>
      </c>
      <c r="V912" s="12" t="str">
        <f t="shared" si="178"/>
        <v>1835</v>
      </c>
      <c r="W912" s="12" t="s">
        <v>1020</v>
      </c>
      <c r="X912" s="12" t="s">
        <v>729</v>
      </c>
      <c r="Y912" s="12" t="s">
        <v>7909</v>
      </c>
      <c r="Z912" s="12"/>
      <c r="AA912" s="12" t="s">
        <v>7910</v>
      </c>
      <c r="AB912" s="12" t="s">
        <v>74</v>
      </c>
      <c r="AC912" s="12" t="s">
        <v>4350</v>
      </c>
      <c r="AD912" s="12" t="s">
        <v>90</v>
      </c>
      <c r="AE912" s="12" t="s">
        <v>7911</v>
      </c>
      <c r="AF912" s="12" t="s">
        <v>7904</v>
      </c>
      <c r="AG912" s="12" t="s">
        <v>74</v>
      </c>
      <c r="AH912" s="12" t="s">
        <v>7912</v>
      </c>
      <c r="AI912" s="12" t="str">
        <f t="shared" si="179"/>
        <v>1837</v>
      </c>
      <c r="AJ912" s="12"/>
      <c r="AK912" s="12" t="s">
        <v>90</v>
      </c>
      <c r="AL912" s="12"/>
      <c r="AM912" s="12"/>
      <c r="AN912" s="12" t="s">
        <v>7913</v>
      </c>
      <c r="AO912" s="12" t="s">
        <v>7914</v>
      </c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</row>
    <row r="913" spans="1:82">
      <c r="A913" s="12" t="s">
        <v>2589</v>
      </c>
      <c r="B913" s="12" t="str">
        <f t="shared" si="171"/>
        <v>KRUGER</v>
      </c>
      <c r="C913" s="12" t="str">
        <f t="shared" si="172"/>
        <v>KRUGER</v>
      </c>
      <c r="D913" s="12" t="s">
        <v>7865</v>
      </c>
      <c r="E913" s="12" t="str">
        <f t="shared" si="182"/>
        <v>Daniel Frederik Jr.</v>
      </c>
      <c r="F913" s="2" t="s">
        <v>1726</v>
      </c>
      <c r="G913" s="12" t="str">
        <f t="shared" si="173"/>
        <v>a1b4c3</v>
      </c>
      <c r="H913" s="12" t="str">
        <f t="shared" si="174"/>
        <v>KRUGERa1b4c3</v>
      </c>
      <c r="J913" s="2" t="s">
        <v>7893</v>
      </c>
      <c r="K913" s="12" t="str">
        <f t="shared" si="175"/>
        <v>1813</v>
      </c>
      <c r="L913" s="2" t="s">
        <v>74</v>
      </c>
      <c r="M913" s="2" t="s">
        <v>1799</v>
      </c>
      <c r="N913" s="12" t="str">
        <f t="shared" si="180"/>
        <v>1813</v>
      </c>
      <c r="O913" s="12" t="str">
        <f t="shared" si="181"/>
        <v>1814</v>
      </c>
      <c r="Q913" s="12" t="str">
        <f t="shared" si="176"/>
        <v>1813</v>
      </c>
      <c r="S913" s="12" t="str">
        <f t="shared" si="177"/>
        <v/>
      </c>
      <c r="T913" s="2" t="s">
        <v>28</v>
      </c>
      <c r="U913" s="2" t="s">
        <v>7892</v>
      </c>
      <c r="V913" s="12" t="str">
        <f t="shared" si="178"/>
        <v>1831</v>
      </c>
      <c r="W913" s="2" t="s">
        <v>4835</v>
      </c>
      <c r="X913" s="2" t="s">
        <v>729</v>
      </c>
      <c r="AF913" s="12" t="s">
        <v>3699</v>
      </c>
      <c r="AG913" s="12" t="s">
        <v>68</v>
      </c>
      <c r="AH913" s="12" t="s">
        <v>7894</v>
      </c>
      <c r="AI913" s="12" t="str">
        <f t="shared" si="179"/>
        <v>1836</v>
      </c>
      <c r="AJ913" s="2" t="s">
        <v>379</v>
      </c>
      <c r="AL913" s="2" t="s">
        <v>28</v>
      </c>
      <c r="AM913" s="2" t="s">
        <v>7895</v>
      </c>
    </row>
    <row r="914" spans="1:82">
      <c r="A914" s="12" t="s">
        <v>2589</v>
      </c>
      <c r="B914" s="12" t="str">
        <f t="shared" si="171"/>
        <v>KRUGER</v>
      </c>
      <c r="C914" s="12" t="str">
        <f t="shared" si="172"/>
        <v>KRUGER</v>
      </c>
      <c r="D914" s="12" t="s">
        <v>7864</v>
      </c>
      <c r="E914" s="12" t="str">
        <f t="shared" si="182"/>
        <v>Daniel Frederik Sr</v>
      </c>
      <c r="F914" s="12" t="s">
        <v>4055</v>
      </c>
      <c r="G914" s="12" t="str">
        <f t="shared" si="173"/>
        <v>a1b5</v>
      </c>
      <c r="H914" s="12" t="str">
        <f t="shared" si="174"/>
        <v>KRUGERa1b5</v>
      </c>
      <c r="I914" s="12"/>
      <c r="J914" s="12"/>
      <c r="K914" s="12" t="str">
        <f t="shared" si="175"/>
        <v/>
      </c>
      <c r="L914" s="12"/>
      <c r="M914" s="12" t="s">
        <v>7888</v>
      </c>
      <c r="N914" s="12" t="str">
        <f t="shared" si="180"/>
        <v/>
      </c>
      <c r="O914" s="12" t="str">
        <f t="shared" si="181"/>
        <v>1787</v>
      </c>
      <c r="P914" s="12"/>
      <c r="Q914" s="12" t="str">
        <f t="shared" si="176"/>
        <v>1787</v>
      </c>
      <c r="R914" s="12"/>
      <c r="S914" s="12" t="str">
        <f t="shared" si="177"/>
        <v/>
      </c>
      <c r="T914" s="12" t="s">
        <v>74</v>
      </c>
      <c r="U914" s="12" t="s">
        <v>133</v>
      </c>
      <c r="V914" s="12" t="str">
        <f t="shared" si="178"/>
        <v>1809</v>
      </c>
      <c r="W914" s="12" t="s">
        <v>7889</v>
      </c>
      <c r="X914" s="12" t="s">
        <v>659</v>
      </c>
      <c r="Y914" s="12" t="s">
        <v>7890</v>
      </c>
      <c r="Z914" s="12"/>
      <c r="AA914" s="12"/>
      <c r="AB914" s="12"/>
      <c r="AC914" s="12" t="s">
        <v>7891</v>
      </c>
      <c r="AD914" s="12"/>
      <c r="AE914" s="12"/>
      <c r="AF914" s="12" t="s">
        <v>3699</v>
      </c>
      <c r="AG914" s="12" t="s">
        <v>68</v>
      </c>
      <c r="AH914" s="12" t="s">
        <v>4690</v>
      </c>
      <c r="AI914" s="12" t="str">
        <f t="shared" si="179"/>
        <v>1837</v>
      </c>
      <c r="AJ914" s="12"/>
      <c r="AK914" s="12" t="s">
        <v>140</v>
      </c>
      <c r="AL914" s="12" t="s">
        <v>28</v>
      </c>
      <c r="AM914" s="12" t="s">
        <v>7892</v>
      </c>
      <c r="AN914" s="12" t="s">
        <v>4835</v>
      </c>
      <c r="AO914" s="12" t="s">
        <v>729</v>
      </c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</row>
    <row r="915" spans="1:82">
      <c r="A915" s="12" t="s">
        <v>2589</v>
      </c>
      <c r="B915" s="12" t="str">
        <f t="shared" si="171"/>
        <v>KRUGER</v>
      </c>
      <c r="C915" s="12" t="str">
        <f t="shared" si="172"/>
        <v>KRUGER</v>
      </c>
      <c r="D915" s="12" t="s">
        <v>7873</v>
      </c>
      <c r="E915" s="12" t="str">
        <f t="shared" si="182"/>
        <v>Johannes (Johan) Christiaan</v>
      </c>
      <c r="F915" s="12" t="s">
        <v>5189</v>
      </c>
      <c r="G915" s="12" t="str">
        <f t="shared" si="173"/>
        <v>a1b5c1</v>
      </c>
      <c r="H915" s="12" t="str">
        <f t="shared" si="174"/>
        <v>KRUGERa1b5c1</v>
      </c>
      <c r="J915" s="12" t="s">
        <v>7929</v>
      </c>
      <c r="K915" s="12" t="str">
        <f t="shared" si="175"/>
        <v>1809</v>
      </c>
      <c r="L915" s="12" t="s">
        <v>74</v>
      </c>
      <c r="M915" s="12" t="s">
        <v>3072</v>
      </c>
      <c r="N915" s="12" t="str">
        <f t="shared" si="180"/>
        <v>1809</v>
      </c>
      <c r="O915" s="12" t="str">
        <f t="shared" si="181"/>
        <v>1810</v>
      </c>
      <c r="P915" s="12" t="s">
        <v>7930</v>
      </c>
      <c r="Q915" s="12" t="str">
        <f t="shared" si="176"/>
        <v>1809</v>
      </c>
      <c r="R915" s="12" t="s">
        <v>7931</v>
      </c>
      <c r="S915" s="12" t="str">
        <f t="shared" si="177"/>
        <v>1883</v>
      </c>
      <c r="T915" s="12" t="s">
        <v>28</v>
      </c>
      <c r="U915" s="12" t="s">
        <v>4790</v>
      </c>
      <c r="V915" s="12" t="str">
        <f t="shared" si="178"/>
        <v>1829</v>
      </c>
      <c r="W915" s="12" t="s">
        <v>7932</v>
      </c>
      <c r="X915" s="12" t="s">
        <v>1453</v>
      </c>
      <c r="AA915" s="2" t="s">
        <v>4671</v>
      </c>
      <c r="AB915" s="2" t="s">
        <v>74</v>
      </c>
      <c r="AC915" s="2" t="s">
        <v>4234</v>
      </c>
      <c r="AD915" s="12"/>
      <c r="AE915" s="12"/>
      <c r="AF915" s="12"/>
      <c r="AG915" s="12" t="s">
        <v>28</v>
      </c>
      <c r="AH915" s="12" t="s">
        <v>7933</v>
      </c>
      <c r="AI915" s="12" t="str">
        <f t="shared" si="179"/>
        <v>1843</v>
      </c>
      <c r="AJ915" s="12"/>
      <c r="AL915" s="2" t="s">
        <v>140</v>
      </c>
      <c r="AM915" s="2" t="s">
        <v>7934</v>
      </c>
      <c r="AN915" s="2" t="s">
        <v>7935</v>
      </c>
      <c r="AO915" s="2" t="s">
        <v>1453</v>
      </c>
    </row>
    <row r="916" spans="1:82">
      <c r="A916" s="12" t="s">
        <v>2589</v>
      </c>
      <c r="B916" s="12" t="str">
        <f t="shared" si="171"/>
        <v>KRUGER</v>
      </c>
      <c r="C916" s="12" t="str">
        <f t="shared" si="172"/>
        <v>KRUGER</v>
      </c>
      <c r="D916" s="12" t="s">
        <v>6261</v>
      </c>
      <c r="E916" s="12" t="str">
        <f t="shared" si="182"/>
        <v>Casper Jan Hendrik</v>
      </c>
      <c r="F916" s="12" t="s">
        <v>7863</v>
      </c>
      <c r="G916" s="12" t="str">
        <f t="shared" si="173"/>
        <v>a1b7c1d1e3</v>
      </c>
      <c r="H916" s="12" t="str">
        <f t="shared" si="174"/>
        <v>KRUGERa1b7c1d1e3</v>
      </c>
      <c r="K916" s="12" t="str">
        <f t="shared" si="175"/>
        <v/>
      </c>
      <c r="L916" s="12"/>
      <c r="M916" s="12" t="s">
        <v>7883</v>
      </c>
      <c r="N916" s="12" t="str">
        <f t="shared" si="180"/>
        <v/>
      </c>
      <c r="O916" s="12" t="str">
        <f t="shared" si="181"/>
        <v>1796</v>
      </c>
      <c r="P916" s="2" t="s">
        <v>31</v>
      </c>
      <c r="Q916" s="12" t="str">
        <f t="shared" si="176"/>
        <v>1796</v>
      </c>
      <c r="R916" s="12" t="s">
        <v>7884</v>
      </c>
      <c r="S916" s="12" t="str">
        <f t="shared" si="177"/>
        <v>1862</v>
      </c>
      <c r="T916" s="12" t="s">
        <v>74</v>
      </c>
      <c r="U916" s="12" t="s">
        <v>5124</v>
      </c>
      <c r="V916" s="12" t="str">
        <f t="shared" si="178"/>
        <v>1815</v>
      </c>
      <c r="W916" s="12" t="s">
        <v>7885</v>
      </c>
      <c r="X916" s="12" t="s">
        <v>4449</v>
      </c>
      <c r="AA916" s="12"/>
      <c r="AC916" s="12"/>
      <c r="AG916" s="12" t="s">
        <v>28</v>
      </c>
      <c r="AH916" s="12" t="s">
        <v>7886</v>
      </c>
      <c r="AI916" s="12" t="str">
        <f t="shared" si="179"/>
        <v>1840</v>
      </c>
      <c r="AJ916" s="12"/>
      <c r="AK916" s="12" t="s">
        <v>7887</v>
      </c>
      <c r="AN916" s="12"/>
      <c r="AO916" s="12"/>
    </row>
    <row r="917" spans="1:82">
      <c r="A917" s="12" t="s">
        <v>2589</v>
      </c>
      <c r="B917" s="12" t="str">
        <f t="shared" si="171"/>
        <v>KRUGER</v>
      </c>
      <c r="C917" s="12" t="str">
        <f t="shared" si="172"/>
        <v>KRUGER</v>
      </c>
      <c r="D917" s="12" t="s">
        <v>1484</v>
      </c>
      <c r="E917" s="12" t="str">
        <f t="shared" si="182"/>
        <v>Willem Jacobus</v>
      </c>
      <c r="F917" s="12" t="s">
        <v>7882</v>
      </c>
      <c r="G917" s="12" t="str">
        <f t="shared" si="173"/>
        <v>a1b7c1d1e3f1</v>
      </c>
      <c r="H917" s="12" t="str">
        <f t="shared" si="174"/>
        <v>KRUGERa1b7c1d1e3f1</v>
      </c>
      <c r="J917" s="12" t="s">
        <v>7978</v>
      </c>
      <c r="K917" s="12" t="str">
        <f t="shared" si="175"/>
        <v>1817</v>
      </c>
      <c r="L917" s="2" t="s">
        <v>74</v>
      </c>
      <c r="M917" s="12" t="s">
        <v>5704</v>
      </c>
      <c r="N917" s="12" t="str">
        <f t="shared" si="180"/>
        <v>1817</v>
      </c>
      <c r="O917" s="12" t="str">
        <f t="shared" si="181"/>
        <v>1817</v>
      </c>
      <c r="P917" s="12" t="s">
        <v>7979</v>
      </c>
      <c r="Q917" s="12" t="str">
        <f t="shared" si="176"/>
        <v>1817</v>
      </c>
      <c r="R917" s="12" t="s">
        <v>7980</v>
      </c>
      <c r="S917" s="12" t="str">
        <f t="shared" si="177"/>
        <v>1879</v>
      </c>
      <c r="T917" s="12"/>
      <c r="U917" s="12"/>
      <c r="V917" s="12" t="str">
        <f t="shared" si="178"/>
        <v/>
      </c>
      <c r="W917" s="12" t="s">
        <v>7981</v>
      </c>
      <c r="X917" s="12" t="s">
        <v>4449</v>
      </c>
      <c r="AG917" s="12" t="s">
        <v>28</v>
      </c>
      <c r="AH917" s="12" t="s">
        <v>7982</v>
      </c>
      <c r="AI917" s="12" t="str">
        <f t="shared" si="179"/>
        <v>1840</v>
      </c>
      <c r="AK917" s="12"/>
      <c r="AN917" s="12"/>
      <c r="AO917" s="12"/>
    </row>
    <row r="918" spans="1:82">
      <c r="A918" s="12" t="s">
        <v>2589</v>
      </c>
      <c r="B918" s="12" t="str">
        <f t="shared" si="171"/>
        <v>KRUGER</v>
      </c>
      <c r="C918" s="12" t="str">
        <f t="shared" si="172"/>
        <v>KRUGER</v>
      </c>
      <c r="D918" s="12" t="s">
        <v>5106</v>
      </c>
      <c r="E918" s="12" t="str">
        <f t="shared" si="182"/>
        <v>Stephanus Johannes</v>
      </c>
      <c r="F918" s="12" t="s">
        <v>7529</v>
      </c>
      <c r="G918" s="12" t="str">
        <f t="shared" si="173"/>
        <v>a1b7c2d4</v>
      </c>
      <c r="H918" s="12" t="str">
        <f t="shared" si="174"/>
        <v>KRUGERa1b7c2d4</v>
      </c>
      <c r="J918" s="12"/>
      <c r="K918" s="12" t="str">
        <f t="shared" si="175"/>
        <v/>
      </c>
      <c r="L918" s="12"/>
      <c r="M918" s="12" t="s">
        <v>3458</v>
      </c>
      <c r="N918" s="12" t="str">
        <f t="shared" si="180"/>
        <v/>
      </c>
      <c r="O918" s="12" t="str">
        <f t="shared" si="181"/>
        <v>1778</v>
      </c>
      <c r="Q918" s="12" t="str">
        <f t="shared" si="176"/>
        <v>1778</v>
      </c>
      <c r="R918" s="12"/>
      <c r="S918" s="12" t="str">
        <f t="shared" si="177"/>
        <v/>
      </c>
      <c r="T918" s="12"/>
      <c r="U918" s="12" t="s">
        <v>3882</v>
      </c>
      <c r="V918" s="12" t="str">
        <f t="shared" si="178"/>
        <v>1798</v>
      </c>
      <c r="W918" s="12" t="s">
        <v>7955</v>
      </c>
      <c r="X918" s="12" t="s">
        <v>2026</v>
      </c>
      <c r="AA918" s="2" t="s">
        <v>7956</v>
      </c>
      <c r="AC918" s="12"/>
      <c r="AD918" s="12"/>
      <c r="AE918" s="12"/>
      <c r="AF918" s="2" t="s">
        <v>7957</v>
      </c>
      <c r="AG918" s="12" t="s">
        <v>74</v>
      </c>
      <c r="AH918" s="12" t="s">
        <v>7958</v>
      </c>
      <c r="AI918" s="12" t="str">
        <f t="shared" si="179"/>
        <v>1840</v>
      </c>
      <c r="AJ918" s="12" t="s">
        <v>7959</v>
      </c>
      <c r="AK918" s="12"/>
    </row>
    <row r="919" spans="1:82">
      <c r="A919" s="12" t="s">
        <v>2589</v>
      </c>
      <c r="B919" s="12" t="str">
        <f t="shared" si="171"/>
        <v>KRUGER</v>
      </c>
      <c r="C919" s="12" t="str">
        <f t="shared" si="172"/>
        <v>KRUGER</v>
      </c>
      <c r="D919" s="12" t="s">
        <v>6758</v>
      </c>
      <c r="E919" s="12" t="str">
        <f t="shared" si="182"/>
        <v>Gerrit Johannes</v>
      </c>
      <c r="F919" s="12" t="s">
        <v>7869</v>
      </c>
      <c r="G919" s="12" t="str">
        <f t="shared" si="173"/>
        <v>a1b7c2d4e1</v>
      </c>
      <c r="H919" s="12" t="str">
        <f t="shared" si="174"/>
        <v>KRUGERa1b7c2d4e1</v>
      </c>
      <c r="J919" s="2" t="s">
        <v>7915</v>
      </c>
      <c r="K919" s="12" t="str">
        <f t="shared" si="175"/>
        <v>1799</v>
      </c>
      <c r="L919" s="2" t="s">
        <v>74</v>
      </c>
      <c r="M919" s="12" t="s">
        <v>7916</v>
      </c>
      <c r="N919" s="12" t="str">
        <f t="shared" si="180"/>
        <v>1799</v>
      </c>
      <c r="O919" s="12" t="str">
        <f t="shared" si="181"/>
        <v>1799</v>
      </c>
      <c r="P919" s="12"/>
      <c r="Q919" s="12" t="str">
        <f t="shared" si="176"/>
        <v>1799</v>
      </c>
      <c r="R919" s="12"/>
      <c r="S919" s="12" t="str">
        <f t="shared" si="177"/>
        <v/>
      </c>
      <c r="T919" s="12" t="s">
        <v>28</v>
      </c>
      <c r="U919" s="12" t="s">
        <v>4075</v>
      </c>
      <c r="V919" s="12" t="str">
        <f t="shared" si="178"/>
        <v>1820</v>
      </c>
      <c r="W919" s="12" t="s">
        <v>3910</v>
      </c>
      <c r="X919" s="12" t="s">
        <v>3657</v>
      </c>
      <c r="AC919" s="12"/>
      <c r="AD919" s="12"/>
      <c r="AE919" s="12"/>
      <c r="AF919" s="2" t="s">
        <v>7862</v>
      </c>
      <c r="AG919" s="12" t="s">
        <v>74</v>
      </c>
      <c r="AH919" s="2" t="s">
        <v>7894</v>
      </c>
      <c r="AI919" s="12" t="str">
        <f t="shared" si="179"/>
        <v>1836</v>
      </c>
      <c r="AJ919" s="12" t="s">
        <v>7896</v>
      </c>
      <c r="AK919" s="12" t="s">
        <v>155</v>
      </c>
    </row>
    <row r="920" spans="1:82">
      <c r="A920" s="12" t="s">
        <v>2589</v>
      </c>
      <c r="B920" s="12" t="str">
        <f t="shared" si="171"/>
        <v>KRUGER</v>
      </c>
      <c r="C920" s="12" t="str">
        <f t="shared" si="172"/>
        <v>KRUGER</v>
      </c>
      <c r="D920" s="12" t="s">
        <v>6261</v>
      </c>
      <c r="E920" s="12" t="str">
        <f t="shared" si="182"/>
        <v>Casper Jan Hendrik</v>
      </c>
      <c r="F920" s="12" t="s">
        <v>7854</v>
      </c>
      <c r="G920" s="12" t="str">
        <f t="shared" si="173"/>
        <v>a1b7c2d4e2</v>
      </c>
      <c r="H920" s="12" t="str">
        <f t="shared" si="174"/>
        <v>KRUGERa1b7c2d4e2</v>
      </c>
      <c r="I920" s="12"/>
      <c r="J920" s="12" t="s">
        <v>7855</v>
      </c>
      <c r="K920" s="12" t="str">
        <f t="shared" si="175"/>
        <v>1801</v>
      </c>
      <c r="L920" s="12"/>
      <c r="M920" s="12" t="s">
        <v>2068</v>
      </c>
      <c r="N920" s="12" t="str">
        <f t="shared" si="180"/>
        <v>1801</v>
      </c>
      <c r="O920" s="12" t="str">
        <f t="shared" si="181"/>
        <v>1801</v>
      </c>
      <c r="P920" s="12" t="s">
        <v>7856</v>
      </c>
      <c r="Q920" s="12" t="str">
        <f t="shared" si="176"/>
        <v>1801</v>
      </c>
      <c r="R920" s="12" t="s">
        <v>7857</v>
      </c>
      <c r="S920" s="12" t="str">
        <f t="shared" si="177"/>
        <v>1851</v>
      </c>
      <c r="T920" s="12" t="s">
        <v>28</v>
      </c>
      <c r="U920" s="12" t="s">
        <v>4075</v>
      </c>
      <c r="V920" s="12" t="str">
        <f t="shared" si="178"/>
        <v>1820</v>
      </c>
      <c r="W920" s="12" t="s">
        <v>7858</v>
      </c>
      <c r="X920" s="12" t="s">
        <v>2995</v>
      </c>
      <c r="Y920" s="12" t="s">
        <v>7859</v>
      </c>
      <c r="Z920" s="12"/>
      <c r="AA920" s="12"/>
      <c r="AB920" s="12"/>
      <c r="AC920" s="12" t="s">
        <v>7860</v>
      </c>
      <c r="AD920" s="12"/>
      <c r="AE920" s="12"/>
      <c r="AF920" s="12" t="s">
        <v>7862</v>
      </c>
      <c r="AG920" s="12" t="s">
        <v>74</v>
      </c>
      <c r="AH920" s="12" t="s">
        <v>5071</v>
      </c>
      <c r="AI920" s="12" t="str">
        <f t="shared" si="179"/>
        <v>1836</v>
      </c>
      <c r="AJ920" s="12" t="s">
        <v>379</v>
      </c>
      <c r="AK920" s="12" t="s">
        <v>4679</v>
      </c>
      <c r="AL920" s="12" t="s">
        <v>28</v>
      </c>
      <c r="AM920" s="12" t="s">
        <v>1074</v>
      </c>
      <c r="AN920" s="12" t="s">
        <v>7861</v>
      </c>
      <c r="AO920" s="12" t="s">
        <v>1453</v>
      </c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</row>
    <row r="921" spans="1:82">
      <c r="A921" s="12" t="s">
        <v>2589</v>
      </c>
      <c r="B921" s="12" t="str">
        <f t="shared" si="171"/>
        <v>KRUGER</v>
      </c>
      <c r="C921" s="12" t="str">
        <f t="shared" si="172"/>
        <v>KRUGER</v>
      </c>
      <c r="D921" s="12" t="s">
        <v>4885</v>
      </c>
      <c r="E921" s="12" t="str">
        <f t="shared" si="182"/>
        <v>Douw Gerbrand</v>
      </c>
      <c r="F921" s="12" t="s">
        <v>7866</v>
      </c>
      <c r="G921" s="12" t="str">
        <f t="shared" si="173"/>
        <v>a1b7c2d4e2f2</v>
      </c>
      <c r="H921" s="12" t="str">
        <f t="shared" si="174"/>
        <v>KRUGERa1b7c2d4e2f2</v>
      </c>
      <c r="J921" s="12" t="s">
        <v>7902</v>
      </c>
      <c r="K921" s="12" t="str">
        <f t="shared" si="175"/>
        <v>1823</v>
      </c>
      <c r="L921" s="12" t="s">
        <v>74</v>
      </c>
      <c r="M921" s="12" t="s">
        <v>3819</v>
      </c>
      <c r="N921" s="12" t="str">
        <f t="shared" si="180"/>
        <v>1823</v>
      </c>
      <c r="O921" s="12" t="str">
        <f t="shared" si="181"/>
        <v>1824</v>
      </c>
      <c r="P921" s="12"/>
      <c r="Q921" s="12" t="str">
        <f t="shared" si="176"/>
        <v>1823</v>
      </c>
      <c r="R921" s="12"/>
      <c r="S921" s="12" t="str">
        <f t="shared" si="177"/>
        <v/>
      </c>
      <c r="T921" s="12"/>
      <c r="U921" s="12"/>
      <c r="V921" s="12" t="str">
        <f t="shared" si="178"/>
        <v/>
      </c>
      <c r="W921" s="12"/>
      <c r="X921" s="12"/>
      <c r="AA921" s="12"/>
      <c r="AB921" s="12"/>
      <c r="AC921" s="12"/>
      <c r="AD921" s="12"/>
      <c r="AE921" s="12"/>
      <c r="AF921" s="2" t="s">
        <v>7862</v>
      </c>
      <c r="AG921" s="12" t="s">
        <v>74</v>
      </c>
      <c r="AH921" s="2" t="s">
        <v>5071</v>
      </c>
      <c r="AI921" s="12" t="str">
        <f t="shared" si="179"/>
        <v>1836</v>
      </c>
      <c r="AJ921" s="2" t="s">
        <v>379</v>
      </c>
      <c r="AK921" s="12" t="s">
        <v>155</v>
      </c>
    </row>
    <row r="922" spans="1:82">
      <c r="A922" s="12" t="s">
        <v>2589</v>
      </c>
      <c r="B922" s="12" t="str">
        <f t="shared" si="171"/>
        <v>KRUGER</v>
      </c>
      <c r="C922" s="12" t="str">
        <f t="shared" si="172"/>
        <v>KRUGER</v>
      </c>
      <c r="D922" s="12" t="s">
        <v>7878</v>
      </c>
      <c r="E922" s="12" t="str">
        <f t="shared" si="182"/>
        <v>Stephanus Johannes Paulus</v>
      </c>
      <c r="F922" s="12" t="s">
        <v>7879</v>
      </c>
      <c r="G922" s="12" t="str">
        <f t="shared" si="173"/>
        <v>a1b7c2d4e2f3</v>
      </c>
      <c r="H922" s="12" t="str">
        <f t="shared" si="174"/>
        <v>KRUGERa1b7c2d4e2f3</v>
      </c>
      <c r="J922" s="12" t="s">
        <v>7960</v>
      </c>
      <c r="K922" s="12" t="str">
        <f t="shared" si="175"/>
        <v>1825</v>
      </c>
      <c r="L922" s="12"/>
      <c r="M922" s="12"/>
      <c r="N922" s="12" t="str">
        <f t="shared" si="180"/>
        <v>1825</v>
      </c>
      <c r="O922" s="12" t="str">
        <f t="shared" si="181"/>
        <v/>
      </c>
      <c r="P922" s="12" t="s">
        <v>7961</v>
      </c>
      <c r="Q922" s="12" t="str">
        <f t="shared" si="176"/>
        <v>1825</v>
      </c>
      <c r="R922" s="12"/>
      <c r="S922" s="12" t="str">
        <f t="shared" si="177"/>
        <v/>
      </c>
      <c r="T922" s="12" t="s">
        <v>140</v>
      </c>
      <c r="U922" s="12">
        <v>11842</v>
      </c>
      <c r="V922" s="12" t="str">
        <f t="shared" si="178"/>
        <v>1842</v>
      </c>
      <c r="W922" s="12" t="s">
        <v>7962</v>
      </c>
      <c r="X922" s="12" t="s">
        <v>1453</v>
      </c>
      <c r="AA922" s="2" t="s">
        <v>7963</v>
      </c>
      <c r="AB922" s="2" t="s">
        <v>28</v>
      </c>
      <c r="AC922" s="2" t="s">
        <v>7964</v>
      </c>
      <c r="AE922" s="12" t="s">
        <v>7965</v>
      </c>
      <c r="AF922" s="2" t="s">
        <v>7862</v>
      </c>
      <c r="AG922" s="12" t="s">
        <v>74</v>
      </c>
      <c r="AH922" s="12" t="s">
        <v>7900</v>
      </c>
      <c r="AI922" s="12" t="str">
        <f t="shared" si="179"/>
        <v>1835</v>
      </c>
      <c r="AJ922" s="12" t="s">
        <v>379</v>
      </c>
      <c r="AK922" s="12" t="s">
        <v>4679</v>
      </c>
      <c r="AM922" s="2">
        <v>1847</v>
      </c>
      <c r="AN922" s="12" t="s">
        <v>7966</v>
      </c>
      <c r="AO922" s="12" t="s">
        <v>1453</v>
      </c>
      <c r="AR922" s="2" t="s">
        <v>7967</v>
      </c>
      <c r="AV922" s="2" t="s">
        <v>7968</v>
      </c>
    </row>
    <row r="923" spans="1:82">
      <c r="A923" s="12" t="s">
        <v>2589</v>
      </c>
      <c r="B923" s="12" t="str">
        <f t="shared" si="171"/>
        <v>KRUGER</v>
      </c>
      <c r="C923" s="12" t="str">
        <f t="shared" si="172"/>
        <v>KRUGER</v>
      </c>
      <c r="D923" s="12" t="s">
        <v>7870</v>
      </c>
      <c r="E923" s="12" t="str">
        <f t="shared" si="182"/>
        <v>Gert Stephanus Jacobus</v>
      </c>
      <c r="F923" s="12" t="s">
        <v>7871</v>
      </c>
      <c r="G923" s="12" t="str">
        <f t="shared" si="173"/>
        <v>a1b7c2d4e3</v>
      </c>
      <c r="H923" s="12" t="str">
        <f t="shared" si="174"/>
        <v>KRUGERa1b7c2d4e3</v>
      </c>
      <c r="J923" s="12" t="s">
        <v>7917</v>
      </c>
      <c r="K923" s="12" t="str">
        <f t="shared" si="175"/>
        <v>1804</v>
      </c>
      <c r="L923" s="12" t="s">
        <v>74</v>
      </c>
      <c r="M923" s="12" t="s">
        <v>92</v>
      </c>
      <c r="N923" s="12" t="str">
        <f t="shared" si="180"/>
        <v>1804</v>
      </c>
      <c r="O923" s="12" t="str">
        <f t="shared" si="181"/>
        <v>1804</v>
      </c>
      <c r="P923" s="12"/>
      <c r="Q923" s="12" t="str">
        <f t="shared" si="176"/>
        <v>1804</v>
      </c>
      <c r="R923" s="12"/>
      <c r="S923" s="12" t="str">
        <f t="shared" si="177"/>
        <v/>
      </c>
      <c r="T923" s="12" t="s">
        <v>28</v>
      </c>
      <c r="U923" s="12" t="s">
        <v>7918</v>
      </c>
      <c r="V923" s="12" t="str">
        <f t="shared" si="178"/>
        <v>1824</v>
      </c>
      <c r="W923" s="12" t="s">
        <v>7919</v>
      </c>
      <c r="X923" s="12" t="s">
        <v>3657</v>
      </c>
      <c r="Y923" s="2" t="s">
        <v>2338</v>
      </c>
      <c r="AC923" s="2" t="s">
        <v>1677</v>
      </c>
      <c r="AF923" s="2" t="s">
        <v>7862</v>
      </c>
      <c r="AG923" s="12" t="s">
        <v>74</v>
      </c>
      <c r="AH923" s="12" t="s">
        <v>2069</v>
      </c>
      <c r="AI923" s="12" t="str">
        <f t="shared" si="179"/>
        <v>1836</v>
      </c>
      <c r="AJ923" s="12" t="s">
        <v>379</v>
      </c>
      <c r="AK923" s="12" t="s">
        <v>140</v>
      </c>
      <c r="AL923" s="12"/>
      <c r="AM923" s="12"/>
      <c r="AN923" s="12"/>
      <c r="AO923" s="12"/>
    </row>
    <row r="924" spans="1:82">
      <c r="A924" s="12" t="s">
        <v>2589</v>
      </c>
      <c r="B924" s="12" t="str">
        <f t="shared" si="171"/>
        <v>KRUGER</v>
      </c>
      <c r="C924" s="12" t="str">
        <f t="shared" si="172"/>
        <v>KRUGER</v>
      </c>
      <c r="D924" s="12" t="s">
        <v>1445</v>
      </c>
      <c r="E924" s="12" t="str">
        <f t="shared" si="182"/>
        <v>Theunis Johannes</v>
      </c>
      <c r="F924" s="12" t="s">
        <v>7880</v>
      </c>
      <c r="G924" s="12" t="str">
        <f t="shared" si="173"/>
        <v>a1b7c2d4e4</v>
      </c>
      <c r="H924" s="12" t="str">
        <f t="shared" si="174"/>
        <v>KRUGERa1b7c2d4e4</v>
      </c>
      <c r="I924" s="12"/>
      <c r="J924" s="12" t="s">
        <v>7969</v>
      </c>
      <c r="K924" s="12" t="str">
        <f t="shared" si="175"/>
        <v>1806</v>
      </c>
      <c r="L924" s="12" t="s">
        <v>74</v>
      </c>
      <c r="M924" s="12" t="s">
        <v>7970</v>
      </c>
      <c r="N924" s="12" t="str">
        <f t="shared" si="180"/>
        <v>1806</v>
      </c>
      <c r="O924" s="12" t="str">
        <f t="shared" si="181"/>
        <v>1806</v>
      </c>
      <c r="P924" s="12"/>
      <c r="Q924" s="12" t="str">
        <f t="shared" si="176"/>
        <v>1806</v>
      </c>
      <c r="R924" s="12"/>
      <c r="S924" s="12" t="str">
        <f t="shared" si="177"/>
        <v/>
      </c>
      <c r="T924" s="12" t="s">
        <v>7971</v>
      </c>
      <c r="U924" s="12" t="s">
        <v>781</v>
      </c>
      <c r="V924" s="12" t="str">
        <f t="shared" si="178"/>
        <v xml:space="preserve"> WYK</v>
      </c>
      <c r="W924" s="12"/>
      <c r="X924" s="12"/>
      <c r="Y924" s="12"/>
      <c r="Z924" s="12"/>
      <c r="AA924" s="12"/>
      <c r="AB924" s="12"/>
      <c r="AC924" s="12"/>
      <c r="AD924" s="12"/>
      <c r="AE924" s="12"/>
      <c r="AF924" s="12" t="s">
        <v>7862</v>
      </c>
      <c r="AG924" s="12" t="s">
        <v>74</v>
      </c>
      <c r="AH924" s="12" t="s">
        <v>7972</v>
      </c>
      <c r="AI924" s="12" t="str">
        <f t="shared" si="179"/>
        <v>1836</v>
      </c>
      <c r="AJ924" s="12" t="s">
        <v>7959</v>
      </c>
      <c r="AK924" s="12" t="s">
        <v>155</v>
      </c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</row>
    <row r="925" spans="1:82">
      <c r="A925" s="12" t="s">
        <v>2589</v>
      </c>
      <c r="B925" s="12" t="str">
        <f t="shared" si="171"/>
        <v>KRUGER</v>
      </c>
      <c r="C925" s="12" t="str">
        <f t="shared" si="172"/>
        <v>KRUGER</v>
      </c>
      <c r="D925" s="12" t="s">
        <v>5829</v>
      </c>
      <c r="E925" s="12" t="str">
        <f t="shared" si="182"/>
        <v>Johannes Lodewyk</v>
      </c>
      <c r="F925" s="12" t="s">
        <v>7876</v>
      </c>
      <c r="G925" s="12" t="str">
        <f t="shared" si="173"/>
        <v>a1b8c3d10</v>
      </c>
      <c r="H925" s="12" t="str">
        <f t="shared" si="174"/>
        <v>KRUGERa1b8c3d10</v>
      </c>
      <c r="I925" s="12"/>
      <c r="J925" s="12"/>
      <c r="K925" s="12" t="str">
        <f t="shared" si="175"/>
        <v/>
      </c>
      <c r="L925" s="12"/>
      <c r="M925" s="12"/>
      <c r="N925" s="12" t="str">
        <f t="shared" si="180"/>
        <v/>
      </c>
      <c r="O925" s="12" t="str">
        <f t="shared" si="181"/>
        <v/>
      </c>
      <c r="P925" s="12"/>
      <c r="Q925" s="12" t="str">
        <f t="shared" si="176"/>
        <v/>
      </c>
      <c r="R925" s="12"/>
      <c r="S925" s="12" t="str">
        <f t="shared" si="177"/>
        <v/>
      </c>
      <c r="T925" s="12" t="s">
        <v>74</v>
      </c>
      <c r="U925" s="12" t="s">
        <v>2899</v>
      </c>
      <c r="V925" s="12" t="str">
        <f t="shared" si="178"/>
        <v>1822</v>
      </c>
      <c r="W925" s="12" t="s">
        <v>5780</v>
      </c>
      <c r="X925" s="12" t="s">
        <v>2436</v>
      </c>
      <c r="Y925" s="12" t="s">
        <v>7942</v>
      </c>
      <c r="Z925" s="12"/>
      <c r="AA925" s="12"/>
      <c r="AB925" s="12"/>
      <c r="AC925" s="12" t="s">
        <v>1296</v>
      </c>
      <c r="AD925" s="12"/>
      <c r="AE925" s="12"/>
      <c r="AF925" s="12"/>
      <c r="AG925" s="12" t="s">
        <v>7332</v>
      </c>
      <c r="AH925" s="12" t="s">
        <v>7894</v>
      </c>
      <c r="AI925" s="12" t="str">
        <f t="shared" si="179"/>
        <v>1836</v>
      </c>
      <c r="AJ925" s="12" t="s">
        <v>379</v>
      </c>
      <c r="AK925" s="12" t="s">
        <v>7943</v>
      </c>
      <c r="AL925" s="12" t="s">
        <v>7944</v>
      </c>
      <c r="AM925" s="12" t="s">
        <v>7945</v>
      </c>
      <c r="AN925" s="12" t="s">
        <v>7946</v>
      </c>
      <c r="AO925" s="12" t="s">
        <v>4449</v>
      </c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</row>
    <row r="926" spans="1:82">
      <c r="A926" s="12" t="s">
        <v>2589</v>
      </c>
      <c r="B926" s="12" t="str">
        <f t="shared" si="171"/>
        <v>KRUGER</v>
      </c>
      <c r="C926" s="12" t="str">
        <f t="shared" si="172"/>
        <v>KRUGER</v>
      </c>
      <c r="D926" s="12" t="s">
        <v>4304</v>
      </c>
      <c r="E926" s="12" t="str">
        <f t="shared" si="182"/>
        <v>Pieter Ernst</v>
      </c>
      <c r="F926" s="12" t="s">
        <v>7877</v>
      </c>
      <c r="G926" s="12" t="str">
        <f t="shared" si="173"/>
        <v>a1b8c3d1e1</v>
      </c>
      <c r="H926" s="12" t="str">
        <f t="shared" si="174"/>
        <v>KRUGERa1b8c3d1e1</v>
      </c>
      <c r="J926" s="12" t="s">
        <v>7949</v>
      </c>
      <c r="K926" s="12" t="str">
        <f t="shared" si="175"/>
        <v>1810</v>
      </c>
      <c r="L926" s="12" t="s">
        <v>32</v>
      </c>
      <c r="M926" s="12" t="s">
        <v>7950</v>
      </c>
      <c r="N926" s="12" t="str">
        <f t="shared" si="180"/>
        <v>1810</v>
      </c>
      <c r="O926" s="12" t="str">
        <f t="shared" si="181"/>
        <v>1810</v>
      </c>
      <c r="P926" s="12"/>
      <c r="Q926" s="12" t="str">
        <f t="shared" si="176"/>
        <v>1810</v>
      </c>
      <c r="R926" s="12"/>
      <c r="S926" s="12" t="str">
        <f t="shared" si="177"/>
        <v/>
      </c>
      <c r="T926" s="12" t="s">
        <v>74</v>
      </c>
      <c r="U926" s="12" t="s">
        <v>7951</v>
      </c>
      <c r="V926" s="12" t="str">
        <f t="shared" si="178"/>
        <v>1833</v>
      </c>
      <c r="W926" s="12" t="s">
        <v>7952</v>
      </c>
      <c r="X926" s="12" t="s">
        <v>78</v>
      </c>
      <c r="Y926" s="2" t="s">
        <v>1999</v>
      </c>
      <c r="AA926" s="2" t="s">
        <v>7953</v>
      </c>
      <c r="AF926" s="12"/>
      <c r="AG926" s="12" t="s">
        <v>60</v>
      </c>
      <c r="AH926" s="12" t="s">
        <v>2069</v>
      </c>
      <c r="AI926" s="12" t="str">
        <f t="shared" si="179"/>
        <v>1836</v>
      </c>
      <c r="AJ926" s="2" t="s">
        <v>379</v>
      </c>
      <c r="AK926" s="12" t="s">
        <v>7954</v>
      </c>
      <c r="AN926" s="12"/>
      <c r="AO926" s="12"/>
      <c r="AW926" s="12"/>
      <c r="AX926" s="12"/>
      <c r="AY926" s="12"/>
      <c r="AZ926" s="12"/>
      <c r="BA926" s="12"/>
      <c r="BB926" s="12"/>
      <c r="BF926" s="12"/>
      <c r="BH926" s="12"/>
      <c r="BI926" s="12"/>
      <c r="BJ926" s="12"/>
      <c r="BK926" s="12"/>
      <c r="BO926" s="12"/>
      <c r="BP926" s="12"/>
    </row>
    <row r="927" spans="1:82">
      <c r="A927" s="12" t="s">
        <v>2589</v>
      </c>
      <c r="B927" s="12" t="str">
        <f t="shared" si="171"/>
        <v>KRUGER</v>
      </c>
      <c r="C927" s="12" t="str">
        <f t="shared" si="172"/>
        <v>KRUGER</v>
      </c>
      <c r="D927" s="12" t="s">
        <v>1818</v>
      </c>
      <c r="E927" s="12" t="str">
        <f t="shared" si="182"/>
        <v>Jacob Johannes</v>
      </c>
      <c r="F927" s="12" t="s">
        <v>7872</v>
      </c>
      <c r="G927" s="12" t="str">
        <f t="shared" si="173"/>
        <v>a1b8c3d1e2</v>
      </c>
      <c r="H927" s="12" t="str">
        <f t="shared" si="174"/>
        <v>KRUGERa1b8c3d1e2</v>
      </c>
      <c r="I927" s="12"/>
      <c r="J927" s="12" t="s">
        <v>7920</v>
      </c>
      <c r="K927" s="12" t="str">
        <f t="shared" si="175"/>
        <v>1811</v>
      </c>
      <c r="L927" s="12" t="s">
        <v>32</v>
      </c>
      <c r="M927" s="12" t="s">
        <v>7921</v>
      </c>
      <c r="N927" s="12" t="str">
        <f t="shared" si="180"/>
        <v>1811</v>
      </c>
      <c r="O927" s="12" t="str">
        <f t="shared" si="181"/>
        <v>1812</v>
      </c>
      <c r="P927" s="12"/>
      <c r="Q927" s="12" t="str">
        <f t="shared" si="176"/>
        <v>1811</v>
      </c>
      <c r="R927" s="12"/>
      <c r="S927" s="12" t="str">
        <f t="shared" si="177"/>
        <v/>
      </c>
      <c r="T927" s="12" t="s">
        <v>74</v>
      </c>
      <c r="U927" s="12" t="s">
        <v>7922</v>
      </c>
      <c r="V927" s="12" t="str">
        <f t="shared" si="178"/>
        <v>1835</v>
      </c>
      <c r="W927" s="12" t="s">
        <v>7923</v>
      </c>
      <c r="X927" s="12" t="s">
        <v>2589</v>
      </c>
      <c r="Y927" s="12" t="s">
        <v>7924</v>
      </c>
      <c r="Z927" s="12"/>
      <c r="AA927" s="12"/>
      <c r="AB927" s="12"/>
      <c r="AC927" s="12"/>
      <c r="AD927" s="12"/>
      <c r="AE927" s="12"/>
      <c r="AF927" s="12"/>
      <c r="AG927" s="12" t="s">
        <v>60</v>
      </c>
      <c r="AH927" s="12" t="s">
        <v>7894</v>
      </c>
      <c r="AI927" s="12" t="str">
        <f t="shared" si="179"/>
        <v>1836</v>
      </c>
      <c r="AJ927" s="12" t="s">
        <v>7928</v>
      </c>
      <c r="AK927" s="12" t="s">
        <v>140</v>
      </c>
      <c r="AL927" s="12"/>
      <c r="AM927" s="12" t="s">
        <v>7925</v>
      </c>
      <c r="AN927" s="12" t="s">
        <v>7926</v>
      </c>
      <c r="AO927" s="12" t="s">
        <v>7927</v>
      </c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</row>
    <row r="928" spans="1:82">
      <c r="A928" s="12" t="s">
        <v>2589</v>
      </c>
      <c r="B928" s="12" t="str">
        <f t="shared" si="171"/>
        <v>KRUGER</v>
      </c>
      <c r="C928" s="12" t="str">
        <f t="shared" si="172"/>
        <v>KRUGER</v>
      </c>
      <c r="D928" s="12" t="s">
        <v>7881</v>
      </c>
      <c r="E928" s="12" t="str">
        <f t="shared" si="182"/>
        <v>Tobias Johannes</v>
      </c>
      <c r="F928" s="12" t="s">
        <v>5945</v>
      </c>
      <c r="G928" s="12" t="str">
        <f t="shared" si="173"/>
        <v>a1b8c3d1e3</v>
      </c>
      <c r="H928" s="12" t="str">
        <f t="shared" si="174"/>
        <v>KRUGERa1b8c3d1e3</v>
      </c>
      <c r="I928" s="12"/>
      <c r="J928" s="12" t="s">
        <v>7973</v>
      </c>
      <c r="K928" s="12" t="str">
        <f t="shared" si="175"/>
        <v>1813</v>
      </c>
      <c r="L928" s="12" t="s">
        <v>542</v>
      </c>
      <c r="M928" s="12" t="s">
        <v>7974</v>
      </c>
      <c r="N928" s="12" t="str">
        <f t="shared" si="180"/>
        <v>1813</v>
      </c>
      <c r="O928" s="12" t="str">
        <f t="shared" si="181"/>
        <v>1813</v>
      </c>
      <c r="P928" s="12"/>
      <c r="Q928" s="12" t="str">
        <f t="shared" si="176"/>
        <v>1813</v>
      </c>
      <c r="R928" s="12"/>
      <c r="S928" s="12" t="str">
        <f t="shared" si="177"/>
        <v/>
      </c>
      <c r="T928" s="12" t="s">
        <v>74</v>
      </c>
      <c r="U928" s="12" t="s">
        <v>7975</v>
      </c>
      <c r="V928" s="12" t="str">
        <f t="shared" si="178"/>
        <v>1835</v>
      </c>
      <c r="W928" s="12" t="s">
        <v>7976</v>
      </c>
      <c r="X928" s="12" t="s">
        <v>78</v>
      </c>
      <c r="Y928" s="12" t="s">
        <v>7977</v>
      </c>
      <c r="Z928" s="12"/>
      <c r="AA928" s="12"/>
      <c r="AB928" s="12"/>
      <c r="AC928" s="12"/>
      <c r="AD928" s="12"/>
      <c r="AE928" s="12"/>
      <c r="AF928" s="12"/>
      <c r="AG928" s="12" t="s">
        <v>60</v>
      </c>
      <c r="AH928" s="12" t="s">
        <v>116</v>
      </c>
      <c r="AI928" s="12" t="str">
        <f t="shared" si="179"/>
        <v>1834</v>
      </c>
      <c r="AJ928" s="12" t="s">
        <v>7959</v>
      </c>
      <c r="AK928" s="12" t="s">
        <v>7845</v>
      </c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</row>
    <row r="929" spans="1:59">
      <c r="A929" s="12" t="s">
        <v>2589</v>
      </c>
      <c r="B929" s="12" t="str">
        <f t="shared" si="171"/>
        <v>KRUGER</v>
      </c>
      <c r="C929" s="12" t="str">
        <f t="shared" si="172"/>
        <v>KRUGER</v>
      </c>
      <c r="D929" s="12" t="s">
        <v>4491</v>
      </c>
      <c r="E929" s="12" t="str">
        <f t="shared" si="182"/>
        <v>David Johannes</v>
      </c>
      <c r="F929" s="12" t="s">
        <v>5970</v>
      </c>
      <c r="G929" s="12" t="str">
        <f t="shared" si="173"/>
        <v>a1b8c3d1e4</v>
      </c>
      <c r="H929" s="12" t="str">
        <f t="shared" si="174"/>
        <v>KRUGERa1b8c3d1e4</v>
      </c>
      <c r="I929" s="12"/>
      <c r="J929" s="12" t="s">
        <v>7897</v>
      </c>
      <c r="K929" s="12" t="str">
        <f t="shared" si="175"/>
        <v>1816</v>
      </c>
      <c r="L929" s="12" t="s">
        <v>542</v>
      </c>
      <c r="M929" s="12" t="s">
        <v>7898</v>
      </c>
      <c r="N929" s="12" t="str">
        <f t="shared" si="180"/>
        <v>1816</v>
      </c>
      <c r="O929" s="12" t="str">
        <f t="shared" si="181"/>
        <v>1816</v>
      </c>
      <c r="P929" s="12"/>
      <c r="Q929" s="12" t="str">
        <f t="shared" si="176"/>
        <v>1816</v>
      </c>
      <c r="R929" s="12"/>
      <c r="S929" s="12" t="str">
        <f t="shared" si="177"/>
        <v/>
      </c>
      <c r="T929" s="12" t="s">
        <v>3908</v>
      </c>
      <c r="U929" s="12" t="s">
        <v>7899</v>
      </c>
      <c r="V929" s="12" t="str">
        <f t="shared" si="178"/>
        <v>1837</v>
      </c>
      <c r="W929" s="12" t="s">
        <v>5365</v>
      </c>
      <c r="X929" s="12" t="s">
        <v>2995</v>
      </c>
      <c r="Y929" s="12"/>
      <c r="Z929" s="12"/>
      <c r="AA929" s="12"/>
      <c r="AB929" s="12"/>
      <c r="AC929" s="12"/>
      <c r="AD929" s="12"/>
      <c r="AE929" s="12"/>
      <c r="AF929" s="12" t="s">
        <v>16</v>
      </c>
      <c r="AG929" s="12" t="s">
        <v>68</v>
      </c>
      <c r="AH929" s="12" t="s">
        <v>7900</v>
      </c>
      <c r="AI929" s="12" t="str">
        <f t="shared" si="179"/>
        <v>1835</v>
      </c>
      <c r="AJ929" s="12" t="s">
        <v>7896</v>
      </c>
      <c r="AK929" s="12" t="s">
        <v>7901</v>
      </c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</row>
    <row r="930" spans="1:59">
      <c r="A930" s="12" t="s">
        <v>2589</v>
      </c>
      <c r="B930" s="12" t="str">
        <f t="shared" si="171"/>
        <v>KRUGER</v>
      </c>
      <c r="C930" s="12" t="str">
        <f t="shared" si="172"/>
        <v>KRUGER</v>
      </c>
      <c r="D930" s="12" t="s">
        <v>7874</v>
      </c>
      <c r="E930" s="12" t="str">
        <f t="shared" si="182"/>
        <v>Johannes Diederik</v>
      </c>
      <c r="F930" s="12" t="s">
        <v>7875</v>
      </c>
      <c r="G930" s="12" t="str">
        <f t="shared" si="173"/>
        <v>a1b8c3d6e2</v>
      </c>
      <c r="H930" s="12" t="str">
        <f t="shared" si="174"/>
        <v>KRUGERa1b8c3d6e2</v>
      </c>
      <c r="I930" s="12"/>
      <c r="J930" s="12" t="s">
        <v>7936</v>
      </c>
      <c r="K930" s="12" t="str">
        <f t="shared" si="175"/>
        <v>1813</v>
      </c>
      <c r="L930" s="12" t="s">
        <v>199</v>
      </c>
      <c r="M930" s="12" t="s">
        <v>7937</v>
      </c>
      <c r="N930" s="12" t="str">
        <f t="shared" si="180"/>
        <v>1813</v>
      </c>
      <c r="O930" s="12" t="str">
        <f t="shared" si="181"/>
        <v>1814</v>
      </c>
      <c r="P930" s="12"/>
      <c r="Q930" s="12" t="str">
        <f t="shared" si="176"/>
        <v>1813</v>
      </c>
      <c r="R930" s="12"/>
      <c r="S930" s="12" t="str">
        <f t="shared" si="177"/>
        <v/>
      </c>
      <c r="T930" s="12" t="s">
        <v>7938</v>
      </c>
      <c r="U930" s="12" t="s">
        <v>7922</v>
      </c>
      <c r="V930" s="12" t="str">
        <f t="shared" si="178"/>
        <v>1835</v>
      </c>
      <c r="W930" s="12" t="s">
        <v>7939</v>
      </c>
      <c r="X930" s="12" t="s">
        <v>7940</v>
      </c>
      <c r="Y930" s="12"/>
      <c r="Z930" s="12"/>
      <c r="AA930" s="12"/>
      <c r="AB930" s="12"/>
      <c r="AC930" s="12"/>
      <c r="AD930" s="12"/>
      <c r="AE930" s="12"/>
      <c r="AF930" s="12"/>
      <c r="AG930" s="12" t="s">
        <v>60</v>
      </c>
      <c r="AH930" s="12" t="s">
        <v>5071</v>
      </c>
      <c r="AI930" s="12" t="str">
        <f t="shared" si="179"/>
        <v>1836</v>
      </c>
      <c r="AJ930" s="12" t="s">
        <v>379</v>
      </c>
      <c r="AK930" s="12" t="s">
        <v>7941</v>
      </c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</row>
    <row r="931" spans="1:59">
      <c r="A931" s="12" t="s">
        <v>620</v>
      </c>
      <c r="B931" s="12" t="str">
        <f t="shared" si="171"/>
        <v>LAGRANGE</v>
      </c>
      <c r="C931" s="12" t="str">
        <f t="shared" si="172"/>
        <v>LA GRANGE</v>
      </c>
      <c r="D931" s="12" t="s">
        <v>8176</v>
      </c>
      <c r="E931" s="12" t="str">
        <f t="shared" si="182"/>
        <v>Tobias George</v>
      </c>
      <c r="F931" s="12" t="s">
        <v>8177</v>
      </c>
      <c r="G931" s="12" t="str">
        <f t="shared" si="173"/>
        <v>NOT CERTAIN: b1c2d7e3</v>
      </c>
      <c r="H931" s="12" t="str">
        <f t="shared" si="174"/>
        <v>LA GRANGENOT CERTAIN: b1c2d7e3</v>
      </c>
      <c r="I931" s="12"/>
      <c r="J931" s="12"/>
      <c r="K931" s="12" t="str">
        <f t="shared" si="175"/>
        <v/>
      </c>
      <c r="L931" s="12"/>
      <c r="M931" s="12" t="s">
        <v>1946</v>
      </c>
      <c r="N931" s="12" t="str">
        <f t="shared" si="180"/>
        <v/>
      </c>
      <c r="O931" s="12" t="str">
        <f t="shared" si="181"/>
        <v>1805</v>
      </c>
      <c r="P931" s="12"/>
      <c r="Q931" s="12" t="str">
        <f t="shared" si="176"/>
        <v>1805</v>
      </c>
      <c r="R931" s="12"/>
      <c r="S931" s="12" t="str">
        <f t="shared" si="177"/>
        <v/>
      </c>
      <c r="T931" s="12" t="s">
        <v>199</v>
      </c>
      <c r="U931" s="12" t="s">
        <v>8178</v>
      </c>
      <c r="V931" s="12" t="str">
        <f t="shared" si="178"/>
        <v>1831</v>
      </c>
      <c r="W931" s="12" t="s">
        <v>8179</v>
      </c>
      <c r="X931" s="12" t="s">
        <v>3799</v>
      </c>
      <c r="Y931" s="12"/>
      <c r="Z931" s="12"/>
      <c r="AA931" s="12"/>
      <c r="AB931" s="12"/>
      <c r="AC931" s="12"/>
      <c r="AD931" s="12"/>
      <c r="AE931" s="12"/>
      <c r="AF931" s="12"/>
      <c r="AG931" s="12" t="s">
        <v>8180</v>
      </c>
      <c r="AH931" s="12"/>
      <c r="AI931" s="12" t="str">
        <f t="shared" si="179"/>
        <v/>
      </c>
      <c r="AJ931" s="12" t="s">
        <v>155</v>
      </c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</row>
    <row r="932" spans="1:59">
      <c r="A932" s="12" t="s">
        <v>620</v>
      </c>
      <c r="B932" s="12" t="str">
        <f t="shared" si="171"/>
        <v>LAGRANGE</v>
      </c>
      <c r="C932" s="12" t="str">
        <f t="shared" si="172"/>
        <v>LA GRANGE</v>
      </c>
      <c r="D932" s="12" t="s">
        <v>8171</v>
      </c>
      <c r="E932" s="12" t="str">
        <f t="shared" si="182"/>
        <v>J.P. (Johannes Petrus?)</v>
      </c>
      <c r="F932" s="12" t="s">
        <v>8174</v>
      </c>
      <c r="G932" s="12" t="str">
        <f t="shared" si="173"/>
        <v>NOT CERTAIN: b1c2d7e3f1</v>
      </c>
      <c r="H932" s="12" t="str">
        <f t="shared" si="174"/>
        <v>LA GRANGENOT CERTAIN: b1c2d7e3f1</v>
      </c>
      <c r="I932" s="12"/>
      <c r="J932" s="12" t="s">
        <v>8175</v>
      </c>
      <c r="K932" s="12" t="str">
        <f t="shared" si="175"/>
        <v>1832</v>
      </c>
      <c r="L932" s="12"/>
      <c r="M932" s="12"/>
      <c r="N932" s="12" t="str">
        <f t="shared" si="180"/>
        <v>1832</v>
      </c>
      <c r="O932" s="12" t="str">
        <f t="shared" si="181"/>
        <v/>
      </c>
      <c r="P932" s="12"/>
      <c r="Q932" s="12" t="str">
        <f t="shared" si="176"/>
        <v>1832</v>
      </c>
      <c r="R932" s="12"/>
      <c r="S932" s="12" t="str">
        <f t="shared" si="177"/>
        <v/>
      </c>
      <c r="T932" s="12"/>
      <c r="U932" s="12"/>
      <c r="V932" s="12" t="str">
        <f t="shared" si="178"/>
        <v/>
      </c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 t="s">
        <v>8172</v>
      </c>
      <c r="AH932" s="12" t="s">
        <v>8173</v>
      </c>
      <c r="AI932" s="12" t="str">
        <f t="shared" si="179"/>
        <v>STAD</v>
      </c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</row>
    <row r="933" spans="1:59">
      <c r="A933" s="12" t="s">
        <v>2381</v>
      </c>
      <c r="B933" s="12" t="str">
        <f t="shared" si="171"/>
        <v>LAAS</v>
      </c>
      <c r="C933" s="12" t="str">
        <f t="shared" si="172"/>
        <v>LAAS</v>
      </c>
      <c r="D933" s="12" t="s">
        <v>7983</v>
      </c>
      <c r="E933" s="12" t="str">
        <f t="shared" si="182"/>
        <v>Andries Marthinus</v>
      </c>
      <c r="F933" s="12" t="s">
        <v>2482</v>
      </c>
      <c r="G933" s="12" t="str">
        <f t="shared" si="173"/>
        <v>a1b6</v>
      </c>
      <c r="H933" s="12" t="str">
        <f t="shared" si="174"/>
        <v>LAASa1b6</v>
      </c>
      <c r="I933" s="12"/>
      <c r="J933" s="12"/>
      <c r="K933" s="12" t="str">
        <f t="shared" si="175"/>
        <v/>
      </c>
      <c r="L933" s="12"/>
      <c r="M933" s="12" t="s">
        <v>8023</v>
      </c>
      <c r="N933" s="12" t="str">
        <f t="shared" si="180"/>
        <v/>
      </c>
      <c r="O933" s="12" t="str">
        <f t="shared" si="181"/>
        <v>1771</v>
      </c>
      <c r="P933" s="12"/>
      <c r="Q933" s="12" t="str">
        <f t="shared" si="176"/>
        <v>1771</v>
      </c>
      <c r="R933" s="12"/>
      <c r="S933" s="12" t="str">
        <f t="shared" si="177"/>
        <v/>
      </c>
      <c r="T933" s="12"/>
      <c r="U933" s="12" t="s">
        <v>7169</v>
      </c>
      <c r="V933" s="12" t="str">
        <f t="shared" si="178"/>
        <v>1804</v>
      </c>
      <c r="W933" s="12" t="s">
        <v>8024</v>
      </c>
      <c r="X933" s="12" t="s">
        <v>1586</v>
      </c>
      <c r="Y933" s="12" t="s">
        <v>1025</v>
      </c>
      <c r="Z933" s="12"/>
      <c r="AA933" s="12"/>
      <c r="AB933" s="12"/>
      <c r="AC933" s="12" t="s">
        <v>8025</v>
      </c>
      <c r="AD933" s="12"/>
      <c r="AE933" s="12"/>
      <c r="AF933" s="12" t="s">
        <v>3677</v>
      </c>
      <c r="AG933" s="12" t="s">
        <v>53</v>
      </c>
      <c r="AH933" s="12" t="s">
        <v>8022</v>
      </c>
      <c r="AI933" s="12" t="str">
        <f t="shared" si="179"/>
        <v>1837</v>
      </c>
      <c r="AJ933" s="12" t="s">
        <v>504</v>
      </c>
      <c r="AK933" s="12" t="s">
        <v>90</v>
      </c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</row>
    <row r="934" spans="1:59">
      <c r="A934" s="12" t="s">
        <v>2381</v>
      </c>
      <c r="B934" s="12" t="str">
        <f t="shared" si="171"/>
        <v>LAAS</v>
      </c>
      <c r="C934" s="12" t="str">
        <f t="shared" si="172"/>
        <v>LAAS</v>
      </c>
      <c r="D934" s="12" t="s">
        <v>7984</v>
      </c>
      <c r="E934" s="12" t="str">
        <f t="shared" si="182"/>
        <v>Johannes Andries Marthinus</v>
      </c>
      <c r="F934" s="12" t="s">
        <v>3052</v>
      </c>
      <c r="G934" s="12" t="str">
        <f t="shared" si="173"/>
        <v>a1b6c3</v>
      </c>
      <c r="H934" s="12" t="str">
        <f t="shared" si="174"/>
        <v>LAASa1b6c3</v>
      </c>
      <c r="J934" s="12" t="s">
        <v>8028</v>
      </c>
      <c r="K934" s="12" t="str">
        <f t="shared" si="175"/>
        <v>1812</v>
      </c>
      <c r="L934" s="12" t="s">
        <v>74</v>
      </c>
      <c r="M934" s="12" t="s">
        <v>8029</v>
      </c>
      <c r="N934" s="12" t="str">
        <f t="shared" si="180"/>
        <v>1812</v>
      </c>
      <c r="O934" s="12" t="str">
        <f t="shared" si="181"/>
        <v>1812</v>
      </c>
      <c r="P934" s="12" t="s">
        <v>8030</v>
      </c>
      <c r="Q934" s="12" t="str">
        <f t="shared" si="176"/>
        <v>1812</v>
      </c>
      <c r="R934" s="12" t="s">
        <v>8031</v>
      </c>
      <c r="S934" s="12" t="str">
        <f t="shared" si="177"/>
        <v>1884</v>
      </c>
      <c r="V934" s="12" t="str">
        <f t="shared" si="178"/>
        <v/>
      </c>
      <c r="W934" s="2" t="s">
        <v>1903</v>
      </c>
      <c r="X934" s="2" t="s">
        <v>1900</v>
      </c>
      <c r="Y934" s="2" t="s">
        <v>8032</v>
      </c>
      <c r="AC934" s="2" t="s">
        <v>8033</v>
      </c>
      <c r="AF934" s="2" t="s">
        <v>3677</v>
      </c>
      <c r="AG934" s="12" t="s">
        <v>53</v>
      </c>
      <c r="AH934" s="12" t="s">
        <v>8022</v>
      </c>
      <c r="AI934" s="12" t="str">
        <f t="shared" si="179"/>
        <v>1837</v>
      </c>
      <c r="AJ934" s="12" t="s">
        <v>504</v>
      </c>
      <c r="AK934" s="12" t="s">
        <v>81</v>
      </c>
    </row>
    <row r="935" spans="1:59">
      <c r="A935" s="12" t="s">
        <v>2381</v>
      </c>
      <c r="B935" s="12" t="str">
        <f t="shared" si="171"/>
        <v>LAAS</v>
      </c>
      <c r="C935" s="12" t="str">
        <f t="shared" si="172"/>
        <v>LAAS</v>
      </c>
      <c r="D935" s="12" t="s">
        <v>398</v>
      </c>
      <c r="E935" s="12" t="str">
        <f t="shared" si="182"/>
        <v>Cornelis Johannes</v>
      </c>
      <c r="F935" s="12" t="s">
        <v>839</v>
      </c>
      <c r="G935" s="12" t="str">
        <f t="shared" si="173"/>
        <v>a1b6c6</v>
      </c>
      <c r="H935" s="12" t="str">
        <f t="shared" si="174"/>
        <v>LAASa1b6c6</v>
      </c>
      <c r="J935" s="12" t="s">
        <v>8026</v>
      </c>
      <c r="K935" s="12" t="str">
        <f t="shared" si="175"/>
        <v>1819</v>
      </c>
      <c r="L935" s="12" t="s">
        <v>53</v>
      </c>
      <c r="M935" s="12" t="s">
        <v>5540</v>
      </c>
      <c r="N935" s="12" t="str">
        <f t="shared" si="180"/>
        <v>1819</v>
      </c>
      <c r="O935" s="12" t="str">
        <f t="shared" si="181"/>
        <v>1819</v>
      </c>
      <c r="P935" s="12"/>
      <c r="Q935" s="12" t="str">
        <f t="shared" si="176"/>
        <v>1819</v>
      </c>
      <c r="R935" s="12"/>
      <c r="S935" s="12" t="str">
        <f t="shared" si="177"/>
        <v/>
      </c>
      <c r="T935" s="12"/>
      <c r="U935" s="12"/>
      <c r="V935" s="12" t="str">
        <f t="shared" si="178"/>
        <v/>
      </c>
      <c r="W935" s="12" t="s">
        <v>1943</v>
      </c>
      <c r="X935" s="12" t="s">
        <v>1330</v>
      </c>
      <c r="Y935" s="12" t="s">
        <v>8027</v>
      </c>
      <c r="AC935" s="12" t="s">
        <v>515</v>
      </c>
      <c r="AD935" s="12"/>
      <c r="AF935" s="12" t="s">
        <v>3677</v>
      </c>
      <c r="AG935" s="12" t="s">
        <v>53</v>
      </c>
      <c r="AH935" s="12" t="s">
        <v>8022</v>
      </c>
      <c r="AI935" s="12" t="str">
        <f t="shared" si="179"/>
        <v>1837</v>
      </c>
      <c r="AJ935" s="2" t="s">
        <v>504</v>
      </c>
      <c r="AK935" s="2" t="s">
        <v>90</v>
      </c>
    </row>
    <row r="936" spans="1:59">
      <c r="A936" s="12" t="s">
        <v>625</v>
      </c>
      <c r="B936" s="12" t="str">
        <f t="shared" si="171"/>
        <v>LABUSCHAGNE</v>
      </c>
      <c r="C936" s="12" t="str">
        <f t="shared" si="172"/>
        <v>LABUSCHAGNE</v>
      </c>
      <c r="D936" s="12" t="s">
        <v>8017</v>
      </c>
      <c r="E936" s="12" t="str">
        <f t="shared" si="182"/>
        <v>Philippus Andreas</v>
      </c>
      <c r="F936" s="12" t="s">
        <v>8018</v>
      </c>
      <c r="G936" s="12" t="str">
        <f t="shared" si="173"/>
        <v>a1b2c4d1e12</v>
      </c>
      <c r="H936" s="12" t="str">
        <f t="shared" si="174"/>
        <v>LABUSCHAGNEa1b2c4d1e12</v>
      </c>
      <c r="J936" s="12" t="s">
        <v>8141</v>
      </c>
      <c r="K936" s="12" t="str">
        <f t="shared" si="175"/>
        <v>1815</v>
      </c>
      <c r="L936" s="12" t="s">
        <v>74</v>
      </c>
      <c r="M936" s="12" t="s">
        <v>962</v>
      </c>
      <c r="N936" s="12" t="str">
        <f t="shared" si="180"/>
        <v>1815</v>
      </c>
      <c r="O936" s="12" t="str">
        <f t="shared" si="181"/>
        <v>1817</v>
      </c>
      <c r="Q936" s="12" t="str">
        <f t="shared" si="176"/>
        <v>1815</v>
      </c>
      <c r="R936" s="2" t="s">
        <v>8142</v>
      </c>
      <c r="S936" s="12" t="str">
        <f t="shared" si="177"/>
        <v>1904</v>
      </c>
      <c r="V936" s="12" t="str">
        <f t="shared" si="178"/>
        <v/>
      </c>
      <c r="W936" s="2" t="s">
        <v>8143</v>
      </c>
      <c r="X936" s="2" t="s">
        <v>1453</v>
      </c>
      <c r="AF936" s="12"/>
      <c r="AG936" s="12"/>
      <c r="AH936" s="12"/>
      <c r="AI936" s="12" t="str">
        <f t="shared" si="179"/>
        <v/>
      </c>
      <c r="AJ936" s="12"/>
      <c r="AL936" s="2" t="s">
        <v>28</v>
      </c>
      <c r="AM936" s="2" t="s">
        <v>3915</v>
      </c>
      <c r="AN936" s="2" t="s">
        <v>8144</v>
      </c>
      <c r="AO936" s="2" t="s">
        <v>822</v>
      </c>
      <c r="AP936" s="2" t="s">
        <v>8145</v>
      </c>
      <c r="AR936" s="2" t="s">
        <v>8146</v>
      </c>
      <c r="AY936" s="2" t="s">
        <v>622</v>
      </c>
      <c r="AZ936" s="2" t="s">
        <v>822</v>
      </c>
    </row>
    <row r="937" spans="1:59">
      <c r="A937" s="12" t="s">
        <v>625</v>
      </c>
      <c r="B937" s="12" t="str">
        <f t="shared" si="171"/>
        <v>LABUSCHAGNE</v>
      </c>
      <c r="C937" s="12" t="str">
        <f t="shared" si="172"/>
        <v>LABUSCHAGNE</v>
      </c>
      <c r="D937" s="12" t="s">
        <v>7991</v>
      </c>
      <c r="E937" s="12" t="str">
        <f t="shared" si="182"/>
        <v>Casper Johannes Cornelis</v>
      </c>
      <c r="F937" s="12" t="s">
        <v>7992</v>
      </c>
      <c r="G937" s="12" t="str">
        <f t="shared" si="173"/>
        <v>a1b2c4d1e15</v>
      </c>
      <c r="H937" s="12" t="str">
        <f t="shared" si="174"/>
        <v>LABUSCHAGNEa1b2c4d1e15</v>
      </c>
      <c r="J937" s="12" t="s">
        <v>8052</v>
      </c>
      <c r="K937" s="12" t="str">
        <f t="shared" si="175"/>
        <v>1823</v>
      </c>
      <c r="L937" s="12" t="s">
        <v>28</v>
      </c>
      <c r="M937" s="12" t="s">
        <v>8053</v>
      </c>
      <c r="N937" s="12" t="str">
        <f t="shared" si="180"/>
        <v>1823</v>
      </c>
      <c r="O937" s="12" t="str">
        <f t="shared" si="181"/>
        <v>1823</v>
      </c>
      <c r="P937" s="2" t="s">
        <v>2520</v>
      </c>
      <c r="Q937" s="12" t="str">
        <f t="shared" si="176"/>
        <v>1823</v>
      </c>
      <c r="R937" s="2" t="s">
        <v>8054</v>
      </c>
      <c r="S937" s="12" t="str">
        <f t="shared" si="177"/>
        <v>1889</v>
      </c>
      <c r="T937" s="2" t="s">
        <v>5146</v>
      </c>
      <c r="U937" s="2" t="s">
        <v>8055</v>
      </c>
      <c r="V937" s="12" t="str">
        <f t="shared" si="178"/>
        <v>1845</v>
      </c>
      <c r="W937" s="2" t="s">
        <v>819</v>
      </c>
      <c r="X937" s="2" t="s">
        <v>3799</v>
      </c>
      <c r="Y937" s="2" t="s">
        <v>8056</v>
      </c>
      <c r="AC937" s="2" t="s">
        <v>8057</v>
      </c>
      <c r="AE937" s="2" t="s">
        <v>8058</v>
      </c>
      <c r="AG937" s="12"/>
      <c r="AH937" s="12" t="s">
        <v>2030</v>
      </c>
      <c r="AI937" s="12" t="str">
        <f t="shared" si="179"/>
        <v>1845</v>
      </c>
      <c r="AJ937" s="12"/>
      <c r="AK937" s="12" t="s">
        <v>90</v>
      </c>
    </row>
    <row r="938" spans="1:59">
      <c r="A938" s="12" t="s">
        <v>625</v>
      </c>
      <c r="B938" s="12" t="str">
        <f t="shared" si="171"/>
        <v>LABUSCHAGNE</v>
      </c>
      <c r="C938" s="12" t="str">
        <f t="shared" si="172"/>
        <v>LABUSCHAGNE</v>
      </c>
      <c r="D938" s="12" t="s">
        <v>3232</v>
      </c>
      <c r="E938" s="12" t="str">
        <f t="shared" si="182"/>
        <v>Pieter Jacobus</v>
      </c>
      <c r="F938" s="12" t="s">
        <v>8019</v>
      </c>
      <c r="G938" s="12" t="str">
        <f t="shared" si="173"/>
        <v>a1b2c4d1e1f2</v>
      </c>
      <c r="H938" s="12" t="str">
        <f t="shared" si="174"/>
        <v>LABUSCHAGNEa1b2c4d1e1f2</v>
      </c>
      <c r="J938" s="2" t="s">
        <v>1070</v>
      </c>
      <c r="K938" s="12" t="str">
        <f t="shared" si="175"/>
        <v>1813</v>
      </c>
      <c r="L938" s="12" t="s">
        <v>74</v>
      </c>
      <c r="M938" s="12" t="s">
        <v>4857</v>
      </c>
      <c r="N938" s="12" t="str">
        <f t="shared" si="180"/>
        <v>1813</v>
      </c>
      <c r="O938" s="12" t="str">
        <f t="shared" si="181"/>
        <v>1814</v>
      </c>
      <c r="Q938" s="12" t="str">
        <f t="shared" si="176"/>
        <v>1813</v>
      </c>
      <c r="S938" s="12" t="str">
        <f t="shared" si="177"/>
        <v/>
      </c>
      <c r="T938" s="12" t="s">
        <v>4100</v>
      </c>
      <c r="U938" s="12" t="s">
        <v>5731</v>
      </c>
      <c r="V938" s="12" t="str">
        <f t="shared" si="178"/>
        <v>1834</v>
      </c>
      <c r="W938" s="12" t="s">
        <v>8147</v>
      </c>
      <c r="X938" s="12" t="s">
        <v>1453</v>
      </c>
      <c r="AF938" s="12" t="s">
        <v>8148</v>
      </c>
      <c r="AG938" s="12" t="s">
        <v>68</v>
      </c>
      <c r="AH938" s="12" t="s">
        <v>8149</v>
      </c>
      <c r="AI938" s="12" t="str">
        <f t="shared" si="179"/>
        <v>1837</v>
      </c>
      <c r="AJ938" s="12"/>
      <c r="AK938" s="2" t="s">
        <v>90</v>
      </c>
      <c r="AL938" s="2" t="s">
        <v>28</v>
      </c>
      <c r="AM938" s="2" t="s">
        <v>281</v>
      </c>
      <c r="AN938" s="2" t="s">
        <v>8150</v>
      </c>
      <c r="AO938" s="2" t="s">
        <v>625</v>
      </c>
      <c r="AP938" s="2" t="s">
        <v>8151</v>
      </c>
      <c r="AS938" s="2" t="s">
        <v>28</v>
      </c>
      <c r="AT938" s="2" t="s">
        <v>8152</v>
      </c>
    </row>
    <row r="939" spans="1:59">
      <c r="A939" s="12" t="s">
        <v>625</v>
      </c>
      <c r="B939" s="12" t="str">
        <f t="shared" si="171"/>
        <v>LABUSCHAGNE</v>
      </c>
      <c r="C939" s="12" t="str">
        <f t="shared" si="172"/>
        <v>LABUSCHAGNE</v>
      </c>
      <c r="D939" s="12" t="s">
        <v>8000</v>
      </c>
      <c r="E939" s="12" t="str">
        <f t="shared" si="182"/>
        <v>Frans Marthinus</v>
      </c>
      <c r="F939" s="2" t="s">
        <v>8001</v>
      </c>
      <c r="G939" s="12" t="str">
        <f t="shared" si="173"/>
        <v>a1b2c4d1e9</v>
      </c>
      <c r="H939" s="12" t="str">
        <f t="shared" si="174"/>
        <v>LABUSCHAGNEa1b2c4d1e9</v>
      </c>
      <c r="J939" s="2" t="s">
        <v>8076</v>
      </c>
      <c r="K939" s="12" t="str">
        <f t="shared" si="175"/>
        <v>1811</v>
      </c>
      <c r="M939" s="2" t="s">
        <v>4879</v>
      </c>
      <c r="N939" s="12" t="str">
        <f t="shared" si="180"/>
        <v>1811</v>
      </c>
      <c r="O939" s="12" t="str">
        <f t="shared" si="181"/>
        <v>1811</v>
      </c>
      <c r="Q939" s="12" t="str">
        <f t="shared" si="176"/>
        <v>1811</v>
      </c>
      <c r="S939" s="12" t="str">
        <f t="shared" si="177"/>
        <v/>
      </c>
      <c r="T939" s="2" t="s">
        <v>28</v>
      </c>
      <c r="U939" s="2" t="s">
        <v>8077</v>
      </c>
      <c r="V939" s="12" t="str">
        <f t="shared" si="178"/>
        <v>1832</v>
      </c>
      <c r="W939" s="2" t="s">
        <v>8078</v>
      </c>
      <c r="X939" s="2" t="s">
        <v>1453</v>
      </c>
      <c r="AF939" s="2" t="s">
        <v>3699</v>
      </c>
      <c r="AG939" s="2" t="s">
        <v>68</v>
      </c>
      <c r="AH939" s="12" t="s">
        <v>8079</v>
      </c>
      <c r="AI939" s="12" t="str">
        <f t="shared" si="179"/>
        <v>1839</v>
      </c>
      <c r="AK939" s="12" t="s">
        <v>1654</v>
      </c>
      <c r="AL939" s="2" t="s">
        <v>140</v>
      </c>
      <c r="AM939" s="2" t="s">
        <v>3037</v>
      </c>
      <c r="AN939" s="2" t="s">
        <v>8080</v>
      </c>
      <c r="AO939" s="2" t="s">
        <v>4871</v>
      </c>
    </row>
    <row r="940" spans="1:59">
      <c r="A940" s="12" t="s">
        <v>625</v>
      </c>
      <c r="B940" s="12" t="str">
        <f t="shared" si="171"/>
        <v>LABUSCHAGNE</v>
      </c>
      <c r="C940" s="12" t="str">
        <f t="shared" si="172"/>
        <v>LABUSCHAGNE</v>
      </c>
      <c r="D940" s="12" t="s">
        <v>7986</v>
      </c>
      <c r="E940" s="12" t="str">
        <f t="shared" si="182"/>
        <v xml:space="preserve">Casper (Jeremias) </v>
      </c>
      <c r="F940" s="2" t="s">
        <v>7987</v>
      </c>
      <c r="G940" s="12" t="str">
        <f t="shared" si="173"/>
        <v>a1b2c4d3</v>
      </c>
      <c r="H940" s="12" t="str">
        <f t="shared" si="174"/>
        <v>LABUSCHAGNEa1b2c4d3</v>
      </c>
      <c r="J940" s="12"/>
      <c r="K940" s="12" t="str">
        <f t="shared" si="175"/>
        <v/>
      </c>
      <c r="M940" s="12" t="s">
        <v>8036</v>
      </c>
      <c r="N940" s="12" t="str">
        <f t="shared" si="180"/>
        <v/>
      </c>
      <c r="O940" s="12" t="str">
        <f t="shared" si="181"/>
        <v>1770</v>
      </c>
      <c r="P940" s="2" t="s">
        <v>8037</v>
      </c>
      <c r="Q940" s="12" t="str">
        <f t="shared" si="176"/>
        <v>1770</v>
      </c>
      <c r="R940" s="2" t="s">
        <v>8038</v>
      </c>
      <c r="S940" s="12" t="str">
        <f t="shared" si="177"/>
        <v>1860</v>
      </c>
      <c r="T940" s="12"/>
      <c r="U940" s="12" t="s">
        <v>3271</v>
      </c>
      <c r="V940" s="12" t="str">
        <f t="shared" si="178"/>
        <v>1795</v>
      </c>
      <c r="W940" s="12" t="s">
        <v>681</v>
      </c>
      <c r="X940" s="12" t="s">
        <v>698</v>
      </c>
      <c r="AF940" s="2" t="s">
        <v>3699</v>
      </c>
      <c r="AG940" s="12" t="s">
        <v>68</v>
      </c>
      <c r="AH940" s="12" t="s">
        <v>1110</v>
      </c>
      <c r="AI940" s="12" t="str">
        <f t="shared" si="179"/>
        <v>1837</v>
      </c>
      <c r="AJ940" s="2" t="s">
        <v>5437</v>
      </c>
      <c r="AK940" s="12"/>
    </row>
    <row r="941" spans="1:59">
      <c r="A941" s="12" t="s">
        <v>625</v>
      </c>
      <c r="B941" s="12" t="str">
        <f t="shared" si="171"/>
        <v>LABUSCHAGNE</v>
      </c>
      <c r="C941" s="12" t="str">
        <f t="shared" si="172"/>
        <v>LABUSCHAGNE</v>
      </c>
      <c r="D941" s="12" t="s">
        <v>8008</v>
      </c>
      <c r="E941" s="12" t="str">
        <f t="shared" si="182"/>
        <v>Jan Harm</v>
      </c>
      <c r="F941" s="12" t="s">
        <v>8009</v>
      </c>
      <c r="G941" s="12" t="str">
        <f t="shared" si="173"/>
        <v>a1b2c4d3e1</v>
      </c>
      <c r="H941" s="12" t="str">
        <f t="shared" si="174"/>
        <v>LABUSCHAGNEa1b2c4d3e1</v>
      </c>
      <c r="K941" s="12" t="str">
        <f t="shared" si="175"/>
        <v/>
      </c>
      <c r="M941" s="12" t="s">
        <v>2826</v>
      </c>
      <c r="N941" s="12" t="str">
        <f t="shared" si="180"/>
        <v/>
      </c>
      <c r="O941" s="12" t="str">
        <f t="shared" si="181"/>
        <v>1796</v>
      </c>
      <c r="P941" s="12" t="s">
        <v>8103</v>
      </c>
      <c r="Q941" s="12" t="str">
        <f t="shared" si="176"/>
        <v>1796</v>
      </c>
      <c r="R941" s="12" t="s">
        <v>8104</v>
      </c>
      <c r="S941" s="12" t="str">
        <f t="shared" si="177"/>
        <v>1874</v>
      </c>
      <c r="T941" s="12" t="s">
        <v>48</v>
      </c>
      <c r="U941" s="12" t="s">
        <v>8105</v>
      </c>
      <c r="V941" s="12" t="str">
        <f t="shared" si="178"/>
        <v>1816</v>
      </c>
      <c r="W941" s="12" t="s">
        <v>8106</v>
      </c>
      <c r="X941" s="12" t="s">
        <v>625</v>
      </c>
      <c r="Y941" s="12"/>
      <c r="AC941" s="2" t="s">
        <v>8068</v>
      </c>
      <c r="AD941" s="12"/>
      <c r="AE941" s="12"/>
      <c r="AF941" s="2" t="s">
        <v>8064</v>
      </c>
      <c r="AG941" s="12" t="s">
        <v>68</v>
      </c>
      <c r="AH941" s="12" t="s">
        <v>1110</v>
      </c>
      <c r="AI941" s="12" t="str">
        <f t="shared" si="179"/>
        <v>1837</v>
      </c>
      <c r="AK941" s="12" t="s">
        <v>90</v>
      </c>
      <c r="AL941" s="12" t="s">
        <v>28</v>
      </c>
      <c r="AM941" s="12" t="s">
        <v>2892</v>
      </c>
      <c r="AN941" s="12" t="s">
        <v>8107</v>
      </c>
      <c r="AO941" s="12" t="s">
        <v>2106</v>
      </c>
      <c r="AP941" s="2" t="s">
        <v>8108</v>
      </c>
      <c r="AT941" s="2" t="s">
        <v>8109</v>
      </c>
    </row>
    <row r="942" spans="1:59">
      <c r="A942" s="12" t="s">
        <v>625</v>
      </c>
      <c r="B942" s="12" t="str">
        <f t="shared" si="171"/>
        <v>LABUSCHAGNE</v>
      </c>
      <c r="C942" s="12" t="str">
        <f t="shared" si="172"/>
        <v>LABUSCHAGNE</v>
      </c>
      <c r="D942" s="12" t="s">
        <v>8004</v>
      </c>
      <c r="E942" s="12" t="str">
        <f t="shared" si="182"/>
        <v>Hendrik Adriaan</v>
      </c>
      <c r="F942" s="12" t="s">
        <v>8005</v>
      </c>
      <c r="G942" s="12" t="str">
        <f t="shared" si="173"/>
        <v>a1b2c4d3e1f2</v>
      </c>
      <c r="H942" s="12" t="str">
        <f t="shared" si="174"/>
        <v>LABUSCHAGNEa1b2c4d3e1f2</v>
      </c>
      <c r="J942" s="2" t="s">
        <v>8090</v>
      </c>
      <c r="K942" s="12" t="str">
        <f t="shared" si="175"/>
        <v>1819</v>
      </c>
      <c r="L942" s="12" t="s">
        <v>28</v>
      </c>
      <c r="M942" s="12" t="s">
        <v>8091</v>
      </c>
      <c r="N942" s="12" t="str">
        <f t="shared" si="180"/>
        <v>1819</v>
      </c>
      <c r="O942" s="12" t="str">
        <f t="shared" si="181"/>
        <v>1819</v>
      </c>
      <c r="Q942" s="12" t="str">
        <f t="shared" si="176"/>
        <v>1819</v>
      </c>
      <c r="R942" s="2" t="s">
        <v>8092</v>
      </c>
      <c r="S942" s="12" t="str">
        <f t="shared" si="177"/>
        <v>1895</v>
      </c>
      <c r="T942" s="12"/>
      <c r="U942" s="12"/>
      <c r="V942" s="12" t="str">
        <f t="shared" si="178"/>
        <v/>
      </c>
      <c r="W942" s="12" t="s">
        <v>8093</v>
      </c>
      <c r="X942" s="12" t="s">
        <v>695</v>
      </c>
      <c r="Y942" s="2" t="s">
        <v>8094</v>
      </c>
      <c r="AA942" s="2" t="s">
        <v>8095</v>
      </c>
      <c r="AC942" s="2" t="s">
        <v>8096</v>
      </c>
      <c r="AD942" s="12"/>
      <c r="AE942" s="12" t="s">
        <v>8097</v>
      </c>
      <c r="AF942" s="2" t="s">
        <v>3699</v>
      </c>
      <c r="AG942" s="12" t="s">
        <v>8098</v>
      </c>
      <c r="AH942" s="12" t="s">
        <v>1110</v>
      </c>
      <c r="AI942" s="12" t="str">
        <f t="shared" si="179"/>
        <v>1837</v>
      </c>
      <c r="AK942" s="12" t="s">
        <v>2355</v>
      </c>
    </row>
    <row r="943" spans="1:59">
      <c r="A943" s="12" t="s">
        <v>625</v>
      </c>
      <c r="B943" s="12" t="str">
        <f t="shared" si="171"/>
        <v>LABUSCHAGNE</v>
      </c>
      <c r="C943" s="12" t="str">
        <f t="shared" si="172"/>
        <v>LABUSCHAGNE</v>
      </c>
      <c r="D943" s="12" t="s">
        <v>3433</v>
      </c>
      <c r="E943" s="12" t="str">
        <f t="shared" si="182"/>
        <v>Casper Jeremias</v>
      </c>
      <c r="F943" s="2" t="s">
        <v>7989</v>
      </c>
      <c r="G943" s="12" t="str">
        <f t="shared" si="173"/>
        <v>a1b2c4d3e1f3</v>
      </c>
      <c r="H943" s="12" t="str">
        <f t="shared" si="174"/>
        <v>LABUSCHAGNEa1b2c4d3e1f3</v>
      </c>
      <c r="J943" s="2" t="s">
        <v>8044</v>
      </c>
      <c r="K943" s="12" t="str">
        <f t="shared" si="175"/>
        <v>1821</v>
      </c>
      <c r="L943" s="2" t="s">
        <v>28</v>
      </c>
      <c r="M943" s="2" t="s">
        <v>8045</v>
      </c>
      <c r="N943" s="12" t="str">
        <f t="shared" si="180"/>
        <v>1821</v>
      </c>
      <c r="O943" s="12" t="str">
        <f t="shared" si="181"/>
        <v>1821</v>
      </c>
      <c r="Q943" s="12" t="str">
        <f t="shared" si="176"/>
        <v>1821</v>
      </c>
      <c r="R943" s="2" t="s">
        <v>8046</v>
      </c>
      <c r="S943" s="12" t="str">
        <f t="shared" si="177"/>
        <v>1890</v>
      </c>
      <c r="V943" s="12" t="str">
        <f t="shared" si="178"/>
        <v/>
      </c>
      <c r="W943" s="2" t="s">
        <v>8047</v>
      </c>
      <c r="X943" s="2" t="s">
        <v>625</v>
      </c>
      <c r="Y943" s="2" t="s">
        <v>8048</v>
      </c>
      <c r="AA943" s="2" t="s">
        <v>8049</v>
      </c>
      <c r="AC943" s="2" t="s">
        <v>4714</v>
      </c>
      <c r="AF943" s="2" t="s">
        <v>3699</v>
      </c>
      <c r="AG943" s="2" t="s">
        <v>68</v>
      </c>
      <c r="AH943" s="2" t="s">
        <v>1110</v>
      </c>
      <c r="AI943" s="12" t="str">
        <f t="shared" si="179"/>
        <v>1837</v>
      </c>
      <c r="AK943" s="2" t="s">
        <v>90</v>
      </c>
    </row>
    <row r="944" spans="1:59">
      <c r="A944" s="12" t="s">
        <v>625</v>
      </c>
      <c r="B944" s="12" t="str">
        <f t="shared" si="171"/>
        <v>LABUSCHAGNE</v>
      </c>
      <c r="C944" s="12" t="str">
        <f t="shared" si="172"/>
        <v>LABUSCHAGNE</v>
      </c>
      <c r="D944" s="12" t="s">
        <v>3283</v>
      </c>
      <c r="E944" s="12" t="str">
        <f t="shared" si="182"/>
        <v>Jan Hendrik</v>
      </c>
      <c r="F944" s="12" t="s">
        <v>8012</v>
      </c>
      <c r="G944" s="12" t="str">
        <f t="shared" si="173"/>
        <v>a1b2c4d3e1f4</v>
      </c>
      <c r="H944" s="12" t="str">
        <f t="shared" si="174"/>
        <v>LABUSCHAGNEa1b2c4d3e1f4</v>
      </c>
      <c r="J944" s="12" t="s">
        <v>8125</v>
      </c>
      <c r="K944" s="12" t="str">
        <f t="shared" si="175"/>
        <v>1824</v>
      </c>
      <c r="L944" s="12"/>
      <c r="M944" s="12" t="s">
        <v>3572</v>
      </c>
      <c r="N944" s="12" t="str">
        <f t="shared" si="180"/>
        <v>1824</v>
      </c>
      <c r="O944" s="12" t="str">
        <f t="shared" si="181"/>
        <v>1824</v>
      </c>
      <c r="P944" s="12"/>
      <c r="Q944" s="12" t="str">
        <f t="shared" si="176"/>
        <v>1824</v>
      </c>
      <c r="R944" s="12" t="s">
        <v>8126</v>
      </c>
      <c r="S944" s="12" t="str">
        <f t="shared" si="177"/>
        <v>1891</v>
      </c>
      <c r="V944" s="12" t="str">
        <f t="shared" si="178"/>
        <v/>
      </c>
      <c r="W944" s="12" t="s">
        <v>8127</v>
      </c>
      <c r="X944" s="2" t="s">
        <v>726</v>
      </c>
      <c r="Y944" s="2" t="s">
        <v>3415</v>
      </c>
      <c r="AA944" s="2" t="s">
        <v>3416</v>
      </c>
      <c r="AC944" s="2" t="s">
        <v>3417</v>
      </c>
      <c r="AE944" s="2" t="s">
        <v>8128</v>
      </c>
      <c r="AF944" s="2" t="s">
        <v>8064</v>
      </c>
      <c r="AG944" s="12" t="s">
        <v>8098</v>
      </c>
      <c r="AH944" s="12" t="s">
        <v>1110</v>
      </c>
      <c r="AI944" s="12" t="str">
        <f t="shared" si="179"/>
        <v>1837</v>
      </c>
      <c r="AJ944" s="12"/>
      <c r="AK944" s="12" t="s">
        <v>90</v>
      </c>
      <c r="AM944" s="2" t="s">
        <v>8129</v>
      </c>
      <c r="AN944" s="12" t="s">
        <v>8130</v>
      </c>
      <c r="AO944" s="12" t="s">
        <v>2026</v>
      </c>
      <c r="AP944" s="2" t="s">
        <v>8131</v>
      </c>
    </row>
    <row r="945" spans="1:59" s="5" customFormat="1">
      <c r="A945" s="5" t="s">
        <v>625</v>
      </c>
      <c r="B945" s="5" t="str">
        <f t="shared" si="171"/>
        <v>LABUSCHAGNE</v>
      </c>
      <c r="C945" s="5" t="str">
        <f t="shared" si="172"/>
        <v>LABUSCHAGNE</v>
      </c>
      <c r="D945" s="5" t="s">
        <v>3433</v>
      </c>
      <c r="E945" s="12" t="str">
        <f t="shared" si="182"/>
        <v>Casper Jeremias</v>
      </c>
      <c r="F945" s="5" t="s">
        <v>7990</v>
      </c>
      <c r="G945" s="5" t="str">
        <f t="shared" si="173"/>
        <v>a1b2c4d3e2f1</v>
      </c>
      <c r="H945" s="5" t="str">
        <f t="shared" si="174"/>
        <v>LABUSCHAGNEa1b2c4d3e2f1</v>
      </c>
      <c r="J945" s="5" t="s">
        <v>8050</v>
      </c>
      <c r="K945" s="5" t="str">
        <f t="shared" si="175"/>
        <v>1825</v>
      </c>
      <c r="L945" s="5" t="s">
        <v>28</v>
      </c>
      <c r="M945" s="5" t="s">
        <v>988</v>
      </c>
      <c r="N945" s="5" t="str">
        <f t="shared" si="180"/>
        <v>1825</v>
      </c>
      <c r="O945" s="5" t="str">
        <f t="shared" si="181"/>
        <v>1825</v>
      </c>
      <c r="Q945" s="5" t="str">
        <f t="shared" si="176"/>
        <v>1825</v>
      </c>
      <c r="S945" s="5" t="str">
        <f t="shared" si="177"/>
        <v/>
      </c>
      <c r="T945" s="5" t="s">
        <v>5146</v>
      </c>
      <c r="U945" s="5" t="s">
        <v>8051</v>
      </c>
      <c r="V945" s="5" t="str">
        <f t="shared" si="178"/>
        <v>1850</v>
      </c>
      <c r="W945" s="5" t="s">
        <v>7251</v>
      </c>
      <c r="X945" s="5" t="s">
        <v>726</v>
      </c>
      <c r="AF945" s="5" t="s">
        <v>3699</v>
      </c>
      <c r="AG945" s="5" t="s">
        <v>68</v>
      </c>
      <c r="AH945" s="5" t="s">
        <v>1110</v>
      </c>
      <c r="AI945" s="5" t="str">
        <f t="shared" si="179"/>
        <v>1837</v>
      </c>
      <c r="AK945" s="5" t="s">
        <v>90</v>
      </c>
      <c r="AN945" s="5" t="s">
        <v>4191</v>
      </c>
      <c r="AO945" s="5" t="s">
        <v>1292</v>
      </c>
    </row>
    <row r="946" spans="1:59" s="5" customFormat="1">
      <c r="A946" s="5" t="s">
        <v>625</v>
      </c>
      <c r="B946" s="5" t="str">
        <f t="shared" si="171"/>
        <v>LABUSCHAGNE</v>
      </c>
      <c r="C946" s="5" t="str">
        <f t="shared" si="172"/>
        <v>LABUSCHAGNE</v>
      </c>
      <c r="D946" s="5" t="s">
        <v>1472</v>
      </c>
      <c r="E946" s="12" t="str">
        <f t="shared" si="182"/>
        <v>Willem Adriaan</v>
      </c>
      <c r="F946" s="19" t="s">
        <v>15796</v>
      </c>
      <c r="G946" s="5" t="str">
        <f t="shared" si="173"/>
        <v>a1b2c4d3e1f6</v>
      </c>
      <c r="H946" s="5" t="str">
        <f t="shared" si="174"/>
        <v>LABUSCHAGNEa1b2c4d3e1f6</v>
      </c>
      <c r="K946" s="5" t="str">
        <f t="shared" si="175"/>
        <v/>
      </c>
      <c r="M946" s="5" t="s">
        <v>8068</v>
      </c>
      <c r="N946" s="5" t="str">
        <f t="shared" si="180"/>
        <v/>
      </c>
      <c r="O946" s="5" t="str">
        <f t="shared" si="181"/>
        <v>1798</v>
      </c>
      <c r="P946" s="5" t="s">
        <v>8159</v>
      </c>
      <c r="Q946" s="5" t="str">
        <f t="shared" si="176"/>
        <v>1798</v>
      </c>
      <c r="R946" s="5" t="s">
        <v>8160</v>
      </c>
      <c r="S946" s="5" t="str">
        <f t="shared" si="177"/>
        <v>1866</v>
      </c>
      <c r="T946" s="5" t="s">
        <v>74</v>
      </c>
      <c r="U946" s="5" t="s">
        <v>1331</v>
      </c>
      <c r="V946" s="5" t="str">
        <f t="shared" si="178"/>
        <v>1817</v>
      </c>
      <c r="W946" s="5" t="s">
        <v>8161</v>
      </c>
      <c r="X946" s="5" t="s">
        <v>2026</v>
      </c>
      <c r="Y946" s="5" t="s">
        <v>7524</v>
      </c>
      <c r="AF946" s="5" t="s">
        <v>8148</v>
      </c>
      <c r="AG946" s="5" t="s">
        <v>68</v>
      </c>
      <c r="AH946" s="5" t="s">
        <v>1110</v>
      </c>
      <c r="AI946" s="5" t="str">
        <f t="shared" si="179"/>
        <v>1837</v>
      </c>
      <c r="AJ946" s="5" t="s">
        <v>5437</v>
      </c>
      <c r="AK946" s="5" t="s">
        <v>90</v>
      </c>
      <c r="AL946" s="5" t="s">
        <v>28</v>
      </c>
      <c r="AM946" s="5" t="s">
        <v>4790</v>
      </c>
      <c r="AN946" s="5" t="s">
        <v>7450</v>
      </c>
      <c r="AO946" s="5" t="s">
        <v>625</v>
      </c>
      <c r="AP946" s="5" t="s">
        <v>8162</v>
      </c>
      <c r="AY946" s="5" t="s">
        <v>8163</v>
      </c>
      <c r="AZ946" s="5" t="s">
        <v>662</v>
      </c>
    </row>
    <row r="947" spans="1:59">
      <c r="A947" s="12" t="s">
        <v>625</v>
      </c>
      <c r="B947" s="12" t="str">
        <f t="shared" si="171"/>
        <v>LABUSCHAGNE</v>
      </c>
      <c r="C947" s="12" t="str">
        <f t="shared" si="172"/>
        <v>LABUSCHAGNE</v>
      </c>
      <c r="D947" s="12" t="s">
        <v>3433</v>
      </c>
      <c r="E947" s="12" t="str">
        <f t="shared" si="182"/>
        <v>Casper Jeremias</v>
      </c>
      <c r="F947" s="12" t="s">
        <v>7988</v>
      </c>
      <c r="G947" s="12" t="str">
        <f t="shared" si="173"/>
        <v>a1b2c4d3e4</v>
      </c>
      <c r="H947" s="12" t="str">
        <f t="shared" si="174"/>
        <v>LABUSCHAGNEa1b2c4d3e4</v>
      </c>
      <c r="K947" s="12" t="str">
        <f t="shared" si="175"/>
        <v/>
      </c>
      <c r="L947" s="12" t="s">
        <v>74</v>
      </c>
      <c r="M947" s="12" t="s">
        <v>8039</v>
      </c>
      <c r="N947" s="12" t="str">
        <f t="shared" si="180"/>
        <v/>
      </c>
      <c r="O947" s="12" t="str">
        <f t="shared" si="181"/>
        <v>1801</v>
      </c>
      <c r="P947" s="12" t="s">
        <v>8040</v>
      </c>
      <c r="Q947" s="12" t="str">
        <f t="shared" si="176"/>
        <v>1801</v>
      </c>
      <c r="R947" s="12" t="s">
        <v>8041</v>
      </c>
      <c r="S947" s="12" t="str">
        <f t="shared" si="177"/>
        <v>1872</v>
      </c>
      <c r="T947" s="12" t="s">
        <v>28</v>
      </c>
      <c r="U947" s="12" t="s">
        <v>2093</v>
      </c>
      <c r="V947" s="12" t="str">
        <f t="shared" si="178"/>
        <v>1822</v>
      </c>
      <c r="W947" s="12" t="s">
        <v>8042</v>
      </c>
      <c r="X947" s="12" t="s">
        <v>2026</v>
      </c>
      <c r="AF947" s="2" t="s">
        <v>3699</v>
      </c>
      <c r="AG947" s="12" t="s">
        <v>68</v>
      </c>
      <c r="AH947" s="12" t="s">
        <v>1110</v>
      </c>
      <c r="AI947" s="12" t="str">
        <f t="shared" si="179"/>
        <v>1837</v>
      </c>
      <c r="AJ947" s="12"/>
      <c r="AK947" s="2" t="s">
        <v>90</v>
      </c>
      <c r="AL947" s="2" t="s">
        <v>28</v>
      </c>
      <c r="AM947" s="2" t="s">
        <v>3392</v>
      </c>
      <c r="AN947" s="2" t="s">
        <v>8043</v>
      </c>
      <c r="AO947" s="2" t="s">
        <v>625</v>
      </c>
    </row>
    <row r="948" spans="1:59">
      <c r="A948" s="12" t="s">
        <v>625</v>
      </c>
      <c r="B948" s="12" t="str">
        <f t="shared" si="171"/>
        <v>LABUSCHAGNE</v>
      </c>
      <c r="C948" s="12" t="str">
        <f t="shared" si="172"/>
        <v>LABUSCHAGNE</v>
      </c>
      <c r="D948" s="12" t="s">
        <v>8006</v>
      </c>
      <c r="E948" s="12" t="str">
        <f t="shared" si="182"/>
        <v>Jacobus Christoffel Johannes</v>
      </c>
      <c r="F948" s="12" t="s">
        <v>8007</v>
      </c>
      <c r="G948" s="12" t="str">
        <f t="shared" si="173"/>
        <v>a1b2c4d3e5</v>
      </c>
      <c r="H948" s="12" t="str">
        <f t="shared" si="174"/>
        <v>LABUSCHAGNEa1b2c4d3e5</v>
      </c>
      <c r="J948" s="12" t="s">
        <v>8099</v>
      </c>
      <c r="K948" s="12" t="str">
        <f t="shared" si="175"/>
        <v>1805</v>
      </c>
      <c r="L948" s="12" t="s">
        <v>542</v>
      </c>
      <c r="M948" s="12" t="s">
        <v>8100</v>
      </c>
      <c r="N948" s="12" t="str">
        <f t="shared" si="180"/>
        <v>1805</v>
      </c>
      <c r="O948" s="12" t="str">
        <f t="shared" si="181"/>
        <v>1806</v>
      </c>
      <c r="P948" s="2" t="s">
        <v>1017</v>
      </c>
      <c r="Q948" s="12" t="str">
        <f t="shared" si="176"/>
        <v>1805</v>
      </c>
      <c r="R948" s="2" t="s">
        <v>8101</v>
      </c>
      <c r="S948" s="12" t="str">
        <f t="shared" si="177"/>
        <v>1868</v>
      </c>
      <c r="T948" s="12"/>
      <c r="U948" s="12"/>
      <c r="V948" s="12" t="str">
        <f t="shared" si="178"/>
        <v/>
      </c>
      <c r="W948" s="12" t="s">
        <v>7461</v>
      </c>
      <c r="X948" s="12" t="s">
        <v>698</v>
      </c>
      <c r="Y948" s="2" t="s">
        <v>8102</v>
      </c>
      <c r="AA948" s="12"/>
      <c r="AC948" s="2" t="s">
        <v>7206</v>
      </c>
      <c r="AE948" s="12"/>
      <c r="AF948" s="2" t="s">
        <v>8064</v>
      </c>
      <c r="AG948" s="12" t="s">
        <v>68</v>
      </c>
      <c r="AH948" s="12" t="s">
        <v>1110</v>
      </c>
      <c r="AI948" s="12" t="str">
        <f t="shared" si="179"/>
        <v>1837</v>
      </c>
      <c r="AJ948" s="12"/>
      <c r="AK948" s="12" t="s">
        <v>90</v>
      </c>
      <c r="AM948" s="12"/>
      <c r="AN948" s="12"/>
      <c r="AO948" s="12"/>
      <c r="AV948" s="12"/>
    </row>
    <row r="949" spans="1:59">
      <c r="A949" s="12" t="s">
        <v>625</v>
      </c>
      <c r="B949" s="12" t="str">
        <f t="shared" si="171"/>
        <v>LABUSCHAGNE</v>
      </c>
      <c r="C949" s="12" t="str">
        <f t="shared" si="172"/>
        <v>LABUSCHAGNE</v>
      </c>
      <c r="D949" s="12" t="s">
        <v>7999</v>
      </c>
      <c r="E949" s="12" t="str">
        <f t="shared" si="182"/>
        <v xml:space="preserve">Frans Lourens </v>
      </c>
      <c r="F949" s="12" t="s">
        <v>3361</v>
      </c>
      <c r="G949" s="12" t="str">
        <f t="shared" si="173"/>
        <v>a1b2c4d3e7</v>
      </c>
      <c r="H949" s="12" t="str">
        <f t="shared" si="174"/>
        <v>LABUSCHAGNEa1b2c4d3e7</v>
      </c>
      <c r="J949" s="12" t="s">
        <v>8069</v>
      </c>
      <c r="K949" s="12" t="str">
        <f t="shared" si="175"/>
        <v>1811</v>
      </c>
      <c r="L949" s="12" t="s">
        <v>74</v>
      </c>
      <c r="M949" s="12" t="s">
        <v>8070</v>
      </c>
      <c r="N949" s="12" t="str">
        <f t="shared" si="180"/>
        <v>1811</v>
      </c>
      <c r="O949" s="12" t="str">
        <f t="shared" si="181"/>
        <v>1812</v>
      </c>
      <c r="P949" s="2" t="s">
        <v>8071</v>
      </c>
      <c r="Q949" s="12" t="str">
        <f t="shared" si="176"/>
        <v>1811</v>
      </c>
      <c r="R949" s="12" t="s">
        <v>8072</v>
      </c>
      <c r="S949" s="12" t="str">
        <f t="shared" si="177"/>
        <v>1870</v>
      </c>
      <c r="T949" s="2" t="s">
        <v>28</v>
      </c>
      <c r="U949" s="2" t="s">
        <v>1192</v>
      </c>
      <c r="V949" s="12" t="str">
        <f t="shared" si="178"/>
        <v>1834</v>
      </c>
      <c r="W949" s="12" t="s">
        <v>8073</v>
      </c>
      <c r="X949" s="12" t="s">
        <v>625</v>
      </c>
      <c r="Y949" s="2" t="s">
        <v>8082</v>
      </c>
      <c r="AA949" s="2" t="s">
        <v>8074</v>
      </c>
      <c r="AB949" s="2" t="s">
        <v>28</v>
      </c>
      <c r="AC949" s="2" t="s">
        <v>7723</v>
      </c>
      <c r="AF949" s="2" t="s">
        <v>3699</v>
      </c>
      <c r="AG949" s="12" t="s">
        <v>68</v>
      </c>
      <c r="AH949" s="12" t="s">
        <v>5131</v>
      </c>
      <c r="AI949" s="12" t="str">
        <f t="shared" si="179"/>
        <v>1840</v>
      </c>
      <c r="AJ949" s="12"/>
      <c r="AK949" s="12" t="s">
        <v>90</v>
      </c>
      <c r="AN949" s="2" t="s">
        <v>8075</v>
      </c>
      <c r="AO949" s="2" t="s">
        <v>695</v>
      </c>
    </row>
    <row r="950" spans="1:59">
      <c r="A950" s="12" t="s">
        <v>625</v>
      </c>
      <c r="B950" s="12" t="str">
        <f t="shared" ref="B950:B1013" si="183">SUBSTITUTE(A950," ","")</f>
        <v>LABUSCHAGNE</v>
      </c>
      <c r="C950" s="12" t="str">
        <f t="shared" ref="C950:C1013" si="184">TRIM(A950)</f>
        <v>LABUSCHAGNE</v>
      </c>
      <c r="D950" s="12" t="s">
        <v>8008</v>
      </c>
      <c r="E950" s="12" t="str">
        <f t="shared" si="182"/>
        <v>Jan Harm</v>
      </c>
      <c r="F950" s="12" t="s">
        <v>8010</v>
      </c>
      <c r="G950" s="12" t="str">
        <f t="shared" ref="G950:G1013" si="185">IF(LEFT(F950,1)="b","a1"&amp;F950,F950)</f>
        <v>a1b2c4d6e1</v>
      </c>
      <c r="H950" s="12" t="str">
        <f t="shared" ref="H950:H1013" si="186">C950&amp;G950</f>
        <v>LABUSCHAGNEa1b2c4d6e1</v>
      </c>
      <c r="K950" s="12" t="str">
        <f t="shared" ref="K950:K1013" si="187">RIGHT(J950,4)</f>
        <v/>
      </c>
      <c r="M950" s="2" t="s">
        <v>483</v>
      </c>
      <c r="N950" s="12" t="str">
        <f t="shared" si="180"/>
        <v/>
      </c>
      <c r="O950" s="12" t="str">
        <f t="shared" si="181"/>
        <v>1796</v>
      </c>
      <c r="P950" s="2" t="s">
        <v>8110</v>
      </c>
      <c r="Q950" s="12" t="str">
        <f t="shared" ref="Q950:Q1013" si="188">IF(N950="",O950,N950)</f>
        <v>1796</v>
      </c>
      <c r="R950" s="2" t="s">
        <v>8111</v>
      </c>
      <c r="S950" s="12" t="str">
        <f t="shared" ref="S950:S1013" si="189">RIGHT(R950,4)</f>
        <v>1844</v>
      </c>
      <c r="T950" s="12" t="s">
        <v>74</v>
      </c>
      <c r="U950" s="12" t="s">
        <v>8112</v>
      </c>
      <c r="V950" s="12" t="str">
        <f t="shared" ref="V950:V1013" si="190">RIGHT(U950,4)</f>
        <v>1817</v>
      </c>
      <c r="W950" s="12" t="s">
        <v>8113</v>
      </c>
      <c r="X950" s="12" t="s">
        <v>1453</v>
      </c>
      <c r="AD950" s="2" t="s">
        <v>68</v>
      </c>
      <c r="AF950" s="12" t="s">
        <v>8114</v>
      </c>
      <c r="AG950" s="12" t="s">
        <v>68</v>
      </c>
      <c r="AH950" s="2" t="s">
        <v>503</v>
      </c>
      <c r="AI950" s="12" t="str">
        <f t="shared" ref="AI950:AI1013" si="191">RIGHT(AH950,4)</f>
        <v>1837</v>
      </c>
      <c r="AJ950" s="2" t="s">
        <v>8115</v>
      </c>
      <c r="AK950" s="2" t="s">
        <v>90</v>
      </c>
      <c r="AL950" s="2" t="s">
        <v>28</v>
      </c>
      <c r="AM950" s="2" t="s">
        <v>8116</v>
      </c>
      <c r="AN950" s="2" t="s">
        <v>8117</v>
      </c>
      <c r="AO950" s="2" t="s">
        <v>1453</v>
      </c>
      <c r="AP950" s="2" t="s">
        <v>8118</v>
      </c>
      <c r="AU950" s="2" t="s">
        <v>68</v>
      </c>
      <c r="AW950" s="2" t="s">
        <v>5146</v>
      </c>
      <c r="AX950" s="2" t="s">
        <v>8119</v>
      </c>
      <c r="AY950" s="2" t="s">
        <v>8120</v>
      </c>
      <c r="AZ950" s="2" t="s">
        <v>1453</v>
      </c>
      <c r="BE950" s="2" t="s">
        <v>8121</v>
      </c>
      <c r="BF950" s="2" t="s">
        <v>8122</v>
      </c>
    </row>
    <row r="951" spans="1:59">
      <c r="A951" s="12" t="s">
        <v>625</v>
      </c>
      <c r="B951" s="12" t="str">
        <f t="shared" si="183"/>
        <v>LABUSCHAGNE</v>
      </c>
      <c r="C951" s="12" t="str">
        <f t="shared" si="184"/>
        <v>LABUSCHAGNE</v>
      </c>
      <c r="D951" s="12" t="s">
        <v>7997</v>
      </c>
      <c r="E951" s="12" t="str">
        <f t="shared" si="182"/>
        <v>Frans Jacobus</v>
      </c>
      <c r="F951" s="12" t="s">
        <v>7998</v>
      </c>
      <c r="G951" s="12" t="str">
        <f t="shared" si="185"/>
        <v>a1b2c4d6e2</v>
      </c>
      <c r="H951" s="12" t="str">
        <f t="shared" si="186"/>
        <v>LABUSCHAGNEa1b2c4d6e2</v>
      </c>
      <c r="J951" s="2" t="s">
        <v>8065</v>
      </c>
      <c r="K951" s="12" t="str">
        <f t="shared" si="187"/>
        <v>1797</v>
      </c>
      <c r="L951" s="12" t="s">
        <v>542</v>
      </c>
      <c r="M951" s="12" t="s">
        <v>4564</v>
      </c>
      <c r="N951" s="12" t="str">
        <f t="shared" si="180"/>
        <v>1797</v>
      </c>
      <c r="O951" s="12" t="str">
        <f t="shared" si="181"/>
        <v>1797</v>
      </c>
      <c r="P951" s="2" t="s">
        <v>3698</v>
      </c>
      <c r="Q951" s="12" t="str">
        <f t="shared" si="188"/>
        <v>1797</v>
      </c>
      <c r="R951" s="2" t="s">
        <v>8066</v>
      </c>
      <c r="S951" s="12" t="str">
        <f t="shared" si="189"/>
        <v>1853</v>
      </c>
      <c r="T951" s="12" t="s">
        <v>28</v>
      </c>
      <c r="U951" s="12" t="s">
        <v>988</v>
      </c>
      <c r="V951" s="12" t="str">
        <f t="shared" si="190"/>
        <v>1825</v>
      </c>
      <c r="W951" s="12" t="s">
        <v>7049</v>
      </c>
      <c r="X951" s="12" t="s">
        <v>822</v>
      </c>
      <c r="Y951" s="12" t="s">
        <v>8067</v>
      </c>
      <c r="AC951" s="2" t="s">
        <v>8068</v>
      </c>
      <c r="AF951" s="12" t="s">
        <v>3699</v>
      </c>
      <c r="AG951" s="12" t="s">
        <v>68</v>
      </c>
      <c r="AH951" s="12" t="s">
        <v>1172</v>
      </c>
      <c r="AI951" s="12" t="str">
        <f t="shared" si="191"/>
        <v>1837</v>
      </c>
      <c r="AJ951" s="12"/>
      <c r="AK951" s="12" t="s">
        <v>594</v>
      </c>
    </row>
    <row r="952" spans="1:59">
      <c r="A952" s="12" t="s">
        <v>625</v>
      </c>
      <c r="B952" s="12" t="str">
        <f t="shared" si="183"/>
        <v>LABUSCHAGNE</v>
      </c>
      <c r="C952" s="12" t="str">
        <f t="shared" si="184"/>
        <v>LABUSCHAGNE</v>
      </c>
      <c r="D952" s="12" t="s">
        <v>8015</v>
      </c>
      <c r="E952" s="12" t="str">
        <f t="shared" si="182"/>
        <v>Pieter Willem</v>
      </c>
      <c r="F952" s="12" t="s">
        <v>8016</v>
      </c>
      <c r="G952" s="12" t="str">
        <f t="shared" si="185"/>
        <v>a1b2c4d6e8</v>
      </c>
      <c r="H952" s="12" t="str">
        <f t="shared" si="186"/>
        <v>LABUSCHAGNEa1b2c4d6e8</v>
      </c>
      <c r="I952" s="12"/>
      <c r="J952" s="12" t="s">
        <v>8137</v>
      </c>
      <c r="K952" s="12" t="str">
        <f t="shared" si="187"/>
        <v>1814</v>
      </c>
      <c r="L952" s="2" t="s">
        <v>74</v>
      </c>
      <c r="M952" s="12" t="s">
        <v>8138</v>
      </c>
      <c r="N952" s="12" t="str">
        <f t="shared" si="180"/>
        <v>1814</v>
      </c>
      <c r="O952" s="12" t="str">
        <f t="shared" si="181"/>
        <v>1814</v>
      </c>
      <c r="P952" s="12"/>
      <c r="Q952" s="12" t="str">
        <f t="shared" si="188"/>
        <v>1814</v>
      </c>
      <c r="R952" s="12"/>
      <c r="S952" s="12" t="str">
        <f t="shared" si="189"/>
        <v/>
      </c>
      <c r="V952" s="12" t="str">
        <f t="shared" si="190"/>
        <v/>
      </c>
      <c r="W952" s="12" t="s">
        <v>1324</v>
      </c>
      <c r="X952" s="2" t="s">
        <v>625</v>
      </c>
      <c r="AF952" s="2" t="s">
        <v>3699</v>
      </c>
      <c r="AG952" s="2" t="s">
        <v>68</v>
      </c>
      <c r="AH952" s="2" t="s">
        <v>1110</v>
      </c>
      <c r="AI952" s="12" t="str">
        <f t="shared" si="191"/>
        <v>1837</v>
      </c>
      <c r="AK952" s="2" t="s">
        <v>90</v>
      </c>
      <c r="AL952" s="2" t="s">
        <v>28</v>
      </c>
      <c r="AM952" s="2" t="s">
        <v>1192</v>
      </c>
      <c r="AN952" s="2" t="s">
        <v>8139</v>
      </c>
      <c r="AO952" s="2" t="s">
        <v>625</v>
      </c>
      <c r="AP952" s="2" t="s">
        <v>8140</v>
      </c>
      <c r="AT952" s="2" t="s">
        <v>7723</v>
      </c>
    </row>
    <row r="953" spans="1:59">
      <c r="A953" s="12" t="s">
        <v>625</v>
      </c>
      <c r="B953" s="12" t="str">
        <f t="shared" si="183"/>
        <v>LABUSCHAGNE</v>
      </c>
      <c r="C953" s="12" t="str">
        <f t="shared" si="184"/>
        <v>LABUSCHAGNE</v>
      </c>
      <c r="D953" s="12" t="s">
        <v>3433</v>
      </c>
      <c r="E953" s="12" t="str">
        <f t="shared" si="182"/>
        <v>Casper Jeremias</v>
      </c>
      <c r="F953" s="12" t="s">
        <v>7985</v>
      </c>
      <c r="G953" s="12" t="str">
        <f t="shared" si="185"/>
        <v>a1b2c5d6</v>
      </c>
      <c r="H953" s="12" t="str">
        <f t="shared" si="186"/>
        <v>LABUSCHAGNEa1b2c5d6</v>
      </c>
      <c r="J953" s="12"/>
      <c r="K953" s="12" t="str">
        <f t="shared" si="187"/>
        <v/>
      </c>
      <c r="L953" s="12"/>
      <c r="M953" s="12" t="s">
        <v>8034</v>
      </c>
      <c r="N953" s="12" t="str">
        <f t="shared" si="180"/>
        <v/>
      </c>
      <c r="O953" s="12" t="str">
        <f t="shared" si="181"/>
        <v>1782</v>
      </c>
      <c r="P953" s="12"/>
      <c r="Q953" s="12" t="str">
        <f t="shared" si="188"/>
        <v>1782</v>
      </c>
      <c r="R953" s="12"/>
      <c r="S953" s="12" t="str">
        <f t="shared" si="189"/>
        <v/>
      </c>
      <c r="U953" s="12"/>
      <c r="V953" s="12" t="str">
        <f t="shared" si="190"/>
        <v/>
      </c>
      <c r="W953" s="12" t="s">
        <v>8035</v>
      </c>
      <c r="X953" s="12" t="s">
        <v>2235</v>
      </c>
      <c r="Y953" s="12"/>
      <c r="AC953" s="12"/>
      <c r="AF953" s="12" t="s">
        <v>3699</v>
      </c>
      <c r="AG953" s="12" t="s">
        <v>68</v>
      </c>
      <c r="AH953" s="12" t="s">
        <v>1110</v>
      </c>
      <c r="AI953" s="12" t="str">
        <f t="shared" si="191"/>
        <v>1837</v>
      </c>
      <c r="AJ953" s="12"/>
      <c r="AK953" s="12" t="s">
        <v>90</v>
      </c>
      <c r="AL953" s="12"/>
      <c r="AM953" s="12"/>
      <c r="AN953" s="12"/>
      <c r="AO953" s="12"/>
    </row>
    <row r="954" spans="1:59">
      <c r="A954" s="12" t="s">
        <v>625</v>
      </c>
      <c r="B954" s="12" t="str">
        <f t="shared" si="183"/>
        <v>LABUSCHAGNE</v>
      </c>
      <c r="C954" s="12" t="str">
        <f t="shared" si="184"/>
        <v>LABUSCHAGNE</v>
      </c>
      <c r="D954" s="12" t="s">
        <v>6271</v>
      </c>
      <c r="E954" s="12" t="str">
        <f t="shared" si="182"/>
        <v>Gerrit Jacobus</v>
      </c>
      <c r="F954" s="12" t="s">
        <v>8002</v>
      </c>
      <c r="G954" s="12" t="str">
        <f t="shared" si="185"/>
        <v>a1b2c5d6e2</v>
      </c>
      <c r="H954" s="12" t="str">
        <f t="shared" si="186"/>
        <v>LABUSCHAGNEa1b2c5d6e2</v>
      </c>
      <c r="J954" s="12"/>
      <c r="K954" s="12" t="str">
        <f t="shared" si="187"/>
        <v/>
      </c>
      <c r="L954" s="12"/>
      <c r="M954" s="12" t="s">
        <v>1296</v>
      </c>
      <c r="N954" s="12" t="str">
        <f t="shared" si="180"/>
        <v/>
      </c>
      <c r="O954" s="12" t="str">
        <f t="shared" si="181"/>
        <v>1809</v>
      </c>
      <c r="P954" s="12"/>
      <c r="Q954" s="12" t="str">
        <f t="shared" si="188"/>
        <v>1809</v>
      </c>
      <c r="R954" s="12"/>
      <c r="S954" s="12" t="str">
        <f t="shared" si="189"/>
        <v/>
      </c>
      <c r="T954" s="12" t="s">
        <v>28</v>
      </c>
      <c r="U954" s="12" t="s">
        <v>2135</v>
      </c>
      <c r="V954" s="12" t="str">
        <f t="shared" si="190"/>
        <v>1828</v>
      </c>
      <c r="W954" s="12" t="s">
        <v>8081</v>
      </c>
      <c r="X954" s="12" t="s">
        <v>625</v>
      </c>
      <c r="AA954" s="12"/>
      <c r="AD954" s="12"/>
      <c r="AE954" s="12"/>
      <c r="AF954" s="2" t="s">
        <v>3699</v>
      </c>
      <c r="AG954" s="12" t="s">
        <v>68</v>
      </c>
      <c r="AH954" s="2" t="s">
        <v>8083</v>
      </c>
      <c r="AI954" s="12" t="str">
        <f t="shared" si="191"/>
        <v>1837</v>
      </c>
      <c r="AJ954" s="12"/>
      <c r="AK954" s="12"/>
    </row>
    <row r="955" spans="1:59">
      <c r="A955" s="12" t="s">
        <v>625</v>
      </c>
      <c r="B955" s="12" t="str">
        <f t="shared" si="183"/>
        <v>LABUSCHAGNE</v>
      </c>
      <c r="C955" s="12" t="str">
        <f t="shared" si="184"/>
        <v>LABUSCHAGNE</v>
      </c>
      <c r="D955" s="12" t="s">
        <v>3283</v>
      </c>
      <c r="E955" s="12" t="str">
        <f t="shared" si="182"/>
        <v>Jan Hendrik</v>
      </c>
      <c r="F955" s="12" t="s">
        <v>8011</v>
      </c>
      <c r="G955" s="12" t="str">
        <f t="shared" si="185"/>
        <v>a1b2c8d4</v>
      </c>
      <c r="H955" s="12" t="str">
        <f t="shared" si="186"/>
        <v>LABUSCHAGNEa1b2c8d4</v>
      </c>
      <c r="J955" s="12"/>
      <c r="K955" s="12" t="str">
        <f t="shared" si="187"/>
        <v/>
      </c>
      <c r="L955" s="12"/>
      <c r="M955" s="12" t="s">
        <v>8123</v>
      </c>
      <c r="N955" s="12" t="str">
        <f t="shared" si="180"/>
        <v/>
      </c>
      <c r="O955" s="12" t="str">
        <f t="shared" si="181"/>
        <v>1782</v>
      </c>
      <c r="P955" s="12" t="s">
        <v>71</v>
      </c>
      <c r="Q955" s="12" t="str">
        <f t="shared" si="188"/>
        <v>1782</v>
      </c>
      <c r="R955" s="12" t="s">
        <v>72</v>
      </c>
      <c r="S955" s="12" t="str">
        <f t="shared" si="189"/>
        <v>1838</v>
      </c>
      <c r="T955" s="12"/>
      <c r="U955" s="12"/>
      <c r="V955" s="12" t="str">
        <f t="shared" si="190"/>
        <v/>
      </c>
      <c r="W955" s="12" t="s">
        <v>2234</v>
      </c>
      <c r="X955" s="12" t="s">
        <v>2235</v>
      </c>
      <c r="AE955" s="2" t="s">
        <v>8124</v>
      </c>
      <c r="AF955" s="2" t="s">
        <v>3699</v>
      </c>
      <c r="AG955" s="12" t="s">
        <v>68</v>
      </c>
      <c r="AH955" s="12" t="s">
        <v>1110</v>
      </c>
      <c r="AI955" s="12" t="str">
        <f t="shared" si="191"/>
        <v>1837</v>
      </c>
    </row>
    <row r="956" spans="1:59">
      <c r="A956" s="12" t="s">
        <v>625</v>
      </c>
      <c r="B956" s="12" t="str">
        <f t="shared" si="183"/>
        <v>LABUSCHAGNE</v>
      </c>
      <c r="C956" s="12" t="str">
        <f t="shared" si="184"/>
        <v>LABUSCHAGNE</v>
      </c>
      <c r="D956" s="12" t="s">
        <v>7995</v>
      </c>
      <c r="E956" s="12" t="str">
        <f t="shared" si="182"/>
        <v>Frans Jacob</v>
      </c>
      <c r="F956" s="2" t="s">
        <v>7996</v>
      </c>
      <c r="G956" s="12" t="str">
        <f t="shared" si="185"/>
        <v>a1b2c8d4e1</v>
      </c>
      <c r="H956" s="12" t="str">
        <f t="shared" si="186"/>
        <v>LABUSCHAGNEa1b2c8d4e1</v>
      </c>
      <c r="K956" s="12" t="str">
        <f t="shared" si="187"/>
        <v/>
      </c>
      <c r="M956" s="2" t="s">
        <v>8062</v>
      </c>
      <c r="N956" s="12" t="str">
        <f t="shared" si="180"/>
        <v/>
      </c>
      <c r="O956" s="12" t="str">
        <f t="shared" si="181"/>
        <v>1807</v>
      </c>
      <c r="P956" s="2" t="s">
        <v>71</v>
      </c>
      <c r="Q956" s="12" t="str">
        <f t="shared" si="188"/>
        <v>1807</v>
      </c>
      <c r="R956" s="2" t="s">
        <v>72</v>
      </c>
      <c r="S956" s="12" t="str">
        <f t="shared" si="189"/>
        <v>1838</v>
      </c>
      <c r="T956" s="2" t="s">
        <v>28</v>
      </c>
      <c r="U956" s="2" t="s">
        <v>4610</v>
      </c>
      <c r="V956" s="12" t="str">
        <f t="shared" si="190"/>
        <v>1829</v>
      </c>
      <c r="W956" s="2" t="s">
        <v>4158</v>
      </c>
      <c r="X956" s="2" t="s">
        <v>1109</v>
      </c>
      <c r="Y956" s="2" t="s">
        <v>4159</v>
      </c>
      <c r="AC956" s="2" t="s">
        <v>8063</v>
      </c>
      <c r="AF956" s="12" t="s">
        <v>8064</v>
      </c>
      <c r="AG956" s="12" t="s">
        <v>68</v>
      </c>
      <c r="AH956" s="12" t="s">
        <v>7520</v>
      </c>
      <c r="AI956" s="12" t="str">
        <f t="shared" si="191"/>
        <v>1837</v>
      </c>
      <c r="AJ956" s="12" t="s">
        <v>5423</v>
      </c>
    </row>
    <row r="957" spans="1:59">
      <c r="A957" s="12" t="s">
        <v>625</v>
      </c>
      <c r="B957" s="12" t="str">
        <f t="shared" si="183"/>
        <v>LABUSCHAGNE</v>
      </c>
      <c r="C957" s="12" t="str">
        <f t="shared" si="184"/>
        <v>LABUSCHAGNE</v>
      </c>
      <c r="D957" s="12" t="s">
        <v>6758</v>
      </c>
      <c r="E957" s="12" t="str">
        <f t="shared" si="182"/>
        <v>Gerrit Johannes</v>
      </c>
      <c r="F957" s="12" t="s">
        <v>8003</v>
      </c>
      <c r="G957" s="12" t="str">
        <f t="shared" si="185"/>
        <v>a1b2c8d4e3</v>
      </c>
      <c r="H957" s="12" t="str">
        <f t="shared" si="186"/>
        <v>LABUSCHAGNEa1b2c8d4e3</v>
      </c>
      <c r="I957" s="12"/>
      <c r="J957" s="12" t="s">
        <v>8084</v>
      </c>
      <c r="K957" s="12" t="str">
        <f t="shared" si="187"/>
        <v>1812</v>
      </c>
      <c r="L957" s="12" t="s">
        <v>74</v>
      </c>
      <c r="M957" s="12" t="s">
        <v>8085</v>
      </c>
      <c r="N957" s="12" t="str">
        <f t="shared" si="180"/>
        <v>1812</v>
      </c>
      <c r="O957" s="12" t="str">
        <f t="shared" si="181"/>
        <v>1812</v>
      </c>
      <c r="P957" s="12"/>
      <c r="Q957" s="12" t="str">
        <f t="shared" si="188"/>
        <v>1812</v>
      </c>
      <c r="R957" s="12"/>
      <c r="S957" s="12" t="str">
        <f t="shared" si="189"/>
        <v/>
      </c>
      <c r="T957" s="12" t="s">
        <v>28</v>
      </c>
      <c r="U957" s="12" t="s">
        <v>8086</v>
      </c>
      <c r="V957" s="12" t="str">
        <f t="shared" si="190"/>
        <v>1833</v>
      </c>
      <c r="W957" s="12" t="s">
        <v>8087</v>
      </c>
      <c r="X957" s="12" t="s">
        <v>8088</v>
      </c>
      <c r="Y957" s="12"/>
      <c r="Z957" s="12"/>
      <c r="AA957" s="12"/>
      <c r="AB957" s="12"/>
      <c r="AC957" s="12"/>
      <c r="AD957" s="12"/>
      <c r="AE957" s="12"/>
      <c r="AF957" s="12" t="s">
        <v>3699</v>
      </c>
      <c r="AG957" s="12" t="s">
        <v>68</v>
      </c>
      <c r="AH957" s="12" t="s">
        <v>1110</v>
      </c>
      <c r="AI957" s="12" t="str">
        <f t="shared" si="191"/>
        <v>1837</v>
      </c>
      <c r="AJ957" s="12"/>
      <c r="AK957" s="12" t="s">
        <v>7630</v>
      </c>
      <c r="AL957" s="12" t="s">
        <v>5146</v>
      </c>
      <c r="AM957" s="12"/>
      <c r="AN957" s="12" t="s">
        <v>8089</v>
      </c>
      <c r="AO957" s="12" t="s">
        <v>704</v>
      </c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</row>
    <row r="958" spans="1:59">
      <c r="A958" s="12" t="s">
        <v>625</v>
      </c>
      <c r="B958" s="12" t="str">
        <f t="shared" si="183"/>
        <v>LABUSCHAGNE</v>
      </c>
      <c r="C958" s="12" t="str">
        <f t="shared" si="184"/>
        <v>LABUSCHAGNE</v>
      </c>
      <c r="D958" s="12" t="s">
        <v>8015</v>
      </c>
      <c r="E958" s="12" t="str">
        <f t="shared" si="182"/>
        <v>Pieter Willem</v>
      </c>
      <c r="F958" s="12" t="s">
        <v>8020</v>
      </c>
      <c r="G958" s="12" t="str">
        <f t="shared" si="185"/>
        <v>a1b2c8d4e6</v>
      </c>
      <c r="H958" s="12" t="str">
        <f t="shared" si="186"/>
        <v>LABUSCHAGNEa1b2c8d4e6</v>
      </c>
      <c r="I958" s="12"/>
      <c r="J958" s="12" t="s">
        <v>8153</v>
      </c>
      <c r="K958" s="12" t="str">
        <f t="shared" si="187"/>
        <v>1822</v>
      </c>
      <c r="L958" s="12"/>
      <c r="M958" s="12" t="s">
        <v>8154</v>
      </c>
      <c r="N958" s="12" t="str">
        <f t="shared" si="180"/>
        <v>1822</v>
      </c>
      <c r="O958" s="12" t="str">
        <f t="shared" si="181"/>
        <v>1822</v>
      </c>
      <c r="P958" s="12"/>
      <c r="Q958" s="12" t="str">
        <f t="shared" si="188"/>
        <v>1822</v>
      </c>
      <c r="R958" s="12"/>
      <c r="S958" s="12" t="str">
        <f t="shared" si="189"/>
        <v/>
      </c>
      <c r="T958" s="12" t="s">
        <v>5146</v>
      </c>
      <c r="U958" s="12">
        <v>1841</v>
      </c>
      <c r="V958" s="12" t="str">
        <f t="shared" si="190"/>
        <v>1841</v>
      </c>
      <c r="W958" s="12" t="s">
        <v>8155</v>
      </c>
      <c r="X958" s="12" t="s">
        <v>391</v>
      </c>
      <c r="Y958" s="12" t="s">
        <v>8156</v>
      </c>
      <c r="Z958" s="12"/>
      <c r="AA958" s="12" t="s">
        <v>8157</v>
      </c>
      <c r="AB958" s="12"/>
      <c r="AC958" s="12" t="s">
        <v>425</v>
      </c>
      <c r="AD958" s="12"/>
      <c r="AE958" s="12" t="s">
        <v>8158</v>
      </c>
      <c r="AF958" s="12" t="s">
        <v>8148</v>
      </c>
      <c r="AG958" s="12" t="s">
        <v>68</v>
      </c>
      <c r="AH958" s="12" t="s">
        <v>1110</v>
      </c>
      <c r="AI958" s="12" t="str">
        <f t="shared" si="191"/>
        <v>1837</v>
      </c>
      <c r="AJ958" s="12"/>
      <c r="AK958" s="12" t="s">
        <v>90</v>
      </c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</row>
    <row r="959" spans="1:59">
      <c r="A959" s="12" t="s">
        <v>625</v>
      </c>
      <c r="B959" s="12" t="str">
        <f t="shared" si="183"/>
        <v>LABUSCHAGNE</v>
      </c>
      <c r="C959" s="12" t="str">
        <f t="shared" si="184"/>
        <v>LABUSCHAGNE</v>
      </c>
      <c r="D959" s="12" t="s">
        <v>8013</v>
      </c>
      <c r="E959" s="12" t="str">
        <f t="shared" si="182"/>
        <v>Leonardus Petrus</v>
      </c>
      <c r="F959" s="12" t="s">
        <v>8014</v>
      </c>
      <c r="G959" s="12" t="str">
        <f t="shared" si="185"/>
        <v>a1b2c8d7</v>
      </c>
      <c r="H959" s="12" t="str">
        <f t="shared" si="186"/>
        <v>LABUSCHAGNEa1b2c8d7</v>
      </c>
      <c r="I959" s="12"/>
      <c r="J959" s="12" t="s">
        <v>8132</v>
      </c>
      <c r="K959" s="12" t="str">
        <f t="shared" si="187"/>
        <v>1790</v>
      </c>
      <c r="L959" s="12"/>
      <c r="M959" s="12"/>
      <c r="N959" s="12" t="str">
        <f t="shared" si="180"/>
        <v>1790</v>
      </c>
      <c r="O959" s="12" t="str">
        <f t="shared" si="181"/>
        <v/>
      </c>
      <c r="P959" s="12"/>
      <c r="Q959" s="12" t="str">
        <f t="shared" si="188"/>
        <v>1790</v>
      </c>
      <c r="R959" s="12"/>
      <c r="S959" s="12" t="str">
        <f t="shared" si="189"/>
        <v/>
      </c>
      <c r="T959" s="12" t="s">
        <v>74</v>
      </c>
      <c r="U959" s="12" t="s">
        <v>2714</v>
      </c>
      <c r="V959" s="12" t="str">
        <f t="shared" si="190"/>
        <v>1811</v>
      </c>
      <c r="W959" s="12" t="s">
        <v>8133</v>
      </c>
      <c r="X959" s="12" t="s">
        <v>700</v>
      </c>
      <c r="Y959" s="12"/>
      <c r="Z959" s="12"/>
      <c r="AA959" s="12"/>
      <c r="AB959" s="12"/>
      <c r="AC959" s="12"/>
      <c r="AD959" s="12"/>
      <c r="AE959" s="12"/>
      <c r="AF959" s="12" t="s">
        <v>3699</v>
      </c>
      <c r="AG959" s="12" t="s">
        <v>68</v>
      </c>
      <c r="AH959" s="12" t="s">
        <v>8134</v>
      </c>
      <c r="AI959" s="12" t="str">
        <f t="shared" si="191"/>
        <v>1837</v>
      </c>
      <c r="AJ959" s="12"/>
      <c r="AK959" s="12"/>
      <c r="AL959" s="12"/>
      <c r="AM959" s="12" t="s">
        <v>2727</v>
      </c>
      <c r="AN959" s="12" t="s">
        <v>8135</v>
      </c>
      <c r="AO959" s="12" t="s">
        <v>670</v>
      </c>
      <c r="AP959" s="12"/>
      <c r="AQ959" s="12"/>
      <c r="AR959" s="12"/>
      <c r="AS959" s="12"/>
      <c r="AT959" s="12"/>
      <c r="AU959" s="12"/>
      <c r="AV959" s="12"/>
      <c r="AW959" s="12"/>
      <c r="AX959" s="12"/>
      <c r="AY959" s="12" t="s">
        <v>8136</v>
      </c>
      <c r="AZ959" s="12" t="s">
        <v>670</v>
      </c>
      <c r="BA959" s="12"/>
      <c r="BB959" s="12"/>
      <c r="BC959" s="12"/>
      <c r="BD959" s="12"/>
      <c r="BE959" s="12"/>
      <c r="BF959" s="12"/>
      <c r="BG959" s="12"/>
    </row>
    <row r="960" spans="1:59">
      <c r="A960" s="12" t="s">
        <v>625</v>
      </c>
      <c r="B960" s="12" t="str">
        <f t="shared" si="183"/>
        <v>LABUSCHAGNE</v>
      </c>
      <c r="C960" s="12" t="str">
        <f t="shared" si="184"/>
        <v>LABUSCHAGNE</v>
      </c>
      <c r="D960" s="12" t="s">
        <v>7993</v>
      </c>
      <c r="E960" s="12" t="str">
        <f t="shared" si="182"/>
        <v>Frans Jacob/Johannes</v>
      </c>
      <c r="F960" s="12" t="s">
        <v>7994</v>
      </c>
      <c r="G960" s="12" t="str">
        <f t="shared" si="185"/>
        <v>a1b2c8d8e1</v>
      </c>
      <c r="H960" s="12" t="str">
        <f t="shared" si="186"/>
        <v>LABUSCHAGNEa1b2c8d8e1</v>
      </c>
      <c r="I960" s="12"/>
      <c r="J960" s="12"/>
      <c r="K960" s="12" t="str">
        <f t="shared" si="187"/>
        <v/>
      </c>
      <c r="L960" s="12"/>
      <c r="M960" s="12" t="s">
        <v>1973</v>
      </c>
      <c r="N960" s="12" t="str">
        <f t="shared" si="180"/>
        <v/>
      </c>
      <c r="O960" s="12" t="str">
        <f t="shared" si="181"/>
        <v>1817</v>
      </c>
      <c r="P960" s="12"/>
      <c r="Q960" s="12" t="str">
        <f t="shared" si="188"/>
        <v>1817</v>
      </c>
      <c r="R960" s="12"/>
      <c r="S960" s="12" t="str">
        <f t="shared" si="189"/>
        <v/>
      </c>
      <c r="T960" s="12" t="s">
        <v>68</v>
      </c>
      <c r="U960" s="12" t="s">
        <v>8059</v>
      </c>
      <c r="V960" s="12" t="str">
        <f t="shared" si="190"/>
        <v>1838</v>
      </c>
      <c r="W960" s="12" t="s">
        <v>7926</v>
      </c>
      <c r="X960" s="12" t="s">
        <v>822</v>
      </c>
      <c r="Y960" s="12" t="s">
        <v>8060</v>
      </c>
      <c r="Z960" s="12"/>
      <c r="AA960" s="12" t="s">
        <v>8061</v>
      </c>
      <c r="AB960" s="12"/>
      <c r="AC960" s="12"/>
      <c r="AD960" s="12"/>
      <c r="AE960" s="12"/>
      <c r="AF960" s="12"/>
      <c r="AG960" s="12"/>
      <c r="AH960" s="12" t="s">
        <v>4696</v>
      </c>
      <c r="AI960" s="12" t="str">
        <f t="shared" si="191"/>
        <v>1844</v>
      </c>
      <c r="AJ960" s="12"/>
      <c r="AK960" s="12" t="s">
        <v>190</v>
      </c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</row>
    <row r="961" spans="1:59">
      <c r="A961" s="6" t="s">
        <v>15789</v>
      </c>
      <c r="B961" s="12" t="str">
        <f t="shared" si="183"/>
        <v>LAFFNIE</v>
      </c>
      <c r="C961" s="6" t="str">
        <f t="shared" si="184"/>
        <v>LAFFNIE</v>
      </c>
      <c r="D961" s="12" t="s">
        <v>5025</v>
      </c>
      <c r="E961" s="12" t="str">
        <f t="shared" si="182"/>
        <v>Diederik Johannes</v>
      </c>
      <c r="F961" s="12" t="s">
        <v>8021</v>
      </c>
      <c r="G961" s="12" t="str">
        <f t="shared" si="185"/>
        <v>a1b1c(?)</v>
      </c>
      <c r="H961" s="12" t="str">
        <f t="shared" si="186"/>
        <v>LAFFNIEa1b1c(?)</v>
      </c>
      <c r="I961" s="12"/>
      <c r="J961" s="12" t="s">
        <v>8164</v>
      </c>
      <c r="K961" s="12" t="str">
        <f t="shared" si="187"/>
        <v>1823</v>
      </c>
      <c r="L961" s="12" t="s">
        <v>28</v>
      </c>
      <c r="M961" s="12" t="s">
        <v>8165</v>
      </c>
      <c r="N961" s="12" t="str">
        <f t="shared" si="180"/>
        <v>1823</v>
      </c>
      <c r="O961" s="12" t="str">
        <f t="shared" si="181"/>
        <v>1824</v>
      </c>
      <c r="P961" s="12"/>
      <c r="Q961" s="12" t="str">
        <f t="shared" si="188"/>
        <v>1823</v>
      </c>
      <c r="R961" s="12"/>
      <c r="S961" s="12" t="str">
        <f t="shared" si="189"/>
        <v/>
      </c>
      <c r="T961" s="12"/>
      <c r="U961" s="12"/>
      <c r="V961" s="12" t="str">
        <f t="shared" si="190"/>
        <v/>
      </c>
      <c r="W961" s="12" t="s">
        <v>8166</v>
      </c>
      <c r="X961" s="12" t="s">
        <v>2235</v>
      </c>
      <c r="Y961" s="12" t="s">
        <v>8167</v>
      </c>
      <c r="Z961" s="12"/>
      <c r="AA961" s="12" t="s">
        <v>8168</v>
      </c>
      <c r="AB961" s="12" t="s">
        <v>28</v>
      </c>
      <c r="AC961" s="12" t="s">
        <v>1088</v>
      </c>
      <c r="AD961" s="12"/>
      <c r="AE961" s="12"/>
      <c r="AF961" s="12" t="s">
        <v>8169</v>
      </c>
      <c r="AG961" s="12" t="s">
        <v>68</v>
      </c>
      <c r="AH961" s="12" t="s">
        <v>4696</v>
      </c>
      <c r="AI961" s="12" t="str">
        <f t="shared" si="191"/>
        <v>1844</v>
      </c>
      <c r="AJ961" s="12" t="s">
        <v>8170</v>
      </c>
      <c r="AK961" s="12" t="s">
        <v>90</v>
      </c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</row>
    <row r="962" spans="1:59">
      <c r="A962" s="12" t="s">
        <v>1961</v>
      </c>
      <c r="B962" s="12" t="str">
        <f t="shared" si="183"/>
        <v>LANDMAN</v>
      </c>
      <c r="C962" s="12" t="str">
        <f t="shared" si="184"/>
        <v>LANDMAN</v>
      </c>
      <c r="D962" s="12" t="s">
        <v>8186</v>
      </c>
      <c r="E962" s="12" t="str">
        <f t="shared" si="182"/>
        <v>Karel (Carel) Pieter</v>
      </c>
      <c r="F962" s="12" t="s">
        <v>2750</v>
      </c>
      <c r="G962" s="12" t="str">
        <f t="shared" si="185"/>
        <v>a1b2c10</v>
      </c>
      <c r="H962" s="12" t="str">
        <f t="shared" si="186"/>
        <v>LANDMANa1b2c10</v>
      </c>
      <c r="I962" s="12"/>
      <c r="J962" s="12" t="s">
        <v>8220</v>
      </c>
      <c r="K962" s="12" t="str">
        <f t="shared" si="187"/>
        <v>1796</v>
      </c>
      <c r="L962" s="12"/>
      <c r="M962" s="12"/>
      <c r="N962" s="12" t="str">
        <f t="shared" ref="N962:N1025" si="192">RIGHT(J962,4)</f>
        <v>1796</v>
      </c>
      <c r="O962" s="12" t="str">
        <f t="shared" ref="O962:O1025" si="193">RIGHT(M962,4)</f>
        <v/>
      </c>
      <c r="P962" s="12" t="s">
        <v>8221</v>
      </c>
      <c r="Q962" s="12" t="str">
        <f t="shared" si="188"/>
        <v>1796</v>
      </c>
      <c r="R962" s="12" t="s">
        <v>8222</v>
      </c>
      <c r="S962" s="12" t="str">
        <f t="shared" si="189"/>
        <v>1875</v>
      </c>
      <c r="T962" s="12" t="s">
        <v>53</v>
      </c>
      <c r="U962" s="12" t="s">
        <v>8223</v>
      </c>
      <c r="V962" s="12" t="str">
        <f t="shared" si="190"/>
        <v>1817</v>
      </c>
      <c r="W962" s="12" t="s">
        <v>8224</v>
      </c>
      <c r="X962" s="12" t="s">
        <v>695</v>
      </c>
      <c r="Y962" s="12" t="s">
        <v>8225</v>
      </c>
      <c r="Z962" s="12"/>
      <c r="AA962" s="12" t="s">
        <v>8226</v>
      </c>
      <c r="AB962" s="12"/>
      <c r="AC962" s="12" t="s">
        <v>8109</v>
      </c>
      <c r="AD962" s="12"/>
      <c r="AE962" s="12" t="s">
        <v>8227</v>
      </c>
      <c r="AF962" s="12" t="s">
        <v>8228</v>
      </c>
      <c r="AG962" s="12" t="s">
        <v>53</v>
      </c>
      <c r="AH962" s="12" t="s">
        <v>8022</v>
      </c>
      <c r="AI962" s="12" t="str">
        <f t="shared" si="191"/>
        <v>1837</v>
      </c>
      <c r="AJ962" s="12" t="s">
        <v>3123</v>
      </c>
      <c r="AK962" s="12" t="s">
        <v>90</v>
      </c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</row>
    <row r="963" spans="1:59">
      <c r="A963" s="12" t="s">
        <v>1961</v>
      </c>
      <c r="B963" s="12" t="str">
        <f t="shared" si="183"/>
        <v>LANDMAN</v>
      </c>
      <c r="C963" s="12" t="str">
        <f t="shared" si="184"/>
        <v>LANDMAN</v>
      </c>
      <c r="D963" s="12" t="s">
        <v>8184</v>
      </c>
      <c r="E963" s="12" t="str">
        <f t="shared" ref="E963:E1026" si="194">PROPER(D963)</f>
        <v>Johannes Abraham</v>
      </c>
      <c r="F963" s="12" t="s">
        <v>8185</v>
      </c>
      <c r="G963" s="12" t="str">
        <f t="shared" si="185"/>
        <v>a1b2c10d1</v>
      </c>
      <c r="H963" s="12" t="str">
        <f t="shared" si="186"/>
        <v>LANDMANa1b2c10d1</v>
      </c>
      <c r="I963" s="12"/>
      <c r="J963" s="12" t="s">
        <v>8206</v>
      </c>
      <c r="K963" s="12" t="str">
        <f t="shared" si="187"/>
        <v>1817</v>
      </c>
      <c r="L963" s="12"/>
      <c r="M963" s="12" t="s">
        <v>5955</v>
      </c>
      <c r="N963" s="12" t="str">
        <f t="shared" si="192"/>
        <v>1817</v>
      </c>
      <c r="O963" s="12" t="str">
        <f t="shared" si="193"/>
        <v>1817</v>
      </c>
      <c r="P963" s="12" t="s">
        <v>8207</v>
      </c>
      <c r="Q963" s="12" t="str">
        <f t="shared" si="188"/>
        <v>1817</v>
      </c>
      <c r="R963" s="12" t="s">
        <v>8208</v>
      </c>
      <c r="S963" s="12" t="str">
        <f t="shared" si="189"/>
        <v>1890</v>
      </c>
      <c r="T963" s="12" t="s">
        <v>5146</v>
      </c>
      <c r="U963" s="12" t="s">
        <v>8209</v>
      </c>
      <c r="V963" s="12" t="str">
        <f t="shared" si="190"/>
        <v>1841</v>
      </c>
      <c r="W963" s="12" t="s">
        <v>8210</v>
      </c>
      <c r="X963" s="12" t="s">
        <v>2402</v>
      </c>
      <c r="Y963" s="12" t="s">
        <v>8211</v>
      </c>
      <c r="Z963" s="12"/>
      <c r="AA963" s="12" t="s">
        <v>8212</v>
      </c>
      <c r="AB963" s="12"/>
      <c r="AC963" s="12"/>
      <c r="AD963" s="12"/>
      <c r="AE963" s="12" t="s">
        <v>8213</v>
      </c>
      <c r="AF963" s="12" t="s">
        <v>3677</v>
      </c>
      <c r="AG963" s="12" t="s">
        <v>53</v>
      </c>
      <c r="AH963" s="12" t="s">
        <v>503</v>
      </c>
      <c r="AI963" s="12" t="str">
        <f t="shared" si="191"/>
        <v>1837</v>
      </c>
      <c r="AJ963" s="12" t="s">
        <v>2382</v>
      </c>
      <c r="AK963" s="12" t="s">
        <v>90</v>
      </c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</row>
    <row r="964" spans="1:59">
      <c r="A964" s="12" t="s">
        <v>1961</v>
      </c>
      <c r="B964" s="12" t="str">
        <f t="shared" si="183"/>
        <v>LANDMAN</v>
      </c>
      <c r="C964" s="12" t="str">
        <f t="shared" si="184"/>
        <v>LANDMAN</v>
      </c>
      <c r="D964" s="12" t="s">
        <v>8181</v>
      </c>
      <c r="E964" s="12" t="str">
        <f t="shared" si="194"/>
        <v>Izaak Johannes</v>
      </c>
      <c r="F964" s="12" t="s">
        <v>8182</v>
      </c>
      <c r="G964" s="12" t="str">
        <f t="shared" si="185"/>
        <v>a1b2c10d2</v>
      </c>
      <c r="H964" s="12" t="str">
        <f t="shared" si="186"/>
        <v>LANDMANa1b2c10d2</v>
      </c>
      <c r="I964" s="12"/>
      <c r="J964" s="12" t="s">
        <v>8189</v>
      </c>
      <c r="K964" s="12" t="str">
        <f t="shared" si="187"/>
        <v>1819</v>
      </c>
      <c r="L964" s="12"/>
      <c r="M964" s="12"/>
      <c r="N964" s="12" t="str">
        <f t="shared" si="192"/>
        <v>1819</v>
      </c>
      <c r="O964" s="12" t="str">
        <f t="shared" si="193"/>
        <v/>
      </c>
      <c r="P964" s="12"/>
      <c r="Q964" s="12" t="str">
        <f t="shared" si="188"/>
        <v>1819</v>
      </c>
      <c r="R964" s="12"/>
      <c r="S964" s="12" t="str">
        <f t="shared" si="189"/>
        <v/>
      </c>
      <c r="T964" s="12" t="s">
        <v>90</v>
      </c>
      <c r="U964" s="12" t="s">
        <v>8190</v>
      </c>
      <c r="V964" s="12" t="str">
        <f t="shared" si="190"/>
        <v>1841</v>
      </c>
      <c r="W964" s="12" t="s">
        <v>8191</v>
      </c>
      <c r="X964" s="12" t="s">
        <v>1586</v>
      </c>
      <c r="Y964" s="12" t="s">
        <v>1587</v>
      </c>
      <c r="Z964" s="12"/>
      <c r="AA964" s="12" t="s">
        <v>1589</v>
      </c>
      <c r="AB964" s="12"/>
      <c r="AC964" s="12"/>
      <c r="AD964" s="12"/>
      <c r="AE964" s="12"/>
      <c r="AF964" s="12" t="s">
        <v>3677</v>
      </c>
      <c r="AG964" s="12" t="s">
        <v>8192</v>
      </c>
      <c r="AH964" s="12" t="s">
        <v>8022</v>
      </c>
      <c r="AI964" s="12" t="str">
        <f t="shared" si="191"/>
        <v>1837</v>
      </c>
      <c r="AJ964" s="12" t="s">
        <v>2382</v>
      </c>
      <c r="AK964" s="12" t="s">
        <v>8193</v>
      </c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</row>
    <row r="965" spans="1:59">
      <c r="A965" s="12" t="s">
        <v>1961</v>
      </c>
      <c r="B965" s="12" t="str">
        <f t="shared" si="183"/>
        <v>LANDMAN</v>
      </c>
      <c r="C965" s="12" t="str">
        <f t="shared" si="184"/>
        <v>LANDMAN</v>
      </c>
      <c r="D965" s="12" t="s">
        <v>8184</v>
      </c>
      <c r="E965" s="12" t="str">
        <f t="shared" si="194"/>
        <v>Johannes Abraham</v>
      </c>
      <c r="F965" s="12" t="s">
        <v>3178</v>
      </c>
      <c r="G965" s="12" t="str">
        <f t="shared" si="185"/>
        <v>a1b2c1d1</v>
      </c>
      <c r="H965" s="12" t="str">
        <f t="shared" si="186"/>
        <v>LANDMANa1b2c1d1</v>
      </c>
      <c r="I965" s="12"/>
      <c r="J965" s="12"/>
      <c r="K965" s="12" t="str">
        <f t="shared" si="187"/>
        <v/>
      </c>
      <c r="L965" s="12"/>
      <c r="M965" s="12" t="s">
        <v>8214</v>
      </c>
      <c r="N965" s="12" t="str">
        <f t="shared" si="192"/>
        <v/>
      </c>
      <c r="O965" s="12" t="str">
        <f t="shared" si="193"/>
        <v>1798</v>
      </c>
      <c r="P965" s="12" t="s">
        <v>2360</v>
      </c>
      <c r="Q965" s="12" t="str">
        <f t="shared" si="188"/>
        <v>1798</v>
      </c>
      <c r="R965" s="12" t="s">
        <v>8215</v>
      </c>
      <c r="S965" s="12" t="str">
        <f t="shared" si="189"/>
        <v>1879</v>
      </c>
      <c r="T965" s="12"/>
      <c r="U965" s="12"/>
      <c r="V965" s="12" t="str">
        <f t="shared" si="190"/>
        <v/>
      </c>
      <c r="W965" s="12" t="s">
        <v>8216</v>
      </c>
      <c r="X965" s="12" t="s">
        <v>1003</v>
      </c>
      <c r="Y965" s="12" t="s">
        <v>8217</v>
      </c>
      <c r="Z965" s="12"/>
      <c r="AA965" s="12"/>
      <c r="AB965" s="12"/>
      <c r="AC965" s="12" t="s">
        <v>341</v>
      </c>
      <c r="AD965" s="12"/>
      <c r="AE965" s="12"/>
      <c r="AF965" s="12" t="s">
        <v>8197</v>
      </c>
      <c r="AG965" s="12" t="s">
        <v>53</v>
      </c>
      <c r="AH965" s="12" t="s">
        <v>8218</v>
      </c>
      <c r="AI965" s="12" t="str">
        <f t="shared" si="191"/>
        <v xml:space="preserve"> (?)</v>
      </c>
      <c r="AJ965" s="12" t="s">
        <v>8219</v>
      </c>
      <c r="AK965" s="12" t="s">
        <v>90</v>
      </c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</row>
    <row r="966" spans="1:59">
      <c r="A966" s="12" t="s">
        <v>1961</v>
      </c>
      <c r="B966" s="12" t="str">
        <f t="shared" si="183"/>
        <v>LANDMAN</v>
      </c>
      <c r="C966" s="12" t="str">
        <f t="shared" si="184"/>
        <v>LANDMAN</v>
      </c>
      <c r="D966" s="12" t="s">
        <v>8187</v>
      </c>
      <c r="E966" s="12" t="str">
        <f t="shared" si="194"/>
        <v>Willem Adolph</v>
      </c>
      <c r="F966" s="12" t="s">
        <v>8188</v>
      </c>
      <c r="G966" s="12" t="str">
        <f t="shared" si="185"/>
        <v>a1b2c1d6</v>
      </c>
      <c r="H966" s="12" t="str">
        <f t="shared" si="186"/>
        <v>LANDMANa1b2c1d6</v>
      </c>
      <c r="I966" s="12"/>
      <c r="J966" s="12" t="s">
        <v>8229</v>
      </c>
      <c r="K966" s="12" t="str">
        <f t="shared" si="187"/>
        <v>1809</v>
      </c>
      <c r="L966" s="12"/>
      <c r="M966" s="12" t="s">
        <v>8230</v>
      </c>
      <c r="N966" s="12" t="str">
        <f t="shared" si="192"/>
        <v>1809</v>
      </c>
      <c r="O966" s="12" t="str">
        <f t="shared" si="193"/>
        <v>1809</v>
      </c>
      <c r="P966" s="12"/>
      <c r="Q966" s="12" t="str">
        <f t="shared" si="188"/>
        <v>1809</v>
      </c>
      <c r="R966" s="12"/>
      <c r="S966" s="12" t="str">
        <f t="shared" si="189"/>
        <v/>
      </c>
      <c r="T966" s="12" t="s">
        <v>53</v>
      </c>
      <c r="U966" s="12" t="s">
        <v>8231</v>
      </c>
      <c r="V966" s="12" t="str">
        <f t="shared" si="190"/>
        <v>1829</v>
      </c>
      <c r="W966" s="12" t="s">
        <v>3043</v>
      </c>
      <c r="X966" s="12" t="s">
        <v>1586</v>
      </c>
      <c r="Y966" s="12"/>
      <c r="Z966" s="12"/>
      <c r="AA966" s="12"/>
      <c r="AB966" s="12"/>
      <c r="AC966" s="12"/>
      <c r="AD966" s="12"/>
      <c r="AE966" s="12"/>
      <c r="AF966" s="12" t="s">
        <v>3677</v>
      </c>
      <c r="AG966" s="12" t="s">
        <v>53</v>
      </c>
      <c r="AH966" s="12" t="s">
        <v>8232</v>
      </c>
      <c r="AI966" s="12" t="str">
        <f t="shared" si="191"/>
        <v xml:space="preserve"> (?)</v>
      </c>
      <c r="AJ966" s="12" t="s">
        <v>8219</v>
      </c>
      <c r="AK966" s="12" t="s">
        <v>90</v>
      </c>
      <c r="AL966" s="12" t="s">
        <v>5146</v>
      </c>
      <c r="AM966" s="12" t="s">
        <v>8233</v>
      </c>
      <c r="AN966" s="12" t="s">
        <v>8234</v>
      </c>
      <c r="AO966" s="12" t="s">
        <v>5366</v>
      </c>
      <c r="AP966" s="12" t="s">
        <v>8235</v>
      </c>
      <c r="AQ966" s="12"/>
      <c r="AR966" s="12" t="s">
        <v>8236</v>
      </c>
      <c r="AS966" s="12" t="s">
        <v>53</v>
      </c>
      <c r="AT966" s="12" t="s">
        <v>336</v>
      </c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</row>
    <row r="967" spans="1:59">
      <c r="A967" s="12" t="s">
        <v>1961</v>
      </c>
      <c r="B967" s="12" t="str">
        <f t="shared" si="183"/>
        <v>LANDMAN</v>
      </c>
      <c r="C967" s="12" t="str">
        <f t="shared" si="184"/>
        <v>LANDMAN</v>
      </c>
      <c r="D967" s="12" t="s">
        <v>8183</v>
      </c>
      <c r="E967" s="12" t="str">
        <f t="shared" si="194"/>
        <v>Johan Carel Pieter</v>
      </c>
      <c r="F967" s="12" t="s">
        <v>1047</v>
      </c>
      <c r="G967" s="12" t="str">
        <f t="shared" si="185"/>
        <v>a1b2c1d7</v>
      </c>
      <c r="H967" s="12" t="str">
        <f t="shared" si="186"/>
        <v>LANDMANa1b2c1d7</v>
      </c>
      <c r="I967" s="12"/>
      <c r="J967" s="12" t="s">
        <v>8194</v>
      </c>
      <c r="K967" s="12" t="str">
        <f t="shared" si="187"/>
        <v>1812</v>
      </c>
      <c r="L967" s="12" t="s">
        <v>74</v>
      </c>
      <c r="M967" s="12" t="s">
        <v>4455</v>
      </c>
      <c r="N967" s="12" t="str">
        <f t="shared" si="192"/>
        <v>1812</v>
      </c>
      <c r="O967" s="12" t="str">
        <f t="shared" si="193"/>
        <v>1812</v>
      </c>
      <c r="P967" s="12"/>
      <c r="Q967" s="12" t="str">
        <f t="shared" si="188"/>
        <v>1812</v>
      </c>
      <c r="R967" s="12"/>
      <c r="S967" s="12" t="str">
        <f t="shared" si="189"/>
        <v/>
      </c>
      <c r="T967" s="12"/>
      <c r="U967" s="12"/>
      <c r="V967" s="12" t="str">
        <f t="shared" si="190"/>
        <v/>
      </c>
      <c r="W967" s="12" t="s">
        <v>8195</v>
      </c>
      <c r="X967" s="12" t="s">
        <v>631</v>
      </c>
      <c r="Y967" s="12" t="s">
        <v>8196</v>
      </c>
      <c r="Z967" s="12"/>
      <c r="AA967" s="12"/>
      <c r="AB967" s="12"/>
      <c r="AC967" s="12"/>
      <c r="AD967" s="12"/>
      <c r="AE967" s="12"/>
      <c r="AF967" s="12" t="s">
        <v>8197</v>
      </c>
      <c r="AG967" s="12" t="s">
        <v>53</v>
      </c>
      <c r="AH967" s="12" t="s">
        <v>8198</v>
      </c>
      <c r="AI967" s="12" t="str">
        <f t="shared" si="191"/>
        <v>1837</v>
      </c>
      <c r="AJ967" s="12" t="s">
        <v>8199</v>
      </c>
      <c r="AK967" s="12" t="s">
        <v>90</v>
      </c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</row>
    <row r="968" spans="1:59">
      <c r="A968" s="12" t="s">
        <v>1961</v>
      </c>
      <c r="B968" s="12" t="str">
        <f t="shared" si="183"/>
        <v>LANDMAN</v>
      </c>
      <c r="C968" s="12" t="str">
        <f t="shared" si="184"/>
        <v>LANDMAN</v>
      </c>
      <c r="D968" s="12" t="s">
        <v>8184</v>
      </c>
      <c r="E968" s="12" t="str">
        <f t="shared" si="194"/>
        <v>Johannes Abraham</v>
      </c>
      <c r="F968" s="12" t="s">
        <v>1634</v>
      </c>
      <c r="G968" s="12" t="str">
        <f t="shared" si="185"/>
        <v>a1b2c9</v>
      </c>
      <c r="H968" s="12" t="str">
        <f t="shared" si="186"/>
        <v>LANDMANa1b2c9</v>
      </c>
      <c r="I968" s="12"/>
      <c r="J968" s="12"/>
      <c r="K968" s="12" t="str">
        <f t="shared" si="187"/>
        <v/>
      </c>
      <c r="L968" s="12"/>
      <c r="M968" s="12" t="s">
        <v>8200</v>
      </c>
      <c r="N968" s="12" t="str">
        <f t="shared" si="192"/>
        <v/>
      </c>
      <c r="O968" s="12" t="str">
        <f t="shared" si="193"/>
        <v>1794</v>
      </c>
      <c r="P968" s="12"/>
      <c r="Q968" s="12" t="str">
        <f t="shared" si="188"/>
        <v>1794</v>
      </c>
      <c r="R968" s="12"/>
      <c r="S968" s="12" t="str">
        <f t="shared" si="189"/>
        <v/>
      </c>
      <c r="T968" s="12" t="s">
        <v>53</v>
      </c>
      <c r="U968" s="12" t="s">
        <v>2734</v>
      </c>
      <c r="V968" s="12" t="str">
        <f t="shared" si="190"/>
        <v>1822</v>
      </c>
      <c r="W968" s="12" t="s">
        <v>3389</v>
      </c>
      <c r="X968" s="12" t="s">
        <v>2402</v>
      </c>
      <c r="Y968" s="12" t="s">
        <v>8201</v>
      </c>
      <c r="Z968" s="12"/>
      <c r="AA968" s="12"/>
      <c r="AB968" s="12"/>
      <c r="AC968" s="12" t="s">
        <v>8202</v>
      </c>
      <c r="AD968" s="12"/>
      <c r="AE968" s="12"/>
      <c r="AF968" s="12" t="s">
        <v>8203</v>
      </c>
      <c r="AG968" s="12" t="s">
        <v>53</v>
      </c>
      <c r="AH968" s="12" t="s">
        <v>8204</v>
      </c>
      <c r="AI968" s="12" t="str">
        <f t="shared" si="191"/>
        <v>1836</v>
      </c>
      <c r="AJ968" s="12" t="s">
        <v>8205</v>
      </c>
      <c r="AK968" s="12" t="s">
        <v>90</v>
      </c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</row>
    <row r="969" spans="1:59">
      <c r="A969" s="12" t="s">
        <v>8244</v>
      </c>
      <c r="B969" s="12" t="str">
        <f t="shared" si="183"/>
        <v>LANDSBERG</v>
      </c>
      <c r="C969" s="12" t="str">
        <f t="shared" si="184"/>
        <v>LANDSBERG</v>
      </c>
      <c r="D969" s="12" t="s">
        <v>8245</v>
      </c>
      <c r="E969" s="12" t="str">
        <f t="shared" si="194"/>
        <v>Friedrich Ludwig Erich</v>
      </c>
      <c r="F969" s="12" t="s">
        <v>3010</v>
      </c>
      <c r="G969" s="12" t="str">
        <f t="shared" si="185"/>
        <v>a1b3</v>
      </c>
      <c r="H969" s="12" t="str">
        <f t="shared" si="186"/>
        <v>LANDSBERGa1b3</v>
      </c>
      <c r="I969" s="2" t="s">
        <v>4713</v>
      </c>
      <c r="J969" s="2" t="s">
        <v>8246</v>
      </c>
      <c r="K969" s="12" t="str">
        <f t="shared" si="187"/>
        <v>1796</v>
      </c>
      <c r="M969" s="12"/>
      <c r="N969" s="12" t="str">
        <f t="shared" si="192"/>
        <v>1796</v>
      </c>
      <c r="O969" s="12" t="str">
        <f t="shared" si="193"/>
        <v/>
      </c>
      <c r="P969" s="2" t="s">
        <v>7728</v>
      </c>
      <c r="Q969" s="12" t="str">
        <f t="shared" si="188"/>
        <v>1796</v>
      </c>
      <c r="R969" s="2" t="s">
        <v>8247</v>
      </c>
      <c r="S969" s="12" t="str">
        <f t="shared" si="189"/>
        <v>1870</v>
      </c>
      <c r="T969" s="2" t="s">
        <v>48</v>
      </c>
      <c r="U969" s="12" t="s">
        <v>8248</v>
      </c>
      <c r="V969" s="12" t="str">
        <f t="shared" si="190"/>
        <v>1819</v>
      </c>
      <c r="W969" s="12" t="s">
        <v>8242</v>
      </c>
      <c r="X969" s="12" t="s">
        <v>8249</v>
      </c>
      <c r="Y969" s="12"/>
      <c r="AA969" s="2" t="s">
        <v>8250</v>
      </c>
      <c r="AC969" s="12"/>
      <c r="AE969" s="2" t="s">
        <v>8251</v>
      </c>
      <c r="AF969" s="12"/>
      <c r="AG969" s="12"/>
      <c r="AH969" s="12" t="s">
        <v>8252</v>
      </c>
      <c r="AI969" s="12" t="str">
        <f t="shared" si="191"/>
        <v>1845</v>
      </c>
      <c r="AJ969" s="12"/>
      <c r="AK969" s="2" t="s">
        <v>5436</v>
      </c>
    </row>
    <row r="970" spans="1:59">
      <c r="A970" s="12" t="s">
        <v>8244</v>
      </c>
      <c r="B970" s="12" t="str">
        <f t="shared" si="183"/>
        <v>LANDSBERG</v>
      </c>
      <c r="C970" s="12" t="str">
        <f t="shared" si="184"/>
        <v>LANDSBERG</v>
      </c>
      <c r="D970" s="12" t="s">
        <v>8253</v>
      </c>
      <c r="E970" s="12" t="str">
        <f t="shared" si="194"/>
        <v>Johan Heinrich Marthinus</v>
      </c>
      <c r="F970" s="12" t="s">
        <v>950</v>
      </c>
      <c r="G970" s="12" t="str">
        <f t="shared" si="185"/>
        <v>a1b3c1</v>
      </c>
      <c r="H970" s="12" t="str">
        <f t="shared" si="186"/>
        <v>LANDSBERGa1b3c1</v>
      </c>
      <c r="J970" s="12" t="s">
        <v>8254</v>
      </c>
      <c r="K970" s="12" t="str">
        <f t="shared" si="187"/>
        <v>1820</v>
      </c>
      <c r="L970" s="12" t="s">
        <v>7625</v>
      </c>
      <c r="M970" s="12" t="s">
        <v>8255</v>
      </c>
      <c r="N970" s="12" t="str">
        <f t="shared" si="192"/>
        <v>1820</v>
      </c>
      <c r="O970" s="12" t="str">
        <f t="shared" si="193"/>
        <v>1820</v>
      </c>
      <c r="Q970" s="12" t="str">
        <f t="shared" si="188"/>
        <v>1820</v>
      </c>
      <c r="R970" s="2" t="s">
        <v>8256</v>
      </c>
      <c r="S970" s="12" t="str">
        <f t="shared" si="189"/>
        <v>1845</v>
      </c>
      <c r="T970" s="12" t="s">
        <v>48</v>
      </c>
      <c r="U970" s="12" t="s">
        <v>8257</v>
      </c>
      <c r="V970" s="12" t="str">
        <f t="shared" si="190"/>
        <v>1839</v>
      </c>
      <c r="W970" s="12" t="s">
        <v>8258</v>
      </c>
      <c r="X970" s="12" t="s">
        <v>779</v>
      </c>
      <c r="Y970" s="12" t="s">
        <v>8259</v>
      </c>
      <c r="AA970" s="2" t="s">
        <v>8260</v>
      </c>
      <c r="AF970" s="12"/>
      <c r="AG970" s="12" t="s">
        <v>8261</v>
      </c>
      <c r="AH970" s="12" t="s">
        <v>8262</v>
      </c>
      <c r="AI970" s="12" t="str">
        <f t="shared" si="191"/>
        <v>1845</v>
      </c>
      <c r="AJ970" s="12"/>
      <c r="AK970" s="12" t="s">
        <v>90</v>
      </c>
    </row>
    <row r="971" spans="1:59">
      <c r="A971" s="12" t="s">
        <v>8244</v>
      </c>
      <c r="B971" s="12" t="str">
        <f t="shared" si="183"/>
        <v>LANDSBERG</v>
      </c>
      <c r="C971" s="12" t="str">
        <f t="shared" si="184"/>
        <v>LANDSBERG</v>
      </c>
      <c r="D971" s="12" t="s">
        <v>8237</v>
      </c>
      <c r="E971" s="12" t="str">
        <f t="shared" si="194"/>
        <v>Ernst Wilhelm Erich</v>
      </c>
      <c r="F971" s="2" t="s">
        <v>2500</v>
      </c>
      <c r="G971" s="12" t="str">
        <f t="shared" si="185"/>
        <v>a1b3c2</v>
      </c>
      <c r="H971" s="12" t="str">
        <f t="shared" si="186"/>
        <v>LANDSBERGa1b3c2</v>
      </c>
      <c r="J971" s="2" t="s">
        <v>3143</v>
      </c>
      <c r="K971" s="12" t="str">
        <f t="shared" si="187"/>
        <v>1823</v>
      </c>
      <c r="L971" s="2" t="s">
        <v>7625</v>
      </c>
      <c r="M971" s="2" t="s">
        <v>8238</v>
      </c>
      <c r="N971" s="12" t="str">
        <f t="shared" si="192"/>
        <v>1823</v>
      </c>
      <c r="O971" s="12" t="str">
        <f t="shared" si="193"/>
        <v>1823</v>
      </c>
      <c r="P971" s="2" t="s">
        <v>8239</v>
      </c>
      <c r="Q971" s="12" t="str">
        <f t="shared" si="188"/>
        <v>1823</v>
      </c>
      <c r="R971" s="2" t="s">
        <v>8240</v>
      </c>
      <c r="S971" s="12" t="str">
        <f t="shared" si="189"/>
        <v>1857</v>
      </c>
      <c r="T971" s="2" t="s">
        <v>5146</v>
      </c>
      <c r="U971" s="2" t="s">
        <v>8241</v>
      </c>
      <c r="V971" s="12" t="str">
        <f t="shared" si="190"/>
        <v>1843</v>
      </c>
      <c r="W971" s="2" t="s">
        <v>8242</v>
      </c>
      <c r="X971" s="2" t="s">
        <v>775</v>
      </c>
      <c r="AH971" s="2" t="s">
        <v>8243</v>
      </c>
      <c r="AI971" s="12" t="str">
        <f t="shared" si="191"/>
        <v>840S</v>
      </c>
      <c r="AK971" s="2" t="s">
        <v>90</v>
      </c>
    </row>
    <row r="972" spans="1:59">
      <c r="A972" s="14" t="s">
        <v>8263</v>
      </c>
      <c r="B972" s="12" t="str">
        <f t="shared" si="183"/>
        <v>LAUBSCHER</v>
      </c>
      <c r="C972" s="12" t="str">
        <f t="shared" si="184"/>
        <v>LAUBSCHER</v>
      </c>
      <c r="D972" s="12" t="s">
        <v>8445</v>
      </c>
      <c r="E972" s="12" t="str">
        <f t="shared" si="194"/>
        <v>Rudolph Jacobus Sr.</v>
      </c>
      <c r="F972" s="12" t="s">
        <v>8446</v>
      </c>
      <c r="G972" s="12" t="str">
        <f t="shared" si="185"/>
        <v>a1b1c1d11e3</v>
      </c>
      <c r="H972" s="12" t="str">
        <f t="shared" si="186"/>
        <v>LAUBSCHERa1b1c1d11e3</v>
      </c>
      <c r="J972" s="12"/>
      <c r="K972" s="12" t="str">
        <f t="shared" si="187"/>
        <v/>
      </c>
      <c r="M972" s="12" t="s">
        <v>8559</v>
      </c>
      <c r="N972" s="12" t="str">
        <f t="shared" si="192"/>
        <v/>
      </c>
      <c r="O972" s="12" t="str">
        <f t="shared" si="193"/>
        <v>1792</v>
      </c>
      <c r="P972" s="12"/>
      <c r="Q972" s="12" t="str">
        <f t="shared" si="188"/>
        <v>1792</v>
      </c>
      <c r="R972" s="12"/>
      <c r="S972" s="12" t="str">
        <f t="shared" si="189"/>
        <v/>
      </c>
      <c r="T972" s="12"/>
      <c r="U972" s="12"/>
      <c r="V972" s="12" t="str">
        <f t="shared" si="190"/>
        <v/>
      </c>
      <c r="W972" s="12" t="s">
        <v>8560</v>
      </c>
      <c r="X972" s="12" t="s">
        <v>2111</v>
      </c>
      <c r="Y972" s="12"/>
      <c r="AC972" s="12"/>
      <c r="AF972" s="12"/>
      <c r="AG972" s="12" t="s">
        <v>8334</v>
      </c>
      <c r="AH972" s="12" t="s">
        <v>8561</v>
      </c>
      <c r="AI972" s="12" t="str">
        <f t="shared" si="191"/>
        <v>1835</v>
      </c>
      <c r="AJ972" s="12"/>
      <c r="AK972" s="2" t="s">
        <v>8562</v>
      </c>
      <c r="AL972" s="2" t="s">
        <v>60</v>
      </c>
      <c r="AM972" s="2" t="s">
        <v>7899</v>
      </c>
      <c r="AN972" s="2" t="s">
        <v>8563</v>
      </c>
      <c r="AO972" s="2" t="s">
        <v>786</v>
      </c>
      <c r="AP972" s="2" t="s">
        <v>8564</v>
      </c>
      <c r="AT972" s="2" t="s">
        <v>8565</v>
      </c>
    </row>
    <row r="973" spans="1:59">
      <c r="A973" s="14" t="s">
        <v>8263</v>
      </c>
      <c r="B973" s="12" t="str">
        <f t="shared" si="183"/>
        <v>LAUBSCHER</v>
      </c>
      <c r="C973" s="12" t="str">
        <f t="shared" si="184"/>
        <v>LAUBSCHER</v>
      </c>
      <c r="D973" s="12" t="s">
        <v>8447</v>
      </c>
      <c r="E973" s="12" t="str">
        <f t="shared" si="194"/>
        <v>Rudolph Jacobus Jr.</v>
      </c>
      <c r="F973" s="12" t="s">
        <v>8448</v>
      </c>
      <c r="G973" s="12" t="str">
        <f t="shared" si="185"/>
        <v>a1b1c1d11e3f1</v>
      </c>
      <c r="H973" s="12" t="str">
        <f t="shared" si="186"/>
        <v>LAUBSCHERa1b1c1d11e3f1</v>
      </c>
      <c r="J973" s="2" t="s">
        <v>2730</v>
      </c>
      <c r="K973" s="12" t="str">
        <f t="shared" si="187"/>
        <v>1816</v>
      </c>
      <c r="L973" s="12" t="s">
        <v>74</v>
      </c>
      <c r="M973" s="12" t="s">
        <v>8566</v>
      </c>
      <c r="N973" s="12" t="str">
        <f t="shared" si="192"/>
        <v>1816</v>
      </c>
      <c r="O973" s="12" t="str">
        <f t="shared" si="193"/>
        <v>1816</v>
      </c>
      <c r="Q973" s="12" t="str">
        <f t="shared" si="188"/>
        <v>1816</v>
      </c>
      <c r="R973" s="2" t="s">
        <v>8567</v>
      </c>
      <c r="S973" s="12" t="str">
        <f t="shared" si="189"/>
        <v>1903</v>
      </c>
      <c r="T973" s="2" t="s">
        <v>140</v>
      </c>
      <c r="U973" s="2" t="s">
        <v>8568</v>
      </c>
      <c r="V973" s="12" t="str">
        <f t="shared" si="190"/>
        <v>1852</v>
      </c>
      <c r="W973" s="2" t="s">
        <v>8569</v>
      </c>
      <c r="X973" s="2" t="s">
        <v>704</v>
      </c>
      <c r="AA973" s="2">
        <v>1834</v>
      </c>
      <c r="AF973" s="12"/>
      <c r="AG973" s="12" t="s">
        <v>8334</v>
      </c>
      <c r="AH973" s="12" t="s">
        <v>8561</v>
      </c>
      <c r="AI973" s="12" t="str">
        <f t="shared" si="191"/>
        <v>1835</v>
      </c>
      <c r="AJ973" s="12" t="s">
        <v>24</v>
      </c>
    </row>
    <row r="974" spans="1:59">
      <c r="A974" s="14" t="s">
        <v>8263</v>
      </c>
      <c r="B974" s="12" t="str">
        <f t="shared" si="183"/>
        <v>LAUBSCHER</v>
      </c>
      <c r="C974" s="12" t="str">
        <f t="shared" si="184"/>
        <v>LAUBSCHER</v>
      </c>
      <c r="D974" s="12" t="s">
        <v>201</v>
      </c>
      <c r="E974" s="12" t="str">
        <f t="shared" si="194"/>
        <v>Petrus Johannes</v>
      </c>
      <c r="F974" s="2" t="s">
        <v>8444</v>
      </c>
      <c r="G974" s="12" t="str">
        <f t="shared" si="185"/>
        <v>a1b1c1d11e3f3</v>
      </c>
      <c r="H974" s="12" t="str">
        <f t="shared" si="186"/>
        <v>LAUBSCHERa1b1c1d11e3f3</v>
      </c>
      <c r="J974" s="2" t="s">
        <v>8553</v>
      </c>
      <c r="K974" s="12" t="str">
        <f t="shared" si="187"/>
        <v>1820</v>
      </c>
      <c r="L974" s="2" t="s">
        <v>74</v>
      </c>
      <c r="M974" s="2" t="s">
        <v>1583</v>
      </c>
      <c r="N974" s="12" t="str">
        <f t="shared" si="192"/>
        <v>1820</v>
      </c>
      <c r="O974" s="12" t="str">
        <f t="shared" si="193"/>
        <v>1821</v>
      </c>
      <c r="P974" s="2" t="s">
        <v>8554</v>
      </c>
      <c r="Q974" s="12" t="str">
        <f t="shared" si="188"/>
        <v>1820</v>
      </c>
      <c r="R974" s="12" t="s">
        <v>8555</v>
      </c>
      <c r="S974" s="12" t="str">
        <f t="shared" si="189"/>
        <v>1914</v>
      </c>
      <c r="V974" s="12" t="str">
        <f t="shared" si="190"/>
        <v/>
      </c>
      <c r="W974" s="12" t="s">
        <v>2472</v>
      </c>
      <c r="X974" s="12" t="s">
        <v>2995</v>
      </c>
      <c r="AE974" s="2">
        <v>1872</v>
      </c>
      <c r="AF974" s="12"/>
      <c r="AG974" s="12" t="s">
        <v>8334</v>
      </c>
      <c r="AH974" s="12" t="s">
        <v>4775</v>
      </c>
      <c r="AI974" s="12" t="str">
        <f t="shared" si="191"/>
        <v>1842</v>
      </c>
      <c r="AJ974" s="12"/>
      <c r="AK974" s="2" t="s">
        <v>140</v>
      </c>
      <c r="AN974" s="2" t="s">
        <v>8556</v>
      </c>
      <c r="AO974" s="2" t="s">
        <v>698</v>
      </c>
      <c r="AV974" s="2">
        <v>1894</v>
      </c>
      <c r="AY974" s="2" t="s">
        <v>8557</v>
      </c>
      <c r="AZ974" s="2" t="s">
        <v>8558</v>
      </c>
    </row>
    <row r="975" spans="1:59">
      <c r="A975" s="12" t="s">
        <v>1003</v>
      </c>
      <c r="B975" s="12" t="str">
        <f t="shared" si="183"/>
        <v>LEROUX</v>
      </c>
      <c r="C975" s="12" t="str">
        <f t="shared" si="184"/>
        <v>LE ROUX</v>
      </c>
      <c r="D975" s="12" t="s">
        <v>8292</v>
      </c>
      <c r="E975" s="12" t="str">
        <f t="shared" si="194"/>
        <v>Nicolaas Casparus</v>
      </c>
      <c r="F975" s="12" t="s">
        <v>8293</v>
      </c>
      <c r="G975" s="12" t="str">
        <f t="shared" si="185"/>
        <v>a1b2c1d4e3</v>
      </c>
      <c r="H975" s="12" t="str">
        <f t="shared" si="186"/>
        <v>LE ROUXa1b2c1d4e3</v>
      </c>
      <c r="J975" s="12" t="s">
        <v>8294</v>
      </c>
      <c r="K975" s="12" t="str">
        <f t="shared" si="187"/>
        <v>1802</v>
      </c>
      <c r="L975" s="12"/>
      <c r="M975" s="12"/>
      <c r="N975" s="12" t="str">
        <f t="shared" si="192"/>
        <v>1802</v>
      </c>
      <c r="O975" s="12" t="str">
        <f t="shared" si="193"/>
        <v/>
      </c>
      <c r="P975" s="12" t="s">
        <v>300</v>
      </c>
      <c r="Q975" s="12" t="str">
        <f t="shared" si="188"/>
        <v>1802</v>
      </c>
      <c r="R975" s="12" t="s">
        <v>301</v>
      </c>
      <c r="S975" s="12" t="str">
        <f t="shared" si="189"/>
        <v>1838</v>
      </c>
      <c r="T975" s="12"/>
      <c r="U975" s="12"/>
      <c r="V975" s="12" t="str">
        <f t="shared" si="190"/>
        <v/>
      </c>
      <c r="W975" s="12" t="s">
        <v>8295</v>
      </c>
      <c r="X975" s="12" t="s">
        <v>8296</v>
      </c>
      <c r="Y975" s="2" t="s">
        <v>8297</v>
      </c>
      <c r="AA975" s="12"/>
      <c r="AC975" s="2" t="s">
        <v>8298</v>
      </c>
      <c r="AD975" s="12"/>
      <c r="AE975" s="12"/>
      <c r="AF975" s="12" t="s">
        <v>16</v>
      </c>
      <c r="AG975" s="12" t="s">
        <v>68</v>
      </c>
      <c r="AH975" s="12" t="s">
        <v>8299</v>
      </c>
      <c r="AI975" s="12" t="str">
        <f t="shared" si="191"/>
        <v>RITZ</v>
      </c>
      <c r="AJ975" s="12" t="s">
        <v>8300</v>
      </c>
    </row>
    <row r="976" spans="1:59">
      <c r="A976" s="12" t="s">
        <v>1003</v>
      </c>
      <c r="B976" s="12" t="str">
        <f t="shared" si="183"/>
        <v>LEROUX</v>
      </c>
      <c r="C976" s="12" t="str">
        <f t="shared" si="184"/>
        <v>LE ROUX</v>
      </c>
      <c r="D976" s="12" t="s">
        <v>8301</v>
      </c>
      <c r="E976" s="12" t="str">
        <f t="shared" si="194"/>
        <v>Nicolaas Lodewikus</v>
      </c>
      <c r="F976" s="12" t="s">
        <v>8302</v>
      </c>
      <c r="G976" s="12" t="str">
        <f t="shared" si="185"/>
        <v>a1b3c2d2e2</v>
      </c>
      <c r="H976" s="12" t="str">
        <f t="shared" si="186"/>
        <v>LE ROUXa1b3c2d2e2</v>
      </c>
      <c r="J976" s="2" t="s">
        <v>8303</v>
      </c>
      <c r="K976" s="12" t="str">
        <f t="shared" si="187"/>
        <v>1813</v>
      </c>
      <c r="L976" s="12" t="s">
        <v>74</v>
      </c>
      <c r="M976" s="12" t="s">
        <v>8304</v>
      </c>
      <c r="N976" s="12" t="str">
        <f t="shared" si="192"/>
        <v>1813</v>
      </c>
      <c r="O976" s="12" t="str">
        <f t="shared" si="193"/>
        <v>1813</v>
      </c>
      <c r="P976" s="2" t="s">
        <v>8305</v>
      </c>
      <c r="Q976" s="12" t="str">
        <f t="shared" si="188"/>
        <v>1813</v>
      </c>
      <c r="R976" s="2" t="s">
        <v>2765</v>
      </c>
      <c r="S976" s="12" t="str">
        <f t="shared" si="189"/>
        <v>1838</v>
      </c>
      <c r="T976" s="12" t="s">
        <v>28</v>
      </c>
      <c r="U976" s="12" t="s">
        <v>8306</v>
      </c>
      <c r="V976" s="12" t="str">
        <f t="shared" si="190"/>
        <v>1833</v>
      </c>
      <c r="W976" s="12" t="s">
        <v>8307</v>
      </c>
      <c r="X976" s="12" t="s">
        <v>1109</v>
      </c>
      <c r="Y976" s="2" t="s">
        <v>8308</v>
      </c>
      <c r="AA976" s="2" t="s">
        <v>8309</v>
      </c>
      <c r="AF976" s="12" t="s">
        <v>3699</v>
      </c>
      <c r="AG976" s="12" t="s">
        <v>68</v>
      </c>
      <c r="AH976" s="12" t="s">
        <v>8310</v>
      </c>
      <c r="AI976" s="12" t="str">
        <f t="shared" si="191"/>
        <v>1838</v>
      </c>
      <c r="AJ976" s="12"/>
    </row>
    <row r="977" spans="1:59">
      <c r="A977" s="12" t="s">
        <v>1003</v>
      </c>
      <c r="B977" s="12" t="str">
        <f t="shared" si="183"/>
        <v>LEROUX</v>
      </c>
      <c r="C977" s="12" t="str">
        <f t="shared" si="184"/>
        <v>LE ROUX</v>
      </c>
      <c r="D977" s="12" t="s">
        <v>8277</v>
      </c>
      <c r="E977" s="12" t="str">
        <f t="shared" si="194"/>
        <v>Abraham Hercules</v>
      </c>
      <c r="F977" s="12" t="s">
        <v>8278</v>
      </c>
      <c r="G977" s="12" t="str">
        <f t="shared" si="185"/>
        <v>a2b4c6d4</v>
      </c>
      <c r="H977" s="12" t="str">
        <f t="shared" si="186"/>
        <v>LE ROUXa2b4c6d4</v>
      </c>
      <c r="I977" s="12"/>
      <c r="J977" s="12" t="s">
        <v>8279</v>
      </c>
      <c r="K977" s="12" t="str">
        <f t="shared" si="187"/>
        <v>1803</v>
      </c>
      <c r="L977" s="12" t="s">
        <v>32</v>
      </c>
      <c r="M977" s="12" t="s">
        <v>8280</v>
      </c>
      <c r="N977" s="12" t="str">
        <f t="shared" si="192"/>
        <v>1803</v>
      </c>
      <c r="O977" s="12" t="str">
        <f t="shared" si="193"/>
        <v>1803</v>
      </c>
      <c r="P977" s="12" t="s">
        <v>190</v>
      </c>
      <c r="Q977" s="12" t="str">
        <f t="shared" si="188"/>
        <v>1803</v>
      </c>
      <c r="R977" s="12" t="s">
        <v>8281</v>
      </c>
      <c r="S977" s="12" t="str">
        <f t="shared" si="189"/>
        <v>1883</v>
      </c>
      <c r="T977" s="12" t="s">
        <v>32</v>
      </c>
      <c r="U977" s="12" t="s">
        <v>5699</v>
      </c>
      <c r="V977" s="12" t="str">
        <f t="shared" si="190"/>
        <v>1825</v>
      </c>
      <c r="W977" s="12" t="s">
        <v>8282</v>
      </c>
      <c r="X977" s="12" t="s">
        <v>1930</v>
      </c>
      <c r="Y977" s="12"/>
      <c r="Z977" s="12"/>
      <c r="AA977" s="12"/>
      <c r="AB977" s="12"/>
      <c r="AC977" s="12" t="s">
        <v>8283</v>
      </c>
      <c r="AD977" s="12" t="s">
        <v>190</v>
      </c>
      <c r="AE977" s="12" t="s">
        <v>8284</v>
      </c>
      <c r="AF977" s="12" t="s">
        <v>8285</v>
      </c>
      <c r="AG977" s="12" t="s">
        <v>32</v>
      </c>
      <c r="AH977" s="12" t="s">
        <v>7432</v>
      </c>
      <c r="AI977" s="12" t="str">
        <f t="shared" si="191"/>
        <v>1841</v>
      </c>
      <c r="AJ977" s="12"/>
      <c r="AK977" s="12" t="s">
        <v>190</v>
      </c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</row>
    <row r="978" spans="1:59">
      <c r="A978" s="12" t="s">
        <v>1003</v>
      </c>
      <c r="B978" s="12" t="str">
        <f t="shared" si="183"/>
        <v>LEROUX</v>
      </c>
      <c r="C978" s="12" t="str">
        <f t="shared" si="184"/>
        <v>LE ROUX</v>
      </c>
      <c r="D978" s="12" t="s">
        <v>8286</v>
      </c>
      <c r="E978" s="12" t="str">
        <f t="shared" si="194"/>
        <v>Jacobus Johannes Fredericus</v>
      </c>
      <c r="F978" s="12" t="s">
        <v>8287</v>
      </c>
      <c r="G978" s="12" t="str">
        <f t="shared" si="185"/>
        <v>a3b2c3d8e5</v>
      </c>
      <c r="H978" s="12" t="str">
        <f t="shared" si="186"/>
        <v>LE ROUXa3b2c3d8e5</v>
      </c>
      <c r="J978" s="12" t="s">
        <v>8288</v>
      </c>
      <c r="K978" s="12" t="str">
        <f t="shared" si="187"/>
        <v>1811</v>
      </c>
      <c r="L978" s="12" t="s">
        <v>32</v>
      </c>
      <c r="M978" s="12" t="s">
        <v>8289</v>
      </c>
      <c r="N978" s="12" t="str">
        <f t="shared" si="192"/>
        <v>1811</v>
      </c>
      <c r="O978" s="12" t="str">
        <f t="shared" si="193"/>
        <v>1811</v>
      </c>
      <c r="P978" s="12" t="s">
        <v>190</v>
      </c>
      <c r="Q978" s="12" t="str">
        <f t="shared" si="188"/>
        <v>1811</v>
      </c>
      <c r="R978" s="12" t="s">
        <v>8290</v>
      </c>
      <c r="S978" s="12" t="str">
        <f t="shared" si="189"/>
        <v>1853</v>
      </c>
      <c r="T978" s="12"/>
      <c r="U978" s="12"/>
      <c r="V978" s="12" t="str">
        <f t="shared" si="190"/>
        <v/>
      </c>
      <c r="W978" s="12" t="s">
        <v>1020</v>
      </c>
      <c r="X978" s="12" t="s">
        <v>664</v>
      </c>
      <c r="AE978" s="12"/>
      <c r="AF978" s="12" t="s">
        <v>8291</v>
      </c>
      <c r="AG978" s="12" t="s">
        <v>32</v>
      </c>
      <c r="AH978" s="12" t="s">
        <v>7432</v>
      </c>
      <c r="AI978" s="12" t="str">
        <f t="shared" si="191"/>
        <v>1841</v>
      </c>
      <c r="AJ978" s="12"/>
      <c r="AK978" s="12" t="s">
        <v>190</v>
      </c>
    </row>
    <row r="979" spans="1:59">
      <c r="A979" s="12" t="s">
        <v>8264</v>
      </c>
      <c r="B979" s="12" t="str">
        <f t="shared" si="183"/>
        <v>LEMMER</v>
      </c>
      <c r="C979" s="12" t="str">
        <f t="shared" si="184"/>
        <v>LEMMER</v>
      </c>
      <c r="D979" s="12" t="s">
        <v>8265</v>
      </c>
      <c r="E979" s="12" t="str">
        <f t="shared" si="194"/>
        <v>Johannes Hermanus Richart</v>
      </c>
      <c r="F979" s="12" t="s">
        <v>837</v>
      </c>
      <c r="G979" s="12" t="str">
        <f t="shared" si="185"/>
        <v>a1b1</v>
      </c>
      <c r="H979" s="12" t="str">
        <f t="shared" si="186"/>
        <v>LEMMERa1b1</v>
      </c>
      <c r="I979" s="12"/>
      <c r="J979" s="12" t="s">
        <v>8266</v>
      </c>
      <c r="K979" s="12" t="str">
        <f t="shared" si="187"/>
        <v>1801</v>
      </c>
      <c r="L979" s="12" t="s">
        <v>32</v>
      </c>
      <c r="M979" s="12" t="s">
        <v>8267</v>
      </c>
      <c r="N979" s="12" t="str">
        <f t="shared" si="192"/>
        <v>1801</v>
      </c>
      <c r="O979" s="12" t="str">
        <f t="shared" si="193"/>
        <v>1802</v>
      </c>
      <c r="P979" s="12" t="s">
        <v>2890</v>
      </c>
      <c r="Q979" s="12" t="str">
        <f t="shared" si="188"/>
        <v>1801</v>
      </c>
      <c r="R979" s="12" t="s">
        <v>8268</v>
      </c>
      <c r="S979" s="12" t="str">
        <f t="shared" si="189"/>
        <v xml:space="preserve"> (?)</v>
      </c>
      <c r="T979" s="12" t="s">
        <v>32</v>
      </c>
      <c r="U979" s="12" t="s">
        <v>8269</v>
      </c>
      <c r="V979" s="12" t="str">
        <f t="shared" si="190"/>
        <v>1826</v>
      </c>
      <c r="W979" s="12" t="s">
        <v>8270</v>
      </c>
      <c r="X979" s="12" t="s">
        <v>78</v>
      </c>
      <c r="Y979" s="12" t="s">
        <v>8271</v>
      </c>
      <c r="Z979" s="12"/>
      <c r="AA979" s="12"/>
      <c r="AB979" s="12"/>
      <c r="AC979" s="12" t="s">
        <v>3472</v>
      </c>
      <c r="AD979" s="12"/>
      <c r="AE979" s="12"/>
      <c r="AF979" s="12" t="s">
        <v>8272</v>
      </c>
      <c r="AG979" s="12" t="s">
        <v>32</v>
      </c>
      <c r="AH979" s="12" t="s">
        <v>8273</v>
      </c>
      <c r="AI979" s="12" t="str">
        <f t="shared" si="191"/>
        <v>1841</v>
      </c>
      <c r="AJ979" s="12"/>
      <c r="AK979" s="12" t="s">
        <v>90</v>
      </c>
      <c r="AL979" s="12" t="s">
        <v>8274</v>
      </c>
      <c r="AM979" s="12" t="s">
        <v>8275</v>
      </c>
      <c r="AN979" s="12" t="s">
        <v>8276</v>
      </c>
      <c r="AO979" s="12" t="s">
        <v>78</v>
      </c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</row>
    <row r="980" spans="1:59">
      <c r="A980" s="12" t="s">
        <v>8311</v>
      </c>
      <c r="B980" s="12" t="str">
        <f t="shared" si="183"/>
        <v>LEWIS</v>
      </c>
      <c r="C980" s="12" t="str">
        <f t="shared" si="184"/>
        <v>LEWIS</v>
      </c>
      <c r="D980" s="12" t="s">
        <v>5216</v>
      </c>
      <c r="E980" s="12" t="str">
        <f t="shared" si="194"/>
        <v>Joseph</v>
      </c>
      <c r="F980" s="12" t="s">
        <v>837</v>
      </c>
      <c r="G980" s="12" t="str">
        <f t="shared" si="185"/>
        <v>a1b1</v>
      </c>
      <c r="H980" s="12" t="str">
        <f t="shared" si="186"/>
        <v>LEWISa1b1</v>
      </c>
      <c r="J980" s="12" t="s">
        <v>8312</v>
      </c>
      <c r="K980" s="12" t="str">
        <f t="shared" si="187"/>
        <v>1820</v>
      </c>
      <c r="L980" s="12"/>
      <c r="M980" s="12"/>
      <c r="N980" s="12" t="str">
        <f t="shared" si="192"/>
        <v>1820</v>
      </c>
      <c r="O980" s="12" t="str">
        <f t="shared" si="193"/>
        <v/>
      </c>
      <c r="P980" s="12" t="s">
        <v>8313</v>
      </c>
      <c r="Q980" s="12" t="str">
        <f t="shared" si="188"/>
        <v>1820</v>
      </c>
      <c r="R980" s="12" t="s">
        <v>8314</v>
      </c>
      <c r="S980" s="12" t="str">
        <f t="shared" si="189"/>
        <v xml:space="preserve"> (?)</v>
      </c>
      <c r="T980" s="12" t="s">
        <v>140</v>
      </c>
      <c r="U980" s="12" t="s">
        <v>8315</v>
      </c>
      <c r="V980" s="12" t="str">
        <f t="shared" si="190"/>
        <v>1840</v>
      </c>
      <c r="W980" s="12" t="s">
        <v>8316</v>
      </c>
      <c r="X980" s="12" t="s">
        <v>295</v>
      </c>
      <c r="Y980" s="12"/>
      <c r="AC980" s="12"/>
      <c r="AE980" s="2" t="s">
        <v>8317</v>
      </c>
      <c r="AF980" s="12"/>
      <c r="AG980" s="12"/>
      <c r="AH980" s="12" t="s">
        <v>7958</v>
      </c>
      <c r="AI980" s="12" t="str">
        <f t="shared" si="191"/>
        <v>1840</v>
      </c>
      <c r="AK980" s="12" t="s">
        <v>8318</v>
      </c>
      <c r="AM980" s="2" t="s">
        <v>8319</v>
      </c>
      <c r="AN980" s="2" t="s">
        <v>8320</v>
      </c>
      <c r="AO980" s="2" t="s">
        <v>1685</v>
      </c>
      <c r="AQ980" s="2" t="s">
        <v>8321</v>
      </c>
      <c r="AS980" s="2" t="s">
        <v>32</v>
      </c>
      <c r="AT980" s="2" t="s">
        <v>5352</v>
      </c>
      <c r="AW980" s="2" t="s">
        <v>1864</v>
      </c>
      <c r="AX980" s="2" t="s">
        <v>8322</v>
      </c>
      <c r="AY980" s="2" t="s">
        <v>8323</v>
      </c>
      <c r="AZ980" s="2" t="s">
        <v>669</v>
      </c>
    </row>
    <row r="981" spans="1:59">
      <c r="A981" s="12" t="s">
        <v>784</v>
      </c>
      <c r="B981" s="12" t="str">
        <f t="shared" si="183"/>
        <v>LIEBENBERG</v>
      </c>
      <c r="C981" s="12" t="str">
        <f t="shared" si="184"/>
        <v>LIEBENBERG</v>
      </c>
      <c r="D981" s="12" t="s">
        <v>5254</v>
      </c>
      <c r="E981" s="12" t="str">
        <f t="shared" si="194"/>
        <v>Christiaan Jacobus</v>
      </c>
      <c r="F981" s="12" t="s">
        <v>836</v>
      </c>
      <c r="G981" s="12" t="str">
        <f t="shared" si="185"/>
        <v>a1b2c2d2e2</v>
      </c>
      <c r="H981" s="12" t="str">
        <f t="shared" si="186"/>
        <v>LIEBENBERGa1b2c2d2e2</v>
      </c>
      <c r="J981" s="12"/>
      <c r="K981" s="12" t="str">
        <f t="shared" si="187"/>
        <v/>
      </c>
      <c r="L981" s="12"/>
      <c r="M981" s="12" t="s">
        <v>8357</v>
      </c>
      <c r="N981" s="12" t="str">
        <f t="shared" si="192"/>
        <v/>
      </c>
      <c r="O981" s="12" t="str">
        <f t="shared" si="193"/>
        <v>1809</v>
      </c>
      <c r="Q981" s="12" t="str">
        <f t="shared" si="188"/>
        <v>1809</v>
      </c>
      <c r="S981" s="12" t="str">
        <f t="shared" si="189"/>
        <v/>
      </c>
      <c r="T981" s="2" t="s">
        <v>74</v>
      </c>
      <c r="U981" s="2" t="s">
        <v>428</v>
      </c>
      <c r="V981" s="12" t="str">
        <f t="shared" si="190"/>
        <v>1825</v>
      </c>
      <c r="W981" s="12" t="s">
        <v>8358</v>
      </c>
      <c r="X981" s="12" t="s">
        <v>2048</v>
      </c>
      <c r="Y981" s="2" t="s">
        <v>8359</v>
      </c>
      <c r="AC981" s="2" t="s">
        <v>8360</v>
      </c>
      <c r="AF981" s="2" t="s">
        <v>8361</v>
      </c>
      <c r="AG981" s="2" t="s">
        <v>8334</v>
      </c>
      <c r="AH981" s="2" t="s">
        <v>8362</v>
      </c>
      <c r="AI981" s="12" t="str">
        <f t="shared" si="191"/>
        <v xml:space="preserve"> (?)</v>
      </c>
      <c r="AJ981" s="2" t="s">
        <v>8363</v>
      </c>
    </row>
    <row r="982" spans="1:59">
      <c r="A982" s="12" t="s">
        <v>784</v>
      </c>
      <c r="B982" s="12" t="str">
        <f t="shared" si="183"/>
        <v>LIEBENBERG</v>
      </c>
      <c r="C982" s="12" t="str">
        <f t="shared" si="184"/>
        <v>LIEBENBERG</v>
      </c>
      <c r="D982" s="12" t="s">
        <v>8337</v>
      </c>
      <c r="E982" s="12" t="str">
        <f t="shared" si="194"/>
        <v>Barend Johannes Sr.</v>
      </c>
      <c r="F982" s="12" t="s">
        <v>8338</v>
      </c>
      <c r="G982" s="12" t="str">
        <f t="shared" si="185"/>
        <v>a1b2c3d2</v>
      </c>
      <c r="H982" s="12" t="str">
        <f t="shared" si="186"/>
        <v>LIEBENBERGa1b2c3d2</v>
      </c>
      <c r="K982" s="12" t="str">
        <f t="shared" si="187"/>
        <v/>
      </c>
      <c r="L982" s="12"/>
      <c r="M982" s="12" t="s">
        <v>8339</v>
      </c>
      <c r="N982" s="12" t="str">
        <f t="shared" si="192"/>
        <v/>
      </c>
      <c r="O982" s="12" t="str">
        <f t="shared" si="193"/>
        <v>1788</v>
      </c>
      <c r="P982" s="2" t="s">
        <v>8340</v>
      </c>
      <c r="Q982" s="12" t="str">
        <f t="shared" si="188"/>
        <v>1788</v>
      </c>
      <c r="R982" s="2" t="s">
        <v>72</v>
      </c>
      <c r="S982" s="12" t="str">
        <f t="shared" si="189"/>
        <v>1838</v>
      </c>
      <c r="T982" s="12" t="s">
        <v>74</v>
      </c>
      <c r="U982" s="12" t="s">
        <v>2895</v>
      </c>
      <c r="V982" s="12" t="str">
        <f t="shared" si="190"/>
        <v>1806</v>
      </c>
      <c r="W982" s="12" t="s">
        <v>5552</v>
      </c>
      <c r="X982" s="12" t="s">
        <v>633</v>
      </c>
      <c r="Y982" s="12" t="s">
        <v>8341</v>
      </c>
      <c r="AB982" s="12"/>
      <c r="AC982" s="2" t="s">
        <v>8342</v>
      </c>
      <c r="AD982" s="2" t="s">
        <v>8343</v>
      </c>
      <c r="AE982" s="2" t="s">
        <v>301</v>
      </c>
      <c r="AF982" s="12" t="s">
        <v>8344</v>
      </c>
      <c r="AG982" s="12" t="s">
        <v>74</v>
      </c>
      <c r="AH982" s="12" t="s">
        <v>2069</v>
      </c>
      <c r="AI982" s="12" t="str">
        <f t="shared" si="191"/>
        <v>1836</v>
      </c>
      <c r="AJ982" s="2" t="s">
        <v>5242</v>
      </c>
      <c r="AK982" s="12"/>
      <c r="AN982" s="12"/>
      <c r="AO982" s="12"/>
    </row>
    <row r="983" spans="1:59">
      <c r="A983" s="12" t="s">
        <v>784</v>
      </c>
      <c r="B983" s="12" t="str">
        <f t="shared" si="183"/>
        <v>LIEBENBERG</v>
      </c>
      <c r="C983" s="12" t="str">
        <f t="shared" si="184"/>
        <v>LIEBENBERG</v>
      </c>
      <c r="D983" s="12" t="s">
        <v>8368</v>
      </c>
      <c r="E983" s="12" t="str">
        <f t="shared" si="194"/>
        <v xml:space="preserve">Daniel Petrus </v>
      </c>
      <c r="F983" s="12" t="s">
        <v>8369</v>
      </c>
      <c r="G983" s="12" t="str">
        <f t="shared" si="185"/>
        <v>a1b2c3d2e2</v>
      </c>
      <c r="H983" s="12" t="str">
        <f t="shared" si="186"/>
        <v>LIEBENBERGa1b2c3d2e2</v>
      </c>
      <c r="J983" s="12"/>
      <c r="K983" s="12" t="str">
        <f t="shared" si="187"/>
        <v/>
      </c>
      <c r="L983" s="12"/>
      <c r="M983" s="12" t="s">
        <v>8370</v>
      </c>
      <c r="N983" s="12" t="str">
        <f t="shared" si="192"/>
        <v/>
      </c>
      <c r="O983" s="12" t="str">
        <f t="shared" si="193"/>
        <v>1810</v>
      </c>
      <c r="P983" s="12" t="s">
        <v>71</v>
      </c>
      <c r="Q983" s="12" t="str">
        <f t="shared" si="188"/>
        <v>1810</v>
      </c>
      <c r="R983" s="12" t="s">
        <v>72</v>
      </c>
      <c r="S983" s="12" t="str">
        <f t="shared" si="189"/>
        <v>1838</v>
      </c>
      <c r="T983" s="12"/>
      <c r="U983" s="12"/>
      <c r="V983" s="12" t="str">
        <f t="shared" si="190"/>
        <v/>
      </c>
      <c r="W983" s="12" t="s">
        <v>622</v>
      </c>
      <c r="X983" s="12" t="s">
        <v>655</v>
      </c>
      <c r="AF983" s="12" t="s">
        <v>8371</v>
      </c>
      <c r="AG983" s="12" t="s">
        <v>68</v>
      </c>
      <c r="AH983" s="12" t="s">
        <v>8149</v>
      </c>
      <c r="AI983" s="12" t="str">
        <f t="shared" si="191"/>
        <v>1837</v>
      </c>
      <c r="AJ983" s="12"/>
      <c r="AK983" s="12"/>
    </row>
    <row r="984" spans="1:59">
      <c r="A984" s="12" t="s">
        <v>784</v>
      </c>
      <c r="B984" s="12" t="str">
        <f t="shared" si="183"/>
        <v>LIEBENBERG</v>
      </c>
      <c r="C984" s="12" t="str">
        <f t="shared" si="184"/>
        <v>LIEBENBERG</v>
      </c>
      <c r="D984" s="12" t="s">
        <v>1877</v>
      </c>
      <c r="E984" s="12" t="str">
        <f t="shared" si="194"/>
        <v>Nicolaas Jacobus</v>
      </c>
      <c r="F984" s="12" t="s">
        <v>8384</v>
      </c>
      <c r="G984" s="12" t="str">
        <f t="shared" si="185"/>
        <v>a1b2c3d2e4</v>
      </c>
      <c r="H984" s="12" t="str">
        <f t="shared" si="186"/>
        <v>LIEBENBERGa1b2c3d2e4</v>
      </c>
      <c r="J984" s="12" t="s">
        <v>8385</v>
      </c>
      <c r="K984" s="12" t="str">
        <f t="shared" si="187"/>
        <v>1813</v>
      </c>
      <c r="L984" s="12" t="s">
        <v>74</v>
      </c>
      <c r="M984" s="12" t="s">
        <v>8386</v>
      </c>
      <c r="N984" s="12" t="str">
        <f t="shared" si="192"/>
        <v>1813</v>
      </c>
      <c r="O984" s="12" t="str">
        <f t="shared" si="193"/>
        <v>1813</v>
      </c>
      <c r="Q984" s="12" t="str">
        <f t="shared" si="188"/>
        <v>1813</v>
      </c>
      <c r="S984" s="12" t="str">
        <f t="shared" si="189"/>
        <v/>
      </c>
      <c r="T984" s="12" t="s">
        <v>5146</v>
      </c>
      <c r="U984" s="12" t="s">
        <v>8350</v>
      </c>
      <c r="V984" s="12" t="str">
        <f t="shared" si="190"/>
        <v>1838</v>
      </c>
      <c r="W984" s="12" t="s">
        <v>8387</v>
      </c>
      <c r="X984" s="12" t="s">
        <v>669</v>
      </c>
      <c r="Y984" s="12" t="s">
        <v>8388</v>
      </c>
      <c r="AB984" s="12"/>
      <c r="AC984" s="2" t="s">
        <v>145</v>
      </c>
      <c r="AF984" s="12" t="s">
        <v>8389</v>
      </c>
      <c r="AG984" s="12" t="s">
        <v>74</v>
      </c>
      <c r="AH984" s="12" t="s">
        <v>8335</v>
      </c>
      <c r="AI984" s="12" t="str">
        <f t="shared" si="191"/>
        <v>1836</v>
      </c>
      <c r="AJ984" s="2" t="s">
        <v>379</v>
      </c>
      <c r="AK984" s="12" t="s">
        <v>90</v>
      </c>
    </row>
    <row r="985" spans="1:59">
      <c r="A985" s="12" t="s">
        <v>784</v>
      </c>
      <c r="B985" s="12" t="str">
        <f t="shared" si="183"/>
        <v>LIEBENBERG</v>
      </c>
      <c r="C985" s="12" t="str">
        <f t="shared" si="184"/>
        <v>LIEBENBERG</v>
      </c>
      <c r="D985" s="12" t="s">
        <v>3761</v>
      </c>
      <c r="E985" s="12" t="str">
        <f t="shared" si="194"/>
        <v>Johannes Petrus</v>
      </c>
      <c r="F985" s="12" t="s">
        <v>8379</v>
      </c>
      <c r="G985" s="12" t="str">
        <f t="shared" si="185"/>
        <v>a1b2c3d2e5</v>
      </c>
      <c r="H985" s="12" t="str">
        <f t="shared" si="186"/>
        <v>LIEBENBERGa1b2c3d2e5</v>
      </c>
      <c r="J985" s="12" t="s">
        <v>8380</v>
      </c>
      <c r="K985" s="12" t="str">
        <f t="shared" si="187"/>
        <v>1814</v>
      </c>
      <c r="L985" s="12" t="s">
        <v>74</v>
      </c>
      <c r="M985" s="12" t="s">
        <v>8381</v>
      </c>
      <c r="N985" s="12" t="str">
        <f t="shared" si="192"/>
        <v>1814</v>
      </c>
      <c r="O985" s="12" t="str">
        <f t="shared" si="193"/>
        <v>1815</v>
      </c>
      <c r="Q985" s="12" t="str">
        <f t="shared" si="188"/>
        <v>1814</v>
      </c>
      <c r="S985" s="12" t="str">
        <f t="shared" si="189"/>
        <v/>
      </c>
      <c r="T985" s="12" t="s">
        <v>90</v>
      </c>
      <c r="U985" s="12" t="s">
        <v>600</v>
      </c>
      <c r="V985" s="12" t="str">
        <f t="shared" si="190"/>
        <v>1838</v>
      </c>
      <c r="W985" s="12" t="s">
        <v>8382</v>
      </c>
      <c r="X985" s="12" t="s">
        <v>700</v>
      </c>
      <c r="Y985" s="12"/>
      <c r="AD985" s="2" t="s">
        <v>7101</v>
      </c>
      <c r="AE985" s="2" t="s">
        <v>301</v>
      </c>
      <c r="AF985" s="12" t="s">
        <v>3712</v>
      </c>
      <c r="AG985" s="12" t="s">
        <v>5477</v>
      </c>
      <c r="AH985" s="12" t="s">
        <v>8383</v>
      </c>
      <c r="AI985" s="12" t="str">
        <f t="shared" si="191"/>
        <v>1836</v>
      </c>
      <c r="AJ985" s="2" t="s">
        <v>5242</v>
      </c>
      <c r="AK985" s="12"/>
    </row>
    <row r="986" spans="1:59">
      <c r="A986" s="12" t="s">
        <v>784</v>
      </c>
      <c r="B986" s="12" t="str">
        <f t="shared" si="183"/>
        <v>LIEBENBERG</v>
      </c>
      <c r="C986" s="12" t="str">
        <f t="shared" si="184"/>
        <v>LIEBENBERG</v>
      </c>
      <c r="D986" s="12" t="s">
        <v>8345</v>
      </c>
      <c r="E986" s="12" t="str">
        <f t="shared" si="194"/>
        <v>Barend Johannes Jr.</v>
      </c>
      <c r="F986" s="12" t="s">
        <v>8346</v>
      </c>
      <c r="G986" s="12" t="str">
        <f t="shared" si="185"/>
        <v>a1b2c3d2e6</v>
      </c>
      <c r="H986" s="12" t="str">
        <f t="shared" si="186"/>
        <v>LIEBENBERGa1b2c3d2e6</v>
      </c>
      <c r="I986" s="2" t="s">
        <v>8347</v>
      </c>
      <c r="J986" s="12" t="s">
        <v>3905</v>
      </c>
      <c r="K986" s="12" t="str">
        <f t="shared" si="187"/>
        <v>1817</v>
      </c>
      <c r="L986" s="12" t="s">
        <v>74</v>
      </c>
      <c r="M986" s="12" t="s">
        <v>4776</v>
      </c>
      <c r="N986" s="12" t="str">
        <f t="shared" si="192"/>
        <v>1817</v>
      </c>
      <c r="O986" s="12" t="str">
        <f t="shared" si="193"/>
        <v>1818</v>
      </c>
      <c r="P986" s="2" t="s">
        <v>8348</v>
      </c>
      <c r="Q986" s="12" t="str">
        <f t="shared" si="188"/>
        <v>1817</v>
      </c>
      <c r="R986" s="2" t="s">
        <v>8349</v>
      </c>
      <c r="S986" s="12" t="str">
        <f t="shared" si="189"/>
        <v>1875</v>
      </c>
      <c r="T986" s="12"/>
      <c r="U986" s="12" t="s">
        <v>8350</v>
      </c>
      <c r="V986" s="12" t="str">
        <f t="shared" si="190"/>
        <v>1838</v>
      </c>
      <c r="W986" s="12" t="s">
        <v>8351</v>
      </c>
      <c r="X986" s="12" t="s">
        <v>1920</v>
      </c>
      <c r="Z986" s="2" t="s">
        <v>8352</v>
      </c>
      <c r="AA986" s="2" t="s">
        <v>8353</v>
      </c>
      <c r="AD986" s="2" t="s">
        <v>8354</v>
      </c>
      <c r="AE986" s="2" t="s">
        <v>8355</v>
      </c>
      <c r="AF986" s="2" t="s">
        <v>8344</v>
      </c>
      <c r="AG986" s="12" t="s">
        <v>74</v>
      </c>
      <c r="AH986" s="12" t="s">
        <v>2069</v>
      </c>
      <c r="AI986" s="12" t="str">
        <f t="shared" si="191"/>
        <v>1836</v>
      </c>
      <c r="AJ986" s="2" t="s">
        <v>7630</v>
      </c>
      <c r="AK986" s="12"/>
      <c r="AL986" s="12"/>
      <c r="AM986" s="12"/>
      <c r="AN986" s="12"/>
      <c r="AO986" s="12"/>
    </row>
    <row r="987" spans="1:59">
      <c r="A987" s="12" t="s">
        <v>784</v>
      </c>
      <c r="B987" s="12" t="str">
        <f t="shared" si="183"/>
        <v>LIEBENBERG</v>
      </c>
      <c r="C987" s="12" t="str">
        <f t="shared" si="184"/>
        <v>LIEBENBERG</v>
      </c>
      <c r="D987" s="12" t="s">
        <v>4627</v>
      </c>
      <c r="E987" s="12" t="str">
        <f t="shared" si="194"/>
        <v>Philippus Jacobus</v>
      </c>
      <c r="F987" s="12" t="s">
        <v>8390</v>
      </c>
      <c r="G987" s="12" t="str">
        <f t="shared" si="185"/>
        <v>a1b2c3d2e8</v>
      </c>
      <c r="H987" s="12" t="str">
        <f t="shared" si="186"/>
        <v>LIEBENBERGa1b2c3d2e8</v>
      </c>
      <c r="J987" s="12" t="s">
        <v>2950</v>
      </c>
      <c r="K987" s="12" t="str">
        <f t="shared" si="187"/>
        <v>1822</v>
      </c>
      <c r="L987" s="12" t="s">
        <v>74</v>
      </c>
      <c r="M987" s="12" t="s">
        <v>8391</v>
      </c>
      <c r="N987" s="12" t="str">
        <f t="shared" si="192"/>
        <v>1822</v>
      </c>
      <c r="O987" s="12" t="str">
        <f t="shared" si="193"/>
        <v>1822</v>
      </c>
      <c r="P987" s="12"/>
      <c r="Q987" s="12" t="str">
        <f t="shared" si="188"/>
        <v>1822</v>
      </c>
      <c r="R987" s="12"/>
      <c r="S987" s="12" t="str">
        <f t="shared" si="189"/>
        <v/>
      </c>
      <c r="T987" s="12"/>
      <c r="U987" s="12"/>
      <c r="V987" s="12" t="str">
        <f t="shared" si="190"/>
        <v/>
      </c>
      <c r="W987" s="12"/>
      <c r="X987" s="12"/>
      <c r="AF987" s="2" t="s">
        <v>3712</v>
      </c>
      <c r="AG987" s="12" t="s">
        <v>5477</v>
      </c>
      <c r="AH987" s="12"/>
      <c r="AI987" s="12" t="str">
        <f t="shared" si="191"/>
        <v/>
      </c>
      <c r="AJ987" s="2" t="s">
        <v>7564</v>
      </c>
      <c r="AK987" s="12"/>
      <c r="AN987" s="12"/>
      <c r="AO987" s="12"/>
      <c r="AP987" s="12"/>
      <c r="AR987" s="12"/>
      <c r="AS987" s="12"/>
      <c r="AT987" s="12"/>
    </row>
    <row r="988" spans="1:59">
      <c r="A988" s="12" t="s">
        <v>784</v>
      </c>
      <c r="B988" s="12" t="str">
        <f t="shared" si="183"/>
        <v>LIEBENBERG</v>
      </c>
      <c r="C988" s="12" t="str">
        <f t="shared" si="184"/>
        <v>LIEBENBERG</v>
      </c>
      <c r="D988" s="12" t="s">
        <v>8324</v>
      </c>
      <c r="E988" s="12" t="str">
        <f t="shared" si="194"/>
        <v>Barend Godlieb</v>
      </c>
      <c r="F988" s="12" t="s">
        <v>1661</v>
      </c>
      <c r="G988" s="12" t="str">
        <f t="shared" si="185"/>
        <v>a1b2c4</v>
      </c>
      <c r="H988" s="12" t="str">
        <f t="shared" si="186"/>
        <v>LIEBENBERGa1b2c4</v>
      </c>
      <c r="J988" s="12"/>
      <c r="K988" s="12" t="str">
        <f t="shared" si="187"/>
        <v/>
      </c>
      <c r="L988" s="12"/>
      <c r="M988" s="12" t="s">
        <v>8325</v>
      </c>
      <c r="N988" s="12" t="str">
        <f t="shared" si="192"/>
        <v/>
      </c>
      <c r="O988" s="12" t="str">
        <f t="shared" si="193"/>
        <v>1766</v>
      </c>
      <c r="P988" s="12" t="s">
        <v>8326</v>
      </c>
      <c r="Q988" s="12" t="str">
        <f t="shared" si="188"/>
        <v>1766</v>
      </c>
      <c r="R988" s="12" t="s">
        <v>1886</v>
      </c>
      <c r="S988" s="12" t="str">
        <f t="shared" si="189"/>
        <v>1836</v>
      </c>
      <c r="T988" s="12" t="s">
        <v>74</v>
      </c>
      <c r="U988" s="12" t="s">
        <v>6069</v>
      </c>
      <c r="V988" s="12" t="str">
        <f t="shared" si="190"/>
        <v>1787</v>
      </c>
      <c r="W988" s="12" t="s">
        <v>2296</v>
      </c>
      <c r="X988" s="12" t="s">
        <v>2016</v>
      </c>
      <c r="Y988" s="2" t="s">
        <v>8327</v>
      </c>
      <c r="AC988" s="2" t="s">
        <v>8328</v>
      </c>
      <c r="AF988" s="12" t="s">
        <v>8329</v>
      </c>
      <c r="AG988" s="12" t="s">
        <v>74</v>
      </c>
      <c r="AH988" s="12" t="s">
        <v>7894</v>
      </c>
      <c r="AI988" s="12" t="str">
        <f t="shared" si="191"/>
        <v>1836</v>
      </c>
      <c r="AJ988" s="2" t="s">
        <v>7959</v>
      </c>
      <c r="AK988" s="12"/>
    </row>
    <row r="989" spans="1:59">
      <c r="A989" s="12" t="s">
        <v>784</v>
      </c>
      <c r="B989" s="12" t="str">
        <f t="shared" si="183"/>
        <v>LIEBENBERG</v>
      </c>
      <c r="C989" s="12" t="str">
        <f t="shared" si="184"/>
        <v>LIEBENBERG</v>
      </c>
      <c r="D989" s="12" t="s">
        <v>4926</v>
      </c>
      <c r="E989" s="12" t="str">
        <f t="shared" si="194"/>
        <v>Hendrik Frederik</v>
      </c>
      <c r="F989" s="12" t="s">
        <v>2761</v>
      </c>
      <c r="G989" s="12" t="str">
        <f t="shared" si="185"/>
        <v>a1b2c4d11</v>
      </c>
      <c r="H989" s="12" t="str">
        <f t="shared" si="186"/>
        <v>LIEBENBERGa1b2c4d11</v>
      </c>
      <c r="I989" s="12"/>
      <c r="J989" s="12"/>
      <c r="K989" s="12" t="str">
        <f t="shared" si="187"/>
        <v/>
      </c>
      <c r="L989" s="12"/>
      <c r="M989" s="12" t="s">
        <v>1224</v>
      </c>
      <c r="N989" s="12" t="str">
        <f t="shared" si="192"/>
        <v/>
      </c>
      <c r="O989" s="12" t="str">
        <f t="shared" si="193"/>
        <v>1809</v>
      </c>
      <c r="P989" s="12" t="s">
        <v>8326</v>
      </c>
      <c r="Q989" s="12" t="str">
        <f t="shared" si="188"/>
        <v>1809</v>
      </c>
      <c r="R989" s="12" t="s">
        <v>1886</v>
      </c>
      <c r="S989" s="12" t="str">
        <f t="shared" si="189"/>
        <v>1836</v>
      </c>
      <c r="T989" s="12"/>
      <c r="U989" s="12"/>
      <c r="V989" s="12" t="str">
        <f t="shared" si="190"/>
        <v/>
      </c>
      <c r="W989" s="12" t="s">
        <v>8372</v>
      </c>
      <c r="X989" s="12" t="s">
        <v>8373</v>
      </c>
      <c r="Y989" s="12"/>
      <c r="Z989" s="12"/>
      <c r="AA989" s="12" t="s">
        <v>8376</v>
      </c>
      <c r="AB989" s="12" t="s">
        <v>74</v>
      </c>
      <c r="AC989" s="12" t="s">
        <v>7354</v>
      </c>
      <c r="AD989" s="12" t="s">
        <v>8326</v>
      </c>
      <c r="AE989" s="12" t="s">
        <v>1886</v>
      </c>
      <c r="AF989" s="12" t="s">
        <v>8377</v>
      </c>
      <c r="AG989" s="12" t="s">
        <v>74</v>
      </c>
      <c r="AH989" s="12" t="s">
        <v>2069</v>
      </c>
      <c r="AI989" s="12" t="str">
        <f t="shared" si="191"/>
        <v>1836</v>
      </c>
      <c r="AJ989" s="12" t="s">
        <v>8378</v>
      </c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</row>
    <row r="990" spans="1:59">
      <c r="A990" s="12" t="s">
        <v>784</v>
      </c>
      <c r="B990" s="12" t="str">
        <f t="shared" si="183"/>
        <v>LIEBENBERG</v>
      </c>
      <c r="C990" s="12" t="str">
        <f t="shared" si="184"/>
        <v>LIEBENBERG</v>
      </c>
      <c r="D990" s="12" t="s">
        <v>5254</v>
      </c>
      <c r="E990" s="12" t="str">
        <f t="shared" si="194"/>
        <v>Christiaan Jacobus</v>
      </c>
      <c r="F990" s="12" t="s">
        <v>2523</v>
      </c>
      <c r="G990" s="12" t="str">
        <f t="shared" si="185"/>
        <v>a1b2c4d4</v>
      </c>
      <c r="H990" s="12" t="str">
        <f t="shared" si="186"/>
        <v>LIEBENBERGa1b2c4d4</v>
      </c>
      <c r="I990" s="12"/>
      <c r="J990" s="12"/>
      <c r="K990" s="12" t="str">
        <f t="shared" si="187"/>
        <v/>
      </c>
      <c r="L990" s="12"/>
      <c r="M990" s="12" t="s">
        <v>252</v>
      </c>
      <c r="N990" s="12" t="str">
        <f t="shared" si="192"/>
        <v/>
      </c>
      <c r="O990" s="12" t="str">
        <f t="shared" si="193"/>
        <v>1796</v>
      </c>
      <c r="P990" s="12"/>
      <c r="Q990" s="12" t="str">
        <f t="shared" si="188"/>
        <v>1796</v>
      </c>
      <c r="R990" s="12"/>
      <c r="S990" s="12" t="str">
        <f t="shared" si="189"/>
        <v/>
      </c>
      <c r="T990" s="12" t="s">
        <v>74</v>
      </c>
      <c r="U990" s="12" t="s">
        <v>1331</v>
      </c>
      <c r="V990" s="12" t="str">
        <f t="shared" si="190"/>
        <v>1817</v>
      </c>
      <c r="W990" s="12" t="s">
        <v>8364</v>
      </c>
      <c r="X990" s="12" t="s">
        <v>3289</v>
      </c>
      <c r="Y990" s="12"/>
      <c r="Z990" s="12"/>
      <c r="AA990" s="12"/>
      <c r="AB990" s="12"/>
      <c r="AC990" s="12"/>
      <c r="AD990" s="12"/>
      <c r="AE990" s="12"/>
      <c r="AF990" s="12" t="s">
        <v>8365</v>
      </c>
      <c r="AG990" s="12" t="s">
        <v>8334</v>
      </c>
      <c r="AH990" s="12" t="s">
        <v>8366</v>
      </c>
      <c r="AI990" s="12" t="str">
        <f t="shared" si="191"/>
        <v xml:space="preserve">836 </v>
      </c>
      <c r="AJ990" s="12" t="s">
        <v>8367</v>
      </c>
      <c r="AK990" s="12"/>
      <c r="AL990" s="12" t="s">
        <v>74</v>
      </c>
      <c r="AM990" s="12" t="s">
        <v>590</v>
      </c>
      <c r="AN990" s="12" t="s">
        <v>8374</v>
      </c>
      <c r="AO990" s="12" t="s">
        <v>784</v>
      </c>
      <c r="AP990" s="12"/>
      <c r="AQ990" s="12"/>
      <c r="AR990" s="12"/>
      <c r="AS990" s="12"/>
      <c r="AT990" s="12"/>
      <c r="AU990" s="12"/>
      <c r="AV990" s="12"/>
      <c r="AW990" s="12"/>
      <c r="AX990" s="12"/>
      <c r="AY990" s="12" t="s">
        <v>8356</v>
      </c>
      <c r="AZ990" s="12" t="s">
        <v>8375</v>
      </c>
      <c r="BA990" s="12"/>
      <c r="BB990" s="12"/>
      <c r="BC990" s="12"/>
      <c r="BD990" s="12"/>
      <c r="BE990" s="12"/>
      <c r="BF990" s="12"/>
      <c r="BG990" s="12"/>
    </row>
    <row r="991" spans="1:59">
      <c r="A991" s="12" t="s">
        <v>784</v>
      </c>
      <c r="B991" s="12" t="str">
        <f t="shared" si="183"/>
        <v>LIEBENBERG</v>
      </c>
      <c r="C991" s="12" t="str">
        <f t="shared" si="184"/>
        <v>LIEBENBERG</v>
      </c>
      <c r="D991" s="12" t="s">
        <v>8324</v>
      </c>
      <c r="E991" s="12" t="str">
        <f t="shared" si="194"/>
        <v>Barend Godlieb</v>
      </c>
      <c r="F991" s="12" t="s">
        <v>8330</v>
      </c>
      <c r="G991" s="12" t="str">
        <f t="shared" si="185"/>
        <v>a1b2c4d4e1</v>
      </c>
      <c r="H991" s="12" t="str">
        <f t="shared" si="186"/>
        <v>LIEBENBERGa1b2c4d4e1</v>
      </c>
      <c r="J991" s="12" t="s">
        <v>8331</v>
      </c>
      <c r="K991" s="12" t="str">
        <f t="shared" si="187"/>
        <v>1818</v>
      </c>
      <c r="L991" s="12" t="s">
        <v>74</v>
      </c>
      <c r="M991" s="12" t="s">
        <v>8332</v>
      </c>
      <c r="N991" s="12" t="str">
        <f t="shared" si="192"/>
        <v>1818</v>
      </c>
      <c r="O991" s="12" t="str">
        <f t="shared" si="193"/>
        <v>1819</v>
      </c>
      <c r="P991" s="12"/>
      <c r="Q991" s="12" t="str">
        <f t="shared" si="188"/>
        <v>1818</v>
      </c>
      <c r="R991" s="12"/>
      <c r="S991" s="12" t="str">
        <f t="shared" si="189"/>
        <v/>
      </c>
      <c r="V991" s="12" t="str">
        <f t="shared" si="190"/>
        <v/>
      </c>
      <c r="W991" s="12"/>
      <c r="X991" s="12"/>
      <c r="Y991" s="12"/>
      <c r="AA991" s="12"/>
      <c r="AB991" s="12"/>
      <c r="AC991" s="12"/>
      <c r="AF991" s="12" t="s">
        <v>8333</v>
      </c>
      <c r="AG991" s="12" t="s">
        <v>8334</v>
      </c>
      <c r="AH991" s="12" t="s">
        <v>8335</v>
      </c>
      <c r="AI991" s="12" t="str">
        <f t="shared" si="191"/>
        <v>1836</v>
      </c>
      <c r="AJ991" s="2" t="s">
        <v>8336</v>
      </c>
      <c r="AK991" s="12"/>
    </row>
    <row r="992" spans="1:59">
      <c r="A992" s="12" t="s">
        <v>784</v>
      </c>
      <c r="B992" s="12" t="str">
        <f t="shared" si="183"/>
        <v>LIEBENBERG</v>
      </c>
      <c r="C992" s="12" t="str">
        <f t="shared" si="184"/>
        <v>LIEBENBERG</v>
      </c>
      <c r="D992" s="12" t="s">
        <v>8392</v>
      </c>
      <c r="E992" s="12" t="str">
        <f t="shared" si="194"/>
        <v>Stephanus Rudolph</v>
      </c>
      <c r="F992" s="12" t="s">
        <v>8393</v>
      </c>
      <c r="G992" s="12" t="str">
        <f t="shared" si="185"/>
        <v>a1b2c4d8</v>
      </c>
      <c r="H992" s="12" t="str">
        <f t="shared" si="186"/>
        <v>LIEBENBERGa1b2c4d8</v>
      </c>
      <c r="K992" s="12" t="str">
        <f t="shared" si="187"/>
        <v/>
      </c>
      <c r="M992" s="12" t="s">
        <v>8394</v>
      </c>
      <c r="N992" s="12" t="str">
        <f t="shared" si="192"/>
        <v/>
      </c>
      <c r="O992" s="12" t="str">
        <f t="shared" si="193"/>
        <v>1803</v>
      </c>
      <c r="P992" s="2" t="s">
        <v>8326</v>
      </c>
      <c r="Q992" s="12" t="str">
        <f t="shared" si="188"/>
        <v>1803</v>
      </c>
      <c r="R992" s="2" t="s">
        <v>1886</v>
      </c>
      <c r="S992" s="12" t="str">
        <f t="shared" si="189"/>
        <v>1836</v>
      </c>
      <c r="T992" s="12" t="s">
        <v>74</v>
      </c>
      <c r="U992" s="12" t="s">
        <v>492</v>
      </c>
      <c r="V992" s="12" t="str">
        <f t="shared" si="190"/>
        <v>1826</v>
      </c>
      <c r="W992" s="12" t="s">
        <v>4026</v>
      </c>
      <c r="X992" s="12" t="s">
        <v>1425</v>
      </c>
      <c r="Y992" s="2" t="s">
        <v>8395</v>
      </c>
      <c r="AA992" s="2" t="s">
        <v>8396</v>
      </c>
      <c r="AB992" s="2" t="s">
        <v>74</v>
      </c>
      <c r="AC992" s="2" t="s">
        <v>268</v>
      </c>
      <c r="AF992" s="12" t="s">
        <v>3723</v>
      </c>
      <c r="AG992" s="12" t="s">
        <v>8334</v>
      </c>
      <c r="AH992" s="12" t="s">
        <v>8335</v>
      </c>
      <c r="AI992" s="12" t="str">
        <f t="shared" si="191"/>
        <v>1836</v>
      </c>
      <c r="AJ992" s="12" t="s">
        <v>8336</v>
      </c>
      <c r="AK992" s="12"/>
    </row>
    <row r="993" spans="1:59">
      <c r="A993" s="12" t="s">
        <v>8397</v>
      </c>
      <c r="B993" s="12" t="str">
        <f t="shared" si="183"/>
        <v>LINDE</v>
      </c>
      <c r="C993" s="12" t="str">
        <f t="shared" si="184"/>
        <v>LINDE</v>
      </c>
      <c r="D993" s="12" t="s">
        <v>8398</v>
      </c>
      <c r="E993" s="12" t="str">
        <f t="shared" si="194"/>
        <v>Georg Frederik</v>
      </c>
      <c r="F993" s="12" t="s">
        <v>8399</v>
      </c>
      <c r="G993" s="12" t="str">
        <f t="shared" si="185"/>
        <v>a1b5c8</v>
      </c>
      <c r="H993" s="12" t="str">
        <f t="shared" si="186"/>
        <v>LINDEa1b5c8</v>
      </c>
      <c r="J993" s="2" t="s">
        <v>393</v>
      </c>
      <c r="K993" s="12" t="str">
        <f t="shared" si="187"/>
        <v>1804</v>
      </c>
      <c r="L993" s="2" t="s">
        <v>32</v>
      </c>
      <c r="M993" s="12" t="s">
        <v>8400</v>
      </c>
      <c r="N993" s="12" t="str">
        <f t="shared" si="192"/>
        <v>1804</v>
      </c>
      <c r="O993" s="12" t="str">
        <f t="shared" si="193"/>
        <v>1804</v>
      </c>
      <c r="P993" s="2" t="s">
        <v>8401</v>
      </c>
      <c r="Q993" s="12" t="str">
        <f t="shared" si="188"/>
        <v>1804</v>
      </c>
      <c r="R993" s="2" t="s">
        <v>8402</v>
      </c>
      <c r="S993" s="12" t="str">
        <f t="shared" si="189"/>
        <v>1877</v>
      </c>
      <c r="T993" s="2" t="s">
        <v>32</v>
      </c>
      <c r="U993" s="2" t="s">
        <v>8403</v>
      </c>
      <c r="V993" s="12" t="str">
        <f t="shared" si="190"/>
        <v>1830</v>
      </c>
      <c r="W993" s="2" t="s">
        <v>8404</v>
      </c>
      <c r="X993" s="2" t="s">
        <v>2995</v>
      </c>
      <c r="AD993" s="2" t="s">
        <v>60</v>
      </c>
      <c r="AF993" s="12" t="s">
        <v>8405</v>
      </c>
      <c r="AG993" s="12" t="s">
        <v>8406</v>
      </c>
      <c r="AH993" s="12" t="s">
        <v>8407</v>
      </c>
      <c r="AI993" s="12" t="str">
        <f t="shared" si="191"/>
        <v>1843</v>
      </c>
      <c r="AJ993" s="12"/>
      <c r="AK993" s="12" t="s">
        <v>8408</v>
      </c>
      <c r="AN993" s="2" t="s">
        <v>5127</v>
      </c>
      <c r="AO993" s="2" t="s">
        <v>731</v>
      </c>
      <c r="AR993" s="2" t="s">
        <v>8403</v>
      </c>
      <c r="AU993" s="2" t="s">
        <v>8401</v>
      </c>
      <c r="AV993" s="2" t="s">
        <v>8411</v>
      </c>
      <c r="AW993" s="2" t="s">
        <v>140</v>
      </c>
      <c r="AX993" s="2">
        <v>1858</v>
      </c>
      <c r="AY993" s="2" t="s">
        <v>8412</v>
      </c>
      <c r="AZ993" s="2" t="s">
        <v>629</v>
      </c>
    </row>
    <row r="994" spans="1:59">
      <c r="A994" s="12" t="s">
        <v>1077</v>
      </c>
      <c r="B994" s="12" t="str">
        <f t="shared" si="183"/>
        <v>LINDEQUE</v>
      </c>
      <c r="C994" s="12" t="str">
        <f t="shared" si="184"/>
        <v>LINDEQUE</v>
      </c>
      <c r="D994" s="12" t="s">
        <v>8409</v>
      </c>
      <c r="E994" s="12" t="str">
        <f t="shared" si="194"/>
        <v>Gerrit Johannes Sr.</v>
      </c>
      <c r="F994" s="12" t="s">
        <v>2750</v>
      </c>
      <c r="G994" s="12" t="str">
        <f t="shared" si="185"/>
        <v>a1b2c10</v>
      </c>
      <c r="H994" s="12" t="str">
        <f t="shared" si="186"/>
        <v>LINDEQUEa1b2c10</v>
      </c>
      <c r="J994" s="12"/>
      <c r="K994" s="12" t="str">
        <f t="shared" si="187"/>
        <v/>
      </c>
      <c r="L994" s="12"/>
      <c r="M994" s="12" t="s">
        <v>8410</v>
      </c>
      <c r="N994" s="12" t="str">
        <f t="shared" si="192"/>
        <v/>
      </c>
      <c r="O994" s="12" t="str">
        <f t="shared" si="193"/>
        <v>1779</v>
      </c>
      <c r="Q994" s="12" t="str">
        <f t="shared" si="188"/>
        <v>1779</v>
      </c>
      <c r="S994" s="12" t="str">
        <f t="shared" si="189"/>
        <v/>
      </c>
      <c r="U994" s="2" t="s">
        <v>4412</v>
      </c>
      <c r="V994" s="12" t="str">
        <f t="shared" si="190"/>
        <v>1801</v>
      </c>
      <c r="W994" s="2" t="s">
        <v>1020</v>
      </c>
      <c r="X994" s="2" t="s">
        <v>662</v>
      </c>
      <c r="AF994" s="12" t="s">
        <v>3724</v>
      </c>
      <c r="AG994" s="12" t="s">
        <v>53</v>
      </c>
      <c r="AH994" s="12" t="s">
        <v>1036</v>
      </c>
      <c r="AI994" s="12" t="str">
        <f t="shared" si="191"/>
        <v>1838</v>
      </c>
      <c r="AJ994" s="12" t="s">
        <v>8413</v>
      </c>
      <c r="AK994" s="12" t="s">
        <v>1035</v>
      </c>
    </row>
    <row r="995" spans="1:59">
      <c r="A995" s="12" t="s">
        <v>1077</v>
      </c>
      <c r="B995" s="12" t="str">
        <f t="shared" si="183"/>
        <v>LINDEQUE</v>
      </c>
      <c r="C995" s="12" t="str">
        <f t="shared" si="184"/>
        <v>LINDEQUE</v>
      </c>
      <c r="D995" s="12" t="s">
        <v>1660</v>
      </c>
      <c r="E995" s="12" t="str">
        <f t="shared" si="194"/>
        <v>Petrus</v>
      </c>
      <c r="F995" s="12" t="s">
        <v>8185</v>
      </c>
      <c r="G995" s="12" t="str">
        <f t="shared" si="185"/>
        <v>a1b2c10d1</v>
      </c>
      <c r="H995" s="12" t="str">
        <f t="shared" si="186"/>
        <v>LINDEQUEa1b2c10d1</v>
      </c>
      <c r="I995" s="12"/>
      <c r="J995" s="12"/>
      <c r="K995" s="12" t="str">
        <f t="shared" si="187"/>
        <v/>
      </c>
      <c r="L995" s="12"/>
      <c r="M995" s="12"/>
      <c r="N995" s="12" t="str">
        <f t="shared" si="192"/>
        <v/>
      </c>
      <c r="O995" s="12" t="str">
        <f t="shared" si="193"/>
        <v/>
      </c>
      <c r="Q995" s="12" t="str">
        <f t="shared" si="188"/>
        <v/>
      </c>
      <c r="S995" s="12" t="str">
        <f t="shared" si="189"/>
        <v/>
      </c>
      <c r="V995" s="12" t="str">
        <f t="shared" si="190"/>
        <v/>
      </c>
      <c r="W995" s="12" t="s">
        <v>1943</v>
      </c>
      <c r="X995" s="12" t="s">
        <v>631</v>
      </c>
      <c r="AF995" s="12" t="s">
        <v>3724</v>
      </c>
      <c r="AG995" s="12" t="s">
        <v>53</v>
      </c>
      <c r="AH995" s="12" t="s">
        <v>7162</v>
      </c>
      <c r="AI995" s="12" t="str">
        <f t="shared" si="191"/>
        <v>1838</v>
      </c>
      <c r="AJ995" s="2" t="s">
        <v>8413</v>
      </c>
      <c r="AK995" s="12" t="s">
        <v>1035</v>
      </c>
    </row>
    <row r="996" spans="1:59">
      <c r="A996" s="12" t="s">
        <v>1077</v>
      </c>
      <c r="B996" s="12" t="str">
        <f t="shared" si="183"/>
        <v>LINDEQUE</v>
      </c>
      <c r="C996" s="12" t="str">
        <f t="shared" si="184"/>
        <v>LINDEQUE</v>
      </c>
      <c r="D996" s="12" t="s">
        <v>8414</v>
      </c>
      <c r="E996" s="12" t="str">
        <f t="shared" si="194"/>
        <v xml:space="preserve">Gerrit Johannes Jr. </v>
      </c>
      <c r="F996" s="12" t="s">
        <v>8415</v>
      </c>
      <c r="G996" s="12" t="str">
        <f t="shared" si="185"/>
        <v>a1b2c10d4</v>
      </c>
      <c r="H996" s="12" t="str">
        <f t="shared" si="186"/>
        <v>LINDEQUEa1b2c10d4</v>
      </c>
      <c r="J996" s="12" t="s">
        <v>8416</v>
      </c>
      <c r="K996" s="12" t="str">
        <f t="shared" si="187"/>
        <v>1810</v>
      </c>
      <c r="L996" s="12" t="s">
        <v>74</v>
      </c>
      <c r="M996" s="12" t="s">
        <v>8417</v>
      </c>
      <c r="N996" s="12" t="str">
        <f t="shared" si="192"/>
        <v>1810</v>
      </c>
      <c r="O996" s="12" t="str">
        <f t="shared" si="193"/>
        <v>1811</v>
      </c>
      <c r="Q996" s="12" t="str">
        <f t="shared" si="188"/>
        <v>1810</v>
      </c>
      <c r="S996" s="12" t="str">
        <f t="shared" si="189"/>
        <v/>
      </c>
      <c r="T996" s="2" t="s">
        <v>74</v>
      </c>
      <c r="U996" s="2" t="s">
        <v>8418</v>
      </c>
      <c r="V996" s="12" t="str">
        <f t="shared" si="190"/>
        <v>1834</v>
      </c>
      <c r="W996" s="12" t="s">
        <v>8419</v>
      </c>
      <c r="X996" s="12" t="s">
        <v>8420</v>
      </c>
      <c r="AF996" s="2" t="s">
        <v>3724</v>
      </c>
      <c r="AG996" s="12" t="s">
        <v>53</v>
      </c>
      <c r="AH996" s="12" t="s">
        <v>1036</v>
      </c>
      <c r="AI996" s="12" t="str">
        <f t="shared" si="191"/>
        <v>1838</v>
      </c>
      <c r="AJ996" s="2" t="s">
        <v>8413</v>
      </c>
      <c r="AK996" s="12" t="s">
        <v>1035</v>
      </c>
      <c r="AL996" s="12"/>
      <c r="AM996" s="12"/>
      <c r="AN996" s="12"/>
      <c r="AQ996" s="12"/>
    </row>
    <row r="997" spans="1:59">
      <c r="A997" s="12" t="s">
        <v>694</v>
      </c>
      <c r="B997" s="12" t="str">
        <f t="shared" si="183"/>
        <v>LOMBARD</v>
      </c>
      <c r="C997" s="12" t="str">
        <f t="shared" si="184"/>
        <v>LOMBARD</v>
      </c>
      <c r="D997" s="12" t="s">
        <v>8421</v>
      </c>
      <c r="E997" s="12" t="str">
        <f t="shared" si="194"/>
        <v>Andries Louis Sr.</v>
      </c>
      <c r="F997" s="12" t="s">
        <v>8422</v>
      </c>
      <c r="G997" s="12" t="str">
        <f t="shared" si="185"/>
        <v>a1b1c3d6</v>
      </c>
      <c r="H997" s="12" t="str">
        <f t="shared" si="186"/>
        <v>LOMBARDa1b1c3d6</v>
      </c>
      <c r="J997" s="12"/>
      <c r="K997" s="12" t="str">
        <f t="shared" si="187"/>
        <v/>
      </c>
      <c r="L997" s="12"/>
      <c r="M997" s="12" t="s">
        <v>8461</v>
      </c>
      <c r="N997" s="12" t="str">
        <f t="shared" si="192"/>
        <v/>
      </c>
      <c r="O997" s="12" t="str">
        <f t="shared" si="193"/>
        <v>1775</v>
      </c>
      <c r="Q997" s="12" t="str">
        <f t="shared" si="188"/>
        <v>1775</v>
      </c>
      <c r="S997" s="12" t="str">
        <f t="shared" si="189"/>
        <v/>
      </c>
      <c r="T997" s="12"/>
      <c r="U997" s="12" t="s">
        <v>8462</v>
      </c>
      <c r="V997" s="12" t="str">
        <f t="shared" si="190"/>
        <v>1798</v>
      </c>
      <c r="W997" s="12" t="s">
        <v>4633</v>
      </c>
      <c r="X997" s="12" t="s">
        <v>8463</v>
      </c>
      <c r="AC997" s="2" t="s">
        <v>8464</v>
      </c>
      <c r="AF997" s="2" t="s">
        <v>8465</v>
      </c>
      <c r="AG997" s="12" t="s">
        <v>366</v>
      </c>
      <c r="AH997" s="12" t="s">
        <v>8468</v>
      </c>
      <c r="AI997" s="12" t="str">
        <f t="shared" si="191"/>
        <v>1837</v>
      </c>
      <c r="AJ997" s="2" t="s">
        <v>8466</v>
      </c>
      <c r="AK997" s="12" t="s">
        <v>8467</v>
      </c>
    </row>
    <row r="998" spans="1:59">
      <c r="A998" s="12" t="s">
        <v>694</v>
      </c>
      <c r="B998" s="12" t="str">
        <f t="shared" si="183"/>
        <v>LOMBARD</v>
      </c>
      <c r="C998" s="12" t="str">
        <f t="shared" si="184"/>
        <v>LOMBARD</v>
      </c>
      <c r="D998" s="12" t="s">
        <v>8431</v>
      </c>
      <c r="E998" s="12" t="str">
        <f t="shared" si="194"/>
        <v>Johannes (Jan) Anthonie</v>
      </c>
      <c r="F998" s="12" t="s">
        <v>8432</v>
      </c>
      <c r="G998" s="12" t="str">
        <f t="shared" si="185"/>
        <v>a1b1c3d6e2</v>
      </c>
      <c r="H998" s="12" t="str">
        <f t="shared" si="186"/>
        <v>LOMBARDa1b1c3d6e2</v>
      </c>
      <c r="K998" s="12" t="str">
        <f t="shared" si="187"/>
        <v/>
      </c>
      <c r="M998" s="12" t="s">
        <v>1049</v>
      </c>
      <c r="N998" s="12" t="str">
        <f t="shared" si="192"/>
        <v/>
      </c>
      <c r="O998" s="12" t="str">
        <f t="shared" si="193"/>
        <v>1801</v>
      </c>
      <c r="P998" s="2" t="s">
        <v>8508</v>
      </c>
      <c r="Q998" s="12" t="str">
        <f t="shared" si="188"/>
        <v>1801</v>
      </c>
      <c r="R998" s="2" t="s">
        <v>8509</v>
      </c>
      <c r="S998" s="12" t="str">
        <f t="shared" si="189"/>
        <v>1864</v>
      </c>
      <c r="T998" s="12"/>
      <c r="U998" s="12"/>
      <c r="V998" s="12" t="str">
        <f t="shared" si="190"/>
        <v/>
      </c>
      <c r="W998" s="12" t="s">
        <v>8510</v>
      </c>
      <c r="X998" s="12" t="s">
        <v>701</v>
      </c>
      <c r="Y998" s="2" t="s">
        <v>8048</v>
      </c>
      <c r="Z998" s="2" t="s">
        <v>8511</v>
      </c>
      <c r="AA998" s="2" t="s">
        <v>8512</v>
      </c>
      <c r="AC998" s="2" t="s">
        <v>971</v>
      </c>
      <c r="AD998" s="2" t="s">
        <v>8508</v>
      </c>
      <c r="AE998" s="2" t="s">
        <v>8513</v>
      </c>
      <c r="AF998" s="2" t="s">
        <v>8465</v>
      </c>
      <c r="AG998" s="12" t="s">
        <v>366</v>
      </c>
      <c r="AH998" s="12" t="s">
        <v>7749</v>
      </c>
      <c r="AI998" s="12" t="str">
        <f t="shared" si="191"/>
        <v>1837</v>
      </c>
      <c r="AJ998" s="2" t="s">
        <v>5694</v>
      </c>
      <c r="AK998" s="12" t="s">
        <v>551</v>
      </c>
    </row>
    <row r="999" spans="1:59">
      <c r="A999" s="12" t="s">
        <v>694</v>
      </c>
      <c r="B999" s="12" t="str">
        <f t="shared" si="183"/>
        <v>LOMBARD</v>
      </c>
      <c r="C999" s="12" t="str">
        <f t="shared" si="184"/>
        <v>LOMBARD</v>
      </c>
      <c r="D999" s="12" t="s">
        <v>8423</v>
      </c>
      <c r="E999" s="12" t="str">
        <f t="shared" si="194"/>
        <v>Andries Louis Jr.</v>
      </c>
      <c r="F999" s="12" t="s">
        <v>8424</v>
      </c>
      <c r="G999" s="12" t="str">
        <f t="shared" si="185"/>
        <v>a1b1c3d6e7</v>
      </c>
      <c r="H999" s="12" t="str">
        <f t="shared" si="186"/>
        <v>LOMBARDa1b1c3d6e7</v>
      </c>
      <c r="I999" s="12" t="s">
        <v>3735</v>
      </c>
      <c r="J999" s="12" t="s">
        <v>7950</v>
      </c>
      <c r="K999" s="12" t="str">
        <f t="shared" si="187"/>
        <v>1810</v>
      </c>
      <c r="L999" s="12" t="s">
        <v>32</v>
      </c>
      <c r="M999" s="12" t="s">
        <v>2737</v>
      </c>
      <c r="N999" s="12" t="str">
        <f t="shared" si="192"/>
        <v>1810</v>
      </c>
      <c r="O999" s="12" t="str">
        <f t="shared" si="193"/>
        <v>1810</v>
      </c>
      <c r="P999" s="12" t="s">
        <v>4859</v>
      </c>
      <c r="Q999" s="12" t="str">
        <f t="shared" si="188"/>
        <v>1810</v>
      </c>
      <c r="R999" s="12" t="s">
        <v>8469</v>
      </c>
      <c r="S999" s="12" t="str">
        <f t="shared" si="189"/>
        <v>1858</v>
      </c>
      <c r="T999" s="12" t="s">
        <v>366</v>
      </c>
      <c r="U999" s="12" t="s">
        <v>8470</v>
      </c>
      <c r="V999" s="12" t="str">
        <f t="shared" si="190"/>
        <v>1838</v>
      </c>
      <c r="W999" s="12" t="s">
        <v>8471</v>
      </c>
      <c r="X999" s="12" t="s">
        <v>8472</v>
      </c>
      <c r="Y999" s="12"/>
      <c r="Z999" s="12" t="s">
        <v>366</v>
      </c>
      <c r="AA999" s="12" t="s">
        <v>8473</v>
      </c>
      <c r="AB999" s="12"/>
      <c r="AC999" s="12"/>
      <c r="AD999" s="12"/>
      <c r="AE999" s="12"/>
      <c r="AF999" s="12" t="s">
        <v>8465</v>
      </c>
      <c r="AG999" s="12" t="s">
        <v>366</v>
      </c>
      <c r="AH999" s="12" t="s">
        <v>8474</v>
      </c>
      <c r="AI999" s="12" t="str">
        <f t="shared" si="191"/>
        <v xml:space="preserve"> (?)</v>
      </c>
      <c r="AJ999" s="12"/>
      <c r="AK999" s="12"/>
      <c r="AL999" s="12" t="s">
        <v>160</v>
      </c>
      <c r="AM999" s="12" t="s">
        <v>8475</v>
      </c>
      <c r="AN999" s="12" t="s">
        <v>3389</v>
      </c>
      <c r="AO999" s="12" t="s">
        <v>662</v>
      </c>
      <c r="AP999" s="12"/>
      <c r="AQ999" s="12" t="s">
        <v>53</v>
      </c>
      <c r="AR999" s="12" t="s">
        <v>4858</v>
      </c>
      <c r="AS999" s="12"/>
      <c r="AT999" s="12"/>
      <c r="AU999" s="12" t="s">
        <v>4859</v>
      </c>
      <c r="AV999" s="12" t="s">
        <v>4860</v>
      </c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</row>
    <row r="1000" spans="1:59">
      <c r="A1000" s="12" t="s">
        <v>694</v>
      </c>
      <c r="B1000" s="12" t="str">
        <f t="shared" si="183"/>
        <v>LOMBARD</v>
      </c>
      <c r="C1000" s="12" t="str">
        <f t="shared" si="184"/>
        <v>LOMBARD</v>
      </c>
      <c r="D1000" s="12" t="s">
        <v>611</v>
      </c>
      <c r="E1000" s="12" t="str">
        <f t="shared" si="194"/>
        <v>Hermanus Stephanus</v>
      </c>
      <c r="F1000" s="12" t="s">
        <v>8430</v>
      </c>
      <c r="G1000" s="12" t="str">
        <f t="shared" si="185"/>
        <v>a1b3c3d6e6</v>
      </c>
      <c r="H1000" s="12" t="str">
        <f t="shared" si="186"/>
        <v>LOMBARDa1b3c3d6e6</v>
      </c>
      <c r="I1000" s="12"/>
      <c r="J1000" s="12" t="s">
        <v>8498</v>
      </c>
      <c r="K1000" s="12" t="str">
        <f t="shared" si="187"/>
        <v>1804</v>
      </c>
      <c r="L1000" s="12"/>
      <c r="M1000" s="12"/>
      <c r="N1000" s="12" t="str">
        <f t="shared" si="192"/>
        <v>1804</v>
      </c>
      <c r="O1000" s="12" t="str">
        <f t="shared" si="193"/>
        <v/>
      </c>
      <c r="P1000" s="12"/>
      <c r="Q1000" s="12" t="str">
        <f t="shared" si="188"/>
        <v>1804</v>
      </c>
      <c r="R1000" s="12"/>
      <c r="S1000" s="12" t="str">
        <f t="shared" si="189"/>
        <v/>
      </c>
      <c r="T1000" s="12" t="s">
        <v>28</v>
      </c>
      <c r="U1000" s="12" t="s">
        <v>8499</v>
      </c>
      <c r="V1000" s="12" t="str">
        <f t="shared" si="190"/>
        <v>1821</v>
      </c>
      <c r="W1000" s="12" t="s">
        <v>8500</v>
      </c>
      <c r="X1000" s="12" t="s">
        <v>8501</v>
      </c>
      <c r="Y1000" s="12" t="s">
        <v>8502</v>
      </c>
      <c r="Z1000" s="12"/>
      <c r="AA1000" s="12"/>
      <c r="AB1000" s="12"/>
      <c r="AC1000" s="12" t="s">
        <v>8503</v>
      </c>
      <c r="AD1000" s="12"/>
      <c r="AE1000" s="12"/>
      <c r="AF1000" s="12" t="s">
        <v>8504</v>
      </c>
      <c r="AG1000" s="12" t="s">
        <v>68</v>
      </c>
      <c r="AH1000" s="12" t="s">
        <v>8505</v>
      </c>
      <c r="AI1000" s="12" t="str">
        <f t="shared" si="191"/>
        <v>1838</v>
      </c>
      <c r="AJ1000" s="12" t="s">
        <v>8506</v>
      </c>
      <c r="AK1000" s="12" t="s">
        <v>8507</v>
      </c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</row>
    <row r="1001" spans="1:59">
      <c r="A1001" s="12" t="s">
        <v>694</v>
      </c>
      <c r="B1001" s="12" t="str">
        <f t="shared" si="183"/>
        <v>LOMBARD</v>
      </c>
      <c r="C1001" s="12" t="str">
        <f t="shared" si="184"/>
        <v>LOMBARD</v>
      </c>
      <c r="D1001" s="12" t="s">
        <v>3033</v>
      </c>
      <c r="E1001" s="12" t="str">
        <f t="shared" si="194"/>
        <v>Barend Jacobus</v>
      </c>
      <c r="F1001" s="12" t="s">
        <v>8425</v>
      </c>
      <c r="G1001" s="12" t="str">
        <f t="shared" si="185"/>
        <v>a1b3c3d7e10</v>
      </c>
      <c r="H1001" s="12" t="str">
        <f t="shared" si="186"/>
        <v>LOMBARDa1b3c3d7e10</v>
      </c>
      <c r="I1001" s="12"/>
      <c r="J1001" s="12" t="s">
        <v>8476</v>
      </c>
      <c r="K1001" s="12" t="str">
        <f t="shared" si="187"/>
        <v>1803</v>
      </c>
      <c r="L1001" s="12" t="s">
        <v>74</v>
      </c>
      <c r="M1001" s="12" t="s">
        <v>1429</v>
      </c>
      <c r="N1001" s="12" t="str">
        <f t="shared" si="192"/>
        <v>1803</v>
      </c>
      <c r="O1001" s="12" t="str">
        <f t="shared" si="193"/>
        <v>1804</v>
      </c>
      <c r="P1001" s="12"/>
      <c r="Q1001" s="12" t="str">
        <f t="shared" si="188"/>
        <v>1803</v>
      </c>
      <c r="R1001" s="12"/>
      <c r="S1001" s="12" t="str">
        <f t="shared" si="189"/>
        <v/>
      </c>
      <c r="T1001" s="12"/>
      <c r="U1001" s="12"/>
      <c r="V1001" s="12" t="str">
        <f t="shared" si="190"/>
        <v/>
      </c>
      <c r="W1001" s="12" t="s">
        <v>8477</v>
      </c>
      <c r="X1001" s="12" t="s">
        <v>3303</v>
      </c>
      <c r="Y1001" s="12"/>
      <c r="Z1001" s="12"/>
      <c r="AA1001" s="12"/>
      <c r="AB1001" s="12"/>
      <c r="AC1001" s="12"/>
      <c r="AD1001" s="12"/>
      <c r="AE1001" s="12"/>
      <c r="AF1001" s="12" t="s">
        <v>3699</v>
      </c>
      <c r="AG1001" s="12" t="s">
        <v>68</v>
      </c>
      <c r="AH1001" s="12" t="s">
        <v>8478</v>
      </c>
      <c r="AI1001" s="12" t="str">
        <f t="shared" si="191"/>
        <v>1837</v>
      </c>
      <c r="AJ1001" s="12" t="s">
        <v>8479</v>
      </c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</row>
    <row r="1002" spans="1:59">
      <c r="A1002" s="12" t="s">
        <v>694</v>
      </c>
      <c r="B1002" s="12" t="str">
        <f t="shared" si="183"/>
        <v>LOMBARD</v>
      </c>
      <c r="C1002" s="12" t="str">
        <f t="shared" si="184"/>
        <v>LOMBARD</v>
      </c>
      <c r="D1002" s="12" t="s">
        <v>8426</v>
      </c>
      <c r="E1002" s="12" t="str">
        <f t="shared" si="194"/>
        <v>Hermanus Anthonie Sr.</v>
      </c>
      <c r="F1002" s="12" t="s">
        <v>8427</v>
      </c>
      <c r="G1002" s="12" t="str">
        <f t="shared" si="185"/>
        <v>a1b3c3d7e3</v>
      </c>
      <c r="H1002" s="12" t="str">
        <f t="shared" si="186"/>
        <v>LOMBARDa1b3c3d7e3</v>
      </c>
      <c r="I1002" s="12"/>
      <c r="J1002" s="12"/>
      <c r="K1002" s="12" t="str">
        <f t="shared" si="187"/>
        <v/>
      </c>
      <c r="L1002" s="12"/>
      <c r="M1002" s="12" t="s">
        <v>5778</v>
      </c>
      <c r="N1002" s="12" t="str">
        <f t="shared" si="192"/>
        <v/>
      </c>
      <c r="O1002" s="12" t="str">
        <f t="shared" si="193"/>
        <v>1789</v>
      </c>
      <c r="P1002" s="12"/>
      <c r="Q1002" s="12" t="str">
        <f t="shared" si="188"/>
        <v>1789</v>
      </c>
      <c r="R1002" s="12"/>
      <c r="S1002" s="12" t="str">
        <f t="shared" si="189"/>
        <v/>
      </c>
      <c r="T1002" s="12" t="s">
        <v>74</v>
      </c>
      <c r="U1002" s="12" t="s">
        <v>8381</v>
      </c>
      <c r="V1002" s="12" t="str">
        <f t="shared" si="190"/>
        <v>1815</v>
      </c>
      <c r="W1002" s="12" t="s">
        <v>8480</v>
      </c>
      <c r="X1002" s="12" t="s">
        <v>629</v>
      </c>
      <c r="Y1002" s="12" t="s">
        <v>8481</v>
      </c>
      <c r="Z1002" s="12"/>
      <c r="AA1002" s="12"/>
      <c r="AB1002" s="12"/>
      <c r="AC1002" s="12" t="s">
        <v>8482</v>
      </c>
      <c r="AD1002" s="12"/>
      <c r="AE1002" s="12"/>
      <c r="AF1002" s="12" t="s">
        <v>8483</v>
      </c>
      <c r="AG1002" s="12" t="s">
        <v>346</v>
      </c>
      <c r="AH1002" s="12" t="s">
        <v>8484</v>
      </c>
      <c r="AI1002" s="12" t="str">
        <f t="shared" si="191"/>
        <v>1837</v>
      </c>
      <c r="AJ1002" s="12" t="s">
        <v>8479</v>
      </c>
      <c r="AK1002" s="12" t="s">
        <v>90</v>
      </c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</row>
    <row r="1003" spans="1:59">
      <c r="A1003" s="12" t="s">
        <v>694</v>
      </c>
      <c r="B1003" s="12" t="str">
        <f t="shared" si="183"/>
        <v>LOMBARD</v>
      </c>
      <c r="C1003" s="12" t="str">
        <f t="shared" si="184"/>
        <v>LOMBARD</v>
      </c>
      <c r="D1003" s="12" t="s">
        <v>8428</v>
      </c>
      <c r="E1003" s="12" t="str">
        <f t="shared" si="194"/>
        <v xml:space="preserve">Hermanus Anthonie Jr. </v>
      </c>
      <c r="F1003" s="12" t="s">
        <v>8429</v>
      </c>
      <c r="G1003" s="12" t="str">
        <f t="shared" si="185"/>
        <v>a1b3c3d7e3f5</v>
      </c>
      <c r="H1003" s="12" t="str">
        <f t="shared" si="186"/>
        <v>LOMBARDa1b3c3d7e3f5</v>
      </c>
      <c r="I1003" s="12" t="s">
        <v>346</v>
      </c>
      <c r="J1003" s="12" t="s">
        <v>8485</v>
      </c>
      <c r="K1003" s="12" t="str">
        <f t="shared" si="187"/>
        <v>1822</v>
      </c>
      <c r="L1003" s="12" t="s">
        <v>53</v>
      </c>
      <c r="M1003" s="12" t="s">
        <v>411</v>
      </c>
      <c r="N1003" s="12" t="str">
        <f t="shared" si="192"/>
        <v>1822</v>
      </c>
      <c r="O1003" s="12" t="str">
        <f t="shared" si="193"/>
        <v>1822</v>
      </c>
      <c r="P1003" s="12" t="s">
        <v>8486</v>
      </c>
      <c r="Q1003" s="12" t="str">
        <f t="shared" si="188"/>
        <v>1822</v>
      </c>
      <c r="R1003" s="12" t="s">
        <v>8487</v>
      </c>
      <c r="S1003" s="12" t="str">
        <f t="shared" si="189"/>
        <v>1913</v>
      </c>
      <c r="T1003" s="12"/>
      <c r="U1003" s="12"/>
      <c r="V1003" s="12" t="str">
        <f t="shared" si="190"/>
        <v/>
      </c>
      <c r="W1003" s="12" t="s">
        <v>8488</v>
      </c>
      <c r="X1003" s="12" t="s">
        <v>8489</v>
      </c>
      <c r="Y1003" s="12" t="s">
        <v>8490</v>
      </c>
      <c r="Z1003" s="12"/>
      <c r="AA1003" s="12" t="s">
        <v>8491</v>
      </c>
      <c r="AB1003" s="12"/>
      <c r="AC1003" s="12" t="s">
        <v>8492</v>
      </c>
      <c r="AD1003" s="12" t="s">
        <v>8493</v>
      </c>
      <c r="AE1003" s="12"/>
      <c r="AF1003" s="12" t="s">
        <v>8494</v>
      </c>
      <c r="AG1003" s="12" t="s">
        <v>346</v>
      </c>
      <c r="AH1003" s="12" t="s">
        <v>8484</v>
      </c>
      <c r="AI1003" s="12" t="str">
        <f t="shared" si="191"/>
        <v>1837</v>
      </c>
      <c r="AJ1003" s="12" t="s">
        <v>8479</v>
      </c>
      <c r="AK1003" s="12" t="s">
        <v>90</v>
      </c>
      <c r="AL1003" s="12"/>
      <c r="AM1003" s="12"/>
      <c r="AN1003" s="12" t="s">
        <v>8495</v>
      </c>
      <c r="AO1003" s="12" t="s">
        <v>726</v>
      </c>
      <c r="AP1003" s="12" t="s">
        <v>8496</v>
      </c>
      <c r="AQ1003" s="12"/>
      <c r="AR1003" s="12" t="s">
        <v>8497</v>
      </c>
      <c r="AS1003" s="12" t="s">
        <v>199</v>
      </c>
      <c r="AT1003" s="12" t="s">
        <v>4577</v>
      </c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</row>
    <row r="1004" spans="1:59">
      <c r="A1004" s="14" t="s">
        <v>8435</v>
      </c>
      <c r="B1004" s="12" t="str">
        <f t="shared" si="183"/>
        <v>LöTTER</v>
      </c>
      <c r="C1004" s="12" t="str">
        <f t="shared" si="184"/>
        <v>LöTTER</v>
      </c>
      <c r="D1004" s="12" t="s">
        <v>8437</v>
      </c>
      <c r="E1004" s="12" t="str">
        <f t="shared" si="194"/>
        <v>Willem Godfried</v>
      </c>
      <c r="F1004" s="12" t="s">
        <v>4866</v>
      </c>
      <c r="G1004" s="12" t="str">
        <f t="shared" si="185"/>
        <v>a1b7c6</v>
      </c>
      <c r="H1004" s="12" t="str">
        <f t="shared" si="186"/>
        <v>LöTTERa1b7c6</v>
      </c>
      <c r="K1004" s="12" t="str">
        <f t="shared" si="187"/>
        <v/>
      </c>
      <c r="M1004" s="12" t="s">
        <v>473</v>
      </c>
      <c r="N1004" s="12" t="str">
        <f t="shared" si="192"/>
        <v/>
      </c>
      <c r="O1004" s="12" t="str">
        <f t="shared" si="193"/>
        <v>1778</v>
      </c>
      <c r="P1004" s="2" t="s">
        <v>8526</v>
      </c>
      <c r="Q1004" s="12" t="str">
        <f t="shared" si="188"/>
        <v>1778</v>
      </c>
      <c r="R1004" s="2" t="s">
        <v>7432</v>
      </c>
      <c r="S1004" s="12" t="str">
        <f t="shared" si="189"/>
        <v>1841</v>
      </c>
      <c r="T1004" s="2" t="s">
        <v>48</v>
      </c>
      <c r="U1004" s="12" t="s">
        <v>4285</v>
      </c>
      <c r="V1004" s="12" t="str">
        <f t="shared" si="190"/>
        <v>1802</v>
      </c>
      <c r="W1004" s="12" t="s">
        <v>8527</v>
      </c>
      <c r="X1004" s="12" t="s">
        <v>667</v>
      </c>
      <c r="Y1004" s="12" t="s">
        <v>8528</v>
      </c>
      <c r="AC1004" s="12" t="s">
        <v>8529</v>
      </c>
      <c r="AE1004" s="12"/>
      <c r="AF1004" s="12" t="s">
        <v>8523</v>
      </c>
      <c r="AG1004" s="12" t="s">
        <v>68</v>
      </c>
      <c r="AH1004" s="12" t="s">
        <v>8530</v>
      </c>
      <c r="AI1004" s="12" t="str">
        <f t="shared" si="191"/>
        <v>1838</v>
      </c>
      <c r="AK1004" s="12"/>
      <c r="AL1004" s="12" t="s">
        <v>74</v>
      </c>
      <c r="AM1004" s="12" t="s">
        <v>1734</v>
      </c>
      <c r="AN1004" s="12" t="s">
        <v>8531</v>
      </c>
      <c r="AO1004" s="12" t="s">
        <v>2547</v>
      </c>
    </row>
    <row r="1005" spans="1:59">
      <c r="A1005" s="14" t="s">
        <v>8435</v>
      </c>
      <c r="B1005" s="12" t="str">
        <f t="shared" si="183"/>
        <v>LöTTER</v>
      </c>
      <c r="C1005" s="12" t="str">
        <f t="shared" si="184"/>
        <v>LöTTER</v>
      </c>
      <c r="D1005" s="12" t="s">
        <v>8433</v>
      </c>
      <c r="E1005" s="12" t="str">
        <f t="shared" si="194"/>
        <v>Christoffel Petrus Francois</v>
      </c>
      <c r="F1005" s="12" t="s">
        <v>8434</v>
      </c>
      <c r="G1005" s="12" t="str">
        <f t="shared" si="185"/>
        <v>a1b7c6d2</v>
      </c>
      <c r="H1005" s="12" t="str">
        <f t="shared" si="186"/>
        <v>LöTTERa1b7c6d2</v>
      </c>
      <c r="K1005" s="12" t="str">
        <f t="shared" si="187"/>
        <v/>
      </c>
      <c r="L1005" s="12"/>
      <c r="M1005" s="12" t="s">
        <v>1429</v>
      </c>
      <c r="N1005" s="12" t="str">
        <f t="shared" si="192"/>
        <v/>
      </c>
      <c r="O1005" s="12" t="str">
        <f t="shared" si="193"/>
        <v>1804</v>
      </c>
      <c r="P1005" s="12"/>
      <c r="Q1005" s="12" t="str">
        <f t="shared" si="188"/>
        <v>1804</v>
      </c>
      <c r="R1005" s="12" t="s">
        <v>8514</v>
      </c>
      <c r="S1005" s="12" t="str">
        <f t="shared" si="189"/>
        <v>1874</v>
      </c>
      <c r="T1005" s="12" t="s">
        <v>53</v>
      </c>
      <c r="U1005" s="12" t="s">
        <v>2357</v>
      </c>
      <c r="V1005" s="12" t="str">
        <f t="shared" si="190"/>
        <v>1824</v>
      </c>
      <c r="W1005" s="12" t="s">
        <v>8515</v>
      </c>
      <c r="X1005" s="12" t="s">
        <v>698</v>
      </c>
      <c r="Y1005" s="2" t="s">
        <v>8516</v>
      </c>
      <c r="AC1005" s="2" t="s">
        <v>8517</v>
      </c>
      <c r="AD1005" s="12"/>
      <c r="AE1005" s="12"/>
      <c r="AF1005" s="12" t="s">
        <v>3706</v>
      </c>
      <c r="AG1005" s="12" t="s">
        <v>68</v>
      </c>
      <c r="AH1005" s="12" t="s">
        <v>8518</v>
      </c>
      <c r="AI1005" s="12" t="str">
        <f t="shared" si="191"/>
        <v>1837</v>
      </c>
      <c r="AK1005" s="12"/>
    </row>
    <row r="1006" spans="1:59">
      <c r="A1006" s="14" t="s">
        <v>8435</v>
      </c>
      <c r="B1006" s="12" t="str">
        <f t="shared" si="183"/>
        <v>LöTTER</v>
      </c>
      <c r="C1006" s="12" t="str">
        <f t="shared" si="184"/>
        <v>LöTTER</v>
      </c>
      <c r="D1006" s="12" t="s">
        <v>1626</v>
      </c>
      <c r="E1006" s="12" t="str">
        <f t="shared" si="194"/>
        <v>Jacob</v>
      </c>
      <c r="F1006" s="12" t="s">
        <v>8436</v>
      </c>
      <c r="G1006" s="12" t="str">
        <f t="shared" si="185"/>
        <v>a1b7c6d4</v>
      </c>
      <c r="H1006" s="12" t="str">
        <f t="shared" si="186"/>
        <v>LöTTERa1b7c6d4</v>
      </c>
      <c r="K1006" s="12" t="str">
        <f t="shared" si="187"/>
        <v/>
      </c>
      <c r="L1006" s="12"/>
      <c r="M1006" s="12" t="s">
        <v>3114</v>
      </c>
      <c r="N1006" s="12" t="str">
        <f t="shared" si="192"/>
        <v/>
      </c>
      <c r="O1006" s="12" t="str">
        <f t="shared" si="193"/>
        <v>1808</v>
      </c>
      <c r="P1006" s="12" t="s">
        <v>8519</v>
      </c>
      <c r="Q1006" s="12" t="str">
        <f t="shared" si="188"/>
        <v>1808</v>
      </c>
      <c r="R1006" s="12" t="s">
        <v>8520</v>
      </c>
      <c r="S1006" s="12" t="str">
        <f t="shared" si="189"/>
        <v>1887</v>
      </c>
      <c r="T1006" s="12" t="s">
        <v>68</v>
      </c>
      <c r="U1006" s="12" t="s">
        <v>1741</v>
      </c>
      <c r="V1006" s="12" t="str">
        <f t="shared" si="190"/>
        <v>1831</v>
      </c>
      <c r="W1006" s="12" t="s">
        <v>811</v>
      </c>
      <c r="X1006" s="12" t="s">
        <v>696</v>
      </c>
      <c r="Y1006" s="2" t="s">
        <v>8521</v>
      </c>
      <c r="AA1006" s="2" t="s">
        <v>8522</v>
      </c>
      <c r="AD1006" s="12" t="s">
        <v>3387</v>
      </c>
      <c r="AE1006" s="12">
        <v>1887</v>
      </c>
      <c r="AF1006" s="12" t="s">
        <v>8523</v>
      </c>
      <c r="AG1006" s="12" t="s">
        <v>68</v>
      </c>
      <c r="AH1006" s="12" t="s">
        <v>8524</v>
      </c>
      <c r="AI1006" s="12" t="str">
        <f t="shared" si="191"/>
        <v>1837</v>
      </c>
      <c r="AJ1006" s="12" t="s">
        <v>8525</v>
      </c>
      <c r="AK1006" s="2" t="s">
        <v>7845</v>
      </c>
      <c r="AV1006" s="12"/>
    </row>
    <row r="1007" spans="1:59">
      <c r="A1007" s="14" t="s">
        <v>8435</v>
      </c>
      <c r="B1007" s="12" t="str">
        <f t="shared" si="183"/>
        <v>LöTTER</v>
      </c>
      <c r="C1007" s="12" t="str">
        <f t="shared" si="184"/>
        <v>LöTTER</v>
      </c>
      <c r="D1007" s="12" t="s">
        <v>8438</v>
      </c>
      <c r="E1007" s="12" t="str">
        <f t="shared" si="194"/>
        <v>Willem Mattheus Johannes</v>
      </c>
      <c r="F1007" s="12" t="s">
        <v>8439</v>
      </c>
      <c r="G1007" s="12" t="str">
        <f t="shared" si="185"/>
        <v>a1b7c6d6</v>
      </c>
      <c r="H1007" s="12" t="str">
        <f t="shared" si="186"/>
        <v>LöTTERa1b7c6d6</v>
      </c>
      <c r="I1007" s="2" t="s">
        <v>3720</v>
      </c>
      <c r="J1007" s="2" t="s">
        <v>6720</v>
      </c>
      <c r="K1007" s="12" t="str">
        <f t="shared" si="187"/>
        <v>1812</v>
      </c>
      <c r="L1007" s="2" t="s">
        <v>74</v>
      </c>
      <c r="M1007" s="12" t="s">
        <v>4234</v>
      </c>
      <c r="N1007" s="12" t="str">
        <f t="shared" si="192"/>
        <v>1812</v>
      </c>
      <c r="O1007" s="12" t="str">
        <f t="shared" si="193"/>
        <v>1812</v>
      </c>
      <c r="P1007" s="2" t="s">
        <v>8532</v>
      </c>
      <c r="Q1007" s="12" t="str">
        <f t="shared" si="188"/>
        <v>1812</v>
      </c>
      <c r="R1007" s="2" t="s">
        <v>8533</v>
      </c>
      <c r="S1007" s="12" t="str">
        <f t="shared" si="189"/>
        <v>1872</v>
      </c>
      <c r="T1007" s="12"/>
      <c r="U1007" s="12"/>
      <c r="V1007" s="12" t="str">
        <f t="shared" si="190"/>
        <v/>
      </c>
      <c r="W1007" s="12" t="s">
        <v>8534</v>
      </c>
      <c r="X1007" s="12" t="s">
        <v>696</v>
      </c>
      <c r="Y1007" s="12" t="s">
        <v>8535</v>
      </c>
      <c r="AC1007" s="12" t="s">
        <v>8536</v>
      </c>
      <c r="AF1007" s="12" t="s">
        <v>8523</v>
      </c>
      <c r="AG1007" s="12" t="s">
        <v>68</v>
      </c>
      <c r="AH1007" s="12" t="s">
        <v>8537</v>
      </c>
      <c r="AI1007" s="12" t="str">
        <f t="shared" si="191"/>
        <v>RMAN</v>
      </c>
      <c r="AJ1007" s="2" t="s">
        <v>8538</v>
      </c>
      <c r="AK1007" s="12" t="s">
        <v>155</v>
      </c>
      <c r="AL1007" s="12" t="s">
        <v>90</v>
      </c>
      <c r="AM1007" s="12"/>
      <c r="AN1007" s="12" t="s">
        <v>8539</v>
      </c>
      <c r="AO1007" s="12" t="s">
        <v>730</v>
      </c>
      <c r="AP1007" s="12" t="s">
        <v>8540</v>
      </c>
      <c r="AR1007" s="2" t="s">
        <v>8541</v>
      </c>
      <c r="AS1007" s="12"/>
      <c r="AT1007" s="12"/>
      <c r="AU1007" s="12" t="s">
        <v>8532</v>
      </c>
      <c r="AV1007" s="12" t="s">
        <v>8542</v>
      </c>
      <c r="AW1007" s="12"/>
      <c r="AX1007" s="12"/>
      <c r="AY1007" s="12"/>
      <c r="AZ1007" s="12"/>
      <c r="BC1007" s="12"/>
    </row>
    <row r="1008" spans="1:59">
      <c r="A1008" s="14" t="s">
        <v>8443</v>
      </c>
      <c r="B1008" s="12" t="str">
        <f t="shared" si="183"/>
        <v>LOTTERING</v>
      </c>
      <c r="C1008" s="12" t="str">
        <f t="shared" si="184"/>
        <v>LOTTERING</v>
      </c>
      <c r="D1008" s="12" t="s">
        <v>7540</v>
      </c>
      <c r="E1008" s="12" t="str">
        <f t="shared" si="194"/>
        <v>Petrus Cornelis</v>
      </c>
      <c r="F1008" s="12" t="s">
        <v>1787</v>
      </c>
      <c r="G1008" s="12" t="str">
        <f t="shared" si="185"/>
        <v>a1b6c4</v>
      </c>
      <c r="H1008" s="12" t="str">
        <f t="shared" si="186"/>
        <v>LOTTERINGa1b6c4</v>
      </c>
      <c r="J1008" s="12" t="s">
        <v>8512</v>
      </c>
      <c r="K1008" s="12" t="str">
        <f t="shared" si="187"/>
        <v>1805</v>
      </c>
      <c r="L1008" s="2" t="s">
        <v>74</v>
      </c>
      <c r="M1008" s="12" t="s">
        <v>8548</v>
      </c>
      <c r="N1008" s="12" t="str">
        <f t="shared" si="192"/>
        <v>1805</v>
      </c>
      <c r="O1008" s="12" t="str">
        <f t="shared" si="193"/>
        <v>1807</v>
      </c>
      <c r="P1008" s="12"/>
      <c r="Q1008" s="12" t="str">
        <f t="shared" si="188"/>
        <v>1805</v>
      </c>
      <c r="R1008" s="12"/>
      <c r="S1008" s="12" t="str">
        <f t="shared" si="189"/>
        <v/>
      </c>
      <c r="T1008" s="12" t="s">
        <v>8549</v>
      </c>
      <c r="U1008" s="12" t="s">
        <v>7554</v>
      </c>
      <c r="V1008" s="12" t="str">
        <f t="shared" si="190"/>
        <v>1825</v>
      </c>
      <c r="W1008" s="12" t="s">
        <v>1629</v>
      </c>
      <c r="X1008" s="12" t="s">
        <v>391</v>
      </c>
      <c r="Y1008" s="12"/>
      <c r="AC1008" s="12"/>
      <c r="AF1008" s="12" t="s">
        <v>16</v>
      </c>
      <c r="AG1008" s="12" t="s">
        <v>68</v>
      </c>
      <c r="AH1008" s="12" t="s">
        <v>8550</v>
      </c>
      <c r="AI1008" s="12" t="str">
        <f t="shared" si="191"/>
        <v>1837</v>
      </c>
      <c r="AJ1008" s="12"/>
      <c r="AK1008" s="12" t="s">
        <v>8551</v>
      </c>
      <c r="AL1008" s="12" t="s">
        <v>68</v>
      </c>
      <c r="AM1008" s="12" t="s">
        <v>8552</v>
      </c>
      <c r="AN1008" s="12" t="s">
        <v>2351</v>
      </c>
      <c r="AO1008" s="12" t="s">
        <v>758</v>
      </c>
    </row>
    <row r="1009" spans="1:59">
      <c r="A1009" s="17" t="s">
        <v>8440</v>
      </c>
      <c r="B1009" s="12" t="str">
        <f t="shared" si="183"/>
        <v>LOTTERING/LOTRIER</v>
      </c>
      <c r="C1009" s="5" t="str">
        <f t="shared" si="184"/>
        <v>LOTTERING/LOTRIER</v>
      </c>
      <c r="D1009" s="12" t="s">
        <v>8441</v>
      </c>
      <c r="E1009" s="12" t="str">
        <f t="shared" si="194"/>
        <v>Catharina Hendrina Engela</v>
      </c>
      <c r="F1009" s="12" t="s">
        <v>8442</v>
      </c>
      <c r="G1009" s="12" t="str">
        <f t="shared" si="185"/>
        <v>a2b1c1</v>
      </c>
      <c r="H1009" s="12" t="str">
        <f t="shared" si="186"/>
        <v>LOTTERING/LOTRIERa2b1c1</v>
      </c>
      <c r="K1009" s="12" t="str">
        <f t="shared" si="187"/>
        <v/>
      </c>
      <c r="L1009" s="2" t="s">
        <v>542</v>
      </c>
      <c r="M1009" s="12" t="s">
        <v>8543</v>
      </c>
      <c r="N1009" s="12" t="str">
        <f t="shared" si="192"/>
        <v/>
      </c>
      <c r="O1009" s="12" t="str">
        <f t="shared" si="193"/>
        <v>1799</v>
      </c>
      <c r="P1009" s="12"/>
      <c r="Q1009" s="12" t="str">
        <f t="shared" si="188"/>
        <v>1799</v>
      </c>
      <c r="R1009" s="12"/>
      <c r="S1009" s="12" t="str">
        <f t="shared" si="189"/>
        <v/>
      </c>
      <c r="T1009" s="12" t="s">
        <v>74</v>
      </c>
      <c r="U1009" s="12" t="s">
        <v>8544</v>
      </c>
      <c r="V1009" s="12" t="str">
        <f t="shared" si="190"/>
        <v>1817</v>
      </c>
      <c r="W1009" s="12" t="s">
        <v>8545</v>
      </c>
      <c r="X1009" s="12" t="s">
        <v>696</v>
      </c>
      <c r="Y1009" s="2" t="s">
        <v>8546</v>
      </c>
      <c r="AC1009" s="2" t="s">
        <v>8547</v>
      </c>
      <c r="AG1009" s="12" t="s">
        <v>5460</v>
      </c>
      <c r="AH1009" s="12"/>
      <c r="AI1009" s="12" t="str">
        <f t="shared" si="191"/>
        <v/>
      </c>
      <c r="AK1009" s="12" t="s">
        <v>155</v>
      </c>
    </row>
    <row r="1010" spans="1:59">
      <c r="A1010" s="14" t="s">
        <v>2023</v>
      </c>
      <c r="B1010" s="12" t="str">
        <f t="shared" si="183"/>
        <v>LUBBE</v>
      </c>
      <c r="C1010" s="12" t="str">
        <f t="shared" si="184"/>
        <v>LUBBE</v>
      </c>
      <c r="D1010" s="12" t="s">
        <v>8451</v>
      </c>
      <c r="E1010" s="12" t="str">
        <f t="shared" si="194"/>
        <v>Paulus Wilhelmus</v>
      </c>
      <c r="F1010" s="12" t="s">
        <v>8452</v>
      </c>
      <c r="G1010" s="12" t="str">
        <f t="shared" si="185"/>
        <v>a1b12c2d4e4</v>
      </c>
      <c r="H1010" s="12" t="str">
        <f t="shared" si="186"/>
        <v>LUBBEa1b12c2d4e4</v>
      </c>
      <c r="K1010" s="12" t="str">
        <f t="shared" si="187"/>
        <v/>
      </c>
      <c r="M1010" s="12" t="s">
        <v>8580</v>
      </c>
      <c r="N1010" s="12" t="str">
        <f t="shared" si="192"/>
        <v/>
      </c>
      <c r="O1010" s="12" t="str">
        <f t="shared" si="193"/>
        <v>1795</v>
      </c>
      <c r="Q1010" s="12" t="str">
        <f t="shared" si="188"/>
        <v>1795</v>
      </c>
      <c r="S1010" s="12" t="str">
        <f t="shared" si="189"/>
        <v/>
      </c>
      <c r="T1010" s="12" t="s">
        <v>542</v>
      </c>
      <c r="U1010" s="12" t="s">
        <v>8581</v>
      </c>
      <c r="V1010" s="12" t="str">
        <f t="shared" si="190"/>
        <v>1813</v>
      </c>
      <c r="W1010" s="12" t="s">
        <v>2842</v>
      </c>
      <c r="X1010" s="12" t="s">
        <v>755</v>
      </c>
      <c r="Y1010" s="12" t="s">
        <v>7208</v>
      </c>
      <c r="AC1010" s="12" t="s">
        <v>2826</v>
      </c>
      <c r="AF1010" s="12" t="s">
        <v>8582</v>
      </c>
      <c r="AG1010" s="12" t="s">
        <v>3587</v>
      </c>
      <c r="AH1010" s="12" t="s">
        <v>8583</v>
      </c>
      <c r="AI1010" s="12" t="str">
        <f t="shared" si="191"/>
        <v>1838</v>
      </c>
      <c r="AJ1010" s="2" t="s">
        <v>8584</v>
      </c>
      <c r="AK1010" s="12"/>
      <c r="AL1010" s="12"/>
      <c r="AM1010" s="12"/>
      <c r="AN1010" s="12"/>
      <c r="AO1010" s="12"/>
    </row>
    <row r="1011" spans="1:59">
      <c r="A1011" s="14" t="s">
        <v>2023</v>
      </c>
      <c r="B1011" s="12" t="str">
        <f t="shared" si="183"/>
        <v>LUBBE</v>
      </c>
      <c r="C1011" s="12" t="str">
        <f t="shared" si="184"/>
        <v>LUBBE</v>
      </c>
      <c r="D1011" s="12" t="s">
        <v>2798</v>
      </c>
      <c r="E1011" s="12" t="str">
        <f t="shared" si="194"/>
        <v>Carel Johannes</v>
      </c>
      <c r="F1011" s="12" t="s">
        <v>8449</v>
      </c>
      <c r="G1011" s="12" t="str">
        <f t="shared" si="185"/>
        <v>a1b12c3d10e4</v>
      </c>
      <c r="H1011" s="12" t="str">
        <f t="shared" si="186"/>
        <v>LUBBEa1b12c3d10e4</v>
      </c>
      <c r="J1011" s="12" t="s">
        <v>8570</v>
      </c>
      <c r="K1011" s="12" t="str">
        <f t="shared" si="187"/>
        <v>1818</v>
      </c>
      <c r="L1011" s="12" t="s">
        <v>74</v>
      </c>
      <c r="M1011" s="12" t="s">
        <v>7219</v>
      </c>
      <c r="N1011" s="12" t="str">
        <f t="shared" si="192"/>
        <v>1818</v>
      </c>
      <c r="O1011" s="12" t="str">
        <f t="shared" si="193"/>
        <v>1818</v>
      </c>
      <c r="Q1011" s="12" t="str">
        <f t="shared" si="188"/>
        <v>1818</v>
      </c>
      <c r="S1011" s="12" t="str">
        <f t="shared" si="189"/>
        <v/>
      </c>
      <c r="T1011" s="12" t="s">
        <v>28</v>
      </c>
      <c r="U1011" s="12" t="s">
        <v>2287</v>
      </c>
      <c r="V1011" s="12" t="str">
        <f t="shared" si="190"/>
        <v>1836</v>
      </c>
      <c r="W1011" s="12" t="s">
        <v>1493</v>
      </c>
      <c r="X1011" s="12" t="s">
        <v>728</v>
      </c>
      <c r="AF1011" s="12" t="s">
        <v>8571</v>
      </c>
      <c r="AG1011" s="12" t="s">
        <v>74</v>
      </c>
      <c r="AH1011" s="12">
        <v>1838</v>
      </c>
      <c r="AI1011" s="12" t="str">
        <f t="shared" si="191"/>
        <v>1838</v>
      </c>
      <c r="AJ1011" s="12" t="s">
        <v>8572</v>
      </c>
      <c r="AK1011" s="2" t="s">
        <v>190</v>
      </c>
      <c r="AL1011" s="12"/>
      <c r="AM1011" s="12"/>
    </row>
    <row r="1012" spans="1:59">
      <c r="A1012" s="14" t="s">
        <v>2023</v>
      </c>
      <c r="B1012" s="12" t="str">
        <f t="shared" si="183"/>
        <v>LUBBE</v>
      </c>
      <c r="C1012" s="12" t="str">
        <f t="shared" si="184"/>
        <v>LUBBE</v>
      </c>
      <c r="D1012" s="12" t="s">
        <v>8450</v>
      </c>
      <c r="E1012" s="12" t="str">
        <f t="shared" si="194"/>
        <v>Jan Lodewyk</v>
      </c>
      <c r="F1012" s="2" t="s">
        <v>4151</v>
      </c>
      <c r="G1012" s="12" t="str">
        <f t="shared" si="185"/>
        <v>a1b3c10d5</v>
      </c>
      <c r="H1012" s="12" t="str">
        <f t="shared" si="186"/>
        <v>LUBBEa1b3c10d5</v>
      </c>
      <c r="K1012" s="12" t="str">
        <f t="shared" si="187"/>
        <v/>
      </c>
      <c r="M1012" s="2" t="s">
        <v>8573</v>
      </c>
      <c r="N1012" s="12" t="str">
        <f t="shared" si="192"/>
        <v/>
      </c>
      <c r="O1012" s="12" t="str">
        <f t="shared" si="193"/>
        <v>1797</v>
      </c>
      <c r="P1012" s="2" t="s">
        <v>24</v>
      </c>
      <c r="Q1012" s="12" t="str">
        <f t="shared" si="188"/>
        <v>1797</v>
      </c>
      <c r="R1012" s="2" t="s">
        <v>8574</v>
      </c>
      <c r="S1012" s="12" t="str">
        <f t="shared" si="189"/>
        <v>1867</v>
      </c>
      <c r="T1012" s="12" t="s">
        <v>542</v>
      </c>
      <c r="U1012" s="12" t="s">
        <v>8575</v>
      </c>
      <c r="V1012" s="12" t="str">
        <f t="shared" si="190"/>
        <v>1816</v>
      </c>
      <c r="W1012" s="12" t="s">
        <v>8579</v>
      </c>
      <c r="X1012" s="12" t="s">
        <v>4474</v>
      </c>
      <c r="Y1012" s="12" t="s">
        <v>8399</v>
      </c>
      <c r="AA1012" s="12"/>
      <c r="AB1012" s="12" t="s">
        <v>32</v>
      </c>
      <c r="AC1012" s="12" t="s">
        <v>8576</v>
      </c>
      <c r="AF1012" s="12" t="s">
        <v>16</v>
      </c>
      <c r="AG1012" s="12" t="s">
        <v>8577</v>
      </c>
      <c r="AH1012" s="12" t="s">
        <v>8561</v>
      </c>
      <c r="AI1012" s="12" t="str">
        <f t="shared" si="191"/>
        <v>1835</v>
      </c>
      <c r="AJ1012" s="12"/>
      <c r="AK1012" s="12"/>
      <c r="AN1012" s="2" t="s">
        <v>8578</v>
      </c>
      <c r="AO1012" s="2" t="s">
        <v>4474</v>
      </c>
    </row>
    <row r="1013" spans="1:59">
      <c r="A1013" s="14" t="s">
        <v>8453</v>
      </c>
      <c r="B1013" s="12" t="str">
        <f t="shared" si="183"/>
        <v>LUDICK</v>
      </c>
      <c r="C1013" s="12" t="str">
        <f t="shared" si="184"/>
        <v>LUDICK</v>
      </c>
      <c r="D1013" s="12" t="s">
        <v>8455</v>
      </c>
      <c r="E1013" s="12" t="str">
        <f t="shared" si="194"/>
        <v>Willem Joachim</v>
      </c>
      <c r="F1013" s="12" t="s">
        <v>4014</v>
      </c>
      <c r="G1013" s="12" t="str">
        <f t="shared" si="185"/>
        <v>a1b1c9</v>
      </c>
      <c r="H1013" s="12" t="str">
        <f t="shared" si="186"/>
        <v>LUDICKa1b1c9</v>
      </c>
      <c r="J1013" s="12" t="s">
        <v>8588</v>
      </c>
      <c r="K1013" s="12" t="str">
        <f t="shared" si="187"/>
        <v>1821</v>
      </c>
      <c r="L1013" s="12" t="s">
        <v>542</v>
      </c>
      <c r="M1013" s="12" t="s">
        <v>8589</v>
      </c>
      <c r="N1013" s="12" t="str">
        <f t="shared" si="192"/>
        <v>1821</v>
      </c>
      <c r="O1013" s="12" t="str">
        <f t="shared" si="193"/>
        <v>1821</v>
      </c>
      <c r="Q1013" s="12" t="str">
        <f t="shared" si="188"/>
        <v>1821</v>
      </c>
      <c r="S1013" s="12" t="str">
        <f t="shared" si="189"/>
        <v/>
      </c>
      <c r="T1013" s="12" t="s">
        <v>366</v>
      </c>
      <c r="U1013" s="12" t="s">
        <v>3354</v>
      </c>
      <c r="V1013" s="12" t="str">
        <f t="shared" si="190"/>
        <v>1838</v>
      </c>
      <c r="W1013" s="12" t="s">
        <v>2581</v>
      </c>
      <c r="X1013" s="12" t="s">
        <v>5129</v>
      </c>
      <c r="AF1013" s="12"/>
      <c r="AG1013" s="12" t="s">
        <v>8590</v>
      </c>
      <c r="AH1013" s="12" t="s">
        <v>8407</v>
      </c>
      <c r="AI1013" s="12" t="str">
        <f t="shared" si="191"/>
        <v>1843</v>
      </c>
      <c r="AJ1013" s="12" t="s">
        <v>7364</v>
      </c>
      <c r="AK1013" s="12" t="s">
        <v>8587</v>
      </c>
    </row>
    <row r="1014" spans="1:59">
      <c r="A1014" s="14" t="s">
        <v>8453</v>
      </c>
      <c r="B1014" s="12" t="str">
        <f t="shared" ref="B1014:B1077" si="195">SUBSTITUTE(A1014," ","")</f>
        <v>LUDICK</v>
      </c>
      <c r="C1014" s="12" t="str">
        <f t="shared" ref="C1014:C1077" si="196">TRIM(A1014)</f>
        <v>LUDICK</v>
      </c>
      <c r="D1014" s="12" t="s">
        <v>8454</v>
      </c>
      <c r="E1014" s="12" t="str">
        <f t="shared" si="194"/>
        <v>Jeremias Cornelis Jacobus</v>
      </c>
      <c r="F1014" s="12" t="s">
        <v>7942</v>
      </c>
      <c r="G1014" s="12" t="str">
        <f t="shared" ref="G1014:G1077" si="197">IF(LEFT(F1014,1)="b","a1"&amp;F1014,F1014)</f>
        <v>a1b8c4</v>
      </c>
      <c r="H1014" s="12" t="str">
        <f t="shared" ref="H1014:H1077" si="198">C1014&amp;G1014</f>
        <v>LUDICKa1b8c4</v>
      </c>
      <c r="J1014" s="12" t="s">
        <v>8585</v>
      </c>
      <c r="K1014" s="12" t="str">
        <f t="shared" ref="K1014:K1077" si="199">RIGHT(J1014,4)</f>
        <v>1820</v>
      </c>
      <c r="L1014" s="12" t="s">
        <v>366</v>
      </c>
      <c r="M1014" s="12" t="s">
        <v>5015</v>
      </c>
      <c r="N1014" s="12" t="str">
        <f t="shared" si="192"/>
        <v>1820</v>
      </c>
      <c r="O1014" s="12" t="str">
        <f t="shared" si="193"/>
        <v>1821</v>
      </c>
      <c r="Q1014" s="12" t="str">
        <f t="shared" ref="Q1014:Q1077" si="200">IF(N1014="",O1014,N1014)</f>
        <v>1820</v>
      </c>
      <c r="S1014" s="12" t="str">
        <f t="shared" ref="S1014:S1077" si="201">RIGHT(R1014,4)</f>
        <v/>
      </c>
      <c r="V1014" s="12" t="str">
        <f t="shared" ref="V1014:V1077" si="202">RIGHT(U1014,4)</f>
        <v/>
      </c>
      <c r="W1014" s="2" t="s">
        <v>8586</v>
      </c>
      <c r="X1014" s="2" t="s">
        <v>1997</v>
      </c>
      <c r="AF1014" s="12"/>
      <c r="AG1014" s="12" t="s">
        <v>366</v>
      </c>
      <c r="AH1014" s="12" t="s">
        <v>8111</v>
      </c>
      <c r="AI1014" s="12" t="str">
        <f t="shared" ref="AI1014:AI1077" si="203">RIGHT(AH1014,4)</f>
        <v>1844</v>
      </c>
      <c r="AJ1014" s="12" t="s">
        <v>7468</v>
      </c>
      <c r="AK1014" s="12" t="s">
        <v>8587</v>
      </c>
    </row>
    <row r="1015" spans="1:59">
      <c r="A1015" s="14" t="s">
        <v>8456</v>
      </c>
      <c r="B1015" s="12" t="str">
        <f t="shared" si="195"/>
        <v>LUUZ</v>
      </c>
      <c r="C1015" s="12" t="str">
        <f t="shared" si="196"/>
        <v>LUUZ</v>
      </c>
      <c r="D1015" s="12" t="s">
        <v>8458</v>
      </c>
      <c r="E1015" s="12" t="str">
        <f t="shared" si="194"/>
        <v>Diederik Daniel</v>
      </c>
      <c r="F1015" s="12" t="s">
        <v>3316</v>
      </c>
      <c r="G1015" s="12" t="str">
        <f t="shared" si="197"/>
        <v>a1b4</v>
      </c>
      <c r="H1015" s="12" t="str">
        <f t="shared" si="198"/>
        <v>LUUZa1b4</v>
      </c>
      <c r="I1015" s="12"/>
      <c r="J1015" s="2" t="s">
        <v>8598</v>
      </c>
      <c r="K1015" s="12" t="str">
        <f t="shared" si="199"/>
        <v>1809</v>
      </c>
      <c r="L1015" s="2" t="s">
        <v>32</v>
      </c>
      <c r="M1015" s="12" t="s">
        <v>7626</v>
      </c>
      <c r="N1015" s="12" t="str">
        <f t="shared" si="192"/>
        <v>1809</v>
      </c>
      <c r="O1015" s="12" t="str">
        <f t="shared" si="193"/>
        <v>1809</v>
      </c>
      <c r="Q1015" s="12" t="str">
        <f t="shared" si="200"/>
        <v>1809</v>
      </c>
      <c r="S1015" s="12" t="str">
        <f t="shared" si="201"/>
        <v/>
      </c>
      <c r="T1015" s="12"/>
      <c r="V1015" s="12" t="str">
        <f t="shared" si="202"/>
        <v/>
      </c>
      <c r="W1015" s="12" t="s">
        <v>8599</v>
      </c>
      <c r="X1015" s="2" t="s">
        <v>631</v>
      </c>
      <c r="AF1015" s="12" t="s">
        <v>8371</v>
      </c>
      <c r="AG1015" s="12" t="s">
        <v>68</v>
      </c>
      <c r="AH1015" s="12" t="s">
        <v>5471</v>
      </c>
      <c r="AI1015" s="12" t="str">
        <f t="shared" si="203"/>
        <v>1842</v>
      </c>
      <c r="AJ1015" s="2" t="s">
        <v>8595</v>
      </c>
      <c r="AK1015" s="12" t="s">
        <v>551</v>
      </c>
      <c r="AL1015" s="2" t="s">
        <v>53</v>
      </c>
      <c r="AM1015" s="2" t="s">
        <v>8600</v>
      </c>
      <c r="AN1015" s="2" t="s">
        <v>8601</v>
      </c>
      <c r="AO1015" s="2" t="s">
        <v>2153</v>
      </c>
      <c r="AR1015" s="2" t="s">
        <v>4361</v>
      </c>
      <c r="AU1015" s="2" t="s">
        <v>8602</v>
      </c>
      <c r="AV1015" s="2" t="s">
        <v>8603</v>
      </c>
    </row>
    <row r="1016" spans="1:59">
      <c r="A1016" s="14" t="s">
        <v>8456</v>
      </c>
      <c r="B1016" s="12" t="str">
        <f t="shared" si="195"/>
        <v>LUUZ</v>
      </c>
      <c r="C1016" s="12" t="str">
        <f t="shared" si="196"/>
        <v>LUUZ</v>
      </c>
      <c r="D1016" s="12" t="s">
        <v>8459</v>
      </c>
      <c r="E1016" s="12" t="str">
        <f t="shared" si="194"/>
        <v>Gerhardus (Gerrit)</v>
      </c>
      <c r="F1016" s="12" t="s">
        <v>4055</v>
      </c>
      <c r="G1016" s="12" t="str">
        <f t="shared" si="197"/>
        <v>a1b5</v>
      </c>
      <c r="H1016" s="12" t="str">
        <f t="shared" si="198"/>
        <v>LUUZa1b5</v>
      </c>
      <c r="I1016" s="2" t="s">
        <v>8604</v>
      </c>
      <c r="J1016" s="12" t="s">
        <v>8605</v>
      </c>
      <c r="K1016" s="12" t="str">
        <f t="shared" si="199"/>
        <v>1813</v>
      </c>
      <c r="L1016" s="12"/>
      <c r="M1016" s="12"/>
      <c r="N1016" s="12" t="str">
        <f t="shared" si="192"/>
        <v>1813</v>
      </c>
      <c r="O1016" s="12" t="str">
        <f t="shared" si="193"/>
        <v/>
      </c>
      <c r="P1016" s="12" t="s">
        <v>8606</v>
      </c>
      <c r="Q1016" s="12" t="str">
        <f t="shared" si="200"/>
        <v>1813</v>
      </c>
      <c r="R1016" s="12"/>
      <c r="S1016" s="12" t="str">
        <f t="shared" si="201"/>
        <v/>
      </c>
      <c r="T1016" s="12" t="s">
        <v>53</v>
      </c>
      <c r="U1016" s="12" t="s">
        <v>8607</v>
      </c>
      <c r="V1016" s="12" t="str">
        <f t="shared" si="202"/>
        <v>1834</v>
      </c>
      <c r="W1016" s="12" t="s">
        <v>8608</v>
      </c>
      <c r="X1016" s="12" t="s">
        <v>1586</v>
      </c>
      <c r="Y1016" s="12"/>
      <c r="AA1016" s="12"/>
      <c r="AB1016" s="12"/>
      <c r="AC1016" s="12"/>
      <c r="AD1016" s="12"/>
      <c r="AE1016" s="12"/>
      <c r="AF1016" s="12" t="s">
        <v>16</v>
      </c>
      <c r="AG1016" s="12" t="s">
        <v>28</v>
      </c>
      <c r="AH1016" s="12" t="s">
        <v>8609</v>
      </c>
      <c r="AI1016" s="12" t="str">
        <f t="shared" si="203"/>
        <v>1842</v>
      </c>
      <c r="AJ1016" s="2" t="s">
        <v>7468</v>
      </c>
      <c r="AK1016" s="12" t="s">
        <v>551</v>
      </c>
      <c r="AN1016" s="12" t="s">
        <v>1674</v>
      </c>
      <c r="AO1016" s="12" t="s">
        <v>697</v>
      </c>
      <c r="AY1016" s="2" t="s">
        <v>8610</v>
      </c>
      <c r="AZ1016" s="2" t="s">
        <v>8611</v>
      </c>
    </row>
    <row r="1017" spans="1:59">
      <c r="A1017" s="14" t="s">
        <v>8456</v>
      </c>
      <c r="B1017" s="12" t="str">
        <f t="shared" si="195"/>
        <v>LUUZ</v>
      </c>
      <c r="C1017" s="12" t="str">
        <f t="shared" si="196"/>
        <v>LUUZ</v>
      </c>
      <c r="D1017" s="12" t="s">
        <v>8457</v>
      </c>
      <c r="E1017" s="12" t="str">
        <f t="shared" si="194"/>
        <v xml:space="preserve">Albertus Johannes </v>
      </c>
      <c r="F1017" s="12" t="s">
        <v>2482</v>
      </c>
      <c r="G1017" s="12" t="str">
        <f t="shared" si="197"/>
        <v>a1b6</v>
      </c>
      <c r="H1017" s="12" t="str">
        <f t="shared" si="198"/>
        <v>LUUZa1b6</v>
      </c>
      <c r="J1017" s="12" t="s">
        <v>8591</v>
      </c>
      <c r="K1017" s="12" t="str">
        <f t="shared" si="199"/>
        <v>1815</v>
      </c>
      <c r="L1017" s="12" t="s">
        <v>199</v>
      </c>
      <c r="M1017" s="12" t="s">
        <v>8592</v>
      </c>
      <c r="N1017" s="12" t="str">
        <f t="shared" si="192"/>
        <v>1815</v>
      </c>
      <c r="O1017" s="12" t="str">
        <f t="shared" si="193"/>
        <v>1815</v>
      </c>
      <c r="Q1017" s="12" t="str">
        <f t="shared" si="200"/>
        <v>1815</v>
      </c>
      <c r="S1017" s="12" t="str">
        <f t="shared" si="201"/>
        <v/>
      </c>
      <c r="T1017" s="12" t="s">
        <v>53</v>
      </c>
      <c r="U1017" s="12" t="s">
        <v>4385</v>
      </c>
      <c r="V1017" s="12" t="str">
        <f t="shared" si="202"/>
        <v>1836</v>
      </c>
      <c r="W1017" s="12" t="s">
        <v>4106</v>
      </c>
      <c r="X1017" s="12" t="s">
        <v>8593</v>
      </c>
      <c r="AF1017" s="12"/>
      <c r="AG1017" s="12" t="s">
        <v>28</v>
      </c>
      <c r="AH1017" s="12" t="s">
        <v>8594</v>
      </c>
      <c r="AI1017" s="12" t="str">
        <f t="shared" si="203"/>
        <v>1842</v>
      </c>
      <c r="AJ1017" s="12" t="s">
        <v>8595</v>
      </c>
      <c r="AK1017" s="12" t="s">
        <v>190</v>
      </c>
      <c r="AL1017" s="2" t="s">
        <v>53</v>
      </c>
      <c r="AM1017" s="2" t="s">
        <v>8596</v>
      </c>
      <c r="AN1017" s="2" t="s">
        <v>8597</v>
      </c>
      <c r="AO1017" s="2" t="s">
        <v>8593</v>
      </c>
      <c r="AY1017" s="2" t="s">
        <v>7453</v>
      </c>
      <c r="AZ1017" s="2" t="s">
        <v>670</v>
      </c>
    </row>
    <row r="1018" spans="1:59">
      <c r="A1018" s="14" t="s">
        <v>8456</v>
      </c>
      <c r="B1018" s="12" t="str">
        <f t="shared" si="195"/>
        <v>LUUZ</v>
      </c>
      <c r="C1018" s="12" t="str">
        <f t="shared" si="196"/>
        <v>LUUZ</v>
      </c>
      <c r="D1018" s="12" t="s">
        <v>8460</v>
      </c>
      <c r="E1018" s="12" t="str">
        <f t="shared" si="194"/>
        <v>Jacobus Hendrik Frederik</v>
      </c>
      <c r="F1018" s="12" t="s">
        <v>1921</v>
      </c>
      <c r="G1018" s="12" t="str">
        <f t="shared" si="197"/>
        <v>a1b9</v>
      </c>
      <c r="H1018" s="12" t="str">
        <f t="shared" si="198"/>
        <v>LUUZa1b9</v>
      </c>
      <c r="J1018" s="12" t="s">
        <v>8612</v>
      </c>
      <c r="K1018" s="12" t="str">
        <f t="shared" si="199"/>
        <v>1823</v>
      </c>
      <c r="L1018" s="12" t="s">
        <v>199</v>
      </c>
      <c r="M1018" s="12" t="s">
        <v>8613</v>
      </c>
      <c r="N1018" s="12" t="str">
        <f t="shared" si="192"/>
        <v>1823</v>
      </c>
      <c r="O1018" s="12" t="str">
        <f t="shared" si="193"/>
        <v>1823</v>
      </c>
      <c r="P1018" s="2" t="s">
        <v>190</v>
      </c>
      <c r="Q1018" s="12" t="str">
        <f t="shared" si="200"/>
        <v>1823</v>
      </c>
      <c r="R1018" s="2" t="s">
        <v>8614</v>
      </c>
      <c r="S1018" s="12" t="str">
        <f t="shared" si="201"/>
        <v>1875</v>
      </c>
      <c r="T1018" s="12"/>
      <c r="U1018" s="12"/>
      <c r="V1018" s="12" t="str">
        <f t="shared" si="202"/>
        <v/>
      </c>
      <c r="W1018" s="12" t="s">
        <v>4106</v>
      </c>
      <c r="X1018" s="12" t="s">
        <v>697</v>
      </c>
      <c r="Y1018" s="12"/>
      <c r="AC1018" s="12"/>
      <c r="AF1018" s="12"/>
      <c r="AG1018" s="12" t="s">
        <v>8615</v>
      </c>
      <c r="AH1018" s="12" t="s">
        <v>5471</v>
      </c>
      <c r="AI1018" s="12" t="str">
        <f t="shared" si="203"/>
        <v>1842</v>
      </c>
      <c r="AJ1018" s="12" t="s">
        <v>551</v>
      </c>
      <c r="AK1018" s="12" t="s">
        <v>7468</v>
      </c>
    </row>
    <row r="1019" spans="1:59">
      <c r="A1019" s="12" t="s">
        <v>7387</v>
      </c>
      <c r="B1019" s="12" t="str">
        <f t="shared" si="195"/>
        <v>MAARTENS</v>
      </c>
      <c r="C1019" s="12" t="str">
        <f t="shared" si="196"/>
        <v>MAARTENS</v>
      </c>
      <c r="D1019" s="12" t="s">
        <v>10272</v>
      </c>
      <c r="E1019" s="12" t="str">
        <f t="shared" si="194"/>
        <v>Jan Thomas</v>
      </c>
      <c r="F1019" s="2" t="s">
        <v>10273</v>
      </c>
      <c r="G1019" s="12" t="str">
        <f t="shared" si="197"/>
        <v>a6b1c6</v>
      </c>
      <c r="H1019" s="12" t="str">
        <f t="shared" si="198"/>
        <v>MAARTENSa6b1c6</v>
      </c>
      <c r="K1019" s="12" t="str">
        <f t="shared" si="199"/>
        <v/>
      </c>
      <c r="M1019" s="2" t="s">
        <v>10274</v>
      </c>
      <c r="N1019" s="12" t="str">
        <f t="shared" si="192"/>
        <v/>
      </c>
      <c r="O1019" s="12" t="str">
        <f t="shared" si="193"/>
        <v>1800</v>
      </c>
      <c r="P1019" s="12" t="s">
        <v>90</v>
      </c>
      <c r="Q1019" s="12" t="str">
        <f t="shared" si="200"/>
        <v>1800</v>
      </c>
      <c r="R1019" s="12" t="s">
        <v>10275</v>
      </c>
      <c r="S1019" s="12" t="str">
        <f t="shared" si="201"/>
        <v>1877</v>
      </c>
      <c r="T1019" s="2" t="s">
        <v>74</v>
      </c>
      <c r="U1019" s="2" t="s">
        <v>10276</v>
      </c>
      <c r="V1019" s="12" t="str">
        <f t="shared" si="202"/>
        <v>1823</v>
      </c>
      <c r="W1019" s="2" t="s">
        <v>10277</v>
      </c>
      <c r="X1019" s="2" t="s">
        <v>1985</v>
      </c>
      <c r="Y1019" s="2" t="s">
        <v>10278</v>
      </c>
      <c r="AC1019" s="2" t="s">
        <v>10279</v>
      </c>
      <c r="AD1019" s="2" t="s">
        <v>90</v>
      </c>
      <c r="AE1019" s="2" t="s">
        <v>10280</v>
      </c>
      <c r="AF1019" s="12" t="s">
        <v>3714</v>
      </c>
      <c r="AG1019" s="12" t="s">
        <v>68</v>
      </c>
      <c r="AH1019" s="12" t="s">
        <v>10281</v>
      </c>
      <c r="AI1019" s="12" t="str">
        <f t="shared" si="203"/>
        <v>1841</v>
      </c>
      <c r="AK1019" s="12"/>
    </row>
    <row r="1020" spans="1:59">
      <c r="A1020" s="12" t="s">
        <v>7387</v>
      </c>
      <c r="B1020" s="12" t="str">
        <f t="shared" si="195"/>
        <v>MAARTENS</v>
      </c>
      <c r="C1020" s="12" t="str">
        <f t="shared" si="196"/>
        <v>MAARTENS</v>
      </c>
      <c r="D1020" s="12" t="s">
        <v>139</v>
      </c>
      <c r="E1020" s="12" t="str">
        <f t="shared" si="194"/>
        <v>Hendrik Jacobus</v>
      </c>
      <c r="F1020" s="12" t="s">
        <v>10266</v>
      </c>
      <c r="G1020" s="12" t="str">
        <f t="shared" si="197"/>
        <v>a6b1c7</v>
      </c>
      <c r="H1020" s="12" t="str">
        <f t="shared" si="198"/>
        <v>MAARTENSa6b1c7</v>
      </c>
      <c r="J1020" s="12"/>
      <c r="K1020" s="12" t="str">
        <f t="shared" si="199"/>
        <v/>
      </c>
      <c r="L1020" s="12"/>
      <c r="M1020" s="12" t="s">
        <v>10267</v>
      </c>
      <c r="N1020" s="12" t="str">
        <f t="shared" si="192"/>
        <v/>
      </c>
      <c r="O1020" s="12" t="str">
        <f t="shared" si="193"/>
        <v>1802</v>
      </c>
      <c r="Q1020" s="12" t="str">
        <f t="shared" si="200"/>
        <v>1802</v>
      </c>
      <c r="S1020" s="12" t="str">
        <f t="shared" si="201"/>
        <v/>
      </c>
      <c r="T1020" s="12" t="s">
        <v>74</v>
      </c>
      <c r="U1020" s="12" t="s">
        <v>10268</v>
      </c>
      <c r="V1020" s="12" t="str">
        <f t="shared" si="202"/>
        <v>1832</v>
      </c>
      <c r="W1020" s="12" t="s">
        <v>10269</v>
      </c>
      <c r="X1020" s="12" t="s">
        <v>788</v>
      </c>
      <c r="Y1020" s="12" t="s">
        <v>10270</v>
      </c>
      <c r="AC1020" s="2" t="s">
        <v>4609</v>
      </c>
      <c r="AG1020" s="12" t="s">
        <v>10271</v>
      </c>
      <c r="AH1020" s="12"/>
      <c r="AI1020" s="12" t="str">
        <f t="shared" si="203"/>
        <v/>
      </c>
      <c r="AJ1020" s="12"/>
      <c r="AK1020" s="12"/>
      <c r="AM1020" s="12"/>
      <c r="AN1020" s="12"/>
      <c r="AO1020" s="12"/>
    </row>
    <row r="1021" spans="1:59">
      <c r="A1021" s="12" t="s">
        <v>8890</v>
      </c>
      <c r="B1021" s="12" t="str">
        <f t="shared" si="195"/>
        <v>MALAN</v>
      </c>
      <c r="C1021" s="12" t="str">
        <f t="shared" si="196"/>
        <v>MALAN</v>
      </c>
      <c r="D1021" s="12" t="s">
        <v>10336</v>
      </c>
      <c r="E1021" s="12" t="str">
        <f t="shared" si="194"/>
        <v>J.S.(Johannes Stephanus)</v>
      </c>
      <c r="F1021" s="12" t="s">
        <v>10337</v>
      </c>
      <c r="G1021" s="12" t="str">
        <f t="shared" si="197"/>
        <v>a1b6c4d1e3(?)</v>
      </c>
      <c r="H1021" s="12" t="str">
        <f t="shared" si="198"/>
        <v>MALANa1b6c4d1e3(?)</v>
      </c>
      <c r="J1021" s="12"/>
      <c r="K1021" s="12" t="str">
        <f t="shared" si="199"/>
        <v/>
      </c>
      <c r="L1021" s="12"/>
      <c r="M1021" s="12" t="s">
        <v>10338</v>
      </c>
      <c r="N1021" s="12" t="str">
        <f t="shared" si="192"/>
        <v/>
      </c>
      <c r="O1021" s="12" t="str">
        <f t="shared" si="193"/>
        <v>1794</v>
      </c>
      <c r="P1021" s="12"/>
      <c r="Q1021" s="12" t="str">
        <f t="shared" si="200"/>
        <v>1794</v>
      </c>
      <c r="R1021" s="12"/>
      <c r="S1021" s="12" t="str">
        <f t="shared" si="201"/>
        <v/>
      </c>
      <c r="T1021" s="12"/>
      <c r="U1021" s="12"/>
      <c r="V1021" s="12" t="str">
        <f t="shared" si="202"/>
        <v/>
      </c>
      <c r="W1021" s="12" t="s">
        <v>10339</v>
      </c>
      <c r="X1021" s="12" t="s">
        <v>10340</v>
      </c>
      <c r="AA1021" s="12"/>
      <c r="AB1021" s="12"/>
      <c r="AC1021" s="12"/>
      <c r="AG1021" s="12"/>
      <c r="AH1021" s="12"/>
      <c r="AI1021" s="12" t="str">
        <f t="shared" si="203"/>
        <v/>
      </c>
      <c r="AL1021" s="12"/>
      <c r="AM1021" s="12"/>
      <c r="AN1021" s="12"/>
      <c r="AO1021" s="12"/>
    </row>
    <row r="1022" spans="1:59">
      <c r="A1022" s="12" t="s">
        <v>8890</v>
      </c>
      <c r="B1022" s="12" t="str">
        <f t="shared" si="195"/>
        <v>MALAN</v>
      </c>
      <c r="C1022" s="12" t="str">
        <f t="shared" si="196"/>
        <v>MALAN</v>
      </c>
      <c r="D1022" s="12" t="s">
        <v>10327</v>
      </c>
      <c r="E1022" s="12" t="str">
        <f t="shared" si="194"/>
        <v>Jacobus Sr</v>
      </c>
      <c r="F1022" s="12" t="s">
        <v>3602</v>
      </c>
      <c r="G1022" s="12" t="str">
        <f t="shared" si="197"/>
        <v>a1b6c5d7</v>
      </c>
      <c r="H1022" s="12" t="str">
        <f t="shared" si="198"/>
        <v>MALANa1b6c5d7</v>
      </c>
      <c r="J1022" s="12"/>
      <c r="K1022" s="12" t="str">
        <f t="shared" si="199"/>
        <v/>
      </c>
      <c r="L1022" s="12"/>
      <c r="M1022" s="12" t="s">
        <v>10328</v>
      </c>
      <c r="N1022" s="12" t="str">
        <f t="shared" si="192"/>
        <v/>
      </c>
      <c r="O1022" s="12" t="str">
        <f t="shared" si="193"/>
        <v>1787</v>
      </c>
      <c r="P1022" s="2" t="s">
        <v>10312</v>
      </c>
      <c r="Q1022" s="12" t="str">
        <f t="shared" si="200"/>
        <v>1787</v>
      </c>
      <c r="R1022" s="2" t="s">
        <v>10313</v>
      </c>
      <c r="S1022" s="12" t="str">
        <f t="shared" si="201"/>
        <v>1838</v>
      </c>
      <c r="T1022" s="12"/>
      <c r="U1022" s="12">
        <v>1817</v>
      </c>
      <c r="V1022" s="12" t="str">
        <f t="shared" si="202"/>
        <v>1817</v>
      </c>
      <c r="W1022" s="12" t="s">
        <v>10329</v>
      </c>
      <c r="X1022" s="12" t="s">
        <v>640</v>
      </c>
      <c r="Y1022" s="2" t="s">
        <v>10330</v>
      </c>
      <c r="AC1022" s="2" t="s">
        <v>10331</v>
      </c>
      <c r="AF1022" s="2" t="s">
        <v>10301</v>
      </c>
      <c r="AG1022" s="12" t="s">
        <v>68</v>
      </c>
      <c r="AH1022" s="12" t="s">
        <v>1631</v>
      </c>
      <c r="AI1022" s="12" t="str">
        <f t="shared" si="203"/>
        <v>1836</v>
      </c>
      <c r="AJ1022" s="12" t="s">
        <v>10303</v>
      </c>
      <c r="AK1022" s="12"/>
      <c r="AL1022" s="2" t="s">
        <v>258</v>
      </c>
      <c r="AM1022" s="2" t="s">
        <v>10332</v>
      </c>
      <c r="AN1022" s="2" t="s">
        <v>1387</v>
      </c>
      <c r="AO1022" s="2" t="s">
        <v>2901</v>
      </c>
    </row>
    <row r="1023" spans="1:59">
      <c r="A1023" s="12" t="s">
        <v>8890</v>
      </c>
      <c r="B1023" s="12" t="str">
        <f t="shared" si="195"/>
        <v>MALAN</v>
      </c>
      <c r="C1023" s="12" t="str">
        <f t="shared" si="196"/>
        <v>MALAN</v>
      </c>
      <c r="D1023" s="12" t="s">
        <v>10309</v>
      </c>
      <c r="E1023" s="12" t="str">
        <f t="shared" si="194"/>
        <v>David Eduard (Jacous Seun)</v>
      </c>
      <c r="F1023" s="12" t="s">
        <v>10310</v>
      </c>
      <c r="G1023" s="12" t="str">
        <f t="shared" si="197"/>
        <v>a1b6c5d7e2</v>
      </c>
      <c r="H1023" s="12" t="str">
        <f t="shared" si="198"/>
        <v>MALANa1b6c5d7e2</v>
      </c>
      <c r="I1023" s="12"/>
      <c r="J1023" s="12" t="s">
        <v>10311</v>
      </c>
      <c r="K1023" s="12" t="str">
        <f t="shared" si="199"/>
        <v>1816</v>
      </c>
      <c r="L1023" s="12"/>
      <c r="M1023" s="12"/>
      <c r="N1023" s="12" t="str">
        <f t="shared" si="192"/>
        <v>1816</v>
      </c>
      <c r="O1023" s="12" t="str">
        <f t="shared" si="193"/>
        <v/>
      </c>
      <c r="P1023" s="12" t="s">
        <v>10312</v>
      </c>
      <c r="Q1023" s="12" t="str">
        <f t="shared" si="200"/>
        <v>1816</v>
      </c>
      <c r="R1023" s="12" t="s">
        <v>10313</v>
      </c>
      <c r="S1023" s="12" t="str">
        <f t="shared" si="201"/>
        <v>1838</v>
      </c>
      <c r="T1023" s="12"/>
      <c r="U1023" s="12"/>
      <c r="V1023" s="12" t="str">
        <f t="shared" si="202"/>
        <v/>
      </c>
      <c r="W1023" s="12"/>
      <c r="X1023" s="12"/>
      <c r="Y1023" s="12"/>
      <c r="AA1023" s="12"/>
      <c r="AB1023" s="12"/>
      <c r="AC1023" s="12"/>
      <c r="AD1023" s="12"/>
      <c r="AE1023" s="12"/>
      <c r="AF1023" s="12" t="s">
        <v>10301</v>
      </c>
      <c r="AG1023" s="12" t="s">
        <v>68</v>
      </c>
      <c r="AH1023" s="12" t="s">
        <v>1631</v>
      </c>
      <c r="AI1023" s="12" t="str">
        <f t="shared" si="203"/>
        <v>1836</v>
      </c>
      <c r="AJ1023" s="12" t="s">
        <v>10303</v>
      </c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</row>
    <row r="1024" spans="1:59">
      <c r="A1024" s="12" t="s">
        <v>8890</v>
      </c>
      <c r="B1024" s="12" t="str">
        <f t="shared" si="195"/>
        <v>MALAN</v>
      </c>
      <c r="C1024" s="12" t="str">
        <f t="shared" si="196"/>
        <v>MALAN</v>
      </c>
      <c r="D1024" s="12" t="s">
        <v>10294</v>
      </c>
      <c r="E1024" s="12" t="str">
        <f t="shared" si="194"/>
        <v>Daniël Jacobus Johannes (Jacobus Seun)</v>
      </c>
      <c r="F1024" s="12" t="s">
        <v>10295</v>
      </c>
      <c r="G1024" s="12" t="str">
        <f t="shared" si="197"/>
        <v>a1b6c5d7e4</v>
      </c>
      <c r="H1024" s="12" t="str">
        <f t="shared" si="198"/>
        <v>MALANa1b6c5d7e4</v>
      </c>
      <c r="I1024" s="12"/>
      <c r="J1024" s="12" t="s">
        <v>10296</v>
      </c>
      <c r="K1024" s="12" t="str">
        <f t="shared" si="199"/>
        <v>1821</v>
      </c>
      <c r="L1024" s="12"/>
      <c r="M1024" s="12"/>
      <c r="N1024" s="12" t="str">
        <f t="shared" si="192"/>
        <v>1821</v>
      </c>
      <c r="O1024" s="12" t="str">
        <f t="shared" si="193"/>
        <v/>
      </c>
      <c r="P1024" s="12"/>
      <c r="Q1024" s="12" t="str">
        <f t="shared" si="200"/>
        <v>1821</v>
      </c>
      <c r="R1024" s="12"/>
      <c r="S1024" s="12" t="str">
        <f t="shared" si="201"/>
        <v/>
      </c>
      <c r="T1024" s="12" t="s">
        <v>90</v>
      </c>
      <c r="U1024" s="12" t="s">
        <v>10297</v>
      </c>
      <c r="V1024" s="12" t="str">
        <f t="shared" si="202"/>
        <v>1845</v>
      </c>
      <c r="W1024" s="12" t="s">
        <v>10298</v>
      </c>
      <c r="X1024" s="12" t="s">
        <v>822</v>
      </c>
      <c r="Y1024" s="12" t="s">
        <v>10299</v>
      </c>
      <c r="Z1024" s="12"/>
      <c r="AA1024" s="12" t="s">
        <v>10300</v>
      </c>
      <c r="AB1024" s="12"/>
      <c r="AC1024" s="12"/>
      <c r="AD1024" s="12"/>
      <c r="AE1024" s="12"/>
      <c r="AF1024" s="12" t="s">
        <v>10301</v>
      </c>
      <c r="AG1024" s="12" t="s">
        <v>68</v>
      </c>
      <c r="AH1024" s="12" t="s">
        <v>10302</v>
      </c>
      <c r="AI1024" s="12" t="str">
        <f t="shared" si="203"/>
        <v>1836</v>
      </c>
      <c r="AJ1024" s="12" t="s">
        <v>10303</v>
      </c>
      <c r="AK1024" s="12" t="s">
        <v>90</v>
      </c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</row>
    <row r="1025" spans="1:59">
      <c r="A1025" s="12" t="s">
        <v>8890</v>
      </c>
      <c r="B1025" s="12" t="str">
        <f t="shared" si="195"/>
        <v>MALAN</v>
      </c>
      <c r="C1025" s="12" t="str">
        <f t="shared" si="196"/>
        <v>MALAN</v>
      </c>
      <c r="D1025" s="12" t="s">
        <v>10314</v>
      </c>
      <c r="E1025" s="12" t="str">
        <f t="shared" si="194"/>
        <v>Hercules Philippus</v>
      </c>
      <c r="F1025" s="12" t="s">
        <v>10315</v>
      </c>
      <c r="G1025" s="12" t="str">
        <f t="shared" si="197"/>
        <v>a1b6c5d9</v>
      </c>
      <c r="H1025" s="12" t="str">
        <f t="shared" si="198"/>
        <v>MALANa1b6c5d9</v>
      </c>
      <c r="I1025" s="12"/>
      <c r="J1025" s="12"/>
      <c r="K1025" s="12" t="str">
        <f t="shared" si="199"/>
        <v/>
      </c>
      <c r="L1025" s="12"/>
      <c r="M1025" s="9" t="s">
        <v>1467</v>
      </c>
      <c r="N1025" s="12" t="str">
        <f t="shared" si="192"/>
        <v/>
      </c>
      <c r="O1025" s="12" t="str">
        <f t="shared" si="193"/>
        <v>1792</v>
      </c>
      <c r="P1025" s="12" t="s">
        <v>71</v>
      </c>
      <c r="Q1025" s="12" t="str">
        <f t="shared" si="200"/>
        <v>1792</v>
      </c>
      <c r="R1025" s="12" t="s">
        <v>6764</v>
      </c>
      <c r="S1025" s="12" t="str">
        <f t="shared" si="201"/>
        <v>1838</v>
      </c>
      <c r="T1025" s="12"/>
      <c r="U1025" s="12"/>
      <c r="V1025" s="12" t="str">
        <f t="shared" si="202"/>
        <v/>
      </c>
      <c r="W1025" s="12" t="s">
        <v>1387</v>
      </c>
      <c r="X1025" s="12" t="s">
        <v>1612</v>
      </c>
      <c r="Y1025" s="12"/>
      <c r="Z1025" s="12"/>
      <c r="AA1025" s="12"/>
      <c r="AB1025" s="12"/>
      <c r="AC1025" s="12"/>
      <c r="AD1025" s="12"/>
      <c r="AE1025" s="12"/>
      <c r="AF1025" s="12" t="s">
        <v>3728</v>
      </c>
      <c r="AG1025" s="12"/>
      <c r="AH1025" s="12" t="s">
        <v>1631</v>
      </c>
      <c r="AI1025" s="12" t="str">
        <f t="shared" si="203"/>
        <v>1836</v>
      </c>
      <c r="AJ1025" s="12" t="s">
        <v>10316</v>
      </c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</row>
    <row r="1026" spans="1:59">
      <c r="A1026" s="12" t="s">
        <v>8890</v>
      </c>
      <c r="B1026" s="12" t="str">
        <f t="shared" si="195"/>
        <v>MALAN</v>
      </c>
      <c r="C1026" s="12" t="str">
        <f t="shared" si="196"/>
        <v>MALAN</v>
      </c>
      <c r="D1026" s="12" t="s">
        <v>10304</v>
      </c>
      <c r="E1026" s="12" t="str">
        <f t="shared" si="194"/>
        <v>David Daniël</v>
      </c>
      <c r="F1026" s="12" t="s">
        <v>10305</v>
      </c>
      <c r="G1026" s="12" t="str">
        <f t="shared" si="197"/>
        <v>a1b6c5d9e1</v>
      </c>
      <c r="H1026" s="12" t="str">
        <f t="shared" si="198"/>
        <v>MALANa1b6c5d9e1</v>
      </c>
      <c r="I1026" s="12"/>
      <c r="J1026" s="12" t="s">
        <v>10306</v>
      </c>
      <c r="K1026" s="12" t="str">
        <f t="shared" si="199"/>
        <v>1816</v>
      </c>
      <c r="L1026" s="12"/>
      <c r="M1026" s="12"/>
      <c r="N1026" s="12" t="str">
        <f t="shared" ref="N1026:N1089" si="204">RIGHT(J1026,4)</f>
        <v>1816</v>
      </c>
      <c r="O1026" s="12" t="str">
        <f t="shared" ref="O1026:O1089" si="205">RIGHT(M1026,4)</f>
        <v/>
      </c>
      <c r="P1026" s="12"/>
      <c r="Q1026" s="12" t="str">
        <f t="shared" si="200"/>
        <v>1816</v>
      </c>
      <c r="R1026" s="12">
        <v>1900</v>
      </c>
      <c r="S1026" s="12" t="str">
        <f t="shared" si="201"/>
        <v>1900</v>
      </c>
      <c r="T1026" s="12"/>
      <c r="U1026" s="12"/>
      <c r="V1026" s="12" t="str">
        <f t="shared" si="202"/>
        <v/>
      </c>
      <c r="W1026" s="12" t="s">
        <v>10307</v>
      </c>
      <c r="X1026" s="12" t="s">
        <v>662</v>
      </c>
      <c r="Y1026" s="12"/>
      <c r="Z1026" s="12"/>
      <c r="AA1026" s="12" t="s">
        <v>10308</v>
      </c>
      <c r="AB1026" s="12"/>
      <c r="AC1026" s="12"/>
      <c r="AD1026" s="12"/>
      <c r="AE1026" s="12"/>
      <c r="AF1026" s="12" t="s">
        <v>3728</v>
      </c>
      <c r="AG1026" s="12"/>
      <c r="AH1026" s="12" t="s">
        <v>1631</v>
      </c>
      <c r="AI1026" s="12" t="str">
        <f t="shared" si="203"/>
        <v>1836</v>
      </c>
      <c r="AJ1026" s="12" t="s">
        <v>10303</v>
      </c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</row>
    <row r="1027" spans="1:59">
      <c r="A1027" s="12" t="s">
        <v>8890</v>
      </c>
      <c r="B1027" s="12" t="str">
        <f t="shared" si="195"/>
        <v>MALAN</v>
      </c>
      <c r="C1027" s="12" t="str">
        <f t="shared" si="196"/>
        <v>MALAN</v>
      </c>
      <c r="D1027" s="12" t="s">
        <v>10333</v>
      </c>
      <c r="E1027" s="12" t="str">
        <f t="shared" ref="E1027:E1090" si="206">PROPER(D1027)</f>
        <v>Johannes Augustinus(H.P. Seun)</v>
      </c>
      <c r="F1027" s="12" t="s">
        <v>10334</v>
      </c>
      <c r="G1027" s="12" t="str">
        <f t="shared" si="197"/>
        <v>a1b6c5d9e2</v>
      </c>
      <c r="H1027" s="12" t="str">
        <f t="shared" si="198"/>
        <v>MALANa1b6c5d9e2</v>
      </c>
      <c r="I1027" s="12"/>
      <c r="J1027" s="12" t="s">
        <v>10335</v>
      </c>
      <c r="K1027" s="12" t="str">
        <f t="shared" si="199"/>
        <v>1817</v>
      </c>
      <c r="L1027" s="12"/>
      <c r="M1027" s="12"/>
      <c r="N1027" s="12" t="str">
        <f t="shared" si="204"/>
        <v>1817</v>
      </c>
      <c r="O1027" s="12" t="str">
        <f t="shared" si="205"/>
        <v/>
      </c>
      <c r="P1027" s="12" t="s">
        <v>10312</v>
      </c>
      <c r="Q1027" s="12" t="str">
        <f t="shared" si="200"/>
        <v>1817</v>
      </c>
      <c r="R1027" s="12" t="s">
        <v>10313</v>
      </c>
      <c r="S1027" s="12" t="str">
        <f t="shared" si="201"/>
        <v>1838</v>
      </c>
      <c r="T1027" s="12"/>
      <c r="U1027" s="12"/>
      <c r="V1027" s="12" t="str">
        <f t="shared" si="202"/>
        <v/>
      </c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 t="s">
        <v>3728</v>
      </c>
      <c r="AG1027" s="12" t="s">
        <v>346</v>
      </c>
      <c r="AH1027" s="12" t="s">
        <v>1631</v>
      </c>
      <c r="AI1027" s="12" t="str">
        <f t="shared" si="203"/>
        <v>1836</v>
      </c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</row>
    <row r="1028" spans="1:59">
      <c r="A1028" s="12" t="s">
        <v>8890</v>
      </c>
      <c r="B1028" s="12" t="str">
        <f t="shared" si="195"/>
        <v>MALAN</v>
      </c>
      <c r="C1028" s="12" t="str">
        <f t="shared" si="196"/>
        <v>MALAN</v>
      </c>
      <c r="D1028" s="12" t="s">
        <v>10317</v>
      </c>
      <c r="E1028" s="12" t="str">
        <f t="shared" si="206"/>
        <v>Hercules Philippus Jr</v>
      </c>
      <c r="F1028" s="12" t="s">
        <v>10318</v>
      </c>
      <c r="G1028" s="12" t="str">
        <f t="shared" si="197"/>
        <v>a1b6c5d9e3</v>
      </c>
      <c r="H1028" s="12" t="str">
        <f t="shared" si="198"/>
        <v>MALANa1b6c5d9e3</v>
      </c>
      <c r="I1028" s="12"/>
      <c r="J1028" s="12" t="s">
        <v>10319</v>
      </c>
      <c r="K1028" s="12" t="str">
        <f t="shared" si="199"/>
        <v>1821</v>
      </c>
      <c r="L1028" s="12"/>
      <c r="M1028" s="12"/>
      <c r="N1028" s="12" t="str">
        <f t="shared" si="204"/>
        <v>1821</v>
      </c>
      <c r="O1028" s="12" t="str">
        <f t="shared" si="205"/>
        <v/>
      </c>
      <c r="P1028" s="12"/>
      <c r="Q1028" s="12" t="str">
        <f t="shared" si="200"/>
        <v>1821</v>
      </c>
      <c r="R1028" s="12"/>
      <c r="S1028" s="12" t="str">
        <f t="shared" si="201"/>
        <v/>
      </c>
      <c r="T1028" s="12" t="s">
        <v>28</v>
      </c>
      <c r="U1028" s="12" t="s">
        <v>10320</v>
      </c>
      <c r="V1028" s="12" t="str">
        <f t="shared" si="202"/>
        <v>1842</v>
      </c>
      <c r="W1028" s="12" t="s">
        <v>4106</v>
      </c>
      <c r="X1028" s="12" t="s">
        <v>1453</v>
      </c>
      <c r="Y1028" s="12"/>
      <c r="Z1028" s="12"/>
      <c r="AA1028" s="12"/>
      <c r="AB1028" s="12"/>
      <c r="AC1028" s="12"/>
      <c r="AD1028" s="12"/>
      <c r="AE1028" s="12"/>
      <c r="AF1028" s="12" t="s">
        <v>3728</v>
      </c>
      <c r="AG1028" s="12" t="s">
        <v>346</v>
      </c>
      <c r="AH1028" s="12" t="s">
        <v>1631</v>
      </c>
      <c r="AI1028" s="12" t="str">
        <f t="shared" si="203"/>
        <v>1836</v>
      </c>
      <c r="AJ1028" s="12" t="s">
        <v>10303</v>
      </c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</row>
    <row r="1029" spans="1:59">
      <c r="A1029" s="12" t="s">
        <v>8890</v>
      </c>
      <c r="B1029" s="12" t="str">
        <f t="shared" si="195"/>
        <v>MALAN</v>
      </c>
      <c r="C1029" s="12" t="str">
        <f t="shared" si="196"/>
        <v>MALAN</v>
      </c>
      <c r="D1029" s="12" t="s">
        <v>10321</v>
      </c>
      <c r="E1029" s="12" t="str">
        <f t="shared" si="206"/>
        <v>Jacob Jacobus (H.P. Seun)</v>
      </c>
      <c r="F1029" s="12" t="s">
        <v>10322</v>
      </c>
      <c r="G1029" s="12" t="str">
        <f t="shared" si="197"/>
        <v>a1b6c5d9e4</v>
      </c>
      <c r="H1029" s="12" t="str">
        <f t="shared" si="198"/>
        <v>MALANa1b6c5d9e4</v>
      </c>
      <c r="I1029" s="12"/>
      <c r="J1029" s="12" t="s">
        <v>10323</v>
      </c>
      <c r="K1029" s="12" t="str">
        <f t="shared" si="199"/>
        <v>1820</v>
      </c>
      <c r="L1029" s="12"/>
      <c r="M1029" s="12"/>
      <c r="N1029" s="12" t="str">
        <f t="shared" si="204"/>
        <v>1820</v>
      </c>
      <c r="O1029" s="12" t="str">
        <f t="shared" si="205"/>
        <v/>
      </c>
      <c r="P1029" s="12"/>
      <c r="Q1029" s="12" t="str">
        <f t="shared" si="200"/>
        <v>1820</v>
      </c>
      <c r="R1029" s="1" t="s">
        <v>10324</v>
      </c>
      <c r="S1029" s="12" t="str">
        <f t="shared" si="201"/>
        <v>1917</v>
      </c>
      <c r="T1029" s="12" t="s">
        <v>5146</v>
      </c>
      <c r="U1029" s="12" t="s">
        <v>10325</v>
      </c>
      <c r="V1029" s="12" t="str">
        <f t="shared" si="202"/>
        <v>1839</v>
      </c>
      <c r="W1029" s="12" t="s">
        <v>3389</v>
      </c>
      <c r="X1029" s="12" t="s">
        <v>1034</v>
      </c>
      <c r="Y1029" s="12" t="s">
        <v>10326</v>
      </c>
      <c r="Z1029" s="12"/>
      <c r="AA1029" s="12"/>
      <c r="AB1029" s="12"/>
      <c r="AC1029" s="12" t="s">
        <v>6045</v>
      </c>
      <c r="AD1029" s="12"/>
      <c r="AE1029" s="12"/>
      <c r="AF1029" s="12" t="s">
        <v>3728</v>
      </c>
      <c r="AG1029" s="12" t="s">
        <v>346</v>
      </c>
      <c r="AH1029" s="12" t="s">
        <v>1631</v>
      </c>
      <c r="AI1029" s="12" t="str">
        <f t="shared" si="203"/>
        <v>1836</v>
      </c>
      <c r="AJ1029" s="12" t="s">
        <v>10303</v>
      </c>
      <c r="AK1029" s="12" t="s">
        <v>90</v>
      </c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</row>
    <row r="1030" spans="1:59">
      <c r="A1030" s="12" t="s">
        <v>8890</v>
      </c>
      <c r="B1030" s="12" t="str">
        <f t="shared" si="195"/>
        <v>MALAN</v>
      </c>
      <c r="C1030" s="12" t="str">
        <f t="shared" si="196"/>
        <v>MALAN</v>
      </c>
      <c r="D1030" s="12" t="s">
        <v>10282</v>
      </c>
      <c r="E1030" s="12" t="str">
        <f t="shared" si="206"/>
        <v>Daniël</v>
      </c>
      <c r="F1030" s="12" t="s">
        <v>10283</v>
      </c>
      <c r="G1030" s="12" t="str">
        <f t="shared" si="197"/>
        <v>a1b6c9d9</v>
      </c>
      <c r="H1030" s="12" t="str">
        <f t="shared" si="198"/>
        <v>MALANa1b6c9d9</v>
      </c>
      <c r="I1030" s="12" t="s">
        <v>10284</v>
      </c>
      <c r="J1030" s="12" t="s">
        <v>10285</v>
      </c>
      <c r="K1030" s="12" t="str">
        <f t="shared" si="199"/>
        <v>1799</v>
      </c>
      <c r="L1030" s="12" t="s">
        <v>48</v>
      </c>
      <c r="M1030" s="12" t="s">
        <v>10286</v>
      </c>
      <c r="N1030" s="12" t="str">
        <f t="shared" si="204"/>
        <v>1799</v>
      </c>
      <c r="O1030" s="12" t="str">
        <f t="shared" si="205"/>
        <v>1799</v>
      </c>
      <c r="P1030" s="12" t="s">
        <v>10287</v>
      </c>
      <c r="Q1030" s="12" t="str">
        <f t="shared" si="200"/>
        <v>1799</v>
      </c>
      <c r="R1030" s="12" t="s">
        <v>10288</v>
      </c>
      <c r="S1030" s="12" t="str">
        <f t="shared" si="201"/>
        <v>1828</v>
      </c>
      <c r="T1030" s="12"/>
      <c r="U1030" s="12" t="s">
        <v>10289</v>
      </c>
      <c r="V1030" s="12" t="str">
        <f t="shared" si="202"/>
        <v>1828</v>
      </c>
      <c r="W1030" s="12" t="s">
        <v>10290</v>
      </c>
      <c r="X1030" s="12" t="s">
        <v>760</v>
      </c>
      <c r="Y1030" s="12"/>
      <c r="Z1030" s="12" t="s">
        <v>32</v>
      </c>
      <c r="AA1030" s="12" t="s">
        <v>10291</v>
      </c>
      <c r="AB1030" s="12"/>
      <c r="AC1030" s="12"/>
      <c r="AD1030" s="12" t="s">
        <v>10287</v>
      </c>
      <c r="AE1030" s="12" t="s">
        <v>10292</v>
      </c>
      <c r="AF1030" s="12" t="s">
        <v>3726</v>
      </c>
      <c r="AG1030" s="12" t="s">
        <v>32</v>
      </c>
      <c r="AH1030" s="12" t="s">
        <v>10293</v>
      </c>
      <c r="AI1030" s="12" t="str">
        <f t="shared" si="203"/>
        <v>1839</v>
      </c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</row>
    <row r="1031" spans="1:59">
      <c r="A1031" s="12" t="s">
        <v>4871</v>
      </c>
      <c r="B1031" s="12" t="str">
        <f t="shared" si="195"/>
        <v>MARAIS</v>
      </c>
      <c r="C1031" s="12" t="str">
        <f t="shared" si="196"/>
        <v>MARAIS</v>
      </c>
      <c r="D1031" s="12" t="s">
        <v>10341</v>
      </c>
      <c r="E1031" s="12" t="str">
        <f t="shared" si="206"/>
        <v>Abraham Petrus</v>
      </c>
      <c r="F1031" s="12" t="s">
        <v>10342</v>
      </c>
      <c r="G1031" s="12" t="str">
        <f t="shared" si="197"/>
        <v>a1b2c11d3e1f5</v>
      </c>
      <c r="H1031" s="12" t="str">
        <f t="shared" si="198"/>
        <v>MARAISa1b2c11d3e1f5</v>
      </c>
      <c r="I1031" s="12"/>
      <c r="J1031" s="12"/>
      <c r="K1031" s="12" t="str">
        <f t="shared" si="199"/>
        <v/>
      </c>
      <c r="L1031" s="12"/>
      <c r="M1031" s="12" t="s">
        <v>10343</v>
      </c>
      <c r="N1031" s="12" t="str">
        <f t="shared" si="204"/>
        <v/>
      </c>
      <c r="O1031" s="12" t="str">
        <f t="shared" si="205"/>
        <v>1814</v>
      </c>
      <c r="P1031" s="12"/>
      <c r="Q1031" s="12" t="str">
        <f t="shared" si="200"/>
        <v>1814</v>
      </c>
      <c r="R1031" s="12"/>
      <c r="S1031" s="12" t="str">
        <f t="shared" si="201"/>
        <v/>
      </c>
      <c r="T1031" s="12" t="s">
        <v>32</v>
      </c>
      <c r="U1031" s="12" t="s">
        <v>10344</v>
      </c>
      <c r="V1031" s="12" t="str">
        <f t="shared" si="202"/>
        <v>1832</v>
      </c>
      <c r="W1031" s="12" t="s">
        <v>1135</v>
      </c>
      <c r="X1031" s="12" t="s">
        <v>1003</v>
      </c>
      <c r="Y1031" s="12"/>
      <c r="Z1031" s="12"/>
      <c r="AA1031" s="12"/>
      <c r="AB1031" s="12"/>
      <c r="AC1031" s="12"/>
      <c r="AD1031" s="12"/>
      <c r="AE1031" s="12" t="s">
        <v>10345</v>
      </c>
      <c r="AF1031" s="12" t="s">
        <v>10346</v>
      </c>
      <c r="AG1031" s="12" t="s">
        <v>32</v>
      </c>
      <c r="AH1031" s="12" t="s">
        <v>10347</v>
      </c>
      <c r="AI1031" s="12" t="str">
        <f t="shared" si="203"/>
        <v xml:space="preserve"> (?)</v>
      </c>
      <c r="AJ1031" s="12"/>
      <c r="AK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</row>
    <row r="1032" spans="1:59">
      <c r="A1032" s="12" t="s">
        <v>4871</v>
      </c>
      <c r="B1032" s="12" t="str">
        <f t="shared" si="195"/>
        <v>MARAIS</v>
      </c>
      <c r="C1032" s="12" t="str">
        <f t="shared" si="196"/>
        <v>MARAIS</v>
      </c>
      <c r="D1032" s="12" t="s">
        <v>10367</v>
      </c>
      <c r="E1032" s="12" t="str">
        <f t="shared" si="206"/>
        <v>Daniël Petrus</v>
      </c>
      <c r="F1032" s="12" t="s">
        <v>10368</v>
      </c>
      <c r="G1032" s="12" t="str">
        <f t="shared" si="197"/>
        <v>a1b2c2d1e4f2</v>
      </c>
      <c r="H1032" s="12" t="str">
        <f t="shared" si="198"/>
        <v>MARAISa1b2c2d1e4f2</v>
      </c>
      <c r="I1032" s="12"/>
      <c r="J1032" s="12"/>
      <c r="K1032" s="12" t="str">
        <f t="shared" si="199"/>
        <v/>
      </c>
      <c r="L1032" s="12"/>
      <c r="M1032" s="12" t="s">
        <v>10369</v>
      </c>
      <c r="N1032" s="12" t="str">
        <f t="shared" si="204"/>
        <v/>
      </c>
      <c r="O1032" s="12" t="str">
        <f t="shared" si="205"/>
        <v>1791</v>
      </c>
      <c r="P1032" s="12"/>
      <c r="Q1032" s="12" t="str">
        <f t="shared" si="200"/>
        <v>1791</v>
      </c>
      <c r="R1032" s="12"/>
      <c r="S1032" s="12" t="str">
        <f t="shared" si="201"/>
        <v/>
      </c>
      <c r="T1032" s="12"/>
      <c r="U1032" s="12"/>
      <c r="V1032" s="12" t="str">
        <f t="shared" si="202"/>
        <v/>
      </c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 t="s">
        <v>10370</v>
      </c>
      <c r="AG1032" s="12" t="s">
        <v>53</v>
      </c>
      <c r="AH1032" s="12" t="s">
        <v>10358</v>
      </c>
      <c r="AI1032" s="12" t="str">
        <f t="shared" si="203"/>
        <v>1836</v>
      </c>
      <c r="AJ1032" s="12" t="s">
        <v>10359</v>
      </c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</row>
    <row r="1033" spans="1:59">
      <c r="A1033" s="12" t="s">
        <v>4871</v>
      </c>
      <c r="B1033" s="12" t="str">
        <f t="shared" si="195"/>
        <v>MARAIS</v>
      </c>
      <c r="C1033" s="12" t="str">
        <f t="shared" si="196"/>
        <v>MARAIS</v>
      </c>
      <c r="D1033" s="12" t="s">
        <v>10348</v>
      </c>
      <c r="E1033" s="12" t="str">
        <f t="shared" si="206"/>
        <v>Barend Gabriël</v>
      </c>
      <c r="F1033" s="12" t="s">
        <v>10349</v>
      </c>
      <c r="G1033" s="12" t="str">
        <f t="shared" si="197"/>
        <v>a1b2c4d1e1f3g5</v>
      </c>
      <c r="H1033" s="12" t="str">
        <f t="shared" si="198"/>
        <v>MARAISa1b2c4d1e1f3g5</v>
      </c>
      <c r="J1033" s="2" t="s">
        <v>10350</v>
      </c>
      <c r="K1033" s="12" t="str">
        <f t="shared" si="199"/>
        <v>1825</v>
      </c>
      <c r="L1033" s="2" t="s">
        <v>53</v>
      </c>
      <c r="M1033" s="2" t="s">
        <v>10351</v>
      </c>
      <c r="N1033" s="12" t="str">
        <f t="shared" si="204"/>
        <v>1825</v>
      </c>
      <c r="O1033" s="12" t="str">
        <f t="shared" si="205"/>
        <v>1825</v>
      </c>
      <c r="P1033" s="2" t="s">
        <v>10352</v>
      </c>
      <c r="Q1033" s="12" t="str">
        <f t="shared" si="200"/>
        <v>1825</v>
      </c>
      <c r="R1033" s="2" t="s">
        <v>10353</v>
      </c>
      <c r="S1033" s="12" t="str">
        <f t="shared" si="201"/>
        <v>1897</v>
      </c>
      <c r="T1033" s="2" t="s">
        <v>5146</v>
      </c>
      <c r="U1033" s="2" t="s">
        <v>10354</v>
      </c>
      <c r="V1033" s="12" t="str">
        <f t="shared" si="202"/>
        <v>1847</v>
      </c>
      <c r="W1033" s="2" t="s">
        <v>3331</v>
      </c>
      <c r="X1033" s="2" t="s">
        <v>2757</v>
      </c>
      <c r="Y1033" s="2" t="s">
        <v>10355</v>
      </c>
      <c r="AA1033" s="2" t="s">
        <v>10356</v>
      </c>
      <c r="AF1033" s="12" t="s">
        <v>10357</v>
      </c>
      <c r="AG1033" s="12" t="s">
        <v>53</v>
      </c>
      <c r="AH1033" s="12" t="s">
        <v>10358</v>
      </c>
      <c r="AI1033" s="12" t="str">
        <f t="shared" si="203"/>
        <v>1836</v>
      </c>
      <c r="AJ1033" s="12" t="s">
        <v>10359</v>
      </c>
    </row>
    <row r="1034" spans="1:59">
      <c r="A1034" s="12" t="s">
        <v>4871</v>
      </c>
      <c r="B1034" s="12" t="str">
        <f t="shared" si="195"/>
        <v>MARAIS</v>
      </c>
      <c r="C1034" s="12" t="str">
        <f t="shared" si="196"/>
        <v>MARAIS</v>
      </c>
      <c r="D1034" s="12" t="s">
        <v>10399</v>
      </c>
      <c r="E1034" s="12" t="str">
        <f t="shared" si="206"/>
        <v>Maria Petronella (Weduwee Jesias Esterhuizen)</v>
      </c>
      <c r="F1034" s="12" t="s">
        <v>927</v>
      </c>
      <c r="G1034" s="12" t="str">
        <f t="shared" si="197"/>
        <v>a2b4</v>
      </c>
      <c r="H1034" s="12" t="str">
        <f t="shared" si="198"/>
        <v>MARAISa2b4</v>
      </c>
      <c r="K1034" s="12" t="str">
        <f t="shared" si="199"/>
        <v/>
      </c>
      <c r="M1034" s="12" t="s">
        <v>10400</v>
      </c>
      <c r="N1034" s="12" t="str">
        <f t="shared" si="204"/>
        <v/>
      </c>
      <c r="O1034" s="12" t="str">
        <f t="shared" si="205"/>
        <v>1773</v>
      </c>
      <c r="Q1034" s="12" t="str">
        <f t="shared" si="200"/>
        <v>1773</v>
      </c>
      <c r="S1034" s="12" t="str">
        <f t="shared" si="201"/>
        <v/>
      </c>
      <c r="U1034" s="12" t="s">
        <v>10401</v>
      </c>
      <c r="V1034" s="12" t="str">
        <f t="shared" si="202"/>
        <v>1795</v>
      </c>
      <c r="W1034" s="12" t="s">
        <v>10402</v>
      </c>
      <c r="X1034" s="12" t="s">
        <v>10403</v>
      </c>
      <c r="Y1034" s="12"/>
      <c r="AC1034" s="12"/>
      <c r="AE1034" s="12"/>
      <c r="AF1034" s="12" t="s">
        <v>3703</v>
      </c>
      <c r="AG1034" s="12" t="s">
        <v>366</v>
      </c>
      <c r="AH1034" s="12" t="s">
        <v>10404</v>
      </c>
      <c r="AI1034" s="12" t="str">
        <f t="shared" si="203"/>
        <v>8(?)</v>
      </c>
      <c r="AJ1034" s="12"/>
      <c r="AK1034" s="12"/>
    </row>
    <row r="1035" spans="1:59">
      <c r="A1035" s="12" t="s">
        <v>4871</v>
      </c>
      <c r="B1035" s="12" t="str">
        <f t="shared" si="195"/>
        <v>MARAIS</v>
      </c>
      <c r="C1035" s="12" t="str">
        <f t="shared" si="196"/>
        <v>MARAIS</v>
      </c>
      <c r="D1035" s="12" t="s">
        <v>10421</v>
      </c>
      <c r="E1035" s="12" t="str">
        <f t="shared" si="206"/>
        <v>Sarel Johannes Lodewikus</v>
      </c>
      <c r="F1035" s="12" t="s">
        <v>10111</v>
      </c>
      <c r="G1035" s="12" t="str">
        <f t="shared" si="197"/>
        <v>a2b6c1</v>
      </c>
      <c r="H1035" s="12" t="str">
        <f t="shared" si="198"/>
        <v>MARAISa2b6c1</v>
      </c>
      <c r="J1035" s="12"/>
      <c r="K1035" s="12" t="str">
        <f t="shared" si="199"/>
        <v/>
      </c>
      <c r="L1035" s="12"/>
      <c r="M1035" s="12" t="s">
        <v>10422</v>
      </c>
      <c r="N1035" s="12" t="str">
        <f t="shared" si="204"/>
        <v/>
      </c>
      <c r="O1035" s="12" t="str">
        <f t="shared" si="205"/>
        <v>1798</v>
      </c>
      <c r="Q1035" s="12" t="str">
        <f t="shared" si="200"/>
        <v>1798</v>
      </c>
      <c r="S1035" s="12" t="str">
        <f t="shared" si="201"/>
        <v/>
      </c>
      <c r="T1035" s="2" t="s">
        <v>74</v>
      </c>
      <c r="U1035" s="2" t="s">
        <v>10423</v>
      </c>
      <c r="V1035" s="12" t="str">
        <f t="shared" si="202"/>
        <v>1817</v>
      </c>
      <c r="W1035" s="12" t="s">
        <v>10424</v>
      </c>
      <c r="X1035" s="12" t="s">
        <v>4871</v>
      </c>
      <c r="Y1035" s="12"/>
      <c r="AC1035" s="12"/>
      <c r="AF1035" s="12" t="s">
        <v>3703</v>
      </c>
      <c r="AG1035" s="12" t="s">
        <v>366</v>
      </c>
      <c r="AH1035" s="12" t="s">
        <v>10425</v>
      </c>
      <c r="AI1035" s="12" t="str">
        <f t="shared" si="203"/>
        <v>1838</v>
      </c>
      <c r="AJ1035" s="12"/>
      <c r="AK1035" s="12"/>
    </row>
    <row r="1036" spans="1:59">
      <c r="A1036" s="12" t="s">
        <v>4871</v>
      </c>
      <c r="B1036" s="12" t="str">
        <f t="shared" si="195"/>
        <v>MARAIS</v>
      </c>
      <c r="C1036" s="12" t="str">
        <f t="shared" si="196"/>
        <v>MARAIS</v>
      </c>
      <c r="D1036" s="12" t="s">
        <v>1759</v>
      </c>
      <c r="E1036" s="12" t="str">
        <f t="shared" si="206"/>
        <v>Gerhardus Petrus</v>
      </c>
      <c r="F1036" s="12" t="s">
        <v>10378</v>
      </c>
      <c r="G1036" s="12" t="str">
        <f t="shared" si="197"/>
        <v>a2b7</v>
      </c>
      <c r="H1036" s="12" t="str">
        <f t="shared" si="198"/>
        <v>MARAISa2b7</v>
      </c>
      <c r="J1036" s="2" t="s">
        <v>10379</v>
      </c>
      <c r="K1036" s="12" t="str">
        <f t="shared" si="199"/>
        <v>1779</v>
      </c>
      <c r="M1036" s="2" t="s">
        <v>10380</v>
      </c>
      <c r="N1036" s="12" t="str">
        <f t="shared" si="204"/>
        <v>1779</v>
      </c>
      <c r="O1036" s="12" t="str">
        <f t="shared" si="205"/>
        <v>1780</v>
      </c>
      <c r="Q1036" s="12" t="str">
        <f t="shared" si="200"/>
        <v>1779</v>
      </c>
      <c r="R1036" s="12"/>
      <c r="S1036" s="12" t="str">
        <f t="shared" si="201"/>
        <v/>
      </c>
      <c r="U1036" s="2" t="s">
        <v>10381</v>
      </c>
      <c r="V1036" s="12" t="str">
        <f t="shared" si="202"/>
        <v>1800</v>
      </c>
      <c r="W1036" s="2" t="s">
        <v>10382</v>
      </c>
      <c r="X1036" s="2" t="s">
        <v>1983</v>
      </c>
      <c r="AA1036" s="2" t="s">
        <v>10383</v>
      </c>
      <c r="AF1036" s="12" t="s">
        <v>3703</v>
      </c>
      <c r="AG1036" s="12" t="s">
        <v>366</v>
      </c>
      <c r="AH1036" s="12" t="s">
        <v>432</v>
      </c>
      <c r="AI1036" s="12" t="str">
        <f t="shared" si="203"/>
        <v>1838</v>
      </c>
      <c r="AJ1036" s="12" t="s">
        <v>10384</v>
      </c>
    </row>
    <row r="1037" spans="1:59">
      <c r="A1037" s="12" t="s">
        <v>4871</v>
      </c>
      <c r="B1037" s="12" t="str">
        <f t="shared" si="195"/>
        <v>MARAIS</v>
      </c>
      <c r="C1037" s="12" t="str">
        <f t="shared" si="196"/>
        <v>MARAIS</v>
      </c>
      <c r="D1037" s="12" t="s">
        <v>10360</v>
      </c>
      <c r="E1037" s="12" t="str">
        <f t="shared" si="206"/>
        <v>Charl (Sarel) Johannes</v>
      </c>
      <c r="F1037" s="12" t="s">
        <v>10361</v>
      </c>
      <c r="G1037" s="12" t="str">
        <f t="shared" si="197"/>
        <v>a2b7c3</v>
      </c>
      <c r="H1037" s="12" t="str">
        <f t="shared" si="198"/>
        <v>MARAISa2b7c3</v>
      </c>
      <c r="J1037" s="12" t="s">
        <v>10362</v>
      </c>
      <c r="K1037" s="12" t="str">
        <f t="shared" si="199"/>
        <v>1817</v>
      </c>
      <c r="L1037" s="12" t="s">
        <v>74</v>
      </c>
      <c r="M1037" s="12" t="s">
        <v>2632</v>
      </c>
      <c r="N1037" s="12" t="str">
        <f t="shared" si="204"/>
        <v>1817</v>
      </c>
      <c r="O1037" s="12" t="str">
        <f t="shared" si="205"/>
        <v>1814</v>
      </c>
      <c r="P1037" s="12"/>
      <c r="Q1037" s="12" t="str">
        <f t="shared" si="200"/>
        <v>1817</v>
      </c>
      <c r="R1037" s="12"/>
      <c r="S1037" s="12" t="str">
        <f t="shared" si="201"/>
        <v/>
      </c>
      <c r="T1037" s="2" t="s">
        <v>366</v>
      </c>
      <c r="U1037" s="2" t="s">
        <v>10363</v>
      </c>
      <c r="V1037" s="12" t="str">
        <f t="shared" si="202"/>
        <v>1834</v>
      </c>
      <c r="W1037" s="12" t="s">
        <v>10364</v>
      </c>
      <c r="X1037" s="12" t="s">
        <v>664</v>
      </c>
      <c r="Y1037" s="12"/>
      <c r="AA1037" s="2" t="s">
        <v>10365</v>
      </c>
      <c r="AC1037" s="12"/>
      <c r="AF1037" s="12" t="s">
        <v>3703</v>
      </c>
      <c r="AG1037" s="12" t="s">
        <v>366</v>
      </c>
      <c r="AH1037" s="12" t="s">
        <v>432</v>
      </c>
      <c r="AI1037" s="12" t="str">
        <f t="shared" si="203"/>
        <v>1838</v>
      </c>
      <c r="AJ1037" s="12" t="s">
        <v>10366</v>
      </c>
      <c r="AK1037" s="12"/>
    </row>
    <row r="1038" spans="1:59">
      <c r="A1038" s="12" t="s">
        <v>4871</v>
      </c>
      <c r="B1038" s="12" t="str">
        <f t="shared" si="195"/>
        <v>MARAIS</v>
      </c>
      <c r="C1038" s="12" t="str">
        <f t="shared" si="196"/>
        <v>MARAIS</v>
      </c>
      <c r="D1038" s="12" t="s">
        <v>10385</v>
      </c>
      <c r="E1038" s="12" t="str">
        <f t="shared" si="206"/>
        <v>Jan Gabriël</v>
      </c>
      <c r="F1038" s="12" t="s">
        <v>10386</v>
      </c>
      <c r="G1038" s="12" t="str">
        <f t="shared" si="197"/>
        <v>a2b7c4</v>
      </c>
      <c r="H1038" s="12" t="str">
        <f t="shared" si="198"/>
        <v>MARAISa2b7c4</v>
      </c>
      <c r="J1038" s="2" t="s">
        <v>10387</v>
      </c>
      <c r="K1038" s="12" t="str">
        <f t="shared" si="199"/>
        <v>1817</v>
      </c>
      <c r="L1038" s="2" t="s">
        <v>74</v>
      </c>
      <c r="M1038" s="12" t="s">
        <v>10388</v>
      </c>
      <c r="N1038" s="12" t="str">
        <f t="shared" si="204"/>
        <v>1817</v>
      </c>
      <c r="O1038" s="12" t="str">
        <f t="shared" si="205"/>
        <v>1817</v>
      </c>
      <c r="P1038" s="2" t="s">
        <v>10389</v>
      </c>
      <c r="Q1038" s="12" t="str">
        <f t="shared" si="200"/>
        <v>1817</v>
      </c>
      <c r="R1038" s="2" t="s">
        <v>10390</v>
      </c>
      <c r="S1038" s="12" t="str">
        <f t="shared" si="201"/>
        <v>1900</v>
      </c>
      <c r="T1038" s="2" t="s">
        <v>366</v>
      </c>
      <c r="U1038" s="2" t="s">
        <v>10391</v>
      </c>
      <c r="V1038" s="12" t="str">
        <f t="shared" si="202"/>
        <v>1838</v>
      </c>
      <c r="W1038" s="12" t="s">
        <v>10392</v>
      </c>
      <c r="X1038" s="12" t="s">
        <v>664</v>
      </c>
      <c r="AF1038" s="12" t="s">
        <v>3703</v>
      </c>
      <c r="AG1038" s="12" t="s">
        <v>366</v>
      </c>
      <c r="AH1038" s="12" t="s">
        <v>10393</v>
      </c>
      <c r="AI1038" s="12" t="str">
        <f t="shared" si="203"/>
        <v>1839</v>
      </c>
      <c r="AJ1038" s="2" t="s">
        <v>5534</v>
      </c>
      <c r="AK1038" s="12"/>
    </row>
    <row r="1039" spans="1:59">
      <c r="A1039" s="12" t="s">
        <v>4871</v>
      </c>
      <c r="B1039" s="12" t="str">
        <f t="shared" si="195"/>
        <v>MARAIS</v>
      </c>
      <c r="C1039" s="12" t="str">
        <f t="shared" si="196"/>
        <v>MARAIS</v>
      </c>
      <c r="D1039" s="12" t="s">
        <v>10371</v>
      </c>
      <c r="E1039" s="12" t="str">
        <f t="shared" si="206"/>
        <v>David Jacobus</v>
      </c>
      <c r="F1039" s="12" t="s">
        <v>10372</v>
      </c>
      <c r="G1039" s="12" t="str">
        <f t="shared" si="197"/>
        <v>a1b2c2d6e5f2</v>
      </c>
      <c r="H1039" s="12" t="str">
        <f t="shared" si="198"/>
        <v>MARAISa1b2c2d6e5f2</v>
      </c>
      <c r="K1039" s="12" t="str">
        <f t="shared" si="199"/>
        <v/>
      </c>
      <c r="M1039" s="12" t="s">
        <v>6476</v>
      </c>
      <c r="N1039" s="12" t="str">
        <f t="shared" si="204"/>
        <v/>
      </c>
      <c r="O1039" s="12" t="str">
        <f t="shared" si="205"/>
        <v>1799</v>
      </c>
      <c r="P1039" s="12"/>
      <c r="Q1039" s="12" t="str">
        <f t="shared" si="200"/>
        <v>1799</v>
      </c>
      <c r="R1039" s="12"/>
      <c r="S1039" s="12" t="str">
        <f t="shared" si="201"/>
        <v/>
      </c>
      <c r="T1039" s="2" t="s">
        <v>366</v>
      </c>
      <c r="U1039" s="12" t="s">
        <v>10373</v>
      </c>
      <c r="V1039" s="12" t="str">
        <f t="shared" si="202"/>
        <v>1820</v>
      </c>
      <c r="W1039" s="12" t="s">
        <v>2472</v>
      </c>
      <c r="X1039" s="12" t="s">
        <v>3640</v>
      </c>
      <c r="AF1039" s="12" t="s">
        <v>16</v>
      </c>
      <c r="AG1039" s="12" t="s">
        <v>68</v>
      </c>
      <c r="AH1039" s="12" t="s">
        <v>5471</v>
      </c>
      <c r="AI1039" s="12" t="str">
        <f t="shared" si="203"/>
        <v>1842</v>
      </c>
      <c r="AJ1039" s="12"/>
      <c r="AK1039" s="2" t="s">
        <v>551</v>
      </c>
      <c r="AL1039" s="2" t="s">
        <v>366</v>
      </c>
      <c r="AM1039" s="2" t="s">
        <v>10374</v>
      </c>
      <c r="AN1039" s="2" t="s">
        <v>4181</v>
      </c>
      <c r="AO1039" s="2" t="s">
        <v>701</v>
      </c>
      <c r="AP1039" s="2" t="s">
        <v>936</v>
      </c>
      <c r="AT1039" s="2" t="s">
        <v>10375</v>
      </c>
      <c r="AU1039" s="2" t="s">
        <v>10376</v>
      </c>
      <c r="AV1039" s="2" t="s">
        <v>10377</v>
      </c>
    </row>
    <row r="1040" spans="1:59">
      <c r="A1040" s="12" t="s">
        <v>4871</v>
      </c>
      <c r="B1040" s="12" t="str">
        <f t="shared" si="195"/>
        <v>MARAIS</v>
      </c>
      <c r="C1040" s="12" t="str">
        <f t="shared" si="196"/>
        <v>MARAIS</v>
      </c>
      <c r="D1040" s="12" t="s">
        <v>10405</v>
      </c>
      <c r="E1040" s="12" t="str">
        <f t="shared" si="206"/>
        <v>Matthys Hendrik</v>
      </c>
      <c r="F1040" s="12" t="s">
        <v>10406</v>
      </c>
      <c r="G1040" s="12" t="str">
        <f t="shared" si="197"/>
        <v>a1b2c4d1e3f3</v>
      </c>
      <c r="H1040" s="12" t="str">
        <f t="shared" si="198"/>
        <v>MARAISa1b2c4d1e3f3</v>
      </c>
      <c r="J1040" s="2" t="s">
        <v>10407</v>
      </c>
      <c r="K1040" s="12" t="str">
        <f t="shared" si="199"/>
        <v>1790</v>
      </c>
      <c r="L1040" s="12"/>
      <c r="M1040" s="12" t="s">
        <v>10408</v>
      </c>
      <c r="N1040" s="12" t="str">
        <f t="shared" si="204"/>
        <v>1790</v>
      </c>
      <c r="O1040" s="12" t="str">
        <f t="shared" si="205"/>
        <v>1791</v>
      </c>
      <c r="P1040" s="12" t="s">
        <v>81</v>
      </c>
      <c r="Q1040" s="12" t="str">
        <f t="shared" si="200"/>
        <v>1790</v>
      </c>
      <c r="R1040" s="12" t="s">
        <v>10409</v>
      </c>
      <c r="S1040" s="12" t="str">
        <f t="shared" si="201"/>
        <v>1864</v>
      </c>
      <c r="T1040" s="12" t="s">
        <v>199</v>
      </c>
      <c r="U1040" s="12" t="s">
        <v>515</v>
      </c>
      <c r="V1040" s="12" t="str">
        <f t="shared" si="202"/>
        <v>1815</v>
      </c>
      <c r="W1040" s="12" t="s">
        <v>10410</v>
      </c>
      <c r="X1040" s="12" t="s">
        <v>695</v>
      </c>
      <c r="Y1040" s="2" t="s">
        <v>10411</v>
      </c>
      <c r="AC1040" s="2" t="s">
        <v>5987</v>
      </c>
      <c r="AD1040" s="2" t="s">
        <v>10412</v>
      </c>
      <c r="AE1040" s="2" t="s">
        <v>90</v>
      </c>
      <c r="AF1040" s="12" t="s">
        <v>10357</v>
      </c>
      <c r="AG1040" s="12" t="s">
        <v>53</v>
      </c>
      <c r="AH1040" s="12" t="s">
        <v>10358</v>
      </c>
      <c r="AI1040" s="12" t="str">
        <f t="shared" si="203"/>
        <v>1836</v>
      </c>
      <c r="AJ1040" s="2" t="s">
        <v>10413</v>
      </c>
      <c r="AK1040" s="12"/>
      <c r="AL1040" s="12"/>
      <c r="AM1040" s="12"/>
      <c r="AN1040" s="12"/>
      <c r="AO1040" s="12"/>
    </row>
    <row r="1041" spans="1:62">
      <c r="A1041" s="12" t="s">
        <v>4871</v>
      </c>
      <c r="B1041" s="12" t="str">
        <f t="shared" si="195"/>
        <v>MARAIS</v>
      </c>
      <c r="C1041" s="12" t="str">
        <f t="shared" si="196"/>
        <v>MARAIS</v>
      </c>
      <c r="D1041" s="12" t="s">
        <v>5829</v>
      </c>
      <c r="E1041" s="12" t="str">
        <f t="shared" si="206"/>
        <v>Johannes Lodewyk</v>
      </c>
      <c r="F1041" s="12" t="s">
        <v>10394</v>
      </c>
      <c r="G1041" s="12" t="str">
        <f t="shared" si="197"/>
        <v>a1b2c4d1e3f3g1</v>
      </c>
      <c r="H1041" s="12" t="str">
        <f t="shared" si="198"/>
        <v>MARAISa1b2c4d1e3f3g1</v>
      </c>
      <c r="J1041" s="12" t="s">
        <v>10395</v>
      </c>
      <c r="K1041" s="12" t="str">
        <f t="shared" si="199"/>
        <v>1816</v>
      </c>
      <c r="L1041" s="12" t="s">
        <v>74</v>
      </c>
      <c r="M1041" s="12" t="s">
        <v>5930</v>
      </c>
      <c r="N1041" s="12" t="str">
        <f t="shared" si="204"/>
        <v>1816</v>
      </c>
      <c r="O1041" s="12" t="str">
        <f t="shared" si="205"/>
        <v>1817</v>
      </c>
      <c r="Q1041" s="12" t="str">
        <f t="shared" si="200"/>
        <v>1816</v>
      </c>
      <c r="R1041" s="12">
        <v>1877</v>
      </c>
      <c r="S1041" s="12" t="str">
        <f t="shared" si="201"/>
        <v>1877</v>
      </c>
      <c r="V1041" s="12" t="str">
        <f t="shared" si="202"/>
        <v/>
      </c>
      <c r="W1041" s="12" t="s">
        <v>10396</v>
      </c>
      <c r="X1041" s="12" t="s">
        <v>695</v>
      </c>
      <c r="Y1041" s="12" t="s">
        <v>10397</v>
      </c>
      <c r="AA1041" s="12"/>
      <c r="AC1041" s="12"/>
      <c r="AE1041" s="2" t="s">
        <v>10398</v>
      </c>
      <c r="AF1041" s="12" t="s">
        <v>10357</v>
      </c>
      <c r="AG1041" s="12" t="s">
        <v>53</v>
      </c>
      <c r="AH1041" s="12" t="s">
        <v>10358</v>
      </c>
      <c r="AI1041" s="12" t="str">
        <f t="shared" si="203"/>
        <v>1836</v>
      </c>
      <c r="AJ1041" s="2" t="s">
        <v>10359</v>
      </c>
      <c r="AK1041" s="12"/>
    </row>
    <row r="1042" spans="1:62">
      <c r="A1042" s="12" t="s">
        <v>4871</v>
      </c>
      <c r="B1042" s="12" t="str">
        <f t="shared" si="195"/>
        <v>MARAIS</v>
      </c>
      <c r="C1042" s="12" t="str">
        <f t="shared" si="196"/>
        <v>MARAIS</v>
      </c>
      <c r="D1042" s="12" t="s">
        <v>10414</v>
      </c>
      <c r="E1042" s="12" t="str">
        <f t="shared" si="206"/>
        <v>Matthys Hendrik Jr</v>
      </c>
      <c r="F1042" s="12" t="s">
        <v>10415</v>
      </c>
      <c r="G1042" s="12" t="str">
        <f t="shared" si="197"/>
        <v>a1b2c4d1e3f3g4</v>
      </c>
      <c r="H1042" s="12" t="str">
        <f t="shared" si="198"/>
        <v>MARAISa1b2c4d1e3f3g4</v>
      </c>
      <c r="J1042" s="12" t="s">
        <v>10416</v>
      </c>
      <c r="K1042" s="12" t="str">
        <f t="shared" si="199"/>
        <v>1822</v>
      </c>
      <c r="L1042" s="12" t="s">
        <v>53</v>
      </c>
      <c r="M1042" s="12" t="s">
        <v>5961</v>
      </c>
      <c r="N1042" s="12" t="str">
        <f t="shared" si="204"/>
        <v>1822</v>
      </c>
      <c r="O1042" s="12" t="str">
        <f t="shared" si="205"/>
        <v>1823</v>
      </c>
      <c r="P1042" s="2" t="s">
        <v>90</v>
      </c>
      <c r="Q1042" s="12" t="str">
        <f t="shared" si="200"/>
        <v>1822</v>
      </c>
      <c r="R1042" s="2" t="s">
        <v>10417</v>
      </c>
      <c r="S1042" s="12" t="str">
        <f t="shared" si="201"/>
        <v>1842</v>
      </c>
      <c r="T1042" s="12"/>
      <c r="U1042" s="12" t="s">
        <v>10418</v>
      </c>
      <c r="V1042" s="12" t="str">
        <f t="shared" si="202"/>
        <v>1841</v>
      </c>
      <c r="W1042" s="12" t="s">
        <v>10419</v>
      </c>
      <c r="X1042" s="12" t="s">
        <v>695</v>
      </c>
      <c r="Y1042" s="2" t="s">
        <v>10420</v>
      </c>
      <c r="AA1042" s="2">
        <v>1824</v>
      </c>
      <c r="AF1042" s="12" t="s">
        <v>10357</v>
      </c>
      <c r="AG1042" s="12" t="s">
        <v>53</v>
      </c>
      <c r="AH1042" s="12" t="s">
        <v>10358</v>
      </c>
      <c r="AI1042" s="12" t="str">
        <f t="shared" si="203"/>
        <v>1836</v>
      </c>
      <c r="AJ1042" s="2" t="s">
        <v>10413</v>
      </c>
      <c r="AK1042" s="12"/>
      <c r="AN1042" s="12"/>
      <c r="AO1042" s="12"/>
    </row>
    <row r="1043" spans="1:62">
      <c r="A1043" s="12" t="s">
        <v>10426</v>
      </c>
      <c r="B1043" s="12" t="str">
        <f t="shared" si="195"/>
        <v>MARÉ</v>
      </c>
      <c r="C1043" s="12" t="str">
        <f t="shared" si="196"/>
        <v>MARÉ</v>
      </c>
      <c r="D1043" s="12" t="s">
        <v>10454</v>
      </c>
      <c r="E1043" s="12" t="str">
        <f t="shared" si="206"/>
        <v>Gabriël Stephanus</v>
      </c>
      <c r="F1043" s="12" t="s">
        <v>10455</v>
      </c>
      <c r="G1043" s="12" t="str">
        <f t="shared" si="197"/>
        <v>a1b10c4d3</v>
      </c>
      <c r="H1043" s="12" t="str">
        <f t="shared" si="198"/>
        <v>MARÉa1b10c4d3</v>
      </c>
      <c r="I1043" s="12" t="s">
        <v>3190</v>
      </c>
      <c r="J1043" s="12" t="s">
        <v>10456</v>
      </c>
      <c r="K1043" s="12" t="str">
        <f t="shared" si="199"/>
        <v>1789</v>
      </c>
      <c r="L1043" s="12"/>
      <c r="M1043" s="12" t="s">
        <v>10457</v>
      </c>
      <c r="N1043" s="12" t="str">
        <f t="shared" si="204"/>
        <v>1789</v>
      </c>
      <c r="O1043" s="12" t="str">
        <f t="shared" si="205"/>
        <v>1790</v>
      </c>
      <c r="P1043" s="12" t="s">
        <v>134</v>
      </c>
      <c r="Q1043" s="12" t="str">
        <f t="shared" si="200"/>
        <v>1789</v>
      </c>
      <c r="R1043" s="12" t="s">
        <v>10458</v>
      </c>
      <c r="S1043" s="12" t="str">
        <f t="shared" si="201"/>
        <v>1852</v>
      </c>
      <c r="T1043" s="12" t="s">
        <v>542</v>
      </c>
      <c r="U1043" s="12" t="s">
        <v>10459</v>
      </c>
      <c r="V1043" s="12" t="str">
        <f t="shared" si="202"/>
        <v>1814</v>
      </c>
      <c r="W1043" s="12" t="s">
        <v>10460</v>
      </c>
      <c r="X1043" s="12" t="s">
        <v>1453</v>
      </c>
      <c r="Y1043" s="12"/>
      <c r="Z1043" s="12" t="s">
        <v>10461</v>
      </c>
      <c r="AA1043" s="12"/>
      <c r="AB1043" s="12"/>
      <c r="AC1043" s="12"/>
      <c r="AD1043" s="12"/>
      <c r="AE1043" s="12"/>
      <c r="AF1043" s="12" t="s">
        <v>3703</v>
      </c>
      <c r="AG1043" s="12" t="s">
        <v>366</v>
      </c>
      <c r="AH1043" s="12" t="s">
        <v>10462</v>
      </c>
      <c r="AI1043" s="12" t="str">
        <f t="shared" si="203"/>
        <v>7(?)</v>
      </c>
      <c r="AJ1043" s="12" t="s">
        <v>10463</v>
      </c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</row>
    <row r="1044" spans="1:62">
      <c r="A1044" s="12" t="s">
        <v>10426</v>
      </c>
      <c r="B1044" s="12" t="str">
        <f t="shared" si="195"/>
        <v>MARÉ</v>
      </c>
      <c r="C1044" s="12" t="str">
        <f t="shared" si="196"/>
        <v>MARÉ</v>
      </c>
      <c r="D1044" s="12" t="s">
        <v>10474</v>
      </c>
      <c r="E1044" s="12" t="str">
        <f t="shared" si="206"/>
        <v>Jacob Phillippus</v>
      </c>
      <c r="F1044" s="12" t="s">
        <v>10475</v>
      </c>
      <c r="G1044" s="12" t="str">
        <f t="shared" si="197"/>
        <v>a1b10c4d3e4</v>
      </c>
      <c r="H1044" s="12" t="str">
        <f t="shared" si="198"/>
        <v>MARÉa1b10c4d3e4</v>
      </c>
      <c r="I1044" s="12" t="s">
        <v>10476</v>
      </c>
      <c r="J1044" s="12" t="s">
        <v>10477</v>
      </c>
      <c r="K1044" s="12" t="str">
        <f t="shared" si="199"/>
        <v>1823</v>
      </c>
      <c r="L1044" s="12" t="s">
        <v>366</v>
      </c>
      <c r="M1044" s="12" t="s">
        <v>10478</v>
      </c>
      <c r="N1044" s="12" t="str">
        <f t="shared" si="204"/>
        <v>1823</v>
      </c>
      <c r="O1044" s="12" t="str">
        <f t="shared" si="205"/>
        <v>1823</v>
      </c>
      <c r="P1044" s="12" t="s">
        <v>8606</v>
      </c>
      <c r="Q1044" s="12" t="str">
        <f t="shared" si="200"/>
        <v>1823</v>
      </c>
      <c r="R1044" s="12" t="s">
        <v>10479</v>
      </c>
      <c r="S1044" s="12" t="str">
        <f t="shared" si="201"/>
        <v>1900</v>
      </c>
      <c r="T1044" s="12"/>
      <c r="U1044" s="12" t="s">
        <v>10480</v>
      </c>
      <c r="V1044" s="12" t="str">
        <f t="shared" si="202"/>
        <v>1854</v>
      </c>
      <c r="W1044" s="12" t="s">
        <v>10481</v>
      </c>
      <c r="X1044" s="12" t="s">
        <v>2153</v>
      </c>
      <c r="Y1044" s="12"/>
      <c r="Z1044" s="12"/>
      <c r="AA1044" s="12"/>
      <c r="AB1044" s="12"/>
      <c r="AC1044" s="12"/>
      <c r="AD1044" s="12"/>
      <c r="AE1044" s="12">
        <v>1858</v>
      </c>
      <c r="AF1044" s="12" t="s">
        <v>3703</v>
      </c>
      <c r="AG1044" s="12" t="s">
        <v>366</v>
      </c>
      <c r="AH1044" s="12" t="s">
        <v>10462</v>
      </c>
      <c r="AI1044" s="12" t="str">
        <f t="shared" si="203"/>
        <v>7(?)</v>
      </c>
      <c r="AJ1044" s="12" t="s">
        <v>10463</v>
      </c>
      <c r="AK1044" s="12" t="s">
        <v>10482</v>
      </c>
      <c r="AL1044" s="12"/>
      <c r="AM1044" s="12">
        <v>1859</v>
      </c>
      <c r="AN1044" s="12" t="s">
        <v>10483</v>
      </c>
      <c r="AO1044" s="12" t="s">
        <v>10484</v>
      </c>
      <c r="AP1044" s="12"/>
      <c r="AQ1044" s="12"/>
      <c r="AR1044" s="12"/>
      <c r="AS1044" s="12"/>
      <c r="AT1044" s="12"/>
      <c r="AU1044" s="12"/>
      <c r="AV1044" s="12">
        <v>1874</v>
      </c>
      <c r="AW1044" s="12" t="s">
        <v>10485</v>
      </c>
      <c r="AX1044" s="12">
        <v>1875</v>
      </c>
      <c r="AY1044" s="12" t="s">
        <v>10486</v>
      </c>
      <c r="AZ1044" s="12" t="s">
        <v>10487</v>
      </c>
      <c r="BA1044" s="12"/>
      <c r="BB1044" s="12" t="s">
        <v>10488</v>
      </c>
      <c r="BC1044" s="12"/>
      <c r="BD1044" s="12"/>
      <c r="BE1044" s="12"/>
      <c r="BF1044" s="9" t="s">
        <v>10489</v>
      </c>
      <c r="BG1044" s="12" t="s">
        <v>10490</v>
      </c>
      <c r="BH1044" s="2">
        <v>1897</v>
      </c>
      <c r="BI1044" s="2" t="s">
        <v>10491</v>
      </c>
      <c r="BJ1044" s="2" t="s">
        <v>10492</v>
      </c>
    </row>
    <row r="1045" spans="1:62">
      <c r="A1045" s="12" t="s">
        <v>10426</v>
      </c>
      <c r="B1045" s="12" t="str">
        <f t="shared" si="195"/>
        <v>MARÉ</v>
      </c>
      <c r="C1045" s="12" t="str">
        <f t="shared" si="196"/>
        <v>MARÉ</v>
      </c>
      <c r="D1045" s="12" t="s">
        <v>10504</v>
      </c>
      <c r="E1045" s="12" t="str">
        <f t="shared" si="206"/>
        <v>Paulus</v>
      </c>
      <c r="F1045" s="2" t="s">
        <v>10505</v>
      </c>
      <c r="G1045" s="12" t="str">
        <f t="shared" si="197"/>
        <v>a1b10c7</v>
      </c>
      <c r="H1045" s="12" t="str">
        <f t="shared" si="198"/>
        <v>MARÉa1b10c7</v>
      </c>
      <c r="I1045" s="2" t="s">
        <v>961</v>
      </c>
      <c r="J1045" s="2" t="s">
        <v>10506</v>
      </c>
      <c r="K1045" s="12" t="str">
        <f t="shared" si="199"/>
        <v>1769</v>
      </c>
      <c r="M1045" s="2" t="s">
        <v>10507</v>
      </c>
      <c r="N1045" s="12" t="str">
        <f t="shared" si="204"/>
        <v>1769</v>
      </c>
      <c r="O1045" s="12" t="str">
        <f t="shared" si="205"/>
        <v>1769</v>
      </c>
      <c r="P1045" s="2" t="s">
        <v>10508</v>
      </c>
      <c r="Q1045" s="12" t="str">
        <f t="shared" si="200"/>
        <v>1769</v>
      </c>
      <c r="R1045" s="2">
        <v>1838</v>
      </c>
      <c r="S1045" s="12" t="str">
        <f t="shared" si="201"/>
        <v>1838</v>
      </c>
      <c r="U1045" s="2" t="s">
        <v>10509</v>
      </c>
      <c r="V1045" s="12" t="str">
        <f t="shared" si="202"/>
        <v>1790</v>
      </c>
      <c r="W1045" s="2" t="s">
        <v>2421</v>
      </c>
      <c r="X1045" s="2" t="s">
        <v>757</v>
      </c>
      <c r="Y1045" s="2" t="s">
        <v>10510</v>
      </c>
      <c r="AA1045" s="2" t="s">
        <v>10511</v>
      </c>
      <c r="AC1045" s="2" t="s">
        <v>10512</v>
      </c>
      <c r="AD1045" s="2" t="s">
        <v>5146</v>
      </c>
      <c r="AE1045" s="2" t="s">
        <v>10513</v>
      </c>
      <c r="AF1045" s="12" t="s">
        <v>9419</v>
      </c>
      <c r="AG1045" s="12" t="s">
        <v>53</v>
      </c>
      <c r="AH1045" s="12">
        <v>1838</v>
      </c>
      <c r="AI1045" s="12" t="str">
        <f t="shared" si="203"/>
        <v>1838</v>
      </c>
      <c r="AJ1045" s="12"/>
    </row>
    <row r="1046" spans="1:62">
      <c r="A1046" s="12" t="s">
        <v>10426</v>
      </c>
      <c r="B1046" s="12" t="str">
        <f t="shared" si="195"/>
        <v>MARÉ</v>
      </c>
      <c r="C1046" s="12" t="str">
        <f t="shared" si="196"/>
        <v>MARÉ</v>
      </c>
      <c r="D1046" s="12" t="s">
        <v>10493</v>
      </c>
      <c r="E1046" s="12" t="str">
        <f t="shared" si="206"/>
        <v>Johannes Stephanus (Albertus)</v>
      </c>
      <c r="F1046" s="12" t="s">
        <v>10494</v>
      </c>
      <c r="G1046" s="12" t="str">
        <f t="shared" si="197"/>
        <v>a1b10c7d11</v>
      </c>
      <c r="H1046" s="12" t="str">
        <f t="shared" si="198"/>
        <v>MARÉa1b10c7d11</v>
      </c>
      <c r="I1046" s="12"/>
      <c r="J1046" s="12" t="s">
        <v>10495</v>
      </c>
      <c r="K1046" s="12" t="str">
        <f t="shared" si="199"/>
        <v>1807</v>
      </c>
      <c r="L1046" s="12"/>
      <c r="M1046" s="12"/>
      <c r="N1046" s="12" t="str">
        <f t="shared" si="204"/>
        <v>1807</v>
      </c>
      <c r="O1046" s="12" t="str">
        <f t="shared" si="205"/>
        <v/>
      </c>
      <c r="P1046" s="12" t="s">
        <v>5146</v>
      </c>
      <c r="Q1046" s="12" t="str">
        <f t="shared" si="200"/>
        <v>1807</v>
      </c>
      <c r="R1046" s="12" t="s">
        <v>10496</v>
      </c>
      <c r="S1046" s="12" t="str">
        <f t="shared" si="201"/>
        <v>1863</v>
      </c>
      <c r="T1046" s="12" t="s">
        <v>53</v>
      </c>
      <c r="U1046" s="12" t="s">
        <v>10497</v>
      </c>
      <c r="V1046" s="12" t="str">
        <f t="shared" si="202"/>
        <v>1832</v>
      </c>
      <c r="W1046" s="12" t="s">
        <v>10498</v>
      </c>
      <c r="X1046" s="12" t="s">
        <v>10499</v>
      </c>
      <c r="Y1046" s="12" t="s">
        <v>10500</v>
      </c>
      <c r="Z1046" s="12" t="s">
        <v>53</v>
      </c>
      <c r="AA1046" s="12" t="s">
        <v>10501</v>
      </c>
      <c r="AB1046" s="12"/>
      <c r="AC1046" s="12"/>
      <c r="AD1046" s="12" t="s">
        <v>1872</v>
      </c>
      <c r="AE1046" s="12" t="s">
        <v>10502</v>
      </c>
      <c r="AF1046" s="12" t="s">
        <v>9419</v>
      </c>
      <c r="AG1046" s="12" t="s">
        <v>53</v>
      </c>
      <c r="AH1046" s="12" t="s">
        <v>10503</v>
      </c>
      <c r="AI1046" s="12" t="str">
        <f t="shared" si="203"/>
        <v>1850</v>
      </c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</row>
    <row r="1047" spans="1:62">
      <c r="A1047" s="12" t="s">
        <v>10426</v>
      </c>
      <c r="B1047" s="12" t="str">
        <f t="shared" si="195"/>
        <v>MARÉ</v>
      </c>
      <c r="C1047" s="12" t="str">
        <f t="shared" si="196"/>
        <v>MARÉ</v>
      </c>
      <c r="D1047" s="12" t="s">
        <v>10464</v>
      </c>
      <c r="E1047" s="12" t="str">
        <f t="shared" si="206"/>
        <v>Jacob Phillip</v>
      </c>
      <c r="F1047" s="12" t="s">
        <v>10465</v>
      </c>
      <c r="G1047" s="12" t="str">
        <f t="shared" si="197"/>
        <v>a1b10c7d15</v>
      </c>
      <c r="H1047" s="12" t="str">
        <f t="shared" si="198"/>
        <v>MARÉa1b10c7d15</v>
      </c>
      <c r="I1047" s="12"/>
      <c r="J1047" s="12" t="s">
        <v>10466</v>
      </c>
      <c r="K1047" s="12" t="str">
        <f t="shared" si="199"/>
        <v>1817</v>
      </c>
      <c r="L1047" s="12" t="s">
        <v>53</v>
      </c>
      <c r="M1047" s="12" t="s">
        <v>10467</v>
      </c>
      <c r="N1047" s="12" t="str">
        <f t="shared" si="204"/>
        <v>1817</v>
      </c>
      <c r="O1047" s="12" t="str">
        <f t="shared" si="205"/>
        <v>1817</v>
      </c>
      <c r="P1047" s="12"/>
      <c r="Q1047" s="12" t="str">
        <f t="shared" si="200"/>
        <v>1817</v>
      </c>
      <c r="R1047" s="12"/>
      <c r="S1047" s="12" t="str">
        <f t="shared" si="201"/>
        <v/>
      </c>
      <c r="T1047" s="12" t="s">
        <v>5146</v>
      </c>
      <c r="U1047" s="12" t="s">
        <v>10468</v>
      </c>
      <c r="V1047" s="12" t="str">
        <f t="shared" si="202"/>
        <v>1839</v>
      </c>
      <c r="W1047" s="12" t="s">
        <v>10469</v>
      </c>
      <c r="X1047" s="12" t="s">
        <v>664</v>
      </c>
      <c r="Y1047" s="12" t="s">
        <v>10470</v>
      </c>
      <c r="Z1047" s="12"/>
      <c r="AA1047" s="12"/>
      <c r="AB1047" s="12"/>
      <c r="AC1047" s="12"/>
      <c r="AD1047" s="12"/>
      <c r="AE1047" s="12"/>
      <c r="AF1047" s="12" t="s">
        <v>10471</v>
      </c>
      <c r="AG1047" s="12" t="s">
        <v>53</v>
      </c>
      <c r="AH1047" s="12" t="s">
        <v>10472</v>
      </c>
      <c r="AI1047" s="12" t="str">
        <f t="shared" si="203"/>
        <v>1836</v>
      </c>
      <c r="AJ1047" s="12" t="s">
        <v>10473</v>
      </c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</row>
    <row r="1048" spans="1:62">
      <c r="A1048" s="12" t="s">
        <v>10426</v>
      </c>
      <c r="B1048" s="12" t="str">
        <f t="shared" si="195"/>
        <v>MARÉ</v>
      </c>
      <c r="C1048" s="5" t="str">
        <f t="shared" si="196"/>
        <v>MARÉ</v>
      </c>
      <c r="D1048" s="12" t="s">
        <v>10443</v>
      </c>
      <c r="E1048" s="12" t="str">
        <f t="shared" si="206"/>
        <v>Friedrik Korsten</v>
      </c>
      <c r="F1048" s="12" t="s">
        <v>10444</v>
      </c>
      <c r="G1048" s="12" t="str">
        <f t="shared" si="197"/>
        <v>a1b10c7d20</v>
      </c>
      <c r="H1048" s="12" t="str">
        <f t="shared" si="198"/>
        <v>MARÉa1b10c7d20</v>
      </c>
      <c r="I1048" s="2" t="s">
        <v>53</v>
      </c>
      <c r="J1048" s="12" t="s">
        <v>10445</v>
      </c>
      <c r="K1048" s="12" t="str">
        <f t="shared" si="199"/>
        <v>1821</v>
      </c>
      <c r="L1048" s="12" t="s">
        <v>53</v>
      </c>
      <c r="M1048" s="12" t="s">
        <v>10446</v>
      </c>
      <c r="N1048" s="12" t="str">
        <f t="shared" si="204"/>
        <v>1821</v>
      </c>
      <c r="O1048" s="12" t="str">
        <f t="shared" si="205"/>
        <v>1821</v>
      </c>
      <c r="P1048" s="12" t="s">
        <v>93</v>
      </c>
      <c r="Q1048" s="12" t="str">
        <f t="shared" si="200"/>
        <v>1821</v>
      </c>
      <c r="R1048" s="12" t="s">
        <v>10447</v>
      </c>
      <c r="S1048" s="12" t="str">
        <f t="shared" si="201"/>
        <v>1895</v>
      </c>
      <c r="T1048" s="12" t="s">
        <v>5146</v>
      </c>
      <c r="U1048" s="12" t="s">
        <v>10448</v>
      </c>
      <c r="V1048" s="12" t="str">
        <f t="shared" si="202"/>
        <v>1845</v>
      </c>
      <c r="W1048" s="12" t="s">
        <v>10449</v>
      </c>
      <c r="X1048" s="12" t="s">
        <v>760</v>
      </c>
      <c r="Y1048" s="2" t="s">
        <v>10450</v>
      </c>
      <c r="AA1048" s="12" t="s">
        <v>10451</v>
      </c>
      <c r="AB1048" s="12"/>
      <c r="AC1048" s="12"/>
      <c r="AF1048" s="12" t="s">
        <v>10452</v>
      </c>
      <c r="AG1048" s="12" t="s">
        <v>10453</v>
      </c>
      <c r="AH1048" s="12">
        <v>1838</v>
      </c>
      <c r="AI1048" s="12" t="str">
        <f t="shared" si="203"/>
        <v>1838</v>
      </c>
      <c r="AK1048" s="12"/>
      <c r="AN1048" s="12"/>
      <c r="AO1048" s="12"/>
    </row>
    <row r="1049" spans="1:62">
      <c r="A1049" s="12" t="s">
        <v>10426</v>
      </c>
      <c r="B1049" s="12" t="str">
        <f t="shared" si="195"/>
        <v>MARÉ</v>
      </c>
      <c r="C1049" s="5" t="str">
        <f t="shared" si="196"/>
        <v>MARÉ</v>
      </c>
      <c r="D1049" s="12" t="s">
        <v>10427</v>
      </c>
      <c r="E1049" s="12" t="str">
        <f t="shared" si="206"/>
        <v>Dietlof Siegfried Von Schönfeld</v>
      </c>
      <c r="F1049" s="12" t="s">
        <v>10428</v>
      </c>
      <c r="G1049" s="12" t="str">
        <f t="shared" si="197"/>
        <v>a1b10c7d21</v>
      </c>
      <c r="H1049" s="12" t="str">
        <f t="shared" si="198"/>
        <v>MARÉa1b10c7d21</v>
      </c>
      <c r="J1049" s="12" t="s">
        <v>10429</v>
      </c>
      <c r="K1049" s="12" t="str">
        <f t="shared" si="199"/>
        <v>1824</v>
      </c>
      <c r="L1049" s="2" t="s">
        <v>53</v>
      </c>
      <c r="M1049" s="12" t="s">
        <v>10430</v>
      </c>
      <c r="N1049" s="12" t="str">
        <f t="shared" si="204"/>
        <v>1824</v>
      </c>
      <c r="O1049" s="12" t="str">
        <f t="shared" si="205"/>
        <v>1824</v>
      </c>
      <c r="P1049" s="2" t="s">
        <v>10431</v>
      </c>
      <c r="Q1049" s="12" t="str">
        <f t="shared" si="200"/>
        <v>1824</v>
      </c>
      <c r="R1049" s="2" t="s">
        <v>10432</v>
      </c>
      <c r="S1049" s="12" t="str">
        <f t="shared" si="201"/>
        <v>1890</v>
      </c>
      <c r="T1049" s="12" t="s">
        <v>5146</v>
      </c>
      <c r="U1049" s="12" t="s">
        <v>10433</v>
      </c>
      <c r="V1049" s="12" t="str">
        <f t="shared" si="202"/>
        <v>1848</v>
      </c>
      <c r="W1049" s="12" t="s">
        <v>10434</v>
      </c>
      <c r="X1049" s="12" t="s">
        <v>2589</v>
      </c>
      <c r="Z1049" s="2" t="s">
        <v>10435</v>
      </c>
      <c r="AA1049" s="2" t="s">
        <v>10436</v>
      </c>
      <c r="AD1049" s="2" t="s">
        <v>10437</v>
      </c>
      <c r="AE1049" s="2" t="s">
        <v>10438</v>
      </c>
      <c r="AF1049" s="12" t="s">
        <v>9419</v>
      </c>
      <c r="AG1049" s="12" t="s">
        <v>53</v>
      </c>
      <c r="AH1049" s="12">
        <v>1838</v>
      </c>
      <c r="AI1049" s="12" t="str">
        <f t="shared" si="203"/>
        <v>1838</v>
      </c>
      <c r="AK1049" s="12"/>
      <c r="AL1049" s="12" t="s">
        <v>10437</v>
      </c>
      <c r="AM1049" s="12" t="s">
        <v>10439</v>
      </c>
      <c r="AN1049" s="12" t="s">
        <v>10440</v>
      </c>
      <c r="AO1049" s="12" t="s">
        <v>10441</v>
      </c>
      <c r="AQ1049" s="2" t="s">
        <v>1317</v>
      </c>
      <c r="AS1049" s="2" t="s">
        <v>10442</v>
      </c>
    </row>
    <row r="1050" spans="1:62">
      <c r="A1050" s="6" t="s">
        <v>1876</v>
      </c>
      <c r="B1050" s="12" t="str">
        <f t="shared" si="195"/>
        <v>MARE</v>
      </c>
      <c r="C1050" s="5" t="str">
        <f>TRIM(A1050)</f>
        <v>MARE</v>
      </c>
      <c r="D1050" s="12" t="s">
        <v>10520</v>
      </c>
      <c r="E1050" s="12" t="str">
        <f t="shared" si="206"/>
        <v>Wynand Wilhelmus</v>
      </c>
      <c r="F1050" s="12" t="s">
        <v>10521</v>
      </c>
      <c r="G1050" s="12" t="str">
        <f t="shared" si="197"/>
        <v>a1b10c7d7</v>
      </c>
      <c r="H1050" s="12" t="str">
        <f t="shared" si="198"/>
        <v>MAREa1b10c7d7</v>
      </c>
      <c r="J1050" s="2" t="s">
        <v>10522</v>
      </c>
      <c r="K1050" s="12" t="str">
        <f t="shared" si="199"/>
        <v>1801</v>
      </c>
      <c r="L1050" s="2" t="s">
        <v>542</v>
      </c>
      <c r="M1050" s="12" t="s">
        <v>10523</v>
      </c>
      <c r="N1050" s="12" t="str">
        <f t="shared" si="204"/>
        <v>1801</v>
      </c>
      <c r="O1050" s="12" t="str">
        <f t="shared" si="205"/>
        <v>1801</v>
      </c>
      <c r="Q1050" s="12" t="str">
        <f t="shared" si="200"/>
        <v>1801</v>
      </c>
      <c r="S1050" s="12" t="str">
        <f t="shared" si="201"/>
        <v/>
      </c>
      <c r="T1050" s="12" t="s">
        <v>53</v>
      </c>
      <c r="U1050" s="12" t="s">
        <v>10524</v>
      </c>
      <c r="V1050" s="12" t="str">
        <f t="shared" si="202"/>
        <v>1821</v>
      </c>
      <c r="W1050" s="12" t="s">
        <v>10525</v>
      </c>
      <c r="X1050" s="12" t="s">
        <v>5781</v>
      </c>
      <c r="Y1050" s="2" t="s">
        <v>10526</v>
      </c>
      <c r="AA1050" s="2" t="s">
        <v>10527</v>
      </c>
      <c r="AC1050" s="2" t="s">
        <v>10528</v>
      </c>
      <c r="AE1050" s="2" t="s">
        <v>10529</v>
      </c>
      <c r="AF1050" s="12" t="s">
        <v>10370</v>
      </c>
      <c r="AG1050" s="12" t="s">
        <v>53</v>
      </c>
      <c r="AH1050" s="12" t="s">
        <v>10530</v>
      </c>
      <c r="AI1050" s="12" t="str">
        <f t="shared" si="203"/>
        <v>1837</v>
      </c>
      <c r="AJ1050" s="2" t="s">
        <v>10359</v>
      </c>
    </row>
    <row r="1051" spans="1:62">
      <c r="A1051" s="6" t="s">
        <v>10514</v>
      </c>
      <c r="B1051" s="12" t="str">
        <f t="shared" si="195"/>
        <v>MARÉ/MAREE</v>
      </c>
      <c r="C1051" s="5" t="str">
        <f t="shared" si="196"/>
        <v>MARÉ/MAREE</v>
      </c>
      <c r="D1051" s="12" t="s">
        <v>175</v>
      </c>
      <c r="E1051" s="12" t="str">
        <f t="shared" si="206"/>
        <v>Petrus Jacobus</v>
      </c>
      <c r="F1051" s="12" t="s">
        <v>10515</v>
      </c>
      <c r="G1051" s="12" t="str">
        <f t="shared" si="197"/>
        <v>a1b1c4e3d7</v>
      </c>
      <c r="H1051" s="12" t="str">
        <f t="shared" si="198"/>
        <v>MARÉ/MAREEa1b1c4e3d7</v>
      </c>
      <c r="J1051" s="12"/>
      <c r="K1051" s="12" t="str">
        <f t="shared" si="199"/>
        <v/>
      </c>
      <c r="L1051" s="12"/>
      <c r="M1051" s="12"/>
      <c r="N1051" s="12" t="str">
        <f t="shared" si="204"/>
        <v/>
      </c>
      <c r="O1051" s="12" t="str">
        <f t="shared" si="205"/>
        <v/>
      </c>
      <c r="Q1051" s="12" t="str">
        <f t="shared" si="200"/>
        <v/>
      </c>
      <c r="S1051" s="12" t="str">
        <f t="shared" si="201"/>
        <v/>
      </c>
      <c r="T1051" s="12" t="s">
        <v>158</v>
      </c>
      <c r="U1051" s="12" t="s">
        <v>10516</v>
      </c>
      <c r="V1051" s="12" t="str">
        <f t="shared" si="202"/>
        <v>1825</v>
      </c>
      <c r="W1051" s="12" t="s">
        <v>2472</v>
      </c>
      <c r="X1051" s="12" t="s">
        <v>6870</v>
      </c>
      <c r="Y1051" s="2" t="s">
        <v>10517</v>
      </c>
      <c r="AC1051" s="2" t="s">
        <v>10518</v>
      </c>
      <c r="AF1051" s="12" t="s">
        <v>10519</v>
      </c>
      <c r="AG1051" s="12" t="s">
        <v>32</v>
      </c>
      <c r="AH1051" s="12"/>
      <c r="AI1051" s="12" t="str">
        <f t="shared" si="203"/>
        <v/>
      </c>
      <c r="AK1051" s="12"/>
      <c r="AL1051" s="12"/>
      <c r="AN1051" s="12"/>
      <c r="AO1051" s="12"/>
    </row>
    <row r="1052" spans="1:62">
      <c r="A1052" s="12" t="s">
        <v>1151</v>
      </c>
      <c r="B1052" s="12" t="str">
        <f t="shared" si="195"/>
        <v>MARITZ</v>
      </c>
      <c r="C1052" s="5" t="str">
        <f t="shared" si="196"/>
        <v>MARITZ</v>
      </c>
      <c r="D1052" s="12" t="s">
        <v>588</v>
      </c>
      <c r="E1052" s="12" t="str">
        <f t="shared" si="206"/>
        <v>Johannes Stephanus</v>
      </c>
      <c r="F1052" s="12" t="s">
        <v>10564</v>
      </c>
      <c r="G1052" s="12" t="str">
        <f t="shared" si="197"/>
        <v>a1b1c8d1</v>
      </c>
      <c r="H1052" s="12" t="str">
        <f t="shared" si="198"/>
        <v>MARITZa1b1c8d1</v>
      </c>
      <c r="J1052" s="12"/>
      <c r="K1052" s="12" t="str">
        <f t="shared" si="199"/>
        <v/>
      </c>
      <c r="L1052" s="12"/>
      <c r="M1052" s="12"/>
      <c r="N1052" s="12" t="str">
        <f t="shared" si="204"/>
        <v/>
      </c>
      <c r="O1052" s="12" t="str">
        <f t="shared" si="205"/>
        <v/>
      </c>
      <c r="P1052" s="2" t="s">
        <v>10565</v>
      </c>
      <c r="Q1052" s="12" t="str">
        <f t="shared" si="200"/>
        <v/>
      </c>
      <c r="R1052" s="12" t="s">
        <v>10566</v>
      </c>
      <c r="S1052" s="12" t="str">
        <f t="shared" si="201"/>
        <v>1857</v>
      </c>
      <c r="T1052" s="2" t="s">
        <v>74</v>
      </c>
      <c r="U1052" s="2" t="s">
        <v>6430</v>
      </c>
      <c r="V1052" s="12" t="str">
        <f t="shared" si="202"/>
        <v>1815</v>
      </c>
      <c r="W1052" s="12" t="s">
        <v>10567</v>
      </c>
      <c r="X1052" s="12" t="s">
        <v>631</v>
      </c>
      <c r="Y1052" s="12" t="s">
        <v>10568</v>
      </c>
      <c r="AA1052" s="12"/>
      <c r="AC1052" s="12" t="s">
        <v>10569</v>
      </c>
      <c r="AE1052" s="12"/>
      <c r="AF1052" s="12" t="s">
        <v>10370</v>
      </c>
      <c r="AG1052" s="12" t="s">
        <v>53</v>
      </c>
      <c r="AH1052" s="12" t="s">
        <v>2479</v>
      </c>
      <c r="AI1052" s="12" t="str">
        <f t="shared" si="203"/>
        <v>1836</v>
      </c>
      <c r="AJ1052" s="2" t="s">
        <v>3123</v>
      </c>
      <c r="AK1052" s="12"/>
      <c r="AN1052" s="2" t="s">
        <v>3331</v>
      </c>
      <c r="AO1052" s="2" t="s">
        <v>295</v>
      </c>
      <c r="AW1052" s="2" t="s">
        <v>5146</v>
      </c>
      <c r="AX1052" s="2" t="s">
        <v>10570</v>
      </c>
      <c r="AY1052" s="2" t="s">
        <v>7826</v>
      </c>
      <c r="AZ1052" s="2" t="s">
        <v>698</v>
      </c>
      <c r="BA1052" s="2" t="s">
        <v>10571</v>
      </c>
      <c r="BB1052" s="2" t="s">
        <v>10572</v>
      </c>
      <c r="BE1052" s="2" t="s">
        <v>10565</v>
      </c>
      <c r="BF1052" s="2" t="s">
        <v>10573</v>
      </c>
    </row>
    <row r="1053" spans="1:62">
      <c r="A1053" s="12" t="s">
        <v>1151</v>
      </c>
      <c r="B1053" s="12" t="str">
        <f t="shared" si="195"/>
        <v>MARITZ</v>
      </c>
      <c r="C1053" s="12" t="str">
        <f t="shared" si="196"/>
        <v>MARITZ</v>
      </c>
      <c r="D1053" s="12" t="s">
        <v>10588</v>
      </c>
      <c r="E1053" s="12" t="str">
        <f t="shared" si="206"/>
        <v>Salomon Gerhardus</v>
      </c>
      <c r="F1053" s="12" t="s">
        <v>10589</v>
      </c>
      <c r="G1053" s="12" t="str">
        <f t="shared" si="197"/>
        <v>a1b1c8d1e3</v>
      </c>
      <c r="H1053" s="12" t="str">
        <f t="shared" si="198"/>
        <v>MARITZa1b1c8d1e3</v>
      </c>
      <c r="J1053" s="12" t="s">
        <v>10590</v>
      </c>
      <c r="K1053" s="12" t="str">
        <f t="shared" si="199"/>
        <v>1821</v>
      </c>
      <c r="L1053" s="12" t="s">
        <v>53</v>
      </c>
      <c r="M1053" s="12" t="s">
        <v>10591</v>
      </c>
      <c r="N1053" s="12" t="str">
        <f t="shared" si="204"/>
        <v>1821</v>
      </c>
      <c r="O1053" s="12" t="str">
        <f t="shared" si="205"/>
        <v>1821</v>
      </c>
      <c r="P1053" s="12"/>
      <c r="Q1053" s="12" t="str">
        <f t="shared" si="200"/>
        <v>1821</v>
      </c>
      <c r="R1053" s="12"/>
      <c r="S1053" s="12" t="str">
        <f t="shared" si="201"/>
        <v/>
      </c>
      <c r="V1053" s="12" t="str">
        <f t="shared" si="202"/>
        <v/>
      </c>
      <c r="W1053" s="12" t="s">
        <v>1395</v>
      </c>
      <c r="X1053" s="12" t="s">
        <v>295</v>
      </c>
      <c r="Y1053" s="12" t="s">
        <v>10592</v>
      </c>
      <c r="AA1053" s="2" t="s">
        <v>10593</v>
      </c>
      <c r="AC1053" s="12" t="s">
        <v>10594</v>
      </c>
      <c r="AF1053" s="12" t="s">
        <v>10471</v>
      </c>
      <c r="AG1053" s="12" t="s">
        <v>53</v>
      </c>
      <c r="AH1053" s="12" t="s">
        <v>2479</v>
      </c>
      <c r="AI1053" s="12" t="str">
        <f t="shared" si="203"/>
        <v>1836</v>
      </c>
      <c r="AJ1053" s="2" t="s">
        <v>1696</v>
      </c>
      <c r="AK1053" s="12"/>
    </row>
    <row r="1054" spans="1:62">
      <c r="A1054" s="12" t="s">
        <v>1151</v>
      </c>
      <c r="B1054" s="12" t="str">
        <f t="shared" si="195"/>
        <v>MARITZ</v>
      </c>
      <c r="C1054" s="12" t="str">
        <f t="shared" si="196"/>
        <v>MARITZ</v>
      </c>
      <c r="D1054" s="12" t="s">
        <v>10574</v>
      </c>
      <c r="E1054" s="12" t="str">
        <f t="shared" si="206"/>
        <v>Johannes Stephanus Jr</v>
      </c>
      <c r="F1054" s="12" t="s">
        <v>8953</v>
      </c>
      <c r="G1054" s="12" t="str">
        <f t="shared" si="197"/>
        <v>a1b1c8d1e5</v>
      </c>
      <c r="H1054" s="12" t="str">
        <f t="shared" si="198"/>
        <v>MARITZa1b1c8d1e5</v>
      </c>
      <c r="J1054" s="2" t="s">
        <v>10575</v>
      </c>
      <c r="K1054" s="12" t="str">
        <f t="shared" si="199"/>
        <v>1826</v>
      </c>
      <c r="L1054" s="2" t="s">
        <v>53</v>
      </c>
      <c r="M1054" s="12" t="s">
        <v>10576</v>
      </c>
      <c r="N1054" s="12" t="str">
        <f t="shared" si="204"/>
        <v>1826</v>
      </c>
      <c r="O1054" s="12" t="str">
        <f t="shared" si="205"/>
        <v>1826</v>
      </c>
      <c r="P1054" s="12" t="s">
        <v>597</v>
      </c>
      <c r="Q1054" s="12" t="str">
        <f t="shared" si="200"/>
        <v>1826</v>
      </c>
      <c r="R1054" s="12" t="s">
        <v>10577</v>
      </c>
      <c r="S1054" s="12" t="str">
        <f t="shared" si="201"/>
        <v>1863</v>
      </c>
      <c r="T1054" s="12" t="s">
        <v>5146</v>
      </c>
      <c r="U1054" s="12" t="s">
        <v>10578</v>
      </c>
      <c r="V1054" s="12" t="str">
        <f t="shared" si="202"/>
        <v>1848</v>
      </c>
      <c r="W1054" s="12" t="s">
        <v>10579</v>
      </c>
      <c r="X1054" s="12" t="s">
        <v>1151</v>
      </c>
      <c r="AC1054" s="12"/>
      <c r="AF1054" s="12" t="s">
        <v>10370</v>
      </c>
      <c r="AG1054" s="12" t="s">
        <v>53</v>
      </c>
      <c r="AH1054" s="12" t="s">
        <v>2479</v>
      </c>
      <c r="AI1054" s="12" t="str">
        <f t="shared" si="203"/>
        <v>1836</v>
      </c>
      <c r="AJ1054" s="2" t="s">
        <v>1696</v>
      </c>
      <c r="AK1054" s="12"/>
      <c r="AL1054" s="12" t="s">
        <v>90</v>
      </c>
      <c r="AM1054" s="12"/>
      <c r="AN1054" s="12" t="s">
        <v>10580</v>
      </c>
      <c r="AO1054" s="12" t="s">
        <v>1586</v>
      </c>
      <c r="AP1054" s="12"/>
      <c r="AT1054" s="12"/>
    </row>
    <row r="1055" spans="1:62">
      <c r="A1055" s="12" t="s">
        <v>1151</v>
      </c>
      <c r="B1055" s="12" t="str">
        <f t="shared" si="195"/>
        <v>MARITZ</v>
      </c>
      <c r="C1055" s="12" t="str">
        <f t="shared" si="196"/>
        <v>MARITZ</v>
      </c>
      <c r="D1055" s="12" t="s">
        <v>10554</v>
      </c>
      <c r="E1055" s="12" t="str">
        <f t="shared" si="206"/>
        <v>Gerhardus Marthinus</v>
      </c>
      <c r="F1055" s="12" t="s">
        <v>10555</v>
      </c>
      <c r="G1055" s="12" t="str">
        <f t="shared" si="197"/>
        <v>a1b1c8d2</v>
      </c>
      <c r="H1055" s="12" t="str">
        <f t="shared" si="198"/>
        <v>MARITZa1b1c8d2</v>
      </c>
      <c r="J1055" s="2" t="s">
        <v>10556</v>
      </c>
      <c r="K1055" s="12" t="str">
        <f t="shared" si="199"/>
        <v>1797</v>
      </c>
      <c r="L1055" s="2" t="s">
        <v>48</v>
      </c>
      <c r="M1055" s="12" t="s">
        <v>10557</v>
      </c>
      <c r="N1055" s="12" t="str">
        <f t="shared" si="204"/>
        <v>1797</v>
      </c>
      <c r="O1055" s="12" t="str">
        <f t="shared" si="205"/>
        <v>1798</v>
      </c>
      <c r="P1055" s="12" t="s">
        <v>10558</v>
      </c>
      <c r="Q1055" s="12" t="str">
        <f t="shared" si="200"/>
        <v>1797</v>
      </c>
      <c r="R1055" s="12" t="s">
        <v>10559</v>
      </c>
      <c r="S1055" s="12" t="str">
        <f t="shared" si="201"/>
        <v>1838</v>
      </c>
      <c r="T1055" s="12" t="s">
        <v>74</v>
      </c>
      <c r="U1055" s="12" t="s">
        <v>6983</v>
      </c>
      <c r="V1055" s="12" t="str">
        <f t="shared" si="202"/>
        <v>1820</v>
      </c>
      <c r="W1055" s="12" t="s">
        <v>10560</v>
      </c>
      <c r="X1055" s="12" t="s">
        <v>618</v>
      </c>
      <c r="Y1055" s="2" t="s">
        <v>10561</v>
      </c>
      <c r="AC1055" s="2" t="s">
        <v>77</v>
      </c>
      <c r="AD1055" s="12" t="s">
        <v>5146</v>
      </c>
      <c r="AE1055" s="2" t="s">
        <v>10562</v>
      </c>
      <c r="AF1055" s="12" t="s">
        <v>74</v>
      </c>
      <c r="AG1055" s="12"/>
      <c r="AH1055" s="12" t="s">
        <v>10563</v>
      </c>
      <c r="AI1055" s="12" t="str">
        <f t="shared" si="203"/>
        <v>1839</v>
      </c>
      <c r="AJ1055" s="12" t="s">
        <v>3123</v>
      </c>
      <c r="AK1055" s="12"/>
      <c r="AL1055" s="12"/>
      <c r="AM1055" s="12"/>
      <c r="AN1055" s="12"/>
      <c r="AO1055" s="12"/>
      <c r="AP1055" s="12"/>
      <c r="AU1055" s="12"/>
      <c r="AW1055" s="12"/>
      <c r="AX1055" s="12"/>
      <c r="AY1055" s="12"/>
      <c r="AZ1055" s="12"/>
      <c r="BE1055" s="12"/>
      <c r="BF1055" s="12"/>
    </row>
    <row r="1056" spans="1:62">
      <c r="A1056" s="12" t="s">
        <v>1151</v>
      </c>
      <c r="B1056" s="12" t="str">
        <f t="shared" si="195"/>
        <v>MARITZ</v>
      </c>
      <c r="C1056" s="12" t="str">
        <f t="shared" si="196"/>
        <v>MARITZ</v>
      </c>
      <c r="D1056" s="12" t="s">
        <v>10595</v>
      </c>
      <c r="E1056" s="12" t="str">
        <f t="shared" si="206"/>
        <v>Salomon Stephanus</v>
      </c>
      <c r="F1056" s="12" t="s">
        <v>10596</v>
      </c>
      <c r="G1056" s="12" t="str">
        <f t="shared" si="197"/>
        <v>a1b1c8d2e1</v>
      </c>
      <c r="H1056" s="12" t="str">
        <f t="shared" si="198"/>
        <v>MARITZa1b1c8d2e1</v>
      </c>
      <c r="J1056" s="2" t="s">
        <v>10597</v>
      </c>
      <c r="K1056" s="12" t="str">
        <f t="shared" si="199"/>
        <v>1821</v>
      </c>
      <c r="L1056" s="2" t="s">
        <v>74</v>
      </c>
      <c r="M1056" s="12" t="s">
        <v>10598</v>
      </c>
      <c r="N1056" s="12" t="str">
        <f t="shared" si="204"/>
        <v>1821</v>
      </c>
      <c r="O1056" s="12" t="str">
        <f t="shared" si="205"/>
        <v>1822</v>
      </c>
      <c r="P1056" s="12" t="s">
        <v>90</v>
      </c>
      <c r="Q1056" s="12" t="str">
        <f t="shared" si="200"/>
        <v>1821</v>
      </c>
      <c r="R1056" s="12" t="s">
        <v>10599</v>
      </c>
      <c r="S1056" s="12" t="str">
        <f t="shared" si="201"/>
        <v>1895</v>
      </c>
      <c r="T1056" s="2" t="s">
        <v>5146</v>
      </c>
      <c r="U1056" s="2" t="s">
        <v>10600</v>
      </c>
      <c r="V1056" s="12" t="str">
        <f t="shared" si="202"/>
        <v>1839</v>
      </c>
      <c r="W1056" s="12" t="s">
        <v>10601</v>
      </c>
      <c r="X1056" s="12" t="s">
        <v>295</v>
      </c>
      <c r="Y1056" s="2" t="s">
        <v>10602</v>
      </c>
      <c r="AA1056" s="2" t="s">
        <v>10603</v>
      </c>
      <c r="AC1056" s="2" t="s">
        <v>10604</v>
      </c>
      <c r="AE1056" s="12" t="s">
        <v>10605</v>
      </c>
      <c r="AF1056" s="12" t="s">
        <v>74</v>
      </c>
      <c r="AG1056" s="12"/>
      <c r="AH1056" s="12" t="s">
        <v>10606</v>
      </c>
      <c r="AI1056" s="12" t="str">
        <f t="shared" si="203"/>
        <v>1836</v>
      </c>
      <c r="AJ1056" s="2" t="s">
        <v>10539</v>
      </c>
      <c r="AM1056" s="2" t="s">
        <v>10607</v>
      </c>
      <c r="AN1056" s="2" t="s">
        <v>10608</v>
      </c>
      <c r="AO1056" s="2" t="s">
        <v>697</v>
      </c>
    </row>
    <row r="1057" spans="1:59">
      <c r="A1057" s="12" t="s">
        <v>1151</v>
      </c>
      <c r="B1057" s="12" t="str">
        <f t="shared" si="195"/>
        <v>MARITZ</v>
      </c>
      <c r="C1057" s="12" t="str">
        <f t="shared" si="196"/>
        <v>MARITZ</v>
      </c>
      <c r="D1057" s="12" t="s">
        <v>10531</v>
      </c>
      <c r="E1057" s="12" t="str">
        <f t="shared" si="206"/>
        <v>Cornelis Johannes Francois</v>
      </c>
      <c r="F1057" s="12" t="s">
        <v>10532</v>
      </c>
      <c r="G1057" s="12" t="str">
        <f t="shared" si="197"/>
        <v>a1b1c8d2e2</v>
      </c>
      <c r="H1057" s="12" t="str">
        <f t="shared" si="198"/>
        <v>MARITZa1b1c8d2e2</v>
      </c>
      <c r="J1057" s="12" t="s">
        <v>10533</v>
      </c>
      <c r="K1057" s="12" t="str">
        <f t="shared" si="199"/>
        <v>1823</v>
      </c>
      <c r="L1057" s="2" t="s">
        <v>74</v>
      </c>
      <c r="M1057" s="12" t="s">
        <v>10534</v>
      </c>
      <c r="N1057" s="12" t="str">
        <f t="shared" si="204"/>
        <v>1823</v>
      </c>
      <c r="O1057" s="12" t="str">
        <f t="shared" si="205"/>
        <v>1823</v>
      </c>
      <c r="Q1057" s="12" t="str">
        <f t="shared" si="200"/>
        <v>1823</v>
      </c>
      <c r="R1057" s="12" t="s">
        <v>10535</v>
      </c>
      <c r="S1057" s="12" t="str">
        <f t="shared" si="201"/>
        <v>1906</v>
      </c>
      <c r="U1057" s="2" t="s">
        <v>10536</v>
      </c>
      <c r="V1057" s="12" t="str">
        <f t="shared" si="202"/>
        <v>1845</v>
      </c>
      <c r="W1057" s="12" t="s">
        <v>1611</v>
      </c>
      <c r="X1057" s="12" t="s">
        <v>695</v>
      </c>
      <c r="Y1057" s="12" t="s">
        <v>10537</v>
      </c>
      <c r="AA1057" s="12"/>
      <c r="AC1057" s="12"/>
      <c r="AE1057" s="12"/>
      <c r="AF1057" s="12" t="s">
        <v>74</v>
      </c>
      <c r="AG1057" s="12"/>
      <c r="AH1057" s="12" t="s">
        <v>10538</v>
      </c>
      <c r="AI1057" s="12" t="str">
        <f t="shared" si="203"/>
        <v>1836</v>
      </c>
      <c r="AJ1057" s="2" t="s">
        <v>10539</v>
      </c>
      <c r="AK1057" s="12"/>
      <c r="AM1057" s="12"/>
      <c r="AN1057" s="12"/>
      <c r="AO1057" s="12"/>
      <c r="AP1057" s="12"/>
    </row>
    <row r="1058" spans="1:59">
      <c r="A1058" s="12" t="s">
        <v>1151</v>
      </c>
      <c r="B1058" s="12" t="str">
        <f t="shared" si="195"/>
        <v>MARITZ</v>
      </c>
      <c r="C1058" s="12" t="str">
        <f t="shared" si="196"/>
        <v>MARITZ</v>
      </c>
      <c r="D1058" s="12" t="s">
        <v>10546</v>
      </c>
      <c r="E1058" s="12" t="str">
        <f t="shared" si="206"/>
        <v>Gerhardus Jacobus</v>
      </c>
      <c r="F1058" s="12" t="s">
        <v>10547</v>
      </c>
      <c r="G1058" s="12" t="str">
        <f t="shared" si="197"/>
        <v>a1b1c8d2e4</v>
      </c>
      <c r="H1058" s="12" t="str">
        <f t="shared" si="198"/>
        <v>MARITZa1b1c8d2e4</v>
      </c>
      <c r="J1058" s="12" t="s">
        <v>10548</v>
      </c>
      <c r="K1058" s="12" t="str">
        <f t="shared" si="199"/>
        <v>1825</v>
      </c>
      <c r="L1058" s="2" t="s">
        <v>74</v>
      </c>
      <c r="M1058" s="2" t="s">
        <v>10549</v>
      </c>
      <c r="N1058" s="12" t="str">
        <f t="shared" si="204"/>
        <v>1825</v>
      </c>
      <c r="O1058" s="12" t="str">
        <f t="shared" si="205"/>
        <v>1825</v>
      </c>
      <c r="Q1058" s="12" t="str">
        <f t="shared" si="200"/>
        <v>1825</v>
      </c>
      <c r="S1058" s="12" t="str">
        <f t="shared" si="201"/>
        <v/>
      </c>
      <c r="T1058" s="12" t="s">
        <v>5146</v>
      </c>
      <c r="U1058" s="12" t="s">
        <v>10550</v>
      </c>
      <c r="V1058" s="12" t="str">
        <f t="shared" si="202"/>
        <v>1845</v>
      </c>
      <c r="W1058" s="12" t="s">
        <v>10551</v>
      </c>
      <c r="X1058" s="12" t="s">
        <v>295</v>
      </c>
      <c r="Y1058" s="2" t="s">
        <v>10552</v>
      </c>
      <c r="AF1058" s="12" t="s">
        <v>74</v>
      </c>
      <c r="AG1058" s="12"/>
      <c r="AH1058" s="12" t="s">
        <v>10553</v>
      </c>
      <c r="AI1058" s="12" t="str">
        <f t="shared" si="203"/>
        <v>1838</v>
      </c>
      <c r="AJ1058" s="2" t="s">
        <v>10539</v>
      </c>
      <c r="AM1058" s="12"/>
      <c r="AN1058" s="12"/>
      <c r="AO1058" s="12"/>
      <c r="AY1058" s="12"/>
      <c r="AZ1058" s="12"/>
    </row>
    <row r="1059" spans="1:59">
      <c r="A1059" s="12" t="s">
        <v>1151</v>
      </c>
      <c r="B1059" s="12" t="str">
        <f t="shared" si="195"/>
        <v>MARITZ</v>
      </c>
      <c r="C1059" s="12" t="str">
        <f t="shared" si="196"/>
        <v>MARITZ</v>
      </c>
      <c r="D1059" s="12" t="s">
        <v>6573</v>
      </c>
      <c r="E1059" s="12" t="str">
        <f t="shared" si="206"/>
        <v>Salomon</v>
      </c>
      <c r="F1059" s="12" t="s">
        <v>10581</v>
      </c>
      <c r="G1059" s="12" t="str">
        <f t="shared" si="197"/>
        <v>a1b1c8d5</v>
      </c>
      <c r="H1059" s="12" t="str">
        <f t="shared" si="198"/>
        <v>MARITZa1b1c8d5</v>
      </c>
      <c r="J1059" s="12"/>
      <c r="K1059" s="12" t="str">
        <f t="shared" si="199"/>
        <v/>
      </c>
      <c r="L1059" s="12" t="s">
        <v>961</v>
      </c>
      <c r="M1059" s="12" t="s">
        <v>10582</v>
      </c>
      <c r="N1059" s="12" t="str">
        <f t="shared" si="204"/>
        <v/>
      </c>
      <c r="O1059" s="12" t="str">
        <f t="shared" si="205"/>
        <v>1805</v>
      </c>
      <c r="Q1059" s="12" t="str">
        <f t="shared" si="200"/>
        <v>1805</v>
      </c>
      <c r="S1059" s="12" t="str">
        <f t="shared" si="201"/>
        <v/>
      </c>
      <c r="U1059" s="2" t="s">
        <v>10583</v>
      </c>
      <c r="V1059" s="12" t="str">
        <f t="shared" si="202"/>
        <v>1823</v>
      </c>
      <c r="W1059" s="12" t="s">
        <v>10584</v>
      </c>
      <c r="X1059" s="12" t="s">
        <v>3799</v>
      </c>
      <c r="Y1059" s="2" t="s">
        <v>10585</v>
      </c>
      <c r="AC1059" s="2" t="s">
        <v>10586</v>
      </c>
      <c r="AF1059" s="12" t="s">
        <v>10370</v>
      </c>
      <c r="AG1059" s="12" t="s">
        <v>53</v>
      </c>
      <c r="AH1059" s="12" t="s">
        <v>10587</v>
      </c>
      <c r="AI1059" s="12" t="str">
        <f t="shared" si="203"/>
        <v>1837</v>
      </c>
      <c r="AJ1059" s="2" t="s">
        <v>10473</v>
      </c>
      <c r="AK1059" s="12"/>
      <c r="AL1059" s="12"/>
      <c r="AM1059" s="12"/>
      <c r="AN1059" s="12"/>
      <c r="AO1059" s="12"/>
      <c r="AP1059" s="12"/>
      <c r="AT1059" s="12"/>
    </row>
    <row r="1060" spans="1:59">
      <c r="A1060" s="12" t="s">
        <v>1151</v>
      </c>
      <c r="B1060" s="12" t="str">
        <f t="shared" si="195"/>
        <v>MARITZ</v>
      </c>
      <c r="C1060" s="12" t="str">
        <f t="shared" si="196"/>
        <v>MARITZ</v>
      </c>
      <c r="D1060" s="12" t="s">
        <v>10540</v>
      </c>
      <c r="E1060" s="12" t="str">
        <f t="shared" si="206"/>
        <v>Francois Ignatius</v>
      </c>
      <c r="F1060" s="12" t="s">
        <v>10541</v>
      </c>
      <c r="G1060" s="12" t="str">
        <f t="shared" si="197"/>
        <v>a1b1c8d6</v>
      </c>
      <c r="H1060" s="12" t="str">
        <f t="shared" si="198"/>
        <v>MARITZa1b1c8d6</v>
      </c>
      <c r="I1060" s="12"/>
      <c r="J1060" s="12" t="s">
        <v>10542</v>
      </c>
      <c r="K1060" s="12" t="str">
        <f t="shared" si="199"/>
        <v>1805</v>
      </c>
      <c r="L1060" s="12" t="s">
        <v>74</v>
      </c>
      <c r="M1060" s="12" t="s">
        <v>10543</v>
      </c>
      <c r="N1060" s="12" t="str">
        <f t="shared" si="204"/>
        <v>1805</v>
      </c>
      <c r="O1060" s="12" t="str">
        <f t="shared" si="205"/>
        <v>1807</v>
      </c>
      <c r="P1060" s="12"/>
      <c r="Q1060" s="12" t="str">
        <f t="shared" si="200"/>
        <v>1805</v>
      </c>
      <c r="R1060" s="12"/>
      <c r="S1060" s="12" t="str">
        <f t="shared" si="201"/>
        <v/>
      </c>
      <c r="T1060" s="12" t="s">
        <v>53</v>
      </c>
      <c r="U1060" s="12" t="s">
        <v>10544</v>
      </c>
      <c r="V1060" s="12" t="str">
        <f t="shared" si="202"/>
        <v>1826</v>
      </c>
      <c r="W1060" s="12" t="s">
        <v>7034</v>
      </c>
      <c r="X1060" s="12" t="s">
        <v>775</v>
      </c>
      <c r="Y1060" s="12" t="s">
        <v>5817</v>
      </c>
      <c r="Z1060" s="12"/>
      <c r="AA1060" s="12"/>
      <c r="AB1060" s="12"/>
      <c r="AC1060" s="12" t="s">
        <v>9269</v>
      </c>
      <c r="AD1060" s="12"/>
      <c r="AE1060" s="12"/>
      <c r="AF1060" s="12" t="s">
        <v>74</v>
      </c>
      <c r="AG1060" s="12"/>
      <c r="AH1060" s="12" t="s">
        <v>10545</v>
      </c>
      <c r="AI1060" s="12" t="str">
        <f t="shared" si="203"/>
        <v>1837</v>
      </c>
      <c r="AJ1060" s="12" t="s">
        <v>10539</v>
      </c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</row>
    <row r="1061" spans="1:59">
      <c r="A1061" s="12" t="s">
        <v>10609</v>
      </c>
      <c r="B1061" s="12" t="str">
        <f t="shared" si="195"/>
        <v>MARNEWECK</v>
      </c>
      <c r="C1061" s="12" t="str">
        <f t="shared" si="196"/>
        <v>MARNEWECK</v>
      </c>
      <c r="D1061" s="12" t="s">
        <v>10610</v>
      </c>
      <c r="E1061" s="12" t="str">
        <f t="shared" si="206"/>
        <v>Johan Coenraad</v>
      </c>
      <c r="F1061" s="12" t="s">
        <v>837</v>
      </c>
      <c r="G1061" s="12" t="str">
        <f t="shared" si="197"/>
        <v>a1b1</v>
      </c>
      <c r="H1061" s="12" t="str">
        <f t="shared" si="198"/>
        <v>MARNEWECKa1b1</v>
      </c>
      <c r="J1061" s="12"/>
      <c r="K1061" s="12" t="str">
        <f t="shared" si="199"/>
        <v/>
      </c>
      <c r="L1061" s="12"/>
      <c r="M1061" s="12" t="s">
        <v>10611</v>
      </c>
      <c r="N1061" s="12" t="str">
        <f t="shared" si="204"/>
        <v/>
      </c>
      <c r="O1061" s="12" t="str">
        <f t="shared" si="205"/>
        <v>1785</v>
      </c>
      <c r="Q1061" s="12" t="str">
        <f t="shared" si="200"/>
        <v>1785</v>
      </c>
      <c r="S1061" s="12" t="str">
        <f t="shared" si="201"/>
        <v/>
      </c>
      <c r="T1061" s="12" t="s">
        <v>32</v>
      </c>
      <c r="U1061" s="12" t="s">
        <v>10612</v>
      </c>
      <c r="V1061" s="12" t="str">
        <f t="shared" si="202"/>
        <v>1813</v>
      </c>
      <c r="W1061" s="12" t="s">
        <v>10613</v>
      </c>
      <c r="X1061" s="12" t="s">
        <v>3777</v>
      </c>
      <c r="Y1061" s="2" t="s">
        <v>10614</v>
      </c>
      <c r="AC1061" s="2" t="s">
        <v>1914</v>
      </c>
      <c r="AF1061" s="12"/>
      <c r="AG1061" s="12" t="s">
        <v>199</v>
      </c>
      <c r="AH1061" s="12" t="s">
        <v>5445</v>
      </c>
      <c r="AI1061" s="12" t="str">
        <f t="shared" si="203"/>
        <v>1839</v>
      </c>
      <c r="AK1061" s="12"/>
      <c r="AL1061" s="12" t="s">
        <v>199</v>
      </c>
      <c r="AM1061" s="12" t="s">
        <v>10615</v>
      </c>
      <c r="AN1061" s="12" t="s">
        <v>10616</v>
      </c>
      <c r="AO1061" s="12" t="s">
        <v>789</v>
      </c>
      <c r="AP1061" s="12"/>
      <c r="AS1061" s="12"/>
      <c r="AT1061" s="12"/>
      <c r="AW1061" s="2" t="s">
        <v>5146</v>
      </c>
      <c r="AX1061" s="2" t="s">
        <v>10617</v>
      </c>
      <c r="AY1061" s="2" t="s">
        <v>649</v>
      </c>
      <c r="AZ1061" s="2" t="s">
        <v>1292</v>
      </c>
      <c r="BA1061" s="2" t="s">
        <v>2257</v>
      </c>
    </row>
    <row r="1062" spans="1:59">
      <c r="A1062" s="12" t="s">
        <v>10609</v>
      </c>
      <c r="B1062" s="12" t="str">
        <f t="shared" si="195"/>
        <v>MARNEWECK</v>
      </c>
      <c r="C1062" s="12" t="str">
        <f t="shared" si="196"/>
        <v>MARNEWECK</v>
      </c>
      <c r="D1062" s="12" t="s">
        <v>10610</v>
      </c>
      <c r="E1062" s="12" t="str">
        <f t="shared" si="206"/>
        <v>Johan Coenraad</v>
      </c>
      <c r="F1062" s="12" t="s">
        <v>934</v>
      </c>
      <c r="G1062" s="12" t="str">
        <f t="shared" si="197"/>
        <v>a1b1c2</v>
      </c>
      <c r="H1062" s="12" t="str">
        <f t="shared" si="198"/>
        <v>MARNEWECKa1b1c2</v>
      </c>
      <c r="J1062" s="12" t="s">
        <v>10618</v>
      </c>
      <c r="K1062" s="12" t="str">
        <f t="shared" si="199"/>
        <v>1817</v>
      </c>
      <c r="L1062" s="2" t="s">
        <v>199</v>
      </c>
      <c r="M1062" s="12" t="s">
        <v>10619</v>
      </c>
      <c r="N1062" s="12" t="str">
        <f t="shared" si="204"/>
        <v>1817</v>
      </c>
      <c r="O1062" s="12" t="str">
        <f t="shared" si="205"/>
        <v>1817</v>
      </c>
      <c r="Q1062" s="12" t="str">
        <f t="shared" si="200"/>
        <v>1817</v>
      </c>
      <c r="S1062" s="12" t="str">
        <f t="shared" si="201"/>
        <v/>
      </c>
      <c r="T1062" s="12" t="s">
        <v>5146</v>
      </c>
      <c r="U1062" s="2" t="s">
        <v>10617</v>
      </c>
      <c r="V1062" s="12" t="str">
        <f t="shared" si="202"/>
        <v>1840</v>
      </c>
      <c r="W1062" s="12" t="s">
        <v>649</v>
      </c>
      <c r="X1062" s="12" t="s">
        <v>731</v>
      </c>
      <c r="Y1062" s="12" t="s">
        <v>10620</v>
      </c>
      <c r="AA1062" s="12" t="s">
        <v>10621</v>
      </c>
      <c r="AB1062" s="2" t="s">
        <v>366</v>
      </c>
      <c r="AC1062" s="12" t="s">
        <v>5793</v>
      </c>
      <c r="AE1062" s="12"/>
      <c r="AF1062" s="12"/>
      <c r="AG1062" s="12" t="s">
        <v>10622</v>
      </c>
      <c r="AH1062" s="12"/>
      <c r="AI1062" s="12" t="str">
        <f t="shared" si="203"/>
        <v/>
      </c>
      <c r="AK1062" s="12"/>
    </row>
    <row r="1063" spans="1:59">
      <c r="A1063" s="12" t="s">
        <v>4393</v>
      </c>
      <c r="B1063" s="12" t="str">
        <f t="shared" si="195"/>
        <v>MARX</v>
      </c>
      <c r="C1063" s="12" t="str">
        <f t="shared" si="196"/>
        <v>MARX</v>
      </c>
      <c r="D1063" s="12" t="s">
        <v>201</v>
      </c>
      <c r="E1063" s="12" t="str">
        <f t="shared" si="206"/>
        <v>Petrus Johannes</v>
      </c>
      <c r="F1063" s="12" t="s">
        <v>10644</v>
      </c>
      <c r="G1063" s="12" t="str">
        <f t="shared" si="197"/>
        <v>a1b3c6d1</v>
      </c>
      <c r="H1063" s="12" t="str">
        <f t="shared" si="198"/>
        <v>MARXa1b3c6d1</v>
      </c>
      <c r="I1063" s="12"/>
      <c r="J1063" s="12"/>
      <c r="K1063" s="12" t="str">
        <f t="shared" si="199"/>
        <v/>
      </c>
      <c r="L1063" s="12"/>
      <c r="M1063" s="12" t="s">
        <v>6013</v>
      </c>
      <c r="N1063" s="12" t="str">
        <f t="shared" si="204"/>
        <v/>
      </c>
      <c r="O1063" s="12" t="str">
        <f t="shared" si="205"/>
        <v>1805</v>
      </c>
      <c r="P1063" s="12"/>
      <c r="Q1063" s="12" t="str">
        <f t="shared" si="200"/>
        <v>1805</v>
      </c>
      <c r="R1063" s="12"/>
      <c r="S1063" s="12" t="str">
        <f t="shared" si="201"/>
        <v/>
      </c>
      <c r="T1063" s="12" t="s">
        <v>53</v>
      </c>
      <c r="U1063" s="12" t="s">
        <v>10645</v>
      </c>
      <c r="V1063" s="12" t="str">
        <f t="shared" si="202"/>
        <v>1827</v>
      </c>
      <c r="W1063" s="12" t="s">
        <v>8163</v>
      </c>
      <c r="X1063" s="12" t="s">
        <v>4393</v>
      </c>
      <c r="Y1063" s="12"/>
      <c r="Z1063" s="12"/>
      <c r="AA1063" s="12"/>
      <c r="AB1063" s="12"/>
      <c r="AC1063" s="12"/>
      <c r="AD1063" s="12"/>
      <c r="AE1063" s="12"/>
      <c r="AF1063" s="12"/>
      <c r="AG1063" s="12" t="s">
        <v>53</v>
      </c>
      <c r="AH1063" s="12"/>
      <c r="AI1063" s="12" t="str">
        <f t="shared" si="203"/>
        <v/>
      </c>
      <c r="AJ1063" s="12"/>
      <c r="AK1063" s="12"/>
      <c r="AL1063" s="12"/>
      <c r="AM1063" s="12"/>
      <c r="AN1063" s="12" t="s">
        <v>10646</v>
      </c>
      <c r="AO1063" s="12" t="s">
        <v>10647</v>
      </c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</row>
    <row r="1064" spans="1:59">
      <c r="A1064" s="12" t="s">
        <v>4393</v>
      </c>
      <c r="B1064" s="12" t="str">
        <f t="shared" si="195"/>
        <v>MARX</v>
      </c>
      <c r="C1064" s="12" t="str">
        <f t="shared" si="196"/>
        <v>MARX</v>
      </c>
      <c r="D1064" s="12" t="s">
        <v>10623</v>
      </c>
      <c r="E1064" s="12" t="str">
        <f t="shared" si="206"/>
        <v>Frans Engelbertus</v>
      </c>
      <c r="F1064" s="12" t="s">
        <v>5561</v>
      </c>
      <c r="G1064" s="12" t="str">
        <f t="shared" si="197"/>
        <v>a1b3c6d4</v>
      </c>
      <c r="H1064" s="12" t="str">
        <f t="shared" si="198"/>
        <v>MARXa1b3c6d4</v>
      </c>
      <c r="J1064" s="12"/>
      <c r="K1064" s="12" t="str">
        <f t="shared" si="199"/>
        <v/>
      </c>
      <c r="L1064" s="12"/>
      <c r="M1064" s="12" t="s">
        <v>10624</v>
      </c>
      <c r="N1064" s="12" t="str">
        <f t="shared" si="204"/>
        <v/>
      </c>
      <c r="O1064" s="12" t="str">
        <f t="shared" si="205"/>
        <v>1811</v>
      </c>
      <c r="P1064" s="2" t="s">
        <v>190</v>
      </c>
      <c r="Q1064" s="12" t="str">
        <f t="shared" si="200"/>
        <v>1811</v>
      </c>
      <c r="R1064" s="2" t="s">
        <v>10625</v>
      </c>
      <c r="S1064" s="12" t="str">
        <f t="shared" si="201"/>
        <v>1881</v>
      </c>
      <c r="V1064" s="12" t="str">
        <f t="shared" si="202"/>
        <v/>
      </c>
      <c r="W1064" s="12" t="s">
        <v>819</v>
      </c>
      <c r="X1064" s="12" t="s">
        <v>694</v>
      </c>
      <c r="Y1064" s="12" t="s">
        <v>10626</v>
      </c>
      <c r="AA1064" s="12"/>
      <c r="AB1064" s="12"/>
      <c r="AC1064" s="12" t="s">
        <v>10627</v>
      </c>
      <c r="AE1064" s="2" t="s">
        <v>10628</v>
      </c>
      <c r="AF1064" s="12" t="s">
        <v>3699</v>
      </c>
      <c r="AG1064" s="12" t="s">
        <v>68</v>
      </c>
      <c r="AH1064" s="12" t="s">
        <v>10629</v>
      </c>
      <c r="AI1064" s="12" t="str">
        <f t="shared" si="203"/>
        <v>1837</v>
      </c>
      <c r="AJ1064" s="12" t="s">
        <v>10630</v>
      </c>
      <c r="AK1064" s="12"/>
    </row>
    <row r="1065" spans="1:59">
      <c r="A1065" s="12" t="s">
        <v>4393</v>
      </c>
      <c r="B1065" s="12" t="str">
        <f t="shared" si="195"/>
        <v>MARX</v>
      </c>
      <c r="C1065" s="12" t="str">
        <f t="shared" si="196"/>
        <v>MARX</v>
      </c>
      <c r="D1065" s="12" t="s">
        <v>10631</v>
      </c>
      <c r="E1065" s="12" t="str">
        <f t="shared" si="206"/>
        <v>George Frederik Stephanus</v>
      </c>
      <c r="F1065" s="12" t="s">
        <v>10632</v>
      </c>
      <c r="G1065" s="12" t="str">
        <f t="shared" si="197"/>
        <v>a1b3c6d8</v>
      </c>
      <c r="H1065" s="12" t="str">
        <f t="shared" si="198"/>
        <v>MARXa1b3c6d8</v>
      </c>
      <c r="J1065" s="12" t="s">
        <v>10633</v>
      </c>
      <c r="K1065" s="12" t="str">
        <f t="shared" si="199"/>
        <v>1817</v>
      </c>
      <c r="L1065" s="2" t="s">
        <v>199</v>
      </c>
      <c r="M1065" s="2" t="s">
        <v>10634</v>
      </c>
      <c r="N1065" s="12" t="str">
        <f t="shared" si="204"/>
        <v>1817</v>
      </c>
      <c r="O1065" s="12" t="str">
        <f t="shared" si="205"/>
        <v>1818</v>
      </c>
      <c r="P1065" s="2" t="s">
        <v>10635</v>
      </c>
      <c r="Q1065" s="12" t="str">
        <f t="shared" si="200"/>
        <v>1817</v>
      </c>
      <c r="R1065" s="2" t="s">
        <v>10636</v>
      </c>
      <c r="S1065" s="12" t="str">
        <f t="shared" si="201"/>
        <v>1880</v>
      </c>
      <c r="T1065" s="2" t="s">
        <v>28</v>
      </c>
      <c r="U1065" s="2" t="s">
        <v>10637</v>
      </c>
      <c r="V1065" s="12" t="str">
        <f t="shared" si="202"/>
        <v>1836</v>
      </c>
      <c r="W1065" s="2" t="s">
        <v>10638</v>
      </c>
      <c r="X1065" s="2" t="s">
        <v>662</v>
      </c>
      <c r="Y1065" s="2" t="s">
        <v>10639</v>
      </c>
      <c r="AA1065" s="2" t="s">
        <v>6450</v>
      </c>
      <c r="AF1065" s="2" t="s">
        <v>3699</v>
      </c>
      <c r="AG1065" s="12" t="s">
        <v>68</v>
      </c>
      <c r="AH1065" s="12" t="s">
        <v>10640</v>
      </c>
      <c r="AI1065" s="12" t="str">
        <f t="shared" si="203"/>
        <v>1840</v>
      </c>
    </row>
    <row r="1066" spans="1:59">
      <c r="A1066" s="12" t="s">
        <v>4393</v>
      </c>
      <c r="B1066" s="12" t="str">
        <f t="shared" si="195"/>
        <v>MARX</v>
      </c>
      <c r="C1066" s="12" t="str">
        <f t="shared" si="196"/>
        <v>MARX</v>
      </c>
      <c r="D1066" s="12" t="s">
        <v>201</v>
      </c>
      <c r="E1066" s="12" t="str">
        <f t="shared" si="206"/>
        <v>Petrus Johannes</v>
      </c>
      <c r="F1066" s="12" t="s">
        <v>10641</v>
      </c>
      <c r="G1066" s="12" t="str">
        <f t="shared" si="197"/>
        <v>a1b3c8d2</v>
      </c>
      <c r="H1066" s="12" t="str">
        <f t="shared" si="198"/>
        <v>MARXa1b3c8d2</v>
      </c>
      <c r="K1066" s="12" t="str">
        <f t="shared" si="199"/>
        <v/>
      </c>
      <c r="M1066" s="12" t="s">
        <v>10642</v>
      </c>
      <c r="N1066" s="12" t="str">
        <f t="shared" si="204"/>
        <v/>
      </c>
      <c r="O1066" s="12" t="str">
        <f t="shared" si="205"/>
        <v>1810</v>
      </c>
      <c r="Q1066" s="12" t="str">
        <f t="shared" si="200"/>
        <v>1810</v>
      </c>
      <c r="S1066" s="12" t="str">
        <f t="shared" si="201"/>
        <v/>
      </c>
      <c r="T1066" s="12"/>
      <c r="U1066" s="12"/>
      <c r="V1066" s="12" t="str">
        <f t="shared" si="202"/>
        <v/>
      </c>
      <c r="W1066" s="12" t="s">
        <v>708</v>
      </c>
      <c r="X1066" s="12" t="s">
        <v>696</v>
      </c>
      <c r="Y1066" s="2" t="s">
        <v>10643</v>
      </c>
      <c r="AC1066" s="2" t="s">
        <v>4398</v>
      </c>
      <c r="AF1066" s="2" t="s">
        <v>3728</v>
      </c>
      <c r="AG1066" s="12" t="s">
        <v>346</v>
      </c>
      <c r="AH1066" s="2">
        <v>1839</v>
      </c>
      <c r="AI1066" s="12" t="str">
        <f t="shared" si="203"/>
        <v>1839</v>
      </c>
      <c r="AJ1066" s="12"/>
    </row>
    <row r="1067" spans="1:59">
      <c r="A1067" s="12" t="s">
        <v>10649</v>
      </c>
      <c r="B1067" s="12" t="str">
        <f t="shared" si="195"/>
        <v>MEINTJES</v>
      </c>
      <c r="C1067" s="12" t="str">
        <f t="shared" si="196"/>
        <v>MEINTJES</v>
      </c>
      <c r="D1067" s="12" t="s">
        <v>3761</v>
      </c>
      <c r="E1067" s="12" t="str">
        <f t="shared" si="206"/>
        <v>Johannes Petrus</v>
      </c>
      <c r="F1067" s="12" t="s">
        <v>10706</v>
      </c>
      <c r="G1067" s="12" t="str">
        <f t="shared" si="197"/>
        <v>a1b4c6d1</v>
      </c>
      <c r="H1067" s="12" t="str">
        <f t="shared" si="198"/>
        <v>MEINTJESa1b4c6d1</v>
      </c>
      <c r="I1067" s="2" t="s">
        <v>10707</v>
      </c>
      <c r="J1067" s="12"/>
      <c r="K1067" s="12" t="str">
        <f t="shared" si="199"/>
        <v/>
      </c>
      <c r="L1067" s="2" t="s">
        <v>48</v>
      </c>
      <c r="M1067" s="2" t="s">
        <v>10708</v>
      </c>
      <c r="N1067" s="12" t="str">
        <f t="shared" si="204"/>
        <v/>
      </c>
      <c r="O1067" s="12" t="str">
        <f t="shared" si="205"/>
        <v>1775</v>
      </c>
      <c r="Q1067" s="12" t="str">
        <f t="shared" si="200"/>
        <v>1775</v>
      </c>
      <c r="S1067" s="12" t="str">
        <f t="shared" si="201"/>
        <v/>
      </c>
      <c r="T1067" s="12" t="s">
        <v>74</v>
      </c>
      <c r="U1067" s="12" t="s">
        <v>10709</v>
      </c>
      <c r="V1067" s="12" t="str">
        <f t="shared" si="202"/>
        <v>1799</v>
      </c>
      <c r="W1067" s="12" t="s">
        <v>10710</v>
      </c>
      <c r="X1067" s="12" t="s">
        <v>780</v>
      </c>
      <c r="Y1067" s="12"/>
      <c r="AA1067" s="12"/>
      <c r="AC1067" s="2" t="s">
        <v>10711</v>
      </c>
      <c r="AF1067" s="12"/>
      <c r="AG1067" s="12" t="s">
        <v>28</v>
      </c>
      <c r="AH1067" s="12">
        <v>1837</v>
      </c>
      <c r="AI1067" s="12" t="str">
        <f t="shared" si="203"/>
        <v>1837</v>
      </c>
      <c r="AJ1067" s="12" t="s">
        <v>10695</v>
      </c>
      <c r="AK1067" s="12"/>
    </row>
    <row r="1068" spans="1:59" s="5" customFormat="1">
      <c r="A1068" s="5" t="s">
        <v>10649</v>
      </c>
      <c r="B1068" s="5" t="str">
        <f t="shared" si="195"/>
        <v>MEINTJES</v>
      </c>
      <c r="C1068" s="5" t="str">
        <f t="shared" si="196"/>
        <v>MEINTJES</v>
      </c>
      <c r="D1068" s="5" t="s">
        <v>3761</v>
      </c>
      <c r="E1068" s="12" t="str">
        <f t="shared" si="206"/>
        <v>Johannes Petrus</v>
      </c>
      <c r="F1068" s="19" t="s">
        <v>15797</v>
      </c>
      <c r="G1068" s="5" t="str">
        <f t="shared" si="197"/>
        <v>a1b4c3d1e1</v>
      </c>
      <c r="H1068" s="5" t="str">
        <f t="shared" si="198"/>
        <v>MEINTJESa1b4c3d1e1</v>
      </c>
      <c r="I1068" s="5" t="s">
        <v>74</v>
      </c>
      <c r="J1068" s="5" t="s">
        <v>6577</v>
      </c>
      <c r="K1068" s="5" t="str">
        <f t="shared" si="199"/>
        <v>1809</v>
      </c>
      <c r="N1068" s="5" t="str">
        <f t="shared" si="204"/>
        <v>1809</v>
      </c>
      <c r="O1068" s="5" t="str">
        <f t="shared" si="205"/>
        <v/>
      </c>
      <c r="P1068" s="5" t="s">
        <v>140</v>
      </c>
      <c r="Q1068" s="5" t="str">
        <f t="shared" si="200"/>
        <v>1809</v>
      </c>
      <c r="R1068" s="5" t="s">
        <v>10698</v>
      </c>
      <c r="S1068" s="5" t="str">
        <f t="shared" si="201"/>
        <v>1879</v>
      </c>
      <c r="T1068" s="5" t="s">
        <v>74</v>
      </c>
      <c r="U1068" s="5" t="s">
        <v>10699</v>
      </c>
      <c r="V1068" s="5" t="str">
        <f t="shared" si="202"/>
        <v>1831</v>
      </c>
      <c r="W1068" s="5" t="s">
        <v>10700</v>
      </c>
      <c r="X1068" s="5" t="s">
        <v>5280</v>
      </c>
      <c r="AF1068" s="5" t="s">
        <v>10701</v>
      </c>
      <c r="AG1068" s="5" t="s">
        <v>10271</v>
      </c>
      <c r="AH1068" s="5" t="s">
        <v>10702</v>
      </c>
      <c r="AI1068" s="5" t="str">
        <f t="shared" si="203"/>
        <v>1839</v>
      </c>
      <c r="AL1068" s="5" t="s">
        <v>28</v>
      </c>
      <c r="AM1068" s="5" t="s">
        <v>10703</v>
      </c>
      <c r="AN1068" s="5" t="s">
        <v>10704</v>
      </c>
      <c r="AO1068" s="5" t="s">
        <v>10705</v>
      </c>
    </row>
    <row r="1069" spans="1:59" s="5" customFormat="1">
      <c r="A1069" s="5" t="s">
        <v>10649</v>
      </c>
      <c r="B1069" s="5" t="str">
        <f t="shared" si="195"/>
        <v>MEINTJES</v>
      </c>
      <c r="C1069" s="5" t="str">
        <f t="shared" si="196"/>
        <v>MEINTJES</v>
      </c>
      <c r="D1069" s="5" t="s">
        <v>10739</v>
      </c>
      <c r="E1069" s="12" t="str">
        <f t="shared" si="206"/>
        <v>Willem Jacobus Albertus</v>
      </c>
      <c r="F1069" s="5" t="s">
        <v>10697</v>
      </c>
      <c r="G1069" s="5" t="str">
        <f t="shared" si="197"/>
        <v>a1b4c6d1e1</v>
      </c>
      <c r="H1069" s="5" t="str">
        <f t="shared" si="198"/>
        <v>MEINTJESa1b4c6d1e1</v>
      </c>
      <c r="I1069" s="5" t="s">
        <v>542</v>
      </c>
      <c r="J1069" s="5" t="s">
        <v>10740</v>
      </c>
      <c r="K1069" s="5" t="str">
        <f t="shared" si="199"/>
        <v>1800</v>
      </c>
      <c r="N1069" s="5" t="str">
        <f t="shared" si="204"/>
        <v>1800</v>
      </c>
      <c r="O1069" s="5" t="str">
        <f t="shared" si="205"/>
        <v/>
      </c>
      <c r="Q1069" s="5" t="str">
        <f t="shared" si="200"/>
        <v>1800</v>
      </c>
      <c r="S1069" s="5" t="str">
        <f t="shared" si="201"/>
        <v/>
      </c>
      <c r="T1069" s="5" t="s">
        <v>74</v>
      </c>
      <c r="U1069" s="5" t="s">
        <v>10741</v>
      </c>
      <c r="V1069" s="5" t="str">
        <f t="shared" si="202"/>
        <v>1816</v>
      </c>
      <c r="W1069" s="5" t="s">
        <v>10742</v>
      </c>
      <c r="X1069" s="5" t="s">
        <v>618</v>
      </c>
      <c r="AF1069" s="5" t="s">
        <v>16</v>
      </c>
      <c r="AG1069" s="5" t="s">
        <v>68</v>
      </c>
      <c r="AH1069" s="5" t="s">
        <v>10743</v>
      </c>
      <c r="AI1069" s="5" t="str">
        <f t="shared" si="203"/>
        <v>1838</v>
      </c>
      <c r="AL1069" s="5" t="s">
        <v>74</v>
      </c>
      <c r="AM1069" s="5" t="s">
        <v>10744</v>
      </c>
      <c r="AN1069" s="5" t="s">
        <v>10745</v>
      </c>
      <c r="AO1069" s="5" t="s">
        <v>662</v>
      </c>
      <c r="AP1069" s="5" t="s">
        <v>10746</v>
      </c>
      <c r="AT1069" s="5" t="s">
        <v>10747</v>
      </c>
      <c r="AU1069" s="5" t="s">
        <v>67</v>
      </c>
      <c r="AV1069" s="5" t="s">
        <v>10748</v>
      </c>
    </row>
    <row r="1070" spans="1:59">
      <c r="A1070" s="12" t="s">
        <v>10649</v>
      </c>
      <c r="B1070" s="12" t="str">
        <f t="shared" si="195"/>
        <v>MEINTJES</v>
      </c>
      <c r="C1070" s="12" t="str">
        <f t="shared" si="196"/>
        <v>MEINTJES</v>
      </c>
      <c r="D1070" s="12" t="s">
        <v>10673</v>
      </c>
      <c r="E1070" s="12" t="str">
        <f t="shared" si="206"/>
        <v>Jacobus William</v>
      </c>
      <c r="F1070" s="12" t="s">
        <v>10674</v>
      </c>
      <c r="G1070" s="12" t="str">
        <f t="shared" si="197"/>
        <v>a1b4c6d1e10</v>
      </c>
      <c r="H1070" s="12" t="str">
        <f t="shared" si="198"/>
        <v>MEINTJESa1b4c6d1e10</v>
      </c>
      <c r="I1070" s="2" t="s">
        <v>28</v>
      </c>
      <c r="J1070" s="12" t="s">
        <v>10675</v>
      </c>
      <c r="K1070" s="12" t="str">
        <f t="shared" si="199"/>
        <v>1819</v>
      </c>
      <c r="M1070" s="12"/>
      <c r="N1070" s="12" t="str">
        <f t="shared" si="204"/>
        <v>1819</v>
      </c>
      <c r="O1070" s="12" t="str">
        <f t="shared" si="205"/>
        <v/>
      </c>
      <c r="P1070" s="12" t="s">
        <v>24</v>
      </c>
      <c r="Q1070" s="12" t="str">
        <f t="shared" si="200"/>
        <v>1819</v>
      </c>
      <c r="R1070" s="12" t="s">
        <v>10676</v>
      </c>
      <c r="S1070" s="12" t="str">
        <f t="shared" si="201"/>
        <v>1901</v>
      </c>
      <c r="T1070" s="12" t="s">
        <v>28</v>
      </c>
      <c r="U1070" s="12" t="s">
        <v>10677</v>
      </c>
      <c r="V1070" s="12" t="str">
        <f t="shared" si="202"/>
        <v>1837</v>
      </c>
      <c r="W1070" s="12" t="s">
        <v>3857</v>
      </c>
      <c r="X1070" s="12" t="s">
        <v>695</v>
      </c>
      <c r="Y1070" s="12"/>
      <c r="AA1070" s="12" t="s">
        <v>10678</v>
      </c>
      <c r="AE1070" s="12"/>
      <c r="AF1070" s="12" t="s">
        <v>10656</v>
      </c>
      <c r="AG1070" s="12" t="s">
        <v>68</v>
      </c>
      <c r="AH1070" s="12" t="s">
        <v>10670</v>
      </c>
      <c r="AI1070" s="12" t="str">
        <f t="shared" si="203"/>
        <v>1837</v>
      </c>
      <c r="AJ1070" s="12"/>
      <c r="AK1070" s="12"/>
      <c r="AL1070" s="2" t="s">
        <v>24</v>
      </c>
      <c r="AM1070" s="2" t="s">
        <v>10679</v>
      </c>
      <c r="AN1070" s="2" t="s">
        <v>10680</v>
      </c>
      <c r="AO1070" s="2" t="s">
        <v>10681</v>
      </c>
    </row>
    <row r="1071" spans="1:59">
      <c r="A1071" s="12" t="s">
        <v>10649</v>
      </c>
      <c r="B1071" s="12" t="str">
        <f t="shared" si="195"/>
        <v>MEINTJES</v>
      </c>
      <c r="C1071" s="12" t="str">
        <f t="shared" si="196"/>
        <v>MEINTJES</v>
      </c>
      <c r="D1071" s="12" t="s">
        <v>175</v>
      </c>
      <c r="E1071" s="12" t="str">
        <f t="shared" si="206"/>
        <v>Petrus Jacobus</v>
      </c>
      <c r="F1071" s="12" t="s">
        <v>10712</v>
      </c>
      <c r="G1071" s="12" t="str">
        <f t="shared" si="197"/>
        <v>a1b4c6d1e11</v>
      </c>
      <c r="H1071" s="12" t="str">
        <f t="shared" si="198"/>
        <v>MEINTJESa1b4c6d1e11</v>
      </c>
      <c r="I1071" s="2" t="s">
        <v>74</v>
      </c>
      <c r="J1071" s="2" t="s">
        <v>10713</v>
      </c>
      <c r="K1071" s="12" t="str">
        <f t="shared" si="199"/>
        <v>1821</v>
      </c>
      <c r="M1071" s="12"/>
      <c r="N1071" s="12" t="str">
        <f t="shared" si="204"/>
        <v>1821</v>
      </c>
      <c r="O1071" s="12" t="str">
        <f t="shared" si="205"/>
        <v/>
      </c>
      <c r="P1071" s="12" t="s">
        <v>24</v>
      </c>
      <c r="Q1071" s="12" t="str">
        <f t="shared" si="200"/>
        <v>1821</v>
      </c>
      <c r="R1071" s="12" t="s">
        <v>10714</v>
      </c>
      <c r="S1071" s="12" t="str">
        <f t="shared" si="201"/>
        <v>1895</v>
      </c>
      <c r="V1071" s="12" t="str">
        <f t="shared" si="202"/>
        <v/>
      </c>
      <c r="W1071" s="12" t="s">
        <v>10715</v>
      </c>
      <c r="X1071" s="12" t="s">
        <v>10649</v>
      </c>
      <c r="Y1071" s="12"/>
      <c r="AC1071" s="12"/>
      <c r="AF1071" s="12" t="s">
        <v>16</v>
      </c>
      <c r="AG1071" s="12" t="s">
        <v>68</v>
      </c>
      <c r="AH1071" s="12">
        <v>1838</v>
      </c>
      <c r="AI1071" s="12" t="str">
        <f t="shared" si="203"/>
        <v>1838</v>
      </c>
      <c r="AJ1071" s="12" t="s">
        <v>10695</v>
      </c>
      <c r="AK1071" s="12"/>
      <c r="AM1071" s="2" t="s">
        <v>10716</v>
      </c>
      <c r="AN1071" s="2" t="s">
        <v>10717</v>
      </c>
      <c r="AO1071" s="2" t="s">
        <v>1495</v>
      </c>
    </row>
    <row r="1072" spans="1:59">
      <c r="A1072" s="12" t="s">
        <v>10649</v>
      </c>
      <c r="B1072" s="12" t="str">
        <f t="shared" si="195"/>
        <v>MEINTJES</v>
      </c>
      <c r="C1072" s="12" t="str">
        <f t="shared" si="196"/>
        <v>MEINTJES</v>
      </c>
      <c r="D1072" s="12" t="s">
        <v>10650</v>
      </c>
      <c r="E1072" s="12" t="str">
        <f t="shared" si="206"/>
        <v>Adriaan Willem</v>
      </c>
      <c r="F1072" s="12" t="s">
        <v>10651</v>
      </c>
      <c r="G1072" s="12" t="str">
        <f t="shared" si="197"/>
        <v>a1b4c6d1e12</v>
      </c>
      <c r="H1072" s="12" t="str">
        <f t="shared" si="198"/>
        <v>MEINTJESa1b4c6d1e12</v>
      </c>
      <c r="I1072" s="2" t="s">
        <v>28</v>
      </c>
      <c r="J1072" s="12" t="s">
        <v>10652</v>
      </c>
      <c r="K1072" s="12" t="str">
        <f t="shared" si="199"/>
        <v>1823</v>
      </c>
      <c r="N1072" s="12" t="str">
        <f t="shared" si="204"/>
        <v>1823</v>
      </c>
      <c r="O1072" s="12" t="str">
        <f t="shared" si="205"/>
        <v/>
      </c>
      <c r="P1072" s="12" t="s">
        <v>24</v>
      </c>
      <c r="Q1072" s="12" t="str">
        <f t="shared" si="200"/>
        <v>1823</v>
      </c>
      <c r="R1072" s="12" t="s">
        <v>10653</v>
      </c>
      <c r="S1072" s="12" t="str">
        <f t="shared" si="201"/>
        <v>1900</v>
      </c>
      <c r="T1072" s="12" t="s">
        <v>140</v>
      </c>
      <c r="U1072" s="12" t="s">
        <v>10654</v>
      </c>
      <c r="V1072" s="12" t="str">
        <f t="shared" si="202"/>
        <v>1853</v>
      </c>
      <c r="W1072" s="12" t="s">
        <v>10655</v>
      </c>
      <c r="X1072" s="12" t="s">
        <v>10649</v>
      </c>
      <c r="Y1072" s="12"/>
      <c r="AA1072" s="12"/>
      <c r="AC1072" s="12"/>
      <c r="AE1072" s="12"/>
      <c r="AF1072" s="12" t="s">
        <v>10656</v>
      </c>
      <c r="AG1072" s="12" t="s">
        <v>68</v>
      </c>
      <c r="AH1072" s="12"/>
      <c r="AI1072" s="12" t="str">
        <f t="shared" si="203"/>
        <v/>
      </c>
      <c r="AJ1072" s="12"/>
      <c r="AK1072" s="12"/>
      <c r="AM1072" s="2" t="s">
        <v>10657</v>
      </c>
      <c r="AN1072" s="2" t="s">
        <v>1010</v>
      </c>
      <c r="AO1072" s="2" t="s">
        <v>618</v>
      </c>
    </row>
    <row r="1073" spans="1:52">
      <c r="A1073" s="12" t="s">
        <v>10649</v>
      </c>
      <c r="B1073" s="12" t="str">
        <f t="shared" si="195"/>
        <v>MEINTJES</v>
      </c>
      <c r="C1073" s="12" t="str">
        <f t="shared" si="196"/>
        <v>MEINTJES</v>
      </c>
      <c r="D1073" s="12" t="s">
        <v>10682</v>
      </c>
      <c r="E1073" s="12" t="str">
        <f t="shared" si="206"/>
        <v>Johannes Hendrik Petrus</v>
      </c>
      <c r="F1073" s="12" t="s">
        <v>10683</v>
      </c>
      <c r="G1073" s="12" t="str">
        <f t="shared" si="197"/>
        <v>a1b4c6d1e1f2</v>
      </c>
      <c r="H1073" s="12" t="str">
        <f t="shared" si="198"/>
        <v>MEINTJESa1b4c6d1e1f2</v>
      </c>
      <c r="I1073" s="2" t="s">
        <v>28</v>
      </c>
      <c r="J1073" s="12" t="s">
        <v>10684</v>
      </c>
      <c r="K1073" s="12" t="str">
        <f t="shared" si="199"/>
        <v>1824</v>
      </c>
      <c r="M1073" s="12"/>
      <c r="N1073" s="12" t="str">
        <f t="shared" si="204"/>
        <v>1824</v>
      </c>
      <c r="O1073" s="12" t="str">
        <f t="shared" si="205"/>
        <v/>
      </c>
      <c r="P1073" s="2" t="s">
        <v>67</v>
      </c>
      <c r="Q1073" s="12" t="str">
        <f t="shared" si="200"/>
        <v>1824</v>
      </c>
      <c r="R1073" s="2" t="s">
        <v>10685</v>
      </c>
      <c r="S1073" s="12" t="str">
        <f t="shared" si="201"/>
        <v>1870</v>
      </c>
      <c r="T1073" s="12" t="s">
        <v>60</v>
      </c>
      <c r="U1073" s="12" t="s">
        <v>10686</v>
      </c>
      <c r="V1073" s="12" t="str">
        <f t="shared" si="202"/>
        <v>1846</v>
      </c>
      <c r="W1073" s="12" t="s">
        <v>8161</v>
      </c>
      <c r="X1073" s="12" t="s">
        <v>10687</v>
      </c>
      <c r="AF1073" s="12" t="s">
        <v>10656</v>
      </c>
      <c r="AG1073" s="12" t="s">
        <v>68</v>
      </c>
      <c r="AH1073" s="12" t="s">
        <v>10670</v>
      </c>
      <c r="AI1073" s="12" t="str">
        <f t="shared" si="203"/>
        <v>1837</v>
      </c>
      <c r="AJ1073" s="12"/>
      <c r="AK1073" s="12"/>
      <c r="AL1073" s="12"/>
      <c r="AM1073" s="12"/>
      <c r="AN1073" s="12"/>
      <c r="AO1073" s="12"/>
      <c r="AP1073" s="12"/>
      <c r="AR1073" s="12"/>
      <c r="AS1073" s="12"/>
      <c r="AT1073" s="12"/>
    </row>
    <row r="1074" spans="1:52">
      <c r="A1074" s="12" t="s">
        <v>10649</v>
      </c>
      <c r="B1074" s="12" t="str">
        <f t="shared" si="195"/>
        <v>MEINTJES</v>
      </c>
      <c r="C1074" s="12" t="str">
        <f t="shared" si="196"/>
        <v>MEINTJES</v>
      </c>
      <c r="D1074" s="12" t="s">
        <v>1948</v>
      </c>
      <c r="E1074" s="12" t="str">
        <f t="shared" si="206"/>
        <v>Schalk Willem</v>
      </c>
      <c r="F1074" s="12" t="s">
        <v>10723</v>
      </c>
      <c r="G1074" s="12" t="str">
        <f t="shared" si="197"/>
        <v>a1b4c6d1e2</v>
      </c>
      <c r="H1074" s="12" t="str">
        <f t="shared" si="198"/>
        <v>MEINTJESa1b4c6d1e2</v>
      </c>
      <c r="I1074" s="2" t="s">
        <v>542</v>
      </c>
      <c r="J1074" s="12" t="s">
        <v>10724</v>
      </c>
      <c r="K1074" s="12" t="str">
        <f t="shared" si="199"/>
        <v>1802</v>
      </c>
      <c r="L1074" s="12"/>
      <c r="M1074" s="12"/>
      <c r="N1074" s="12" t="str">
        <f t="shared" si="204"/>
        <v>1802</v>
      </c>
      <c r="O1074" s="12" t="str">
        <f t="shared" si="205"/>
        <v/>
      </c>
      <c r="P1074" s="12"/>
      <c r="Q1074" s="12" t="str">
        <f t="shared" si="200"/>
        <v>1802</v>
      </c>
      <c r="R1074" s="12"/>
      <c r="S1074" s="12" t="str">
        <f t="shared" si="201"/>
        <v/>
      </c>
      <c r="T1074" s="12" t="s">
        <v>366</v>
      </c>
      <c r="U1074" s="12" t="s">
        <v>10725</v>
      </c>
      <c r="V1074" s="12" t="str">
        <f t="shared" si="202"/>
        <v>1823</v>
      </c>
      <c r="W1074" s="12" t="s">
        <v>10726</v>
      </c>
      <c r="X1074" s="12" t="s">
        <v>10727</v>
      </c>
      <c r="Y1074" s="2" t="s">
        <v>10728</v>
      </c>
      <c r="AA1074" s="2" t="s">
        <v>10729</v>
      </c>
      <c r="AB1074" s="2" t="s">
        <v>542</v>
      </c>
      <c r="AC1074" s="2" t="s">
        <v>10730</v>
      </c>
      <c r="AF1074" s="2" t="s">
        <v>16</v>
      </c>
      <c r="AG1074" s="2" t="s">
        <v>68</v>
      </c>
      <c r="AH1074" s="12" t="s">
        <v>10694</v>
      </c>
      <c r="AI1074" s="12" t="str">
        <f t="shared" si="203"/>
        <v>1834</v>
      </c>
      <c r="AK1074" s="12"/>
      <c r="AN1074" s="2" t="s">
        <v>3185</v>
      </c>
      <c r="AO1074" s="2" t="s">
        <v>10731</v>
      </c>
      <c r="AU1074" s="2" t="s">
        <v>190</v>
      </c>
      <c r="AV1074" s="2" t="s">
        <v>10732</v>
      </c>
    </row>
    <row r="1075" spans="1:52">
      <c r="A1075" s="12" t="s">
        <v>10649</v>
      </c>
      <c r="B1075" s="12" t="str">
        <f t="shared" si="195"/>
        <v>MEINTJES</v>
      </c>
      <c r="C1075" s="12" t="str">
        <f t="shared" si="196"/>
        <v>MEINTJES</v>
      </c>
      <c r="D1075" s="12" t="s">
        <v>2253</v>
      </c>
      <c r="E1075" s="12" t="str">
        <f t="shared" si="206"/>
        <v>Johannes Jacobus</v>
      </c>
      <c r="F1075" s="12" t="s">
        <v>10688</v>
      </c>
      <c r="G1075" s="12" t="str">
        <f t="shared" si="197"/>
        <v>a1b4c6d1e3</v>
      </c>
      <c r="H1075" s="12" t="str">
        <f t="shared" si="198"/>
        <v>MEINTJESa1b4c6d1e3</v>
      </c>
      <c r="I1075" s="12" t="s">
        <v>542</v>
      </c>
      <c r="J1075" s="12" t="s">
        <v>10689</v>
      </c>
      <c r="K1075" s="12" t="str">
        <f t="shared" si="199"/>
        <v>1805</v>
      </c>
      <c r="N1075" s="12" t="str">
        <f t="shared" si="204"/>
        <v>1805</v>
      </c>
      <c r="O1075" s="12" t="str">
        <f t="shared" si="205"/>
        <v/>
      </c>
      <c r="P1075" s="12"/>
      <c r="Q1075" s="12" t="str">
        <f t="shared" si="200"/>
        <v>1805</v>
      </c>
      <c r="R1075" s="12"/>
      <c r="S1075" s="12" t="str">
        <f t="shared" si="201"/>
        <v/>
      </c>
      <c r="T1075" s="12" t="s">
        <v>74</v>
      </c>
      <c r="U1075" s="12" t="s">
        <v>10690</v>
      </c>
      <c r="V1075" s="12" t="str">
        <f t="shared" si="202"/>
        <v>1826</v>
      </c>
      <c r="W1075" s="12" t="s">
        <v>10691</v>
      </c>
      <c r="X1075" s="12" t="s">
        <v>10692</v>
      </c>
      <c r="AA1075" s="12"/>
      <c r="AC1075" s="2" t="s">
        <v>10693</v>
      </c>
      <c r="AE1075" s="12"/>
      <c r="AF1075" s="2" t="s">
        <v>16</v>
      </c>
      <c r="AG1075" s="2" t="s">
        <v>68</v>
      </c>
      <c r="AH1075" s="12" t="s">
        <v>10694</v>
      </c>
      <c r="AI1075" s="12" t="str">
        <f t="shared" si="203"/>
        <v>1834</v>
      </c>
      <c r="AJ1075" s="2" t="s">
        <v>10695</v>
      </c>
      <c r="AK1075" s="12"/>
      <c r="AN1075" s="2" t="s">
        <v>1943</v>
      </c>
      <c r="AO1075" s="2" t="s">
        <v>704</v>
      </c>
      <c r="AY1075" s="2" t="s">
        <v>10696</v>
      </c>
      <c r="AZ1075" s="2" t="s">
        <v>772</v>
      </c>
    </row>
    <row r="1076" spans="1:52">
      <c r="A1076" s="12" t="s">
        <v>10649</v>
      </c>
      <c r="B1076" s="12" t="str">
        <f t="shared" si="195"/>
        <v>MEINTJES</v>
      </c>
      <c r="C1076" s="12" t="str">
        <f t="shared" si="196"/>
        <v>MEINTJES</v>
      </c>
      <c r="D1076" s="12" t="s">
        <v>4470</v>
      </c>
      <c r="E1076" s="12" t="str">
        <f t="shared" si="206"/>
        <v>Albertus Jacobus</v>
      </c>
      <c r="F1076" s="12" t="s">
        <v>10658</v>
      </c>
      <c r="G1076" s="12" t="str">
        <f t="shared" si="197"/>
        <v>a1b4c6d1e6</v>
      </c>
      <c r="H1076" s="12" t="str">
        <f t="shared" si="198"/>
        <v>MEINTJESa1b4c6d1e6</v>
      </c>
      <c r="J1076" s="12" t="s">
        <v>10659</v>
      </c>
      <c r="K1076" s="12" t="str">
        <f t="shared" si="199"/>
        <v>1810</v>
      </c>
      <c r="L1076" s="12" t="s">
        <v>74</v>
      </c>
      <c r="M1076" s="12" t="s">
        <v>10660</v>
      </c>
      <c r="N1076" s="12" t="str">
        <f t="shared" si="204"/>
        <v>1810</v>
      </c>
      <c r="O1076" s="12" t="str">
        <f t="shared" si="205"/>
        <v>1810</v>
      </c>
      <c r="P1076" s="2" t="s">
        <v>7345</v>
      </c>
      <c r="Q1076" s="12" t="str">
        <f t="shared" si="200"/>
        <v>1810</v>
      </c>
      <c r="R1076" s="12" t="s">
        <v>10661</v>
      </c>
      <c r="S1076" s="12" t="str">
        <f t="shared" si="201"/>
        <v>1883</v>
      </c>
      <c r="T1076" s="12" t="s">
        <v>28</v>
      </c>
      <c r="U1076" s="12" t="s">
        <v>10662</v>
      </c>
      <c r="V1076" s="12" t="str">
        <f t="shared" si="202"/>
        <v>1833</v>
      </c>
      <c r="W1076" s="12" t="s">
        <v>10663</v>
      </c>
      <c r="X1076" s="12" t="s">
        <v>10664</v>
      </c>
      <c r="Y1076" s="12"/>
      <c r="AA1076" s="12" t="s">
        <v>10665</v>
      </c>
      <c r="AG1076" s="12"/>
      <c r="AH1076" s="12"/>
      <c r="AI1076" s="12" t="str">
        <f t="shared" si="203"/>
        <v/>
      </c>
      <c r="AK1076" s="12"/>
    </row>
    <row r="1077" spans="1:52">
      <c r="A1077" s="12" t="s">
        <v>10649</v>
      </c>
      <c r="B1077" s="12" t="str">
        <f t="shared" si="195"/>
        <v>MEINTJES</v>
      </c>
      <c r="C1077" s="12" t="str">
        <f t="shared" si="196"/>
        <v>MEINTJES</v>
      </c>
      <c r="D1077" s="2" t="s">
        <v>10666</v>
      </c>
      <c r="E1077" s="12" t="str">
        <f t="shared" si="206"/>
        <v>Hendrik Arnoldus</v>
      </c>
      <c r="F1077" s="2" t="s">
        <v>10667</v>
      </c>
      <c r="G1077" s="12" t="str">
        <f t="shared" si="197"/>
        <v>a1b4c6d1e9</v>
      </c>
      <c r="H1077" s="12" t="str">
        <f t="shared" si="198"/>
        <v>MEINTJESa1b4c6d1e9</v>
      </c>
      <c r="I1077" s="2" t="s">
        <v>28</v>
      </c>
      <c r="J1077" s="2" t="s">
        <v>10668</v>
      </c>
      <c r="K1077" s="12" t="str">
        <f t="shared" si="199"/>
        <v>1817</v>
      </c>
      <c r="N1077" s="12" t="str">
        <f t="shared" si="204"/>
        <v>1817</v>
      </c>
      <c r="O1077" s="12" t="str">
        <f t="shared" si="205"/>
        <v/>
      </c>
      <c r="Q1077" s="12" t="str">
        <f t="shared" si="200"/>
        <v>1817</v>
      </c>
      <c r="S1077" s="12" t="str">
        <f t="shared" si="201"/>
        <v/>
      </c>
      <c r="T1077" s="2" t="s">
        <v>28</v>
      </c>
      <c r="U1077" s="2" t="s">
        <v>10669</v>
      </c>
      <c r="V1077" s="12" t="str">
        <f t="shared" si="202"/>
        <v>1836</v>
      </c>
      <c r="W1077" s="2" t="s">
        <v>708</v>
      </c>
      <c r="X1077" s="2" t="s">
        <v>10649</v>
      </c>
      <c r="AF1077" s="2" t="s">
        <v>10656</v>
      </c>
      <c r="AG1077" s="2" t="s">
        <v>68</v>
      </c>
      <c r="AH1077" s="2" t="s">
        <v>10670</v>
      </c>
      <c r="AI1077" s="12" t="str">
        <f t="shared" si="203"/>
        <v>1837</v>
      </c>
      <c r="AL1077" s="2" t="s">
        <v>5146</v>
      </c>
      <c r="AM1077" s="2" t="s">
        <v>10671</v>
      </c>
      <c r="AN1077" s="2" t="s">
        <v>10672</v>
      </c>
      <c r="AO1077" s="2" t="s">
        <v>725</v>
      </c>
    </row>
    <row r="1078" spans="1:52">
      <c r="A1078" s="12" t="s">
        <v>10649</v>
      </c>
      <c r="B1078" s="12" t="str">
        <f t="shared" ref="B1078:B1139" si="207">SUBSTITUTE(A1078," ","")</f>
        <v>MEINTJES</v>
      </c>
      <c r="C1078" s="12" t="str">
        <f t="shared" ref="C1078:C1139" si="208">TRIM(A1078)</f>
        <v>MEINTJES</v>
      </c>
      <c r="D1078" s="2" t="s">
        <v>1464</v>
      </c>
      <c r="E1078" s="12" t="str">
        <f t="shared" si="206"/>
        <v>Willem</v>
      </c>
      <c r="F1078" s="2" t="s">
        <v>10733</v>
      </c>
      <c r="G1078" s="12" t="str">
        <f t="shared" ref="G1078:G1139" si="209">IF(LEFT(F1078,1)="b","a1"&amp;F1078,F1078)</f>
        <v>a1b4c6d4</v>
      </c>
      <c r="H1078" s="12" t="str">
        <f t="shared" ref="H1078:H1109" si="210">C1078&amp;G1078</f>
        <v>MEINTJESa1b4c6d4</v>
      </c>
      <c r="K1078" s="12" t="str">
        <f t="shared" ref="K1078:K1139" si="211">RIGHT(J1078,4)</f>
        <v/>
      </c>
      <c r="M1078" s="2" t="s">
        <v>10734</v>
      </c>
      <c r="N1078" s="12" t="str">
        <f t="shared" si="204"/>
        <v/>
      </c>
      <c r="O1078" s="12" t="str">
        <f t="shared" si="205"/>
        <v>1787</v>
      </c>
      <c r="Q1078" s="12" t="str">
        <f t="shared" ref="Q1078:Q1139" si="212">IF(N1078="",O1078,N1078)</f>
        <v>1787</v>
      </c>
      <c r="S1078" s="12" t="str">
        <f t="shared" ref="S1078:S1139" si="213">RIGHT(R1078,4)</f>
        <v/>
      </c>
      <c r="U1078" s="2" t="s">
        <v>10735</v>
      </c>
      <c r="V1078" s="12" t="str">
        <f t="shared" ref="V1078:V1139" si="214">RIGHT(U1078,4)</f>
        <v>1846</v>
      </c>
      <c r="W1078" s="2" t="s">
        <v>10736</v>
      </c>
      <c r="X1078" s="2" t="s">
        <v>10737</v>
      </c>
      <c r="AG1078" s="2" t="s">
        <v>10738</v>
      </c>
      <c r="AH1078" s="2" t="s">
        <v>10722</v>
      </c>
      <c r="AI1078" s="12" t="str">
        <f t="shared" ref="AI1078:AI1139" si="215">RIGHT(AH1078,4)</f>
        <v>1837</v>
      </c>
    </row>
    <row r="1079" spans="1:52">
      <c r="A1079" s="12" t="s">
        <v>10649</v>
      </c>
      <c r="B1079" s="12" t="str">
        <f t="shared" si="207"/>
        <v>MEINTJES</v>
      </c>
      <c r="C1079" s="12" t="str">
        <f t="shared" si="208"/>
        <v>MEINTJES</v>
      </c>
      <c r="D1079" s="12" t="s">
        <v>175</v>
      </c>
      <c r="E1079" s="12" t="str">
        <f t="shared" si="206"/>
        <v>Petrus Jacobus</v>
      </c>
      <c r="F1079" s="12" t="s">
        <v>10718</v>
      </c>
      <c r="G1079" s="12" t="str">
        <f t="shared" si="209"/>
        <v>a1b4c6d8</v>
      </c>
      <c r="H1079" s="12" t="str">
        <f t="shared" si="210"/>
        <v>MEINTJESa1b4c6d8</v>
      </c>
      <c r="J1079" s="12"/>
      <c r="K1079" s="12" t="str">
        <f t="shared" si="211"/>
        <v/>
      </c>
      <c r="L1079" s="12" t="s">
        <v>10719</v>
      </c>
      <c r="M1079" s="12" t="s">
        <v>10720</v>
      </c>
      <c r="N1079" s="12" t="str">
        <f t="shared" si="204"/>
        <v/>
      </c>
      <c r="O1079" s="12" t="str">
        <f t="shared" si="205"/>
        <v>1800</v>
      </c>
      <c r="P1079" s="12" t="s">
        <v>24</v>
      </c>
      <c r="Q1079" s="12" t="str">
        <f t="shared" si="212"/>
        <v>1800</v>
      </c>
      <c r="R1079" s="12">
        <v>1852</v>
      </c>
      <c r="S1079" s="12" t="str">
        <f t="shared" si="213"/>
        <v>1852</v>
      </c>
      <c r="T1079" s="12" t="s">
        <v>28</v>
      </c>
      <c r="U1079" s="12" t="s">
        <v>10721</v>
      </c>
      <c r="V1079" s="12" t="str">
        <f t="shared" si="214"/>
        <v>1823</v>
      </c>
      <c r="W1079" s="12" t="s">
        <v>3343</v>
      </c>
      <c r="X1079" s="12" t="s">
        <v>10664</v>
      </c>
      <c r="Y1079" s="12"/>
      <c r="AC1079" s="12"/>
      <c r="AF1079" s="12"/>
      <c r="AG1079" s="12" t="s">
        <v>68</v>
      </c>
      <c r="AH1079" s="12" t="s">
        <v>10722</v>
      </c>
      <c r="AI1079" s="12" t="str">
        <f t="shared" si="215"/>
        <v>1837</v>
      </c>
      <c r="AK1079" s="12"/>
      <c r="AL1079" s="12"/>
      <c r="AM1079" s="12"/>
      <c r="AN1079" s="12"/>
      <c r="AO1079" s="12"/>
    </row>
    <row r="1080" spans="1:52">
      <c r="A1080" s="12" t="s">
        <v>10749</v>
      </c>
      <c r="B1080" s="12" t="str">
        <f t="shared" si="207"/>
        <v>MEY</v>
      </c>
      <c r="C1080" s="12" t="str">
        <f t="shared" si="208"/>
        <v>MEY</v>
      </c>
      <c r="D1080" s="12" t="s">
        <v>10750</v>
      </c>
      <c r="E1080" s="12" t="str">
        <f t="shared" si="206"/>
        <v>Christiaan Lodewyk</v>
      </c>
      <c r="F1080" s="12" t="s">
        <v>10751</v>
      </c>
      <c r="G1080" s="12" t="str">
        <f t="shared" si="209"/>
        <v>a1b10</v>
      </c>
      <c r="H1080" s="12" t="str">
        <f t="shared" si="210"/>
        <v>MEYa1b10</v>
      </c>
      <c r="J1080" s="12" t="s">
        <v>10752</v>
      </c>
      <c r="K1080" s="12" t="str">
        <f t="shared" si="211"/>
        <v>1810</v>
      </c>
      <c r="L1080" s="12" t="s">
        <v>74</v>
      </c>
      <c r="M1080" s="12" t="s">
        <v>5789</v>
      </c>
      <c r="N1080" s="12" t="str">
        <f t="shared" si="204"/>
        <v>1810</v>
      </c>
      <c r="O1080" s="12" t="str">
        <f t="shared" si="205"/>
        <v>1812</v>
      </c>
      <c r="P1080" s="12" t="s">
        <v>90</v>
      </c>
      <c r="Q1080" s="12" t="str">
        <f t="shared" si="212"/>
        <v>1810</v>
      </c>
      <c r="R1080" s="12" t="s">
        <v>10753</v>
      </c>
      <c r="S1080" s="12" t="str">
        <f t="shared" si="213"/>
        <v>1843</v>
      </c>
      <c r="T1080" s="12"/>
      <c r="U1080" s="12"/>
      <c r="V1080" s="12" t="str">
        <f t="shared" si="214"/>
        <v/>
      </c>
      <c r="W1080" s="12" t="s">
        <v>4566</v>
      </c>
      <c r="X1080" s="12" t="s">
        <v>775</v>
      </c>
      <c r="Y1080" s="2" t="s">
        <v>10754</v>
      </c>
      <c r="AB1080" s="2" t="s">
        <v>32</v>
      </c>
      <c r="AC1080" s="12" t="s">
        <v>10755</v>
      </c>
      <c r="AD1080" s="12"/>
      <c r="AE1080" s="12"/>
      <c r="AF1080" s="12" t="s">
        <v>4785</v>
      </c>
      <c r="AG1080" s="12" t="s">
        <v>53</v>
      </c>
      <c r="AH1080" s="12" t="s">
        <v>29</v>
      </c>
      <c r="AI1080" s="12" t="str">
        <f t="shared" si="215"/>
        <v>1837</v>
      </c>
      <c r="AJ1080" s="2" t="s">
        <v>2262</v>
      </c>
      <c r="AK1080" s="12"/>
    </row>
    <row r="1081" spans="1:52">
      <c r="A1081" s="12" t="s">
        <v>695</v>
      </c>
      <c r="B1081" s="12" t="str">
        <f t="shared" si="207"/>
        <v>MEYER</v>
      </c>
      <c r="C1081" s="12" t="str">
        <f t="shared" si="208"/>
        <v>MEYER</v>
      </c>
      <c r="D1081" s="12" t="s">
        <v>10835</v>
      </c>
      <c r="E1081" s="12" t="str">
        <f t="shared" si="206"/>
        <v>Jesias Engelbertus</v>
      </c>
      <c r="F1081" s="12" t="s">
        <v>10836</v>
      </c>
      <c r="G1081" s="12" t="str">
        <f t="shared" si="209"/>
        <v>a2b4c5d7e6</v>
      </c>
      <c r="H1081" s="12" t="str">
        <f t="shared" si="210"/>
        <v>MEYERa2b4c5d7e6</v>
      </c>
      <c r="J1081" s="12"/>
      <c r="K1081" s="12" t="str">
        <f t="shared" si="211"/>
        <v/>
      </c>
      <c r="L1081" s="12"/>
      <c r="M1081" s="12" t="s">
        <v>10837</v>
      </c>
      <c r="N1081" s="12" t="str">
        <f t="shared" si="204"/>
        <v/>
      </c>
      <c r="O1081" s="12" t="str">
        <f t="shared" si="205"/>
        <v>1803</v>
      </c>
      <c r="P1081" s="12" t="s">
        <v>8606</v>
      </c>
      <c r="Q1081" s="12" t="str">
        <f t="shared" si="212"/>
        <v>1803</v>
      </c>
      <c r="R1081" s="12" t="s">
        <v>10838</v>
      </c>
      <c r="S1081" s="12" t="str">
        <f t="shared" si="213"/>
        <v>1886</v>
      </c>
      <c r="V1081" s="12" t="str">
        <f t="shared" si="214"/>
        <v/>
      </c>
      <c r="W1081" s="12" t="s">
        <v>1135</v>
      </c>
      <c r="X1081" s="12" t="s">
        <v>2153</v>
      </c>
      <c r="Y1081" s="2" t="s">
        <v>10839</v>
      </c>
      <c r="AC1081" s="2" t="s">
        <v>10840</v>
      </c>
      <c r="AF1081" s="12"/>
      <c r="AG1081" s="12"/>
      <c r="AH1081" s="12" t="s">
        <v>10841</v>
      </c>
      <c r="AI1081" s="12" t="str">
        <f t="shared" si="215"/>
        <v>1842</v>
      </c>
      <c r="AK1081" s="12" t="s">
        <v>90</v>
      </c>
    </row>
    <row r="1082" spans="1:52">
      <c r="A1082" s="12" t="s">
        <v>695</v>
      </c>
      <c r="B1082" s="12" t="str">
        <f t="shared" si="207"/>
        <v>MEYER</v>
      </c>
      <c r="C1082" s="12" t="str">
        <f t="shared" si="208"/>
        <v>MEYER</v>
      </c>
      <c r="D1082" s="12" t="s">
        <v>10817</v>
      </c>
      <c r="E1082" s="12" t="str">
        <f t="shared" si="206"/>
        <v>Jacobus Johannes Phillippus</v>
      </c>
      <c r="F1082" s="12" t="s">
        <v>10818</v>
      </c>
      <c r="G1082" s="12" t="str">
        <f t="shared" si="209"/>
        <v>a2b4c7d3e5</v>
      </c>
      <c r="H1082" s="12" t="str">
        <f t="shared" si="210"/>
        <v>MEYERa2b4c7d3e5</v>
      </c>
      <c r="J1082" s="12" t="s">
        <v>10819</v>
      </c>
      <c r="K1082" s="12" t="str">
        <f t="shared" si="211"/>
        <v>1801</v>
      </c>
      <c r="N1082" s="12" t="str">
        <f t="shared" si="204"/>
        <v>1801</v>
      </c>
      <c r="O1082" s="12" t="str">
        <f t="shared" si="205"/>
        <v/>
      </c>
      <c r="P1082" s="12" t="s">
        <v>93</v>
      </c>
      <c r="Q1082" s="12" t="str">
        <f t="shared" si="212"/>
        <v>1801</v>
      </c>
      <c r="R1082" s="12" t="s">
        <v>10820</v>
      </c>
      <c r="S1082" s="12" t="str">
        <f t="shared" si="213"/>
        <v>1883</v>
      </c>
      <c r="T1082" s="2" t="s">
        <v>199</v>
      </c>
      <c r="U1082" s="2" t="s">
        <v>10821</v>
      </c>
      <c r="V1082" s="12" t="str">
        <f t="shared" si="214"/>
        <v>1819</v>
      </c>
      <c r="W1082" s="12" t="s">
        <v>823</v>
      </c>
      <c r="X1082" s="12" t="s">
        <v>697</v>
      </c>
      <c r="Y1082" s="12"/>
      <c r="AC1082" s="12"/>
      <c r="AD1082" s="2" t="s">
        <v>93</v>
      </c>
      <c r="AE1082" s="2" t="s">
        <v>10822</v>
      </c>
      <c r="AF1082" s="12"/>
      <c r="AG1082" s="12" t="s">
        <v>199</v>
      </c>
      <c r="AH1082" s="12"/>
      <c r="AI1082" s="12" t="str">
        <f t="shared" si="215"/>
        <v/>
      </c>
      <c r="AJ1082" s="12"/>
    </row>
    <row r="1083" spans="1:52">
      <c r="A1083" s="12" t="s">
        <v>695</v>
      </c>
      <c r="B1083" s="12" t="str">
        <f t="shared" si="207"/>
        <v>MEYER</v>
      </c>
      <c r="C1083" s="12" t="str">
        <f t="shared" si="208"/>
        <v>MEYER</v>
      </c>
      <c r="D1083" s="12" t="s">
        <v>10859</v>
      </c>
      <c r="E1083" s="12" t="str">
        <f t="shared" si="206"/>
        <v>Lucas Johannes</v>
      </c>
      <c r="F1083" s="12" t="s">
        <v>10864</v>
      </c>
      <c r="G1083" s="12" t="str">
        <f t="shared" si="209"/>
        <v>a3b1c1d3e5</v>
      </c>
      <c r="H1083" s="12" t="str">
        <f t="shared" si="210"/>
        <v>MEYERa3b1c1d3e5</v>
      </c>
      <c r="J1083" s="12"/>
      <c r="K1083" s="12" t="str">
        <f t="shared" si="211"/>
        <v/>
      </c>
      <c r="L1083" s="12"/>
      <c r="M1083" s="12" t="s">
        <v>349</v>
      </c>
      <c r="N1083" s="12" t="str">
        <f t="shared" si="204"/>
        <v/>
      </c>
      <c r="O1083" s="12" t="str">
        <f t="shared" si="205"/>
        <v>1797</v>
      </c>
      <c r="P1083" s="12"/>
      <c r="Q1083" s="12" t="str">
        <f t="shared" si="212"/>
        <v>1797</v>
      </c>
      <c r="R1083" s="12"/>
      <c r="S1083" s="12" t="str">
        <f t="shared" si="213"/>
        <v/>
      </c>
      <c r="T1083" s="12"/>
      <c r="U1083" s="12"/>
      <c r="V1083" s="12" t="str">
        <f t="shared" si="214"/>
        <v/>
      </c>
      <c r="W1083" s="12" t="s">
        <v>1387</v>
      </c>
      <c r="X1083" s="12" t="s">
        <v>730</v>
      </c>
      <c r="Y1083" s="12" t="s">
        <v>10865</v>
      </c>
      <c r="AA1083" s="12"/>
      <c r="AC1083" s="2" t="s">
        <v>3103</v>
      </c>
      <c r="AF1083" s="12" t="s">
        <v>3719</v>
      </c>
      <c r="AG1083" s="12" t="s">
        <v>68</v>
      </c>
      <c r="AH1083" s="12" t="s">
        <v>2489</v>
      </c>
      <c r="AI1083" s="12" t="str">
        <f t="shared" si="215"/>
        <v>1841</v>
      </c>
      <c r="AK1083" s="2" t="s">
        <v>551</v>
      </c>
    </row>
    <row r="1084" spans="1:52">
      <c r="A1084" s="12" t="s">
        <v>695</v>
      </c>
      <c r="B1084" s="12" t="str">
        <f t="shared" si="207"/>
        <v>MEYER</v>
      </c>
      <c r="C1084" s="12" t="str">
        <f t="shared" si="208"/>
        <v>MEYER</v>
      </c>
      <c r="D1084" s="12" t="s">
        <v>10866</v>
      </c>
      <c r="E1084" s="12" t="str">
        <f t="shared" si="206"/>
        <v>Lucas Petrus Johannes</v>
      </c>
      <c r="F1084" s="2" t="s">
        <v>10867</v>
      </c>
      <c r="G1084" s="12" t="str">
        <f t="shared" si="209"/>
        <v>a3b1c6d2e5f1</v>
      </c>
      <c r="H1084" s="12" t="str">
        <f t="shared" si="210"/>
        <v>MEYERa3b1c6d2e5f1</v>
      </c>
      <c r="J1084" s="2" t="s">
        <v>10868</v>
      </c>
      <c r="K1084" s="12" t="str">
        <f t="shared" si="211"/>
        <v>1811</v>
      </c>
      <c r="L1084" s="2" t="s">
        <v>74</v>
      </c>
      <c r="M1084" s="2" t="s">
        <v>10869</v>
      </c>
      <c r="N1084" s="12" t="str">
        <f t="shared" si="204"/>
        <v>1811</v>
      </c>
      <c r="O1084" s="12" t="str">
        <f t="shared" si="205"/>
        <v>1811</v>
      </c>
      <c r="P1084" s="2" t="s">
        <v>90</v>
      </c>
      <c r="Q1084" s="12" t="str">
        <f t="shared" si="212"/>
        <v>1811</v>
      </c>
      <c r="R1084" s="2" t="s">
        <v>6764</v>
      </c>
      <c r="S1084" s="12" t="str">
        <f t="shared" si="213"/>
        <v>1838</v>
      </c>
      <c r="T1084" s="12" t="s">
        <v>331</v>
      </c>
      <c r="U1084" s="12" t="s">
        <v>10870</v>
      </c>
      <c r="V1084" s="12" t="str">
        <f t="shared" si="214"/>
        <v>1832</v>
      </c>
      <c r="W1084" s="12" t="s">
        <v>10871</v>
      </c>
      <c r="X1084" s="12" t="s">
        <v>5366</v>
      </c>
      <c r="Y1084" s="2" t="s">
        <v>8235</v>
      </c>
      <c r="AA1084" s="2" t="s">
        <v>10872</v>
      </c>
      <c r="AD1084" s="2" t="s">
        <v>1864</v>
      </c>
      <c r="AE1084" s="2" t="s">
        <v>10873</v>
      </c>
      <c r="AF1084" s="2" t="s">
        <v>3709</v>
      </c>
      <c r="AG1084" s="12" t="s">
        <v>68</v>
      </c>
      <c r="AH1084" s="12" t="s">
        <v>10874</v>
      </c>
      <c r="AI1084" s="12" t="str">
        <f t="shared" si="215"/>
        <v>1837</v>
      </c>
      <c r="AJ1084" s="2" t="s">
        <v>5423</v>
      </c>
      <c r="AK1084" s="12"/>
    </row>
    <row r="1085" spans="1:52">
      <c r="A1085" s="12" t="s">
        <v>695</v>
      </c>
      <c r="B1085" s="12" t="str">
        <f t="shared" si="207"/>
        <v>MEYER</v>
      </c>
      <c r="C1085" s="12" t="str">
        <f t="shared" si="208"/>
        <v>MEYER</v>
      </c>
      <c r="D1085" s="12" t="s">
        <v>10859</v>
      </c>
      <c r="E1085" s="12" t="str">
        <f t="shared" si="206"/>
        <v>Lucas Johannes</v>
      </c>
      <c r="F1085" s="12" t="s">
        <v>10860</v>
      </c>
      <c r="G1085" s="12" t="str">
        <f t="shared" si="209"/>
        <v>a3b1c6d2e6</v>
      </c>
      <c r="H1085" s="12" t="str">
        <f t="shared" si="210"/>
        <v>MEYERa3b1c6d2e6</v>
      </c>
      <c r="J1085" s="12" t="s">
        <v>6467</v>
      </c>
      <c r="K1085" s="12" t="str">
        <f t="shared" si="211"/>
        <v>1792</v>
      </c>
      <c r="N1085" s="12" t="str">
        <f t="shared" si="204"/>
        <v>1792</v>
      </c>
      <c r="O1085" s="12" t="str">
        <f t="shared" si="205"/>
        <v/>
      </c>
      <c r="P1085" s="12" t="s">
        <v>2208</v>
      </c>
      <c r="Q1085" s="12" t="str">
        <f t="shared" si="212"/>
        <v>1792</v>
      </c>
      <c r="R1085" s="12" t="s">
        <v>10861</v>
      </c>
      <c r="S1085" s="12" t="str">
        <f t="shared" si="213"/>
        <v>1864</v>
      </c>
      <c r="T1085" s="12"/>
      <c r="U1085" s="12"/>
      <c r="V1085" s="12" t="str">
        <f t="shared" si="214"/>
        <v/>
      </c>
      <c r="W1085" s="12" t="s">
        <v>1903</v>
      </c>
      <c r="X1085" s="12" t="s">
        <v>629</v>
      </c>
      <c r="Y1085" s="2" t="s">
        <v>4763</v>
      </c>
      <c r="Z1085" s="2" t="s">
        <v>10862</v>
      </c>
      <c r="AE1085" s="12"/>
      <c r="AF1085" s="2" t="s">
        <v>3709</v>
      </c>
      <c r="AG1085" s="2" t="s">
        <v>68</v>
      </c>
      <c r="AH1085" s="12" t="s">
        <v>10762</v>
      </c>
      <c r="AI1085" s="12" t="str">
        <f t="shared" si="215"/>
        <v>1837</v>
      </c>
      <c r="AJ1085" s="2" t="s">
        <v>3123</v>
      </c>
      <c r="AK1085" s="12"/>
      <c r="AL1085" s="2" t="s">
        <v>90</v>
      </c>
      <c r="AM1085" s="12" t="s">
        <v>10863</v>
      </c>
      <c r="AN1085" s="12"/>
      <c r="AO1085" s="12"/>
      <c r="AQ1085" s="12"/>
      <c r="AS1085" s="12"/>
      <c r="AT1085" s="12"/>
      <c r="AW1085" s="12"/>
      <c r="AX1085" s="12"/>
      <c r="AY1085" s="12"/>
      <c r="AZ1085" s="12"/>
    </row>
    <row r="1086" spans="1:52">
      <c r="A1086" s="12" t="s">
        <v>695</v>
      </c>
      <c r="B1086" s="12" t="str">
        <f t="shared" si="207"/>
        <v>MEYER</v>
      </c>
      <c r="C1086" s="12" t="str">
        <f t="shared" si="208"/>
        <v>MEYER</v>
      </c>
      <c r="D1086" s="12" t="s">
        <v>3345</v>
      </c>
      <c r="E1086" s="12" t="str">
        <f t="shared" si="206"/>
        <v>Lucas Cornelis</v>
      </c>
      <c r="F1086" s="12" t="s">
        <v>10853</v>
      </c>
      <c r="G1086" s="12" t="str">
        <f t="shared" si="209"/>
        <v>a3b1c6d2e6f1</v>
      </c>
      <c r="H1086" s="12" t="str">
        <f t="shared" si="210"/>
        <v>MEYERa3b1c6d2e6f1</v>
      </c>
      <c r="I1086" s="2" t="s">
        <v>10854</v>
      </c>
      <c r="J1086" s="2" t="s">
        <v>10855</v>
      </c>
      <c r="K1086" s="12" t="str">
        <f t="shared" si="211"/>
        <v>1811</v>
      </c>
      <c r="L1086" s="2" t="s">
        <v>74</v>
      </c>
      <c r="M1086" s="12" t="s">
        <v>10856</v>
      </c>
      <c r="N1086" s="12" t="str">
        <f t="shared" si="204"/>
        <v>1811</v>
      </c>
      <c r="O1086" s="12" t="str">
        <f t="shared" si="205"/>
        <v>1812</v>
      </c>
      <c r="P1086" s="12" t="s">
        <v>90</v>
      </c>
      <c r="Q1086" s="12" t="str">
        <f t="shared" si="212"/>
        <v>1811</v>
      </c>
      <c r="R1086" s="12" t="s">
        <v>10857</v>
      </c>
      <c r="S1086" s="12" t="str">
        <f t="shared" si="213"/>
        <v>1836</v>
      </c>
      <c r="T1086" s="12" t="s">
        <v>68</v>
      </c>
      <c r="U1086" s="12" t="s">
        <v>10615</v>
      </c>
      <c r="V1086" s="12" t="str">
        <f t="shared" si="214"/>
        <v>1830</v>
      </c>
      <c r="W1086" s="12" t="s">
        <v>1387</v>
      </c>
      <c r="X1086" s="12" t="s">
        <v>10484</v>
      </c>
      <c r="Y1086" s="12"/>
      <c r="AC1086" s="12"/>
      <c r="AF1086" s="12" t="s">
        <v>3709</v>
      </c>
      <c r="AG1086" s="12" t="s">
        <v>68</v>
      </c>
      <c r="AH1086" s="12" t="s">
        <v>10762</v>
      </c>
      <c r="AI1086" s="12" t="str">
        <f t="shared" si="215"/>
        <v>1837</v>
      </c>
      <c r="AJ1086" s="12" t="s">
        <v>10763</v>
      </c>
      <c r="AL1086" s="2" t="s">
        <v>68</v>
      </c>
      <c r="AM1086" s="2" t="s">
        <v>10857</v>
      </c>
      <c r="AN1086" s="2" t="s">
        <v>10858</v>
      </c>
      <c r="AO1086" s="2" t="s">
        <v>792</v>
      </c>
      <c r="AV1086" s="12"/>
    </row>
    <row r="1087" spans="1:52">
      <c r="A1087" s="12" t="s">
        <v>695</v>
      </c>
      <c r="B1087" s="12" t="str">
        <f t="shared" si="207"/>
        <v>MEYER</v>
      </c>
      <c r="C1087" s="12" t="str">
        <f t="shared" si="208"/>
        <v>MEYER</v>
      </c>
      <c r="D1087" s="12" t="s">
        <v>10756</v>
      </c>
      <c r="E1087" s="12" t="str">
        <f t="shared" si="206"/>
        <v>Adriaan Willem Petrus</v>
      </c>
      <c r="F1087" s="12" t="s">
        <v>10757</v>
      </c>
      <c r="G1087" s="12" t="str">
        <f t="shared" si="209"/>
        <v>a3b1c6d2e6f6</v>
      </c>
      <c r="H1087" s="12" t="str">
        <f t="shared" si="210"/>
        <v>MEYERa3b1c6d2e6f6</v>
      </c>
      <c r="J1087" s="12"/>
      <c r="K1087" s="12" t="str">
        <f t="shared" si="211"/>
        <v/>
      </c>
      <c r="L1087" s="12"/>
      <c r="M1087" s="12"/>
      <c r="N1087" s="12" t="str">
        <f t="shared" si="204"/>
        <v/>
      </c>
      <c r="O1087" s="12" t="str">
        <f t="shared" si="205"/>
        <v/>
      </c>
      <c r="P1087" s="2" t="s">
        <v>5146</v>
      </c>
      <c r="Q1087" s="12" t="str">
        <f t="shared" si="212"/>
        <v/>
      </c>
      <c r="R1087" s="2" t="s">
        <v>10758</v>
      </c>
      <c r="S1087" s="12" t="str">
        <f t="shared" si="213"/>
        <v>1840</v>
      </c>
      <c r="T1087" s="2" t="s">
        <v>68</v>
      </c>
      <c r="U1087" s="2" t="s">
        <v>6990</v>
      </c>
      <c r="V1087" s="12" t="str">
        <f t="shared" si="214"/>
        <v>1837</v>
      </c>
      <c r="W1087" s="2" t="s">
        <v>1440</v>
      </c>
      <c r="X1087" s="2" t="s">
        <v>694</v>
      </c>
      <c r="Y1087" s="2" t="s">
        <v>1441</v>
      </c>
      <c r="AA1087" s="2" t="s">
        <v>10759</v>
      </c>
      <c r="AD1087" s="2" t="s">
        <v>10760</v>
      </c>
      <c r="AE1087" s="2" t="s">
        <v>10761</v>
      </c>
      <c r="AF1087" s="12" t="s">
        <v>3709</v>
      </c>
      <c r="AG1087" s="12" t="s">
        <v>68</v>
      </c>
      <c r="AH1087" s="12" t="s">
        <v>10762</v>
      </c>
      <c r="AI1087" s="12" t="str">
        <f t="shared" si="215"/>
        <v>1837</v>
      </c>
      <c r="AJ1087" s="12" t="s">
        <v>10763</v>
      </c>
    </row>
    <row r="1088" spans="1:52">
      <c r="A1088" s="12" t="s">
        <v>695</v>
      </c>
      <c r="B1088" s="12" t="str">
        <f t="shared" si="207"/>
        <v>MEYER</v>
      </c>
      <c r="C1088" s="12" t="str">
        <f t="shared" si="208"/>
        <v>MEYER</v>
      </c>
      <c r="D1088" s="12" t="s">
        <v>10811</v>
      </c>
      <c r="E1088" s="12" t="str">
        <f t="shared" si="206"/>
        <v>Izak (Isaak) Johannes</v>
      </c>
      <c r="F1088" s="12" t="s">
        <v>10812</v>
      </c>
      <c r="G1088" s="12" t="str">
        <f t="shared" si="209"/>
        <v>a3b1c6d2e6f7</v>
      </c>
      <c r="H1088" s="12" t="str">
        <f t="shared" si="210"/>
        <v>MEYERa3b1c6d2e6f7</v>
      </c>
      <c r="J1088" s="2" t="s">
        <v>10813</v>
      </c>
      <c r="K1088" s="12" t="str">
        <f t="shared" si="211"/>
        <v>1822</v>
      </c>
      <c r="L1088" s="2" t="s">
        <v>2355</v>
      </c>
      <c r="M1088" s="12" t="s">
        <v>10814</v>
      </c>
      <c r="N1088" s="12" t="str">
        <f t="shared" si="204"/>
        <v>1822</v>
      </c>
      <c r="O1088" s="12" t="str">
        <f t="shared" si="205"/>
        <v>1882</v>
      </c>
      <c r="P1088" s="12"/>
      <c r="Q1088" s="12" t="str">
        <f t="shared" si="212"/>
        <v>1822</v>
      </c>
      <c r="R1088" s="12"/>
      <c r="S1088" s="12" t="str">
        <f t="shared" si="213"/>
        <v/>
      </c>
      <c r="T1088" s="12" t="s">
        <v>90</v>
      </c>
      <c r="U1088" s="12"/>
      <c r="V1088" s="12" t="str">
        <f t="shared" si="214"/>
        <v/>
      </c>
      <c r="W1088" s="12" t="s">
        <v>10815</v>
      </c>
      <c r="X1088" s="12" t="s">
        <v>1961</v>
      </c>
      <c r="Y1088" s="12" t="s">
        <v>5685</v>
      </c>
      <c r="AA1088" s="2">
        <v>1827</v>
      </c>
      <c r="AC1088" s="12"/>
      <c r="AD1088" s="12"/>
      <c r="AE1088" s="12" t="s">
        <v>10816</v>
      </c>
      <c r="AF1088" s="12" t="s">
        <v>3709</v>
      </c>
      <c r="AG1088" s="12" t="s">
        <v>68</v>
      </c>
      <c r="AH1088" s="12" t="s">
        <v>10762</v>
      </c>
      <c r="AI1088" s="12" t="str">
        <f t="shared" si="215"/>
        <v>1837</v>
      </c>
      <c r="AJ1088" s="12" t="s">
        <v>10763</v>
      </c>
    </row>
    <row r="1089" spans="1:59">
      <c r="A1089" s="12" t="s">
        <v>695</v>
      </c>
      <c r="B1089" s="12" t="str">
        <f t="shared" si="207"/>
        <v>MEYER</v>
      </c>
      <c r="C1089" s="12" t="str">
        <f t="shared" si="208"/>
        <v>MEYER</v>
      </c>
      <c r="D1089" s="12" t="s">
        <v>10903</v>
      </c>
      <c r="E1089" s="12" t="str">
        <f t="shared" si="206"/>
        <v>Willem Petrus (Piet)</v>
      </c>
      <c r="F1089" s="12" t="s">
        <v>10904</v>
      </c>
      <c r="G1089" s="12" t="str">
        <f t="shared" si="209"/>
        <v>a3b1c6d2e8</v>
      </c>
      <c r="H1089" s="12" t="str">
        <f t="shared" si="210"/>
        <v>MEYERa3b1c6d2e8</v>
      </c>
      <c r="I1089" s="12"/>
      <c r="J1089" s="12" t="s">
        <v>10905</v>
      </c>
      <c r="K1089" s="12" t="str">
        <f t="shared" si="211"/>
        <v>1797</v>
      </c>
      <c r="L1089" s="12"/>
      <c r="M1089" s="12"/>
      <c r="N1089" s="12" t="str">
        <f t="shared" si="204"/>
        <v>1797</v>
      </c>
      <c r="O1089" s="12" t="str">
        <f t="shared" si="205"/>
        <v/>
      </c>
      <c r="P1089" s="12" t="s">
        <v>90</v>
      </c>
      <c r="Q1089" s="12" t="str">
        <f t="shared" si="212"/>
        <v>1797</v>
      </c>
      <c r="R1089" s="12"/>
      <c r="S1089" s="12" t="str">
        <f t="shared" si="213"/>
        <v/>
      </c>
      <c r="T1089" s="12"/>
      <c r="U1089" s="12"/>
      <c r="V1089" s="12" t="str">
        <f t="shared" si="214"/>
        <v/>
      </c>
      <c r="W1089" s="12" t="s">
        <v>7926</v>
      </c>
      <c r="X1089" s="12" t="s">
        <v>629</v>
      </c>
      <c r="Y1089" s="12"/>
      <c r="Z1089" s="12"/>
      <c r="AA1089" s="12"/>
      <c r="AB1089" s="12"/>
      <c r="AC1089" s="12"/>
      <c r="AD1089" s="12" t="s">
        <v>90</v>
      </c>
      <c r="AE1089" s="12" t="s">
        <v>10906</v>
      </c>
      <c r="AF1089" s="12" t="s">
        <v>3717</v>
      </c>
      <c r="AG1089" s="12" t="s">
        <v>346</v>
      </c>
      <c r="AH1089" s="12" t="s">
        <v>10907</v>
      </c>
      <c r="AI1089" s="12" t="str">
        <f t="shared" si="215"/>
        <v>1837</v>
      </c>
      <c r="AJ1089" s="12" t="s">
        <v>5423</v>
      </c>
      <c r="AK1089" s="12" t="s">
        <v>551</v>
      </c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</row>
    <row r="1090" spans="1:59">
      <c r="A1090" s="12" t="s">
        <v>695</v>
      </c>
      <c r="B1090" s="12" t="str">
        <f t="shared" si="207"/>
        <v>MEYER</v>
      </c>
      <c r="C1090" s="12" t="str">
        <f t="shared" si="208"/>
        <v>MEYER</v>
      </c>
      <c r="D1090" s="12" t="s">
        <v>10781</v>
      </c>
      <c r="E1090" s="12" t="str">
        <f t="shared" si="206"/>
        <v>Elsie(Weduwee P.H.Fick</v>
      </c>
      <c r="F1090" s="12" t="s">
        <v>10782</v>
      </c>
      <c r="G1090" s="12" t="str">
        <f t="shared" si="209"/>
        <v>a3b1c6d5e1</v>
      </c>
      <c r="H1090" s="12" t="str">
        <f t="shared" si="210"/>
        <v>MEYERa3b1c6d5e1</v>
      </c>
      <c r="I1090" s="12"/>
      <c r="J1090" s="12" t="s">
        <v>10783</v>
      </c>
      <c r="K1090" s="12" t="str">
        <f t="shared" si="211"/>
        <v>1780</v>
      </c>
      <c r="L1090" s="12"/>
      <c r="M1090" s="12"/>
      <c r="N1090" s="12" t="str">
        <f t="shared" ref="N1090:N1153" si="216">RIGHT(J1090,4)</f>
        <v>1780</v>
      </c>
      <c r="O1090" s="12" t="str">
        <f t="shared" ref="O1090:O1153" si="217">RIGHT(M1090,4)</f>
        <v/>
      </c>
      <c r="P1090" s="12"/>
      <c r="Q1090" s="12" t="str">
        <f t="shared" si="212"/>
        <v>1780</v>
      </c>
      <c r="R1090" s="12"/>
      <c r="S1090" s="12" t="str">
        <f t="shared" si="213"/>
        <v/>
      </c>
      <c r="T1090" s="12"/>
      <c r="U1090" s="12"/>
      <c r="V1090" s="12" t="str">
        <f t="shared" si="214"/>
        <v/>
      </c>
      <c r="W1090" s="12" t="s">
        <v>10784</v>
      </c>
      <c r="X1090" s="12" t="s">
        <v>4409</v>
      </c>
      <c r="Y1090" s="12" t="s">
        <v>4961</v>
      </c>
      <c r="Z1090" s="12"/>
      <c r="AA1090" s="12"/>
      <c r="AB1090" s="12"/>
      <c r="AC1090" s="12" t="s">
        <v>10785</v>
      </c>
      <c r="AD1090" s="12" t="s">
        <v>8604</v>
      </c>
      <c r="AE1090" s="12" t="s">
        <v>10786</v>
      </c>
      <c r="AF1090" s="12" t="s">
        <v>10370</v>
      </c>
      <c r="AG1090" s="12" t="s">
        <v>53</v>
      </c>
      <c r="AH1090" s="12" t="s">
        <v>10787</v>
      </c>
      <c r="AI1090" s="12" t="str">
        <f t="shared" si="215"/>
        <v>1838</v>
      </c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</row>
    <row r="1091" spans="1:59">
      <c r="A1091" s="12" t="s">
        <v>695</v>
      </c>
      <c r="B1091" s="12" t="str">
        <f t="shared" si="207"/>
        <v>MEYER</v>
      </c>
      <c r="C1091" s="12" t="str">
        <f t="shared" si="208"/>
        <v>MEYER</v>
      </c>
      <c r="D1091" s="12" t="s">
        <v>10846</v>
      </c>
      <c r="E1091" s="12" t="str">
        <f t="shared" ref="E1091:E1154" si="218">PROPER(D1091)</f>
        <v>Johan Izak</v>
      </c>
      <c r="F1091" s="12" t="s">
        <v>10847</v>
      </c>
      <c r="G1091" s="12" t="str">
        <f t="shared" si="209"/>
        <v>a3b1c6d5e4f3</v>
      </c>
      <c r="H1091" s="12" t="str">
        <f t="shared" si="210"/>
        <v>MEYERa3b1c6d5e4f3</v>
      </c>
      <c r="I1091" s="12"/>
      <c r="J1091" s="12" t="s">
        <v>10848</v>
      </c>
      <c r="K1091" s="12" t="str">
        <f t="shared" si="211"/>
        <v>1815</v>
      </c>
      <c r="L1091" s="12"/>
      <c r="M1091" s="12"/>
      <c r="N1091" s="12" t="str">
        <f t="shared" si="216"/>
        <v>1815</v>
      </c>
      <c r="O1091" s="12" t="str">
        <f t="shared" si="217"/>
        <v/>
      </c>
      <c r="P1091" s="12" t="s">
        <v>90</v>
      </c>
      <c r="Q1091" s="12" t="str">
        <f t="shared" si="212"/>
        <v>1815</v>
      </c>
      <c r="R1091" s="12" t="s">
        <v>10849</v>
      </c>
      <c r="S1091" s="12" t="str">
        <f t="shared" si="213"/>
        <v>1851</v>
      </c>
      <c r="T1091" s="12"/>
      <c r="U1091" s="12"/>
      <c r="V1091" s="12" t="str">
        <f t="shared" si="214"/>
        <v/>
      </c>
      <c r="W1091" s="12" t="s">
        <v>10850</v>
      </c>
      <c r="X1091" s="12" t="s">
        <v>726</v>
      </c>
      <c r="Y1091" s="12"/>
      <c r="Z1091" s="2" t="s">
        <v>53</v>
      </c>
      <c r="AA1091" s="12" t="s">
        <v>10851</v>
      </c>
      <c r="AB1091" s="12" t="s">
        <v>199</v>
      </c>
      <c r="AC1091" s="12" t="s">
        <v>5940</v>
      </c>
      <c r="AD1091" s="12"/>
      <c r="AE1091" s="12"/>
      <c r="AF1091" s="12" t="s">
        <v>10370</v>
      </c>
      <c r="AG1091" s="12" t="s">
        <v>53</v>
      </c>
      <c r="AH1091" s="12" t="s">
        <v>10852</v>
      </c>
      <c r="AI1091" s="12" t="str">
        <f t="shared" si="215"/>
        <v>1837</v>
      </c>
      <c r="AJ1091" s="12" t="s">
        <v>10766</v>
      </c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</row>
    <row r="1092" spans="1:59">
      <c r="A1092" s="12" t="s">
        <v>695</v>
      </c>
      <c r="B1092" s="12" t="str">
        <f t="shared" si="207"/>
        <v>MEYER</v>
      </c>
      <c r="C1092" s="12" t="str">
        <f t="shared" si="208"/>
        <v>MEYER</v>
      </c>
      <c r="D1092" s="12" t="s">
        <v>10767</v>
      </c>
      <c r="E1092" s="12" t="str">
        <f t="shared" si="218"/>
        <v>Coenraad Frederik Jr.</v>
      </c>
      <c r="F1092" s="12" t="s">
        <v>10768</v>
      </c>
      <c r="G1092" s="12" t="str">
        <f t="shared" si="209"/>
        <v>a3b1c6d5e4f4</v>
      </c>
      <c r="H1092" s="12" t="str">
        <f t="shared" si="210"/>
        <v>MEYERa3b1c6d5e4f4</v>
      </c>
      <c r="I1092" s="12"/>
      <c r="J1092" s="12" t="s">
        <v>10769</v>
      </c>
      <c r="K1092" s="12" t="str">
        <f t="shared" si="211"/>
        <v>1820</v>
      </c>
      <c r="L1092" s="12"/>
      <c r="M1092" s="12"/>
      <c r="N1092" s="12" t="str">
        <f t="shared" si="216"/>
        <v>1820</v>
      </c>
      <c r="O1092" s="12" t="str">
        <f t="shared" si="217"/>
        <v/>
      </c>
      <c r="P1092" s="12" t="s">
        <v>5146</v>
      </c>
      <c r="Q1092" s="12" t="str">
        <f t="shared" si="212"/>
        <v>1820</v>
      </c>
      <c r="R1092" s="12" t="s">
        <v>10770</v>
      </c>
      <c r="S1092" s="12" t="str">
        <f t="shared" si="213"/>
        <v>1892</v>
      </c>
      <c r="T1092" s="12"/>
      <c r="U1092" s="12" t="s">
        <v>10771</v>
      </c>
      <c r="V1092" s="12" t="str">
        <f t="shared" si="214"/>
        <v>1846</v>
      </c>
      <c r="W1092" s="12" t="s">
        <v>10772</v>
      </c>
      <c r="X1092" s="12" t="s">
        <v>726</v>
      </c>
      <c r="Z1092" s="12"/>
      <c r="AA1092" s="12"/>
      <c r="AB1092" s="12"/>
      <c r="AC1092" s="12"/>
      <c r="AD1092" s="12" t="s">
        <v>5044</v>
      </c>
      <c r="AE1092" s="12" t="s">
        <v>10773</v>
      </c>
      <c r="AF1092" s="12" t="s">
        <v>10774</v>
      </c>
      <c r="AG1092" s="12" t="s">
        <v>53</v>
      </c>
      <c r="AH1092" s="12" t="s">
        <v>10765</v>
      </c>
      <c r="AI1092" s="12" t="str">
        <f t="shared" si="215"/>
        <v>1837</v>
      </c>
      <c r="AJ1092" s="12" t="s">
        <v>10775</v>
      </c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</row>
    <row r="1093" spans="1:59">
      <c r="A1093" s="12" t="s">
        <v>695</v>
      </c>
      <c r="B1093" s="12" t="str">
        <f t="shared" si="207"/>
        <v>MEYER</v>
      </c>
      <c r="C1093" s="12" t="str">
        <f t="shared" si="208"/>
        <v>MEYER</v>
      </c>
      <c r="D1093" s="12" t="s">
        <v>10794</v>
      </c>
      <c r="E1093" s="12" t="str">
        <f t="shared" si="218"/>
        <v>Isak Cornelis</v>
      </c>
      <c r="F1093" s="12" t="s">
        <v>10795</v>
      </c>
      <c r="G1093" s="12" t="str">
        <f t="shared" si="209"/>
        <v>a3b1c6d5e4f5</v>
      </c>
      <c r="H1093" s="12" t="str">
        <f t="shared" si="210"/>
        <v>MEYERa3b1c6d5e4f5</v>
      </c>
      <c r="I1093" s="12"/>
      <c r="J1093" s="12">
        <v>1821</v>
      </c>
      <c r="K1093" s="12" t="str">
        <f t="shared" si="211"/>
        <v>1821</v>
      </c>
      <c r="L1093" s="12"/>
      <c r="M1093" s="12"/>
      <c r="N1093" s="12" t="str">
        <f t="shared" si="216"/>
        <v>1821</v>
      </c>
      <c r="O1093" s="12" t="str">
        <f t="shared" si="217"/>
        <v/>
      </c>
      <c r="P1093" s="12" t="s">
        <v>90</v>
      </c>
      <c r="Q1093" s="12" t="str">
        <f t="shared" si="212"/>
        <v>1821</v>
      </c>
      <c r="R1093" s="12" t="s">
        <v>10796</v>
      </c>
      <c r="S1093" s="12" t="str">
        <f t="shared" si="213"/>
        <v>1912</v>
      </c>
      <c r="T1093" s="12"/>
      <c r="U1093" s="12" t="s">
        <v>10297</v>
      </c>
      <c r="V1093" s="12" t="str">
        <f t="shared" si="214"/>
        <v>1845</v>
      </c>
      <c r="W1093" s="12" t="s">
        <v>10567</v>
      </c>
      <c r="X1093" s="12" t="s">
        <v>1151</v>
      </c>
      <c r="Y1093" s="12" t="s">
        <v>10797</v>
      </c>
      <c r="Z1093" s="12"/>
      <c r="AA1093" s="12">
        <v>1826</v>
      </c>
      <c r="AB1093" s="12"/>
      <c r="AC1093" s="12"/>
      <c r="AD1093" s="12"/>
      <c r="AE1093" s="12" t="s">
        <v>10798</v>
      </c>
      <c r="AF1093" s="12" t="s">
        <v>10774</v>
      </c>
      <c r="AG1093" s="12" t="s">
        <v>53</v>
      </c>
      <c r="AH1093" s="12" t="s">
        <v>10765</v>
      </c>
      <c r="AI1093" s="12" t="str">
        <f t="shared" si="215"/>
        <v>1837</v>
      </c>
      <c r="AJ1093" s="12" t="s">
        <v>10775</v>
      </c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</row>
    <row r="1094" spans="1:59">
      <c r="A1094" s="12" t="s">
        <v>695</v>
      </c>
      <c r="B1094" s="12" t="str">
        <f t="shared" si="207"/>
        <v>MEYER</v>
      </c>
      <c r="C1094" s="12" t="str">
        <f t="shared" si="208"/>
        <v>MEYER</v>
      </c>
      <c r="D1094" s="12" t="s">
        <v>10776</v>
      </c>
      <c r="E1094" s="12" t="str">
        <f t="shared" si="218"/>
        <v>Cornelis Marthinus</v>
      </c>
      <c r="F1094" s="12" t="s">
        <v>10777</v>
      </c>
      <c r="G1094" s="12" t="str">
        <f t="shared" si="209"/>
        <v>a3b1c6d5e4f6</v>
      </c>
      <c r="H1094" s="12" t="str">
        <f t="shared" si="210"/>
        <v>MEYERa3b1c6d5e4f6</v>
      </c>
      <c r="I1094" s="12"/>
      <c r="J1094" s="12">
        <v>1822</v>
      </c>
      <c r="K1094" s="12" t="str">
        <f t="shared" si="211"/>
        <v>1822</v>
      </c>
      <c r="L1094" s="12"/>
      <c r="M1094" s="12"/>
      <c r="N1094" s="12" t="str">
        <f t="shared" si="216"/>
        <v>1822</v>
      </c>
      <c r="O1094" s="12" t="str">
        <f t="shared" si="217"/>
        <v/>
      </c>
      <c r="P1094" s="12" t="s">
        <v>90</v>
      </c>
      <c r="Q1094" s="12" t="str">
        <f t="shared" si="212"/>
        <v>1822</v>
      </c>
      <c r="R1094" s="12" t="s">
        <v>10778</v>
      </c>
      <c r="S1094" s="12" t="str">
        <f t="shared" si="213"/>
        <v>1895</v>
      </c>
      <c r="T1094" s="12" t="s">
        <v>5146</v>
      </c>
      <c r="U1094" s="12" t="s">
        <v>10779</v>
      </c>
      <c r="V1094" s="12" t="str">
        <f t="shared" si="214"/>
        <v>1847</v>
      </c>
      <c r="W1094" s="12" t="s">
        <v>1611</v>
      </c>
      <c r="X1094" s="12" t="s">
        <v>695</v>
      </c>
      <c r="Y1094" s="12" t="s">
        <v>10780</v>
      </c>
      <c r="Z1094" s="12"/>
      <c r="AA1094" s="12"/>
      <c r="AB1094" s="12"/>
      <c r="AC1094" s="12"/>
      <c r="AD1094" s="12"/>
      <c r="AE1094" s="12"/>
      <c r="AF1094" s="12" t="s">
        <v>10774</v>
      </c>
      <c r="AG1094" s="12" t="s">
        <v>53</v>
      </c>
      <c r="AH1094" s="12" t="s">
        <v>10765</v>
      </c>
      <c r="AI1094" s="12" t="str">
        <f t="shared" si="215"/>
        <v>1837</v>
      </c>
      <c r="AJ1094" s="12" t="s">
        <v>10775</v>
      </c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</row>
    <row r="1095" spans="1:59">
      <c r="A1095" s="12" t="s">
        <v>695</v>
      </c>
      <c r="B1095" s="12" t="str">
        <f t="shared" si="207"/>
        <v>MEYER</v>
      </c>
      <c r="C1095" s="12" t="str">
        <f t="shared" si="208"/>
        <v>MEYER</v>
      </c>
      <c r="D1095" s="12" t="s">
        <v>10893</v>
      </c>
      <c r="E1095" s="12" t="str">
        <f t="shared" si="218"/>
        <v>Phillipus Jacobus</v>
      </c>
      <c r="F1095" s="12" t="s">
        <v>10894</v>
      </c>
      <c r="G1095" s="12" t="str">
        <f t="shared" si="209"/>
        <v>a3b1c6d8e2f3</v>
      </c>
      <c r="H1095" s="12" t="str">
        <f t="shared" si="210"/>
        <v>MEYERa3b1c6d8e2f3</v>
      </c>
      <c r="I1095" s="12"/>
      <c r="J1095" s="12">
        <v>1822</v>
      </c>
      <c r="K1095" s="12" t="str">
        <f t="shared" si="211"/>
        <v>1822</v>
      </c>
      <c r="L1095" s="12"/>
      <c r="M1095" s="12"/>
      <c r="N1095" s="12" t="str">
        <f t="shared" si="216"/>
        <v>1822</v>
      </c>
      <c r="O1095" s="12" t="str">
        <f t="shared" si="217"/>
        <v/>
      </c>
      <c r="P1095" s="12"/>
      <c r="Q1095" s="12" t="str">
        <f t="shared" si="212"/>
        <v>1822</v>
      </c>
      <c r="R1095" s="12"/>
      <c r="S1095" s="12" t="str">
        <f t="shared" si="213"/>
        <v/>
      </c>
      <c r="T1095" s="12"/>
      <c r="U1095" s="12">
        <v>1842</v>
      </c>
      <c r="V1095" s="12" t="str">
        <f t="shared" si="214"/>
        <v>1842</v>
      </c>
      <c r="W1095" s="12" t="s">
        <v>10895</v>
      </c>
      <c r="X1095" s="12" t="s">
        <v>4342</v>
      </c>
      <c r="Y1095" s="12" t="s">
        <v>10896</v>
      </c>
      <c r="Z1095" s="12"/>
      <c r="AA1095" s="12">
        <v>1827</v>
      </c>
      <c r="AB1095" s="12"/>
      <c r="AC1095" s="12" t="s">
        <v>10897</v>
      </c>
      <c r="AD1095" s="12"/>
      <c r="AE1095" s="12"/>
      <c r="AF1095" s="12" t="s">
        <v>6553</v>
      </c>
      <c r="AG1095" s="12" t="s">
        <v>53</v>
      </c>
      <c r="AH1095" s="12" t="s">
        <v>10882</v>
      </c>
      <c r="AI1095" s="12" t="str">
        <f t="shared" si="215"/>
        <v>1837</v>
      </c>
      <c r="AJ1095" s="12" t="s">
        <v>2262</v>
      </c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</row>
    <row r="1096" spans="1:59">
      <c r="A1096" s="12" t="s">
        <v>695</v>
      </c>
      <c r="B1096" s="12" t="str">
        <f t="shared" si="207"/>
        <v>MEYER</v>
      </c>
      <c r="C1096" s="12" t="str">
        <f t="shared" si="208"/>
        <v>MEYER</v>
      </c>
      <c r="D1096" s="12" t="s">
        <v>10875</v>
      </c>
      <c r="E1096" s="12" t="str">
        <f t="shared" si="218"/>
        <v>Lucas Wilhem(Us)</v>
      </c>
      <c r="F1096" s="12" t="s">
        <v>10876</v>
      </c>
      <c r="G1096" s="12" t="str">
        <f t="shared" si="209"/>
        <v>a3b1c6d8e3f5</v>
      </c>
      <c r="H1096" s="12" t="str">
        <f t="shared" si="210"/>
        <v>MEYERa3b1c6d8e3f5</v>
      </c>
      <c r="I1096" s="12"/>
      <c r="J1096" s="12">
        <v>1825</v>
      </c>
      <c r="K1096" s="12" t="str">
        <f t="shared" si="211"/>
        <v>1825</v>
      </c>
      <c r="L1096" s="12"/>
      <c r="M1096" s="12"/>
      <c r="N1096" s="12" t="str">
        <f t="shared" si="216"/>
        <v>1825</v>
      </c>
      <c r="O1096" s="12" t="str">
        <f t="shared" si="217"/>
        <v/>
      </c>
      <c r="P1096" s="12"/>
      <c r="Q1096" s="12" t="str">
        <f t="shared" si="212"/>
        <v>1825</v>
      </c>
      <c r="R1096" s="12" t="s">
        <v>10877</v>
      </c>
      <c r="S1096" s="12" t="str">
        <f t="shared" si="213"/>
        <v>1886</v>
      </c>
      <c r="T1096" s="12" t="s">
        <v>5146</v>
      </c>
      <c r="U1096" s="12" t="s">
        <v>10878</v>
      </c>
      <c r="V1096" s="12" t="str">
        <f t="shared" si="214"/>
        <v>1848</v>
      </c>
      <c r="W1096" s="12" t="s">
        <v>10879</v>
      </c>
      <c r="X1096" s="12" t="s">
        <v>3799</v>
      </c>
      <c r="Y1096" s="12" t="s">
        <v>10880</v>
      </c>
      <c r="Z1096" s="12"/>
      <c r="AA1096" s="12"/>
      <c r="AB1096" s="12" t="s">
        <v>53</v>
      </c>
      <c r="AC1096" s="12" t="s">
        <v>10881</v>
      </c>
      <c r="AD1096" s="12"/>
      <c r="AE1096" s="12"/>
      <c r="AF1096" s="12" t="s">
        <v>6553</v>
      </c>
      <c r="AG1096" s="12" t="s">
        <v>53</v>
      </c>
      <c r="AH1096" s="12" t="s">
        <v>10882</v>
      </c>
      <c r="AI1096" s="12" t="str">
        <f t="shared" si="215"/>
        <v>1837</v>
      </c>
      <c r="AJ1096" s="12" t="s">
        <v>2262</v>
      </c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</row>
    <row r="1097" spans="1:59">
      <c r="A1097" s="12" t="s">
        <v>695</v>
      </c>
      <c r="B1097" s="12" t="str">
        <f t="shared" si="207"/>
        <v>MEYER</v>
      </c>
      <c r="C1097" s="12" t="str">
        <f t="shared" si="208"/>
        <v>MEYER</v>
      </c>
      <c r="D1097" s="12" t="s">
        <v>5291</v>
      </c>
      <c r="E1097" s="12" t="str">
        <f t="shared" si="218"/>
        <v>Johan George</v>
      </c>
      <c r="F1097" s="12" t="s">
        <v>10842</v>
      </c>
      <c r="G1097" s="12" t="str">
        <f t="shared" si="209"/>
        <v>a3b6</v>
      </c>
      <c r="H1097" s="12" t="str">
        <f t="shared" si="210"/>
        <v>MEYERa3b6</v>
      </c>
      <c r="I1097" s="12"/>
      <c r="J1097" s="12"/>
      <c r="K1097" s="12" t="str">
        <f t="shared" si="211"/>
        <v/>
      </c>
      <c r="L1097" s="12"/>
      <c r="M1097" s="12">
        <v>1783</v>
      </c>
      <c r="N1097" s="12" t="str">
        <f t="shared" si="216"/>
        <v/>
      </c>
      <c r="O1097" s="12" t="str">
        <f t="shared" si="217"/>
        <v>1783</v>
      </c>
      <c r="P1097" s="12"/>
      <c r="Q1097" s="12" t="str">
        <f t="shared" si="212"/>
        <v>1783</v>
      </c>
      <c r="R1097" s="12"/>
      <c r="S1097" s="12" t="str">
        <f t="shared" si="213"/>
        <v/>
      </c>
      <c r="T1097" s="12"/>
      <c r="U1097" s="12"/>
      <c r="V1097" s="12" t="str">
        <f t="shared" si="214"/>
        <v/>
      </c>
      <c r="W1097" s="12" t="s">
        <v>10843</v>
      </c>
      <c r="X1097" s="12" t="s">
        <v>758</v>
      </c>
      <c r="Y1097" s="12"/>
      <c r="Z1097" s="12"/>
      <c r="AA1097" s="12"/>
      <c r="AB1097" s="12"/>
      <c r="AC1097" s="12" t="s">
        <v>10844</v>
      </c>
      <c r="AD1097" s="12"/>
      <c r="AE1097" s="12"/>
      <c r="AF1097" s="12" t="s">
        <v>3698</v>
      </c>
      <c r="AG1097" s="12" t="s">
        <v>53</v>
      </c>
      <c r="AH1097" s="12" t="s">
        <v>4696</v>
      </c>
      <c r="AI1097" s="12" t="str">
        <f t="shared" si="215"/>
        <v>1844</v>
      </c>
      <c r="AJ1097" s="12"/>
      <c r="AK1097" s="12" t="s">
        <v>90</v>
      </c>
      <c r="AL1097" s="12"/>
      <c r="AM1097" s="12"/>
      <c r="AN1097" s="12" t="s">
        <v>10845</v>
      </c>
      <c r="AO1097" s="12" t="s">
        <v>6111</v>
      </c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</row>
    <row r="1098" spans="1:59">
      <c r="A1098" s="12" t="s">
        <v>695</v>
      </c>
      <c r="B1098" s="12" t="str">
        <f t="shared" si="207"/>
        <v>MEYER</v>
      </c>
      <c r="C1098" s="12" t="str">
        <f t="shared" si="208"/>
        <v>MEYER</v>
      </c>
      <c r="D1098" s="12" t="s">
        <v>10799</v>
      </c>
      <c r="E1098" s="12" t="str">
        <f t="shared" si="218"/>
        <v>Isak Johannes Sr.</v>
      </c>
      <c r="F1098" s="12" t="s">
        <v>10800</v>
      </c>
      <c r="G1098" s="12" t="str">
        <f t="shared" si="209"/>
        <v>a4b1c6d8e2</v>
      </c>
      <c r="H1098" s="12" t="str">
        <f t="shared" si="210"/>
        <v>MEYERa4b1c6d8e2</v>
      </c>
      <c r="I1098" s="12" t="s">
        <v>53</v>
      </c>
      <c r="J1098" s="12"/>
      <c r="K1098" s="12" t="str">
        <f t="shared" si="211"/>
        <v/>
      </c>
      <c r="L1098" s="12" t="s">
        <v>961</v>
      </c>
      <c r="M1098" s="12" t="s">
        <v>10801</v>
      </c>
      <c r="N1098" s="12" t="str">
        <f t="shared" si="216"/>
        <v/>
      </c>
      <c r="O1098" s="12" t="str">
        <f t="shared" si="217"/>
        <v>1792</v>
      </c>
      <c r="P1098" s="12" t="s">
        <v>90</v>
      </c>
      <c r="Q1098" s="12" t="str">
        <f t="shared" si="212"/>
        <v>1792</v>
      </c>
      <c r="R1098" s="12" t="s">
        <v>10802</v>
      </c>
      <c r="S1098" s="12" t="str">
        <f t="shared" si="213"/>
        <v>1886</v>
      </c>
      <c r="T1098" s="12" t="s">
        <v>53</v>
      </c>
      <c r="U1098" s="12" t="s">
        <v>10803</v>
      </c>
      <c r="V1098" s="12" t="str">
        <f t="shared" si="214"/>
        <v>1817</v>
      </c>
      <c r="W1098" s="12" t="s">
        <v>8163</v>
      </c>
      <c r="X1098" s="12" t="s">
        <v>757</v>
      </c>
      <c r="Y1098" s="12" t="s">
        <v>10804</v>
      </c>
      <c r="Z1098" s="12"/>
      <c r="AA1098" s="12"/>
      <c r="AB1098" s="12"/>
      <c r="AC1098" s="12" t="s">
        <v>10805</v>
      </c>
      <c r="AD1098" s="12"/>
      <c r="AE1098" s="12"/>
      <c r="AF1098" s="12" t="s">
        <v>6553</v>
      </c>
      <c r="AG1098" s="12" t="s">
        <v>53</v>
      </c>
      <c r="AH1098" s="12" t="s">
        <v>10806</v>
      </c>
      <c r="AI1098" s="12" t="str">
        <f t="shared" si="215"/>
        <v>1837</v>
      </c>
      <c r="AJ1098" s="12" t="s">
        <v>2262</v>
      </c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</row>
    <row r="1099" spans="1:59">
      <c r="A1099" s="12" t="s">
        <v>695</v>
      </c>
      <c r="B1099" s="12" t="str">
        <f t="shared" si="207"/>
        <v>MEYER</v>
      </c>
      <c r="C1099" s="12" t="str">
        <f t="shared" si="208"/>
        <v>MEYER</v>
      </c>
      <c r="D1099" s="12" t="s">
        <v>10807</v>
      </c>
      <c r="E1099" s="12" t="str">
        <f t="shared" si="218"/>
        <v>Isak Johannes Jr.</v>
      </c>
      <c r="F1099" s="12" t="s">
        <v>10808</v>
      </c>
      <c r="G1099" s="12" t="str">
        <f t="shared" si="209"/>
        <v>a4b1c6d8e2f2</v>
      </c>
      <c r="H1099" s="12" t="str">
        <f t="shared" si="210"/>
        <v>MEYERa4b1c6d8e2f2</v>
      </c>
      <c r="J1099" s="12">
        <v>1820</v>
      </c>
      <c r="K1099" s="12" t="str">
        <f t="shared" si="211"/>
        <v>1820</v>
      </c>
      <c r="L1099" s="12"/>
      <c r="M1099" s="12"/>
      <c r="N1099" s="12" t="str">
        <f t="shared" si="216"/>
        <v>1820</v>
      </c>
      <c r="O1099" s="12" t="str">
        <f t="shared" si="217"/>
        <v/>
      </c>
      <c r="Q1099" s="12" t="str">
        <f t="shared" si="212"/>
        <v>1820</v>
      </c>
      <c r="S1099" s="12" t="str">
        <f t="shared" si="213"/>
        <v/>
      </c>
      <c r="T1099" s="12" t="s">
        <v>5146</v>
      </c>
      <c r="U1099" s="12" t="s">
        <v>1526</v>
      </c>
      <c r="V1099" s="12" t="str">
        <f t="shared" si="214"/>
        <v>1841</v>
      </c>
      <c r="W1099" s="12" t="s">
        <v>10809</v>
      </c>
      <c r="X1099" s="12" t="s">
        <v>1495</v>
      </c>
      <c r="Y1099" s="2" t="s">
        <v>10810</v>
      </c>
      <c r="AA1099" s="2">
        <v>1823</v>
      </c>
      <c r="AF1099" s="12" t="s">
        <v>6553</v>
      </c>
      <c r="AG1099" s="12" t="s">
        <v>53</v>
      </c>
      <c r="AH1099" s="12" t="s">
        <v>10806</v>
      </c>
      <c r="AI1099" s="12" t="str">
        <f t="shared" si="215"/>
        <v>1837</v>
      </c>
      <c r="AJ1099" s="12" t="s">
        <v>2262</v>
      </c>
      <c r="AK1099" s="12"/>
    </row>
    <row r="1100" spans="1:59">
      <c r="A1100" s="12" t="s">
        <v>695</v>
      </c>
      <c r="B1100" s="12" t="str">
        <f t="shared" si="207"/>
        <v>MEYER</v>
      </c>
      <c r="C1100" s="12" t="str">
        <f t="shared" si="208"/>
        <v>MEYER</v>
      </c>
      <c r="D1100" s="12" t="s">
        <v>10788</v>
      </c>
      <c r="E1100" s="12" t="str">
        <f t="shared" si="218"/>
        <v>Hermanus Petrus Jacobus</v>
      </c>
      <c r="F1100" s="12" t="s">
        <v>10789</v>
      </c>
      <c r="G1100" s="12" t="str">
        <f t="shared" si="209"/>
        <v>a5b10c3</v>
      </c>
      <c r="H1100" s="12" t="str">
        <f t="shared" si="210"/>
        <v>MEYERa5b10c3</v>
      </c>
      <c r="K1100" s="12" t="str">
        <f t="shared" si="211"/>
        <v/>
      </c>
      <c r="M1100" s="2" t="s">
        <v>10790</v>
      </c>
      <c r="N1100" s="12" t="str">
        <f t="shared" si="216"/>
        <v/>
      </c>
      <c r="O1100" s="12" t="str">
        <f t="shared" si="217"/>
        <v>1814</v>
      </c>
      <c r="Q1100" s="12" t="str">
        <f t="shared" si="212"/>
        <v>1814</v>
      </c>
      <c r="S1100" s="12" t="str">
        <f t="shared" si="213"/>
        <v/>
      </c>
      <c r="V1100" s="12" t="str">
        <f t="shared" si="214"/>
        <v/>
      </c>
      <c r="W1100" s="12" t="s">
        <v>10791</v>
      </c>
      <c r="X1100" s="12" t="s">
        <v>1209</v>
      </c>
      <c r="Y1100" s="2" t="s">
        <v>10792</v>
      </c>
      <c r="AC1100" s="2" t="s">
        <v>10793</v>
      </c>
      <c r="AF1100" s="12"/>
      <c r="AG1100" s="12"/>
      <c r="AH1100" s="12"/>
      <c r="AI1100" s="12" t="str">
        <f t="shared" si="215"/>
        <v/>
      </c>
      <c r="AJ1100" s="12" t="s">
        <v>385</v>
      </c>
      <c r="AK1100" s="12" t="s">
        <v>551</v>
      </c>
    </row>
    <row r="1101" spans="1:59">
      <c r="A1101" s="12" t="s">
        <v>10968</v>
      </c>
      <c r="B1101" s="12" t="str">
        <f t="shared" si="207"/>
        <v>MIENIE</v>
      </c>
      <c r="C1101" s="12" t="str">
        <f t="shared" si="208"/>
        <v>MIENIE</v>
      </c>
      <c r="D1101" s="12" t="s">
        <v>10969</v>
      </c>
      <c r="E1101" s="12" t="str">
        <f t="shared" si="218"/>
        <v>Frederik Johannes/Christiaan</v>
      </c>
      <c r="F1101" s="12" t="s">
        <v>10970</v>
      </c>
      <c r="G1101" s="12" t="str">
        <f t="shared" si="209"/>
        <v>a2b2c1d3e7</v>
      </c>
      <c r="H1101" s="12" t="str">
        <f t="shared" si="210"/>
        <v>MIENIEa2b2c1d3e7</v>
      </c>
      <c r="J1101" s="2" t="s">
        <v>10971</v>
      </c>
      <c r="K1101" s="12" t="str">
        <f t="shared" si="211"/>
        <v>1810</v>
      </c>
      <c r="L1101" s="2" t="s">
        <v>32</v>
      </c>
      <c r="M1101" s="12" t="s">
        <v>3811</v>
      </c>
      <c r="N1101" s="12" t="str">
        <f t="shared" si="216"/>
        <v>1810</v>
      </c>
      <c r="O1101" s="12" t="str">
        <f t="shared" si="217"/>
        <v>1810</v>
      </c>
      <c r="Q1101" s="12" t="str">
        <f t="shared" si="212"/>
        <v>1810</v>
      </c>
      <c r="S1101" s="12" t="str">
        <f t="shared" si="213"/>
        <v/>
      </c>
      <c r="T1101" s="2" t="s">
        <v>74</v>
      </c>
      <c r="U1101" s="12" t="s">
        <v>10972</v>
      </c>
      <c r="V1101" s="12" t="str">
        <f t="shared" si="214"/>
        <v>1833</v>
      </c>
      <c r="W1101" s="12" t="s">
        <v>764</v>
      </c>
      <c r="X1101" s="12" t="s">
        <v>725</v>
      </c>
      <c r="AC1101" s="12"/>
      <c r="AF1101" s="12"/>
      <c r="AG1101" s="12" t="s">
        <v>28</v>
      </c>
      <c r="AH1101" s="12" t="s">
        <v>10973</v>
      </c>
      <c r="AI1101" s="12" t="str">
        <f t="shared" si="215"/>
        <v>1837</v>
      </c>
      <c r="AJ1101" s="12"/>
      <c r="AK1101" s="12" t="s">
        <v>551</v>
      </c>
    </row>
    <row r="1102" spans="1:59">
      <c r="A1102" s="12" t="s">
        <v>1320</v>
      </c>
      <c r="B1102" s="12" t="str">
        <f t="shared" si="207"/>
        <v>MINNAAR</v>
      </c>
      <c r="C1102" s="12" t="str">
        <f t="shared" si="208"/>
        <v>MINNAAR</v>
      </c>
      <c r="D1102" s="12" t="s">
        <v>10921</v>
      </c>
      <c r="E1102" s="12" t="str">
        <f t="shared" si="218"/>
        <v>Johannes Isaak</v>
      </c>
      <c r="F1102" s="12" t="s">
        <v>10922</v>
      </c>
      <c r="G1102" s="12" t="str">
        <f t="shared" si="209"/>
        <v>a1b1c1d3e2f9</v>
      </c>
      <c r="H1102" s="12" t="str">
        <f t="shared" si="210"/>
        <v>MINNAARa1b1c1d3e2f9</v>
      </c>
      <c r="I1102" s="12"/>
      <c r="J1102" s="12" t="s">
        <v>10923</v>
      </c>
      <c r="K1102" s="12" t="str">
        <f t="shared" si="211"/>
        <v>1816</v>
      </c>
      <c r="L1102" s="12" t="s">
        <v>74</v>
      </c>
      <c r="M1102" s="12" t="s">
        <v>10924</v>
      </c>
      <c r="N1102" s="12" t="str">
        <f t="shared" si="216"/>
        <v>1816</v>
      </c>
      <c r="O1102" s="12" t="str">
        <f t="shared" si="217"/>
        <v>1816</v>
      </c>
      <c r="P1102" s="12"/>
      <c r="Q1102" s="12" t="str">
        <f t="shared" si="212"/>
        <v>1816</v>
      </c>
      <c r="R1102" s="12"/>
      <c r="S1102" s="12" t="str">
        <f t="shared" si="213"/>
        <v/>
      </c>
      <c r="T1102" s="12" t="s">
        <v>366</v>
      </c>
      <c r="U1102" s="12" t="s">
        <v>10925</v>
      </c>
      <c r="V1102" s="12" t="str">
        <f t="shared" si="214"/>
        <v>1837</v>
      </c>
      <c r="W1102" s="12" t="s">
        <v>10926</v>
      </c>
      <c r="X1102" s="12" t="s">
        <v>2145</v>
      </c>
      <c r="Z1102" s="12"/>
      <c r="AA1102" s="12" t="s">
        <v>10927</v>
      </c>
      <c r="AF1102" s="12" t="s">
        <v>10928</v>
      </c>
      <c r="AG1102" s="12" t="s">
        <v>10271</v>
      </c>
      <c r="AH1102" s="12" t="s">
        <v>385</v>
      </c>
      <c r="AI1102" s="12" t="str">
        <f t="shared" si="215"/>
        <v>1840</v>
      </c>
      <c r="AJ1102" s="2" t="s">
        <v>379</v>
      </c>
      <c r="AL1102" s="12"/>
      <c r="AM1102" s="12"/>
      <c r="AN1102" s="12"/>
      <c r="AO1102" s="12"/>
      <c r="AQ1102" s="12"/>
      <c r="AR1102" s="12"/>
      <c r="AU1102" s="12"/>
      <c r="AV1102" s="12"/>
    </row>
    <row r="1103" spans="1:59">
      <c r="A1103" s="12" t="s">
        <v>1320</v>
      </c>
      <c r="B1103" s="12" t="str">
        <f t="shared" si="207"/>
        <v>MINNAAR</v>
      </c>
      <c r="C1103" s="12" t="str">
        <f t="shared" si="208"/>
        <v>MINNAAR</v>
      </c>
      <c r="D1103" s="12" t="s">
        <v>10938</v>
      </c>
      <c r="E1103" s="12" t="str">
        <f t="shared" si="218"/>
        <v>Philip Carel Sr</v>
      </c>
      <c r="F1103" s="12" t="s">
        <v>10939</v>
      </c>
      <c r="G1103" s="12" t="str">
        <f t="shared" si="209"/>
        <v>a1b5c1d3e2</v>
      </c>
      <c r="H1103" s="12" t="str">
        <f t="shared" si="210"/>
        <v>MINNAARa1b5c1d3e2</v>
      </c>
      <c r="J1103" s="12"/>
      <c r="K1103" s="12" t="str">
        <f t="shared" si="211"/>
        <v/>
      </c>
      <c r="L1103" s="12"/>
      <c r="M1103" s="12" t="s">
        <v>5308</v>
      </c>
      <c r="N1103" s="12" t="str">
        <f t="shared" si="216"/>
        <v/>
      </c>
      <c r="O1103" s="12" t="str">
        <f t="shared" si="217"/>
        <v>1776</v>
      </c>
      <c r="Q1103" s="12" t="str">
        <f t="shared" si="212"/>
        <v>1776</v>
      </c>
      <c r="S1103" s="12" t="str">
        <f t="shared" si="213"/>
        <v/>
      </c>
      <c r="U1103" s="2" t="s">
        <v>10940</v>
      </c>
      <c r="V1103" s="12" t="str">
        <f t="shared" si="214"/>
        <v>1798</v>
      </c>
      <c r="W1103" s="12" t="s">
        <v>5241</v>
      </c>
      <c r="X1103" s="12" t="s">
        <v>728</v>
      </c>
      <c r="AF1103" s="12" t="s">
        <v>10928</v>
      </c>
      <c r="AG1103" s="12" t="s">
        <v>10271</v>
      </c>
      <c r="AH1103" s="12" t="s">
        <v>2738</v>
      </c>
      <c r="AI1103" s="12" t="str">
        <f t="shared" si="215"/>
        <v>1836</v>
      </c>
      <c r="AJ1103" s="12" t="s">
        <v>10941</v>
      </c>
    </row>
    <row r="1104" spans="1:59">
      <c r="A1104" s="12" t="s">
        <v>1320</v>
      </c>
      <c r="B1104" s="12" t="str">
        <f t="shared" si="207"/>
        <v>MINNAAR</v>
      </c>
      <c r="C1104" s="12" t="str">
        <f t="shared" si="208"/>
        <v>MINNAAR</v>
      </c>
      <c r="D1104" s="12" t="s">
        <v>10942</v>
      </c>
      <c r="E1104" s="12" t="str">
        <f t="shared" si="218"/>
        <v>Philip Carel Jr</v>
      </c>
      <c r="F1104" s="12" t="s">
        <v>10943</v>
      </c>
      <c r="G1104" s="12" t="str">
        <f t="shared" si="209"/>
        <v>a1b5c1d3e2f2</v>
      </c>
      <c r="H1104" s="12" t="str">
        <f t="shared" si="210"/>
        <v>MINNAARa1b5c1d3e2f2</v>
      </c>
      <c r="I1104" s="12"/>
      <c r="J1104" s="12" t="s">
        <v>1684</v>
      </c>
      <c r="K1104" s="12" t="str">
        <f t="shared" si="211"/>
        <v>1801</v>
      </c>
      <c r="L1104" s="12" t="s">
        <v>542</v>
      </c>
      <c r="M1104" s="12" t="s">
        <v>6590</v>
      </c>
      <c r="N1104" s="12" t="str">
        <f t="shared" si="216"/>
        <v>1801</v>
      </c>
      <c r="O1104" s="12" t="str">
        <f t="shared" si="217"/>
        <v>1801</v>
      </c>
      <c r="P1104" s="12"/>
      <c r="Q1104" s="12" t="str">
        <f t="shared" si="212"/>
        <v>1801</v>
      </c>
      <c r="R1104" s="12">
        <v>1896</v>
      </c>
      <c r="S1104" s="12" t="str">
        <f t="shared" si="213"/>
        <v>1896</v>
      </c>
      <c r="T1104" s="12" t="s">
        <v>74</v>
      </c>
      <c r="U1104" s="12" t="s">
        <v>10944</v>
      </c>
      <c r="V1104" s="12" t="str">
        <f t="shared" si="214"/>
        <v>1820</v>
      </c>
      <c r="W1104" s="12" t="s">
        <v>2249</v>
      </c>
      <c r="X1104" s="12" t="s">
        <v>780</v>
      </c>
      <c r="Y1104" s="12" t="s">
        <v>10945</v>
      </c>
      <c r="Z1104" s="12"/>
      <c r="AA1104" s="12">
        <v>1804</v>
      </c>
      <c r="AB1104" s="12"/>
      <c r="AC1104" s="12" t="s">
        <v>6396</v>
      </c>
      <c r="AD1104" s="12" t="s">
        <v>1864</v>
      </c>
      <c r="AE1104" s="12" t="s">
        <v>10946</v>
      </c>
      <c r="AF1104" s="12" t="s">
        <v>10928</v>
      </c>
      <c r="AG1104" s="12" t="s">
        <v>10271</v>
      </c>
      <c r="AH1104" s="12" t="s">
        <v>10947</v>
      </c>
      <c r="AI1104" s="12" t="str">
        <f t="shared" si="215"/>
        <v>1836</v>
      </c>
      <c r="AJ1104" s="12" t="s">
        <v>10941</v>
      </c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</row>
    <row r="1105" spans="1:59">
      <c r="A1105" s="12" t="s">
        <v>1320</v>
      </c>
      <c r="B1105" s="12" t="str">
        <f t="shared" si="207"/>
        <v>MINNAAR</v>
      </c>
      <c r="C1105" s="12" t="str">
        <f t="shared" si="208"/>
        <v>MINNAAR</v>
      </c>
      <c r="D1105" s="12" t="s">
        <v>10948</v>
      </c>
      <c r="E1105" s="12" t="str">
        <f t="shared" si="218"/>
        <v>Philip Carel (Swart Flip)</v>
      </c>
      <c r="F1105" s="12" t="s">
        <v>10949</v>
      </c>
      <c r="G1105" s="12" t="str">
        <f t="shared" si="209"/>
        <v>a1b5c1d3e2f2g1</v>
      </c>
      <c r="H1105" s="12" t="str">
        <f t="shared" si="210"/>
        <v>MINNAARa1b5c1d3e2f2g1</v>
      </c>
      <c r="I1105" s="12" t="s">
        <v>74</v>
      </c>
      <c r="J1105" s="12" t="s">
        <v>10950</v>
      </c>
      <c r="K1105" s="12" t="str">
        <f t="shared" si="211"/>
        <v>1822</v>
      </c>
      <c r="L1105" s="12"/>
      <c r="M1105" s="12"/>
      <c r="N1105" s="12" t="str">
        <f t="shared" si="216"/>
        <v>1822</v>
      </c>
      <c r="O1105" s="12" t="str">
        <f t="shared" si="217"/>
        <v/>
      </c>
      <c r="P1105" s="12" t="s">
        <v>1864</v>
      </c>
      <c r="Q1105" s="12" t="str">
        <f t="shared" si="212"/>
        <v>1822</v>
      </c>
      <c r="R1105" s="12" t="s">
        <v>10951</v>
      </c>
      <c r="S1105" s="12" t="str">
        <f t="shared" si="213"/>
        <v>1897</v>
      </c>
      <c r="T1105" s="2" t="s">
        <v>140</v>
      </c>
      <c r="U1105" s="2">
        <v>1842</v>
      </c>
      <c r="V1105" s="12" t="str">
        <f t="shared" si="214"/>
        <v>1842</v>
      </c>
      <c r="W1105" s="12" t="s">
        <v>5241</v>
      </c>
      <c r="X1105" s="12" t="s">
        <v>778</v>
      </c>
      <c r="Y1105" s="12"/>
      <c r="AA1105" s="12" t="s">
        <v>10952</v>
      </c>
      <c r="AB1105" s="2" t="s">
        <v>366</v>
      </c>
      <c r="AC1105" s="12" t="s">
        <v>10953</v>
      </c>
      <c r="AD1105" s="12" t="s">
        <v>1864</v>
      </c>
      <c r="AE1105" s="2" t="s">
        <v>10954</v>
      </c>
      <c r="AF1105" s="12" t="s">
        <v>10928</v>
      </c>
      <c r="AG1105" s="12" t="s">
        <v>10271</v>
      </c>
      <c r="AH1105" s="12" t="s">
        <v>10947</v>
      </c>
      <c r="AI1105" s="12" t="str">
        <f t="shared" si="215"/>
        <v>1836</v>
      </c>
      <c r="AJ1105" s="12" t="s">
        <v>10941</v>
      </c>
      <c r="AK1105" s="12"/>
      <c r="AN1105" s="12"/>
      <c r="AO1105" s="12"/>
      <c r="AP1105" s="12"/>
      <c r="AR1105" s="12"/>
      <c r="AS1105" s="12"/>
      <c r="AT1105" s="12"/>
    </row>
    <row r="1106" spans="1:59">
      <c r="A1106" s="12" t="s">
        <v>1320</v>
      </c>
      <c r="B1106" s="12" t="str">
        <f t="shared" si="207"/>
        <v>MINNAAR</v>
      </c>
      <c r="C1106" s="12" t="str">
        <f t="shared" si="208"/>
        <v>MINNAAR</v>
      </c>
      <c r="D1106" s="12" t="s">
        <v>109</v>
      </c>
      <c r="E1106" s="12" t="str">
        <f t="shared" si="218"/>
        <v>Cornelis Jacobus</v>
      </c>
      <c r="F1106" s="12" t="s">
        <v>10916</v>
      </c>
      <c r="G1106" s="12" t="str">
        <f t="shared" si="209"/>
        <v>a1b5c1d3e2f4</v>
      </c>
      <c r="H1106" s="12" t="str">
        <f t="shared" si="210"/>
        <v>MINNAARa1b5c1d3e2f4</v>
      </c>
      <c r="J1106" s="12"/>
      <c r="K1106" s="12" t="str">
        <f t="shared" si="211"/>
        <v/>
      </c>
      <c r="M1106" s="2" t="s">
        <v>77</v>
      </c>
      <c r="N1106" s="12" t="str">
        <f t="shared" si="216"/>
        <v/>
      </c>
      <c r="O1106" s="12" t="str">
        <f t="shared" si="217"/>
        <v>1805</v>
      </c>
      <c r="Q1106" s="12" t="str">
        <f t="shared" si="212"/>
        <v>1805</v>
      </c>
      <c r="R1106" s="12"/>
      <c r="S1106" s="12" t="str">
        <f t="shared" si="213"/>
        <v/>
      </c>
      <c r="T1106" s="12" t="s">
        <v>366</v>
      </c>
      <c r="U1106" s="12" t="s">
        <v>10917</v>
      </c>
      <c r="V1106" s="12" t="str">
        <f t="shared" si="214"/>
        <v>1828</v>
      </c>
      <c r="W1106" s="12" t="s">
        <v>10918</v>
      </c>
      <c r="X1106" s="12" t="s">
        <v>788</v>
      </c>
      <c r="Y1106" s="12" t="s">
        <v>10919</v>
      </c>
      <c r="AC1106" s="12" t="s">
        <v>10920</v>
      </c>
      <c r="AF1106" s="12"/>
      <c r="AG1106" s="12" t="s">
        <v>366</v>
      </c>
      <c r="AH1106" s="12" t="s">
        <v>385</v>
      </c>
      <c r="AI1106" s="12" t="str">
        <f t="shared" si="215"/>
        <v>1840</v>
      </c>
      <c r="AJ1106" s="12" t="s">
        <v>379</v>
      </c>
      <c r="AK1106" s="12"/>
    </row>
    <row r="1107" spans="1:59">
      <c r="A1107" s="12" t="s">
        <v>1320</v>
      </c>
      <c r="B1107" s="12" t="str">
        <f t="shared" si="207"/>
        <v>MINNAAR</v>
      </c>
      <c r="C1107" s="12" t="str">
        <f t="shared" si="208"/>
        <v>MINNAAR</v>
      </c>
      <c r="D1107" s="12" t="s">
        <v>10908</v>
      </c>
      <c r="E1107" s="12" t="str">
        <f t="shared" si="218"/>
        <v>Carel Petrus</v>
      </c>
      <c r="F1107" s="12" t="s">
        <v>10909</v>
      </c>
      <c r="G1107" s="12" t="str">
        <f t="shared" si="209"/>
        <v>a1b5c1d3e2f5</v>
      </c>
      <c r="H1107" s="12" t="str">
        <f t="shared" si="210"/>
        <v>MINNAARa1b5c1d3e2f5</v>
      </c>
      <c r="J1107" s="2" t="s">
        <v>10910</v>
      </c>
      <c r="K1107" s="12" t="str">
        <f t="shared" si="211"/>
        <v>1807</v>
      </c>
      <c r="M1107" s="12" t="s">
        <v>10911</v>
      </c>
      <c r="N1107" s="12" t="str">
        <f t="shared" si="216"/>
        <v>1807</v>
      </c>
      <c r="O1107" s="12" t="str">
        <f t="shared" si="217"/>
        <v>1807</v>
      </c>
      <c r="P1107" s="12"/>
      <c r="Q1107" s="12" t="str">
        <f t="shared" si="212"/>
        <v>1807</v>
      </c>
      <c r="R1107" s="12" t="s">
        <v>10912</v>
      </c>
      <c r="S1107" s="12" t="str">
        <f t="shared" si="213"/>
        <v>1892</v>
      </c>
      <c r="U1107" s="2" t="s">
        <v>10913</v>
      </c>
      <c r="V1107" s="12" t="str">
        <f t="shared" si="214"/>
        <v>1829</v>
      </c>
      <c r="W1107" s="12" t="s">
        <v>10914</v>
      </c>
      <c r="X1107" s="12" t="s">
        <v>755</v>
      </c>
      <c r="Y1107" s="12"/>
      <c r="Z1107" s="12"/>
      <c r="AA1107" s="12">
        <v>1812</v>
      </c>
      <c r="AC1107" s="12"/>
      <c r="AD1107" s="12" t="s">
        <v>1864</v>
      </c>
      <c r="AE1107" s="12" t="s">
        <v>10915</v>
      </c>
      <c r="AF1107" s="12"/>
      <c r="AG1107" s="12"/>
      <c r="AH1107" s="12" t="s">
        <v>385</v>
      </c>
      <c r="AI1107" s="12" t="str">
        <f t="shared" si="215"/>
        <v>1840</v>
      </c>
      <c r="AJ1107" s="12"/>
      <c r="AK1107" s="12"/>
    </row>
    <row r="1108" spans="1:59">
      <c r="A1108" s="12" t="s">
        <v>1320</v>
      </c>
      <c r="B1108" s="12" t="str">
        <f t="shared" si="207"/>
        <v>MINNAAR</v>
      </c>
      <c r="C1108" s="12" t="str">
        <f t="shared" si="208"/>
        <v>MINNAAR</v>
      </c>
      <c r="D1108" s="12" t="s">
        <v>1057</v>
      </c>
      <c r="E1108" s="12" t="str">
        <f t="shared" si="218"/>
        <v>Roelof Johannes</v>
      </c>
      <c r="F1108" s="12" t="s">
        <v>10957</v>
      </c>
      <c r="G1108" s="12" t="str">
        <f t="shared" si="209"/>
        <v>a1b5c1d3e2f6</v>
      </c>
      <c r="H1108" s="12" t="str">
        <f t="shared" si="210"/>
        <v>MINNAARa1b5c1d3e2f6</v>
      </c>
      <c r="I1108" s="12"/>
      <c r="J1108" s="12"/>
      <c r="K1108" s="12" t="str">
        <f t="shared" si="211"/>
        <v/>
      </c>
      <c r="L1108" s="12"/>
      <c r="M1108" s="12" t="s">
        <v>10958</v>
      </c>
      <c r="N1108" s="12" t="str">
        <f t="shared" si="216"/>
        <v/>
      </c>
      <c r="O1108" s="12" t="str">
        <f t="shared" si="217"/>
        <v>1809</v>
      </c>
      <c r="P1108" s="12"/>
      <c r="Q1108" s="12" t="str">
        <f t="shared" si="212"/>
        <v>1809</v>
      </c>
      <c r="R1108" s="12"/>
      <c r="S1108" s="12" t="str">
        <f t="shared" si="213"/>
        <v/>
      </c>
      <c r="T1108" s="12" t="s">
        <v>60</v>
      </c>
      <c r="U1108" s="12" t="s">
        <v>10959</v>
      </c>
      <c r="V1108" s="12" t="str">
        <f t="shared" si="214"/>
        <v>1838</v>
      </c>
      <c r="W1108" s="12" t="s">
        <v>10960</v>
      </c>
      <c r="X1108" s="12" t="s">
        <v>1320</v>
      </c>
      <c r="Y1108" s="12"/>
      <c r="Z1108" s="12"/>
      <c r="AA1108" s="12"/>
      <c r="AB1108" s="12"/>
      <c r="AC1108" s="12"/>
      <c r="AD1108" s="12"/>
      <c r="AE1108" s="12"/>
      <c r="AF1108" s="12" t="s">
        <v>10928</v>
      </c>
      <c r="AG1108" s="12" t="s">
        <v>10271</v>
      </c>
      <c r="AH1108" s="12" t="s">
        <v>385</v>
      </c>
      <c r="AI1108" s="12" t="str">
        <f t="shared" si="215"/>
        <v>1840</v>
      </c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</row>
    <row r="1109" spans="1:59">
      <c r="A1109" s="12" t="s">
        <v>1320</v>
      </c>
      <c r="B1109" s="12" t="str">
        <f t="shared" si="207"/>
        <v>MINNAAR</v>
      </c>
      <c r="C1109" s="12" t="str">
        <f t="shared" si="208"/>
        <v>MINNAAR</v>
      </c>
      <c r="D1109" s="12" t="s">
        <v>10955</v>
      </c>
      <c r="E1109" s="12" t="str">
        <f t="shared" si="218"/>
        <v>Philip Petrus</v>
      </c>
      <c r="F1109" s="2" t="s">
        <v>10956</v>
      </c>
      <c r="G1109" s="12" t="str">
        <f t="shared" si="209"/>
        <v>a1b5c1d3e5f(?)</v>
      </c>
      <c r="H1109" s="12" t="str">
        <f t="shared" si="210"/>
        <v>MINNAARa1b5c1d3e5f(?)</v>
      </c>
      <c r="K1109" s="12" t="str">
        <f t="shared" si="211"/>
        <v/>
      </c>
      <c r="N1109" s="12" t="str">
        <f t="shared" si="216"/>
        <v/>
      </c>
      <c r="O1109" s="12" t="str">
        <f t="shared" si="217"/>
        <v/>
      </c>
      <c r="Q1109" s="12" t="str">
        <f t="shared" si="212"/>
        <v/>
      </c>
      <c r="S1109" s="12" t="str">
        <f t="shared" si="213"/>
        <v/>
      </c>
      <c r="V1109" s="12" t="str">
        <f t="shared" si="214"/>
        <v/>
      </c>
      <c r="W1109" s="2" t="s">
        <v>4623</v>
      </c>
      <c r="X1109" s="2" t="s">
        <v>788</v>
      </c>
      <c r="AH1109" s="12" t="s">
        <v>5021</v>
      </c>
      <c r="AI1109" s="12" t="str">
        <f t="shared" si="215"/>
        <v>1842</v>
      </c>
      <c r="AK1109" s="12"/>
    </row>
    <row r="1110" spans="1:59">
      <c r="A1110" s="12" t="s">
        <v>1320</v>
      </c>
      <c r="B1110" s="12" t="str">
        <f t="shared" si="207"/>
        <v>MINNAAR</v>
      </c>
      <c r="C1110" s="12" t="str">
        <f t="shared" si="208"/>
        <v>MINNAAR</v>
      </c>
      <c r="D1110" s="12" t="s">
        <v>10929</v>
      </c>
      <c r="E1110" s="12" t="str">
        <f t="shared" si="218"/>
        <v>Phillipus Andreas</v>
      </c>
      <c r="F1110" s="12" t="s">
        <v>10930</v>
      </c>
      <c r="G1110" s="12" t="str">
        <f t="shared" si="209"/>
        <v>a1b5c2d3e3f1</v>
      </c>
      <c r="H1110" s="12" t="str">
        <f t="shared" ref="H1110:H1139" si="219">C1110&amp;G1110</f>
        <v>MINNAARa1b5c2d3e3f1</v>
      </c>
      <c r="I1110" s="12"/>
      <c r="J1110" s="12" t="s">
        <v>10931</v>
      </c>
      <c r="K1110" s="12" t="str">
        <f t="shared" si="211"/>
        <v>1813</v>
      </c>
      <c r="L1110" s="12" t="s">
        <v>74</v>
      </c>
      <c r="M1110" s="12" t="s">
        <v>4778</v>
      </c>
      <c r="N1110" s="12" t="str">
        <f t="shared" si="216"/>
        <v>1813</v>
      </c>
      <c r="O1110" s="12" t="str">
        <f t="shared" si="217"/>
        <v>1813</v>
      </c>
      <c r="P1110" s="12"/>
      <c r="Q1110" s="12" t="str">
        <f t="shared" si="212"/>
        <v>1813</v>
      </c>
      <c r="R1110" s="12"/>
      <c r="S1110" s="12" t="str">
        <f t="shared" si="213"/>
        <v/>
      </c>
      <c r="T1110" s="12"/>
      <c r="U1110" s="12" t="s">
        <v>10932</v>
      </c>
      <c r="V1110" s="12" t="str">
        <f t="shared" si="214"/>
        <v>1837</v>
      </c>
      <c r="W1110" s="12" t="s">
        <v>3857</v>
      </c>
      <c r="X1110" s="12" t="s">
        <v>10426</v>
      </c>
      <c r="Y1110" s="12" t="s">
        <v>10465</v>
      </c>
      <c r="Z1110" s="12"/>
      <c r="AA1110" s="12" t="s">
        <v>10933</v>
      </c>
      <c r="AB1110" s="12" t="s">
        <v>199</v>
      </c>
      <c r="AC1110" s="12" t="s">
        <v>10934</v>
      </c>
      <c r="AD1110" s="12" t="s">
        <v>90</v>
      </c>
      <c r="AE1110" s="12" t="s">
        <v>10935</v>
      </c>
      <c r="AF1110" s="12" t="s">
        <v>10370</v>
      </c>
      <c r="AG1110" s="12" t="s">
        <v>53</v>
      </c>
      <c r="AH1110" s="12" t="s">
        <v>10587</v>
      </c>
      <c r="AI1110" s="12" t="str">
        <f t="shared" si="215"/>
        <v>1837</v>
      </c>
      <c r="AJ1110" s="12"/>
      <c r="AK1110" s="12"/>
      <c r="AL1110" s="12" t="s">
        <v>90</v>
      </c>
      <c r="AM1110" s="12" t="s">
        <v>10936</v>
      </c>
      <c r="AN1110" s="12" t="s">
        <v>4267</v>
      </c>
      <c r="AO1110" s="12" t="s">
        <v>2995</v>
      </c>
      <c r="AP1110" s="12" t="s">
        <v>10937</v>
      </c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</row>
    <row r="1111" spans="1:59">
      <c r="A1111" s="12" t="s">
        <v>786</v>
      </c>
      <c r="B1111" s="12" t="str">
        <f t="shared" si="207"/>
        <v>MINNIE</v>
      </c>
      <c r="C1111" s="12" t="str">
        <f t="shared" si="208"/>
        <v>MINNIE</v>
      </c>
      <c r="D1111" s="2" t="s">
        <v>5557</v>
      </c>
      <c r="E1111" s="12" t="str">
        <f t="shared" si="218"/>
        <v xml:space="preserve">Johannes Willem </v>
      </c>
      <c r="F1111" s="2" t="s">
        <v>10981</v>
      </c>
      <c r="G1111" s="12" t="str">
        <f t="shared" si="209"/>
        <v>(?)e2f2</v>
      </c>
      <c r="H1111" s="12" t="str">
        <f t="shared" si="219"/>
        <v>MINNIE(?)e2f2</v>
      </c>
      <c r="J1111" s="2" t="s">
        <v>10982</v>
      </c>
      <c r="K1111" s="12" t="str">
        <f t="shared" si="211"/>
        <v>1807</v>
      </c>
      <c r="L1111" s="2" t="s">
        <v>74</v>
      </c>
      <c r="M1111" s="2" t="s">
        <v>10983</v>
      </c>
      <c r="N1111" s="12" t="str">
        <f t="shared" si="216"/>
        <v>1807</v>
      </c>
      <c r="O1111" s="12" t="str">
        <f t="shared" si="217"/>
        <v>1808</v>
      </c>
      <c r="Q1111" s="12" t="str">
        <f t="shared" si="212"/>
        <v>1807</v>
      </c>
      <c r="S1111" s="12" t="str">
        <f t="shared" si="213"/>
        <v/>
      </c>
      <c r="T1111" s="2" t="s">
        <v>74</v>
      </c>
      <c r="U1111" s="2" t="s">
        <v>10984</v>
      </c>
      <c r="V1111" s="12" t="str">
        <f t="shared" si="214"/>
        <v>1836</v>
      </c>
      <c r="W1111" s="2" t="s">
        <v>10985</v>
      </c>
      <c r="X1111" s="2" t="s">
        <v>10986</v>
      </c>
      <c r="AG1111" s="2" t="s">
        <v>10987</v>
      </c>
      <c r="AH1111" s="2" t="s">
        <v>10988</v>
      </c>
      <c r="AI1111" s="12" t="str">
        <f t="shared" si="215"/>
        <v>1844</v>
      </c>
      <c r="AK1111" s="2" t="s">
        <v>10989</v>
      </c>
    </row>
    <row r="1112" spans="1:59">
      <c r="A1112" s="12" t="s">
        <v>786</v>
      </c>
      <c r="B1112" s="12" t="str">
        <f t="shared" si="207"/>
        <v>MINNIE</v>
      </c>
      <c r="C1112" s="12" t="str">
        <f t="shared" si="208"/>
        <v>MINNIE</v>
      </c>
      <c r="D1112" s="2" t="s">
        <v>10962</v>
      </c>
      <c r="E1112" s="12" t="str">
        <f t="shared" si="218"/>
        <v>Francois Gysbertus</v>
      </c>
      <c r="F1112" s="2" t="s">
        <v>10963</v>
      </c>
      <c r="G1112" s="12" t="str">
        <f t="shared" si="209"/>
        <v>(?)e2f4</v>
      </c>
      <c r="H1112" s="12" t="str">
        <f t="shared" si="219"/>
        <v>MINNIE(?)e2f4</v>
      </c>
      <c r="J1112" s="2" t="s">
        <v>10964</v>
      </c>
      <c r="K1112" s="12" t="str">
        <f t="shared" si="211"/>
        <v>1811</v>
      </c>
      <c r="L1112" s="2" t="s">
        <v>32</v>
      </c>
      <c r="M1112" s="2" t="s">
        <v>10965</v>
      </c>
      <c r="N1112" s="12" t="str">
        <f t="shared" si="216"/>
        <v>1811</v>
      </c>
      <c r="O1112" s="12" t="str">
        <f t="shared" si="217"/>
        <v>1812</v>
      </c>
      <c r="Q1112" s="12" t="str">
        <f t="shared" si="212"/>
        <v>1811</v>
      </c>
      <c r="S1112" s="12" t="str">
        <f t="shared" si="213"/>
        <v/>
      </c>
      <c r="V1112" s="12" t="str">
        <f t="shared" si="214"/>
        <v/>
      </c>
      <c r="W1112" s="2" t="s">
        <v>10966</v>
      </c>
      <c r="X1112" s="2" t="s">
        <v>3443</v>
      </c>
      <c r="AH1112" s="2" t="s">
        <v>10967</v>
      </c>
      <c r="AI1112" s="12" t="str">
        <f t="shared" si="215"/>
        <v>1842</v>
      </c>
      <c r="AK1112" s="2" t="s">
        <v>140</v>
      </c>
    </row>
    <row r="1113" spans="1:59">
      <c r="A1113" s="12" t="s">
        <v>786</v>
      </c>
      <c r="B1113" s="12" t="str">
        <f t="shared" si="207"/>
        <v>MINNIE</v>
      </c>
      <c r="C1113" s="12" t="str">
        <f t="shared" si="208"/>
        <v>MINNIE</v>
      </c>
      <c r="D1113" s="12" t="s">
        <v>1484</v>
      </c>
      <c r="E1113" s="12" t="str">
        <f t="shared" si="218"/>
        <v>Willem Jacobus</v>
      </c>
      <c r="F1113" s="12" t="s">
        <v>10998</v>
      </c>
      <c r="G1113" s="12" t="str">
        <f t="shared" si="209"/>
        <v>(?)e2f5</v>
      </c>
      <c r="H1113" s="12" t="str">
        <f t="shared" si="219"/>
        <v>MINNIE(?)e2f5</v>
      </c>
      <c r="J1113" s="2" t="s">
        <v>10999</v>
      </c>
      <c r="K1113" s="12" t="str">
        <f t="shared" si="211"/>
        <v>1814</v>
      </c>
      <c r="L1113" s="2" t="s">
        <v>74</v>
      </c>
      <c r="M1113" s="12" t="s">
        <v>11000</v>
      </c>
      <c r="N1113" s="12" t="str">
        <f t="shared" si="216"/>
        <v>1814</v>
      </c>
      <c r="O1113" s="12" t="str">
        <f t="shared" si="217"/>
        <v>1814</v>
      </c>
      <c r="Q1113" s="12" t="str">
        <f t="shared" si="212"/>
        <v>1814</v>
      </c>
      <c r="R1113" s="12"/>
      <c r="S1113" s="12" t="str">
        <f t="shared" si="213"/>
        <v/>
      </c>
      <c r="T1113" s="12" t="s">
        <v>60</v>
      </c>
      <c r="U1113" s="12" t="s">
        <v>11001</v>
      </c>
      <c r="V1113" s="12" t="str">
        <f t="shared" si="214"/>
        <v>1839</v>
      </c>
      <c r="W1113" s="12" t="s">
        <v>11002</v>
      </c>
      <c r="X1113" s="12" t="s">
        <v>391</v>
      </c>
      <c r="Y1113" s="12"/>
      <c r="AC1113" s="12"/>
      <c r="AF1113" s="12"/>
      <c r="AG1113" s="12" t="s">
        <v>10979</v>
      </c>
      <c r="AH1113" s="12" t="s">
        <v>11003</v>
      </c>
      <c r="AI1113" s="12" t="str">
        <f t="shared" si="215"/>
        <v>1841</v>
      </c>
    </row>
    <row r="1114" spans="1:59">
      <c r="A1114" s="12" t="s">
        <v>786</v>
      </c>
      <c r="B1114" s="12" t="str">
        <f t="shared" si="207"/>
        <v>MINNIE</v>
      </c>
      <c r="C1114" s="12" t="str">
        <f t="shared" si="208"/>
        <v>MINNIE</v>
      </c>
      <c r="D1114" s="12" t="s">
        <v>10974</v>
      </c>
      <c r="E1114" s="12" t="str">
        <f t="shared" si="218"/>
        <v>Jan Willem Jacobus</v>
      </c>
      <c r="F1114" s="12" t="s">
        <v>10975</v>
      </c>
      <c r="G1114" s="12" t="str">
        <f t="shared" si="209"/>
        <v>a2b2c1d3e2f1</v>
      </c>
      <c r="H1114" s="12" t="str">
        <f t="shared" si="219"/>
        <v>MINNIEa2b2c1d3e2f1</v>
      </c>
      <c r="J1114" s="2" t="s">
        <v>10976</v>
      </c>
      <c r="K1114" s="12" t="str">
        <f t="shared" si="211"/>
        <v>1820</v>
      </c>
      <c r="L1114" s="2" t="s">
        <v>74</v>
      </c>
      <c r="M1114" s="12" t="s">
        <v>10977</v>
      </c>
      <c r="N1114" s="12" t="str">
        <f t="shared" si="216"/>
        <v>1820</v>
      </c>
      <c r="O1114" s="12" t="str">
        <f t="shared" si="217"/>
        <v>1821</v>
      </c>
      <c r="P1114" s="12"/>
      <c r="Q1114" s="12" t="str">
        <f t="shared" si="212"/>
        <v>1820</v>
      </c>
      <c r="R1114" s="12"/>
      <c r="S1114" s="12" t="str">
        <f t="shared" si="213"/>
        <v/>
      </c>
      <c r="T1114" s="12"/>
      <c r="U1114" s="12"/>
      <c r="V1114" s="12" t="str">
        <f t="shared" si="214"/>
        <v/>
      </c>
      <c r="W1114" s="12" t="s">
        <v>10978</v>
      </c>
      <c r="X1114" s="12" t="s">
        <v>781</v>
      </c>
      <c r="Y1114" s="12"/>
      <c r="AA1114" s="12"/>
      <c r="AD1114" s="12"/>
      <c r="AF1114" s="12"/>
      <c r="AG1114" s="12" t="s">
        <v>10979</v>
      </c>
      <c r="AH1114" s="12" t="s">
        <v>10980</v>
      </c>
      <c r="AI1114" s="12" t="str">
        <f t="shared" si="215"/>
        <v>1845</v>
      </c>
      <c r="AJ1114" s="12"/>
      <c r="AK1114" s="12"/>
    </row>
    <row r="1115" spans="1:59">
      <c r="A1115" s="12" t="s">
        <v>786</v>
      </c>
      <c r="B1115" s="12" t="str">
        <f t="shared" si="207"/>
        <v>MINNIE</v>
      </c>
      <c r="C1115" s="12" t="str">
        <f t="shared" si="208"/>
        <v>MINNIE</v>
      </c>
      <c r="D1115" s="12" t="s">
        <v>10990</v>
      </c>
      <c r="E1115" s="12" t="str">
        <f t="shared" si="218"/>
        <v>Nicolaas Christoffel Johannes</v>
      </c>
      <c r="F1115" s="12" t="s">
        <v>10991</v>
      </c>
      <c r="G1115" s="12" t="str">
        <f t="shared" si="209"/>
        <v>a2b2c1d3e6</v>
      </c>
      <c r="H1115" s="12" t="str">
        <f t="shared" si="219"/>
        <v>MINNIEa2b2c1d3e6</v>
      </c>
      <c r="I1115" s="12"/>
      <c r="J1115" s="12" t="s">
        <v>10992</v>
      </c>
      <c r="K1115" s="12" t="str">
        <f t="shared" si="211"/>
        <v>1807</v>
      </c>
      <c r="L1115" s="12" t="s">
        <v>74</v>
      </c>
      <c r="M1115" s="12" t="s">
        <v>10993</v>
      </c>
      <c r="N1115" s="12" t="str">
        <f t="shared" si="216"/>
        <v>1807</v>
      </c>
      <c r="O1115" s="12" t="str">
        <f t="shared" si="217"/>
        <v>1808</v>
      </c>
      <c r="P1115" s="12"/>
      <c r="Q1115" s="12" t="str">
        <f t="shared" si="212"/>
        <v>1807</v>
      </c>
      <c r="R1115" s="12"/>
      <c r="S1115" s="12" t="str">
        <f t="shared" si="213"/>
        <v/>
      </c>
      <c r="T1115" s="12" t="s">
        <v>60</v>
      </c>
      <c r="U1115" s="12" t="s">
        <v>10994</v>
      </c>
      <c r="V1115" s="12" t="str">
        <f t="shared" si="214"/>
        <v>1838</v>
      </c>
      <c r="W1115" s="12" t="s">
        <v>10995</v>
      </c>
      <c r="X1115" s="12" t="s">
        <v>10996</v>
      </c>
      <c r="Y1115" s="12"/>
      <c r="Z1115" s="12"/>
      <c r="AA1115" s="12"/>
      <c r="AB1115" s="12"/>
      <c r="AC1115" s="12"/>
      <c r="AD1115" s="12"/>
      <c r="AE1115" s="12"/>
      <c r="AF1115" s="12"/>
      <c r="AG1115" s="12" t="s">
        <v>10979</v>
      </c>
      <c r="AH1115" s="12" t="s">
        <v>10997</v>
      </c>
      <c r="AI1115" s="12" t="str">
        <f t="shared" si="215"/>
        <v>1838</v>
      </c>
      <c r="AJ1115" s="12"/>
      <c r="AK1115" s="12" t="s">
        <v>10989</v>
      </c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</row>
    <row r="1116" spans="1:59">
      <c r="A1116" s="12" t="s">
        <v>11004</v>
      </c>
      <c r="B1116" s="12" t="str">
        <f t="shared" si="207"/>
        <v>MOCKE</v>
      </c>
      <c r="C1116" s="12" t="str">
        <f t="shared" si="208"/>
        <v>MOCKE</v>
      </c>
      <c r="D1116" s="12" t="s">
        <v>11005</v>
      </c>
      <c r="E1116" s="12" t="str">
        <f t="shared" si="218"/>
        <v>Johan Godfried</v>
      </c>
      <c r="F1116" s="12" t="s">
        <v>3316</v>
      </c>
      <c r="G1116" s="12" t="str">
        <f t="shared" si="209"/>
        <v>a1b4</v>
      </c>
      <c r="H1116" s="12" t="str">
        <f t="shared" si="219"/>
        <v>MOCKEa1b4</v>
      </c>
      <c r="I1116" s="12"/>
      <c r="J1116" s="12"/>
      <c r="K1116" s="12" t="str">
        <f t="shared" si="211"/>
        <v/>
      </c>
      <c r="L1116" s="12"/>
      <c r="M1116" s="12" t="s">
        <v>11006</v>
      </c>
      <c r="N1116" s="12" t="str">
        <f t="shared" si="216"/>
        <v/>
      </c>
      <c r="O1116" s="12" t="str">
        <f t="shared" si="217"/>
        <v>1780</v>
      </c>
      <c r="P1116" s="12" t="s">
        <v>5146</v>
      </c>
      <c r="Q1116" s="12" t="str">
        <f t="shared" si="212"/>
        <v>1780</v>
      </c>
      <c r="R1116" s="12">
        <v>1850</v>
      </c>
      <c r="S1116" s="12" t="str">
        <f t="shared" si="213"/>
        <v>1850</v>
      </c>
      <c r="T1116" s="12" t="s">
        <v>48</v>
      </c>
      <c r="U1116" s="12" t="s">
        <v>11007</v>
      </c>
      <c r="V1116" s="12" t="str">
        <f t="shared" si="214"/>
        <v>1801</v>
      </c>
      <c r="W1116" s="12" t="s">
        <v>712</v>
      </c>
      <c r="X1116" s="12" t="s">
        <v>695</v>
      </c>
      <c r="Y1116" s="12" t="s">
        <v>11008</v>
      </c>
      <c r="Z1116" s="12"/>
      <c r="AA1116" s="12"/>
      <c r="AB1116" s="12"/>
      <c r="AC1116" s="12" t="s">
        <v>11009</v>
      </c>
      <c r="AD1116" s="12"/>
      <c r="AE1116" s="12"/>
      <c r="AF1116" s="12" t="s">
        <v>3716</v>
      </c>
      <c r="AG1116" s="12" t="s">
        <v>366</v>
      </c>
      <c r="AH1116" s="12">
        <v>1838</v>
      </c>
      <c r="AI1116" s="12" t="str">
        <f t="shared" si="215"/>
        <v>1838</v>
      </c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</row>
    <row r="1117" spans="1:59">
      <c r="A1117" s="12" t="s">
        <v>11004</v>
      </c>
      <c r="B1117" s="12" t="str">
        <f t="shared" si="207"/>
        <v>MOCKE</v>
      </c>
      <c r="C1117" s="12" t="str">
        <f t="shared" si="208"/>
        <v>MOCKE</v>
      </c>
      <c r="D1117" s="12" t="s">
        <v>11005</v>
      </c>
      <c r="E1117" s="12" t="str">
        <f t="shared" si="218"/>
        <v>Johan Godfried</v>
      </c>
      <c r="F1117" s="12" t="s">
        <v>5189</v>
      </c>
      <c r="G1117" s="12" t="str">
        <f t="shared" si="209"/>
        <v>a1b5c1</v>
      </c>
      <c r="H1117" s="12" t="str">
        <f t="shared" si="219"/>
        <v>MOCKEa1b5c1</v>
      </c>
      <c r="I1117" s="12"/>
      <c r="J1117" s="12" t="s">
        <v>11010</v>
      </c>
      <c r="K1117" s="12" t="str">
        <f t="shared" si="211"/>
        <v>1806</v>
      </c>
      <c r="L1117" s="12"/>
      <c r="M1117" s="12" t="s">
        <v>11011</v>
      </c>
      <c r="N1117" s="12" t="str">
        <f t="shared" si="216"/>
        <v>1806</v>
      </c>
      <c r="O1117" s="12" t="str">
        <f t="shared" si="217"/>
        <v>1806</v>
      </c>
      <c r="P1117" s="12" t="s">
        <v>7345</v>
      </c>
      <c r="Q1117" s="12" t="str">
        <f t="shared" si="212"/>
        <v>1806</v>
      </c>
      <c r="R1117" s="12"/>
      <c r="S1117" s="12" t="str">
        <f t="shared" si="213"/>
        <v/>
      </c>
      <c r="T1117" s="12"/>
      <c r="U1117" s="12"/>
      <c r="V1117" s="12" t="str">
        <f t="shared" si="214"/>
        <v/>
      </c>
      <c r="W1117" s="12" t="s">
        <v>2974</v>
      </c>
      <c r="X1117" s="12" t="s">
        <v>698</v>
      </c>
      <c r="Y1117" s="12"/>
      <c r="Z1117" s="12"/>
      <c r="AA1117" s="12"/>
      <c r="AB1117" s="12"/>
      <c r="AC1117" s="12"/>
      <c r="AD1117" s="12"/>
      <c r="AE1117" s="12"/>
      <c r="AF1117" s="12" t="s">
        <v>3716</v>
      </c>
      <c r="AG1117" s="12" t="s">
        <v>366</v>
      </c>
      <c r="AH1117" s="12">
        <v>1838</v>
      </c>
      <c r="AI1117" s="12" t="str">
        <f t="shared" si="215"/>
        <v>1838</v>
      </c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</row>
    <row r="1118" spans="1:59">
      <c r="A1118" s="12" t="s">
        <v>2757</v>
      </c>
      <c r="B1118" s="12" t="str">
        <f t="shared" si="207"/>
        <v>MOOLMAN</v>
      </c>
      <c r="C1118" s="12" t="str">
        <f t="shared" si="208"/>
        <v>MOOLMAN</v>
      </c>
      <c r="D1118" s="12" t="s">
        <v>11044</v>
      </c>
      <c r="E1118" s="12" t="str">
        <f t="shared" si="218"/>
        <v>Petrus Lafras</v>
      </c>
      <c r="F1118" s="12" t="s">
        <v>10804</v>
      </c>
      <c r="G1118" s="12" t="str">
        <f t="shared" si="209"/>
        <v>a1b1c1d3</v>
      </c>
      <c r="H1118" s="12" t="str">
        <f t="shared" si="219"/>
        <v>MOOLMANa1b1c1d3</v>
      </c>
      <c r="I1118" s="12"/>
      <c r="J1118" s="12" t="s">
        <v>11045</v>
      </c>
      <c r="K1118" s="12" t="str">
        <f t="shared" si="211"/>
        <v>1805</v>
      </c>
      <c r="L1118" s="12" t="s">
        <v>32</v>
      </c>
      <c r="M1118" s="12" t="s">
        <v>11046</v>
      </c>
      <c r="N1118" s="12" t="str">
        <f t="shared" si="216"/>
        <v>1805</v>
      </c>
      <c r="O1118" s="12" t="str">
        <f t="shared" si="217"/>
        <v>1805</v>
      </c>
      <c r="P1118" s="12" t="s">
        <v>28</v>
      </c>
      <c r="Q1118" s="12" t="str">
        <f t="shared" si="212"/>
        <v>1805</v>
      </c>
      <c r="R1118" s="12" t="s">
        <v>11047</v>
      </c>
      <c r="S1118" s="12" t="str">
        <f t="shared" si="213"/>
        <v>1872</v>
      </c>
      <c r="T1118" s="12"/>
      <c r="U1118" s="12" t="s">
        <v>11048</v>
      </c>
      <c r="V1118" s="12" t="str">
        <f t="shared" si="214"/>
        <v>1825</v>
      </c>
      <c r="W1118" s="12" t="s">
        <v>11049</v>
      </c>
      <c r="X1118" s="12" t="s">
        <v>2402</v>
      </c>
      <c r="Y1118" s="12" t="s">
        <v>11050</v>
      </c>
      <c r="Z1118" s="12"/>
      <c r="AA1118" s="12" t="s">
        <v>6926</v>
      </c>
      <c r="AB1118" s="12"/>
      <c r="AC1118" s="12"/>
      <c r="AD1118" s="12"/>
      <c r="AE1118" s="12"/>
      <c r="AF1118" s="12" t="s">
        <v>4785</v>
      </c>
      <c r="AG1118" s="12" t="s">
        <v>53</v>
      </c>
      <c r="AH1118" s="12" t="s">
        <v>1795</v>
      </c>
      <c r="AI1118" s="12" t="str">
        <f t="shared" si="215"/>
        <v>1838</v>
      </c>
      <c r="AJ1118" s="12"/>
      <c r="AK1118" s="12"/>
      <c r="AL1118" s="12"/>
      <c r="AM1118" s="12"/>
      <c r="AN1118" s="12" t="s">
        <v>11051</v>
      </c>
      <c r="AO1118" s="12" t="s">
        <v>11052</v>
      </c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</row>
    <row r="1119" spans="1:59">
      <c r="A1119" s="12" t="s">
        <v>2757</v>
      </c>
      <c r="B1119" s="12" t="str">
        <f t="shared" si="207"/>
        <v>MOOLMAN</v>
      </c>
      <c r="C1119" s="12" t="str">
        <f t="shared" si="208"/>
        <v>MOOLMAN</v>
      </c>
      <c r="D1119" s="12" t="s">
        <v>11019</v>
      </c>
      <c r="E1119" s="12" t="str">
        <f t="shared" si="218"/>
        <v>Jacobus Phillippus Sr</v>
      </c>
      <c r="F1119" s="12" t="s">
        <v>934</v>
      </c>
      <c r="G1119" s="12" t="str">
        <f t="shared" si="209"/>
        <v>a1b1c2</v>
      </c>
      <c r="H1119" s="12" t="str">
        <f t="shared" si="219"/>
        <v>MOOLMANa1b1c2</v>
      </c>
      <c r="I1119" s="12"/>
      <c r="J1119" s="12"/>
      <c r="K1119" s="12" t="str">
        <f t="shared" si="211"/>
        <v/>
      </c>
      <c r="L1119" s="12"/>
      <c r="M1119" s="12" t="s">
        <v>11020</v>
      </c>
      <c r="N1119" s="12" t="str">
        <f t="shared" si="216"/>
        <v/>
      </c>
      <c r="O1119" s="12" t="str">
        <f t="shared" si="217"/>
        <v>1783</v>
      </c>
      <c r="P1119" s="12" t="s">
        <v>90</v>
      </c>
      <c r="Q1119" s="12" t="str">
        <f t="shared" si="212"/>
        <v>1783</v>
      </c>
      <c r="R1119" s="12" t="s">
        <v>11021</v>
      </c>
      <c r="S1119" s="12" t="str">
        <f t="shared" si="213"/>
        <v>1852</v>
      </c>
      <c r="T1119" s="12" t="s">
        <v>48</v>
      </c>
      <c r="U1119" s="12" t="s">
        <v>11022</v>
      </c>
      <c r="V1119" s="12" t="str">
        <f t="shared" si="214"/>
        <v>1803</v>
      </c>
      <c r="W1119" s="12" t="s">
        <v>11023</v>
      </c>
      <c r="X1119" s="12" t="s">
        <v>1900</v>
      </c>
      <c r="Y1119" s="12" t="s">
        <v>1925</v>
      </c>
      <c r="Z1119" s="12"/>
      <c r="AA1119" s="12"/>
      <c r="AB1119" s="12"/>
      <c r="AC1119" s="12" t="s">
        <v>11024</v>
      </c>
      <c r="AD1119" s="12"/>
      <c r="AE1119" s="12" t="s">
        <v>11025</v>
      </c>
      <c r="AF1119" s="12" t="s">
        <v>11026</v>
      </c>
      <c r="AG1119" s="12" t="s">
        <v>32</v>
      </c>
      <c r="AH1119" s="12" t="s">
        <v>11027</v>
      </c>
      <c r="AI1119" s="12" t="str">
        <f t="shared" si="215"/>
        <v>1837</v>
      </c>
      <c r="AJ1119" s="12" t="s">
        <v>2262</v>
      </c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</row>
    <row r="1120" spans="1:59">
      <c r="A1120" s="12" t="s">
        <v>2757</v>
      </c>
      <c r="B1120" s="12" t="str">
        <f t="shared" si="207"/>
        <v>MOOLMAN</v>
      </c>
      <c r="C1120" s="12" t="str">
        <f t="shared" si="208"/>
        <v>MOOLMAN</v>
      </c>
      <c r="D1120" s="12" t="s">
        <v>1244</v>
      </c>
      <c r="E1120" s="12" t="str">
        <f t="shared" si="218"/>
        <v>Jan Adriaan</v>
      </c>
      <c r="F1120" s="12" t="s">
        <v>912</v>
      </c>
      <c r="G1120" s="12" t="str">
        <f t="shared" si="209"/>
        <v>a1b1c2d2</v>
      </c>
      <c r="H1120" s="12" t="str">
        <f t="shared" si="219"/>
        <v>MOOLMANa1b1c2d2</v>
      </c>
      <c r="I1120" s="12"/>
      <c r="J1120" s="12"/>
      <c r="K1120" s="12" t="str">
        <f t="shared" si="211"/>
        <v/>
      </c>
      <c r="L1120" s="12"/>
      <c r="M1120" s="12" t="s">
        <v>11035</v>
      </c>
      <c r="N1120" s="12" t="str">
        <f t="shared" si="216"/>
        <v/>
      </c>
      <c r="O1120" s="12" t="str">
        <f t="shared" si="217"/>
        <v>1806</v>
      </c>
      <c r="P1120" s="12"/>
      <c r="Q1120" s="12" t="str">
        <f t="shared" si="212"/>
        <v>1806</v>
      </c>
      <c r="R1120" s="12"/>
      <c r="S1120" s="12" t="str">
        <f t="shared" si="213"/>
        <v/>
      </c>
      <c r="T1120" s="12" t="s">
        <v>53</v>
      </c>
      <c r="U1120" s="12" t="s">
        <v>1207</v>
      </c>
      <c r="V1120" s="12" t="str">
        <f t="shared" si="214"/>
        <v>1829</v>
      </c>
      <c r="W1120" s="12" t="s">
        <v>11036</v>
      </c>
      <c r="X1120" s="12" t="s">
        <v>2381</v>
      </c>
      <c r="Y1120" s="12" t="s">
        <v>2792</v>
      </c>
      <c r="Z1120" s="12"/>
      <c r="AA1120" s="12"/>
      <c r="AB1120" s="12"/>
      <c r="AC1120" s="12"/>
      <c r="AD1120" s="12" t="s">
        <v>11037</v>
      </c>
      <c r="AE1120" s="12" t="s">
        <v>11038</v>
      </c>
      <c r="AF1120" s="12" t="s">
        <v>4785</v>
      </c>
      <c r="AG1120" s="12" t="s">
        <v>53</v>
      </c>
      <c r="AH1120" s="12" t="s">
        <v>29</v>
      </c>
      <c r="AI1120" s="12" t="str">
        <f t="shared" si="215"/>
        <v>1837</v>
      </c>
      <c r="AJ1120" s="12" t="s">
        <v>2262</v>
      </c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</row>
    <row r="1121" spans="1:71">
      <c r="A1121" s="12" t="s">
        <v>2757</v>
      </c>
      <c r="B1121" s="12" t="str">
        <f t="shared" si="207"/>
        <v>MOOLMAN</v>
      </c>
      <c r="C1121" s="12" t="str">
        <f t="shared" si="208"/>
        <v>MOOLMAN</v>
      </c>
      <c r="D1121" s="12" t="s">
        <v>11028</v>
      </c>
      <c r="E1121" s="12" t="str">
        <f t="shared" si="218"/>
        <v>Jacobus Phillippus Jr</v>
      </c>
      <c r="F1121" s="12" t="s">
        <v>11029</v>
      </c>
      <c r="G1121" s="12" t="str">
        <f t="shared" si="209"/>
        <v>a1b1c2d3</v>
      </c>
      <c r="H1121" s="12" t="str">
        <f t="shared" si="219"/>
        <v>MOOLMANa1b1c2d3</v>
      </c>
      <c r="J1121" s="12"/>
      <c r="K1121" s="12" t="str">
        <f t="shared" si="211"/>
        <v/>
      </c>
      <c r="L1121" s="12"/>
      <c r="M1121" s="12" t="s">
        <v>11030</v>
      </c>
      <c r="N1121" s="12" t="str">
        <f t="shared" si="216"/>
        <v/>
      </c>
      <c r="O1121" s="12" t="str">
        <f t="shared" si="217"/>
        <v>1809</v>
      </c>
      <c r="Q1121" s="12" t="str">
        <f t="shared" si="212"/>
        <v>1809</v>
      </c>
      <c r="R1121" s="12"/>
      <c r="S1121" s="12" t="str">
        <f t="shared" si="213"/>
        <v/>
      </c>
      <c r="T1121" s="12" t="s">
        <v>53</v>
      </c>
      <c r="U1121" s="12" t="s">
        <v>11031</v>
      </c>
      <c r="V1121" s="12" t="str">
        <f t="shared" si="214"/>
        <v>1833</v>
      </c>
      <c r="W1121" s="12" t="s">
        <v>2125</v>
      </c>
      <c r="X1121" s="12" t="s">
        <v>726</v>
      </c>
      <c r="Y1121" s="2" t="s">
        <v>11032</v>
      </c>
      <c r="AF1121" s="2" t="s">
        <v>11033</v>
      </c>
      <c r="AG1121" s="12" t="s">
        <v>11034</v>
      </c>
      <c r="AH1121" s="12" t="s">
        <v>11027</v>
      </c>
      <c r="AI1121" s="12" t="str">
        <f t="shared" si="215"/>
        <v>1837</v>
      </c>
      <c r="AJ1121" s="12" t="s">
        <v>2262</v>
      </c>
    </row>
    <row r="1122" spans="1:71">
      <c r="A1122" s="12" t="s">
        <v>2757</v>
      </c>
      <c r="B1122" s="12" t="str">
        <f t="shared" si="207"/>
        <v>MOOLMAN</v>
      </c>
      <c r="C1122" s="12" t="str">
        <f t="shared" si="208"/>
        <v>MOOLMAN</v>
      </c>
      <c r="D1122" s="12" t="s">
        <v>11012</v>
      </c>
      <c r="E1122" s="12" t="str">
        <f t="shared" si="218"/>
        <v>Adrian Izaak</v>
      </c>
      <c r="F1122" s="12" t="s">
        <v>11013</v>
      </c>
      <c r="G1122" s="12" t="str">
        <f t="shared" si="209"/>
        <v>a1b1c2d7</v>
      </c>
      <c r="H1122" s="12" t="str">
        <f t="shared" si="219"/>
        <v>MOOLMANa1b1c2d7</v>
      </c>
      <c r="J1122" s="12" t="s">
        <v>11014</v>
      </c>
      <c r="K1122" s="12" t="str">
        <f t="shared" si="211"/>
        <v>1819</v>
      </c>
      <c r="L1122" s="12" t="s">
        <v>53</v>
      </c>
      <c r="M1122" s="12" t="s">
        <v>11015</v>
      </c>
      <c r="N1122" s="12" t="str">
        <f t="shared" si="216"/>
        <v>1819</v>
      </c>
      <c r="O1122" s="12" t="str">
        <f t="shared" si="217"/>
        <v>1819</v>
      </c>
      <c r="P1122" s="2" t="s">
        <v>90</v>
      </c>
      <c r="Q1122" s="12" t="str">
        <f t="shared" si="212"/>
        <v>1819</v>
      </c>
      <c r="R1122" s="2" t="s">
        <v>11016</v>
      </c>
      <c r="S1122" s="12" t="str">
        <f t="shared" si="213"/>
        <v>1852</v>
      </c>
      <c r="T1122" s="12"/>
      <c r="U1122" s="12"/>
      <c r="V1122" s="12" t="str">
        <f t="shared" si="214"/>
        <v/>
      </c>
      <c r="W1122" s="12" t="s">
        <v>1899</v>
      </c>
      <c r="X1122" s="12" t="s">
        <v>1900</v>
      </c>
      <c r="AF1122" s="12" t="s">
        <v>4785</v>
      </c>
      <c r="AG1122" s="12" t="s">
        <v>53</v>
      </c>
      <c r="AH1122" s="2" t="s">
        <v>10806</v>
      </c>
      <c r="AI1122" s="12" t="str">
        <f t="shared" si="215"/>
        <v>1837</v>
      </c>
      <c r="AJ1122" s="12" t="s">
        <v>2262</v>
      </c>
      <c r="AK1122" s="12"/>
      <c r="AN1122" s="2" t="s">
        <v>11017</v>
      </c>
      <c r="AO1122" s="2" t="s">
        <v>1586</v>
      </c>
      <c r="AP1122" s="2" t="s">
        <v>11018</v>
      </c>
    </row>
    <row r="1123" spans="1:71">
      <c r="A1123" s="12" t="s">
        <v>2757</v>
      </c>
      <c r="B1123" s="12" t="str">
        <f t="shared" si="207"/>
        <v>MOOLMAN</v>
      </c>
      <c r="C1123" s="12" t="str">
        <f t="shared" si="208"/>
        <v>MOOLMAN</v>
      </c>
      <c r="D1123" s="12" t="s">
        <v>4562</v>
      </c>
      <c r="E1123" s="12" t="str">
        <f t="shared" si="218"/>
        <v>Louis Johannes</v>
      </c>
      <c r="F1123" s="12" t="s">
        <v>7166</v>
      </c>
      <c r="G1123" s="12" t="str">
        <f t="shared" si="209"/>
        <v>a1b1c2d8</v>
      </c>
      <c r="H1123" s="12" t="str">
        <f t="shared" si="219"/>
        <v>MOOLMANa1b1c2d8</v>
      </c>
      <c r="I1123" s="2" t="s">
        <v>53</v>
      </c>
      <c r="J1123" s="2" t="s">
        <v>11039</v>
      </c>
      <c r="K1123" s="12" t="str">
        <f t="shared" si="211"/>
        <v>1822</v>
      </c>
      <c r="M1123" s="12"/>
      <c r="N1123" s="12" t="str">
        <f t="shared" si="216"/>
        <v>1822</v>
      </c>
      <c r="O1123" s="12" t="str">
        <f t="shared" si="217"/>
        <v/>
      </c>
      <c r="P1123" s="12" t="s">
        <v>11040</v>
      </c>
      <c r="Q1123" s="12" t="str">
        <f t="shared" si="212"/>
        <v>1822</v>
      </c>
      <c r="R1123" s="12" t="s">
        <v>11021</v>
      </c>
      <c r="S1123" s="12" t="str">
        <f t="shared" si="213"/>
        <v>1852</v>
      </c>
      <c r="T1123" s="12"/>
      <c r="U1123" s="12" t="s">
        <v>11041</v>
      </c>
      <c r="V1123" s="12" t="str">
        <f t="shared" si="214"/>
        <v>1850</v>
      </c>
      <c r="W1123" s="12" t="s">
        <v>11042</v>
      </c>
      <c r="X1123" s="12" t="s">
        <v>3799</v>
      </c>
      <c r="Y1123" s="12" t="s">
        <v>11043</v>
      </c>
      <c r="AB1123" s="12"/>
      <c r="AC1123" s="12"/>
      <c r="AF1123" s="12" t="s">
        <v>11033</v>
      </c>
      <c r="AG1123" s="12" t="s">
        <v>11034</v>
      </c>
      <c r="AH1123" s="12" t="s">
        <v>10806</v>
      </c>
      <c r="AI1123" s="12" t="str">
        <f t="shared" si="215"/>
        <v>1837</v>
      </c>
      <c r="AJ1123" s="2" t="s">
        <v>2262</v>
      </c>
      <c r="AN1123" s="12"/>
      <c r="AO1123" s="12"/>
    </row>
    <row r="1124" spans="1:71">
      <c r="A1124" s="12" t="s">
        <v>779</v>
      </c>
      <c r="B1124" s="12" t="str">
        <f t="shared" si="207"/>
        <v>MOSTERT</v>
      </c>
      <c r="C1124" s="12" t="str">
        <f t="shared" si="208"/>
        <v>MOSTERT</v>
      </c>
      <c r="D1124" s="12" t="s">
        <v>143</v>
      </c>
      <c r="E1124" s="12" t="str">
        <f t="shared" si="218"/>
        <v>Hendrik Johannes</v>
      </c>
      <c r="F1124" s="12" t="s">
        <v>11053</v>
      </c>
      <c r="G1124" s="12" t="str">
        <f t="shared" si="209"/>
        <v>a1b7c9d1e1</v>
      </c>
      <c r="H1124" s="12" t="str">
        <f t="shared" si="219"/>
        <v>MOSTERTa1b7c9d1e1</v>
      </c>
      <c r="J1124" s="2" t="s">
        <v>6921</v>
      </c>
      <c r="K1124" s="12" t="str">
        <f t="shared" si="211"/>
        <v>1819</v>
      </c>
      <c r="L1124" s="2" t="s">
        <v>199</v>
      </c>
      <c r="M1124" s="12" t="s">
        <v>11054</v>
      </c>
      <c r="N1124" s="12" t="str">
        <f t="shared" si="216"/>
        <v>1819</v>
      </c>
      <c r="O1124" s="12" t="str">
        <f t="shared" si="217"/>
        <v>1820</v>
      </c>
      <c r="Q1124" s="12" t="str">
        <f t="shared" si="212"/>
        <v>1819</v>
      </c>
      <c r="S1124" s="12" t="str">
        <f t="shared" si="213"/>
        <v/>
      </c>
      <c r="T1124" s="12"/>
      <c r="U1124" s="12"/>
      <c r="V1124" s="12" t="str">
        <f t="shared" si="214"/>
        <v/>
      </c>
      <c r="W1124" s="12" t="s">
        <v>11055</v>
      </c>
      <c r="X1124" s="12" t="s">
        <v>757</v>
      </c>
      <c r="Y1124" s="12"/>
      <c r="AC1124" s="12"/>
      <c r="AF1124" s="12"/>
      <c r="AG1124" s="12" t="s">
        <v>11056</v>
      </c>
      <c r="AH1124" s="12" t="s">
        <v>10069</v>
      </c>
      <c r="AI1124" s="12" t="str">
        <f t="shared" si="215"/>
        <v>1843</v>
      </c>
      <c r="AJ1124" s="12"/>
      <c r="AK1124" s="2" t="s">
        <v>90</v>
      </c>
    </row>
    <row r="1125" spans="1:71">
      <c r="A1125" s="12" t="s">
        <v>779</v>
      </c>
      <c r="B1125" s="12" t="str">
        <f t="shared" si="207"/>
        <v>MOSTERT</v>
      </c>
      <c r="C1125" s="12" t="str">
        <f t="shared" si="208"/>
        <v>MOSTERT</v>
      </c>
      <c r="D1125" s="12" t="s">
        <v>5988</v>
      </c>
      <c r="E1125" s="12" t="str">
        <f t="shared" si="218"/>
        <v>Johannes Adolph</v>
      </c>
      <c r="F1125" s="12" t="s">
        <v>11057</v>
      </c>
      <c r="G1125" s="12" t="str">
        <f t="shared" si="209"/>
        <v>a1b7c9d1e2</v>
      </c>
      <c r="H1125" s="12" t="str">
        <f t="shared" si="219"/>
        <v>MOSTERTa1b7c9d1e2</v>
      </c>
      <c r="J1125" s="12" t="s">
        <v>11058</v>
      </c>
      <c r="K1125" s="12" t="str">
        <f t="shared" si="211"/>
        <v>1821</v>
      </c>
      <c r="L1125" s="12" t="s">
        <v>199</v>
      </c>
      <c r="M1125" s="12" t="s">
        <v>11059</v>
      </c>
      <c r="N1125" s="12" t="str">
        <f t="shared" si="216"/>
        <v>1821</v>
      </c>
      <c r="O1125" s="12" t="str">
        <f t="shared" si="217"/>
        <v>1821</v>
      </c>
      <c r="P1125" s="2" t="s">
        <v>2063</v>
      </c>
      <c r="Q1125" s="12" t="str">
        <f t="shared" si="212"/>
        <v>1821</v>
      </c>
      <c r="R1125" s="12" t="s">
        <v>11060</v>
      </c>
      <c r="S1125" s="12" t="str">
        <f t="shared" si="213"/>
        <v>1899</v>
      </c>
      <c r="V1125" s="12" t="str">
        <f t="shared" si="214"/>
        <v/>
      </c>
      <c r="W1125" s="12" t="s">
        <v>11061</v>
      </c>
      <c r="X1125" s="12" t="s">
        <v>757</v>
      </c>
      <c r="AG1125" s="12" t="s">
        <v>11056</v>
      </c>
      <c r="AH1125" s="12" t="s">
        <v>2030</v>
      </c>
      <c r="AI1125" s="12" t="str">
        <f t="shared" si="215"/>
        <v>1845</v>
      </c>
      <c r="AJ1125" s="12"/>
      <c r="AK1125" s="12"/>
      <c r="AN1125" s="2" t="s">
        <v>11062</v>
      </c>
      <c r="AO1125" s="2" t="s">
        <v>78</v>
      </c>
    </row>
    <row r="1126" spans="1:71">
      <c r="A1126" s="12" t="s">
        <v>779</v>
      </c>
      <c r="B1126" s="12" t="str">
        <f t="shared" si="207"/>
        <v>MOSTERT</v>
      </c>
      <c r="C1126" s="12" t="str">
        <f t="shared" si="208"/>
        <v>MOSTERT</v>
      </c>
      <c r="D1126" s="12" t="s">
        <v>175</v>
      </c>
      <c r="E1126" s="12" t="str">
        <f t="shared" si="218"/>
        <v>Petrus Jacobus</v>
      </c>
      <c r="F1126" s="12" t="s">
        <v>11063</v>
      </c>
      <c r="G1126" s="12" t="str">
        <f t="shared" si="209"/>
        <v>a1b7c9d1e4</v>
      </c>
      <c r="H1126" s="12" t="str">
        <f t="shared" si="219"/>
        <v>MOSTERTa1b7c9d1e4</v>
      </c>
      <c r="I1126" s="12"/>
      <c r="J1126" s="12" t="s">
        <v>11064</v>
      </c>
      <c r="K1126" s="12" t="str">
        <f t="shared" si="211"/>
        <v>1825</v>
      </c>
      <c r="L1126" s="12" t="s">
        <v>199</v>
      </c>
      <c r="M1126" s="12" t="s">
        <v>10374</v>
      </c>
      <c r="N1126" s="12" t="str">
        <f t="shared" si="216"/>
        <v>1825</v>
      </c>
      <c r="O1126" s="12" t="str">
        <f t="shared" si="217"/>
        <v>1826</v>
      </c>
      <c r="P1126" s="12" t="s">
        <v>2063</v>
      </c>
      <c r="Q1126" s="12" t="str">
        <f t="shared" si="212"/>
        <v>1825</v>
      </c>
      <c r="R1126" s="12" t="s">
        <v>11065</v>
      </c>
      <c r="S1126" s="12" t="str">
        <f t="shared" si="213"/>
        <v>1898</v>
      </c>
      <c r="T1126" s="12"/>
      <c r="U1126" s="12"/>
      <c r="V1126" s="12" t="str">
        <f t="shared" si="214"/>
        <v/>
      </c>
      <c r="W1126" s="12" t="s">
        <v>11066</v>
      </c>
      <c r="X1126" s="12" t="s">
        <v>696</v>
      </c>
      <c r="Y1126" s="12"/>
      <c r="Z1126" s="12"/>
      <c r="AA1126" s="12"/>
      <c r="AB1126" s="12"/>
      <c r="AC1126" s="12"/>
      <c r="AD1126" s="12"/>
      <c r="AE1126" s="12"/>
      <c r="AF1126" s="12"/>
      <c r="AG1126" s="12" t="s">
        <v>11056</v>
      </c>
      <c r="AH1126" s="12" t="s">
        <v>11067</v>
      </c>
      <c r="AI1126" s="12" t="str">
        <f t="shared" si="215"/>
        <v>840s</v>
      </c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</row>
    <row r="1127" spans="1:71">
      <c r="A1127" s="12" t="s">
        <v>2547</v>
      </c>
      <c r="B1127" s="12" t="str">
        <f t="shared" si="207"/>
        <v>MULLER</v>
      </c>
      <c r="C1127" s="12" t="str">
        <f t="shared" si="208"/>
        <v>MULLER</v>
      </c>
      <c r="D1127" s="12" t="s">
        <v>5966</v>
      </c>
      <c r="E1127" s="12" t="str">
        <f t="shared" si="218"/>
        <v>Petrus Hendrik</v>
      </c>
      <c r="F1127" s="12" t="s">
        <v>11094</v>
      </c>
      <c r="G1127" s="12" t="str">
        <f t="shared" si="209"/>
        <v>a1b11c2d3</v>
      </c>
      <c r="H1127" s="12" t="str">
        <f t="shared" si="219"/>
        <v>MULLERa1b11c2d3</v>
      </c>
      <c r="I1127" s="12"/>
      <c r="J1127" s="12" t="s">
        <v>11095</v>
      </c>
      <c r="K1127" s="12" t="str">
        <f t="shared" si="211"/>
        <v>1817</v>
      </c>
      <c r="L1127" s="12" t="s">
        <v>199</v>
      </c>
      <c r="M1127" s="12" t="s">
        <v>11096</v>
      </c>
      <c r="N1127" s="12" t="str">
        <f t="shared" si="216"/>
        <v>1817</v>
      </c>
      <c r="O1127" s="12" t="str">
        <f t="shared" si="217"/>
        <v>1817</v>
      </c>
      <c r="P1127" s="12" t="s">
        <v>5593</v>
      </c>
      <c r="Q1127" s="12" t="str">
        <f t="shared" si="212"/>
        <v>1817</v>
      </c>
      <c r="R1127" s="12" t="s">
        <v>11097</v>
      </c>
      <c r="S1127" s="12" t="str">
        <f t="shared" si="213"/>
        <v>1914</v>
      </c>
      <c r="T1127" s="12" t="s">
        <v>32</v>
      </c>
      <c r="U1127" s="12" t="s">
        <v>11098</v>
      </c>
      <c r="V1127" s="12" t="str">
        <f t="shared" si="214"/>
        <v>1838</v>
      </c>
      <c r="W1127" s="12" t="s">
        <v>10900</v>
      </c>
      <c r="X1127" s="12" t="s">
        <v>2394</v>
      </c>
      <c r="Y1127" s="12"/>
      <c r="Z1127" s="12"/>
      <c r="AA1127" s="12" t="s">
        <v>11099</v>
      </c>
      <c r="AB1127" s="12"/>
      <c r="AC1127" s="12"/>
      <c r="AD1127" s="12"/>
      <c r="AE1127" s="12"/>
      <c r="AF1127" s="12" t="s">
        <v>10648</v>
      </c>
      <c r="AG1127" s="12" t="s">
        <v>32</v>
      </c>
      <c r="AH1127" s="12" t="s">
        <v>11100</v>
      </c>
      <c r="AI1127" s="12" t="str">
        <f t="shared" si="215"/>
        <v>1838</v>
      </c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</row>
    <row r="1128" spans="1:71">
      <c r="A1128" s="12" t="s">
        <v>2547</v>
      </c>
      <c r="B1128" s="12" t="str">
        <f t="shared" si="207"/>
        <v>MULLER</v>
      </c>
      <c r="C1128" s="12" t="str">
        <f t="shared" si="208"/>
        <v>MULLER</v>
      </c>
      <c r="D1128" s="12" t="s">
        <v>3761</v>
      </c>
      <c r="E1128" s="12" t="str">
        <f t="shared" si="218"/>
        <v>Johannes Petrus</v>
      </c>
      <c r="F1128" s="12" t="s">
        <v>932</v>
      </c>
      <c r="G1128" s="12" t="str">
        <f t="shared" si="209"/>
        <v>a1b2</v>
      </c>
      <c r="H1128" s="12" t="str">
        <f t="shared" si="219"/>
        <v>MULLERa1b2</v>
      </c>
      <c r="I1128" s="12"/>
      <c r="J1128" s="12"/>
      <c r="K1128" s="12" t="str">
        <f t="shared" si="211"/>
        <v/>
      </c>
      <c r="L1128" s="12"/>
      <c r="M1128" s="12" t="s">
        <v>11084</v>
      </c>
      <c r="N1128" s="12" t="str">
        <f t="shared" si="216"/>
        <v/>
      </c>
      <c r="O1128" s="12" t="str">
        <f t="shared" si="217"/>
        <v>1794</v>
      </c>
      <c r="P1128" s="12"/>
      <c r="Q1128" s="12" t="str">
        <f t="shared" si="212"/>
        <v>1794</v>
      </c>
      <c r="R1128" s="12"/>
      <c r="S1128" s="12" t="str">
        <f t="shared" si="213"/>
        <v/>
      </c>
      <c r="T1128" s="12"/>
      <c r="U1128" s="12"/>
      <c r="V1128" s="12" t="str">
        <f t="shared" si="214"/>
        <v/>
      </c>
      <c r="W1128" s="12" t="s">
        <v>2090</v>
      </c>
      <c r="X1128" s="12" t="s">
        <v>776</v>
      </c>
      <c r="Y1128" s="12"/>
      <c r="Z1128" s="12"/>
      <c r="AA1128" s="12"/>
      <c r="AB1128" s="12"/>
      <c r="AC1128" s="12"/>
      <c r="AD1128" s="12"/>
      <c r="AE1128" s="12"/>
      <c r="AF1128" s="12" t="s">
        <v>3729</v>
      </c>
      <c r="AG1128" s="12" t="s">
        <v>32</v>
      </c>
      <c r="AH1128" s="12" t="s">
        <v>11085</v>
      </c>
      <c r="AI1128" s="12" t="str">
        <f t="shared" si="215"/>
        <v>1838</v>
      </c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</row>
    <row r="1129" spans="1:71">
      <c r="A1129" s="12" t="s">
        <v>2547</v>
      </c>
      <c r="B1129" s="12" t="str">
        <f t="shared" si="207"/>
        <v>MULLER</v>
      </c>
      <c r="C1129" s="12" t="str">
        <f t="shared" si="208"/>
        <v>MULLER</v>
      </c>
      <c r="D1129" s="12" t="s">
        <v>205</v>
      </c>
      <c r="E1129" s="12" t="str">
        <f t="shared" si="218"/>
        <v>Willem Hendrik</v>
      </c>
      <c r="F1129" s="12" t="s">
        <v>11101</v>
      </c>
      <c r="G1129" s="12" t="str">
        <f t="shared" si="209"/>
        <v>a1b2c1d7e2</v>
      </c>
      <c r="H1129" s="12" t="str">
        <f t="shared" si="219"/>
        <v>MULLERa1b2c1d7e2</v>
      </c>
      <c r="I1129" s="12"/>
      <c r="J1129" s="12" t="s">
        <v>11102</v>
      </c>
      <c r="K1129" s="12" t="str">
        <f t="shared" si="211"/>
        <v>1818</v>
      </c>
      <c r="L1129" s="12" t="s">
        <v>32</v>
      </c>
      <c r="M1129" s="12" t="s">
        <v>11103</v>
      </c>
      <c r="N1129" s="12" t="str">
        <f t="shared" si="216"/>
        <v>1818</v>
      </c>
      <c r="O1129" s="12" t="str">
        <f t="shared" si="217"/>
        <v>1818</v>
      </c>
      <c r="P1129" s="12"/>
      <c r="Q1129" s="12" t="str">
        <f t="shared" si="212"/>
        <v>1818</v>
      </c>
      <c r="R1129" s="12"/>
      <c r="S1129" s="12" t="str">
        <f t="shared" si="213"/>
        <v/>
      </c>
      <c r="T1129" s="12"/>
      <c r="U1129" s="12"/>
      <c r="V1129" s="12" t="str">
        <f t="shared" si="214"/>
        <v/>
      </c>
      <c r="W1129" s="12" t="s">
        <v>11104</v>
      </c>
      <c r="X1129" s="12" t="s">
        <v>11105</v>
      </c>
      <c r="Y1129" s="12"/>
      <c r="Z1129" s="12"/>
      <c r="AA1129" s="12"/>
      <c r="AB1129" s="12"/>
      <c r="AC1129" s="12"/>
      <c r="AD1129" s="12"/>
      <c r="AE1129" s="12"/>
      <c r="AF1129" s="12" t="s">
        <v>3729</v>
      </c>
      <c r="AG1129" s="12" t="s">
        <v>32</v>
      </c>
      <c r="AH1129" s="12">
        <v>1838</v>
      </c>
      <c r="AI1129" s="12" t="str">
        <f t="shared" si="215"/>
        <v>1838</v>
      </c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</row>
    <row r="1130" spans="1:71">
      <c r="A1130" s="12" t="s">
        <v>2547</v>
      </c>
      <c r="B1130" s="12" t="str">
        <f t="shared" si="207"/>
        <v>MULLER</v>
      </c>
      <c r="C1130" s="12" t="str">
        <f t="shared" si="208"/>
        <v>MULLER</v>
      </c>
      <c r="D1130" s="12" t="s">
        <v>11086</v>
      </c>
      <c r="E1130" s="12" t="str">
        <f t="shared" si="218"/>
        <v>Joseph Jurgen</v>
      </c>
      <c r="F1130" s="12" t="s">
        <v>4055</v>
      </c>
      <c r="G1130" s="12" t="str">
        <f t="shared" si="209"/>
        <v>a1b5</v>
      </c>
      <c r="H1130" s="12" t="str">
        <f t="shared" si="219"/>
        <v>MULLERa1b5</v>
      </c>
      <c r="I1130" s="12"/>
      <c r="J1130" s="12" t="s">
        <v>11087</v>
      </c>
      <c r="K1130" s="12" t="str">
        <f t="shared" si="211"/>
        <v>1812</v>
      </c>
      <c r="L1130" s="12"/>
      <c r="M1130" s="12" t="s">
        <v>11088</v>
      </c>
      <c r="N1130" s="12" t="str">
        <f t="shared" si="216"/>
        <v>1812</v>
      </c>
      <c r="O1130" s="12" t="str">
        <f t="shared" si="217"/>
        <v>1812</v>
      </c>
      <c r="P1130" s="12" t="s">
        <v>2702</v>
      </c>
      <c r="Q1130" s="12" t="str">
        <f t="shared" si="212"/>
        <v>1812</v>
      </c>
      <c r="R1130" s="12" t="s">
        <v>11089</v>
      </c>
      <c r="S1130" s="12" t="str">
        <f t="shared" si="213"/>
        <v>1836</v>
      </c>
      <c r="T1130" s="12" t="s">
        <v>32</v>
      </c>
      <c r="U1130" s="12" t="s">
        <v>11090</v>
      </c>
      <c r="V1130" s="12" t="str">
        <f t="shared" si="214"/>
        <v>1836</v>
      </c>
      <c r="W1130" s="12" t="s">
        <v>649</v>
      </c>
      <c r="X1130" s="12" t="s">
        <v>11091</v>
      </c>
      <c r="Y1130" s="12" t="s">
        <v>11092</v>
      </c>
      <c r="Z1130" s="12"/>
      <c r="AA1130" s="12"/>
      <c r="AB1130" s="12"/>
      <c r="AC1130" s="12"/>
      <c r="AD1130" s="12"/>
      <c r="AE1130" s="12"/>
      <c r="AF1130" s="12" t="s">
        <v>3726</v>
      </c>
      <c r="AG1130" s="12" t="s">
        <v>32</v>
      </c>
      <c r="AH1130" s="12" t="s">
        <v>11093</v>
      </c>
      <c r="AI1130" s="12" t="str">
        <f t="shared" si="215"/>
        <v>1838</v>
      </c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</row>
    <row r="1131" spans="1:71">
      <c r="A1131" s="12" t="s">
        <v>2547</v>
      </c>
      <c r="B1131" s="12" t="str">
        <f t="shared" si="207"/>
        <v>MULLER</v>
      </c>
      <c r="C1131" s="12" t="str">
        <f t="shared" si="208"/>
        <v>MULLER</v>
      </c>
      <c r="D1131" s="12" t="s">
        <v>1277</v>
      </c>
      <c r="E1131" s="12" t="str">
        <f t="shared" si="218"/>
        <v>Johannes Christoffel</v>
      </c>
      <c r="F1131" s="12" t="s">
        <v>11080</v>
      </c>
      <c r="G1131" s="12" t="str">
        <f t="shared" si="209"/>
        <v>a1b5c7d1e3</v>
      </c>
      <c r="H1131" s="12" t="str">
        <f t="shared" si="219"/>
        <v>MULLERa1b5c7d1e3</v>
      </c>
      <c r="I1131" s="12"/>
      <c r="J1131" s="12"/>
      <c r="K1131" s="12" t="str">
        <f t="shared" si="211"/>
        <v/>
      </c>
      <c r="L1131" s="12" t="s">
        <v>74</v>
      </c>
      <c r="M1131" s="12" t="s">
        <v>11081</v>
      </c>
      <c r="N1131" s="12" t="str">
        <f t="shared" si="216"/>
        <v/>
      </c>
      <c r="O1131" s="12" t="str">
        <f t="shared" si="217"/>
        <v>1813</v>
      </c>
      <c r="P1131" s="12"/>
      <c r="Q1131" s="12" t="str">
        <f t="shared" si="212"/>
        <v>1813</v>
      </c>
      <c r="R1131" s="12"/>
      <c r="S1131" s="12" t="str">
        <f t="shared" si="213"/>
        <v/>
      </c>
      <c r="T1131" s="12" t="s">
        <v>5146</v>
      </c>
      <c r="U1131" s="12" t="s">
        <v>11082</v>
      </c>
      <c r="V1131" s="12" t="str">
        <f t="shared" si="214"/>
        <v>1840</v>
      </c>
      <c r="W1131" s="12" t="s">
        <v>2283</v>
      </c>
      <c r="X1131" s="12" t="s">
        <v>726</v>
      </c>
      <c r="Y1131" s="12" t="s">
        <v>11083</v>
      </c>
      <c r="Z1131" s="12"/>
      <c r="AA1131" s="12"/>
      <c r="AB1131" s="12"/>
      <c r="AC1131" s="12"/>
      <c r="AD1131" s="12"/>
      <c r="AE1131" s="12"/>
      <c r="AF1131" s="12" t="s">
        <v>3706</v>
      </c>
      <c r="AG1131" s="12" t="s">
        <v>68</v>
      </c>
      <c r="AH1131" s="12" t="s">
        <v>503</v>
      </c>
      <c r="AI1131" s="12" t="str">
        <f t="shared" si="215"/>
        <v>1837</v>
      </c>
      <c r="AJ1131" s="12" t="s">
        <v>277</v>
      </c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</row>
    <row r="1132" spans="1:71">
      <c r="A1132" s="12" t="s">
        <v>2547</v>
      </c>
      <c r="B1132" s="12" t="str">
        <f t="shared" si="207"/>
        <v>MULLER</v>
      </c>
      <c r="C1132" s="12" t="str">
        <f t="shared" si="208"/>
        <v>MULLER</v>
      </c>
      <c r="D1132" s="12" t="s">
        <v>11068</v>
      </c>
      <c r="E1132" s="12" t="str">
        <f t="shared" si="218"/>
        <v>Coert Jacobus</v>
      </c>
      <c r="F1132" s="12" t="s">
        <v>10896</v>
      </c>
      <c r="G1132" s="12" t="str">
        <f t="shared" si="209"/>
        <v>a1b5c7d1e4</v>
      </c>
      <c r="H1132" s="12" t="str">
        <f t="shared" si="219"/>
        <v>MULLERa1b5c7d1e4</v>
      </c>
      <c r="I1132" s="12"/>
      <c r="J1132" s="12" t="s">
        <v>11069</v>
      </c>
      <c r="K1132" s="12" t="str">
        <f t="shared" si="211"/>
        <v>1817</v>
      </c>
      <c r="L1132" s="12" t="s">
        <v>74</v>
      </c>
      <c r="M1132" s="12" t="s">
        <v>11070</v>
      </c>
      <c r="N1132" s="12" t="str">
        <f t="shared" si="216"/>
        <v>1817</v>
      </c>
      <c r="O1132" s="12" t="str">
        <f t="shared" si="217"/>
        <v>1817</v>
      </c>
      <c r="P1132" s="12"/>
      <c r="Q1132" s="12" t="str">
        <f t="shared" si="212"/>
        <v>1817</v>
      </c>
      <c r="R1132" s="12"/>
      <c r="S1132" s="12" t="str">
        <f t="shared" si="213"/>
        <v/>
      </c>
      <c r="T1132" s="12" t="s">
        <v>28</v>
      </c>
      <c r="U1132" s="12" t="s">
        <v>281</v>
      </c>
      <c r="V1132" s="12" t="str">
        <f t="shared" si="214"/>
        <v>1836</v>
      </c>
      <c r="W1132" s="12" t="s">
        <v>11071</v>
      </c>
      <c r="X1132" s="12" t="s">
        <v>1109</v>
      </c>
      <c r="Y1132" s="12"/>
      <c r="Z1132" s="12"/>
      <c r="AA1132" s="12"/>
      <c r="AB1132" s="12"/>
      <c r="AC1132" s="12"/>
      <c r="AD1132" s="12"/>
      <c r="AE1132" s="12"/>
      <c r="AF1132" s="12" t="s">
        <v>3706</v>
      </c>
      <c r="AG1132" s="12" t="s">
        <v>68</v>
      </c>
      <c r="AH1132" s="12" t="s">
        <v>503</v>
      </c>
      <c r="AI1132" s="12" t="str">
        <f t="shared" si="215"/>
        <v>1837</v>
      </c>
      <c r="AJ1132" s="12" t="s">
        <v>277</v>
      </c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</row>
    <row r="1133" spans="1:71">
      <c r="A1133" s="12" t="s">
        <v>2547</v>
      </c>
      <c r="B1133" s="12" t="str">
        <f t="shared" si="207"/>
        <v>MULLER</v>
      </c>
      <c r="C1133" s="12" t="str">
        <f t="shared" si="208"/>
        <v>MULLER</v>
      </c>
      <c r="D1133" s="12" t="s">
        <v>1268</v>
      </c>
      <c r="E1133" s="12" t="str">
        <f t="shared" si="218"/>
        <v>Johannes Christiaan</v>
      </c>
      <c r="F1133" s="12" t="s">
        <v>11072</v>
      </c>
      <c r="G1133" s="12" t="str">
        <f t="shared" si="209"/>
        <v>a1b5c7d4</v>
      </c>
      <c r="H1133" s="12" t="str">
        <f t="shared" si="219"/>
        <v>MULLERa1b5c7d4</v>
      </c>
      <c r="I1133" s="12"/>
      <c r="J1133" s="12" t="s">
        <v>11073</v>
      </c>
      <c r="K1133" s="12" t="str">
        <f t="shared" si="211"/>
        <v>1791</v>
      </c>
      <c r="L1133" s="12"/>
      <c r="M1133" s="12"/>
      <c r="N1133" s="12" t="str">
        <f t="shared" si="216"/>
        <v>1791</v>
      </c>
      <c r="O1133" s="12" t="str">
        <f t="shared" si="217"/>
        <v/>
      </c>
      <c r="P1133" s="12"/>
      <c r="Q1133" s="12" t="str">
        <f t="shared" si="212"/>
        <v>1791</v>
      </c>
      <c r="R1133" s="12"/>
      <c r="S1133" s="12" t="str">
        <f t="shared" si="213"/>
        <v/>
      </c>
      <c r="T1133" s="12" t="s">
        <v>28</v>
      </c>
      <c r="U1133" s="12" t="s">
        <v>11074</v>
      </c>
      <c r="V1133" s="12" t="str">
        <f t="shared" si="214"/>
        <v>1821</v>
      </c>
      <c r="W1133" s="12" t="s">
        <v>11075</v>
      </c>
      <c r="X1133" s="12" t="s">
        <v>776</v>
      </c>
      <c r="Y1133" s="12"/>
      <c r="Z1133" s="12"/>
      <c r="AA1133" s="12"/>
      <c r="AB1133" s="12"/>
      <c r="AC1133" s="12"/>
      <c r="AD1133" s="12"/>
      <c r="AE1133" s="12"/>
      <c r="AF1133" s="12" t="s">
        <v>3699</v>
      </c>
      <c r="AG1133" s="12" t="s">
        <v>68</v>
      </c>
      <c r="AH1133" s="12" t="s">
        <v>11076</v>
      </c>
      <c r="AI1133" s="12" t="str">
        <f t="shared" si="215"/>
        <v>1837</v>
      </c>
      <c r="AJ1133" s="12" t="s">
        <v>277</v>
      </c>
      <c r="AK1133" s="12"/>
      <c r="AL1133" s="12" t="s">
        <v>28</v>
      </c>
      <c r="AM1133" s="12" t="s">
        <v>11077</v>
      </c>
      <c r="AN1133" s="12" t="s">
        <v>1982</v>
      </c>
      <c r="AO1133" s="12" t="s">
        <v>2138</v>
      </c>
      <c r="AP1133" s="12" t="s">
        <v>11078</v>
      </c>
      <c r="AQ1133" s="12"/>
      <c r="AR1133" s="12" t="s">
        <v>11079</v>
      </c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</row>
    <row r="1134" spans="1:71">
      <c r="A1134" s="12" t="s">
        <v>1771</v>
      </c>
      <c r="B1134" s="12" t="str">
        <f t="shared" si="207"/>
        <v>MYBURGH</v>
      </c>
      <c r="C1134" s="12" t="str">
        <f t="shared" si="208"/>
        <v>MYBURGH</v>
      </c>
      <c r="D1134" s="12" t="s">
        <v>1203</v>
      </c>
      <c r="E1134" s="12" t="str">
        <f t="shared" si="218"/>
        <v>Jacobus</v>
      </c>
      <c r="F1134" s="12" t="s">
        <v>854</v>
      </c>
      <c r="G1134" s="12" t="str">
        <f t="shared" si="209"/>
        <v>a1b2c5d4e2</v>
      </c>
      <c r="H1134" s="12" t="str">
        <f t="shared" si="219"/>
        <v>MYBURGHa1b2c5d4e2</v>
      </c>
      <c r="I1134" s="12"/>
      <c r="J1134" s="12" t="s">
        <v>11110</v>
      </c>
      <c r="K1134" s="12" t="str">
        <f t="shared" si="211"/>
        <v>1783</v>
      </c>
      <c r="L1134" s="12"/>
      <c r="M1134" s="12"/>
      <c r="N1134" s="12" t="str">
        <f t="shared" si="216"/>
        <v>1783</v>
      </c>
      <c r="O1134" s="12" t="str">
        <f t="shared" si="217"/>
        <v/>
      </c>
      <c r="P1134" s="12"/>
      <c r="Q1134" s="12" t="str">
        <f t="shared" si="212"/>
        <v>1783</v>
      </c>
      <c r="R1134" s="12"/>
      <c r="S1134" s="12" t="str">
        <f t="shared" si="213"/>
        <v/>
      </c>
      <c r="T1134" s="12" t="s">
        <v>48</v>
      </c>
      <c r="U1134" s="12" t="s">
        <v>11111</v>
      </c>
      <c r="V1134" s="12" t="str">
        <f t="shared" si="214"/>
        <v>1802</v>
      </c>
      <c r="W1134" s="12" t="s">
        <v>11112</v>
      </c>
      <c r="X1134" s="12" t="s">
        <v>1453</v>
      </c>
      <c r="Y1134" s="12"/>
      <c r="Z1134" s="12"/>
      <c r="AA1134" s="12"/>
      <c r="AB1134" s="12"/>
      <c r="AC1134" s="12"/>
      <c r="AD1134" s="12" t="s">
        <v>9326</v>
      </c>
      <c r="AE1134" s="12" t="s">
        <v>11113</v>
      </c>
      <c r="AF1134" s="12"/>
      <c r="AG1134" s="12" t="s">
        <v>11114</v>
      </c>
      <c r="AH1134" s="12" t="s">
        <v>11115</v>
      </c>
      <c r="AI1134" s="12" t="str">
        <f t="shared" si="215"/>
        <v>1845</v>
      </c>
      <c r="AJ1134" s="12"/>
      <c r="AK1134" s="12" t="s">
        <v>551</v>
      </c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</row>
    <row r="1135" spans="1:71">
      <c r="A1135" s="12" t="s">
        <v>1771</v>
      </c>
      <c r="B1135" s="12" t="str">
        <f t="shared" si="207"/>
        <v>MYBURGH</v>
      </c>
      <c r="C1135" s="12" t="str">
        <f t="shared" si="208"/>
        <v>MYBURGH</v>
      </c>
      <c r="D1135" s="12" t="s">
        <v>11106</v>
      </c>
      <c r="E1135" s="12" t="str">
        <f t="shared" si="218"/>
        <v>Gerrit Albertus</v>
      </c>
      <c r="F1135" s="12" t="s">
        <v>11107</v>
      </c>
      <c r="G1135" s="12" t="str">
        <f t="shared" si="209"/>
        <v>a1b2c5d4e2f2</v>
      </c>
      <c r="H1135" s="12" t="str">
        <f t="shared" si="219"/>
        <v>MYBURGHa1b2c5d4e2f2</v>
      </c>
      <c r="I1135" s="12"/>
      <c r="J1135" s="12" t="s">
        <v>11102</v>
      </c>
      <c r="K1135" s="12" t="str">
        <f t="shared" si="211"/>
        <v>1818</v>
      </c>
      <c r="L1135" s="12" t="s">
        <v>32</v>
      </c>
      <c r="M1135" s="12" t="s">
        <v>11103</v>
      </c>
      <c r="N1135" s="12" t="str">
        <f t="shared" si="216"/>
        <v>1818</v>
      </c>
      <c r="O1135" s="12" t="str">
        <f t="shared" si="217"/>
        <v>1818</v>
      </c>
      <c r="P1135" s="12"/>
      <c r="Q1135" s="12" t="str">
        <f t="shared" si="212"/>
        <v>1818</v>
      </c>
      <c r="R1135" s="12"/>
      <c r="S1135" s="12" t="str">
        <f t="shared" si="213"/>
        <v/>
      </c>
      <c r="T1135" s="12"/>
      <c r="U1135" s="12"/>
      <c r="V1135" s="12" t="str">
        <f t="shared" si="214"/>
        <v/>
      </c>
      <c r="W1135" s="12" t="s">
        <v>11108</v>
      </c>
      <c r="X1135" s="12" t="s">
        <v>11105</v>
      </c>
      <c r="Y1135" s="12"/>
      <c r="Z1135" s="12"/>
      <c r="AA1135" s="12"/>
      <c r="AB1135" s="12"/>
      <c r="AC1135" s="12"/>
      <c r="AD1135" s="12"/>
      <c r="AE1135" s="12"/>
      <c r="AF1135" s="12" t="s">
        <v>11109</v>
      </c>
      <c r="AG1135" s="12" t="s">
        <v>32</v>
      </c>
      <c r="AH1135" s="12">
        <v>1838</v>
      </c>
      <c r="AI1135" s="12" t="str">
        <f t="shared" si="215"/>
        <v>1838</v>
      </c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</row>
    <row r="1136" spans="1:71">
      <c r="A1136" s="12" t="s">
        <v>1771</v>
      </c>
      <c r="B1136" s="12" t="str">
        <f t="shared" si="207"/>
        <v>MYBURGH</v>
      </c>
      <c r="C1136" s="12" t="str">
        <f t="shared" si="208"/>
        <v>MYBURGH</v>
      </c>
      <c r="D1136" s="12" t="s">
        <v>2140</v>
      </c>
      <c r="E1136" s="12" t="str">
        <f t="shared" si="218"/>
        <v>Jacobus Johannes</v>
      </c>
      <c r="F1136" s="12" t="s">
        <v>11116</v>
      </c>
      <c r="G1136" s="12" t="str">
        <f t="shared" si="209"/>
        <v>a1b2c5d4e2f6</v>
      </c>
      <c r="H1136" s="12" t="str">
        <f t="shared" si="219"/>
        <v>MYBURGHa1b2c5d4e2f6</v>
      </c>
      <c r="I1136" s="12"/>
      <c r="J1136" s="12" t="s">
        <v>11117</v>
      </c>
      <c r="K1136" s="12" t="str">
        <f t="shared" si="211"/>
        <v>1814</v>
      </c>
      <c r="L1136" s="12" t="s">
        <v>74</v>
      </c>
      <c r="M1136" s="12" t="s">
        <v>6949</v>
      </c>
      <c r="N1136" s="12" t="str">
        <f t="shared" si="216"/>
        <v>1814</v>
      </c>
      <c r="O1136" s="12" t="str">
        <f t="shared" si="217"/>
        <v>1815</v>
      </c>
      <c r="P1136" s="12"/>
      <c r="Q1136" s="12" t="str">
        <f t="shared" si="212"/>
        <v>1814</v>
      </c>
      <c r="R1136" s="12"/>
      <c r="S1136" s="12" t="str">
        <f t="shared" si="213"/>
        <v/>
      </c>
      <c r="T1136" s="12" t="s">
        <v>28</v>
      </c>
      <c r="U1136" s="12" t="s">
        <v>11118</v>
      </c>
      <c r="V1136" s="12" t="str">
        <f t="shared" si="214"/>
        <v>1834</v>
      </c>
      <c r="W1136" s="12" t="s">
        <v>1881</v>
      </c>
      <c r="X1136" s="12" t="s">
        <v>729</v>
      </c>
      <c r="Y1136" s="12"/>
      <c r="Z1136" s="12"/>
      <c r="AA1136" s="12"/>
      <c r="AB1136" s="12"/>
      <c r="AC1136" s="12"/>
      <c r="AD1136" s="12"/>
      <c r="AE1136" s="12"/>
      <c r="AF1136" s="12"/>
      <c r="AG1136" s="12" t="s">
        <v>28</v>
      </c>
      <c r="AH1136" s="12" t="s">
        <v>11115</v>
      </c>
      <c r="AI1136" s="12" t="str">
        <f t="shared" si="215"/>
        <v>1845</v>
      </c>
      <c r="AJ1136" s="12"/>
      <c r="AK1136" s="12" t="s">
        <v>551</v>
      </c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</row>
    <row r="1137" spans="1:71">
      <c r="A1137" s="12" t="s">
        <v>1771</v>
      </c>
      <c r="B1137" s="12" t="str">
        <f t="shared" si="207"/>
        <v>MYBURGH</v>
      </c>
      <c r="C1137" s="12" t="str">
        <f t="shared" si="208"/>
        <v>MYBURGH</v>
      </c>
      <c r="D1137" s="12" t="s">
        <v>11119</v>
      </c>
      <c r="E1137" s="12" t="str">
        <f t="shared" si="218"/>
        <v>Phillipus Arnoldus</v>
      </c>
      <c r="F1137" s="12" t="s">
        <v>11120</v>
      </c>
      <c r="G1137" s="12" t="str">
        <f t="shared" si="209"/>
        <v>a1b2c5d4e2f8</v>
      </c>
      <c r="H1137" s="12" t="str">
        <f t="shared" si="219"/>
        <v>MYBURGHa1b2c5d4e2f8</v>
      </c>
      <c r="I1137" s="12"/>
      <c r="J1137" s="12" t="s">
        <v>11121</v>
      </c>
      <c r="K1137" s="12" t="str">
        <f t="shared" si="211"/>
        <v>1818</v>
      </c>
      <c r="L1137" s="12" t="s">
        <v>28</v>
      </c>
      <c r="M1137" s="12" t="s">
        <v>11122</v>
      </c>
      <c r="N1137" s="12" t="str">
        <f t="shared" si="216"/>
        <v>1818</v>
      </c>
      <c r="O1137" s="12" t="str">
        <f t="shared" si="217"/>
        <v>1818</v>
      </c>
      <c r="P1137" s="12"/>
      <c r="Q1137" s="12" t="str">
        <f t="shared" si="212"/>
        <v>1818</v>
      </c>
      <c r="R1137" s="12"/>
      <c r="S1137" s="12" t="str">
        <f t="shared" si="213"/>
        <v/>
      </c>
      <c r="T1137" s="12" t="s">
        <v>60</v>
      </c>
      <c r="U1137" s="12" t="s">
        <v>11123</v>
      </c>
      <c r="V1137" s="12" t="str">
        <f t="shared" si="214"/>
        <v>1838</v>
      </c>
      <c r="W1137" s="12" t="s">
        <v>1135</v>
      </c>
      <c r="X1137" s="12" t="s">
        <v>7153</v>
      </c>
      <c r="Y1137" s="12"/>
      <c r="Z1137" s="12"/>
      <c r="AA1137" s="12"/>
      <c r="AB1137" s="12"/>
      <c r="AC1137" s="12"/>
      <c r="AD1137" s="12"/>
      <c r="AE1137" s="12"/>
      <c r="AF1137" s="12"/>
      <c r="AG1137" s="12" t="s">
        <v>11124</v>
      </c>
      <c r="AH1137" s="12" t="s">
        <v>11115</v>
      </c>
      <c r="AI1137" s="12" t="str">
        <f t="shared" si="215"/>
        <v>1845</v>
      </c>
      <c r="AJ1137" s="12"/>
      <c r="AK1137" s="12" t="s">
        <v>551</v>
      </c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</row>
    <row r="1138" spans="1:71">
      <c r="A1138" s="12" t="s">
        <v>3115</v>
      </c>
      <c r="B1138" s="12" t="str">
        <f t="shared" si="207"/>
        <v>MYNHARDT</v>
      </c>
      <c r="C1138" s="12" t="str">
        <f t="shared" si="208"/>
        <v>MYNHARDT</v>
      </c>
      <c r="D1138" s="12" t="s">
        <v>4749</v>
      </c>
      <c r="E1138" s="12" t="str">
        <f t="shared" si="218"/>
        <v>Marthinus Gerhardus</v>
      </c>
      <c r="F1138" s="12" t="s">
        <v>3998</v>
      </c>
      <c r="G1138" s="12" t="str">
        <f t="shared" si="209"/>
        <v>a1b1c1d2</v>
      </c>
      <c r="H1138" s="12" t="str">
        <f t="shared" si="219"/>
        <v>MYNHARDTa1b1c1d2</v>
      </c>
      <c r="I1138" s="12"/>
      <c r="J1138" s="12" t="s">
        <v>11129</v>
      </c>
      <c r="K1138" s="12" t="str">
        <f t="shared" si="211"/>
        <v>1807</v>
      </c>
      <c r="L1138" s="12" t="s">
        <v>74</v>
      </c>
      <c r="M1138" s="12" t="s">
        <v>11130</v>
      </c>
      <c r="N1138" s="12" t="str">
        <f t="shared" si="216"/>
        <v>1807</v>
      </c>
      <c r="O1138" s="12" t="str">
        <f t="shared" si="217"/>
        <v>1807</v>
      </c>
      <c r="P1138" s="12" t="s">
        <v>2877</v>
      </c>
      <c r="Q1138" s="12" t="str">
        <f t="shared" si="212"/>
        <v>1807</v>
      </c>
      <c r="R1138" s="12" t="s">
        <v>11131</v>
      </c>
      <c r="S1138" s="12" t="str">
        <f t="shared" si="213"/>
        <v>1857</v>
      </c>
      <c r="T1138" s="12" t="s">
        <v>68</v>
      </c>
      <c r="U1138" s="12" t="s">
        <v>11132</v>
      </c>
      <c r="V1138" s="12" t="str">
        <f t="shared" si="214"/>
        <v>1829</v>
      </c>
      <c r="W1138" s="12" t="s">
        <v>11133</v>
      </c>
      <c r="X1138" s="12" t="s">
        <v>694</v>
      </c>
      <c r="Y1138" s="12"/>
      <c r="Z1138" s="12"/>
      <c r="AA1138" s="12"/>
      <c r="AB1138" s="12"/>
      <c r="AC1138" s="12" t="s">
        <v>11134</v>
      </c>
      <c r="AD1138" s="12" t="s">
        <v>68</v>
      </c>
      <c r="AE1138" s="12" t="s">
        <v>11135</v>
      </c>
      <c r="AF1138" s="12" t="s">
        <v>3699</v>
      </c>
      <c r="AG1138" s="12" t="s">
        <v>68</v>
      </c>
      <c r="AH1138" s="12" t="s">
        <v>385</v>
      </c>
      <c r="AI1138" s="12" t="str">
        <f t="shared" si="215"/>
        <v>1840</v>
      </c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</row>
    <row r="1139" spans="1:71">
      <c r="A1139" s="12" t="s">
        <v>3115</v>
      </c>
      <c r="B1139" s="12" t="str">
        <f t="shared" si="207"/>
        <v>MYNHARDT</v>
      </c>
      <c r="C1139" s="12" t="str">
        <f t="shared" si="208"/>
        <v>MYNHARDT</v>
      </c>
      <c r="D1139" s="12" t="s">
        <v>11125</v>
      </c>
      <c r="E1139" s="12" t="str">
        <f t="shared" si="218"/>
        <v>Maria Magdalena Elizabeth (Mieta)</v>
      </c>
      <c r="F1139" s="12" t="s">
        <v>3278</v>
      </c>
      <c r="G1139" s="12" t="str">
        <f t="shared" si="209"/>
        <v>a1b1c5</v>
      </c>
      <c r="H1139" s="12" t="str">
        <f t="shared" si="219"/>
        <v>MYNHARDTa1b1c5</v>
      </c>
      <c r="I1139" s="12"/>
      <c r="J1139" s="12"/>
      <c r="K1139" s="12" t="str">
        <f t="shared" si="211"/>
        <v/>
      </c>
      <c r="L1139" s="12"/>
      <c r="M1139" s="12"/>
      <c r="N1139" s="12" t="str">
        <f t="shared" si="216"/>
        <v/>
      </c>
      <c r="O1139" s="12" t="str">
        <f t="shared" si="217"/>
        <v/>
      </c>
      <c r="P1139" s="12"/>
      <c r="Q1139" s="12" t="str">
        <f t="shared" si="212"/>
        <v/>
      </c>
      <c r="R1139" s="12"/>
      <c r="S1139" s="12" t="str">
        <f t="shared" si="213"/>
        <v/>
      </c>
      <c r="T1139" s="12"/>
      <c r="U1139" s="12"/>
      <c r="V1139" s="12" t="str">
        <f t="shared" si="214"/>
        <v/>
      </c>
      <c r="W1139" s="12" t="s">
        <v>4304</v>
      </c>
      <c r="X1139" s="12" t="s">
        <v>2589</v>
      </c>
      <c r="Y1139" s="12" t="s">
        <v>11126</v>
      </c>
      <c r="Z1139" s="12"/>
      <c r="AA1139" s="12"/>
      <c r="AB1139" s="12"/>
      <c r="AC1139" s="12" t="s">
        <v>11127</v>
      </c>
      <c r="AD1139" s="12"/>
      <c r="AE1139" s="12"/>
      <c r="AF1139" s="12"/>
      <c r="AG1139" s="12"/>
      <c r="AH1139" s="12" t="s">
        <v>11128</v>
      </c>
      <c r="AI1139" s="12" t="str">
        <f t="shared" si="215"/>
        <v>1836</v>
      </c>
      <c r="AJ1139" s="12" t="s">
        <v>379</v>
      </c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</row>
    <row r="1140" spans="1:71">
      <c r="A1140" s="12" t="s">
        <v>635</v>
      </c>
      <c r="B1140" s="12" t="str">
        <f t="shared" ref="B1140:B1203" si="220">SUBSTITUTE(A1140," ","")</f>
        <v>NAGEL</v>
      </c>
      <c r="C1140" s="12" t="str">
        <f t="shared" ref="C1140:C1203" si="221">TRIM(A1140)</f>
        <v>NAGEL</v>
      </c>
      <c r="D1140" s="12" t="s">
        <v>1882</v>
      </c>
      <c r="E1140" s="12" t="str">
        <f t="shared" si="218"/>
        <v>Rudolph Johannes</v>
      </c>
      <c r="F1140" s="12" t="s">
        <v>4348</v>
      </c>
      <c r="G1140" s="12" t="str">
        <f t="shared" ref="G1140:G1203" si="222">IF(LEFT(F1140,1)="b","a1"&amp;F1140,F1140)</f>
        <v>a1b6c1</v>
      </c>
      <c r="H1140" s="12" t="str">
        <f t="shared" ref="H1140:H1203" si="223">C1140&amp;G1140</f>
        <v>NAGELa1b6c1</v>
      </c>
      <c r="I1140" s="12"/>
      <c r="J1140" s="12">
        <v>1795</v>
      </c>
      <c r="K1140" s="12" t="str">
        <f t="shared" ref="K1140:K1203" si="224">RIGHT(J1140,4)</f>
        <v>1795</v>
      </c>
      <c r="L1140" s="12" t="s">
        <v>48</v>
      </c>
      <c r="M1140" s="12" t="s">
        <v>11141</v>
      </c>
      <c r="N1140" s="12" t="str">
        <f t="shared" si="216"/>
        <v>1795</v>
      </c>
      <c r="O1140" s="12" t="str">
        <f t="shared" si="217"/>
        <v>1801</v>
      </c>
      <c r="P1140" s="12"/>
      <c r="Q1140" s="12" t="str">
        <f t="shared" ref="Q1140:Q1203" si="225">IF(N1140="",O1140,N1140)</f>
        <v>1795</v>
      </c>
      <c r="R1140" s="12"/>
      <c r="S1140" s="12" t="str">
        <f t="shared" ref="S1140:S1203" si="226">RIGHT(R1140,4)</f>
        <v/>
      </c>
      <c r="T1140" s="12" t="s">
        <v>74</v>
      </c>
      <c r="U1140" s="12" t="s">
        <v>11142</v>
      </c>
      <c r="V1140" s="12" t="str">
        <f t="shared" ref="V1140:V1203" si="227">RIGHT(U1140,4)</f>
        <v>1817</v>
      </c>
      <c r="W1140" s="12" t="s">
        <v>1387</v>
      </c>
      <c r="X1140" s="12" t="s">
        <v>786</v>
      </c>
      <c r="Y1140" s="12"/>
      <c r="Z1140" s="12"/>
      <c r="AA1140" s="12"/>
      <c r="AB1140" s="12"/>
      <c r="AC1140" s="12"/>
      <c r="AD1140" s="12"/>
      <c r="AE1140" s="12"/>
      <c r="AF1140" s="12"/>
      <c r="AG1140" s="12" t="s">
        <v>11143</v>
      </c>
      <c r="AH1140" s="12" t="s">
        <v>5471</v>
      </c>
      <c r="AI1140" s="12" t="str">
        <f t="shared" ref="AI1140:AI1203" si="228">RIGHT(AH1140,4)</f>
        <v>1842</v>
      </c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</row>
    <row r="1141" spans="1:71">
      <c r="A1141" s="12" t="s">
        <v>635</v>
      </c>
      <c r="B1141" s="12" t="str">
        <f t="shared" si="220"/>
        <v>NAGEL</v>
      </c>
      <c r="C1141" s="12" t="str">
        <f t="shared" si="221"/>
        <v>NAGEL</v>
      </c>
      <c r="D1141" s="12" t="s">
        <v>11136</v>
      </c>
      <c r="E1141" s="12" t="str">
        <f t="shared" si="218"/>
        <v>Frederik Christiaan (Pieter)</v>
      </c>
      <c r="F1141" s="12" t="s">
        <v>1787</v>
      </c>
      <c r="G1141" s="12" t="str">
        <f t="shared" si="222"/>
        <v>a1b6c4</v>
      </c>
      <c r="H1141" s="12" t="str">
        <f t="shared" si="223"/>
        <v>NAGELa1b6c4</v>
      </c>
      <c r="I1141" s="12"/>
      <c r="J1141" s="12" t="s">
        <v>11137</v>
      </c>
      <c r="K1141" s="12" t="str">
        <f t="shared" si="224"/>
        <v>1805</v>
      </c>
      <c r="L1141" s="12" t="s">
        <v>74</v>
      </c>
      <c r="M1141" s="12" t="s">
        <v>10375</v>
      </c>
      <c r="N1141" s="12" t="str">
        <f t="shared" si="216"/>
        <v>1805</v>
      </c>
      <c r="O1141" s="12" t="str">
        <f t="shared" si="217"/>
        <v>1806</v>
      </c>
      <c r="P1141" s="12"/>
      <c r="Q1141" s="12" t="str">
        <f t="shared" si="225"/>
        <v>1805</v>
      </c>
      <c r="R1141" s="12"/>
      <c r="S1141" s="12" t="str">
        <f t="shared" si="226"/>
        <v/>
      </c>
      <c r="T1141" s="12" t="s">
        <v>74</v>
      </c>
      <c r="U1141" s="12" t="s">
        <v>11138</v>
      </c>
      <c r="V1141" s="12" t="str">
        <f t="shared" si="227"/>
        <v>1827</v>
      </c>
      <c r="W1141" s="12" t="s">
        <v>11139</v>
      </c>
      <c r="X1141" s="12" t="s">
        <v>725</v>
      </c>
      <c r="Y1141" s="12" t="s">
        <v>11140</v>
      </c>
      <c r="Z1141" s="12"/>
      <c r="AA1141" s="12" t="s">
        <v>6014</v>
      </c>
      <c r="AB1141" s="12"/>
      <c r="AC1141" s="12"/>
      <c r="AD1141" s="12"/>
      <c r="AE1141" s="12"/>
      <c r="AF1141" s="12" t="s">
        <v>3713</v>
      </c>
      <c r="AG1141" s="12" t="s">
        <v>74</v>
      </c>
      <c r="AH1141" s="12" t="s">
        <v>5471</v>
      </c>
      <c r="AI1141" s="12" t="str">
        <f t="shared" si="228"/>
        <v>1842</v>
      </c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</row>
    <row r="1142" spans="1:71">
      <c r="A1142" s="12" t="s">
        <v>11144</v>
      </c>
      <c r="B1142" s="12" t="str">
        <f t="shared" si="220"/>
        <v>NAUDÉ</v>
      </c>
      <c r="C1142" s="12" t="str">
        <f t="shared" si="221"/>
        <v>NAUDÉ</v>
      </c>
      <c r="D1142" s="12" t="s">
        <v>1948</v>
      </c>
      <c r="E1142" s="12" t="str">
        <f t="shared" si="218"/>
        <v>Schalk Willem</v>
      </c>
      <c r="F1142" s="12" t="s">
        <v>11214</v>
      </c>
      <c r="G1142" s="12" t="str">
        <f t="shared" si="222"/>
        <v>a1b1c1d13e3</v>
      </c>
      <c r="H1142" s="12" t="str">
        <f t="shared" si="223"/>
        <v>NAUDÉa1b1c1d13e3</v>
      </c>
      <c r="I1142" s="12"/>
      <c r="J1142" s="12" t="s">
        <v>11215</v>
      </c>
      <c r="K1142" s="12" t="str">
        <f t="shared" si="224"/>
        <v>1825</v>
      </c>
      <c r="L1142" s="12" t="s">
        <v>74</v>
      </c>
      <c r="M1142" s="12" t="s">
        <v>6057</v>
      </c>
      <c r="N1142" s="12" t="str">
        <f t="shared" si="216"/>
        <v>1825</v>
      </c>
      <c r="O1142" s="12" t="str">
        <f t="shared" si="217"/>
        <v>1825</v>
      </c>
      <c r="P1142" s="12" t="s">
        <v>406</v>
      </c>
      <c r="Q1142" s="12" t="str">
        <f t="shared" si="225"/>
        <v>1825</v>
      </c>
      <c r="R1142" s="12" t="s">
        <v>11216</v>
      </c>
      <c r="S1142" s="12" t="str">
        <f t="shared" si="226"/>
        <v>1882</v>
      </c>
      <c r="T1142" s="12"/>
      <c r="U1142" s="12"/>
      <c r="V1142" s="12" t="str">
        <f t="shared" si="227"/>
        <v/>
      </c>
      <c r="W1142" s="12" t="s">
        <v>10580</v>
      </c>
      <c r="X1142" s="12" t="s">
        <v>2026</v>
      </c>
      <c r="Y1142" s="12"/>
      <c r="Z1142" s="12"/>
      <c r="AA1142" s="12" t="s">
        <v>11217</v>
      </c>
      <c r="AB1142" s="12" t="s">
        <v>28</v>
      </c>
      <c r="AC1142" s="12" t="s">
        <v>11218</v>
      </c>
      <c r="AD1142" s="12"/>
      <c r="AE1142" s="12" t="s">
        <v>11219</v>
      </c>
      <c r="AF1142" s="12"/>
      <c r="AG1142" s="12" t="s">
        <v>74</v>
      </c>
      <c r="AH1142" s="12" t="s">
        <v>11220</v>
      </c>
      <c r="AI1142" s="12" t="str">
        <f t="shared" si="228"/>
        <v>1838</v>
      </c>
      <c r="AJ1142" s="12" t="s">
        <v>11221</v>
      </c>
      <c r="AK1142" s="12"/>
      <c r="AL1142" s="12" t="s">
        <v>31</v>
      </c>
      <c r="AM1142" s="12" t="s">
        <v>11222</v>
      </c>
      <c r="AN1142" s="12" t="s">
        <v>11223</v>
      </c>
      <c r="AO1142" s="12" t="s">
        <v>7927</v>
      </c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</row>
    <row r="1143" spans="1:71">
      <c r="A1143" s="12" t="s">
        <v>11144</v>
      </c>
      <c r="B1143" s="12" t="str">
        <f t="shared" si="220"/>
        <v>NAUDÉ</v>
      </c>
      <c r="C1143" s="12" t="str">
        <f t="shared" si="221"/>
        <v>NAUDÉ</v>
      </c>
      <c r="D1143" s="12" t="s">
        <v>201</v>
      </c>
      <c r="E1143" s="12" t="str">
        <f t="shared" si="218"/>
        <v>Petrus Johannes</v>
      </c>
      <c r="F1143" s="12" t="s">
        <v>11196</v>
      </c>
      <c r="G1143" s="12" t="str">
        <f t="shared" si="222"/>
        <v>a1b1c4d3</v>
      </c>
      <c r="H1143" s="12" t="str">
        <f t="shared" si="223"/>
        <v>NAUDÉa1b1c4d3</v>
      </c>
      <c r="I1143" s="12"/>
      <c r="J1143" s="12" t="s">
        <v>11197</v>
      </c>
      <c r="K1143" s="12" t="str">
        <f t="shared" si="224"/>
        <v>1784</v>
      </c>
      <c r="L1143" s="12" t="s">
        <v>542</v>
      </c>
      <c r="M1143" s="12" t="s">
        <v>11198</v>
      </c>
      <c r="N1143" s="12" t="str">
        <f t="shared" si="216"/>
        <v>1784</v>
      </c>
      <c r="O1143" s="12" t="str">
        <f t="shared" si="217"/>
        <v>1785</v>
      </c>
      <c r="P1143" s="12" t="s">
        <v>90</v>
      </c>
      <c r="Q1143" s="12" t="str">
        <f t="shared" si="225"/>
        <v>1784</v>
      </c>
      <c r="R1143" s="12" t="s">
        <v>11199</v>
      </c>
      <c r="S1143" s="12" t="str">
        <f t="shared" si="226"/>
        <v>1841</v>
      </c>
      <c r="T1143" s="12"/>
      <c r="U1143" s="12"/>
      <c r="V1143" s="12" t="str">
        <f t="shared" si="227"/>
        <v/>
      </c>
      <c r="W1143" s="12" t="s">
        <v>3327</v>
      </c>
      <c r="X1143" s="12" t="s">
        <v>781</v>
      </c>
      <c r="Y1143" s="12"/>
      <c r="Z1143" s="12"/>
      <c r="AA1143" s="12"/>
      <c r="AB1143" s="12"/>
      <c r="AC1143" s="12"/>
      <c r="AD1143" s="12"/>
      <c r="AE1143" s="12"/>
      <c r="AF1143" s="12" t="s">
        <v>3721</v>
      </c>
      <c r="AG1143" s="12" t="s">
        <v>395</v>
      </c>
      <c r="AH1143" s="12" t="s">
        <v>11174</v>
      </c>
      <c r="AI1143" s="12" t="str">
        <f t="shared" si="228"/>
        <v>1838</v>
      </c>
      <c r="AJ1143" s="12" t="s">
        <v>11200</v>
      </c>
      <c r="AK1143" s="12" t="s">
        <v>90</v>
      </c>
      <c r="AL1143" s="12" t="s">
        <v>395</v>
      </c>
      <c r="AM1143" s="12" t="s">
        <v>11201</v>
      </c>
      <c r="AN1143" s="12" t="s">
        <v>2137</v>
      </c>
      <c r="AO1143" s="12" t="s">
        <v>618</v>
      </c>
      <c r="AP1143" s="12" t="s">
        <v>11202</v>
      </c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</row>
    <row r="1144" spans="1:71">
      <c r="A1144" s="12" t="s">
        <v>11144</v>
      </c>
      <c r="B1144" s="12" t="str">
        <f t="shared" si="220"/>
        <v>NAUDÉ</v>
      </c>
      <c r="C1144" s="12" t="str">
        <f t="shared" si="221"/>
        <v>NAUDÉ</v>
      </c>
      <c r="D1144" s="12" t="s">
        <v>6271</v>
      </c>
      <c r="E1144" s="12" t="str">
        <f t="shared" si="218"/>
        <v>Gerrit Jacobus</v>
      </c>
      <c r="F1144" s="12" t="s">
        <v>11168</v>
      </c>
      <c r="G1144" s="12" t="str">
        <f t="shared" si="222"/>
        <v>a1b1c4d3e1</v>
      </c>
      <c r="H1144" s="12" t="str">
        <f t="shared" si="223"/>
        <v>NAUDÉa1b1c4d3e1</v>
      </c>
      <c r="I1144" s="12"/>
      <c r="J1144" s="12" t="s">
        <v>11169</v>
      </c>
      <c r="K1144" s="12" t="str">
        <f t="shared" si="224"/>
        <v>1809</v>
      </c>
      <c r="L1144" s="12" t="s">
        <v>542</v>
      </c>
      <c r="M1144" s="12" t="s">
        <v>11170</v>
      </c>
      <c r="N1144" s="12" t="str">
        <f t="shared" si="216"/>
        <v>1809</v>
      </c>
      <c r="O1144" s="12" t="str">
        <f t="shared" si="217"/>
        <v>1810</v>
      </c>
      <c r="P1144" s="12" t="s">
        <v>5146</v>
      </c>
      <c r="Q1144" s="12" t="str">
        <f t="shared" si="225"/>
        <v>1809</v>
      </c>
      <c r="R1144" s="12" t="s">
        <v>11171</v>
      </c>
      <c r="S1144" s="12" t="str">
        <f t="shared" si="226"/>
        <v>1890</v>
      </c>
      <c r="T1144" s="12" t="s">
        <v>395</v>
      </c>
      <c r="U1144" s="12" t="s">
        <v>11172</v>
      </c>
      <c r="V1144" s="12" t="str">
        <f t="shared" si="227"/>
        <v>1830</v>
      </c>
      <c r="W1144" s="12" t="s">
        <v>11173</v>
      </c>
      <c r="X1144" s="12" t="s">
        <v>781</v>
      </c>
      <c r="Y1144" s="12"/>
      <c r="Z1144" s="12"/>
      <c r="AA1144" s="12"/>
      <c r="AB1144" s="12"/>
      <c r="AC1144" s="12"/>
      <c r="AD1144" s="12"/>
      <c r="AE1144" s="12"/>
      <c r="AF1144" s="12" t="s">
        <v>3721</v>
      </c>
      <c r="AG1144" s="12" t="s">
        <v>395</v>
      </c>
      <c r="AH1144" s="12" t="s">
        <v>11174</v>
      </c>
      <c r="AI1144" s="12" t="str">
        <f t="shared" si="228"/>
        <v>1838</v>
      </c>
      <c r="AJ1144" s="12"/>
      <c r="AK1144" s="12"/>
      <c r="AL1144" s="12"/>
      <c r="AM1144" s="12" t="s">
        <v>11175</v>
      </c>
      <c r="AN1144" s="12" t="s">
        <v>1891</v>
      </c>
      <c r="AO1144" s="12" t="s">
        <v>2222</v>
      </c>
      <c r="AP1144" s="12" t="s">
        <v>5094</v>
      </c>
      <c r="AQ1144" s="12"/>
      <c r="AR1144" s="12"/>
      <c r="AS1144" s="12"/>
      <c r="AT1144" s="12"/>
      <c r="AU1144" s="12"/>
      <c r="AV1144" s="12"/>
      <c r="AW1144" s="12"/>
      <c r="AX1144" s="12" t="s">
        <v>11176</v>
      </c>
      <c r="AY1144" s="12" t="s">
        <v>11177</v>
      </c>
      <c r="AZ1144" s="12" t="s">
        <v>631</v>
      </c>
      <c r="BA1144" s="12" t="s">
        <v>11178</v>
      </c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</row>
    <row r="1145" spans="1:71">
      <c r="A1145" s="12" t="s">
        <v>11144</v>
      </c>
      <c r="B1145" s="12" t="str">
        <f t="shared" si="220"/>
        <v>NAUDÉ</v>
      </c>
      <c r="C1145" s="12" t="str">
        <f t="shared" si="221"/>
        <v>NAUDÉ</v>
      </c>
      <c r="D1145" s="12" t="s">
        <v>2179</v>
      </c>
      <c r="E1145" s="12" t="str">
        <f t="shared" si="218"/>
        <v>Jan Abraham</v>
      </c>
      <c r="F1145" s="12" t="s">
        <v>11179</v>
      </c>
      <c r="G1145" s="12" t="str">
        <f t="shared" si="222"/>
        <v>a1b1c4d3e10</v>
      </c>
      <c r="H1145" s="12" t="str">
        <f t="shared" si="223"/>
        <v>NAUDÉa1b1c4d3e10</v>
      </c>
      <c r="I1145" s="12"/>
      <c r="J1145" s="12" t="s">
        <v>11180</v>
      </c>
      <c r="K1145" s="12" t="str">
        <f t="shared" si="224"/>
        <v>1824</v>
      </c>
      <c r="L1145" s="12" t="s">
        <v>395</v>
      </c>
      <c r="M1145" s="12" t="s">
        <v>3743</v>
      </c>
      <c r="N1145" s="12" t="str">
        <f t="shared" si="216"/>
        <v>1824</v>
      </c>
      <c r="O1145" s="12" t="str">
        <f t="shared" si="217"/>
        <v>1825</v>
      </c>
      <c r="P1145" s="12"/>
      <c r="Q1145" s="12" t="str">
        <f t="shared" si="225"/>
        <v>1824</v>
      </c>
      <c r="R1145" s="12"/>
      <c r="S1145" s="12" t="str">
        <f t="shared" si="226"/>
        <v/>
      </c>
      <c r="T1145" s="12"/>
      <c r="U1145" s="12"/>
      <c r="V1145" s="12" t="str">
        <f t="shared" si="227"/>
        <v/>
      </c>
      <c r="W1145" s="12" t="s">
        <v>11181</v>
      </c>
      <c r="X1145" s="12" t="s">
        <v>669</v>
      </c>
      <c r="Y1145" s="12" t="s">
        <v>11182</v>
      </c>
      <c r="Z1145" s="12"/>
      <c r="AA1145" s="12"/>
      <c r="AB1145" s="12"/>
      <c r="AC1145" s="12"/>
      <c r="AD1145" s="12"/>
      <c r="AE1145" s="12"/>
      <c r="AF1145" s="12" t="s">
        <v>3721</v>
      </c>
      <c r="AG1145" s="12" t="s">
        <v>395</v>
      </c>
      <c r="AH1145" s="12" t="s">
        <v>11174</v>
      </c>
      <c r="AI1145" s="12" t="str">
        <f t="shared" si="228"/>
        <v>1838</v>
      </c>
      <c r="AJ1145" s="12" t="s">
        <v>11183</v>
      </c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</row>
    <row r="1146" spans="1:71">
      <c r="A1146" s="12" t="s">
        <v>11144</v>
      </c>
      <c r="B1146" s="12" t="str">
        <f t="shared" si="220"/>
        <v>NAUDÉ</v>
      </c>
      <c r="C1146" s="12" t="str">
        <f t="shared" si="221"/>
        <v>NAUDÉ</v>
      </c>
      <c r="D1146" s="12" t="s">
        <v>201</v>
      </c>
      <c r="E1146" s="12" t="str">
        <f t="shared" si="218"/>
        <v>Petrus Johannes</v>
      </c>
      <c r="F1146" s="12" t="s">
        <v>11203</v>
      </c>
      <c r="G1146" s="12" t="str">
        <f t="shared" si="222"/>
        <v>a1b1c4d3e6</v>
      </c>
      <c r="H1146" s="12" t="str">
        <f t="shared" si="223"/>
        <v>NAUDÉa1b1c4d3e6</v>
      </c>
      <c r="I1146" s="12"/>
      <c r="J1146" s="12" t="s">
        <v>11204</v>
      </c>
      <c r="K1146" s="12" t="str">
        <f t="shared" si="224"/>
        <v>1816</v>
      </c>
      <c r="L1146" s="12" t="s">
        <v>542</v>
      </c>
      <c r="M1146" s="12" t="s">
        <v>11205</v>
      </c>
      <c r="N1146" s="12" t="str">
        <f t="shared" si="216"/>
        <v>1816</v>
      </c>
      <c r="O1146" s="12" t="str">
        <f t="shared" si="217"/>
        <v>1817</v>
      </c>
      <c r="P1146" s="12" t="s">
        <v>190</v>
      </c>
      <c r="Q1146" s="12" t="str">
        <f t="shared" si="225"/>
        <v>1816</v>
      </c>
      <c r="R1146" s="12" t="s">
        <v>11206</v>
      </c>
      <c r="S1146" s="12" t="str">
        <f t="shared" si="226"/>
        <v>1880</v>
      </c>
      <c r="T1146" s="12" t="s">
        <v>60</v>
      </c>
      <c r="U1146" s="12" t="s">
        <v>11207</v>
      </c>
      <c r="V1146" s="12" t="str">
        <f t="shared" si="227"/>
        <v>1839</v>
      </c>
      <c r="W1146" s="12" t="s">
        <v>5416</v>
      </c>
      <c r="X1146" s="12" t="s">
        <v>3663</v>
      </c>
      <c r="Y1146" s="12" t="s">
        <v>11208</v>
      </c>
      <c r="Z1146" s="12"/>
      <c r="AA1146" s="12" t="s">
        <v>11209</v>
      </c>
      <c r="AB1146" s="12" t="s">
        <v>74</v>
      </c>
      <c r="AC1146" s="12" t="s">
        <v>11210</v>
      </c>
      <c r="AD1146" s="12"/>
      <c r="AE1146" s="12"/>
      <c r="AF1146" s="12" t="s">
        <v>3721</v>
      </c>
      <c r="AG1146" s="12" t="s">
        <v>395</v>
      </c>
      <c r="AH1146" s="12" t="s">
        <v>11174</v>
      </c>
      <c r="AI1146" s="12" t="str">
        <f t="shared" si="228"/>
        <v>1838</v>
      </c>
      <c r="AJ1146" s="12" t="s">
        <v>11211</v>
      </c>
      <c r="AK1146" s="12"/>
      <c r="AL1146" s="12"/>
      <c r="AM1146" s="12"/>
      <c r="AN1146" s="12" t="s">
        <v>11212</v>
      </c>
      <c r="AO1146" s="12" t="s">
        <v>11213</v>
      </c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</row>
    <row r="1147" spans="1:71">
      <c r="A1147" s="12" t="s">
        <v>11144</v>
      </c>
      <c r="B1147" s="12" t="str">
        <f t="shared" si="220"/>
        <v>NAUDÉ</v>
      </c>
      <c r="C1147" s="12" t="str">
        <f t="shared" si="221"/>
        <v>NAUDÉ</v>
      </c>
      <c r="D1147" s="12" t="s">
        <v>5106</v>
      </c>
      <c r="E1147" s="12" t="str">
        <f t="shared" si="218"/>
        <v>Stephanus Johannes</v>
      </c>
      <c r="F1147" s="12" t="s">
        <v>11224</v>
      </c>
      <c r="G1147" s="12" t="str">
        <f t="shared" si="222"/>
        <v>a1b1c4d3e9</v>
      </c>
      <c r="H1147" s="12" t="str">
        <f t="shared" si="223"/>
        <v>NAUDÉa1b1c4d3e9</v>
      </c>
      <c r="I1147" s="12"/>
      <c r="J1147" s="12" t="s">
        <v>11225</v>
      </c>
      <c r="K1147" s="12" t="str">
        <f t="shared" si="224"/>
        <v>1822</v>
      </c>
      <c r="L1147" s="12" t="s">
        <v>542</v>
      </c>
      <c r="M1147" s="12" t="s">
        <v>11226</v>
      </c>
      <c r="N1147" s="12" t="str">
        <f t="shared" si="216"/>
        <v>1822</v>
      </c>
      <c r="O1147" s="12" t="str">
        <f t="shared" si="217"/>
        <v>1822</v>
      </c>
      <c r="P1147" s="12" t="s">
        <v>31</v>
      </c>
      <c r="Q1147" s="12" t="str">
        <f t="shared" si="225"/>
        <v>1822</v>
      </c>
      <c r="R1147" s="12" t="s">
        <v>11227</v>
      </c>
      <c r="S1147" s="12" t="str">
        <f t="shared" si="226"/>
        <v>1871</v>
      </c>
      <c r="T1147" s="12"/>
      <c r="U1147" s="12"/>
      <c r="V1147" s="12" t="str">
        <f t="shared" si="227"/>
        <v/>
      </c>
      <c r="W1147" s="12" t="s">
        <v>11228</v>
      </c>
      <c r="X1147" s="12" t="s">
        <v>698</v>
      </c>
      <c r="Y1147" s="12"/>
      <c r="Z1147" s="12"/>
      <c r="AA1147" s="12"/>
      <c r="AB1147" s="12"/>
      <c r="AC1147" s="12"/>
      <c r="AD1147" s="12"/>
      <c r="AE1147" s="12"/>
      <c r="AF1147" s="12" t="s">
        <v>3721</v>
      </c>
      <c r="AG1147" s="12" t="s">
        <v>395</v>
      </c>
      <c r="AH1147" s="12" t="s">
        <v>11174</v>
      </c>
      <c r="AI1147" s="12" t="str">
        <f t="shared" si="228"/>
        <v>1838</v>
      </c>
      <c r="AJ1147" s="12" t="s">
        <v>11211</v>
      </c>
      <c r="AK1147" s="12"/>
      <c r="AL1147" s="12" t="s">
        <v>140</v>
      </c>
      <c r="AM1147" s="12" t="s">
        <v>11229</v>
      </c>
      <c r="AN1147" s="12" t="s">
        <v>11230</v>
      </c>
      <c r="AO1147" s="12" t="s">
        <v>5574</v>
      </c>
      <c r="AP1147" s="12"/>
      <c r="AQ1147" s="12"/>
      <c r="AR1147" s="12">
        <v>1834</v>
      </c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</row>
    <row r="1148" spans="1:71">
      <c r="A1148" s="12" t="s">
        <v>11144</v>
      </c>
      <c r="B1148" s="12" t="str">
        <f t="shared" si="220"/>
        <v>NAUDÉ</v>
      </c>
      <c r="C1148" s="12" t="str">
        <f t="shared" si="221"/>
        <v>NAUDÉ</v>
      </c>
      <c r="D1148" s="12" t="s">
        <v>11184</v>
      </c>
      <c r="E1148" s="12" t="str">
        <f t="shared" si="218"/>
        <v>Philip Jacob</v>
      </c>
      <c r="F1148" s="12" t="s">
        <v>11185</v>
      </c>
      <c r="G1148" s="12" t="str">
        <f t="shared" si="222"/>
        <v>a2b1c2</v>
      </c>
      <c r="H1148" s="12" t="str">
        <f t="shared" si="223"/>
        <v>NAUDÉa2b1c2</v>
      </c>
      <c r="I1148" s="12" t="s">
        <v>11186</v>
      </c>
      <c r="J1148" s="12" t="s">
        <v>11187</v>
      </c>
      <c r="K1148" s="12" t="str">
        <f t="shared" si="224"/>
        <v>1808</v>
      </c>
      <c r="L1148" s="12"/>
      <c r="M1148" s="12" t="s">
        <v>11188</v>
      </c>
      <c r="N1148" s="12" t="str">
        <f t="shared" si="216"/>
        <v>1808</v>
      </c>
      <c r="O1148" s="12" t="str">
        <f t="shared" si="217"/>
        <v>1808</v>
      </c>
      <c r="P1148" s="12" t="s">
        <v>406</v>
      </c>
      <c r="Q1148" s="12" t="str">
        <f t="shared" si="225"/>
        <v>1808</v>
      </c>
      <c r="R1148" s="12" t="s">
        <v>11189</v>
      </c>
      <c r="S1148" s="12" t="str">
        <f t="shared" si="226"/>
        <v>1880</v>
      </c>
      <c r="T1148" s="12" t="s">
        <v>74</v>
      </c>
      <c r="U1148" s="12" t="s">
        <v>11190</v>
      </c>
      <c r="V1148" s="12" t="str">
        <f t="shared" si="227"/>
        <v>1831</v>
      </c>
      <c r="W1148" s="12" t="s">
        <v>11191</v>
      </c>
      <c r="X1148" s="12" t="s">
        <v>633</v>
      </c>
      <c r="Y1148" s="12"/>
      <c r="Z1148" s="12"/>
      <c r="AA1148" s="12" t="s">
        <v>11192</v>
      </c>
      <c r="AB1148" s="12"/>
      <c r="AC1148" s="12" t="s">
        <v>11193</v>
      </c>
      <c r="AD1148" s="12" t="s">
        <v>406</v>
      </c>
      <c r="AE1148" s="12" t="s">
        <v>11194</v>
      </c>
      <c r="AF1148" s="12" t="s">
        <v>11195</v>
      </c>
      <c r="AG1148" s="12" t="s">
        <v>74</v>
      </c>
      <c r="AH1148" s="12" t="s">
        <v>10606</v>
      </c>
      <c r="AI1148" s="12" t="str">
        <f t="shared" si="228"/>
        <v>1836</v>
      </c>
      <c r="AJ1148" s="12"/>
      <c r="AK1148" s="12" t="s">
        <v>1404</v>
      </c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</row>
    <row r="1149" spans="1:71">
      <c r="A1149" s="12" t="s">
        <v>11144</v>
      </c>
      <c r="B1149" s="12" t="str">
        <f t="shared" si="220"/>
        <v>NAUDÉ</v>
      </c>
      <c r="C1149" s="12" t="str">
        <f t="shared" si="221"/>
        <v>NAUDÉ</v>
      </c>
      <c r="D1149" s="12" t="s">
        <v>11145</v>
      </c>
      <c r="E1149" s="12" t="str">
        <f t="shared" si="218"/>
        <v>Charl (Sarel) David</v>
      </c>
      <c r="F1149" s="12" t="s">
        <v>11146</v>
      </c>
      <c r="G1149" s="12" t="str">
        <f t="shared" si="222"/>
        <v>a2b2c4</v>
      </c>
      <c r="H1149" s="12" t="str">
        <f t="shared" si="223"/>
        <v>NAUDÉa2b2c4</v>
      </c>
      <c r="I1149" s="12"/>
      <c r="J1149" s="12" t="s">
        <v>11147</v>
      </c>
      <c r="K1149" s="12" t="str">
        <f t="shared" si="224"/>
        <v>1812</v>
      </c>
      <c r="L1149" s="12" t="s">
        <v>74</v>
      </c>
      <c r="M1149" s="12" t="s">
        <v>11148</v>
      </c>
      <c r="N1149" s="12" t="str">
        <f t="shared" si="216"/>
        <v>1812</v>
      </c>
      <c r="O1149" s="12" t="str">
        <f t="shared" si="217"/>
        <v>1812</v>
      </c>
      <c r="P1149" s="12" t="s">
        <v>24</v>
      </c>
      <c r="Q1149" s="12" t="str">
        <f t="shared" si="225"/>
        <v>1812</v>
      </c>
      <c r="R1149" s="12" t="s">
        <v>11149</v>
      </c>
      <c r="S1149" s="12" t="str">
        <f t="shared" si="226"/>
        <v>1872</v>
      </c>
      <c r="T1149" s="12" t="s">
        <v>74</v>
      </c>
      <c r="U1149" s="12" t="s">
        <v>11150</v>
      </c>
      <c r="V1149" s="12" t="str">
        <f t="shared" si="227"/>
        <v>1834</v>
      </c>
      <c r="W1149" s="12" t="s">
        <v>823</v>
      </c>
      <c r="X1149" s="12" t="s">
        <v>1824</v>
      </c>
      <c r="Y1149" s="12"/>
      <c r="Z1149" s="12"/>
      <c r="AA1149" s="12"/>
      <c r="AB1149" s="12"/>
      <c r="AC1149" s="12"/>
      <c r="AD1149" s="12"/>
      <c r="AE1149" s="12"/>
      <c r="AF1149" s="12"/>
      <c r="AG1149" s="12" t="s">
        <v>74</v>
      </c>
      <c r="AH1149" s="12" t="s">
        <v>11151</v>
      </c>
      <c r="AI1149" s="12" t="str">
        <f t="shared" si="228"/>
        <v>1841</v>
      </c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</row>
    <row r="1150" spans="1:71">
      <c r="A1150" s="12" t="s">
        <v>11144</v>
      </c>
      <c r="B1150" s="12" t="str">
        <f t="shared" si="220"/>
        <v>NAUDÉ</v>
      </c>
      <c r="C1150" s="12" t="str">
        <f t="shared" si="221"/>
        <v>NAUDÉ</v>
      </c>
      <c r="D1150" s="12" t="s">
        <v>5586</v>
      </c>
      <c r="E1150" s="12" t="str">
        <f t="shared" si="218"/>
        <v>Francois Philippus</v>
      </c>
      <c r="F1150" s="12" t="s">
        <v>11162</v>
      </c>
      <c r="G1150" s="12" t="str">
        <f t="shared" si="222"/>
        <v>a1b1c1d10</v>
      </c>
      <c r="H1150" s="12" t="str">
        <f t="shared" si="223"/>
        <v>NAUDÉa1b1c1d10</v>
      </c>
      <c r="I1150" s="12"/>
      <c r="J1150" s="12" t="s">
        <v>11163</v>
      </c>
      <c r="K1150" s="12" t="str">
        <f t="shared" si="224"/>
        <v>1787</v>
      </c>
      <c r="L1150" s="12"/>
      <c r="M1150" s="12" t="s">
        <v>11164</v>
      </c>
      <c r="N1150" s="12" t="str">
        <f t="shared" si="216"/>
        <v>1787</v>
      </c>
      <c r="O1150" s="12" t="str">
        <f t="shared" si="217"/>
        <v>1787</v>
      </c>
      <c r="P1150" s="12"/>
      <c r="Q1150" s="12" t="str">
        <f t="shared" si="225"/>
        <v>1787</v>
      </c>
      <c r="R1150" s="12"/>
      <c r="S1150" s="12" t="str">
        <f t="shared" si="226"/>
        <v/>
      </c>
      <c r="T1150" s="12"/>
      <c r="U1150" s="12"/>
      <c r="V1150" s="12" t="str">
        <f t="shared" si="227"/>
        <v/>
      </c>
      <c r="W1150" s="12" t="s">
        <v>11165</v>
      </c>
      <c r="X1150" s="12" t="s">
        <v>11166</v>
      </c>
      <c r="Y1150" s="12"/>
      <c r="Z1150" s="12"/>
      <c r="AA1150" s="12"/>
      <c r="AB1150" s="12"/>
      <c r="AC1150" s="12"/>
      <c r="AD1150" s="12"/>
      <c r="AE1150" s="12"/>
      <c r="AF1150" s="12"/>
      <c r="AG1150" s="12" t="s">
        <v>11167</v>
      </c>
      <c r="AH1150" s="12" t="s">
        <v>10841</v>
      </c>
      <c r="AI1150" s="12" t="str">
        <f t="shared" si="228"/>
        <v>1842</v>
      </c>
      <c r="AJ1150" s="12"/>
      <c r="AK1150" s="12" t="s">
        <v>90</v>
      </c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</row>
    <row r="1151" spans="1:71">
      <c r="A1151" s="12" t="s">
        <v>11144</v>
      </c>
      <c r="B1151" s="12" t="str">
        <f t="shared" si="220"/>
        <v>NAUDÉ</v>
      </c>
      <c r="C1151" s="12" t="str">
        <f t="shared" si="221"/>
        <v>NAUDÉ</v>
      </c>
      <c r="D1151" s="12" t="s">
        <v>11152</v>
      </c>
      <c r="E1151" s="12" t="str">
        <f t="shared" si="218"/>
        <v>Francois Paulus</v>
      </c>
      <c r="F1151" s="12" t="s">
        <v>11153</v>
      </c>
      <c r="G1151" s="12" t="str">
        <f t="shared" si="222"/>
        <v>a1b1c1d13</v>
      </c>
      <c r="H1151" s="12" t="str">
        <f t="shared" si="223"/>
        <v>NAUDÉa1b1c1d13</v>
      </c>
      <c r="I1151" s="12" t="s">
        <v>395</v>
      </c>
      <c r="J1151" s="12" t="s">
        <v>11154</v>
      </c>
      <c r="K1151" s="12" t="str">
        <f t="shared" si="224"/>
        <v>1800</v>
      </c>
      <c r="L1151" s="12" t="s">
        <v>542</v>
      </c>
      <c r="M1151" s="12" t="s">
        <v>11155</v>
      </c>
      <c r="N1151" s="12" t="str">
        <f t="shared" si="216"/>
        <v>1800</v>
      </c>
      <c r="O1151" s="12" t="str">
        <f t="shared" si="217"/>
        <v>1800</v>
      </c>
      <c r="P1151" s="12" t="s">
        <v>406</v>
      </c>
      <c r="Q1151" s="12" t="str">
        <f t="shared" si="225"/>
        <v>1800</v>
      </c>
      <c r="R1151" s="12" t="s">
        <v>11156</v>
      </c>
      <c r="S1151" s="12" t="str">
        <f t="shared" si="226"/>
        <v>1881</v>
      </c>
      <c r="T1151" s="12" t="s">
        <v>395</v>
      </c>
      <c r="U1151" s="12" t="s">
        <v>11157</v>
      </c>
      <c r="V1151" s="12" t="str">
        <f t="shared" si="227"/>
        <v>1821</v>
      </c>
      <c r="W1151" s="12" t="s">
        <v>708</v>
      </c>
      <c r="X1151" s="12" t="s">
        <v>1930</v>
      </c>
      <c r="Y1151" s="12" t="s">
        <v>11158</v>
      </c>
      <c r="Z1151" s="12"/>
      <c r="AA1151" s="12" t="s">
        <v>11159</v>
      </c>
      <c r="AB1151" s="12"/>
      <c r="AC1151" s="12" t="s">
        <v>6620</v>
      </c>
      <c r="AD1151" s="12" t="s">
        <v>406</v>
      </c>
      <c r="AE1151" s="12" t="s">
        <v>11160</v>
      </c>
      <c r="AF1151" s="12"/>
      <c r="AG1151" s="12" t="s">
        <v>74</v>
      </c>
      <c r="AH1151" s="12" t="s">
        <v>11161</v>
      </c>
      <c r="AI1151" s="12" t="str">
        <f t="shared" si="228"/>
        <v>1838</v>
      </c>
      <c r="AJ1151" s="12" t="s">
        <v>2770</v>
      </c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</row>
    <row r="1152" spans="1:71">
      <c r="A1152" s="12" t="s">
        <v>2880</v>
      </c>
      <c r="B1152" s="12" t="str">
        <f t="shared" si="220"/>
        <v>NEETHLING</v>
      </c>
      <c r="C1152" s="12" t="str">
        <f t="shared" si="221"/>
        <v>NEETHLING</v>
      </c>
      <c r="D1152" s="12" t="s">
        <v>11236</v>
      </c>
      <c r="E1152" s="12" t="str">
        <f t="shared" si="218"/>
        <v>Hendrik Ludolph</v>
      </c>
      <c r="F1152" s="12" t="s">
        <v>11237</v>
      </c>
      <c r="G1152" s="12" t="str">
        <f t="shared" si="222"/>
        <v>a1b1c7d1</v>
      </c>
      <c r="H1152" s="12" t="str">
        <f t="shared" si="223"/>
        <v>NEETHLINGa1b1c7d1</v>
      </c>
      <c r="I1152" s="12" t="s">
        <v>542</v>
      </c>
      <c r="J1152" s="12"/>
      <c r="K1152" s="12" t="str">
        <f t="shared" si="224"/>
        <v/>
      </c>
      <c r="L1152" s="12"/>
      <c r="M1152" s="12" t="s">
        <v>6899</v>
      </c>
      <c r="N1152" s="12" t="str">
        <f t="shared" si="216"/>
        <v/>
      </c>
      <c r="O1152" s="12" t="str">
        <f t="shared" si="217"/>
        <v>1820</v>
      </c>
      <c r="P1152" s="12" t="s">
        <v>1864</v>
      </c>
      <c r="Q1152" s="12" t="str">
        <f t="shared" si="225"/>
        <v>1820</v>
      </c>
      <c r="R1152" s="12" t="s">
        <v>11238</v>
      </c>
      <c r="S1152" s="12" t="str">
        <f t="shared" si="226"/>
        <v>1891</v>
      </c>
      <c r="T1152" s="12"/>
      <c r="U1152" s="12" t="s">
        <v>11239</v>
      </c>
      <c r="V1152" s="12" t="str">
        <f t="shared" si="227"/>
        <v>1845</v>
      </c>
      <c r="W1152" s="12" t="s">
        <v>1410</v>
      </c>
      <c r="X1152" s="12" t="s">
        <v>700</v>
      </c>
      <c r="Y1152" s="12"/>
      <c r="Z1152" s="12"/>
      <c r="AA1152" s="12"/>
      <c r="AB1152" s="12"/>
      <c r="AC1152" s="12"/>
      <c r="AD1152" s="12" t="s">
        <v>67</v>
      </c>
      <c r="AE1152" s="12" t="s">
        <v>11240</v>
      </c>
      <c r="AF1152" s="12"/>
      <c r="AG1152" s="12" t="s">
        <v>395</v>
      </c>
      <c r="AH1152" s="12">
        <v>1838</v>
      </c>
      <c r="AI1152" s="12" t="str">
        <f t="shared" si="228"/>
        <v>1838</v>
      </c>
      <c r="AJ1152" s="12"/>
      <c r="AK1152" s="12"/>
      <c r="AL1152" s="12"/>
      <c r="AM1152" s="12"/>
      <c r="AN1152" s="12" t="s">
        <v>11241</v>
      </c>
      <c r="AO1152" s="12" t="s">
        <v>760</v>
      </c>
      <c r="AP1152" s="12"/>
      <c r="AQ1152" s="12"/>
      <c r="AR1152" s="12"/>
      <c r="AS1152" s="12"/>
      <c r="AT1152" s="12"/>
      <c r="AU1152" s="12" t="s">
        <v>1864</v>
      </c>
      <c r="AV1152" s="12" t="s">
        <v>11242</v>
      </c>
      <c r="AW1152" s="12"/>
      <c r="AX1152" s="12"/>
      <c r="AY1152" s="12" t="s">
        <v>11243</v>
      </c>
      <c r="AZ1152" s="12" t="s">
        <v>62</v>
      </c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</row>
    <row r="1153" spans="1:71">
      <c r="A1153" s="12" t="s">
        <v>2880</v>
      </c>
      <c r="B1153" s="12" t="str">
        <f t="shared" si="220"/>
        <v>NEETHLING</v>
      </c>
      <c r="C1153" s="12" t="str">
        <f t="shared" si="221"/>
        <v>NEETHLING</v>
      </c>
      <c r="D1153" s="12" t="s">
        <v>11231</v>
      </c>
      <c r="E1153" s="12" t="str">
        <f t="shared" si="218"/>
        <v>Daniël Jacobus</v>
      </c>
      <c r="F1153" s="12" t="s">
        <v>11232</v>
      </c>
      <c r="G1153" s="12" t="str">
        <f t="shared" si="222"/>
        <v>a2b4c2</v>
      </c>
      <c r="H1153" s="12" t="str">
        <f t="shared" si="223"/>
        <v>NEETHLINGa2b4c2</v>
      </c>
      <c r="I1153" s="12"/>
      <c r="J1153" s="12"/>
      <c r="K1153" s="12" t="str">
        <f t="shared" si="224"/>
        <v/>
      </c>
      <c r="L1153" s="12"/>
      <c r="M1153" s="12" t="s">
        <v>4047</v>
      </c>
      <c r="N1153" s="12" t="str">
        <f t="shared" si="216"/>
        <v/>
      </c>
      <c r="O1153" s="12" t="str">
        <f t="shared" si="217"/>
        <v>1793</v>
      </c>
      <c r="P1153" s="12" t="s">
        <v>2877</v>
      </c>
      <c r="Q1153" s="12" t="str">
        <f t="shared" si="225"/>
        <v>1793</v>
      </c>
      <c r="R1153" s="12" t="s">
        <v>11233</v>
      </c>
      <c r="S1153" s="12" t="str">
        <f t="shared" si="226"/>
        <v>1862</v>
      </c>
      <c r="T1153" s="12" t="s">
        <v>74</v>
      </c>
      <c r="U1153" s="12" t="s">
        <v>10931</v>
      </c>
      <c r="V1153" s="12" t="str">
        <f t="shared" si="227"/>
        <v>1813</v>
      </c>
      <c r="W1153" s="12" t="s">
        <v>1651</v>
      </c>
      <c r="X1153" s="12" t="s">
        <v>625</v>
      </c>
      <c r="Y1153" s="12" t="s">
        <v>11234</v>
      </c>
      <c r="Z1153" s="12"/>
      <c r="AA1153" s="12"/>
      <c r="AB1153" s="12"/>
      <c r="AC1153" s="12" t="s">
        <v>11235</v>
      </c>
      <c r="AD1153" s="12"/>
      <c r="AE1153" s="12"/>
      <c r="AF1153" s="12"/>
      <c r="AG1153" s="12"/>
      <c r="AH1153" s="12"/>
      <c r="AI1153" s="12" t="str">
        <f t="shared" si="228"/>
        <v/>
      </c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</row>
    <row r="1154" spans="1:71">
      <c r="A1154" s="12" t="s">
        <v>2880</v>
      </c>
      <c r="B1154" s="12" t="str">
        <f t="shared" si="220"/>
        <v>NEETHLING</v>
      </c>
      <c r="C1154" s="12" t="str">
        <f t="shared" si="221"/>
        <v>NEETHLING</v>
      </c>
      <c r="D1154" s="12" t="s">
        <v>1725</v>
      </c>
      <c r="E1154" s="12" t="str">
        <f t="shared" si="218"/>
        <v>Johannes Jacob</v>
      </c>
      <c r="F1154" s="12" t="s">
        <v>11244</v>
      </c>
      <c r="G1154" s="12" t="str">
        <f t="shared" si="222"/>
        <v>a2b4c2d2</v>
      </c>
      <c r="H1154" s="12" t="str">
        <f t="shared" si="223"/>
        <v>NEETHLINGa2b4c2d2</v>
      </c>
      <c r="I1154" s="12"/>
      <c r="J1154" s="12" t="s">
        <v>11245</v>
      </c>
      <c r="K1154" s="12" t="str">
        <f t="shared" si="224"/>
        <v>1819</v>
      </c>
      <c r="L1154" s="12" t="s">
        <v>28</v>
      </c>
      <c r="M1154" s="12" t="s">
        <v>11246</v>
      </c>
      <c r="N1154" s="12" t="str">
        <f t="shared" ref="N1154:N1217" si="229">RIGHT(J1154,4)</f>
        <v>1819</v>
      </c>
      <c r="O1154" s="12" t="str">
        <f t="shared" ref="O1154:O1217" si="230">RIGHT(M1154,4)</f>
        <v>1819</v>
      </c>
      <c r="P1154" s="12" t="s">
        <v>11247</v>
      </c>
      <c r="Q1154" s="12" t="str">
        <f t="shared" si="225"/>
        <v>1819</v>
      </c>
      <c r="R1154" s="12" t="s">
        <v>11248</v>
      </c>
      <c r="S1154" s="12" t="str">
        <f t="shared" si="226"/>
        <v>1897</v>
      </c>
      <c r="T1154" s="12" t="s">
        <v>60</v>
      </c>
      <c r="U1154" s="12" t="s">
        <v>11249</v>
      </c>
      <c r="V1154" s="12" t="str">
        <f t="shared" si="227"/>
        <v>1838</v>
      </c>
      <c r="W1154" s="12" t="s">
        <v>11250</v>
      </c>
      <c r="X1154" s="12" t="s">
        <v>776</v>
      </c>
      <c r="Y1154" s="12"/>
      <c r="Z1154" s="12"/>
      <c r="AA1154" s="12"/>
      <c r="AB1154" s="12"/>
      <c r="AC1154" s="12"/>
      <c r="AD1154" s="12"/>
      <c r="AE1154" s="12"/>
      <c r="AF1154" s="12" t="s">
        <v>3699</v>
      </c>
      <c r="AG1154" s="12" t="s">
        <v>68</v>
      </c>
      <c r="AH1154" s="12" t="s">
        <v>11251</v>
      </c>
      <c r="AI1154" s="12" t="str">
        <f t="shared" si="228"/>
        <v>1850</v>
      </c>
      <c r="AJ1154" s="12"/>
      <c r="AK1154" s="12"/>
      <c r="AL1154" s="12"/>
      <c r="AM1154" s="12"/>
      <c r="AN1154" s="12" t="s">
        <v>11252</v>
      </c>
      <c r="AO1154" s="12" t="s">
        <v>704</v>
      </c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</row>
    <row r="1155" spans="1:71">
      <c r="A1155" s="12" t="s">
        <v>2880</v>
      </c>
      <c r="B1155" s="12" t="str">
        <f t="shared" si="220"/>
        <v>NEETHLING</v>
      </c>
      <c r="C1155" s="12" t="str">
        <f t="shared" si="221"/>
        <v>NEETHLING</v>
      </c>
      <c r="D1155" s="12" t="s">
        <v>205</v>
      </c>
      <c r="E1155" s="12" t="str">
        <f t="shared" ref="E1155:E1218" si="231">PROPER(D1155)</f>
        <v>Willem Hendrik</v>
      </c>
      <c r="F1155" s="12" t="s">
        <v>943</v>
      </c>
      <c r="G1155" s="12" t="str">
        <f t="shared" si="222"/>
        <v>a1b1c7</v>
      </c>
      <c r="H1155" s="12" t="str">
        <f t="shared" si="223"/>
        <v>NEETHLINGa1b1c7</v>
      </c>
      <c r="I1155" s="12"/>
      <c r="J1155" s="12"/>
      <c r="K1155" s="12" t="str">
        <f t="shared" si="224"/>
        <v/>
      </c>
      <c r="L1155" s="12"/>
      <c r="M1155" s="12" t="s">
        <v>11259</v>
      </c>
      <c r="N1155" s="12" t="str">
        <f t="shared" si="229"/>
        <v/>
      </c>
      <c r="O1155" s="12" t="str">
        <f t="shared" si="230"/>
        <v>1794</v>
      </c>
      <c r="P1155" s="12" t="s">
        <v>155</v>
      </c>
      <c r="Q1155" s="12" t="str">
        <f t="shared" si="225"/>
        <v>1794</v>
      </c>
      <c r="R1155" s="12"/>
      <c r="S1155" s="12" t="str">
        <f t="shared" si="226"/>
        <v/>
      </c>
      <c r="T1155" s="12" t="s">
        <v>542</v>
      </c>
      <c r="U1155" s="12" t="s">
        <v>11260</v>
      </c>
      <c r="V1155" s="12" t="str">
        <f t="shared" si="227"/>
        <v>1819</v>
      </c>
      <c r="W1155" s="12" t="s">
        <v>804</v>
      </c>
      <c r="X1155" s="12" t="s">
        <v>1425</v>
      </c>
      <c r="Y1155" s="12"/>
      <c r="Z1155" s="12"/>
      <c r="AA1155" s="12"/>
      <c r="AB1155" s="12" t="s">
        <v>542</v>
      </c>
      <c r="AC1155" s="12" t="s">
        <v>11261</v>
      </c>
      <c r="AD1155" s="12" t="s">
        <v>1864</v>
      </c>
      <c r="AE1155" s="12"/>
      <c r="AF1155" s="12" t="s">
        <v>11258</v>
      </c>
      <c r="AG1155" s="12" t="s">
        <v>395</v>
      </c>
      <c r="AH1155" s="12">
        <v>1838</v>
      </c>
      <c r="AI1155" s="12" t="str">
        <f t="shared" si="228"/>
        <v>1838</v>
      </c>
      <c r="AJ1155" s="12"/>
      <c r="AK1155" s="12"/>
      <c r="AL1155" s="12"/>
      <c r="AM1155" s="12"/>
      <c r="AN1155" s="12" t="s">
        <v>11262</v>
      </c>
      <c r="AO1155" s="12" t="s">
        <v>3187</v>
      </c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</row>
    <row r="1156" spans="1:71">
      <c r="A1156" s="12" t="s">
        <v>2880</v>
      </c>
      <c r="B1156" s="12" t="str">
        <f t="shared" si="220"/>
        <v>NEETHLING</v>
      </c>
      <c r="C1156" s="12" t="str">
        <f t="shared" si="221"/>
        <v>NEETHLING</v>
      </c>
      <c r="D1156" s="12" t="s">
        <v>1948</v>
      </c>
      <c r="E1156" s="12" t="str">
        <f t="shared" si="231"/>
        <v>Schalk Willem</v>
      </c>
      <c r="F1156" s="12" t="s">
        <v>7654</v>
      </c>
      <c r="G1156" s="12" t="str">
        <f t="shared" si="222"/>
        <v>a1b1c7d3</v>
      </c>
      <c r="H1156" s="12" t="str">
        <f t="shared" si="223"/>
        <v>NEETHLINGa1b1c7d3</v>
      </c>
      <c r="I1156" s="12" t="s">
        <v>542</v>
      </c>
      <c r="J1156" s="12" t="s">
        <v>10430</v>
      </c>
      <c r="K1156" s="12" t="str">
        <f t="shared" si="224"/>
        <v>1824</v>
      </c>
      <c r="L1156" s="12"/>
      <c r="M1156" s="12"/>
      <c r="N1156" s="12" t="str">
        <f t="shared" si="229"/>
        <v>1824</v>
      </c>
      <c r="O1156" s="12" t="str">
        <f t="shared" si="230"/>
        <v/>
      </c>
      <c r="P1156" s="12" t="s">
        <v>11253</v>
      </c>
      <c r="Q1156" s="12" t="str">
        <f t="shared" si="225"/>
        <v>1824</v>
      </c>
      <c r="R1156" s="12">
        <v>1905</v>
      </c>
      <c r="S1156" s="12" t="str">
        <f t="shared" si="226"/>
        <v>1905</v>
      </c>
      <c r="T1156" s="12"/>
      <c r="U1156" s="12" t="s">
        <v>11254</v>
      </c>
      <c r="V1156" s="12" t="str">
        <f t="shared" si="227"/>
        <v>1853</v>
      </c>
      <c r="W1156" s="12" t="s">
        <v>11255</v>
      </c>
      <c r="X1156" s="12" t="s">
        <v>2944</v>
      </c>
      <c r="Y1156" s="12"/>
      <c r="Z1156" s="12" t="s">
        <v>32</v>
      </c>
      <c r="AA1156" s="12" t="s">
        <v>11256</v>
      </c>
      <c r="AB1156" s="12"/>
      <c r="AC1156" s="12"/>
      <c r="AD1156" s="12" t="s">
        <v>120</v>
      </c>
      <c r="AE1156" s="12" t="s">
        <v>11257</v>
      </c>
      <c r="AF1156" s="12" t="s">
        <v>11258</v>
      </c>
      <c r="AG1156" s="12" t="s">
        <v>395</v>
      </c>
      <c r="AH1156" s="12">
        <v>1838</v>
      </c>
      <c r="AI1156" s="12" t="str">
        <f t="shared" si="228"/>
        <v>1838</v>
      </c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</row>
    <row r="1157" spans="1:71">
      <c r="A1157" s="12" t="s">
        <v>698</v>
      </c>
      <c r="B1157" s="12" t="str">
        <f t="shared" si="220"/>
        <v>NEL</v>
      </c>
      <c r="C1157" s="12" t="str">
        <f t="shared" si="221"/>
        <v>NEL</v>
      </c>
      <c r="D1157" s="12" t="s">
        <v>6487</v>
      </c>
      <c r="E1157" s="12" t="str">
        <f t="shared" si="231"/>
        <v>Pieter Johannes Lodewyk</v>
      </c>
      <c r="F1157" s="12" t="s">
        <v>11410</v>
      </c>
      <c r="G1157" s="12" t="str">
        <f t="shared" si="222"/>
        <v>a1b10c10d1</v>
      </c>
      <c r="H1157" s="12" t="str">
        <f t="shared" si="223"/>
        <v>NELa1b10c10d1</v>
      </c>
      <c r="I1157" s="12" t="s">
        <v>6889</v>
      </c>
      <c r="J1157" s="12"/>
      <c r="K1157" s="12" t="str">
        <f t="shared" si="224"/>
        <v/>
      </c>
      <c r="L1157" s="12"/>
      <c r="M1157" s="12"/>
      <c r="N1157" s="12" t="str">
        <f t="shared" si="229"/>
        <v/>
      </c>
      <c r="O1157" s="12" t="str">
        <f t="shared" si="230"/>
        <v/>
      </c>
      <c r="P1157" s="12"/>
      <c r="Q1157" s="12" t="str">
        <f t="shared" si="225"/>
        <v/>
      </c>
      <c r="R1157" s="12"/>
      <c r="S1157" s="12" t="str">
        <f t="shared" si="226"/>
        <v/>
      </c>
      <c r="T1157" s="12" t="s">
        <v>74</v>
      </c>
      <c r="U1157" s="12" t="s">
        <v>11411</v>
      </c>
      <c r="V1157" s="12" t="str">
        <f t="shared" si="227"/>
        <v>1815</v>
      </c>
      <c r="W1157" s="12" t="s">
        <v>4310</v>
      </c>
      <c r="X1157" s="12" t="s">
        <v>11412</v>
      </c>
      <c r="Y1157" s="12" t="s">
        <v>11413</v>
      </c>
      <c r="Z1157" s="12"/>
      <c r="AA1157" s="12"/>
      <c r="AB1157" s="12"/>
      <c r="AC1157" s="12" t="s">
        <v>11414</v>
      </c>
      <c r="AD1157" s="12"/>
      <c r="AE1157" s="12"/>
      <c r="AF1157" s="12" t="s">
        <v>11340</v>
      </c>
      <c r="AG1157" s="12" t="s">
        <v>53</v>
      </c>
      <c r="AH1157" s="12" t="s">
        <v>385</v>
      </c>
      <c r="AI1157" s="12" t="str">
        <f t="shared" si="228"/>
        <v>1840</v>
      </c>
      <c r="AJ1157" s="12"/>
      <c r="AK1157" s="12" t="s">
        <v>90</v>
      </c>
      <c r="AL1157" s="12"/>
      <c r="AM1157" s="12"/>
      <c r="AN1157" s="12" t="s">
        <v>2987</v>
      </c>
      <c r="AO1157" s="12" t="s">
        <v>1034</v>
      </c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</row>
    <row r="1158" spans="1:71">
      <c r="A1158" s="12" t="s">
        <v>698</v>
      </c>
      <c r="B1158" s="12" t="str">
        <f t="shared" si="220"/>
        <v>NEL</v>
      </c>
      <c r="C1158" s="12" t="str">
        <f t="shared" si="221"/>
        <v>NEL</v>
      </c>
      <c r="D1158" s="12" t="s">
        <v>11270</v>
      </c>
      <c r="E1158" s="12" t="str">
        <f t="shared" si="231"/>
        <v>Frederik Daniël</v>
      </c>
      <c r="F1158" s="12" t="s">
        <v>11271</v>
      </c>
      <c r="G1158" s="12" t="str">
        <f t="shared" si="222"/>
        <v>a1b10c10d4</v>
      </c>
      <c r="H1158" s="12" t="str">
        <f t="shared" si="223"/>
        <v>NELa1b10c10d4</v>
      </c>
      <c r="I1158" s="12"/>
      <c r="J1158" s="12"/>
      <c r="K1158" s="12" t="str">
        <f t="shared" si="224"/>
        <v/>
      </c>
      <c r="L1158" s="12"/>
      <c r="M1158" s="12" t="s">
        <v>11272</v>
      </c>
      <c r="N1158" s="12" t="str">
        <f t="shared" si="229"/>
        <v/>
      </c>
      <c r="O1158" s="12" t="str">
        <f t="shared" si="230"/>
        <v>1803</v>
      </c>
      <c r="P1158" s="12"/>
      <c r="Q1158" s="12" t="str">
        <f t="shared" si="225"/>
        <v>1803</v>
      </c>
      <c r="R1158" s="12"/>
      <c r="S1158" s="12" t="str">
        <f t="shared" si="226"/>
        <v/>
      </c>
      <c r="T1158" s="12" t="s">
        <v>74</v>
      </c>
      <c r="U1158" s="12" t="s">
        <v>11273</v>
      </c>
      <c r="V1158" s="12" t="str">
        <f t="shared" si="227"/>
        <v>1824</v>
      </c>
      <c r="W1158" s="12" t="s">
        <v>1838</v>
      </c>
      <c r="X1158" s="12" t="s">
        <v>2073</v>
      </c>
      <c r="Y1158" s="12"/>
      <c r="Z1158" s="12"/>
      <c r="AA1158" s="12"/>
      <c r="AB1158" s="12"/>
      <c r="AC1158" s="12"/>
      <c r="AD1158" s="12"/>
      <c r="AE1158" s="12"/>
      <c r="AF1158" s="12"/>
      <c r="AG1158" s="12" t="s">
        <v>53</v>
      </c>
      <c r="AH1158" s="12" t="s">
        <v>5021</v>
      </c>
      <c r="AI1158" s="12" t="str">
        <f t="shared" si="228"/>
        <v>1842</v>
      </c>
      <c r="AJ1158" s="12"/>
      <c r="AK1158" s="12"/>
      <c r="AL1158" s="12" t="s">
        <v>53</v>
      </c>
      <c r="AM1158" s="12" t="s">
        <v>11274</v>
      </c>
      <c r="AN1158" s="12" t="s">
        <v>11275</v>
      </c>
      <c r="AO1158" s="12" t="s">
        <v>625</v>
      </c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</row>
    <row r="1159" spans="1:71">
      <c r="A1159" s="12" t="s">
        <v>698</v>
      </c>
      <c r="B1159" s="12" t="str">
        <f t="shared" si="220"/>
        <v>NEL</v>
      </c>
      <c r="C1159" s="12" t="str">
        <f t="shared" si="221"/>
        <v>NEL</v>
      </c>
      <c r="D1159" s="12" t="s">
        <v>1472</v>
      </c>
      <c r="E1159" s="12" t="str">
        <f t="shared" si="231"/>
        <v>Willem Adriaan</v>
      </c>
      <c r="F1159" s="12" t="s">
        <v>11464</v>
      </c>
      <c r="G1159" s="12" t="str">
        <f t="shared" si="222"/>
        <v>a1b10c2d11e6</v>
      </c>
      <c r="H1159" s="12" t="str">
        <f t="shared" si="223"/>
        <v>NELa1b10c2d11e6</v>
      </c>
      <c r="I1159" s="12"/>
      <c r="J1159" s="12" t="s">
        <v>11465</v>
      </c>
      <c r="K1159" s="12" t="str">
        <f t="shared" si="224"/>
        <v>1813</v>
      </c>
      <c r="L1159" s="12" t="s">
        <v>74</v>
      </c>
      <c r="M1159" s="12" t="s">
        <v>11466</v>
      </c>
      <c r="N1159" s="12" t="str">
        <f t="shared" si="229"/>
        <v>1813</v>
      </c>
      <c r="O1159" s="12" t="str">
        <f t="shared" si="230"/>
        <v>1814</v>
      </c>
      <c r="P1159" s="12"/>
      <c r="Q1159" s="12" t="str">
        <f t="shared" si="225"/>
        <v>1813</v>
      </c>
      <c r="R1159" s="12"/>
      <c r="S1159" s="12" t="str">
        <f t="shared" si="226"/>
        <v/>
      </c>
      <c r="T1159" s="12" t="s">
        <v>28</v>
      </c>
      <c r="U1159" s="12" t="s">
        <v>11467</v>
      </c>
      <c r="V1159" s="12" t="str">
        <f t="shared" si="227"/>
        <v>1839</v>
      </c>
      <c r="W1159" s="12" t="s">
        <v>741</v>
      </c>
      <c r="X1159" s="12" t="s">
        <v>625</v>
      </c>
      <c r="Y1159" s="12" t="s">
        <v>11468</v>
      </c>
      <c r="Z1159" s="12"/>
      <c r="AA1159" s="12"/>
      <c r="AB1159" s="12"/>
      <c r="AC1159" s="12"/>
      <c r="AD1159" s="12"/>
      <c r="AE1159" s="12"/>
      <c r="AF1159" s="12" t="s">
        <v>3699</v>
      </c>
      <c r="AG1159" s="12" t="s">
        <v>68</v>
      </c>
      <c r="AH1159" s="12"/>
      <c r="AI1159" s="12" t="str">
        <f t="shared" si="228"/>
        <v/>
      </c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</row>
    <row r="1160" spans="1:71">
      <c r="A1160" s="12" t="s">
        <v>698</v>
      </c>
      <c r="B1160" s="12" t="str">
        <f t="shared" si="220"/>
        <v>NEL</v>
      </c>
      <c r="C1160" s="12" t="str">
        <f t="shared" si="221"/>
        <v>NEL</v>
      </c>
      <c r="D1160" s="12" t="s">
        <v>11415</v>
      </c>
      <c r="E1160" s="12" t="str">
        <f t="shared" si="231"/>
        <v>Pueter Schalk Johannes</v>
      </c>
      <c r="F1160" s="12" t="s">
        <v>11416</v>
      </c>
      <c r="G1160" s="12" t="str">
        <f t="shared" si="222"/>
        <v>a1b10c2d7e2</v>
      </c>
      <c r="H1160" s="12" t="str">
        <f t="shared" si="223"/>
        <v>NELa1b10c2d7e2</v>
      </c>
      <c r="I1160" s="12"/>
      <c r="J1160" s="12"/>
      <c r="K1160" s="12" t="str">
        <f t="shared" si="224"/>
        <v/>
      </c>
      <c r="L1160" s="12"/>
      <c r="M1160" s="12" t="s">
        <v>11417</v>
      </c>
      <c r="N1160" s="12" t="str">
        <f t="shared" si="229"/>
        <v/>
      </c>
      <c r="O1160" s="12" t="str">
        <f t="shared" si="230"/>
        <v>1808</v>
      </c>
      <c r="P1160" s="12"/>
      <c r="Q1160" s="12" t="str">
        <f t="shared" si="225"/>
        <v>1808</v>
      </c>
      <c r="R1160" s="12"/>
      <c r="S1160" s="12" t="str">
        <f t="shared" si="226"/>
        <v/>
      </c>
      <c r="T1160" s="12" t="s">
        <v>53</v>
      </c>
      <c r="U1160" s="12" t="s">
        <v>11418</v>
      </c>
      <c r="V1160" s="12" t="str">
        <f t="shared" si="227"/>
        <v>1829</v>
      </c>
      <c r="W1160" s="12" t="s">
        <v>1611</v>
      </c>
      <c r="X1160" s="12" t="s">
        <v>731</v>
      </c>
      <c r="Y1160" s="12"/>
      <c r="Z1160" s="12"/>
      <c r="AA1160" s="12"/>
      <c r="AB1160" s="12"/>
      <c r="AC1160" s="12"/>
      <c r="AD1160" s="12"/>
      <c r="AE1160" s="12"/>
      <c r="AF1160" s="12" t="s">
        <v>3709</v>
      </c>
      <c r="AG1160" s="12" t="s">
        <v>68</v>
      </c>
      <c r="AH1160" s="12" t="s">
        <v>503</v>
      </c>
      <c r="AI1160" s="12" t="str">
        <f t="shared" si="228"/>
        <v>1837</v>
      </c>
      <c r="AJ1160" s="12" t="s">
        <v>11419</v>
      </c>
      <c r="AK1160" s="12" t="s">
        <v>11420</v>
      </c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</row>
    <row r="1161" spans="1:71">
      <c r="A1161" s="12" t="s">
        <v>698</v>
      </c>
      <c r="B1161" s="12" t="str">
        <f t="shared" si="220"/>
        <v>NEL</v>
      </c>
      <c r="C1161" s="12" t="str">
        <f t="shared" si="221"/>
        <v>NEL</v>
      </c>
      <c r="D1161" s="12" t="s">
        <v>8015</v>
      </c>
      <c r="E1161" s="12" t="str">
        <f t="shared" si="231"/>
        <v>Pieter Willem</v>
      </c>
      <c r="F1161" s="12" t="s">
        <v>11425</v>
      </c>
      <c r="G1161" s="12" t="str">
        <f t="shared" si="222"/>
        <v>a1b10c5d1e2f1</v>
      </c>
      <c r="H1161" s="12" t="str">
        <f t="shared" si="223"/>
        <v>NELa1b10c5d1e2f1</v>
      </c>
      <c r="I1161" s="12"/>
      <c r="J1161" s="12"/>
      <c r="K1161" s="12" t="str">
        <f t="shared" si="224"/>
        <v/>
      </c>
      <c r="L1161" s="12"/>
      <c r="M1161" s="12" t="s">
        <v>3103</v>
      </c>
      <c r="N1161" s="12" t="str">
        <f t="shared" si="229"/>
        <v/>
      </c>
      <c r="O1161" s="12" t="str">
        <f t="shared" si="230"/>
        <v>1804</v>
      </c>
      <c r="P1161" s="12"/>
      <c r="Q1161" s="12" t="str">
        <f t="shared" si="225"/>
        <v>1804</v>
      </c>
      <c r="R1161" s="12"/>
      <c r="S1161" s="12" t="str">
        <f t="shared" si="226"/>
        <v/>
      </c>
      <c r="T1161" s="12" t="s">
        <v>74</v>
      </c>
      <c r="U1161" s="12" t="s">
        <v>11426</v>
      </c>
      <c r="V1161" s="12" t="str">
        <f t="shared" si="227"/>
        <v>1825</v>
      </c>
      <c r="W1161" s="12" t="s">
        <v>11427</v>
      </c>
      <c r="X1161" s="12" t="s">
        <v>11428</v>
      </c>
      <c r="Y1161" s="12" t="s">
        <v>11429</v>
      </c>
      <c r="Z1161" s="12"/>
      <c r="AA1161" s="12"/>
      <c r="AB1161" s="12"/>
      <c r="AC1161" s="12" t="s">
        <v>11430</v>
      </c>
      <c r="AD1161" s="12"/>
      <c r="AE1161" s="12"/>
      <c r="AF1161" s="12" t="s">
        <v>10826</v>
      </c>
      <c r="AG1161" s="12" t="s">
        <v>68</v>
      </c>
      <c r="AH1161" s="12" t="s">
        <v>11431</v>
      </c>
      <c r="AI1161" s="12" t="str">
        <f t="shared" si="228"/>
        <v>1839</v>
      </c>
      <c r="AJ1161" s="12"/>
      <c r="AK1161" s="12" t="s">
        <v>11394</v>
      </c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</row>
    <row r="1162" spans="1:71">
      <c r="A1162" s="12" t="s">
        <v>698</v>
      </c>
      <c r="B1162" s="12" t="str">
        <f t="shared" si="220"/>
        <v>NEL</v>
      </c>
      <c r="C1162" s="12" t="str">
        <f t="shared" si="221"/>
        <v>NEL</v>
      </c>
      <c r="D1162" s="12" t="s">
        <v>5962</v>
      </c>
      <c r="E1162" s="12" t="str">
        <f t="shared" si="231"/>
        <v>Lucas Marthinus</v>
      </c>
      <c r="F1162" s="12" t="s">
        <v>11386</v>
      </c>
      <c r="G1162" s="12" t="str">
        <f t="shared" si="222"/>
        <v>a1b10c5d3e7</v>
      </c>
      <c r="H1162" s="12" t="str">
        <f t="shared" si="223"/>
        <v>NELa1b10c5d3e7</v>
      </c>
      <c r="I1162" s="12"/>
      <c r="J1162" s="12" t="s">
        <v>11387</v>
      </c>
      <c r="K1162" s="12" t="str">
        <f t="shared" si="224"/>
        <v>1790</v>
      </c>
      <c r="L1162" s="12"/>
      <c r="M1162" s="12" t="s">
        <v>11388</v>
      </c>
      <c r="N1162" s="12" t="str">
        <f t="shared" si="229"/>
        <v>1790</v>
      </c>
      <c r="O1162" s="12" t="str">
        <f t="shared" si="230"/>
        <v>1793</v>
      </c>
      <c r="P1162" s="12" t="s">
        <v>11389</v>
      </c>
      <c r="Q1162" s="12" t="str">
        <f t="shared" si="225"/>
        <v>1790</v>
      </c>
      <c r="R1162" s="12" t="s">
        <v>11390</v>
      </c>
      <c r="S1162" s="12" t="str">
        <f t="shared" si="226"/>
        <v>1867</v>
      </c>
      <c r="T1162" s="12" t="s">
        <v>366</v>
      </c>
      <c r="U1162" s="12" t="s">
        <v>10961</v>
      </c>
      <c r="V1162" s="12" t="str">
        <f t="shared" si="227"/>
        <v>1819</v>
      </c>
      <c r="W1162" s="12" t="s">
        <v>11391</v>
      </c>
      <c r="X1162" s="12" t="s">
        <v>667</v>
      </c>
      <c r="Y1162" s="12"/>
      <c r="Z1162" s="12"/>
      <c r="AA1162" s="12" t="s">
        <v>11392</v>
      </c>
      <c r="AB1162" s="12" t="s">
        <v>1071</v>
      </c>
      <c r="AC1162" s="12" t="s">
        <v>11393</v>
      </c>
      <c r="AD1162" s="12"/>
      <c r="AE1162" s="12">
        <v>1838</v>
      </c>
      <c r="AF1162" s="12" t="s">
        <v>3703</v>
      </c>
      <c r="AG1162" s="12" t="s">
        <v>366</v>
      </c>
      <c r="AH1162" s="12" t="s">
        <v>1036</v>
      </c>
      <c r="AI1162" s="12" t="str">
        <f t="shared" si="228"/>
        <v>1838</v>
      </c>
      <c r="AJ1162" s="12"/>
      <c r="AK1162" s="12" t="s">
        <v>11394</v>
      </c>
      <c r="AL1162" s="12"/>
      <c r="AM1162" s="12" t="s">
        <v>11395</v>
      </c>
      <c r="AN1162" s="12" t="s">
        <v>11396</v>
      </c>
      <c r="AO1162" s="12" t="s">
        <v>2086</v>
      </c>
      <c r="AP1162" s="12"/>
      <c r="AQ1162" s="12"/>
      <c r="AR1162" s="12" t="s">
        <v>11397</v>
      </c>
      <c r="AS1162" s="12"/>
      <c r="AT1162" s="12"/>
      <c r="AU1162" s="12" t="s">
        <v>11389</v>
      </c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</row>
    <row r="1163" spans="1:71">
      <c r="A1163" s="12" t="s">
        <v>698</v>
      </c>
      <c r="B1163" s="12" t="str">
        <f t="shared" si="220"/>
        <v>NEL</v>
      </c>
      <c r="C1163" s="12" t="str">
        <f t="shared" si="221"/>
        <v>NEL</v>
      </c>
      <c r="D1163" s="12" t="s">
        <v>11450</v>
      </c>
      <c r="E1163" s="12" t="str">
        <f t="shared" si="231"/>
        <v>Sephanus Johannes</v>
      </c>
      <c r="F1163" s="12" t="s">
        <v>11451</v>
      </c>
      <c r="G1163" s="12" t="str">
        <f t="shared" si="222"/>
        <v>a1b10c5d3e7f2</v>
      </c>
      <c r="H1163" s="12" t="str">
        <f t="shared" si="223"/>
        <v>NELa1b10c5d3e7f2</v>
      </c>
      <c r="I1163" s="12"/>
      <c r="J1163" s="12" t="s">
        <v>11452</v>
      </c>
      <c r="K1163" s="12" t="str">
        <f t="shared" si="224"/>
        <v>1823</v>
      </c>
      <c r="L1163" s="12" t="s">
        <v>366</v>
      </c>
      <c r="M1163" s="12" t="s">
        <v>11453</v>
      </c>
      <c r="N1163" s="12" t="str">
        <f t="shared" si="229"/>
        <v>1823</v>
      </c>
      <c r="O1163" s="12" t="str">
        <f t="shared" si="230"/>
        <v>1823</v>
      </c>
      <c r="P1163" s="12"/>
      <c r="Q1163" s="12" t="str">
        <f t="shared" si="225"/>
        <v>1823</v>
      </c>
      <c r="R1163" s="12">
        <v>1859</v>
      </c>
      <c r="S1163" s="12" t="str">
        <f t="shared" si="226"/>
        <v>1859</v>
      </c>
      <c r="T1163" s="12"/>
      <c r="U1163" s="12"/>
      <c r="V1163" s="12" t="str">
        <f t="shared" si="227"/>
        <v/>
      </c>
      <c r="W1163" s="12" t="s">
        <v>819</v>
      </c>
      <c r="X1163" s="12" t="s">
        <v>4624</v>
      </c>
      <c r="Y1163" s="12"/>
      <c r="Z1163" s="12"/>
      <c r="AA1163" s="12"/>
      <c r="AB1163" s="12"/>
      <c r="AC1163" s="12"/>
      <c r="AD1163" s="12"/>
      <c r="AE1163" s="12"/>
      <c r="AF1163" s="12" t="s">
        <v>3703</v>
      </c>
      <c r="AG1163" s="12" t="s">
        <v>366</v>
      </c>
      <c r="AH1163" s="12"/>
      <c r="AI1163" s="12" t="str">
        <f t="shared" si="228"/>
        <v/>
      </c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</row>
    <row r="1164" spans="1:71">
      <c r="A1164" s="12" t="s">
        <v>698</v>
      </c>
      <c r="B1164" s="12" t="str">
        <f t="shared" si="220"/>
        <v>NEL</v>
      </c>
      <c r="C1164" s="12" t="str">
        <f t="shared" si="221"/>
        <v>NEL</v>
      </c>
      <c r="D1164" s="12" t="s">
        <v>1284</v>
      </c>
      <c r="E1164" s="12" t="str">
        <f t="shared" si="231"/>
        <v>Johannes Hendrik</v>
      </c>
      <c r="F1164" s="12" t="s">
        <v>11337</v>
      </c>
      <c r="G1164" s="12" t="str">
        <f t="shared" si="222"/>
        <v>a1b10c5d4</v>
      </c>
      <c r="H1164" s="12" t="str">
        <f t="shared" si="223"/>
        <v>NELa1b10c5d4</v>
      </c>
      <c r="I1164" s="12"/>
      <c r="J1164" s="12">
        <v>1760</v>
      </c>
      <c r="K1164" s="12" t="str">
        <f t="shared" si="224"/>
        <v>1760</v>
      </c>
      <c r="L1164" s="12"/>
      <c r="M1164" s="12"/>
      <c r="N1164" s="12" t="str">
        <f t="shared" si="229"/>
        <v>1760</v>
      </c>
      <c r="O1164" s="12" t="str">
        <f t="shared" si="230"/>
        <v/>
      </c>
      <c r="P1164" s="12" t="s">
        <v>53</v>
      </c>
      <c r="Q1164" s="12" t="str">
        <f t="shared" si="225"/>
        <v>1760</v>
      </c>
      <c r="R1164" s="12" t="s">
        <v>11338</v>
      </c>
      <c r="S1164" s="12" t="str">
        <f t="shared" si="226"/>
        <v>1841</v>
      </c>
      <c r="T1164" s="12"/>
      <c r="U1164" s="12" t="s">
        <v>11339</v>
      </c>
      <c r="V1164" s="12" t="str">
        <f t="shared" si="227"/>
        <v>1785</v>
      </c>
      <c r="W1164" s="12" t="s">
        <v>712</v>
      </c>
      <c r="X1164" s="12" t="s">
        <v>700</v>
      </c>
      <c r="Y1164" s="12"/>
      <c r="Z1164" s="12"/>
      <c r="AA1164" s="12"/>
      <c r="AB1164" s="12"/>
      <c r="AC1164" s="12"/>
      <c r="AD1164" s="12"/>
      <c r="AE1164" s="12"/>
      <c r="AF1164" s="12" t="s">
        <v>11340</v>
      </c>
      <c r="AG1164" s="12" t="s">
        <v>53</v>
      </c>
      <c r="AH1164" s="12" t="s">
        <v>11341</v>
      </c>
      <c r="AI1164" s="12" t="str">
        <f t="shared" si="228"/>
        <v>1840</v>
      </c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</row>
    <row r="1165" spans="1:71">
      <c r="A1165" s="12" t="s">
        <v>698</v>
      </c>
      <c r="B1165" s="12" t="str">
        <f t="shared" si="220"/>
        <v>NEL</v>
      </c>
      <c r="C1165" s="12" t="str">
        <f t="shared" si="221"/>
        <v>NEL</v>
      </c>
      <c r="D1165" s="12" t="s">
        <v>11432</v>
      </c>
      <c r="E1165" s="12" t="str">
        <f t="shared" si="231"/>
        <v>Pieter Willem Adriaan</v>
      </c>
      <c r="F1165" s="12" t="s">
        <v>11438</v>
      </c>
      <c r="G1165" s="12" t="str">
        <f t="shared" si="222"/>
        <v>a1b10c5d4e2f2</v>
      </c>
      <c r="H1165" s="12" t="str">
        <f t="shared" si="223"/>
        <v>NELa1b10c5d4e2f2</v>
      </c>
      <c r="I1165" s="12"/>
      <c r="J1165" s="12"/>
      <c r="K1165" s="12" t="str">
        <f t="shared" si="224"/>
        <v/>
      </c>
      <c r="L1165" s="12"/>
      <c r="M1165" s="12" t="s">
        <v>11439</v>
      </c>
      <c r="N1165" s="12" t="str">
        <f t="shared" si="229"/>
        <v/>
      </c>
      <c r="O1165" s="12" t="str">
        <f t="shared" si="230"/>
        <v>1812</v>
      </c>
      <c r="P1165" s="12"/>
      <c r="Q1165" s="12" t="str">
        <f t="shared" si="225"/>
        <v>1812</v>
      </c>
      <c r="R1165" s="12"/>
      <c r="S1165" s="12" t="str">
        <f t="shared" si="226"/>
        <v/>
      </c>
      <c r="T1165" s="12" t="s">
        <v>199</v>
      </c>
      <c r="U1165" s="12" t="s">
        <v>11440</v>
      </c>
      <c r="V1165" s="12" t="str">
        <f t="shared" si="227"/>
        <v>1831</v>
      </c>
      <c r="W1165" s="12" t="s">
        <v>11441</v>
      </c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 t="s">
        <v>199</v>
      </c>
      <c r="AH1165" s="12" t="s">
        <v>4696</v>
      </c>
      <c r="AI1165" s="12" t="str">
        <f t="shared" si="228"/>
        <v>1844</v>
      </c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</row>
    <row r="1166" spans="1:71">
      <c r="A1166" s="12" t="s">
        <v>698</v>
      </c>
      <c r="B1166" s="12" t="str">
        <f t="shared" si="220"/>
        <v>NEL</v>
      </c>
      <c r="C1166" s="12" t="str">
        <f t="shared" si="221"/>
        <v>NEL</v>
      </c>
      <c r="D1166" s="12" t="s">
        <v>8015</v>
      </c>
      <c r="E1166" s="12" t="str">
        <f t="shared" si="231"/>
        <v>Pieter Willem</v>
      </c>
      <c r="F1166" s="12" t="s">
        <v>11421</v>
      </c>
      <c r="G1166" s="12" t="str">
        <f t="shared" si="222"/>
        <v>a1b10c5d9e1</v>
      </c>
      <c r="H1166" s="12" t="str">
        <f t="shared" si="223"/>
        <v>NELa1b10c5d9e1</v>
      </c>
      <c r="I1166" s="12"/>
      <c r="J1166" s="12"/>
      <c r="K1166" s="12" t="str">
        <f t="shared" si="224"/>
        <v/>
      </c>
      <c r="L1166" s="12"/>
      <c r="M1166" s="12" t="s">
        <v>11422</v>
      </c>
      <c r="N1166" s="12" t="str">
        <f t="shared" si="229"/>
        <v/>
      </c>
      <c r="O1166" s="12" t="str">
        <f t="shared" si="230"/>
        <v>1796</v>
      </c>
      <c r="P1166" s="12"/>
      <c r="Q1166" s="12" t="str">
        <f t="shared" si="225"/>
        <v>1796</v>
      </c>
      <c r="R1166" s="12"/>
      <c r="S1166" s="12" t="str">
        <f t="shared" si="226"/>
        <v/>
      </c>
      <c r="T1166" s="12"/>
      <c r="U1166" s="12"/>
      <c r="V1166" s="12" t="str">
        <f t="shared" si="227"/>
        <v/>
      </c>
      <c r="W1166" s="12" t="s">
        <v>11423</v>
      </c>
      <c r="X1166" s="12" t="s">
        <v>698</v>
      </c>
      <c r="Y1166" s="12" t="s">
        <v>11424</v>
      </c>
      <c r="Z1166" s="12"/>
      <c r="AA1166" s="12"/>
      <c r="AB1166" s="12"/>
      <c r="AC1166" s="12"/>
      <c r="AD1166" s="12"/>
      <c r="AE1166" s="12"/>
      <c r="AF1166" s="12" t="s">
        <v>10370</v>
      </c>
      <c r="AG1166" s="12" t="s">
        <v>53</v>
      </c>
      <c r="AH1166" s="12" t="s">
        <v>503</v>
      </c>
      <c r="AI1166" s="12" t="str">
        <f t="shared" si="228"/>
        <v>1837</v>
      </c>
      <c r="AJ1166" s="12" t="s">
        <v>11419</v>
      </c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</row>
    <row r="1167" spans="1:71">
      <c r="A1167" s="12" t="s">
        <v>698</v>
      </c>
      <c r="B1167" s="12" t="str">
        <f t="shared" si="220"/>
        <v>NEL</v>
      </c>
      <c r="C1167" s="12" t="str">
        <f t="shared" si="221"/>
        <v>NEL</v>
      </c>
      <c r="D1167" s="12" t="s">
        <v>11297</v>
      </c>
      <c r="E1167" s="12" t="str">
        <f t="shared" si="231"/>
        <v>Berrit Petrus Daniel Jacobus</v>
      </c>
      <c r="F1167" s="12" t="s">
        <v>11298</v>
      </c>
      <c r="G1167" s="12" t="str">
        <f t="shared" si="222"/>
        <v>a1b10c5d9e1f1</v>
      </c>
      <c r="H1167" s="12" t="str">
        <f t="shared" si="223"/>
        <v>NELa1b10c5d9e1f1</v>
      </c>
      <c r="I1167" s="12"/>
      <c r="J1167" s="12"/>
      <c r="K1167" s="12" t="str">
        <f t="shared" si="224"/>
        <v/>
      </c>
      <c r="L1167" s="12"/>
      <c r="M1167" s="12" t="s">
        <v>11299</v>
      </c>
      <c r="N1167" s="12" t="str">
        <f t="shared" si="229"/>
        <v/>
      </c>
      <c r="O1167" s="12" t="str">
        <f t="shared" si="230"/>
        <v>1818</v>
      </c>
      <c r="P1167" s="12" t="s">
        <v>1315</v>
      </c>
      <c r="Q1167" s="12" t="str">
        <f t="shared" si="225"/>
        <v>1818</v>
      </c>
      <c r="R1167" s="12"/>
      <c r="S1167" s="12" t="str">
        <f t="shared" si="226"/>
        <v/>
      </c>
      <c r="T1167" s="12"/>
      <c r="U1167" s="12"/>
      <c r="V1167" s="12" t="str">
        <f t="shared" si="227"/>
        <v/>
      </c>
      <c r="W1167" s="12" t="s">
        <v>11300</v>
      </c>
      <c r="X1167" s="12" t="s">
        <v>2306</v>
      </c>
      <c r="Y1167" s="12"/>
      <c r="Z1167" s="12"/>
      <c r="AA1167" s="12" t="s">
        <v>11301</v>
      </c>
      <c r="AB1167" s="12"/>
      <c r="AC1167" s="12"/>
      <c r="AD1167" s="12" t="s">
        <v>9365</v>
      </c>
      <c r="AE1167" s="12"/>
      <c r="AF1167" s="12" t="s">
        <v>11302</v>
      </c>
      <c r="AG1167" s="12"/>
      <c r="AH1167" s="12"/>
      <c r="AI1167" s="12" t="str">
        <f t="shared" si="228"/>
        <v/>
      </c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</row>
    <row r="1168" spans="1:71">
      <c r="A1168" s="12" t="s">
        <v>698</v>
      </c>
      <c r="B1168" s="12" t="str">
        <f t="shared" si="220"/>
        <v>NEL</v>
      </c>
      <c r="C1168" s="12" t="str">
        <f t="shared" si="221"/>
        <v>NEL</v>
      </c>
      <c r="D1168" s="12" t="s">
        <v>11350</v>
      </c>
      <c r="E1168" s="12" t="str">
        <f t="shared" si="231"/>
        <v>Johannes Petrus Sr.</v>
      </c>
      <c r="F1168" s="12" t="s">
        <v>11351</v>
      </c>
      <c r="G1168" s="12" t="str">
        <f t="shared" si="222"/>
        <v>a1b1c3d1e2</v>
      </c>
      <c r="H1168" s="12" t="str">
        <f t="shared" si="223"/>
        <v>NELa1b1c3d1e2</v>
      </c>
      <c r="I1168" s="12"/>
      <c r="J1168" s="12" t="s">
        <v>11352</v>
      </c>
      <c r="K1168" s="12" t="str">
        <f t="shared" si="224"/>
        <v>1773</v>
      </c>
      <c r="L1168" s="12"/>
      <c r="M1168" s="12"/>
      <c r="N1168" s="12" t="str">
        <f t="shared" si="229"/>
        <v>1773</v>
      </c>
      <c r="O1168" s="12" t="str">
        <f t="shared" si="230"/>
        <v/>
      </c>
      <c r="P1168" s="12"/>
      <c r="Q1168" s="12" t="str">
        <f t="shared" si="225"/>
        <v>1773</v>
      </c>
      <c r="R1168" s="12"/>
      <c r="S1168" s="12" t="str">
        <f t="shared" si="226"/>
        <v/>
      </c>
      <c r="T1168" s="12"/>
      <c r="U1168" s="12" t="s">
        <v>11353</v>
      </c>
      <c r="V1168" s="12" t="str">
        <f t="shared" si="227"/>
        <v>1797</v>
      </c>
      <c r="W1168" s="12" t="s">
        <v>11354</v>
      </c>
      <c r="X1168" s="12" t="s">
        <v>631</v>
      </c>
      <c r="Y1168" s="12" t="s">
        <v>11355</v>
      </c>
      <c r="Z1168" s="12"/>
      <c r="AA1168" s="12"/>
      <c r="AB1168" s="12"/>
      <c r="AC1168" s="12"/>
      <c r="AD1168" s="12"/>
      <c r="AE1168" s="12"/>
      <c r="AF1168" s="12" t="s">
        <v>3710</v>
      </c>
      <c r="AG1168" s="12" t="s">
        <v>346</v>
      </c>
      <c r="AH1168" s="12" t="s">
        <v>11282</v>
      </c>
      <c r="AI1168" s="12" t="str">
        <f t="shared" si="228"/>
        <v>1837</v>
      </c>
      <c r="AJ1168" s="12" t="s">
        <v>11290</v>
      </c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</row>
    <row r="1169" spans="1:71">
      <c r="A1169" s="12" t="s">
        <v>698</v>
      </c>
      <c r="B1169" s="12" t="str">
        <f t="shared" si="220"/>
        <v>NEL</v>
      </c>
      <c r="C1169" s="12" t="str">
        <f t="shared" si="221"/>
        <v>NEL</v>
      </c>
      <c r="D1169" s="12" t="s">
        <v>11356</v>
      </c>
      <c r="E1169" s="12" t="str">
        <f t="shared" si="231"/>
        <v>Johannes Petrus Jr.</v>
      </c>
      <c r="F1169" s="12" t="s">
        <v>11357</v>
      </c>
      <c r="G1169" s="12" t="str">
        <f t="shared" si="222"/>
        <v>a1b1c3d1e2f1</v>
      </c>
      <c r="H1169" s="12" t="str">
        <f t="shared" si="223"/>
        <v>NELa1b1c3d1e2f1</v>
      </c>
      <c r="I1169" s="12"/>
      <c r="J1169" s="12"/>
      <c r="K1169" s="12" t="str">
        <f t="shared" si="224"/>
        <v/>
      </c>
      <c r="L1169" s="12" t="s">
        <v>32</v>
      </c>
      <c r="M1169" s="12" t="s">
        <v>10557</v>
      </c>
      <c r="N1169" s="12" t="str">
        <f t="shared" si="229"/>
        <v/>
      </c>
      <c r="O1169" s="12" t="str">
        <f t="shared" si="230"/>
        <v>1798</v>
      </c>
      <c r="P1169" s="12"/>
      <c r="Q1169" s="12" t="str">
        <f t="shared" si="225"/>
        <v>1798</v>
      </c>
      <c r="R1169" s="12"/>
      <c r="S1169" s="12" t="str">
        <f t="shared" si="226"/>
        <v/>
      </c>
      <c r="T1169" s="12" t="s">
        <v>53</v>
      </c>
      <c r="U1169" s="12" t="s">
        <v>10524</v>
      </c>
      <c r="V1169" s="12" t="str">
        <f t="shared" si="227"/>
        <v>1821</v>
      </c>
      <c r="W1169" s="12" t="s">
        <v>2987</v>
      </c>
      <c r="X1169" s="12" t="s">
        <v>698</v>
      </c>
      <c r="Y1169" s="12" t="s">
        <v>11358</v>
      </c>
      <c r="Z1169" s="12"/>
      <c r="AA1169" s="12"/>
      <c r="AB1169" s="12"/>
      <c r="AC1169" s="12"/>
      <c r="AD1169" s="12"/>
      <c r="AE1169" s="12"/>
      <c r="AF1169" s="12" t="s">
        <v>3710</v>
      </c>
      <c r="AG1169" s="12" t="s">
        <v>346</v>
      </c>
      <c r="AH1169" s="12" t="s">
        <v>11282</v>
      </c>
      <c r="AI1169" s="12" t="str">
        <f t="shared" si="228"/>
        <v>1837</v>
      </c>
      <c r="AJ1169" s="12" t="s">
        <v>11283</v>
      </c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</row>
    <row r="1170" spans="1:71">
      <c r="A1170" s="12" t="s">
        <v>698</v>
      </c>
      <c r="B1170" s="12" t="str">
        <f t="shared" si="220"/>
        <v>NEL</v>
      </c>
      <c r="C1170" s="12" t="str">
        <f t="shared" si="221"/>
        <v>NEL</v>
      </c>
      <c r="D1170" s="12" t="s">
        <v>611</v>
      </c>
      <c r="E1170" s="12" t="str">
        <f t="shared" si="231"/>
        <v>Hermanus Stephanus</v>
      </c>
      <c r="F1170" s="12" t="s">
        <v>11310</v>
      </c>
      <c r="G1170" s="12" t="str">
        <f t="shared" si="222"/>
        <v>a1b2c2d3E3f3</v>
      </c>
      <c r="H1170" s="12" t="str">
        <f t="shared" si="223"/>
        <v>NELa1b2c2d3E3f3</v>
      </c>
      <c r="I1170" s="12"/>
      <c r="J1170" s="12" t="s">
        <v>11311</v>
      </c>
      <c r="K1170" s="12" t="str">
        <f t="shared" si="224"/>
        <v>1815</v>
      </c>
      <c r="L1170" s="12" t="s">
        <v>199</v>
      </c>
      <c r="M1170" s="12" t="s">
        <v>6780</v>
      </c>
      <c r="N1170" s="12" t="str">
        <f t="shared" si="229"/>
        <v>1815</v>
      </c>
      <c r="O1170" s="12" t="str">
        <f t="shared" si="230"/>
        <v>1815</v>
      </c>
      <c r="P1170" s="12" t="s">
        <v>11312</v>
      </c>
      <c r="Q1170" s="12" t="str">
        <f t="shared" si="225"/>
        <v>1815</v>
      </c>
      <c r="R1170" s="12" t="s">
        <v>11313</v>
      </c>
      <c r="S1170" s="12" t="str">
        <f t="shared" si="226"/>
        <v>1894</v>
      </c>
      <c r="T1170" s="12"/>
      <c r="U1170" s="12"/>
      <c r="V1170" s="12" t="str">
        <f t="shared" si="227"/>
        <v/>
      </c>
      <c r="W1170" s="12" t="s">
        <v>644</v>
      </c>
      <c r="X1170" s="12" t="s">
        <v>726</v>
      </c>
      <c r="Y1170" s="12"/>
      <c r="Z1170" s="12"/>
      <c r="AA1170" s="12"/>
      <c r="AB1170" s="12"/>
      <c r="AC1170" s="12"/>
      <c r="AD1170" s="12"/>
      <c r="AE1170" s="12"/>
      <c r="AF1170" s="12" t="s">
        <v>3728</v>
      </c>
      <c r="AG1170" s="12" t="s">
        <v>346</v>
      </c>
      <c r="AH1170" s="12" t="s">
        <v>11314</v>
      </c>
      <c r="AI1170" s="12" t="str">
        <f t="shared" si="228"/>
        <v>1844</v>
      </c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</row>
    <row r="1171" spans="1:71">
      <c r="A1171" s="12" t="s">
        <v>698</v>
      </c>
      <c r="B1171" s="12" t="str">
        <f t="shared" si="220"/>
        <v>NEL</v>
      </c>
      <c r="C1171" s="12" t="str">
        <f t="shared" si="221"/>
        <v>NEL</v>
      </c>
      <c r="D1171" s="12" t="s">
        <v>11442</v>
      </c>
      <c r="E1171" s="12" t="str">
        <f t="shared" si="231"/>
        <v>Stephanus Christoffel Anthonie</v>
      </c>
      <c r="F1171" s="12" t="s">
        <v>11443</v>
      </c>
      <c r="G1171" s="12" t="str">
        <f t="shared" si="222"/>
        <v>a1b2c2d3e3f5</v>
      </c>
      <c r="H1171" s="12" t="str">
        <f t="shared" si="223"/>
        <v>NELa1b2c2d3e3f5</v>
      </c>
      <c r="I1171" s="12"/>
      <c r="J1171" s="12" t="s">
        <v>11246</v>
      </c>
      <c r="K1171" s="12" t="str">
        <f t="shared" si="224"/>
        <v>1819</v>
      </c>
      <c r="L1171" s="12" t="s">
        <v>53</v>
      </c>
      <c r="M1171" s="12" t="s">
        <v>11444</v>
      </c>
      <c r="N1171" s="12" t="str">
        <f t="shared" si="229"/>
        <v>1819</v>
      </c>
      <c r="O1171" s="12" t="str">
        <f t="shared" si="230"/>
        <v>1819</v>
      </c>
      <c r="P1171" s="12" t="s">
        <v>11445</v>
      </c>
      <c r="Q1171" s="12" t="str">
        <f t="shared" si="225"/>
        <v>1819</v>
      </c>
      <c r="R1171" s="12" t="s">
        <v>11446</v>
      </c>
      <c r="S1171" s="12" t="str">
        <f t="shared" si="226"/>
        <v>1902</v>
      </c>
      <c r="T1171" s="12" t="s">
        <v>1185</v>
      </c>
      <c r="U1171" s="12" t="s">
        <v>11447</v>
      </c>
      <c r="V1171" s="12" t="str">
        <f t="shared" si="227"/>
        <v>1839</v>
      </c>
      <c r="W1171" s="12" t="s">
        <v>11448</v>
      </c>
      <c r="X1171" s="12" t="s">
        <v>726</v>
      </c>
      <c r="Y1171" s="12" t="s">
        <v>11449</v>
      </c>
      <c r="Z1171" s="12"/>
      <c r="AA1171" s="12"/>
      <c r="AB1171" s="12"/>
      <c r="AC1171" s="12"/>
      <c r="AD1171" s="12"/>
      <c r="AE1171" s="12"/>
      <c r="AF1171" s="12" t="s">
        <v>3728</v>
      </c>
      <c r="AG1171" s="12" t="s">
        <v>346</v>
      </c>
      <c r="AH1171" s="12"/>
      <c r="AI1171" s="12" t="str">
        <f t="shared" si="228"/>
        <v/>
      </c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</row>
    <row r="1172" spans="1:71">
      <c r="A1172" s="12" t="s">
        <v>698</v>
      </c>
      <c r="B1172" s="12" t="str">
        <f t="shared" si="220"/>
        <v>NEL</v>
      </c>
      <c r="C1172" s="12" t="str">
        <f t="shared" si="221"/>
        <v>NEL</v>
      </c>
      <c r="D1172" s="12" t="s">
        <v>2367</v>
      </c>
      <c r="E1172" s="12" t="str">
        <f t="shared" si="231"/>
        <v>Willem Andries</v>
      </c>
      <c r="F1172" s="12" t="s">
        <v>11469</v>
      </c>
      <c r="G1172" s="12" t="str">
        <f t="shared" si="222"/>
        <v>a1b2c2d44e3</v>
      </c>
      <c r="H1172" s="12" t="str">
        <f t="shared" si="223"/>
        <v>NELa1b2c2d44e3</v>
      </c>
      <c r="I1172" s="12"/>
      <c r="J1172" s="12"/>
      <c r="K1172" s="12" t="str">
        <f t="shared" si="224"/>
        <v/>
      </c>
      <c r="L1172" s="12"/>
      <c r="M1172" s="12" t="s">
        <v>11470</v>
      </c>
      <c r="N1172" s="12" t="str">
        <f t="shared" si="229"/>
        <v/>
      </c>
      <c r="O1172" s="12" t="str">
        <f t="shared" si="230"/>
        <v>1788</v>
      </c>
      <c r="P1172" s="12"/>
      <c r="Q1172" s="12" t="str">
        <f t="shared" si="225"/>
        <v>1788</v>
      </c>
      <c r="R1172" s="12"/>
      <c r="S1172" s="12" t="str">
        <f t="shared" si="226"/>
        <v/>
      </c>
      <c r="T1172" s="12" t="s">
        <v>32</v>
      </c>
      <c r="U1172" s="12" t="s">
        <v>11471</v>
      </c>
      <c r="V1172" s="12" t="str">
        <f t="shared" si="227"/>
        <v>1808</v>
      </c>
      <c r="W1172" s="12" t="s">
        <v>650</v>
      </c>
      <c r="X1172" s="12" t="s">
        <v>758</v>
      </c>
      <c r="Y1172" s="12" t="s">
        <v>11472</v>
      </c>
      <c r="Z1172" s="12"/>
      <c r="AA1172" s="12"/>
      <c r="AB1172" s="12"/>
      <c r="AC1172" s="12"/>
      <c r="AD1172" s="12" t="s">
        <v>90</v>
      </c>
      <c r="AE1172" s="12" t="s">
        <v>11473</v>
      </c>
      <c r="AF1172" s="12" t="s">
        <v>5578</v>
      </c>
      <c r="AG1172" s="12" t="s">
        <v>32</v>
      </c>
      <c r="AH1172" s="12"/>
      <c r="AI1172" s="12" t="str">
        <f t="shared" si="228"/>
        <v/>
      </c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</row>
    <row r="1173" spans="1:71">
      <c r="A1173" s="12" t="s">
        <v>698</v>
      </c>
      <c r="B1173" s="12" t="str">
        <f t="shared" si="220"/>
        <v>NEL</v>
      </c>
      <c r="C1173" s="12" t="str">
        <f t="shared" si="221"/>
        <v>NEL</v>
      </c>
      <c r="D1173" s="12" t="s">
        <v>11291</v>
      </c>
      <c r="E1173" s="12" t="str">
        <f t="shared" si="231"/>
        <v>Gerrit Cornelis Johannes</v>
      </c>
      <c r="F1173" s="12" t="s">
        <v>11292</v>
      </c>
      <c r="G1173" s="12" t="str">
        <f t="shared" si="222"/>
        <v>a1b2c2d4e3f2</v>
      </c>
      <c r="H1173" s="12" t="str">
        <f t="shared" si="223"/>
        <v>NELa1b2c2d4e3f2</v>
      </c>
      <c r="I1173" s="12"/>
      <c r="J1173" s="12"/>
      <c r="K1173" s="12" t="str">
        <f t="shared" si="224"/>
        <v/>
      </c>
      <c r="L1173" s="12"/>
      <c r="M1173" s="12" t="s">
        <v>11293</v>
      </c>
      <c r="N1173" s="12" t="str">
        <f t="shared" si="229"/>
        <v/>
      </c>
      <c r="O1173" s="12" t="str">
        <f t="shared" si="230"/>
        <v>1818</v>
      </c>
      <c r="P1173" s="12"/>
      <c r="Q1173" s="12" t="str">
        <f t="shared" si="225"/>
        <v>1818</v>
      </c>
      <c r="R1173" s="12"/>
      <c r="S1173" s="12" t="str">
        <f t="shared" si="226"/>
        <v/>
      </c>
      <c r="T1173" s="12" t="s">
        <v>32</v>
      </c>
      <c r="U1173" s="12" t="s">
        <v>11294</v>
      </c>
      <c r="V1173" s="12" t="str">
        <f t="shared" si="227"/>
        <v>1835</v>
      </c>
      <c r="W1173" s="12" t="s">
        <v>650</v>
      </c>
      <c r="X1173" s="12" t="s">
        <v>11295</v>
      </c>
      <c r="Y1173" s="12"/>
      <c r="Z1173" s="12"/>
      <c r="AA1173" s="12"/>
      <c r="AB1173" s="12"/>
      <c r="AC1173" s="12"/>
      <c r="AD1173" s="12"/>
      <c r="AE1173" s="12"/>
      <c r="AF1173" s="12" t="s">
        <v>5578</v>
      </c>
      <c r="AG1173" s="12" t="s">
        <v>32</v>
      </c>
      <c r="AH1173" s="12" t="s">
        <v>11296</v>
      </c>
      <c r="AI1173" s="12" t="str">
        <f t="shared" si="228"/>
        <v>1841</v>
      </c>
      <c r="AJ1173" s="12"/>
      <c r="AK1173" s="12" t="s">
        <v>90</v>
      </c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</row>
    <row r="1174" spans="1:71">
      <c r="A1174" s="12" t="s">
        <v>698</v>
      </c>
      <c r="B1174" s="12" t="str">
        <f t="shared" si="220"/>
        <v>NEL</v>
      </c>
      <c r="C1174" s="12" t="str">
        <f t="shared" si="221"/>
        <v>NEL</v>
      </c>
      <c r="D1174" s="12" t="s">
        <v>11474</v>
      </c>
      <c r="E1174" s="12" t="str">
        <f t="shared" si="231"/>
        <v>Willem Andries Stephanus</v>
      </c>
      <c r="F1174" s="12" t="s">
        <v>11475</v>
      </c>
      <c r="G1174" s="12" t="str">
        <f t="shared" si="222"/>
        <v>a1b2c2d4e3f4</v>
      </c>
      <c r="H1174" s="12" t="str">
        <f t="shared" si="223"/>
        <v>NELa1b2c2d4e3f4</v>
      </c>
      <c r="I1174" s="12"/>
      <c r="J1174" s="12" t="s">
        <v>11476</v>
      </c>
      <c r="K1174" s="12" t="str">
        <f t="shared" si="224"/>
        <v>1821</v>
      </c>
      <c r="L1174" s="12" t="s">
        <v>53</v>
      </c>
      <c r="M1174" s="12" t="s">
        <v>11477</v>
      </c>
      <c r="N1174" s="12" t="str">
        <f t="shared" si="229"/>
        <v>1821</v>
      </c>
      <c r="O1174" s="12" t="str">
        <f t="shared" si="230"/>
        <v>1822</v>
      </c>
      <c r="P1174" s="12"/>
      <c r="Q1174" s="12" t="str">
        <f t="shared" si="225"/>
        <v>1821</v>
      </c>
      <c r="R1174" s="12"/>
      <c r="S1174" s="12" t="str">
        <f t="shared" si="226"/>
        <v/>
      </c>
      <c r="T1174" s="12" t="s">
        <v>90</v>
      </c>
      <c r="U1174" s="12" t="s">
        <v>11478</v>
      </c>
      <c r="V1174" s="12" t="str">
        <f t="shared" si="227"/>
        <v>1845</v>
      </c>
      <c r="W1174" s="12" t="s">
        <v>11479</v>
      </c>
      <c r="X1174" s="12" t="s">
        <v>657</v>
      </c>
      <c r="Y1174" s="12" t="s">
        <v>11480</v>
      </c>
      <c r="Z1174" s="12"/>
      <c r="AA1174" s="12" t="s">
        <v>11481</v>
      </c>
      <c r="AB1174" s="12"/>
      <c r="AC1174" s="12" t="s">
        <v>11482</v>
      </c>
      <c r="AD1174" s="12"/>
      <c r="AE1174" s="12"/>
      <c r="AF1174" s="12" t="s">
        <v>5578</v>
      </c>
      <c r="AG1174" s="12" t="s">
        <v>32</v>
      </c>
      <c r="AH1174" s="12" t="s">
        <v>385</v>
      </c>
      <c r="AI1174" s="12" t="str">
        <f t="shared" si="228"/>
        <v>1840</v>
      </c>
      <c r="AJ1174" s="12"/>
      <c r="AK1174" s="12" t="s">
        <v>90</v>
      </c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</row>
    <row r="1175" spans="1:71">
      <c r="A1175" s="12" t="s">
        <v>698</v>
      </c>
      <c r="B1175" s="12" t="str">
        <f t="shared" si="220"/>
        <v>NEL</v>
      </c>
      <c r="C1175" s="12" t="str">
        <f t="shared" si="221"/>
        <v>NEL</v>
      </c>
      <c r="D1175" s="12" t="s">
        <v>11303</v>
      </c>
      <c r="E1175" s="12" t="str">
        <f t="shared" si="231"/>
        <v>Gideon Jacobus</v>
      </c>
      <c r="F1175" s="12" t="s">
        <v>11304</v>
      </c>
      <c r="G1175" s="12" t="str">
        <f t="shared" si="222"/>
        <v>a1b2c2d4e3f6</v>
      </c>
      <c r="H1175" s="12" t="str">
        <f t="shared" si="223"/>
        <v>NELa1b2c2d4e3f6</v>
      </c>
      <c r="I1175" s="12" t="s">
        <v>32</v>
      </c>
      <c r="J1175" s="12" t="s">
        <v>11305</v>
      </c>
      <c r="K1175" s="12" t="str">
        <f t="shared" si="224"/>
        <v>1825</v>
      </c>
      <c r="L1175" s="12" t="s">
        <v>32</v>
      </c>
      <c r="M1175" s="12" t="s">
        <v>11306</v>
      </c>
      <c r="N1175" s="12" t="str">
        <f t="shared" si="229"/>
        <v>1825</v>
      </c>
      <c r="O1175" s="12" t="str">
        <f t="shared" si="230"/>
        <v>1825</v>
      </c>
      <c r="P1175" s="12" t="s">
        <v>90</v>
      </c>
      <c r="Q1175" s="12" t="str">
        <f t="shared" si="225"/>
        <v>1825</v>
      </c>
      <c r="R1175" s="12" t="s">
        <v>11307</v>
      </c>
      <c r="S1175" s="12" t="str">
        <f t="shared" si="226"/>
        <v>1853</v>
      </c>
      <c r="T1175" s="12"/>
      <c r="U1175" s="12"/>
      <c r="V1175" s="12" t="str">
        <f t="shared" si="227"/>
        <v/>
      </c>
      <c r="W1175" s="12" t="s">
        <v>11308</v>
      </c>
      <c r="X1175" s="12" t="s">
        <v>636</v>
      </c>
      <c r="Y1175" s="12" t="s">
        <v>11309</v>
      </c>
      <c r="Z1175" s="12"/>
      <c r="AA1175" s="12"/>
      <c r="AB1175" s="12"/>
      <c r="AC1175" s="12"/>
      <c r="AD1175" s="12"/>
      <c r="AE1175" s="12"/>
      <c r="AF1175" s="12" t="s">
        <v>5578</v>
      </c>
      <c r="AG1175" s="12" t="s">
        <v>32</v>
      </c>
      <c r="AH1175" s="12" t="s">
        <v>2489</v>
      </c>
      <c r="AI1175" s="12" t="str">
        <f t="shared" si="228"/>
        <v>1841</v>
      </c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</row>
    <row r="1176" spans="1:71">
      <c r="A1176" s="12" t="s">
        <v>698</v>
      </c>
      <c r="B1176" s="12" t="str">
        <f t="shared" si="220"/>
        <v>NEL</v>
      </c>
      <c r="C1176" s="12" t="str">
        <f t="shared" si="221"/>
        <v>NEL</v>
      </c>
      <c r="D1176" s="12" t="s">
        <v>9139</v>
      </c>
      <c r="E1176" s="12" t="str">
        <f t="shared" si="231"/>
        <v>Johannes Paulus</v>
      </c>
      <c r="F1176" s="12" t="s">
        <v>11342</v>
      </c>
      <c r="G1176" s="12" t="str">
        <f t="shared" si="222"/>
        <v>a1b2c2d5e1f2</v>
      </c>
      <c r="H1176" s="12" t="str">
        <f t="shared" si="223"/>
        <v>NELa1b2c2d5e1f2</v>
      </c>
      <c r="I1176" s="12"/>
      <c r="J1176" s="12"/>
      <c r="K1176" s="12" t="str">
        <f t="shared" si="224"/>
        <v/>
      </c>
      <c r="L1176" s="12"/>
      <c r="M1176" s="12" t="s">
        <v>11343</v>
      </c>
      <c r="N1176" s="12" t="str">
        <f t="shared" si="229"/>
        <v/>
      </c>
      <c r="O1176" s="12" t="str">
        <f t="shared" si="230"/>
        <v>1808</v>
      </c>
      <c r="P1176" s="12"/>
      <c r="Q1176" s="12" t="str">
        <f t="shared" si="225"/>
        <v>1808</v>
      </c>
      <c r="R1176" s="12"/>
      <c r="S1176" s="12" t="str">
        <f t="shared" si="226"/>
        <v/>
      </c>
      <c r="T1176" s="12"/>
      <c r="U1176" s="12"/>
      <c r="V1176" s="12" t="str">
        <f t="shared" si="227"/>
        <v/>
      </c>
      <c r="W1176" s="12" t="s">
        <v>11344</v>
      </c>
      <c r="X1176" s="12" t="s">
        <v>6072</v>
      </c>
      <c r="Y1176" s="12"/>
      <c r="Z1176" s="12"/>
      <c r="AA1176" s="12"/>
      <c r="AB1176" s="12"/>
      <c r="AC1176" s="12"/>
      <c r="AD1176" s="12"/>
      <c r="AE1176" s="12"/>
      <c r="AF1176" s="12" t="s">
        <v>5578</v>
      </c>
      <c r="AG1176" s="12" t="s">
        <v>32</v>
      </c>
      <c r="AH1176" s="12" t="s">
        <v>11345</v>
      </c>
      <c r="AI1176" s="12" t="str">
        <f t="shared" si="228"/>
        <v>1842</v>
      </c>
      <c r="AJ1176" s="12" t="s">
        <v>190</v>
      </c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</row>
    <row r="1177" spans="1:71">
      <c r="A1177" s="12" t="s">
        <v>698</v>
      </c>
      <c r="B1177" s="12" t="str">
        <f t="shared" si="220"/>
        <v>NEL</v>
      </c>
      <c r="C1177" s="12" t="str">
        <f t="shared" si="221"/>
        <v>NEL</v>
      </c>
      <c r="D1177" s="12" t="s">
        <v>1464</v>
      </c>
      <c r="E1177" s="12" t="str">
        <f t="shared" si="231"/>
        <v>Willem</v>
      </c>
      <c r="F1177" s="12" t="s">
        <v>11459</v>
      </c>
      <c r="G1177" s="12" t="str">
        <f t="shared" si="222"/>
        <v>a1b2c2d5e7</v>
      </c>
      <c r="H1177" s="12" t="str">
        <f t="shared" si="223"/>
        <v>NELa1b2c2d5e7</v>
      </c>
      <c r="I1177" s="12"/>
      <c r="J1177" s="12"/>
      <c r="K1177" s="12" t="str">
        <f t="shared" si="224"/>
        <v/>
      </c>
      <c r="L1177" s="12"/>
      <c r="M1177" s="12" t="s">
        <v>11460</v>
      </c>
      <c r="N1177" s="12" t="str">
        <f t="shared" si="229"/>
        <v/>
      </c>
      <c r="O1177" s="12" t="str">
        <f t="shared" si="230"/>
        <v>1805</v>
      </c>
      <c r="P1177" s="12" t="s">
        <v>406</v>
      </c>
      <c r="Q1177" s="12" t="str">
        <f t="shared" si="225"/>
        <v>1805</v>
      </c>
      <c r="R1177" s="12" t="s">
        <v>11461</v>
      </c>
      <c r="S1177" s="12" t="str">
        <f t="shared" si="226"/>
        <v>1877</v>
      </c>
      <c r="T1177" s="12" t="s">
        <v>68</v>
      </c>
      <c r="U1177" s="12" t="s">
        <v>11462</v>
      </c>
      <c r="V1177" s="12" t="str">
        <f t="shared" si="227"/>
        <v>1828</v>
      </c>
      <c r="W1177" s="12" t="s">
        <v>798</v>
      </c>
      <c r="X1177" s="12" t="s">
        <v>629</v>
      </c>
      <c r="Y1177" s="12" t="s">
        <v>10505</v>
      </c>
      <c r="Z1177" s="12"/>
      <c r="AA1177" s="12"/>
      <c r="AB1177" s="12"/>
      <c r="AC1177" s="12" t="s">
        <v>11463</v>
      </c>
      <c r="AD1177" s="12"/>
      <c r="AE1177" s="12"/>
      <c r="AF1177" s="12" t="s">
        <v>3709</v>
      </c>
      <c r="AG1177" s="12" t="s">
        <v>68</v>
      </c>
      <c r="AH1177" s="12" t="s">
        <v>10980</v>
      </c>
      <c r="AI1177" s="12" t="str">
        <f t="shared" si="228"/>
        <v>1845</v>
      </c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</row>
    <row r="1178" spans="1:71">
      <c r="A1178" s="12" t="s">
        <v>698</v>
      </c>
      <c r="B1178" s="12" t="str">
        <f t="shared" si="220"/>
        <v>NEL</v>
      </c>
      <c r="C1178" s="12" t="str">
        <f t="shared" si="221"/>
        <v>NEL</v>
      </c>
      <c r="D1178" s="12" t="s">
        <v>11398</v>
      </c>
      <c r="E1178" s="12" t="str">
        <f t="shared" si="231"/>
        <v>Philip Jacobus</v>
      </c>
      <c r="F1178" s="12" t="s">
        <v>11399</v>
      </c>
      <c r="G1178" s="12" t="str">
        <f t="shared" si="222"/>
        <v>a1b2c3d1e2f3</v>
      </c>
      <c r="H1178" s="12" t="str">
        <f t="shared" si="223"/>
        <v>NELa1b2c3d1e2f3</v>
      </c>
      <c r="I1178" s="12"/>
      <c r="J1178" s="12"/>
      <c r="K1178" s="12" t="str">
        <f t="shared" si="224"/>
        <v/>
      </c>
      <c r="L1178" s="12"/>
      <c r="M1178" s="12" t="s">
        <v>6586</v>
      </c>
      <c r="N1178" s="12" t="str">
        <f t="shared" si="229"/>
        <v/>
      </c>
      <c r="O1178" s="12" t="str">
        <f t="shared" si="230"/>
        <v>1803</v>
      </c>
      <c r="P1178" s="12"/>
      <c r="Q1178" s="12" t="str">
        <f t="shared" si="225"/>
        <v>1803</v>
      </c>
      <c r="R1178" s="12"/>
      <c r="S1178" s="12" t="str">
        <f t="shared" si="226"/>
        <v/>
      </c>
      <c r="T1178" s="12"/>
      <c r="U1178" s="12"/>
      <c r="V1178" s="12" t="str">
        <f t="shared" si="227"/>
        <v/>
      </c>
      <c r="W1178" s="12" t="s">
        <v>11400</v>
      </c>
      <c r="X1178" s="12" t="s">
        <v>657</v>
      </c>
      <c r="Y1178" s="12" t="s">
        <v>11401</v>
      </c>
      <c r="Z1178" s="12"/>
      <c r="AA1178" s="12"/>
      <c r="AB1178" s="12"/>
      <c r="AC1178" s="12"/>
      <c r="AD1178" s="12"/>
      <c r="AE1178" s="12"/>
      <c r="AF1178" s="12" t="s">
        <v>3710</v>
      </c>
      <c r="AG1178" s="12" t="s">
        <v>346</v>
      </c>
      <c r="AH1178" s="12" t="s">
        <v>284</v>
      </c>
      <c r="AI1178" s="12" t="str">
        <f t="shared" si="228"/>
        <v>1837</v>
      </c>
      <c r="AJ1178" s="12" t="s">
        <v>11290</v>
      </c>
      <c r="AK1178" s="12" t="s">
        <v>90</v>
      </c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</row>
    <row r="1179" spans="1:71">
      <c r="A1179" s="12" t="s">
        <v>698</v>
      </c>
      <c r="B1179" s="12" t="str">
        <f t="shared" si="220"/>
        <v>NEL</v>
      </c>
      <c r="C1179" s="12" t="str">
        <f t="shared" si="221"/>
        <v>NEL</v>
      </c>
      <c r="D1179" s="12" t="s">
        <v>11366</v>
      </c>
      <c r="E1179" s="12" t="str">
        <f t="shared" si="231"/>
        <v>Louis Jacobus Sr.</v>
      </c>
      <c r="F1179" s="12" t="s">
        <v>6168</v>
      </c>
      <c r="G1179" s="12" t="str">
        <f t="shared" si="222"/>
        <v>a1b2c3d1e4</v>
      </c>
      <c r="H1179" s="12" t="str">
        <f t="shared" si="223"/>
        <v>NELa1b2c3d1e4</v>
      </c>
      <c r="I1179" s="12"/>
      <c r="J1179" s="12"/>
      <c r="K1179" s="12" t="str">
        <f t="shared" si="224"/>
        <v/>
      </c>
      <c r="L1179" s="12"/>
      <c r="M1179" s="12" t="s">
        <v>11367</v>
      </c>
      <c r="N1179" s="12" t="str">
        <f t="shared" si="229"/>
        <v/>
      </c>
      <c r="O1179" s="12" t="str">
        <f t="shared" si="230"/>
        <v>1778</v>
      </c>
      <c r="P1179" s="12"/>
      <c r="Q1179" s="12" t="str">
        <f t="shared" si="225"/>
        <v>1778</v>
      </c>
      <c r="R1179" s="12"/>
      <c r="S1179" s="12" t="str">
        <f t="shared" si="226"/>
        <v/>
      </c>
      <c r="T1179" s="12"/>
      <c r="U1179" s="12" t="s">
        <v>11368</v>
      </c>
      <c r="V1179" s="12" t="str">
        <f t="shared" si="227"/>
        <v>1802</v>
      </c>
      <c r="W1179" s="12" t="s">
        <v>3185</v>
      </c>
      <c r="X1179" s="12" t="s">
        <v>655</v>
      </c>
      <c r="Y1179" s="12" t="s">
        <v>11369</v>
      </c>
      <c r="Z1179" s="12"/>
      <c r="AA1179" s="12"/>
      <c r="AB1179" s="12"/>
      <c r="AC1179" s="12" t="s">
        <v>10328</v>
      </c>
      <c r="AD1179" s="12" t="s">
        <v>90</v>
      </c>
      <c r="AE1179" s="12" t="s">
        <v>11370</v>
      </c>
      <c r="AF1179" s="12" t="s">
        <v>3709</v>
      </c>
      <c r="AG1179" s="12" t="s">
        <v>68</v>
      </c>
      <c r="AH1179" s="12" t="s">
        <v>284</v>
      </c>
      <c r="AI1179" s="12" t="str">
        <f t="shared" si="228"/>
        <v>1837</v>
      </c>
      <c r="AJ1179" s="12" t="s">
        <v>3123</v>
      </c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</row>
    <row r="1180" spans="1:71">
      <c r="A1180" s="12" t="s">
        <v>698</v>
      </c>
      <c r="B1180" s="12" t="str">
        <f t="shared" si="220"/>
        <v>NEL</v>
      </c>
      <c r="C1180" s="12" t="str">
        <f t="shared" si="221"/>
        <v>NEL</v>
      </c>
      <c r="D1180" s="12" t="s">
        <v>3761</v>
      </c>
      <c r="E1180" s="12" t="str">
        <f t="shared" si="231"/>
        <v>Johannes Petrus</v>
      </c>
      <c r="F1180" s="12" t="s">
        <v>6224</v>
      </c>
      <c r="G1180" s="12" t="str">
        <f t="shared" si="222"/>
        <v>a1b2c3d1e4f1</v>
      </c>
      <c r="H1180" s="12" t="str">
        <f t="shared" si="223"/>
        <v>NELa1b2c3d1e4f1</v>
      </c>
      <c r="I1180" s="12"/>
      <c r="J1180" s="12"/>
      <c r="K1180" s="12" t="str">
        <f t="shared" si="224"/>
        <v/>
      </c>
      <c r="L1180" s="12"/>
      <c r="M1180" s="12" t="s">
        <v>11346</v>
      </c>
      <c r="N1180" s="12" t="str">
        <f t="shared" si="229"/>
        <v/>
      </c>
      <c r="O1180" s="12" t="str">
        <f t="shared" si="230"/>
        <v>1803</v>
      </c>
      <c r="P1180" s="12" t="s">
        <v>90</v>
      </c>
      <c r="Q1180" s="12" t="str">
        <f t="shared" si="225"/>
        <v>1803</v>
      </c>
      <c r="R1180" s="12" t="s">
        <v>10313</v>
      </c>
      <c r="S1180" s="12" t="str">
        <f t="shared" si="226"/>
        <v>1838</v>
      </c>
      <c r="T1180" s="12" t="s">
        <v>53</v>
      </c>
      <c r="U1180" s="12" t="s">
        <v>11347</v>
      </c>
      <c r="V1180" s="12" t="str">
        <f t="shared" si="227"/>
        <v>1823</v>
      </c>
      <c r="W1180" s="12" t="s">
        <v>2472</v>
      </c>
      <c r="X1180" s="12" t="s">
        <v>698</v>
      </c>
      <c r="Y1180" s="12" t="s">
        <v>11348</v>
      </c>
      <c r="Z1180" s="12"/>
      <c r="AA1180" s="12"/>
      <c r="AB1180" s="12" t="s">
        <v>32</v>
      </c>
      <c r="AC1180" s="12" t="s">
        <v>11349</v>
      </c>
      <c r="AD1180" s="12"/>
      <c r="AE1180" s="12"/>
      <c r="AF1180" s="12" t="s">
        <v>3710</v>
      </c>
      <c r="AG1180" s="12" t="s">
        <v>346</v>
      </c>
      <c r="AH1180" s="12" t="s">
        <v>284</v>
      </c>
      <c r="AI1180" s="12" t="str">
        <f t="shared" si="228"/>
        <v>1837</v>
      </c>
      <c r="AJ1180" s="12" t="s">
        <v>11290</v>
      </c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</row>
    <row r="1181" spans="1:71">
      <c r="A1181" s="12" t="s">
        <v>698</v>
      </c>
      <c r="B1181" s="12" t="str">
        <f t="shared" si="220"/>
        <v>NEL</v>
      </c>
      <c r="C1181" s="12" t="str">
        <f t="shared" si="221"/>
        <v>NEL</v>
      </c>
      <c r="D1181" s="12" t="s">
        <v>1345</v>
      </c>
      <c r="E1181" s="12" t="str">
        <f t="shared" si="231"/>
        <v>Philip Rudolph</v>
      </c>
      <c r="F1181" s="12" t="s">
        <v>11402</v>
      </c>
      <c r="G1181" s="12" t="str">
        <f t="shared" si="222"/>
        <v>a1b2c3d1e4f2</v>
      </c>
      <c r="H1181" s="12" t="str">
        <f t="shared" si="223"/>
        <v>NELa1b2c3d1e4f2</v>
      </c>
      <c r="I1181" s="12"/>
      <c r="J1181" s="12" t="s">
        <v>11403</v>
      </c>
      <c r="K1181" s="12" t="str">
        <f t="shared" si="224"/>
        <v>1804</v>
      </c>
      <c r="L1181" s="12" t="s">
        <v>32</v>
      </c>
      <c r="M1181" s="12" t="s">
        <v>11404</v>
      </c>
      <c r="N1181" s="12" t="str">
        <f t="shared" si="229"/>
        <v>1804</v>
      </c>
      <c r="O1181" s="12" t="str">
        <f t="shared" si="230"/>
        <v>1804</v>
      </c>
      <c r="P1181" s="12" t="s">
        <v>90</v>
      </c>
      <c r="Q1181" s="12" t="str">
        <f t="shared" si="225"/>
        <v>1804</v>
      </c>
      <c r="R1181" s="12" t="s">
        <v>11405</v>
      </c>
      <c r="S1181" s="12" t="str">
        <f t="shared" si="226"/>
        <v>1883</v>
      </c>
      <c r="T1181" s="12" t="s">
        <v>68</v>
      </c>
      <c r="U1181" s="12" t="s">
        <v>11406</v>
      </c>
      <c r="V1181" s="12" t="str">
        <f t="shared" si="227"/>
        <v>1829</v>
      </c>
      <c r="W1181" s="12" t="s">
        <v>11407</v>
      </c>
      <c r="X1181" s="12" t="s">
        <v>10727</v>
      </c>
      <c r="Y1181" s="12" t="s">
        <v>936</v>
      </c>
      <c r="Z1181" s="12"/>
      <c r="AA1181" s="12" t="s">
        <v>11408</v>
      </c>
      <c r="AB1181" s="12"/>
      <c r="AC1181" s="12" t="s">
        <v>11409</v>
      </c>
      <c r="AD1181" s="12"/>
      <c r="AE1181" s="12"/>
      <c r="AF1181" s="12" t="s">
        <v>3709</v>
      </c>
      <c r="AG1181" s="12" t="s">
        <v>68</v>
      </c>
      <c r="AH1181" s="12" t="s">
        <v>284</v>
      </c>
      <c r="AI1181" s="12" t="str">
        <f t="shared" si="228"/>
        <v>1837</v>
      </c>
      <c r="AJ1181" s="12" t="s">
        <v>11290</v>
      </c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</row>
    <row r="1182" spans="1:71">
      <c r="A1182" s="12" t="s">
        <v>698</v>
      </c>
      <c r="B1182" s="12" t="str">
        <f t="shared" si="220"/>
        <v>NEL</v>
      </c>
      <c r="C1182" s="12" t="str">
        <f t="shared" si="221"/>
        <v>NEL</v>
      </c>
      <c r="D1182" s="12" t="s">
        <v>7826</v>
      </c>
      <c r="E1182" s="12" t="str">
        <f t="shared" si="231"/>
        <v>Cecilia Johanna Jacoba</v>
      </c>
      <c r="F1182" s="12" t="s">
        <v>11263</v>
      </c>
      <c r="G1182" s="12" t="str">
        <f t="shared" si="222"/>
        <v>a1b2c3d1e4f3</v>
      </c>
      <c r="H1182" s="12" t="str">
        <f t="shared" si="223"/>
        <v>NELa1b2c3d1e4f3</v>
      </c>
      <c r="I1182" s="12"/>
      <c r="J1182" s="12" t="s">
        <v>10572</v>
      </c>
      <c r="K1182" s="12" t="str">
        <f t="shared" si="224"/>
        <v>1805</v>
      </c>
      <c r="L1182" s="12" t="s">
        <v>32</v>
      </c>
      <c r="M1182" s="12" t="s">
        <v>6151</v>
      </c>
      <c r="N1182" s="12" t="str">
        <f t="shared" si="229"/>
        <v>1805</v>
      </c>
      <c r="O1182" s="12" t="str">
        <f t="shared" si="230"/>
        <v>1806</v>
      </c>
      <c r="P1182" s="12" t="s">
        <v>597</v>
      </c>
      <c r="Q1182" s="12" t="str">
        <f t="shared" si="225"/>
        <v>1805</v>
      </c>
      <c r="R1182" s="12" t="s">
        <v>10573</v>
      </c>
      <c r="S1182" s="12" t="str">
        <f t="shared" si="226"/>
        <v>1864</v>
      </c>
      <c r="T1182" s="12" t="s">
        <v>53</v>
      </c>
      <c r="U1182" s="12" t="s">
        <v>5843</v>
      </c>
      <c r="V1182" s="12" t="str">
        <f t="shared" si="227"/>
        <v>1821</v>
      </c>
      <c r="W1182" s="12" t="s">
        <v>11264</v>
      </c>
      <c r="X1182" s="12" t="s">
        <v>2029</v>
      </c>
      <c r="Y1182" s="12" t="s">
        <v>1146</v>
      </c>
      <c r="Z1182" s="12"/>
      <c r="AA1182" s="12"/>
      <c r="AB1182" s="12"/>
      <c r="AC1182" s="12" t="s">
        <v>212</v>
      </c>
      <c r="AD1182" s="12"/>
      <c r="AE1182" s="12"/>
      <c r="AF1182" s="12" t="s">
        <v>3710</v>
      </c>
      <c r="AG1182" s="12" t="s">
        <v>346</v>
      </c>
      <c r="AH1182" s="12" t="s">
        <v>11265</v>
      </c>
      <c r="AI1182" s="12" t="str">
        <f t="shared" si="228"/>
        <v>1842</v>
      </c>
      <c r="AJ1182" s="12"/>
      <c r="AK1182" s="12"/>
      <c r="AL1182" s="12"/>
      <c r="AM1182" s="12"/>
      <c r="AN1182" s="12" t="s">
        <v>11266</v>
      </c>
      <c r="AO1182" s="12" t="s">
        <v>697</v>
      </c>
      <c r="AP1182" s="12"/>
      <c r="AQ1182" s="12"/>
      <c r="AR1182" s="12"/>
      <c r="AS1182" s="12"/>
      <c r="AT1182" s="12"/>
      <c r="AU1182" s="12" t="s">
        <v>53</v>
      </c>
      <c r="AV1182" s="12" t="s">
        <v>11267</v>
      </c>
      <c r="AW1182" s="12"/>
      <c r="AX1182" s="12" t="s">
        <v>11268</v>
      </c>
      <c r="AY1182" s="12" t="s">
        <v>1363</v>
      </c>
      <c r="AZ1182" s="12" t="s">
        <v>638</v>
      </c>
      <c r="BA1182" s="12" t="s">
        <v>830</v>
      </c>
      <c r="BB1182" s="12"/>
      <c r="BC1182" s="12"/>
      <c r="BD1182" s="12"/>
      <c r="BE1182" s="12"/>
      <c r="BF1182" s="12"/>
      <c r="BG1182" s="12"/>
      <c r="BH1182" s="12" t="s">
        <v>10570</v>
      </c>
      <c r="BI1182" s="12" t="s">
        <v>588</v>
      </c>
      <c r="BJ1182" s="12" t="s">
        <v>1151</v>
      </c>
      <c r="BK1182" s="12" t="s">
        <v>10564</v>
      </c>
      <c r="BL1182" s="12"/>
      <c r="BM1182" s="12"/>
      <c r="BN1182" s="12"/>
      <c r="BO1182" s="12" t="s">
        <v>597</v>
      </c>
      <c r="BP1182" s="12" t="s">
        <v>10566</v>
      </c>
      <c r="BQ1182" s="12"/>
      <c r="BR1182" s="12"/>
      <c r="BS1182" s="12"/>
    </row>
    <row r="1183" spans="1:71">
      <c r="A1183" s="12" t="s">
        <v>698</v>
      </c>
      <c r="B1183" s="12" t="str">
        <f t="shared" si="220"/>
        <v>NEL</v>
      </c>
      <c r="C1183" s="12" t="str">
        <f t="shared" si="221"/>
        <v>NEL</v>
      </c>
      <c r="D1183" s="12" t="s">
        <v>1435</v>
      </c>
      <c r="E1183" s="12" t="str">
        <f t="shared" si="231"/>
        <v>Theunis Jacobus</v>
      </c>
      <c r="F1183" s="12" t="s">
        <v>11454</v>
      </c>
      <c r="G1183" s="12" t="str">
        <f t="shared" si="222"/>
        <v>a1b2c3d1e4f5</v>
      </c>
      <c r="H1183" s="12" t="str">
        <f t="shared" si="223"/>
        <v>NELa1b2c3d1e4f5</v>
      </c>
      <c r="I1183" s="12"/>
      <c r="J1183" s="12"/>
      <c r="K1183" s="12" t="str">
        <f t="shared" si="224"/>
        <v/>
      </c>
      <c r="L1183" s="12"/>
      <c r="M1183" s="12" t="s">
        <v>11455</v>
      </c>
      <c r="N1183" s="12" t="str">
        <f t="shared" si="229"/>
        <v/>
      </c>
      <c r="O1183" s="12" t="str">
        <f t="shared" si="230"/>
        <v>1810</v>
      </c>
      <c r="P1183" s="12" t="s">
        <v>90</v>
      </c>
      <c r="Q1183" s="12" t="str">
        <f t="shared" si="225"/>
        <v>1810</v>
      </c>
      <c r="R1183" s="12" t="s">
        <v>11456</v>
      </c>
      <c r="S1183" s="12" t="str">
        <f t="shared" si="226"/>
        <v>1884</v>
      </c>
      <c r="T1183" s="12"/>
      <c r="U1183" s="12"/>
      <c r="V1183" s="12" t="str">
        <f t="shared" si="227"/>
        <v/>
      </c>
      <c r="W1183" s="12" t="s">
        <v>2371</v>
      </c>
      <c r="X1183" s="12" t="s">
        <v>3629</v>
      </c>
      <c r="Y1183" s="12" t="s">
        <v>11457</v>
      </c>
      <c r="Z1183" s="12"/>
      <c r="AA1183" s="12"/>
      <c r="AB1183" s="12"/>
      <c r="AC1183" s="12"/>
      <c r="AD1183" s="12"/>
      <c r="AE1183" s="12"/>
      <c r="AF1183" s="12" t="s">
        <v>3710</v>
      </c>
      <c r="AG1183" s="12" t="s">
        <v>346</v>
      </c>
      <c r="AH1183" s="12" t="s">
        <v>284</v>
      </c>
      <c r="AI1183" s="12" t="str">
        <f t="shared" si="228"/>
        <v>1837</v>
      </c>
      <c r="AJ1183" s="12" t="s">
        <v>11290</v>
      </c>
      <c r="AK1183" s="12"/>
      <c r="AL1183" s="12"/>
      <c r="AM1183" s="12"/>
      <c r="AN1183" s="12" t="s">
        <v>11458</v>
      </c>
      <c r="AO1183" s="12" t="s">
        <v>8501</v>
      </c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</row>
    <row r="1184" spans="1:71">
      <c r="A1184" s="12" t="s">
        <v>698</v>
      </c>
      <c r="B1184" s="12" t="str">
        <f t="shared" si="220"/>
        <v>NEL</v>
      </c>
      <c r="C1184" s="12" t="str">
        <f t="shared" si="221"/>
        <v>NEL</v>
      </c>
      <c r="D1184" s="12" t="s">
        <v>11371</v>
      </c>
      <c r="E1184" s="12" t="str">
        <f t="shared" si="231"/>
        <v>Louis Jacobus Jr.</v>
      </c>
      <c r="F1184" s="12" t="s">
        <v>11372</v>
      </c>
      <c r="G1184" s="12" t="str">
        <f t="shared" si="222"/>
        <v>a1b2c3d1e4f6</v>
      </c>
      <c r="H1184" s="12" t="str">
        <f t="shared" si="223"/>
        <v>NELa1b2c3d1e4f6</v>
      </c>
      <c r="I1184" s="12"/>
      <c r="J1184" s="12" t="s">
        <v>11373</v>
      </c>
      <c r="K1184" s="12" t="str">
        <f t="shared" si="224"/>
        <v>1811</v>
      </c>
      <c r="L1184" s="12" t="s">
        <v>542</v>
      </c>
      <c r="M1184" s="12" t="s">
        <v>11374</v>
      </c>
      <c r="N1184" s="12" t="str">
        <f t="shared" si="229"/>
        <v>1811</v>
      </c>
      <c r="O1184" s="12" t="str">
        <f t="shared" si="230"/>
        <v>1812</v>
      </c>
      <c r="P1184" s="12" t="s">
        <v>7947</v>
      </c>
      <c r="Q1184" s="12" t="str">
        <f t="shared" si="225"/>
        <v>1811</v>
      </c>
      <c r="R1184" s="12" t="s">
        <v>10313</v>
      </c>
      <c r="S1184" s="12" t="str">
        <f t="shared" si="226"/>
        <v>1838</v>
      </c>
      <c r="T1184" s="12"/>
      <c r="U1184" s="12"/>
      <c r="V1184" s="12" t="str">
        <f t="shared" si="227"/>
        <v/>
      </c>
      <c r="W1184" s="12" t="s">
        <v>11375</v>
      </c>
      <c r="X1184" s="12" t="s">
        <v>295</v>
      </c>
      <c r="Y1184" s="12" t="s">
        <v>10602</v>
      </c>
      <c r="Z1184" s="12"/>
      <c r="AA1184" s="12" t="s">
        <v>11376</v>
      </c>
      <c r="AB1184" s="12"/>
      <c r="AC1184" s="12" t="s">
        <v>10604</v>
      </c>
      <c r="AD1184" s="12"/>
      <c r="AE1184" s="12" t="s">
        <v>10605</v>
      </c>
      <c r="AF1184" s="12" t="s">
        <v>3710</v>
      </c>
      <c r="AG1184" s="12" t="s">
        <v>346</v>
      </c>
      <c r="AH1184" s="12" t="s">
        <v>284</v>
      </c>
      <c r="AI1184" s="12" t="str">
        <f t="shared" si="228"/>
        <v>1837</v>
      </c>
      <c r="AJ1184" s="12" t="s">
        <v>11377</v>
      </c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</row>
    <row r="1185" spans="1:71">
      <c r="A1185" s="12" t="s">
        <v>698</v>
      </c>
      <c r="B1185" s="12" t="str">
        <f t="shared" si="220"/>
        <v>NEL</v>
      </c>
      <c r="C1185" s="12" t="str">
        <f t="shared" si="221"/>
        <v>NEL</v>
      </c>
      <c r="D1185" s="12" t="s">
        <v>11483</v>
      </c>
      <c r="E1185" s="12" t="str">
        <f t="shared" si="231"/>
        <v>Willem Gabriël</v>
      </c>
      <c r="F1185" s="12" t="s">
        <v>11484</v>
      </c>
      <c r="G1185" s="12" t="str">
        <f t="shared" si="222"/>
        <v>a1b2c3d1e4f7</v>
      </c>
      <c r="H1185" s="12" t="str">
        <f t="shared" si="223"/>
        <v>NELa1b2c3d1e4f7</v>
      </c>
      <c r="I1185" s="12"/>
      <c r="J1185" s="12" t="s">
        <v>11485</v>
      </c>
      <c r="K1185" s="12" t="str">
        <f t="shared" si="224"/>
        <v>1813</v>
      </c>
      <c r="L1185" s="12" t="s">
        <v>199</v>
      </c>
      <c r="M1185" s="12" t="s">
        <v>5940</v>
      </c>
      <c r="N1185" s="12" t="str">
        <f t="shared" si="229"/>
        <v>1813</v>
      </c>
      <c r="O1185" s="12" t="str">
        <f t="shared" si="230"/>
        <v>1814</v>
      </c>
      <c r="P1185" s="12" t="s">
        <v>10760</v>
      </c>
      <c r="Q1185" s="12" t="str">
        <f t="shared" si="225"/>
        <v>1813</v>
      </c>
      <c r="R1185" s="12" t="s">
        <v>11486</v>
      </c>
      <c r="S1185" s="12" t="str">
        <f t="shared" si="226"/>
        <v>1902</v>
      </c>
      <c r="T1185" s="12"/>
      <c r="U1185" s="12" t="s">
        <v>11118</v>
      </c>
      <c r="V1185" s="12" t="str">
        <f t="shared" si="227"/>
        <v>1834</v>
      </c>
      <c r="W1185" s="12" t="s">
        <v>11487</v>
      </c>
      <c r="X1185" s="12" t="s">
        <v>655</v>
      </c>
      <c r="Y1185" s="12" t="s">
        <v>11488</v>
      </c>
      <c r="Z1185" s="12"/>
      <c r="AA1185" s="12" t="s">
        <v>11489</v>
      </c>
      <c r="AB1185" s="12" t="s">
        <v>199</v>
      </c>
      <c r="AC1185" s="12" t="s">
        <v>11490</v>
      </c>
      <c r="AD1185" s="12"/>
      <c r="AE1185" s="12"/>
      <c r="AF1185" s="12" t="s">
        <v>3709</v>
      </c>
      <c r="AG1185" s="12" t="s">
        <v>68</v>
      </c>
      <c r="AH1185" s="12" t="s">
        <v>284</v>
      </c>
      <c r="AI1185" s="12" t="str">
        <f t="shared" si="228"/>
        <v>1837</v>
      </c>
      <c r="AJ1185" s="12" t="s">
        <v>11290</v>
      </c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</row>
    <row r="1186" spans="1:71">
      <c r="A1186" s="12" t="s">
        <v>698</v>
      </c>
      <c r="B1186" s="12" t="str">
        <f t="shared" si="220"/>
        <v>NEL</v>
      </c>
      <c r="C1186" s="12" t="str">
        <f t="shared" si="221"/>
        <v>NEL</v>
      </c>
      <c r="D1186" s="12" t="s">
        <v>11315</v>
      </c>
      <c r="E1186" s="12" t="str">
        <f t="shared" si="231"/>
        <v>Hester (Weduwee P. De La Rey)</v>
      </c>
      <c r="F1186" s="12" t="s">
        <v>11316</v>
      </c>
      <c r="G1186" s="12" t="str">
        <f t="shared" si="222"/>
        <v>a1b2c3d1e6</v>
      </c>
      <c r="H1186" s="12" t="str">
        <f t="shared" si="223"/>
        <v>NELa1b2c3d1e6</v>
      </c>
      <c r="I1186" s="12"/>
      <c r="J1186" s="12"/>
      <c r="K1186" s="12" t="str">
        <f t="shared" si="224"/>
        <v/>
      </c>
      <c r="L1186" s="12"/>
      <c r="M1186" s="12" t="s">
        <v>11317</v>
      </c>
      <c r="N1186" s="12" t="str">
        <f t="shared" si="229"/>
        <v/>
      </c>
      <c r="O1186" s="12" t="str">
        <f t="shared" si="230"/>
        <v>1782</v>
      </c>
      <c r="P1186" s="12"/>
      <c r="Q1186" s="12" t="str">
        <f t="shared" si="225"/>
        <v>1782</v>
      </c>
      <c r="R1186" s="12"/>
      <c r="S1186" s="12" t="str">
        <f t="shared" si="226"/>
        <v/>
      </c>
      <c r="T1186" s="12"/>
      <c r="U1186" s="12" t="s">
        <v>11318</v>
      </c>
      <c r="V1186" s="12" t="str">
        <f t="shared" si="227"/>
        <v>1799</v>
      </c>
      <c r="W1186" s="12" t="s">
        <v>2215</v>
      </c>
      <c r="X1186" s="12" t="s">
        <v>3138</v>
      </c>
      <c r="Y1186" s="12" t="s">
        <v>829</v>
      </c>
      <c r="Z1186" s="12" t="s">
        <v>11319</v>
      </c>
      <c r="AA1186" s="12" t="s">
        <v>11320</v>
      </c>
      <c r="AB1186" s="12"/>
      <c r="AC1186" s="12"/>
      <c r="AD1186" s="12" t="s">
        <v>199</v>
      </c>
      <c r="AE1186" s="12" t="s">
        <v>11321</v>
      </c>
      <c r="AF1186" s="12" t="s">
        <v>3735</v>
      </c>
      <c r="AG1186" s="12" t="s">
        <v>199</v>
      </c>
      <c r="AH1186" s="12">
        <v>1845</v>
      </c>
      <c r="AI1186" s="12" t="str">
        <f t="shared" si="228"/>
        <v>1845</v>
      </c>
      <c r="AJ1186" s="12" t="s">
        <v>11322</v>
      </c>
      <c r="AK1186" s="12" t="s">
        <v>190</v>
      </c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</row>
    <row r="1187" spans="1:71">
      <c r="A1187" s="12" t="s">
        <v>698</v>
      </c>
      <c r="B1187" s="12" t="str">
        <f t="shared" si="220"/>
        <v>NEL</v>
      </c>
      <c r="C1187" s="12" t="str">
        <f t="shared" si="221"/>
        <v>NEL</v>
      </c>
      <c r="D1187" s="12" t="s">
        <v>11323</v>
      </c>
      <c r="E1187" s="12" t="str">
        <f t="shared" si="231"/>
        <v>Jacobus Hercules</v>
      </c>
      <c r="F1187" s="12" t="s">
        <v>11324</v>
      </c>
      <c r="G1187" s="12" t="str">
        <f t="shared" si="222"/>
        <v>a1b2c3d1e7</v>
      </c>
      <c r="H1187" s="12" t="str">
        <f t="shared" si="223"/>
        <v>NELa1b2c3d1e7</v>
      </c>
      <c r="I1187" s="12"/>
      <c r="J1187" s="12"/>
      <c r="K1187" s="12" t="str">
        <f t="shared" si="224"/>
        <v/>
      </c>
      <c r="L1187" s="12"/>
      <c r="M1187" s="12" t="s">
        <v>5854</v>
      </c>
      <c r="N1187" s="12" t="str">
        <f t="shared" si="229"/>
        <v/>
      </c>
      <c r="O1187" s="12" t="str">
        <f t="shared" si="230"/>
        <v>1784</v>
      </c>
      <c r="P1187" s="12" t="s">
        <v>9365</v>
      </c>
      <c r="Q1187" s="12" t="str">
        <f t="shared" si="225"/>
        <v>1784</v>
      </c>
      <c r="R1187" s="12">
        <v>1869</v>
      </c>
      <c r="S1187" s="12" t="str">
        <f t="shared" si="226"/>
        <v>1869</v>
      </c>
      <c r="T1187" s="12"/>
      <c r="U1187" s="12"/>
      <c r="V1187" s="12" t="str">
        <f t="shared" si="227"/>
        <v/>
      </c>
      <c r="W1187" s="12" t="s">
        <v>11325</v>
      </c>
      <c r="X1187" s="12" t="s">
        <v>776</v>
      </c>
      <c r="Y1187" s="12"/>
      <c r="Z1187" s="12"/>
      <c r="AA1187" s="12"/>
      <c r="AB1187" s="12"/>
      <c r="AC1187" s="12"/>
      <c r="AD1187" s="12"/>
      <c r="AE1187" s="12"/>
      <c r="AF1187" s="12" t="s">
        <v>11326</v>
      </c>
      <c r="AG1187" s="12" t="s">
        <v>68</v>
      </c>
      <c r="AH1187" s="12" t="s">
        <v>11327</v>
      </c>
      <c r="AI1187" s="12" t="str">
        <f t="shared" si="228"/>
        <v>1837</v>
      </c>
      <c r="AJ1187" s="12" t="s">
        <v>11283</v>
      </c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</row>
    <row r="1188" spans="1:71">
      <c r="A1188" s="12" t="s">
        <v>698</v>
      </c>
      <c r="B1188" s="12" t="str">
        <f t="shared" si="220"/>
        <v>NEL</v>
      </c>
      <c r="C1188" s="12" t="str">
        <f t="shared" si="221"/>
        <v>NEL</v>
      </c>
      <c r="D1188" s="12" t="s">
        <v>2990</v>
      </c>
      <c r="E1188" s="12" t="str">
        <f t="shared" si="231"/>
        <v>Louis</v>
      </c>
      <c r="F1188" s="12" t="s">
        <v>11359</v>
      </c>
      <c r="G1188" s="12" t="str">
        <f t="shared" si="222"/>
        <v>a1b2c3d4e1</v>
      </c>
      <c r="H1188" s="12" t="str">
        <f t="shared" si="223"/>
        <v>NELa1b2c3d4e1</v>
      </c>
      <c r="I1188" s="12"/>
      <c r="J1188" s="12" t="s">
        <v>11360</v>
      </c>
      <c r="K1188" s="12" t="str">
        <f t="shared" si="224"/>
        <v>1780</v>
      </c>
      <c r="L1188" s="12"/>
      <c r="M1188" s="12"/>
      <c r="N1188" s="12" t="str">
        <f t="shared" si="229"/>
        <v>1780</v>
      </c>
      <c r="O1188" s="12" t="str">
        <f t="shared" si="230"/>
        <v/>
      </c>
      <c r="P1188" s="12"/>
      <c r="Q1188" s="12" t="str">
        <f t="shared" si="225"/>
        <v>1780</v>
      </c>
      <c r="R1188" s="12"/>
      <c r="S1188" s="12" t="str">
        <f t="shared" si="226"/>
        <v/>
      </c>
      <c r="T1188" s="12"/>
      <c r="U1188" s="12" t="s">
        <v>11361</v>
      </c>
      <c r="V1188" s="12" t="str">
        <f t="shared" si="227"/>
        <v>1801</v>
      </c>
      <c r="W1188" s="12" t="s">
        <v>11362</v>
      </c>
      <c r="X1188" s="12" t="s">
        <v>618</v>
      </c>
      <c r="Y1188" s="12" t="s">
        <v>11363</v>
      </c>
      <c r="Z1188" s="12" t="s">
        <v>6174</v>
      </c>
      <c r="AA1188" s="12"/>
      <c r="AB1188" s="12"/>
      <c r="AC1188" s="12" t="s">
        <v>11364</v>
      </c>
      <c r="AD1188" s="12" t="s">
        <v>5146</v>
      </c>
      <c r="AE1188" s="12" t="s">
        <v>11365</v>
      </c>
      <c r="AF1188" s="12" t="s">
        <v>3709</v>
      </c>
      <c r="AG1188" s="12" t="s">
        <v>68</v>
      </c>
      <c r="AH1188" s="12" t="s">
        <v>11282</v>
      </c>
      <c r="AI1188" s="12" t="str">
        <f t="shared" si="228"/>
        <v>1837</v>
      </c>
      <c r="AJ1188" s="12" t="s">
        <v>11283</v>
      </c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</row>
    <row r="1189" spans="1:71">
      <c r="A1189" s="12" t="s">
        <v>698</v>
      </c>
      <c r="B1189" s="12" t="str">
        <f t="shared" si="220"/>
        <v>NEL</v>
      </c>
      <c r="C1189" s="12" t="str">
        <f t="shared" si="221"/>
        <v>NEL</v>
      </c>
      <c r="D1189" s="12" t="s">
        <v>11276</v>
      </c>
      <c r="E1189" s="12" t="str">
        <f t="shared" si="231"/>
        <v>Gabriël</v>
      </c>
      <c r="F1189" s="12" t="s">
        <v>11277</v>
      </c>
      <c r="G1189" s="12" t="str">
        <f t="shared" si="222"/>
        <v>a1b2c3d4e1f2</v>
      </c>
      <c r="H1189" s="12" t="str">
        <f t="shared" si="223"/>
        <v>NELa1b2c3d4e1f2</v>
      </c>
      <c r="I1189" s="12"/>
      <c r="J1189" s="12"/>
      <c r="K1189" s="12" t="str">
        <f t="shared" si="224"/>
        <v/>
      </c>
      <c r="L1189" s="12"/>
      <c r="M1189" s="12" t="s">
        <v>11278</v>
      </c>
      <c r="N1189" s="12" t="str">
        <f t="shared" si="229"/>
        <v/>
      </c>
      <c r="O1189" s="12" t="str">
        <f t="shared" si="230"/>
        <v>1809</v>
      </c>
      <c r="P1189" s="12"/>
      <c r="Q1189" s="12" t="str">
        <f t="shared" si="225"/>
        <v>1809</v>
      </c>
      <c r="R1189" s="12"/>
      <c r="S1189" s="12" t="str">
        <f t="shared" si="226"/>
        <v/>
      </c>
      <c r="T1189" s="12" t="s">
        <v>5146</v>
      </c>
      <c r="U1189" s="12" t="s">
        <v>11279</v>
      </c>
      <c r="V1189" s="12" t="str">
        <f t="shared" si="227"/>
        <v>1839</v>
      </c>
      <c r="W1189" s="12" t="s">
        <v>11280</v>
      </c>
      <c r="X1189" s="12" t="s">
        <v>266</v>
      </c>
      <c r="Y1189" s="12" t="s">
        <v>11281</v>
      </c>
      <c r="Z1189" s="12"/>
      <c r="AA1189" s="12"/>
      <c r="AB1189" s="12"/>
      <c r="AC1189" s="12"/>
      <c r="AD1189" s="12"/>
      <c r="AE1189" s="12"/>
      <c r="AF1189" s="12" t="s">
        <v>3709</v>
      </c>
      <c r="AG1189" s="12" t="s">
        <v>68</v>
      </c>
      <c r="AH1189" s="12" t="s">
        <v>11282</v>
      </c>
      <c r="AI1189" s="12" t="str">
        <f t="shared" si="228"/>
        <v>1837</v>
      </c>
      <c r="AJ1189" s="12" t="s">
        <v>11283</v>
      </c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</row>
    <row r="1190" spans="1:71">
      <c r="A1190" s="12" t="s">
        <v>698</v>
      </c>
      <c r="B1190" s="12" t="str">
        <f t="shared" si="220"/>
        <v>NEL</v>
      </c>
      <c r="C1190" s="12" t="str">
        <f t="shared" si="221"/>
        <v>NEL</v>
      </c>
      <c r="D1190" s="12" t="s">
        <v>11284</v>
      </c>
      <c r="E1190" s="12" t="str">
        <f t="shared" si="231"/>
        <v>Gerrit Cornelis</v>
      </c>
      <c r="F1190" s="12" t="s">
        <v>11285</v>
      </c>
      <c r="G1190" s="12" t="str">
        <f t="shared" si="222"/>
        <v>a1b2c3d4e1f3</v>
      </c>
      <c r="H1190" s="12" t="str">
        <f t="shared" si="223"/>
        <v>NELa1b2c3d4e1f3</v>
      </c>
      <c r="I1190" s="12"/>
      <c r="J1190" s="12" t="s">
        <v>6322</v>
      </c>
      <c r="K1190" s="12" t="str">
        <f t="shared" si="224"/>
        <v>1813</v>
      </c>
      <c r="L1190" s="12" t="s">
        <v>74</v>
      </c>
      <c r="M1190" s="12" t="s">
        <v>11286</v>
      </c>
      <c r="N1190" s="12" t="str">
        <f t="shared" si="229"/>
        <v>1813</v>
      </c>
      <c r="O1190" s="12" t="str">
        <f t="shared" si="230"/>
        <v>1815</v>
      </c>
      <c r="P1190" s="12" t="s">
        <v>7947</v>
      </c>
      <c r="Q1190" s="12" t="str">
        <f t="shared" si="225"/>
        <v>1813</v>
      </c>
      <c r="R1190" s="12" t="s">
        <v>10313</v>
      </c>
      <c r="S1190" s="12" t="str">
        <f t="shared" si="226"/>
        <v>1838</v>
      </c>
      <c r="T1190" s="12"/>
      <c r="U1190" s="12"/>
      <c r="V1190" s="12" t="str">
        <f t="shared" si="227"/>
        <v/>
      </c>
      <c r="W1190" s="12" t="s">
        <v>11287</v>
      </c>
      <c r="X1190" s="12" t="s">
        <v>698</v>
      </c>
      <c r="Y1190" s="12" t="s">
        <v>11288</v>
      </c>
      <c r="Z1190" s="12"/>
      <c r="AA1190" s="12" t="s">
        <v>11289</v>
      </c>
      <c r="AB1190" s="12" t="s">
        <v>53</v>
      </c>
      <c r="AC1190" s="12" t="s">
        <v>3887</v>
      </c>
      <c r="AD1190" s="12"/>
      <c r="AE1190" s="12"/>
      <c r="AF1190" s="12" t="s">
        <v>3710</v>
      </c>
      <c r="AG1190" s="12" t="s">
        <v>366</v>
      </c>
      <c r="AH1190" s="12" t="s">
        <v>284</v>
      </c>
      <c r="AI1190" s="12" t="str">
        <f t="shared" si="228"/>
        <v>1837</v>
      </c>
      <c r="AJ1190" s="12" t="s">
        <v>11290</v>
      </c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</row>
    <row r="1191" spans="1:71">
      <c r="A1191" s="12" t="s">
        <v>698</v>
      </c>
      <c r="B1191" s="12" t="str">
        <f t="shared" si="220"/>
        <v>NEL</v>
      </c>
      <c r="C1191" s="12" t="str">
        <f t="shared" si="221"/>
        <v>NEL</v>
      </c>
      <c r="D1191" s="12" t="s">
        <v>11328</v>
      </c>
      <c r="E1191" s="12" t="str">
        <f t="shared" si="231"/>
        <v>Jeremias Jacobus</v>
      </c>
      <c r="F1191" s="12" t="s">
        <v>11329</v>
      </c>
      <c r="G1191" s="12" t="str">
        <f t="shared" si="222"/>
        <v>a1b2c3d4e1f5</v>
      </c>
      <c r="H1191" s="12" t="str">
        <f t="shared" si="223"/>
        <v>NELa1b2c3d4e1f5</v>
      </c>
      <c r="I1191" s="12"/>
      <c r="J1191" s="12" t="s">
        <v>11330</v>
      </c>
      <c r="K1191" s="12" t="str">
        <f t="shared" si="224"/>
        <v>1819</v>
      </c>
      <c r="L1191" s="12"/>
      <c r="M1191" s="12" t="s">
        <v>11331</v>
      </c>
      <c r="N1191" s="12" t="str">
        <f t="shared" si="229"/>
        <v>1819</v>
      </c>
      <c r="O1191" s="12" t="str">
        <f t="shared" si="230"/>
        <v>1819</v>
      </c>
      <c r="P1191" s="12" t="s">
        <v>90</v>
      </c>
      <c r="Q1191" s="12" t="str">
        <f t="shared" si="225"/>
        <v>1819</v>
      </c>
      <c r="R1191" s="12" t="s">
        <v>11332</v>
      </c>
      <c r="S1191" s="12" t="str">
        <f t="shared" si="226"/>
        <v>1870</v>
      </c>
      <c r="T1191" s="12" t="s">
        <v>5146</v>
      </c>
      <c r="U1191" s="12" t="s">
        <v>11333</v>
      </c>
      <c r="V1191" s="12" t="str">
        <f t="shared" si="227"/>
        <v>1839</v>
      </c>
      <c r="W1191" s="12" t="s">
        <v>11334</v>
      </c>
      <c r="X1191" s="12" t="s">
        <v>4409</v>
      </c>
      <c r="Y1191" s="12" t="s">
        <v>11335</v>
      </c>
      <c r="Z1191" s="12"/>
      <c r="AA1191" s="12">
        <v>1820</v>
      </c>
      <c r="AB1191" s="12"/>
      <c r="AC1191" s="12"/>
      <c r="AD1191" s="12"/>
      <c r="AE1191" s="12"/>
      <c r="AF1191" s="12" t="s">
        <v>11336</v>
      </c>
      <c r="AG1191" s="12" t="s">
        <v>68</v>
      </c>
      <c r="AH1191" s="12" t="s">
        <v>11282</v>
      </c>
      <c r="AI1191" s="12" t="str">
        <f t="shared" si="228"/>
        <v>1837</v>
      </c>
      <c r="AJ1191" s="12" t="s">
        <v>11283</v>
      </c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</row>
    <row r="1192" spans="1:71">
      <c r="A1192" s="12" t="s">
        <v>698</v>
      </c>
      <c r="B1192" s="12" t="str">
        <f t="shared" si="220"/>
        <v>NEL</v>
      </c>
      <c r="C1192" s="12" t="str">
        <f t="shared" si="221"/>
        <v>NEL</v>
      </c>
      <c r="D1192" s="12" t="s">
        <v>4562</v>
      </c>
      <c r="E1192" s="12" t="str">
        <f t="shared" si="231"/>
        <v>Louis Johannes</v>
      </c>
      <c r="F1192" s="12" t="s">
        <v>11378</v>
      </c>
      <c r="G1192" s="12" t="str">
        <f t="shared" si="222"/>
        <v>a1b2c3d4e4f6</v>
      </c>
      <c r="H1192" s="12" t="str">
        <f t="shared" si="223"/>
        <v>NELa1b2c3d4e4f6</v>
      </c>
      <c r="I1192" s="12"/>
      <c r="J1192" s="12" t="s">
        <v>11379</v>
      </c>
      <c r="K1192" s="12" t="str">
        <f t="shared" si="224"/>
        <v>1821</v>
      </c>
      <c r="L1192" s="12" t="s">
        <v>53</v>
      </c>
      <c r="M1192" s="12" t="s">
        <v>11380</v>
      </c>
      <c r="N1192" s="12" t="str">
        <f t="shared" si="229"/>
        <v>1821</v>
      </c>
      <c r="O1192" s="12" t="str">
        <f t="shared" si="230"/>
        <v>1821</v>
      </c>
      <c r="P1192" s="12" t="s">
        <v>10760</v>
      </c>
      <c r="Q1192" s="12" t="str">
        <f t="shared" si="225"/>
        <v>1821</v>
      </c>
      <c r="R1192" s="12">
        <v>1861</v>
      </c>
      <c r="S1192" s="12" t="str">
        <f t="shared" si="226"/>
        <v>1861</v>
      </c>
      <c r="T1192" s="12" t="s">
        <v>5146</v>
      </c>
      <c r="U1192" s="12" t="s">
        <v>11381</v>
      </c>
      <c r="V1192" s="12" t="str">
        <f t="shared" si="227"/>
        <v>1839</v>
      </c>
      <c r="W1192" s="12" t="s">
        <v>11382</v>
      </c>
      <c r="X1192" s="12" t="s">
        <v>7393</v>
      </c>
      <c r="Y1192" s="12" t="s">
        <v>7394</v>
      </c>
      <c r="Z1192" s="12"/>
      <c r="AA1192" s="12" t="s">
        <v>11383</v>
      </c>
      <c r="AB1192" s="12"/>
      <c r="AC1192" s="12"/>
      <c r="AD1192" s="12" t="s">
        <v>9240</v>
      </c>
      <c r="AE1192" s="12" t="s">
        <v>11384</v>
      </c>
      <c r="AF1192" s="12" t="s">
        <v>3709</v>
      </c>
      <c r="AG1192" s="12" t="s">
        <v>68</v>
      </c>
      <c r="AH1192" s="12" t="s">
        <v>11282</v>
      </c>
      <c r="AI1192" s="12" t="str">
        <f t="shared" si="228"/>
        <v>1837</v>
      </c>
      <c r="AJ1192" s="12" t="s">
        <v>11283</v>
      </c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</row>
    <row r="1193" spans="1:71">
      <c r="A1193" s="12" t="s">
        <v>698</v>
      </c>
      <c r="B1193" s="12" t="str">
        <f t="shared" si="220"/>
        <v>NEL</v>
      </c>
      <c r="C1193" s="12" t="str">
        <f t="shared" si="221"/>
        <v>NEL</v>
      </c>
      <c r="D1193" s="12" t="s">
        <v>11432</v>
      </c>
      <c r="E1193" s="12" t="str">
        <f t="shared" si="231"/>
        <v>Pieter Willem Adriaan</v>
      </c>
      <c r="F1193" s="12" t="s">
        <v>11433</v>
      </c>
      <c r="G1193" s="12" t="str">
        <f t="shared" si="222"/>
        <v>a1b9c5d4e4</v>
      </c>
      <c r="H1193" s="12" t="str">
        <f t="shared" si="223"/>
        <v>NELa1b9c5d4e4</v>
      </c>
      <c r="I1193" s="12"/>
      <c r="J1193" s="12"/>
      <c r="K1193" s="12" t="str">
        <f t="shared" si="224"/>
        <v/>
      </c>
      <c r="L1193" s="12"/>
      <c r="M1193" s="12" t="s">
        <v>11434</v>
      </c>
      <c r="N1193" s="12" t="str">
        <f t="shared" si="229"/>
        <v/>
      </c>
      <c r="O1193" s="12" t="str">
        <f t="shared" si="230"/>
        <v>1796</v>
      </c>
      <c r="P1193" s="12"/>
      <c r="Q1193" s="12" t="str">
        <f t="shared" si="225"/>
        <v>1796</v>
      </c>
      <c r="R1193" s="12"/>
      <c r="S1193" s="12" t="str">
        <f t="shared" si="226"/>
        <v/>
      </c>
      <c r="T1193" s="12"/>
      <c r="U1193" s="12"/>
      <c r="V1193" s="12" t="str">
        <f t="shared" si="227"/>
        <v/>
      </c>
      <c r="W1193" s="12" t="s">
        <v>4198</v>
      </c>
      <c r="X1193" s="12" t="s">
        <v>266</v>
      </c>
      <c r="Y1193" s="12" t="s">
        <v>11435</v>
      </c>
      <c r="Z1193" s="12"/>
      <c r="AA1193" s="12"/>
      <c r="AB1193" s="12"/>
      <c r="AC1193" s="12" t="s">
        <v>11436</v>
      </c>
      <c r="AD1193" s="12" t="s">
        <v>24</v>
      </c>
      <c r="AE1193" s="12" t="s">
        <v>11437</v>
      </c>
      <c r="AF1193" s="12"/>
      <c r="AG1193" s="12" t="s">
        <v>199</v>
      </c>
      <c r="AH1193" s="12"/>
      <c r="AI1193" s="12" t="str">
        <f t="shared" si="228"/>
        <v/>
      </c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</row>
    <row r="1194" spans="1:71">
      <c r="A1194" s="12" t="s">
        <v>3443</v>
      </c>
      <c r="B1194" s="12" t="str">
        <f t="shared" si="220"/>
        <v>NIEMAND</v>
      </c>
      <c r="C1194" s="12" t="str">
        <f t="shared" si="221"/>
        <v>NIEMAND</v>
      </c>
      <c r="D1194" s="12" t="s">
        <v>1686</v>
      </c>
      <c r="E1194" s="12" t="str">
        <f t="shared" si="231"/>
        <v xml:space="preserve">Izak Johannes </v>
      </c>
      <c r="F1194" s="12" t="s">
        <v>3610</v>
      </c>
      <c r="G1194" s="12" t="str">
        <f t="shared" si="222"/>
        <v>a2b6</v>
      </c>
      <c r="H1194" s="12" t="str">
        <f t="shared" si="223"/>
        <v>NIEMANDa2b6</v>
      </c>
      <c r="I1194" s="12"/>
      <c r="J1194" s="12" t="s">
        <v>11491</v>
      </c>
      <c r="K1194" s="12" t="str">
        <f t="shared" si="224"/>
        <v>1789</v>
      </c>
      <c r="L1194" s="12" t="s">
        <v>5489</v>
      </c>
      <c r="M1194" s="12" t="s">
        <v>11492</v>
      </c>
      <c r="N1194" s="12" t="str">
        <f t="shared" si="229"/>
        <v>1789</v>
      </c>
      <c r="O1194" s="12" t="str">
        <f t="shared" si="230"/>
        <v>1790</v>
      </c>
      <c r="P1194" s="12"/>
      <c r="Q1194" s="12" t="str">
        <f t="shared" si="225"/>
        <v>1789</v>
      </c>
      <c r="R1194" s="12"/>
      <c r="S1194" s="12" t="str">
        <f t="shared" si="226"/>
        <v/>
      </c>
      <c r="T1194" s="12" t="s">
        <v>74</v>
      </c>
      <c r="U1194" s="12" t="s">
        <v>10964</v>
      </c>
      <c r="V1194" s="12" t="str">
        <f t="shared" si="227"/>
        <v>1811</v>
      </c>
      <c r="W1194" s="12" t="s">
        <v>11493</v>
      </c>
      <c r="X1194" s="12" t="s">
        <v>2153</v>
      </c>
      <c r="Y1194" s="12"/>
      <c r="Z1194" s="12"/>
      <c r="AA1194" s="12"/>
      <c r="AB1194" s="12"/>
      <c r="AC1194" s="12"/>
      <c r="AD1194" s="12"/>
      <c r="AE1194" s="12"/>
      <c r="AF1194" s="12"/>
      <c r="AG1194" s="12" t="s">
        <v>60</v>
      </c>
      <c r="AH1194" s="12" t="s">
        <v>7900</v>
      </c>
      <c r="AI1194" s="12" t="str">
        <f t="shared" si="228"/>
        <v>1835</v>
      </c>
      <c r="AJ1194" s="12"/>
      <c r="AK1194" s="12"/>
      <c r="AL1194" s="12" t="s">
        <v>60</v>
      </c>
      <c r="AM1194" s="12" t="s">
        <v>11494</v>
      </c>
      <c r="AN1194" s="12" t="s">
        <v>11495</v>
      </c>
      <c r="AO1194" s="12" t="s">
        <v>3303</v>
      </c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 t="s">
        <v>11496</v>
      </c>
      <c r="AZ1194" s="12" t="s">
        <v>731</v>
      </c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</row>
    <row r="1195" spans="1:71">
      <c r="A1195" s="12" t="s">
        <v>11497</v>
      </c>
      <c r="B1195" s="12" t="str">
        <f t="shared" si="220"/>
        <v>NIEMANN</v>
      </c>
      <c r="C1195" s="12" t="str">
        <f t="shared" si="221"/>
        <v>NIEMANN</v>
      </c>
      <c r="D1195" s="12" t="s">
        <v>11498</v>
      </c>
      <c r="E1195" s="12" t="str">
        <f t="shared" si="231"/>
        <v>Pieter Jacobus Jr.</v>
      </c>
      <c r="F1195" s="12" t="s">
        <v>11499</v>
      </c>
      <c r="G1195" s="12" t="str">
        <f t="shared" si="222"/>
        <v>a1b10c6d1</v>
      </c>
      <c r="H1195" s="12" t="str">
        <f t="shared" si="223"/>
        <v>NIEMANNa1b10c6d1</v>
      </c>
      <c r="I1195" s="12"/>
      <c r="J1195" s="12" t="s">
        <v>11500</v>
      </c>
      <c r="K1195" s="12" t="str">
        <f t="shared" si="224"/>
        <v>1809</v>
      </c>
      <c r="L1195" s="12" t="s">
        <v>74</v>
      </c>
      <c r="M1195" s="12" t="s">
        <v>11501</v>
      </c>
      <c r="N1195" s="12" t="str">
        <f t="shared" si="229"/>
        <v>1809</v>
      </c>
      <c r="O1195" s="12" t="str">
        <f t="shared" si="230"/>
        <v>1809</v>
      </c>
      <c r="P1195" s="12" t="s">
        <v>5717</v>
      </c>
      <c r="Q1195" s="12" t="str">
        <f t="shared" si="225"/>
        <v>1809</v>
      </c>
      <c r="R1195" s="12" t="s">
        <v>11502</v>
      </c>
      <c r="S1195" s="12" t="str">
        <f t="shared" si="226"/>
        <v>1861</v>
      </c>
      <c r="T1195" s="12" t="s">
        <v>74</v>
      </c>
      <c r="U1195" s="12" t="s">
        <v>11503</v>
      </c>
      <c r="V1195" s="12" t="str">
        <f t="shared" si="227"/>
        <v>1833</v>
      </c>
      <c r="W1195" s="12" t="s">
        <v>11504</v>
      </c>
      <c r="X1195" s="12" t="s">
        <v>11505</v>
      </c>
      <c r="Y1195" s="12"/>
      <c r="Z1195" s="12"/>
      <c r="AA1195" s="12"/>
      <c r="AB1195" s="12"/>
      <c r="AC1195" s="12"/>
      <c r="AD1195" s="12"/>
      <c r="AE1195" s="12"/>
      <c r="AF1195" s="12" t="s">
        <v>3723</v>
      </c>
      <c r="AG1195" s="12" t="s">
        <v>8334</v>
      </c>
      <c r="AH1195" s="12" t="s">
        <v>9967</v>
      </c>
      <c r="AI1195" s="12" t="str">
        <f t="shared" si="228"/>
        <v>1834</v>
      </c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</row>
    <row r="1196" spans="1:71">
      <c r="A1196" s="12" t="s">
        <v>11497</v>
      </c>
      <c r="B1196" s="12" t="str">
        <f t="shared" si="220"/>
        <v>NIEMANN</v>
      </c>
      <c r="C1196" s="12" t="str">
        <f t="shared" si="221"/>
        <v>NIEMANN</v>
      </c>
      <c r="D1196" s="12" t="s">
        <v>1472</v>
      </c>
      <c r="E1196" s="12" t="str">
        <f t="shared" si="231"/>
        <v>Willem Adriaan</v>
      </c>
      <c r="F1196" s="12" t="s">
        <v>11506</v>
      </c>
      <c r="G1196" s="12" t="str">
        <f t="shared" si="222"/>
        <v>a1b10c6d3</v>
      </c>
      <c r="H1196" s="12" t="str">
        <f t="shared" si="223"/>
        <v>NIEMANNa1b10c6d3</v>
      </c>
      <c r="I1196" s="12"/>
      <c r="J1196" s="12" t="s">
        <v>11507</v>
      </c>
      <c r="K1196" s="12" t="str">
        <f t="shared" si="224"/>
        <v>1814</v>
      </c>
      <c r="L1196" s="12" t="s">
        <v>74</v>
      </c>
      <c r="M1196" s="12" t="s">
        <v>11508</v>
      </c>
      <c r="N1196" s="12" t="str">
        <f t="shared" si="229"/>
        <v>1814</v>
      </c>
      <c r="O1196" s="12" t="str">
        <f t="shared" si="230"/>
        <v>1814</v>
      </c>
      <c r="P1196" s="12" t="s">
        <v>190</v>
      </c>
      <c r="Q1196" s="12" t="str">
        <f t="shared" si="225"/>
        <v>1814</v>
      </c>
      <c r="R1196" s="12" t="s">
        <v>11509</v>
      </c>
      <c r="S1196" s="12" t="str">
        <f t="shared" si="226"/>
        <v>1897</v>
      </c>
      <c r="T1196" s="12" t="s">
        <v>74</v>
      </c>
      <c r="U1196" s="12" t="s">
        <v>11510</v>
      </c>
      <c r="V1196" s="12" t="str">
        <f t="shared" si="227"/>
        <v>1834</v>
      </c>
      <c r="W1196" s="12" t="s">
        <v>11511</v>
      </c>
      <c r="X1196" s="12" t="s">
        <v>1167</v>
      </c>
      <c r="Y1196" s="12" t="s">
        <v>11512</v>
      </c>
      <c r="Z1196" s="12"/>
      <c r="AA1196" s="12" t="s">
        <v>11513</v>
      </c>
      <c r="AB1196" s="12" t="s">
        <v>28</v>
      </c>
      <c r="AC1196" s="12" t="s">
        <v>305</v>
      </c>
      <c r="AD1196" s="12"/>
      <c r="AE1196" s="12"/>
      <c r="AF1196" s="12" t="s">
        <v>3723</v>
      </c>
      <c r="AG1196" s="12" t="s">
        <v>8334</v>
      </c>
      <c r="AH1196" s="12" t="s">
        <v>9967</v>
      </c>
      <c r="AI1196" s="12" t="str">
        <f t="shared" si="228"/>
        <v>1834</v>
      </c>
      <c r="AJ1196" s="12"/>
      <c r="AK1196" s="12"/>
      <c r="AL1196" s="12" t="s">
        <v>11514</v>
      </c>
      <c r="AM1196" s="12" t="s">
        <v>1034</v>
      </c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 t="s">
        <v>11280</v>
      </c>
      <c r="AZ1196" s="12" t="s">
        <v>11515</v>
      </c>
      <c r="BA1196" s="12"/>
      <c r="BB1196" s="12">
        <v>1816</v>
      </c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</row>
    <row r="1197" spans="1:71">
      <c r="A1197" s="12" t="s">
        <v>7153</v>
      </c>
      <c r="B1197" s="12" t="str">
        <f t="shared" si="220"/>
        <v>NIENABER</v>
      </c>
      <c r="C1197" s="12" t="str">
        <f t="shared" si="221"/>
        <v>NIENABER</v>
      </c>
      <c r="D1197" s="12" t="s">
        <v>2140</v>
      </c>
      <c r="E1197" s="12" t="str">
        <f t="shared" si="231"/>
        <v>Jacobus Johannes</v>
      </c>
      <c r="F1197" s="12" t="s">
        <v>7942</v>
      </c>
      <c r="G1197" s="12" t="str">
        <f t="shared" si="222"/>
        <v>a1b8c4</v>
      </c>
      <c r="H1197" s="12" t="str">
        <f t="shared" si="223"/>
        <v>NIENABERa1b8c4</v>
      </c>
      <c r="I1197" s="12"/>
      <c r="J1197" s="12" t="s">
        <v>11516</v>
      </c>
      <c r="K1197" s="12" t="str">
        <f t="shared" si="224"/>
        <v>1817</v>
      </c>
      <c r="L1197" s="12" t="s">
        <v>74</v>
      </c>
      <c r="M1197" s="12" t="s">
        <v>11517</v>
      </c>
      <c r="N1197" s="12" t="str">
        <f t="shared" si="229"/>
        <v>1817</v>
      </c>
      <c r="O1197" s="12" t="str">
        <f t="shared" si="230"/>
        <v>1817</v>
      </c>
      <c r="P1197" s="12" t="s">
        <v>7345</v>
      </c>
      <c r="Q1197" s="12" t="str">
        <f t="shared" si="225"/>
        <v>1817</v>
      </c>
      <c r="R1197" s="12" t="s">
        <v>11518</v>
      </c>
      <c r="S1197" s="12" t="str">
        <f t="shared" si="226"/>
        <v>1894</v>
      </c>
      <c r="T1197" s="12" t="s">
        <v>74</v>
      </c>
      <c r="U1197" s="12" t="s">
        <v>11519</v>
      </c>
      <c r="V1197" s="12" t="str">
        <f t="shared" si="227"/>
        <v>1836</v>
      </c>
      <c r="W1197" s="12" t="s">
        <v>1642</v>
      </c>
      <c r="X1197" s="12" t="s">
        <v>729</v>
      </c>
      <c r="Y1197" s="12"/>
      <c r="Z1197" s="12"/>
      <c r="AA1197" s="12" t="s">
        <v>11520</v>
      </c>
      <c r="AB1197" s="12"/>
      <c r="AC1197" s="12"/>
      <c r="AD1197" s="12" t="s">
        <v>4129</v>
      </c>
      <c r="AE1197" s="12" t="s">
        <v>11521</v>
      </c>
      <c r="AF1197" s="12" t="s">
        <v>11195</v>
      </c>
      <c r="AG1197" s="12" t="s">
        <v>74</v>
      </c>
      <c r="AH1197" s="12" t="s">
        <v>11522</v>
      </c>
      <c r="AI1197" s="12" t="str">
        <f t="shared" si="228"/>
        <v>1841</v>
      </c>
      <c r="AJ1197" s="12"/>
      <c r="AK1197" s="12" t="s">
        <v>551</v>
      </c>
      <c r="AL1197" s="12"/>
      <c r="AM1197" s="12"/>
      <c r="AN1197" s="12" t="s">
        <v>11523</v>
      </c>
      <c r="AO1197" s="12" t="s">
        <v>784</v>
      </c>
      <c r="AP1197" s="12"/>
      <c r="AQ1197" s="12"/>
      <c r="AR1197" s="12">
        <v>1823</v>
      </c>
      <c r="AS1197" s="12"/>
      <c r="AT1197" s="12"/>
      <c r="AU1197" s="12" t="s">
        <v>7345</v>
      </c>
      <c r="AV1197" s="12" t="s">
        <v>11524</v>
      </c>
      <c r="AW1197" s="12"/>
      <c r="AX1197" s="12"/>
      <c r="AY1197" s="12" t="s">
        <v>11525</v>
      </c>
      <c r="AZ1197" s="12" t="s">
        <v>187</v>
      </c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</row>
    <row r="1198" spans="1:71">
      <c r="A1198" s="12" t="s">
        <v>653</v>
      </c>
      <c r="B1198" s="12" t="str">
        <f t="shared" si="220"/>
        <v>NIEUWENHUIZEN</v>
      </c>
      <c r="C1198" s="12" t="str">
        <f t="shared" si="221"/>
        <v>NIEUWENHUIZEN</v>
      </c>
      <c r="D1198" s="12" t="s">
        <v>201</v>
      </c>
      <c r="E1198" s="12" t="str">
        <f t="shared" si="231"/>
        <v>Petrus Johannes</v>
      </c>
      <c r="F1198" s="12" t="s">
        <v>11529</v>
      </c>
      <c r="G1198" s="12" t="str">
        <f t="shared" si="222"/>
        <v>a1b5c3d2</v>
      </c>
      <c r="H1198" s="12" t="str">
        <f t="shared" si="223"/>
        <v>NIEUWENHUIZENa1b5c3d2</v>
      </c>
      <c r="I1198" s="12"/>
      <c r="J1198" s="12" t="s">
        <v>11530</v>
      </c>
      <c r="K1198" s="12" t="str">
        <f t="shared" si="224"/>
        <v>1811</v>
      </c>
      <c r="L1198" s="12" t="s">
        <v>74</v>
      </c>
      <c r="M1198" s="12" t="s">
        <v>5730</v>
      </c>
      <c r="N1198" s="12" t="str">
        <f t="shared" si="229"/>
        <v>1811</v>
      </c>
      <c r="O1198" s="12" t="str">
        <f t="shared" si="230"/>
        <v>1812</v>
      </c>
      <c r="P1198" s="12" t="s">
        <v>74</v>
      </c>
      <c r="Q1198" s="12" t="str">
        <f t="shared" si="225"/>
        <v>1811</v>
      </c>
      <c r="R1198" s="12" t="s">
        <v>11531</v>
      </c>
      <c r="S1198" s="12" t="str">
        <f t="shared" si="226"/>
        <v>1829</v>
      </c>
      <c r="T1198" s="12"/>
      <c r="U1198" s="12"/>
      <c r="V1198" s="12" t="str">
        <f t="shared" si="227"/>
        <v/>
      </c>
      <c r="W1198" s="12" t="s">
        <v>11532</v>
      </c>
      <c r="X1198" s="12" t="s">
        <v>778</v>
      </c>
      <c r="Y1198" s="12" t="s">
        <v>11533</v>
      </c>
      <c r="Z1198" s="12"/>
      <c r="AA1198" s="12" t="s">
        <v>11534</v>
      </c>
      <c r="AB1198" s="12" t="s">
        <v>74</v>
      </c>
      <c r="AC1198" s="12" t="s">
        <v>11535</v>
      </c>
      <c r="AD1198" s="12"/>
      <c r="AE1198" s="12" t="s">
        <v>11536</v>
      </c>
      <c r="AF1198" s="12" t="s">
        <v>16</v>
      </c>
      <c r="AG1198" s="12" t="s">
        <v>68</v>
      </c>
      <c r="AH1198" s="12" t="s">
        <v>11537</v>
      </c>
      <c r="AI1198" s="12" t="str">
        <f t="shared" si="228"/>
        <v>1836</v>
      </c>
      <c r="AJ1198" s="12" t="s">
        <v>10941</v>
      </c>
      <c r="AK1198" s="12"/>
      <c r="AL1198" s="12" t="s">
        <v>140</v>
      </c>
      <c r="AM1198" s="12" t="s">
        <v>11538</v>
      </c>
      <c r="AN1198" s="12" t="s">
        <v>804</v>
      </c>
      <c r="AO1198" s="12" t="s">
        <v>355</v>
      </c>
      <c r="AP1198" s="12" t="s">
        <v>11539</v>
      </c>
      <c r="AQ1198" s="12"/>
      <c r="AR1198" s="12" t="s">
        <v>11540</v>
      </c>
      <c r="AS1198" s="12" t="s">
        <v>28</v>
      </c>
      <c r="AT1198" s="12" t="s">
        <v>4369</v>
      </c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</row>
    <row r="1199" spans="1:71">
      <c r="A1199" s="12" t="s">
        <v>653</v>
      </c>
      <c r="B1199" s="12" t="str">
        <f t="shared" si="220"/>
        <v>NIEUWENHUIZEN</v>
      </c>
      <c r="C1199" s="12" t="str">
        <f t="shared" si="221"/>
        <v>NIEUWENHUIZEN</v>
      </c>
      <c r="D1199" s="12" t="s">
        <v>1188</v>
      </c>
      <c r="E1199" s="12" t="str">
        <f t="shared" si="231"/>
        <v>Hendrik Petrus</v>
      </c>
      <c r="F1199" s="12" t="s">
        <v>7670</v>
      </c>
      <c r="G1199" s="12" t="str">
        <f t="shared" si="222"/>
        <v>a1b5c3d3</v>
      </c>
      <c r="H1199" s="12" t="str">
        <f t="shared" si="223"/>
        <v>NIEUWENHUIZENa1b5c3d3</v>
      </c>
      <c r="I1199" s="12"/>
      <c r="J1199" s="12" t="s">
        <v>11526</v>
      </c>
      <c r="K1199" s="12" t="str">
        <f t="shared" si="224"/>
        <v>1814</v>
      </c>
      <c r="L1199" s="12" t="s">
        <v>74</v>
      </c>
      <c r="M1199" s="12" t="s">
        <v>11527</v>
      </c>
      <c r="N1199" s="12" t="str">
        <f t="shared" si="229"/>
        <v>1814</v>
      </c>
      <c r="O1199" s="12" t="str">
        <f t="shared" si="230"/>
        <v>1815</v>
      </c>
      <c r="P1199" s="12"/>
      <c r="Q1199" s="12" t="str">
        <f t="shared" si="225"/>
        <v>1814</v>
      </c>
      <c r="R1199" s="12"/>
      <c r="S1199" s="12" t="str">
        <f t="shared" si="226"/>
        <v/>
      </c>
      <c r="T1199" s="12" t="s">
        <v>74</v>
      </c>
      <c r="U1199" s="12" t="s">
        <v>11528</v>
      </c>
      <c r="V1199" s="12" t="str">
        <f t="shared" si="227"/>
        <v>1833</v>
      </c>
      <c r="W1199" s="12" t="s">
        <v>4221</v>
      </c>
      <c r="X1199" s="12" t="s">
        <v>4474</v>
      </c>
      <c r="Y1199" s="12"/>
      <c r="Z1199" s="12"/>
      <c r="AA1199" s="12"/>
      <c r="AB1199" s="12"/>
      <c r="AC1199" s="12"/>
      <c r="AD1199" s="12"/>
      <c r="AE1199" s="12"/>
      <c r="AF1199" s="12" t="s">
        <v>16</v>
      </c>
      <c r="AG1199" s="12" t="s">
        <v>68</v>
      </c>
      <c r="AH1199" s="12"/>
      <c r="AI1199" s="12" t="str">
        <f t="shared" si="228"/>
        <v/>
      </c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</row>
    <row r="1200" spans="1:71">
      <c r="A1200" s="12" t="s">
        <v>11541</v>
      </c>
      <c r="B1200" s="12" t="str">
        <f t="shared" si="220"/>
        <v>NOORDMAN</v>
      </c>
      <c r="C1200" s="12" t="str">
        <f t="shared" si="221"/>
        <v>NOORDMAN</v>
      </c>
      <c r="D1200" s="12" t="s">
        <v>11542</v>
      </c>
      <c r="E1200" s="12" t="str">
        <f t="shared" si="231"/>
        <v>Godlieb Antonie</v>
      </c>
      <c r="F1200" s="12" t="s">
        <v>4055</v>
      </c>
      <c r="G1200" s="12" t="str">
        <f t="shared" si="222"/>
        <v>a1b5</v>
      </c>
      <c r="H1200" s="12" t="str">
        <f t="shared" si="223"/>
        <v>NOORDMANa1b5</v>
      </c>
      <c r="I1200" s="12" t="s">
        <v>32</v>
      </c>
      <c r="J1200" s="12" t="s">
        <v>11543</v>
      </c>
      <c r="K1200" s="12" t="str">
        <f t="shared" si="224"/>
        <v>1806</v>
      </c>
      <c r="L1200" s="12" t="s">
        <v>32</v>
      </c>
      <c r="M1200" s="12" t="s">
        <v>11544</v>
      </c>
      <c r="N1200" s="12" t="str">
        <f t="shared" si="229"/>
        <v>1806</v>
      </c>
      <c r="O1200" s="12" t="str">
        <f t="shared" si="230"/>
        <v>1807</v>
      </c>
      <c r="P1200" s="12" t="s">
        <v>2877</v>
      </c>
      <c r="Q1200" s="12" t="str">
        <f t="shared" si="225"/>
        <v>1806</v>
      </c>
      <c r="R1200" s="12" t="s">
        <v>11545</v>
      </c>
      <c r="S1200" s="12" t="str">
        <f t="shared" si="226"/>
        <v>1882</v>
      </c>
      <c r="T1200" s="12" t="s">
        <v>199</v>
      </c>
      <c r="U1200" s="12" t="s">
        <v>11546</v>
      </c>
      <c r="V1200" s="12" t="str">
        <f t="shared" si="227"/>
        <v>1833</v>
      </c>
      <c r="W1200" s="12" t="s">
        <v>11547</v>
      </c>
      <c r="X1200" s="12" t="s">
        <v>660</v>
      </c>
      <c r="Y1200" s="12" t="s">
        <v>11548</v>
      </c>
      <c r="Z1200" s="12"/>
      <c r="AA1200" s="12"/>
      <c r="AB1200" s="12"/>
      <c r="AC1200" s="12" t="s">
        <v>11549</v>
      </c>
      <c r="AD1200" s="12"/>
      <c r="AE1200" s="12"/>
      <c r="AF1200" s="12"/>
      <c r="AG1200" s="12" t="s">
        <v>10979</v>
      </c>
      <c r="AH1200" s="12">
        <v>1837</v>
      </c>
      <c r="AI1200" s="12" t="str">
        <f t="shared" si="228"/>
        <v>1837</v>
      </c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</row>
    <row r="1201" spans="1:71">
      <c r="A1201" s="12" t="s">
        <v>10996</v>
      </c>
      <c r="B1201" s="12" t="str">
        <f t="shared" si="220"/>
        <v>NORTJÉ</v>
      </c>
      <c r="C1201" s="12" t="str">
        <f t="shared" si="221"/>
        <v>NORTJÉ</v>
      </c>
      <c r="D1201" s="12" t="s">
        <v>11567</v>
      </c>
      <c r="E1201" s="12" t="str">
        <f t="shared" si="231"/>
        <v>Joachim Johannes Petrus</v>
      </c>
      <c r="F1201" s="12" t="s">
        <v>11568</v>
      </c>
      <c r="G1201" s="12" t="str">
        <f t="shared" si="222"/>
        <v>a1b3c5d4e5</v>
      </c>
      <c r="H1201" s="12" t="str">
        <f t="shared" si="223"/>
        <v>NORTJÉa1b3c5d4e5</v>
      </c>
      <c r="I1201" s="12"/>
      <c r="J1201" s="12"/>
      <c r="K1201" s="12" t="str">
        <f t="shared" si="224"/>
        <v/>
      </c>
      <c r="L1201" s="12"/>
      <c r="M1201" s="12" t="s">
        <v>11569</v>
      </c>
      <c r="N1201" s="12" t="str">
        <f t="shared" si="229"/>
        <v/>
      </c>
      <c r="O1201" s="12" t="str">
        <f t="shared" si="230"/>
        <v>1823</v>
      </c>
      <c r="P1201" s="12"/>
      <c r="Q1201" s="12" t="str">
        <f t="shared" si="225"/>
        <v>1823</v>
      </c>
      <c r="R1201" s="12">
        <v>1850</v>
      </c>
      <c r="S1201" s="12" t="str">
        <f t="shared" si="226"/>
        <v>1850</v>
      </c>
      <c r="T1201" s="12" t="s">
        <v>140</v>
      </c>
      <c r="U1201" s="12" t="s">
        <v>11570</v>
      </c>
      <c r="V1201" s="12" t="str">
        <f t="shared" si="227"/>
        <v>1845</v>
      </c>
      <c r="W1201" s="12" t="s">
        <v>11571</v>
      </c>
      <c r="X1201" s="12" t="s">
        <v>11572</v>
      </c>
      <c r="Y1201" s="12"/>
      <c r="Z1201" s="12"/>
      <c r="AA1201" s="12">
        <v>1825</v>
      </c>
      <c r="AB1201" s="12"/>
      <c r="AC1201" s="12"/>
      <c r="AD1201" s="12"/>
      <c r="AE1201" s="12"/>
      <c r="AF1201" s="12"/>
      <c r="AG1201" s="12" t="s">
        <v>11573</v>
      </c>
      <c r="AH1201" s="12"/>
      <c r="AI1201" s="12" t="str">
        <f t="shared" si="228"/>
        <v/>
      </c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</row>
    <row r="1202" spans="1:71">
      <c r="A1202" s="12" t="s">
        <v>10996</v>
      </c>
      <c r="B1202" s="12" t="str">
        <f t="shared" si="220"/>
        <v>NORTJÉ</v>
      </c>
      <c r="C1202" s="12" t="str">
        <f t="shared" si="221"/>
        <v>NORTJÉ</v>
      </c>
      <c r="D1202" s="12" t="s">
        <v>11550</v>
      </c>
      <c r="E1202" s="12" t="str">
        <f t="shared" si="231"/>
        <v>Daniel Theodore Willem Maarten Johannes</v>
      </c>
      <c r="F1202" s="12" t="s">
        <v>11551</v>
      </c>
      <c r="G1202" s="12" t="str">
        <f t="shared" si="222"/>
        <v>a1b5c8d2e6</v>
      </c>
      <c r="H1202" s="12" t="str">
        <f t="shared" si="223"/>
        <v>NORTJÉa1b5c8d2e6</v>
      </c>
      <c r="I1202" s="12"/>
      <c r="J1202" s="12" t="s">
        <v>10279</v>
      </c>
      <c r="K1202" s="12" t="str">
        <f t="shared" si="224"/>
        <v>1808</v>
      </c>
      <c r="L1202" s="12"/>
      <c r="M1202" s="12"/>
      <c r="N1202" s="12" t="str">
        <f t="shared" si="229"/>
        <v>1808</v>
      </c>
      <c r="O1202" s="12" t="str">
        <f t="shared" si="230"/>
        <v/>
      </c>
      <c r="P1202" s="12"/>
      <c r="Q1202" s="12" t="str">
        <f t="shared" si="225"/>
        <v>1808</v>
      </c>
      <c r="R1202" s="12"/>
      <c r="S1202" s="12" t="str">
        <f t="shared" si="226"/>
        <v/>
      </c>
      <c r="T1202" s="12" t="s">
        <v>366</v>
      </c>
      <c r="U1202" s="12" t="s">
        <v>11552</v>
      </c>
      <c r="V1202" s="12" t="str">
        <f t="shared" si="227"/>
        <v>1827</v>
      </c>
      <c r="W1202" s="12" t="s">
        <v>11553</v>
      </c>
      <c r="X1202" s="12" t="s">
        <v>1920</v>
      </c>
      <c r="Y1202" s="12" t="s">
        <v>11554</v>
      </c>
      <c r="Z1202" s="12"/>
      <c r="AA1202" s="12" t="s">
        <v>6080</v>
      </c>
      <c r="AB1202" s="12" t="s">
        <v>74</v>
      </c>
      <c r="AC1202" s="12" t="s">
        <v>11555</v>
      </c>
      <c r="AD1202" s="12"/>
      <c r="AE1202" s="12"/>
      <c r="AF1202" s="12" t="s">
        <v>3703</v>
      </c>
      <c r="AG1202" s="12" t="s">
        <v>366</v>
      </c>
      <c r="AH1202" s="12" t="s">
        <v>7089</v>
      </c>
      <c r="AI1202" s="12" t="str">
        <f t="shared" si="228"/>
        <v>1837</v>
      </c>
      <c r="AJ1202" s="12" t="s">
        <v>11556</v>
      </c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</row>
    <row r="1203" spans="1:71">
      <c r="A1203" s="12" t="s">
        <v>10996</v>
      </c>
      <c r="B1203" s="12" t="str">
        <f t="shared" si="220"/>
        <v>NORTJÉ</v>
      </c>
      <c r="C1203" s="12" t="str">
        <f t="shared" si="221"/>
        <v>NORTJÉ</v>
      </c>
      <c r="D1203" s="12" t="s">
        <v>11574</v>
      </c>
      <c r="E1203" s="12" t="str">
        <f t="shared" si="231"/>
        <v>Petrus (Pieter) Johannes Sr.</v>
      </c>
      <c r="F1203" s="12" t="s">
        <v>11575</v>
      </c>
      <c r="G1203" s="12" t="str">
        <f t="shared" si="222"/>
        <v>a3b3c5d7</v>
      </c>
      <c r="H1203" s="12" t="str">
        <f t="shared" si="223"/>
        <v>NORTJÉa3b3c5d7</v>
      </c>
      <c r="I1203" s="12"/>
      <c r="J1203" s="12"/>
      <c r="K1203" s="12" t="str">
        <f t="shared" si="224"/>
        <v/>
      </c>
      <c r="L1203" s="12"/>
      <c r="M1203" s="12" t="s">
        <v>11576</v>
      </c>
      <c r="N1203" s="12" t="str">
        <f t="shared" si="229"/>
        <v/>
      </c>
      <c r="O1203" s="12" t="str">
        <f t="shared" si="230"/>
        <v>1790</v>
      </c>
      <c r="P1203" s="12"/>
      <c r="Q1203" s="12" t="str">
        <f t="shared" si="225"/>
        <v>1790</v>
      </c>
      <c r="R1203" s="12"/>
      <c r="S1203" s="12" t="str">
        <f t="shared" si="226"/>
        <v/>
      </c>
      <c r="T1203" s="12" t="s">
        <v>32</v>
      </c>
      <c r="U1203" s="12" t="s">
        <v>11577</v>
      </c>
      <c r="V1203" s="12" t="str">
        <f t="shared" si="227"/>
        <v>1808</v>
      </c>
      <c r="W1203" s="12" t="s">
        <v>819</v>
      </c>
      <c r="X1203" s="12" t="s">
        <v>668</v>
      </c>
      <c r="Y1203" s="12" t="s">
        <v>11578</v>
      </c>
      <c r="Z1203" s="12"/>
      <c r="AA1203" s="12"/>
      <c r="AB1203" s="12"/>
      <c r="AC1203" s="12" t="s">
        <v>11579</v>
      </c>
      <c r="AD1203" s="12"/>
      <c r="AE1203" s="12"/>
      <c r="AF1203" s="12"/>
      <c r="AG1203" s="12" t="s">
        <v>199</v>
      </c>
      <c r="AH1203" s="12" t="s">
        <v>11580</v>
      </c>
      <c r="AI1203" s="12" t="str">
        <f t="shared" si="228"/>
        <v>1836</v>
      </c>
      <c r="AJ1203" s="12"/>
      <c r="AK1203" s="12" t="s">
        <v>551</v>
      </c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</row>
    <row r="1204" spans="1:71">
      <c r="A1204" s="12" t="s">
        <v>10996</v>
      </c>
      <c r="B1204" s="12" t="str">
        <f t="shared" ref="B1204:B1267" si="232">SUBSTITUTE(A1204," ","")</f>
        <v>NORTJÉ</v>
      </c>
      <c r="C1204" s="12" t="str">
        <f t="shared" ref="C1204:C1267" si="233">TRIM(A1204)</f>
        <v>NORTJÉ</v>
      </c>
      <c r="D1204" s="12" t="s">
        <v>11581</v>
      </c>
      <c r="E1204" s="12" t="str">
        <f t="shared" si="231"/>
        <v>Petrus (Pieter) Johannes Jr.</v>
      </c>
      <c r="F1204" s="12" t="s">
        <v>11582</v>
      </c>
      <c r="G1204" s="12" t="str">
        <f t="shared" ref="G1204:G1267" si="234">IF(LEFT(F1204,1)="b","a1"&amp;F1204,F1204)</f>
        <v>a3b3c5d7e2</v>
      </c>
      <c r="H1204" s="12" t="str">
        <f t="shared" ref="H1204:H1267" si="235">C1204&amp;G1204</f>
        <v>NORTJÉa3b3c5d7e2</v>
      </c>
      <c r="I1204" s="12"/>
      <c r="J1204" s="12" t="s">
        <v>11583</v>
      </c>
      <c r="K1204" s="12" t="str">
        <f t="shared" ref="K1204:K1267" si="236">RIGHT(J1204,4)</f>
        <v>1815</v>
      </c>
      <c r="L1204" s="12" t="s">
        <v>199</v>
      </c>
      <c r="M1204" s="12" t="s">
        <v>280</v>
      </c>
      <c r="N1204" s="12" t="str">
        <f t="shared" si="229"/>
        <v>1815</v>
      </c>
      <c r="O1204" s="12" t="str">
        <f t="shared" si="230"/>
        <v>1815</v>
      </c>
      <c r="P1204" s="12"/>
      <c r="Q1204" s="12" t="str">
        <f t="shared" ref="Q1204:Q1267" si="237">IF(N1204="",O1204,N1204)</f>
        <v>1815</v>
      </c>
      <c r="R1204" s="12"/>
      <c r="S1204" s="12" t="str">
        <f t="shared" ref="S1204:S1267" si="238">RIGHT(R1204,4)</f>
        <v/>
      </c>
      <c r="T1204" s="12" t="s">
        <v>366</v>
      </c>
      <c r="U1204" s="12" t="s">
        <v>11584</v>
      </c>
      <c r="V1204" s="12" t="str">
        <f t="shared" ref="V1204:V1267" si="239">RIGHT(U1204,4)</f>
        <v>1835</v>
      </c>
      <c r="W1204" s="12" t="s">
        <v>11585</v>
      </c>
      <c r="X1204" s="12" t="s">
        <v>11586</v>
      </c>
      <c r="Y1204" s="12"/>
      <c r="Z1204" s="12"/>
      <c r="AA1204" s="12"/>
      <c r="AB1204" s="12"/>
      <c r="AC1204" s="12"/>
      <c r="AD1204" s="12"/>
      <c r="AE1204" s="12"/>
      <c r="AF1204" s="12"/>
      <c r="AG1204" s="12" t="s">
        <v>199</v>
      </c>
      <c r="AH1204" s="12" t="s">
        <v>11587</v>
      </c>
      <c r="AI1204" s="12" t="str">
        <f t="shared" ref="AI1204:AI1267" si="240">RIGHT(AH1204,4)</f>
        <v>1836</v>
      </c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</row>
    <row r="1205" spans="1:71">
      <c r="A1205" s="12" t="s">
        <v>10996</v>
      </c>
      <c r="B1205" s="12" t="str">
        <f t="shared" si="232"/>
        <v>NORTJÉ</v>
      </c>
      <c r="C1205" s="12" t="str">
        <f t="shared" si="233"/>
        <v>NORTJÉ</v>
      </c>
      <c r="D1205" s="12" t="s">
        <v>1818</v>
      </c>
      <c r="E1205" s="12" t="str">
        <f t="shared" si="231"/>
        <v>Jacob Johannes</v>
      </c>
      <c r="F1205" s="12" t="s">
        <v>11557</v>
      </c>
      <c r="G1205" s="12" t="str">
        <f t="shared" si="234"/>
        <v>a3b5c8d2e3</v>
      </c>
      <c r="H1205" s="12" t="str">
        <f t="shared" si="235"/>
        <v>NORTJÉa3b5c8d2e3</v>
      </c>
      <c r="I1205" s="12"/>
      <c r="J1205" s="12"/>
      <c r="K1205" s="12" t="str">
        <f t="shared" si="236"/>
        <v/>
      </c>
      <c r="L1205" s="12"/>
      <c r="M1205" s="12" t="s">
        <v>5797</v>
      </c>
      <c r="N1205" s="12" t="str">
        <f t="shared" si="229"/>
        <v/>
      </c>
      <c r="O1205" s="12" t="str">
        <f t="shared" si="230"/>
        <v>1800</v>
      </c>
      <c r="P1205" s="12"/>
      <c r="Q1205" s="12" t="str">
        <f t="shared" si="237"/>
        <v>1800</v>
      </c>
      <c r="R1205" s="12"/>
      <c r="S1205" s="12" t="str">
        <f t="shared" si="238"/>
        <v/>
      </c>
      <c r="T1205" s="12" t="s">
        <v>366</v>
      </c>
      <c r="U1205" s="12" t="s">
        <v>11558</v>
      </c>
      <c r="V1205" s="12" t="str">
        <f t="shared" si="239"/>
        <v>1824</v>
      </c>
      <c r="W1205" s="12" t="s">
        <v>11559</v>
      </c>
      <c r="X1205" s="12" t="s">
        <v>2106</v>
      </c>
      <c r="Y1205" s="12"/>
      <c r="Z1205" s="12"/>
      <c r="AA1205" s="12"/>
      <c r="AB1205" s="12" t="s">
        <v>74</v>
      </c>
      <c r="AC1205" s="12" t="s">
        <v>11560</v>
      </c>
      <c r="AD1205" s="12"/>
      <c r="AE1205" s="12"/>
      <c r="AF1205" s="12" t="s">
        <v>3703</v>
      </c>
      <c r="AG1205" s="12" t="s">
        <v>366</v>
      </c>
      <c r="AH1205" s="12" t="s">
        <v>11561</v>
      </c>
      <c r="AI1205" s="12" t="str">
        <f t="shared" si="240"/>
        <v>1837</v>
      </c>
      <c r="AJ1205" s="12" t="s">
        <v>11556</v>
      </c>
      <c r="AK1205" s="12"/>
      <c r="AL1205" s="12" t="s">
        <v>366</v>
      </c>
      <c r="AM1205" s="12" t="s">
        <v>10953</v>
      </c>
      <c r="AN1205" s="12" t="s">
        <v>11562</v>
      </c>
      <c r="AO1205" s="12" t="s">
        <v>4624</v>
      </c>
      <c r="AP1205" s="12"/>
      <c r="AQ1205" s="12"/>
      <c r="AR1205" s="12"/>
      <c r="AS1205" s="12"/>
      <c r="AT1205" s="12"/>
      <c r="AU1205" s="12"/>
      <c r="AV1205" s="12"/>
      <c r="AW1205" s="12" t="s">
        <v>366</v>
      </c>
      <c r="AX1205" s="12" t="s">
        <v>11563</v>
      </c>
      <c r="AY1205" s="12" t="s">
        <v>11564</v>
      </c>
      <c r="AZ1205" s="12" t="s">
        <v>698</v>
      </c>
      <c r="BA1205" s="12" t="s">
        <v>11565</v>
      </c>
      <c r="BB1205" s="12"/>
      <c r="BC1205" s="12"/>
      <c r="BD1205" s="12" t="s">
        <v>11566</v>
      </c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</row>
    <row r="1206" spans="1:71">
      <c r="A1206" s="12" t="s">
        <v>1900</v>
      </c>
      <c r="B1206" s="12" t="str">
        <f t="shared" si="232"/>
        <v>ODENDAAL</v>
      </c>
      <c r="C1206" s="12" t="str">
        <f t="shared" si="233"/>
        <v>ODENDAAL</v>
      </c>
      <c r="D1206" s="12" t="s">
        <v>11613</v>
      </c>
      <c r="E1206" s="12" t="str">
        <f t="shared" si="231"/>
        <v>Johannes Casparus</v>
      </c>
      <c r="F1206" s="12" t="s">
        <v>11614</v>
      </c>
      <c r="G1206" s="12" t="str">
        <f t="shared" si="234"/>
        <v>a1b3c1d8</v>
      </c>
      <c r="H1206" s="12" t="str">
        <f t="shared" si="235"/>
        <v>ODENDAALa1b3c1d8</v>
      </c>
      <c r="I1206" s="12"/>
      <c r="J1206" s="12"/>
      <c r="K1206" s="12" t="str">
        <f t="shared" si="236"/>
        <v/>
      </c>
      <c r="L1206" s="12" t="s">
        <v>961</v>
      </c>
      <c r="M1206" s="12" t="s">
        <v>11615</v>
      </c>
      <c r="N1206" s="12" t="str">
        <f t="shared" si="229"/>
        <v/>
      </c>
      <c r="O1206" s="12" t="str">
        <f t="shared" si="230"/>
        <v>1785</v>
      </c>
      <c r="P1206" s="12"/>
      <c r="Q1206" s="12" t="str">
        <f t="shared" si="237"/>
        <v>1785</v>
      </c>
      <c r="R1206" s="12"/>
      <c r="S1206" s="12" t="str">
        <f t="shared" si="238"/>
        <v/>
      </c>
      <c r="T1206" s="12" t="s">
        <v>32</v>
      </c>
      <c r="U1206" s="12" t="s">
        <v>11616</v>
      </c>
      <c r="V1206" s="12" t="str">
        <f t="shared" si="239"/>
        <v>1810</v>
      </c>
      <c r="W1206" s="12" t="s">
        <v>11617</v>
      </c>
      <c r="X1206" s="12" t="s">
        <v>1900</v>
      </c>
      <c r="Y1206" s="12" t="s">
        <v>11618</v>
      </c>
      <c r="Z1206" s="12"/>
      <c r="AA1206" s="12"/>
      <c r="AB1206" s="12"/>
      <c r="AC1206" s="12" t="s">
        <v>11619</v>
      </c>
      <c r="AD1206" s="12"/>
      <c r="AE1206" s="12"/>
      <c r="AF1206" s="12" t="s">
        <v>3677</v>
      </c>
      <c r="AG1206" s="12" t="s">
        <v>53</v>
      </c>
      <c r="AH1206" s="12" t="s">
        <v>11607</v>
      </c>
      <c r="AI1206" s="12" t="str">
        <f t="shared" si="240"/>
        <v>1837</v>
      </c>
      <c r="AJ1206" s="12" t="s">
        <v>2382</v>
      </c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</row>
    <row r="1207" spans="1:71">
      <c r="A1207" s="12" t="s">
        <v>1900</v>
      </c>
      <c r="B1207" s="12" t="str">
        <f t="shared" si="232"/>
        <v>ODENDAAL</v>
      </c>
      <c r="C1207" s="12" t="str">
        <f t="shared" si="233"/>
        <v>ODENDAAL</v>
      </c>
      <c r="D1207" s="12" t="s">
        <v>2140</v>
      </c>
      <c r="E1207" s="12" t="str">
        <f t="shared" si="231"/>
        <v>Jacobus Johannes</v>
      </c>
      <c r="F1207" s="12" t="s">
        <v>11602</v>
      </c>
      <c r="G1207" s="12" t="str">
        <f t="shared" si="234"/>
        <v>a1b3c1d8e4</v>
      </c>
      <c r="H1207" s="12" t="str">
        <f t="shared" si="235"/>
        <v>ODENDAALa1b3c1d8e4</v>
      </c>
      <c r="I1207" s="12"/>
      <c r="J1207" s="12"/>
      <c r="K1207" s="12" t="str">
        <f t="shared" si="236"/>
        <v/>
      </c>
      <c r="L1207" s="12" t="s">
        <v>32</v>
      </c>
      <c r="M1207" s="12" t="s">
        <v>11603</v>
      </c>
      <c r="N1207" s="12" t="str">
        <f t="shared" si="229"/>
        <v/>
      </c>
      <c r="O1207" s="12" t="str">
        <f t="shared" si="230"/>
        <v>1817</v>
      </c>
      <c r="P1207" s="12" t="s">
        <v>90</v>
      </c>
      <c r="Q1207" s="12" t="str">
        <f t="shared" si="237"/>
        <v>1817</v>
      </c>
      <c r="R1207" s="12" t="s">
        <v>11604</v>
      </c>
      <c r="S1207" s="12" t="str">
        <f t="shared" si="238"/>
        <v>1898</v>
      </c>
      <c r="T1207" s="12"/>
      <c r="U1207" s="12" t="s">
        <v>11605</v>
      </c>
      <c r="V1207" s="12" t="str">
        <f t="shared" si="239"/>
        <v>1841</v>
      </c>
      <c r="W1207" s="12" t="s">
        <v>2987</v>
      </c>
      <c r="X1207" s="12" t="s">
        <v>698</v>
      </c>
      <c r="Y1207" s="12" t="s">
        <v>11606</v>
      </c>
      <c r="Z1207" s="12"/>
      <c r="AA1207" s="12"/>
      <c r="AB1207" s="12"/>
      <c r="AC1207" s="12"/>
      <c r="AD1207" s="12"/>
      <c r="AE1207" s="12"/>
      <c r="AF1207" s="12" t="s">
        <v>3677</v>
      </c>
      <c r="AG1207" s="12" t="s">
        <v>53</v>
      </c>
      <c r="AH1207" s="12" t="s">
        <v>11607</v>
      </c>
      <c r="AI1207" s="12" t="str">
        <f t="shared" si="240"/>
        <v>1837</v>
      </c>
      <c r="AJ1207" s="12" t="s">
        <v>2382</v>
      </c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</row>
    <row r="1208" spans="1:71">
      <c r="A1208" s="12" t="s">
        <v>1900</v>
      </c>
      <c r="B1208" s="12" t="str">
        <f t="shared" si="232"/>
        <v>ODENDAAL</v>
      </c>
      <c r="C1208" s="12" t="str">
        <f t="shared" si="233"/>
        <v>ODENDAAL</v>
      </c>
      <c r="D1208" s="12" t="s">
        <v>4440</v>
      </c>
      <c r="E1208" s="12" t="str">
        <f t="shared" si="231"/>
        <v>Jacobus Paulus</v>
      </c>
      <c r="F1208" s="12" t="s">
        <v>11608</v>
      </c>
      <c r="G1208" s="12" t="str">
        <f t="shared" si="234"/>
        <v>a1b3c1d9</v>
      </c>
      <c r="H1208" s="12" t="str">
        <f t="shared" si="235"/>
        <v>ODENDAALa1b3c1d9</v>
      </c>
      <c r="I1208" s="12"/>
      <c r="J1208" s="12"/>
      <c r="K1208" s="12" t="str">
        <f t="shared" si="236"/>
        <v/>
      </c>
      <c r="L1208" s="12" t="s">
        <v>961</v>
      </c>
      <c r="M1208" s="12" t="s">
        <v>11609</v>
      </c>
      <c r="N1208" s="12" t="str">
        <f t="shared" si="229"/>
        <v/>
      </c>
      <c r="O1208" s="12" t="str">
        <f t="shared" si="230"/>
        <v>1788</v>
      </c>
      <c r="P1208" s="12" t="s">
        <v>24</v>
      </c>
      <c r="Q1208" s="12" t="str">
        <f t="shared" si="237"/>
        <v>1788</v>
      </c>
      <c r="R1208" s="12" t="s">
        <v>11610</v>
      </c>
      <c r="S1208" s="12" t="str">
        <f t="shared" si="238"/>
        <v>1858</v>
      </c>
      <c r="T1208" s="12" t="s">
        <v>158</v>
      </c>
      <c r="U1208" s="12" t="s">
        <v>11611</v>
      </c>
      <c r="V1208" s="12" t="str">
        <f t="shared" si="239"/>
        <v>1813</v>
      </c>
      <c r="W1208" s="12" t="s">
        <v>11612</v>
      </c>
      <c r="X1208" s="12" t="s">
        <v>5187</v>
      </c>
      <c r="Y1208" s="12"/>
      <c r="Z1208" s="12"/>
      <c r="AA1208" s="12"/>
      <c r="AB1208" s="12"/>
      <c r="AC1208" s="12"/>
      <c r="AD1208" s="12"/>
      <c r="AE1208" s="12"/>
      <c r="AF1208" s="12" t="s">
        <v>3705</v>
      </c>
      <c r="AG1208" s="12" t="s">
        <v>68</v>
      </c>
      <c r="AH1208" s="12" t="s">
        <v>11385</v>
      </c>
      <c r="AI1208" s="12" t="str">
        <f t="shared" si="240"/>
        <v>1848</v>
      </c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</row>
    <row r="1209" spans="1:71">
      <c r="A1209" s="12" t="s">
        <v>1900</v>
      </c>
      <c r="B1209" s="12" t="str">
        <f t="shared" si="232"/>
        <v>ODENDAAL</v>
      </c>
      <c r="C1209" s="12" t="str">
        <f t="shared" si="233"/>
        <v>ODENDAAL</v>
      </c>
      <c r="D1209" s="12" t="s">
        <v>11588</v>
      </c>
      <c r="E1209" s="12" t="str">
        <f t="shared" si="231"/>
        <v>Adriaan Isaak</v>
      </c>
      <c r="F1209" s="12" t="s">
        <v>11589</v>
      </c>
      <c r="G1209" s="12" t="str">
        <f t="shared" si="234"/>
        <v>a1b9c5d1</v>
      </c>
      <c r="H1209" s="12" t="str">
        <f t="shared" si="235"/>
        <v>ODENDAALa1b9c5d1</v>
      </c>
      <c r="I1209" s="12"/>
      <c r="J1209" s="12"/>
      <c r="K1209" s="12" t="str">
        <f t="shared" si="236"/>
        <v/>
      </c>
      <c r="L1209" s="12" t="s">
        <v>32</v>
      </c>
      <c r="M1209" s="12" t="s">
        <v>11590</v>
      </c>
      <c r="N1209" s="12" t="str">
        <f t="shared" si="229"/>
        <v/>
      </c>
      <c r="O1209" s="12" t="str">
        <f t="shared" si="230"/>
        <v>1812</v>
      </c>
      <c r="P1209" s="12" t="s">
        <v>90</v>
      </c>
      <c r="Q1209" s="12" t="str">
        <f t="shared" si="237"/>
        <v>1812</v>
      </c>
      <c r="R1209" s="12" t="s">
        <v>11591</v>
      </c>
      <c r="S1209" s="12" t="str">
        <f t="shared" si="238"/>
        <v>1879</v>
      </c>
      <c r="T1209" s="12" t="s">
        <v>32</v>
      </c>
      <c r="U1209" s="12" t="s">
        <v>11592</v>
      </c>
      <c r="V1209" s="12" t="str">
        <f t="shared" si="239"/>
        <v>1832</v>
      </c>
      <c r="W1209" s="12" t="s">
        <v>11593</v>
      </c>
      <c r="X1209" s="12" t="s">
        <v>78</v>
      </c>
      <c r="Y1209" s="12" t="s">
        <v>11594</v>
      </c>
      <c r="Z1209" s="12"/>
      <c r="AA1209" s="12"/>
      <c r="AB1209" s="12"/>
      <c r="AC1209" s="12" t="s">
        <v>11595</v>
      </c>
      <c r="AD1209" s="12" t="s">
        <v>2702</v>
      </c>
      <c r="AE1209" s="12" t="s">
        <v>11596</v>
      </c>
      <c r="AF1209" s="12" t="s">
        <v>3729</v>
      </c>
      <c r="AG1209" s="12" t="s">
        <v>32</v>
      </c>
      <c r="AH1209" s="12" t="s">
        <v>11597</v>
      </c>
      <c r="AI1209" s="12" t="str">
        <f t="shared" si="240"/>
        <v>1841</v>
      </c>
      <c r="AJ1209" s="12" t="s">
        <v>11598</v>
      </c>
      <c r="AK1209" s="12"/>
      <c r="AL1209" s="12"/>
      <c r="AM1209" s="12" t="s">
        <v>11599</v>
      </c>
      <c r="AN1209" s="12" t="s">
        <v>11036</v>
      </c>
      <c r="AO1209" s="12" t="s">
        <v>2381</v>
      </c>
      <c r="AP1209" s="12"/>
      <c r="AQ1209" s="12"/>
      <c r="AR1209" s="12"/>
      <c r="AS1209" s="12"/>
      <c r="AT1209" s="12"/>
      <c r="AU1209" s="12" t="s">
        <v>11037</v>
      </c>
      <c r="AV1209" s="12" t="s">
        <v>11038</v>
      </c>
      <c r="AW1209" s="12"/>
      <c r="AX1209" s="12" t="s">
        <v>11600</v>
      </c>
      <c r="AY1209" s="12" t="s">
        <v>11601</v>
      </c>
      <c r="AZ1209" s="12" t="s">
        <v>726</v>
      </c>
      <c r="BA1209" s="12" t="s">
        <v>11032</v>
      </c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</row>
    <row r="1210" spans="1:71">
      <c r="A1210" s="12" t="s">
        <v>1900</v>
      </c>
      <c r="B1210" s="12" t="str">
        <f t="shared" si="232"/>
        <v>ODENDAAL</v>
      </c>
      <c r="C1210" s="12" t="str">
        <f t="shared" si="233"/>
        <v>ODENDAAL</v>
      </c>
      <c r="D1210" s="12" t="s">
        <v>1472</v>
      </c>
      <c r="E1210" s="12" t="str">
        <f t="shared" si="231"/>
        <v>Willem Adriaan</v>
      </c>
      <c r="F1210" s="12" t="s">
        <v>11620</v>
      </c>
      <c r="G1210" s="12" t="str">
        <f t="shared" si="234"/>
        <v>a1b9c5d2</v>
      </c>
      <c r="H1210" s="12" t="str">
        <f t="shared" si="235"/>
        <v>ODENDAALa1b9c5d2</v>
      </c>
      <c r="I1210" s="12"/>
      <c r="J1210" s="12"/>
      <c r="K1210" s="12" t="str">
        <f t="shared" si="236"/>
        <v/>
      </c>
      <c r="L1210" s="12"/>
      <c r="M1210" s="12" t="s">
        <v>11621</v>
      </c>
      <c r="N1210" s="12" t="str">
        <f t="shared" si="229"/>
        <v/>
      </c>
      <c r="O1210" s="12" t="str">
        <f t="shared" si="230"/>
        <v>1814</v>
      </c>
      <c r="P1210" s="12" t="s">
        <v>1017</v>
      </c>
      <c r="Q1210" s="12" t="str">
        <f t="shared" si="237"/>
        <v>1814</v>
      </c>
      <c r="R1210" s="12" t="s">
        <v>11622</v>
      </c>
      <c r="S1210" s="12" t="str">
        <f t="shared" si="238"/>
        <v>1891</v>
      </c>
      <c r="T1210" s="12"/>
      <c r="U1210" s="12"/>
      <c r="V1210" s="12" t="str">
        <f t="shared" si="239"/>
        <v/>
      </c>
      <c r="W1210" s="12" t="s">
        <v>11623</v>
      </c>
      <c r="X1210" s="12" t="s">
        <v>78</v>
      </c>
      <c r="Y1210" s="12" t="s">
        <v>11624</v>
      </c>
      <c r="Z1210" s="12" t="s">
        <v>32</v>
      </c>
      <c r="AA1210" s="12" t="s">
        <v>11625</v>
      </c>
      <c r="AB1210" s="12"/>
      <c r="AC1210" s="12" t="s">
        <v>6343</v>
      </c>
      <c r="AD1210" s="12" t="s">
        <v>1017</v>
      </c>
      <c r="AE1210" s="12" t="s">
        <v>11626</v>
      </c>
      <c r="AF1210" s="12" t="s">
        <v>3729</v>
      </c>
      <c r="AG1210" s="12" t="s">
        <v>32</v>
      </c>
      <c r="AH1210" s="12" t="s">
        <v>11627</v>
      </c>
      <c r="AI1210" s="12" t="str">
        <f t="shared" si="240"/>
        <v>1840</v>
      </c>
      <c r="AJ1210" s="12"/>
      <c r="AK1210" s="12" t="s">
        <v>551</v>
      </c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</row>
    <row r="1211" spans="1:71">
      <c r="A1211" s="12" t="s">
        <v>618</v>
      </c>
      <c r="B1211" s="12" t="str">
        <f t="shared" si="232"/>
        <v>OLIVIER</v>
      </c>
      <c r="C1211" s="12" t="str">
        <f t="shared" si="233"/>
        <v>OLIVIER</v>
      </c>
      <c r="D1211" s="12" t="s">
        <v>3033</v>
      </c>
      <c r="E1211" s="12" t="str">
        <f t="shared" si="231"/>
        <v>Barend Jacobus</v>
      </c>
      <c r="F1211" s="12" t="s">
        <v>11637</v>
      </c>
      <c r="G1211" s="12" t="str">
        <f t="shared" si="234"/>
        <v>a1b2c2d1e1f3g3</v>
      </c>
      <c r="H1211" s="12" t="str">
        <f t="shared" si="235"/>
        <v>OLIVIERa1b2c2d1e1f3g3</v>
      </c>
      <c r="I1211" s="12"/>
      <c r="J1211" s="12" t="s">
        <v>11638</v>
      </c>
      <c r="K1211" s="12" t="str">
        <f t="shared" si="236"/>
        <v>1818</v>
      </c>
      <c r="L1211" s="12" t="s">
        <v>28</v>
      </c>
      <c r="M1211" s="12" t="s">
        <v>11639</v>
      </c>
      <c r="N1211" s="12" t="str">
        <f t="shared" si="229"/>
        <v>1818</v>
      </c>
      <c r="O1211" s="12" t="str">
        <f t="shared" si="230"/>
        <v>1819</v>
      </c>
      <c r="P1211" s="12" t="s">
        <v>93</v>
      </c>
      <c r="Q1211" s="12" t="str">
        <f t="shared" si="237"/>
        <v>1818</v>
      </c>
      <c r="R1211" s="12" t="s">
        <v>11640</v>
      </c>
      <c r="S1211" s="12" t="str">
        <f t="shared" si="238"/>
        <v>1886</v>
      </c>
      <c r="T1211" s="12" t="s">
        <v>28</v>
      </c>
      <c r="U1211" s="12" t="s">
        <v>11641</v>
      </c>
      <c r="V1211" s="12" t="str">
        <f t="shared" si="239"/>
        <v>1837</v>
      </c>
      <c r="W1211" s="12" t="s">
        <v>4779</v>
      </c>
      <c r="X1211" s="12" t="s">
        <v>657</v>
      </c>
      <c r="Y1211" s="12" t="s">
        <v>11642</v>
      </c>
      <c r="Z1211" s="12"/>
      <c r="AA1211" s="12"/>
      <c r="AB1211" s="12"/>
      <c r="AC1211" s="12"/>
      <c r="AD1211" s="12"/>
      <c r="AE1211" s="12"/>
      <c r="AF1211" s="12" t="s">
        <v>16</v>
      </c>
      <c r="AG1211" s="12" t="s">
        <v>68</v>
      </c>
      <c r="AH1211" s="12" t="s">
        <v>11076</v>
      </c>
      <c r="AI1211" s="12" t="str">
        <f t="shared" si="240"/>
        <v>1837</v>
      </c>
      <c r="AJ1211" s="12" t="s">
        <v>11643</v>
      </c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</row>
    <row r="1212" spans="1:71">
      <c r="A1212" s="12" t="s">
        <v>618</v>
      </c>
      <c r="B1212" s="12" t="str">
        <f t="shared" si="232"/>
        <v>OLIVIER</v>
      </c>
      <c r="C1212" s="12" t="str">
        <f t="shared" si="233"/>
        <v>OLIVIER</v>
      </c>
      <c r="D1212" s="12" t="s">
        <v>11628</v>
      </c>
      <c r="E1212" s="12" t="str">
        <f t="shared" si="231"/>
        <v>Adriaan Jacobus Jeremias</v>
      </c>
      <c r="F1212" s="12" t="s">
        <v>11629</v>
      </c>
      <c r="G1212" s="12" t="str">
        <f t="shared" si="234"/>
        <v>a2b4c11d2e2</v>
      </c>
      <c r="H1212" s="12" t="str">
        <f t="shared" si="235"/>
        <v>OLIVIERa2b4c11d2e2</v>
      </c>
      <c r="I1212" s="12"/>
      <c r="J1212" s="12"/>
      <c r="K1212" s="12" t="str">
        <f t="shared" si="236"/>
        <v/>
      </c>
      <c r="L1212" s="12" t="s">
        <v>542</v>
      </c>
      <c r="M1212" s="12" t="s">
        <v>11630</v>
      </c>
      <c r="N1212" s="12" t="str">
        <f t="shared" si="229"/>
        <v/>
      </c>
      <c r="O1212" s="12" t="str">
        <f t="shared" si="230"/>
        <v>1792</v>
      </c>
      <c r="P1212" s="12" t="s">
        <v>1017</v>
      </c>
      <c r="Q1212" s="12" t="str">
        <f t="shared" si="237"/>
        <v>1792</v>
      </c>
      <c r="R1212" s="12" t="s">
        <v>11631</v>
      </c>
      <c r="S1212" s="12" t="str">
        <f t="shared" si="238"/>
        <v>1867</v>
      </c>
      <c r="T1212" s="12" t="s">
        <v>158</v>
      </c>
      <c r="U1212" s="12" t="s">
        <v>11632</v>
      </c>
      <c r="V1212" s="12" t="str">
        <f t="shared" si="239"/>
        <v>1814</v>
      </c>
      <c r="W1212" s="12" t="s">
        <v>11633</v>
      </c>
      <c r="X1212" s="12" t="s">
        <v>11634</v>
      </c>
      <c r="Y1212" s="12"/>
      <c r="Z1212" s="12"/>
      <c r="AA1212" s="12"/>
      <c r="AB1212" s="12"/>
      <c r="AC1212" s="12" t="s">
        <v>11635</v>
      </c>
      <c r="AD1212" s="12"/>
      <c r="AE1212" s="12"/>
      <c r="AF1212" s="12" t="s">
        <v>2597</v>
      </c>
      <c r="AG1212" s="12" t="s">
        <v>366</v>
      </c>
      <c r="AH1212" s="12" t="s">
        <v>11636</v>
      </c>
      <c r="AI1212" s="12" t="str">
        <f t="shared" si="240"/>
        <v>1837</v>
      </c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</row>
    <row r="1213" spans="1:71">
      <c r="A1213" s="12" t="s">
        <v>618</v>
      </c>
      <c r="B1213" s="12" t="str">
        <f t="shared" si="232"/>
        <v>OLIVIER</v>
      </c>
      <c r="C1213" s="12" t="str">
        <f t="shared" si="233"/>
        <v>OLIVIER</v>
      </c>
      <c r="D1213" s="12" t="s">
        <v>11648</v>
      </c>
      <c r="E1213" s="12" t="str">
        <f t="shared" si="231"/>
        <v>Ockert Andries</v>
      </c>
      <c r="F1213" s="12" t="s">
        <v>11649</v>
      </c>
      <c r="G1213" s="12" t="str">
        <f t="shared" si="234"/>
        <v>a2b4c11d2e4</v>
      </c>
      <c r="H1213" s="12" t="str">
        <f t="shared" si="235"/>
        <v>OLIVIERa2b4c11d2e4</v>
      </c>
      <c r="I1213" s="12"/>
      <c r="J1213" s="12"/>
      <c r="K1213" s="12" t="str">
        <f t="shared" si="236"/>
        <v/>
      </c>
      <c r="L1213" s="12" t="s">
        <v>32</v>
      </c>
      <c r="M1213" s="12" t="s">
        <v>11650</v>
      </c>
      <c r="N1213" s="12" t="str">
        <f t="shared" si="229"/>
        <v/>
      </c>
      <c r="O1213" s="12" t="str">
        <f t="shared" si="230"/>
        <v>1800</v>
      </c>
      <c r="P1213" s="12"/>
      <c r="Q1213" s="12" t="str">
        <f t="shared" si="237"/>
        <v>1800</v>
      </c>
      <c r="R1213" s="12"/>
      <c r="S1213" s="12" t="str">
        <f t="shared" si="238"/>
        <v/>
      </c>
      <c r="T1213" s="12" t="s">
        <v>32</v>
      </c>
      <c r="U1213" s="12" t="s">
        <v>11651</v>
      </c>
      <c r="V1213" s="12" t="str">
        <f t="shared" si="239"/>
        <v>1821</v>
      </c>
      <c r="W1213" s="12" t="s">
        <v>11280</v>
      </c>
      <c r="X1213" s="12" t="s">
        <v>633</v>
      </c>
      <c r="Y1213" s="12"/>
      <c r="Z1213" s="12"/>
      <c r="AA1213" s="12"/>
      <c r="AB1213" s="12"/>
      <c r="AC1213" s="12"/>
      <c r="AD1213" s="12"/>
      <c r="AE1213" s="12"/>
      <c r="AF1213" s="12" t="s">
        <v>2597</v>
      </c>
      <c r="AG1213" s="12" t="s">
        <v>366</v>
      </c>
      <c r="AH1213" s="12" t="s">
        <v>11652</v>
      </c>
      <c r="AI1213" s="12" t="str">
        <f t="shared" si="240"/>
        <v>1837</v>
      </c>
      <c r="AJ1213" s="12" t="s">
        <v>10463</v>
      </c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</row>
    <row r="1214" spans="1:71">
      <c r="A1214" s="12" t="s">
        <v>618</v>
      </c>
      <c r="B1214" s="12" t="str">
        <f t="shared" si="232"/>
        <v>OLIVIER</v>
      </c>
      <c r="C1214" s="12" t="str">
        <f t="shared" si="233"/>
        <v>OLIVIER</v>
      </c>
      <c r="D1214" s="12" t="s">
        <v>11653</v>
      </c>
      <c r="E1214" s="12" t="str">
        <f t="shared" si="231"/>
        <v>Ockert Johannes Stephanus</v>
      </c>
      <c r="F1214" s="12" t="s">
        <v>11654</v>
      </c>
      <c r="G1214" s="12" t="str">
        <f t="shared" si="234"/>
        <v>a2b4c6d7e2</v>
      </c>
      <c r="H1214" s="12" t="str">
        <f t="shared" si="235"/>
        <v>OLIVIERa2b4c6d7e2</v>
      </c>
      <c r="I1214" s="12"/>
      <c r="J1214" s="12"/>
      <c r="K1214" s="12" t="str">
        <f t="shared" si="236"/>
        <v/>
      </c>
      <c r="L1214" s="12"/>
      <c r="M1214" s="12" t="s">
        <v>1171</v>
      </c>
      <c r="N1214" s="12" t="str">
        <f t="shared" si="229"/>
        <v/>
      </c>
      <c r="O1214" s="12" t="str">
        <f t="shared" si="230"/>
        <v>1795</v>
      </c>
      <c r="P1214" s="12"/>
      <c r="Q1214" s="12" t="str">
        <f t="shared" si="237"/>
        <v>1795</v>
      </c>
      <c r="R1214" s="12"/>
      <c r="S1214" s="12" t="str">
        <f t="shared" si="238"/>
        <v/>
      </c>
      <c r="T1214" s="12" t="s">
        <v>74</v>
      </c>
      <c r="U1214" s="12" t="s">
        <v>11655</v>
      </c>
      <c r="V1214" s="12" t="str">
        <f t="shared" si="239"/>
        <v>1816</v>
      </c>
      <c r="W1214" s="12" t="s">
        <v>819</v>
      </c>
      <c r="X1214" s="12" t="s">
        <v>655</v>
      </c>
      <c r="Y1214" s="12"/>
      <c r="Z1214" s="12"/>
      <c r="AA1214" s="12"/>
      <c r="AB1214" s="12"/>
      <c r="AC1214" s="12"/>
      <c r="AD1214" s="12"/>
      <c r="AE1214" s="12"/>
      <c r="AF1214" s="12" t="s">
        <v>11656</v>
      </c>
      <c r="AG1214" s="12" t="s">
        <v>68</v>
      </c>
      <c r="AH1214" s="12" t="s">
        <v>11657</v>
      </c>
      <c r="AI1214" s="12" t="str">
        <f t="shared" si="240"/>
        <v>1837</v>
      </c>
      <c r="AJ1214" s="12"/>
      <c r="AK1214" s="12"/>
      <c r="AL1214" s="12" t="s">
        <v>28</v>
      </c>
      <c r="AM1214" s="12" t="s">
        <v>11658</v>
      </c>
      <c r="AN1214" s="12" t="s">
        <v>11659</v>
      </c>
      <c r="AO1214" s="12" t="s">
        <v>3657</v>
      </c>
      <c r="AP1214" s="12"/>
      <c r="AQ1214" s="12"/>
      <c r="AR1214" s="12"/>
      <c r="AS1214" s="12"/>
      <c r="AT1214" s="12"/>
      <c r="AU1214" s="12"/>
      <c r="AV1214" s="12"/>
      <c r="AW1214" s="12" t="s">
        <v>5146</v>
      </c>
      <c r="AX1214" s="12" t="s">
        <v>10325</v>
      </c>
      <c r="AY1214" s="12" t="s">
        <v>7681</v>
      </c>
      <c r="AZ1214" s="12" t="s">
        <v>1425</v>
      </c>
      <c r="BA1214" s="12" t="s">
        <v>11660</v>
      </c>
      <c r="BB1214" s="12" t="s">
        <v>11661</v>
      </c>
      <c r="BC1214" s="12" t="s">
        <v>74</v>
      </c>
      <c r="BD1214" s="12" t="s">
        <v>268</v>
      </c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</row>
    <row r="1215" spans="1:71">
      <c r="A1215" s="12" t="s">
        <v>618</v>
      </c>
      <c r="B1215" s="12" t="str">
        <f t="shared" si="232"/>
        <v>OLIVIER</v>
      </c>
      <c r="C1215" s="12" t="str">
        <f t="shared" si="233"/>
        <v>OLIVIER</v>
      </c>
      <c r="D1215" s="12" t="s">
        <v>11284</v>
      </c>
      <c r="E1215" s="12" t="str">
        <f t="shared" si="231"/>
        <v>Gerrit Cornelis</v>
      </c>
      <c r="F1215" s="12" t="s">
        <v>11644</v>
      </c>
      <c r="G1215" s="12" t="str">
        <f t="shared" si="234"/>
        <v>a2b4c6d7e2f2</v>
      </c>
      <c r="H1215" s="12" t="str">
        <f t="shared" si="235"/>
        <v>OLIVIERa2b4c6d7e2f2</v>
      </c>
      <c r="I1215" s="12"/>
      <c r="J1215" s="12" t="s">
        <v>11645</v>
      </c>
      <c r="K1215" s="12" t="str">
        <f t="shared" si="236"/>
        <v>1820</v>
      </c>
      <c r="L1215" s="12" t="s">
        <v>28</v>
      </c>
      <c r="M1215" s="12" t="s">
        <v>6498</v>
      </c>
      <c r="N1215" s="12" t="str">
        <f t="shared" si="229"/>
        <v>1820</v>
      </c>
      <c r="O1215" s="12" t="str">
        <f t="shared" si="230"/>
        <v>1820</v>
      </c>
      <c r="P1215" s="12" t="s">
        <v>2520</v>
      </c>
      <c r="Q1215" s="12" t="str">
        <f t="shared" si="237"/>
        <v>1820</v>
      </c>
      <c r="R1215" s="12" t="s">
        <v>11646</v>
      </c>
      <c r="S1215" s="12" t="str">
        <f t="shared" si="238"/>
        <v>1884</v>
      </c>
      <c r="T1215" s="12" t="s">
        <v>90</v>
      </c>
      <c r="U1215" s="12" t="s">
        <v>11647</v>
      </c>
      <c r="V1215" s="12" t="str">
        <f t="shared" si="239"/>
        <v>1840</v>
      </c>
      <c r="W1215" s="12" t="s">
        <v>1757</v>
      </c>
      <c r="X1215" s="12" t="s">
        <v>2106</v>
      </c>
      <c r="Y1215" s="12" t="s">
        <v>11529</v>
      </c>
      <c r="Z1215" s="12"/>
      <c r="AA1215" s="12"/>
      <c r="AB1215" s="12"/>
      <c r="AC1215" s="12"/>
      <c r="AD1215" s="12"/>
      <c r="AE1215" s="12"/>
      <c r="AF1215" s="12" t="s">
        <v>3699</v>
      </c>
      <c r="AG1215" s="12" t="s">
        <v>68</v>
      </c>
      <c r="AH1215" s="12" t="s">
        <v>385</v>
      </c>
      <c r="AI1215" s="12" t="str">
        <f t="shared" si="240"/>
        <v>1840</v>
      </c>
      <c r="AJ1215" s="12"/>
      <c r="AK1215" s="12" t="s">
        <v>551</v>
      </c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</row>
    <row r="1216" spans="1:71">
      <c r="A1216" s="12" t="s">
        <v>731</v>
      </c>
      <c r="B1216" s="12" t="str">
        <f t="shared" si="232"/>
        <v>OOSTHUIZEN</v>
      </c>
      <c r="C1216" s="12" t="str">
        <f t="shared" si="233"/>
        <v>OOSTHUIZEN</v>
      </c>
      <c r="D1216" s="12" t="s">
        <v>11753</v>
      </c>
      <c r="E1216" s="12" t="str">
        <f t="shared" si="231"/>
        <v>Petrus Wilhelm Sr.</v>
      </c>
      <c r="F1216" s="12" t="s">
        <v>11754</v>
      </c>
      <c r="G1216" s="12" t="str">
        <f t="shared" si="234"/>
        <v>a1b1c10d1</v>
      </c>
      <c r="H1216" s="12" t="str">
        <f t="shared" si="235"/>
        <v>OOSTHUIZENa1b1c10d1</v>
      </c>
      <c r="I1216" s="12"/>
      <c r="J1216" s="12"/>
      <c r="K1216" s="12" t="str">
        <f t="shared" si="236"/>
        <v/>
      </c>
      <c r="L1216" s="12"/>
      <c r="M1216" s="12" t="s">
        <v>11755</v>
      </c>
      <c r="N1216" s="12" t="str">
        <f t="shared" si="229"/>
        <v/>
      </c>
      <c r="O1216" s="12" t="str">
        <f t="shared" si="230"/>
        <v>1782</v>
      </c>
      <c r="P1216" s="12"/>
      <c r="Q1216" s="12" t="str">
        <f t="shared" si="237"/>
        <v>1782</v>
      </c>
      <c r="R1216" s="12"/>
      <c r="S1216" s="12" t="str">
        <f t="shared" si="238"/>
        <v/>
      </c>
      <c r="T1216" s="12"/>
      <c r="U1216" s="12"/>
      <c r="V1216" s="12" t="str">
        <f t="shared" si="239"/>
        <v/>
      </c>
      <c r="W1216" s="12" t="s">
        <v>11593</v>
      </c>
      <c r="X1216" s="12" t="s">
        <v>661</v>
      </c>
      <c r="Y1216" s="12" t="s">
        <v>11756</v>
      </c>
      <c r="Z1216" s="12"/>
      <c r="AA1216" s="12"/>
      <c r="AB1216" s="12"/>
      <c r="AC1216" s="12" t="s">
        <v>11757</v>
      </c>
      <c r="AD1216" s="12"/>
      <c r="AE1216" s="12"/>
      <c r="AF1216" s="12"/>
      <c r="AG1216" s="12" t="s">
        <v>53</v>
      </c>
      <c r="AH1216" s="12" t="s">
        <v>4696</v>
      </c>
      <c r="AI1216" s="12" t="str">
        <f t="shared" si="240"/>
        <v>1844</v>
      </c>
      <c r="AJ1216" s="12"/>
      <c r="AK1216" s="12" t="s">
        <v>90</v>
      </c>
      <c r="AL1216" s="12" t="s">
        <v>53</v>
      </c>
      <c r="AM1216" s="12" t="s">
        <v>11077</v>
      </c>
      <c r="AN1216" s="12" t="s">
        <v>650</v>
      </c>
      <c r="AO1216" s="12" t="s">
        <v>1330</v>
      </c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</row>
    <row r="1217" spans="1:71">
      <c r="A1217" s="12" t="s">
        <v>731</v>
      </c>
      <c r="B1217" s="12" t="str">
        <f t="shared" si="232"/>
        <v>OOSTHUIZEN</v>
      </c>
      <c r="C1217" s="12" t="str">
        <f t="shared" si="233"/>
        <v>OOSTHUIZEN</v>
      </c>
      <c r="D1217" s="12" t="s">
        <v>8973</v>
      </c>
      <c r="E1217" s="12" t="str">
        <f t="shared" si="231"/>
        <v>Philippus Johannes</v>
      </c>
      <c r="F1217" s="12" t="s">
        <v>11769</v>
      </c>
      <c r="G1217" s="12" t="str">
        <f t="shared" si="234"/>
        <v>a1b1c10d1e5</v>
      </c>
      <c r="H1217" s="12" t="str">
        <f t="shared" si="235"/>
        <v>OOSTHUIZENa1b1c10d1e5</v>
      </c>
      <c r="I1217" s="12"/>
      <c r="J1217" s="12"/>
      <c r="K1217" s="12" t="str">
        <f t="shared" si="236"/>
        <v/>
      </c>
      <c r="L1217" s="12"/>
      <c r="M1217" s="12" t="s">
        <v>11466</v>
      </c>
      <c r="N1217" s="12" t="str">
        <f t="shared" si="229"/>
        <v/>
      </c>
      <c r="O1217" s="12" t="str">
        <f t="shared" si="230"/>
        <v>1814</v>
      </c>
      <c r="P1217" s="12"/>
      <c r="Q1217" s="12" t="str">
        <f t="shared" si="237"/>
        <v>1814</v>
      </c>
      <c r="R1217" s="12"/>
      <c r="S1217" s="12" t="str">
        <f t="shared" si="238"/>
        <v/>
      </c>
      <c r="T1217" s="12"/>
      <c r="U1217" s="12" t="s">
        <v>11770</v>
      </c>
      <c r="V1217" s="12" t="str">
        <f t="shared" si="239"/>
        <v>1834</v>
      </c>
      <c r="W1217" s="12" t="s">
        <v>650</v>
      </c>
      <c r="X1217" s="12" t="s">
        <v>760</v>
      </c>
      <c r="Y1217" s="12" t="s">
        <v>11771</v>
      </c>
      <c r="Z1217" s="12"/>
      <c r="AA1217" s="12" t="s">
        <v>11772</v>
      </c>
      <c r="AB1217" s="12"/>
      <c r="AC1217" s="12"/>
      <c r="AD1217" s="12"/>
      <c r="AE1217" s="12" t="s">
        <v>11773</v>
      </c>
      <c r="AF1217" s="12"/>
      <c r="AG1217" s="12"/>
      <c r="AH1217" s="12" t="s">
        <v>7182</v>
      </c>
      <c r="AI1217" s="12" t="str">
        <f t="shared" si="240"/>
        <v>1846</v>
      </c>
      <c r="AJ1217" s="12"/>
      <c r="AK1217" s="12" t="s">
        <v>90</v>
      </c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</row>
    <row r="1218" spans="1:71">
      <c r="A1218" s="12" t="s">
        <v>731</v>
      </c>
      <c r="B1218" s="12" t="str">
        <f t="shared" si="232"/>
        <v>OOSTHUIZEN</v>
      </c>
      <c r="C1218" s="12" t="str">
        <f t="shared" si="233"/>
        <v>OOSTHUIZEN</v>
      </c>
      <c r="D1218" s="12" t="s">
        <v>11758</v>
      </c>
      <c r="E1218" s="12" t="str">
        <f t="shared" si="231"/>
        <v>Petrus Wilhelmus Jr.</v>
      </c>
      <c r="F1218" s="12" t="s">
        <v>11759</v>
      </c>
      <c r="G1218" s="12" t="str">
        <f t="shared" si="234"/>
        <v>a1b1c10d1e9</v>
      </c>
      <c r="H1218" s="12" t="str">
        <f t="shared" si="235"/>
        <v>OOSTHUIZENa1b1c10d1e9</v>
      </c>
      <c r="I1218" s="12"/>
      <c r="J1218" s="12" t="s">
        <v>11760</v>
      </c>
      <c r="K1218" s="12" t="str">
        <f t="shared" si="236"/>
        <v>1821</v>
      </c>
      <c r="L1218" s="12" t="s">
        <v>199</v>
      </c>
      <c r="M1218" s="12" t="s">
        <v>11761</v>
      </c>
      <c r="N1218" s="12" t="str">
        <f t="shared" ref="N1218:N1281" si="241">RIGHT(J1218,4)</f>
        <v>1821</v>
      </c>
      <c r="O1218" s="12" t="str">
        <f t="shared" ref="O1218:O1281" si="242">RIGHT(M1218,4)</f>
        <v>1821</v>
      </c>
      <c r="P1218" s="12"/>
      <c r="Q1218" s="12" t="str">
        <f t="shared" si="237"/>
        <v>1821</v>
      </c>
      <c r="R1218" s="12"/>
      <c r="S1218" s="12" t="str">
        <f t="shared" si="238"/>
        <v/>
      </c>
      <c r="T1218" s="12"/>
      <c r="U1218" s="12" t="s">
        <v>11762</v>
      </c>
      <c r="V1218" s="12" t="str">
        <f t="shared" si="239"/>
        <v>1844</v>
      </c>
      <c r="W1218" s="12" t="s">
        <v>11763</v>
      </c>
      <c r="X1218" s="12" t="s">
        <v>760</v>
      </c>
      <c r="Y1218" s="12" t="s">
        <v>11764</v>
      </c>
      <c r="Z1218" s="12"/>
      <c r="AA1218" s="12"/>
      <c r="AB1218" s="12"/>
      <c r="AC1218" s="12" t="s">
        <v>11765</v>
      </c>
      <c r="AD1218" s="12"/>
      <c r="AE1218" s="12">
        <v>1862</v>
      </c>
      <c r="AF1218" s="12"/>
      <c r="AG1218" s="12" t="s">
        <v>53</v>
      </c>
      <c r="AH1218" s="12" t="s">
        <v>2030</v>
      </c>
      <c r="AI1218" s="12" t="str">
        <f t="shared" si="240"/>
        <v>1845</v>
      </c>
      <c r="AJ1218" s="12"/>
      <c r="AK1218" s="12" t="s">
        <v>90</v>
      </c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</row>
    <row r="1219" spans="1:71">
      <c r="A1219" s="12" t="s">
        <v>731</v>
      </c>
      <c r="B1219" s="12" t="str">
        <f t="shared" si="232"/>
        <v>OOSTHUIZEN</v>
      </c>
      <c r="C1219" s="12" t="str">
        <f t="shared" si="233"/>
        <v>OOSTHUIZEN</v>
      </c>
      <c r="D1219" s="12" t="s">
        <v>1427</v>
      </c>
      <c r="E1219" s="12" t="str">
        <f t="shared" ref="E1219:E1282" si="243">PROPER(D1219)</f>
        <v>Theunis Gerhardus</v>
      </c>
      <c r="F1219" s="12" t="s">
        <v>11774</v>
      </c>
      <c r="G1219" s="12" t="str">
        <f t="shared" si="234"/>
        <v>a1b1c4d2e2</v>
      </c>
      <c r="H1219" s="12" t="str">
        <f t="shared" si="235"/>
        <v>OOSTHUIZENa1b1c4d2e2</v>
      </c>
      <c r="I1219" s="12"/>
      <c r="J1219" s="12" t="s">
        <v>11775</v>
      </c>
      <c r="K1219" s="12" t="str">
        <f t="shared" si="236"/>
        <v>1805</v>
      </c>
      <c r="L1219" s="12" t="s">
        <v>32</v>
      </c>
      <c r="M1219" s="12" t="s">
        <v>11776</v>
      </c>
      <c r="N1219" s="12" t="str">
        <f t="shared" si="241"/>
        <v>1805</v>
      </c>
      <c r="O1219" s="12" t="str">
        <f t="shared" si="242"/>
        <v>1805</v>
      </c>
      <c r="P1219" s="12" t="s">
        <v>5144</v>
      </c>
      <c r="Q1219" s="12" t="str">
        <f t="shared" si="237"/>
        <v>1805</v>
      </c>
      <c r="R1219" s="12" t="s">
        <v>11777</v>
      </c>
      <c r="S1219" s="12" t="str">
        <f t="shared" si="238"/>
        <v>1842</v>
      </c>
      <c r="T1219" s="12" t="s">
        <v>53</v>
      </c>
      <c r="U1219" s="12" t="s">
        <v>11778</v>
      </c>
      <c r="V1219" s="12" t="str">
        <f t="shared" si="239"/>
        <v>1825</v>
      </c>
      <c r="W1219" s="12" t="s">
        <v>4481</v>
      </c>
      <c r="X1219" s="12" t="s">
        <v>3799</v>
      </c>
      <c r="Y1219" s="12" t="s">
        <v>866</v>
      </c>
      <c r="Z1219" s="12"/>
      <c r="AA1219" s="12"/>
      <c r="AB1219" s="12" t="s">
        <v>74</v>
      </c>
      <c r="AC1219" s="12" t="s">
        <v>5926</v>
      </c>
      <c r="AD1219" s="12"/>
      <c r="AE1219" s="12"/>
      <c r="AF1219" s="12" t="s">
        <v>3677</v>
      </c>
      <c r="AG1219" s="12" t="s">
        <v>53</v>
      </c>
      <c r="AH1219" s="12" t="s">
        <v>11607</v>
      </c>
      <c r="AI1219" s="12" t="str">
        <f t="shared" si="240"/>
        <v>1837</v>
      </c>
      <c r="AJ1219" s="12" t="s">
        <v>2382</v>
      </c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</row>
    <row r="1220" spans="1:71">
      <c r="A1220" s="12" t="s">
        <v>731</v>
      </c>
      <c r="B1220" s="12" t="str">
        <f t="shared" si="232"/>
        <v>OOSTHUIZEN</v>
      </c>
      <c r="C1220" s="12" t="str">
        <f t="shared" si="233"/>
        <v>OOSTHUIZEN</v>
      </c>
      <c r="D1220" s="12" t="s">
        <v>47</v>
      </c>
      <c r="E1220" s="12" t="str">
        <f t="shared" si="243"/>
        <v>Johannes Hendricus</v>
      </c>
      <c r="F1220" s="12" t="s">
        <v>11696</v>
      </c>
      <c r="G1220" s="12" t="str">
        <f t="shared" si="234"/>
        <v>a1b1c4d5e1</v>
      </c>
      <c r="H1220" s="12" t="str">
        <f t="shared" si="235"/>
        <v>OOSTHUIZENa1b1c4d5e1</v>
      </c>
      <c r="I1220" s="12"/>
      <c r="J1220" s="12" t="s">
        <v>10764</v>
      </c>
      <c r="K1220" s="12" t="str">
        <f t="shared" si="236"/>
        <v>1807</v>
      </c>
      <c r="L1220" s="12" t="s">
        <v>32</v>
      </c>
      <c r="M1220" s="12" t="s">
        <v>11685</v>
      </c>
      <c r="N1220" s="12" t="str">
        <f t="shared" si="241"/>
        <v>1807</v>
      </c>
      <c r="O1220" s="12" t="str">
        <f t="shared" si="242"/>
        <v>1808</v>
      </c>
      <c r="P1220" s="12"/>
      <c r="Q1220" s="12" t="str">
        <f t="shared" si="237"/>
        <v>1807</v>
      </c>
      <c r="R1220" s="12"/>
      <c r="S1220" s="12" t="str">
        <f t="shared" si="238"/>
        <v/>
      </c>
      <c r="T1220" s="12" t="s">
        <v>53</v>
      </c>
      <c r="U1220" s="12" t="s">
        <v>10953</v>
      </c>
      <c r="V1220" s="12" t="str">
        <f t="shared" si="239"/>
        <v>1828</v>
      </c>
      <c r="W1220" s="12" t="s">
        <v>11697</v>
      </c>
      <c r="X1220" s="12" t="s">
        <v>11698</v>
      </c>
      <c r="Y1220" s="12"/>
      <c r="Z1220" s="12"/>
      <c r="AA1220" s="12"/>
      <c r="AB1220" s="12"/>
      <c r="AC1220" s="12"/>
      <c r="AD1220" s="12"/>
      <c r="AE1220" s="12"/>
      <c r="AF1220" s="12" t="s">
        <v>3677</v>
      </c>
      <c r="AG1220" s="12" t="s">
        <v>53</v>
      </c>
      <c r="AH1220" s="12" t="s">
        <v>10907</v>
      </c>
      <c r="AI1220" s="12" t="str">
        <f t="shared" si="240"/>
        <v>1837</v>
      </c>
      <c r="AJ1220" s="12" t="s">
        <v>11695</v>
      </c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</row>
    <row r="1221" spans="1:71">
      <c r="A1221" s="12" t="s">
        <v>731</v>
      </c>
      <c r="B1221" s="12" t="str">
        <f t="shared" si="232"/>
        <v>OOSTHUIZEN</v>
      </c>
      <c r="C1221" s="12" t="str">
        <f t="shared" si="233"/>
        <v>OOSTHUIZEN</v>
      </c>
      <c r="D1221" s="12" t="s">
        <v>6477</v>
      </c>
      <c r="E1221" s="12" t="str">
        <f t="shared" si="243"/>
        <v>Petrus Wilhelmus</v>
      </c>
      <c r="F1221" s="12" t="s">
        <v>11766</v>
      </c>
      <c r="G1221" s="12" t="str">
        <f t="shared" si="234"/>
        <v>a1b1c4d5e4</v>
      </c>
      <c r="H1221" s="12" t="str">
        <f t="shared" si="235"/>
        <v>OOSTHUIZENa1b1c4d5e4</v>
      </c>
      <c r="I1221" s="12"/>
      <c r="J1221" s="12" t="s">
        <v>11767</v>
      </c>
      <c r="K1221" s="12" t="str">
        <f t="shared" si="236"/>
        <v>1814</v>
      </c>
      <c r="L1221" s="12" t="s">
        <v>199</v>
      </c>
      <c r="M1221" s="12" t="s">
        <v>5940</v>
      </c>
      <c r="N1221" s="12" t="str">
        <f t="shared" si="241"/>
        <v>1814</v>
      </c>
      <c r="O1221" s="12" t="str">
        <f t="shared" si="242"/>
        <v>1814</v>
      </c>
      <c r="P1221" s="12"/>
      <c r="Q1221" s="12" t="str">
        <f t="shared" si="237"/>
        <v>1814</v>
      </c>
      <c r="R1221" s="12"/>
      <c r="S1221" s="12" t="str">
        <f t="shared" si="238"/>
        <v/>
      </c>
      <c r="T1221" s="12"/>
      <c r="U1221" s="12"/>
      <c r="V1221" s="12" t="str">
        <f t="shared" si="239"/>
        <v/>
      </c>
      <c r="W1221" s="12" t="s">
        <v>1135</v>
      </c>
      <c r="X1221" s="12" t="s">
        <v>760</v>
      </c>
      <c r="Y1221" s="12"/>
      <c r="Z1221" s="12"/>
      <c r="AA1221" s="12"/>
      <c r="AB1221" s="12"/>
      <c r="AC1221" s="12"/>
      <c r="AD1221" s="12"/>
      <c r="AE1221" s="12"/>
      <c r="AF1221" s="12" t="s">
        <v>11768</v>
      </c>
      <c r="AG1221" s="12" t="s">
        <v>53</v>
      </c>
      <c r="AH1221" s="12" t="s">
        <v>10907</v>
      </c>
      <c r="AI1221" s="12" t="str">
        <f t="shared" si="240"/>
        <v>1837</v>
      </c>
      <c r="AJ1221" s="12" t="s">
        <v>11695</v>
      </c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</row>
    <row r="1222" spans="1:71">
      <c r="A1222" s="12" t="s">
        <v>731</v>
      </c>
      <c r="B1222" s="12" t="str">
        <f t="shared" si="232"/>
        <v>OOSTHUIZEN</v>
      </c>
      <c r="C1222" s="12" t="str">
        <f t="shared" si="233"/>
        <v>OOSTHUIZEN</v>
      </c>
      <c r="D1222" s="12" t="s">
        <v>1877</v>
      </c>
      <c r="E1222" s="12" t="str">
        <f t="shared" si="243"/>
        <v>Nicolaas Jacobus</v>
      </c>
      <c r="F1222" s="12" t="s">
        <v>11737</v>
      </c>
      <c r="G1222" s="12" t="str">
        <f t="shared" si="234"/>
        <v>a1b1c4d5e7</v>
      </c>
      <c r="H1222" s="12" t="str">
        <f t="shared" si="235"/>
        <v>OOSTHUIZENa1b1c4d5e7</v>
      </c>
      <c r="I1222" s="12"/>
      <c r="J1222" s="12" t="s">
        <v>11693</v>
      </c>
      <c r="K1222" s="12" t="str">
        <f t="shared" si="236"/>
        <v>1821</v>
      </c>
      <c r="L1222" s="12" t="s">
        <v>53</v>
      </c>
      <c r="M1222" s="12" t="s">
        <v>8589</v>
      </c>
      <c r="N1222" s="12" t="str">
        <f t="shared" si="241"/>
        <v>1821</v>
      </c>
      <c r="O1222" s="12" t="str">
        <f t="shared" si="242"/>
        <v>1821</v>
      </c>
      <c r="P1222" s="12" t="s">
        <v>11668</v>
      </c>
      <c r="Q1222" s="12" t="str">
        <f t="shared" si="237"/>
        <v>1821</v>
      </c>
      <c r="R1222" s="12" t="s">
        <v>6764</v>
      </c>
      <c r="S1222" s="12" t="str">
        <f t="shared" si="238"/>
        <v>1838</v>
      </c>
      <c r="T1222" s="12"/>
      <c r="U1222" s="12"/>
      <c r="V1222" s="12" t="str">
        <f t="shared" si="239"/>
        <v/>
      </c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 t="s">
        <v>3677</v>
      </c>
      <c r="AG1222" s="12" t="s">
        <v>53</v>
      </c>
      <c r="AH1222" s="12" t="s">
        <v>11738</v>
      </c>
      <c r="AI1222" s="12" t="str">
        <f t="shared" si="240"/>
        <v>1837</v>
      </c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</row>
    <row r="1223" spans="1:71">
      <c r="A1223" s="12" t="s">
        <v>731</v>
      </c>
      <c r="B1223" s="12" t="str">
        <f t="shared" si="232"/>
        <v>OOSTHUIZEN</v>
      </c>
      <c r="C1223" s="12" t="str">
        <f t="shared" si="233"/>
        <v>OOSTHUIZEN</v>
      </c>
      <c r="D1223" s="12" t="s">
        <v>10554</v>
      </c>
      <c r="E1223" s="12" t="str">
        <f t="shared" si="243"/>
        <v>Gerhardus Marthinus</v>
      </c>
      <c r="F1223" s="12" t="s">
        <v>11692</v>
      </c>
      <c r="G1223" s="12" t="str">
        <f t="shared" si="234"/>
        <v>a1b1c4d5e8</v>
      </c>
      <c r="H1223" s="12" t="str">
        <f t="shared" si="235"/>
        <v>OOSTHUIZENa1b1c4d5e8</v>
      </c>
      <c r="I1223" s="12"/>
      <c r="J1223" s="12" t="s">
        <v>11693</v>
      </c>
      <c r="K1223" s="12" t="str">
        <f t="shared" si="236"/>
        <v>1821</v>
      </c>
      <c r="L1223" s="12" t="s">
        <v>53</v>
      </c>
      <c r="M1223" s="12" t="s">
        <v>8589</v>
      </c>
      <c r="N1223" s="12" t="str">
        <f t="shared" si="241"/>
        <v>1821</v>
      </c>
      <c r="O1223" s="12" t="str">
        <f t="shared" si="242"/>
        <v>1821</v>
      </c>
      <c r="P1223" s="12"/>
      <c r="Q1223" s="12" t="str">
        <f t="shared" si="237"/>
        <v>1821</v>
      </c>
      <c r="R1223" s="12"/>
      <c r="S1223" s="12" t="str">
        <f t="shared" si="238"/>
        <v/>
      </c>
      <c r="T1223" s="12"/>
      <c r="U1223" s="12"/>
      <c r="V1223" s="12" t="str">
        <f t="shared" si="239"/>
        <v/>
      </c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 t="s">
        <v>3677</v>
      </c>
      <c r="AG1223" s="12" t="s">
        <v>53</v>
      </c>
      <c r="AH1223" s="12" t="s">
        <v>11694</v>
      </c>
      <c r="AI1223" s="12" t="str">
        <f t="shared" si="240"/>
        <v>1836</v>
      </c>
      <c r="AJ1223" s="12" t="s">
        <v>11695</v>
      </c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</row>
    <row r="1224" spans="1:71">
      <c r="A1224" s="12" t="s">
        <v>731</v>
      </c>
      <c r="B1224" s="12" t="str">
        <f t="shared" si="232"/>
        <v>OOSTHUIZEN</v>
      </c>
      <c r="C1224" s="12" t="str">
        <f t="shared" si="233"/>
        <v>OOSTHUIZEN</v>
      </c>
      <c r="D1224" s="12" t="s">
        <v>273</v>
      </c>
      <c r="E1224" s="12" t="str">
        <f t="shared" si="243"/>
        <v>Marthinus</v>
      </c>
      <c r="F1224" s="12" t="s">
        <v>11721</v>
      </c>
      <c r="G1224" s="12" t="str">
        <f t="shared" si="234"/>
        <v>a1b1c4d7</v>
      </c>
      <c r="H1224" s="12" t="str">
        <f t="shared" si="235"/>
        <v>OOSTHUIZENa1b1c4d7</v>
      </c>
      <c r="I1224" s="12"/>
      <c r="J1224" s="12"/>
      <c r="K1224" s="12" t="str">
        <f t="shared" si="236"/>
        <v/>
      </c>
      <c r="L1224" s="12"/>
      <c r="M1224" s="12" t="s">
        <v>11722</v>
      </c>
      <c r="N1224" s="12" t="str">
        <f t="shared" si="241"/>
        <v/>
      </c>
      <c r="O1224" s="12" t="str">
        <f t="shared" si="242"/>
        <v>1791</v>
      </c>
      <c r="P1224" s="12" t="s">
        <v>11668</v>
      </c>
      <c r="Q1224" s="12" t="str">
        <f t="shared" si="237"/>
        <v>1791</v>
      </c>
      <c r="R1224" s="12" t="s">
        <v>6764</v>
      </c>
      <c r="S1224" s="12" t="str">
        <f t="shared" si="238"/>
        <v>1838</v>
      </c>
      <c r="T1224" s="12" t="s">
        <v>74</v>
      </c>
      <c r="U1224" s="12" t="s">
        <v>11723</v>
      </c>
      <c r="V1224" s="12" t="str">
        <f t="shared" si="239"/>
        <v>1812</v>
      </c>
      <c r="W1224" s="12" t="s">
        <v>10879</v>
      </c>
      <c r="X1224" s="12" t="s">
        <v>4871</v>
      </c>
      <c r="Y1224" s="12" t="s">
        <v>11724</v>
      </c>
      <c r="Z1224" s="12"/>
      <c r="AA1224" s="12"/>
      <c r="AB1224" s="12"/>
      <c r="AC1224" s="12" t="s">
        <v>11725</v>
      </c>
      <c r="AD1224" s="12" t="s">
        <v>597</v>
      </c>
      <c r="AE1224" s="12" t="s">
        <v>11726</v>
      </c>
      <c r="AF1224" s="12" t="s">
        <v>3677</v>
      </c>
      <c r="AG1224" s="12" t="s">
        <v>53</v>
      </c>
      <c r="AH1224" s="12" t="s">
        <v>351</v>
      </c>
      <c r="AI1224" s="12" t="str">
        <f t="shared" si="240"/>
        <v>1837</v>
      </c>
      <c r="AJ1224" s="12" t="s">
        <v>361</v>
      </c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</row>
    <row r="1225" spans="1:71">
      <c r="A1225" s="12" t="s">
        <v>731</v>
      </c>
      <c r="B1225" s="12" t="str">
        <f t="shared" si="232"/>
        <v>OOSTHUIZEN</v>
      </c>
      <c r="C1225" s="12" t="str">
        <f t="shared" si="233"/>
        <v>OOSTHUIZEN</v>
      </c>
      <c r="D1225" s="12" t="s">
        <v>11699</v>
      </c>
      <c r="E1225" s="12" t="str">
        <f t="shared" si="243"/>
        <v>Johannes Hendrik Lodewyk</v>
      </c>
      <c r="F1225" s="12" t="s">
        <v>11700</v>
      </c>
      <c r="G1225" s="12" t="str">
        <f t="shared" si="234"/>
        <v>a1b1c4d7e2</v>
      </c>
      <c r="H1225" s="12" t="str">
        <f t="shared" si="235"/>
        <v>OOSTHUIZENa1b1c4d7e2</v>
      </c>
      <c r="I1225" s="12"/>
      <c r="J1225" s="12"/>
      <c r="K1225" s="12" t="str">
        <f t="shared" si="236"/>
        <v/>
      </c>
      <c r="L1225" s="12" t="s">
        <v>74</v>
      </c>
      <c r="M1225" s="12" t="s">
        <v>5930</v>
      </c>
      <c r="N1225" s="12" t="str">
        <f t="shared" si="241"/>
        <v/>
      </c>
      <c r="O1225" s="12" t="str">
        <f t="shared" si="242"/>
        <v>1817</v>
      </c>
      <c r="P1225" s="12" t="s">
        <v>90</v>
      </c>
      <c r="Q1225" s="12" t="str">
        <f t="shared" si="237"/>
        <v>1817</v>
      </c>
      <c r="R1225" s="12" t="s">
        <v>6764</v>
      </c>
      <c r="S1225" s="12" t="str">
        <f t="shared" si="238"/>
        <v>1838</v>
      </c>
      <c r="T1225" s="12" t="s">
        <v>53</v>
      </c>
      <c r="U1225" s="12" t="s">
        <v>11701</v>
      </c>
      <c r="V1225" s="12" t="str">
        <f t="shared" si="239"/>
        <v>1835</v>
      </c>
      <c r="W1225" s="12" t="s">
        <v>7502</v>
      </c>
      <c r="X1225" s="12" t="s">
        <v>3799</v>
      </c>
      <c r="Y1225" s="12" t="s">
        <v>11702</v>
      </c>
      <c r="Z1225" s="12"/>
      <c r="AA1225" s="12"/>
      <c r="AB1225" s="12"/>
      <c r="AC1225" s="12" t="s">
        <v>11703</v>
      </c>
      <c r="AD1225" s="12"/>
      <c r="AE1225" s="12"/>
      <c r="AF1225" s="12" t="s">
        <v>3677</v>
      </c>
      <c r="AG1225" s="12" t="s">
        <v>53</v>
      </c>
      <c r="AH1225" s="12" t="s">
        <v>351</v>
      </c>
      <c r="AI1225" s="12" t="str">
        <f t="shared" si="240"/>
        <v>1837</v>
      </c>
      <c r="AJ1225" s="12" t="s">
        <v>361</v>
      </c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</row>
    <row r="1226" spans="1:71">
      <c r="A1226" s="12" t="s">
        <v>731</v>
      </c>
      <c r="B1226" s="12" t="str">
        <f t="shared" si="232"/>
        <v>OOSTHUIZEN</v>
      </c>
      <c r="C1226" s="12" t="str">
        <f t="shared" si="233"/>
        <v>OOSTHUIZEN</v>
      </c>
      <c r="D1226" s="12" t="s">
        <v>4595</v>
      </c>
      <c r="E1226" s="12" t="str">
        <f t="shared" si="243"/>
        <v xml:space="preserve">Marthinus Jacobus </v>
      </c>
      <c r="F1226" s="12" t="s">
        <v>11727</v>
      </c>
      <c r="G1226" s="12" t="str">
        <f t="shared" si="234"/>
        <v>a1b1c4d7e3</v>
      </c>
      <c r="H1226" s="12" t="str">
        <f t="shared" si="235"/>
        <v>OOSTHUIZENa1b1c4d7e3</v>
      </c>
      <c r="I1226" s="12"/>
      <c r="J1226" s="12" t="s">
        <v>11728</v>
      </c>
      <c r="K1226" s="12" t="str">
        <f t="shared" si="236"/>
        <v>1818</v>
      </c>
      <c r="L1226" s="12" t="s">
        <v>53</v>
      </c>
      <c r="M1226" s="12" t="s">
        <v>11729</v>
      </c>
      <c r="N1226" s="12" t="str">
        <f t="shared" si="241"/>
        <v>1818</v>
      </c>
      <c r="O1226" s="12" t="str">
        <f t="shared" si="242"/>
        <v>1819</v>
      </c>
      <c r="P1226" s="12" t="s">
        <v>90</v>
      </c>
      <c r="Q1226" s="12" t="str">
        <f t="shared" si="237"/>
        <v>1818</v>
      </c>
      <c r="R1226" s="12" t="s">
        <v>11730</v>
      </c>
      <c r="S1226" s="12" t="str">
        <f t="shared" si="238"/>
        <v>1897</v>
      </c>
      <c r="T1226" s="12" t="s">
        <v>11731</v>
      </c>
      <c r="U1226" s="12" t="s">
        <v>11732</v>
      </c>
      <c r="V1226" s="12" t="str">
        <f t="shared" si="239"/>
        <v>1838</v>
      </c>
      <c r="W1226" s="12" t="s">
        <v>11733</v>
      </c>
      <c r="X1226" s="12" t="s">
        <v>7393</v>
      </c>
      <c r="Y1226" s="12" t="s">
        <v>10804</v>
      </c>
      <c r="Z1226" s="12" t="s">
        <v>53</v>
      </c>
      <c r="AA1226" s="12" t="s">
        <v>11734</v>
      </c>
      <c r="AB1226" s="12"/>
      <c r="AC1226" s="12"/>
      <c r="AD1226" s="12" t="s">
        <v>11735</v>
      </c>
      <c r="AE1226" s="12" t="s">
        <v>11736</v>
      </c>
      <c r="AF1226" s="12" t="s">
        <v>3677</v>
      </c>
      <c r="AG1226" s="12" t="s">
        <v>53</v>
      </c>
      <c r="AH1226" s="12" t="s">
        <v>351</v>
      </c>
      <c r="AI1226" s="12" t="str">
        <f t="shared" si="240"/>
        <v>1837</v>
      </c>
      <c r="AJ1226" s="12" t="s">
        <v>361</v>
      </c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</row>
    <row r="1227" spans="1:71">
      <c r="A1227" s="12" t="s">
        <v>731</v>
      </c>
      <c r="B1227" s="12" t="str">
        <f t="shared" si="232"/>
        <v>OOSTHUIZEN</v>
      </c>
      <c r="C1227" s="12" t="str">
        <f t="shared" si="233"/>
        <v>OOSTHUIZEN</v>
      </c>
      <c r="D1227" s="12" t="s">
        <v>10348</v>
      </c>
      <c r="E1227" s="12" t="str">
        <f t="shared" si="243"/>
        <v>Barend Gabriël</v>
      </c>
      <c r="F1227" s="12" t="s">
        <v>11669</v>
      </c>
      <c r="G1227" s="12" t="str">
        <f t="shared" si="234"/>
        <v>a1b1c4d7e4</v>
      </c>
      <c r="H1227" s="12" t="str">
        <f t="shared" si="235"/>
        <v>OOSTHUIZENa1b1c4d7e4</v>
      </c>
      <c r="I1227" s="12"/>
      <c r="J1227" s="12" t="s">
        <v>11670</v>
      </c>
      <c r="K1227" s="12" t="str">
        <f t="shared" si="236"/>
        <v>1822</v>
      </c>
      <c r="L1227" s="12" t="s">
        <v>53</v>
      </c>
      <c r="M1227" s="12" t="s">
        <v>5961</v>
      </c>
      <c r="N1227" s="12" t="str">
        <f t="shared" si="241"/>
        <v>1822</v>
      </c>
      <c r="O1227" s="12" t="str">
        <f t="shared" si="242"/>
        <v>1823</v>
      </c>
      <c r="P1227" s="12"/>
      <c r="Q1227" s="12" t="str">
        <f t="shared" si="237"/>
        <v>1822</v>
      </c>
      <c r="R1227" s="12"/>
      <c r="S1227" s="12" t="str">
        <f t="shared" si="238"/>
        <v/>
      </c>
      <c r="T1227" s="12" t="s">
        <v>5146</v>
      </c>
      <c r="U1227" s="12" t="s">
        <v>11671</v>
      </c>
      <c r="V1227" s="12" t="str">
        <f t="shared" si="239"/>
        <v>1842</v>
      </c>
      <c r="W1227" s="12" t="s">
        <v>10580</v>
      </c>
      <c r="X1227" s="12" t="s">
        <v>7393</v>
      </c>
      <c r="Y1227" s="12" t="s">
        <v>912</v>
      </c>
      <c r="Z1227" s="12"/>
      <c r="AA1227" s="12">
        <v>1823</v>
      </c>
      <c r="AB1227" s="12"/>
      <c r="AC1227" s="12"/>
      <c r="AD1227" s="12"/>
      <c r="AE1227" s="12"/>
      <c r="AF1227" s="12" t="s">
        <v>3677</v>
      </c>
      <c r="AG1227" s="12" t="s">
        <v>53</v>
      </c>
      <c r="AH1227" s="12" t="s">
        <v>351</v>
      </c>
      <c r="AI1227" s="12" t="str">
        <f t="shared" si="240"/>
        <v>1837</v>
      </c>
      <c r="AJ1227" s="12" t="s">
        <v>361</v>
      </c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</row>
    <row r="1228" spans="1:71">
      <c r="A1228" s="12" t="s">
        <v>731</v>
      </c>
      <c r="B1228" s="12" t="str">
        <f t="shared" si="232"/>
        <v>OOSTHUIZEN</v>
      </c>
      <c r="C1228" s="12" t="str">
        <f t="shared" si="233"/>
        <v>OOSTHUIZEN</v>
      </c>
      <c r="D1228" s="12" t="s">
        <v>650</v>
      </c>
      <c r="E1228" s="12" t="str">
        <f t="shared" si="243"/>
        <v>Maria Elisabeth</v>
      </c>
      <c r="F1228" s="12" t="s">
        <v>11717</v>
      </c>
      <c r="G1228" s="12" t="str">
        <f t="shared" si="234"/>
        <v>a1b1c5d4</v>
      </c>
      <c r="H1228" s="12" t="str">
        <f t="shared" si="235"/>
        <v>OOSTHUIZENa1b1c5d4</v>
      </c>
      <c r="I1228" s="12"/>
      <c r="J1228" s="12"/>
      <c r="K1228" s="12" t="str">
        <f t="shared" si="236"/>
        <v/>
      </c>
      <c r="L1228" s="12"/>
      <c r="M1228" s="12" t="s">
        <v>11718</v>
      </c>
      <c r="N1228" s="12" t="str">
        <f t="shared" si="241"/>
        <v/>
      </c>
      <c r="O1228" s="12" t="str">
        <f t="shared" si="242"/>
        <v>1778</v>
      </c>
      <c r="P1228" s="12" t="s">
        <v>5146</v>
      </c>
      <c r="Q1228" s="12" t="str">
        <f t="shared" si="237"/>
        <v>1778</v>
      </c>
      <c r="R1228" s="12" t="s">
        <v>11719</v>
      </c>
      <c r="S1228" s="12" t="str">
        <f t="shared" si="238"/>
        <v>1846</v>
      </c>
      <c r="T1228" s="12"/>
      <c r="U1228" s="12" t="s">
        <v>6684</v>
      </c>
      <c r="V1228" s="12" t="str">
        <f t="shared" si="239"/>
        <v>1793</v>
      </c>
      <c r="W1228" s="12" t="s">
        <v>6573</v>
      </c>
      <c r="X1228" s="12" t="s">
        <v>1151</v>
      </c>
      <c r="Y1228" s="12" t="s">
        <v>6066</v>
      </c>
      <c r="Z1228" s="12"/>
      <c r="AA1228" s="12"/>
      <c r="AB1228" s="12"/>
      <c r="AC1228" s="12" t="s">
        <v>11720</v>
      </c>
      <c r="AD1228" s="12"/>
      <c r="AE1228" s="12"/>
      <c r="AF1228" s="12"/>
      <c r="AG1228" s="12" t="s">
        <v>74</v>
      </c>
      <c r="AH1228" s="12" t="s">
        <v>10606</v>
      </c>
      <c r="AI1228" s="12" t="str">
        <f t="shared" si="240"/>
        <v>1836</v>
      </c>
      <c r="AJ1228" s="12" t="s">
        <v>1404</v>
      </c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</row>
    <row r="1229" spans="1:71">
      <c r="A1229" s="12" t="s">
        <v>731</v>
      </c>
      <c r="B1229" s="12" t="str">
        <f t="shared" si="232"/>
        <v>OOSTHUIZEN</v>
      </c>
      <c r="C1229" s="12" t="str">
        <f t="shared" si="233"/>
        <v>OOSTHUIZEN</v>
      </c>
      <c r="D1229" s="12" t="s">
        <v>10546</v>
      </c>
      <c r="E1229" s="12" t="str">
        <f t="shared" si="243"/>
        <v>Gerhardus Jacobus</v>
      </c>
      <c r="F1229" s="12" t="s">
        <v>11687</v>
      </c>
      <c r="G1229" s="12" t="str">
        <f t="shared" si="234"/>
        <v>a1b1c5d5e2</v>
      </c>
      <c r="H1229" s="12" t="str">
        <f t="shared" si="235"/>
        <v>OOSTHUIZENa1b1c5d5e2</v>
      </c>
      <c r="I1229" s="12"/>
      <c r="J1229" s="12" t="s">
        <v>11688</v>
      </c>
      <c r="K1229" s="12" t="str">
        <f t="shared" si="236"/>
        <v>1801</v>
      </c>
      <c r="L1229" s="12"/>
      <c r="M1229" s="12" t="s">
        <v>11689</v>
      </c>
      <c r="N1229" s="12" t="str">
        <f t="shared" si="241"/>
        <v>1801</v>
      </c>
      <c r="O1229" s="12" t="str">
        <f t="shared" si="242"/>
        <v>1803</v>
      </c>
      <c r="P1229" s="12" t="s">
        <v>67</v>
      </c>
      <c r="Q1229" s="12" t="str">
        <f t="shared" si="237"/>
        <v>1801</v>
      </c>
      <c r="R1229" s="12" t="s">
        <v>11690</v>
      </c>
      <c r="S1229" s="12" t="str">
        <f t="shared" si="238"/>
        <v>1892</v>
      </c>
      <c r="T1229" s="12" t="s">
        <v>53</v>
      </c>
      <c r="U1229" s="12" t="s">
        <v>11691</v>
      </c>
      <c r="V1229" s="12" t="str">
        <f t="shared" si="239"/>
        <v>1824</v>
      </c>
      <c r="W1229" s="12" t="s">
        <v>2974</v>
      </c>
      <c r="X1229" s="12" t="s">
        <v>1388</v>
      </c>
      <c r="Y1229" s="12"/>
      <c r="Z1229" s="12"/>
      <c r="AA1229" s="12"/>
      <c r="AB1229" s="12"/>
      <c r="AC1229" s="12"/>
      <c r="AD1229" s="12" t="s">
        <v>597</v>
      </c>
      <c r="AE1229" s="12">
        <v>1844</v>
      </c>
      <c r="AF1229" s="12"/>
      <c r="AG1229" s="12" t="s">
        <v>68</v>
      </c>
      <c r="AH1229" s="12" t="s">
        <v>2489</v>
      </c>
      <c r="AI1229" s="12" t="str">
        <f t="shared" si="240"/>
        <v>1841</v>
      </c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</row>
    <row r="1230" spans="1:71">
      <c r="A1230" s="12" t="s">
        <v>731</v>
      </c>
      <c r="B1230" s="12" t="str">
        <f t="shared" si="232"/>
        <v>OOSTHUIZEN</v>
      </c>
      <c r="C1230" s="12" t="str">
        <f t="shared" si="233"/>
        <v>OOSTHUIZEN</v>
      </c>
      <c r="D1230" s="12" t="s">
        <v>11662</v>
      </c>
      <c r="E1230" s="12" t="str">
        <f t="shared" si="243"/>
        <v>Barbara Pertronella (Weduwee P.W. Oosthuizen)</v>
      </c>
      <c r="F1230" s="12" t="s">
        <v>11663</v>
      </c>
      <c r="G1230" s="12" t="str">
        <f t="shared" si="234"/>
        <v>a1b1c7d10</v>
      </c>
      <c r="H1230" s="12" t="str">
        <f t="shared" si="235"/>
        <v>OOSTHUIZENa1b1c7d10</v>
      </c>
      <c r="I1230" s="12"/>
      <c r="J1230" s="12"/>
      <c r="K1230" s="12" t="str">
        <f t="shared" si="236"/>
        <v/>
      </c>
      <c r="L1230" s="12"/>
      <c r="M1230" s="12" t="s">
        <v>11664</v>
      </c>
      <c r="N1230" s="12" t="str">
        <f t="shared" si="241"/>
        <v/>
      </c>
      <c r="O1230" s="12" t="str">
        <f t="shared" si="242"/>
        <v>1790</v>
      </c>
      <c r="P1230" s="12"/>
      <c r="Q1230" s="12" t="str">
        <f t="shared" si="237"/>
        <v>1790</v>
      </c>
      <c r="R1230" s="12"/>
      <c r="S1230" s="12" t="str">
        <f t="shared" si="238"/>
        <v/>
      </c>
      <c r="T1230" s="12" t="s">
        <v>961</v>
      </c>
      <c r="U1230" s="12" t="s">
        <v>6339</v>
      </c>
      <c r="V1230" s="12" t="str">
        <f t="shared" si="239"/>
        <v>1807</v>
      </c>
      <c r="W1230" s="12" t="s">
        <v>11665</v>
      </c>
      <c r="X1230" s="12" t="s">
        <v>731</v>
      </c>
      <c r="Y1230" s="12" t="s">
        <v>2894</v>
      </c>
      <c r="Z1230" s="12"/>
      <c r="AA1230" s="12"/>
      <c r="AB1230" s="12"/>
      <c r="AC1230" s="12" t="s">
        <v>11666</v>
      </c>
      <c r="AD1230" s="12"/>
      <c r="AE1230" s="12"/>
      <c r="AF1230" s="12" t="s">
        <v>3677</v>
      </c>
      <c r="AG1230" s="12" t="s">
        <v>53</v>
      </c>
      <c r="AH1230" s="12" t="s">
        <v>10907</v>
      </c>
      <c r="AI1230" s="12" t="str">
        <f t="shared" si="240"/>
        <v>1837</v>
      </c>
      <c r="AJ1230" s="12" t="s">
        <v>11667</v>
      </c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</row>
    <row r="1231" spans="1:71">
      <c r="A1231" s="12" t="s">
        <v>731</v>
      </c>
      <c r="B1231" s="12" t="str">
        <f t="shared" si="232"/>
        <v>OOSTHUIZEN</v>
      </c>
      <c r="C1231" s="12" t="str">
        <f t="shared" si="233"/>
        <v>OOSTHUIZEN</v>
      </c>
      <c r="D1231" s="12" t="s">
        <v>11704</v>
      </c>
      <c r="E1231" s="12" t="str">
        <f t="shared" si="243"/>
        <v>Johannes Jacobus Sr.</v>
      </c>
      <c r="F1231" s="12" t="s">
        <v>11705</v>
      </c>
      <c r="G1231" s="12" t="str">
        <f t="shared" si="234"/>
        <v>a1b7c2d3</v>
      </c>
      <c r="H1231" s="12" t="str">
        <f t="shared" si="235"/>
        <v>OOSTHUIZENa1b7c2d3</v>
      </c>
      <c r="I1231" s="12"/>
      <c r="J1231" s="12"/>
      <c r="K1231" s="12" t="str">
        <f t="shared" si="236"/>
        <v/>
      </c>
      <c r="L1231" s="12"/>
      <c r="M1231" s="12" t="s">
        <v>11706</v>
      </c>
      <c r="N1231" s="12" t="str">
        <f t="shared" si="241"/>
        <v/>
      </c>
      <c r="O1231" s="12" t="str">
        <f t="shared" si="242"/>
        <v>1785</v>
      </c>
      <c r="P1231" s="12" t="s">
        <v>90</v>
      </c>
      <c r="Q1231" s="12" t="str">
        <f t="shared" si="237"/>
        <v>1785</v>
      </c>
      <c r="R1231" s="12" t="s">
        <v>2765</v>
      </c>
      <c r="S1231" s="12" t="str">
        <f t="shared" si="238"/>
        <v>1838</v>
      </c>
      <c r="T1231" s="12"/>
      <c r="U1231" s="12"/>
      <c r="V1231" s="12" t="str">
        <f t="shared" si="239"/>
        <v/>
      </c>
      <c r="W1231" s="12" t="s">
        <v>1800</v>
      </c>
      <c r="X1231" s="12" t="s">
        <v>728</v>
      </c>
      <c r="Y1231" s="12"/>
      <c r="Z1231" s="12"/>
      <c r="AA1231" s="12"/>
      <c r="AB1231" s="12"/>
      <c r="AC1231" s="12"/>
      <c r="AD1231" s="12"/>
      <c r="AE1231" s="12"/>
      <c r="AF1231" s="12" t="s">
        <v>3716</v>
      </c>
      <c r="AG1231" s="12" t="s">
        <v>366</v>
      </c>
      <c r="AH1231" s="12" t="s">
        <v>11707</v>
      </c>
      <c r="AI1231" s="12" t="str">
        <f t="shared" si="240"/>
        <v>1837</v>
      </c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</row>
    <row r="1232" spans="1:71">
      <c r="A1232" s="12" t="s">
        <v>731</v>
      </c>
      <c r="B1232" s="12" t="str">
        <f t="shared" si="232"/>
        <v>OOSTHUIZEN</v>
      </c>
      <c r="C1232" s="12" t="str">
        <f t="shared" si="233"/>
        <v>OOSTHUIZEN</v>
      </c>
      <c r="D1232" s="12" t="s">
        <v>11708</v>
      </c>
      <c r="E1232" s="12" t="str">
        <f t="shared" si="243"/>
        <v>Johannes Jacobus Jr.</v>
      </c>
      <c r="F1232" s="12" t="s">
        <v>11709</v>
      </c>
      <c r="G1232" s="12" t="str">
        <f t="shared" si="234"/>
        <v>a1b7c2d3e2</v>
      </c>
      <c r="H1232" s="12" t="str">
        <f t="shared" si="235"/>
        <v>OOSTHUIZENa1b7c2d3e2</v>
      </c>
      <c r="I1232" s="12"/>
      <c r="J1232" s="12" t="s">
        <v>11710</v>
      </c>
      <c r="K1232" s="12" t="str">
        <f t="shared" si="236"/>
        <v>1818</v>
      </c>
      <c r="L1232" s="12" t="s">
        <v>366</v>
      </c>
      <c r="M1232" s="12" t="s">
        <v>11711</v>
      </c>
      <c r="N1232" s="12" t="str">
        <f t="shared" si="241"/>
        <v>1818</v>
      </c>
      <c r="O1232" s="12" t="str">
        <f t="shared" si="242"/>
        <v>1819</v>
      </c>
      <c r="P1232" s="12"/>
      <c r="Q1232" s="12" t="str">
        <f t="shared" si="237"/>
        <v>1818</v>
      </c>
      <c r="R1232" s="12"/>
      <c r="S1232" s="12" t="str">
        <f t="shared" si="238"/>
        <v/>
      </c>
      <c r="T1232" s="12"/>
      <c r="U1232" s="12"/>
      <c r="V1232" s="12" t="str">
        <f t="shared" si="239"/>
        <v/>
      </c>
      <c r="W1232" s="12" t="s">
        <v>11712</v>
      </c>
      <c r="X1232" s="12" t="s">
        <v>1167</v>
      </c>
      <c r="Y1232" s="12" t="s">
        <v>11713</v>
      </c>
      <c r="Z1232" s="12"/>
      <c r="AA1232" s="12" t="s">
        <v>11714</v>
      </c>
      <c r="AB1232" s="12" t="s">
        <v>53</v>
      </c>
      <c r="AC1232" s="12" t="s">
        <v>11715</v>
      </c>
      <c r="AD1232" s="12"/>
      <c r="AE1232" s="12"/>
      <c r="AF1232" s="12"/>
      <c r="AG1232" s="12"/>
      <c r="AH1232" s="12" t="s">
        <v>11707</v>
      </c>
      <c r="AI1232" s="12" t="str">
        <f t="shared" si="240"/>
        <v>1837</v>
      </c>
      <c r="AJ1232" s="12"/>
      <c r="AK1232" s="12"/>
      <c r="AL1232" s="12" t="s">
        <v>2702</v>
      </c>
      <c r="AM1232" s="12" t="s">
        <v>11716</v>
      </c>
      <c r="AN1232" s="12" t="s">
        <v>11504</v>
      </c>
      <c r="AO1232" s="12" t="s">
        <v>1067</v>
      </c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</row>
    <row r="1233" spans="1:71">
      <c r="A1233" s="12" t="s">
        <v>731</v>
      </c>
      <c r="B1233" s="12" t="str">
        <f t="shared" si="232"/>
        <v>OOSTHUIZEN</v>
      </c>
      <c r="C1233" s="12" t="str">
        <f t="shared" si="233"/>
        <v>OOSTHUIZEN</v>
      </c>
      <c r="D1233" s="12" t="s">
        <v>11683</v>
      </c>
      <c r="E1233" s="12" t="str">
        <f t="shared" si="243"/>
        <v>Daniël Jacobus Johannes</v>
      </c>
      <c r="F1233" s="12" t="s">
        <v>11684</v>
      </c>
      <c r="G1233" s="12" t="str">
        <f t="shared" si="234"/>
        <v>a1b7c3d13</v>
      </c>
      <c r="H1233" s="12" t="str">
        <f t="shared" si="235"/>
        <v>OOSTHUIZENa1b7c3d13</v>
      </c>
      <c r="I1233" s="12"/>
      <c r="J1233" s="12"/>
      <c r="K1233" s="12" t="str">
        <f t="shared" si="236"/>
        <v/>
      </c>
      <c r="L1233" s="12"/>
      <c r="M1233" s="12" t="s">
        <v>11685</v>
      </c>
      <c r="N1233" s="12" t="str">
        <f t="shared" si="241"/>
        <v/>
      </c>
      <c r="O1233" s="12" t="str">
        <f t="shared" si="242"/>
        <v>1808</v>
      </c>
      <c r="P1233" s="12"/>
      <c r="Q1233" s="12" t="str">
        <f t="shared" si="237"/>
        <v>1808</v>
      </c>
      <c r="R1233" s="12"/>
      <c r="S1233" s="12" t="str">
        <f t="shared" si="238"/>
        <v/>
      </c>
      <c r="T1233" s="12"/>
      <c r="U1233" s="12"/>
      <c r="V1233" s="12" t="str">
        <f t="shared" si="239"/>
        <v/>
      </c>
      <c r="W1233" s="12" t="s">
        <v>11686</v>
      </c>
      <c r="X1233" s="12" t="s">
        <v>667</v>
      </c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 t="s">
        <v>9275</v>
      </c>
      <c r="AI1233" s="12" t="str">
        <f t="shared" si="240"/>
        <v>1841</v>
      </c>
      <c r="AJ1233" s="12"/>
      <c r="AK1233" s="12" t="s">
        <v>2147</v>
      </c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</row>
    <row r="1234" spans="1:71">
      <c r="A1234" s="12" t="s">
        <v>731</v>
      </c>
      <c r="B1234" s="12" t="str">
        <f t="shared" si="232"/>
        <v>OOSTHUIZEN</v>
      </c>
      <c r="C1234" s="12" t="str">
        <f t="shared" si="233"/>
        <v>OOSTHUIZEN</v>
      </c>
      <c r="D1234" s="12" t="s">
        <v>2206</v>
      </c>
      <c r="E1234" s="12" t="str">
        <f t="shared" si="243"/>
        <v>Ockert Jacobus</v>
      </c>
      <c r="F1234" s="12" t="s">
        <v>11746</v>
      </c>
      <c r="G1234" s="12" t="str">
        <f t="shared" si="234"/>
        <v>a1b7c3d2e1</v>
      </c>
      <c r="H1234" s="12" t="str">
        <f t="shared" si="235"/>
        <v>OOSTHUIZENa1b7c3d2e1</v>
      </c>
      <c r="I1234" s="12"/>
      <c r="J1234" s="12" t="s">
        <v>11747</v>
      </c>
      <c r="K1234" s="12" t="str">
        <f t="shared" si="236"/>
        <v>1809</v>
      </c>
      <c r="L1234" s="12" t="s">
        <v>32</v>
      </c>
      <c r="M1234" s="12" t="s">
        <v>10958</v>
      </c>
      <c r="N1234" s="12" t="str">
        <f t="shared" si="241"/>
        <v>1809</v>
      </c>
      <c r="O1234" s="12" t="str">
        <f t="shared" si="242"/>
        <v>1809</v>
      </c>
      <c r="P1234" s="12" t="s">
        <v>11748</v>
      </c>
      <c r="Q1234" s="12" t="str">
        <f t="shared" si="237"/>
        <v>1809</v>
      </c>
      <c r="R1234" s="12" t="s">
        <v>11749</v>
      </c>
      <c r="S1234" s="12" t="str">
        <f t="shared" si="238"/>
        <v>1876</v>
      </c>
      <c r="T1234" s="12" t="s">
        <v>366</v>
      </c>
      <c r="U1234" s="12" t="s">
        <v>11750</v>
      </c>
      <c r="V1234" s="12" t="str">
        <f t="shared" si="239"/>
        <v>1834</v>
      </c>
      <c r="W1234" s="12" t="s">
        <v>11751</v>
      </c>
      <c r="X1234" s="12" t="s">
        <v>1136</v>
      </c>
      <c r="Y1234" s="12"/>
      <c r="Z1234" s="12"/>
      <c r="AA1234" s="12"/>
      <c r="AB1234" s="12"/>
      <c r="AC1234" s="12"/>
      <c r="AD1234" s="12"/>
      <c r="AE1234" s="12"/>
      <c r="AF1234" s="12" t="s">
        <v>11752</v>
      </c>
      <c r="AG1234" s="12" t="s">
        <v>366</v>
      </c>
      <c r="AH1234" s="12" t="s">
        <v>5021</v>
      </c>
      <c r="AI1234" s="12" t="str">
        <f t="shared" si="240"/>
        <v>1842</v>
      </c>
      <c r="AJ1234" s="12"/>
      <c r="AK1234" s="12"/>
      <c r="AL1234" s="12"/>
      <c r="AM1234" s="12"/>
      <c r="AN1234" s="12" t="s">
        <v>1838</v>
      </c>
      <c r="AO1234" s="12" t="s">
        <v>78</v>
      </c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</row>
    <row r="1235" spans="1:71">
      <c r="A1235" s="12" t="s">
        <v>731</v>
      </c>
      <c r="B1235" s="12" t="str">
        <f t="shared" si="232"/>
        <v>OOSTHUIZEN</v>
      </c>
      <c r="C1235" s="12" t="str">
        <f t="shared" si="233"/>
        <v>OOSTHUIZEN</v>
      </c>
      <c r="D1235" s="12" t="s">
        <v>11672</v>
      </c>
      <c r="E1235" s="12" t="str">
        <f t="shared" si="243"/>
        <v>Cornelis Andries</v>
      </c>
      <c r="F1235" s="12" t="s">
        <v>11673</v>
      </c>
      <c r="G1235" s="12" t="str">
        <f t="shared" si="234"/>
        <v>a1b7c3d7</v>
      </c>
      <c r="H1235" s="12" t="str">
        <f t="shared" si="235"/>
        <v>OOSTHUIZENa1b7c3d7</v>
      </c>
      <c r="I1235" s="12"/>
      <c r="J1235" s="12"/>
      <c r="K1235" s="12" t="str">
        <f t="shared" si="236"/>
        <v/>
      </c>
      <c r="L1235" s="12"/>
      <c r="M1235" s="12" t="s">
        <v>11674</v>
      </c>
      <c r="N1235" s="12" t="str">
        <f t="shared" si="241"/>
        <v/>
      </c>
      <c r="O1235" s="12" t="str">
        <f t="shared" si="242"/>
        <v>1793</v>
      </c>
      <c r="P1235" s="12"/>
      <c r="Q1235" s="12" t="str">
        <f t="shared" si="237"/>
        <v>1793</v>
      </c>
      <c r="R1235" s="12"/>
      <c r="S1235" s="12" t="str">
        <f t="shared" si="238"/>
        <v/>
      </c>
      <c r="T1235" s="12" t="s">
        <v>74</v>
      </c>
      <c r="U1235" s="12" t="s">
        <v>11675</v>
      </c>
      <c r="V1235" s="12" t="str">
        <f t="shared" si="239"/>
        <v>1813</v>
      </c>
      <c r="W1235" s="12" t="s">
        <v>11676</v>
      </c>
      <c r="X1235" s="12" t="s">
        <v>2153</v>
      </c>
      <c r="Y1235" s="12" t="s">
        <v>11677</v>
      </c>
      <c r="Z1235" s="12"/>
      <c r="AA1235" s="12"/>
      <c r="AB1235" s="12"/>
      <c r="AC1235" s="12" t="s">
        <v>11678</v>
      </c>
      <c r="AD1235" s="12"/>
      <c r="AE1235" s="12"/>
      <c r="AF1235" s="12"/>
      <c r="AG1235" s="12" t="s">
        <v>366</v>
      </c>
      <c r="AH1235" s="12"/>
      <c r="AI1235" s="12" t="str">
        <f t="shared" si="240"/>
        <v/>
      </c>
      <c r="AJ1235" s="12" t="s">
        <v>385</v>
      </c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</row>
    <row r="1236" spans="1:71">
      <c r="A1236" s="12" t="s">
        <v>731</v>
      </c>
      <c r="B1236" s="12" t="str">
        <f t="shared" si="232"/>
        <v>OOSTHUIZEN</v>
      </c>
      <c r="C1236" s="12" t="str">
        <f t="shared" si="233"/>
        <v>OOSTHUIZEN</v>
      </c>
      <c r="D1236" s="12" t="s">
        <v>11739</v>
      </c>
      <c r="E1236" s="12" t="str">
        <f t="shared" si="243"/>
        <v>Ockert Andreas</v>
      </c>
      <c r="F1236" s="12" t="s">
        <v>11740</v>
      </c>
      <c r="G1236" s="12" t="str">
        <f t="shared" si="234"/>
        <v>a1b7c3d7e1</v>
      </c>
      <c r="H1236" s="12" t="str">
        <f t="shared" si="235"/>
        <v>OOSTHUIZENa1b7c3d7e1</v>
      </c>
      <c r="I1236" s="12" t="s">
        <v>199</v>
      </c>
      <c r="J1236" s="12" t="s">
        <v>11741</v>
      </c>
      <c r="K1236" s="12" t="str">
        <f t="shared" si="236"/>
        <v>1814</v>
      </c>
      <c r="L1236" s="12" t="s">
        <v>199</v>
      </c>
      <c r="M1236" s="12" t="s">
        <v>11742</v>
      </c>
      <c r="N1236" s="12" t="str">
        <f t="shared" si="241"/>
        <v>1814</v>
      </c>
      <c r="O1236" s="12" t="str">
        <f t="shared" si="242"/>
        <v>1814</v>
      </c>
      <c r="P1236" s="12" t="s">
        <v>9326</v>
      </c>
      <c r="Q1236" s="12" t="str">
        <f t="shared" si="237"/>
        <v>1814</v>
      </c>
      <c r="R1236" s="12" t="s">
        <v>11743</v>
      </c>
      <c r="S1236" s="12" t="str">
        <f t="shared" si="238"/>
        <v>1884</v>
      </c>
      <c r="T1236" s="12" t="s">
        <v>366</v>
      </c>
      <c r="U1236" s="12" t="s">
        <v>11744</v>
      </c>
      <c r="V1236" s="12" t="str">
        <f t="shared" si="239"/>
        <v>1834</v>
      </c>
      <c r="W1236" s="12" t="s">
        <v>11745</v>
      </c>
      <c r="X1236" s="12" t="s">
        <v>731</v>
      </c>
      <c r="Y1236" s="12"/>
      <c r="Z1236" s="12"/>
      <c r="AA1236" s="12"/>
      <c r="AB1236" s="12"/>
      <c r="AC1236" s="12"/>
      <c r="AD1236" s="12"/>
      <c r="AE1236" s="12"/>
      <c r="AF1236" s="12" t="s">
        <v>366</v>
      </c>
      <c r="AG1236" s="12" t="s">
        <v>5231</v>
      </c>
      <c r="AH1236" s="12"/>
      <c r="AI1236" s="12" t="str">
        <f t="shared" si="240"/>
        <v/>
      </c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</row>
    <row r="1237" spans="1:71">
      <c r="A1237" s="12" t="s">
        <v>731</v>
      </c>
      <c r="B1237" s="12" t="str">
        <f t="shared" si="232"/>
        <v>OOSTHUIZEN</v>
      </c>
      <c r="C1237" s="12" t="str">
        <f t="shared" si="233"/>
        <v>OOSTHUIZEN</v>
      </c>
      <c r="D1237" s="12" t="s">
        <v>11231</v>
      </c>
      <c r="E1237" s="12" t="str">
        <f t="shared" si="243"/>
        <v>Daniël Jacobus</v>
      </c>
      <c r="F1237" s="12" t="s">
        <v>11679</v>
      </c>
      <c r="G1237" s="12" t="str">
        <f t="shared" si="234"/>
        <v>a1b7c3d7e4</v>
      </c>
      <c r="H1237" s="12" t="str">
        <f t="shared" si="235"/>
        <v>OOSTHUIZENa1b7c3d7e4</v>
      </c>
      <c r="I1237" s="12" t="s">
        <v>366</v>
      </c>
      <c r="J1237" s="12" t="s">
        <v>11680</v>
      </c>
      <c r="K1237" s="12" t="str">
        <f t="shared" si="236"/>
        <v>1821</v>
      </c>
      <c r="L1237" s="12" t="s">
        <v>366</v>
      </c>
      <c r="M1237" s="12" t="s">
        <v>6504</v>
      </c>
      <c r="N1237" s="12" t="str">
        <f t="shared" si="241"/>
        <v>1821</v>
      </c>
      <c r="O1237" s="12" t="str">
        <f t="shared" si="242"/>
        <v>1821</v>
      </c>
      <c r="P1237" s="12" t="s">
        <v>9900</v>
      </c>
      <c r="Q1237" s="12" t="str">
        <f t="shared" si="237"/>
        <v>1821</v>
      </c>
      <c r="R1237" s="12" t="s">
        <v>11681</v>
      </c>
      <c r="S1237" s="12" t="str">
        <f t="shared" si="238"/>
        <v>1899</v>
      </c>
      <c r="T1237" s="12"/>
      <c r="U1237" s="12">
        <v>1840</v>
      </c>
      <c r="V1237" s="12" t="str">
        <f t="shared" si="239"/>
        <v>1840</v>
      </c>
      <c r="W1237" s="12" t="s">
        <v>5428</v>
      </c>
      <c r="X1237" s="12" t="s">
        <v>1685</v>
      </c>
      <c r="Y1237" s="12"/>
      <c r="Z1237" s="12"/>
      <c r="AA1237" s="12" t="s">
        <v>6348</v>
      </c>
      <c r="AB1237" s="12" t="s">
        <v>366</v>
      </c>
      <c r="AC1237" s="12" t="s">
        <v>11682</v>
      </c>
      <c r="AD1237" s="12"/>
      <c r="AE1237" s="12">
        <v>1860</v>
      </c>
      <c r="AF1237" s="12"/>
      <c r="AG1237" s="12" t="s">
        <v>366</v>
      </c>
      <c r="AH1237" s="12" t="s">
        <v>5231</v>
      </c>
      <c r="AI1237" s="12" t="str">
        <f t="shared" si="240"/>
        <v>1840</v>
      </c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</row>
    <row r="1238" spans="1:71">
      <c r="A1238" s="12" t="s">
        <v>11780</v>
      </c>
      <c r="B1238" s="12" t="str">
        <f t="shared" si="232"/>
        <v>OPPEL</v>
      </c>
      <c r="C1238" s="12" t="str">
        <f t="shared" si="233"/>
        <v>OPPEL</v>
      </c>
      <c r="D1238" s="12" t="s">
        <v>11781</v>
      </c>
      <c r="E1238" s="12" t="str">
        <f t="shared" si="243"/>
        <v>Bernard Wilhelm</v>
      </c>
      <c r="F1238" s="12" t="s">
        <v>6864</v>
      </c>
      <c r="G1238" s="12" t="str">
        <f t="shared" si="234"/>
        <v>a1b3c10</v>
      </c>
      <c r="H1238" s="12" t="str">
        <f t="shared" si="235"/>
        <v>OPPELa1b3c10</v>
      </c>
      <c r="I1238" s="12"/>
      <c r="J1238" s="12"/>
      <c r="K1238" s="12" t="str">
        <f t="shared" si="236"/>
        <v/>
      </c>
      <c r="L1238" s="12" t="s">
        <v>48</v>
      </c>
      <c r="M1238" s="12" t="s">
        <v>11782</v>
      </c>
      <c r="N1238" s="12" t="str">
        <f t="shared" si="241"/>
        <v/>
      </c>
      <c r="O1238" s="12" t="str">
        <f t="shared" si="242"/>
        <v>1820</v>
      </c>
      <c r="P1238" s="12"/>
      <c r="Q1238" s="12" t="str">
        <f t="shared" si="237"/>
        <v>1820</v>
      </c>
      <c r="R1238" s="12"/>
      <c r="S1238" s="12" t="str">
        <f t="shared" si="238"/>
        <v/>
      </c>
      <c r="T1238" s="12" t="s">
        <v>60</v>
      </c>
      <c r="U1238" s="12" t="s">
        <v>11123</v>
      </c>
      <c r="V1238" s="12" t="str">
        <f t="shared" si="239"/>
        <v>1838</v>
      </c>
      <c r="W1238" s="12"/>
      <c r="X1238" s="12"/>
      <c r="Y1238" s="12" t="s">
        <v>11783</v>
      </c>
      <c r="Z1238" s="12"/>
      <c r="AA1238" s="12" t="s">
        <v>11784</v>
      </c>
      <c r="AB1238" s="12" t="s">
        <v>74</v>
      </c>
      <c r="AC1238" s="12" t="s">
        <v>11785</v>
      </c>
      <c r="AD1238" s="12"/>
      <c r="AE1238" s="12"/>
      <c r="AF1238" s="12"/>
      <c r="AG1238" s="12" t="s">
        <v>10979</v>
      </c>
      <c r="AH1238" s="12" t="s">
        <v>1036</v>
      </c>
      <c r="AI1238" s="12" t="str">
        <f t="shared" si="240"/>
        <v>1838</v>
      </c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</row>
    <row r="1239" spans="1:71">
      <c r="A1239" s="12" t="s">
        <v>1292</v>
      </c>
      <c r="B1239" s="12" t="str">
        <f t="shared" si="232"/>
        <v>OPPERMAN</v>
      </c>
      <c r="C1239" s="12" t="str">
        <f t="shared" si="233"/>
        <v>OPPERMAN</v>
      </c>
      <c r="D1239" s="12" t="s">
        <v>11801</v>
      </c>
      <c r="E1239" s="12" t="str">
        <f t="shared" si="243"/>
        <v>Godlieb Johannes</v>
      </c>
      <c r="F1239" s="12" t="s">
        <v>10564</v>
      </c>
      <c r="G1239" s="12" t="str">
        <f t="shared" si="234"/>
        <v>a1b1c8d1</v>
      </c>
      <c r="H1239" s="12" t="str">
        <f t="shared" si="235"/>
        <v>OPPERMANa1b1c8d1</v>
      </c>
      <c r="I1239" s="12"/>
      <c r="J1239" s="12"/>
      <c r="K1239" s="12" t="str">
        <f t="shared" si="236"/>
        <v/>
      </c>
      <c r="L1239" s="12"/>
      <c r="M1239" s="12" t="s">
        <v>11802</v>
      </c>
      <c r="N1239" s="12" t="str">
        <f t="shared" si="241"/>
        <v/>
      </c>
      <c r="O1239" s="12" t="str">
        <f t="shared" si="242"/>
        <v>1790</v>
      </c>
      <c r="P1239" s="12"/>
      <c r="Q1239" s="12" t="str">
        <f t="shared" si="237"/>
        <v>1790</v>
      </c>
      <c r="R1239" s="12"/>
      <c r="S1239" s="12" t="str">
        <f t="shared" si="238"/>
        <v/>
      </c>
      <c r="T1239" s="12"/>
      <c r="U1239" s="12"/>
      <c r="V1239" s="12" t="str">
        <f t="shared" si="239"/>
        <v/>
      </c>
      <c r="W1239" s="12" t="s">
        <v>1838</v>
      </c>
      <c r="X1239" s="12" t="s">
        <v>2048</v>
      </c>
      <c r="Y1239" s="12"/>
      <c r="Z1239" s="12"/>
      <c r="AA1239" s="12"/>
      <c r="AB1239" s="12"/>
      <c r="AC1239" s="12"/>
      <c r="AD1239" s="12"/>
      <c r="AE1239" s="12"/>
      <c r="AF1239" s="12" t="s">
        <v>11803</v>
      </c>
      <c r="AG1239" s="12"/>
      <c r="AH1239" s="12"/>
      <c r="AI1239" s="12" t="str">
        <f t="shared" si="240"/>
        <v/>
      </c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</row>
    <row r="1240" spans="1:71">
      <c r="A1240" s="12" t="s">
        <v>1292</v>
      </c>
      <c r="B1240" s="12" t="str">
        <f t="shared" si="232"/>
        <v>OPPERMAN</v>
      </c>
      <c r="C1240" s="12" t="str">
        <f t="shared" si="233"/>
        <v>OPPERMAN</v>
      </c>
      <c r="D1240" s="12" t="s">
        <v>2253</v>
      </c>
      <c r="E1240" s="12" t="str">
        <f t="shared" si="243"/>
        <v>Johannes Jacobus</v>
      </c>
      <c r="F1240" s="12" t="s">
        <v>10555</v>
      </c>
      <c r="G1240" s="12" t="str">
        <f t="shared" si="234"/>
        <v>a1b1c8d2</v>
      </c>
      <c r="H1240" s="12" t="str">
        <f t="shared" si="235"/>
        <v>OPPERMANa1b1c8d2</v>
      </c>
      <c r="I1240" s="12"/>
      <c r="J1240" s="12"/>
      <c r="K1240" s="12" t="str">
        <f t="shared" si="236"/>
        <v/>
      </c>
      <c r="L1240" s="12"/>
      <c r="M1240" s="12" t="s">
        <v>6260</v>
      </c>
      <c r="N1240" s="12" t="str">
        <f t="shared" si="241"/>
        <v/>
      </c>
      <c r="O1240" s="12" t="str">
        <f t="shared" si="242"/>
        <v>1805</v>
      </c>
      <c r="P1240" s="12" t="s">
        <v>71</v>
      </c>
      <c r="Q1240" s="12" t="str">
        <f t="shared" si="237"/>
        <v>1805</v>
      </c>
      <c r="R1240" s="12" t="s">
        <v>6764</v>
      </c>
      <c r="S1240" s="12" t="str">
        <f t="shared" si="238"/>
        <v>1838</v>
      </c>
      <c r="T1240" s="12" t="s">
        <v>366</v>
      </c>
      <c r="U1240" s="12" t="s">
        <v>11810</v>
      </c>
      <c r="V1240" s="12" t="str">
        <f t="shared" si="239"/>
        <v>1826</v>
      </c>
      <c r="W1240" s="12" t="s">
        <v>3327</v>
      </c>
      <c r="X1240" s="12" t="s">
        <v>1920</v>
      </c>
      <c r="Y1240" s="12"/>
      <c r="Z1240" s="12" t="s">
        <v>366</v>
      </c>
      <c r="AA1240" s="12">
        <v>1810</v>
      </c>
      <c r="AB1240" s="12"/>
      <c r="AC1240" s="12"/>
      <c r="AD1240" s="12"/>
      <c r="AE1240" s="12"/>
      <c r="AF1240" s="12"/>
      <c r="AG1240" s="12" t="s">
        <v>28</v>
      </c>
      <c r="AH1240" s="12" t="s">
        <v>11707</v>
      </c>
      <c r="AI1240" s="12" t="str">
        <f t="shared" si="240"/>
        <v>1837</v>
      </c>
      <c r="AJ1240" s="12"/>
      <c r="AK1240" s="12" t="s">
        <v>90</v>
      </c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</row>
    <row r="1241" spans="1:71">
      <c r="A1241" s="12" t="s">
        <v>1292</v>
      </c>
      <c r="B1241" s="12" t="str">
        <f t="shared" si="232"/>
        <v>OPPERMAN</v>
      </c>
      <c r="C1241" s="12" t="str">
        <f t="shared" si="233"/>
        <v>OPPERMAN</v>
      </c>
      <c r="D1241" s="12" t="s">
        <v>3760</v>
      </c>
      <c r="E1241" s="12" t="str">
        <f t="shared" si="243"/>
        <v>Johannes Lodewicus</v>
      </c>
      <c r="F1241" s="12" t="s">
        <v>10581</v>
      </c>
      <c r="G1241" s="12" t="str">
        <f t="shared" si="234"/>
        <v>a1b1c8d5</v>
      </c>
      <c r="H1241" s="12" t="str">
        <f t="shared" si="235"/>
        <v>OPPERMANa1b1c8d5</v>
      </c>
      <c r="I1241" s="12"/>
      <c r="J1241" s="12"/>
      <c r="K1241" s="12" t="str">
        <f t="shared" si="236"/>
        <v/>
      </c>
      <c r="L1241" s="12"/>
      <c r="M1241" s="12" t="s">
        <v>11811</v>
      </c>
      <c r="N1241" s="12" t="str">
        <f t="shared" si="241"/>
        <v/>
      </c>
      <c r="O1241" s="12" t="str">
        <f t="shared" si="242"/>
        <v>1812</v>
      </c>
      <c r="P1241" s="12"/>
      <c r="Q1241" s="12" t="str">
        <f t="shared" si="237"/>
        <v>1812</v>
      </c>
      <c r="R1241" s="12"/>
      <c r="S1241" s="12" t="str">
        <f t="shared" si="238"/>
        <v/>
      </c>
      <c r="T1241" s="12"/>
      <c r="U1241" s="12"/>
      <c r="V1241" s="12" t="str">
        <f t="shared" si="239"/>
        <v/>
      </c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 t="s">
        <v>11803</v>
      </c>
      <c r="AH1241" s="12" t="s">
        <v>11812</v>
      </c>
      <c r="AI1241" s="12" t="str">
        <f t="shared" si="240"/>
        <v>1837</v>
      </c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</row>
    <row r="1242" spans="1:71">
      <c r="A1242" s="12" t="s">
        <v>1292</v>
      </c>
      <c r="B1242" s="12" t="str">
        <f t="shared" si="232"/>
        <v>OPPERMAN</v>
      </c>
      <c r="C1242" s="12" t="str">
        <f t="shared" si="233"/>
        <v>OPPERMAN</v>
      </c>
      <c r="D1242" s="12" t="s">
        <v>11786</v>
      </c>
      <c r="E1242" s="12" t="str">
        <f t="shared" si="243"/>
        <v>Christiaan Matthys</v>
      </c>
      <c r="F1242" s="12" t="s">
        <v>11787</v>
      </c>
      <c r="G1242" s="12" t="str">
        <f t="shared" si="234"/>
        <v>a1b1c8d8</v>
      </c>
      <c r="H1242" s="12" t="str">
        <f t="shared" si="235"/>
        <v>OPPERMANa1b1c8d8</v>
      </c>
      <c r="I1242" s="12"/>
      <c r="J1242" s="12" t="s">
        <v>11788</v>
      </c>
      <c r="K1242" s="12" t="str">
        <f t="shared" si="236"/>
        <v>1817</v>
      </c>
      <c r="L1242" s="12" t="s">
        <v>74</v>
      </c>
      <c r="M1242" s="12" t="s">
        <v>11789</v>
      </c>
      <c r="N1242" s="12" t="str">
        <f t="shared" si="241"/>
        <v>1817</v>
      </c>
      <c r="O1242" s="12" t="str">
        <f t="shared" si="242"/>
        <v>1818</v>
      </c>
      <c r="P1242" s="12"/>
      <c r="Q1242" s="12" t="str">
        <f t="shared" si="237"/>
        <v>1817</v>
      </c>
      <c r="R1242" s="12"/>
      <c r="S1242" s="12" t="str">
        <f t="shared" si="238"/>
        <v/>
      </c>
      <c r="T1242" s="12"/>
      <c r="U1242" s="12"/>
      <c r="V1242" s="12" t="str">
        <f t="shared" si="239"/>
        <v/>
      </c>
      <c r="W1242" s="12" t="s">
        <v>11280</v>
      </c>
      <c r="X1242" s="12" t="s">
        <v>729</v>
      </c>
      <c r="Y1242" s="12" t="s">
        <v>11790</v>
      </c>
      <c r="Z1242" s="12"/>
      <c r="AA1242" s="12" t="s">
        <v>5318</v>
      </c>
      <c r="AB1242" s="12" t="s">
        <v>74</v>
      </c>
      <c r="AC1242" s="12" t="s">
        <v>11789</v>
      </c>
      <c r="AD1242" s="12"/>
      <c r="AE1242" s="12"/>
      <c r="AF1242" s="12"/>
      <c r="AG1242" s="12" t="s">
        <v>366</v>
      </c>
      <c r="AH1242" s="12" t="s">
        <v>385</v>
      </c>
      <c r="AI1242" s="12" t="str">
        <f t="shared" si="240"/>
        <v>1840</v>
      </c>
      <c r="AJ1242" s="12"/>
      <c r="AK1242" s="12" t="s">
        <v>90</v>
      </c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</row>
    <row r="1243" spans="1:71">
      <c r="A1243" s="12" t="s">
        <v>1292</v>
      </c>
      <c r="B1243" s="12" t="str">
        <f t="shared" si="232"/>
        <v>OPPERMAN</v>
      </c>
      <c r="C1243" s="12" t="str">
        <f t="shared" si="233"/>
        <v>OPPERMAN</v>
      </c>
      <c r="D1243" s="12" t="s">
        <v>11813</v>
      </c>
      <c r="E1243" s="12" t="str">
        <f t="shared" si="243"/>
        <v>Philippus Albertus</v>
      </c>
      <c r="F1243" s="12" t="s">
        <v>4014</v>
      </c>
      <c r="G1243" s="12" t="str">
        <f t="shared" si="234"/>
        <v>a1b1c9</v>
      </c>
      <c r="H1243" s="12" t="str">
        <f t="shared" si="235"/>
        <v>OPPERMANa1b1c9</v>
      </c>
      <c r="I1243" s="12"/>
      <c r="J1243" s="12"/>
      <c r="K1243" s="12" t="str">
        <f t="shared" si="236"/>
        <v/>
      </c>
      <c r="L1243" s="12"/>
      <c r="M1243" s="12" t="s">
        <v>11814</v>
      </c>
      <c r="N1243" s="12" t="str">
        <f t="shared" si="241"/>
        <v/>
      </c>
      <c r="O1243" s="12" t="str">
        <f t="shared" si="242"/>
        <v>1777</v>
      </c>
      <c r="P1243" s="12"/>
      <c r="Q1243" s="12" t="str">
        <f t="shared" si="237"/>
        <v>1777</v>
      </c>
      <c r="R1243" s="12"/>
      <c r="S1243" s="12" t="str">
        <f t="shared" si="238"/>
        <v/>
      </c>
      <c r="T1243" s="12"/>
      <c r="U1243" s="12" t="s">
        <v>11815</v>
      </c>
      <c r="V1243" s="12" t="str">
        <f t="shared" si="239"/>
        <v>1798</v>
      </c>
      <c r="W1243" s="12" t="s">
        <v>1982</v>
      </c>
      <c r="X1243" s="12" t="s">
        <v>667</v>
      </c>
      <c r="Y1243" s="12" t="s">
        <v>11816</v>
      </c>
      <c r="Z1243" s="12"/>
      <c r="AA1243" s="12"/>
      <c r="AB1243" s="12"/>
      <c r="AC1243" s="12" t="s">
        <v>11817</v>
      </c>
      <c r="AD1243" s="12"/>
      <c r="AE1243" s="12"/>
      <c r="AF1243" s="12" t="s">
        <v>3706</v>
      </c>
      <c r="AG1243" s="12" t="s">
        <v>68</v>
      </c>
      <c r="AH1243" s="12" t="s">
        <v>11799</v>
      </c>
      <c r="AI1243" s="12" t="str">
        <f t="shared" si="240"/>
        <v>1837</v>
      </c>
      <c r="AJ1243" s="12" t="s">
        <v>3123</v>
      </c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</row>
    <row r="1244" spans="1:71">
      <c r="A1244" s="12" t="s">
        <v>1292</v>
      </c>
      <c r="B1244" s="12" t="str">
        <f t="shared" si="232"/>
        <v>OPPERMAN</v>
      </c>
      <c r="C1244" s="12" t="str">
        <f t="shared" si="233"/>
        <v>OPPERMAN</v>
      </c>
      <c r="D1244" s="12" t="s">
        <v>11804</v>
      </c>
      <c r="E1244" s="12" t="str">
        <f t="shared" si="243"/>
        <v>Godlieb Rudolph</v>
      </c>
      <c r="F1244" s="12" t="s">
        <v>2905</v>
      </c>
      <c r="G1244" s="12" t="str">
        <f t="shared" si="234"/>
        <v>a1b1c9d1</v>
      </c>
      <c r="H1244" s="12" t="str">
        <f t="shared" si="235"/>
        <v>OPPERMANa1b1c9d1</v>
      </c>
      <c r="I1244" s="12"/>
      <c r="J1244" s="12">
        <v>1800</v>
      </c>
      <c r="K1244" s="12" t="str">
        <f t="shared" si="236"/>
        <v>1800</v>
      </c>
      <c r="L1244" s="12"/>
      <c r="M1244" s="12"/>
      <c r="N1244" s="12" t="str">
        <f t="shared" si="241"/>
        <v>1800</v>
      </c>
      <c r="O1244" s="12" t="str">
        <f t="shared" si="242"/>
        <v/>
      </c>
      <c r="P1244" s="12" t="s">
        <v>67</v>
      </c>
      <c r="Q1244" s="12" t="str">
        <f t="shared" si="237"/>
        <v>1800</v>
      </c>
      <c r="R1244" s="12" t="s">
        <v>11805</v>
      </c>
      <c r="S1244" s="12" t="str">
        <f t="shared" si="238"/>
        <v>1882</v>
      </c>
      <c r="T1244" s="12" t="s">
        <v>28</v>
      </c>
      <c r="U1244" s="12" t="s">
        <v>11806</v>
      </c>
      <c r="V1244" s="12" t="str">
        <f t="shared" si="239"/>
        <v>1820</v>
      </c>
      <c r="W1244" s="12" t="s">
        <v>1176</v>
      </c>
      <c r="X1244" s="12" t="s">
        <v>730</v>
      </c>
      <c r="Y1244" s="12" t="s">
        <v>11807</v>
      </c>
      <c r="Z1244" s="12"/>
      <c r="AA1244" s="12"/>
      <c r="AB1244" s="12"/>
      <c r="AC1244" s="12" t="s">
        <v>11808</v>
      </c>
      <c r="AD1244" s="12"/>
      <c r="AE1244" s="12"/>
      <c r="AF1244" s="12" t="s">
        <v>3706</v>
      </c>
      <c r="AG1244" s="12" t="s">
        <v>68</v>
      </c>
      <c r="AH1244" s="12" t="s">
        <v>11809</v>
      </c>
      <c r="AI1244" s="12" t="str">
        <f t="shared" si="240"/>
        <v>1838</v>
      </c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</row>
    <row r="1245" spans="1:71">
      <c r="A1245" s="12" t="s">
        <v>1292</v>
      </c>
      <c r="B1245" s="12" t="str">
        <f t="shared" si="232"/>
        <v>OPPERMAN</v>
      </c>
      <c r="C1245" s="12" t="str">
        <f t="shared" si="233"/>
        <v>OPPERMAN</v>
      </c>
      <c r="D1245" s="12" t="s">
        <v>11231</v>
      </c>
      <c r="E1245" s="12" t="str">
        <f t="shared" si="243"/>
        <v>Daniël Jacobus</v>
      </c>
      <c r="F1245" s="12" t="s">
        <v>11791</v>
      </c>
      <c r="G1245" s="12" t="str">
        <f t="shared" si="234"/>
        <v>a1b1c9d2</v>
      </c>
      <c r="H1245" s="12" t="str">
        <f t="shared" si="235"/>
        <v>OPPERMANa1b1c9d2</v>
      </c>
      <c r="I1245" s="12"/>
      <c r="J1245" s="12" t="s">
        <v>11792</v>
      </c>
      <c r="K1245" s="12" t="str">
        <f t="shared" si="236"/>
        <v>1804</v>
      </c>
      <c r="L1245" s="12" t="s">
        <v>74</v>
      </c>
      <c r="M1245" s="12" t="s">
        <v>11793</v>
      </c>
      <c r="N1245" s="12" t="str">
        <f t="shared" si="241"/>
        <v>1804</v>
      </c>
      <c r="O1245" s="12" t="str">
        <f t="shared" si="242"/>
        <v>1805</v>
      </c>
      <c r="P1245" s="12" t="s">
        <v>155</v>
      </c>
      <c r="Q1245" s="12" t="str">
        <f t="shared" si="237"/>
        <v>1804</v>
      </c>
      <c r="R1245" s="12" t="s">
        <v>11794</v>
      </c>
      <c r="S1245" s="12" t="str">
        <f t="shared" si="238"/>
        <v>1846</v>
      </c>
      <c r="T1245" s="12" t="s">
        <v>68</v>
      </c>
      <c r="U1245" s="12" t="s">
        <v>11795</v>
      </c>
      <c r="V1245" s="12" t="str">
        <f t="shared" si="239"/>
        <v>1826</v>
      </c>
      <c r="W1245" s="12" t="s">
        <v>1611</v>
      </c>
      <c r="X1245" s="12" t="s">
        <v>11796</v>
      </c>
      <c r="Y1245" s="12" t="s">
        <v>11797</v>
      </c>
      <c r="Z1245" s="12"/>
      <c r="AA1245" s="12"/>
      <c r="AB1245" s="12"/>
      <c r="AC1245" s="12" t="s">
        <v>11798</v>
      </c>
      <c r="AD1245" s="12"/>
      <c r="AE1245" s="12"/>
      <c r="AF1245" s="12" t="s">
        <v>3706</v>
      </c>
      <c r="AG1245" s="12" t="s">
        <v>68</v>
      </c>
      <c r="AH1245" s="12" t="s">
        <v>11799</v>
      </c>
      <c r="AI1245" s="12" t="str">
        <f t="shared" si="240"/>
        <v>1837</v>
      </c>
      <c r="AJ1245" s="12" t="s">
        <v>11800</v>
      </c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</row>
    <row r="1246" spans="1:71">
      <c r="A1246" s="12" t="s">
        <v>5129</v>
      </c>
      <c r="B1246" s="12" t="str">
        <f t="shared" si="232"/>
        <v>OTTO</v>
      </c>
      <c r="C1246" s="12" t="str">
        <f t="shared" si="233"/>
        <v>OTTO</v>
      </c>
      <c r="D1246" s="12" t="s">
        <v>11828</v>
      </c>
      <c r="E1246" s="12" t="str">
        <f t="shared" si="243"/>
        <v>Johan Philip</v>
      </c>
      <c r="F1246" s="12" t="s">
        <v>11829</v>
      </c>
      <c r="G1246" s="12" t="str">
        <f t="shared" si="234"/>
        <v>a4b1</v>
      </c>
      <c r="H1246" s="12" t="str">
        <f t="shared" si="235"/>
        <v>OTTOa4b1</v>
      </c>
      <c r="I1246" s="12"/>
      <c r="J1246" s="12" t="s">
        <v>11830</v>
      </c>
      <c r="K1246" s="12" t="str">
        <f t="shared" si="236"/>
        <v>1800</v>
      </c>
      <c r="L1246" s="12"/>
      <c r="M1246" s="12"/>
      <c r="N1246" s="12" t="str">
        <f t="shared" si="241"/>
        <v>1800</v>
      </c>
      <c r="O1246" s="12" t="str">
        <f t="shared" si="242"/>
        <v/>
      </c>
      <c r="P1246" s="12"/>
      <c r="Q1246" s="12" t="str">
        <f t="shared" si="237"/>
        <v>1800</v>
      </c>
      <c r="R1246" s="12"/>
      <c r="S1246" s="12" t="str">
        <f t="shared" si="238"/>
        <v/>
      </c>
      <c r="T1246" s="12"/>
      <c r="U1246" s="12"/>
      <c r="V1246" s="12" t="str">
        <f t="shared" si="239"/>
        <v/>
      </c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 t="s">
        <v>366</v>
      </c>
      <c r="AH1246" s="12" t="s">
        <v>11779</v>
      </c>
      <c r="AI1246" s="12" t="str">
        <f t="shared" si="240"/>
        <v>1838</v>
      </c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</row>
    <row r="1247" spans="1:71">
      <c r="A1247" s="12" t="s">
        <v>5129</v>
      </c>
      <c r="B1247" s="12" t="str">
        <f t="shared" si="232"/>
        <v>OTTO</v>
      </c>
      <c r="C1247" s="12" t="str">
        <f t="shared" si="233"/>
        <v>OTTO</v>
      </c>
      <c r="D1247" s="12" t="s">
        <v>8942</v>
      </c>
      <c r="E1247" s="12" t="str">
        <f t="shared" si="243"/>
        <v>Johan Frederik</v>
      </c>
      <c r="F1247" s="12" t="s">
        <v>11822</v>
      </c>
      <c r="G1247" s="12" t="str">
        <f t="shared" si="234"/>
        <v>a4b4</v>
      </c>
      <c r="H1247" s="12" t="str">
        <f t="shared" si="235"/>
        <v>OTTOa4b4</v>
      </c>
      <c r="I1247" s="12"/>
      <c r="J1247" s="12" t="s">
        <v>11823</v>
      </c>
      <c r="K1247" s="12" t="str">
        <f t="shared" si="236"/>
        <v>1806</v>
      </c>
      <c r="L1247" s="12"/>
      <c r="M1247" s="12" t="s">
        <v>11824</v>
      </c>
      <c r="N1247" s="12" t="str">
        <f t="shared" si="241"/>
        <v>1806</v>
      </c>
      <c r="O1247" s="12" t="str">
        <f t="shared" si="242"/>
        <v>1807</v>
      </c>
      <c r="P1247" s="12" t="s">
        <v>140</v>
      </c>
      <c r="Q1247" s="12" t="str">
        <f t="shared" si="237"/>
        <v>1806</v>
      </c>
      <c r="R1247" s="12" t="s">
        <v>11825</v>
      </c>
      <c r="S1247" s="12" t="str">
        <f t="shared" si="238"/>
        <v>1876</v>
      </c>
      <c r="T1247" s="12"/>
      <c r="U1247" s="12" t="s">
        <v>11826</v>
      </c>
      <c r="V1247" s="12" t="str">
        <f t="shared" si="239"/>
        <v>1828</v>
      </c>
      <c r="W1247" s="12" t="s">
        <v>11827</v>
      </c>
      <c r="X1247" s="12" t="s">
        <v>11052</v>
      </c>
      <c r="Y1247" s="12"/>
      <c r="Z1247" s="12"/>
      <c r="AA1247" s="12"/>
      <c r="AB1247" s="12"/>
      <c r="AC1247" s="12"/>
      <c r="AD1247" s="12"/>
      <c r="AE1247" s="12"/>
      <c r="AF1247" s="12"/>
      <c r="AG1247" s="12" t="s">
        <v>366</v>
      </c>
      <c r="AH1247" s="12"/>
      <c r="AI1247" s="12" t="str">
        <f t="shared" si="240"/>
        <v/>
      </c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</row>
    <row r="1248" spans="1:71">
      <c r="A1248" s="12" t="s">
        <v>5129</v>
      </c>
      <c r="B1248" s="12" t="str">
        <f t="shared" si="232"/>
        <v>OTTO</v>
      </c>
      <c r="C1248" s="12" t="str">
        <f t="shared" si="233"/>
        <v>OTTO</v>
      </c>
      <c r="D1248" s="12" t="s">
        <v>11818</v>
      </c>
      <c r="E1248" s="12" t="str">
        <f t="shared" si="243"/>
        <v>Hendrik Robias</v>
      </c>
      <c r="F1248" s="12" t="s">
        <v>8771</v>
      </c>
      <c r="G1248" s="12" t="str">
        <f t="shared" si="234"/>
        <v>a4b5</v>
      </c>
      <c r="H1248" s="12" t="str">
        <f t="shared" si="235"/>
        <v>OTTOa4b5</v>
      </c>
      <c r="I1248" s="12"/>
      <c r="J1248" s="12"/>
      <c r="K1248" s="12" t="str">
        <f t="shared" si="236"/>
        <v/>
      </c>
      <c r="L1248" s="12"/>
      <c r="M1248" s="12">
        <v>1808</v>
      </c>
      <c r="N1248" s="12" t="str">
        <f t="shared" si="241"/>
        <v/>
      </c>
      <c r="O1248" s="12" t="str">
        <f t="shared" si="242"/>
        <v>1808</v>
      </c>
      <c r="P1248" s="12"/>
      <c r="Q1248" s="12" t="str">
        <f t="shared" si="237"/>
        <v>1808</v>
      </c>
      <c r="R1248" s="12"/>
      <c r="S1248" s="12" t="str">
        <f t="shared" si="238"/>
        <v/>
      </c>
      <c r="T1248" s="12" t="s">
        <v>366</v>
      </c>
      <c r="U1248" s="12" t="s">
        <v>11819</v>
      </c>
      <c r="V1248" s="12" t="str">
        <f t="shared" si="239"/>
        <v>1838</v>
      </c>
      <c r="W1248" s="12" t="s">
        <v>11820</v>
      </c>
      <c r="X1248" s="12" t="s">
        <v>664</v>
      </c>
      <c r="Y1248" s="12"/>
      <c r="Z1248" s="12"/>
      <c r="AA1248" s="12"/>
      <c r="AB1248" s="12"/>
      <c r="AC1248" s="12"/>
      <c r="AD1248" s="12"/>
      <c r="AE1248" s="12"/>
      <c r="AF1248" s="12" t="s">
        <v>3703</v>
      </c>
      <c r="AG1248" s="12" t="s">
        <v>366</v>
      </c>
      <c r="AH1248" s="12" t="s">
        <v>11821</v>
      </c>
      <c r="AI1248" s="12" t="str">
        <f t="shared" si="240"/>
        <v>1840</v>
      </c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</row>
    <row r="1249" spans="1:71">
      <c r="A1249" s="12" t="s">
        <v>5129</v>
      </c>
      <c r="B1249" s="12" t="str">
        <f t="shared" si="232"/>
        <v>OTTO</v>
      </c>
      <c r="C1249" s="12" t="str">
        <f t="shared" si="233"/>
        <v>OTTO</v>
      </c>
      <c r="D1249" s="12" t="s">
        <v>11831</v>
      </c>
      <c r="E1249" s="12" t="str">
        <f t="shared" si="243"/>
        <v>Petrus Albertus Ryno</v>
      </c>
      <c r="F1249" s="12" t="s">
        <v>11832</v>
      </c>
      <c r="G1249" s="12" t="str">
        <f t="shared" si="234"/>
        <v>a5b1c9d8</v>
      </c>
      <c r="H1249" s="12" t="str">
        <f t="shared" si="235"/>
        <v>OTTOa5b1c9d8</v>
      </c>
      <c r="I1249" s="12"/>
      <c r="J1249" s="12" t="s">
        <v>11833</v>
      </c>
      <c r="K1249" s="12" t="str">
        <f t="shared" si="236"/>
        <v>1810</v>
      </c>
      <c r="L1249" s="12" t="s">
        <v>961</v>
      </c>
      <c r="M1249" s="12" t="s">
        <v>11834</v>
      </c>
      <c r="N1249" s="12" t="str">
        <f t="shared" si="241"/>
        <v>1810</v>
      </c>
      <c r="O1249" s="12" t="str">
        <f t="shared" si="242"/>
        <v>1810</v>
      </c>
      <c r="P1249" s="12" t="s">
        <v>90</v>
      </c>
      <c r="Q1249" s="12" t="str">
        <f t="shared" si="237"/>
        <v>1810</v>
      </c>
      <c r="R1249" s="12" t="s">
        <v>11835</v>
      </c>
      <c r="S1249" s="12" t="str">
        <f t="shared" si="238"/>
        <v>1890</v>
      </c>
      <c r="T1249" s="12" t="s">
        <v>158</v>
      </c>
      <c r="U1249" s="12" t="s">
        <v>11836</v>
      </c>
      <c r="V1249" s="12" t="str">
        <f t="shared" si="239"/>
        <v>1828</v>
      </c>
      <c r="W1249" s="12" t="s">
        <v>11837</v>
      </c>
      <c r="X1249" s="12" t="s">
        <v>6870</v>
      </c>
      <c r="Y1249" s="12"/>
      <c r="Z1249" s="12"/>
      <c r="AA1249" s="12"/>
      <c r="AB1249" s="12"/>
      <c r="AC1249" s="12"/>
      <c r="AD1249" s="12" t="s">
        <v>158</v>
      </c>
      <c r="AE1249" s="12" t="s">
        <v>11838</v>
      </c>
      <c r="AF1249" s="12"/>
      <c r="AG1249" s="12" t="s">
        <v>158</v>
      </c>
      <c r="AH1249" s="12" t="s">
        <v>11839</v>
      </c>
      <c r="AI1249" s="12" t="str">
        <f t="shared" si="240"/>
        <v>1841</v>
      </c>
      <c r="AJ1249" s="12"/>
      <c r="AK1249" s="12" t="s">
        <v>90</v>
      </c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</row>
    <row r="1250" spans="1:71">
      <c r="A1250" s="12" t="s">
        <v>5086</v>
      </c>
      <c r="B1250" s="12" t="str">
        <f t="shared" si="232"/>
        <v>PELZER</v>
      </c>
      <c r="C1250" s="12" t="str">
        <f t="shared" si="233"/>
        <v>PELZER</v>
      </c>
      <c r="D1250" s="12" t="s">
        <v>2798</v>
      </c>
      <c r="E1250" s="12" t="str">
        <f t="shared" si="243"/>
        <v>Carel Johannes</v>
      </c>
      <c r="F1250" s="12" t="s">
        <v>1683</v>
      </c>
      <c r="G1250" s="12" t="str">
        <f t="shared" si="234"/>
        <v>a1b2c4d1e1</v>
      </c>
      <c r="H1250" s="12" t="str">
        <f t="shared" si="235"/>
        <v>PELZERa1b2c4d1e1</v>
      </c>
      <c r="I1250" s="12"/>
      <c r="J1250" s="12"/>
      <c r="K1250" s="12" t="str">
        <f t="shared" si="236"/>
        <v/>
      </c>
      <c r="L1250" s="12" t="s">
        <v>74</v>
      </c>
      <c r="M1250" s="12" t="s">
        <v>8630</v>
      </c>
      <c r="N1250" s="12" t="str">
        <f t="shared" si="241"/>
        <v/>
      </c>
      <c r="O1250" s="12" t="str">
        <f t="shared" si="242"/>
        <v>1798</v>
      </c>
      <c r="P1250" s="12" t="s">
        <v>8631</v>
      </c>
      <c r="Q1250" s="12" t="str">
        <f t="shared" si="237"/>
        <v>1798</v>
      </c>
      <c r="R1250" s="12" t="s">
        <v>8633</v>
      </c>
      <c r="S1250" s="12" t="str">
        <f t="shared" si="238"/>
        <v>1866</v>
      </c>
      <c r="T1250" s="12" t="s">
        <v>28</v>
      </c>
      <c r="U1250" s="12" t="s">
        <v>8632</v>
      </c>
      <c r="V1250" s="12" t="str">
        <f t="shared" si="239"/>
        <v>1822</v>
      </c>
      <c r="W1250" s="12" t="s">
        <v>8634</v>
      </c>
      <c r="X1250" s="12" t="s">
        <v>355</v>
      </c>
      <c r="Y1250" s="12"/>
      <c r="Z1250" s="12"/>
      <c r="AA1250" s="12"/>
      <c r="AB1250" s="12"/>
      <c r="AC1250" s="12" t="s">
        <v>8635</v>
      </c>
      <c r="AD1250" s="12" t="s">
        <v>8636</v>
      </c>
      <c r="AE1250" s="12" t="s">
        <v>8637</v>
      </c>
      <c r="AF1250" s="12" t="s">
        <v>16</v>
      </c>
      <c r="AG1250" s="12" t="s">
        <v>28</v>
      </c>
      <c r="AH1250" s="12" t="s">
        <v>7696</v>
      </c>
      <c r="AI1250" s="12" t="str">
        <f t="shared" si="240"/>
        <v>1839</v>
      </c>
      <c r="AJ1250" s="12"/>
      <c r="AK1250" s="12" t="s">
        <v>190</v>
      </c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</row>
    <row r="1251" spans="1:71">
      <c r="A1251" s="12" t="s">
        <v>5086</v>
      </c>
      <c r="B1251" s="12" t="str">
        <f t="shared" si="232"/>
        <v>PELZER</v>
      </c>
      <c r="C1251" s="12" t="str">
        <f t="shared" si="233"/>
        <v>PELZER</v>
      </c>
      <c r="D1251" s="12" t="s">
        <v>2253</v>
      </c>
      <c r="E1251" s="12" t="str">
        <f t="shared" si="243"/>
        <v>Johannes Jacobus</v>
      </c>
      <c r="F1251" s="12" t="s">
        <v>8624</v>
      </c>
      <c r="G1251" s="12" t="str">
        <f t="shared" si="234"/>
        <v>a1b2c4d1e4</v>
      </c>
      <c r="H1251" s="12" t="str">
        <f t="shared" si="235"/>
        <v>PELZERa1b2c4d1e4</v>
      </c>
      <c r="I1251" s="12"/>
      <c r="J1251" s="12" t="s">
        <v>8638</v>
      </c>
      <c r="K1251" s="12" t="str">
        <f t="shared" si="236"/>
        <v>1806</v>
      </c>
      <c r="L1251" s="12" t="s">
        <v>74</v>
      </c>
      <c r="M1251" s="12" t="s">
        <v>8639</v>
      </c>
      <c r="N1251" s="12" t="str">
        <f t="shared" si="241"/>
        <v>1806</v>
      </c>
      <c r="O1251" s="12" t="str">
        <f t="shared" si="242"/>
        <v>1807</v>
      </c>
      <c r="P1251" s="12" t="s">
        <v>8640</v>
      </c>
      <c r="Q1251" s="12" t="str">
        <f t="shared" si="237"/>
        <v>1806</v>
      </c>
      <c r="R1251" s="12" t="s">
        <v>8641</v>
      </c>
      <c r="S1251" s="12" t="str">
        <f t="shared" si="238"/>
        <v>1890</v>
      </c>
      <c r="T1251" s="12"/>
      <c r="U1251" s="12"/>
      <c r="V1251" s="12" t="str">
        <f t="shared" si="239"/>
        <v/>
      </c>
      <c r="W1251" s="12" t="s">
        <v>8642</v>
      </c>
      <c r="X1251" s="12" t="s">
        <v>355</v>
      </c>
      <c r="Y1251" s="12" t="s">
        <v>911</v>
      </c>
      <c r="Z1251" s="12"/>
      <c r="AA1251" s="12"/>
      <c r="AB1251" s="12"/>
      <c r="AC1251" s="12" t="s">
        <v>8635</v>
      </c>
      <c r="AD1251" s="12"/>
      <c r="AE1251" s="12"/>
      <c r="AF1251" s="12" t="s">
        <v>8643</v>
      </c>
      <c r="AG1251" s="12" t="s">
        <v>68</v>
      </c>
      <c r="AH1251" s="12" t="s">
        <v>7558</v>
      </c>
      <c r="AI1251" s="12" t="str">
        <f t="shared" si="240"/>
        <v>1838</v>
      </c>
      <c r="AJ1251" s="12"/>
      <c r="AK1251" s="12" t="s">
        <v>90</v>
      </c>
      <c r="AL1251" s="12" t="s">
        <v>28</v>
      </c>
      <c r="AM1251" s="12" t="s">
        <v>981</v>
      </c>
      <c r="AN1251" s="12" t="s">
        <v>8644</v>
      </c>
      <c r="AO1251" s="12" t="s">
        <v>355</v>
      </c>
      <c r="AP1251" s="12" t="s">
        <v>8645</v>
      </c>
      <c r="AQ1251" s="12"/>
      <c r="AR1251" s="12"/>
      <c r="AS1251" s="12"/>
      <c r="AT1251" s="12" t="s">
        <v>1677</v>
      </c>
      <c r="AU1251" s="12" t="s">
        <v>8640</v>
      </c>
      <c r="AV1251" s="12" t="s">
        <v>8646</v>
      </c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</row>
    <row r="1252" spans="1:71">
      <c r="A1252" s="12" t="s">
        <v>5086</v>
      </c>
      <c r="B1252" s="12" t="str">
        <f t="shared" si="232"/>
        <v>PELZER</v>
      </c>
      <c r="C1252" s="12" t="str">
        <f t="shared" si="233"/>
        <v>PELZER</v>
      </c>
      <c r="D1252" s="12" t="s">
        <v>8626</v>
      </c>
      <c r="E1252" s="12" t="str">
        <f t="shared" si="243"/>
        <v>Petrus Cornelis Jacobus</v>
      </c>
      <c r="F1252" s="12" t="s">
        <v>8627</v>
      </c>
      <c r="G1252" s="12" t="str">
        <f t="shared" si="234"/>
        <v>a1b2c4d1e6</v>
      </c>
      <c r="H1252" s="12" t="str">
        <f t="shared" si="235"/>
        <v>PELZERa1b2c4d1e6</v>
      </c>
      <c r="I1252" s="12"/>
      <c r="J1252" s="12" t="s">
        <v>8657</v>
      </c>
      <c r="K1252" s="12" t="str">
        <f t="shared" si="236"/>
        <v>1814</v>
      </c>
      <c r="L1252" s="12" t="s">
        <v>74</v>
      </c>
      <c r="M1252" s="12" t="s">
        <v>8381</v>
      </c>
      <c r="N1252" s="12" t="str">
        <f t="shared" si="241"/>
        <v>1814</v>
      </c>
      <c r="O1252" s="12" t="str">
        <f t="shared" si="242"/>
        <v>1815</v>
      </c>
      <c r="P1252" s="12" t="s">
        <v>8658</v>
      </c>
      <c r="Q1252" s="12" t="str">
        <f t="shared" si="237"/>
        <v>1814</v>
      </c>
      <c r="R1252" s="12" t="s">
        <v>8659</v>
      </c>
      <c r="S1252" s="12" t="str">
        <f t="shared" si="238"/>
        <v>1897</v>
      </c>
      <c r="T1252" s="12" t="s">
        <v>28</v>
      </c>
      <c r="U1252" s="12" t="s">
        <v>8660</v>
      </c>
      <c r="V1252" s="12" t="str">
        <f t="shared" si="239"/>
        <v>1836</v>
      </c>
      <c r="W1252" s="12" t="s">
        <v>8661</v>
      </c>
      <c r="X1252" s="12" t="s">
        <v>669</v>
      </c>
      <c r="Y1252" s="12"/>
      <c r="Z1252" s="12"/>
      <c r="AA1252" s="12" t="s">
        <v>8662</v>
      </c>
      <c r="AB1252" s="12"/>
      <c r="AC1252" s="12"/>
      <c r="AD1252" s="12"/>
      <c r="AE1252" s="12"/>
      <c r="AF1252" s="12" t="s">
        <v>16</v>
      </c>
      <c r="AG1252" s="12" t="s">
        <v>28</v>
      </c>
      <c r="AH1252" s="12" t="s">
        <v>7696</v>
      </c>
      <c r="AI1252" s="12" t="str">
        <f t="shared" si="240"/>
        <v>1839</v>
      </c>
      <c r="AJ1252" s="12"/>
      <c r="AK1252" s="12" t="s">
        <v>8663</v>
      </c>
      <c r="AL1252" s="12" t="s">
        <v>140</v>
      </c>
      <c r="AM1252" s="12" t="s">
        <v>8664</v>
      </c>
      <c r="AN1252" s="12" t="s">
        <v>8665</v>
      </c>
      <c r="AO1252" s="12" t="s">
        <v>8666</v>
      </c>
      <c r="AP1252" s="12"/>
      <c r="AQ1252" s="12"/>
      <c r="AR1252" s="12" t="s">
        <v>8111</v>
      </c>
      <c r="AS1252" s="12"/>
      <c r="AT1252" s="12"/>
      <c r="AU1252" s="12" t="s">
        <v>4876</v>
      </c>
      <c r="AV1252" s="12" t="s">
        <v>8667</v>
      </c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</row>
    <row r="1253" spans="1:71">
      <c r="A1253" s="12" t="s">
        <v>5086</v>
      </c>
      <c r="B1253" s="12" t="str">
        <f t="shared" si="232"/>
        <v>PELZER</v>
      </c>
      <c r="C1253" s="12" t="str">
        <f t="shared" si="233"/>
        <v>PELZER</v>
      </c>
      <c r="D1253" s="12" t="s">
        <v>7540</v>
      </c>
      <c r="E1253" s="12" t="str">
        <f t="shared" si="243"/>
        <v>Petrus Cornelis</v>
      </c>
      <c r="F1253" s="12" t="s">
        <v>8625</v>
      </c>
      <c r="G1253" s="12" t="str">
        <f t="shared" si="234"/>
        <v>a1b2c5d3e3</v>
      </c>
      <c r="H1253" s="12" t="str">
        <f t="shared" si="235"/>
        <v>PELZERa1b2c5d3e3</v>
      </c>
      <c r="I1253" s="12"/>
      <c r="J1253" s="12" t="s">
        <v>2214</v>
      </c>
      <c r="K1253" s="12" t="str">
        <f t="shared" si="236"/>
        <v>1811</v>
      </c>
      <c r="L1253" s="12" t="s">
        <v>74</v>
      </c>
      <c r="M1253" s="12" t="s">
        <v>5730</v>
      </c>
      <c r="N1253" s="12" t="str">
        <f t="shared" si="241"/>
        <v>1811</v>
      </c>
      <c r="O1253" s="12" t="str">
        <f t="shared" si="242"/>
        <v>1812</v>
      </c>
      <c r="P1253" s="12" t="s">
        <v>8647</v>
      </c>
      <c r="Q1253" s="12" t="str">
        <f t="shared" si="237"/>
        <v>1811</v>
      </c>
      <c r="R1253" s="12" t="s">
        <v>8648</v>
      </c>
      <c r="S1253" s="12" t="str">
        <f t="shared" si="238"/>
        <v>1894</v>
      </c>
      <c r="T1253" s="12" t="s">
        <v>74</v>
      </c>
      <c r="U1253" s="12" t="s">
        <v>7892</v>
      </c>
      <c r="V1253" s="12" t="str">
        <f t="shared" si="239"/>
        <v>1831</v>
      </c>
      <c r="W1253" s="12" t="s">
        <v>8649</v>
      </c>
      <c r="X1253" s="12" t="s">
        <v>1824</v>
      </c>
      <c r="Y1253" s="12"/>
      <c r="Z1253" s="12"/>
      <c r="AA1253" s="12" t="s">
        <v>8650</v>
      </c>
      <c r="AB1253" s="12" t="s">
        <v>74</v>
      </c>
      <c r="AC1253" s="12" t="s">
        <v>5124</v>
      </c>
      <c r="AD1253" s="12" t="s">
        <v>8651</v>
      </c>
      <c r="AE1253" s="12" t="s">
        <v>8652</v>
      </c>
      <c r="AF1253" s="12" t="s">
        <v>16</v>
      </c>
      <c r="AG1253" s="12" t="s">
        <v>68</v>
      </c>
      <c r="AH1253" s="12" t="s">
        <v>8653</v>
      </c>
      <c r="AI1253" s="12" t="str">
        <f t="shared" si="240"/>
        <v>1840</v>
      </c>
      <c r="AJ1253" s="12" t="s">
        <v>8654</v>
      </c>
      <c r="AK1253" s="12"/>
      <c r="AL1253" s="12" t="s">
        <v>60</v>
      </c>
      <c r="AM1253" s="12" t="s">
        <v>8655</v>
      </c>
      <c r="AN1253" s="12" t="s">
        <v>8656</v>
      </c>
      <c r="AO1253" s="12" t="s">
        <v>1453</v>
      </c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</row>
    <row r="1254" spans="1:71">
      <c r="A1254" s="12" t="s">
        <v>5086</v>
      </c>
      <c r="B1254" s="12" t="str">
        <f t="shared" si="232"/>
        <v>PELZER</v>
      </c>
      <c r="C1254" s="12" t="str">
        <f t="shared" si="233"/>
        <v>PELZER</v>
      </c>
      <c r="D1254" s="12" t="s">
        <v>8628</v>
      </c>
      <c r="E1254" s="12" t="str">
        <f t="shared" si="243"/>
        <v>Pieter Andries Hendrik</v>
      </c>
      <c r="F1254" s="12" t="s">
        <v>8629</v>
      </c>
      <c r="G1254" s="12" t="str">
        <f t="shared" si="234"/>
        <v>a1b2c5d3e4</v>
      </c>
      <c r="H1254" s="12" t="str">
        <f t="shared" si="235"/>
        <v>PELZERa1b2c5d3e4</v>
      </c>
      <c r="I1254" s="12"/>
      <c r="J1254" s="12" t="s">
        <v>8668</v>
      </c>
      <c r="K1254" s="12" t="str">
        <f t="shared" si="236"/>
        <v>1813</v>
      </c>
      <c r="L1254" s="12" t="s">
        <v>74</v>
      </c>
      <c r="M1254" s="12" t="s">
        <v>7354</v>
      </c>
      <c r="N1254" s="12" t="str">
        <f t="shared" si="241"/>
        <v>1813</v>
      </c>
      <c r="O1254" s="12" t="str">
        <f t="shared" si="242"/>
        <v>1814</v>
      </c>
      <c r="P1254" s="12"/>
      <c r="Q1254" s="12" t="str">
        <f t="shared" si="237"/>
        <v>1813</v>
      </c>
      <c r="R1254" s="12"/>
      <c r="S1254" s="12" t="str">
        <f t="shared" si="238"/>
        <v/>
      </c>
      <c r="T1254" s="12" t="s">
        <v>28</v>
      </c>
      <c r="U1254" s="12" t="s">
        <v>4464</v>
      </c>
      <c r="V1254" s="12" t="str">
        <f t="shared" si="239"/>
        <v>1832</v>
      </c>
      <c r="W1254" s="12" t="s">
        <v>8669</v>
      </c>
      <c r="X1254" s="12" t="s">
        <v>1771</v>
      </c>
      <c r="Y1254" s="12"/>
      <c r="Z1254" s="12"/>
      <c r="AA1254" s="12"/>
      <c r="AB1254" s="12"/>
      <c r="AC1254" s="12"/>
      <c r="AD1254" s="12" t="s">
        <v>67</v>
      </c>
      <c r="AE1254" s="12" t="s">
        <v>8670</v>
      </c>
      <c r="AF1254" s="12" t="s">
        <v>16</v>
      </c>
      <c r="AG1254" s="12" t="s">
        <v>68</v>
      </c>
      <c r="AH1254" s="12" t="s">
        <v>8671</v>
      </c>
      <c r="AI1254" s="12" t="str">
        <f t="shared" si="240"/>
        <v>1833</v>
      </c>
      <c r="AJ1254" s="12"/>
      <c r="AK1254" s="12" t="s">
        <v>8672</v>
      </c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</row>
    <row r="1255" spans="1:71">
      <c r="A1255" s="12" t="s">
        <v>5086</v>
      </c>
      <c r="B1255" s="12" t="str">
        <f t="shared" si="232"/>
        <v>PELZER</v>
      </c>
      <c r="C1255" s="12" t="str">
        <f t="shared" si="233"/>
        <v>PELZER</v>
      </c>
      <c r="D1255" s="12" t="s">
        <v>3026</v>
      </c>
      <c r="E1255" s="12" t="str">
        <f t="shared" si="243"/>
        <v>Abraham Johannes</v>
      </c>
      <c r="F1255" s="12" t="s">
        <v>8616</v>
      </c>
      <c r="G1255" s="12" t="str">
        <f t="shared" si="234"/>
        <v>a1b2c6d5</v>
      </c>
      <c r="H1255" s="12" t="str">
        <f t="shared" si="235"/>
        <v>PELZERa1b2c6d5</v>
      </c>
      <c r="I1255" s="12"/>
      <c r="J1255" s="12" t="s">
        <v>8617</v>
      </c>
      <c r="K1255" s="12" t="str">
        <f t="shared" si="236"/>
        <v>1797</v>
      </c>
      <c r="L1255" s="12"/>
      <c r="M1255" s="12" t="s">
        <v>5294</v>
      </c>
      <c r="N1255" s="12" t="str">
        <f t="shared" si="241"/>
        <v>1797</v>
      </c>
      <c r="O1255" s="12" t="str">
        <f t="shared" si="242"/>
        <v>1797</v>
      </c>
      <c r="P1255" s="12"/>
      <c r="Q1255" s="12" t="str">
        <f t="shared" si="237"/>
        <v>1797</v>
      </c>
      <c r="R1255" s="12"/>
      <c r="S1255" s="12" t="str">
        <f t="shared" si="238"/>
        <v/>
      </c>
      <c r="T1255" s="12" t="s">
        <v>74</v>
      </c>
      <c r="U1255" s="12" t="s">
        <v>5537</v>
      </c>
      <c r="V1255" s="12" t="str">
        <f t="shared" si="239"/>
        <v>1817</v>
      </c>
      <c r="W1255" s="12" t="s">
        <v>8618</v>
      </c>
      <c r="X1255" s="12" t="s">
        <v>759</v>
      </c>
      <c r="Y1255" s="12"/>
      <c r="Z1255" s="12"/>
      <c r="AA1255" s="12" t="s">
        <v>8619</v>
      </c>
      <c r="AB1255" s="12" t="s">
        <v>542</v>
      </c>
      <c r="AC1255" s="12" t="s">
        <v>4152</v>
      </c>
      <c r="AD1255" s="12"/>
      <c r="AE1255" s="12"/>
      <c r="AF1255" s="12" t="s">
        <v>8620</v>
      </c>
      <c r="AG1255" s="12" t="s">
        <v>68</v>
      </c>
      <c r="AH1255" s="12" t="s">
        <v>8621</v>
      </c>
      <c r="AI1255" s="12" t="str">
        <f t="shared" si="240"/>
        <v>1836</v>
      </c>
      <c r="AJ1255" s="12" t="s">
        <v>379</v>
      </c>
      <c r="AK1255" s="12" t="s">
        <v>155</v>
      </c>
      <c r="AL1255" s="12" t="s">
        <v>140</v>
      </c>
      <c r="AM1255" s="12" t="s">
        <v>1855</v>
      </c>
      <c r="AN1255" s="12" t="s">
        <v>8622</v>
      </c>
      <c r="AO1255" s="12" t="s">
        <v>726</v>
      </c>
      <c r="AP1255" s="12" t="s">
        <v>8623</v>
      </c>
      <c r="AQ1255" s="12"/>
      <c r="AR1255" s="12" t="s">
        <v>7948</v>
      </c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</row>
    <row r="1256" spans="1:71">
      <c r="A1256" s="12" t="s">
        <v>8675</v>
      </c>
      <c r="B1256" s="12" t="str">
        <f t="shared" si="232"/>
        <v>PIEK</v>
      </c>
      <c r="C1256" s="12" t="str">
        <f t="shared" si="233"/>
        <v>PIEK</v>
      </c>
      <c r="D1256" s="12" t="s">
        <v>8676</v>
      </c>
      <c r="E1256" s="12" t="str">
        <f t="shared" si="243"/>
        <v>Andries Christoffel Sr.</v>
      </c>
      <c r="F1256" s="12" t="s">
        <v>8677</v>
      </c>
      <c r="G1256" s="12" t="str">
        <f t="shared" si="234"/>
        <v>a1b10c3</v>
      </c>
      <c r="H1256" s="12" t="str">
        <f t="shared" si="235"/>
        <v>PIEKa1b10c3</v>
      </c>
      <c r="I1256" s="12"/>
      <c r="J1256" s="12" t="s">
        <v>8678</v>
      </c>
      <c r="K1256" s="12" t="str">
        <f t="shared" si="236"/>
        <v>1783</v>
      </c>
      <c r="L1256" s="12"/>
      <c r="M1256" s="12" t="s">
        <v>8679</v>
      </c>
      <c r="N1256" s="12" t="str">
        <f t="shared" si="241"/>
        <v>1783</v>
      </c>
      <c r="O1256" s="12" t="str">
        <f t="shared" si="242"/>
        <v>1784</v>
      </c>
      <c r="P1256" s="12" t="s">
        <v>8680</v>
      </c>
      <c r="Q1256" s="12" t="str">
        <f t="shared" si="237"/>
        <v>1783</v>
      </c>
      <c r="R1256" s="12" t="s">
        <v>8681</v>
      </c>
      <c r="S1256" s="12" t="str">
        <f t="shared" si="238"/>
        <v>1858</v>
      </c>
      <c r="T1256" s="12" t="s">
        <v>48</v>
      </c>
      <c r="U1256" s="12" t="s">
        <v>195</v>
      </c>
      <c r="V1256" s="12" t="str">
        <f t="shared" si="239"/>
        <v>1804</v>
      </c>
      <c r="W1256" s="12" t="s">
        <v>8682</v>
      </c>
      <c r="X1256" s="12" t="s">
        <v>1388</v>
      </c>
      <c r="Y1256" s="12"/>
      <c r="Z1256" s="12"/>
      <c r="AA1256" s="12"/>
      <c r="AB1256" s="12"/>
      <c r="AC1256" s="12" t="s">
        <v>8683</v>
      </c>
      <c r="AD1256" s="12"/>
      <c r="AE1256" s="12" t="s">
        <v>8684</v>
      </c>
      <c r="AF1256" s="12" t="s">
        <v>3717</v>
      </c>
      <c r="AG1256" s="12" t="s">
        <v>8685</v>
      </c>
      <c r="AH1256" s="12" t="s">
        <v>7520</v>
      </c>
      <c r="AI1256" s="12" t="str">
        <f t="shared" si="240"/>
        <v>1837</v>
      </c>
      <c r="AJ1256" s="12" t="s">
        <v>7521</v>
      </c>
      <c r="AK1256" s="12" t="s">
        <v>160</v>
      </c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</row>
    <row r="1257" spans="1:71">
      <c r="A1257" s="12" t="s">
        <v>8675</v>
      </c>
      <c r="B1257" s="12" t="str">
        <f t="shared" si="232"/>
        <v>PIEK</v>
      </c>
      <c r="C1257" s="12" t="str">
        <f t="shared" si="233"/>
        <v>PIEK</v>
      </c>
      <c r="D1257" s="12" t="s">
        <v>8686</v>
      </c>
      <c r="E1257" s="12" t="str">
        <f t="shared" si="243"/>
        <v>Andries Christoffel Jr.</v>
      </c>
      <c r="F1257" s="12" t="s">
        <v>8687</v>
      </c>
      <c r="G1257" s="12" t="str">
        <f t="shared" si="234"/>
        <v>a1b10c3d1</v>
      </c>
      <c r="H1257" s="12" t="str">
        <f t="shared" si="235"/>
        <v>PIEKa1b10c3d1</v>
      </c>
      <c r="I1257" s="12"/>
      <c r="J1257" s="12"/>
      <c r="K1257" s="12" t="str">
        <f t="shared" si="236"/>
        <v/>
      </c>
      <c r="L1257" s="12"/>
      <c r="M1257" s="12"/>
      <c r="N1257" s="12" t="str">
        <f t="shared" si="241"/>
        <v/>
      </c>
      <c r="O1257" s="12" t="str">
        <f t="shared" si="242"/>
        <v/>
      </c>
      <c r="P1257" s="12" t="s">
        <v>8688</v>
      </c>
      <c r="Q1257" s="12" t="str">
        <f t="shared" si="237"/>
        <v/>
      </c>
      <c r="R1257" s="12">
        <v>1876</v>
      </c>
      <c r="S1257" s="12" t="str">
        <f t="shared" si="238"/>
        <v>1876</v>
      </c>
      <c r="T1257" s="12" t="s">
        <v>68</v>
      </c>
      <c r="U1257" s="12" t="s">
        <v>1762</v>
      </c>
      <c r="V1257" s="12" t="str">
        <f t="shared" si="239"/>
        <v>1832</v>
      </c>
      <c r="W1257" s="12" t="s">
        <v>8270</v>
      </c>
      <c r="X1257" s="12" t="s">
        <v>696</v>
      </c>
      <c r="Y1257" s="12"/>
      <c r="Z1257" s="12"/>
      <c r="AA1257" s="12"/>
      <c r="AB1257" s="12"/>
      <c r="AC1257" s="12"/>
      <c r="AD1257" s="12" t="s">
        <v>8689</v>
      </c>
      <c r="AE1257" s="12" t="s">
        <v>8690</v>
      </c>
      <c r="AF1257" s="12" t="s">
        <v>3728</v>
      </c>
      <c r="AG1257" s="12" t="s">
        <v>8685</v>
      </c>
      <c r="AH1257" s="12" t="s">
        <v>7520</v>
      </c>
      <c r="AI1257" s="12" t="str">
        <f t="shared" si="240"/>
        <v>1837</v>
      </c>
      <c r="AJ1257" s="12" t="s">
        <v>7521</v>
      </c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</row>
    <row r="1258" spans="1:71">
      <c r="A1258" s="12" t="s">
        <v>8675</v>
      </c>
      <c r="B1258" s="12" t="str">
        <f t="shared" si="232"/>
        <v>PIEK</v>
      </c>
      <c r="C1258" s="12" t="str">
        <f t="shared" si="233"/>
        <v>PIEK</v>
      </c>
      <c r="D1258" s="12" t="s">
        <v>8691</v>
      </c>
      <c r="E1258" s="12" t="str">
        <f t="shared" si="243"/>
        <v xml:space="preserve">George Diederik Frederik </v>
      </c>
      <c r="F1258" s="12" t="s">
        <v>8692</v>
      </c>
      <c r="G1258" s="12" t="str">
        <f t="shared" si="234"/>
        <v>a1b10c3d2</v>
      </c>
      <c r="H1258" s="12" t="str">
        <f t="shared" si="235"/>
        <v>PIEKa1b10c3d2</v>
      </c>
      <c r="I1258" s="12"/>
      <c r="J1258" s="12"/>
      <c r="K1258" s="12" t="str">
        <f t="shared" si="236"/>
        <v/>
      </c>
      <c r="L1258" s="12" t="s">
        <v>53</v>
      </c>
      <c r="M1258" s="12" t="s">
        <v>8693</v>
      </c>
      <c r="N1258" s="12" t="str">
        <f t="shared" si="241"/>
        <v/>
      </c>
      <c r="O1258" s="12" t="str">
        <f t="shared" si="242"/>
        <v>1808</v>
      </c>
      <c r="P1258" s="12" t="s">
        <v>8694</v>
      </c>
      <c r="Q1258" s="12" t="str">
        <f t="shared" si="237"/>
        <v>1808</v>
      </c>
      <c r="R1258" s="12" t="s">
        <v>8695</v>
      </c>
      <c r="S1258" s="12" t="str">
        <f t="shared" si="238"/>
        <v>1886</v>
      </c>
      <c r="T1258" s="12"/>
      <c r="U1258" s="12"/>
      <c r="V1258" s="12" t="str">
        <f t="shared" si="239"/>
        <v/>
      </c>
      <c r="W1258" s="12" t="s">
        <v>8696</v>
      </c>
      <c r="X1258" s="12" t="s">
        <v>726</v>
      </c>
      <c r="Y1258" s="12"/>
      <c r="Z1258" s="12"/>
      <c r="AA1258" s="12" t="s">
        <v>8697</v>
      </c>
      <c r="AB1258" s="12" t="s">
        <v>53</v>
      </c>
      <c r="AC1258" s="12" t="s">
        <v>8230</v>
      </c>
      <c r="AD1258" s="12" t="s">
        <v>8694</v>
      </c>
      <c r="AE1258" s="12" t="s">
        <v>8698</v>
      </c>
      <c r="AF1258" s="12" t="s">
        <v>3728</v>
      </c>
      <c r="AG1258" s="12" t="s">
        <v>8685</v>
      </c>
      <c r="AH1258" s="12" t="s">
        <v>8699</v>
      </c>
      <c r="AI1258" s="12" t="str">
        <f t="shared" si="240"/>
        <v>1843</v>
      </c>
      <c r="AJ1258" s="12"/>
      <c r="AK1258" s="12" t="s">
        <v>4103</v>
      </c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</row>
    <row r="1259" spans="1:71">
      <c r="A1259" s="12" t="s">
        <v>1425</v>
      </c>
      <c r="B1259" s="12" t="str">
        <f t="shared" si="232"/>
        <v>PIENAAR</v>
      </c>
      <c r="C1259" s="12" t="str">
        <f t="shared" si="233"/>
        <v>PIENAAR</v>
      </c>
      <c r="D1259" s="12" t="s">
        <v>8706</v>
      </c>
      <c r="E1259" s="12" t="str">
        <f t="shared" si="243"/>
        <v>Petrus Arnoldus</v>
      </c>
      <c r="F1259" s="12" t="s">
        <v>8707</v>
      </c>
      <c r="G1259" s="12" t="str">
        <f t="shared" si="234"/>
        <v>a1b2c3d4e5</v>
      </c>
      <c r="H1259" s="12" t="str">
        <f t="shared" si="235"/>
        <v>PIENAARa1b2c3d4e5</v>
      </c>
      <c r="I1259" s="12" t="s">
        <v>8729</v>
      </c>
      <c r="J1259" s="12"/>
      <c r="K1259" s="12" t="str">
        <f t="shared" si="236"/>
        <v/>
      </c>
      <c r="L1259" s="12" t="s">
        <v>542</v>
      </c>
      <c r="M1259" s="12" t="s">
        <v>7122</v>
      </c>
      <c r="N1259" s="12" t="str">
        <f t="shared" si="241"/>
        <v/>
      </c>
      <c r="O1259" s="12" t="str">
        <f t="shared" si="242"/>
        <v>1779</v>
      </c>
      <c r="P1259" s="12" t="s">
        <v>8743</v>
      </c>
      <c r="Q1259" s="12" t="str">
        <f t="shared" si="237"/>
        <v>1779</v>
      </c>
      <c r="R1259" s="12" t="s">
        <v>8744</v>
      </c>
      <c r="S1259" s="12" t="str">
        <f t="shared" si="238"/>
        <v>1839</v>
      </c>
      <c r="T1259" s="12" t="s">
        <v>542</v>
      </c>
      <c r="U1259" s="12" t="s">
        <v>8745</v>
      </c>
      <c r="V1259" s="12" t="str">
        <f t="shared" si="239"/>
        <v>1806</v>
      </c>
      <c r="W1259" s="12" t="s">
        <v>2574</v>
      </c>
      <c r="X1259" s="12" t="s">
        <v>1675</v>
      </c>
      <c r="Y1259" s="12" t="s">
        <v>8746</v>
      </c>
      <c r="Z1259" s="12"/>
      <c r="AA1259" s="12" t="s">
        <v>8747</v>
      </c>
      <c r="AB1259" s="12" t="s">
        <v>5738</v>
      </c>
      <c r="AC1259" s="12" t="s">
        <v>8748</v>
      </c>
      <c r="AD1259" s="12"/>
      <c r="AE1259" s="12"/>
      <c r="AF1259" s="12"/>
      <c r="AG1259" s="12" t="s">
        <v>60</v>
      </c>
      <c r="AH1259" s="12" t="s">
        <v>5445</v>
      </c>
      <c r="AI1259" s="12" t="str">
        <f t="shared" si="240"/>
        <v>1839</v>
      </c>
      <c r="AJ1259" s="12"/>
      <c r="AK1259" s="12" t="s">
        <v>8743</v>
      </c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</row>
    <row r="1260" spans="1:71">
      <c r="A1260" s="12" t="s">
        <v>1425</v>
      </c>
      <c r="B1260" s="12" t="str">
        <f t="shared" si="232"/>
        <v>PIENAAR</v>
      </c>
      <c r="C1260" s="12" t="str">
        <f t="shared" si="233"/>
        <v>PIENAAR</v>
      </c>
      <c r="D1260" s="12" t="s">
        <v>2253</v>
      </c>
      <c r="E1260" s="12" t="str">
        <f t="shared" si="243"/>
        <v>Johannes Jacobus</v>
      </c>
      <c r="F1260" s="12" t="s">
        <v>8705</v>
      </c>
      <c r="G1260" s="12" t="str">
        <f t="shared" si="234"/>
        <v>a1b2c3d7e10</v>
      </c>
      <c r="H1260" s="12" t="str">
        <f t="shared" si="235"/>
        <v>PIENAARa1b2c3d7e10</v>
      </c>
      <c r="I1260" s="12"/>
      <c r="J1260" s="12" t="s">
        <v>3485</v>
      </c>
      <c r="K1260" s="12" t="str">
        <f t="shared" si="236"/>
        <v>1814</v>
      </c>
      <c r="L1260" s="12" t="s">
        <v>74</v>
      </c>
      <c r="M1260" s="12" t="s">
        <v>200</v>
      </c>
      <c r="N1260" s="12" t="str">
        <f t="shared" si="241"/>
        <v>1814</v>
      </c>
      <c r="O1260" s="12" t="str">
        <f t="shared" si="242"/>
        <v>1815</v>
      </c>
      <c r="P1260" s="12" t="s">
        <v>8736</v>
      </c>
      <c r="Q1260" s="12" t="str">
        <f t="shared" si="237"/>
        <v>1814</v>
      </c>
      <c r="R1260" s="12" t="s">
        <v>8737</v>
      </c>
      <c r="S1260" s="12" t="str">
        <f t="shared" si="238"/>
        <v>1880</v>
      </c>
      <c r="T1260" s="12" t="s">
        <v>74</v>
      </c>
      <c r="U1260" s="12" t="s">
        <v>8738</v>
      </c>
      <c r="V1260" s="12" t="str">
        <f t="shared" si="239"/>
        <v>1833</v>
      </c>
      <c r="W1260" s="12" t="s">
        <v>8739</v>
      </c>
      <c r="X1260" s="12" t="s">
        <v>729</v>
      </c>
      <c r="Y1260" s="12"/>
      <c r="Z1260" s="12"/>
      <c r="AA1260" s="12"/>
      <c r="AB1260" s="12"/>
      <c r="AC1260" s="12"/>
      <c r="AD1260" s="12"/>
      <c r="AE1260" s="12"/>
      <c r="AF1260" s="12"/>
      <c r="AG1260" s="12" t="s">
        <v>60</v>
      </c>
      <c r="AH1260" s="12" t="s">
        <v>8653</v>
      </c>
      <c r="AI1260" s="12" t="str">
        <f t="shared" si="240"/>
        <v>1840</v>
      </c>
      <c r="AJ1260" s="12"/>
      <c r="AK1260" s="12" t="s">
        <v>8740</v>
      </c>
      <c r="AL1260" s="12" t="s">
        <v>31</v>
      </c>
      <c r="AM1260" s="12" t="s">
        <v>8741</v>
      </c>
      <c r="AN1260" s="12" t="s">
        <v>2015</v>
      </c>
      <c r="AO1260" s="12" t="s">
        <v>664</v>
      </c>
      <c r="AP1260" s="12"/>
      <c r="AQ1260" s="12" t="s">
        <v>74</v>
      </c>
      <c r="AR1260" s="12" t="s">
        <v>993</v>
      </c>
      <c r="AS1260" s="12" t="s">
        <v>74</v>
      </c>
      <c r="AT1260" s="12" t="s">
        <v>1191</v>
      </c>
      <c r="AU1260" s="12" t="s">
        <v>1092</v>
      </c>
      <c r="AV1260" s="12" t="s">
        <v>8742</v>
      </c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</row>
    <row r="1261" spans="1:71">
      <c r="A1261" s="12" t="s">
        <v>1425</v>
      </c>
      <c r="B1261" s="12" t="str">
        <f t="shared" si="232"/>
        <v>PIENAAR</v>
      </c>
      <c r="C1261" s="12" t="str">
        <f t="shared" si="233"/>
        <v>PIENAAR</v>
      </c>
      <c r="D1261" s="12" t="s">
        <v>8700</v>
      </c>
      <c r="E1261" s="12" t="str">
        <f t="shared" si="243"/>
        <v>Abel Jacobus</v>
      </c>
      <c r="F1261" s="12" t="s">
        <v>8701</v>
      </c>
      <c r="G1261" s="12" t="str">
        <f t="shared" si="234"/>
        <v>a1b2c3d7e2f1</v>
      </c>
      <c r="H1261" s="12" t="str">
        <f t="shared" si="235"/>
        <v>PIENAARa1b2c3d7e2f1</v>
      </c>
      <c r="I1261" s="12" t="s">
        <v>60</v>
      </c>
      <c r="J1261" s="12" t="s">
        <v>5991</v>
      </c>
      <c r="K1261" s="12" t="str">
        <f t="shared" si="236"/>
        <v>1814</v>
      </c>
      <c r="L1261" s="12" t="s">
        <v>74</v>
      </c>
      <c r="M1261" s="12" t="s">
        <v>200</v>
      </c>
      <c r="N1261" s="12" t="str">
        <f t="shared" si="241"/>
        <v>1814</v>
      </c>
      <c r="O1261" s="12" t="str">
        <f t="shared" si="242"/>
        <v>1815</v>
      </c>
      <c r="P1261" s="12" t="s">
        <v>8709</v>
      </c>
      <c r="Q1261" s="12" t="str">
        <f t="shared" si="237"/>
        <v>1814</v>
      </c>
      <c r="R1261" s="12" t="s">
        <v>8710</v>
      </c>
      <c r="S1261" s="12" t="str">
        <f t="shared" si="238"/>
        <v>1903</v>
      </c>
      <c r="T1261" s="12" t="s">
        <v>74</v>
      </c>
      <c r="U1261" s="12" t="s">
        <v>1781</v>
      </c>
      <c r="V1261" s="12" t="str">
        <f t="shared" si="239"/>
        <v>1835</v>
      </c>
      <c r="W1261" s="12" t="s">
        <v>8711</v>
      </c>
      <c r="X1261" s="12" t="s">
        <v>3289</v>
      </c>
      <c r="Y1261" s="12"/>
      <c r="Z1261" s="12" t="s">
        <v>8712</v>
      </c>
      <c r="AA1261" s="12" t="s">
        <v>8713</v>
      </c>
      <c r="AB1261" s="12"/>
      <c r="AC1261" s="12"/>
      <c r="AD1261" s="12" t="s">
        <v>8714</v>
      </c>
      <c r="AE1261" s="12" t="s">
        <v>8715</v>
      </c>
      <c r="AF1261" s="12"/>
      <c r="AG1261" s="12" t="s">
        <v>60</v>
      </c>
      <c r="AH1261" s="12" t="s">
        <v>8716</v>
      </c>
      <c r="AI1261" s="12" t="str">
        <f t="shared" si="240"/>
        <v>1842</v>
      </c>
      <c r="AJ1261" s="12"/>
      <c r="AK1261" s="12" t="s">
        <v>8717</v>
      </c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</row>
    <row r="1262" spans="1:71">
      <c r="A1262" s="12" t="s">
        <v>1425</v>
      </c>
      <c r="B1262" s="12" t="str">
        <f t="shared" si="232"/>
        <v>PIENAAR</v>
      </c>
      <c r="C1262" s="12" t="str">
        <f t="shared" si="233"/>
        <v>PIENAAR</v>
      </c>
      <c r="D1262" s="12" t="s">
        <v>8703</v>
      </c>
      <c r="E1262" s="12" t="str">
        <f t="shared" si="243"/>
        <v>Jacob Arnoldus</v>
      </c>
      <c r="F1262" s="12" t="s">
        <v>8704</v>
      </c>
      <c r="G1262" s="12" t="str">
        <f t="shared" si="234"/>
        <v>a1b2c3d7e5</v>
      </c>
      <c r="H1262" s="12" t="str">
        <f t="shared" si="235"/>
        <v>PIENAARa1b2c3d7e5</v>
      </c>
      <c r="I1262" s="12" t="s">
        <v>8729</v>
      </c>
      <c r="J1262" s="12" t="s">
        <v>8730</v>
      </c>
      <c r="K1262" s="12" t="str">
        <f t="shared" si="236"/>
        <v>1801</v>
      </c>
      <c r="L1262" s="12" t="s">
        <v>5738</v>
      </c>
      <c r="M1262" s="12" t="s">
        <v>8731</v>
      </c>
      <c r="N1262" s="12" t="str">
        <f t="shared" si="241"/>
        <v>1801</v>
      </c>
      <c r="O1262" s="12" t="str">
        <f t="shared" si="242"/>
        <v>1801</v>
      </c>
      <c r="P1262" s="12" t="s">
        <v>8719</v>
      </c>
      <c r="Q1262" s="12" t="str">
        <f t="shared" si="237"/>
        <v>1801</v>
      </c>
      <c r="R1262" s="12" t="s">
        <v>8732</v>
      </c>
      <c r="S1262" s="12" t="str">
        <f t="shared" si="238"/>
        <v>1852</v>
      </c>
      <c r="T1262" s="12" t="s">
        <v>74</v>
      </c>
      <c r="U1262" s="12" t="s">
        <v>8733</v>
      </c>
      <c r="V1262" s="12" t="str">
        <f t="shared" si="239"/>
        <v>1822</v>
      </c>
      <c r="W1262" s="12" t="s">
        <v>8734</v>
      </c>
      <c r="X1262" s="12" t="s">
        <v>780</v>
      </c>
      <c r="Y1262" s="12"/>
      <c r="Z1262" s="12"/>
      <c r="AA1262" s="12"/>
      <c r="AB1262" s="12"/>
      <c r="AC1262" s="12" t="s">
        <v>77</v>
      </c>
      <c r="AD1262" s="12"/>
      <c r="AE1262" s="12"/>
      <c r="AF1262" s="12" t="s">
        <v>3723</v>
      </c>
      <c r="AG1262" s="12" t="s">
        <v>60</v>
      </c>
      <c r="AH1262" s="12" t="s">
        <v>8735</v>
      </c>
      <c r="AI1262" s="12" t="str">
        <f t="shared" si="240"/>
        <v>1840</v>
      </c>
      <c r="AJ1262" s="12"/>
      <c r="AK1262" s="12" t="s">
        <v>566</v>
      </c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</row>
    <row r="1263" spans="1:71">
      <c r="A1263" s="12" t="s">
        <v>1425</v>
      </c>
      <c r="B1263" s="12" t="str">
        <f t="shared" si="232"/>
        <v>PIENAAR</v>
      </c>
      <c r="C1263" s="12" t="str">
        <f t="shared" si="233"/>
        <v>PIENAAR</v>
      </c>
      <c r="D1263" s="12" t="s">
        <v>8700</v>
      </c>
      <c r="E1263" s="12" t="str">
        <f t="shared" si="243"/>
        <v>Abel Jacobus</v>
      </c>
      <c r="F1263" s="12" t="s">
        <v>8702</v>
      </c>
      <c r="G1263" s="12" t="str">
        <f t="shared" si="234"/>
        <v>a1b2c3d7e5f1</v>
      </c>
      <c r="H1263" s="12" t="str">
        <f t="shared" si="235"/>
        <v>PIENAARa1b2c3d7e5f1</v>
      </c>
      <c r="I1263" s="12"/>
      <c r="J1263" s="12" t="s">
        <v>8718</v>
      </c>
      <c r="K1263" s="12" t="str">
        <f t="shared" si="236"/>
        <v>1823</v>
      </c>
      <c r="L1263" s="12" t="s">
        <v>74</v>
      </c>
      <c r="M1263" s="12" t="s">
        <v>1658</v>
      </c>
      <c r="N1263" s="12" t="str">
        <f t="shared" si="241"/>
        <v>1823</v>
      </c>
      <c r="O1263" s="12" t="str">
        <f t="shared" si="242"/>
        <v>1823</v>
      </c>
      <c r="P1263" s="12" t="s">
        <v>8719</v>
      </c>
      <c r="Q1263" s="12" t="str">
        <f t="shared" si="237"/>
        <v>1823</v>
      </c>
      <c r="R1263" s="12" t="s">
        <v>8720</v>
      </c>
      <c r="S1263" s="12" t="str">
        <f t="shared" si="238"/>
        <v>1876</v>
      </c>
      <c r="T1263" s="12" t="s">
        <v>60</v>
      </c>
      <c r="U1263" s="12" t="s">
        <v>8721</v>
      </c>
      <c r="V1263" s="12" t="str">
        <f t="shared" si="239"/>
        <v>1848</v>
      </c>
      <c r="W1263" s="12" t="s">
        <v>8722</v>
      </c>
      <c r="X1263" s="12" t="s">
        <v>759</v>
      </c>
      <c r="Y1263" s="12"/>
      <c r="Z1263" s="12"/>
      <c r="AA1263" s="12" t="s">
        <v>8723</v>
      </c>
      <c r="AB1263" s="12"/>
      <c r="AC1263" s="12"/>
      <c r="AD1263" s="12" t="s">
        <v>8719</v>
      </c>
      <c r="AE1263" s="12" t="s">
        <v>8724</v>
      </c>
      <c r="AF1263" s="12" t="s">
        <v>3723</v>
      </c>
      <c r="AG1263" s="12" t="s">
        <v>60</v>
      </c>
      <c r="AH1263" s="12" t="s">
        <v>8725</v>
      </c>
      <c r="AI1263" s="12" t="str">
        <f t="shared" si="240"/>
        <v xml:space="preserve"> (?)</v>
      </c>
      <c r="AJ1263" s="12" t="s">
        <v>8726</v>
      </c>
      <c r="AK1263" s="12" t="s">
        <v>566</v>
      </c>
      <c r="AL1263" s="12" t="s">
        <v>564</v>
      </c>
      <c r="AM1263" s="12" t="s">
        <v>8727</v>
      </c>
      <c r="AN1263" s="12" t="s">
        <v>5753</v>
      </c>
      <c r="AO1263" s="12" t="s">
        <v>8728</v>
      </c>
      <c r="AP1263" s="12"/>
      <c r="AQ1263" s="12"/>
      <c r="AR1263" s="12" t="s">
        <v>8111</v>
      </c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</row>
    <row r="1264" spans="1:71">
      <c r="A1264" s="12" t="s">
        <v>1425</v>
      </c>
      <c r="B1264" s="12" t="str">
        <f t="shared" si="232"/>
        <v>PIENAAR</v>
      </c>
      <c r="C1264" s="12" t="str">
        <f t="shared" si="233"/>
        <v>PIENAAR</v>
      </c>
      <c r="D1264" s="12" t="s">
        <v>1426</v>
      </c>
      <c r="E1264" s="12" t="str">
        <f t="shared" si="243"/>
        <v>Schalk Jacobus</v>
      </c>
      <c r="F1264" s="12" t="s">
        <v>8708</v>
      </c>
      <c r="G1264" s="12" t="str">
        <f t="shared" si="234"/>
        <v>a1b2c5d6e1f5</v>
      </c>
      <c r="H1264" s="12" t="str">
        <f t="shared" si="235"/>
        <v>PIENAARa1b2c5d6e1f5</v>
      </c>
      <c r="I1264" s="12"/>
      <c r="J1264" s="12" t="s">
        <v>8749</v>
      </c>
      <c r="K1264" s="12" t="str">
        <f t="shared" si="236"/>
        <v>1809</v>
      </c>
      <c r="L1264" s="12" t="s">
        <v>74</v>
      </c>
      <c r="M1264" s="12" t="s">
        <v>2182</v>
      </c>
      <c r="N1264" s="12" t="str">
        <f t="shared" si="241"/>
        <v>1809</v>
      </c>
      <c r="O1264" s="12" t="str">
        <f t="shared" si="242"/>
        <v>1809</v>
      </c>
      <c r="P1264" s="12" t="s">
        <v>8750</v>
      </c>
      <c r="Q1264" s="12" t="str">
        <f t="shared" si="237"/>
        <v>1809</v>
      </c>
      <c r="R1264" s="12" t="s">
        <v>8751</v>
      </c>
      <c r="S1264" s="12" t="str">
        <f t="shared" si="238"/>
        <v>1863</v>
      </c>
      <c r="T1264" s="12" t="s">
        <v>74</v>
      </c>
      <c r="U1264" s="12" t="s">
        <v>5051</v>
      </c>
      <c r="V1264" s="12" t="str">
        <f t="shared" si="239"/>
        <v>1832</v>
      </c>
      <c r="W1264" s="12" t="s">
        <v>8752</v>
      </c>
      <c r="X1264" s="12" t="s">
        <v>759</v>
      </c>
      <c r="Y1264" s="12"/>
      <c r="Z1264" s="12"/>
      <c r="AA1264" s="12"/>
      <c r="AB1264" s="12"/>
      <c r="AC1264" s="12"/>
      <c r="AD1264" s="12"/>
      <c r="AE1264" s="12"/>
      <c r="AF1264" s="12"/>
      <c r="AG1264" s="12" t="s">
        <v>74</v>
      </c>
      <c r="AH1264" s="12" t="s">
        <v>5429</v>
      </c>
      <c r="AI1264" s="12" t="str">
        <f t="shared" si="240"/>
        <v>1837</v>
      </c>
      <c r="AJ1264" s="12"/>
      <c r="AK1264" s="12" t="s">
        <v>2877</v>
      </c>
      <c r="AL1264" s="12" t="s">
        <v>31</v>
      </c>
      <c r="AM1264" s="12" t="s">
        <v>8753</v>
      </c>
      <c r="AN1264" s="12" t="s">
        <v>8754</v>
      </c>
      <c r="AO1264" s="12" t="s">
        <v>8755</v>
      </c>
      <c r="AP1264" s="12"/>
      <c r="AQ1264" s="12"/>
      <c r="AR1264" s="12" t="s">
        <v>8756</v>
      </c>
      <c r="AS1264" s="12"/>
      <c r="AT1264" s="12"/>
      <c r="AU1264" s="12"/>
      <c r="AV1264" s="12"/>
      <c r="AW1264" s="12" t="s">
        <v>2877</v>
      </c>
      <c r="AX1264" s="12" t="s">
        <v>8757</v>
      </c>
      <c r="AY1264" s="12" t="s">
        <v>8758</v>
      </c>
      <c r="AZ1264" s="12" t="s">
        <v>700</v>
      </c>
      <c r="BA1264" s="12"/>
      <c r="BB1264" s="12" t="s">
        <v>8759</v>
      </c>
      <c r="BC1264" s="12"/>
      <c r="BD1264" s="12"/>
      <c r="BE1264" s="12" t="s">
        <v>8760</v>
      </c>
      <c r="BF1264" s="12" t="s">
        <v>8761</v>
      </c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  <c r="BQ1264" s="12"/>
      <c r="BR1264" s="12"/>
      <c r="BS1264" s="12"/>
    </row>
    <row r="1265" spans="1:71">
      <c r="A1265" s="12" t="s">
        <v>8762</v>
      </c>
      <c r="B1265" s="12" t="str">
        <f t="shared" si="232"/>
        <v>PIETERS</v>
      </c>
      <c r="C1265" s="12" t="str">
        <f t="shared" si="233"/>
        <v>PIETERS</v>
      </c>
      <c r="D1265" s="12" t="s">
        <v>8777</v>
      </c>
      <c r="E1265" s="12" t="str">
        <f t="shared" si="243"/>
        <v>Hermanus Bern(H)Ardus Sr.</v>
      </c>
      <c r="F1265" s="12" t="s">
        <v>8778</v>
      </c>
      <c r="G1265" s="12" t="str">
        <f t="shared" si="234"/>
        <v>a1b2c2d2</v>
      </c>
      <c r="H1265" s="12" t="str">
        <f t="shared" si="235"/>
        <v>PIETERSa1b2c2d2</v>
      </c>
      <c r="I1265" s="12"/>
      <c r="J1265" s="12" t="s">
        <v>8839</v>
      </c>
      <c r="K1265" s="12" t="str">
        <f t="shared" si="236"/>
        <v>1776</v>
      </c>
      <c r="L1265" s="12"/>
      <c r="M1265" s="12" t="s">
        <v>8840</v>
      </c>
      <c r="N1265" s="12" t="str">
        <f t="shared" si="241"/>
        <v>1776</v>
      </c>
      <c r="O1265" s="12" t="str">
        <f t="shared" si="242"/>
        <v>1776</v>
      </c>
      <c r="P1265" s="12" t="s">
        <v>8841</v>
      </c>
      <c r="Q1265" s="12" t="str">
        <f t="shared" si="237"/>
        <v>1776</v>
      </c>
      <c r="R1265" s="12" t="s">
        <v>8842</v>
      </c>
      <c r="S1265" s="12" t="str">
        <f t="shared" si="238"/>
        <v>1851</v>
      </c>
      <c r="T1265" s="12" t="s">
        <v>32</v>
      </c>
      <c r="U1265" s="12" t="s">
        <v>8843</v>
      </c>
      <c r="V1265" s="12" t="str">
        <f t="shared" si="239"/>
        <v>1799</v>
      </c>
      <c r="W1265" s="12" t="s">
        <v>1663</v>
      </c>
      <c r="X1265" s="12" t="s">
        <v>5141</v>
      </c>
      <c r="Y1265" s="12" t="s">
        <v>8844</v>
      </c>
      <c r="Z1265" s="12"/>
      <c r="AA1265" s="12"/>
      <c r="AB1265" s="12"/>
      <c r="AC1265" s="12" t="s">
        <v>1113</v>
      </c>
      <c r="AD1265" s="12" t="s">
        <v>8845</v>
      </c>
      <c r="AE1265" s="12" t="s">
        <v>8846</v>
      </c>
      <c r="AF1265" s="12" t="s">
        <v>8795</v>
      </c>
      <c r="AG1265" s="12" t="s">
        <v>32</v>
      </c>
      <c r="AH1265" s="12" t="s">
        <v>8807</v>
      </c>
      <c r="AI1265" s="12" t="str">
        <f t="shared" si="240"/>
        <v>1837</v>
      </c>
      <c r="AJ1265" s="12" t="s">
        <v>8847</v>
      </c>
      <c r="AK1265" s="12" t="s">
        <v>90</v>
      </c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</row>
    <row r="1266" spans="1:71">
      <c r="A1266" s="12" t="s">
        <v>8762</v>
      </c>
      <c r="B1266" s="12" t="str">
        <f t="shared" si="232"/>
        <v>PIETERS</v>
      </c>
      <c r="C1266" s="12" t="str">
        <f t="shared" si="233"/>
        <v>PIETERS</v>
      </c>
      <c r="D1266" s="12" t="s">
        <v>8781</v>
      </c>
      <c r="E1266" s="12" t="str">
        <f t="shared" si="243"/>
        <v>Jacobus Hendricus</v>
      </c>
      <c r="F1266" s="12" t="s">
        <v>8782</v>
      </c>
      <c r="G1266" s="12" t="str">
        <f t="shared" si="234"/>
        <v>a1b2c2d2e10</v>
      </c>
      <c r="H1266" s="12" t="str">
        <f t="shared" si="235"/>
        <v>PIETERSa1b2c2d2e10</v>
      </c>
      <c r="I1266" s="12" t="s">
        <v>32</v>
      </c>
      <c r="J1266" s="12" t="s">
        <v>4024</v>
      </c>
      <c r="K1266" s="12" t="str">
        <f t="shared" si="236"/>
        <v>1820</v>
      </c>
      <c r="L1266" s="12" t="s">
        <v>158</v>
      </c>
      <c r="M1266" s="12" t="s">
        <v>8856</v>
      </c>
      <c r="N1266" s="12" t="str">
        <f t="shared" si="241"/>
        <v>1820</v>
      </c>
      <c r="O1266" s="12" t="str">
        <f t="shared" si="242"/>
        <v>1820</v>
      </c>
      <c r="P1266" s="12" t="s">
        <v>8857</v>
      </c>
      <c r="Q1266" s="12" t="str">
        <f t="shared" si="237"/>
        <v>1820</v>
      </c>
      <c r="R1266" s="12" t="s">
        <v>8858</v>
      </c>
      <c r="S1266" s="12" t="str">
        <f t="shared" si="238"/>
        <v>1887</v>
      </c>
      <c r="T1266" s="12" t="s">
        <v>190</v>
      </c>
      <c r="U1266" s="12" t="s">
        <v>8859</v>
      </c>
      <c r="V1266" s="12" t="str">
        <f t="shared" si="239"/>
        <v>1848</v>
      </c>
      <c r="W1266" s="12" t="s">
        <v>8860</v>
      </c>
      <c r="X1266" s="12" t="s">
        <v>704</v>
      </c>
      <c r="Y1266" s="12"/>
      <c r="Z1266" s="12"/>
      <c r="AA1266" s="12"/>
      <c r="AB1266" s="12"/>
      <c r="AC1266" s="12"/>
      <c r="AD1266" s="12"/>
      <c r="AE1266" s="12"/>
      <c r="AF1266" s="12" t="s">
        <v>8795</v>
      </c>
      <c r="AG1266" s="12" t="s">
        <v>32</v>
      </c>
      <c r="AH1266" s="12" t="s">
        <v>8807</v>
      </c>
      <c r="AI1266" s="12" t="str">
        <f t="shared" si="240"/>
        <v>1837</v>
      </c>
      <c r="AJ1266" s="12" t="s">
        <v>8861</v>
      </c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</row>
    <row r="1267" spans="1:71">
      <c r="A1267" s="12" t="s">
        <v>8762</v>
      </c>
      <c r="B1267" s="12" t="str">
        <f t="shared" si="232"/>
        <v>PIETERS</v>
      </c>
      <c r="C1267" s="12" t="str">
        <f t="shared" si="233"/>
        <v>PIETERS</v>
      </c>
      <c r="D1267" s="12" t="s">
        <v>6924</v>
      </c>
      <c r="E1267" s="12" t="str">
        <f t="shared" si="243"/>
        <v>Wessel Hendrik</v>
      </c>
      <c r="F1267" s="12" t="s">
        <v>8791</v>
      </c>
      <c r="G1267" s="12" t="str">
        <f t="shared" si="234"/>
        <v>a1b2c2d2e11</v>
      </c>
      <c r="H1267" s="12" t="str">
        <f t="shared" si="235"/>
        <v>PIETERSa1b2c2d2e11</v>
      </c>
      <c r="I1267" s="12" t="s">
        <v>32</v>
      </c>
      <c r="J1267" s="12" t="s">
        <v>8886</v>
      </c>
      <c r="K1267" s="12" t="str">
        <f t="shared" si="236"/>
        <v>1822</v>
      </c>
      <c r="L1267" s="12"/>
      <c r="M1267" s="12" t="s">
        <v>1885</v>
      </c>
      <c r="N1267" s="12" t="str">
        <f t="shared" si="241"/>
        <v>1822</v>
      </c>
      <c r="O1267" s="12" t="str">
        <f t="shared" si="242"/>
        <v>1822</v>
      </c>
      <c r="P1267" s="12" t="s">
        <v>8887</v>
      </c>
      <c r="Q1267" s="12" t="str">
        <f t="shared" si="237"/>
        <v>1822</v>
      </c>
      <c r="R1267" s="12" t="s">
        <v>8888</v>
      </c>
      <c r="S1267" s="12" t="str">
        <f t="shared" si="238"/>
        <v>1901</v>
      </c>
      <c r="T1267" s="12" t="s">
        <v>5146</v>
      </c>
      <c r="U1267" s="12" t="s">
        <v>8889</v>
      </c>
      <c r="V1267" s="12" t="str">
        <f t="shared" si="239"/>
        <v>1842</v>
      </c>
      <c r="W1267" s="12" t="s">
        <v>3453</v>
      </c>
      <c r="X1267" s="12" t="s">
        <v>8890</v>
      </c>
      <c r="Y1267" s="12" t="s">
        <v>8891</v>
      </c>
      <c r="Z1267" s="12"/>
      <c r="AA1267" s="12" t="s">
        <v>8892</v>
      </c>
      <c r="AB1267" s="12"/>
      <c r="AC1267" s="12"/>
      <c r="AD1267" s="12" t="s">
        <v>8893</v>
      </c>
      <c r="AE1267" s="12" t="s">
        <v>8894</v>
      </c>
      <c r="AF1267" s="12" t="s">
        <v>8895</v>
      </c>
      <c r="AG1267" s="12" t="s">
        <v>32</v>
      </c>
      <c r="AH1267" s="12" t="s">
        <v>1728</v>
      </c>
      <c r="AI1267" s="12" t="str">
        <f t="shared" si="240"/>
        <v>1837</v>
      </c>
      <c r="AJ1267" s="12" t="s">
        <v>7136</v>
      </c>
      <c r="AK1267" s="12" t="s">
        <v>7630</v>
      </c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</row>
    <row r="1268" spans="1:71">
      <c r="A1268" s="12" t="s">
        <v>8762</v>
      </c>
      <c r="B1268" s="12" t="str">
        <f t="shared" ref="B1268:B1331" si="244">SUBSTITUTE(A1268," ","")</f>
        <v>PIETERS</v>
      </c>
      <c r="C1268" s="12" t="str">
        <f t="shared" ref="C1268:C1331" si="245">TRIM(A1268)</f>
        <v>PIETERS</v>
      </c>
      <c r="D1268" s="12" t="s">
        <v>8763</v>
      </c>
      <c r="E1268" s="12" t="str">
        <f t="shared" si="243"/>
        <v>Bernhardus Hermanus</v>
      </c>
      <c r="F1268" s="12" t="s">
        <v>8764</v>
      </c>
      <c r="G1268" s="12" t="str">
        <f t="shared" ref="G1268:G1331" si="246">IF(LEFT(F1268,1)="b","a1"&amp;F1268,F1268)</f>
        <v>a1b2c2d2e2</v>
      </c>
      <c r="H1268" s="12" t="str">
        <f t="shared" ref="H1268:H1331" si="247">C1268&amp;G1268</f>
        <v>PIETERSa1b2c2d2e2</v>
      </c>
      <c r="I1268" s="12"/>
      <c r="J1268" s="12" t="s">
        <v>8794</v>
      </c>
      <c r="K1268" s="12" t="str">
        <f t="shared" ref="K1268:K1331" si="248">RIGHT(J1268,4)</f>
        <v>1802</v>
      </c>
      <c r="L1268" s="12"/>
      <c r="M1268" s="12" t="s">
        <v>234</v>
      </c>
      <c r="N1268" s="12" t="str">
        <f t="shared" si="241"/>
        <v>1802</v>
      </c>
      <c r="O1268" s="12" t="str">
        <f t="shared" si="242"/>
        <v>1802</v>
      </c>
      <c r="P1268" s="12" t="s">
        <v>8796</v>
      </c>
      <c r="Q1268" s="12" t="str">
        <f t="shared" ref="Q1268:Q1331" si="249">IF(N1268="",O1268,N1268)</f>
        <v>1802</v>
      </c>
      <c r="R1268" s="12" t="s">
        <v>8797</v>
      </c>
      <c r="S1268" s="12" t="str">
        <f t="shared" ref="S1268:S1331" si="250">RIGHT(R1268,4)</f>
        <v>1874</v>
      </c>
      <c r="T1268" s="12"/>
      <c r="U1268" s="12"/>
      <c r="V1268" s="12" t="str">
        <f t="shared" ref="V1268:V1331" si="251">RIGHT(U1268,4)</f>
        <v/>
      </c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 t="s">
        <v>8795</v>
      </c>
      <c r="AG1268" s="12" t="s">
        <v>32</v>
      </c>
      <c r="AH1268" s="12" t="s">
        <v>8798</v>
      </c>
      <c r="AI1268" s="12" t="str">
        <f t="shared" ref="AI1268:AI1331" si="252">RIGHT(AH1268,4)</f>
        <v>1837</v>
      </c>
      <c r="AJ1268" s="12" t="s">
        <v>8799</v>
      </c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</row>
    <row r="1269" spans="1:71">
      <c r="A1269" s="12" t="s">
        <v>8762</v>
      </c>
      <c r="B1269" s="12" t="str">
        <f t="shared" si="244"/>
        <v>PIETERS</v>
      </c>
      <c r="C1269" s="12" t="str">
        <f t="shared" si="245"/>
        <v>PIETERS</v>
      </c>
      <c r="D1269" s="12" t="s">
        <v>8767</v>
      </c>
      <c r="E1269" s="12" t="str">
        <f t="shared" si="243"/>
        <v>Coenraad Lucas</v>
      </c>
      <c r="F1269" s="12" t="s">
        <v>8768</v>
      </c>
      <c r="G1269" s="12" t="str">
        <f t="shared" si="246"/>
        <v>a1b2c2d2e3</v>
      </c>
      <c r="H1269" s="12" t="str">
        <f t="shared" si="247"/>
        <v>PIETERSa1b2c2d2e3</v>
      </c>
      <c r="I1269" s="12"/>
      <c r="J1269" s="12"/>
      <c r="K1269" s="12" t="str">
        <f t="shared" si="248"/>
        <v/>
      </c>
      <c r="L1269" s="12"/>
      <c r="M1269" s="12" t="s">
        <v>8400</v>
      </c>
      <c r="N1269" s="12" t="str">
        <f t="shared" si="241"/>
        <v/>
      </c>
      <c r="O1269" s="12" t="str">
        <f t="shared" si="242"/>
        <v>1804</v>
      </c>
      <c r="P1269" s="12"/>
      <c r="Q1269" s="12" t="str">
        <f t="shared" si="249"/>
        <v>1804</v>
      </c>
      <c r="R1269" s="12" t="s">
        <v>8814</v>
      </c>
      <c r="S1269" s="12" t="str">
        <f t="shared" si="250"/>
        <v>1890</v>
      </c>
      <c r="T1269" s="12" t="s">
        <v>158</v>
      </c>
      <c r="U1269" s="12" t="s">
        <v>8815</v>
      </c>
      <c r="V1269" s="12" t="str">
        <f t="shared" si="251"/>
        <v>1828</v>
      </c>
      <c r="W1269" s="12" t="s">
        <v>8816</v>
      </c>
      <c r="X1269" s="12" t="s">
        <v>775</v>
      </c>
      <c r="Y1269" s="12" t="s">
        <v>7192</v>
      </c>
      <c r="Z1269" s="12"/>
      <c r="AA1269" s="12"/>
      <c r="AB1269" s="12"/>
      <c r="AC1269" s="12" t="s">
        <v>8817</v>
      </c>
      <c r="AD1269" s="12"/>
      <c r="AE1269" s="12"/>
      <c r="AF1269" s="12" t="s">
        <v>8818</v>
      </c>
      <c r="AG1269" s="12" t="s">
        <v>32</v>
      </c>
      <c r="AH1269" s="12" t="s">
        <v>8149</v>
      </c>
      <c r="AI1269" s="12" t="str">
        <f t="shared" si="252"/>
        <v>1837</v>
      </c>
      <c r="AJ1269" s="12" t="s">
        <v>8819</v>
      </c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</row>
    <row r="1270" spans="1:71">
      <c r="A1270" s="12" t="s">
        <v>8762</v>
      </c>
      <c r="B1270" s="12" t="str">
        <f t="shared" si="244"/>
        <v>PIETERS</v>
      </c>
      <c r="C1270" s="12" t="str">
        <f t="shared" si="245"/>
        <v>PIETERS</v>
      </c>
      <c r="D1270" s="12" t="s">
        <v>8779</v>
      </c>
      <c r="E1270" s="12" t="str">
        <f t="shared" si="243"/>
        <v xml:space="preserve">Hermanus Bern(H)Ardus </v>
      </c>
      <c r="F1270" s="12" t="s">
        <v>8780</v>
      </c>
      <c r="G1270" s="12" t="str">
        <f t="shared" si="246"/>
        <v>a1b2c2d2e5</v>
      </c>
      <c r="H1270" s="12" t="str">
        <f t="shared" si="247"/>
        <v>PIETERSa1b2c2d2e5</v>
      </c>
      <c r="I1270" s="12"/>
      <c r="J1270" s="12"/>
      <c r="K1270" s="12" t="str">
        <f t="shared" si="248"/>
        <v/>
      </c>
      <c r="L1270" s="12"/>
      <c r="M1270" s="12" t="s">
        <v>8848</v>
      </c>
      <c r="N1270" s="12" t="str">
        <f t="shared" si="241"/>
        <v/>
      </c>
      <c r="O1270" s="12" t="str">
        <f t="shared" si="242"/>
        <v>1809</v>
      </c>
      <c r="P1270" s="12" t="s">
        <v>8849</v>
      </c>
      <c r="Q1270" s="12" t="str">
        <f t="shared" si="249"/>
        <v>1809</v>
      </c>
      <c r="R1270" s="12" t="s">
        <v>8850</v>
      </c>
      <c r="S1270" s="12" t="str">
        <f t="shared" si="250"/>
        <v>1896</v>
      </c>
      <c r="T1270" s="12" t="s">
        <v>60</v>
      </c>
      <c r="U1270" s="12" t="s">
        <v>7713</v>
      </c>
      <c r="V1270" s="12" t="str">
        <f t="shared" si="251"/>
        <v>1838</v>
      </c>
      <c r="W1270" s="12" t="s">
        <v>5173</v>
      </c>
      <c r="X1270" s="12" t="s">
        <v>633</v>
      </c>
      <c r="Y1270" s="12" t="s">
        <v>8851</v>
      </c>
      <c r="Z1270" s="12"/>
      <c r="AA1270" s="12" t="s">
        <v>8852</v>
      </c>
      <c r="AB1270" s="12"/>
      <c r="AC1270" s="12" t="s">
        <v>8853</v>
      </c>
      <c r="AD1270" s="12" t="s">
        <v>406</v>
      </c>
      <c r="AE1270" s="12" t="s">
        <v>8854</v>
      </c>
      <c r="AF1270" s="12" t="s">
        <v>8795</v>
      </c>
      <c r="AG1270" s="12" t="s">
        <v>32</v>
      </c>
      <c r="AH1270" s="12" t="s">
        <v>8855</v>
      </c>
      <c r="AI1270" s="12" t="str">
        <f t="shared" si="252"/>
        <v>1837</v>
      </c>
      <c r="AJ1270" s="12" t="s">
        <v>7136</v>
      </c>
      <c r="AK1270" s="12" t="s">
        <v>90</v>
      </c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</row>
    <row r="1271" spans="1:71">
      <c r="A1271" s="12" t="s">
        <v>8762</v>
      </c>
      <c r="B1271" s="12" t="str">
        <f t="shared" si="244"/>
        <v>PIETERS</v>
      </c>
      <c r="C1271" s="12" t="str">
        <f t="shared" si="245"/>
        <v>PIETERS</v>
      </c>
      <c r="D1271" s="12" t="s">
        <v>2253</v>
      </c>
      <c r="E1271" s="12" t="str">
        <f t="shared" si="243"/>
        <v>Johannes Jacobus</v>
      </c>
      <c r="F1271" s="12" t="s">
        <v>8784</v>
      </c>
      <c r="G1271" s="12" t="str">
        <f t="shared" si="246"/>
        <v>a1b2c2d2e6</v>
      </c>
      <c r="H1271" s="12" t="str">
        <f t="shared" si="247"/>
        <v>PIETERSa1b2c2d2e6</v>
      </c>
      <c r="I1271" s="12"/>
      <c r="J1271" s="12"/>
      <c r="K1271" s="12" t="str">
        <f t="shared" si="248"/>
        <v/>
      </c>
      <c r="L1271" s="12"/>
      <c r="M1271" s="12" t="s">
        <v>8869</v>
      </c>
      <c r="N1271" s="12" t="str">
        <f t="shared" si="241"/>
        <v/>
      </c>
      <c r="O1271" s="12" t="str">
        <f t="shared" si="242"/>
        <v>1811</v>
      </c>
      <c r="P1271" s="12" t="s">
        <v>8870</v>
      </c>
      <c r="Q1271" s="12" t="str">
        <f t="shared" si="249"/>
        <v>1811</v>
      </c>
      <c r="R1271" s="12" t="s">
        <v>8871</v>
      </c>
      <c r="S1271" s="12" t="str">
        <f t="shared" si="250"/>
        <v>1881</v>
      </c>
      <c r="T1271" s="12" t="s">
        <v>190</v>
      </c>
      <c r="U1271" s="12" t="s">
        <v>8872</v>
      </c>
      <c r="V1271" s="12" t="str">
        <f t="shared" si="251"/>
        <v>1853</v>
      </c>
      <c r="W1271" s="12" t="s">
        <v>8873</v>
      </c>
      <c r="X1271" s="12" t="s">
        <v>822</v>
      </c>
      <c r="Y1271" s="12"/>
      <c r="Z1271" s="12"/>
      <c r="AA1271" s="12" t="s">
        <v>8874</v>
      </c>
      <c r="AB1271" s="12" t="s">
        <v>28</v>
      </c>
      <c r="AC1271" s="12" t="s">
        <v>8875</v>
      </c>
      <c r="AD1271" s="12" t="s">
        <v>406</v>
      </c>
      <c r="AE1271" s="12" t="s">
        <v>8876</v>
      </c>
      <c r="AF1271" s="12" t="s">
        <v>8795</v>
      </c>
      <c r="AG1271" s="12" t="s">
        <v>32</v>
      </c>
      <c r="AH1271" s="12" t="s">
        <v>8855</v>
      </c>
      <c r="AI1271" s="12" t="str">
        <f t="shared" si="252"/>
        <v>1837</v>
      </c>
      <c r="AJ1271" s="12" t="s">
        <v>7136</v>
      </c>
      <c r="AK1271" s="12" t="s">
        <v>7750</v>
      </c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</row>
    <row r="1272" spans="1:71">
      <c r="A1272" s="12" t="s">
        <v>8762</v>
      </c>
      <c r="B1272" s="12" t="str">
        <f t="shared" si="244"/>
        <v>PIETERS</v>
      </c>
      <c r="C1272" s="12" t="str">
        <f t="shared" si="245"/>
        <v>PIETERS</v>
      </c>
      <c r="D1272" s="12" t="s">
        <v>8765</v>
      </c>
      <c r="E1272" s="12" t="str">
        <f t="shared" si="243"/>
        <v>Christoffel Petrus</v>
      </c>
      <c r="F1272" s="12" t="s">
        <v>8766</v>
      </c>
      <c r="G1272" s="12" t="str">
        <f t="shared" si="246"/>
        <v>a1b2c2d2e8</v>
      </c>
      <c r="H1272" s="12" t="str">
        <f t="shared" si="247"/>
        <v>PIETERSa1b2c2d2e8</v>
      </c>
      <c r="I1272" s="12"/>
      <c r="J1272" s="12" t="s">
        <v>8800</v>
      </c>
      <c r="K1272" s="12" t="str">
        <f t="shared" si="248"/>
        <v>1815</v>
      </c>
      <c r="L1272" s="12"/>
      <c r="M1272" s="12" t="s">
        <v>8801</v>
      </c>
      <c r="N1272" s="12" t="str">
        <f t="shared" si="241"/>
        <v>1815</v>
      </c>
      <c r="O1272" s="12" t="str">
        <f t="shared" si="242"/>
        <v>1816</v>
      </c>
      <c r="P1272" s="12" t="s">
        <v>8802</v>
      </c>
      <c r="Q1272" s="12" t="str">
        <f t="shared" si="249"/>
        <v>1815</v>
      </c>
      <c r="R1272" s="12" t="s">
        <v>8803</v>
      </c>
      <c r="S1272" s="12" t="str">
        <f t="shared" si="250"/>
        <v>1905</v>
      </c>
      <c r="T1272" s="12"/>
      <c r="U1272" s="12" t="s">
        <v>8804</v>
      </c>
      <c r="V1272" s="12" t="str">
        <f t="shared" si="251"/>
        <v>1841</v>
      </c>
      <c r="W1272" s="12" t="s">
        <v>5127</v>
      </c>
      <c r="X1272" s="12" t="s">
        <v>2048</v>
      </c>
      <c r="Y1272" s="12" t="s">
        <v>2088</v>
      </c>
      <c r="Z1272" s="12"/>
      <c r="AA1272" s="12" t="s">
        <v>8805</v>
      </c>
      <c r="AB1272" s="12"/>
      <c r="AC1272" s="12"/>
      <c r="AD1272" s="12" t="s">
        <v>5146</v>
      </c>
      <c r="AE1272" s="12" t="s">
        <v>8806</v>
      </c>
      <c r="AF1272" s="12" t="s">
        <v>8795</v>
      </c>
      <c r="AG1272" s="12" t="s">
        <v>32</v>
      </c>
      <c r="AH1272" s="12" t="s">
        <v>8807</v>
      </c>
      <c r="AI1272" s="12" t="str">
        <f t="shared" si="252"/>
        <v>1837</v>
      </c>
      <c r="AJ1272" s="12"/>
      <c r="AK1272" s="12" t="s">
        <v>7383</v>
      </c>
      <c r="AL1272" s="12" t="s">
        <v>5146</v>
      </c>
      <c r="AM1272" s="12" t="s">
        <v>8808</v>
      </c>
      <c r="AN1272" s="12" t="s">
        <v>8809</v>
      </c>
      <c r="AO1272" s="12" t="s">
        <v>627</v>
      </c>
      <c r="AP1272" s="12"/>
      <c r="AQ1272" s="12"/>
      <c r="AR1272" s="12" t="s">
        <v>8810</v>
      </c>
      <c r="AS1272" s="12" t="s">
        <v>74</v>
      </c>
      <c r="AT1272" s="12" t="s">
        <v>8811</v>
      </c>
      <c r="AU1272" s="12" t="s">
        <v>8812</v>
      </c>
      <c r="AV1272" s="12" t="s">
        <v>8813</v>
      </c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</row>
    <row r="1273" spans="1:71">
      <c r="A1273" s="12" t="s">
        <v>8762</v>
      </c>
      <c r="B1273" s="12" t="str">
        <f t="shared" si="244"/>
        <v>PIETERS</v>
      </c>
      <c r="C1273" s="12" t="str">
        <f t="shared" si="245"/>
        <v>PIETERS</v>
      </c>
      <c r="D1273" s="12" t="s">
        <v>8787</v>
      </c>
      <c r="E1273" s="12" t="str">
        <f t="shared" si="243"/>
        <v>Petrus Wessel</v>
      </c>
      <c r="F1273" s="12" t="s">
        <v>8788</v>
      </c>
      <c r="G1273" s="12" t="str">
        <f t="shared" si="246"/>
        <v>a1b2c2d2e9</v>
      </c>
      <c r="H1273" s="12" t="str">
        <f t="shared" si="247"/>
        <v>PIETERSa1b2c2d2e9</v>
      </c>
      <c r="I1273" s="12" t="s">
        <v>32</v>
      </c>
      <c r="J1273" s="12" t="s">
        <v>8880</v>
      </c>
      <c r="K1273" s="12" t="str">
        <f t="shared" si="248"/>
        <v>1817</v>
      </c>
      <c r="L1273" s="12"/>
      <c r="M1273" s="12" t="s">
        <v>2956</v>
      </c>
      <c r="N1273" s="12" t="str">
        <f t="shared" si="241"/>
        <v>1817</v>
      </c>
      <c r="O1273" s="12" t="str">
        <f t="shared" si="242"/>
        <v>1818</v>
      </c>
      <c r="P1273" s="12"/>
      <c r="Q1273" s="12" t="str">
        <f t="shared" si="249"/>
        <v>1817</v>
      </c>
      <c r="R1273" s="12"/>
      <c r="S1273" s="12" t="str">
        <f t="shared" si="250"/>
        <v/>
      </c>
      <c r="T1273" s="12" t="s">
        <v>5146</v>
      </c>
      <c r="U1273" s="12" t="s">
        <v>8881</v>
      </c>
      <c r="V1273" s="12" t="str">
        <f t="shared" si="251"/>
        <v>1840</v>
      </c>
      <c r="W1273" s="12" t="s">
        <v>8882</v>
      </c>
      <c r="X1273" s="12" t="s">
        <v>2048</v>
      </c>
      <c r="Y1273" s="12" t="s">
        <v>8883</v>
      </c>
      <c r="Z1273" s="12"/>
      <c r="AA1273" s="12"/>
      <c r="AB1273" s="12"/>
      <c r="AC1273" s="12" t="s">
        <v>3426</v>
      </c>
      <c r="AD1273" s="12"/>
      <c r="AE1273" s="12"/>
      <c r="AF1273" s="12" t="s">
        <v>8795</v>
      </c>
      <c r="AG1273" s="12" t="s">
        <v>32</v>
      </c>
      <c r="AH1273" s="12" t="s">
        <v>8807</v>
      </c>
      <c r="AI1273" s="12" t="str">
        <f t="shared" si="252"/>
        <v>1837</v>
      </c>
      <c r="AJ1273" s="12" t="s">
        <v>8884</v>
      </c>
      <c r="AK1273" s="12" t="s">
        <v>90</v>
      </c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</row>
    <row r="1274" spans="1:71">
      <c r="A1274" s="12" t="s">
        <v>670</v>
      </c>
      <c r="B1274" s="12" t="str">
        <f t="shared" si="244"/>
        <v>PIETERSE</v>
      </c>
      <c r="C1274" s="12" t="str">
        <f t="shared" si="245"/>
        <v>PIETERSE</v>
      </c>
      <c r="D1274" s="12" t="s">
        <v>4491</v>
      </c>
      <c r="E1274" s="12" t="str">
        <f t="shared" si="243"/>
        <v>David Johannes</v>
      </c>
      <c r="F1274" s="12" t="s">
        <v>8769</v>
      </c>
      <c r="G1274" s="12" t="str">
        <f t="shared" si="246"/>
        <v>a4b4c1</v>
      </c>
      <c r="H1274" s="12" t="str">
        <f t="shared" si="247"/>
        <v>PIETERSEa4b4c1</v>
      </c>
      <c r="I1274" s="12"/>
      <c r="J1274" s="12" t="s">
        <v>8820</v>
      </c>
      <c r="K1274" s="12" t="str">
        <f t="shared" si="248"/>
        <v>1793</v>
      </c>
      <c r="L1274" s="12"/>
      <c r="M1274" s="12" t="s">
        <v>2693</v>
      </c>
      <c r="N1274" s="12" t="str">
        <f t="shared" si="241"/>
        <v>1793</v>
      </c>
      <c r="O1274" s="12" t="str">
        <f t="shared" si="242"/>
        <v>1793</v>
      </c>
      <c r="P1274" s="12" t="s">
        <v>8821</v>
      </c>
      <c r="Q1274" s="12" t="str">
        <f t="shared" si="249"/>
        <v>1793</v>
      </c>
      <c r="R1274" s="12" t="s">
        <v>8822</v>
      </c>
      <c r="S1274" s="12" t="str">
        <f t="shared" si="250"/>
        <v>1863</v>
      </c>
      <c r="T1274" s="12" t="s">
        <v>74</v>
      </c>
      <c r="U1274" s="12" t="s">
        <v>7723</v>
      </c>
      <c r="V1274" s="12" t="str">
        <f t="shared" si="251"/>
        <v>1819</v>
      </c>
      <c r="W1274" s="12" t="s">
        <v>3857</v>
      </c>
      <c r="X1274" s="12" t="s">
        <v>670</v>
      </c>
      <c r="Y1274" s="12"/>
      <c r="Z1274" s="12"/>
      <c r="AA1274" s="12"/>
      <c r="AB1274" s="12"/>
      <c r="AC1274" s="12" t="s">
        <v>3585</v>
      </c>
      <c r="AD1274" s="12"/>
      <c r="AE1274" s="12"/>
      <c r="AF1274" s="12" t="s">
        <v>3724</v>
      </c>
      <c r="AG1274" s="12" t="s">
        <v>53</v>
      </c>
      <c r="AH1274" s="12" t="s">
        <v>385</v>
      </c>
      <c r="AI1274" s="12" t="str">
        <f t="shared" si="252"/>
        <v>1840</v>
      </c>
      <c r="AJ1274" s="12" t="s">
        <v>140</v>
      </c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</row>
    <row r="1275" spans="1:71">
      <c r="A1275" s="12" t="s">
        <v>670</v>
      </c>
      <c r="B1275" s="12" t="str">
        <f t="shared" si="244"/>
        <v>PIETERSE</v>
      </c>
      <c r="C1275" s="12" t="str">
        <f t="shared" si="245"/>
        <v>PIETERSE</v>
      </c>
      <c r="D1275" s="12" t="s">
        <v>8792</v>
      </c>
      <c r="E1275" s="12" t="str">
        <f t="shared" si="243"/>
        <v>Wilhelmus Johannes</v>
      </c>
      <c r="F1275" s="12" t="s">
        <v>8793</v>
      </c>
      <c r="G1275" s="12" t="str">
        <f t="shared" si="246"/>
        <v>a4b4c10</v>
      </c>
      <c r="H1275" s="12" t="str">
        <f t="shared" si="247"/>
        <v>PIETERSEa4b4c10</v>
      </c>
      <c r="I1275" s="12"/>
      <c r="J1275" s="12" t="s">
        <v>8896</v>
      </c>
      <c r="K1275" s="12" t="str">
        <f t="shared" si="248"/>
        <v>1811</v>
      </c>
      <c r="L1275" s="12" t="s">
        <v>74</v>
      </c>
      <c r="M1275" s="12" t="s">
        <v>2340</v>
      </c>
      <c r="N1275" s="12" t="str">
        <f t="shared" si="241"/>
        <v>1811</v>
      </c>
      <c r="O1275" s="12" t="str">
        <f t="shared" si="242"/>
        <v>1812</v>
      </c>
      <c r="P1275" s="12" t="s">
        <v>8897</v>
      </c>
      <c r="Q1275" s="12" t="str">
        <f t="shared" si="249"/>
        <v>1811</v>
      </c>
      <c r="R1275" s="12" t="s">
        <v>8898</v>
      </c>
      <c r="S1275" s="12" t="str">
        <f t="shared" si="250"/>
        <v>1889</v>
      </c>
      <c r="T1275" s="12"/>
      <c r="U1275" s="12"/>
      <c r="V1275" s="12" t="str">
        <f t="shared" si="251"/>
        <v/>
      </c>
      <c r="W1275" s="12" t="s">
        <v>8899</v>
      </c>
      <c r="X1275" s="12" t="s">
        <v>655</v>
      </c>
      <c r="Y1275" s="12"/>
      <c r="Z1275" s="12"/>
      <c r="AA1275" s="12"/>
      <c r="AB1275" s="12"/>
      <c r="AC1275" s="12"/>
      <c r="AD1275" s="12"/>
      <c r="AE1275" s="12"/>
      <c r="AF1275" s="12" t="s">
        <v>3703</v>
      </c>
      <c r="AG1275" s="12" t="s">
        <v>366</v>
      </c>
      <c r="AH1275" s="12" t="s">
        <v>5021</v>
      </c>
      <c r="AI1275" s="12" t="str">
        <f t="shared" si="252"/>
        <v>1842</v>
      </c>
      <c r="AJ1275" s="12"/>
      <c r="AK1275" s="12" t="s">
        <v>8900</v>
      </c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  <c r="BP1275" s="12"/>
      <c r="BQ1275" s="12"/>
      <c r="BR1275" s="12"/>
      <c r="BS1275" s="12"/>
    </row>
    <row r="1276" spans="1:71">
      <c r="A1276" s="12" t="s">
        <v>670</v>
      </c>
      <c r="B1276" s="12" t="str">
        <f t="shared" si="244"/>
        <v>PIETERSE</v>
      </c>
      <c r="C1276" s="12" t="str">
        <f t="shared" si="245"/>
        <v>PIETERSE</v>
      </c>
      <c r="D1276" s="12" t="s">
        <v>8785</v>
      </c>
      <c r="E1276" s="12" t="str">
        <f t="shared" si="243"/>
        <v>Nicolaas Theodorus</v>
      </c>
      <c r="F1276" s="12" t="s">
        <v>8786</v>
      </c>
      <c r="G1276" s="12" t="str">
        <f t="shared" si="246"/>
        <v>a4b4c4</v>
      </c>
      <c r="H1276" s="12" t="str">
        <f t="shared" si="247"/>
        <v>PIETERSEa4b4c4</v>
      </c>
      <c r="I1276" s="12"/>
      <c r="J1276" s="12"/>
      <c r="K1276" s="12" t="str">
        <f t="shared" si="248"/>
        <v/>
      </c>
      <c r="L1276" s="12"/>
      <c r="M1276" s="12" t="s">
        <v>416</v>
      </c>
      <c r="N1276" s="12" t="str">
        <f t="shared" si="241"/>
        <v/>
      </c>
      <c r="O1276" s="12" t="str">
        <f t="shared" si="242"/>
        <v>1799</v>
      </c>
      <c r="P1276" s="12"/>
      <c r="Q1276" s="12" t="str">
        <f t="shared" si="249"/>
        <v>1799</v>
      </c>
      <c r="R1276" s="12"/>
      <c r="S1276" s="12" t="str">
        <f t="shared" si="250"/>
        <v/>
      </c>
      <c r="T1276" s="12"/>
      <c r="U1276" s="12"/>
      <c r="V1276" s="12" t="str">
        <f t="shared" si="251"/>
        <v/>
      </c>
      <c r="W1276" s="12" t="s">
        <v>8877</v>
      </c>
      <c r="X1276" s="12" t="s">
        <v>3454</v>
      </c>
      <c r="Y1276" s="12" t="s">
        <v>8878</v>
      </c>
      <c r="Z1276" s="12"/>
      <c r="AA1276" s="12"/>
      <c r="AB1276" s="12"/>
      <c r="AC1276" s="12"/>
      <c r="AD1276" s="12"/>
      <c r="AE1276" s="12"/>
      <c r="AF1276" s="12" t="s">
        <v>570</v>
      </c>
      <c r="AG1276" s="12" t="s">
        <v>53</v>
      </c>
      <c r="AH1276" s="12" t="s">
        <v>8831</v>
      </c>
      <c r="AI1276" s="12" t="str">
        <f t="shared" si="252"/>
        <v>1836</v>
      </c>
      <c r="AJ1276" s="12" t="s">
        <v>7959</v>
      </c>
      <c r="AK1276" s="12" t="s">
        <v>8879</v>
      </c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  <c r="BP1276" s="12"/>
      <c r="BQ1276" s="12"/>
      <c r="BR1276" s="12"/>
      <c r="BS1276" s="12"/>
    </row>
    <row r="1277" spans="1:71">
      <c r="A1277" s="12" t="s">
        <v>670</v>
      </c>
      <c r="B1277" s="12" t="str">
        <f t="shared" si="244"/>
        <v>PIETERSE</v>
      </c>
      <c r="C1277" s="12" t="str">
        <f t="shared" si="245"/>
        <v>PIETERSE</v>
      </c>
      <c r="D1277" s="12" t="s">
        <v>3456</v>
      </c>
      <c r="E1277" s="12" t="str">
        <f t="shared" si="243"/>
        <v>Frederik</v>
      </c>
      <c r="F1277" s="12" t="s">
        <v>8774</v>
      </c>
      <c r="G1277" s="12" t="str">
        <f t="shared" si="246"/>
        <v>a4b4c6</v>
      </c>
      <c r="H1277" s="12" t="str">
        <f t="shared" si="247"/>
        <v>PIETERSEa4b4c6</v>
      </c>
      <c r="I1277" s="12"/>
      <c r="J1277" s="12"/>
      <c r="K1277" s="12" t="str">
        <f t="shared" si="248"/>
        <v/>
      </c>
      <c r="L1277" s="12"/>
      <c r="M1277" s="12" t="s">
        <v>8829</v>
      </c>
      <c r="N1277" s="12" t="str">
        <f t="shared" si="241"/>
        <v/>
      </c>
      <c r="O1277" s="12" t="str">
        <f t="shared" si="242"/>
        <v>1804</v>
      </c>
      <c r="P1277" s="12"/>
      <c r="Q1277" s="12" t="str">
        <f t="shared" si="249"/>
        <v>1804</v>
      </c>
      <c r="R1277" s="12"/>
      <c r="S1277" s="12" t="str">
        <f t="shared" si="250"/>
        <v/>
      </c>
      <c r="T1277" s="12" t="s">
        <v>53</v>
      </c>
      <c r="U1277" s="12" t="s">
        <v>988</v>
      </c>
      <c r="V1277" s="12" t="str">
        <f t="shared" si="251"/>
        <v>1825</v>
      </c>
      <c r="W1277" s="12" t="s">
        <v>4019</v>
      </c>
      <c r="X1277" s="12" t="s">
        <v>636</v>
      </c>
      <c r="Y1277" s="12" t="s">
        <v>8830</v>
      </c>
      <c r="Z1277" s="12"/>
      <c r="AA1277" s="12"/>
      <c r="AB1277" s="12"/>
      <c r="AC1277" s="12"/>
      <c r="AD1277" s="12"/>
      <c r="AE1277" s="12"/>
      <c r="AF1277" s="12" t="s">
        <v>570</v>
      </c>
      <c r="AG1277" s="12" t="s">
        <v>53</v>
      </c>
      <c r="AH1277" s="12" t="s">
        <v>8831</v>
      </c>
      <c r="AI1277" s="12" t="str">
        <f t="shared" si="252"/>
        <v>1836</v>
      </c>
      <c r="AJ1277" s="12" t="s">
        <v>5242</v>
      </c>
      <c r="AK1277" s="12" t="s">
        <v>90</v>
      </c>
      <c r="AL1277" s="12" t="s">
        <v>140</v>
      </c>
      <c r="AM1277" s="12" t="s">
        <v>4359</v>
      </c>
      <c r="AN1277" s="12" t="s">
        <v>8832</v>
      </c>
      <c r="AO1277" s="12" t="s">
        <v>778</v>
      </c>
      <c r="AP1277" s="12" t="s">
        <v>5056</v>
      </c>
      <c r="AQ1277" s="12" t="s">
        <v>366</v>
      </c>
      <c r="AR1277" s="12" t="s">
        <v>8833</v>
      </c>
      <c r="AS1277" s="12"/>
      <c r="AT1277" s="12"/>
      <c r="AU1277" s="12" t="s">
        <v>8834</v>
      </c>
      <c r="AV1277" s="12" t="s">
        <v>8835</v>
      </c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  <c r="BP1277" s="12"/>
      <c r="BQ1277" s="12"/>
      <c r="BR1277" s="12"/>
      <c r="BS1277" s="12"/>
    </row>
    <row r="1278" spans="1:71">
      <c r="A1278" s="12" t="s">
        <v>670</v>
      </c>
      <c r="B1278" s="12" t="str">
        <f t="shared" si="244"/>
        <v>PIETERSE</v>
      </c>
      <c r="C1278" s="12" t="str">
        <f t="shared" si="245"/>
        <v>PIETERSE</v>
      </c>
      <c r="D1278" s="12" t="s">
        <v>8775</v>
      </c>
      <c r="E1278" s="12" t="str">
        <f t="shared" si="243"/>
        <v>Hendrik Jesaias/ Josephus</v>
      </c>
      <c r="F1278" s="12" t="s">
        <v>8776</v>
      </c>
      <c r="G1278" s="12" t="str">
        <f t="shared" si="246"/>
        <v>a4b4c8</v>
      </c>
      <c r="H1278" s="12" t="str">
        <f t="shared" si="247"/>
        <v>PIETERSEa4b4c8</v>
      </c>
      <c r="I1278" s="12"/>
      <c r="J1278" s="12"/>
      <c r="K1278" s="12" t="str">
        <f t="shared" si="248"/>
        <v/>
      </c>
      <c r="L1278" s="12"/>
      <c r="M1278" s="12" t="s">
        <v>8836</v>
      </c>
      <c r="N1278" s="12" t="str">
        <f t="shared" si="241"/>
        <v/>
      </c>
      <c r="O1278" s="12" t="str">
        <f t="shared" si="242"/>
        <v>1806</v>
      </c>
      <c r="P1278" s="12"/>
      <c r="Q1278" s="12" t="str">
        <f t="shared" si="249"/>
        <v>1806</v>
      </c>
      <c r="R1278" s="12"/>
      <c r="S1278" s="12" t="str">
        <f t="shared" si="250"/>
        <v/>
      </c>
      <c r="T1278" s="12" t="s">
        <v>53</v>
      </c>
      <c r="U1278" s="12" t="s">
        <v>4790</v>
      </c>
      <c r="V1278" s="12" t="str">
        <f t="shared" si="251"/>
        <v>1829</v>
      </c>
      <c r="W1278" s="12" t="s">
        <v>7163</v>
      </c>
      <c r="X1278" s="12" t="s">
        <v>8837</v>
      </c>
      <c r="Y1278" s="12"/>
      <c r="Z1278" s="12"/>
      <c r="AA1278" s="12"/>
      <c r="AB1278" s="12"/>
      <c r="AC1278" s="12"/>
      <c r="AD1278" s="12"/>
      <c r="AE1278" s="12"/>
      <c r="AF1278" s="12" t="s">
        <v>570</v>
      </c>
      <c r="AG1278" s="12" t="s">
        <v>53</v>
      </c>
      <c r="AH1278" s="12" t="s">
        <v>5445</v>
      </c>
      <c r="AI1278" s="12" t="str">
        <f t="shared" si="252"/>
        <v>1839</v>
      </c>
      <c r="AJ1278" s="12"/>
      <c r="AK1278" s="12" t="s">
        <v>8838</v>
      </c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  <c r="BO1278" s="12"/>
      <c r="BP1278" s="12"/>
      <c r="BQ1278" s="12"/>
      <c r="BR1278" s="12"/>
      <c r="BS1278" s="12"/>
    </row>
    <row r="1279" spans="1:71">
      <c r="A1279" s="12" t="s">
        <v>670</v>
      </c>
      <c r="B1279" s="12" t="str">
        <f t="shared" si="244"/>
        <v>PIETERSE</v>
      </c>
      <c r="C1279" s="12" t="str">
        <f t="shared" si="245"/>
        <v>PIETERSE</v>
      </c>
      <c r="D1279" s="12" t="s">
        <v>8770</v>
      </c>
      <c r="E1279" s="12" t="str">
        <f t="shared" si="243"/>
        <v>Ferdinandus Albertus</v>
      </c>
      <c r="F1279" s="12" t="s">
        <v>8771</v>
      </c>
      <c r="G1279" s="12" t="str">
        <f t="shared" si="246"/>
        <v>a4b5</v>
      </c>
      <c r="H1279" s="12" t="str">
        <f t="shared" si="247"/>
        <v>PIETERSEa4b5</v>
      </c>
      <c r="I1279" s="12"/>
      <c r="J1279" s="12"/>
      <c r="K1279" s="12" t="str">
        <f t="shared" si="248"/>
        <v/>
      </c>
      <c r="L1279" s="12"/>
      <c r="M1279" s="12" t="s">
        <v>8823</v>
      </c>
      <c r="N1279" s="12" t="str">
        <f t="shared" si="241"/>
        <v/>
      </c>
      <c r="O1279" s="12" t="str">
        <f t="shared" si="242"/>
        <v>1773</v>
      </c>
      <c r="P1279" s="12"/>
      <c r="Q1279" s="12" t="str">
        <f t="shared" si="249"/>
        <v>1773</v>
      </c>
      <c r="R1279" s="12"/>
      <c r="S1279" s="12" t="str">
        <f t="shared" si="250"/>
        <v/>
      </c>
      <c r="T1279" s="12"/>
      <c r="U1279" s="12" t="s">
        <v>8824</v>
      </c>
      <c r="V1279" s="12" t="str">
        <f t="shared" si="251"/>
        <v>1798</v>
      </c>
      <c r="W1279" s="12" t="s">
        <v>8825</v>
      </c>
      <c r="X1279" s="12" t="s">
        <v>695</v>
      </c>
      <c r="Y1279" s="12" t="s">
        <v>8826</v>
      </c>
      <c r="Z1279" s="12"/>
      <c r="AA1279" s="12"/>
      <c r="AB1279" s="12"/>
      <c r="AC1279" s="12"/>
      <c r="AD1279" s="12"/>
      <c r="AE1279" s="12"/>
      <c r="AF1279" s="12"/>
      <c r="AG1279" s="12" t="s">
        <v>4987</v>
      </c>
      <c r="AH1279" s="12" t="s">
        <v>5445</v>
      </c>
      <c r="AI1279" s="12" t="str">
        <f t="shared" si="252"/>
        <v>1839</v>
      </c>
      <c r="AJ1279" s="12"/>
      <c r="AK1279" s="12" t="s">
        <v>90</v>
      </c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  <c r="BO1279" s="12"/>
      <c r="BP1279" s="12"/>
      <c r="BQ1279" s="12"/>
      <c r="BR1279" s="12"/>
      <c r="BS1279" s="12"/>
    </row>
    <row r="1280" spans="1:71">
      <c r="A1280" s="12" t="s">
        <v>670</v>
      </c>
      <c r="B1280" s="12" t="str">
        <f t="shared" si="244"/>
        <v>PIETERSE</v>
      </c>
      <c r="C1280" s="12" t="str">
        <f t="shared" si="245"/>
        <v>PIETERSE</v>
      </c>
      <c r="D1280" s="12" t="s">
        <v>8772</v>
      </c>
      <c r="E1280" s="12" t="str">
        <f t="shared" si="243"/>
        <v>Ferdinandus Petrus</v>
      </c>
      <c r="F1280" s="12" t="s">
        <v>8773</v>
      </c>
      <c r="G1280" s="12" t="str">
        <f t="shared" si="246"/>
        <v>a4b5c3</v>
      </c>
      <c r="H1280" s="12" t="str">
        <f t="shared" si="247"/>
        <v>PIETERSEa4b5c3</v>
      </c>
      <c r="I1280" s="12"/>
      <c r="J1280" s="12"/>
      <c r="K1280" s="12" t="str">
        <f t="shared" si="248"/>
        <v/>
      </c>
      <c r="L1280" s="12"/>
      <c r="M1280" s="12" t="s">
        <v>1429</v>
      </c>
      <c r="N1280" s="12" t="str">
        <f t="shared" si="241"/>
        <v/>
      </c>
      <c r="O1280" s="12" t="str">
        <f t="shared" si="242"/>
        <v>1804</v>
      </c>
      <c r="P1280" s="12"/>
      <c r="Q1280" s="12" t="str">
        <f t="shared" si="249"/>
        <v>1804</v>
      </c>
      <c r="R1280" s="12"/>
      <c r="S1280" s="12" t="str">
        <f t="shared" si="250"/>
        <v/>
      </c>
      <c r="T1280" s="12"/>
      <c r="U1280" s="12"/>
      <c r="V1280" s="12" t="str">
        <f t="shared" si="251"/>
        <v/>
      </c>
      <c r="W1280" s="12" t="s">
        <v>8827</v>
      </c>
      <c r="X1280" s="12" t="s">
        <v>355</v>
      </c>
      <c r="Y1280" s="12"/>
      <c r="Z1280" s="12"/>
      <c r="AA1280" s="12" t="s">
        <v>4920</v>
      </c>
      <c r="AB1280" s="12"/>
      <c r="AC1280" s="12"/>
      <c r="AD1280" s="12"/>
      <c r="AE1280" s="12"/>
      <c r="AF1280" s="12"/>
      <c r="AG1280" s="12" t="s">
        <v>7352</v>
      </c>
      <c r="AH1280" s="12"/>
      <c r="AI1280" s="12" t="str">
        <f t="shared" si="252"/>
        <v/>
      </c>
      <c r="AJ1280" s="12"/>
      <c r="AK1280" s="12" t="s">
        <v>8828</v>
      </c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  <c r="BO1280" s="12"/>
      <c r="BP1280" s="12"/>
      <c r="BQ1280" s="12"/>
      <c r="BR1280" s="12"/>
      <c r="BS1280" s="12"/>
    </row>
    <row r="1281" spans="1:71">
      <c r="A1281" s="12" t="s">
        <v>8789</v>
      </c>
      <c r="B1281" s="12" t="str">
        <f t="shared" si="244"/>
        <v>PIETERSE</v>
      </c>
      <c r="C1281" s="12" t="str">
        <f t="shared" si="245"/>
        <v>PIETERSE</v>
      </c>
      <c r="D1281" s="12" t="s">
        <v>1057</v>
      </c>
      <c r="E1281" s="12" t="str">
        <f t="shared" si="243"/>
        <v>Roelof Johannes</v>
      </c>
      <c r="F1281" s="12" t="s">
        <v>8790</v>
      </c>
      <c r="G1281" s="12" t="str">
        <f t="shared" si="246"/>
        <v>a12b2</v>
      </c>
      <c r="H1281" s="12" t="str">
        <f t="shared" si="247"/>
        <v>PIETERSEa12b2</v>
      </c>
      <c r="I1281" s="12"/>
      <c r="J1281" s="12"/>
      <c r="K1281" s="12" t="str">
        <f t="shared" si="248"/>
        <v/>
      </c>
      <c r="L1281" s="12"/>
      <c r="M1281" s="12" t="s">
        <v>8885</v>
      </c>
      <c r="N1281" s="12" t="str">
        <f t="shared" si="241"/>
        <v/>
      </c>
      <c r="O1281" s="12" t="str">
        <f t="shared" si="242"/>
        <v>1778</v>
      </c>
      <c r="P1281" s="12"/>
      <c r="Q1281" s="12" t="str">
        <f t="shared" si="249"/>
        <v>1778</v>
      </c>
      <c r="R1281" s="12"/>
      <c r="S1281" s="12" t="str">
        <f t="shared" si="250"/>
        <v/>
      </c>
      <c r="T1281" s="12"/>
      <c r="U1281" s="12"/>
      <c r="V1281" s="12" t="str">
        <f t="shared" si="251"/>
        <v/>
      </c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 t="s">
        <v>7182</v>
      </c>
      <c r="AI1281" s="12" t="str">
        <f t="shared" si="252"/>
        <v>1846</v>
      </c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  <c r="BO1281" s="12"/>
      <c r="BP1281" s="12"/>
      <c r="BQ1281" s="12"/>
      <c r="BR1281" s="12"/>
      <c r="BS1281" s="12"/>
    </row>
    <row r="1282" spans="1:71">
      <c r="A1282" s="6" t="s">
        <v>3640</v>
      </c>
      <c r="B1282" s="12" t="str">
        <f t="shared" si="244"/>
        <v>PIETERSEN</v>
      </c>
      <c r="C1282" s="12" t="str">
        <f t="shared" si="245"/>
        <v>PIETERSEN</v>
      </c>
      <c r="D1282" s="12" t="s">
        <v>6006</v>
      </c>
      <c r="E1282" s="12" t="str">
        <f t="shared" si="243"/>
        <v>Hermanus Johannes</v>
      </c>
      <c r="F1282" s="12" t="s">
        <v>912</v>
      </c>
      <c r="G1282" s="12" t="str">
        <f t="shared" si="246"/>
        <v>a1b1c2d2</v>
      </c>
      <c r="H1282" s="12" t="str">
        <f t="shared" si="247"/>
        <v>PIETERSENa1b1c2d2</v>
      </c>
      <c r="I1282" s="12"/>
      <c r="J1282" s="12"/>
      <c r="K1282" s="12" t="str">
        <f t="shared" si="248"/>
        <v/>
      </c>
      <c r="L1282" s="12"/>
      <c r="M1282" s="12" t="s">
        <v>8862</v>
      </c>
      <c r="N1282" s="12" t="str">
        <f t="shared" ref="N1282:N1345" si="253">RIGHT(J1282,4)</f>
        <v/>
      </c>
      <c r="O1282" s="12" t="str">
        <f t="shared" ref="O1282:O1345" si="254">RIGHT(M1282,4)</f>
        <v>1798</v>
      </c>
      <c r="P1282" s="12" t="s">
        <v>90</v>
      </c>
      <c r="Q1282" s="12" t="str">
        <f t="shared" si="249"/>
        <v>1798</v>
      </c>
      <c r="R1282" s="12" t="s">
        <v>8863</v>
      </c>
      <c r="S1282" s="12" t="str">
        <f t="shared" si="250"/>
        <v>1882</v>
      </c>
      <c r="T1282" s="12" t="s">
        <v>53</v>
      </c>
      <c r="U1282" s="12" t="s">
        <v>8864</v>
      </c>
      <c r="V1282" s="12" t="str">
        <f t="shared" si="251"/>
        <v>1832</v>
      </c>
      <c r="W1282" s="12" t="s">
        <v>2503</v>
      </c>
      <c r="X1282" s="12" t="s">
        <v>697</v>
      </c>
      <c r="Y1282" s="12" t="s">
        <v>8865</v>
      </c>
      <c r="Z1282" s="12"/>
      <c r="AA1282" s="12" t="s">
        <v>8866</v>
      </c>
      <c r="AB1282" s="12"/>
      <c r="AC1282" s="12"/>
      <c r="AD1282" s="12"/>
      <c r="AE1282" s="12"/>
      <c r="AF1282" s="12" t="s">
        <v>3677</v>
      </c>
      <c r="AG1282" s="12" t="s">
        <v>8867</v>
      </c>
      <c r="AH1282" s="12" t="s">
        <v>1734</v>
      </c>
      <c r="AI1282" s="12" t="str">
        <f t="shared" si="252"/>
        <v>1838</v>
      </c>
      <c r="AJ1282" s="12" t="s">
        <v>8868</v>
      </c>
      <c r="AK1282" s="12" t="s">
        <v>90</v>
      </c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  <c r="BO1282" s="12"/>
      <c r="BP1282" s="12"/>
      <c r="BQ1282" s="12"/>
      <c r="BR1282" s="12"/>
      <c r="BS1282" s="12"/>
    </row>
    <row r="1283" spans="1:71">
      <c r="A1283" s="12" t="s">
        <v>726</v>
      </c>
      <c r="B1283" s="12" t="str">
        <f t="shared" si="244"/>
        <v>POTGIETER</v>
      </c>
      <c r="C1283" s="12" t="str">
        <f t="shared" si="245"/>
        <v>POTGIETER</v>
      </c>
      <c r="D1283" s="12" t="s">
        <v>8950</v>
      </c>
      <c r="E1283" s="12" t="str">
        <f t="shared" ref="E1283:E1346" si="255">PROPER(D1283)</f>
        <v xml:space="preserve">Johannes Petrus Theodorus (Hans) </v>
      </c>
      <c r="F1283" s="12" t="s">
        <v>8951</v>
      </c>
      <c r="G1283" s="12" t="str">
        <f t="shared" si="246"/>
        <v>a1b1c6d4e3</v>
      </c>
      <c r="H1283" s="12" t="str">
        <f t="shared" si="247"/>
        <v>POTGIETERa1b1c6d4e3</v>
      </c>
      <c r="I1283" s="12"/>
      <c r="J1283" s="12"/>
      <c r="K1283" s="12" t="str">
        <f t="shared" si="248"/>
        <v/>
      </c>
      <c r="L1283" s="12" t="s">
        <v>32</v>
      </c>
      <c r="M1283" s="12" t="s">
        <v>5227</v>
      </c>
      <c r="N1283" s="12" t="str">
        <f t="shared" si="253"/>
        <v/>
      </c>
      <c r="O1283" s="12" t="str">
        <f t="shared" si="254"/>
        <v>1788</v>
      </c>
      <c r="P1283" s="12"/>
      <c r="Q1283" s="12" t="str">
        <f t="shared" si="249"/>
        <v>1788</v>
      </c>
      <c r="R1283" s="12"/>
      <c r="S1283" s="12" t="str">
        <f t="shared" si="250"/>
        <v/>
      </c>
      <c r="T1283" s="12" t="s">
        <v>74</v>
      </c>
      <c r="U1283" s="12" t="s">
        <v>4778</v>
      </c>
      <c r="V1283" s="12" t="str">
        <f t="shared" si="251"/>
        <v>1813</v>
      </c>
      <c r="W1283" s="12" t="s">
        <v>9408</v>
      </c>
      <c r="X1283" s="12" t="s">
        <v>1151</v>
      </c>
      <c r="Y1283" s="12"/>
      <c r="Z1283" s="12"/>
      <c r="AA1283" s="12" t="s">
        <v>9409</v>
      </c>
      <c r="AB1283" s="12"/>
      <c r="AC1283" s="12"/>
      <c r="AD1283" s="12"/>
      <c r="AE1283" s="12"/>
      <c r="AF1283" s="12" t="s">
        <v>3717</v>
      </c>
      <c r="AG1283" s="12" t="s">
        <v>9410</v>
      </c>
      <c r="AH1283" s="12">
        <v>1842</v>
      </c>
      <c r="AI1283" s="12" t="str">
        <f t="shared" si="252"/>
        <v>1842</v>
      </c>
      <c r="AJ1283" s="12" t="s">
        <v>9339</v>
      </c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  <c r="BO1283" s="12"/>
      <c r="BP1283" s="12"/>
      <c r="BQ1283" s="12"/>
      <c r="BR1283" s="12"/>
      <c r="BS1283" s="12"/>
    </row>
    <row r="1284" spans="1:71">
      <c r="A1284" s="12" t="s">
        <v>726</v>
      </c>
      <c r="B1284" s="12" t="str">
        <f t="shared" si="244"/>
        <v>POTGIETER</v>
      </c>
      <c r="C1284" s="12" t="str">
        <f t="shared" si="245"/>
        <v>POTGIETER</v>
      </c>
      <c r="D1284" s="12" t="s">
        <v>1147</v>
      </c>
      <c r="E1284" s="12" t="str">
        <f t="shared" si="255"/>
        <v>Cornelis</v>
      </c>
      <c r="F1284" s="12" t="s">
        <v>8904</v>
      </c>
      <c r="G1284" s="12" t="str">
        <f t="shared" si="246"/>
        <v>a1b1c6d4e3f2</v>
      </c>
      <c r="H1284" s="12" t="str">
        <f t="shared" si="247"/>
        <v>POTGIETERa1b1c6d4e3f2</v>
      </c>
      <c r="I1284" s="12" t="s">
        <v>9200</v>
      </c>
      <c r="J1284" s="12" t="s">
        <v>9201</v>
      </c>
      <c r="K1284" s="12" t="str">
        <f t="shared" si="248"/>
        <v>1816</v>
      </c>
      <c r="L1284" s="12" t="s">
        <v>74</v>
      </c>
      <c r="M1284" s="12" t="s">
        <v>4419</v>
      </c>
      <c r="N1284" s="12" t="str">
        <f t="shared" si="253"/>
        <v>1816</v>
      </c>
      <c r="O1284" s="12" t="str">
        <f t="shared" si="254"/>
        <v>1817</v>
      </c>
      <c r="P1284" s="12" t="s">
        <v>2355</v>
      </c>
      <c r="Q1284" s="12" t="str">
        <f t="shared" si="249"/>
        <v>1816</v>
      </c>
      <c r="R1284" s="12" t="s">
        <v>9202</v>
      </c>
      <c r="S1284" s="12" t="str">
        <f t="shared" si="250"/>
        <v>1869</v>
      </c>
      <c r="T1284" s="12"/>
      <c r="U1284" s="12"/>
      <c r="V1284" s="12" t="str">
        <f t="shared" si="251"/>
        <v/>
      </c>
      <c r="W1284" s="12" t="s">
        <v>9203</v>
      </c>
      <c r="X1284" s="12" t="s">
        <v>9204</v>
      </c>
      <c r="Y1284" s="12" t="s">
        <v>833</v>
      </c>
      <c r="Z1284" s="12"/>
      <c r="AA1284" s="12" t="s">
        <v>7649</v>
      </c>
      <c r="AB1284" s="12" t="s">
        <v>74</v>
      </c>
      <c r="AC1284" s="12" t="s">
        <v>9205</v>
      </c>
      <c r="AD1284" s="12" t="s">
        <v>9206</v>
      </c>
      <c r="AE1284" s="12" t="s">
        <v>9207</v>
      </c>
      <c r="AF1284" s="12" t="s">
        <v>3717</v>
      </c>
      <c r="AG1284" s="12" t="s">
        <v>8685</v>
      </c>
      <c r="AH1284" s="12">
        <v>1842</v>
      </c>
      <c r="AI1284" s="12" t="str">
        <f t="shared" si="252"/>
        <v>1842</v>
      </c>
      <c r="AJ1284" s="12" t="s">
        <v>1494</v>
      </c>
      <c r="AK1284" s="12" t="s">
        <v>9208</v>
      </c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  <c r="BO1284" s="12"/>
      <c r="BP1284" s="12"/>
      <c r="BQ1284" s="12"/>
      <c r="BR1284" s="12"/>
      <c r="BS1284" s="12"/>
    </row>
    <row r="1285" spans="1:71">
      <c r="A1285" s="12" t="s">
        <v>726</v>
      </c>
      <c r="B1285" s="12" t="str">
        <f t="shared" si="244"/>
        <v>POTGIETER</v>
      </c>
      <c r="C1285" s="12" t="str">
        <f t="shared" si="245"/>
        <v>POTGIETER</v>
      </c>
      <c r="D1285" s="12" t="s">
        <v>8932</v>
      </c>
      <c r="E1285" s="12" t="str">
        <f t="shared" si="255"/>
        <v>Izak (Izaac) Hermanus</v>
      </c>
      <c r="F1285" s="12" t="s">
        <v>8933</v>
      </c>
      <c r="G1285" s="12" t="str">
        <f t="shared" si="246"/>
        <v>a1b1c6d4e7</v>
      </c>
      <c r="H1285" s="12" t="str">
        <f t="shared" si="247"/>
        <v>POTGIETERa1b1c6d4e7</v>
      </c>
      <c r="I1285" s="12"/>
      <c r="J1285" s="12" t="s">
        <v>9332</v>
      </c>
      <c r="K1285" s="12" t="str">
        <f t="shared" si="248"/>
        <v>1795</v>
      </c>
      <c r="L1285" s="12" t="s">
        <v>32</v>
      </c>
      <c r="M1285" s="12" t="s">
        <v>3649</v>
      </c>
      <c r="N1285" s="12" t="str">
        <f t="shared" si="253"/>
        <v>1795</v>
      </c>
      <c r="O1285" s="12" t="str">
        <f t="shared" si="254"/>
        <v>1796</v>
      </c>
      <c r="P1285" s="12" t="s">
        <v>9333</v>
      </c>
      <c r="Q1285" s="12" t="str">
        <f t="shared" si="249"/>
        <v>1795</v>
      </c>
      <c r="R1285" s="12" t="s">
        <v>9334</v>
      </c>
      <c r="S1285" s="12" t="str">
        <f t="shared" si="250"/>
        <v>1856</v>
      </c>
      <c r="T1285" s="12" t="s">
        <v>53</v>
      </c>
      <c r="U1285" s="12" t="s">
        <v>9335</v>
      </c>
      <c r="W1285" s="12" t="s">
        <v>9336</v>
      </c>
      <c r="X1285" s="12" t="s">
        <v>9337</v>
      </c>
      <c r="Y1285" s="12"/>
      <c r="Z1285" s="12"/>
      <c r="AA1285" s="12" t="s">
        <v>9338</v>
      </c>
      <c r="AB1285" s="12"/>
      <c r="AC1285" s="12"/>
      <c r="AD1285" s="12"/>
      <c r="AE1285" s="12"/>
      <c r="AF1285" s="12"/>
      <c r="AG1285" s="12" t="s">
        <v>53</v>
      </c>
      <c r="AH1285" s="12" t="s">
        <v>385</v>
      </c>
      <c r="AI1285" s="12" t="str">
        <f t="shared" si="252"/>
        <v>1840</v>
      </c>
      <c r="AJ1285" s="12"/>
      <c r="AK1285" s="12" t="s">
        <v>4679</v>
      </c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  <c r="BO1285" s="12"/>
      <c r="BP1285" s="12"/>
      <c r="BQ1285" s="12"/>
      <c r="BR1285" s="12"/>
      <c r="BS1285" s="12"/>
    </row>
    <row r="1286" spans="1:71">
      <c r="A1286" s="12" t="s">
        <v>726</v>
      </c>
      <c r="B1286" s="12" t="str">
        <f t="shared" si="244"/>
        <v>POTGIETER</v>
      </c>
      <c r="C1286" s="12" t="str">
        <f t="shared" si="245"/>
        <v>POTGIETER</v>
      </c>
      <c r="D1286" s="12" t="s">
        <v>8905</v>
      </c>
      <c r="E1286" s="12" t="str">
        <f t="shared" si="255"/>
        <v>Cornelis Dirk</v>
      </c>
      <c r="F1286" s="12" t="s">
        <v>8906</v>
      </c>
      <c r="G1286" s="12" t="str">
        <f t="shared" si="246"/>
        <v>a1b1c6d4e7f2</v>
      </c>
      <c r="H1286" s="12" t="str">
        <f t="shared" si="247"/>
        <v>POTGIETERa1b1c6d4e7f2</v>
      </c>
      <c r="I1286" s="12"/>
      <c r="J1286" s="12">
        <v>1825</v>
      </c>
      <c r="K1286" s="12" t="str">
        <f t="shared" si="248"/>
        <v>1825</v>
      </c>
      <c r="L1286" s="12" t="s">
        <v>53</v>
      </c>
      <c r="M1286" s="12" t="s">
        <v>9209</v>
      </c>
      <c r="N1286" s="12" t="str">
        <f t="shared" si="253"/>
        <v>1825</v>
      </c>
      <c r="O1286" s="12" t="str">
        <f t="shared" si="254"/>
        <v>1825</v>
      </c>
      <c r="P1286" s="12" t="s">
        <v>9210</v>
      </c>
      <c r="Q1286" s="12" t="str">
        <f t="shared" si="249"/>
        <v>1825</v>
      </c>
      <c r="R1286" s="12" t="s">
        <v>9211</v>
      </c>
      <c r="S1286" s="12" t="str">
        <f t="shared" si="250"/>
        <v>1899</v>
      </c>
      <c r="T1286" s="12"/>
      <c r="U1286" s="12"/>
      <c r="V1286" s="12" t="str">
        <f t="shared" si="251"/>
        <v/>
      </c>
      <c r="W1286" s="12" t="s">
        <v>9212</v>
      </c>
      <c r="X1286" s="12" t="s">
        <v>695</v>
      </c>
      <c r="Y1286" s="12"/>
      <c r="Z1286" s="12"/>
      <c r="AA1286" s="12" t="s">
        <v>9213</v>
      </c>
      <c r="AB1286" s="12"/>
      <c r="AC1286" s="12"/>
      <c r="AD1286" s="12" t="s">
        <v>9214</v>
      </c>
      <c r="AE1286" s="12" t="s">
        <v>9215</v>
      </c>
      <c r="AF1286" s="12"/>
      <c r="AG1286" s="12" t="s">
        <v>53</v>
      </c>
      <c r="AH1286" s="12"/>
      <c r="AI1286" s="12" t="str">
        <f t="shared" si="252"/>
        <v/>
      </c>
      <c r="AJ1286" s="12"/>
      <c r="AK1286" s="12" t="s">
        <v>120</v>
      </c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  <c r="BO1286" s="12"/>
      <c r="BP1286" s="12"/>
      <c r="BQ1286" s="12"/>
      <c r="BR1286" s="12"/>
      <c r="BS1286" s="12"/>
    </row>
    <row r="1287" spans="1:71">
      <c r="A1287" s="12" t="s">
        <v>726</v>
      </c>
      <c r="B1287" s="12" t="str">
        <f t="shared" si="244"/>
        <v>POTGIETER</v>
      </c>
      <c r="C1287" s="12" t="str">
        <f t="shared" si="245"/>
        <v>POTGIETER</v>
      </c>
      <c r="D1287" s="12" t="s">
        <v>4980</v>
      </c>
      <c r="E1287" s="12" t="str">
        <f t="shared" si="255"/>
        <v>Johannes Hermanus</v>
      </c>
      <c r="F1287" s="12" t="s">
        <v>8946</v>
      </c>
      <c r="G1287" s="12" t="str">
        <f t="shared" si="246"/>
        <v>a1b1c7d2e4</v>
      </c>
      <c r="H1287" s="12" t="str">
        <f t="shared" si="247"/>
        <v>POTGIETERa1b1c7d2e4</v>
      </c>
      <c r="I1287" s="12"/>
      <c r="J1287" s="12"/>
      <c r="K1287" s="12" t="str">
        <f t="shared" si="248"/>
        <v/>
      </c>
      <c r="L1287" s="12" t="s">
        <v>32</v>
      </c>
      <c r="M1287" s="12" t="s">
        <v>9390</v>
      </c>
      <c r="N1287" s="12" t="str">
        <f t="shared" si="253"/>
        <v/>
      </c>
      <c r="O1287" s="12" t="str">
        <f t="shared" si="254"/>
        <v>1779</v>
      </c>
      <c r="P1287" s="12"/>
      <c r="Q1287" s="12" t="str">
        <f t="shared" si="249"/>
        <v>1779</v>
      </c>
      <c r="R1287" s="12"/>
      <c r="S1287" s="12" t="str">
        <f t="shared" si="250"/>
        <v/>
      </c>
      <c r="T1287" s="12" t="s">
        <v>32</v>
      </c>
      <c r="U1287" s="12" t="s">
        <v>9391</v>
      </c>
      <c r="V1287" s="12" t="str">
        <f t="shared" si="251"/>
        <v>1803</v>
      </c>
      <c r="W1287" s="12" t="s">
        <v>9392</v>
      </c>
      <c r="X1287" s="12" t="s">
        <v>661</v>
      </c>
      <c r="Y1287" s="12"/>
      <c r="Z1287" s="12"/>
      <c r="AA1287" s="12"/>
      <c r="AB1287" s="12"/>
      <c r="AC1287" s="12" t="s">
        <v>9393</v>
      </c>
      <c r="AD1287" s="12"/>
      <c r="AE1287" s="12"/>
      <c r="AF1287" s="12"/>
      <c r="AG1287" s="12" t="s">
        <v>7352</v>
      </c>
      <c r="AH1287" s="12" t="s">
        <v>9394</v>
      </c>
      <c r="AI1287" s="12" t="str">
        <f t="shared" si="252"/>
        <v>DREN</v>
      </c>
      <c r="AJ1287" s="12" t="s">
        <v>9395</v>
      </c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  <c r="BO1287" s="12"/>
      <c r="BP1287" s="12"/>
      <c r="BQ1287" s="12"/>
      <c r="BR1287" s="12"/>
      <c r="BS1287" s="12"/>
    </row>
    <row r="1288" spans="1:71">
      <c r="A1288" s="12" t="s">
        <v>726</v>
      </c>
      <c r="B1288" s="12" t="str">
        <f t="shared" si="244"/>
        <v>POTGIETER</v>
      </c>
      <c r="C1288" s="12" t="str">
        <f t="shared" si="245"/>
        <v>POTGIETER</v>
      </c>
      <c r="D1288" s="12" t="s">
        <v>8965</v>
      </c>
      <c r="E1288" s="12" t="str">
        <f t="shared" si="255"/>
        <v>Petrus Dirk</v>
      </c>
      <c r="F1288" s="12" t="s">
        <v>8966</v>
      </c>
      <c r="G1288" s="12" t="str">
        <f t="shared" si="246"/>
        <v>a1b1c7d2e4f11</v>
      </c>
      <c r="H1288" s="12" t="str">
        <f t="shared" si="247"/>
        <v>POTGIETERa1b1c7d2e4f11</v>
      </c>
      <c r="I1288" s="12"/>
      <c r="J1288" s="12" t="s">
        <v>9470</v>
      </c>
      <c r="K1288" s="12" t="str">
        <f t="shared" si="248"/>
        <v>1824</v>
      </c>
      <c r="L1288" s="12"/>
      <c r="M1288" s="12"/>
      <c r="N1288" s="12" t="str">
        <f t="shared" si="253"/>
        <v>1824</v>
      </c>
      <c r="O1288" s="12" t="str">
        <f t="shared" si="254"/>
        <v/>
      </c>
      <c r="P1288" s="12" t="s">
        <v>9471</v>
      </c>
      <c r="Q1288" s="12" t="str">
        <f t="shared" si="249"/>
        <v>1824</v>
      </c>
      <c r="R1288" s="12" t="s">
        <v>9472</v>
      </c>
      <c r="S1288" s="12" t="str">
        <f t="shared" si="250"/>
        <v>1884</v>
      </c>
      <c r="T1288" s="12"/>
      <c r="U1288" s="12"/>
      <c r="V1288" s="12" t="str">
        <f t="shared" si="251"/>
        <v/>
      </c>
      <c r="W1288" s="12" t="s">
        <v>9473</v>
      </c>
      <c r="X1288" s="12" t="s">
        <v>661</v>
      </c>
      <c r="Y1288" s="12"/>
      <c r="Z1288" s="12"/>
      <c r="AA1288" s="12"/>
      <c r="AB1288" s="12"/>
      <c r="AC1288" s="12"/>
      <c r="AD1288" s="12"/>
      <c r="AE1288" s="12"/>
      <c r="AF1288" s="12"/>
      <c r="AG1288" s="12" t="s">
        <v>3085</v>
      </c>
      <c r="AH1288" s="12" t="s">
        <v>9199</v>
      </c>
      <c r="AI1288" s="12" t="str">
        <f t="shared" si="252"/>
        <v xml:space="preserve"> (?)</v>
      </c>
      <c r="AJ1288" s="12"/>
      <c r="AK1288" s="12" t="s">
        <v>112</v>
      </c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  <c r="BP1288" s="12"/>
      <c r="BQ1288" s="12"/>
      <c r="BR1288" s="12"/>
      <c r="BS1288" s="12"/>
    </row>
    <row r="1289" spans="1:71">
      <c r="A1289" s="12" t="s">
        <v>726</v>
      </c>
      <c r="B1289" s="12" t="str">
        <f t="shared" si="244"/>
        <v>POTGIETER</v>
      </c>
      <c r="C1289" s="12" t="str">
        <f t="shared" si="245"/>
        <v>POTGIETER</v>
      </c>
      <c r="D1289" s="12" t="s">
        <v>8947</v>
      </c>
      <c r="E1289" s="12" t="str">
        <f t="shared" si="255"/>
        <v>Johannes Hermanus Jacobus</v>
      </c>
      <c r="F1289" s="12" t="s">
        <v>8948</v>
      </c>
      <c r="G1289" s="12" t="str">
        <f t="shared" si="246"/>
        <v>a1b1c7d2e4f2</v>
      </c>
      <c r="H1289" s="12" t="str">
        <f t="shared" si="247"/>
        <v>POTGIETERa1b1c7d2e4f2</v>
      </c>
      <c r="I1289" s="12" t="s">
        <v>8685</v>
      </c>
      <c r="J1289" s="12" t="s">
        <v>7853</v>
      </c>
      <c r="K1289" s="12" t="str">
        <f t="shared" si="248"/>
        <v>1806</v>
      </c>
      <c r="L1289" s="12"/>
      <c r="M1289" s="12" t="s">
        <v>8230</v>
      </c>
      <c r="N1289" s="12" t="str">
        <f t="shared" si="253"/>
        <v>1806</v>
      </c>
      <c r="O1289" s="12" t="str">
        <f t="shared" si="254"/>
        <v>1809</v>
      </c>
      <c r="P1289" s="12" t="s">
        <v>9396</v>
      </c>
      <c r="Q1289" s="12" t="str">
        <f t="shared" si="249"/>
        <v>1806</v>
      </c>
      <c r="R1289" s="12" t="s">
        <v>9397</v>
      </c>
      <c r="S1289" s="12" t="str">
        <f t="shared" si="250"/>
        <v>1878</v>
      </c>
      <c r="T1289" s="12"/>
      <c r="U1289" s="12"/>
      <c r="V1289" s="12" t="str">
        <f t="shared" si="251"/>
        <v/>
      </c>
      <c r="W1289" s="12" t="s">
        <v>9398</v>
      </c>
      <c r="X1289" s="12" t="s">
        <v>391</v>
      </c>
      <c r="Y1289" s="12"/>
      <c r="Z1289" s="12"/>
      <c r="AA1289" s="12"/>
      <c r="AB1289" s="12"/>
      <c r="AC1289" s="12"/>
      <c r="AD1289" s="12"/>
      <c r="AE1289" s="12"/>
      <c r="AF1289" s="12"/>
      <c r="AG1289" s="12" t="s">
        <v>7352</v>
      </c>
      <c r="AH1289" s="12" t="s">
        <v>8653</v>
      </c>
      <c r="AI1289" s="12" t="str">
        <f t="shared" si="252"/>
        <v>1840</v>
      </c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  <c r="BO1289" s="12"/>
      <c r="BP1289" s="12"/>
      <c r="BQ1289" s="12"/>
      <c r="BR1289" s="12"/>
      <c r="BS1289" s="12"/>
    </row>
    <row r="1290" spans="1:71">
      <c r="A1290" s="12" t="s">
        <v>726</v>
      </c>
      <c r="B1290" s="12" t="str">
        <f t="shared" si="244"/>
        <v>POTGIETER</v>
      </c>
      <c r="C1290" s="12" t="str">
        <f t="shared" si="245"/>
        <v>POTGIETER</v>
      </c>
      <c r="D1290" s="12" t="s">
        <v>8975</v>
      </c>
      <c r="E1290" s="12" t="str">
        <f t="shared" si="255"/>
        <v>Philippus Johannes Christoffel</v>
      </c>
      <c r="F1290" s="12" t="s">
        <v>8976</v>
      </c>
      <c r="G1290" s="12" t="str">
        <f t="shared" si="246"/>
        <v>a1b1c7d2e4f5</v>
      </c>
      <c r="H1290" s="12" t="str">
        <f t="shared" si="247"/>
        <v>POTGIETERa1b1c7d2e4f5</v>
      </c>
      <c r="I1290" s="12"/>
      <c r="J1290" s="12" t="s">
        <v>9510</v>
      </c>
      <c r="K1290" s="12" t="str">
        <f t="shared" si="248"/>
        <v>1813</v>
      </c>
      <c r="L1290" s="12" t="s">
        <v>158</v>
      </c>
      <c r="M1290" s="12" t="s">
        <v>9511</v>
      </c>
      <c r="N1290" s="12" t="str">
        <f t="shared" si="253"/>
        <v>1813</v>
      </c>
      <c r="O1290" s="12" t="str">
        <f t="shared" si="254"/>
        <v>1813</v>
      </c>
      <c r="P1290" s="12"/>
      <c r="Q1290" s="12" t="str">
        <f t="shared" si="249"/>
        <v>1813</v>
      </c>
      <c r="R1290" s="12"/>
      <c r="S1290" s="12" t="str">
        <f t="shared" si="250"/>
        <v/>
      </c>
      <c r="T1290" s="12"/>
      <c r="U1290" s="12" t="s">
        <v>9512</v>
      </c>
      <c r="V1290" s="12" t="str">
        <f t="shared" si="251"/>
        <v>1834</v>
      </c>
      <c r="W1290" s="12" t="s">
        <v>7229</v>
      </c>
      <c r="X1290" s="12" t="s">
        <v>8675</v>
      </c>
      <c r="Y1290" s="12"/>
      <c r="Z1290" s="12"/>
      <c r="AA1290" s="12" t="s">
        <v>9513</v>
      </c>
      <c r="AB1290" s="12"/>
      <c r="AC1290" s="12" t="s">
        <v>2667</v>
      </c>
      <c r="AD1290" s="12"/>
      <c r="AE1290" s="12"/>
      <c r="AF1290" s="12" t="s">
        <v>3706</v>
      </c>
      <c r="AG1290" s="12" t="s">
        <v>9514</v>
      </c>
      <c r="AH1290" s="12" t="s">
        <v>8653</v>
      </c>
      <c r="AI1290" s="12" t="str">
        <f t="shared" si="252"/>
        <v>1840</v>
      </c>
      <c r="AJ1290" s="12"/>
      <c r="AK1290" s="12" t="s">
        <v>9515</v>
      </c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  <c r="BO1290" s="12"/>
      <c r="BP1290" s="12"/>
      <c r="BQ1290" s="12"/>
      <c r="BR1290" s="12"/>
      <c r="BS1290" s="12"/>
    </row>
    <row r="1291" spans="1:71">
      <c r="A1291" s="12" t="s">
        <v>726</v>
      </c>
      <c r="B1291" s="12" t="str">
        <f t="shared" si="244"/>
        <v>POTGIETER</v>
      </c>
      <c r="C1291" s="12" t="str">
        <f t="shared" si="245"/>
        <v>POTGIETER</v>
      </c>
      <c r="D1291" s="12" t="s">
        <v>8902</v>
      </c>
      <c r="E1291" s="12" t="str">
        <f t="shared" si="255"/>
        <v xml:space="preserve">Christiaan Wilhelmus </v>
      </c>
      <c r="F1291" s="12" t="s">
        <v>8903</v>
      </c>
      <c r="G1291" s="12" t="str">
        <f t="shared" si="246"/>
        <v>a1b1c7d2e4f9</v>
      </c>
      <c r="H1291" s="12" t="str">
        <f t="shared" si="247"/>
        <v>POTGIETERa1b1c7d2e4f9</v>
      </c>
      <c r="I1291" s="12"/>
      <c r="J1291" s="12" t="s">
        <v>9192</v>
      </c>
      <c r="K1291" s="12" t="str">
        <f t="shared" si="248"/>
        <v>1820</v>
      </c>
      <c r="L1291" s="12" t="s">
        <v>53</v>
      </c>
      <c r="M1291" s="12" t="s">
        <v>7097</v>
      </c>
      <c r="N1291" s="12" t="str">
        <f t="shared" si="253"/>
        <v>1820</v>
      </c>
      <c r="O1291" s="12" t="str">
        <f t="shared" si="254"/>
        <v>1822</v>
      </c>
      <c r="P1291" s="12" t="s">
        <v>9193</v>
      </c>
      <c r="Q1291" s="12" t="str">
        <f t="shared" si="249"/>
        <v>1820</v>
      </c>
      <c r="R1291" s="12" t="s">
        <v>9194</v>
      </c>
      <c r="S1291" s="12" t="str">
        <f t="shared" si="250"/>
        <v>1871</v>
      </c>
      <c r="T1291" s="12" t="s">
        <v>140</v>
      </c>
      <c r="U1291" s="12" t="s">
        <v>9195</v>
      </c>
      <c r="V1291" s="12" t="str">
        <f t="shared" si="251"/>
        <v>1855</v>
      </c>
      <c r="W1291" s="12" t="s">
        <v>7314</v>
      </c>
      <c r="X1291" s="12" t="s">
        <v>633</v>
      </c>
      <c r="Y1291" s="12"/>
      <c r="Z1291" s="12"/>
      <c r="AA1291" s="12" t="s">
        <v>9196</v>
      </c>
      <c r="AB1291" s="12"/>
      <c r="AC1291" s="12" t="s">
        <v>1741</v>
      </c>
      <c r="AD1291" s="12" t="s">
        <v>7415</v>
      </c>
      <c r="AE1291" s="12" t="s">
        <v>9197</v>
      </c>
      <c r="AF1291" s="12" t="s">
        <v>9198</v>
      </c>
      <c r="AG1291" s="12"/>
      <c r="AH1291" s="12" t="s">
        <v>9199</v>
      </c>
      <c r="AI1291" s="12" t="str">
        <f t="shared" si="252"/>
        <v xml:space="preserve"> (?)</v>
      </c>
      <c r="AJ1291" s="12" t="s">
        <v>7345</v>
      </c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  <c r="BO1291" s="12"/>
      <c r="BP1291" s="12"/>
      <c r="BQ1291" s="12"/>
      <c r="BR1291" s="12"/>
      <c r="BS1291" s="12"/>
    </row>
    <row r="1292" spans="1:71">
      <c r="A1292" s="12" t="s">
        <v>726</v>
      </c>
      <c r="B1292" s="12" t="str">
        <f t="shared" si="244"/>
        <v>POTGIETER</v>
      </c>
      <c r="C1292" s="12" t="str">
        <f t="shared" si="245"/>
        <v>POTGIETER</v>
      </c>
      <c r="D1292" s="12" t="s">
        <v>8960</v>
      </c>
      <c r="E1292" s="12" t="str">
        <f t="shared" si="255"/>
        <v>Mattys Gerhardus Sr.</v>
      </c>
      <c r="F1292" s="12" t="s">
        <v>8961</v>
      </c>
      <c r="G1292" s="12" t="str">
        <f t="shared" si="246"/>
        <v>a1b1c7d7e3</v>
      </c>
      <c r="H1292" s="12" t="str">
        <f t="shared" si="247"/>
        <v>POTGIETERa1b1c7d7e3</v>
      </c>
      <c r="I1292" s="12"/>
      <c r="J1292" s="12"/>
      <c r="K1292" s="12" t="str">
        <f t="shared" si="248"/>
        <v/>
      </c>
      <c r="L1292" s="12" t="s">
        <v>32</v>
      </c>
      <c r="M1292" s="12" t="s">
        <v>9450</v>
      </c>
      <c r="N1292" s="12" t="str">
        <f t="shared" si="253"/>
        <v/>
      </c>
      <c r="O1292" s="12" t="str">
        <f t="shared" si="254"/>
        <v>1794</v>
      </c>
      <c r="P1292" s="12"/>
      <c r="Q1292" s="12" t="str">
        <f t="shared" si="249"/>
        <v>1794</v>
      </c>
      <c r="R1292" s="12" t="s">
        <v>9451</v>
      </c>
      <c r="S1292" s="12" t="str">
        <f t="shared" si="250"/>
        <v>1868</v>
      </c>
      <c r="T1292" s="12" t="s">
        <v>199</v>
      </c>
      <c r="U1292" s="12" t="s">
        <v>1721</v>
      </c>
      <c r="V1292" s="12" t="str">
        <f t="shared" si="251"/>
        <v>1814</v>
      </c>
      <c r="W1292" s="12" t="s">
        <v>9452</v>
      </c>
      <c r="X1292" s="12" t="s">
        <v>1685</v>
      </c>
      <c r="Y1292" s="12" t="s">
        <v>6946</v>
      </c>
      <c r="Z1292" s="12"/>
      <c r="AA1292" s="12"/>
      <c r="AB1292" s="12" t="s">
        <v>74</v>
      </c>
      <c r="AC1292" s="12" t="s">
        <v>9453</v>
      </c>
      <c r="AD1292" s="12"/>
      <c r="AE1292" s="12" t="s">
        <v>9451</v>
      </c>
      <c r="AF1292" s="12" t="s">
        <v>3677</v>
      </c>
      <c r="AG1292" s="12" t="s">
        <v>53</v>
      </c>
      <c r="AH1292" s="12" t="s">
        <v>1734</v>
      </c>
      <c r="AI1292" s="12" t="str">
        <f t="shared" si="252"/>
        <v>1838</v>
      </c>
      <c r="AJ1292" s="12" t="s">
        <v>9224</v>
      </c>
      <c r="AK1292" s="12" t="s">
        <v>90</v>
      </c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  <c r="BO1292" s="12"/>
      <c r="BP1292" s="12"/>
      <c r="BQ1292" s="12"/>
      <c r="BR1292" s="12"/>
      <c r="BS1292" s="12"/>
    </row>
    <row r="1293" spans="1:71">
      <c r="A1293" s="12" t="s">
        <v>726</v>
      </c>
      <c r="B1293" s="12" t="str">
        <f t="shared" si="244"/>
        <v>POTGIETER</v>
      </c>
      <c r="C1293" s="12" t="str">
        <f t="shared" si="245"/>
        <v>POTGIETER</v>
      </c>
      <c r="D1293" s="12" t="s">
        <v>8907</v>
      </c>
      <c r="E1293" s="12" t="str">
        <f t="shared" si="255"/>
        <v>Evert Frederik</v>
      </c>
      <c r="F1293" s="12" t="s">
        <v>8908</v>
      </c>
      <c r="G1293" s="12" t="str">
        <f t="shared" si="246"/>
        <v>a1b1c7d7e3f3</v>
      </c>
      <c r="H1293" s="12" t="str">
        <f t="shared" si="247"/>
        <v>POTGIETERa1b1c7d7e3f3</v>
      </c>
      <c r="I1293" s="12"/>
      <c r="J1293" s="12" t="s">
        <v>9216</v>
      </c>
      <c r="K1293" s="12" t="str">
        <f t="shared" si="248"/>
        <v>1819</v>
      </c>
      <c r="L1293" s="12" t="s">
        <v>53</v>
      </c>
      <c r="M1293" s="12" t="s">
        <v>7494</v>
      </c>
      <c r="N1293" s="12" t="str">
        <f t="shared" si="253"/>
        <v>1819</v>
      </c>
      <c r="O1293" s="12" t="str">
        <f t="shared" si="254"/>
        <v>1820</v>
      </c>
      <c r="P1293" s="12" t="s">
        <v>9217</v>
      </c>
      <c r="Q1293" s="12" t="str">
        <f t="shared" si="249"/>
        <v>1819</v>
      </c>
      <c r="R1293" s="12" t="s">
        <v>9218</v>
      </c>
      <c r="S1293" s="12" t="str">
        <f t="shared" si="250"/>
        <v>1897</v>
      </c>
      <c r="T1293" s="12" t="s">
        <v>5146</v>
      </c>
      <c r="U1293" s="12" t="s">
        <v>9219</v>
      </c>
      <c r="V1293" s="12" t="str">
        <f t="shared" si="251"/>
        <v>1841</v>
      </c>
      <c r="W1293" s="12" t="s">
        <v>9220</v>
      </c>
      <c r="X1293" s="12" t="s">
        <v>696</v>
      </c>
      <c r="Y1293" s="12"/>
      <c r="Z1293" s="12"/>
      <c r="AA1293" s="12" t="s">
        <v>9221</v>
      </c>
      <c r="AB1293" s="12"/>
      <c r="AC1293" s="12"/>
      <c r="AD1293" s="12" t="s">
        <v>7415</v>
      </c>
      <c r="AE1293" s="12" t="s">
        <v>9222</v>
      </c>
      <c r="AF1293" s="12" t="s">
        <v>3677</v>
      </c>
      <c r="AG1293" s="12" t="s">
        <v>53</v>
      </c>
      <c r="AH1293" s="12" t="s">
        <v>9223</v>
      </c>
      <c r="AI1293" s="12" t="str">
        <f t="shared" si="252"/>
        <v>1838</v>
      </c>
      <c r="AJ1293" s="12" t="s">
        <v>9224</v>
      </c>
      <c r="AK1293" s="12"/>
      <c r="AL1293" s="12" t="s">
        <v>7345</v>
      </c>
      <c r="AM1293" s="12" t="s">
        <v>9225</v>
      </c>
      <c r="AN1293" s="12" t="s">
        <v>7314</v>
      </c>
      <c r="AO1293" s="12" t="s">
        <v>633</v>
      </c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  <c r="BP1293" s="12"/>
      <c r="BQ1293" s="12"/>
      <c r="BR1293" s="12"/>
      <c r="BS1293" s="12"/>
    </row>
    <row r="1294" spans="1:71">
      <c r="A1294" s="12" t="s">
        <v>726</v>
      </c>
      <c r="B1294" s="12" t="str">
        <f t="shared" si="244"/>
        <v>POTGIETER</v>
      </c>
      <c r="C1294" s="12" t="str">
        <f t="shared" si="245"/>
        <v>POTGIETER</v>
      </c>
      <c r="D1294" s="12" t="s">
        <v>8942</v>
      </c>
      <c r="E1294" s="12" t="str">
        <f t="shared" si="255"/>
        <v>Johan Frederik</v>
      </c>
      <c r="F1294" s="12" t="s">
        <v>8943</v>
      </c>
      <c r="G1294" s="12" t="str">
        <f t="shared" si="246"/>
        <v>a1b1c7d7e3f4</v>
      </c>
      <c r="H1294" s="12" t="str">
        <f t="shared" si="247"/>
        <v>POTGIETERa1b1c7d7e3f4</v>
      </c>
      <c r="I1294" s="12"/>
      <c r="J1294" s="12" t="s">
        <v>9368</v>
      </c>
      <c r="K1294" s="12" t="str">
        <f t="shared" si="248"/>
        <v>1823</v>
      </c>
      <c r="L1294" s="12" t="s">
        <v>53</v>
      </c>
      <c r="M1294" s="12" t="s">
        <v>1417</v>
      </c>
      <c r="N1294" s="12" t="str">
        <f t="shared" si="253"/>
        <v>1823</v>
      </c>
      <c r="O1294" s="12" t="str">
        <f t="shared" si="254"/>
        <v>1824</v>
      </c>
      <c r="P1294" s="12" t="s">
        <v>67</v>
      </c>
      <c r="Q1294" s="12" t="str">
        <f t="shared" si="249"/>
        <v>1823</v>
      </c>
      <c r="R1294" s="12" t="s">
        <v>9369</v>
      </c>
      <c r="S1294" s="12" t="str">
        <f t="shared" si="250"/>
        <v>1915</v>
      </c>
      <c r="T1294" s="12" t="s">
        <v>140</v>
      </c>
      <c r="U1294" s="12" t="s">
        <v>5518</v>
      </c>
      <c r="V1294" s="12" t="str">
        <f t="shared" si="251"/>
        <v>1847</v>
      </c>
      <c r="W1294" s="12" t="s">
        <v>1663</v>
      </c>
      <c r="X1294" s="12" t="s">
        <v>5744</v>
      </c>
      <c r="Y1294" s="12"/>
      <c r="Z1294" s="12"/>
      <c r="AA1294" s="12" t="s">
        <v>9370</v>
      </c>
      <c r="AB1294" s="12"/>
      <c r="AC1294" s="12"/>
      <c r="AD1294" s="12" t="s">
        <v>9371</v>
      </c>
      <c r="AE1294" s="12" t="s">
        <v>9372</v>
      </c>
      <c r="AF1294" s="12" t="s">
        <v>3677</v>
      </c>
      <c r="AG1294" s="12" t="s">
        <v>53</v>
      </c>
      <c r="AH1294" s="12" t="s">
        <v>1734</v>
      </c>
      <c r="AI1294" s="12" t="str">
        <f t="shared" si="252"/>
        <v>1838</v>
      </c>
      <c r="AJ1294" s="12" t="s">
        <v>7807</v>
      </c>
      <c r="AK1294" s="12" t="s">
        <v>67</v>
      </c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  <c r="BO1294" s="12"/>
      <c r="BP1294" s="12"/>
      <c r="BQ1294" s="12"/>
      <c r="BR1294" s="12"/>
      <c r="BS1294" s="12"/>
    </row>
    <row r="1295" spans="1:71">
      <c r="A1295" s="12" t="s">
        <v>726</v>
      </c>
      <c r="B1295" s="12" t="str">
        <f t="shared" si="244"/>
        <v>POTGIETER</v>
      </c>
      <c r="C1295" s="12" t="str">
        <f t="shared" si="245"/>
        <v>POTGIETER</v>
      </c>
      <c r="D1295" s="12" t="s">
        <v>8962</v>
      </c>
      <c r="E1295" s="12" t="str">
        <f t="shared" si="255"/>
        <v>Mattys Gerhardus Jr.</v>
      </c>
      <c r="F1295" s="12" t="s">
        <v>8963</v>
      </c>
      <c r="G1295" s="12" t="str">
        <f t="shared" si="246"/>
        <v>a1b1c7d7e3f5</v>
      </c>
      <c r="H1295" s="12" t="str">
        <f t="shared" si="247"/>
        <v>POTGIETERa1b1c7d7e3f5</v>
      </c>
      <c r="I1295" s="12"/>
      <c r="J1295" s="12" t="s">
        <v>9454</v>
      </c>
      <c r="K1295" s="12" t="str">
        <f t="shared" si="248"/>
        <v>1825</v>
      </c>
      <c r="L1295" s="12" t="s">
        <v>53</v>
      </c>
      <c r="M1295" s="12" t="s">
        <v>9209</v>
      </c>
      <c r="N1295" s="12" t="str">
        <f t="shared" si="253"/>
        <v>1825</v>
      </c>
      <c r="O1295" s="12" t="str">
        <f t="shared" si="254"/>
        <v>1825</v>
      </c>
      <c r="P1295" s="12" t="s">
        <v>9455</v>
      </c>
      <c r="Q1295" s="12" t="str">
        <f t="shared" si="249"/>
        <v>1825</v>
      </c>
      <c r="R1295" s="12" t="s">
        <v>9456</v>
      </c>
      <c r="S1295" s="12" t="str">
        <f t="shared" si="250"/>
        <v>1897</v>
      </c>
      <c r="T1295" s="12" t="s">
        <v>5146</v>
      </c>
      <c r="U1295" s="12" t="s">
        <v>3798</v>
      </c>
      <c r="V1295" s="12" t="str">
        <f t="shared" si="251"/>
        <v>1848</v>
      </c>
      <c r="W1295" s="12" t="s">
        <v>2421</v>
      </c>
      <c r="X1295" s="12" t="s">
        <v>3799</v>
      </c>
      <c r="Y1295" s="12"/>
      <c r="Z1295" s="12" t="s">
        <v>53</v>
      </c>
      <c r="AA1295" s="12" t="s">
        <v>9457</v>
      </c>
      <c r="AB1295" s="12"/>
      <c r="AC1295" s="12"/>
      <c r="AD1295" s="12" t="s">
        <v>9458</v>
      </c>
      <c r="AE1295" s="12" t="s">
        <v>9459</v>
      </c>
      <c r="AF1295" s="12" t="s">
        <v>3677</v>
      </c>
      <c r="AG1295" s="12" t="s">
        <v>53</v>
      </c>
      <c r="AH1295" s="12" t="s">
        <v>1734</v>
      </c>
      <c r="AI1295" s="12" t="str">
        <f t="shared" si="252"/>
        <v>1838</v>
      </c>
      <c r="AJ1295" s="12" t="s">
        <v>9224</v>
      </c>
      <c r="AK1295" s="12" t="s">
        <v>67</v>
      </c>
      <c r="AL1295" s="12"/>
      <c r="AM1295" s="12"/>
      <c r="AN1295" s="12" t="s">
        <v>9460</v>
      </c>
      <c r="AO1295" s="12" t="s">
        <v>631</v>
      </c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  <c r="BO1295" s="12"/>
      <c r="BP1295" s="12"/>
      <c r="BQ1295" s="12"/>
      <c r="BR1295" s="12"/>
      <c r="BS1295" s="12"/>
    </row>
    <row r="1296" spans="1:71">
      <c r="A1296" s="12" t="s">
        <v>726</v>
      </c>
      <c r="B1296" s="12" t="str">
        <f t="shared" si="244"/>
        <v>POTGIETER</v>
      </c>
      <c r="C1296" s="12" t="str">
        <f t="shared" si="245"/>
        <v>POTGIETER</v>
      </c>
      <c r="D1296" s="12" t="s">
        <v>8909</v>
      </c>
      <c r="E1296" s="12" t="str">
        <f t="shared" si="255"/>
        <v>Evert Frederik Sr.</v>
      </c>
      <c r="F1296" s="12" t="s">
        <v>8910</v>
      </c>
      <c r="G1296" s="12" t="str">
        <f t="shared" si="246"/>
        <v>a1b1c7d7e5</v>
      </c>
      <c r="H1296" s="12" t="str">
        <f t="shared" si="247"/>
        <v>POTGIETERa1b1c7d7e5</v>
      </c>
      <c r="I1296" s="12"/>
      <c r="J1296" s="12" t="s">
        <v>9226</v>
      </c>
      <c r="K1296" s="12" t="str">
        <f t="shared" si="248"/>
        <v>1799</v>
      </c>
      <c r="L1296" s="12"/>
      <c r="M1296" s="12" t="s">
        <v>9227</v>
      </c>
      <c r="N1296" s="12" t="str">
        <f t="shared" si="253"/>
        <v>1799</v>
      </c>
      <c r="O1296" s="12" t="str">
        <f t="shared" si="254"/>
        <v>1800</v>
      </c>
      <c r="P1296" s="12" t="s">
        <v>9228</v>
      </c>
      <c r="Q1296" s="12" t="str">
        <f t="shared" si="249"/>
        <v>1799</v>
      </c>
      <c r="R1296" s="12" t="s">
        <v>9229</v>
      </c>
      <c r="S1296" s="12" t="str">
        <f t="shared" si="250"/>
        <v>1863</v>
      </c>
      <c r="T1296" s="12" t="s">
        <v>53</v>
      </c>
      <c r="U1296" s="12" t="s">
        <v>3101</v>
      </c>
      <c r="V1296" s="12" t="str">
        <f t="shared" si="251"/>
        <v>1820</v>
      </c>
      <c r="W1296" s="12" t="s">
        <v>9230</v>
      </c>
      <c r="X1296" s="12" t="s">
        <v>3799</v>
      </c>
      <c r="Y1296" s="12" t="s">
        <v>9231</v>
      </c>
      <c r="Z1296" s="12"/>
      <c r="AA1296" s="12" t="s">
        <v>9232</v>
      </c>
      <c r="AB1296" s="12"/>
      <c r="AC1296" s="12" t="s">
        <v>4473</v>
      </c>
      <c r="AD1296" s="12" t="s">
        <v>2355</v>
      </c>
      <c r="AE1296" s="12" t="s">
        <v>9233</v>
      </c>
      <c r="AF1296" s="12" t="s">
        <v>9234</v>
      </c>
      <c r="AG1296" s="12" t="s">
        <v>53</v>
      </c>
      <c r="AH1296" s="12" t="s">
        <v>8204</v>
      </c>
      <c r="AI1296" s="12" t="str">
        <f t="shared" si="252"/>
        <v>1836</v>
      </c>
      <c r="AJ1296" s="12" t="s">
        <v>7816</v>
      </c>
      <c r="AK1296" s="12" t="s">
        <v>1301</v>
      </c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  <c r="BP1296" s="12"/>
      <c r="BQ1296" s="12"/>
      <c r="BR1296" s="12"/>
      <c r="BS1296" s="12"/>
    </row>
    <row r="1297" spans="1:71">
      <c r="A1297" s="12" t="s">
        <v>726</v>
      </c>
      <c r="B1297" s="12" t="str">
        <f t="shared" si="244"/>
        <v>POTGIETER</v>
      </c>
      <c r="C1297" s="12" t="str">
        <f t="shared" si="245"/>
        <v>POTGIETER</v>
      </c>
      <c r="D1297" s="12" t="s">
        <v>8911</v>
      </c>
      <c r="E1297" s="12" t="str">
        <f t="shared" si="255"/>
        <v>Evert Frederik Jr.</v>
      </c>
      <c r="F1297" s="12" t="s">
        <v>8912</v>
      </c>
      <c r="G1297" s="12" t="str">
        <f t="shared" si="246"/>
        <v>a1b1c7d7e5f3</v>
      </c>
      <c r="H1297" s="12" t="str">
        <f t="shared" si="247"/>
        <v>POTGIETERa1b1c7d7e5f3</v>
      </c>
      <c r="I1297" s="12"/>
      <c r="J1297" s="12" t="s">
        <v>1588</v>
      </c>
      <c r="K1297" s="12" t="str">
        <f t="shared" si="248"/>
        <v>1824</v>
      </c>
      <c r="L1297" s="12" t="s">
        <v>53</v>
      </c>
      <c r="M1297" s="12" t="s">
        <v>9235</v>
      </c>
      <c r="N1297" s="12" t="str">
        <f t="shared" si="253"/>
        <v>1824</v>
      </c>
      <c r="O1297" s="12" t="str">
        <f t="shared" si="254"/>
        <v>1824</v>
      </c>
      <c r="P1297" s="12" t="s">
        <v>9236</v>
      </c>
      <c r="Q1297" s="12" t="str">
        <f t="shared" si="249"/>
        <v>1824</v>
      </c>
      <c r="R1297" s="12" t="s">
        <v>9237</v>
      </c>
      <c r="S1297" s="12" t="str">
        <f t="shared" si="250"/>
        <v>1883</v>
      </c>
      <c r="T1297" s="12"/>
      <c r="U1297" s="12"/>
      <c r="V1297" s="12" t="str">
        <f t="shared" si="251"/>
        <v/>
      </c>
      <c r="W1297" s="12" t="s">
        <v>2958</v>
      </c>
      <c r="X1297" s="12" t="s">
        <v>697</v>
      </c>
      <c r="Y1297" s="12" t="s">
        <v>9238</v>
      </c>
      <c r="Z1297" s="12"/>
      <c r="AA1297" s="12" t="s">
        <v>9239</v>
      </c>
      <c r="AB1297" s="12"/>
      <c r="AC1297" s="12"/>
      <c r="AD1297" s="12"/>
      <c r="AE1297" s="12"/>
      <c r="AF1297" s="12" t="s">
        <v>9234</v>
      </c>
      <c r="AG1297" s="12" t="s">
        <v>53</v>
      </c>
      <c r="AH1297" s="12" t="s">
        <v>8204</v>
      </c>
      <c r="AI1297" s="12" t="str">
        <f t="shared" si="252"/>
        <v>1836</v>
      </c>
      <c r="AJ1297" s="12" t="s">
        <v>7816</v>
      </c>
      <c r="AK1297" s="12" t="s">
        <v>90</v>
      </c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  <c r="BO1297" s="12"/>
      <c r="BP1297" s="12"/>
      <c r="BQ1297" s="12"/>
      <c r="BR1297" s="12"/>
      <c r="BS1297" s="12"/>
    </row>
    <row r="1298" spans="1:71">
      <c r="A1298" s="12" t="s">
        <v>726</v>
      </c>
      <c r="B1298" s="12" t="str">
        <f t="shared" si="244"/>
        <v>POTGIETER</v>
      </c>
      <c r="C1298" s="12" t="str">
        <f t="shared" si="245"/>
        <v>POTGIETER</v>
      </c>
      <c r="D1298" s="12" t="s">
        <v>8979</v>
      </c>
      <c r="E1298" s="12" t="str">
        <f t="shared" si="255"/>
        <v>Theodorus</v>
      </c>
      <c r="F1298" s="12" t="s">
        <v>8980</v>
      </c>
      <c r="G1298" s="12" t="str">
        <f t="shared" si="246"/>
        <v>a1b1c8d1e2f3</v>
      </c>
      <c r="H1298" s="12" t="str">
        <f t="shared" si="247"/>
        <v>POTGIETERa1b1c8d1e2f3</v>
      </c>
      <c r="I1298" s="12" t="s">
        <v>53</v>
      </c>
      <c r="J1298" s="12" t="s">
        <v>9531</v>
      </c>
      <c r="K1298" s="12" t="str">
        <f t="shared" si="248"/>
        <v>1805</v>
      </c>
      <c r="L1298" s="12" t="s">
        <v>32</v>
      </c>
      <c r="M1298" s="12" t="s">
        <v>9532</v>
      </c>
      <c r="N1298" s="12" t="str">
        <f t="shared" si="253"/>
        <v>1805</v>
      </c>
      <c r="O1298" s="12" t="str">
        <f t="shared" si="254"/>
        <v>1806</v>
      </c>
      <c r="P1298" s="12" t="s">
        <v>9533</v>
      </c>
      <c r="Q1298" s="12" t="str">
        <f t="shared" si="249"/>
        <v>1805</v>
      </c>
      <c r="R1298" s="12" t="s">
        <v>9534</v>
      </c>
      <c r="S1298" s="12" t="str">
        <f t="shared" si="250"/>
        <v>1892</v>
      </c>
      <c r="T1298" s="12" t="s">
        <v>53</v>
      </c>
      <c r="U1298" s="12" t="s">
        <v>9535</v>
      </c>
      <c r="V1298" s="12" t="str">
        <f t="shared" si="251"/>
        <v>1833</v>
      </c>
      <c r="W1298" s="12" t="s">
        <v>9536</v>
      </c>
      <c r="X1298" s="12" t="s">
        <v>695</v>
      </c>
      <c r="Y1298" s="12" t="s">
        <v>9537</v>
      </c>
      <c r="Z1298" s="12" t="s">
        <v>53</v>
      </c>
      <c r="AA1298" s="12" t="s">
        <v>9538</v>
      </c>
      <c r="AB1298" s="12"/>
      <c r="AC1298" s="12"/>
      <c r="AD1298" s="12" t="s">
        <v>2355</v>
      </c>
      <c r="AE1298" s="12" t="s">
        <v>9539</v>
      </c>
      <c r="AF1298" s="12" t="s">
        <v>9540</v>
      </c>
      <c r="AG1298" s="12" t="s">
        <v>53</v>
      </c>
      <c r="AH1298" s="12" t="s">
        <v>7491</v>
      </c>
      <c r="AI1298" s="12" t="str">
        <f t="shared" si="252"/>
        <v>1837</v>
      </c>
      <c r="AJ1298" s="12" t="s">
        <v>8413</v>
      </c>
      <c r="AK1298" s="12" t="s">
        <v>2355</v>
      </c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  <c r="BP1298" s="12"/>
      <c r="BQ1298" s="12"/>
      <c r="BR1298" s="12"/>
      <c r="BS1298" s="12"/>
    </row>
    <row r="1299" spans="1:71">
      <c r="A1299" s="12" t="s">
        <v>726</v>
      </c>
      <c r="B1299" s="12" t="str">
        <f t="shared" si="244"/>
        <v>POTGIETER</v>
      </c>
      <c r="C1299" s="12" t="str">
        <f t="shared" si="245"/>
        <v>POTGIETER</v>
      </c>
      <c r="D1299" s="12" t="s">
        <v>6562</v>
      </c>
      <c r="E1299" s="12" t="str">
        <f t="shared" si="255"/>
        <v>Johannes Gerhardus</v>
      </c>
      <c r="F1299" s="12" t="s">
        <v>8944</v>
      </c>
      <c r="G1299" s="12" t="str">
        <f t="shared" si="246"/>
        <v>a1b1c8d1e2f5</v>
      </c>
      <c r="H1299" s="12" t="str">
        <f t="shared" si="247"/>
        <v>POTGIETERa1b1c8d1e2f5</v>
      </c>
      <c r="I1299" s="12"/>
      <c r="J1299" s="12" t="s">
        <v>9375</v>
      </c>
      <c r="K1299" s="12" t="str">
        <f t="shared" si="248"/>
        <v>1809</v>
      </c>
      <c r="L1299" s="12" t="s">
        <v>74</v>
      </c>
      <c r="M1299" s="12" t="s">
        <v>9376</v>
      </c>
      <c r="N1299" s="12" t="str">
        <f t="shared" si="253"/>
        <v>1809</v>
      </c>
      <c r="O1299" s="12" t="str">
        <f t="shared" si="254"/>
        <v>1809</v>
      </c>
      <c r="P1299" s="12"/>
      <c r="Q1299" s="12" t="str">
        <f t="shared" si="249"/>
        <v>1809</v>
      </c>
      <c r="R1299" s="12"/>
      <c r="S1299" s="12" t="str">
        <f t="shared" si="250"/>
        <v/>
      </c>
      <c r="T1299" s="12"/>
      <c r="U1299" s="12"/>
      <c r="V1299" s="12" t="str">
        <f t="shared" si="251"/>
        <v/>
      </c>
      <c r="W1299" s="12" t="s">
        <v>9377</v>
      </c>
      <c r="X1299" s="12" t="s">
        <v>2402</v>
      </c>
      <c r="Y1299" s="12" t="s">
        <v>9378</v>
      </c>
      <c r="Z1299" s="12"/>
      <c r="AA1299" s="12" t="s">
        <v>9379</v>
      </c>
      <c r="AB1299" s="12" t="s">
        <v>53</v>
      </c>
      <c r="AC1299" s="12" t="s">
        <v>7494</v>
      </c>
      <c r="AD1299" s="12"/>
      <c r="AE1299" s="12"/>
      <c r="AF1299" s="12" t="s">
        <v>9316</v>
      </c>
      <c r="AG1299" s="12" t="s">
        <v>53</v>
      </c>
      <c r="AH1299" s="12" t="s">
        <v>8204</v>
      </c>
      <c r="AI1299" s="12" t="str">
        <f t="shared" si="252"/>
        <v>1836</v>
      </c>
      <c r="AJ1299" s="12" t="s">
        <v>9380</v>
      </c>
      <c r="AK1299" s="12" t="s">
        <v>90</v>
      </c>
      <c r="AL1299" s="12"/>
      <c r="AM1299" s="12"/>
      <c r="AN1299" s="12" t="s">
        <v>9381</v>
      </c>
      <c r="AO1299" s="12" t="s">
        <v>698</v>
      </c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  <c r="BP1299" s="12"/>
      <c r="BQ1299" s="12"/>
      <c r="BR1299" s="12"/>
      <c r="BS1299" s="12"/>
    </row>
    <row r="1300" spans="1:71">
      <c r="A1300" s="12" t="s">
        <v>726</v>
      </c>
      <c r="B1300" s="12" t="str">
        <f t="shared" si="244"/>
        <v>POTGIETER</v>
      </c>
      <c r="C1300" s="12" t="str">
        <f t="shared" si="245"/>
        <v>POTGIETER</v>
      </c>
      <c r="D1300" s="12" t="s">
        <v>8926</v>
      </c>
      <c r="E1300" s="12" t="str">
        <f t="shared" si="255"/>
        <v>Isak Andries</v>
      </c>
      <c r="F1300" s="12" t="s">
        <v>8927</v>
      </c>
      <c r="G1300" s="12" t="str">
        <f t="shared" si="246"/>
        <v>a1b1c8d1e2f7</v>
      </c>
      <c r="H1300" s="12" t="str">
        <f t="shared" si="247"/>
        <v>POTGIETERa1b1c8d1e2f7</v>
      </c>
      <c r="I1300" s="12"/>
      <c r="J1300" s="12" t="s">
        <v>9315</v>
      </c>
      <c r="K1300" s="12" t="str">
        <f t="shared" si="248"/>
        <v>1816</v>
      </c>
      <c r="L1300" s="12" t="s">
        <v>74</v>
      </c>
      <c r="M1300" s="12" t="s">
        <v>4419</v>
      </c>
      <c r="N1300" s="12" t="str">
        <f t="shared" si="253"/>
        <v>1816</v>
      </c>
      <c r="O1300" s="12" t="str">
        <f t="shared" si="254"/>
        <v>1817</v>
      </c>
      <c r="P1300" s="12"/>
      <c r="Q1300" s="12" t="str">
        <f t="shared" si="249"/>
        <v>1816</v>
      </c>
      <c r="R1300" s="12"/>
      <c r="S1300" s="12" t="str">
        <f t="shared" si="250"/>
        <v/>
      </c>
      <c r="T1300" s="12"/>
      <c r="U1300" s="12"/>
      <c r="V1300" s="12" t="str">
        <f t="shared" si="251"/>
        <v/>
      </c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 t="s">
        <v>9316</v>
      </c>
      <c r="AG1300" s="12" t="s">
        <v>53</v>
      </c>
      <c r="AH1300" s="12" t="s">
        <v>9317</v>
      </c>
      <c r="AI1300" s="12" t="str">
        <f t="shared" si="252"/>
        <v>1836</v>
      </c>
      <c r="AJ1300" s="12" t="s">
        <v>9318</v>
      </c>
      <c r="AK1300" s="12" t="s">
        <v>90</v>
      </c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  <c r="BP1300" s="12"/>
      <c r="BQ1300" s="12"/>
      <c r="BR1300" s="12"/>
      <c r="BS1300" s="12"/>
    </row>
    <row r="1301" spans="1:71">
      <c r="A1301" s="12" t="s">
        <v>726</v>
      </c>
      <c r="B1301" s="12" t="str">
        <f t="shared" si="244"/>
        <v>POTGIETER</v>
      </c>
      <c r="C1301" s="12" t="str">
        <f t="shared" si="245"/>
        <v>POTGIETER</v>
      </c>
      <c r="D1301" s="12" t="s">
        <v>8928</v>
      </c>
      <c r="E1301" s="12" t="str">
        <f t="shared" si="255"/>
        <v>Izak Cornelius Sr.</v>
      </c>
      <c r="F1301" s="12" t="s">
        <v>8929</v>
      </c>
      <c r="G1301" s="12" t="str">
        <f t="shared" si="246"/>
        <v>a1b1c8d1e4</v>
      </c>
      <c r="H1301" s="12" t="str">
        <f t="shared" si="247"/>
        <v>POTGIETERa1b1c8d1e4</v>
      </c>
      <c r="I1301" s="12"/>
      <c r="J1301" s="12"/>
      <c r="K1301" s="12" t="str">
        <f t="shared" si="248"/>
        <v/>
      </c>
      <c r="L1301" s="12"/>
      <c r="M1301" s="12" t="s">
        <v>9319</v>
      </c>
      <c r="N1301" s="12" t="str">
        <f t="shared" si="253"/>
        <v/>
      </c>
      <c r="O1301" s="12" t="str">
        <f t="shared" si="254"/>
        <v>1783</v>
      </c>
      <c r="P1301" s="12"/>
      <c r="Q1301" s="12" t="str">
        <f t="shared" si="249"/>
        <v>1783</v>
      </c>
      <c r="R1301" s="12"/>
      <c r="S1301" s="12" t="str">
        <f t="shared" si="250"/>
        <v/>
      </c>
      <c r="T1301" s="12" t="s">
        <v>48</v>
      </c>
      <c r="U1301" s="12" t="s">
        <v>5087</v>
      </c>
      <c r="V1301" s="12" t="str">
        <f t="shared" si="251"/>
        <v>1807</v>
      </c>
      <c r="W1301" s="12" t="s">
        <v>9320</v>
      </c>
      <c r="X1301" s="12" t="s">
        <v>697</v>
      </c>
      <c r="Y1301" s="12"/>
      <c r="Z1301" s="12"/>
      <c r="AA1301" s="12"/>
      <c r="AB1301" s="12"/>
      <c r="AC1301" s="12" t="s">
        <v>9321</v>
      </c>
      <c r="AD1301" s="12"/>
      <c r="AE1301" s="12"/>
      <c r="AF1301" s="12" t="s">
        <v>5529</v>
      </c>
      <c r="AG1301" s="12" t="s">
        <v>53</v>
      </c>
      <c r="AH1301" s="12" t="s">
        <v>9322</v>
      </c>
      <c r="AI1301" s="12" t="str">
        <f t="shared" si="252"/>
        <v>1837</v>
      </c>
      <c r="AJ1301" s="12" t="s">
        <v>9323</v>
      </c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  <c r="BP1301" s="12"/>
      <c r="BQ1301" s="12"/>
      <c r="BR1301" s="12"/>
      <c r="BS1301" s="12"/>
    </row>
    <row r="1302" spans="1:71">
      <c r="A1302" s="12" t="s">
        <v>726</v>
      </c>
      <c r="B1302" s="12" t="str">
        <f t="shared" si="244"/>
        <v>POTGIETER</v>
      </c>
      <c r="C1302" s="12" t="str">
        <f t="shared" si="245"/>
        <v>POTGIETER</v>
      </c>
      <c r="D1302" s="12" t="s">
        <v>8956</v>
      </c>
      <c r="E1302" s="12" t="str">
        <f t="shared" si="255"/>
        <v>Johannes Theodorus (Isak Son)</v>
      </c>
      <c r="F1302" s="12" t="s">
        <v>8957</v>
      </c>
      <c r="G1302" s="12" t="str">
        <f t="shared" si="246"/>
        <v>a1b1c8d1e4f4</v>
      </c>
      <c r="H1302" s="12" t="str">
        <f t="shared" si="247"/>
        <v>POTGIETERa1b1c8d1e4f4</v>
      </c>
      <c r="I1302" s="12"/>
      <c r="J1302" s="12" t="s">
        <v>9428</v>
      </c>
      <c r="K1302" s="12" t="str">
        <f t="shared" si="248"/>
        <v>1812</v>
      </c>
      <c r="L1302" s="12" t="s">
        <v>74</v>
      </c>
      <c r="M1302" s="12" t="s">
        <v>2340</v>
      </c>
      <c r="N1302" s="12" t="str">
        <f t="shared" si="253"/>
        <v>1812</v>
      </c>
      <c r="O1302" s="12" t="str">
        <f t="shared" si="254"/>
        <v>1812</v>
      </c>
      <c r="P1302" s="12"/>
      <c r="Q1302" s="12" t="str">
        <f t="shared" si="249"/>
        <v>1812</v>
      </c>
      <c r="R1302" s="12"/>
      <c r="S1302" s="12" t="str">
        <f t="shared" si="250"/>
        <v/>
      </c>
      <c r="T1302" s="12"/>
      <c r="U1302" s="12"/>
      <c r="V1302" s="12" t="str">
        <f t="shared" si="251"/>
        <v/>
      </c>
      <c r="W1302" s="12" t="s">
        <v>4694</v>
      </c>
      <c r="X1302" s="12" t="s">
        <v>697</v>
      </c>
      <c r="Y1302" s="12"/>
      <c r="Z1302" s="12"/>
      <c r="AA1302" s="12"/>
      <c r="AB1302" s="12"/>
      <c r="AC1302" s="12"/>
      <c r="AD1302" s="12"/>
      <c r="AE1302" s="12"/>
      <c r="AF1302" s="12" t="s">
        <v>5529</v>
      </c>
      <c r="AG1302" s="12" t="s">
        <v>53</v>
      </c>
      <c r="AH1302" s="12" t="s">
        <v>9429</v>
      </c>
      <c r="AI1302" s="12" t="str">
        <f t="shared" si="252"/>
        <v xml:space="preserve"> (?)</v>
      </c>
      <c r="AJ1302" s="12" t="s">
        <v>9374</v>
      </c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  <c r="BP1302" s="12"/>
      <c r="BQ1302" s="12"/>
      <c r="BR1302" s="12"/>
      <c r="BS1302" s="12"/>
    </row>
    <row r="1303" spans="1:71">
      <c r="A1303" s="12" t="s">
        <v>726</v>
      </c>
      <c r="B1303" s="12" t="str">
        <f t="shared" si="244"/>
        <v>POTGIETER</v>
      </c>
      <c r="C1303" s="12" t="str">
        <f t="shared" si="245"/>
        <v>POTGIETER</v>
      </c>
      <c r="D1303" s="12" t="s">
        <v>8967</v>
      </c>
      <c r="E1303" s="12" t="str">
        <f t="shared" si="255"/>
        <v>Petrus Hendrik ( Isak Son)</v>
      </c>
      <c r="F1303" s="12" t="s">
        <v>8968</v>
      </c>
      <c r="G1303" s="12" t="str">
        <f t="shared" si="246"/>
        <v>a1b1c8d1e4f8</v>
      </c>
      <c r="H1303" s="12" t="str">
        <f t="shared" si="247"/>
        <v>POTGIETERa1b1c8d1e4f8</v>
      </c>
      <c r="I1303" s="12"/>
      <c r="J1303" s="12" t="s">
        <v>9474</v>
      </c>
      <c r="K1303" s="12" t="str">
        <f t="shared" si="248"/>
        <v>1816</v>
      </c>
      <c r="L1303" s="12" t="s">
        <v>74</v>
      </c>
      <c r="M1303" s="12" t="s">
        <v>4419</v>
      </c>
      <c r="N1303" s="12" t="str">
        <f t="shared" si="253"/>
        <v>1816</v>
      </c>
      <c r="O1303" s="12" t="str">
        <f t="shared" si="254"/>
        <v>1817</v>
      </c>
      <c r="P1303" s="12" t="s">
        <v>9475</v>
      </c>
      <c r="Q1303" s="12" t="str">
        <f t="shared" si="249"/>
        <v>1816</v>
      </c>
      <c r="R1303" s="12" t="s">
        <v>9476</v>
      </c>
      <c r="S1303" s="12" t="str">
        <f t="shared" si="250"/>
        <v>1863</v>
      </c>
      <c r="T1303" s="12"/>
      <c r="U1303" s="12"/>
      <c r="V1303" s="12" t="str">
        <f t="shared" si="251"/>
        <v/>
      </c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 t="s">
        <v>5529</v>
      </c>
      <c r="AG1303" s="12" t="s">
        <v>53</v>
      </c>
      <c r="AH1303" s="12" t="s">
        <v>8204</v>
      </c>
      <c r="AI1303" s="12" t="str">
        <f t="shared" si="252"/>
        <v>1836</v>
      </c>
      <c r="AJ1303" s="12" t="s">
        <v>1696</v>
      </c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  <c r="BP1303" s="12"/>
      <c r="BQ1303" s="12"/>
      <c r="BR1303" s="12"/>
      <c r="BS1303" s="12"/>
    </row>
    <row r="1304" spans="1:71">
      <c r="A1304" s="12" t="s">
        <v>726</v>
      </c>
      <c r="B1304" s="12" t="str">
        <f t="shared" si="244"/>
        <v>POTGIETER</v>
      </c>
      <c r="C1304" s="12" t="str">
        <f t="shared" si="245"/>
        <v>POTGIETER</v>
      </c>
      <c r="D1304" s="12" t="s">
        <v>8930</v>
      </c>
      <c r="E1304" s="12" t="str">
        <f t="shared" si="255"/>
        <v>Isak Cornelis Jr.</v>
      </c>
      <c r="F1304" s="12" t="s">
        <v>8931</v>
      </c>
      <c r="G1304" s="12" t="str">
        <f t="shared" si="246"/>
        <v>a1b1c8d1e4f9</v>
      </c>
      <c r="H1304" s="12" t="str">
        <f t="shared" si="247"/>
        <v>POTGIETERa1b1c8d1e4f9</v>
      </c>
      <c r="I1304" s="12"/>
      <c r="J1304" s="12" t="s">
        <v>9324</v>
      </c>
      <c r="K1304" s="12" t="str">
        <f t="shared" si="248"/>
        <v>1818</v>
      </c>
      <c r="L1304" s="12" t="s">
        <v>53</v>
      </c>
      <c r="M1304" s="12" t="s">
        <v>9325</v>
      </c>
      <c r="N1304" s="12" t="str">
        <f t="shared" si="253"/>
        <v>1818</v>
      </c>
      <c r="O1304" s="12" t="str">
        <f t="shared" si="254"/>
        <v>1819</v>
      </c>
      <c r="P1304" s="12" t="s">
        <v>9326</v>
      </c>
      <c r="Q1304" s="12" t="str">
        <f t="shared" si="249"/>
        <v>1818</v>
      </c>
      <c r="R1304" s="12" t="s">
        <v>9327</v>
      </c>
      <c r="S1304" s="12" t="str">
        <f t="shared" si="250"/>
        <v>1886</v>
      </c>
      <c r="T1304" s="12" t="s">
        <v>28</v>
      </c>
      <c r="U1304" s="12" t="s">
        <v>9328</v>
      </c>
      <c r="V1304" s="12" t="str">
        <f t="shared" si="251"/>
        <v>1846</v>
      </c>
      <c r="W1304" s="12" t="s">
        <v>687</v>
      </c>
      <c r="X1304" s="12" t="s">
        <v>2363</v>
      </c>
      <c r="Y1304" s="12"/>
      <c r="Z1304" s="12"/>
      <c r="AA1304" s="12"/>
      <c r="AB1304" s="12"/>
      <c r="AC1304" s="12"/>
      <c r="AD1304" s="12"/>
      <c r="AE1304" s="12"/>
      <c r="AF1304" s="12" t="s">
        <v>3677</v>
      </c>
      <c r="AG1304" s="12" t="s">
        <v>53</v>
      </c>
      <c r="AH1304" s="12" t="s">
        <v>9329</v>
      </c>
      <c r="AI1304" s="12" t="str">
        <f t="shared" si="252"/>
        <v>1837</v>
      </c>
      <c r="AJ1304" s="12" t="s">
        <v>9330</v>
      </c>
      <c r="AK1304" s="12" t="s">
        <v>551</v>
      </c>
      <c r="AL1304" s="12"/>
      <c r="AM1304" s="12"/>
      <c r="AN1304" s="12" t="s">
        <v>9331</v>
      </c>
      <c r="AO1304" s="12" t="s">
        <v>4389</v>
      </c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  <c r="BP1304" s="12"/>
      <c r="BQ1304" s="12"/>
      <c r="BR1304" s="12"/>
      <c r="BS1304" s="12"/>
    </row>
    <row r="1305" spans="1:71">
      <c r="A1305" s="12" t="s">
        <v>726</v>
      </c>
      <c r="B1305" s="12" t="str">
        <f t="shared" si="244"/>
        <v>POTGIETER</v>
      </c>
      <c r="C1305" s="12" t="str">
        <f t="shared" si="245"/>
        <v>POTGIETER</v>
      </c>
      <c r="D1305" s="12" t="s">
        <v>8952</v>
      </c>
      <c r="E1305" s="12" t="str">
        <f t="shared" si="255"/>
        <v>Johannes (Theodorus)</v>
      </c>
      <c r="F1305" s="12" t="s">
        <v>8953</v>
      </c>
      <c r="G1305" s="12" t="str">
        <f t="shared" si="246"/>
        <v>a1b1c8d1e5</v>
      </c>
      <c r="H1305" s="12" t="str">
        <f t="shared" si="247"/>
        <v>POTGIETERa1b1c8d1e5</v>
      </c>
      <c r="I1305" s="12"/>
      <c r="J1305" s="12" t="s">
        <v>9414</v>
      </c>
      <c r="K1305" s="12" t="str">
        <f t="shared" si="248"/>
        <v>1785</v>
      </c>
      <c r="L1305" s="12"/>
      <c r="M1305" s="12"/>
      <c r="N1305" s="12" t="str">
        <f t="shared" si="253"/>
        <v>1785</v>
      </c>
      <c r="O1305" s="12" t="str">
        <f t="shared" si="254"/>
        <v/>
      </c>
      <c r="P1305" s="12"/>
      <c r="Q1305" s="12" t="str">
        <f t="shared" si="249"/>
        <v>1785</v>
      </c>
      <c r="R1305" s="12"/>
      <c r="S1305" s="12" t="str">
        <f t="shared" si="250"/>
        <v/>
      </c>
      <c r="T1305" s="12" t="s">
        <v>53</v>
      </c>
      <c r="U1305" s="12" t="s">
        <v>9415</v>
      </c>
      <c r="V1305" s="12" t="str">
        <f t="shared" si="251"/>
        <v>1807</v>
      </c>
      <c r="W1305" s="12" t="s">
        <v>9416</v>
      </c>
      <c r="X1305" s="12" t="s">
        <v>9417</v>
      </c>
      <c r="Y1305" s="12"/>
      <c r="Z1305" s="12"/>
      <c r="AA1305" s="12"/>
      <c r="AB1305" s="12" t="s">
        <v>32</v>
      </c>
      <c r="AC1305" s="12" t="s">
        <v>9418</v>
      </c>
      <c r="AD1305" s="12"/>
      <c r="AE1305" s="12"/>
      <c r="AF1305" s="12" t="s">
        <v>9419</v>
      </c>
      <c r="AG1305" s="12" t="s">
        <v>53</v>
      </c>
      <c r="AH1305" s="12" t="s">
        <v>8653</v>
      </c>
      <c r="AI1305" s="12" t="str">
        <f t="shared" si="252"/>
        <v>1840</v>
      </c>
      <c r="AJ1305" s="12" t="s">
        <v>9420</v>
      </c>
      <c r="AK1305" s="12" t="s">
        <v>9421</v>
      </c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  <c r="BP1305" s="12"/>
      <c r="BQ1305" s="12"/>
      <c r="BR1305" s="12"/>
      <c r="BS1305" s="12"/>
    </row>
    <row r="1306" spans="1:71">
      <c r="A1306" s="12" t="s">
        <v>726</v>
      </c>
      <c r="B1306" s="12" t="str">
        <f t="shared" si="244"/>
        <v>POTGIETER</v>
      </c>
      <c r="C1306" s="12" t="str">
        <f t="shared" si="245"/>
        <v>POTGIETER</v>
      </c>
      <c r="D1306" s="12" t="s">
        <v>8915</v>
      </c>
      <c r="E1306" s="12" t="str">
        <f t="shared" si="255"/>
        <v>Gerhardus Daniel</v>
      </c>
      <c r="F1306" s="12" t="s">
        <v>8916</v>
      </c>
      <c r="G1306" s="12" t="str">
        <f t="shared" si="246"/>
        <v>a1b1c8d1e5f11</v>
      </c>
      <c r="H1306" s="12" t="str">
        <f t="shared" si="247"/>
        <v>POTGIETERa1b1c8d1e5f11</v>
      </c>
      <c r="I1306" s="12"/>
      <c r="J1306" s="12" t="s">
        <v>9255</v>
      </c>
      <c r="K1306" s="12" t="str">
        <f t="shared" si="248"/>
        <v>1823</v>
      </c>
      <c r="L1306" s="12" t="s">
        <v>53</v>
      </c>
      <c r="M1306" s="12" t="s">
        <v>2259</v>
      </c>
      <c r="N1306" s="12" t="str">
        <f t="shared" si="253"/>
        <v>1823</v>
      </c>
      <c r="O1306" s="12" t="str">
        <f t="shared" si="254"/>
        <v>1824</v>
      </c>
      <c r="P1306" s="12" t="s">
        <v>9256</v>
      </c>
      <c r="Q1306" s="12" t="str">
        <f t="shared" si="249"/>
        <v>1823</v>
      </c>
      <c r="R1306" s="12" t="s">
        <v>9257</v>
      </c>
      <c r="S1306" s="12" t="str">
        <f t="shared" si="250"/>
        <v>1875</v>
      </c>
      <c r="T1306" s="12"/>
      <c r="U1306" s="12" t="s">
        <v>9258</v>
      </c>
      <c r="V1306" s="12" t="str">
        <f t="shared" si="251"/>
        <v>1845</v>
      </c>
      <c r="W1306" s="12" t="s">
        <v>9259</v>
      </c>
      <c r="X1306" s="12" t="s">
        <v>6870</v>
      </c>
      <c r="Y1306" s="12"/>
      <c r="Z1306" s="12"/>
      <c r="AA1306" s="12" t="s">
        <v>9260</v>
      </c>
      <c r="AB1306" s="12" t="s">
        <v>68</v>
      </c>
      <c r="AC1306" s="12" t="s">
        <v>9261</v>
      </c>
      <c r="AD1306" s="12" t="s">
        <v>2877</v>
      </c>
      <c r="AE1306" s="12" t="s">
        <v>9262</v>
      </c>
      <c r="AF1306" s="12" t="s">
        <v>9263</v>
      </c>
      <c r="AG1306" s="12" t="s">
        <v>53</v>
      </c>
      <c r="AH1306" s="12" t="s">
        <v>8653</v>
      </c>
      <c r="AI1306" s="12" t="str">
        <f t="shared" si="252"/>
        <v>1840</v>
      </c>
      <c r="AJ1306" s="12"/>
      <c r="AK1306" s="12" t="s">
        <v>2877</v>
      </c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  <c r="BP1306" s="12"/>
      <c r="BQ1306" s="12"/>
      <c r="BR1306" s="12"/>
      <c r="BS1306" s="12"/>
    </row>
    <row r="1307" spans="1:71">
      <c r="A1307" s="12" t="s">
        <v>726</v>
      </c>
      <c r="B1307" s="12" t="str">
        <f t="shared" si="244"/>
        <v>POTGIETER</v>
      </c>
      <c r="C1307" s="12" t="str">
        <f t="shared" si="245"/>
        <v>POTGIETER</v>
      </c>
      <c r="D1307" s="12" t="s">
        <v>8954</v>
      </c>
      <c r="E1307" s="12" t="str">
        <f t="shared" si="255"/>
        <v>Johannes Theodorus</v>
      </c>
      <c r="F1307" s="12" t="s">
        <v>8955</v>
      </c>
      <c r="G1307" s="12" t="str">
        <f t="shared" si="246"/>
        <v>a1b1c8d1e5f2</v>
      </c>
      <c r="H1307" s="12" t="str">
        <f t="shared" si="247"/>
        <v>POTGIETERa1b1c8d1e5f2</v>
      </c>
      <c r="I1307" s="12"/>
      <c r="J1307" s="12" t="s">
        <v>9422</v>
      </c>
      <c r="K1307" s="12" t="str">
        <f t="shared" si="248"/>
        <v>1810</v>
      </c>
      <c r="L1307" s="12" t="s">
        <v>32</v>
      </c>
      <c r="M1307" s="12" t="s">
        <v>7950</v>
      </c>
      <c r="N1307" s="12" t="str">
        <f t="shared" si="253"/>
        <v>1810</v>
      </c>
      <c r="O1307" s="12" t="str">
        <f t="shared" si="254"/>
        <v>1810</v>
      </c>
      <c r="P1307" s="12" t="s">
        <v>9423</v>
      </c>
      <c r="Q1307" s="12" t="str">
        <f t="shared" si="249"/>
        <v>1810</v>
      </c>
      <c r="R1307" s="12" t="s">
        <v>9424</v>
      </c>
      <c r="S1307" s="12" t="str">
        <f t="shared" si="250"/>
        <v>1874</v>
      </c>
      <c r="T1307" s="12" t="s">
        <v>53</v>
      </c>
      <c r="U1307" s="12" t="s">
        <v>7379</v>
      </c>
      <c r="V1307" s="12" t="str">
        <f t="shared" si="251"/>
        <v>1832</v>
      </c>
      <c r="W1307" s="12" t="s">
        <v>2936</v>
      </c>
      <c r="X1307" s="12" t="s">
        <v>697</v>
      </c>
      <c r="Y1307" s="12"/>
      <c r="Z1307" s="12"/>
      <c r="AA1307" s="12"/>
      <c r="AB1307" s="12"/>
      <c r="AC1307" s="12"/>
      <c r="AD1307" s="12"/>
      <c r="AE1307" s="12"/>
      <c r="AF1307" s="12" t="s">
        <v>9425</v>
      </c>
      <c r="AG1307" s="12" t="s">
        <v>9426</v>
      </c>
      <c r="AH1307" s="12" t="s">
        <v>8149</v>
      </c>
      <c r="AI1307" s="12" t="str">
        <f t="shared" si="252"/>
        <v>1837</v>
      </c>
      <c r="AJ1307" s="12" t="s">
        <v>9427</v>
      </c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  <c r="BP1307" s="12"/>
      <c r="BQ1307" s="12"/>
      <c r="BR1307" s="12"/>
      <c r="BS1307" s="12"/>
    </row>
    <row r="1308" spans="1:71">
      <c r="A1308" s="12" t="s">
        <v>726</v>
      </c>
      <c r="B1308" s="12" t="str">
        <f t="shared" si="244"/>
        <v>POTGIETER</v>
      </c>
      <c r="C1308" s="12" t="str">
        <f t="shared" si="245"/>
        <v>POTGIETER</v>
      </c>
      <c r="D1308" s="12" t="s">
        <v>8971</v>
      </c>
      <c r="E1308" s="12" t="str">
        <f t="shared" si="255"/>
        <v>Petrus Philippus</v>
      </c>
      <c r="F1308" s="12" t="s">
        <v>8972</v>
      </c>
      <c r="G1308" s="12" t="str">
        <f t="shared" si="246"/>
        <v>a1b1c8d1e5f9</v>
      </c>
      <c r="H1308" s="12" t="str">
        <f t="shared" si="247"/>
        <v>POTGIETERa1b1c8d1e5f9</v>
      </c>
      <c r="I1308" s="12"/>
      <c r="J1308" s="12" t="s">
        <v>9489</v>
      </c>
      <c r="K1308" s="12" t="str">
        <f t="shared" si="248"/>
        <v>1820</v>
      </c>
      <c r="L1308" s="12" t="s">
        <v>53</v>
      </c>
      <c r="M1308" s="12" t="s">
        <v>9490</v>
      </c>
      <c r="N1308" s="12" t="str">
        <f t="shared" si="253"/>
        <v>1820</v>
      </c>
      <c r="O1308" s="12" t="str">
        <f t="shared" si="254"/>
        <v>1821</v>
      </c>
      <c r="P1308" s="12" t="s">
        <v>9491</v>
      </c>
      <c r="Q1308" s="12" t="str">
        <f t="shared" si="249"/>
        <v>1820</v>
      </c>
      <c r="R1308" s="12" t="s">
        <v>9492</v>
      </c>
      <c r="S1308" s="12" t="str">
        <f t="shared" si="250"/>
        <v>1901</v>
      </c>
      <c r="T1308" s="12"/>
      <c r="U1308" s="12"/>
      <c r="V1308" s="12" t="str">
        <f t="shared" si="251"/>
        <v/>
      </c>
      <c r="W1308" s="12" t="s">
        <v>9493</v>
      </c>
      <c r="X1308" s="12" t="s">
        <v>670</v>
      </c>
      <c r="Y1308" s="12"/>
      <c r="Z1308" s="12"/>
      <c r="AA1308" s="12" t="s">
        <v>9494</v>
      </c>
      <c r="AB1308" s="12"/>
      <c r="AC1308" s="12"/>
      <c r="AD1308" s="12" t="s">
        <v>9495</v>
      </c>
      <c r="AE1308" s="12" t="s">
        <v>9496</v>
      </c>
      <c r="AF1308" s="12" t="s">
        <v>9497</v>
      </c>
      <c r="AG1308" s="12" t="s">
        <v>53</v>
      </c>
      <c r="AH1308" s="12" t="s">
        <v>8653</v>
      </c>
      <c r="AI1308" s="12" t="str">
        <f t="shared" si="252"/>
        <v>1840</v>
      </c>
      <c r="AJ1308" s="12" t="s">
        <v>9498</v>
      </c>
      <c r="AK1308" s="12" t="s">
        <v>140</v>
      </c>
      <c r="AL1308" s="12" t="s">
        <v>140</v>
      </c>
      <c r="AM1308" s="12"/>
      <c r="AN1308" s="12" t="s">
        <v>9499</v>
      </c>
      <c r="AO1308" s="12" t="s">
        <v>3429</v>
      </c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  <c r="BP1308" s="12"/>
      <c r="BQ1308" s="12"/>
      <c r="BR1308" s="12"/>
      <c r="BS1308" s="12"/>
    </row>
    <row r="1309" spans="1:71">
      <c r="A1309" s="12" t="s">
        <v>726</v>
      </c>
      <c r="B1309" s="12" t="str">
        <f t="shared" si="244"/>
        <v>POTGIETER</v>
      </c>
      <c r="C1309" s="12" t="str">
        <f t="shared" si="245"/>
        <v>POTGIETER</v>
      </c>
      <c r="D1309" s="12" t="s">
        <v>8969</v>
      </c>
      <c r="E1309" s="12" t="str">
        <f t="shared" si="255"/>
        <v>Petrus Hendrik Theunis</v>
      </c>
      <c r="F1309" s="12" t="s">
        <v>8970</v>
      </c>
      <c r="G1309" s="12" t="str">
        <f t="shared" si="246"/>
        <v>a1b1c8d3e2</v>
      </c>
      <c r="H1309" s="12" t="str">
        <f t="shared" si="247"/>
        <v>POTGIETERa1b1c8d3e2</v>
      </c>
      <c r="I1309" s="12"/>
      <c r="J1309" s="12" t="s">
        <v>9477</v>
      </c>
      <c r="K1309" s="12" t="str">
        <f t="shared" si="248"/>
        <v>1783</v>
      </c>
      <c r="L1309" s="12"/>
      <c r="M1309" s="12" t="s">
        <v>9478</v>
      </c>
      <c r="N1309" s="12" t="str">
        <f t="shared" si="253"/>
        <v>1783</v>
      </c>
      <c r="O1309" s="12" t="str">
        <f t="shared" si="254"/>
        <v>1786</v>
      </c>
      <c r="P1309" s="12" t="s">
        <v>9479</v>
      </c>
      <c r="Q1309" s="12" t="str">
        <f t="shared" si="249"/>
        <v>1783</v>
      </c>
      <c r="R1309" s="12" t="s">
        <v>9480</v>
      </c>
      <c r="S1309" s="12" t="str">
        <f t="shared" si="250"/>
        <v>1860</v>
      </c>
      <c r="T1309" s="12"/>
      <c r="U1309" s="12"/>
      <c r="V1309" s="12" t="str">
        <f t="shared" si="251"/>
        <v/>
      </c>
      <c r="W1309" s="12" t="s">
        <v>9481</v>
      </c>
      <c r="X1309" s="12" t="s">
        <v>2547</v>
      </c>
      <c r="Y1309" s="12"/>
      <c r="Z1309" s="12"/>
      <c r="AA1309" s="16">
        <v>1786</v>
      </c>
      <c r="AB1309" s="12"/>
      <c r="AC1309" s="12"/>
      <c r="AD1309" s="12"/>
      <c r="AE1309" s="12"/>
      <c r="AF1309" s="12" t="s">
        <v>570</v>
      </c>
      <c r="AG1309" s="12" t="s">
        <v>53</v>
      </c>
      <c r="AH1309" s="12" t="s">
        <v>9373</v>
      </c>
      <c r="AI1309" s="12" t="str">
        <f t="shared" si="252"/>
        <v>1836</v>
      </c>
      <c r="AJ1309" s="12" t="s">
        <v>7816</v>
      </c>
      <c r="AK1309" s="12" t="s">
        <v>9482</v>
      </c>
      <c r="AL1309" s="12" t="s">
        <v>3085</v>
      </c>
      <c r="AM1309" s="12" t="s">
        <v>1416</v>
      </c>
      <c r="AN1309" s="12" t="s">
        <v>9483</v>
      </c>
      <c r="AO1309" s="12" t="s">
        <v>9484</v>
      </c>
      <c r="AP1309" s="12" t="s">
        <v>9485</v>
      </c>
      <c r="AQ1309" s="12"/>
      <c r="AR1309" s="12"/>
      <c r="AS1309" s="12" t="s">
        <v>9486</v>
      </c>
      <c r="AT1309" s="12" t="s">
        <v>9487</v>
      </c>
      <c r="AU1309" s="12" t="s">
        <v>160</v>
      </c>
      <c r="AV1309" s="12" t="s">
        <v>9488</v>
      </c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  <c r="BP1309" s="12"/>
      <c r="BQ1309" s="12"/>
      <c r="BR1309" s="12"/>
      <c r="BS1309" s="12"/>
    </row>
    <row r="1310" spans="1:71">
      <c r="A1310" s="12" t="s">
        <v>726</v>
      </c>
      <c r="B1310" s="12" t="str">
        <f t="shared" si="244"/>
        <v>POTGIETER</v>
      </c>
      <c r="C1310" s="12" t="str">
        <f t="shared" si="245"/>
        <v>POTGIETER</v>
      </c>
      <c r="D1310" s="12" t="s">
        <v>1477</v>
      </c>
      <c r="E1310" s="12" t="str">
        <f t="shared" si="255"/>
        <v>Willem Frederik</v>
      </c>
      <c r="F1310" s="12" t="s">
        <v>8981</v>
      </c>
      <c r="G1310" s="12" t="str">
        <f t="shared" si="246"/>
        <v>a1b7c8d5e9</v>
      </c>
      <c r="H1310" s="12" t="str">
        <f t="shared" si="247"/>
        <v>POTGIETERa1b7c8d5e9</v>
      </c>
      <c r="I1310" s="12"/>
      <c r="J1310" s="12" t="s">
        <v>1559</v>
      </c>
      <c r="K1310" s="12" t="str">
        <f t="shared" si="248"/>
        <v>1802</v>
      </c>
      <c r="L1310" s="12" t="s">
        <v>74</v>
      </c>
      <c r="M1310" s="12" t="s">
        <v>9542</v>
      </c>
      <c r="N1310" s="12" t="str">
        <f t="shared" si="253"/>
        <v>1802</v>
      </c>
      <c r="O1310" s="12" t="str">
        <f t="shared" si="254"/>
        <v>1802</v>
      </c>
      <c r="P1310" s="12" t="s">
        <v>9543</v>
      </c>
      <c r="Q1310" s="12" t="str">
        <f t="shared" si="249"/>
        <v>1802</v>
      </c>
      <c r="R1310" s="12" t="s">
        <v>9544</v>
      </c>
      <c r="S1310" s="12" t="str">
        <f t="shared" si="250"/>
        <v>1886</v>
      </c>
      <c r="T1310" s="12" t="s">
        <v>74</v>
      </c>
      <c r="U1310" s="12" t="s">
        <v>9545</v>
      </c>
      <c r="V1310" s="12" t="str">
        <f t="shared" si="251"/>
        <v>1822</v>
      </c>
      <c r="W1310" s="12" t="s">
        <v>9546</v>
      </c>
      <c r="X1310" s="12" t="s">
        <v>667</v>
      </c>
      <c r="Y1310" s="12"/>
      <c r="Z1310" s="12"/>
      <c r="AA1310" s="12" t="s">
        <v>7853</v>
      </c>
      <c r="AB1310" s="12"/>
      <c r="AC1310" s="12" t="s">
        <v>7860</v>
      </c>
      <c r="AD1310" s="12" t="s">
        <v>9547</v>
      </c>
      <c r="AE1310" s="12" t="s">
        <v>9548</v>
      </c>
      <c r="AF1310" s="12"/>
      <c r="AG1310" s="12" t="s">
        <v>9541</v>
      </c>
      <c r="AH1310" s="12" t="s">
        <v>7900</v>
      </c>
      <c r="AI1310" s="12" t="str">
        <f t="shared" si="252"/>
        <v>1835</v>
      </c>
      <c r="AJ1310" s="12"/>
      <c r="AK1310" s="12" t="s">
        <v>146</v>
      </c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  <c r="BP1310" s="12"/>
      <c r="BQ1310" s="12"/>
      <c r="BR1310" s="12"/>
      <c r="BS1310" s="12"/>
    </row>
    <row r="1311" spans="1:71">
      <c r="A1311" s="12" t="s">
        <v>726</v>
      </c>
      <c r="B1311" s="12" t="str">
        <f t="shared" si="244"/>
        <v>POTGIETER</v>
      </c>
      <c r="C1311" s="12" t="str">
        <f t="shared" si="245"/>
        <v>POTGIETER</v>
      </c>
      <c r="D1311" s="12" t="s">
        <v>3232</v>
      </c>
      <c r="E1311" s="12" t="str">
        <f t="shared" si="255"/>
        <v>Pieter Jacobus</v>
      </c>
      <c r="F1311" s="12" t="s">
        <v>8977</v>
      </c>
      <c r="G1311" s="12" t="str">
        <f t="shared" si="246"/>
        <v>a1b7c8d6e3</v>
      </c>
      <c r="H1311" s="12" t="str">
        <f t="shared" si="247"/>
        <v>POTGIETERa1b7c8d6e3</v>
      </c>
      <c r="I1311" s="12"/>
      <c r="J1311" s="12"/>
      <c r="K1311" s="12" t="str">
        <f t="shared" si="248"/>
        <v/>
      </c>
      <c r="L1311" s="12"/>
      <c r="M1311" s="12" t="s">
        <v>9516</v>
      </c>
      <c r="N1311" s="12" t="str">
        <f t="shared" si="253"/>
        <v/>
      </c>
      <c r="O1311" s="12" t="str">
        <f t="shared" si="254"/>
        <v>1797</v>
      </c>
      <c r="P1311" s="12" t="s">
        <v>90</v>
      </c>
      <c r="Q1311" s="12" t="str">
        <f t="shared" si="249"/>
        <v>1797</v>
      </c>
      <c r="R1311" s="12">
        <v>1839</v>
      </c>
      <c r="S1311" s="12" t="str">
        <f t="shared" si="250"/>
        <v>1839</v>
      </c>
      <c r="T1311" s="12" t="s">
        <v>74</v>
      </c>
      <c r="U1311" s="12" t="s">
        <v>1850</v>
      </c>
      <c r="V1311" s="12" t="str">
        <f t="shared" si="251"/>
        <v>1816</v>
      </c>
      <c r="W1311" s="12" t="s">
        <v>8127</v>
      </c>
      <c r="X1311" s="12" t="s">
        <v>2235</v>
      </c>
      <c r="Y1311" s="12" t="s">
        <v>9517</v>
      </c>
      <c r="Z1311" s="12"/>
      <c r="AA1311" s="12"/>
      <c r="AB1311" s="12"/>
      <c r="AC1311" s="12" t="s">
        <v>9518</v>
      </c>
      <c r="AD1311" s="12"/>
      <c r="AE1311" s="12"/>
      <c r="AF1311" s="12" t="s">
        <v>9519</v>
      </c>
      <c r="AG1311" s="12" t="s">
        <v>68</v>
      </c>
      <c r="AH1311" s="12" t="s">
        <v>4952</v>
      </c>
      <c r="AI1311" s="12" t="str">
        <f t="shared" si="252"/>
        <v>1837</v>
      </c>
      <c r="AJ1311" s="12" t="s">
        <v>9520</v>
      </c>
      <c r="AK1311" s="12"/>
      <c r="AL1311" s="12" t="s">
        <v>28</v>
      </c>
      <c r="AM1311" s="12" t="s">
        <v>4110</v>
      </c>
      <c r="AN1311" s="12" t="s">
        <v>8166</v>
      </c>
      <c r="AO1311" s="12" t="s">
        <v>2222</v>
      </c>
      <c r="AP1311" s="12"/>
      <c r="AQ1311" s="12"/>
      <c r="AR1311" s="12"/>
      <c r="AS1311" s="12"/>
      <c r="AT1311" s="12"/>
      <c r="AU1311" s="12"/>
      <c r="AV1311" s="12" t="s">
        <v>5445</v>
      </c>
      <c r="AW1311" s="12"/>
      <c r="AX1311" s="12"/>
      <c r="AY1311" s="12" t="s">
        <v>3568</v>
      </c>
      <c r="AZ1311" s="12" t="s">
        <v>3096</v>
      </c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  <c r="BP1311" s="12"/>
      <c r="BQ1311" s="12"/>
      <c r="BR1311" s="12"/>
      <c r="BS1311" s="12"/>
    </row>
    <row r="1312" spans="1:71">
      <c r="A1312" s="12" t="s">
        <v>726</v>
      </c>
      <c r="B1312" s="12" t="str">
        <f t="shared" si="244"/>
        <v>POTGIETER</v>
      </c>
      <c r="C1312" s="12" t="str">
        <f t="shared" si="245"/>
        <v>POTGIETER</v>
      </c>
      <c r="D1312" s="12" t="s">
        <v>8936</v>
      </c>
      <c r="E1312" s="12" t="str">
        <f t="shared" si="255"/>
        <v>Jacobus Christoffel</v>
      </c>
      <c r="F1312" s="12" t="s">
        <v>8937</v>
      </c>
      <c r="G1312" s="12" t="str">
        <f t="shared" si="246"/>
        <v>a1b7c8d6e3f1</v>
      </c>
      <c r="H1312" s="12" t="str">
        <f t="shared" si="247"/>
        <v>POTGIETERa1b7c8d6e3f1</v>
      </c>
      <c r="I1312" s="12"/>
      <c r="J1312" s="12" t="s">
        <v>4402</v>
      </c>
      <c r="K1312" s="12" t="str">
        <f t="shared" si="248"/>
        <v>1819</v>
      </c>
      <c r="L1312" s="12" t="s">
        <v>28</v>
      </c>
      <c r="M1312" s="12" t="s">
        <v>535</v>
      </c>
      <c r="N1312" s="12" t="str">
        <f t="shared" si="253"/>
        <v>1819</v>
      </c>
      <c r="O1312" s="12" t="str">
        <f t="shared" si="254"/>
        <v>1819</v>
      </c>
      <c r="P1312" s="12"/>
      <c r="Q1312" s="12" t="str">
        <f t="shared" si="249"/>
        <v>1819</v>
      </c>
      <c r="R1312" s="12" t="s">
        <v>8407</v>
      </c>
      <c r="S1312" s="12" t="str">
        <f t="shared" si="250"/>
        <v>1843</v>
      </c>
      <c r="T1312" s="12" t="s">
        <v>28</v>
      </c>
      <c r="U1312" s="12" t="s">
        <v>1723</v>
      </c>
      <c r="V1312" s="12" t="str">
        <f t="shared" si="251"/>
        <v>1836</v>
      </c>
      <c r="W1312" s="12" t="s">
        <v>5754</v>
      </c>
      <c r="X1312" s="12" t="s">
        <v>2363</v>
      </c>
      <c r="Y1312" s="12" t="s">
        <v>9343</v>
      </c>
      <c r="Z1312" s="12"/>
      <c r="AA1312" s="12" t="s">
        <v>2914</v>
      </c>
      <c r="AB1312" s="12"/>
      <c r="AC1312" s="12"/>
      <c r="AD1312" s="12"/>
      <c r="AE1312" s="12" t="s">
        <v>9258</v>
      </c>
      <c r="AF1312" s="12" t="s">
        <v>9344</v>
      </c>
      <c r="AG1312" s="12" t="s">
        <v>68</v>
      </c>
      <c r="AH1312" s="12" t="s">
        <v>4952</v>
      </c>
      <c r="AI1312" s="12" t="str">
        <f t="shared" si="252"/>
        <v>1837</v>
      </c>
      <c r="AJ1312" s="12" t="s">
        <v>7593</v>
      </c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  <c r="BP1312" s="12"/>
      <c r="BQ1312" s="12"/>
      <c r="BR1312" s="12"/>
      <c r="BS1312" s="12"/>
    </row>
    <row r="1313" spans="1:71">
      <c r="A1313" s="12" t="s">
        <v>726</v>
      </c>
      <c r="B1313" s="12" t="str">
        <f t="shared" si="244"/>
        <v>POTGIETER</v>
      </c>
      <c r="C1313" s="12" t="str">
        <f t="shared" si="245"/>
        <v>POTGIETER</v>
      </c>
      <c r="D1313" s="12" t="s">
        <v>8934</v>
      </c>
      <c r="E1313" s="12" t="str">
        <f t="shared" si="255"/>
        <v xml:space="preserve">Jacobus Christoffel (Koos Grootvoet) </v>
      </c>
      <c r="F1313" s="12" t="s">
        <v>8935</v>
      </c>
      <c r="G1313" s="12" t="str">
        <f t="shared" si="246"/>
        <v>a1b7c8d6e4</v>
      </c>
      <c r="H1313" s="12" t="str">
        <f t="shared" si="247"/>
        <v>POTGIETERa1b7c8d6e4</v>
      </c>
      <c r="I1313" s="12"/>
      <c r="J1313" s="12"/>
      <c r="K1313" s="12" t="str">
        <f t="shared" si="248"/>
        <v/>
      </c>
      <c r="L1313" s="12"/>
      <c r="M1313" s="12" t="s">
        <v>3567</v>
      </c>
      <c r="N1313" s="12" t="str">
        <f t="shared" si="253"/>
        <v/>
      </c>
      <c r="O1313" s="12" t="str">
        <f t="shared" si="254"/>
        <v>1801</v>
      </c>
      <c r="P1313" s="12"/>
      <c r="Q1313" s="12" t="str">
        <f t="shared" si="249"/>
        <v>1801</v>
      </c>
      <c r="R1313" s="12"/>
      <c r="S1313" s="12" t="str">
        <f t="shared" si="250"/>
        <v/>
      </c>
      <c r="T1313" s="12" t="s">
        <v>74</v>
      </c>
      <c r="U1313" s="12" t="s">
        <v>3905</v>
      </c>
      <c r="V1313" s="12" t="str">
        <f t="shared" si="251"/>
        <v>1817</v>
      </c>
      <c r="W1313" s="12" t="s">
        <v>9340</v>
      </c>
      <c r="X1313" s="12" t="s">
        <v>2026</v>
      </c>
      <c r="Y1313" s="12" t="s">
        <v>7534</v>
      </c>
      <c r="Z1313" s="12"/>
      <c r="AA1313" s="12"/>
      <c r="AB1313" s="12"/>
      <c r="AC1313" s="12" t="s">
        <v>212</v>
      </c>
      <c r="AD1313" s="12"/>
      <c r="AE1313" s="12"/>
      <c r="AF1313" s="12" t="s">
        <v>9341</v>
      </c>
      <c r="AG1313" s="12" t="s">
        <v>68</v>
      </c>
      <c r="AH1313" s="12" t="s">
        <v>4952</v>
      </c>
      <c r="AI1313" s="12" t="str">
        <f t="shared" si="252"/>
        <v>1837</v>
      </c>
      <c r="AJ1313" s="12" t="s">
        <v>9342</v>
      </c>
      <c r="AK1313" s="12" t="s">
        <v>90</v>
      </c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  <c r="BP1313" s="12"/>
      <c r="BQ1313" s="12"/>
      <c r="BR1313" s="12"/>
      <c r="BS1313" s="12"/>
    </row>
    <row r="1314" spans="1:71">
      <c r="A1314" s="12" t="s">
        <v>726</v>
      </c>
      <c r="B1314" s="12" t="str">
        <f t="shared" si="244"/>
        <v>POTGIETER</v>
      </c>
      <c r="C1314" s="12" t="str">
        <f t="shared" si="245"/>
        <v>POTGIETER</v>
      </c>
      <c r="D1314" s="12" t="s">
        <v>8939</v>
      </c>
      <c r="E1314" s="12" t="str">
        <f t="shared" si="255"/>
        <v>Jacobus Christoffel Rudolph</v>
      </c>
      <c r="F1314" s="12" t="s">
        <v>8940</v>
      </c>
      <c r="G1314" s="12" t="str">
        <f t="shared" si="246"/>
        <v>a1b7c8d6e4f4</v>
      </c>
      <c r="H1314" s="12" t="str">
        <f t="shared" si="247"/>
        <v>POTGIETERa1b7c8d6e4f4</v>
      </c>
      <c r="I1314" s="12"/>
      <c r="J1314" s="12"/>
      <c r="K1314" s="12" t="str">
        <f t="shared" si="248"/>
        <v/>
      </c>
      <c r="L1314" s="12" t="s">
        <v>28</v>
      </c>
      <c r="M1314" s="12" t="s">
        <v>3572</v>
      </c>
      <c r="N1314" s="12" t="str">
        <f t="shared" si="253"/>
        <v/>
      </c>
      <c r="O1314" s="12" t="str">
        <f t="shared" si="254"/>
        <v>1824</v>
      </c>
      <c r="P1314" s="12" t="s">
        <v>9353</v>
      </c>
      <c r="Q1314" s="12" t="str">
        <f t="shared" si="249"/>
        <v>1824</v>
      </c>
      <c r="R1314" s="12" t="s">
        <v>9354</v>
      </c>
      <c r="S1314" s="12" t="str">
        <f t="shared" si="250"/>
        <v>1878</v>
      </c>
      <c r="T1314" s="12" t="s">
        <v>140</v>
      </c>
      <c r="U1314" s="12" t="s">
        <v>1032</v>
      </c>
      <c r="V1314" s="12" t="str">
        <f t="shared" si="251"/>
        <v>1848</v>
      </c>
      <c r="W1314" s="12" t="s">
        <v>9356</v>
      </c>
      <c r="X1314" s="12" t="s">
        <v>3321</v>
      </c>
      <c r="Y1314" s="12"/>
      <c r="Z1314" s="12"/>
      <c r="AA1314" s="12" t="s">
        <v>9355</v>
      </c>
      <c r="AB1314" s="12"/>
      <c r="AC1314" s="12" t="s">
        <v>3839</v>
      </c>
      <c r="AD1314" s="12"/>
      <c r="AE1314" s="12" t="s">
        <v>9357</v>
      </c>
      <c r="AF1314" s="12" t="s">
        <v>9341</v>
      </c>
      <c r="AG1314" s="12" t="s">
        <v>68</v>
      </c>
      <c r="AH1314" s="12" t="s">
        <v>4952</v>
      </c>
      <c r="AI1314" s="12" t="str">
        <f t="shared" si="252"/>
        <v>1837</v>
      </c>
      <c r="AJ1314" s="12" t="s">
        <v>4953</v>
      </c>
      <c r="AK1314" s="12" t="s">
        <v>9358</v>
      </c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  <c r="BP1314" s="12"/>
      <c r="BQ1314" s="12"/>
      <c r="BR1314" s="12"/>
      <c r="BS1314" s="12"/>
    </row>
    <row r="1315" spans="1:71">
      <c r="A1315" s="12" t="s">
        <v>726</v>
      </c>
      <c r="B1315" s="12" t="str">
        <f t="shared" si="244"/>
        <v>POTGIETER</v>
      </c>
      <c r="C1315" s="12" t="str">
        <f t="shared" si="245"/>
        <v>POTGIETER</v>
      </c>
      <c r="D1315" s="12" t="s">
        <v>567</v>
      </c>
      <c r="E1315" s="12" t="str">
        <f t="shared" si="255"/>
        <v>Hans Jurgen</v>
      </c>
      <c r="F1315" s="12" t="s">
        <v>8918</v>
      </c>
      <c r="G1315" s="12" t="str">
        <f t="shared" si="246"/>
        <v>a1b7c8d6e6</v>
      </c>
      <c r="H1315" s="12" t="str">
        <f t="shared" si="247"/>
        <v>POTGIETERa1b7c8d6e6</v>
      </c>
      <c r="I1315" s="12"/>
      <c r="J1315" s="12" t="s">
        <v>9271</v>
      </c>
      <c r="K1315" s="12" t="str">
        <f t="shared" si="248"/>
        <v>1806</v>
      </c>
      <c r="L1315" s="12" t="s">
        <v>74</v>
      </c>
      <c r="M1315" s="12" t="s">
        <v>2679</v>
      </c>
      <c r="N1315" s="12" t="str">
        <f t="shared" si="253"/>
        <v>1806</v>
      </c>
      <c r="O1315" s="12" t="str">
        <f t="shared" si="254"/>
        <v>1806</v>
      </c>
      <c r="P1315" s="12"/>
      <c r="Q1315" s="12" t="str">
        <f t="shared" si="249"/>
        <v>1806</v>
      </c>
      <c r="R1315" s="12"/>
      <c r="S1315" s="12" t="str">
        <f t="shared" si="250"/>
        <v/>
      </c>
      <c r="T1315" s="12" t="s">
        <v>28</v>
      </c>
      <c r="U1315" s="12" t="s">
        <v>9272</v>
      </c>
      <c r="V1315" s="12" t="str">
        <f t="shared" si="251"/>
        <v>1825</v>
      </c>
      <c r="W1315" s="12" t="s">
        <v>9273</v>
      </c>
      <c r="X1315" s="12" t="s">
        <v>2026</v>
      </c>
      <c r="Y1315" s="12" t="s">
        <v>9274</v>
      </c>
      <c r="Z1315" s="12"/>
      <c r="AA1315" s="12" t="s">
        <v>4629</v>
      </c>
      <c r="AB1315" s="12"/>
      <c r="AC1315" s="12" t="s">
        <v>1296</v>
      </c>
      <c r="AD1315" s="12"/>
      <c r="AE1315" s="12"/>
      <c r="AF1315" s="12" t="s">
        <v>3699</v>
      </c>
      <c r="AG1315" s="12" t="s">
        <v>68</v>
      </c>
      <c r="AH1315" s="12" t="s">
        <v>9275</v>
      </c>
      <c r="AI1315" s="12" t="str">
        <f t="shared" si="252"/>
        <v>1841</v>
      </c>
      <c r="AJ1315" s="12"/>
      <c r="AK1315" s="12" t="s">
        <v>90</v>
      </c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  <c r="BP1315" s="12"/>
      <c r="BQ1315" s="12"/>
      <c r="BR1315" s="12"/>
      <c r="BS1315" s="12"/>
    </row>
    <row r="1316" spans="1:71">
      <c r="A1316" s="12" t="s">
        <v>726</v>
      </c>
      <c r="B1316" s="12" t="str">
        <f t="shared" si="244"/>
        <v>POTGIETER</v>
      </c>
      <c r="C1316" s="12" t="str">
        <f t="shared" si="245"/>
        <v>POTGIETER</v>
      </c>
      <c r="D1316" s="12" t="s">
        <v>8936</v>
      </c>
      <c r="E1316" s="12" t="str">
        <f t="shared" si="255"/>
        <v>Jacobus Christoffel</v>
      </c>
      <c r="F1316" s="12" t="s">
        <v>8938</v>
      </c>
      <c r="G1316" s="12" t="str">
        <f t="shared" si="246"/>
        <v>a1b7c8d6e6f1</v>
      </c>
      <c r="H1316" s="12" t="str">
        <f t="shared" si="247"/>
        <v>POTGIETERa1b7c8d6e6f1</v>
      </c>
      <c r="I1316" s="12"/>
      <c r="J1316" s="12" t="s">
        <v>9345</v>
      </c>
      <c r="K1316" s="12" t="str">
        <f t="shared" si="248"/>
        <v>1825</v>
      </c>
      <c r="L1316" s="12" t="s">
        <v>28</v>
      </c>
      <c r="M1316" s="12" t="s">
        <v>9346</v>
      </c>
      <c r="N1316" s="12" t="str">
        <f t="shared" si="253"/>
        <v>1825</v>
      </c>
      <c r="O1316" s="12" t="str">
        <f t="shared" si="254"/>
        <v>1826</v>
      </c>
      <c r="P1316" s="12"/>
      <c r="Q1316" s="12" t="str">
        <f t="shared" si="249"/>
        <v>1825</v>
      </c>
      <c r="R1316" s="12"/>
      <c r="S1316" s="12" t="str">
        <f t="shared" si="250"/>
        <v/>
      </c>
      <c r="T1316" s="12"/>
      <c r="U1316" s="12" t="s">
        <v>1032</v>
      </c>
      <c r="V1316" s="12" t="str">
        <f t="shared" si="251"/>
        <v>1848</v>
      </c>
      <c r="W1316" s="12" t="s">
        <v>9347</v>
      </c>
      <c r="X1316" s="12" t="s">
        <v>3321</v>
      </c>
      <c r="Y1316" s="12"/>
      <c r="Z1316" s="12"/>
      <c r="AA1316" s="12">
        <v>1828</v>
      </c>
      <c r="AB1316" s="12"/>
      <c r="AC1316" s="12"/>
      <c r="AD1316" s="12"/>
      <c r="AE1316" s="12" t="s">
        <v>9348</v>
      </c>
      <c r="AF1316" s="12" t="s">
        <v>3699</v>
      </c>
      <c r="AG1316" s="12" t="s">
        <v>68</v>
      </c>
      <c r="AH1316" s="12" t="s">
        <v>9349</v>
      </c>
      <c r="AI1316" s="12" t="str">
        <f t="shared" si="252"/>
        <v xml:space="preserve"> (?)</v>
      </c>
      <c r="AJ1316" s="12" t="s">
        <v>9350</v>
      </c>
      <c r="AK1316" s="12"/>
      <c r="AL1316" s="12"/>
      <c r="AM1316" s="12"/>
      <c r="AN1316" s="12" t="s">
        <v>8161</v>
      </c>
      <c r="AO1316" s="12" t="s">
        <v>625</v>
      </c>
      <c r="AP1316" s="12"/>
      <c r="AQ1316" s="12"/>
      <c r="AR1316" s="12" t="s">
        <v>9351</v>
      </c>
      <c r="AS1316" s="12"/>
      <c r="AT1316" s="12" t="s">
        <v>9352</v>
      </c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  <c r="BP1316" s="12"/>
      <c r="BQ1316" s="12"/>
      <c r="BR1316" s="12"/>
      <c r="BS1316" s="12"/>
    </row>
    <row r="1317" spans="1:71">
      <c r="A1317" s="12" t="s">
        <v>726</v>
      </c>
      <c r="B1317" s="12" t="str">
        <f t="shared" si="244"/>
        <v>POTGIETER</v>
      </c>
      <c r="C1317" s="12" t="str">
        <f t="shared" si="245"/>
        <v>POTGIETER</v>
      </c>
      <c r="D1317" s="12" t="s">
        <v>8973</v>
      </c>
      <c r="E1317" s="12" t="str">
        <f t="shared" si="255"/>
        <v>Philippus Johannes</v>
      </c>
      <c r="F1317" s="12" t="s">
        <v>8974</v>
      </c>
      <c r="G1317" s="12" t="str">
        <f t="shared" si="246"/>
        <v>a1b7c8d6e7</v>
      </c>
      <c r="H1317" s="12" t="str">
        <f t="shared" si="247"/>
        <v>POTGIETERa1b7c8d6e7</v>
      </c>
      <c r="I1317" s="12"/>
      <c r="J1317" s="12" t="s">
        <v>9500</v>
      </c>
      <c r="K1317" s="12" t="str">
        <f t="shared" si="248"/>
        <v>1808</v>
      </c>
      <c r="L1317" s="12" t="s">
        <v>74</v>
      </c>
      <c r="M1317" s="12" t="s">
        <v>9501</v>
      </c>
      <c r="N1317" s="12" t="str">
        <f t="shared" si="253"/>
        <v>1808</v>
      </c>
      <c r="O1317" s="12" t="str">
        <f t="shared" si="254"/>
        <v>1808</v>
      </c>
      <c r="P1317" s="12"/>
      <c r="Q1317" s="12" t="str">
        <f t="shared" si="249"/>
        <v>1808</v>
      </c>
      <c r="R1317" s="12" t="s">
        <v>9502</v>
      </c>
      <c r="S1317" s="12" t="str">
        <f t="shared" si="250"/>
        <v>1871</v>
      </c>
      <c r="T1317" s="12" t="s">
        <v>28</v>
      </c>
      <c r="U1317" s="12" t="s">
        <v>3519</v>
      </c>
      <c r="V1317" s="12" t="str">
        <f t="shared" si="251"/>
        <v>1831</v>
      </c>
      <c r="W1317" s="12" t="s">
        <v>9503</v>
      </c>
      <c r="X1317" s="12" t="s">
        <v>1453</v>
      </c>
      <c r="Y1317" s="12" t="s">
        <v>9504</v>
      </c>
      <c r="Z1317" s="12"/>
      <c r="AA1317" s="12"/>
      <c r="AB1317" s="12"/>
      <c r="AC1317" s="12"/>
      <c r="AD1317" s="12"/>
      <c r="AE1317" s="12"/>
      <c r="AF1317" s="12" t="s">
        <v>3699</v>
      </c>
      <c r="AG1317" s="12" t="s">
        <v>68</v>
      </c>
      <c r="AH1317" s="12" t="s">
        <v>9505</v>
      </c>
      <c r="AI1317" s="12" t="str">
        <f t="shared" si="252"/>
        <v>1837</v>
      </c>
      <c r="AJ1317" s="12" t="s">
        <v>9506</v>
      </c>
      <c r="AK1317" s="12" t="s">
        <v>90</v>
      </c>
      <c r="AL1317" s="12"/>
      <c r="AM1317" s="12"/>
      <c r="AN1317" s="12" t="s">
        <v>3453</v>
      </c>
      <c r="AO1317" s="12" t="s">
        <v>9507</v>
      </c>
      <c r="AP1317" s="12"/>
      <c r="AQ1317" s="12"/>
      <c r="AR1317" s="12"/>
      <c r="AS1317" s="12"/>
      <c r="AT1317" s="12"/>
      <c r="AU1317" s="12" t="s">
        <v>9508</v>
      </c>
      <c r="AV1317" s="12" t="s">
        <v>9509</v>
      </c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  <c r="BP1317" s="12"/>
      <c r="BQ1317" s="12"/>
      <c r="BR1317" s="12"/>
      <c r="BS1317" s="12"/>
    </row>
    <row r="1318" spans="1:71">
      <c r="A1318" s="12" t="s">
        <v>726</v>
      </c>
      <c r="B1318" s="12" t="str">
        <f t="shared" si="244"/>
        <v>POTGIETER</v>
      </c>
      <c r="C1318" s="12" t="str">
        <f t="shared" si="245"/>
        <v>POTGIETER</v>
      </c>
      <c r="D1318" s="12" t="s">
        <v>8919</v>
      </c>
      <c r="E1318" s="12" t="str">
        <f t="shared" si="255"/>
        <v>Hermanus Sr.</v>
      </c>
      <c r="F1318" s="12" t="s">
        <v>8920</v>
      </c>
      <c r="G1318" s="12" t="str">
        <f t="shared" si="246"/>
        <v>a1b7c8d7</v>
      </c>
      <c r="H1318" s="12" t="str">
        <f t="shared" si="247"/>
        <v>POTGIETERa1b7c8d7</v>
      </c>
      <c r="I1318" s="12"/>
      <c r="J1318" s="12" t="s">
        <v>9276</v>
      </c>
      <c r="K1318" s="12" t="str">
        <f t="shared" si="248"/>
        <v>1765</v>
      </c>
      <c r="L1318" s="12" t="s">
        <v>9277</v>
      </c>
      <c r="M1318" s="12" t="s">
        <v>9278</v>
      </c>
      <c r="N1318" s="12" t="str">
        <f t="shared" si="253"/>
        <v>1765</v>
      </c>
      <c r="O1318" s="12" t="str">
        <f t="shared" si="254"/>
        <v>1766</v>
      </c>
      <c r="P1318" s="12" t="s">
        <v>9279</v>
      </c>
      <c r="Q1318" s="12" t="str">
        <f t="shared" si="249"/>
        <v>1765</v>
      </c>
      <c r="R1318" s="12">
        <v>1871</v>
      </c>
      <c r="S1318" s="12" t="str">
        <f t="shared" si="250"/>
        <v>1871</v>
      </c>
      <c r="T1318" s="12" t="s">
        <v>48</v>
      </c>
      <c r="U1318" s="12" t="s">
        <v>8132</v>
      </c>
      <c r="V1318" s="12" t="str">
        <f t="shared" si="251"/>
        <v>1790</v>
      </c>
      <c r="W1318" s="12" t="s">
        <v>1375</v>
      </c>
      <c r="X1318" s="12" t="s">
        <v>1578</v>
      </c>
      <c r="Y1318" s="12"/>
      <c r="Z1318" s="12"/>
      <c r="AA1318" s="12"/>
      <c r="AB1318" s="12"/>
      <c r="AC1318" s="12" t="s">
        <v>9280</v>
      </c>
      <c r="AD1318" s="12"/>
      <c r="AE1318" s="12" t="s">
        <v>9281</v>
      </c>
      <c r="AF1318" s="12" t="s">
        <v>8148</v>
      </c>
      <c r="AG1318" s="12" t="s">
        <v>68</v>
      </c>
      <c r="AH1318" s="12" t="s">
        <v>9185</v>
      </c>
      <c r="AI1318" s="12" t="str">
        <f t="shared" si="252"/>
        <v>1835</v>
      </c>
      <c r="AJ1318" s="12" t="s">
        <v>9282</v>
      </c>
      <c r="AK1318" s="12"/>
      <c r="AL1318" s="12" t="s">
        <v>48</v>
      </c>
      <c r="AM1318" s="12" t="s">
        <v>9283</v>
      </c>
      <c r="AN1318" s="12" t="s">
        <v>8860</v>
      </c>
      <c r="AO1318" s="12" t="s">
        <v>3443</v>
      </c>
      <c r="AP1318" s="12"/>
      <c r="AQ1318" s="12"/>
      <c r="AR1318" s="12"/>
      <c r="AS1318" s="12"/>
      <c r="AT1318" s="12" t="s">
        <v>9284</v>
      </c>
      <c r="AU1318" s="12"/>
      <c r="AV1318" s="12" t="s">
        <v>9285</v>
      </c>
      <c r="AW1318" s="12" t="s">
        <v>74</v>
      </c>
      <c r="AX1318" s="12" t="s">
        <v>3326</v>
      </c>
      <c r="AY1318" s="12" t="s">
        <v>9286</v>
      </c>
      <c r="AZ1318" s="12" t="s">
        <v>2901</v>
      </c>
      <c r="BA1318" s="12"/>
      <c r="BB1318" s="12"/>
      <c r="BC1318" s="12"/>
      <c r="BD1318" s="12" t="s">
        <v>9287</v>
      </c>
      <c r="BE1318" s="12"/>
      <c r="BF1318" s="12"/>
      <c r="BG1318" s="12" t="s">
        <v>74</v>
      </c>
      <c r="BH1318" s="12" t="s">
        <v>2013</v>
      </c>
      <c r="BI1318" s="12" t="s">
        <v>2079</v>
      </c>
      <c r="BJ1318" s="12" t="s">
        <v>1985</v>
      </c>
      <c r="BK1318" s="12"/>
      <c r="BL1318" s="12" t="s">
        <v>9288</v>
      </c>
      <c r="BM1318" s="12"/>
      <c r="BN1318" s="12" t="s">
        <v>9289</v>
      </c>
      <c r="BO1318" s="12"/>
      <c r="BP1318" s="12"/>
      <c r="BQ1318" s="12"/>
      <c r="BR1318" s="12"/>
      <c r="BS1318" s="12"/>
    </row>
    <row r="1319" spans="1:71">
      <c r="A1319" s="12" t="s">
        <v>726</v>
      </c>
      <c r="B1319" s="12" t="str">
        <f t="shared" si="244"/>
        <v>POTGIETER</v>
      </c>
      <c r="C1319" s="12" t="str">
        <f t="shared" si="245"/>
        <v>POTGIETER</v>
      </c>
      <c r="D1319" s="12" t="s">
        <v>1104</v>
      </c>
      <c r="E1319" s="12" t="str">
        <f t="shared" si="255"/>
        <v>Andries Hendrik</v>
      </c>
      <c r="F1319" s="12" t="s">
        <v>8901</v>
      </c>
      <c r="G1319" s="12" t="str">
        <f t="shared" si="246"/>
        <v>a1b7c8d7e2</v>
      </c>
      <c r="H1319" s="12" t="str">
        <f t="shared" si="247"/>
        <v>POTGIETERa1b7c8d7e2</v>
      </c>
      <c r="I1319" s="12"/>
      <c r="J1319" s="12" t="s">
        <v>9180</v>
      </c>
      <c r="K1319" s="12" t="str">
        <f t="shared" si="248"/>
        <v>1792</v>
      </c>
      <c r="L1319" s="12" t="s">
        <v>74</v>
      </c>
      <c r="M1319" s="12" t="s">
        <v>2764</v>
      </c>
      <c r="N1319" s="12" t="str">
        <f t="shared" si="253"/>
        <v>1792</v>
      </c>
      <c r="O1319" s="12" t="str">
        <f t="shared" si="254"/>
        <v>1793</v>
      </c>
      <c r="P1319" s="12" t="s">
        <v>9181</v>
      </c>
      <c r="Q1319" s="12" t="str">
        <f t="shared" si="249"/>
        <v>1792</v>
      </c>
      <c r="R1319" s="12"/>
      <c r="S1319" s="12" t="str">
        <f t="shared" si="250"/>
        <v/>
      </c>
      <c r="T1319" s="12" t="s">
        <v>74</v>
      </c>
      <c r="U1319" s="12" t="s">
        <v>1214</v>
      </c>
      <c r="V1319" s="12" t="str">
        <f t="shared" si="251"/>
        <v>1812</v>
      </c>
      <c r="W1319" s="12" t="s">
        <v>3568</v>
      </c>
      <c r="X1319" s="12" t="s">
        <v>655</v>
      </c>
      <c r="Y1319" s="12"/>
      <c r="Z1319" s="12"/>
      <c r="AA1319" s="12"/>
      <c r="AB1319" s="12"/>
      <c r="AC1319" s="12" t="s">
        <v>9182</v>
      </c>
      <c r="AD1319" s="12" t="s">
        <v>140</v>
      </c>
      <c r="AE1319" s="12" t="s">
        <v>9183</v>
      </c>
      <c r="AF1319" s="12" t="s">
        <v>9184</v>
      </c>
      <c r="AG1319" s="12" t="s">
        <v>68</v>
      </c>
      <c r="AH1319" s="12" t="s">
        <v>9185</v>
      </c>
      <c r="AI1319" s="12" t="str">
        <f t="shared" si="252"/>
        <v>1835</v>
      </c>
      <c r="AJ1319" s="12" t="s">
        <v>9186</v>
      </c>
      <c r="AK1319" s="12" t="s">
        <v>155</v>
      </c>
      <c r="AL1319" s="12" t="s">
        <v>9187</v>
      </c>
      <c r="AM1319" s="12" t="s">
        <v>7432</v>
      </c>
      <c r="AN1319" s="12"/>
      <c r="AO1319" s="12" t="s">
        <v>778</v>
      </c>
      <c r="AP1319" s="12"/>
      <c r="AQ1319" s="12"/>
      <c r="AR1319" s="12"/>
      <c r="AS1319" s="12"/>
      <c r="AT1319" s="12"/>
      <c r="AU1319" s="12"/>
      <c r="AV1319" s="12" t="s">
        <v>9188</v>
      </c>
      <c r="AW1319" s="12" t="s">
        <v>5700</v>
      </c>
      <c r="AX1319" s="12" t="s">
        <v>8407</v>
      </c>
      <c r="AY1319" s="12" t="s">
        <v>741</v>
      </c>
      <c r="AZ1319" s="12" t="s">
        <v>667</v>
      </c>
      <c r="BA1319" s="12"/>
      <c r="BB1319" s="12"/>
      <c r="BC1319" s="12"/>
      <c r="BD1319" s="12"/>
      <c r="BE1319" s="12" t="s">
        <v>140</v>
      </c>
      <c r="BF1319" s="12" t="s">
        <v>9189</v>
      </c>
      <c r="BG1319" s="12" t="s">
        <v>1317</v>
      </c>
      <c r="BH1319" s="12" t="s">
        <v>9190</v>
      </c>
      <c r="BI1319" s="12" t="s">
        <v>1663</v>
      </c>
      <c r="BJ1319" s="12" t="s">
        <v>620</v>
      </c>
      <c r="BK1319" s="12"/>
      <c r="BL1319" s="12"/>
      <c r="BM1319" s="12"/>
      <c r="BN1319" s="12"/>
      <c r="BO1319" s="12"/>
      <c r="BP1319" s="12" t="s">
        <v>9191</v>
      </c>
      <c r="BQ1319" s="12"/>
      <c r="BR1319" s="12"/>
      <c r="BS1319" s="12"/>
    </row>
    <row r="1320" spans="1:71">
      <c r="A1320" s="12" t="s">
        <v>726</v>
      </c>
      <c r="B1320" s="12" t="str">
        <f t="shared" si="244"/>
        <v>POTGIETER</v>
      </c>
      <c r="C1320" s="12" t="str">
        <f t="shared" si="245"/>
        <v>POTGIETER</v>
      </c>
      <c r="D1320" s="12" t="s">
        <v>307</v>
      </c>
      <c r="E1320" s="12" t="str">
        <f t="shared" si="255"/>
        <v>Hermanus Jacobus</v>
      </c>
      <c r="F1320" s="12" t="s">
        <v>8921</v>
      </c>
      <c r="G1320" s="12" t="str">
        <f t="shared" si="246"/>
        <v>a1b7c8d7e2f4</v>
      </c>
      <c r="H1320" s="12" t="str">
        <f t="shared" si="247"/>
        <v>POTGIETERa1b7c8d7e2f4</v>
      </c>
      <c r="I1320" s="12" t="s">
        <v>9290</v>
      </c>
      <c r="J1320" s="12" t="s">
        <v>9291</v>
      </c>
      <c r="K1320" s="12" t="str">
        <f t="shared" si="248"/>
        <v>1821</v>
      </c>
      <c r="L1320" s="12" t="s">
        <v>28</v>
      </c>
      <c r="M1320" s="12" t="s">
        <v>3250</v>
      </c>
      <c r="N1320" s="12" t="str">
        <f t="shared" si="253"/>
        <v>1821</v>
      </c>
      <c r="O1320" s="12" t="str">
        <f t="shared" si="254"/>
        <v>1821</v>
      </c>
      <c r="P1320" s="12" t="s">
        <v>4103</v>
      </c>
      <c r="Q1320" s="12" t="str">
        <f t="shared" si="249"/>
        <v>1821</v>
      </c>
      <c r="R1320" s="12" t="s">
        <v>9292</v>
      </c>
      <c r="S1320" s="12" t="str">
        <f t="shared" si="250"/>
        <v>1899</v>
      </c>
      <c r="T1320" s="12"/>
      <c r="U1320" s="12"/>
      <c r="V1320" s="12" t="str">
        <f t="shared" si="251"/>
        <v/>
      </c>
      <c r="W1320" s="12" t="s">
        <v>9293</v>
      </c>
      <c r="X1320" s="12" t="s">
        <v>788</v>
      </c>
      <c r="Y1320" s="12"/>
      <c r="Z1320" s="12"/>
      <c r="AA1320" s="12"/>
      <c r="AB1320" s="12"/>
      <c r="AC1320" s="12"/>
      <c r="AD1320" s="12" t="s">
        <v>1864</v>
      </c>
      <c r="AE1320" s="12" t="s">
        <v>9294</v>
      </c>
      <c r="AF1320" s="12" t="s">
        <v>9184</v>
      </c>
      <c r="AG1320" s="12" t="s">
        <v>68</v>
      </c>
      <c r="AH1320" s="12" t="s">
        <v>9185</v>
      </c>
      <c r="AI1320" s="12" t="str">
        <f t="shared" si="252"/>
        <v>1835</v>
      </c>
      <c r="AJ1320" s="12" t="s">
        <v>379</v>
      </c>
      <c r="AK1320" s="12" t="s">
        <v>155</v>
      </c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  <c r="BP1320" s="12"/>
      <c r="BQ1320" s="12"/>
      <c r="BR1320" s="12"/>
      <c r="BS1320" s="12"/>
    </row>
    <row r="1321" spans="1:71">
      <c r="A1321" s="12" t="s">
        <v>726</v>
      </c>
      <c r="B1321" s="12" t="str">
        <f t="shared" si="244"/>
        <v>POTGIETER</v>
      </c>
      <c r="C1321" s="12" t="str">
        <f t="shared" si="245"/>
        <v>POTGIETER</v>
      </c>
      <c r="D1321" s="12" t="s">
        <v>4308</v>
      </c>
      <c r="E1321" s="12" t="str">
        <f t="shared" si="255"/>
        <v>Pieter Johannes</v>
      </c>
      <c r="F1321" s="12" t="s">
        <v>8978</v>
      </c>
      <c r="G1321" s="12" t="str">
        <f t="shared" si="246"/>
        <v>a1b7c8d7e2f5</v>
      </c>
      <c r="H1321" s="12" t="str">
        <f t="shared" si="247"/>
        <v>POTGIETERa1b7c8d7e2f5</v>
      </c>
      <c r="I1321" s="12" t="s">
        <v>9521</v>
      </c>
      <c r="J1321" s="12" t="s">
        <v>9522</v>
      </c>
      <c r="K1321" s="12" t="str">
        <f t="shared" si="248"/>
        <v>1822</v>
      </c>
      <c r="L1321" s="12" t="s">
        <v>28</v>
      </c>
      <c r="M1321" s="12" t="s">
        <v>9523</v>
      </c>
      <c r="N1321" s="12" t="str">
        <f t="shared" si="253"/>
        <v>1822</v>
      </c>
      <c r="O1321" s="12" t="str">
        <f t="shared" si="254"/>
        <v>1823</v>
      </c>
      <c r="P1321" s="12" t="s">
        <v>9524</v>
      </c>
      <c r="Q1321" s="12" t="str">
        <f t="shared" si="249"/>
        <v>1822</v>
      </c>
      <c r="R1321" s="12" t="s">
        <v>9525</v>
      </c>
      <c r="S1321" s="12" t="str">
        <f t="shared" si="250"/>
        <v>1854</v>
      </c>
      <c r="T1321" s="12"/>
      <c r="U1321" s="12" t="s">
        <v>9526</v>
      </c>
      <c r="V1321" s="12" t="str">
        <f t="shared" si="251"/>
        <v>1844</v>
      </c>
      <c r="W1321" s="12" t="s">
        <v>9527</v>
      </c>
      <c r="X1321" s="12" t="s">
        <v>780</v>
      </c>
      <c r="Y1321" s="12"/>
      <c r="Z1321" s="12"/>
      <c r="AA1321" s="12" t="s">
        <v>9528</v>
      </c>
      <c r="AB1321" s="12"/>
      <c r="AC1321" s="12"/>
      <c r="AD1321" s="12"/>
      <c r="AE1321" s="12" t="s">
        <v>9451</v>
      </c>
      <c r="AF1321" s="12" t="s">
        <v>9529</v>
      </c>
      <c r="AG1321" s="12" t="s">
        <v>68</v>
      </c>
      <c r="AH1321" s="12" t="s">
        <v>1728</v>
      </c>
      <c r="AI1321" s="12" t="str">
        <f t="shared" si="252"/>
        <v>1837</v>
      </c>
      <c r="AJ1321" s="12" t="s">
        <v>379</v>
      </c>
      <c r="AK1321" s="12" t="s">
        <v>9530</v>
      </c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  <c r="BP1321" s="12"/>
      <c r="BQ1321" s="12"/>
      <c r="BR1321" s="12"/>
      <c r="BS1321" s="12"/>
    </row>
    <row r="1322" spans="1:71">
      <c r="A1322" s="12" t="s">
        <v>726</v>
      </c>
      <c r="B1322" s="12" t="str">
        <f t="shared" si="244"/>
        <v>POTGIETER</v>
      </c>
      <c r="C1322" s="12" t="str">
        <f t="shared" si="245"/>
        <v>POTGIETER</v>
      </c>
      <c r="D1322" s="12" t="s">
        <v>8922</v>
      </c>
      <c r="E1322" s="12" t="str">
        <f t="shared" si="255"/>
        <v>Hermanus Philippus Sr.</v>
      </c>
      <c r="F1322" s="12" t="s">
        <v>8923</v>
      </c>
      <c r="G1322" s="12" t="str">
        <f t="shared" si="246"/>
        <v>a1b7c8d7e5</v>
      </c>
      <c r="H1322" s="12" t="str">
        <f t="shared" si="247"/>
        <v>POTGIETERa1b7c8d7e5</v>
      </c>
      <c r="I1322" s="12"/>
      <c r="J1322" s="12" t="s">
        <v>9295</v>
      </c>
      <c r="K1322" s="12" t="str">
        <f t="shared" si="248"/>
        <v>1797</v>
      </c>
      <c r="L1322" s="12"/>
      <c r="M1322" s="12" t="s">
        <v>349</v>
      </c>
      <c r="N1322" s="12" t="str">
        <f t="shared" si="253"/>
        <v>1797</v>
      </c>
      <c r="O1322" s="12" t="str">
        <f t="shared" si="254"/>
        <v>1797</v>
      </c>
      <c r="P1322" s="12" t="s">
        <v>9296</v>
      </c>
      <c r="Q1322" s="12" t="str">
        <f t="shared" si="249"/>
        <v>1797</v>
      </c>
      <c r="R1322" s="12" t="s">
        <v>6711</v>
      </c>
      <c r="S1322" s="12" t="str">
        <f t="shared" si="250"/>
        <v>1854</v>
      </c>
      <c r="T1322" s="12" t="s">
        <v>74</v>
      </c>
      <c r="U1322" s="12" t="s">
        <v>9297</v>
      </c>
      <c r="V1322" s="12" t="str">
        <f t="shared" si="251"/>
        <v>1817</v>
      </c>
      <c r="W1322" s="12" t="s">
        <v>9298</v>
      </c>
      <c r="X1322" s="12" t="s">
        <v>1187</v>
      </c>
      <c r="Y1322" s="12" t="s">
        <v>9299</v>
      </c>
      <c r="Z1322" s="12" t="s">
        <v>9300</v>
      </c>
      <c r="AA1322" s="12" t="s">
        <v>9301</v>
      </c>
      <c r="AB1322" s="12" t="s">
        <v>74</v>
      </c>
      <c r="AC1322" s="12" t="s">
        <v>9302</v>
      </c>
      <c r="AD1322" s="12" t="s">
        <v>7570</v>
      </c>
      <c r="AE1322" s="12" t="s">
        <v>9303</v>
      </c>
      <c r="AF1322" s="12" t="s">
        <v>9184</v>
      </c>
      <c r="AG1322" s="12" t="s">
        <v>68</v>
      </c>
      <c r="AH1322" s="12" t="s">
        <v>9185</v>
      </c>
      <c r="AI1322" s="12" t="str">
        <f t="shared" si="252"/>
        <v>1835</v>
      </c>
      <c r="AJ1322" s="12" t="s">
        <v>379</v>
      </c>
      <c r="AK1322" s="12" t="s">
        <v>155</v>
      </c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  <c r="BP1322" s="12"/>
      <c r="BQ1322" s="12"/>
      <c r="BR1322" s="12"/>
      <c r="BS1322" s="12"/>
    </row>
    <row r="1323" spans="1:71">
      <c r="A1323" s="12" t="s">
        <v>726</v>
      </c>
      <c r="B1323" s="12" t="str">
        <f t="shared" si="244"/>
        <v>POTGIETER</v>
      </c>
      <c r="C1323" s="12" t="str">
        <f t="shared" si="245"/>
        <v>POTGIETER</v>
      </c>
      <c r="D1323" s="12" t="s">
        <v>8924</v>
      </c>
      <c r="E1323" s="12" t="str">
        <f t="shared" si="255"/>
        <v>Hermanus Philippus Jr.</v>
      </c>
      <c r="F1323" s="12" t="s">
        <v>8925</v>
      </c>
      <c r="G1323" s="12" t="str">
        <f t="shared" si="246"/>
        <v>a1b7c8d7e5f1</v>
      </c>
      <c r="H1323" s="12" t="str">
        <f t="shared" si="247"/>
        <v>POTGIETERa1b7c8d7e5f1</v>
      </c>
      <c r="I1323" s="12" t="s">
        <v>28</v>
      </c>
      <c r="J1323" s="12" t="s">
        <v>4621</v>
      </c>
      <c r="K1323" s="12" t="str">
        <f t="shared" si="248"/>
        <v>1822</v>
      </c>
      <c r="L1323" s="12" t="s">
        <v>28</v>
      </c>
      <c r="M1323" s="12" t="s">
        <v>3934</v>
      </c>
      <c r="N1323" s="12" t="str">
        <f t="shared" si="253"/>
        <v>1822</v>
      </c>
      <c r="O1323" s="12" t="str">
        <f t="shared" si="254"/>
        <v>1822</v>
      </c>
      <c r="P1323" s="12" t="s">
        <v>9304</v>
      </c>
      <c r="Q1323" s="12" t="str">
        <f t="shared" si="249"/>
        <v>1822</v>
      </c>
      <c r="R1323" s="12" t="s">
        <v>9305</v>
      </c>
      <c r="S1323" s="12" t="str">
        <f t="shared" si="250"/>
        <v>1897</v>
      </c>
      <c r="T1323" s="12" t="s">
        <v>140</v>
      </c>
      <c r="U1323" s="12" t="s">
        <v>3449</v>
      </c>
      <c r="V1323" s="12" t="str">
        <f t="shared" si="251"/>
        <v>1840</v>
      </c>
      <c r="W1323" s="12" t="s">
        <v>9306</v>
      </c>
      <c r="X1323" s="12" t="s">
        <v>2589</v>
      </c>
      <c r="Y1323" s="12"/>
      <c r="Z1323" s="12" t="s">
        <v>9307</v>
      </c>
      <c r="AA1323" s="12" t="s">
        <v>9308</v>
      </c>
      <c r="AB1323" s="12"/>
      <c r="AC1323" s="12"/>
      <c r="AD1323" s="12" t="s">
        <v>67</v>
      </c>
      <c r="AE1323" s="12" t="s">
        <v>9309</v>
      </c>
      <c r="AF1323" s="12" t="s">
        <v>9310</v>
      </c>
      <c r="AG1323" s="12" t="s">
        <v>68</v>
      </c>
      <c r="AH1323" s="12" t="s">
        <v>9185</v>
      </c>
      <c r="AI1323" s="12" t="str">
        <f t="shared" si="252"/>
        <v>1835</v>
      </c>
      <c r="AJ1323" s="12" t="s">
        <v>379</v>
      </c>
      <c r="AK1323" s="12" t="s">
        <v>155</v>
      </c>
      <c r="AL1323" s="12" t="s">
        <v>67</v>
      </c>
      <c r="AM1323" s="12" t="s">
        <v>9311</v>
      </c>
      <c r="AN1323" s="12" t="s">
        <v>9312</v>
      </c>
      <c r="AO1323" s="12" t="s">
        <v>1763</v>
      </c>
      <c r="AP1323" s="12"/>
      <c r="AQ1323" s="12" t="s">
        <v>1538</v>
      </c>
      <c r="AR1323" s="12" t="s">
        <v>9313</v>
      </c>
      <c r="AS1323" s="12"/>
      <c r="AT1323" s="12"/>
      <c r="AU1323" s="12" t="s">
        <v>5593</v>
      </c>
      <c r="AV1323" s="12" t="s">
        <v>9314</v>
      </c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  <c r="BO1323" s="12"/>
      <c r="BP1323" s="12"/>
      <c r="BQ1323" s="12"/>
      <c r="BR1323" s="12"/>
      <c r="BS1323" s="12"/>
    </row>
    <row r="1324" spans="1:71">
      <c r="A1324" s="12" t="s">
        <v>726</v>
      </c>
      <c r="B1324" s="12" t="str">
        <f t="shared" si="244"/>
        <v>POTGIETER</v>
      </c>
      <c r="C1324" s="12" t="str">
        <f t="shared" si="245"/>
        <v>POTGIETER</v>
      </c>
      <c r="D1324" s="12" t="s">
        <v>418</v>
      </c>
      <c r="E1324" s="12" t="str">
        <f t="shared" si="255"/>
        <v>Frederik Jacobus</v>
      </c>
      <c r="F1324" s="12" t="s">
        <v>8913</v>
      </c>
      <c r="G1324" s="12" t="str">
        <f t="shared" si="246"/>
        <v>a1b7c8d7e5f2</v>
      </c>
      <c r="H1324" s="12" t="str">
        <f t="shared" si="247"/>
        <v>POTGIETERa1b7c8d7e5f2</v>
      </c>
      <c r="I1324" s="12"/>
      <c r="J1324" s="12" t="s">
        <v>3173</v>
      </c>
      <c r="K1324" s="12" t="str">
        <f t="shared" si="248"/>
        <v>1824</v>
      </c>
      <c r="L1324" s="12" t="s">
        <v>28</v>
      </c>
      <c r="M1324" s="12" t="s">
        <v>218</v>
      </c>
      <c r="N1324" s="12" t="str">
        <f t="shared" si="253"/>
        <v>1824</v>
      </c>
      <c r="O1324" s="12" t="str">
        <f t="shared" si="254"/>
        <v>1824</v>
      </c>
      <c r="P1324" s="12" t="s">
        <v>9240</v>
      </c>
      <c r="Q1324" s="12" t="str">
        <f t="shared" si="249"/>
        <v>1824</v>
      </c>
      <c r="R1324" s="12" t="s">
        <v>9241</v>
      </c>
      <c r="S1324" s="12" t="str">
        <f t="shared" si="250"/>
        <v>1879</v>
      </c>
      <c r="T1324" s="12"/>
      <c r="U1324" s="12"/>
      <c r="V1324" s="12" t="str">
        <f t="shared" si="251"/>
        <v/>
      </c>
      <c r="W1324" s="12" t="s">
        <v>9242</v>
      </c>
      <c r="X1324" s="12" t="s">
        <v>1763</v>
      </c>
      <c r="Y1324" s="12"/>
      <c r="Z1324" s="12"/>
      <c r="AA1324" s="12" t="s">
        <v>9243</v>
      </c>
      <c r="AB1324" s="12"/>
      <c r="AC1324" s="12"/>
      <c r="AD1324" s="12" t="s">
        <v>9244</v>
      </c>
      <c r="AE1324" s="12" t="s">
        <v>9241</v>
      </c>
      <c r="AF1324" s="12" t="s">
        <v>7563</v>
      </c>
      <c r="AG1324" s="12" t="s">
        <v>9245</v>
      </c>
      <c r="AH1324" s="12" t="s">
        <v>9185</v>
      </c>
      <c r="AI1324" s="12" t="str">
        <f t="shared" si="252"/>
        <v>1835</v>
      </c>
      <c r="AJ1324" s="12" t="s">
        <v>9246</v>
      </c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  <c r="BP1324" s="12"/>
      <c r="BQ1324" s="12"/>
      <c r="BR1324" s="12"/>
      <c r="BS1324" s="12"/>
    </row>
    <row r="1325" spans="1:71">
      <c r="A1325" s="12" t="s">
        <v>726</v>
      </c>
      <c r="B1325" s="12" t="str">
        <f t="shared" si="244"/>
        <v>POTGIETER</v>
      </c>
      <c r="C1325" s="12" t="str">
        <f t="shared" si="245"/>
        <v>POTGIETER</v>
      </c>
      <c r="D1325" s="12" t="s">
        <v>2140</v>
      </c>
      <c r="E1325" s="12" t="str">
        <f t="shared" si="255"/>
        <v>Jacobus Johannes</v>
      </c>
      <c r="F1325" s="12" t="s">
        <v>8941</v>
      </c>
      <c r="G1325" s="12" t="str">
        <f t="shared" si="246"/>
        <v>a1b7c8d7e7 and b7c8d8e7 in SAG</v>
      </c>
      <c r="H1325" s="12" t="str">
        <f t="shared" si="247"/>
        <v>POTGIETERa1b7c8d7e7 and b7c8d8e7 in SAG</v>
      </c>
      <c r="I1325" s="12"/>
      <c r="J1325" s="12" t="s">
        <v>9359</v>
      </c>
      <c r="K1325" s="12" t="str">
        <f t="shared" si="248"/>
        <v>1800</v>
      </c>
      <c r="L1325" s="12" t="s">
        <v>74</v>
      </c>
      <c r="M1325" s="12" t="s">
        <v>3535</v>
      </c>
      <c r="N1325" s="12" t="str">
        <f t="shared" si="253"/>
        <v>1800</v>
      </c>
      <c r="O1325" s="12" t="str">
        <f t="shared" si="254"/>
        <v>1800</v>
      </c>
      <c r="P1325" s="12" t="s">
        <v>9360</v>
      </c>
      <c r="Q1325" s="12" t="str">
        <f t="shared" si="249"/>
        <v>1800</v>
      </c>
      <c r="R1325" s="12" t="s">
        <v>9361</v>
      </c>
      <c r="S1325" s="12" t="str">
        <f t="shared" si="250"/>
        <v>1873</v>
      </c>
      <c r="T1325" s="12"/>
      <c r="U1325" s="12"/>
      <c r="V1325" s="12" t="str">
        <f t="shared" si="251"/>
        <v/>
      </c>
      <c r="W1325" s="12" t="s">
        <v>3503</v>
      </c>
      <c r="X1325" s="12" t="s">
        <v>655</v>
      </c>
      <c r="Y1325" s="12"/>
      <c r="Z1325" s="12"/>
      <c r="AA1325" s="12" t="s">
        <v>515</v>
      </c>
      <c r="AB1325" s="12" t="s">
        <v>74</v>
      </c>
      <c r="AC1325" s="12" t="s">
        <v>9362</v>
      </c>
      <c r="AD1325" s="12" t="s">
        <v>1317</v>
      </c>
      <c r="AE1325" s="12" t="s">
        <v>9363</v>
      </c>
      <c r="AF1325" s="12" t="s">
        <v>8148</v>
      </c>
      <c r="AG1325" s="12" t="s">
        <v>68</v>
      </c>
      <c r="AH1325" s="12" t="s">
        <v>9364</v>
      </c>
      <c r="AI1325" s="12" t="str">
        <f t="shared" si="252"/>
        <v>1835</v>
      </c>
      <c r="AJ1325" s="12" t="s">
        <v>7564</v>
      </c>
      <c r="AK1325" s="12" t="s">
        <v>9365</v>
      </c>
      <c r="AL1325" s="12"/>
      <c r="AM1325" s="12" t="s">
        <v>9366</v>
      </c>
      <c r="AN1325" s="12" t="s">
        <v>7225</v>
      </c>
      <c r="AO1325" s="12" t="s">
        <v>2427</v>
      </c>
      <c r="AP1325" s="12" t="s">
        <v>4454</v>
      </c>
      <c r="AQ1325" s="12"/>
      <c r="AR1325" s="12" t="s">
        <v>9367</v>
      </c>
      <c r="AS1325" s="12" t="s">
        <v>74</v>
      </c>
      <c r="AT1325" s="12" t="s">
        <v>8566</v>
      </c>
      <c r="AU1325" s="12"/>
      <c r="AV1325" s="12"/>
      <c r="AW1325" s="12"/>
      <c r="AX1325" s="12"/>
      <c r="AY1325" s="12" t="s">
        <v>3015</v>
      </c>
      <c r="AZ1325" s="12" t="s">
        <v>3765</v>
      </c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  <c r="BP1325" s="12"/>
      <c r="BQ1325" s="12"/>
      <c r="BR1325" s="12"/>
      <c r="BS1325" s="12"/>
    </row>
    <row r="1326" spans="1:71">
      <c r="A1326" s="12" t="s">
        <v>726</v>
      </c>
      <c r="B1326" s="12" t="str">
        <f t="shared" si="244"/>
        <v>POTGIETER</v>
      </c>
      <c r="C1326" s="12" t="str">
        <f t="shared" si="245"/>
        <v>POTGIETER</v>
      </c>
      <c r="D1326" s="12" t="s">
        <v>1484</v>
      </c>
      <c r="E1326" s="12" t="str">
        <f t="shared" si="255"/>
        <v>Willem Jacobus</v>
      </c>
      <c r="F1326" s="12" t="s">
        <v>8982</v>
      </c>
      <c r="G1326" s="12" t="str">
        <f t="shared" si="246"/>
        <v>a1b7c8d7e8</v>
      </c>
      <c r="H1326" s="12" t="str">
        <f t="shared" si="247"/>
        <v>POTGIETERa1b7c8d7e8</v>
      </c>
      <c r="I1326" s="12"/>
      <c r="J1326" s="12" t="s">
        <v>9281</v>
      </c>
      <c r="K1326" s="12" t="str">
        <f t="shared" si="248"/>
        <v>1802</v>
      </c>
      <c r="L1326" s="12"/>
      <c r="M1326" s="12"/>
      <c r="N1326" s="12" t="str">
        <f t="shared" si="253"/>
        <v>1802</v>
      </c>
      <c r="O1326" s="12" t="str">
        <f t="shared" si="254"/>
        <v/>
      </c>
      <c r="P1326" s="12"/>
      <c r="Q1326" s="12" t="str">
        <f t="shared" si="249"/>
        <v>1802</v>
      </c>
      <c r="R1326" s="12"/>
      <c r="S1326" s="12" t="str">
        <f t="shared" si="250"/>
        <v/>
      </c>
      <c r="T1326" s="12" t="s">
        <v>53</v>
      </c>
      <c r="U1326" s="12" t="s">
        <v>5527</v>
      </c>
      <c r="V1326" s="12" t="str">
        <f t="shared" si="251"/>
        <v>1822</v>
      </c>
      <c r="W1326" s="12" t="s">
        <v>9549</v>
      </c>
      <c r="X1326" s="12" t="s">
        <v>655</v>
      </c>
      <c r="Y1326" s="12" t="s">
        <v>9550</v>
      </c>
      <c r="Z1326" s="12"/>
      <c r="AA1326" s="12"/>
      <c r="AB1326" s="12"/>
      <c r="AC1326" s="12" t="s">
        <v>8635</v>
      </c>
      <c r="AD1326" s="12"/>
      <c r="AE1326" s="12"/>
      <c r="AF1326" s="12" t="s">
        <v>9551</v>
      </c>
      <c r="AG1326" s="12" t="s">
        <v>68</v>
      </c>
      <c r="AH1326" s="12" t="s">
        <v>9364</v>
      </c>
      <c r="AI1326" s="12" t="str">
        <f t="shared" si="252"/>
        <v>1835</v>
      </c>
      <c r="AJ1326" s="12" t="s">
        <v>379</v>
      </c>
      <c r="AK1326" s="12" t="s">
        <v>9552</v>
      </c>
      <c r="AL1326" s="12"/>
      <c r="AM1326" s="12"/>
      <c r="AN1326" s="12" t="s">
        <v>9553</v>
      </c>
      <c r="AO1326" s="12" t="s">
        <v>2402</v>
      </c>
      <c r="AP1326" s="12"/>
      <c r="AQ1326" s="12" t="s">
        <v>32</v>
      </c>
      <c r="AR1326" s="12" t="s">
        <v>9554</v>
      </c>
      <c r="AS1326" s="12"/>
      <c r="AT1326" s="12"/>
      <c r="AU1326" s="12" t="s">
        <v>9555</v>
      </c>
      <c r="AV1326" s="12" t="s">
        <v>9556</v>
      </c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  <c r="BP1326" s="12"/>
      <c r="BQ1326" s="12"/>
      <c r="BR1326" s="12"/>
      <c r="BS1326" s="12"/>
    </row>
    <row r="1327" spans="1:71">
      <c r="A1327" s="12" t="s">
        <v>726</v>
      </c>
      <c r="B1327" s="12" t="str">
        <f t="shared" si="244"/>
        <v>POTGIETER</v>
      </c>
      <c r="C1327" s="12" t="str">
        <f t="shared" si="245"/>
        <v>POTGIETER</v>
      </c>
      <c r="D1327" s="12" t="s">
        <v>3944</v>
      </c>
      <c r="E1327" s="12" t="str">
        <f t="shared" si="255"/>
        <v>Nicolaas Johannes</v>
      </c>
      <c r="F1327" s="12" t="s">
        <v>8964</v>
      </c>
      <c r="G1327" s="12" t="str">
        <f t="shared" si="246"/>
        <v>a1b7c8d7e9</v>
      </c>
      <c r="H1327" s="12" t="str">
        <f t="shared" si="247"/>
        <v>POTGIETERa1b7c8d7e9</v>
      </c>
      <c r="I1327" s="12" t="s">
        <v>9461</v>
      </c>
      <c r="J1327" s="12" t="s">
        <v>9462</v>
      </c>
      <c r="K1327" s="12" t="str">
        <f t="shared" si="248"/>
        <v>1804</v>
      </c>
      <c r="L1327" s="12" t="s">
        <v>48</v>
      </c>
      <c r="M1327" s="12" t="s">
        <v>7783</v>
      </c>
      <c r="N1327" s="12" t="str">
        <f t="shared" si="253"/>
        <v>1804</v>
      </c>
      <c r="O1327" s="12" t="str">
        <f t="shared" si="254"/>
        <v>1805</v>
      </c>
      <c r="P1327" s="12" t="s">
        <v>9463</v>
      </c>
      <c r="Q1327" s="12" t="str">
        <f t="shared" si="249"/>
        <v>1804</v>
      </c>
      <c r="R1327" s="12" t="s">
        <v>9464</v>
      </c>
      <c r="S1327" s="12" t="str">
        <f t="shared" si="250"/>
        <v>1836</v>
      </c>
      <c r="T1327" s="12" t="s">
        <v>68</v>
      </c>
      <c r="U1327" s="12" t="s">
        <v>269</v>
      </c>
      <c r="V1327" s="12" t="str">
        <f t="shared" si="251"/>
        <v>1826</v>
      </c>
      <c r="W1327" s="12" t="s">
        <v>9465</v>
      </c>
      <c r="X1327" s="12" t="s">
        <v>2023</v>
      </c>
      <c r="Y1327" s="12"/>
      <c r="Z1327" s="12"/>
      <c r="AA1327" s="12"/>
      <c r="AB1327" s="12"/>
      <c r="AC1327" s="12"/>
      <c r="AD1327" s="12"/>
      <c r="AE1327" s="12"/>
      <c r="AF1327" s="12" t="s">
        <v>3699</v>
      </c>
      <c r="AG1327" s="12" t="s">
        <v>68</v>
      </c>
      <c r="AH1327" s="12" t="s">
        <v>9364</v>
      </c>
      <c r="AI1327" s="12" t="str">
        <f t="shared" si="252"/>
        <v>1835</v>
      </c>
      <c r="AJ1327" s="12" t="s">
        <v>9466</v>
      </c>
      <c r="AK1327" s="12"/>
      <c r="AL1327" s="12" t="s">
        <v>28</v>
      </c>
      <c r="AM1327" s="12" t="s">
        <v>9467</v>
      </c>
      <c r="AN1327" s="12" t="s">
        <v>9468</v>
      </c>
      <c r="AO1327" s="12" t="s">
        <v>2106</v>
      </c>
      <c r="AP1327" s="12" t="s">
        <v>2635</v>
      </c>
      <c r="AQ1327" s="12"/>
      <c r="AR1327" s="12" t="s">
        <v>9469</v>
      </c>
      <c r="AS1327" s="12" t="s">
        <v>74</v>
      </c>
      <c r="AT1327" s="12" t="s">
        <v>1191</v>
      </c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  <c r="BO1327" s="12"/>
      <c r="BP1327" s="12"/>
      <c r="BQ1327" s="12"/>
      <c r="BR1327" s="12"/>
      <c r="BS1327" s="12"/>
    </row>
    <row r="1328" spans="1:71">
      <c r="A1328" s="12" t="s">
        <v>726</v>
      </c>
      <c r="B1328" s="12" t="str">
        <f t="shared" si="244"/>
        <v>POTGIETER</v>
      </c>
      <c r="C1328" s="12" t="str">
        <f t="shared" si="245"/>
        <v>POTGIETER</v>
      </c>
      <c r="D1328" s="12" t="s">
        <v>6025</v>
      </c>
      <c r="E1328" s="12" t="str">
        <f t="shared" si="255"/>
        <v>Marthinus Jacobus</v>
      </c>
      <c r="F1328" s="12" t="s">
        <v>8958</v>
      </c>
      <c r="G1328" s="12" t="str">
        <f t="shared" si="246"/>
        <v>a1b7c9d3e6</v>
      </c>
      <c r="H1328" s="12" t="str">
        <f t="shared" si="247"/>
        <v>POTGIETERa1b7c9d3e6</v>
      </c>
      <c r="I1328" s="12"/>
      <c r="J1328" s="12" t="s">
        <v>6865</v>
      </c>
      <c r="K1328" s="12" t="str">
        <f t="shared" si="248"/>
        <v>1793</v>
      </c>
      <c r="L1328" s="12" t="s">
        <v>32</v>
      </c>
      <c r="M1328" s="12" t="s">
        <v>9430</v>
      </c>
      <c r="N1328" s="12" t="str">
        <f t="shared" si="253"/>
        <v>1793</v>
      </c>
      <c r="O1328" s="12" t="str">
        <f t="shared" si="254"/>
        <v>1794</v>
      </c>
      <c r="P1328" s="12" t="s">
        <v>9431</v>
      </c>
      <c r="Q1328" s="12" t="str">
        <f t="shared" si="249"/>
        <v>1793</v>
      </c>
      <c r="R1328" s="12" t="s">
        <v>9432</v>
      </c>
      <c r="S1328" s="12" t="str">
        <f t="shared" si="250"/>
        <v>1875</v>
      </c>
      <c r="T1328" s="12"/>
      <c r="U1328" s="12" t="s">
        <v>8605</v>
      </c>
      <c r="V1328" s="12" t="str">
        <f t="shared" si="251"/>
        <v>1813</v>
      </c>
      <c r="W1328" s="12" t="s">
        <v>2574</v>
      </c>
      <c r="X1328" s="12" t="s">
        <v>9433</v>
      </c>
      <c r="Y1328" s="12" t="s">
        <v>9434</v>
      </c>
      <c r="Z1328" s="12"/>
      <c r="AA1328" s="12"/>
      <c r="AB1328" s="12" t="s">
        <v>32</v>
      </c>
      <c r="AC1328" s="12" t="s">
        <v>9435</v>
      </c>
      <c r="AD1328" s="12"/>
      <c r="AE1328" s="12"/>
      <c r="AF1328" s="12" t="s">
        <v>3717</v>
      </c>
      <c r="AG1328" s="12" t="s">
        <v>346</v>
      </c>
      <c r="AH1328" s="12" t="s">
        <v>5443</v>
      </c>
      <c r="AI1328" s="12" t="str">
        <f t="shared" si="252"/>
        <v>1837</v>
      </c>
      <c r="AJ1328" s="12" t="s">
        <v>5444</v>
      </c>
      <c r="AK1328" s="12"/>
      <c r="AL1328" s="12" t="s">
        <v>5146</v>
      </c>
      <c r="AM1328" s="12" t="s">
        <v>9436</v>
      </c>
      <c r="AN1328" s="12" t="s">
        <v>9437</v>
      </c>
      <c r="AO1328" s="12" t="s">
        <v>9438</v>
      </c>
      <c r="AP1328" s="12"/>
      <c r="AQ1328" s="12"/>
      <c r="AR1328" s="12"/>
      <c r="AS1328" s="12"/>
      <c r="AT1328" s="12"/>
      <c r="AU1328" s="12"/>
      <c r="AV1328" s="12" t="s">
        <v>9439</v>
      </c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  <c r="BP1328" s="12"/>
      <c r="BQ1328" s="12"/>
      <c r="BR1328" s="12"/>
      <c r="BS1328" s="12"/>
    </row>
    <row r="1329" spans="1:71">
      <c r="A1329" s="12" t="s">
        <v>726</v>
      </c>
      <c r="B1329" s="12" t="str">
        <f t="shared" si="244"/>
        <v>POTGIETER</v>
      </c>
      <c r="C1329" s="12" t="str">
        <f t="shared" si="245"/>
        <v>POTGIETER</v>
      </c>
      <c r="D1329" s="12" t="s">
        <v>1285</v>
      </c>
      <c r="E1329" s="12" t="str">
        <f t="shared" si="255"/>
        <v>Johannes Jurgen</v>
      </c>
      <c r="F1329" s="12" t="s">
        <v>8949</v>
      </c>
      <c r="G1329" s="12" t="str">
        <f t="shared" si="246"/>
        <v>a1b7c9d3e6f2</v>
      </c>
      <c r="H1329" s="12" t="str">
        <f t="shared" si="247"/>
        <v>POTGIETERa1b7c9d3e6f2</v>
      </c>
      <c r="I1329" s="12"/>
      <c r="J1329" s="12" t="s">
        <v>9399</v>
      </c>
      <c r="K1329" s="12" t="str">
        <f t="shared" si="248"/>
        <v>1815</v>
      </c>
      <c r="L1329" s="12" t="s">
        <v>199</v>
      </c>
      <c r="M1329" s="12" t="s">
        <v>9400</v>
      </c>
      <c r="N1329" s="12" t="str">
        <f t="shared" si="253"/>
        <v>1815</v>
      </c>
      <c r="O1329" s="12" t="str">
        <f t="shared" si="254"/>
        <v>1815</v>
      </c>
      <c r="P1329" s="12"/>
      <c r="Q1329" s="12" t="str">
        <f t="shared" si="249"/>
        <v>1815</v>
      </c>
      <c r="R1329" s="12" t="s">
        <v>9401</v>
      </c>
      <c r="T1329" s="12" t="s">
        <v>28</v>
      </c>
      <c r="U1329" s="12" t="s">
        <v>9402</v>
      </c>
      <c r="V1329" s="12" t="str">
        <f t="shared" si="251"/>
        <v>1837</v>
      </c>
      <c r="W1329" s="12" t="s">
        <v>2842</v>
      </c>
      <c r="X1329" s="12" t="s">
        <v>694</v>
      </c>
      <c r="Y1329" s="12" t="s">
        <v>9403</v>
      </c>
      <c r="Z1329" s="12"/>
      <c r="AA1329" s="12" t="s">
        <v>7898</v>
      </c>
      <c r="AB1329" s="12" t="s">
        <v>28</v>
      </c>
      <c r="AC1329" s="12" t="s">
        <v>1219</v>
      </c>
      <c r="AD1329" s="12"/>
      <c r="AE1329" s="12" t="s">
        <v>9404</v>
      </c>
      <c r="AF1329" s="12" t="s">
        <v>9310</v>
      </c>
      <c r="AG1329" s="12" t="s">
        <v>28</v>
      </c>
      <c r="AH1329" s="12" t="s">
        <v>8218</v>
      </c>
      <c r="AI1329" s="12" t="str">
        <f t="shared" si="252"/>
        <v xml:space="preserve"> (?)</v>
      </c>
      <c r="AJ1329" s="12" t="s">
        <v>5437</v>
      </c>
      <c r="AK1329" s="12" t="s">
        <v>1017</v>
      </c>
      <c r="AL1329" s="12" t="s">
        <v>594</v>
      </c>
      <c r="AM1329" s="12" t="s">
        <v>9405</v>
      </c>
      <c r="AN1329" s="12" t="s">
        <v>9406</v>
      </c>
      <c r="AO1329" s="12" t="s">
        <v>5574</v>
      </c>
      <c r="AP1329" s="12" t="s">
        <v>865</v>
      </c>
      <c r="AQ1329" s="12"/>
      <c r="AR1329" s="12" t="s">
        <v>9407</v>
      </c>
      <c r="AS1329" s="12"/>
      <c r="AT1329" s="12"/>
      <c r="AU1329" s="12"/>
      <c r="AV1329" s="12" t="s">
        <v>9401</v>
      </c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  <c r="BP1329" s="12"/>
      <c r="BQ1329" s="12"/>
      <c r="BR1329" s="12"/>
      <c r="BS1329" s="12"/>
    </row>
    <row r="1330" spans="1:71">
      <c r="A1330" s="12" t="s">
        <v>726</v>
      </c>
      <c r="B1330" s="12" t="str">
        <f t="shared" si="244"/>
        <v>POTGIETER</v>
      </c>
      <c r="C1330" s="12" t="str">
        <f t="shared" si="245"/>
        <v>POTGIETER</v>
      </c>
      <c r="D1330" s="12" t="s">
        <v>4980</v>
      </c>
      <c r="E1330" s="12" t="str">
        <f t="shared" si="255"/>
        <v>Johannes Hermanus</v>
      </c>
      <c r="F1330" s="12" t="s">
        <v>8945</v>
      </c>
      <c r="G1330" s="12" t="str">
        <f t="shared" si="246"/>
        <v>a1b7c9d3e6f3</v>
      </c>
      <c r="H1330" s="12" t="str">
        <f t="shared" si="247"/>
        <v>POTGIETERa1b7c9d3e6f3</v>
      </c>
      <c r="I1330" s="12" t="s">
        <v>8685</v>
      </c>
      <c r="J1330" s="12" t="s">
        <v>8152</v>
      </c>
      <c r="K1330" s="12" t="str">
        <f t="shared" si="248"/>
        <v>1818</v>
      </c>
      <c r="L1330" s="12" t="s">
        <v>53</v>
      </c>
      <c r="M1330" s="12" t="s">
        <v>855</v>
      </c>
      <c r="N1330" s="12" t="str">
        <f t="shared" si="253"/>
        <v>1818</v>
      </c>
      <c r="O1330" s="12" t="str">
        <f t="shared" si="254"/>
        <v>1819</v>
      </c>
      <c r="P1330" s="12" t="s">
        <v>9382</v>
      </c>
      <c r="Q1330" s="12" t="str">
        <f t="shared" si="249"/>
        <v>1818</v>
      </c>
      <c r="R1330" s="12" t="s">
        <v>9383</v>
      </c>
      <c r="S1330" s="12" t="str">
        <f t="shared" si="250"/>
        <v>1896</v>
      </c>
      <c r="T1330" s="12" t="s">
        <v>53</v>
      </c>
      <c r="U1330" s="12" t="s">
        <v>8149</v>
      </c>
      <c r="V1330" s="12" t="str">
        <f t="shared" si="251"/>
        <v>1837</v>
      </c>
      <c r="W1330" s="12" t="s">
        <v>9384</v>
      </c>
      <c r="X1330" s="12" t="s">
        <v>694</v>
      </c>
      <c r="Y1330" s="12" t="s">
        <v>9385</v>
      </c>
      <c r="Z1330" s="12"/>
      <c r="AA1330" s="12" t="s">
        <v>9386</v>
      </c>
      <c r="AB1330" s="12"/>
      <c r="AC1330" s="12"/>
      <c r="AD1330" s="12" t="s">
        <v>9387</v>
      </c>
      <c r="AE1330" s="12" t="s">
        <v>9388</v>
      </c>
      <c r="AF1330" s="12" t="s">
        <v>3717</v>
      </c>
      <c r="AG1330" s="12" t="s">
        <v>8685</v>
      </c>
      <c r="AH1330" s="12" t="s">
        <v>8218</v>
      </c>
      <c r="AI1330" s="12" t="str">
        <f t="shared" si="252"/>
        <v xml:space="preserve"> (?)</v>
      </c>
      <c r="AJ1330" s="12" t="s">
        <v>9389</v>
      </c>
      <c r="AK1330" s="12" t="s">
        <v>90</v>
      </c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  <c r="BP1330" s="12"/>
      <c r="BQ1330" s="12"/>
      <c r="BR1330" s="12"/>
      <c r="BS1330" s="12"/>
    </row>
    <row r="1331" spans="1:71">
      <c r="A1331" s="12" t="s">
        <v>726</v>
      </c>
      <c r="B1331" s="12" t="str">
        <f t="shared" si="244"/>
        <v>POTGIETER</v>
      </c>
      <c r="C1331" s="12" t="str">
        <f t="shared" si="245"/>
        <v>POTGIETER</v>
      </c>
      <c r="D1331" s="12" t="s">
        <v>1540</v>
      </c>
      <c r="E1331" s="12" t="str">
        <f t="shared" si="255"/>
        <v>Gerhardus Cornelis</v>
      </c>
      <c r="F1331" s="12" t="s">
        <v>8914</v>
      </c>
      <c r="G1331" s="12" t="str">
        <f t="shared" si="246"/>
        <v>a1b7c9d3e6f5</v>
      </c>
      <c r="H1331" s="12" t="str">
        <f t="shared" si="247"/>
        <v>POTGIETERa1b7c9d3e6f5</v>
      </c>
      <c r="I1331" s="12"/>
      <c r="J1331" s="12" t="s">
        <v>9247</v>
      </c>
      <c r="K1331" s="12" t="str">
        <f t="shared" si="248"/>
        <v>1823</v>
      </c>
      <c r="L1331" s="12" t="s">
        <v>3085</v>
      </c>
      <c r="M1331" s="12" t="s">
        <v>9248</v>
      </c>
      <c r="N1331" s="12" t="str">
        <f t="shared" si="253"/>
        <v>1823</v>
      </c>
      <c r="O1331" s="12" t="str">
        <f t="shared" si="254"/>
        <v>1824</v>
      </c>
      <c r="P1331" s="12" t="s">
        <v>1017</v>
      </c>
      <c r="Q1331" s="12" t="str">
        <f t="shared" si="249"/>
        <v>1823</v>
      </c>
      <c r="R1331" s="12" t="s">
        <v>9249</v>
      </c>
      <c r="S1331" s="12" t="str">
        <f t="shared" si="250"/>
        <v>1883</v>
      </c>
      <c r="T1331" s="12" t="s">
        <v>5146</v>
      </c>
      <c r="U1331" s="12" t="s">
        <v>9250</v>
      </c>
      <c r="V1331" s="12" t="str">
        <f t="shared" si="251"/>
        <v>1847</v>
      </c>
      <c r="W1331" s="12" t="s">
        <v>9251</v>
      </c>
      <c r="X1331" s="12" t="s">
        <v>625</v>
      </c>
      <c r="Y1331" s="12" t="s">
        <v>9252</v>
      </c>
      <c r="Z1331" s="12"/>
      <c r="AA1331" s="12" t="s">
        <v>9253</v>
      </c>
      <c r="AB1331" s="12"/>
      <c r="AC1331" s="12"/>
      <c r="AD1331" s="12"/>
      <c r="AE1331" s="12"/>
      <c r="AF1331" s="12" t="s">
        <v>3717</v>
      </c>
      <c r="AG1331" s="12" t="s">
        <v>8685</v>
      </c>
      <c r="AH1331" s="12" t="s">
        <v>5443</v>
      </c>
      <c r="AI1331" s="12" t="str">
        <f t="shared" si="252"/>
        <v>1837</v>
      </c>
      <c r="AJ1331" s="12" t="s">
        <v>5437</v>
      </c>
      <c r="AK1331" s="12" t="s">
        <v>9254</v>
      </c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  <c r="BP1331" s="12"/>
      <c r="BQ1331" s="12"/>
      <c r="BR1331" s="12"/>
      <c r="BS1331" s="12"/>
    </row>
    <row r="1332" spans="1:71">
      <c r="A1332" s="12" t="s">
        <v>726</v>
      </c>
      <c r="B1332" s="12" t="str">
        <f t="shared" ref="B1332:B1395" si="256">SUBSTITUTE(A1332," ","")</f>
        <v>POTGIETER</v>
      </c>
      <c r="C1332" s="12" t="str">
        <f t="shared" ref="C1332:C1395" si="257">TRIM(A1332)</f>
        <v>POTGIETER</v>
      </c>
      <c r="D1332" s="12" t="s">
        <v>278</v>
      </c>
      <c r="E1332" s="12" t="str">
        <f t="shared" si="255"/>
        <v>Marthinus Johannes</v>
      </c>
      <c r="F1332" s="12" t="s">
        <v>8959</v>
      </c>
      <c r="G1332" s="12" t="str">
        <f t="shared" ref="G1332:G1395" si="258">IF(LEFT(F1332,1)="b","a1"&amp;F1332,F1332)</f>
        <v>a1b7c9d4e1</v>
      </c>
      <c r="H1332" s="12" t="str">
        <f t="shared" ref="H1332:H1395" si="259">C1332&amp;G1332</f>
        <v>POTGIETERa1b7c9d4e1</v>
      </c>
      <c r="I1332" s="12"/>
      <c r="J1332" s="12"/>
      <c r="K1332" s="12" t="str">
        <f t="shared" ref="K1332:K1395" si="260">RIGHT(J1332,4)</f>
        <v/>
      </c>
      <c r="L1332" s="12"/>
      <c r="M1332" s="12" t="s">
        <v>9440</v>
      </c>
      <c r="N1332" s="12" t="str">
        <f t="shared" si="253"/>
        <v/>
      </c>
      <c r="O1332" s="12" t="str">
        <f t="shared" si="254"/>
        <v>1797</v>
      </c>
      <c r="P1332" s="12"/>
      <c r="Q1332" s="12" t="str">
        <f t="shared" ref="Q1332:Q1395" si="261">IF(N1332="",O1332,N1332)</f>
        <v>1797</v>
      </c>
      <c r="R1332" s="12" t="s">
        <v>9441</v>
      </c>
      <c r="T1332" s="12" t="s">
        <v>53</v>
      </c>
      <c r="U1332" s="12" t="s">
        <v>9442</v>
      </c>
      <c r="V1332" s="12" t="str">
        <f t="shared" ref="V1332:V1395" si="262">RIGHT(U1332,4)</f>
        <v>1823</v>
      </c>
      <c r="W1332" s="12" t="s">
        <v>1674</v>
      </c>
      <c r="X1332" s="12" t="s">
        <v>631</v>
      </c>
      <c r="Y1332" s="12" t="s">
        <v>9443</v>
      </c>
      <c r="Z1332" s="12"/>
      <c r="AA1332" s="12" t="s">
        <v>1288</v>
      </c>
      <c r="AB1332" s="12"/>
      <c r="AC1332" s="12"/>
      <c r="AD1332" s="12" t="s">
        <v>90</v>
      </c>
      <c r="AE1332" s="12" t="s">
        <v>9444</v>
      </c>
      <c r="AF1332" s="12" t="s">
        <v>16</v>
      </c>
      <c r="AG1332" s="12" t="s">
        <v>68</v>
      </c>
      <c r="AH1332" s="12" t="s">
        <v>9445</v>
      </c>
      <c r="AI1332" s="12" t="str">
        <f t="shared" ref="AI1332:AI1395" si="263">RIGHT(AH1332,4)</f>
        <v>1837</v>
      </c>
      <c r="AJ1332" s="12"/>
      <c r="AK1332" s="12" t="s">
        <v>4679</v>
      </c>
      <c r="AL1332" s="12" t="s">
        <v>5146</v>
      </c>
      <c r="AM1332" s="12" t="s">
        <v>8889</v>
      </c>
      <c r="AN1332" s="12" t="s">
        <v>9446</v>
      </c>
      <c r="AO1332" s="12" t="s">
        <v>78</v>
      </c>
      <c r="AP1332" s="12" t="s">
        <v>9447</v>
      </c>
      <c r="AQ1332" s="12"/>
      <c r="AR1332" s="12" t="s">
        <v>9448</v>
      </c>
      <c r="AS1332" s="12"/>
      <c r="AT1332" s="12" t="s">
        <v>9449</v>
      </c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  <c r="BP1332" s="12"/>
      <c r="BQ1332" s="12"/>
      <c r="BR1332" s="12"/>
      <c r="BS1332" s="12"/>
    </row>
    <row r="1333" spans="1:71">
      <c r="A1333" s="12" t="s">
        <v>726</v>
      </c>
      <c r="B1333" s="12" t="str">
        <f t="shared" si="256"/>
        <v>POTGIETER</v>
      </c>
      <c r="C1333" s="12" t="str">
        <f t="shared" si="257"/>
        <v>POTGIETER</v>
      </c>
      <c r="D1333" s="12" t="s">
        <v>567</v>
      </c>
      <c r="E1333" s="12" t="str">
        <f t="shared" si="255"/>
        <v>Hans Jurgen</v>
      </c>
      <c r="F1333" s="12" t="s">
        <v>8917</v>
      </c>
      <c r="G1333" s="12" t="str">
        <f t="shared" si="258"/>
        <v>a1b7c9d8e5</v>
      </c>
      <c r="H1333" s="12" t="str">
        <f t="shared" si="259"/>
        <v>POTGIETERa1b7c9d8e5</v>
      </c>
      <c r="I1333" s="12"/>
      <c r="J1333" s="12" t="s">
        <v>9264</v>
      </c>
      <c r="K1333" s="12" t="str">
        <f t="shared" si="260"/>
        <v>1803</v>
      </c>
      <c r="L1333" s="12" t="s">
        <v>32</v>
      </c>
      <c r="M1333" s="12" t="s">
        <v>9265</v>
      </c>
      <c r="N1333" s="12" t="str">
        <f t="shared" si="253"/>
        <v>1803</v>
      </c>
      <c r="O1333" s="12" t="str">
        <f t="shared" si="254"/>
        <v>1804</v>
      </c>
      <c r="P1333" s="12" t="s">
        <v>2355</v>
      </c>
      <c r="Q1333" s="12" t="str">
        <f t="shared" si="261"/>
        <v>1803</v>
      </c>
      <c r="R1333" s="12" t="s">
        <v>9266</v>
      </c>
      <c r="S1333" s="12" t="str">
        <f t="shared" ref="S1333:S1395" si="264">RIGHT(R1333,4)</f>
        <v>1874</v>
      </c>
      <c r="T1333" s="12" t="s">
        <v>53</v>
      </c>
      <c r="U1333" s="12" t="s">
        <v>1088</v>
      </c>
      <c r="V1333" s="12" t="str">
        <f t="shared" si="262"/>
        <v>1826</v>
      </c>
      <c r="W1333" s="12" t="s">
        <v>8270</v>
      </c>
      <c r="X1333" s="12" t="s">
        <v>775</v>
      </c>
      <c r="Y1333" s="12" t="s">
        <v>9267</v>
      </c>
      <c r="Z1333" s="12"/>
      <c r="AA1333" s="12" t="s">
        <v>9268</v>
      </c>
      <c r="AB1333" s="12"/>
      <c r="AC1333" s="12" t="s">
        <v>9269</v>
      </c>
      <c r="AD1333" s="12"/>
      <c r="AE1333" s="12"/>
      <c r="AF1333" s="12" t="s">
        <v>4785</v>
      </c>
      <c r="AG1333" s="12" t="s">
        <v>53</v>
      </c>
      <c r="AH1333" s="12" t="s">
        <v>7491</v>
      </c>
      <c r="AI1333" s="12" t="str">
        <f t="shared" si="263"/>
        <v>1837</v>
      </c>
      <c r="AJ1333" s="12" t="s">
        <v>9270</v>
      </c>
      <c r="AK1333" s="12" t="s">
        <v>90</v>
      </c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  <c r="BO1333" s="12"/>
      <c r="BP1333" s="12"/>
      <c r="BQ1333" s="12"/>
      <c r="BR1333" s="12"/>
      <c r="BS1333" s="12"/>
    </row>
    <row r="1334" spans="1:71">
      <c r="A1334" s="12" t="s">
        <v>8983</v>
      </c>
      <c r="B1334" s="12" t="str">
        <f t="shared" si="256"/>
        <v>PRELLER</v>
      </c>
      <c r="C1334" s="12" t="str">
        <f t="shared" si="257"/>
        <v>PRELLER</v>
      </c>
      <c r="D1334" s="12" t="s">
        <v>8984</v>
      </c>
      <c r="E1334" s="12" t="str">
        <f t="shared" si="255"/>
        <v>Carel Friedrich</v>
      </c>
      <c r="F1334" s="12" t="s">
        <v>2482</v>
      </c>
      <c r="G1334" s="12" t="str">
        <f t="shared" si="258"/>
        <v>a1b6</v>
      </c>
      <c r="H1334" s="12" t="str">
        <f t="shared" si="259"/>
        <v>PRELLERa1b6</v>
      </c>
      <c r="I1334" s="12"/>
      <c r="J1334" s="12" t="s">
        <v>9557</v>
      </c>
      <c r="K1334" s="12" t="str">
        <f t="shared" si="260"/>
        <v>1809</v>
      </c>
      <c r="L1334" s="12"/>
      <c r="M1334" s="12"/>
      <c r="N1334" s="12" t="str">
        <f t="shared" si="253"/>
        <v>1809</v>
      </c>
      <c r="O1334" s="12" t="str">
        <f t="shared" si="254"/>
        <v/>
      </c>
      <c r="P1334" s="12" t="s">
        <v>9558</v>
      </c>
      <c r="Q1334" s="12" t="str">
        <f t="shared" si="261"/>
        <v>1809</v>
      </c>
      <c r="R1334" s="12" t="s">
        <v>9559</v>
      </c>
      <c r="S1334" s="12" t="str">
        <f t="shared" si="264"/>
        <v>1870</v>
      </c>
      <c r="T1334" s="12" t="s">
        <v>48</v>
      </c>
      <c r="U1334" s="12" t="s">
        <v>9560</v>
      </c>
      <c r="V1334" s="12" t="str">
        <f t="shared" si="262"/>
        <v>1830</v>
      </c>
      <c r="W1334" s="12" t="s">
        <v>9561</v>
      </c>
      <c r="X1334" s="12" t="s">
        <v>9562</v>
      </c>
      <c r="Y1334" s="12"/>
      <c r="Z1334" s="12"/>
      <c r="AA1334" s="12"/>
      <c r="AB1334" s="12"/>
      <c r="AC1334" s="12"/>
      <c r="AD1334" s="12" t="s">
        <v>5098</v>
      </c>
      <c r="AE1334" s="12" t="s">
        <v>9563</v>
      </c>
      <c r="AF1334" s="12"/>
      <c r="AG1334" s="12"/>
      <c r="AH1334" s="12" t="s">
        <v>5021</v>
      </c>
      <c r="AI1334" s="12" t="str">
        <f t="shared" si="263"/>
        <v>1842</v>
      </c>
      <c r="AJ1334" s="12"/>
      <c r="AK1334" s="12" t="s">
        <v>9564</v>
      </c>
      <c r="AL1334" s="12" t="s">
        <v>5146</v>
      </c>
      <c r="AM1334" s="12" t="s">
        <v>9565</v>
      </c>
      <c r="AN1334" s="12" t="s">
        <v>7612</v>
      </c>
      <c r="AO1334" s="12" t="s">
        <v>627</v>
      </c>
      <c r="AP1334" s="12"/>
      <c r="AQ1334" s="12"/>
      <c r="AR1334" s="12"/>
      <c r="AS1334" s="12"/>
      <c r="AT1334" s="12"/>
      <c r="AU1334" s="12"/>
      <c r="AV1334" s="12" t="s">
        <v>9566</v>
      </c>
      <c r="AW1334" s="12"/>
      <c r="AX1334" s="12"/>
      <c r="AY1334" s="12" t="s">
        <v>9567</v>
      </c>
      <c r="AZ1334" s="12" t="s">
        <v>2153</v>
      </c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  <c r="BO1334" s="12"/>
      <c r="BP1334" s="12"/>
      <c r="BQ1334" s="12"/>
      <c r="BR1334" s="12"/>
      <c r="BS1334" s="12"/>
    </row>
    <row r="1335" spans="1:71">
      <c r="A1335" s="12" t="s">
        <v>669</v>
      </c>
      <c r="B1335" s="12" t="str">
        <f t="shared" si="256"/>
        <v>PRETORIUS</v>
      </c>
      <c r="C1335" s="12" t="str">
        <f t="shared" si="257"/>
        <v>PRETORIUS</v>
      </c>
      <c r="D1335" s="12" t="s">
        <v>9032</v>
      </c>
      <c r="E1335" s="12" t="str">
        <f t="shared" si="255"/>
        <v xml:space="preserve">Jan Frederik Jacobus </v>
      </c>
      <c r="F1335" s="12" t="s">
        <v>9033</v>
      </c>
      <c r="G1335" s="12" t="str">
        <f t="shared" si="258"/>
        <v>a1b3c1d1e5f3</v>
      </c>
      <c r="H1335" s="12" t="str">
        <f t="shared" si="259"/>
        <v>PRETORIUSa1b3c1d1e5f3</v>
      </c>
      <c r="I1335" s="12"/>
      <c r="J1335" s="12" t="s">
        <v>9786</v>
      </c>
      <c r="K1335" s="12" t="str">
        <f t="shared" si="260"/>
        <v>1804</v>
      </c>
      <c r="L1335" s="12" t="s">
        <v>74</v>
      </c>
      <c r="M1335" s="12" t="s">
        <v>92</v>
      </c>
      <c r="N1335" s="12" t="str">
        <f t="shared" si="253"/>
        <v>1804</v>
      </c>
      <c r="O1335" s="12" t="str">
        <f t="shared" si="254"/>
        <v>1804</v>
      </c>
      <c r="P1335" s="12" t="s">
        <v>9787</v>
      </c>
      <c r="Q1335" s="12" t="str">
        <f t="shared" si="261"/>
        <v>1804</v>
      </c>
      <c r="R1335" s="12" t="s">
        <v>9788</v>
      </c>
      <c r="S1335" s="12" t="str">
        <f t="shared" si="264"/>
        <v>1878</v>
      </c>
      <c r="T1335" s="12" t="s">
        <v>74</v>
      </c>
      <c r="U1335" s="12" t="s">
        <v>7605</v>
      </c>
      <c r="V1335" s="12" t="str">
        <f t="shared" si="262"/>
        <v>1830</v>
      </c>
      <c r="W1335" s="12" t="s">
        <v>9416</v>
      </c>
      <c r="X1335" s="12" t="s">
        <v>2136</v>
      </c>
      <c r="Y1335" s="12"/>
      <c r="Z1335" s="12" t="s">
        <v>1924</v>
      </c>
      <c r="AA1335" s="12" t="s">
        <v>9789</v>
      </c>
      <c r="AB1335" s="12"/>
      <c r="AC1335" s="12"/>
      <c r="AD1335" s="12" t="s">
        <v>9787</v>
      </c>
      <c r="AE1335" s="12" t="s">
        <v>3473</v>
      </c>
      <c r="AF1335" s="12" t="s">
        <v>9790</v>
      </c>
      <c r="AG1335" s="12"/>
      <c r="AH1335" s="12" t="s">
        <v>9791</v>
      </c>
      <c r="AI1335" s="12" t="str">
        <f t="shared" si="263"/>
        <v>1842</v>
      </c>
      <c r="AJ1335" s="12"/>
      <c r="AK1335" s="12" t="s">
        <v>9792</v>
      </c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  <c r="BO1335" s="12"/>
      <c r="BP1335" s="12"/>
      <c r="BQ1335" s="12"/>
      <c r="BR1335" s="12"/>
      <c r="BS1335" s="12"/>
    </row>
    <row r="1336" spans="1:71">
      <c r="A1336" s="12" t="s">
        <v>669</v>
      </c>
      <c r="B1336" s="12" t="str">
        <f t="shared" si="256"/>
        <v>PRETORIUS</v>
      </c>
      <c r="C1336" s="12" t="str">
        <f t="shared" si="257"/>
        <v>PRETORIUS</v>
      </c>
      <c r="D1336" s="12" t="s">
        <v>9096</v>
      </c>
      <c r="E1336" s="12" t="str">
        <f t="shared" si="255"/>
        <v>Zacharias Arnoldus Stephanus</v>
      </c>
      <c r="F1336" s="12" t="s">
        <v>9097</v>
      </c>
      <c r="G1336" s="12" t="str">
        <f t="shared" si="258"/>
        <v>a1b3c1d1e6f6</v>
      </c>
      <c r="H1336" s="12" t="str">
        <f t="shared" si="259"/>
        <v>PRETORIUSa1b3c1d1e6f6</v>
      </c>
      <c r="I1336" s="12"/>
      <c r="J1336" s="12" t="s">
        <v>10135</v>
      </c>
      <c r="K1336" s="12" t="str">
        <f t="shared" si="260"/>
        <v>1808</v>
      </c>
      <c r="L1336" s="12" t="s">
        <v>74</v>
      </c>
      <c r="M1336" s="12" t="s">
        <v>10071</v>
      </c>
      <c r="N1336" s="12" t="str">
        <f t="shared" si="253"/>
        <v>1808</v>
      </c>
      <c r="O1336" s="12" t="str">
        <f t="shared" si="254"/>
        <v>1808</v>
      </c>
      <c r="P1336" s="12" t="s">
        <v>10136</v>
      </c>
      <c r="Q1336" s="12" t="str">
        <f t="shared" si="261"/>
        <v>1808</v>
      </c>
      <c r="R1336" s="12" t="s">
        <v>10137</v>
      </c>
      <c r="S1336" s="12" t="str">
        <f t="shared" si="264"/>
        <v>1870</v>
      </c>
      <c r="T1336" s="12" t="s">
        <v>68</v>
      </c>
      <c r="U1336" s="12" t="s">
        <v>1636</v>
      </c>
      <c r="V1336" s="12" t="str">
        <f t="shared" si="262"/>
        <v>1832</v>
      </c>
      <c r="W1336" s="12" t="s">
        <v>9416</v>
      </c>
      <c r="X1336" s="12" t="s">
        <v>2901</v>
      </c>
      <c r="Y1336" s="12"/>
      <c r="Z1336" s="12"/>
      <c r="AA1336" s="12"/>
      <c r="AB1336" s="12"/>
      <c r="AC1336" s="12"/>
      <c r="AD1336" s="12"/>
      <c r="AE1336" s="12"/>
      <c r="AF1336" s="12" t="s">
        <v>3706</v>
      </c>
      <c r="AG1336" s="12" t="s">
        <v>68</v>
      </c>
      <c r="AH1336" s="12" t="s">
        <v>10138</v>
      </c>
      <c r="AI1336" s="12" t="str">
        <f t="shared" si="263"/>
        <v>1840</v>
      </c>
      <c r="AJ1336" s="12"/>
      <c r="AK1336" s="12" t="s">
        <v>10139</v>
      </c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  <c r="BO1336" s="12"/>
      <c r="BP1336" s="12"/>
      <c r="BQ1336" s="12"/>
      <c r="BR1336" s="12"/>
      <c r="BS1336" s="12"/>
    </row>
    <row r="1337" spans="1:71">
      <c r="A1337" s="12" t="s">
        <v>669</v>
      </c>
      <c r="B1337" s="12" t="str">
        <f t="shared" si="256"/>
        <v>PRETORIUS</v>
      </c>
      <c r="C1337" s="12" t="str">
        <f t="shared" si="257"/>
        <v>PRETORIUS</v>
      </c>
      <c r="D1337" s="12" t="s">
        <v>8997</v>
      </c>
      <c r="E1337" s="12" t="str">
        <f t="shared" si="255"/>
        <v>Dewald Johannes</v>
      </c>
      <c r="F1337" s="12" t="s">
        <v>8998</v>
      </c>
      <c r="G1337" s="12" t="str">
        <f t="shared" si="258"/>
        <v>a1b3c1d2e4f4</v>
      </c>
      <c r="H1337" s="12" t="str">
        <f t="shared" si="259"/>
        <v>PRETORIUSa1b3c1d2e4f4</v>
      </c>
      <c r="I1337" s="12"/>
      <c r="J1337" s="12" t="s">
        <v>9642</v>
      </c>
      <c r="K1337" s="12" t="str">
        <f t="shared" si="260"/>
        <v>1809</v>
      </c>
      <c r="L1337" s="12"/>
      <c r="M1337" s="12" t="s">
        <v>3606</v>
      </c>
      <c r="N1337" s="12" t="str">
        <f t="shared" si="253"/>
        <v>1809</v>
      </c>
      <c r="O1337" s="12" t="str">
        <f t="shared" si="254"/>
        <v>1809</v>
      </c>
      <c r="P1337" s="12" t="s">
        <v>9643</v>
      </c>
      <c r="Q1337" s="12" t="str">
        <f t="shared" si="261"/>
        <v>1809</v>
      </c>
      <c r="R1337" s="12" t="s">
        <v>9644</v>
      </c>
      <c r="S1337" s="12" t="str">
        <f t="shared" si="264"/>
        <v>1870</v>
      </c>
      <c r="T1337" s="12" t="s">
        <v>74</v>
      </c>
      <c r="U1337" s="12" t="s">
        <v>1029</v>
      </c>
      <c r="V1337" s="12" t="str">
        <f t="shared" si="262"/>
        <v>1830</v>
      </c>
      <c r="W1337" s="12" t="s">
        <v>9645</v>
      </c>
      <c r="X1337" s="12" t="s">
        <v>669</v>
      </c>
      <c r="Y1337" s="12" t="s">
        <v>9646</v>
      </c>
      <c r="Z1337" s="12"/>
      <c r="AA1337" s="12" t="s">
        <v>9647</v>
      </c>
      <c r="AB1337" s="12"/>
      <c r="AC1337" s="12"/>
      <c r="AD1337" s="12"/>
      <c r="AE1337" s="12"/>
      <c r="AF1337" s="12" t="s">
        <v>9648</v>
      </c>
      <c r="AG1337" s="12" t="s">
        <v>74</v>
      </c>
      <c r="AH1337" s="12" t="s">
        <v>9582</v>
      </c>
      <c r="AI1337" s="12" t="str">
        <f t="shared" si="263"/>
        <v>1838</v>
      </c>
      <c r="AJ1337" s="12" t="s">
        <v>2770</v>
      </c>
      <c r="AK1337" s="12" t="s">
        <v>9649</v>
      </c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  <c r="BP1337" s="12"/>
      <c r="BQ1337" s="12"/>
      <c r="BR1337" s="12"/>
      <c r="BS1337" s="12"/>
    </row>
    <row r="1338" spans="1:71">
      <c r="A1338" s="12" t="s">
        <v>669</v>
      </c>
      <c r="B1338" s="12" t="str">
        <f t="shared" si="256"/>
        <v>PRETORIUS</v>
      </c>
      <c r="C1338" s="12" t="str">
        <f t="shared" si="257"/>
        <v>PRETORIUS</v>
      </c>
      <c r="D1338" s="12" t="s">
        <v>9094</v>
      </c>
      <c r="E1338" s="12" t="str">
        <f t="shared" si="255"/>
        <v xml:space="preserve">Wynand Johannes </v>
      </c>
      <c r="F1338" s="12" t="s">
        <v>9095</v>
      </c>
      <c r="G1338" s="12" t="str">
        <f t="shared" si="258"/>
        <v>a1b3c1d2e5f2</v>
      </c>
      <c r="H1338" s="12" t="str">
        <f t="shared" si="259"/>
        <v>PRETORIUSa1b3c1d2e5f2</v>
      </c>
      <c r="I1338" s="12"/>
      <c r="J1338" s="12" t="s">
        <v>6607</v>
      </c>
      <c r="K1338" s="12" t="str">
        <f t="shared" si="260"/>
        <v>1806</v>
      </c>
      <c r="L1338" s="12" t="s">
        <v>74</v>
      </c>
      <c r="M1338" s="12" t="s">
        <v>8639</v>
      </c>
      <c r="N1338" s="12" t="str">
        <f t="shared" si="253"/>
        <v>1806</v>
      </c>
      <c r="O1338" s="12" t="str">
        <f t="shared" si="254"/>
        <v>1807</v>
      </c>
      <c r="P1338" s="12" t="s">
        <v>10130</v>
      </c>
      <c r="Q1338" s="12" t="str">
        <f t="shared" si="261"/>
        <v>1806</v>
      </c>
      <c r="R1338" s="12" t="s">
        <v>10131</v>
      </c>
      <c r="S1338" s="12" t="str">
        <f t="shared" si="264"/>
        <v>1880</v>
      </c>
      <c r="T1338" s="12" t="s">
        <v>74</v>
      </c>
      <c r="U1338" s="12" t="s">
        <v>4714</v>
      </c>
      <c r="V1338" s="12" t="str">
        <f t="shared" si="262"/>
        <v>1827</v>
      </c>
      <c r="W1338" s="12" t="s">
        <v>10132</v>
      </c>
      <c r="X1338" s="12" t="s">
        <v>62</v>
      </c>
      <c r="Y1338" s="12"/>
      <c r="Z1338" s="12"/>
      <c r="AA1338" s="12"/>
      <c r="AB1338" s="12" t="s">
        <v>74</v>
      </c>
      <c r="AC1338" s="12" t="s">
        <v>10133</v>
      </c>
      <c r="AD1338" s="12"/>
      <c r="AE1338" s="12"/>
      <c r="AF1338" s="12"/>
      <c r="AG1338" s="12" t="s">
        <v>74</v>
      </c>
      <c r="AH1338" s="12" t="s">
        <v>8111</v>
      </c>
      <c r="AI1338" s="12" t="str">
        <f t="shared" si="263"/>
        <v>1844</v>
      </c>
      <c r="AJ1338" s="12" t="s">
        <v>10134</v>
      </c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  <c r="BO1338" s="12"/>
      <c r="BP1338" s="12"/>
      <c r="BQ1338" s="12"/>
      <c r="BR1338" s="12"/>
      <c r="BS1338" s="12"/>
    </row>
    <row r="1339" spans="1:71">
      <c r="A1339" s="12" t="s">
        <v>669</v>
      </c>
      <c r="B1339" s="12" t="str">
        <f t="shared" si="256"/>
        <v>PRETORIUS</v>
      </c>
      <c r="C1339" s="12" t="str">
        <f t="shared" si="257"/>
        <v>PRETORIUS</v>
      </c>
      <c r="D1339" s="12" t="s">
        <v>9079</v>
      </c>
      <c r="E1339" s="12" t="str">
        <f t="shared" si="255"/>
        <v>Theunis Petrus</v>
      </c>
      <c r="F1339" s="12" t="s">
        <v>9080</v>
      </c>
      <c r="G1339" s="12" t="str">
        <f t="shared" si="258"/>
        <v>a1b3c1d2e5f5</v>
      </c>
      <c r="H1339" s="12" t="str">
        <f t="shared" si="259"/>
        <v>PRETORIUSa1b3c1d2e5f5</v>
      </c>
      <c r="I1339" s="12" t="s">
        <v>10028</v>
      </c>
      <c r="J1339" s="12" t="s">
        <v>1214</v>
      </c>
      <c r="K1339" s="12" t="str">
        <f t="shared" si="260"/>
        <v>1812</v>
      </c>
      <c r="L1339" s="12" t="s">
        <v>74</v>
      </c>
      <c r="M1339" s="12" t="s">
        <v>10029</v>
      </c>
      <c r="N1339" s="12" t="str">
        <f t="shared" si="253"/>
        <v>1812</v>
      </c>
      <c r="O1339" s="12" t="str">
        <f t="shared" si="254"/>
        <v>1812</v>
      </c>
      <c r="P1339" s="12" t="s">
        <v>10030</v>
      </c>
      <c r="Q1339" s="12" t="str">
        <f t="shared" si="261"/>
        <v>1812</v>
      </c>
      <c r="R1339" s="12" t="s">
        <v>10031</v>
      </c>
      <c r="S1339" s="12" t="str">
        <f t="shared" si="264"/>
        <v>1883</v>
      </c>
      <c r="T1339" s="12" t="s">
        <v>74</v>
      </c>
      <c r="U1339" s="12" t="s">
        <v>9916</v>
      </c>
      <c r="V1339" s="12" t="str">
        <f t="shared" si="262"/>
        <v>1831</v>
      </c>
      <c r="W1339" s="12" t="s">
        <v>10032</v>
      </c>
      <c r="X1339" s="12" t="s">
        <v>10033</v>
      </c>
      <c r="Y1339" s="12"/>
      <c r="Z1339" s="12" t="s">
        <v>74</v>
      </c>
      <c r="AA1339" s="12" t="s">
        <v>226</v>
      </c>
      <c r="AB1339" s="12"/>
      <c r="AC1339" s="12"/>
      <c r="AD1339" s="12" t="s">
        <v>10028</v>
      </c>
      <c r="AE1339" s="12" t="s">
        <v>10034</v>
      </c>
      <c r="AF1339" s="12" t="s">
        <v>10035</v>
      </c>
      <c r="AG1339" s="12" t="s">
        <v>74</v>
      </c>
      <c r="AH1339" s="12" t="s">
        <v>5021</v>
      </c>
      <c r="AI1339" s="12" t="str">
        <f t="shared" si="263"/>
        <v>1842</v>
      </c>
      <c r="AJ1339" s="12" t="s">
        <v>10036</v>
      </c>
      <c r="AK1339" s="12" t="s">
        <v>140</v>
      </c>
      <c r="AL1339" s="12" t="s">
        <v>74</v>
      </c>
      <c r="AM1339" s="12" t="s">
        <v>10037</v>
      </c>
      <c r="AN1339" s="12" t="s">
        <v>5127</v>
      </c>
      <c r="AO1339" s="12" t="s">
        <v>669</v>
      </c>
      <c r="AP1339" s="12" t="s">
        <v>10038</v>
      </c>
      <c r="AQ1339" s="12"/>
      <c r="AR1339" s="12" t="s">
        <v>4306</v>
      </c>
      <c r="AS1339" s="12"/>
      <c r="AT1339" s="12"/>
      <c r="AU1339" s="12" t="s">
        <v>10039</v>
      </c>
      <c r="AV1339" s="12" t="s">
        <v>10040</v>
      </c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  <c r="BP1339" s="12"/>
      <c r="BQ1339" s="12"/>
      <c r="BR1339" s="12"/>
      <c r="BS1339" s="12"/>
    </row>
    <row r="1340" spans="1:71">
      <c r="A1340" s="12" t="s">
        <v>669</v>
      </c>
      <c r="B1340" s="12" t="str">
        <f t="shared" si="256"/>
        <v>PRETORIUS</v>
      </c>
      <c r="C1340" s="12" t="str">
        <f t="shared" si="257"/>
        <v>PRETORIUS</v>
      </c>
      <c r="D1340" s="12" t="s">
        <v>9063</v>
      </c>
      <c r="E1340" s="12" t="str">
        <f t="shared" si="255"/>
        <v>Matthys Cornelis</v>
      </c>
      <c r="F1340" s="12" t="s">
        <v>9064</v>
      </c>
      <c r="G1340" s="12" t="str">
        <f t="shared" si="258"/>
        <v>a1b3c1d2e6</v>
      </c>
      <c r="H1340" s="12" t="str">
        <f t="shared" si="259"/>
        <v>PRETORIUSa1b3c1d2e6</v>
      </c>
      <c r="I1340" s="12"/>
      <c r="J1340" s="12" t="s">
        <v>9951</v>
      </c>
      <c r="K1340" s="12" t="str">
        <f t="shared" si="260"/>
        <v>1788</v>
      </c>
      <c r="L1340" s="12"/>
      <c r="M1340" s="12"/>
      <c r="N1340" s="12" t="str">
        <f t="shared" si="253"/>
        <v>1788</v>
      </c>
      <c r="O1340" s="12" t="str">
        <f t="shared" si="254"/>
        <v/>
      </c>
      <c r="P1340" s="12" t="s">
        <v>406</v>
      </c>
      <c r="Q1340" s="12" t="str">
        <f t="shared" si="261"/>
        <v>1788</v>
      </c>
      <c r="R1340" s="12" t="s">
        <v>9952</v>
      </c>
      <c r="S1340" s="12" t="str">
        <f t="shared" si="264"/>
        <v>1866</v>
      </c>
      <c r="T1340" s="12" t="s">
        <v>74</v>
      </c>
      <c r="U1340" s="12" t="s">
        <v>9953</v>
      </c>
      <c r="V1340" s="12" t="str">
        <f t="shared" si="262"/>
        <v>1809</v>
      </c>
      <c r="W1340" s="12" t="s">
        <v>9954</v>
      </c>
      <c r="X1340" s="12" t="s">
        <v>2589</v>
      </c>
      <c r="Y1340" s="12" t="s">
        <v>4661</v>
      </c>
      <c r="Z1340" s="12"/>
      <c r="AA1340" s="12" t="s">
        <v>9955</v>
      </c>
      <c r="AB1340" s="12"/>
      <c r="AC1340" s="12" t="s">
        <v>3060</v>
      </c>
      <c r="AD1340" s="12" t="s">
        <v>406</v>
      </c>
      <c r="AE1340" s="12" t="s">
        <v>9956</v>
      </c>
      <c r="AF1340" s="12" t="s">
        <v>3714</v>
      </c>
      <c r="AG1340" s="12" t="s">
        <v>68</v>
      </c>
      <c r="AH1340" s="12" t="s">
        <v>9941</v>
      </c>
      <c r="AI1340" s="12" t="str">
        <f t="shared" si="263"/>
        <v>1838</v>
      </c>
      <c r="AJ1340" s="12" t="s">
        <v>9957</v>
      </c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  <c r="BO1340" s="12"/>
      <c r="BP1340" s="12"/>
      <c r="BQ1340" s="12"/>
      <c r="BR1340" s="12"/>
      <c r="BS1340" s="12"/>
    </row>
    <row r="1341" spans="1:71">
      <c r="A1341" s="12" t="s">
        <v>669</v>
      </c>
      <c r="B1341" s="12" t="str">
        <f t="shared" si="256"/>
        <v>PRETORIUS</v>
      </c>
      <c r="C1341" s="12" t="str">
        <f t="shared" si="257"/>
        <v>PRETORIUS</v>
      </c>
      <c r="D1341" s="12" t="s">
        <v>1268</v>
      </c>
      <c r="E1341" s="12" t="str">
        <f t="shared" si="255"/>
        <v>Johannes Christiaan</v>
      </c>
      <c r="F1341" s="12" t="s">
        <v>9037</v>
      </c>
      <c r="G1341" s="12" t="str">
        <f t="shared" si="258"/>
        <v>a1b3c1d2e6f3</v>
      </c>
      <c r="H1341" s="12" t="str">
        <f t="shared" si="259"/>
        <v>PRETORIUSa1b3c1d2e6f3</v>
      </c>
      <c r="I1341" s="12"/>
      <c r="J1341" s="12" t="s">
        <v>9807</v>
      </c>
      <c r="K1341" s="12" t="str">
        <f t="shared" si="260"/>
        <v>1815</v>
      </c>
      <c r="L1341" s="12" t="s">
        <v>74</v>
      </c>
      <c r="M1341" s="12" t="s">
        <v>7051</v>
      </c>
      <c r="N1341" s="12" t="str">
        <f t="shared" si="253"/>
        <v>1815</v>
      </c>
      <c r="O1341" s="12" t="str">
        <f t="shared" si="254"/>
        <v>1816</v>
      </c>
      <c r="P1341" s="12" t="s">
        <v>9808</v>
      </c>
      <c r="Q1341" s="12" t="str">
        <f t="shared" si="261"/>
        <v>1815</v>
      </c>
      <c r="R1341" s="12" t="s">
        <v>9809</v>
      </c>
      <c r="S1341" s="12" t="str">
        <f t="shared" si="264"/>
        <v>1890</v>
      </c>
      <c r="T1341" s="12" t="s">
        <v>28</v>
      </c>
      <c r="U1341" s="12" t="s">
        <v>3427</v>
      </c>
      <c r="V1341" s="12" t="str">
        <f t="shared" si="262"/>
        <v>1838</v>
      </c>
      <c r="W1341" s="12" t="s">
        <v>9810</v>
      </c>
      <c r="X1341" s="12" t="s">
        <v>5151</v>
      </c>
      <c r="Y1341" s="12" t="s">
        <v>4164</v>
      </c>
      <c r="Z1341" s="12"/>
      <c r="AA1341" s="12" t="s">
        <v>2494</v>
      </c>
      <c r="AB1341" s="12"/>
      <c r="AC1341" s="12"/>
      <c r="AD1341" s="12"/>
      <c r="AE1341" s="12" t="s">
        <v>9811</v>
      </c>
      <c r="AF1341" s="12" t="s">
        <v>3714</v>
      </c>
      <c r="AG1341" s="12" t="s">
        <v>28</v>
      </c>
      <c r="AH1341" s="12" t="s">
        <v>9812</v>
      </c>
      <c r="AI1341" s="12" t="str">
        <f t="shared" si="263"/>
        <v>1839</v>
      </c>
      <c r="AJ1341" s="12" t="s">
        <v>8572</v>
      </c>
      <c r="AK1341" s="12" t="s">
        <v>90</v>
      </c>
      <c r="AL1341" s="12" t="s">
        <v>2063</v>
      </c>
      <c r="AM1341" s="12" t="s">
        <v>9813</v>
      </c>
      <c r="AN1341" s="12" t="s">
        <v>8860</v>
      </c>
      <c r="AO1341" s="12" t="s">
        <v>704</v>
      </c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  <c r="BP1341" s="12"/>
      <c r="BQ1341" s="12"/>
      <c r="BR1341" s="12"/>
      <c r="BS1341" s="12"/>
    </row>
    <row r="1342" spans="1:71">
      <c r="A1342" s="12" t="s">
        <v>669</v>
      </c>
      <c r="B1342" s="12" t="str">
        <f t="shared" si="256"/>
        <v>PRETORIUS</v>
      </c>
      <c r="C1342" s="12" t="str">
        <f t="shared" si="257"/>
        <v>PRETORIUS</v>
      </c>
      <c r="D1342" s="12" t="s">
        <v>1671</v>
      </c>
      <c r="E1342" s="12" t="str">
        <f t="shared" si="255"/>
        <v>Willem Sterrenberg</v>
      </c>
      <c r="F1342" s="12" t="s">
        <v>9093</v>
      </c>
      <c r="G1342" s="12" t="str">
        <f t="shared" si="258"/>
        <v>a1b3c1d3e1f14</v>
      </c>
      <c r="H1342" s="12" t="str">
        <f t="shared" si="259"/>
        <v>PRETORIUSa1b3c1d3e1f14</v>
      </c>
      <c r="I1342" s="12"/>
      <c r="J1342" s="12" t="s">
        <v>10119</v>
      </c>
      <c r="K1342" s="12" t="str">
        <f t="shared" si="260"/>
        <v>1807</v>
      </c>
      <c r="L1342" s="12" t="s">
        <v>74</v>
      </c>
      <c r="M1342" s="12" t="s">
        <v>10120</v>
      </c>
      <c r="N1342" s="12" t="str">
        <f t="shared" si="253"/>
        <v>1807</v>
      </c>
      <c r="O1342" s="12" t="str">
        <f t="shared" si="254"/>
        <v>1807</v>
      </c>
      <c r="P1342" s="12" t="s">
        <v>10121</v>
      </c>
      <c r="Q1342" s="12" t="str">
        <f t="shared" si="261"/>
        <v>1807</v>
      </c>
      <c r="R1342" s="12" t="s">
        <v>10122</v>
      </c>
      <c r="S1342" s="12" t="str">
        <f t="shared" si="264"/>
        <v>1807</v>
      </c>
      <c r="T1342" s="12" t="s">
        <v>74</v>
      </c>
      <c r="U1342" s="12" t="s">
        <v>10123</v>
      </c>
      <c r="V1342" s="12" t="str">
        <f t="shared" si="262"/>
        <v>1829</v>
      </c>
      <c r="W1342" s="12" t="s">
        <v>10124</v>
      </c>
      <c r="X1342" s="12" t="s">
        <v>669</v>
      </c>
      <c r="Y1342" s="12" t="s">
        <v>10125</v>
      </c>
      <c r="Z1342" s="12"/>
      <c r="AA1342" s="12" t="s">
        <v>10126</v>
      </c>
      <c r="AB1342" s="12"/>
      <c r="AC1342" s="12" t="s">
        <v>10127</v>
      </c>
      <c r="AD1342" s="12" t="s">
        <v>10128</v>
      </c>
      <c r="AE1342" s="12" t="s">
        <v>10129</v>
      </c>
      <c r="AF1342" s="12"/>
      <c r="AG1342" s="12" t="s">
        <v>366</v>
      </c>
      <c r="AH1342" s="12" t="s">
        <v>5021</v>
      </c>
      <c r="AI1342" s="12" t="str">
        <f t="shared" si="263"/>
        <v>1842</v>
      </c>
      <c r="AJ1342" s="12"/>
      <c r="AK1342" s="12" t="s">
        <v>67</v>
      </c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  <c r="BO1342" s="12"/>
      <c r="BP1342" s="12"/>
      <c r="BQ1342" s="12"/>
      <c r="BR1342" s="12"/>
      <c r="BS1342" s="12"/>
    </row>
    <row r="1343" spans="1:71">
      <c r="A1343" s="12" t="s">
        <v>669</v>
      </c>
      <c r="B1343" s="12" t="str">
        <f t="shared" si="256"/>
        <v>PRETORIUS</v>
      </c>
      <c r="C1343" s="12" t="str">
        <f t="shared" si="257"/>
        <v>PRETORIUS</v>
      </c>
      <c r="D1343" s="12" t="s">
        <v>2683</v>
      </c>
      <c r="E1343" s="12" t="str">
        <f t="shared" si="255"/>
        <v>Samuel Jacobus</v>
      </c>
      <c r="F1343" s="12" t="s">
        <v>9076</v>
      </c>
      <c r="G1343" s="12" t="str">
        <f t="shared" si="258"/>
        <v>a1b3c1d3e1f16</v>
      </c>
      <c r="H1343" s="12" t="str">
        <f t="shared" si="259"/>
        <v>PRETORIUSa1b3c1d3e1f16</v>
      </c>
      <c r="I1343" s="12" t="s">
        <v>10011</v>
      </c>
      <c r="J1343" s="12" t="s">
        <v>10012</v>
      </c>
      <c r="K1343" s="12" t="str">
        <f t="shared" si="260"/>
        <v>1813</v>
      </c>
      <c r="L1343" s="12" t="s">
        <v>1071</v>
      </c>
      <c r="M1343" s="12" t="s">
        <v>10013</v>
      </c>
      <c r="N1343" s="12" t="str">
        <f t="shared" si="253"/>
        <v>1813</v>
      </c>
      <c r="O1343" s="12" t="str">
        <f t="shared" si="254"/>
        <v>1814</v>
      </c>
      <c r="P1343" s="12" t="s">
        <v>10014</v>
      </c>
      <c r="Q1343" s="12" t="str">
        <f t="shared" si="261"/>
        <v>1813</v>
      </c>
      <c r="R1343" s="12" t="s">
        <v>9971</v>
      </c>
      <c r="S1343" s="12" t="str">
        <f t="shared" si="264"/>
        <v>1897</v>
      </c>
      <c r="T1343" s="12" t="s">
        <v>74</v>
      </c>
      <c r="U1343" s="12" t="s">
        <v>10015</v>
      </c>
      <c r="V1343" s="12" t="str">
        <f t="shared" si="262"/>
        <v>1836</v>
      </c>
      <c r="W1343" s="12" t="s">
        <v>10016</v>
      </c>
      <c r="X1343" s="12" t="s">
        <v>669</v>
      </c>
      <c r="Y1343" s="12" t="s">
        <v>10017</v>
      </c>
      <c r="Z1343" s="12"/>
      <c r="AA1343" s="12" t="s">
        <v>1195</v>
      </c>
      <c r="AB1343" s="12"/>
      <c r="AC1343" s="12"/>
      <c r="AD1343" s="12" t="s">
        <v>10018</v>
      </c>
      <c r="AE1343" s="12" t="s">
        <v>10019</v>
      </c>
      <c r="AF1343" s="12" t="s">
        <v>10020</v>
      </c>
      <c r="AG1343" s="12" t="s">
        <v>366</v>
      </c>
      <c r="AH1343" s="12" t="s">
        <v>8310</v>
      </c>
      <c r="AI1343" s="12" t="str">
        <f t="shared" si="263"/>
        <v>1838</v>
      </c>
      <c r="AJ1343" s="12" t="s">
        <v>10021</v>
      </c>
      <c r="AK1343" s="12" t="s">
        <v>9365</v>
      </c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  <c r="BP1343" s="12"/>
      <c r="BQ1343" s="12"/>
      <c r="BR1343" s="12"/>
      <c r="BS1343" s="12"/>
    </row>
    <row r="1344" spans="1:71">
      <c r="A1344" s="12" t="s">
        <v>669</v>
      </c>
      <c r="B1344" s="12" t="str">
        <f t="shared" si="256"/>
        <v>PRETORIUS</v>
      </c>
      <c r="C1344" s="12" t="str">
        <f t="shared" si="257"/>
        <v>PRETORIUS</v>
      </c>
      <c r="D1344" s="12" t="s">
        <v>1759</v>
      </c>
      <c r="E1344" s="12" t="str">
        <f t="shared" si="255"/>
        <v>Gerhardus Petrus</v>
      </c>
      <c r="F1344" s="12" t="s">
        <v>9003</v>
      </c>
      <c r="G1344" s="12" t="str">
        <f t="shared" si="258"/>
        <v>a1b3c1d3e1f5</v>
      </c>
      <c r="H1344" s="12" t="str">
        <f t="shared" si="259"/>
        <v>PRETORIUSa1b3c1d3e1f5</v>
      </c>
      <c r="I1344" s="12"/>
      <c r="J1344" s="12"/>
      <c r="K1344" s="12" t="str">
        <f t="shared" si="260"/>
        <v/>
      </c>
      <c r="L1344" s="12"/>
      <c r="M1344" s="12" t="s">
        <v>9662</v>
      </c>
      <c r="N1344" s="12" t="str">
        <f t="shared" si="253"/>
        <v/>
      </c>
      <c r="O1344" s="12" t="str">
        <f t="shared" si="254"/>
        <v>1796</v>
      </c>
      <c r="P1344" s="12"/>
      <c r="Q1344" s="12" t="str">
        <f t="shared" si="261"/>
        <v>1796</v>
      </c>
      <c r="R1344" s="12"/>
      <c r="S1344" s="12" t="str">
        <f t="shared" si="264"/>
        <v/>
      </c>
      <c r="T1344" s="12" t="s">
        <v>3085</v>
      </c>
      <c r="U1344" s="12" t="s">
        <v>9663</v>
      </c>
      <c r="V1344" s="12" t="str">
        <f t="shared" si="262"/>
        <v>1824</v>
      </c>
      <c r="W1344" s="12" t="s">
        <v>9664</v>
      </c>
      <c r="X1344" s="12" t="s">
        <v>295</v>
      </c>
      <c r="Y1344" s="12"/>
      <c r="Z1344" s="12"/>
      <c r="AA1344" s="12"/>
      <c r="AB1344" s="12"/>
      <c r="AC1344" s="12" t="s">
        <v>2610</v>
      </c>
      <c r="AD1344" s="12"/>
      <c r="AE1344" s="12"/>
      <c r="AF1344" s="12" t="s">
        <v>7704</v>
      </c>
      <c r="AG1344" s="12" t="s">
        <v>74</v>
      </c>
      <c r="AH1344" s="12" t="s">
        <v>7310</v>
      </c>
      <c r="AI1344" s="12" t="str">
        <f t="shared" si="263"/>
        <v>1840</v>
      </c>
      <c r="AJ1344" s="12"/>
      <c r="AK1344" s="12" t="s">
        <v>7630</v>
      </c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  <c r="BO1344" s="12"/>
      <c r="BP1344" s="12"/>
      <c r="BQ1344" s="12"/>
      <c r="BR1344" s="12"/>
      <c r="BS1344" s="12"/>
    </row>
    <row r="1345" spans="1:71">
      <c r="A1345" s="12" t="s">
        <v>669</v>
      </c>
      <c r="B1345" s="12" t="str">
        <f t="shared" si="256"/>
        <v>PRETORIUS</v>
      </c>
      <c r="C1345" s="12" t="str">
        <f t="shared" si="257"/>
        <v>PRETORIUS</v>
      </c>
      <c r="D1345" s="12" t="s">
        <v>63</v>
      </c>
      <c r="E1345" s="12" t="str">
        <f t="shared" si="255"/>
        <v>Jan Christoffel</v>
      </c>
      <c r="F1345" s="12" t="s">
        <v>9029</v>
      </c>
      <c r="G1345" s="12" t="str">
        <f t="shared" si="258"/>
        <v>a1b3c1d3e1f6</v>
      </c>
      <c r="H1345" s="12" t="str">
        <f t="shared" si="259"/>
        <v>PRETORIUSa1b3c1d3e1f6</v>
      </c>
      <c r="I1345" s="12"/>
      <c r="J1345" s="12" t="s">
        <v>9783</v>
      </c>
      <c r="K1345" s="12" t="str">
        <f t="shared" si="260"/>
        <v>1798</v>
      </c>
      <c r="L1345" s="12"/>
      <c r="M1345" s="12"/>
      <c r="N1345" s="12" t="str">
        <f t="shared" si="253"/>
        <v>1798</v>
      </c>
      <c r="O1345" s="12" t="str">
        <f t="shared" si="254"/>
        <v/>
      </c>
      <c r="P1345" s="12"/>
      <c r="Q1345" s="12" t="str">
        <f t="shared" si="261"/>
        <v>1798</v>
      </c>
      <c r="R1345" s="12"/>
      <c r="S1345" s="12" t="str">
        <f t="shared" si="264"/>
        <v/>
      </c>
      <c r="T1345" s="12"/>
      <c r="U1345" s="12"/>
      <c r="V1345" s="12" t="str">
        <f t="shared" si="262"/>
        <v/>
      </c>
      <c r="W1345" s="12" t="s">
        <v>4235</v>
      </c>
      <c r="X1345" s="12" t="s">
        <v>4871</v>
      </c>
      <c r="Y1345" s="12"/>
      <c r="Z1345" s="12"/>
      <c r="AA1345" s="12"/>
      <c r="AB1345" s="12"/>
      <c r="AC1345" s="12" t="s">
        <v>9744</v>
      </c>
      <c r="AD1345" s="12"/>
      <c r="AE1345" s="12"/>
      <c r="AF1345" s="12"/>
      <c r="AG1345" s="12"/>
      <c r="AH1345" s="12" t="s">
        <v>7432</v>
      </c>
      <c r="AI1345" s="12" t="str">
        <f t="shared" si="263"/>
        <v>1841</v>
      </c>
      <c r="AJ1345" s="12"/>
      <c r="AK1345" s="12" t="s">
        <v>140</v>
      </c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  <c r="BO1345" s="12"/>
      <c r="BP1345" s="12"/>
      <c r="BQ1345" s="12"/>
      <c r="BR1345" s="12"/>
      <c r="BS1345" s="12"/>
    </row>
    <row r="1346" spans="1:71">
      <c r="A1346" s="12" t="s">
        <v>669</v>
      </c>
      <c r="B1346" s="12" t="str">
        <f t="shared" si="256"/>
        <v>PRETORIUS</v>
      </c>
      <c r="C1346" s="12" t="str">
        <f t="shared" si="257"/>
        <v>PRETORIUS</v>
      </c>
      <c r="D1346" s="12" t="s">
        <v>8990</v>
      </c>
      <c r="E1346" s="12" t="str">
        <f t="shared" si="255"/>
        <v>C(H)Arel (Sarel) Johannes</v>
      </c>
      <c r="F1346" s="12" t="s">
        <v>8991</v>
      </c>
      <c r="G1346" s="12" t="str">
        <f t="shared" si="258"/>
        <v>a1b3c1d3e1f7</v>
      </c>
      <c r="H1346" s="12" t="str">
        <f t="shared" si="259"/>
        <v>PRETORIUSa1b3c1d3e1f7</v>
      </c>
      <c r="I1346" s="12"/>
      <c r="J1346" s="12" t="s">
        <v>9594</v>
      </c>
      <c r="K1346" s="12" t="str">
        <f t="shared" si="260"/>
        <v>1800</v>
      </c>
      <c r="L1346" s="12" t="s">
        <v>74</v>
      </c>
      <c r="M1346" s="12" t="s">
        <v>2732</v>
      </c>
      <c r="N1346" s="12" t="str">
        <f t="shared" ref="N1346:N1409" si="265">RIGHT(J1346,4)</f>
        <v>1800</v>
      </c>
      <c r="O1346" s="12" t="str">
        <f t="shared" ref="O1346:O1409" si="266">RIGHT(M1346,4)</f>
        <v>1800</v>
      </c>
      <c r="P1346" s="12" t="s">
        <v>9595</v>
      </c>
      <c r="Q1346" s="12" t="str">
        <f t="shared" si="261"/>
        <v>1800</v>
      </c>
      <c r="R1346" s="12" t="s">
        <v>9596</v>
      </c>
      <c r="S1346" s="12" t="str">
        <f t="shared" si="264"/>
        <v>1878</v>
      </c>
      <c r="T1346" s="12" t="s">
        <v>74</v>
      </c>
      <c r="U1346" s="12" t="s">
        <v>2743</v>
      </c>
      <c r="V1346" s="12" t="str">
        <f t="shared" si="262"/>
        <v>1823</v>
      </c>
      <c r="W1346" s="12" t="s">
        <v>9597</v>
      </c>
      <c r="X1346" s="12" t="s">
        <v>669</v>
      </c>
      <c r="Y1346" s="12" t="s">
        <v>9598</v>
      </c>
      <c r="Z1346" s="12"/>
      <c r="AA1346" s="12" t="s">
        <v>9599</v>
      </c>
      <c r="AB1346" s="12"/>
      <c r="AC1346" s="12"/>
      <c r="AD1346" s="12" t="s">
        <v>9600</v>
      </c>
      <c r="AE1346" s="12" t="s">
        <v>9601</v>
      </c>
      <c r="AF1346" s="12" t="s">
        <v>9602</v>
      </c>
      <c r="AG1346" s="12" t="s">
        <v>9603</v>
      </c>
      <c r="AH1346" s="12" t="s">
        <v>9604</v>
      </c>
      <c r="AI1346" s="12" t="str">
        <f t="shared" si="263"/>
        <v>1840</v>
      </c>
      <c r="AJ1346" s="12"/>
      <c r="AK1346" s="12" t="s">
        <v>9595</v>
      </c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  <c r="BP1346" s="12"/>
      <c r="BQ1346" s="12"/>
      <c r="BR1346" s="12"/>
      <c r="BS1346" s="12"/>
    </row>
    <row r="1347" spans="1:71">
      <c r="A1347" s="12" t="s">
        <v>669</v>
      </c>
      <c r="B1347" s="12" t="str">
        <f t="shared" si="256"/>
        <v>PRETORIUS</v>
      </c>
      <c r="C1347" s="12" t="str">
        <f t="shared" si="257"/>
        <v>PRETORIUS</v>
      </c>
      <c r="D1347" s="12" t="s">
        <v>9011</v>
      </c>
      <c r="E1347" s="12" t="str">
        <f t="shared" ref="E1347:E1410" si="267">PROPER(D1347)</f>
        <v>Hendrik Jacobus Matthys Wynand</v>
      </c>
      <c r="F1347" s="12" t="s">
        <v>9012</v>
      </c>
      <c r="G1347" s="12" t="str">
        <f t="shared" si="258"/>
        <v>a1b3c1d3e1f9</v>
      </c>
      <c r="H1347" s="12" t="str">
        <f t="shared" si="259"/>
        <v>PRETORIUSa1b3c1d3e1f9</v>
      </c>
      <c r="I1347" s="12"/>
      <c r="J1347" s="12"/>
      <c r="K1347" s="12" t="str">
        <f t="shared" si="260"/>
        <v/>
      </c>
      <c r="L1347" s="12"/>
      <c r="M1347" s="12"/>
      <c r="N1347" s="12" t="str">
        <f t="shared" si="265"/>
        <v/>
      </c>
      <c r="O1347" s="12" t="str">
        <f t="shared" si="266"/>
        <v/>
      </c>
      <c r="P1347" s="12" t="s">
        <v>9697</v>
      </c>
      <c r="Q1347" s="12" t="str">
        <f t="shared" si="261"/>
        <v/>
      </c>
      <c r="R1347" s="12" t="s">
        <v>9698</v>
      </c>
      <c r="S1347" s="12" t="str">
        <f t="shared" si="264"/>
        <v>1892</v>
      </c>
      <c r="T1347" s="12" t="s">
        <v>74</v>
      </c>
      <c r="U1347" s="12" t="s">
        <v>9457</v>
      </c>
      <c r="V1347" s="12" t="str">
        <f t="shared" si="262"/>
        <v>1831</v>
      </c>
      <c r="W1347" s="12" t="s">
        <v>9699</v>
      </c>
      <c r="X1347" s="12" t="s">
        <v>7914</v>
      </c>
      <c r="Y1347" s="12"/>
      <c r="Z1347" s="12"/>
      <c r="AA1347" s="12"/>
      <c r="AB1347" s="12"/>
      <c r="AC1347" s="12"/>
      <c r="AD1347" s="12" t="s">
        <v>9700</v>
      </c>
      <c r="AE1347" s="12" t="s">
        <v>9701</v>
      </c>
      <c r="AF1347" s="12" t="s">
        <v>9702</v>
      </c>
      <c r="AG1347" s="12" t="s">
        <v>74</v>
      </c>
      <c r="AH1347" s="12" t="s">
        <v>2489</v>
      </c>
      <c r="AI1347" s="12" t="str">
        <f t="shared" si="263"/>
        <v>1841</v>
      </c>
      <c r="AJ1347" s="12"/>
      <c r="AK1347" s="12" t="s">
        <v>9703</v>
      </c>
      <c r="AL1347" s="12" t="s">
        <v>74</v>
      </c>
      <c r="AM1347" s="12" t="s">
        <v>4385</v>
      </c>
      <c r="AN1347" s="12" t="s">
        <v>9704</v>
      </c>
      <c r="AO1347" s="12" t="s">
        <v>4236</v>
      </c>
      <c r="AP1347" s="12" t="s">
        <v>9705</v>
      </c>
      <c r="AQ1347" s="12"/>
      <c r="AR1347" s="12" t="s">
        <v>9706</v>
      </c>
      <c r="AS1347" s="12" t="s">
        <v>366</v>
      </c>
      <c r="AT1347" s="12" t="s">
        <v>9707</v>
      </c>
      <c r="AU1347" s="12" t="s">
        <v>9708</v>
      </c>
      <c r="AV1347" s="12" t="s">
        <v>9709</v>
      </c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  <c r="BO1347" s="12"/>
      <c r="BP1347" s="12"/>
      <c r="BQ1347" s="12"/>
      <c r="BR1347" s="12"/>
      <c r="BS1347" s="12"/>
    </row>
    <row r="1348" spans="1:71">
      <c r="A1348" s="12" t="s">
        <v>669</v>
      </c>
      <c r="B1348" s="12" t="str">
        <f t="shared" si="256"/>
        <v>PRETORIUS</v>
      </c>
      <c r="C1348" s="12" t="str">
        <f t="shared" si="257"/>
        <v>PRETORIUS</v>
      </c>
      <c r="D1348" s="12" t="s">
        <v>9043</v>
      </c>
      <c r="E1348" s="12" t="str">
        <f t="shared" si="267"/>
        <v>Johannes Lodewicus Josephus</v>
      </c>
      <c r="F1348" s="12" t="s">
        <v>9044</v>
      </c>
      <c r="G1348" s="12" t="str">
        <f t="shared" si="258"/>
        <v>a1b3c1d3e8f10</v>
      </c>
      <c r="H1348" s="12" t="str">
        <f t="shared" si="259"/>
        <v>PRETORIUSa1b3c1d3e8f10</v>
      </c>
      <c r="I1348" s="12"/>
      <c r="J1348" s="12" t="s">
        <v>9852</v>
      </c>
      <c r="K1348" s="12" t="str">
        <f t="shared" si="260"/>
        <v>1820</v>
      </c>
      <c r="L1348" s="12" t="s">
        <v>74</v>
      </c>
      <c r="M1348" s="12" t="s">
        <v>2158</v>
      </c>
      <c r="N1348" s="12" t="str">
        <f t="shared" si="265"/>
        <v>1820</v>
      </c>
      <c r="O1348" s="12" t="str">
        <f t="shared" si="266"/>
        <v>1820</v>
      </c>
      <c r="P1348" s="12" t="s">
        <v>9853</v>
      </c>
      <c r="Q1348" s="12" t="str">
        <f t="shared" si="261"/>
        <v>1820</v>
      </c>
      <c r="R1348" s="12" t="s">
        <v>9854</v>
      </c>
      <c r="S1348" s="12" t="str">
        <f t="shared" si="264"/>
        <v>1905</v>
      </c>
      <c r="T1348" s="12"/>
      <c r="U1348" s="12"/>
      <c r="V1348" s="12" t="str">
        <f t="shared" si="262"/>
        <v/>
      </c>
      <c r="W1348" s="12" t="s">
        <v>2554</v>
      </c>
      <c r="X1348" s="12" t="s">
        <v>2582</v>
      </c>
      <c r="Y1348" s="12"/>
      <c r="Z1348" s="12"/>
      <c r="AA1348" s="12">
        <v>1825</v>
      </c>
      <c r="AB1348" s="12"/>
      <c r="AC1348" s="12"/>
      <c r="AD1348" s="12" t="s">
        <v>7401</v>
      </c>
      <c r="AE1348" s="12" t="s">
        <v>9855</v>
      </c>
      <c r="AF1348" s="12"/>
      <c r="AG1348" s="12" t="s">
        <v>5302</v>
      </c>
      <c r="AH1348" s="12" t="s">
        <v>4696</v>
      </c>
      <c r="AI1348" s="12" t="str">
        <f t="shared" si="263"/>
        <v>1844</v>
      </c>
      <c r="AJ1348" s="12"/>
      <c r="AK1348" s="12" t="s">
        <v>1864</v>
      </c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  <c r="BP1348" s="12"/>
      <c r="BQ1348" s="12"/>
      <c r="BR1348" s="12"/>
      <c r="BS1348" s="12"/>
    </row>
    <row r="1349" spans="1:71">
      <c r="A1349" s="12" t="s">
        <v>669</v>
      </c>
      <c r="B1349" s="12" t="str">
        <f t="shared" si="256"/>
        <v>PRETORIUS</v>
      </c>
      <c r="C1349" s="12" t="str">
        <f t="shared" si="257"/>
        <v>PRETORIUS</v>
      </c>
      <c r="D1349" s="12" t="s">
        <v>1759</v>
      </c>
      <c r="E1349" s="12" t="str">
        <f t="shared" si="267"/>
        <v>Gerhardus Petrus</v>
      </c>
      <c r="F1349" s="12" t="s">
        <v>9004</v>
      </c>
      <c r="G1349" s="12" t="str">
        <f t="shared" si="258"/>
        <v>a1b3c1d3e8f3</v>
      </c>
      <c r="H1349" s="12" t="str">
        <f t="shared" si="259"/>
        <v>PRETORIUSa1b3c1d3e8f3</v>
      </c>
      <c r="I1349" s="12"/>
      <c r="J1349" s="12" t="s">
        <v>9665</v>
      </c>
      <c r="K1349" s="12" t="str">
        <f t="shared" si="260"/>
        <v>1806</v>
      </c>
      <c r="L1349" s="12"/>
      <c r="M1349" s="12"/>
      <c r="N1349" s="12" t="str">
        <f t="shared" si="265"/>
        <v>1806</v>
      </c>
      <c r="O1349" s="12" t="str">
        <f t="shared" si="266"/>
        <v/>
      </c>
      <c r="P1349" s="12" t="s">
        <v>140</v>
      </c>
      <c r="Q1349" s="12" t="str">
        <f t="shared" si="261"/>
        <v>1806</v>
      </c>
      <c r="R1349" s="12" t="s">
        <v>9666</v>
      </c>
      <c r="S1349" s="12" t="str">
        <f t="shared" si="264"/>
        <v>1869</v>
      </c>
      <c r="T1349" s="12" t="s">
        <v>74</v>
      </c>
      <c r="U1349" s="12" t="s">
        <v>9667</v>
      </c>
      <c r="V1349" s="12" t="str">
        <f t="shared" si="262"/>
        <v>1825</v>
      </c>
      <c r="W1349" s="12" t="s">
        <v>9668</v>
      </c>
      <c r="X1349" s="12" t="s">
        <v>776</v>
      </c>
      <c r="Y1349" s="12"/>
      <c r="Z1349" s="12"/>
      <c r="AA1349" s="12"/>
      <c r="AB1349" s="12"/>
      <c r="AC1349" s="12" t="s">
        <v>3017</v>
      </c>
      <c r="AD1349" s="12"/>
      <c r="AE1349" s="12"/>
      <c r="AF1349" s="12"/>
      <c r="AG1349" s="12" t="s">
        <v>366</v>
      </c>
      <c r="AH1349" s="12" t="s">
        <v>2489</v>
      </c>
      <c r="AI1349" s="12" t="str">
        <f t="shared" si="263"/>
        <v>1841</v>
      </c>
      <c r="AJ1349" s="12"/>
      <c r="AK1349" s="12" t="s">
        <v>5177</v>
      </c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  <c r="BP1349" s="12"/>
      <c r="BQ1349" s="12"/>
      <c r="BR1349" s="12"/>
      <c r="BS1349" s="12"/>
    </row>
    <row r="1350" spans="1:71">
      <c r="A1350" s="12" t="s">
        <v>669</v>
      </c>
      <c r="B1350" s="12" t="str">
        <f t="shared" si="256"/>
        <v>PRETORIUS</v>
      </c>
      <c r="C1350" s="12" t="str">
        <f t="shared" si="257"/>
        <v>PRETORIUS</v>
      </c>
      <c r="D1350" s="12" t="s">
        <v>9084</v>
      </c>
      <c r="E1350" s="12" t="str">
        <f t="shared" si="267"/>
        <v>Willem Andries Petrus</v>
      </c>
      <c r="F1350" s="12" t="s">
        <v>9085</v>
      </c>
      <c r="G1350" s="12" t="str">
        <f t="shared" si="258"/>
        <v>a1b3c1d3e8f7</v>
      </c>
      <c r="H1350" s="12" t="str">
        <f t="shared" si="259"/>
        <v>PRETORIUSa1b3c1d3e8f7</v>
      </c>
      <c r="I1350" s="12"/>
      <c r="J1350" s="12" t="s">
        <v>10054</v>
      </c>
      <c r="K1350" s="12" t="str">
        <f t="shared" si="260"/>
        <v>1815</v>
      </c>
      <c r="L1350" s="12" t="s">
        <v>74</v>
      </c>
      <c r="M1350" s="12" t="s">
        <v>200</v>
      </c>
      <c r="N1350" s="12" t="str">
        <f t="shared" si="265"/>
        <v>1815</v>
      </c>
      <c r="O1350" s="12" t="str">
        <f t="shared" si="266"/>
        <v>1815</v>
      </c>
      <c r="P1350" s="12" t="s">
        <v>10055</v>
      </c>
      <c r="Q1350" s="12" t="str">
        <f t="shared" si="261"/>
        <v>1815</v>
      </c>
      <c r="R1350" s="12" t="s">
        <v>10056</v>
      </c>
      <c r="S1350" s="12" t="str">
        <f t="shared" si="264"/>
        <v>1894</v>
      </c>
      <c r="T1350" s="12" t="s">
        <v>68</v>
      </c>
      <c r="U1350" s="12" t="s">
        <v>10057</v>
      </c>
      <c r="V1350" s="12" t="str">
        <f t="shared" si="262"/>
        <v>1836</v>
      </c>
      <c r="W1350" s="12" t="s">
        <v>10058</v>
      </c>
      <c r="X1350" s="12" t="s">
        <v>295</v>
      </c>
      <c r="Y1350" s="12"/>
      <c r="Z1350" s="12"/>
      <c r="AA1350" s="12" t="s">
        <v>10059</v>
      </c>
      <c r="AB1350" s="12"/>
      <c r="AC1350" s="12"/>
      <c r="AD1350" s="12"/>
      <c r="AE1350" s="12"/>
      <c r="AF1350" s="12"/>
      <c r="AG1350" s="12" t="s">
        <v>10060</v>
      </c>
      <c r="AH1350" s="12" t="s">
        <v>1036</v>
      </c>
      <c r="AI1350" s="12" t="str">
        <f t="shared" si="263"/>
        <v>1838</v>
      </c>
      <c r="AJ1350" s="12"/>
      <c r="AK1350" s="12" t="s">
        <v>10061</v>
      </c>
      <c r="AL1350" s="12" t="s">
        <v>140</v>
      </c>
      <c r="AM1350" s="12" t="s">
        <v>10073</v>
      </c>
      <c r="AN1350" s="12" t="s">
        <v>7053</v>
      </c>
      <c r="AO1350" s="12" t="s">
        <v>655</v>
      </c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  <c r="BP1350" s="12"/>
      <c r="BQ1350" s="12"/>
      <c r="BR1350" s="12"/>
      <c r="BS1350" s="12"/>
    </row>
    <row r="1351" spans="1:71">
      <c r="A1351" s="12" t="s">
        <v>669</v>
      </c>
      <c r="B1351" s="12" t="str">
        <f t="shared" si="256"/>
        <v>PRETORIUS</v>
      </c>
      <c r="C1351" s="12" t="str">
        <f t="shared" si="257"/>
        <v>PRETORIUS</v>
      </c>
      <c r="D1351" s="12" t="s">
        <v>9067</v>
      </c>
      <c r="E1351" s="12" t="str">
        <f t="shared" si="267"/>
        <v>Matthys Wynand Sr.</v>
      </c>
      <c r="F1351" s="12" t="s">
        <v>9068</v>
      </c>
      <c r="G1351" s="12" t="str">
        <f t="shared" si="258"/>
        <v>a1b3c1d3e9</v>
      </c>
      <c r="H1351" s="12" t="str">
        <f t="shared" si="259"/>
        <v>PRETORIUSa1b3c1d3e9</v>
      </c>
      <c r="I1351" s="12"/>
      <c r="J1351" s="12"/>
      <c r="K1351" s="12" t="str">
        <f t="shared" si="260"/>
        <v/>
      </c>
      <c r="L1351" s="12" t="s">
        <v>542</v>
      </c>
      <c r="M1351" s="12" t="s">
        <v>9963</v>
      </c>
      <c r="N1351" s="12" t="str">
        <f t="shared" si="265"/>
        <v/>
      </c>
      <c r="O1351" s="12" t="str">
        <f t="shared" si="266"/>
        <v>1786</v>
      </c>
      <c r="P1351" s="12"/>
      <c r="Q1351" s="12" t="str">
        <f t="shared" si="261"/>
        <v>1786</v>
      </c>
      <c r="R1351" s="12"/>
      <c r="S1351" s="12" t="str">
        <f t="shared" si="264"/>
        <v/>
      </c>
      <c r="T1351" s="12" t="s">
        <v>74</v>
      </c>
      <c r="U1351" s="12" t="s">
        <v>8062</v>
      </c>
      <c r="V1351" s="12" t="str">
        <f t="shared" si="262"/>
        <v>1807</v>
      </c>
      <c r="W1351" s="12" t="s">
        <v>9964</v>
      </c>
      <c r="X1351" s="12" t="s">
        <v>669</v>
      </c>
      <c r="Y1351" s="12" t="s">
        <v>9965</v>
      </c>
      <c r="Z1351" s="12"/>
      <c r="AA1351" s="12"/>
      <c r="AB1351" s="12"/>
      <c r="AC1351" s="12" t="s">
        <v>9966</v>
      </c>
      <c r="AD1351" s="12"/>
      <c r="AE1351" s="12"/>
      <c r="AF1351" s="12"/>
      <c r="AG1351" s="12" t="s">
        <v>74</v>
      </c>
      <c r="AH1351" s="12" t="s">
        <v>9967</v>
      </c>
      <c r="AI1351" s="12" t="str">
        <f t="shared" si="263"/>
        <v>1834</v>
      </c>
      <c r="AJ1351" s="12" t="s">
        <v>9968</v>
      </c>
      <c r="AK1351" s="12" t="s">
        <v>140</v>
      </c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  <c r="BP1351" s="12"/>
      <c r="BQ1351" s="12"/>
      <c r="BR1351" s="12"/>
      <c r="BS1351" s="12"/>
    </row>
    <row r="1352" spans="1:71">
      <c r="A1352" s="12" t="s">
        <v>669</v>
      </c>
      <c r="B1352" s="12" t="str">
        <f t="shared" si="256"/>
        <v>PRETORIUS</v>
      </c>
      <c r="C1352" s="12" t="str">
        <f t="shared" si="257"/>
        <v>PRETORIUS</v>
      </c>
      <c r="D1352" s="12" t="s">
        <v>9002</v>
      </c>
      <c r="E1352" s="12" t="str">
        <f t="shared" si="267"/>
        <v>Gerhardus Petrus Jacobus</v>
      </c>
      <c r="F1352" s="12" t="s">
        <v>9005</v>
      </c>
      <c r="G1352" s="12" t="str">
        <f t="shared" si="258"/>
        <v>a1b3c1d3e9f1</v>
      </c>
      <c r="H1352" s="12" t="str">
        <f t="shared" si="259"/>
        <v>PRETORIUSa1b3c1d3e9f1</v>
      </c>
      <c r="I1352" s="12"/>
      <c r="J1352" s="12" t="s">
        <v>9669</v>
      </c>
      <c r="K1352" s="12" t="str">
        <f t="shared" si="260"/>
        <v>1809</v>
      </c>
      <c r="L1352" s="12" t="s">
        <v>74</v>
      </c>
      <c r="M1352" s="12" t="s">
        <v>4901</v>
      </c>
      <c r="N1352" s="12" t="str">
        <f t="shared" si="265"/>
        <v>1809</v>
      </c>
      <c r="O1352" s="12" t="str">
        <f t="shared" si="266"/>
        <v>1809</v>
      </c>
      <c r="P1352" s="12"/>
      <c r="Q1352" s="12" t="str">
        <f t="shared" si="261"/>
        <v>1809</v>
      </c>
      <c r="R1352" s="12"/>
      <c r="S1352" s="12" t="str">
        <f t="shared" si="264"/>
        <v/>
      </c>
      <c r="T1352" s="12" t="s">
        <v>74</v>
      </c>
      <c r="U1352" s="12" t="s">
        <v>9670</v>
      </c>
      <c r="V1352" s="12" t="str">
        <f t="shared" si="262"/>
        <v>1827</v>
      </c>
      <c r="W1352" s="12" t="s">
        <v>9671</v>
      </c>
      <c r="X1352" s="12" t="s">
        <v>7087</v>
      </c>
      <c r="Y1352" s="12"/>
      <c r="Z1352" s="12"/>
      <c r="AA1352" s="12"/>
      <c r="AB1352" s="12"/>
      <c r="AC1352" s="12"/>
      <c r="AD1352" s="12"/>
      <c r="AE1352" s="12"/>
      <c r="AF1352" s="12"/>
      <c r="AG1352" s="12" t="s">
        <v>9672</v>
      </c>
      <c r="AH1352" s="12" t="s">
        <v>9512</v>
      </c>
      <c r="AI1352" s="12" t="str">
        <f t="shared" si="263"/>
        <v>1834</v>
      </c>
      <c r="AJ1352" s="12"/>
      <c r="AK1352" s="12" t="s">
        <v>120</v>
      </c>
      <c r="AL1352" s="12" t="s">
        <v>74</v>
      </c>
      <c r="AM1352" s="12" t="s">
        <v>9673</v>
      </c>
      <c r="AN1352" s="12" t="s">
        <v>9674</v>
      </c>
      <c r="AO1352" s="12" t="s">
        <v>669</v>
      </c>
      <c r="AP1352" s="12" t="s">
        <v>9675</v>
      </c>
      <c r="AQ1352" s="12"/>
      <c r="AR1352" s="12" t="s">
        <v>9676</v>
      </c>
      <c r="AS1352" s="12"/>
      <c r="AT1352" s="12"/>
      <c r="AU1352" s="12" t="s">
        <v>9677</v>
      </c>
      <c r="AV1352" s="12" t="s">
        <v>9678</v>
      </c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  <c r="BP1352" s="12"/>
      <c r="BQ1352" s="12"/>
      <c r="BR1352" s="12"/>
      <c r="BS1352" s="12"/>
    </row>
    <row r="1353" spans="1:71">
      <c r="A1353" s="12" t="s">
        <v>669</v>
      </c>
      <c r="B1353" s="12" t="str">
        <f t="shared" si="256"/>
        <v>PRETORIUS</v>
      </c>
      <c r="C1353" s="12" t="str">
        <f t="shared" si="257"/>
        <v>PRETORIUS</v>
      </c>
      <c r="D1353" s="12" t="s">
        <v>1777</v>
      </c>
      <c r="E1353" s="12" t="str">
        <f t="shared" si="267"/>
        <v>Marthinus Wessel</v>
      </c>
      <c r="F1353" s="12" t="s">
        <v>9058</v>
      </c>
      <c r="G1353" s="12" t="str">
        <f t="shared" si="258"/>
        <v>a1b3c1d3e9f2</v>
      </c>
      <c r="H1353" s="12" t="str">
        <f t="shared" si="259"/>
        <v>PRETORIUSa1b3c1d3e9f2</v>
      </c>
      <c r="I1353" s="12"/>
      <c r="J1353" s="12" t="s">
        <v>9921</v>
      </c>
      <c r="K1353" s="12" t="str">
        <f t="shared" si="260"/>
        <v>1811</v>
      </c>
      <c r="L1353" s="12" t="s">
        <v>74</v>
      </c>
      <c r="M1353" s="12" t="s">
        <v>9922</v>
      </c>
      <c r="N1353" s="12" t="str">
        <f t="shared" si="265"/>
        <v>1811</v>
      </c>
      <c r="O1353" s="12" t="str">
        <f t="shared" si="266"/>
        <v>1811</v>
      </c>
      <c r="P1353" s="12" t="s">
        <v>5044</v>
      </c>
      <c r="Q1353" s="12" t="str">
        <f t="shared" si="261"/>
        <v>1811</v>
      </c>
      <c r="R1353" s="12" t="s">
        <v>9923</v>
      </c>
      <c r="S1353" s="12" t="str">
        <f t="shared" si="264"/>
        <v>1894</v>
      </c>
      <c r="T1353" s="12"/>
      <c r="U1353" s="12"/>
      <c r="V1353" s="12" t="str">
        <f t="shared" si="262"/>
        <v/>
      </c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 t="s">
        <v>74</v>
      </c>
      <c r="AH1353" s="12" t="s">
        <v>9924</v>
      </c>
      <c r="AI1353" s="12" t="str">
        <f t="shared" si="263"/>
        <v>1834</v>
      </c>
      <c r="AJ1353" s="12"/>
      <c r="AK1353" s="12" t="s">
        <v>140</v>
      </c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  <c r="BP1353" s="12"/>
      <c r="BQ1353" s="12"/>
      <c r="BR1353" s="12"/>
      <c r="BS1353" s="12"/>
    </row>
    <row r="1354" spans="1:71">
      <c r="A1354" s="12" t="s">
        <v>669</v>
      </c>
      <c r="B1354" s="12" t="str">
        <f t="shared" si="256"/>
        <v>PRETORIUS</v>
      </c>
      <c r="C1354" s="12" t="str">
        <f t="shared" si="257"/>
        <v>PRETORIUS</v>
      </c>
      <c r="D1354" s="12" t="s">
        <v>9069</v>
      </c>
      <c r="E1354" s="12" t="str">
        <f t="shared" si="267"/>
        <v>Matthys Wynand Jr.</v>
      </c>
      <c r="F1354" s="12" t="s">
        <v>9070</v>
      </c>
      <c r="G1354" s="12" t="str">
        <f t="shared" si="258"/>
        <v>a1b3c1d3e9f3</v>
      </c>
      <c r="H1354" s="12" t="str">
        <f t="shared" si="259"/>
        <v>PRETORIUSa1b3c1d3e9f3</v>
      </c>
      <c r="I1354" s="12"/>
      <c r="J1354" s="12" t="s">
        <v>9969</v>
      </c>
      <c r="K1354" s="12" t="str">
        <f t="shared" si="260"/>
        <v>1813</v>
      </c>
      <c r="L1354" s="12" t="s">
        <v>74</v>
      </c>
      <c r="M1354" s="12" t="s">
        <v>3525</v>
      </c>
      <c r="N1354" s="12" t="str">
        <f t="shared" si="265"/>
        <v>1813</v>
      </c>
      <c r="O1354" s="12" t="str">
        <f t="shared" si="266"/>
        <v>1813</v>
      </c>
      <c r="P1354" s="12" t="s">
        <v>9970</v>
      </c>
      <c r="Q1354" s="12" t="str">
        <f t="shared" si="261"/>
        <v>1813</v>
      </c>
      <c r="R1354" s="12" t="s">
        <v>9971</v>
      </c>
      <c r="S1354" s="12" t="str">
        <f t="shared" si="264"/>
        <v>1897</v>
      </c>
      <c r="T1354" s="12" t="s">
        <v>74</v>
      </c>
      <c r="U1354" s="12" t="s">
        <v>407</v>
      </c>
      <c r="V1354" s="12" t="str">
        <f t="shared" si="262"/>
        <v>1835</v>
      </c>
      <c r="W1354" s="12" t="s">
        <v>9972</v>
      </c>
      <c r="X1354" s="12" t="s">
        <v>725</v>
      </c>
      <c r="Y1354" s="12"/>
      <c r="Z1354" s="12"/>
      <c r="AA1354" s="12" t="s">
        <v>9973</v>
      </c>
      <c r="AB1354" s="12"/>
      <c r="AC1354" s="12"/>
      <c r="AD1354" s="12" t="s">
        <v>9974</v>
      </c>
      <c r="AE1354" s="12" t="s">
        <v>9975</v>
      </c>
      <c r="AF1354" s="12" t="s">
        <v>9976</v>
      </c>
      <c r="AG1354" s="12" t="s">
        <v>74</v>
      </c>
      <c r="AH1354" s="12" t="s">
        <v>9977</v>
      </c>
      <c r="AI1354" s="12" t="str">
        <f t="shared" si="263"/>
        <v>1838</v>
      </c>
      <c r="AJ1354" s="12" t="s">
        <v>9957</v>
      </c>
      <c r="AK1354" s="12" t="s">
        <v>93</v>
      </c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  <c r="BP1354" s="12"/>
      <c r="BQ1354" s="12"/>
      <c r="BR1354" s="12"/>
      <c r="BS1354" s="12"/>
    </row>
    <row r="1355" spans="1:71">
      <c r="A1355" s="12" t="s">
        <v>669</v>
      </c>
      <c r="B1355" s="12" t="str">
        <f t="shared" si="256"/>
        <v>PRETORIUS</v>
      </c>
      <c r="C1355" s="12" t="str">
        <f t="shared" si="257"/>
        <v>PRETORIUS</v>
      </c>
      <c r="D1355" s="12" t="s">
        <v>3760</v>
      </c>
      <c r="E1355" s="12" t="str">
        <f t="shared" si="267"/>
        <v>Johannes Lodewicus</v>
      </c>
      <c r="F1355" s="12" t="s">
        <v>9045</v>
      </c>
      <c r="G1355" s="12" t="str">
        <f t="shared" si="258"/>
        <v>a1b3c1d3e9f4</v>
      </c>
      <c r="H1355" s="12" t="str">
        <f t="shared" si="259"/>
        <v>PRETORIUSa1b3c1d3e9f4</v>
      </c>
      <c r="I1355" s="12"/>
      <c r="J1355" s="12" t="s">
        <v>9856</v>
      </c>
      <c r="K1355" s="12" t="str">
        <f t="shared" si="260"/>
        <v>1815</v>
      </c>
      <c r="L1355" s="12" t="s">
        <v>74</v>
      </c>
      <c r="M1355" s="12" t="s">
        <v>1602</v>
      </c>
      <c r="N1355" s="12" t="str">
        <f t="shared" si="265"/>
        <v>1815</v>
      </c>
      <c r="O1355" s="12" t="str">
        <f t="shared" si="266"/>
        <v>1815</v>
      </c>
      <c r="P1355" s="12" t="s">
        <v>93</v>
      </c>
      <c r="Q1355" s="12" t="str">
        <f t="shared" si="261"/>
        <v>1815</v>
      </c>
      <c r="R1355" s="12" t="s">
        <v>9857</v>
      </c>
      <c r="S1355" s="12" t="str">
        <f t="shared" si="264"/>
        <v>1887</v>
      </c>
      <c r="T1355" s="12" t="s">
        <v>74</v>
      </c>
      <c r="U1355" s="12" t="s">
        <v>9858</v>
      </c>
      <c r="V1355" s="12" t="str">
        <f t="shared" si="262"/>
        <v>1837</v>
      </c>
      <c r="W1355" s="12" t="s">
        <v>9859</v>
      </c>
      <c r="X1355" s="12" t="s">
        <v>633</v>
      </c>
      <c r="Y1355" s="12"/>
      <c r="Z1355" s="12"/>
      <c r="AA1355" s="12" t="s">
        <v>7591</v>
      </c>
      <c r="AB1355" s="12"/>
      <c r="AC1355" s="12"/>
      <c r="AD1355" s="12" t="s">
        <v>9860</v>
      </c>
      <c r="AE1355" s="12" t="s">
        <v>9861</v>
      </c>
      <c r="AF1355" s="12"/>
      <c r="AG1355" s="12" t="s">
        <v>74</v>
      </c>
      <c r="AH1355" s="12" t="s">
        <v>5445</v>
      </c>
      <c r="AI1355" s="12" t="str">
        <f t="shared" si="263"/>
        <v>1839</v>
      </c>
      <c r="AJ1355" s="12"/>
      <c r="AK1355" s="12" t="s">
        <v>93</v>
      </c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  <c r="BP1355" s="12"/>
      <c r="BQ1355" s="12"/>
      <c r="BR1355" s="12"/>
      <c r="BS1355" s="12"/>
    </row>
    <row r="1356" spans="1:71">
      <c r="A1356" s="12" t="s">
        <v>669</v>
      </c>
      <c r="B1356" s="12" t="str">
        <f t="shared" si="256"/>
        <v>PRETORIUS</v>
      </c>
      <c r="C1356" s="12" t="str">
        <f t="shared" si="257"/>
        <v>PRETORIUS</v>
      </c>
      <c r="D1356" s="12" t="s">
        <v>6664</v>
      </c>
      <c r="E1356" s="12" t="str">
        <f t="shared" si="267"/>
        <v>Gideon Petrus</v>
      </c>
      <c r="F1356" s="12" t="s">
        <v>9006</v>
      </c>
      <c r="G1356" s="12" t="str">
        <f t="shared" si="258"/>
        <v>a1b3c1d3e9f5</v>
      </c>
      <c r="H1356" s="12" t="str">
        <f t="shared" si="259"/>
        <v>PRETORIUSa1b3c1d3e9f5</v>
      </c>
      <c r="I1356" s="12"/>
      <c r="J1356" s="12" t="s">
        <v>180</v>
      </c>
      <c r="K1356" s="12" t="str">
        <f t="shared" si="260"/>
        <v>1817</v>
      </c>
      <c r="L1356" s="12" t="s">
        <v>74</v>
      </c>
      <c r="M1356" s="12" t="s">
        <v>3988</v>
      </c>
      <c r="N1356" s="12" t="str">
        <f t="shared" si="265"/>
        <v>1817</v>
      </c>
      <c r="O1356" s="12" t="str">
        <f t="shared" si="266"/>
        <v>1817</v>
      </c>
      <c r="P1356" s="12"/>
      <c r="Q1356" s="12" t="str">
        <f t="shared" si="261"/>
        <v>1817</v>
      </c>
      <c r="R1356" s="12"/>
      <c r="S1356" s="12" t="str">
        <f t="shared" si="264"/>
        <v/>
      </c>
      <c r="T1356" s="12"/>
      <c r="U1356" s="12"/>
      <c r="V1356" s="12" t="str">
        <f t="shared" si="262"/>
        <v/>
      </c>
      <c r="W1356" s="12" t="s">
        <v>9679</v>
      </c>
      <c r="X1356" s="12" t="s">
        <v>778</v>
      </c>
      <c r="Y1356" s="12"/>
      <c r="Z1356" s="12"/>
      <c r="AA1356" s="12"/>
      <c r="AB1356" s="12"/>
      <c r="AC1356" s="12"/>
      <c r="AD1356" s="12"/>
      <c r="AE1356" s="12"/>
      <c r="AF1356" s="12"/>
      <c r="AG1356" s="12" t="s">
        <v>74</v>
      </c>
      <c r="AH1356" s="12" t="s">
        <v>4696</v>
      </c>
      <c r="AI1356" s="12" t="str">
        <f t="shared" si="263"/>
        <v>1844</v>
      </c>
      <c r="AJ1356" s="12"/>
      <c r="AK1356" s="12" t="s">
        <v>9680</v>
      </c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  <c r="BO1356" s="12"/>
      <c r="BP1356" s="12"/>
      <c r="BQ1356" s="12"/>
      <c r="BR1356" s="12"/>
      <c r="BS1356" s="12"/>
    </row>
    <row r="1357" spans="1:71">
      <c r="A1357" s="12" t="s">
        <v>669</v>
      </c>
      <c r="B1357" s="12" t="str">
        <f t="shared" si="256"/>
        <v>PRETORIUS</v>
      </c>
      <c r="C1357" s="12" t="str">
        <f t="shared" si="257"/>
        <v>PRETORIUS</v>
      </c>
      <c r="D1357" s="12" t="s">
        <v>9034</v>
      </c>
      <c r="E1357" s="12" t="str">
        <f t="shared" si="267"/>
        <v>Johannes Adriaan</v>
      </c>
      <c r="F1357" s="12" t="s">
        <v>9035</v>
      </c>
      <c r="G1357" s="12" t="str">
        <f t="shared" si="258"/>
        <v>a1b3c1d3e9f9</v>
      </c>
      <c r="H1357" s="12" t="str">
        <f t="shared" si="259"/>
        <v>PRETORIUSa1b3c1d3e9f9</v>
      </c>
      <c r="I1357" s="12"/>
      <c r="J1357" s="12" t="s">
        <v>9793</v>
      </c>
      <c r="K1357" s="12" t="str">
        <f t="shared" si="260"/>
        <v>1825</v>
      </c>
      <c r="L1357" s="12" t="s">
        <v>74</v>
      </c>
      <c r="M1357" s="12" t="s">
        <v>2850</v>
      </c>
      <c r="N1357" s="12" t="str">
        <f t="shared" si="265"/>
        <v>1825</v>
      </c>
      <c r="O1357" s="12" t="str">
        <f t="shared" si="266"/>
        <v>1825</v>
      </c>
      <c r="P1357" s="12" t="s">
        <v>9612</v>
      </c>
      <c r="Q1357" s="12" t="str">
        <f t="shared" si="261"/>
        <v>1825</v>
      </c>
      <c r="R1357" s="12" t="s">
        <v>9794</v>
      </c>
      <c r="S1357" s="12" t="str">
        <f t="shared" si="264"/>
        <v>1875</v>
      </c>
      <c r="T1357" s="12" t="s">
        <v>140</v>
      </c>
      <c r="U1357" s="12" t="s">
        <v>9795</v>
      </c>
      <c r="V1357" s="12" t="str">
        <f t="shared" si="262"/>
        <v>1856</v>
      </c>
      <c r="W1357" s="12" t="s">
        <v>9796</v>
      </c>
      <c r="X1357" s="12" t="s">
        <v>4474</v>
      </c>
      <c r="Y1357" s="12"/>
      <c r="Z1357" s="12"/>
      <c r="AA1357" s="12"/>
      <c r="AB1357" s="12"/>
      <c r="AC1357" s="12"/>
      <c r="AD1357" s="12"/>
      <c r="AE1357" s="12"/>
      <c r="AF1357" s="12" t="s">
        <v>7704</v>
      </c>
      <c r="AG1357" s="12" t="s">
        <v>74</v>
      </c>
      <c r="AH1357" s="12" t="s">
        <v>9797</v>
      </c>
      <c r="AI1357" s="12" t="str">
        <f t="shared" si="263"/>
        <v>1836</v>
      </c>
      <c r="AJ1357" s="12"/>
      <c r="AK1357" s="12" t="s">
        <v>140</v>
      </c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  <c r="BO1357" s="12"/>
      <c r="BP1357" s="12"/>
      <c r="BQ1357" s="12"/>
      <c r="BR1357" s="12"/>
      <c r="BS1357" s="12"/>
    </row>
    <row r="1358" spans="1:71">
      <c r="A1358" s="12" t="s">
        <v>669</v>
      </c>
      <c r="B1358" s="12" t="str">
        <f t="shared" si="256"/>
        <v>PRETORIUS</v>
      </c>
      <c r="C1358" s="12" t="str">
        <f t="shared" si="257"/>
        <v>PRETORIUS</v>
      </c>
      <c r="D1358" s="12" t="s">
        <v>1777</v>
      </c>
      <c r="E1358" s="12" t="str">
        <f t="shared" si="267"/>
        <v>Marthinus Wessel</v>
      </c>
      <c r="F1358" s="12" t="s">
        <v>9057</v>
      </c>
      <c r="G1358" s="12" t="str">
        <f t="shared" si="258"/>
        <v>a1b3c1d5e1</v>
      </c>
      <c r="H1358" s="12" t="str">
        <f t="shared" si="259"/>
        <v>PRETORIUSa1b3c1d5e1</v>
      </c>
      <c r="I1358" s="12"/>
      <c r="J1358" s="12"/>
      <c r="K1358" s="12" t="str">
        <f t="shared" si="260"/>
        <v/>
      </c>
      <c r="L1358" s="12"/>
      <c r="M1358" s="12" t="s">
        <v>8461</v>
      </c>
      <c r="N1358" s="12" t="str">
        <f t="shared" si="265"/>
        <v/>
      </c>
      <c r="O1358" s="12" t="str">
        <f t="shared" si="266"/>
        <v>1775</v>
      </c>
      <c r="P1358" s="12" t="s">
        <v>9909</v>
      </c>
      <c r="Q1358" s="12" t="str">
        <f t="shared" si="261"/>
        <v>1775</v>
      </c>
      <c r="R1358" s="12"/>
      <c r="T1358" s="12"/>
      <c r="U1358" s="12" t="s">
        <v>9910</v>
      </c>
      <c r="V1358" s="12" t="str">
        <f t="shared" si="262"/>
        <v>1792</v>
      </c>
      <c r="W1358" s="12" t="s">
        <v>9911</v>
      </c>
      <c r="X1358" s="12" t="s">
        <v>669</v>
      </c>
      <c r="Y1358" s="12" t="s">
        <v>9912</v>
      </c>
      <c r="Z1358" s="12"/>
      <c r="AA1358" s="12"/>
      <c r="AB1358" s="12"/>
      <c r="AC1358" s="12" t="s">
        <v>9913</v>
      </c>
      <c r="AD1358" s="12"/>
      <c r="AE1358" s="12"/>
      <c r="AF1358" s="12" t="s">
        <v>9914</v>
      </c>
      <c r="AG1358" s="12" t="s">
        <v>53</v>
      </c>
      <c r="AH1358" s="12" t="s">
        <v>7900</v>
      </c>
      <c r="AI1358" s="12" t="str">
        <f t="shared" si="263"/>
        <v>1835</v>
      </c>
      <c r="AJ1358" s="12" t="s">
        <v>9915</v>
      </c>
      <c r="AK1358" s="12" t="s">
        <v>972</v>
      </c>
      <c r="AL1358" s="12" t="s">
        <v>28</v>
      </c>
      <c r="AM1358" s="12" t="s">
        <v>9916</v>
      </c>
      <c r="AN1358" s="12" t="s">
        <v>9917</v>
      </c>
      <c r="AO1358" s="12" t="s">
        <v>669</v>
      </c>
      <c r="AP1358" s="12" t="s">
        <v>9918</v>
      </c>
      <c r="AQ1358" s="12"/>
      <c r="AR1358" s="12"/>
      <c r="AS1358" s="12" t="s">
        <v>48</v>
      </c>
      <c r="AT1358" s="12" t="s">
        <v>9919</v>
      </c>
      <c r="AU1358" s="12" t="s">
        <v>551</v>
      </c>
      <c r="AV1358" s="12" t="s">
        <v>9920</v>
      </c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  <c r="BP1358" s="12"/>
      <c r="BQ1358" s="12"/>
      <c r="BR1358" s="12"/>
      <c r="BS1358" s="12"/>
    </row>
    <row r="1359" spans="1:71">
      <c r="A1359" s="12" t="s">
        <v>669</v>
      </c>
      <c r="B1359" s="12" t="str">
        <f t="shared" si="256"/>
        <v>PRETORIUS</v>
      </c>
      <c r="C1359" s="12" t="str">
        <f t="shared" si="257"/>
        <v>PRETORIUS</v>
      </c>
      <c r="D1359" s="12" t="s">
        <v>8986</v>
      </c>
      <c r="E1359" s="12" t="str">
        <f t="shared" si="267"/>
        <v>Andries Wilhelmus Jacobus Sr.</v>
      </c>
      <c r="F1359" s="12" t="s">
        <v>8987</v>
      </c>
      <c r="G1359" s="12" t="str">
        <f t="shared" si="258"/>
        <v>a1b3c1d5e12</v>
      </c>
      <c r="H1359" s="12" t="str">
        <f t="shared" si="259"/>
        <v>PRETORIUSa1b3c1d5e12</v>
      </c>
      <c r="I1359" s="12"/>
      <c r="J1359" s="12" t="s">
        <v>9573</v>
      </c>
      <c r="K1359" s="12" t="str">
        <f t="shared" si="260"/>
        <v>1798</v>
      </c>
      <c r="L1359" s="12" t="s">
        <v>74</v>
      </c>
      <c r="M1359" s="12" t="s">
        <v>9574</v>
      </c>
      <c r="N1359" s="12" t="str">
        <f t="shared" si="265"/>
        <v>1798</v>
      </c>
      <c r="O1359" s="12" t="str">
        <f t="shared" si="266"/>
        <v>1798</v>
      </c>
      <c r="P1359" s="12" t="s">
        <v>9575</v>
      </c>
      <c r="Q1359" s="12" t="str">
        <f t="shared" si="261"/>
        <v>1798</v>
      </c>
      <c r="R1359" s="12" t="s">
        <v>9576</v>
      </c>
      <c r="S1359" s="12" t="str">
        <f t="shared" si="264"/>
        <v>1853</v>
      </c>
      <c r="T1359" s="12" t="s">
        <v>542</v>
      </c>
      <c r="U1359" s="12" t="s">
        <v>9577</v>
      </c>
      <c r="V1359" s="12" t="str">
        <f t="shared" si="262"/>
        <v>1818</v>
      </c>
      <c r="W1359" s="12" t="s">
        <v>7549</v>
      </c>
      <c r="X1359" s="12" t="s">
        <v>1760</v>
      </c>
      <c r="Y1359" s="12"/>
      <c r="Z1359" s="12"/>
      <c r="AA1359" s="12" t="s">
        <v>9578</v>
      </c>
      <c r="AB1359" s="12"/>
      <c r="AC1359" s="12" t="s">
        <v>9579</v>
      </c>
      <c r="AD1359" s="12" t="s">
        <v>4957</v>
      </c>
      <c r="AE1359" s="12" t="s">
        <v>9580</v>
      </c>
      <c r="AF1359" s="12" t="s">
        <v>9581</v>
      </c>
      <c r="AG1359" s="12" t="s">
        <v>74</v>
      </c>
      <c r="AH1359" s="12" t="s">
        <v>9582</v>
      </c>
      <c r="AI1359" s="12" t="str">
        <f t="shared" si="263"/>
        <v>1838</v>
      </c>
      <c r="AJ1359" s="12" t="s">
        <v>9342</v>
      </c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  <c r="BP1359" s="12"/>
      <c r="BQ1359" s="12"/>
      <c r="BR1359" s="12"/>
      <c r="BS1359" s="12"/>
    </row>
    <row r="1360" spans="1:71">
      <c r="A1360" s="12" t="s">
        <v>669</v>
      </c>
      <c r="B1360" s="12" t="str">
        <f t="shared" si="256"/>
        <v>PRETORIUS</v>
      </c>
      <c r="C1360" s="12" t="str">
        <f t="shared" si="257"/>
        <v>PRETORIUS</v>
      </c>
      <c r="D1360" s="12" t="s">
        <v>1777</v>
      </c>
      <c r="E1360" s="12" t="str">
        <f t="shared" si="267"/>
        <v>Marthinus Wessel</v>
      </c>
      <c r="F1360" s="12" t="s">
        <v>9062</v>
      </c>
      <c r="G1360" s="12" t="str">
        <f t="shared" si="258"/>
        <v>a1b3c1d5e12f1</v>
      </c>
      <c r="H1360" s="12" t="str">
        <f t="shared" si="259"/>
        <v>PRETORIUSa1b3c1d5e12f1</v>
      </c>
      <c r="I1360" s="12" t="s">
        <v>74</v>
      </c>
      <c r="J1360" s="12" t="s">
        <v>9942</v>
      </c>
      <c r="K1360" s="12" t="str">
        <f t="shared" si="260"/>
        <v>1819</v>
      </c>
      <c r="L1360" s="12" t="s">
        <v>74</v>
      </c>
      <c r="M1360" s="12" t="s">
        <v>4273</v>
      </c>
      <c r="N1360" s="12" t="str">
        <f t="shared" si="265"/>
        <v>1819</v>
      </c>
      <c r="O1360" s="12" t="str">
        <f t="shared" si="266"/>
        <v>1819</v>
      </c>
      <c r="P1360" s="12" t="s">
        <v>140</v>
      </c>
      <c r="Q1360" s="12" t="str">
        <f t="shared" si="261"/>
        <v>1819</v>
      </c>
      <c r="R1360" s="12" t="s">
        <v>9943</v>
      </c>
      <c r="S1360" s="12" t="str">
        <f t="shared" si="264"/>
        <v>1901</v>
      </c>
      <c r="T1360" s="12"/>
      <c r="U1360" s="12" t="s">
        <v>9944</v>
      </c>
      <c r="V1360" s="12" t="str">
        <f t="shared" si="262"/>
        <v>1841</v>
      </c>
      <c r="W1360" s="12" t="s">
        <v>8127</v>
      </c>
      <c r="X1360" s="12" t="s">
        <v>664</v>
      </c>
      <c r="Y1360" s="12" t="s">
        <v>9945</v>
      </c>
      <c r="Z1360" s="12"/>
      <c r="AA1360" s="12" t="s">
        <v>9946</v>
      </c>
      <c r="AB1360" s="12"/>
      <c r="AC1360" s="12"/>
      <c r="AD1360" s="12" t="s">
        <v>140</v>
      </c>
      <c r="AE1360" s="12" t="s">
        <v>9947</v>
      </c>
      <c r="AF1360" s="12" t="s">
        <v>9581</v>
      </c>
      <c r="AG1360" s="12" t="s">
        <v>74</v>
      </c>
      <c r="AH1360" s="12" t="s">
        <v>9582</v>
      </c>
      <c r="AI1360" s="12" t="str">
        <f t="shared" si="263"/>
        <v>1838</v>
      </c>
      <c r="AJ1360" s="12" t="s">
        <v>2770</v>
      </c>
      <c r="AK1360" s="12"/>
      <c r="AL1360" s="12" t="s">
        <v>140</v>
      </c>
      <c r="AM1360" s="12" t="s">
        <v>9948</v>
      </c>
      <c r="AN1360" s="12" t="s">
        <v>3581</v>
      </c>
      <c r="AO1360" s="12" t="s">
        <v>655</v>
      </c>
      <c r="AP1360" s="12"/>
      <c r="AQ1360" s="12"/>
      <c r="AR1360" s="12">
        <v>1843</v>
      </c>
      <c r="AS1360" s="12"/>
      <c r="AT1360" s="12"/>
      <c r="AU1360" s="12" t="s">
        <v>255</v>
      </c>
      <c r="AV1360" s="12" t="s">
        <v>9949</v>
      </c>
      <c r="AW1360" s="12" t="s">
        <v>1864</v>
      </c>
      <c r="AX1360" s="12" t="s">
        <v>427</v>
      </c>
      <c r="AY1360" s="12" t="s">
        <v>2015</v>
      </c>
      <c r="AZ1360" s="12" t="s">
        <v>9950</v>
      </c>
      <c r="BA1360" s="12"/>
      <c r="BB1360" s="12" t="s">
        <v>158</v>
      </c>
      <c r="BC1360" s="12">
        <v>1827</v>
      </c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  <c r="BP1360" s="12"/>
      <c r="BQ1360" s="12"/>
      <c r="BR1360" s="12"/>
      <c r="BS1360" s="12"/>
    </row>
    <row r="1361" spans="1:71">
      <c r="A1361" s="12" t="s">
        <v>669</v>
      </c>
      <c r="B1361" s="12" t="str">
        <f t="shared" si="256"/>
        <v>PRETORIUS</v>
      </c>
      <c r="C1361" s="12" t="str">
        <f t="shared" si="257"/>
        <v>PRETORIUS</v>
      </c>
      <c r="D1361" s="12" t="s">
        <v>1752</v>
      </c>
      <c r="E1361" s="12" t="str">
        <f t="shared" si="267"/>
        <v>Christiaan Pieter</v>
      </c>
      <c r="F1361" s="12" t="s">
        <v>8994</v>
      </c>
      <c r="G1361" s="12" t="str">
        <f t="shared" si="258"/>
        <v>a1b3c1d5e12f3</v>
      </c>
      <c r="H1361" s="12" t="str">
        <f t="shared" si="259"/>
        <v>PRETORIUSa1b3c1d5e12f3</v>
      </c>
      <c r="I1361" s="12"/>
      <c r="J1361" s="12" t="s">
        <v>9615</v>
      </c>
      <c r="K1361" s="12" t="str">
        <f t="shared" si="260"/>
        <v>1823</v>
      </c>
      <c r="L1361" s="12" t="s">
        <v>74</v>
      </c>
      <c r="M1361" s="12" t="s">
        <v>9616</v>
      </c>
      <c r="N1361" s="12" t="str">
        <f t="shared" si="265"/>
        <v>1823</v>
      </c>
      <c r="O1361" s="12" t="str">
        <f t="shared" si="266"/>
        <v>1823</v>
      </c>
      <c r="P1361" s="12" t="s">
        <v>4103</v>
      </c>
      <c r="Q1361" s="12" t="str">
        <f t="shared" si="261"/>
        <v>1823</v>
      </c>
      <c r="R1361" s="12" t="s">
        <v>9617</v>
      </c>
      <c r="S1361" s="12" t="str">
        <f t="shared" si="264"/>
        <v>1904</v>
      </c>
      <c r="T1361" s="12" t="s">
        <v>5146</v>
      </c>
      <c r="U1361" s="12" t="s">
        <v>9618</v>
      </c>
      <c r="V1361" s="12" t="str">
        <f t="shared" si="262"/>
        <v>1845</v>
      </c>
      <c r="W1361" s="12" t="s">
        <v>9619</v>
      </c>
      <c r="X1361" s="12" t="s">
        <v>4449</v>
      </c>
      <c r="Y1361" s="12"/>
      <c r="Z1361" s="12" t="s">
        <v>74</v>
      </c>
      <c r="AA1361" s="12" t="s">
        <v>9620</v>
      </c>
      <c r="AB1361" s="12"/>
      <c r="AC1361" s="12"/>
      <c r="AD1361" s="12" t="s">
        <v>1864</v>
      </c>
      <c r="AE1361" s="12" t="s">
        <v>9621</v>
      </c>
      <c r="AF1361" s="12" t="s">
        <v>7704</v>
      </c>
      <c r="AG1361" s="12" t="s">
        <v>74</v>
      </c>
      <c r="AH1361" s="12" t="s">
        <v>9582</v>
      </c>
      <c r="AI1361" s="12" t="str">
        <f t="shared" si="263"/>
        <v>1838</v>
      </c>
      <c r="AJ1361" s="12" t="s">
        <v>9622</v>
      </c>
      <c r="AK1361" s="12" t="s">
        <v>4103</v>
      </c>
      <c r="AL1361" s="12"/>
      <c r="AM1361" s="12" t="s">
        <v>9623</v>
      </c>
      <c r="AN1361" s="12" t="s">
        <v>9624</v>
      </c>
      <c r="AO1361" s="12"/>
      <c r="AP1361" s="12"/>
      <c r="AQ1361" s="12"/>
      <c r="AR1361" s="12" t="s">
        <v>9625</v>
      </c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  <c r="BO1361" s="12"/>
      <c r="BP1361" s="12"/>
      <c r="BQ1361" s="12"/>
      <c r="BR1361" s="12"/>
      <c r="BS1361" s="12"/>
    </row>
    <row r="1362" spans="1:71">
      <c r="A1362" s="12" t="s">
        <v>669</v>
      </c>
      <c r="B1362" s="12" t="str">
        <f t="shared" si="256"/>
        <v>PRETORIUS</v>
      </c>
      <c r="C1362" s="12" t="str">
        <f t="shared" si="257"/>
        <v>PRETORIUS</v>
      </c>
      <c r="D1362" s="12" t="s">
        <v>8988</v>
      </c>
      <c r="E1362" s="12" t="str">
        <f t="shared" si="267"/>
        <v>Andries Wilhelmus Jacobus Jr.</v>
      </c>
      <c r="F1362" s="12" t="s">
        <v>8989</v>
      </c>
      <c r="G1362" s="12" t="str">
        <f t="shared" si="258"/>
        <v>a1b3c1d5e12f4</v>
      </c>
      <c r="H1362" s="12" t="str">
        <f t="shared" si="259"/>
        <v>PRETORIUSa1b3c1d5e12f4</v>
      </c>
      <c r="I1362" s="12"/>
      <c r="J1362" s="12" t="s">
        <v>9583</v>
      </c>
      <c r="K1362" s="12" t="str">
        <f t="shared" si="260"/>
        <v>1825</v>
      </c>
      <c r="L1362" s="12" t="s">
        <v>74</v>
      </c>
      <c r="M1362" s="12" t="s">
        <v>9584</v>
      </c>
      <c r="N1362" s="12" t="str">
        <f t="shared" si="265"/>
        <v>1825</v>
      </c>
      <c r="O1362" s="12" t="str">
        <f t="shared" si="266"/>
        <v>1826</v>
      </c>
      <c r="P1362" s="12" t="s">
        <v>9585</v>
      </c>
      <c r="Q1362" s="12" t="str">
        <f t="shared" si="261"/>
        <v>1825</v>
      </c>
      <c r="R1362" s="12" t="s">
        <v>9586</v>
      </c>
      <c r="S1362" s="12" t="str">
        <f t="shared" si="264"/>
        <v>1907</v>
      </c>
      <c r="T1362" s="12" t="s">
        <v>5146</v>
      </c>
      <c r="U1362" s="12" t="s">
        <v>8721</v>
      </c>
      <c r="V1362" s="12" t="str">
        <f t="shared" si="262"/>
        <v>1848</v>
      </c>
      <c r="W1362" s="12" t="s">
        <v>9587</v>
      </c>
      <c r="X1362" s="12" t="s">
        <v>791</v>
      </c>
      <c r="Y1362" s="12"/>
      <c r="Z1362" s="12"/>
      <c r="AA1362" s="12" t="s">
        <v>9588</v>
      </c>
      <c r="AB1362" s="12"/>
      <c r="AC1362" s="12"/>
      <c r="AD1362" s="12" t="s">
        <v>9589</v>
      </c>
      <c r="AE1362" s="12" t="s">
        <v>9590</v>
      </c>
      <c r="AF1362" s="12" t="s">
        <v>9591</v>
      </c>
      <c r="AG1362" s="12" t="s">
        <v>74</v>
      </c>
      <c r="AH1362" s="12" t="s">
        <v>9582</v>
      </c>
      <c r="AI1362" s="12" t="str">
        <f t="shared" si="263"/>
        <v>1838</v>
      </c>
      <c r="AJ1362" s="12" t="s">
        <v>9592</v>
      </c>
      <c r="AK1362" s="12" t="s">
        <v>90</v>
      </c>
      <c r="AL1362" s="12"/>
      <c r="AM1362" s="12" t="s">
        <v>9593</v>
      </c>
      <c r="AN1362" s="12" t="s">
        <v>1419</v>
      </c>
      <c r="AO1362" s="12" t="s">
        <v>822</v>
      </c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  <c r="BO1362" s="12"/>
      <c r="BP1362" s="12"/>
      <c r="BQ1362" s="12"/>
      <c r="BR1362" s="12"/>
      <c r="BS1362" s="12"/>
    </row>
    <row r="1363" spans="1:71">
      <c r="A1363" s="12" t="s">
        <v>669</v>
      </c>
      <c r="B1363" s="12" t="str">
        <f t="shared" si="256"/>
        <v>PRETORIUS</v>
      </c>
      <c r="C1363" s="12" t="str">
        <f t="shared" si="257"/>
        <v>PRETORIUS</v>
      </c>
      <c r="D1363" s="12" t="s">
        <v>9019</v>
      </c>
      <c r="E1363" s="12" t="str">
        <f t="shared" si="267"/>
        <v>Henning Petrus Nicolaas (Piet)</v>
      </c>
      <c r="F1363" s="12" t="s">
        <v>9020</v>
      </c>
      <c r="G1363" s="12" t="str">
        <f t="shared" si="258"/>
        <v>a1b3c1d5e13</v>
      </c>
      <c r="H1363" s="12" t="str">
        <f t="shared" si="259"/>
        <v>PRETORIUSa1b3c1d5e13</v>
      </c>
      <c r="I1363" s="12"/>
      <c r="J1363" s="12" t="s">
        <v>9735</v>
      </c>
      <c r="K1363" s="12" t="str">
        <f t="shared" si="260"/>
        <v>1800</v>
      </c>
      <c r="L1363" s="12" t="s">
        <v>74</v>
      </c>
      <c r="M1363" s="12" t="s">
        <v>9735</v>
      </c>
      <c r="N1363" s="12" t="str">
        <f t="shared" si="265"/>
        <v>1800</v>
      </c>
      <c r="O1363" s="12" t="str">
        <f t="shared" si="266"/>
        <v>1800</v>
      </c>
      <c r="P1363" s="12" t="s">
        <v>9736</v>
      </c>
      <c r="Q1363" s="12" t="str">
        <f t="shared" si="261"/>
        <v>1800</v>
      </c>
      <c r="R1363" s="12" t="s">
        <v>9737</v>
      </c>
      <c r="S1363" s="12" t="str">
        <f t="shared" si="264"/>
        <v>1865</v>
      </c>
      <c r="T1363" s="12" t="s">
        <v>28</v>
      </c>
      <c r="U1363" s="12" t="s">
        <v>9738</v>
      </c>
      <c r="V1363" s="12" t="str">
        <f t="shared" si="262"/>
        <v>1821</v>
      </c>
      <c r="W1363" s="12" t="s">
        <v>1297</v>
      </c>
      <c r="X1363" s="12" t="s">
        <v>4449</v>
      </c>
      <c r="Y1363" s="12" t="s">
        <v>9739</v>
      </c>
      <c r="Z1363" s="12"/>
      <c r="AA1363" s="12" t="s">
        <v>3103</v>
      </c>
      <c r="AB1363" s="12"/>
      <c r="AC1363" s="12"/>
      <c r="AD1363" s="12"/>
      <c r="AE1363" s="12"/>
      <c r="AF1363" s="12" t="s">
        <v>7704</v>
      </c>
      <c r="AG1363" s="12" t="s">
        <v>74</v>
      </c>
      <c r="AH1363" s="12" t="s">
        <v>9740</v>
      </c>
      <c r="AI1363" s="12" t="str">
        <f t="shared" si="263"/>
        <v>1838</v>
      </c>
      <c r="AJ1363" s="12" t="s">
        <v>9741</v>
      </c>
      <c r="AK1363" s="12" t="s">
        <v>9358</v>
      </c>
      <c r="AL1363" s="12"/>
      <c r="AM1363" s="12"/>
      <c r="AN1363" s="12" t="s">
        <v>5761</v>
      </c>
      <c r="AO1363" s="12" t="s">
        <v>2547</v>
      </c>
      <c r="AP1363" s="12" t="s">
        <v>9742</v>
      </c>
      <c r="AQ1363" s="12"/>
      <c r="AR1363" s="12" t="s">
        <v>7616</v>
      </c>
      <c r="AS1363" s="12" t="s">
        <v>7617</v>
      </c>
      <c r="AT1363" s="12" t="s">
        <v>7618</v>
      </c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  <c r="BO1363" s="12"/>
      <c r="BP1363" s="12"/>
      <c r="BQ1363" s="12"/>
      <c r="BR1363" s="12"/>
      <c r="BS1363" s="12"/>
    </row>
    <row r="1364" spans="1:71">
      <c r="A1364" s="12" t="s">
        <v>669</v>
      </c>
      <c r="B1364" s="12" t="str">
        <f t="shared" si="256"/>
        <v>PRETORIUS</v>
      </c>
      <c r="C1364" s="12" t="str">
        <f t="shared" si="257"/>
        <v>PRETORIUS</v>
      </c>
      <c r="D1364" s="12" t="s">
        <v>9059</v>
      </c>
      <c r="E1364" s="12" t="str">
        <f t="shared" si="267"/>
        <v>Marthinus Wessel (Swart Martiens)</v>
      </c>
      <c r="F1364" s="12" t="s">
        <v>9060</v>
      </c>
      <c r="G1364" s="12" t="str">
        <f t="shared" si="258"/>
        <v>a1b3c1d5e13f1</v>
      </c>
      <c r="H1364" s="12" t="str">
        <f t="shared" si="259"/>
        <v>PRETORIUSa1b3c1d5e13f1</v>
      </c>
      <c r="I1364" s="12"/>
      <c r="J1364" s="12" t="s">
        <v>9925</v>
      </c>
      <c r="K1364" s="12" t="str">
        <f t="shared" si="260"/>
        <v>1822</v>
      </c>
      <c r="L1364" s="12" t="s">
        <v>74</v>
      </c>
      <c r="M1364" s="12" t="s">
        <v>1480</v>
      </c>
      <c r="N1364" s="12" t="str">
        <f t="shared" si="265"/>
        <v>1822</v>
      </c>
      <c r="O1364" s="12" t="str">
        <f t="shared" si="266"/>
        <v>1822</v>
      </c>
      <c r="P1364" s="12" t="s">
        <v>9926</v>
      </c>
      <c r="Q1364" s="12" t="str">
        <f t="shared" si="261"/>
        <v>1822</v>
      </c>
      <c r="R1364" s="12" t="s">
        <v>9927</v>
      </c>
      <c r="S1364" s="12" t="str">
        <f t="shared" si="264"/>
        <v>1864</v>
      </c>
      <c r="T1364" s="12" t="s">
        <v>5146</v>
      </c>
      <c r="U1364" s="12" t="s">
        <v>9928</v>
      </c>
      <c r="V1364" s="12" t="str">
        <f t="shared" si="262"/>
        <v>1834</v>
      </c>
      <c r="W1364" s="12" t="s">
        <v>9929</v>
      </c>
      <c r="X1364" s="12" t="s">
        <v>5366</v>
      </c>
      <c r="Y1364" s="12" t="s">
        <v>8235</v>
      </c>
      <c r="Z1364" s="12"/>
      <c r="AA1364" s="12" t="s">
        <v>8236</v>
      </c>
      <c r="AB1364" s="12"/>
      <c r="AC1364" s="12"/>
      <c r="AD1364" s="12" t="s">
        <v>9930</v>
      </c>
      <c r="AE1364" s="12" t="s">
        <v>9931</v>
      </c>
      <c r="AF1364" s="12" t="s">
        <v>7704</v>
      </c>
      <c r="AG1364" s="12" t="s">
        <v>74</v>
      </c>
      <c r="AH1364" s="12" t="s">
        <v>9723</v>
      </c>
      <c r="AI1364" s="12" t="str">
        <f t="shared" si="263"/>
        <v xml:space="preserve"> (?)</v>
      </c>
      <c r="AJ1364" s="12" t="s">
        <v>9932</v>
      </c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  <c r="BO1364" s="12"/>
      <c r="BP1364" s="12"/>
      <c r="BQ1364" s="12"/>
      <c r="BR1364" s="12"/>
      <c r="BS1364" s="12"/>
    </row>
    <row r="1365" spans="1:71">
      <c r="A1365" s="12" t="s">
        <v>669</v>
      </c>
      <c r="B1365" s="12" t="str">
        <f t="shared" si="256"/>
        <v>PRETORIUS</v>
      </c>
      <c r="C1365" s="12" t="str">
        <f t="shared" si="257"/>
        <v>PRETORIUS</v>
      </c>
      <c r="D1365" s="12" t="s">
        <v>9047</v>
      </c>
      <c r="E1365" s="12" t="str">
        <f t="shared" si="267"/>
        <v>Johannes Lodewyk Wynand</v>
      </c>
      <c r="F1365" s="12" t="s">
        <v>9048</v>
      </c>
      <c r="G1365" s="12" t="str">
        <f t="shared" si="258"/>
        <v>a1b3c1d5e14</v>
      </c>
      <c r="H1365" s="12" t="str">
        <f t="shared" si="259"/>
        <v>PRETORIUSa1b3c1d5e14</v>
      </c>
      <c r="I1365" s="12"/>
      <c r="J1365" s="12"/>
      <c r="K1365" s="12" t="str">
        <f t="shared" si="260"/>
        <v/>
      </c>
      <c r="L1365" s="12" t="s">
        <v>74</v>
      </c>
      <c r="M1365" s="12" t="s">
        <v>234</v>
      </c>
      <c r="N1365" s="12" t="str">
        <f t="shared" si="265"/>
        <v/>
      </c>
      <c r="O1365" s="12" t="str">
        <f t="shared" si="266"/>
        <v>1802</v>
      </c>
      <c r="P1365" s="12" t="s">
        <v>9868</v>
      </c>
      <c r="Q1365" s="12" t="str">
        <f t="shared" si="261"/>
        <v>1802</v>
      </c>
      <c r="R1365" s="12" t="s">
        <v>9869</v>
      </c>
      <c r="S1365" s="12" t="str">
        <f t="shared" si="264"/>
        <v>1874</v>
      </c>
      <c r="T1365" s="12"/>
      <c r="U1365" s="12"/>
      <c r="V1365" s="12" t="str">
        <f t="shared" si="262"/>
        <v/>
      </c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 t="s">
        <v>9870</v>
      </c>
      <c r="AG1365" s="12" t="s">
        <v>74</v>
      </c>
      <c r="AH1365" s="12" t="s">
        <v>9582</v>
      </c>
      <c r="AI1365" s="12" t="str">
        <f t="shared" si="263"/>
        <v>1838</v>
      </c>
      <c r="AJ1365" s="12" t="s">
        <v>2770</v>
      </c>
      <c r="AK1365" s="12" t="s">
        <v>9871</v>
      </c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  <c r="BO1365" s="12"/>
      <c r="BP1365" s="12"/>
      <c r="BQ1365" s="12"/>
      <c r="BR1365" s="12"/>
      <c r="BS1365" s="12"/>
    </row>
    <row r="1366" spans="1:71">
      <c r="A1366" s="12" t="s">
        <v>669</v>
      </c>
      <c r="B1366" s="12" t="str">
        <f t="shared" si="256"/>
        <v>PRETORIUS</v>
      </c>
      <c r="C1366" s="12" t="str">
        <f t="shared" si="257"/>
        <v>PRETORIUS</v>
      </c>
      <c r="D1366" s="12" t="s">
        <v>9021</v>
      </c>
      <c r="E1366" s="12" t="str">
        <f t="shared" si="267"/>
        <v>Hercules Albertus (Bart)</v>
      </c>
      <c r="F1366" s="12" t="s">
        <v>9022</v>
      </c>
      <c r="G1366" s="12" t="str">
        <f t="shared" si="258"/>
        <v>a1b3c1d5e15</v>
      </c>
      <c r="H1366" s="12" t="str">
        <f t="shared" si="259"/>
        <v>PRETORIUSa1b3c1d5e15</v>
      </c>
      <c r="I1366" s="12"/>
      <c r="J1366" s="12" t="s">
        <v>9743</v>
      </c>
      <c r="K1366" s="12" t="str">
        <f t="shared" si="260"/>
        <v>1803</v>
      </c>
      <c r="L1366" s="12" t="s">
        <v>74</v>
      </c>
      <c r="M1366" s="12" t="s">
        <v>9744</v>
      </c>
      <c r="N1366" s="12" t="str">
        <f t="shared" si="265"/>
        <v>1803</v>
      </c>
      <c r="O1366" s="12" t="str">
        <f t="shared" si="266"/>
        <v>1804</v>
      </c>
      <c r="P1366" s="12" t="s">
        <v>7617</v>
      </c>
      <c r="Q1366" s="12" t="str">
        <f t="shared" si="261"/>
        <v>1803</v>
      </c>
      <c r="R1366" s="12" t="s">
        <v>9745</v>
      </c>
      <c r="S1366" s="12" t="str">
        <f t="shared" si="264"/>
        <v>1889</v>
      </c>
      <c r="T1366" s="12" t="s">
        <v>74</v>
      </c>
      <c r="U1366" s="12" t="s">
        <v>7097</v>
      </c>
      <c r="V1366" s="12" t="str">
        <f t="shared" si="262"/>
        <v>1822</v>
      </c>
      <c r="W1366" s="12" t="s">
        <v>2574</v>
      </c>
      <c r="X1366" s="12" t="s">
        <v>9746</v>
      </c>
      <c r="Y1366" s="12" t="s">
        <v>3992</v>
      </c>
      <c r="Z1366" s="12"/>
      <c r="AA1366" s="12" t="s">
        <v>9747</v>
      </c>
      <c r="AB1366" s="12"/>
      <c r="AC1366" s="12"/>
      <c r="AD1366" s="12" t="s">
        <v>90</v>
      </c>
      <c r="AE1366" s="12" t="s">
        <v>9748</v>
      </c>
      <c r="AF1366" s="12" t="s">
        <v>7704</v>
      </c>
      <c r="AG1366" s="12" t="s">
        <v>74</v>
      </c>
      <c r="AH1366" s="12" t="s">
        <v>9582</v>
      </c>
      <c r="AI1366" s="12" t="str">
        <f t="shared" si="263"/>
        <v>1838</v>
      </c>
      <c r="AJ1366" s="12" t="s">
        <v>2770</v>
      </c>
      <c r="AK1366" s="12" t="s">
        <v>1301</v>
      </c>
      <c r="AL1366" s="12" t="s">
        <v>5146</v>
      </c>
      <c r="AM1366" s="12" t="s">
        <v>9749</v>
      </c>
      <c r="AN1366" s="12" t="s">
        <v>9750</v>
      </c>
      <c r="AO1366" s="12" t="s">
        <v>482</v>
      </c>
      <c r="AP1366" s="12" t="s">
        <v>833</v>
      </c>
      <c r="AQ1366" s="12"/>
      <c r="AR1366" s="12" t="s">
        <v>9751</v>
      </c>
      <c r="AS1366" s="12"/>
      <c r="AT1366" s="12"/>
      <c r="AU1366" s="12" t="s">
        <v>9752</v>
      </c>
      <c r="AV1366" s="12" t="s">
        <v>9753</v>
      </c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  <c r="BO1366" s="12"/>
      <c r="BP1366" s="12"/>
      <c r="BQ1366" s="12"/>
      <c r="BR1366" s="12"/>
      <c r="BS1366" s="12"/>
    </row>
    <row r="1367" spans="1:71">
      <c r="A1367" s="12" t="s">
        <v>669</v>
      </c>
      <c r="B1367" s="12" t="str">
        <f t="shared" si="256"/>
        <v>PRETORIUS</v>
      </c>
      <c r="C1367" s="12" t="str">
        <f t="shared" si="257"/>
        <v>PRETORIUS</v>
      </c>
      <c r="D1367" s="12" t="s">
        <v>9055</v>
      </c>
      <c r="E1367" s="12" t="str">
        <f t="shared" si="267"/>
        <v>Marthinus Petrus Wilhelmus</v>
      </c>
      <c r="F1367" s="12" t="s">
        <v>9056</v>
      </c>
      <c r="G1367" s="12" t="str">
        <f t="shared" si="258"/>
        <v>a1b3c1d5e15f2</v>
      </c>
      <c r="H1367" s="12" t="str">
        <f t="shared" si="259"/>
        <v>PRETORIUSa1b3c1d5e15f2</v>
      </c>
      <c r="I1367" s="12"/>
      <c r="J1367" s="12" t="s">
        <v>9899</v>
      </c>
      <c r="K1367" s="12" t="str">
        <f t="shared" si="260"/>
        <v>1825</v>
      </c>
      <c r="L1367" s="12" t="s">
        <v>74</v>
      </c>
      <c r="M1367" s="12" t="s">
        <v>2468</v>
      </c>
      <c r="N1367" s="12" t="str">
        <f t="shared" si="265"/>
        <v>1825</v>
      </c>
      <c r="O1367" s="12" t="str">
        <f t="shared" si="266"/>
        <v>1825</v>
      </c>
      <c r="P1367" s="12" t="s">
        <v>9900</v>
      </c>
      <c r="Q1367" s="12" t="str">
        <f t="shared" si="261"/>
        <v>1825</v>
      </c>
      <c r="R1367" s="12" t="s">
        <v>9901</v>
      </c>
      <c r="S1367" s="12" t="str">
        <f t="shared" si="264"/>
        <v>1906</v>
      </c>
      <c r="T1367" s="12" t="s">
        <v>140</v>
      </c>
      <c r="U1367" s="12" t="s">
        <v>2650</v>
      </c>
      <c r="V1367" s="12" t="str">
        <f t="shared" si="262"/>
        <v>1850</v>
      </c>
      <c r="W1367" s="12" t="s">
        <v>2079</v>
      </c>
      <c r="X1367" s="12" t="s">
        <v>669</v>
      </c>
      <c r="Y1367" s="12" t="s">
        <v>9902</v>
      </c>
      <c r="Z1367" s="12"/>
      <c r="AA1367" s="12" t="s">
        <v>9903</v>
      </c>
      <c r="AB1367" s="12" t="s">
        <v>9904</v>
      </c>
      <c r="AC1367" s="12"/>
      <c r="AD1367" s="12" t="s">
        <v>9900</v>
      </c>
      <c r="AE1367" s="12" t="s">
        <v>9905</v>
      </c>
      <c r="AF1367" s="12" t="s">
        <v>9906</v>
      </c>
      <c r="AG1367" s="12" t="s">
        <v>74</v>
      </c>
      <c r="AH1367" s="12" t="s">
        <v>9582</v>
      </c>
      <c r="AI1367" s="12" t="str">
        <f t="shared" si="263"/>
        <v>1838</v>
      </c>
      <c r="AJ1367" s="12" t="s">
        <v>2770</v>
      </c>
      <c r="AK1367" s="12"/>
      <c r="AL1367" s="12" t="s">
        <v>4103</v>
      </c>
      <c r="AM1367" s="12" t="s">
        <v>9907</v>
      </c>
      <c r="AN1367" s="12" t="s">
        <v>9908</v>
      </c>
      <c r="AO1367" s="12"/>
      <c r="AP1367" s="12"/>
      <c r="AQ1367" s="12"/>
      <c r="AR1367" s="12">
        <v>1844</v>
      </c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  <c r="BO1367" s="12"/>
      <c r="BP1367" s="12"/>
      <c r="BQ1367" s="12"/>
      <c r="BR1367" s="12"/>
      <c r="BS1367" s="12"/>
    </row>
    <row r="1368" spans="1:71">
      <c r="A1368" s="12" t="s">
        <v>669</v>
      </c>
      <c r="B1368" s="12" t="str">
        <f t="shared" si="256"/>
        <v>PRETORIUS</v>
      </c>
      <c r="C1368" s="12" t="str">
        <f t="shared" si="257"/>
        <v>PRETORIUS</v>
      </c>
      <c r="D1368" s="12" t="s">
        <v>1759</v>
      </c>
      <c r="E1368" s="12" t="str">
        <f t="shared" si="267"/>
        <v>Gerhardus Petrus</v>
      </c>
      <c r="F1368" s="12" t="s">
        <v>9001</v>
      </c>
      <c r="G1368" s="12" t="str">
        <f t="shared" si="258"/>
        <v>a1b3c1d5e1f1</v>
      </c>
      <c r="H1368" s="12" t="str">
        <f t="shared" si="259"/>
        <v>PRETORIUSa1b3c1d5e1f1</v>
      </c>
      <c r="I1368" s="12"/>
      <c r="J1368" s="12" t="s">
        <v>9657</v>
      </c>
      <c r="K1368" s="12" t="str">
        <f t="shared" si="260"/>
        <v>1792</v>
      </c>
      <c r="L1368" s="12" t="s">
        <v>74</v>
      </c>
      <c r="M1368" s="12" t="s">
        <v>9658</v>
      </c>
      <c r="N1368" s="12" t="str">
        <f t="shared" si="265"/>
        <v>1792</v>
      </c>
      <c r="O1368" s="12" t="str">
        <f t="shared" si="266"/>
        <v>1794</v>
      </c>
      <c r="P1368" s="12"/>
      <c r="Q1368" s="12" t="str">
        <f t="shared" si="261"/>
        <v>1792</v>
      </c>
      <c r="R1368" s="12"/>
      <c r="S1368" s="12" t="str">
        <f t="shared" si="264"/>
        <v/>
      </c>
      <c r="T1368" s="12" t="s">
        <v>74</v>
      </c>
      <c r="U1368" s="12" t="s">
        <v>5124</v>
      </c>
      <c r="V1368" s="12" t="str">
        <f t="shared" si="262"/>
        <v>1815</v>
      </c>
      <c r="W1368" s="12" t="s">
        <v>9659</v>
      </c>
      <c r="X1368" s="12" t="s">
        <v>295</v>
      </c>
      <c r="Y1368" s="12"/>
      <c r="Z1368" s="12"/>
      <c r="AA1368" s="12"/>
      <c r="AB1368" s="12"/>
      <c r="AC1368" s="12"/>
      <c r="AD1368" s="12"/>
      <c r="AE1368" s="12"/>
      <c r="AF1368" s="12" t="s">
        <v>3699</v>
      </c>
      <c r="AG1368" s="12" t="s">
        <v>68</v>
      </c>
      <c r="AH1368" s="12" t="s">
        <v>8756</v>
      </c>
      <c r="AI1368" s="12" t="str">
        <f t="shared" si="263"/>
        <v>1835</v>
      </c>
      <c r="AJ1368" s="12" t="s">
        <v>9660</v>
      </c>
      <c r="AK1368" s="12" t="s">
        <v>9661</v>
      </c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  <c r="BO1368" s="12"/>
      <c r="BP1368" s="12"/>
      <c r="BQ1368" s="12"/>
      <c r="BR1368" s="12"/>
      <c r="BS1368" s="12"/>
    </row>
    <row r="1369" spans="1:71">
      <c r="A1369" s="12" t="s">
        <v>669</v>
      </c>
      <c r="B1369" s="12" t="str">
        <f t="shared" si="256"/>
        <v>PRETORIUS</v>
      </c>
      <c r="C1369" s="12" t="str">
        <f t="shared" si="257"/>
        <v>PRETORIUS</v>
      </c>
      <c r="D1369" s="12" t="s">
        <v>1777</v>
      </c>
      <c r="E1369" s="12" t="str">
        <f t="shared" si="267"/>
        <v>Marthinus Wessel</v>
      </c>
      <c r="F1369" s="12" t="s">
        <v>9061</v>
      </c>
      <c r="G1369" s="12" t="str">
        <f t="shared" si="258"/>
        <v>a1b3c1d5e5f5</v>
      </c>
      <c r="H1369" s="12" t="str">
        <f t="shared" si="259"/>
        <v>PRETORIUSa1b3c1d5e5f5</v>
      </c>
      <c r="I1369" s="12"/>
      <c r="J1369" s="12" t="s">
        <v>7950</v>
      </c>
      <c r="K1369" s="12" t="str">
        <f t="shared" si="260"/>
        <v>1810</v>
      </c>
      <c r="L1369" s="12"/>
      <c r="M1369" s="12" t="s">
        <v>5920</v>
      </c>
      <c r="N1369" s="12" t="str">
        <f t="shared" si="265"/>
        <v>1810</v>
      </c>
      <c r="O1369" s="12" t="str">
        <f t="shared" si="266"/>
        <v>1810</v>
      </c>
      <c r="P1369" s="12" t="s">
        <v>5044</v>
      </c>
      <c r="Q1369" s="12" t="str">
        <f t="shared" si="261"/>
        <v>1810</v>
      </c>
      <c r="R1369" s="12" t="s">
        <v>9923</v>
      </c>
      <c r="S1369" s="12" t="str">
        <f t="shared" si="264"/>
        <v>1894</v>
      </c>
      <c r="T1369" s="12" t="s">
        <v>74</v>
      </c>
      <c r="U1369" s="12" t="s">
        <v>5034</v>
      </c>
      <c r="V1369" s="12" t="str">
        <f t="shared" si="262"/>
        <v>1831</v>
      </c>
      <c r="W1369" s="12" t="s">
        <v>9933</v>
      </c>
      <c r="X1369" s="12" t="s">
        <v>2222</v>
      </c>
      <c r="Y1369" s="12" t="s">
        <v>9934</v>
      </c>
      <c r="Z1369" s="12" t="s">
        <v>9936</v>
      </c>
      <c r="AA1369" s="12" t="s">
        <v>9935</v>
      </c>
      <c r="AB1369" s="12"/>
      <c r="AC1369" s="12" t="s">
        <v>9937</v>
      </c>
      <c r="AD1369" s="12" t="s">
        <v>9938</v>
      </c>
      <c r="AE1369" s="12" t="s">
        <v>9939</v>
      </c>
      <c r="AF1369" s="12" t="s">
        <v>7704</v>
      </c>
      <c r="AG1369" s="12" t="s">
        <v>9940</v>
      </c>
      <c r="AH1369" s="12" t="s">
        <v>9941</v>
      </c>
      <c r="AI1369" s="12" t="str">
        <f t="shared" si="263"/>
        <v>1838</v>
      </c>
      <c r="AJ1369" s="12" t="s">
        <v>2770</v>
      </c>
      <c r="AK1369" s="12" t="s">
        <v>190</v>
      </c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  <c r="BO1369" s="12"/>
      <c r="BP1369" s="12"/>
      <c r="BQ1369" s="12"/>
      <c r="BR1369" s="12"/>
      <c r="BS1369" s="12"/>
    </row>
    <row r="1370" spans="1:71">
      <c r="A1370" s="12" t="s">
        <v>669</v>
      </c>
      <c r="B1370" s="12" t="str">
        <f t="shared" si="256"/>
        <v>PRETORIUS</v>
      </c>
      <c r="C1370" s="12" t="str">
        <f t="shared" si="257"/>
        <v>PRETORIUS</v>
      </c>
      <c r="D1370" s="12" t="s">
        <v>1293</v>
      </c>
      <c r="E1370" s="12" t="str">
        <f t="shared" si="267"/>
        <v>Johannes Lodewicus Petrus</v>
      </c>
      <c r="F1370" s="12" t="s">
        <v>9046</v>
      </c>
      <c r="G1370" s="12" t="str">
        <f t="shared" si="258"/>
        <v>a1b3c1d5e5f8</v>
      </c>
      <c r="H1370" s="12" t="str">
        <f t="shared" si="259"/>
        <v>PRETORIUSa1b3c1d5e5f8</v>
      </c>
      <c r="I1370" s="12"/>
      <c r="J1370" s="12" t="s">
        <v>1849</v>
      </c>
      <c r="K1370" s="12" t="str">
        <f t="shared" si="260"/>
        <v>1816</v>
      </c>
      <c r="L1370" s="12" t="s">
        <v>74</v>
      </c>
      <c r="M1370" s="12" t="s">
        <v>9367</v>
      </c>
      <c r="N1370" s="12" t="str">
        <f t="shared" si="265"/>
        <v>1816</v>
      </c>
      <c r="O1370" s="12" t="str">
        <f t="shared" si="266"/>
        <v>1816</v>
      </c>
      <c r="P1370" s="12" t="s">
        <v>2520</v>
      </c>
      <c r="Q1370" s="12" t="str">
        <f t="shared" si="261"/>
        <v>1816</v>
      </c>
      <c r="R1370" s="12" t="s">
        <v>9862</v>
      </c>
      <c r="S1370" s="12" t="str">
        <f t="shared" si="264"/>
        <v>1897</v>
      </c>
      <c r="T1370" s="12" t="s">
        <v>74</v>
      </c>
      <c r="U1370" s="12" t="s">
        <v>9863</v>
      </c>
      <c r="V1370" s="12" t="str">
        <f t="shared" si="262"/>
        <v>1836</v>
      </c>
      <c r="W1370" s="12" t="s">
        <v>9864</v>
      </c>
      <c r="X1370" s="12" t="s">
        <v>2073</v>
      </c>
      <c r="Y1370" s="12"/>
      <c r="Z1370" s="12"/>
      <c r="AA1370" s="12">
        <v>1816</v>
      </c>
      <c r="AB1370" s="12"/>
      <c r="AC1370" s="12"/>
      <c r="AD1370" s="12" t="s">
        <v>9865</v>
      </c>
      <c r="AE1370" s="12" t="s">
        <v>9866</v>
      </c>
      <c r="AF1370" s="12"/>
      <c r="AG1370" s="12" t="s">
        <v>74</v>
      </c>
      <c r="AH1370" s="12" t="s">
        <v>9867</v>
      </c>
      <c r="AI1370" s="12" t="str">
        <f t="shared" si="263"/>
        <v>1844</v>
      </c>
      <c r="AJ1370" s="12"/>
      <c r="AK1370" s="12" t="s">
        <v>2520</v>
      </c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  <c r="BO1370" s="12"/>
      <c r="BP1370" s="12"/>
      <c r="BQ1370" s="12"/>
      <c r="BR1370" s="12"/>
      <c r="BS1370" s="12"/>
    </row>
    <row r="1371" spans="1:71">
      <c r="A1371" s="12" t="s">
        <v>669</v>
      </c>
      <c r="B1371" s="12" t="str">
        <f t="shared" si="256"/>
        <v>PRETORIUS</v>
      </c>
      <c r="C1371" s="12" t="str">
        <f t="shared" si="257"/>
        <v>PRETORIUS</v>
      </c>
      <c r="D1371" s="12" t="s">
        <v>9065</v>
      </c>
      <c r="E1371" s="12" t="str">
        <f t="shared" si="267"/>
        <v>Matthys Van As</v>
      </c>
      <c r="F1371" s="12" t="s">
        <v>9066</v>
      </c>
      <c r="G1371" s="12" t="str">
        <f t="shared" si="258"/>
        <v>a1b3c1d6e10f1</v>
      </c>
      <c r="H1371" s="12" t="str">
        <f t="shared" si="259"/>
        <v>PRETORIUSa1b3c1d6e10f1</v>
      </c>
      <c r="I1371" s="12" t="s">
        <v>1924</v>
      </c>
      <c r="J1371" s="12" t="s">
        <v>7414</v>
      </c>
      <c r="K1371" s="12" t="str">
        <f t="shared" si="260"/>
        <v>1812</v>
      </c>
      <c r="L1371" s="12" t="s">
        <v>74</v>
      </c>
      <c r="M1371" s="12" t="s">
        <v>5032</v>
      </c>
      <c r="N1371" s="12" t="str">
        <f t="shared" si="265"/>
        <v>1812</v>
      </c>
      <c r="O1371" s="12" t="str">
        <f t="shared" si="266"/>
        <v>1812</v>
      </c>
      <c r="P1371" s="12" t="s">
        <v>71</v>
      </c>
      <c r="Q1371" s="12" t="str">
        <f t="shared" si="261"/>
        <v>1812</v>
      </c>
      <c r="R1371" s="12" t="s">
        <v>72</v>
      </c>
      <c r="S1371" s="12" t="str">
        <f t="shared" si="264"/>
        <v>1838</v>
      </c>
      <c r="T1371" s="12" t="s">
        <v>366</v>
      </c>
      <c r="U1371" s="12" t="s">
        <v>9958</v>
      </c>
      <c r="V1371" s="12" t="str">
        <f t="shared" si="262"/>
        <v>1835</v>
      </c>
      <c r="W1371" s="12" t="s">
        <v>9959</v>
      </c>
      <c r="X1371" s="12" t="s">
        <v>1983</v>
      </c>
      <c r="Y1371" s="12"/>
      <c r="Z1371" s="12"/>
      <c r="AA1371" s="12"/>
      <c r="AB1371" s="12"/>
      <c r="AC1371" s="12"/>
      <c r="AD1371" s="12"/>
      <c r="AE1371" s="12"/>
      <c r="AF1371" s="12" t="s">
        <v>9960</v>
      </c>
      <c r="AG1371" s="12" t="s">
        <v>74</v>
      </c>
      <c r="AH1371" s="12" t="s">
        <v>9961</v>
      </c>
      <c r="AI1371" s="12" t="str">
        <f t="shared" si="263"/>
        <v>1837</v>
      </c>
      <c r="AJ1371" s="12" t="s">
        <v>9962</v>
      </c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  <c r="BO1371" s="12"/>
      <c r="BP1371" s="12"/>
      <c r="BQ1371" s="12"/>
      <c r="BR1371" s="12"/>
      <c r="BS1371" s="12"/>
    </row>
    <row r="1372" spans="1:71">
      <c r="A1372" s="12" t="s">
        <v>669</v>
      </c>
      <c r="B1372" s="12" t="str">
        <f t="shared" si="256"/>
        <v>PRETORIUS</v>
      </c>
      <c r="C1372" s="12" t="str">
        <f t="shared" si="257"/>
        <v>PRETORIUS</v>
      </c>
      <c r="D1372" s="12" t="s">
        <v>2645</v>
      </c>
      <c r="E1372" s="12" t="str">
        <f t="shared" si="267"/>
        <v>Joseph Erasmus</v>
      </c>
      <c r="F1372" s="12" t="s">
        <v>9052</v>
      </c>
      <c r="G1372" s="12" t="str">
        <f t="shared" si="258"/>
        <v>a1b3c1d6e10f2</v>
      </c>
      <c r="H1372" s="12" t="str">
        <f t="shared" si="259"/>
        <v>PRETORIUSa1b3c1d6e10f2</v>
      </c>
      <c r="I1372" s="12" t="s">
        <v>74</v>
      </c>
      <c r="J1372" s="12" t="s">
        <v>8866</v>
      </c>
      <c r="K1372" s="12" t="str">
        <f t="shared" si="260"/>
        <v>1814</v>
      </c>
      <c r="L1372" s="12" t="s">
        <v>74</v>
      </c>
      <c r="M1372" s="12" t="s">
        <v>9886</v>
      </c>
      <c r="N1372" s="12" t="str">
        <f t="shared" si="265"/>
        <v>1814</v>
      </c>
      <c r="O1372" s="12" t="str">
        <f t="shared" si="266"/>
        <v>1814</v>
      </c>
      <c r="P1372" s="12" t="s">
        <v>9382</v>
      </c>
      <c r="Q1372" s="12" t="str">
        <f t="shared" si="261"/>
        <v>1814</v>
      </c>
      <c r="R1372" s="12" t="s">
        <v>9887</v>
      </c>
      <c r="S1372" s="12" t="str">
        <f t="shared" si="264"/>
        <v>1855</v>
      </c>
      <c r="T1372" s="12" t="s">
        <v>74</v>
      </c>
      <c r="U1372" s="12" t="s">
        <v>1981</v>
      </c>
      <c r="V1372" s="12" t="str">
        <f t="shared" si="262"/>
        <v>1836</v>
      </c>
      <c r="W1372" s="12" t="s">
        <v>9888</v>
      </c>
      <c r="X1372" s="12" t="s">
        <v>633</v>
      </c>
      <c r="Y1372" s="12" t="s">
        <v>9889</v>
      </c>
      <c r="Z1372" s="12" t="s">
        <v>74</v>
      </c>
      <c r="AA1372" s="12" t="s">
        <v>3580</v>
      </c>
      <c r="AB1372" s="12"/>
      <c r="AC1372" s="12"/>
      <c r="AD1372" s="12" t="s">
        <v>9890</v>
      </c>
      <c r="AE1372" s="12">
        <v>1845</v>
      </c>
      <c r="AF1372" s="12" t="s">
        <v>3713</v>
      </c>
      <c r="AG1372" s="12" t="s">
        <v>74</v>
      </c>
      <c r="AH1372" s="12" t="s">
        <v>9891</v>
      </c>
      <c r="AI1372" s="12" t="str">
        <f t="shared" si="263"/>
        <v>1837</v>
      </c>
      <c r="AJ1372" s="12" t="s">
        <v>7597</v>
      </c>
      <c r="AK1372" s="12"/>
      <c r="AL1372" s="12"/>
      <c r="AM1372" s="12" t="s">
        <v>9892</v>
      </c>
      <c r="AN1372" s="12" t="s">
        <v>7314</v>
      </c>
      <c r="AO1372" s="12" t="s">
        <v>2427</v>
      </c>
      <c r="AP1372" s="12" t="s">
        <v>9893</v>
      </c>
      <c r="AQ1372" s="12" t="s">
        <v>28</v>
      </c>
      <c r="AR1372" s="12" t="s">
        <v>9894</v>
      </c>
      <c r="AS1372" s="12"/>
      <c r="AT1372" s="12"/>
      <c r="AU1372" s="12"/>
      <c r="AV1372" s="12" t="s">
        <v>9895</v>
      </c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  <c r="BO1372" s="12"/>
      <c r="BP1372" s="12"/>
      <c r="BQ1372" s="12"/>
      <c r="BR1372" s="12"/>
      <c r="BS1372" s="12"/>
    </row>
    <row r="1373" spans="1:71">
      <c r="A1373" s="12" t="s">
        <v>669</v>
      </c>
      <c r="B1373" s="12" t="str">
        <f t="shared" si="256"/>
        <v>PRETORIUS</v>
      </c>
      <c r="C1373" s="12" t="str">
        <f t="shared" si="257"/>
        <v>PRETORIUS</v>
      </c>
      <c r="D1373" s="12" t="s">
        <v>9053</v>
      </c>
      <c r="E1373" s="12" t="str">
        <f t="shared" si="267"/>
        <v>Marthinus Gerhardus Petrus</v>
      </c>
      <c r="F1373" s="12" t="s">
        <v>9054</v>
      </c>
      <c r="G1373" s="12" t="str">
        <f t="shared" si="258"/>
        <v>a1b3c1d6e10f3</v>
      </c>
      <c r="H1373" s="12" t="str">
        <f t="shared" si="259"/>
        <v>PRETORIUSa1b3c1d6e10f3</v>
      </c>
      <c r="I1373" s="12"/>
      <c r="J1373" s="12" t="s">
        <v>4170</v>
      </c>
      <c r="K1373" s="12" t="str">
        <f t="shared" si="260"/>
        <v>1816</v>
      </c>
      <c r="L1373" s="12" t="s">
        <v>74</v>
      </c>
      <c r="M1373" s="12" t="s">
        <v>9896</v>
      </c>
      <c r="N1373" s="12" t="str">
        <f t="shared" si="265"/>
        <v>1816</v>
      </c>
      <c r="O1373" s="12" t="str">
        <f t="shared" si="266"/>
        <v>1817</v>
      </c>
      <c r="P1373" s="12" t="s">
        <v>71</v>
      </c>
      <c r="Q1373" s="12" t="str">
        <f t="shared" si="261"/>
        <v>1816</v>
      </c>
      <c r="R1373" s="12" t="s">
        <v>72</v>
      </c>
      <c r="S1373" s="12" t="str">
        <f t="shared" si="264"/>
        <v>1838</v>
      </c>
      <c r="T1373" s="12"/>
      <c r="U1373" s="12"/>
      <c r="V1373" s="12" t="str">
        <f t="shared" si="262"/>
        <v/>
      </c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 t="s">
        <v>9897</v>
      </c>
      <c r="AG1373" s="12" t="s">
        <v>74</v>
      </c>
      <c r="AH1373" s="12" t="s">
        <v>9891</v>
      </c>
      <c r="AI1373" s="12" t="str">
        <f t="shared" si="263"/>
        <v>1837</v>
      </c>
      <c r="AJ1373" s="12" t="s">
        <v>9898</v>
      </c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  <c r="BO1373" s="12"/>
      <c r="BP1373" s="12"/>
      <c r="BQ1373" s="12"/>
      <c r="BR1373" s="12"/>
      <c r="BS1373" s="12"/>
    </row>
    <row r="1374" spans="1:71">
      <c r="A1374" s="12" t="s">
        <v>669</v>
      </c>
      <c r="B1374" s="12" t="str">
        <f t="shared" si="256"/>
        <v>PRETORIUS</v>
      </c>
      <c r="C1374" s="12" t="str">
        <f t="shared" si="257"/>
        <v>PRETORIUS</v>
      </c>
      <c r="D1374" s="12" t="s">
        <v>3760</v>
      </c>
      <c r="E1374" s="12" t="str">
        <f t="shared" si="267"/>
        <v>Johannes Lodewicus</v>
      </c>
      <c r="F1374" s="12" t="s">
        <v>9042</v>
      </c>
      <c r="G1374" s="12" t="str">
        <f t="shared" si="258"/>
        <v>a1b3c1d6e10f5</v>
      </c>
      <c r="H1374" s="12" t="str">
        <f t="shared" si="259"/>
        <v>PRETORIUSa1b3c1d6e10f5</v>
      </c>
      <c r="I1374" s="12"/>
      <c r="J1374" s="12" t="s">
        <v>9842</v>
      </c>
      <c r="K1374" s="12" t="str">
        <f t="shared" si="260"/>
        <v>1820</v>
      </c>
      <c r="L1374" s="12" t="s">
        <v>74</v>
      </c>
      <c r="M1374" s="12" t="s">
        <v>9843</v>
      </c>
      <c r="N1374" s="12" t="str">
        <f t="shared" si="265"/>
        <v>1820</v>
      </c>
      <c r="O1374" s="12" t="str">
        <f t="shared" si="266"/>
        <v>1821</v>
      </c>
      <c r="P1374" s="12" t="s">
        <v>9844</v>
      </c>
      <c r="Q1374" s="12" t="str">
        <f t="shared" si="261"/>
        <v>1820</v>
      </c>
      <c r="R1374" s="12" t="s">
        <v>9845</v>
      </c>
      <c r="S1374" s="12" t="str">
        <f t="shared" si="264"/>
        <v>1887</v>
      </c>
      <c r="T1374" s="12"/>
      <c r="U1374" s="12"/>
      <c r="V1374" s="12" t="str">
        <f t="shared" si="262"/>
        <v/>
      </c>
      <c r="W1374" s="12" t="s">
        <v>9846</v>
      </c>
      <c r="X1374" s="12" t="s">
        <v>2235</v>
      </c>
      <c r="Y1374" s="12" t="s">
        <v>9847</v>
      </c>
      <c r="Z1374" s="12"/>
      <c r="AA1374" s="12">
        <v>1823</v>
      </c>
      <c r="AB1374" s="12"/>
      <c r="AC1374" s="12"/>
      <c r="AD1374" s="12" t="s">
        <v>9848</v>
      </c>
      <c r="AE1374" s="12" t="s">
        <v>9849</v>
      </c>
      <c r="AF1374" s="12" t="s">
        <v>9850</v>
      </c>
      <c r="AG1374" s="12" t="s">
        <v>74</v>
      </c>
      <c r="AH1374" s="12" t="s">
        <v>2030</v>
      </c>
      <c r="AI1374" s="12" t="str">
        <f t="shared" si="263"/>
        <v>1845</v>
      </c>
      <c r="AJ1374" s="12"/>
      <c r="AK1374" s="12" t="s">
        <v>9851</v>
      </c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  <c r="BO1374" s="12"/>
      <c r="BP1374" s="12"/>
      <c r="BQ1374" s="12"/>
      <c r="BR1374" s="12"/>
      <c r="BS1374" s="12"/>
    </row>
    <row r="1375" spans="1:71">
      <c r="A1375" s="12" t="s">
        <v>669</v>
      </c>
      <c r="B1375" s="12" t="str">
        <f t="shared" si="256"/>
        <v>PRETORIUS</v>
      </c>
      <c r="C1375" s="12" t="str">
        <f t="shared" si="257"/>
        <v>PRETORIUS</v>
      </c>
      <c r="D1375" s="12" t="s">
        <v>9051</v>
      </c>
      <c r="E1375" s="12" t="str">
        <f t="shared" si="267"/>
        <v>Johannes Petrus (Jan Sr.)</v>
      </c>
      <c r="F1375" s="12" t="s">
        <v>4084</v>
      </c>
      <c r="G1375" s="12" t="str">
        <f t="shared" si="258"/>
        <v>a1b3c1d9e2</v>
      </c>
      <c r="H1375" s="12" t="str">
        <f t="shared" si="259"/>
        <v>PRETORIUSa1b3c1d9e2</v>
      </c>
      <c r="I1375" s="12"/>
      <c r="J1375" s="12"/>
      <c r="K1375" s="12" t="str">
        <f t="shared" si="260"/>
        <v/>
      </c>
      <c r="L1375" s="12" t="s">
        <v>542</v>
      </c>
      <c r="M1375" s="12" t="s">
        <v>2909</v>
      </c>
      <c r="N1375" s="12" t="str">
        <f t="shared" si="265"/>
        <v/>
      </c>
      <c r="O1375" s="12" t="str">
        <f t="shared" si="266"/>
        <v>1782</v>
      </c>
      <c r="P1375" s="12" t="s">
        <v>9881</v>
      </c>
      <c r="Q1375" s="12" t="str">
        <f t="shared" si="261"/>
        <v>1782</v>
      </c>
      <c r="R1375" s="12" t="s">
        <v>9882</v>
      </c>
      <c r="S1375" s="12" t="str">
        <f t="shared" si="264"/>
        <v>1861</v>
      </c>
      <c r="T1375" s="12" t="s">
        <v>74</v>
      </c>
      <c r="U1375" s="12" t="s">
        <v>1009</v>
      </c>
      <c r="V1375" s="12" t="str">
        <f t="shared" si="262"/>
        <v>1804</v>
      </c>
      <c r="W1375" s="12" t="s">
        <v>7049</v>
      </c>
      <c r="X1375" s="12" t="s">
        <v>3289</v>
      </c>
      <c r="Y1375" s="12"/>
      <c r="Z1375" s="12"/>
      <c r="AA1375" s="12"/>
      <c r="AB1375" s="12"/>
      <c r="AC1375" s="12"/>
      <c r="AD1375" s="12"/>
      <c r="AE1375" s="12"/>
      <c r="AF1375" s="12" t="s">
        <v>9883</v>
      </c>
      <c r="AG1375" s="12" t="s">
        <v>68</v>
      </c>
      <c r="AH1375" s="12" t="s">
        <v>8149</v>
      </c>
      <c r="AI1375" s="12" t="str">
        <f t="shared" si="263"/>
        <v>1837</v>
      </c>
      <c r="AJ1375" s="12"/>
      <c r="AK1375" s="12"/>
      <c r="AL1375" s="12"/>
      <c r="AM1375" s="12"/>
      <c r="AN1375" s="12" t="s">
        <v>9884</v>
      </c>
      <c r="AO1375" s="12" t="s">
        <v>9885</v>
      </c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  <c r="BO1375" s="12"/>
      <c r="BP1375" s="12"/>
      <c r="BQ1375" s="12"/>
      <c r="BR1375" s="12"/>
      <c r="BS1375" s="12"/>
    </row>
    <row r="1376" spans="1:71">
      <c r="A1376" s="12" t="s">
        <v>669</v>
      </c>
      <c r="B1376" s="12" t="str">
        <f t="shared" si="256"/>
        <v>PRETORIUS</v>
      </c>
      <c r="C1376" s="12" t="str">
        <f t="shared" si="257"/>
        <v>PRETORIUS</v>
      </c>
      <c r="D1376" s="12" t="s">
        <v>9049</v>
      </c>
      <c r="E1376" s="12" t="str">
        <f t="shared" si="267"/>
        <v>Johannes Petrus (Jan Jr.)</v>
      </c>
      <c r="F1376" s="12" t="s">
        <v>9050</v>
      </c>
      <c r="G1376" s="12" t="str">
        <f t="shared" si="258"/>
        <v>a1b3c1d9e2f4</v>
      </c>
      <c r="H1376" s="12" t="str">
        <f t="shared" si="259"/>
        <v>PRETORIUSa1b3c1d9e2f4</v>
      </c>
      <c r="I1376" s="12"/>
      <c r="J1376" s="12" t="s">
        <v>978</v>
      </c>
      <c r="K1376" s="12" t="str">
        <f t="shared" si="260"/>
        <v>1809</v>
      </c>
      <c r="L1376" s="12" t="s">
        <v>74</v>
      </c>
      <c r="M1376" s="12" t="s">
        <v>9872</v>
      </c>
      <c r="N1376" s="12" t="str">
        <f t="shared" si="265"/>
        <v>1809</v>
      </c>
      <c r="O1376" s="12" t="str">
        <f t="shared" si="266"/>
        <v>1809</v>
      </c>
      <c r="P1376" s="12" t="s">
        <v>8673</v>
      </c>
      <c r="Q1376" s="12" t="str">
        <f t="shared" si="261"/>
        <v>1809</v>
      </c>
      <c r="R1376" s="12" t="s">
        <v>9873</v>
      </c>
      <c r="S1376" s="12" t="str">
        <f t="shared" si="264"/>
        <v>1838</v>
      </c>
      <c r="T1376" s="12"/>
      <c r="U1376" s="12"/>
      <c r="V1376" s="12" t="str">
        <f t="shared" si="262"/>
        <v/>
      </c>
      <c r="W1376" s="12" t="s">
        <v>1629</v>
      </c>
      <c r="X1376" s="12" t="s">
        <v>8373</v>
      </c>
      <c r="Y1376" s="12"/>
      <c r="Z1376" s="12"/>
      <c r="AA1376" s="12"/>
      <c r="AB1376" s="12"/>
      <c r="AC1376" s="12"/>
      <c r="AD1376" s="12"/>
      <c r="AE1376" s="12"/>
      <c r="AF1376" s="12" t="s">
        <v>16</v>
      </c>
      <c r="AG1376" s="12" t="s">
        <v>68</v>
      </c>
      <c r="AH1376" s="12" t="s">
        <v>9874</v>
      </c>
      <c r="AI1376" s="12" t="str">
        <f t="shared" si="263"/>
        <v>1835</v>
      </c>
      <c r="AJ1376" s="12" t="s">
        <v>8674</v>
      </c>
      <c r="AK1376" s="12"/>
      <c r="AL1376" s="12" t="s">
        <v>28</v>
      </c>
      <c r="AM1376" s="12" t="s">
        <v>9673</v>
      </c>
      <c r="AN1376" s="12" t="s">
        <v>9875</v>
      </c>
      <c r="AO1376" s="12" t="s">
        <v>20</v>
      </c>
      <c r="AP1376" s="12" t="s">
        <v>9876</v>
      </c>
      <c r="AQ1376" s="12"/>
      <c r="AR1376" s="12" t="s">
        <v>9877</v>
      </c>
      <c r="AS1376" s="12" t="s">
        <v>74</v>
      </c>
      <c r="AT1376" s="12" t="s">
        <v>9878</v>
      </c>
      <c r="AU1376" s="12" t="s">
        <v>9879</v>
      </c>
      <c r="AV1376" s="12" t="s">
        <v>9880</v>
      </c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  <c r="BO1376" s="12"/>
      <c r="BP1376" s="12"/>
      <c r="BQ1376" s="12"/>
      <c r="BR1376" s="12"/>
      <c r="BS1376" s="12"/>
    </row>
    <row r="1377" spans="1:71">
      <c r="A1377" s="12" t="s">
        <v>669</v>
      </c>
      <c r="B1377" s="12" t="str">
        <f t="shared" si="256"/>
        <v>PRETORIUS</v>
      </c>
      <c r="C1377" s="12" t="str">
        <f t="shared" si="257"/>
        <v>PRETORIUS</v>
      </c>
      <c r="D1377" s="12" t="s">
        <v>8999</v>
      </c>
      <c r="E1377" s="12" t="str">
        <f t="shared" si="267"/>
        <v>Gerhardus Dirk</v>
      </c>
      <c r="F1377" s="12" t="s">
        <v>9000</v>
      </c>
      <c r="G1377" s="12" t="str">
        <f t="shared" si="258"/>
        <v>a1b3c1d9e2f9</v>
      </c>
      <c r="H1377" s="12" t="str">
        <f t="shared" si="259"/>
        <v>PRETORIUSa1b3c1d9e2f9</v>
      </c>
      <c r="I1377" s="12"/>
      <c r="J1377" s="12" t="s">
        <v>9650</v>
      </c>
      <c r="K1377" s="12" t="str">
        <f t="shared" si="260"/>
        <v>1821</v>
      </c>
      <c r="L1377" s="12" t="s">
        <v>28</v>
      </c>
      <c r="M1377" s="12" t="s">
        <v>9651</v>
      </c>
      <c r="N1377" s="12" t="str">
        <f t="shared" si="265"/>
        <v>1821</v>
      </c>
      <c r="O1377" s="12" t="str">
        <f t="shared" si="266"/>
        <v>1822</v>
      </c>
      <c r="P1377" s="12" t="s">
        <v>140</v>
      </c>
      <c r="Q1377" s="12" t="str">
        <f t="shared" si="261"/>
        <v>1821</v>
      </c>
      <c r="R1377" s="12" t="s">
        <v>9652</v>
      </c>
      <c r="S1377" s="12" t="str">
        <f t="shared" si="264"/>
        <v>1889</v>
      </c>
      <c r="T1377" s="12" t="s">
        <v>140</v>
      </c>
      <c r="U1377" s="12" t="s">
        <v>3400</v>
      </c>
      <c r="V1377" s="12" t="str">
        <f t="shared" si="262"/>
        <v>1838</v>
      </c>
      <c r="W1377" s="12" t="s">
        <v>9653</v>
      </c>
      <c r="X1377" s="12" t="s">
        <v>1453</v>
      </c>
      <c r="Y1377" s="12"/>
      <c r="Z1377" s="12" t="s">
        <v>346</v>
      </c>
      <c r="AA1377" s="12" t="s">
        <v>9654</v>
      </c>
      <c r="AB1377" s="12"/>
      <c r="AC1377" s="12"/>
      <c r="AD1377" s="12" t="s">
        <v>9655</v>
      </c>
      <c r="AE1377" s="12" t="s">
        <v>9656</v>
      </c>
      <c r="AF1377" s="12" t="s">
        <v>7568</v>
      </c>
      <c r="AG1377" s="12" t="s">
        <v>68</v>
      </c>
      <c r="AH1377" s="12" t="s">
        <v>8362</v>
      </c>
      <c r="AI1377" s="12" t="str">
        <f t="shared" si="263"/>
        <v xml:space="preserve"> (?)</v>
      </c>
      <c r="AJ1377" s="12" t="s">
        <v>5242</v>
      </c>
      <c r="AK1377" s="12" t="s">
        <v>5700</v>
      </c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  <c r="BO1377" s="12"/>
      <c r="BP1377" s="12"/>
      <c r="BQ1377" s="12"/>
      <c r="BR1377" s="12"/>
      <c r="BS1377" s="12"/>
    </row>
    <row r="1378" spans="1:71">
      <c r="A1378" s="12" t="s">
        <v>669</v>
      </c>
      <c r="B1378" s="12" t="str">
        <f t="shared" si="256"/>
        <v>PRETORIUS</v>
      </c>
      <c r="C1378" s="12" t="str">
        <f t="shared" si="257"/>
        <v>PRETORIUS</v>
      </c>
      <c r="D1378" s="12" t="s">
        <v>2253</v>
      </c>
      <c r="E1378" s="12" t="str">
        <f t="shared" si="267"/>
        <v>Johannes Jacobus</v>
      </c>
      <c r="F1378" s="12" t="s">
        <v>9038</v>
      </c>
      <c r="G1378" s="12" t="str">
        <f t="shared" si="258"/>
        <v>a1b3c7d1e1f3</v>
      </c>
      <c r="H1378" s="12" t="str">
        <f t="shared" si="259"/>
        <v>PRETORIUSa1b3c7d1e1f3</v>
      </c>
      <c r="I1378" s="12"/>
      <c r="J1378" s="12" t="s">
        <v>145</v>
      </c>
      <c r="K1378" s="12" t="str">
        <f t="shared" si="260"/>
        <v>1805</v>
      </c>
      <c r="L1378" s="12" t="s">
        <v>48</v>
      </c>
      <c r="M1378" s="12" t="s">
        <v>9338</v>
      </c>
      <c r="N1378" s="12" t="str">
        <f t="shared" si="265"/>
        <v>1805</v>
      </c>
      <c r="O1378" s="12" t="str">
        <f t="shared" si="266"/>
        <v>1806</v>
      </c>
      <c r="P1378" s="12" t="s">
        <v>9814</v>
      </c>
      <c r="Q1378" s="12" t="str">
        <f t="shared" si="261"/>
        <v>1805</v>
      </c>
      <c r="R1378" s="12" t="s">
        <v>9815</v>
      </c>
      <c r="S1378" s="12" t="str">
        <f t="shared" si="264"/>
        <v>1890</v>
      </c>
      <c r="T1378" s="12" t="s">
        <v>74</v>
      </c>
      <c r="U1378" s="12" t="s">
        <v>2833</v>
      </c>
      <c r="V1378" s="12" t="str">
        <f t="shared" si="262"/>
        <v>1825</v>
      </c>
      <c r="W1378" s="12" t="s">
        <v>9816</v>
      </c>
      <c r="X1378" s="12" t="s">
        <v>9817</v>
      </c>
      <c r="Y1378" s="12"/>
      <c r="Z1378" s="12"/>
      <c r="AA1378" s="12"/>
      <c r="AB1378" s="12"/>
      <c r="AC1378" s="12"/>
      <c r="AD1378" s="12"/>
      <c r="AE1378" s="12"/>
      <c r="AF1378" s="12" t="s">
        <v>3713</v>
      </c>
      <c r="AG1378" s="12" t="s">
        <v>9818</v>
      </c>
      <c r="AH1378" s="12" t="s">
        <v>9819</v>
      </c>
      <c r="AI1378" s="12" t="str">
        <f t="shared" si="263"/>
        <v>1841</v>
      </c>
      <c r="AJ1378" s="12"/>
      <c r="AK1378" s="12" t="s">
        <v>9820</v>
      </c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  <c r="BO1378" s="12"/>
      <c r="BP1378" s="12"/>
      <c r="BQ1378" s="12"/>
      <c r="BR1378" s="12"/>
      <c r="BS1378" s="12"/>
    </row>
    <row r="1379" spans="1:71">
      <c r="A1379" s="12" t="s">
        <v>669</v>
      </c>
      <c r="B1379" s="12" t="str">
        <f t="shared" si="256"/>
        <v>PRETORIUS</v>
      </c>
      <c r="C1379" s="12" t="str">
        <f t="shared" si="257"/>
        <v>PRETORIUS</v>
      </c>
      <c r="D1379" s="12" t="s">
        <v>2253</v>
      </c>
      <c r="E1379" s="12" t="str">
        <f t="shared" si="267"/>
        <v>Johannes Jacobus</v>
      </c>
      <c r="F1379" s="12" t="s">
        <v>9039</v>
      </c>
      <c r="G1379" s="12" t="str">
        <f t="shared" si="258"/>
        <v>a1b3c7d1e2f1</v>
      </c>
      <c r="H1379" s="12" t="str">
        <f t="shared" si="259"/>
        <v>PRETORIUSa1b3c7d1e2f1</v>
      </c>
      <c r="I1379" s="12"/>
      <c r="J1379" s="12" t="s">
        <v>9821</v>
      </c>
      <c r="K1379" s="12" t="str">
        <f t="shared" si="260"/>
        <v>1798</v>
      </c>
      <c r="L1379" s="12" t="s">
        <v>74</v>
      </c>
      <c r="M1379" s="12" t="s">
        <v>1836</v>
      </c>
      <c r="N1379" s="12" t="str">
        <f t="shared" si="265"/>
        <v>1798</v>
      </c>
      <c r="O1379" s="12" t="str">
        <f t="shared" si="266"/>
        <v>1798</v>
      </c>
      <c r="P1379" s="12" t="s">
        <v>9822</v>
      </c>
      <c r="Q1379" s="12" t="str">
        <f t="shared" si="261"/>
        <v>1798</v>
      </c>
      <c r="R1379" s="12" t="s">
        <v>9823</v>
      </c>
      <c r="S1379" s="12" t="str">
        <f t="shared" si="264"/>
        <v>1860</v>
      </c>
      <c r="T1379" s="12" t="s">
        <v>74</v>
      </c>
      <c r="U1379" s="12" t="s">
        <v>9765</v>
      </c>
      <c r="V1379" s="12" t="str">
        <f t="shared" si="262"/>
        <v>1818</v>
      </c>
      <c r="W1379" s="12" t="s">
        <v>9824</v>
      </c>
      <c r="X1379" s="12" t="s">
        <v>633</v>
      </c>
      <c r="Y1379" s="12"/>
      <c r="Z1379" s="12"/>
      <c r="AA1379" s="12"/>
      <c r="AB1379" s="12"/>
      <c r="AC1379" s="12"/>
      <c r="AD1379" s="12"/>
      <c r="AE1379" s="12"/>
      <c r="AF1379" s="12" t="s">
        <v>3725</v>
      </c>
      <c r="AG1379" s="12" t="s">
        <v>74</v>
      </c>
      <c r="AH1379" s="12" t="s">
        <v>8653</v>
      </c>
      <c r="AI1379" s="12" t="str">
        <f t="shared" si="263"/>
        <v>1840</v>
      </c>
      <c r="AJ1379" s="12" t="s">
        <v>9825</v>
      </c>
      <c r="AK1379" s="12" t="s">
        <v>9822</v>
      </c>
      <c r="AL1379" s="12" t="s">
        <v>74</v>
      </c>
      <c r="AM1379" s="12" t="s">
        <v>9826</v>
      </c>
      <c r="AN1379" s="12" t="s">
        <v>9624</v>
      </c>
      <c r="AO1379" s="12" t="s">
        <v>1320</v>
      </c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  <c r="BO1379" s="12"/>
      <c r="BP1379" s="12"/>
      <c r="BQ1379" s="12"/>
      <c r="BR1379" s="12"/>
      <c r="BS1379" s="12"/>
    </row>
    <row r="1380" spans="1:71">
      <c r="A1380" s="12" t="s">
        <v>669</v>
      </c>
      <c r="B1380" s="12" t="str">
        <f t="shared" si="256"/>
        <v>PRETORIUS</v>
      </c>
      <c r="C1380" s="12" t="str">
        <f t="shared" si="257"/>
        <v>PRETORIUS</v>
      </c>
      <c r="D1380" s="12" t="s">
        <v>2759</v>
      </c>
      <c r="E1380" s="12" t="str">
        <f t="shared" si="267"/>
        <v>Jacobus Nicolaas</v>
      </c>
      <c r="F1380" s="12" t="s">
        <v>9026</v>
      </c>
      <c r="G1380" s="12" t="str">
        <f t="shared" si="258"/>
        <v>a1b3c7d1e2f11</v>
      </c>
      <c r="H1380" s="12" t="str">
        <f t="shared" si="259"/>
        <v>PRETORIUSa1b3c7d1e2f11</v>
      </c>
      <c r="I1380" s="12"/>
      <c r="J1380" s="12" t="s">
        <v>9769</v>
      </c>
      <c r="K1380" s="12" t="str">
        <f t="shared" si="260"/>
        <v>1818</v>
      </c>
      <c r="L1380" s="12" t="s">
        <v>74</v>
      </c>
      <c r="M1380" s="12" t="s">
        <v>9770</v>
      </c>
      <c r="N1380" s="12" t="str">
        <f t="shared" si="265"/>
        <v>1818</v>
      </c>
      <c r="O1380" s="12" t="str">
        <f t="shared" si="266"/>
        <v>1818</v>
      </c>
      <c r="P1380" s="12" t="s">
        <v>9771</v>
      </c>
      <c r="Q1380" s="12" t="str">
        <f t="shared" si="261"/>
        <v>1818</v>
      </c>
      <c r="R1380" s="12" t="s">
        <v>9772</v>
      </c>
      <c r="S1380" s="12" t="str">
        <f t="shared" si="264"/>
        <v>1901</v>
      </c>
      <c r="T1380" s="12" t="s">
        <v>60</v>
      </c>
      <c r="U1380" s="12" t="s">
        <v>4475</v>
      </c>
      <c r="V1380" s="12" t="str">
        <f t="shared" si="262"/>
        <v>1840</v>
      </c>
      <c r="W1380" s="12" t="s">
        <v>1307</v>
      </c>
      <c r="X1380" s="12" t="s">
        <v>633</v>
      </c>
      <c r="Y1380" s="12"/>
      <c r="Z1380" s="12"/>
      <c r="AA1380" s="12" t="s">
        <v>9773</v>
      </c>
      <c r="AB1380" s="12"/>
      <c r="AC1380" s="12"/>
      <c r="AD1380" s="12" t="s">
        <v>9774</v>
      </c>
      <c r="AE1380" s="12" t="s">
        <v>9775</v>
      </c>
      <c r="AF1380" s="12" t="s">
        <v>3725</v>
      </c>
      <c r="AG1380" s="12" t="s">
        <v>74</v>
      </c>
      <c r="AH1380" s="12" t="s">
        <v>9776</v>
      </c>
      <c r="AI1380" s="12" t="str">
        <f t="shared" si="263"/>
        <v>1842</v>
      </c>
      <c r="AJ1380" s="12" t="s">
        <v>9777</v>
      </c>
      <c r="AK1380" s="12" t="s">
        <v>9778</v>
      </c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  <c r="BO1380" s="12"/>
      <c r="BP1380" s="12"/>
      <c r="BQ1380" s="12"/>
      <c r="BR1380" s="12"/>
      <c r="BS1380" s="12"/>
    </row>
    <row r="1381" spans="1:71">
      <c r="A1381" s="12" t="s">
        <v>669</v>
      </c>
      <c r="B1381" s="12" t="str">
        <f t="shared" si="256"/>
        <v>PRETORIUS</v>
      </c>
      <c r="C1381" s="12" t="str">
        <f t="shared" si="257"/>
        <v>PRETORIUS</v>
      </c>
      <c r="D1381" s="12" t="s">
        <v>9017</v>
      </c>
      <c r="E1381" s="12" t="str">
        <f t="shared" si="267"/>
        <v xml:space="preserve">Hendrik Stephanus </v>
      </c>
      <c r="F1381" s="12" t="s">
        <v>9018</v>
      </c>
      <c r="G1381" s="12" t="str">
        <f t="shared" si="258"/>
        <v>a1b3c7d1e2f12</v>
      </c>
      <c r="H1381" s="12" t="str">
        <f t="shared" si="259"/>
        <v>PRETORIUSa1b3c7d1e2f12</v>
      </c>
      <c r="I1381" s="12"/>
      <c r="J1381" s="12" t="s">
        <v>9726</v>
      </c>
      <c r="K1381" s="12" t="str">
        <f t="shared" si="260"/>
        <v>1819</v>
      </c>
      <c r="L1381" s="12" t="s">
        <v>74</v>
      </c>
      <c r="M1381" s="12" t="s">
        <v>9727</v>
      </c>
      <c r="N1381" s="12" t="str">
        <f t="shared" si="265"/>
        <v>1819</v>
      </c>
      <c r="O1381" s="12" t="str">
        <f t="shared" si="266"/>
        <v>1820</v>
      </c>
      <c r="P1381" s="12" t="s">
        <v>9728</v>
      </c>
      <c r="Q1381" s="12" t="str">
        <f t="shared" si="261"/>
        <v>1819</v>
      </c>
      <c r="R1381" s="12" t="s">
        <v>9729</v>
      </c>
      <c r="S1381" s="12" t="str">
        <f t="shared" si="264"/>
        <v>1872</v>
      </c>
      <c r="T1381" s="12"/>
      <c r="U1381" s="12"/>
      <c r="V1381" s="12" t="str">
        <f t="shared" si="262"/>
        <v/>
      </c>
      <c r="W1381" s="12" t="s">
        <v>2503</v>
      </c>
      <c r="X1381" s="12" t="s">
        <v>9730</v>
      </c>
      <c r="Y1381" s="12"/>
      <c r="Z1381" s="12"/>
      <c r="AA1381" s="12"/>
      <c r="AB1381" s="12"/>
      <c r="AC1381" s="12"/>
      <c r="AD1381" s="12" t="s">
        <v>9731</v>
      </c>
      <c r="AE1381" s="12" t="s">
        <v>9732</v>
      </c>
      <c r="AF1381" s="12" t="s">
        <v>9733</v>
      </c>
      <c r="AG1381" s="12" t="s">
        <v>74</v>
      </c>
      <c r="AH1381" s="12" t="s">
        <v>9734</v>
      </c>
      <c r="AI1381" s="12" t="str">
        <f t="shared" si="263"/>
        <v>1844</v>
      </c>
      <c r="AJ1381" s="12" t="s">
        <v>7364</v>
      </c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  <c r="BO1381" s="12"/>
      <c r="BP1381" s="12"/>
      <c r="BQ1381" s="12"/>
      <c r="BR1381" s="12"/>
      <c r="BS1381" s="12"/>
    </row>
    <row r="1382" spans="1:71">
      <c r="A1382" s="12" t="s">
        <v>669</v>
      </c>
      <c r="B1382" s="12" t="str">
        <f t="shared" si="256"/>
        <v>PRETORIUS</v>
      </c>
      <c r="C1382" s="12" t="str">
        <f t="shared" si="257"/>
        <v>PRETORIUS</v>
      </c>
      <c r="D1382" s="12" t="s">
        <v>4284</v>
      </c>
      <c r="E1382" s="12" t="str">
        <f t="shared" si="267"/>
        <v>Petrus Francois</v>
      </c>
      <c r="F1382" s="12" t="s">
        <v>9071</v>
      </c>
      <c r="G1382" s="12" t="str">
        <f t="shared" si="258"/>
        <v>a1b3c7d1e2f13</v>
      </c>
      <c r="H1382" s="12" t="str">
        <f t="shared" si="259"/>
        <v>PRETORIUSa1b3c7d1e2f13</v>
      </c>
      <c r="I1382" s="12"/>
      <c r="J1382" s="12" t="s">
        <v>9978</v>
      </c>
      <c r="K1382" s="12" t="str">
        <f t="shared" si="260"/>
        <v>1822</v>
      </c>
      <c r="L1382" s="12" t="s">
        <v>74</v>
      </c>
      <c r="M1382" s="12" t="s">
        <v>9979</v>
      </c>
      <c r="N1382" s="12" t="str">
        <f t="shared" si="265"/>
        <v>1822</v>
      </c>
      <c r="O1382" s="12" t="str">
        <f t="shared" si="266"/>
        <v>1823</v>
      </c>
      <c r="P1382" s="12" t="s">
        <v>140</v>
      </c>
      <c r="Q1382" s="12" t="str">
        <f t="shared" si="261"/>
        <v>1822</v>
      </c>
      <c r="R1382" s="12" t="s">
        <v>9980</v>
      </c>
      <c r="S1382" s="12" t="str">
        <f t="shared" si="264"/>
        <v>1893</v>
      </c>
      <c r="T1382" s="12" t="s">
        <v>140</v>
      </c>
      <c r="U1382" s="12" t="s">
        <v>9981</v>
      </c>
      <c r="V1382" s="12" t="str">
        <f t="shared" si="262"/>
        <v>1848</v>
      </c>
      <c r="W1382" s="12" t="s">
        <v>7461</v>
      </c>
      <c r="X1382" s="12" t="s">
        <v>1187</v>
      </c>
      <c r="Y1382" s="12"/>
      <c r="Z1382" s="12"/>
      <c r="AA1382" s="12"/>
      <c r="AB1382" s="12"/>
      <c r="AC1382" s="12"/>
      <c r="AD1382" s="12" t="s">
        <v>140</v>
      </c>
      <c r="AE1382" s="12" t="s">
        <v>9982</v>
      </c>
      <c r="AF1382" s="12" t="s">
        <v>9733</v>
      </c>
      <c r="AG1382" s="12" t="s">
        <v>74</v>
      </c>
      <c r="AH1382" s="12" t="s">
        <v>8653</v>
      </c>
      <c r="AI1382" s="12" t="str">
        <f t="shared" si="263"/>
        <v>1840</v>
      </c>
      <c r="AJ1382" s="12" t="s">
        <v>9983</v>
      </c>
      <c r="AK1382" s="12" t="s">
        <v>140</v>
      </c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  <c r="BO1382" s="12"/>
      <c r="BP1382" s="12"/>
      <c r="BQ1382" s="12"/>
      <c r="BR1382" s="12"/>
      <c r="BS1382" s="12"/>
    </row>
    <row r="1383" spans="1:71">
      <c r="A1383" s="12" t="s">
        <v>669</v>
      </c>
      <c r="B1383" s="12" t="str">
        <f t="shared" si="256"/>
        <v>PRETORIUS</v>
      </c>
      <c r="C1383" s="12" t="str">
        <f t="shared" si="257"/>
        <v>PRETORIUS</v>
      </c>
      <c r="D1383" s="12" t="s">
        <v>9081</v>
      </c>
      <c r="E1383" s="12" t="str">
        <f t="shared" si="267"/>
        <v>Wessel Matthys</v>
      </c>
      <c r="F1383" s="12" t="s">
        <v>9082</v>
      </c>
      <c r="G1383" s="12" t="str">
        <f t="shared" si="258"/>
        <v>a1b3c7d1e2f14</v>
      </c>
      <c r="H1383" s="12" t="str">
        <f t="shared" si="259"/>
        <v>PRETORIUSa1b3c7d1e2f14</v>
      </c>
      <c r="I1383" s="12"/>
      <c r="J1383" s="12" t="s">
        <v>3563</v>
      </c>
      <c r="K1383" s="12" t="str">
        <f t="shared" si="260"/>
        <v>1825</v>
      </c>
      <c r="L1383" s="12" t="s">
        <v>74</v>
      </c>
      <c r="M1383" s="12" t="s">
        <v>2780</v>
      </c>
      <c r="N1383" s="12" t="str">
        <f t="shared" si="265"/>
        <v>1825</v>
      </c>
      <c r="O1383" s="12" t="str">
        <f t="shared" si="266"/>
        <v>1825</v>
      </c>
      <c r="P1383" s="12" t="s">
        <v>10041</v>
      </c>
      <c r="Q1383" s="12" t="str">
        <f t="shared" si="261"/>
        <v>1825</v>
      </c>
      <c r="R1383" s="12" t="s">
        <v>10042</v>
      </c>
      <c r="S1383" s="12" t="str">
        <f t="shared" si="264"/>
        <v>1911</v>
      </c>
      <c r="T1383" s="12"/>
      <c r="U1383" s="12"/>
      <c r="V1383" s="12" t="str">
        <f t="shared" si="262"/>
        <v/>
      </c>
      <c r="W1383" s="12" t="s">
        <v>4694</v>
      </c>
      <c r="X1383" s="12" t="s">
        <v>755</v>
      </c>
      <c r="Y1383" s="12"/>
      <c r="Z1383" s="12"/>
      <c r="AA1383" s="12"/>
      <c r="AB1383" s="12"/>
      <c r="AC1383" s="12"/>
      <c r="AD1383" s="12"/>
      <c r="AE1383" s="12"/>
      <c r="AF1383" s="12" t="s">
        <v>9733</v>
      </c>
      <c r="AG1383" s="12" t="s">
        <v>74</v>
      </c>
      <c r="AH1383" s="12" t="s">
        <v>8653</v>
      </c>
      <c r="AI1383" s="12" t="str">
        <f t="shared" si="263"/>
        <v>1840</v>
      </c>
      <c r="AJ1383" s="12"/>
      <c r="AK1383" s="12" t="s">
        <v>10041</v>
      </c>
      <c r="AL1383" s="12" t="s">
        <v>31</v>
      </c>
      <c r="AM1383" s="12" t="s">
        <v>10043</v>
      </c>
      <c r="AN1383" s="12" t="s">
        <v>10044</v>
      </c>
      <c r="AO1383" s="12" t="s">
        <v>700</v>
      </c>
      <c r="AP1383" s="12"/>
      <c r="AQ1383" s="12"/>
      <c r="AR1383" s="12">
        <v>1829</v>
      </c>
      <c r="AS1383" s="12"/>
      <c r="AT1383" s="12"/>
      <c r="AU1383" s="12" t="s">
        <v>10041</v>
      </c>
      <c r="AV1383" s="12" t="s">
        <v>10045</v>
      </c>
      <c r="AW1383" s="12"/>
      <c r="AX1383" s="12" t="s">
        <v>10046</v>
      </c>
      <c r="AY1383" s="12" t="s">
        <v>4229</v>
      </c>
      <c r="AZ1383" s="12" t="s">
        <v>729</v>
      </c>
      <c r="BA1383" s="12"/>
      <c r="BB1383" s="12" t="s">
        <v>10047</v>
      </c>
      <c r="BC1383" s="12"/>
      <c r="BD1383" s="12"/>
      <c r="BE1383" s="12"/>
      <c r="BF1383" s="12" t="s">
        <v>10048</v>
      </c>
      <c r="BG1383" s="12"/>
      <c r="BH1383" s="12"/>
      <c r="BI1383" s="12"/>
      <c r="BJ1383" s="12"/>
      <c r="BK1383" s="12"/>
      <c r="BL1383" s="12"/>
      <c r="BM1383" s="12"/>
      <c r="BN1383" s="12"/>
      <c r="BO1383" s="12"/>
      <c r="BP1383" s="12"/>
      <c r="BQ1383" s="12"/>
      <c r="BR1383" s="12"/>
      <c r="BS1383" s="12"/>
    </row>
    <row r="1384" spans="1:71">
      <c r="A1384" s="12" t="s">
        <v>669</v>
      </c>
      <c r="B1384" s="12" t="str">
        <f t="shared" si="256"/>
        <v>PRETORIUS</v>
      </c>
      <c r="C1384" s="12" t="str">
        <f t="shared" si="257"/>
        <v>PRETORIUS</v>
      </c>
      <c r="D1384" s="12" t="s">
        <v>9089</v>
      </c>
      <c r="E1384" s="12" t="str">
        <f t="shared" si="267"/>
        <v>Willem Lodewyk</v>
      </c>
      <c r="F1384" s="12" t="s">
        <v>9090</v>
      </c>
      <c r="G1384" s="12" t="str">
        <f t="shared" si="258"/>
        <v>a1b3c7d1e2f1g1</v>
      </c>
      <c r="H1384" s="12" t="str">
        <f t="shared" si="259"/>
        <v>PRETORIUSa1b3c7d1e2f1g1</v>
      </c>
      <c r="I1384" s="12"/>
      <c r="J1384" s="12" t="s">
        <v>10086</v>
      </c>
      <c r="K1384" s="12" t="str">
        <f t="shared" si="260"/>
        <v>1819</v>
      </c>
      <c r="L1384" s="12" t="s">
        <v>74</v>
      </c>
      <c r="M1384" s="12" t="s">
        <v>10087</v>
      </c>
      <c r="N1384" s="12" t="str">
        <f t="shared" si="265"/>
        <v>1819</v>
      </c>
      <c r="O1384" s="12" t="str">
        <f t="shared" si="266"/>
        <v>1819</v>
      </c>
      <c r="P1384" s="12" t="s">
        <v>10088</v>
      </c>
      <c r="Q1384" s="12" t="str">
        <f t="shared" si="261"/>
        <v>1819</v>
      </c>
      <c r="R1384" s="12" t="s">
        <v>10089</v>
      </c>
      <c r="S1384" s="12" t="str">
        <f t="shared" si="264"/>
        <v>1891</v>
      </c>
      <c r="T1384" s="12"/>
      <c r="U1384" s="12"/>
      <c r="V1384" s="12" t="str">
        <f t="shared" si="262"/>
        <v/>
      </c>
      <c r="W1384" s="12" t="s">
        <v>10090</v>
      </c>
      <c r="X1384" s="12" t="s">
        <v>10091</v>
      </c>
      <c r="Y1384" s="12"/>
      <c r="Z1384" s="12" t="s">
        <v>53</v>
      </c>
      <c r="AA1384" s="12" t="s">
        <v>10092</v>
      </c>
      <c r="AB1384" s="12"/>
      <c r="AC1384" s="12"/>
      <c r="AD1384" s="12" t="s">
        <v>10093</v>
      </c>
      <c r="AE1384" s="12" t="s">
        <v>10094</v>
      </c>
      <c r="AF1384" s="12" t="s">
        <v>10095</v>
      </c>
      <c r="AG1384" s="12" t="s">
        <v>74</v>
      </c>
      <c r="AH1384" s="12" t="s">
        <v>10096</v>
      </c>
      <c r="AI1384" s="12" t="str">
        <f t="shared" si="263"/>
        <v>0-42</v>
      </c>
      <c r="AJ1384" s="12" t="s">
        <v>9825</v>
      </c>
      <c r="AK1384" s="12" t="s">
        <v>93</v>
      </c>
      <c r="AL1384" s="12" t="s">
        <v>93</v>
      </c>
      <c r="AM1384" s="12" t="s">
        <v>10097</v>
      </c>
      <c r="AN1384" s="12" t="s">
        <v>9674</v>
      </c>
      <c r="AO1384" s="12" t="s">
        <v>2153</v>
      </c>
      <c r="AP1384" s="12"/>
      <c r="AQ1384" s="12"/>
      <c r="AR1384" s="12">
        <v>1833</v>
      </c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  <c r="BP1384" s="12"/>
      <c r="BQ1384" s="12"/>
      <c r="BR1384" s="12"/>
      <c r="BS1384" s="12"/>
    </row>
    <row r="1385" spans="1:71">
      <c r="A1385" s="12" t="s">
        <v>669</v>
      </c>
      <c r="B1385" s="12" t="str">
        <f t="shared" si="256"/>
        <v>PRETORIUS</v>
      </c>
      <c r="C1385" s="12" t="str">
        <f t="shared" si="257"/>
        <v>PRETORIUS</v>
      </c>
      <c r="D1385" s="12" t="s">
        <v>9023</v>
      </c>
      <c r="E1385" s="12" t="str">
        <f t="shared" si="267"/>
        <v>Isaac Jacobus</v>
      </c>
      <c r="F1385" s="12" t="s">
        <v>9024</v>
      </c>
      <c r="G1385" s="12" t="str">
        <f t="shared" si="258"/>
        <v>a1b3c7d1e2f1g3</v>
      </c>
      <c r="H1385" s="12" t="str">
        <f t="shared" si="259"/>
        <v>PRETORIUSa1b3c7d1e2f1g3</v>
      </c>
      <c r="I1385" s="12"/>
      <c r="J1385" s="12" t="s">
        <v>9754</v>
      </c>
      <c r="K1385" s="12" t="str">
        <f t="shared" si="260"/>
        <v>1823</v>
      </c>
      <c r="L1385" s="12" t="s">
        <v>74</v>
      </c>
      <c r="M1385" s="12" t="s">
        <v>7081</v>
      </c>
      <c r="N1385" s="12" t="str">
        <f t="shared" si="265"/>
        <v>1823</v>
      </c>
      <c r="O1385" s="12" t="str">
        <f t="shared" si="266"/>
        <v>1823</v>
      </c>
      <c r="P1385" s="12" t="s">
        <v>9755</v>
      </c>
      <c r="Q1385" s="12" t="str">
        <f t="shared" si="261"/>
        <v>1823</v>
      </c>
      <c r="R1385" s="12" t="s">
        <v>9756</v>
      </c>
      <c r="S1385" s="12" t="str">
        <f t="shared" si="264"/>
        <v>1899</v>
      </c>
      <c r="T1385" s="12"/>
      <c r="U1385" s="12"/>
      <c r="V1385" s="12" t="str">
        <f t="shared" si="262"/>
        <v/>
      </c>
      <c r="W1385" s="12" t="s">
        <v>9757</v>
      </c>
      <c r="X1385" s="12" t="s">
        <v>9758</v>
      </c>
      <c r="Y1385" s="12"/>
      <c r="Z1385" s="12" t="s">
        <v>366</v>
      </c>
      <c r="AA1385" s="12" t="s">
        <v>9759</v>
      </c>
      <c r="AB1385" s="12"/>
      <c r="AC1385" s="12"/>
      <c r="AD1385" s="12" t="s">
        <v>140</v>
      </c>
      <c r="AE1385" s="12" t="s">
        <v>9760</v>
      </c>
      <c r="AF1385" s="12" t="s">
        <v>3725</v>
      </c>
      <c r="AG1385" s="12" t="s">
        <v>74</v>
      </c>
      <c r="AH1385" s="12" t="s">
        <v>9734</v>
      </c>
      <c r="AI1385" s="12" t="str">
        <f t="shared" si="263"/>
        <v>1844</v>
      </c>
      <c r="AJ1385" s="12"/>
      <c r="AK1385" s="12" t="s">
        <v>4679</v>
      </c>
      <c r="AL1385" s="12" t="s">
        <v>140</v>
      </c>
      <c r="AM1385" s="12" t="s">
        <v>9761</v>
      </c>
      <c r="AN1385" s="12" t="s">
        <v>4625</v>
      </c>
      <c r="AO1385" s="12" t="s">
        <v>698</v>
      </c>
      <c r="AP1385" s="12"/>
      <c r="AQ1385" s="12"/>
      <c r="AR1385" s="12"/>
      <c r="AS1385" s="12"/>
      <c r="AT1385" s="12"/>
      <c r="AU1385" s="12" t="s">
        <v>9763</v>
      </c>
      <c r="AV1385" s="12" t="s">
        <v>9762</v>
      </c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  <c r="BO1385" s="12"/>
      <c r="BP1385" s="12"/>
      <c r="BQ1385" s="12"/>
      <c r="BR1385" s="12"/>
      <c r="BS1385" s="12"/>
    </row>
    <row r="1386" spans="1:71">
      <c r="A1386" s="12" t="s">
        <v>669</v>
      </c>
      <c r="B1386" s="12" t="str">
        <f t="shared" si="256"/>
        <v>PRETORIUS</v>
      </c>
      <c r="C1386" s="12" t="str">
        <f t="shared" si="257"/>
        <v>PRETORIUS</v>
      </c>
      <c r="D1386" s="12" t="s">
        <v>9089</v>
      </c>
      <c r="E1386" s="12" t="str">
        <f t="shared" si="267"/>
        <v>Willem Lodewyk</v>
      </c>
      <c r="F1386" s="12" t="s">
        <v>9091</v>
      </c>
      <c r="G1386" s="12" t="str">
        <f t="shared" si="258"/>
        <v>a1b3c7d1e2f4</v>
      </c>
      <c r="H1386" s="12" t="str">
        <f t="shared" si="259"/>
        <v>PRETORIUSa1b3c7d1e2f4</v>
      </c>
      <c r="I1386" s="12"/>
      <c r="J1386" s="12" t="s">
        <v>10098</v>
      </c>
      <c r="K1386" s="12" t="str">
        <f t="shared" si="260"/>
        <v>1804</v>
      </c>
      <c r="L1386" s="12" t="s">
        <v>74</v>
      </c>
      <c r="M1386" s="12" t="s">
        <v>92</v>
      </c>
      <c r="N1386" s="12" t="str">
        <f t="shared" si="265"/>
        <v>1804</v>
      </c>
      <c r="O1386" s="12" t="str">
        <f t="shared" si="266"/>
        <v>1804</v>
      </c>
      <c r="P1386" s="12" t="s">
        <v>10099</v>
      </c>
      <c r="Q1386" s="12" t="str">
        <f t="shared" si="261"/>
        <v>1804</v>
      </c>
      <c r="R1386" s="12" t="s">
        <v>10100</v>
      </c>
      <c r="S1386" s="12" t="str">
        <f t="shared" si="264"/>
        <v>1879</v>
      </c>
      <c r="T1386" s="12" t="s">
        <v>74</v>
      </c>
      <c r="U1386" s="12" t="s">
        <v>4983</v>
      </c>
      <c r="V1386" s="12" t="str">
        <f t="shared" si="262"/>
        <v>1825</v>
      </c>
      <c r="W1386" s="12" t="s">
        <v>10101</v>
      </c>
      <c r="X1386" s="12" t="s">
        <v>631</v>
      </c>
      <c r="Y1386" s="12"/>
      <c r="Z1386" s="12"/>
      <c r="AA1386" s="12"/>
      <c r="AB1386" s="12"/>
      <c r="AC1386" s="12" t="s">
        <v>10102</v>
      </c>
      <c r="AD1386" s="12" t="s">
        <v>10099</v>
      </c>
      <c r="AE1386" s="12" t="s">
        <v>10103</v>
      </c>
      <c r="AF1386" s="12" t="s">
        <v>10104</v>
      </c>
      <c r="AG1386" s="12" t="s">
        <v>74</v>
      </c>
      <c r="AH1386" s="12" t="s">
        <v>10105</v>
      </c>
      <c r="AI1386" s="12" t="str">
        <f t="shared" si="263"/>
        <v>1838</v>
      </c>
      <c r="AJ1386" s="12"/>
      <c r="AK1386" s="12" t="s">
        <v>31</v>
      </c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  <c r="BO1386" s="12"/>
      <c r="BP1386" s="12"/>
      <c r="BQ1386" s="12"/>
      <c r="BR1386" s="12"/>
      <c r="BS1386" s="12"/>
    </row>
    <row r="1387" spans="1:71">
      <c r="A1387" s="12" t="s">
        <v>669</v>
      </c>
      <c r="B1387" s="12" t="str">
        <f t="shared" si="256"/>
        <v>PRETORIUS</v>
      </c>
      <c r="C1387" s="12" t="str">
        <f t="shared" si="257"/>
        <v>PRETORIUS</v>
      </c>
      <c r="D1387" s="12" t="s">
        <v>9077</v>
      </c>
      <c r="E1387" s="12" t="str">
        <f t="shared" si="267"/>
        <v xml:space="preserve">Sybrand Gerhardus </v>
      </c>
      <c r="F1387" s="12" t="s">
        <v>9078</v>
      </c>
      <c r="G1387" s="12" t="str">
        <f t="shared" si="258"/>
        <v>a1b3c7d1e2f6</v>
      </c>
      <c r="H1387" s="12" t="str">
        <f t="shared" si="259"/>
        <v>PRETORIUSa1b3c7d1e2f6</v>
      </c>
      <c r="I1387" s="12"/>
      <c r="J1387" s="12" t="s">
        <v>10022</v>
      </c>
      <c r="K1387" s="12" t="str">
        <f t="shared" si="260"/>
        <v>1806</v>
      </c>
      <c r="L1387" s="12" t="s">
        <v>74</v>
      </c>
      <c r="M1387" s="12" t="s">
        <v>1993</v>
      </c>
      <c r="N1387" s="12" t="str">
        <f t="shared" si="265"/>
        <v>1806</v>
      </c>
      <c r="O1387" s="12" t="str">
        <f t="shared" si="266"/>
        <v>1806</v>
      </c>
      <c r="P1387" s="12" t="s">
        <v>24</v>
      </c>
      <c r="Q1387" s="12" t="str">
        <f t="shared" si="261"/>
        <v>1806</v>
      </c>
      <c r="R1387" s="12" t="s">
        <v>10023</v>
      </c>
      <c r="S1387" s="12" t="str">
        <f t="shared" si="264"/>
        <v>1883</v>
      </c>
      <c r="T1387" s="12" t="s">
        <v>74</v>
      </c>
      <c r="U1387" s="12" t="s">
        <v>2135</v>
      </c>
      <c r="V1387" s="12" t="str">
        <f t="shared" si="262"/>
        <v>1828</v>
      </c>
      <c r="W1387" s="12" t="s">
        <v>10024</v>
      </c>
      <c r="X1387" s="12" t="s">
        <v>664</v>
      </c>
      <c r="Y1387" s="12"/>
      <c r="Z1387" s="12"/>
      <c r="AA1387" s="12" t="s">
        <v>10025</v>
      </c>
      <c r="AB1387" s="12"/>
      <c r="AC1387" s="12"/>
      <c r="AD1387" s="12" t="s">
        <v>24</v>
      </c>
      <c r="AE1387" s="12" t="s">
        <v>10026</v>
      </c>
      <c r="AF1387" s="12" t="s">
        <v>3698</v>
      </c>
      <c r="AG1387" s="12" t="s">
        <v>9694</v>
      </c>
      <c r="AH1387" s="12" t="s">
        <v>8310</v>
      </c>
      <c r="AI1387" s="12" t="str">
        <f t="shared" si="263"/>
        <v>1838</v>
      </c>
      <c r="AJ1387" s="12"/>
      <c r="AK1387" s="12" t="s">
        <v>24</v>
      </c>
      <c r="AL1387" s="12" t="s">
        <v>24</v>
      </c>
      <c r="AM1387" s="12" t="s">
        <v>10027</v>
      </c>
      <c r="AN1387" s="12" t="s">
        <v>1115</v>
      </c>
      <c r="AO1387" s="12" t="s">
        <v>725</v>
      </c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  <c r="BO1387" s="12"/>
      <c r="BP1387" s="12"/>
      <c r="BQ1387" s="12"/>
      <c r="BR1387" s="12"/>
      <c r="BS1387" s="12"/>
    </row>
    <row r="1388" spans="1:71">
      <c r="A1388" s="12" t="s">
        <v>669</v>
      </c>
      <c r="B1388" s="12" t="str">
        <f t="shared" si="256"/>
        <v>PRETORIUS</v>
      </c>
      <c r="C1388" s="12" t="str">
        <f t="shared" si="257"/>
        <v>PRETORIUS</v>
      </c>
      <c r="D1388" s="12" t="s">
        <v>237</v>
      </c>
      <c r="E1388" s="12" t="str">
        <f t="shared" si="267"/>
        <v>Johannes Andries</v>
      </c>
      <c r="F1388" s="12" t="s">
        <v>9036</v>
      </c>
      <c r="G1388" s="12" t="str">
        <f t="shared" si="258"/>
        <v>a1b3c7d1e6</v>
      </c>
      <c r="H1388" s="12" t="str">
        <f t="shared" si="259"/>
        <v>PRETORIUSa1b3c7d1e6</v>
      </c>
      <c r="J1388" s="12" t="s">
        <v>9798</v>
      </c>
      <c r="K1388" s="12" t="str">
        <f t="shared" si="260"/>
        <v>1783</v>
      </c>
      <c r="L1388" s="2" t="s">
        <v>542</v>
      </c>
      <c r="M1388" s="12" t="s">
        <v>9799</v>
      </c>
      <c r="N1388" s="12" t="str">
        <f t="shared" si="265"/>
        <v>1783</v>
      </c>
      <c r="O1388" s="12" t="str">
        <f t="shared" si="266"/>
        <v>1784</v>
      </c>
      <c r="P1388" s="2" t="s">
        <v>9800</v>
      </c>
      <c r="Q1388" s="12" t="str">
        <f t="shared" si="261"/>
        <v>1783</v>
      </c>
      <c r="R1388" s="2" t="s">
        <v>9801</v>
      </c>
      <c r="S1388" s="12" t="str">
        <f t="shared" si="264"/>
        <v>1856</v>
      </c>
      <c r="T1388" s="12" t="s">
        <v>48</v>
      </c>
      <c r="U1388" s="12" t="s">
        <v>9802</v>
      </c>
      <c r="V1388" s="12" t="str">
        <f t="shared" si="262"/>
        <v>1803</v>
      </c>
      <c r="W1388" s="12" t="s">
        <v>715</v>
      </c>
      <c r="X1388" s="12" t="s">
        <v>777</v>
      </c>
      <c r="AA1388" s="12" t="s">
        <v>9803</v>
      </c>
      <c r="AB1388" s="12"/>
      <c r="AC1388" s="12"/>
      <c r="AD1388" s="2" t="s">
        <v>9804</v>
      </c>
      <c r="AE1388" s="2" t="s">
        <v>9805</v>
      </c>
      <c r="AF1388" s="12" t="s">
        <v>9806</v>
      </c>
      <c r="AG1388" s="12" t="s">
        <v>74</v>
      </c>
      <c r="AH1388" s="12">
        <v>1837</v>
      </c>
      <c r="AI1388" s="12" t="str">
        <f t="shared" si="263"/>
        <v>1837</v>
      </c>
      <c r="AJ1388" s="12"/>
      <c r="AK1388" s="12"/>
      <c r="AL1388" s="12"/>
      <c r="AM1388" s="12"/>
      <c r="AN1388" s="12"/>
      <c r="AO1388" s="12"/>
      <c r="AP1388" s="12"/>
      <c r="AR1388" s="12"/>
    </row>
    <row r="1389" spans="1:71">
      <c r="A1389" s="12" t="s">
        <v>669</v>
      </c>
      <c r="B1389" s="12" t="str">
        <f t="shared" si="256"/>
        <v>PRETORIUS</v>
      </c>
      <c r="C1389" s="12" t="str">
        <f t="shared" si="257"/>
        <v>PRETORIUS</v>
      </c>
      <c r="D1389" s="12" t="s">
        <v>9040</v>
      </c>
      <c r="E1389" s="12" t="str">
        <f t="shared" si="267"/>
        <v>Johannes Jacobus Cornelis</v>
      </c>
      <c r="F1389" s="12" t="s">
        <v>9041</v>
      </c>
      <c r="G1389" s="12" t="str">
        <f t="shared" si="258"/>
        <v>a1b3c7d1e6f2</v>
      </c>
      <c r="H1389" s="12" t="str">
        <f t="shared" si="259"/>
        <v>PRETORIUSa1b3c7d1e6f2</v>
      </c>
      <c r="J1389" s="2" t="s">
        <v>9827</v>
      </c>
      <c r="K1389" s="12" t="str">
        <f t="shared" si="260"/>
        <v>1807</v>
      </c>
      <c r="L1389" s="12" t="s">
        <v>74</v>
      </c>
      <c r="M1389" s="12" t="s">
        <v>5087</v>
      </c>
      <c r="N1389" s="12" t="str">
        <f t="shared" si="265"/>
        <v>1807</v>
      </c>
      <c r="O1389" s="12" t="str">
        <f t="shared" si="266"/>
        <v>1807</v>
      </c>
      <c r="P1389" s="12" t="s">
        <v>9828</v>
      </c>
      <c r="Q1389" s="12" t="str">
        <f t="shared" si="261"/>
        <v>1807</v>
      </c>
      <c r="R1389" s="12" t="s">
        <v>337</v>
      </c>
      <c r="S1389" s="12" t="str">
        <f t="shared" si="264"/>
        <v>1889</v>
      </c>
      <c r="T1389" s="12"/>
      <c r="U1389" s="12"/>
      <c r="V1389" s="12" t="str">
        <f t="shared" si="262"/>
        <v/>
      </c>
      <c r="W1389" s="12" t="s">
        <v>9829</v>
      </c>
      <c r="X1389" s="12" t="s">
        <v>662</v>
      </c>
      <c r="Z1389" s="2" t="s">
        <v>74</v>
      </c>
      <c r="AA1389" s="2" t="s">
        <v>9830</v>
      </c>
      <c r="AC1389" s="12"/>
      <c r="AD1389" s="12" t="s">
        <v>9831</v>
      </c>
      <c r="AE1389" s="12" t="s">
        <v>9832</v>
      </c>
      <c r="AF1389" s="12" t="s">
        <v>9733</v>
      </c>
      <c r="AG1389" s="12" t="s">
        <v>74</v>
      </c>
      <c r="AH1389" s="12" t="s">
        <v>9833</v>
      </c>
      <c r="AI1389" s="12" t="str">
        <f t="shared" si="263"/>
        <v>1840</v>
      </c>
      <c r="AK1389" s="12" t="s">
        <v>90</v>
      </c>
    </row>
    <row r="1390" spans="1:71">
      <c r="A1390" s="12" t="s">
        <v>669</v>
      </c>
      <c r="B1390" s="12" t="str">
        <f t="shared" si="256"/>
        <v>PRETORIUS</v>
      </c>
      <c r="C1390" s="12" t="str">
        <f t="shared" si="257"/>
        <v>PRETORIUS</v>
      </c>
      <c r="D1390" s="12" t="s">
        <v>9087</v>
      </c>
      <c r="E1390" s="12" t="str">
        <f t="shared" si="267"/>
        <v>Willem Jurgen</v>
      </c>
      <c r="F1390" s="12" t="s">
        <v>9088</v>
      </c>
      <c r="G1390" s="12" t="str">
        <f t="shared" si="258"/>
        <v>a1b3c7d1e6f3</v>
      </c>
      <c r="H1390" s="12" t="str">
        <f t="shared" si="259"/>
        <v>PRETORIUSa1b3c7d1e6f3</v>
      </c>
      <c r="I1390" s="2" t="s">
        <v>74</v>
      </c>
      <c r="J1390" s="12" t="s">
        <v>10070</v>
      </c>
      <c r="K1390" s="12" t="str">
        <f t="shared" si="260"/>
        <v>1808</v>
      </c>
      <c r="L1390" s="12" t="s">
        <v>74</v>
      </c>
      <c r="M1390" s="12" t="s">
        <v>10071</v>
      </c>
      <c r="N1390" s="12" t="str">
        <f t="shared" si="265"/>
        <v>1808</v>
      </c>
      <c r="O1390" s="12" t="str">
        <f t="shared" si="266"/>
        <v>1808</v>
      </c>
      <c r="P1390" s="12" t="s">
        <v>10072</v>
      </c>
      <c r="Q1390" s="12" t="str">
        <f t="shared" si="261"/>
        <v>1808</v>
      </c>
      <c r="R1390" s="12" t="s">
        <v>10074</v>
      </c>
      <c r="S1390" s="12" t="str">
        <f t="shared" si="264"/>
        <v>1889</v>
      </c>
      <c r="T1390" s="2" t="s">
        <v>74</v>
      </c>
      <c r="U1390" s="2" t="s">
        <v>10075</v>
      </c>
      <c r="V1390" s="12" t="str">
        <f t="shared" si="262"/>
        <v>1828</v>
      </c>
      <c r="W1390" s="12" t="s">
        <v>2936</v>
      </c>
      <c r="X1390" s="12" t="s">
        <v>776</v>
      </c>
      <c r="Y1390" s="12" t="s">
        <v>10076</v>
      </c>
      <c r="AA1390" s="2" t="s">
        <v>10077</v>
      </c>
      <c r="AC1390" s="12" t="s">
        <v>10078</v>
      </c>
      <c r="AD1390" s="2" t="s">
        <v>1017</v>
      </c>
      <c r="AE1390" s="2" t="s">
        <v>10079</v>
      </c>
      <c r="AF1390" s="12" t="s">
        <v>9688</v>
      </c>
      <c r="AG1390" s="12" t="s">
        <v>74</v>
      </c>
      <c r="AH1390" s="12">
        <v>1837</v>
      </c>
      <c r="AI1390" s="12" t="str">
        <f t="shared" si="263"/>
        <v>1837</v>
      </c>
      <c r="AK1390" s="12" t="s">
        <v>10080</v>
      </c>
      <c r="AL1390" s="12" t="s">
        <v>5146</v>
      </c>
      <c r="AM1390" s="12" t="s">
        <v>10081</v>
      </c>
      <c r="AN1390" s="12" t="s">
        <v>10082</v>
      </c>
      <c r="AO1390" s="12" t="s">
        <v>633</v>
      </c>
      <c r="AP1390" s="12" t="s">
        <v>10083</v>
      </c>
      <c r="AR1390" s="2" t="s">
        <v>10084</v>
      </c>
      <c r="AT1390" s="12" t="s">
        <v>7091</v>
      </c>
      <c r="AU1390" s="12"/>
      <c r="AV1390" s="12" t="s">
        <v>10085</v>
      </c>
    </row>
    <row r="1391" spans="1:71">
      <c r="A1391" s="12" t="s">
        <v>669</v>
      </c>
      <c r="B1391" s="12" t="str">
        <f t="shared" si="256"/>
        <v>PRETORIUS</v>
      </c>
      <c r="C1391" s="12" t="str">
        <f t="shared" si="257"/>
        <v>PRETORIUS</v>
      </c>
      <c r="D1391" s="12" t="s">
        <v>9009</v>
      </c>
      <c r="E1391" s="12" t="str">
        <f t="shared" si="267"/>
        <v>Hendrik Christiaan</v>
      </c>
      <c r="F1391" s="12" t="s">
        <v>9010</v>
      </c>
      <c r="G1391" s="12" t="str">
        <f t="shared" si="258"/>
        <v>a1b3c7d1e6f4</v>
      </c>
      <c r="H1391" s="12" t="str">
        <f t="shared" si="259"/>
        <v>PRETORIUSa1b3c7d1e6f4</v>
      </c>
      <c r="I1391" s="2" t="s">
        <v>9689</v>
      </c>
      <c r="J1391" s="12" t="s">
        <v>9690</v>
      </c>
      <c r="K1391" s="12" t="str">
        <f t="shared" si="260"/>
        <v>1810</v>
      </c>
      <c r="L1391" s="12"/>
      <c r="M1391" s="12"/>
      <c r="N1391" s="12" t="str">
        <f t="shared" si="265"/>
        <v>1810</v>
      </c>
      <c r="O1391" s="12" t="str">
        <f t="shared" si="266"/>
        <v/>
      </c>
      <c r="P1391" s="12" t="s">
        <v>112</v>
      </c>
      <c r="Q1391" s="12" t="str">
        <f t="shared" si="261"/>
        <v>1810</v>
      </c>
      <c r="R1391" s="12" t="s">
        <v>9544</v>
      </c>
      <c r="S1391" s="12" t="str">
        <f t="shared" si="264"/>
        <v>1886</v>
      </c>
      <c r="T1391" s="12" t="s">
        <v>74</v>
      </c>
      <c r="U1391" s="12" t="s">
        <v>3846</v>
      </c>
      <c r="V1391" s="12" t="str">
        <f t="shared" si="262"/>
        <v>1835</v>
      </c>
      <c r="W1391" s="12" t="s">
        <v>9691</v>
      </c>
      <c r="X1391" s="12" t="s">
        <v>2136</v>
      </c>
      <c r="Y1391" s="2" t="s">
        <v>9692</v>
      </c>
      <c r="AA1391" s="12">
        <v>1819</v>
      </c>
      <c r="AB1391" s="12"/>
      <c r="AC1391" s="12"/>
      <c r="AD1391" s="12" t="s">
        <v>9693</v>
      </c>
      <c r="AE1391" s="12"/>
      <c r="AF1391" s="12" t="s">
        <v>3713</v>
      </c>
      <c r="AG1391" s="12" t="s">
        <v>9694</v>
      </c>
      <c r="AH1391" s="12" t="s">
        <v>9695</v>
      </c>
      <c r="AI1391" s="12" t="str">
        <f t="shared" si="263"/>
        <v>1841</v>
      </c>
      <c r="AJ1391" s="12"/>
      <c r="AK1391" s="2" t="s">
        <v>9696</v>
      </c>
      <c r="AL1391" s="12"/>
      <c r="AM1391" s="12"/>
      <c r="AN1391" s="12"/>
      <c r="AO1391" s="12"/>
    </row>
    <row r="1392" spans="1:71">
      <c r="A1392" s="12" t="s">
        <v>669</v>
      </c>
      <c r="B1392" s="12" t="str">
        <f t="shared" si="256"/>
        <v>PRETORIUS</v>
      </c>
      <c r="C1392" s="12" t="str">
        <f t="shared" si="257"/>
        <v>PRETORIUS</v>
      </c>
      <c r="D1392" s="12" t="s">
        <v>9030</v>
      </c>
      <c r="E1392" s="12" t="str">
        <f t="shared" si="267"/>
        <v>Jan Cornelis</v>
      </c>
      <c r="F1392" s="12" t="s">
        <v>9031</v>
      </c>
      <c r="G1392" s="12" t="str">
        <f t="shared" si="258"/>
        <v>a1b3c7d1e6f7</v>
      </c>
      <c r="H1392" s="12" t="str">
        <f t="shared" si="259"/>
        <v>PRETORIUSa1b3c7d1e6f7</v>
      </c>
      <c r="J1392" s="12" t="s">
        <v>9784</v>
      </c>
      <c r="K1392" s="12" t="str">
        <f t="shared" si="260"/>
        <v>1816</v>
      </c>
      <c r="L1392" s="12" t="s">
        <v>74</v>
      </c>
      <c r="M1392" s="12" t="s">
        <v>9785</v>
      </c>
      <c r="N1392" s="12" t="str">
        <f t="shared" si="265"/>
        <v>1816</v>
      </c>
      <c r="O1392" s="12" t="str">
        <f t="shared" si="266"/>
        <v>1816</v>
      </c>
      <c r="P1392" s="12" t="s">
        <v>8340</v>
      </c>
      <c r="Q1392" s="12" t="str">
        <f t="shared" si="261"/>
        <v>1816</v>
      </c>
      <c r="R1392" s="12" t="s">
        <v>72</v>
      </c>
      <c r="S1392" s="12" t="str">
        <f t="shared" si="264"/>
        <v>1838</v>
      </c>
      <c r="T1392" s="12"/>
      <c r="U1392" s="12"/>
      <c r="V1392" s="12" t="str">
        <f t="shared" si="262"/>
        <v/>
      </c>
      <c r="W1392" s="12"/>
      <c r="X1392" s="12"/>
      <c r="AA1392" s="12"/>
      <c r="AF1392" s="12" t="s">
        <v>9688</v>
      </c>
      <c r="AG1392" s="12" t="s">
        <v>74</v>
      </c>
      <c r="AH1392" s="12" t="s">
        <v>5431</v>
      </c>
      <c r="AJ1392" s="2" t="s">
        <v>7364</v>
      </c>
      <c r="AK1392" s="12"/>
      <c r="AL1392" s="12"/>
      <c r="AM1392" s="12"/>
      <c r="AN1392" s="12"/>
      <c r="AO1392" s="12"/>
      <c r="AR1392" s="12"/>
      <c r="AU1392" s="12"/>
      <c r="AV1392" s="12"/>
    </row>
    <row r="1393" spans="1:59">
      <c r="A1393" s="12" t="s">
        <v>669</v>
      </c>
      <c r="B1393" s="12" t="str">
        <f t="shared" si="256"/>
        <v>PRETORIUS</v>
      </c>
      <c r="C1393" s="12" t="str">
        <f t="shared" si="257"/>
        <v>PRETORIUS</v>
      </c>
      <c r="D1393" s="12" t="s">
        <v>8181</v>
      </c>
      <c r="E1393" s="12" t="str">
        <f t="shared" si="267"/>
        <v>Izaak Johannes</v>
      </c>
      <c r="F1393" s="12" t="s">
        <v>9025</v>
      </c>
      <c r="G1393" s="12" t="str">
        <f t="shared" si="258"/>
        <v>a1b3c7d1e6f8</v>
      </c>
      <c r="H1393" s="12" t="str">
        <f t="shared" si="259"/>
        <v>PRETORIUSa1b3c7d1e6f8</v>
      </c>
      <c r="J1393" s="12" t="s">
        <v>9764</v>
      </c>
      <c r="K1393" s="12" t="str">
        <f t="shared" si="260"/>
        <v>1817</v>
      </c>
      <c r="L1393" s="12" t="s">
        <v>74</v>
      </c>
      <c r="M1393" s="12" t="s">
        <v>9765</v>
      </c>
      <c r="N1393" s="12" t="str">
        <f t="shared" si="265"/>
        <v>1817</v>
      </c>
      <c r="O1393" s="12" t="str">
        <f t="shared" si="266"/>
        <v>1818</v>
      </c>
      <c r="P1393" s="2" t="s">
        <v>9766</v>
      </c>
      <c r="Q1393" s="12" t="str">
        <f t="shared" si="261"/>
        <v>1817</v>
      </c>
      <c r="R1393" s="2" t="s">
        <v>1691</v>
      </c>
      <c r="S1393" s="12" t="str">
        <f t="shared" si="264"/>
        <v>1897</v>
      </c>
      <c r="T1393" s="12" t="s">
        <v>60</v>
      </c>
      <c r="U1393" s="12" t="s">
        <v>4118</v>
      </c>
      <c r="V1393" s="12" t="str">
        <f t="shared" si="262"/>
        <v>1837</v>
      </c>
      <c r="W1393" s="12" t="s">
        <v>9767</v>
      </c>
      <c r="X1393" s="12" t="s">
        <v>2136</v>
      </c>
      <c r="AD1393" s="12"/>
      <c r="AE1393" s="12"/>
      <c r="AF1393" s="12" t="s">
        <v>9688</v>
      </c>
      <c r="AG1393" s="12" t="s">
        <v>74</v>
      </c>
      <c r="AH1393" s="12" t="s">
        <v>8149</v>
      </c>
      <c r="AI1393" s="12" t="str">
        <f t="shared" si="263"/>
        <v>1837</v>
      </c>
      <c r="AJ1393" s="2" t="s">
        <v>9768</v>
      </c>
      <c r="AK1393" s="12"/>
      <c r="AN1393" s="2" t="s">
        <v>7314</v>
      </c>
      <c r="AO1393" s="2" t="s">
        <v>1985</v>
      </c>
    </row>
    <row r="1394" spans="1:59">
      <c r="A1394" s="12" t="s">
        <v>669</v>
      </c>
      <c r="B1394" s="12" t="str">
        <f t="shared" si="256"/>
        <v>PRETORIUS</v>
      </c>
      <c r="C1394" s="12" t="str">
        <f t="shared" si="257"/>
        <v>PRETORIUS</v>
      </c>
      <c r="D1394" s="12" t="s">
        <v>9007</v>
      </c>
      <c r="E1394" s="12" t="str">
        <f t="shared" si="267"/>
        <v>Gysbert Johannes Andries</v>
      </c>
      <c r="F1394" s="2" t="s">
        <v>9008</v>
      </c>
      <c r="G1394" s="12" t="str">
        <f t="shared" si="258"/>
        <v>a1b3c7d1e6f9</v>
      </c>
      <c r="H1394" s="12" t="str">
        <f t="shared" si="259"/>
        <v>PRETORIUSa1b3c7d1e6f9</v>
      </c>
      <c r="I1394" s="12"/>
      <c r="J1394" s="12" t="s">
        <v>3539</v>
      </c>
      <c r="K1394" s="12" t="str">
        <f t="shared" si="260"/>
        <v>1820</v>
      </c>
      <c r="L1394" s="2" t="s">
        <v>74</v>
      </c>
      <c r="M1394" s="2" t="s">
        <v>9681</v>
      </c>
      <c r="N1394" s="12" t="str">
        <f t="shared" si="265"/>
        <v>1820</v>
      </c>
      <c r="O1394" s="12" t="str">
        <f t="shared" si="266"/>
        <v>1820</v>
      </c>
      <c r="P1394" s="12" t="s">
        <v>9682</v>
      </c>
      <c r="Q1394" s="12" t="str">
        <f t="shared" si="261"/>
        <v>1820</v>
      </c>
      <c r="R1394" s="12" t="s">
        <v>9683</v>
      </c>
      <c r="S1394" s="12" t="str">
        <f t="shared" si="264"/>
        <v>1875</v>
      </c>
      <c r="T1394" s="12"/>
      <c r="U1394" s="12" t="s">
        <v>9684</v>
      </c>
      <c r="V1394" s="12" t="str">
        <f t="shared" si="262"/>
        <v>1843</v>
      </c>
      <c r="W1394" s="12" t="s">
        <v>9685</v>
      </c>
      <c r="X1394" s="12" t="s">
        <v>822</v>
      </c>
      <c r="AA1394" s="2" t="s">
        <v>855</v>
      </c>
      <c r="AD1394" s="2" t="s">
        <v>9686</v>
      </c>
      <c r="AE1394" s="12" t="s">
        <v>9687</v>
      </c>
      <c r="AF1394" s="12" t="s">
        <v>9688</v>
      </c>
      <c r="AG1394" s="12" t="s">
        <v>74</v>
      </c>
      <c r="AH1394" s="2" t="s">
        <v>5431</v>
      </c>
      <c r="AI1394" s="12" t="str">
        <f t="shared" si="263"/>
        <v xml:space="preserve"> (?)</v>
      </c>
      <c r="AJ1394" s="12" t="s">
        <v>7338</v>
      </c>
      <c r="AK1394" s="2" t="s">
        <v>140</v>
      </c>
    </row>
    <row r="1395" spans="1:59">
      <c r="A1395" s="12" t="s">
        <v>669</v>
      </c>
      <c r="B1395" s="12" t="str">
        <f t="shared" si="256"/>
        <v>PRETORIUS</v>
      </c>
      <c r="C1395" s="12" t="str">
        <f t="shared" si="257"/>
        <v>PRETORIUS</v>
      </c>
      <c r="D1395" s="12" t="s">
        <v>9072</v>
      </c>
      <c r="E1395" s="12" t="str">
        <f t="shared" si="267"/>
        <v>Petrus Gerhardus ( Swart Piet)</v>
      </c>
      <c r="F1395" s="12" t="s">
        <v>9073</v>
      </c>
      <c r="G1395" s="12" t="str">
        <f t="shared" si="258"/>
        <v>a1b3c9d7</v>
      </c>
      <c r="H1395" s="12" t="str">
        <f t="shared" si="259"/>
        <v>PRETORIUSa1b3c9d7</v>
      </c>
      <c r="J1395" s="12"/>
      <c r="K1395" s="12" t="str">
        <f t="shared" si="260"/>
        <v/>
      </c>
      <c r="L1395" s="2" t="s">
        <v>542</v>
      </c>
      <c r="M1395" s="12" t="s">
        <v>9984</v>
      </c>
      <c r="N1395" s="12" t="str">
        <f t="shared" si="265"/>
        <v/>
      </c>
      <c r="O1395" s="12" t="str">
        <f t="shared" si="266"/>
        <v>1772</v>
      </c>
      <c r="P1395" s="12" t="s">
        <v>9985</v>
      </c>
      <c r="Q1395" s="12" t="str">
        <f t="shared" si="261"/>
        <v>1772</v>
      </c>
      <c r="R1395" s="12" t="s">
        <v>9986</v>
      </c>
      <c r="S1395" s="12" t="str">
        <f t="shared" si="264"/>
        <v>1860</v>
      </c>
      <c r="T1395" s="12" t="s">
        <v>542</v>
      </c>
      <c r="U1395" s="12" t="s">
        <v>9987</v>
      </c>
      <c r="V1395" s="12" t="str">
        <f t="shared" si="262"/>
        <v>1801</v>
      </c>
      <c r="W1395" s="12" t="s">
        <v>9988</v>
      </c>
      <c r="X1395" s="12" t="s">
        <v>1299</v>
      </c>
      <c r="Z1395" s="2" t="s">
        <v>9989</v>
      </c>
      <c r="AC1395" s="12" t="s">
        <v>9990</v>
      </c>
      <c r="AD1395" s="2" t="s">
        <v>9991</v>
      </c>
      <c r="AE1395" s="12" t="s">
        <v>9992</v>
      </c>
      <c r="AF1395" s="12" t="s">
        <v>9906</v>
      </c>
      <c r="AG1395" s="12" t="s">
        <v>74</v>
      </c>
      <c r="AH1395" s="12" t="s">
        <v>9977</v>
      </c>
      <c r="AI1395" s="12" t="str">
        <f t="shared" si="263"/>
        <v>1838</v>
      </c>
      <c r="AJ1395" s="12" t="s">
        <v>9957</v>
      </c>
      <c r="AK1395" s="12" t="s">
        <v>9993</v>
      </c>
    </row>
    <row r="1396" spans="1:59">
      <c r="A1396" s="12" t="s">
        <v>669</v>
      </c>
      <c r="B1396" s="12" t="str">
        <f t="shared" ref="B1396:B1459" si="268">SUBSTITUTE(A1396," ","")</f>
        <v>PRETORIUS</v>
      </c>
      <c r="C1396" s="12" t="str">
        <f t="shared" ref="C1396:C1459" si="269">TRIM(A1396)</f>
        <v>PRETORIUS</v>
      </c>
      <c r="D1396" s="12" t="s">
        <v>1671</v>
      </c>
      <c r="E1396" s="12" t="str">
        <f t="shared" si="267"/>
        <v>Willem Sterrenberg</v>
      </c>
      <c r="F1396" s="12" t="s">
        <v>9092</v>
      </c>
      <c r="G1396" s="12" t="str">
        <f t="shared" ref="G1396:G1459" si="270">IF(LEFT(F1396,1)="b","a1"&amp;F1396,F1396)</f>
        <v>a1b3c9d7e1</v>
      </c>
      <c r="H1396" s="12" t="str">
        <f t="shared" ref="H1396:H1459" si="271">C1396&amp;G1396</f>
        <v>PRETORIUSa1b3c9d7e1</v>
      </c>
      <c r="I1396" s="2" t="s">
        <v>10106</v>
      </c>
      <c r="J1396" s="2" t="s">
        <v>10107</v>
      </c>
      <c r="K1396" s="12" t="str">
        <f t="shared" ref="K1396:K1459" si="272">RIGHT(J1396,4)</f>
        <v>1802</v>
      </c>
      <c r="L1396" s="2" t="s">
        <v>542</v>
      </c>
      <c r="M1396" s="2" t="s">
        <v>10108</v>
      </c>
      <c r="N1396" s="12" t="str">
        <f t="shared" si="265"/>
        <v>1802</v>
      </c>
      <c r="O1396" s="12" t="str">
        <f t="shared" si="266"/>
        <v>1802</v>
      </c>
      <c r="P1396" s="12" t="s">
        <v>5354</v>
      </c>
      <c r="Q1396" s="12" t="str">
        <f t="shared" ref="Q1396:Q1459" si="273">IF(N1396="",O1396,N1396)</f>
        <v>1802</v>
      </c>
      <c r="R1396" s="2" t="s">
        <v>9596</v>
      </c>
      <c r="S1396" s="12" t="str">
        <f t="shared" ref="S1396:S1459" si="274">RIGHT(R1396,4)</f>
        <v>1878</v>
      </c>
      <c r="T1396" s="12" t="s">
        <v>74</v>
      </c>
      <c r="U1396" s="12" t="s">
        <v>10109</v>
      </c>
      <c r="V1396" s="12" t="str">
        <f t="shared" ref="V1396:V1459" si="275">RIGHT(U1396,4)</f>
        <v>1821</v>
      </c>
      <c r="W1396" s="12" t="s">
        <v>10110</v>
      </c>
      <c r="X1396" s="12" t="s">
        <v>8783</v>
      </c>
      <c r="Y1396" s="2" t="s">
        <v>10111</v>
      </c>
      <c r="AC1396" s="2" t="s">
        <v>9744</v>
      </c>
      <c r="AD1396" s="12"/>
      <c r="AE1396" s="12"/>
      <c r="AF1396" s="12" t="s">
        <v>7704</v>
      </c>
      <c r="AG1396" s="12" t="s">
        <v>74</v>
      </c>
      <c r="AH1396" s="12" t="s">
        <v>9977</v>
      </c>
      <c r="AI1396" s="12" t="str">
        <f t="shared" ref="AI1396:AI1459" si="276">RIGHT(AH1396,4)</f>
        <v>1838</v>
      </c>
      <c r="AJ1396" s="12" t="s">
        <v>9957</v>
      </c>
      <c r="AK1396" s="2" t="s">
        <v>10112</v>
      </c>
      <c r="AN1396" s="2" t="s">
        <v>9408</v>
      </c>
      <c r="AO1396" s="2" t="s">
        <v>1151</v>
      </c>
      <c r="AT1396" s="2" t="s">
        <v>10113</v>
      </c>
      <c r="AU1396" s="2" t="s">
        <v>10114</v>
      </c>
      <c r="AV1396" s="2" t="s">
        <v>10115</v>
      </c>
      <c r="AW1396" s="2" t="s">
        <v>31</v>
      </c>
      <c r="AX1396" s="2" t="s">
        <v>10116</v>
      </c>
      <c r="AY1396" s="2" t="s">
        <v>2324</v>
      </c>
      <c r="AZ1396" s="2" t="s">
        <v>2306</v>
      </c>
      <c r="BB1396" s="2" t="s">
        <v>10117</v>
      </c>
      <c r="BC1396" s="2" t="s">
        <v>74</v>
      </c>
      <c r="BD1396" s="2" t="s">
        <v>10118</v>
      </c>
    </row>
    <row r="1397" spans="1:59">
      <c r="A1397" s="12" t="s">
        <v>669</v>
      </c>
      <c r="B1397" s="12" t="str">
        <f t="shared" si="268"/>
        <v>PRETORIUS</v>
      </c>
      <c r="C1397" s="12" t="str">
        <f t="shared" si="269"/>
        <v>PRETORIUS</v>
      </c>
      <c r="D1397" s="12" t="s">
        <v>521</v>
      </c>
      <c r="E1397" s="12" t="str">
        <f t="shared" si="267"/>
        <v>Petrus Gerhardus</v>
      </c>
      <c r="F1397" s="12" t="s">
        <v>9074</v>
      </c>
      <c r="G1397" s="12" t="str">
        <f t="shared" si="270"/>
        <v>a1b3c9d7e1f2</v>
      </c>
      <c r="H1397" s="12" t="str">
        <f t="shared" si="271"/>
        <v>PRETORIUSa1b3c9d7e1f2</v>
      </c>
      <c r="I1397" s="12"/>
      <c r="J1397" s="12" t="s">
        <v>9994</v>
      </c>
      <c r="K1397" s="12" t="str">
        <f t="shared" si="272"/>
        <v>1823</v>
      </c>
      <c r="L1397" s="12" t="s">
        <v>74</v>
      </c>
      <c r="M1397" s="12" t="s">
        <v>9995</v>
      </c>
      <c r="N1397" s="12" t="str">
        <f t="shared" si="265"/>
        <v>1823</v>
      </c>
      <c r="O1397" s="12" t="str">
        <f t="shared" si="266"/>
        <v>1824</v>
      </c>
      <c r="P1397" s="12" t="s">
        <v>9996</v>
      </c>
      <c r="Q1397" s="12" t="str">
        <f t="shared" si="273"/>
        <v>1823</v>
      </c>
      <c r="R1397" s="12" t="s">
        <v>9997</v>
      </c>
      <c r="S1397" s="12" t="str">
        <f t="shared" si="274"/>
        <v>1895</v>
      </c>
      <c r="T1397" s="12"/>
      <c r="U1397" s="12"/>
      <c r="V1397" s="12" t="str">
        <f t="shared" si="275"/>
        <v/>
      </c>
      <c r="W1397" s="12" t="s">
        <v>8669</v>
      </c>
      <c r="X1397" s="12" t="s">
        <v>700</v>
      </c>
      <c r="Y1397" s="12"/>
      <c r="Z1397" s="12"/>
      <c r="AA1397" s="12"/>
      <c r="AB1397" s="12"/>
      <c r="AC1397" s="12"/>
      <c r="AD1397" s="12" t="s">
        <v>9996</v>
      </c>
      <c r="AE1397" s="12" t="s">
        <v>9292</v>
      </c>
      <c r="AF1397" s="12" t="s">
        <v>9998</v>
      </c>
      <c r="AG1397" s="12" t="s">
        <v>74</v>
      </c>
      <c r="AH1397" s="12" t="s">
        <v>9941</v>
      </c>
      <c r="AI1397" s="12" t="str">
        <f t="shared" si="276"/>
        <v>1838</v>
      </c>
      <c r="AJ1397" s="12" t="s">
        <v>9957</v>
      </c>
      <c r="AK1397" s="12" t="s">
        <v>9996</v>
      </c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</row>
    <row r="1398" spans="1:59">
      <c r="A1398" s="12" t="s">
        <v>669</v>
      </c>
      <c r="B1398" s="12" t="str">
        <f t="shared" si="268"/>
        <v>PRETORIUS</v>
      </c>
      <c r="C1398" s="12" t="str">
        <f t="shared" si="269"/>
        <v>PRETORIUS</v>
      </c>
      <c r="D1398" s="12" t="s">
        <v>521</v>
      </c>
      <c r="E1398" s="12" t="str">
        <f t="shared" si="267"/>
        <v>Petrus Gerhardus</v>
      </c>
      <c r="F1398" s="12" t="s">
        <v>9075</v>
      </c>
      <c r="G1398" s="12" t="str">
        <f t="shared" si="270"/>
        <v>a1b3c9d7e3</v>
      </c>
      <c r="H1398" s="12" t="str">
        <f t="shared" si="271"/>
        <v>PRETORIUSa1b3c9d7e3</v>
      </c>
      <c r="I1398" s="12"/>
      <c r="J1398" s="12" t="s">
        <v>9999</v>
      </c>
      <c r="K1398" s="12" t="str">
        <f t="shared" si="272"/>
        <v>1807</v>
      </c>
      <c r="L1398" s="12" t="s">
        <v>74</v>
      </c>
      <c r="M1398" s="12" t="s">
        <v>322</v>
      </c>
      <c r="N1398" s="12" t="str">
        <f t="shared" si="265"/>
        <v>1807</v>
      </c>
      <c r="O1398" s="12" t="str">
        <f t="shared" si="266"/>
        <v>1808</v>
      </c>
      <c r="P1398" s="12" t="s">
        <v>10000</v>
      </c>
      <c r="Q1398" s="12" t="str">
        <f t="shared" si="273"/>
        <v>1807</v>
      </c>
      <c r="R1398" s="12" t="s">
        <v>10001</v>
      </c>
      <c r="S1398" s="12" t="str">
        <f t="shared" si="274"/>
        <v>1874</v>
      </c>
      <c r="T1398" s="12" t="s">
        <v>74</v>
      </c>
      <c r="U1398" s="12" t="s">
        <v>3243</v>
      </c>
      <c r="V1398" s="12" t="str">
        <f t="shared" si="275"/>
        <v>1829</v>
      </c>
      <c r="W1398" s="12" t="s">
        <v>10002</v>
      </c>
      <c r="X1398" s="12" t="s">
        <v>2073</v>
      </c>
      <c r="Y1398" s="2" t="s">
        <v>10003</v>
      </c>
      <c r="Z1398" s="12"/>
      <c r="AA1398" s="12"/>
      <c r="AC1398" s="2" t="s">
        <v>10004</v>
      </c>
      <c r="AD1398" s="12" t="s">
        <v>10005</v>
      </c>
      <c r="AE1398" s="12" t="s">
        <v>10006</v>
      </c>
      <c r="AF1398" s="2" t="s">
        <v>7704</v>
      </c>
      <c r="AG1398" s="12" t="s">
        <v>74</v>
      </c>
      <c r="AH1398" s="12" t="s">
        <v>9977</v>
      </c>
      <c r="AI1398" s="12" t="str">
        <f t="shared" si="276"/>
        <v>1838</v>
      </c>
      <c r="AJ1398" s="2" t="s">
        <v>9957</v>
      </c>
      <c r="AK1398" s="12" t="s">
        <v>1017</v>
      </c>
      <c r="AL1398" s="2" t="s">
        <v>140</v>
      </c>
      <c r="AM1398" s="2" t="s">
        <v>10007</v>
      </c>
      <c r="AN1398" s="2" t="s">
        <v>10008</v>
      </c>
      <c r="AO1398" s="2" t="s">
        <v>640</v>
      </c>
      <c r="AR1398" s="2">
        <v>1833</v>
      </c>
      <c r="AU1398" s="2" t="s">
        <v>10009</v>
      </c>
      <c r="AV1398" s="2" t="s">
        <v>10010</v>
      </c>
    </row>
    <row r="1399" spans="1:59">
      <c r="A1399" s="12" t="s">
        <v>669</v>
      </c>
      <c r="B1399" s="12" t="str">
        <f t="shared" si="268"/>
        <v>PRETORIUS</v>
      </c>
      <c r="C1399" s="12" t="str">
        <f t="shared" si="269"/>
        <v>PRETORIUS</v>
      </c>
      <c r="D1399" s="12" t="s">
        <v>3841</v>
      </c>
      <c r="E1399" s="12" t="str">
        <f t="shared" si="267"/>
        <v>Daniel Petrus</v>
      </c>
      <c r="F1399" s="12" t="s">
        <v>8995</v>
      </c>
      <c r="G1399" s="12" t="str">
        <f t="shared" si="270"/>
        <v>a1b3cc7d4e8</v>
      </c>
      <c r="H1399" s="12" t="str">
        <f t="shared" si="271"/>
        <v>PRETORIUSa1b3cc7d4e8</v>
      </c>
      <c r="J1399" s="12"/>
      <c r="K1399" s="12" t="str">
        <f t="shared" si="272"/>
        <v/>
      </c>
      <c r="L1399" s="12" t="s">
        <v>48</v>
      </c>
      <c r="M1399" s="12" t="s">
        <v>9626</v>
      </c>
      <c r="N1399" s="12" t="str">
        <f t="shared" si="265"/>
        <v/>
      </c>
      <c r="O1399" s="12" t="str">
        <f t="shared" si="266"/>
        <v>1803</v>
      </c>
      <c r="P1399" s="12" t="s">
        <v>31</v>
      </c>
      <c r="Q1399" s="12" t="str">
        <f t="shared" si="273"/>
        <v>1803</v>
      </c>
      <c r="R1399" s="12" t="s">
        <v>9627</v>
      </c>
      <c r="S1399" s="12" t="str">
        <f t="shared" si="274"/>
        <v>1878</v>
      </c>
      <c r="T1399" s="12" t="s">
        <v>74</v>
      </c>
      <c r="U1399" s="12" t="s">
        <v>1275</v>
      </c>
      <c r="V1399" s="12" t="str">
        <f t="shared" si="275"/>
        <v>1837</v>
      </c>
      <c r="W1399" s="12" t="s">
        <v>9628</v>
      </c>
      <c r="X1399" s="12" t="s">
        <v>700</v>
      </c>
      <c r="AA1399" s="12"/>
      <c r="AD1399" s="12"/>
      <c r="AE1399" s="12"/>
      <c r="AF1399" s="12"/>
      <c r="AG1399" s="12" t="s">
        <v>74</v>
      </c>
      <c r="AH1399" s="12" t="s">
        <v>5445</v>
      </c>
      <c r="AI1399" s="12" t="str">
        <f t="shared" si="276"/>
        <v>1839</v>
      </c>
      <c r="AJ1399" s="12"/>
      <c r="AK1399" s="12" t="s">
        <v>31</v>
      </c>
      <c r="AL1399" s="12"/>
      <c r="AM1399" s="12"/>
      <c r="AN1399" s="12" t="s">
        <v>9629</v>
      </c>
      <c r="AO1399" s="12" t="s">
        <v>669</v>
      </c>
      <c r="AP1399" s="2" t="s">
        <v>9630</v>
      </c>
      <c r="AR1399" s="12" t="s">
        <v>9631</v>
      </c>
      <c r="AU1399" s="2" t="s">
        <v>31</v>
      </c>
      <c r="AV1399" s="2" t="s">
        <v>9632</v>
      </c>
    </row>
    <row r="1400" spans="1:59">
      <c r="A1400" s="12" t="s">
        <v>669</v>
      </c>
      <c r="B1400" s="12" t="str">
        <f t="shared" si="268"/>
        <v>PRETORIUS</v>
      </c>
      <c r="C1400" s="12" t="str">
        <f t="shared" si="269"/>
        <v>PRETORIUS</v>
      </c>
      <c r="D1400" s="12" t="s">
        <v>9013</v>
      </c>
      <c r="E1400" s="12" t="str">
        <f t="shared" si="267"/>
        <v>Hendrik Stephanus Sr.</v>
      </c>
      <c r="F1400" s="12" t="s">
        <v>9014</v>
      </c>
      <c r="G1400" s="12" t="str">
        <f t="shared" si="270"/>
        <v>a1b5c3d5e10</v>
      </c>
      <c r="H1400" s="12" t="str">
        <f t="shared" si="271"/>
        <v>PRETORIUSa1b5c3d5e10</v>
      </c>
      <c r="I1400" s="12"/>
      <c r="J1400" s="12" t="s">
        <v>9710</v>
      </c>
      <c r="K1400" s="12" t="str">
        <f t="shared" si="272"/>
        <v>1792</v>
      </c>
      <c r="L1400" s="12" t="s">
        <v>74</v>
      </c>
      <c r="M1400" s="12" t="s">
        <v>9711</v>
      </c>
      <c r="N1400" s="12" t="str">
        <f t="shared" si="265"/>
        <v>1792</v>
      </c>
      <c r="O1400" s="12" t="str">
        <f t="shared" si="266"/>
        <v>1793</v>
      </c>
      <c r="P1400" s="12" t="s">
        <v>9569</v>
      </c>
      <c r="Q1400" s="12" t="str">
        <f t="shared" si="273"/>
        <v>1792</v>
      </c>
      <c r="R1400" s="12" t="s">
        <v>9712</v>
      </c>
      <c r="S1400" s="12" t="str">
        <f t="shared" si="274"/>
        <v>1873</v>
      </c>
      <c r="T1400" s="12" t="s">
        <v>74</v>
      </c>
      <c r="U1400" s="12" t="s">
        <v>9713</v>
      </c>
      <c r="V1400" s="12" t="str">
        <f t="shared" si="275"/>
        <v>1813</v>
      </c>
      <c r="W1400" s="12" t="s">
        <v>753</v>
      </c>
      <c r="X1400" s="12" t="s">
        <v>784</v>
      </c>
      <c r="Y1400" s="2" t="s">
        <v>9714</v>
      </c>
      <c r="AC1400" s="12" t="s">
        <v>252</v>
      </c>
      <c r="AD1400" s="2" t="s">
        <v>9715</v>
      </c>
      <c r="AE1400" s="2" t="s">
        <v>9716</v>
      </c>
      <c r="AF1400" s="12" t="s">
        <v>9717</v>
      </c>
      <c r="AG1400" s="12"/>
      <c r="AH1400" s="12" t="s">
        <v>2489</v>
      </c>
      <c r="AI1400" s="12" t="str">
        <f t="shared" si="276"/>
        <v>1841</v>
      </c>
      <c r="AK1400" s="12" t="s">
        <v>4954</v>
      </c>
    </row>
    <row r="1401" spans="1:59">
      <c r="A1401" s="12" t="s">
        <v>669</v>
      </c>
      <c r="B1401" s="12" t="str">
        <f t="shared" si="268"/>
        <v>PRETORIUS</v>
      </c>
      <c r="C1401" s="12" t="str">
        <f t="shared" si="269"/>
        <v>PRETORIUS</v>
      </c>
      <c r="D1401" s="12" t="s">
        <v>3760</v>
      </c>
      <c r="E1401" s="12" t="str">
        <f t="shared" si="267"/>
        <v>Johannes Lodewicus</v>
      </c>
      <c r="F1401" s="12" t="s">
        <v>2203</v>
      </c>
      <c r="G1401" s="12" t="str">
        <f t="shared" si="270"/>
        <v>a1b5c3d5e10f1</v>
      </c>
      <c r="H1401" s="12" t="str">
        <f t="shared" si="271"/>
        <v>PRETORIUSa1b5c3d5e10f1</v>
      </c>
      <c r="J1401" s="12" t="s">
        <v>7937</v>
      </c>
      <c r="K1401" s="12" t="str">
        <f t="shared" si="272"/>
        <v>1814</v>
      </c>
      <c r="L1401" s="12" t="s">
        <v>74</v>
      </c>
      <c r="M1401" s="12" t="s">
        <v>365</v>
      </c>
      <c r="N1401" s="12" t="str">
        <f t="shared" si="265"/>
        <v>1814</v>
      </c>
      <c r="O1401" s="12" t="str">
        <f t="shared" si="266"/>
        <v>1814</v>
      </c>
      <c r="P1401" s="12" t="s">
        <v>9834</v>
      </c>
      <c r="Q1401" s="12" t="str">
        <f t="shared" si="273"/>
        <v>1814</v>
      </c>
      <c r="R1401" s="12" t="s">
        <v>9835</v>
      </c>
      <c r="S1401" s="12" t="str">
        <f t="shared" si="274"/>
        <v>1875</v>
      </c>
      <c r="T1401" s="12" t="s">
        <v>28</v>
      </c>
      <c r="U1401" s="12" t="s">
        <v>3519</v>
      </c>
      <c r="V1401" s="12" t="str">
        <f t="shared" si="275"/>
        <v>1831</v>
      </c>
      <c r="W1401" s="12" t="s">
        <v>9836</v>
      </c>
      <c r="X1401" s="12" t="s">
        <v>9837</v>
      </c>
      <c r="Y1401" s="2" t="s">
        <v>9838</v>
      </c>
      <c r="AF1401" s="2" t="s">
        <v>16</v>
      </c>
      <c r="AG1401" s="12" t="s">
        <v>68</v>
      </c>
      <c r="AH1401" s="12" t="s">
        <v>9839</v>
      </c>
      <c r="AI1401" s="12" t="str">
        <f t="shared" si="276"/>
        <v>1838</v>
      </c>
      <c r="AK1401" s="12" t="s">
        <v>120</v>
      </c>
      <c r="AL1401" s="12" t="s">
        <v>140</v>
      </c>
      <c r="AM1401" s="12" t="s">
        <v>9840</v>
      </c>
      <c r="AN1401" s="12" t="s">
        <v>764</v>
      </c>
      <c r="AO1401" s="12" t="s">
        <v>695</v>
      </c>
      <c r="AQ1401" s="12"/>
      <c r="AR1401" s="12">
        <v>1813</v>
      </c>
      <c r="AS1401" s="12"/>
      <c r="AT1401" s="12"/>
      <c r="AU1401" s="12"/>
      <c r="AV1401" s="12"/>
      <c r="AW1401" s="2" t="s">
        <v>1864</v>
      </c>
      <c r="AX1401" s="2" t="s">
        <v>9841</v>
      </c>
      <c r="AY1401" s="2" t="s">
        <v>7163</v>
      </c>
      <c r="AZ1401" s="2" t="s">
        <v>775</v>
      </c>
    </row>
    <row r="1402" spans="1:59">
      <c r="A1402" s="12" t="s">
        <v>669</v>
      </c>
      <c r="B1402" s="12" t="str">
        <f t="shared" si="268"/>
        <v>PRETORIUS</v>
      </c>
      <c r="C1402" s="12" t="str">
        <f t="shared" si="269"/>
        <v>PRETORIUS</v>
      </c>
      <c r="D1402" s="12" t="s">
        <v>9015</v>
      </c>
      <c r="E1402" s="12" t="str">
        <f t="shared" si="267"/>
        <v>Hendrik Stephanus Jr.</v>
      </c>
      <c r="F1402" s="12" t="s">
        <v>9016</v>
      </c>
      <c r="G1402" s="12" t="str">
        <f t="shared" si="270"/>
        <v>a1b5c3d5e10f4</v>
      </c>
      <c r="H1402" s="12" t="str">
        <f t="shared" si="271"/>
        <v>PRETORIUSa1b5c3d5e10f4</v>
      </c>
      <c r="I1402" s="12"/>
      <c r="J1402" s="2" t="s">
        <v>9718</v>
      </c>
      <c r="K1402" s="12" t="str">
        <f t="shared" si="272"/>
        <v>1820</v>
      </c>
      <c r="L1402" s="12" t="s">
        <v>74</v>
      </c>
      <c r="M1402" s="12" t="s">
        <v>4552</v>
      </c>
      <c r="N1402" s="12" t="str">
        <f t="shared" si="265"/>
        <v>1820</v>
      </c>
      <c r="O1402" s="12" t="str">
        <f t="shared" si="266"/>
        <v>1820</v>
      </c>
      <c r="P1402" s="12" t="s">
        <v>1864</v>
      </c>
      <c r="Q1402" s="12" t="str">
        <f t="shared" si="273"/>
        <v>1820</v>
      </c>
      <c r="R1402" s="12" t="s">
        <v>9719</v>
      </c>
      <c r="S1402" s="12" t="str">
        <f t="shared" si="274"/>
        <v>1885</v>
      </c>
      <c r="T1402" s="12" t="s">
        <v>74</v>
      </c>
      <c r="U1402" s="12" t="s">
        <v>9720</v>
      </c>
      <c r="V1402" s="12" t="str">
        <f t="shared" si="275"/>
        <v>1838</v>
      </c>
      <c r="W1402" s="12" t="s">
        <v>2936</v>
      </c>
      <c r="X1402" s="12" t="s">
        <v>669</v>
      </c>
      <c r="Y1402" s="12" t="s">
        <v>9721</v>
      </c>
      <c r="AA1402" s="12" t="s">
        <v>9722</v>
      </c>
      <c r="AB1402" s="12"/>
      <c r="AC1402" s="12"/>
      <c r="AF1402" s="2" t="s">
        <v>8371</v>
      </c>
      <c r="AG1402" s="12" t="s">
        <v>68</v>
      </c>
      <c r="AH1402" s="12" t="s">
        <v>9723</v>
      </c>
      <c r="AI1402" s="12" t="str">
        <f t="shared" si="276"/>
        <v xml:space="preserve"> (?)</v>
      </c>
      <c r="AK1402" s="12" t="s">
        <v>9724</v>
      </c>
      <c r="AL1402" s="2" t="s">
        <v>1864</v>
      </c>
      <c r="AM1402" s="2" t="s">
        <v>9725</v>
      </c>
      <c r="AN1402" s="2" t="s">
        <v>1387</v>
      </c>
      <c r="AO1402" s="2" t="s">
        <v>701</v>
      </c>
      <c r="AQ1402" s="2" t="s">
        <v>140</v>
      </c>
      <c r="AR1402" s="2" t="s">
        <v>7094</v>
      </c>
    </row>
    <row r="1403" spans="1:59">
      <c r="A1403" s="12" t="s">
        <v>669</v>
      </c>
      <c r="B1403" s="12" t="str">
        <f t="shared" si="268"/>
        <v>PRETORIUS</v>
      </c>
      <c r="C1403" s="12" t="str">
        <f t="shared" si="269"/>
        <v>PRETORIUS</v>
      </c>
      <c r="D1403" s="12" t="s">
        <v>403</v>
      </c>
      <c r="E1403" s="12" t="str">
        <f t="shared" si="267"/>
        <v>Daniel Pieter</v>
      </c>
      <c r="F1403" s="12" t="s">
        <v>8996</v>
      </c>
      <c r="G1403" s="12" t="str">
        <f t="shared" si="270"/>
        <v>a1b5c3d5e10f5</v>
      </c>
      <c r="H1403" s="12" t="str">
        <f t="shared" si="271"/>
        <v>PRETORIUSa1b5c3d5e10f5</v>
      </c>
      <c r="J1403" s="12" t="s">
        <v>5511</v>
      </c>
      <c r="K1403" s="12" t="str">
        <f t="shared" si="272"/>
        <v>1821</v>
      </c>
      <c r="L1403" s="12" t="s">
        <v>74</v>
      </c>
      <c r="M1403" s="12" t="s">
        <v>5193</v>
      </c>
      <c r="N1403" s="12" t="str">
        <f t="shared" si="265"/>
        <v>1821</v>
      </c>
      <c r="O1403" s="12" t="str">
        <f t="shared" si="266"/>
        <v>1821</v>
      </c>
      <c r="P1403" s="12" t="s">
        <v>4103</v>
      </c>
      <c r="Q1403" s="12" t="str">
        <f t="shared" si="273"/>
        <v>1821</v>
      </c>
      <c r="R1403" s="12" t="s">
        <v>9633</v>
      </c>
      <c r="S1403" s="12" t="str">
        <f t="shared" si="274"/>
        <v>1894</v>
      </c>
      <c r="T1403" s="12" t="s">
        <v>5146</v>
      </c>
      <c r="U1403" s="12" t="s">
        <v>9634</v>
      </c>
      <c r="V1403" s="12" t="str">
        <f t="shared" si="275"/>
        <v>1840</v>
      </c>
      <c r="W1403" s="12" t="s">
        <v>9635</v>
      </c>
      <c r="X1403" s="12" t="s">
        <v>664</v>
      </c>
      <c r="Y1403" s="2" t="s">
        <v>9636</v>
      </c>
      <c r="AF1403" s="2" t="s">
        <v>16</v>
      </c>
      <c r="AG1403" s="12" t="s">
        <v>68</v>
      </c>
      <c r="AH1403" s="12" t="s">
        <v>4988</v>
      </c>
      <c r="AI1403" s="12" t="str">
        <f t="shared" si="276"/>
        <v>1840</v>
      </c>
      <c r="AK1403" s="12" t="s">
        <v>9637</v>
      </c>
      <c r="AL1403" s="12" t="s">
        <v>140</v>
      </c>
      <c r="AM1403" s="12" t="s">
        <v>9638</v>
      </c>
      <c r="AN1403" s="12" t="s">
        <v>803</v>
      </c>
      <c r="AO1403" s="12" t="s">
        <v>2394</v>
      </c>
      <c r="AQ1403" s="2" t="s">
        <v>32</v>
      </c>
      <c r="AR1403" s="12" t="s">
        <v>9639</v>
      </c>
      <c r="AU1403" s="2" t="s">
        <v>9640</v>
      </c>
      <c r="AV1403" s="12" t="s">
        <v>9641</v>
      </c>
      <c r="AW1403" s="12"/>
      <c r="AX1403" s="12"/>
      <c r="AY1403" s="12"/>
      <c r="AZ1403" s="12"/>
      <c r="BB1403" s="12"/>
      <c r="BE1403" s="12"/>
      <c r="BF1403" s="12"/>
    </row>
    <row r="1404" spans="1:59">
      <c r="A1404" s="12" t="s">
        <v>669</v>
      </c>
      <c r="B1404" s="12" t="str">
        <f t="shared" si="268"/>
        <v>PRETORIUS</v>
      </c>
      <c r="C1404" s="12" t="str">
        <f t="shared" si="269"/>
        <v>PRETORIUS</v>
      </c>
      <c r="D1404" s="12" t="s">
        <v>3025</v>
      </c>
      <c r="E1404" s="12" t="str">
        <f t="shared" si="267"/>
        <v>Abraham</v>
      </c>
      <c r="F1404" s="12" t="s">
        <v>8985</v>
      </c>
      <c r="G1404" s="12" t="str">
        <f t="shared" si="270"/>
        <v>a1b5c3d5e10f6</v>
      </c>
      <c r="H1404" s="12" t="str">
        <f t="shared" si="271"/>
        <v>PRETORIUSa1b5c3d5e10f6</v>
      </c>
      <c r="J1404" s="12" t="s">
        <v>9568</v>
      </c>
      <c r="K1404" s="12" t="str">
        <f t="shared" si="272"/>
        <v>1822</v>
      </c>
      <c r="L1404" s="2" t="s">
        <v>74</v>
      </c>
      <c r="M1404" s="12" t="s">
        <v>7740</v>
      </c>
      <c r="N1404" s="12" t="str">
        <f t="shared" si="265"/>
        <v>1822</v>
      </c>
      <c r="O1404" s="12" t="str">
        <f t="shared" si="266"/>
        <v>1823</v>
      </c>
      <c r="P1404" s="12" t="s">
        <v>9569</v>
      </c>
      <c r="Q1404" s="12" t="str">
        <f t="shared" si="273"/>
        <v>1822</v>
      </c>
      <c r="R1404" s="12" t="s">
        <v>9570</v>
      </c>
      <c r="S1404" s="12" t="str">
        <f t="shared" si="274"/>
        <v>1876</v>
      </c>
      <c r="V1404" s="12" t="str">
        <f t="shared" si="275"/>
        <v/>
      </c>
      <c r="AF1404" s="12" t="s">
        <v>16</v>
      </c>
      <c r="AG1404" s="12" t="s">
        <v>68</v>
      </c>
      <c r="AH1404" s="12" t="s">
        <v>9571</v>
      </c>
      <c r="AI1404" s="12" t="str">
        <f t="shared" si="276"/>
        <v>1842</v>
      </c>
      <c r="AJ1404" s="12" t="s">
        <v>9572</v>
      </c>
      <c r="AK1404" s="2" t="s">
        <v>9569</v>
      </c>
    </row>
    <row r="1405" spans="1:59">
      <c r="A1405" s="12" t="s">
        <v>669</v>
      </c>
      <c r="B1405" s="12" t="str">
        <f t="shared" si="268"/>
        <v>PRETORIUS</v>
      </c>
      <c r="C1405" s="12" t="str">
        <f t="shared" si="269"/>
        <v>PRETORIUS</v>
      </c>
      <c r="D1405" s="12" t="s">
        <v>8992</v>
      </c>
      <c r="E1405" s="12" t="str">
        <f t="shared" si="267"/>
        <v>Charel Stephanus</v>
      </c>
      <c r="F1405" s="12" t="s">
        <v>8993</v>
      </c>
      <c r="G1405" s="12" t="str">
        <f t="shared" si="270"/>
        <v>a1b5c3d5e7f4</v>
      </c>
      <c r="H1405" s="12" t="str">
        <f t="shared" si="271"/>
        <v>PRETORIUSa1b5c3d5e7f4</v>
      </c>
      <c r="I1405" s="2" t="s">
        <v>8347</v>
      </c>
      <c r="J1405" s="12" t="s">
        <v>9605</v>
      </c>
      <c r="K1405" s="12" t="str">
        <f t="shared" si="272"/>
        <v>1813</v>
      </c>
      <c r="L1405" s="2" t="s">
        <v>74</v>
      </c>
      <c r="M1405" s="12" t="s">
        <v>9606</v>
      </c>
      <c r="N1405" s="12" t="str">
        <f t="shared" si="265"/>
        <v>1813</v>
      </c>
      <c r="O1405" s="12" t="str">
        <f t="shared" si="266"/>
        <v>1813</v>
      </c>
      <c r="P1405" s="12" t="s">
        <v>1864</v>
      </c>
      <c r="Q1405" s="12" t="str">
        <f t="shared" si="273"/>
        <v>1813</v>
      </c>
      <c r="R1405" s="12">
        <v>1864</v>
      </c>
      <c r="S1405" s="12" t="str">
        <f t="shared" si="274"/>
        <v>1864</v>
      </c>
      <c r="T1405" s="2" t="s">
        <v>74</v>
      </c>
      <c r="U1405" s="12" t="s">
        <v>1741</v>
      </c>
      <c r="V1405" s="12" t="str">
        <f t="shared" si="275"/>
        <v>1831</v>
      </c>
      <c r="W1405" s="12" t="s">
        <v>9607</v>
      </c>
      <c r="X1405" s="12" t="s">
        <v>9608</v>
      </c>
      <c r="Y1405" s="12"/>
      <c r="Z1405" s="2" t="s">
        <v>1071</v>
      </c>
      <c r="AA1405" s="12" t="s">
        <v>3521</v>
      </c>
      <c r="AD1405" s="12" t="s">
        <v>8347</v>
      </c>
      <c r="AE1405" s="12" t="s">
        <v>9609</v>
      </c>
      <c r="AF1405" s="12" t="s">
        <v>9610</v>
      </c>
      <c r="AG1405" s="12" t="s">
        <v>74</v>
      </c>
      <c r="AH1405" s="12" t="s">
        <v>9611</v>
      </c>
      <c r="AI1405" s="12" t="str">
        <f t="shared" si="276"/>
        <v>1839</v>
      </c>
      <c r="AK1405" s="12" t="s">
        <v>9612</v>
      </c>
      <c r="AL1405" s="12" t="s">
        <v>74</v>
      </c>
      <c r="AM1405" s="12" t="s">
        <v>4362</v>
      </c>
      <c r="AN1405" s="12" t="s">
        <v>9613</v>
      </c>
      <c r="AO1405" s="12" t="s">
        <v>1320</v>
      </c>
      <c r="AR1405" s="12"/>
      <c r="AS1405" s="12"/>
      <c r="AT1405" s="12"/>
      <c r="AU1405" s="12"/>
      <c r="AV1405" s="12"/>
      <c r="AW1405" s="2" t="s">
        <v>140</v>
      </c>
      <c r="AX1405" s="2" t="s">
        <v>1855</v>
      </c>
      <c r="AY1405" s="2" t="s">
        <v>714</v>
      </c>
      <c r="AZ1405" s="2" t="s">
        <v>9614</v>
      </c>
    </row>
    <row r="1406" spans="1:59">
      <c r="A1406" s="12" t="s">
        <v>669</v>
      </c>
      <c r="B1406" s="12" t="str">
        <f t="shared" si="268"/>
        <v>PRETORIUS</v>
      </c>
      <c r="C1406" s="12" t="str">
        <f t="shared" si="269"/>
        <v>PRETORIUS</v>
      </c>
      <c r="D1406" s="12" t="s">
        <v>1464</v>
      </c>
      <c r="E1406" s="12" t="str">
        <f t="shared" si="267"/>
        <v>Willem</v>
      </c>
      <c r="F1406" s="12" t="s">
        <v>9083</v>
      </c>
      <c r="G1406" s="12" t="str">
        <f t="shared" si="270"/>
        <v>a1b5c3d7e3</v>
      </c>
      <c r="H1406" s="12" t="str">
        <f t="shared" si="271"/>
        <v>PRETORIUSa1b5c3d7e3</v>
      </c>
      <c r="K1406" s="12" t="str">
        <f t="shared" si="272"/>
        <v/>
      </c>
      <c r="L1406" s="2" t="s">
        <v>542</v>
      </c>
      <c r="M1406" s="12" t="s">
        <v>10049</v>
      </c>
      <c r="N1406" s="12" t="str">
        <f t="shared" si="265"/>
        <v/>
      </c>
      <c r="O1406" s="12" t="str">
        <f t="shared" si="266"/>
        <v>1786</v>
      </c>
      <c r="Q1406" s="12" t="str">
        <f t="shared" si="273"/>
        <v>1786</v>
      </c>
      <c r="R1406" s="12"/>
      <c r="S1406" s="12" t="str">
        <f t="shared" si="274"/>
        <v/>
      </c>
      <c r="T1406" s="12" t="s">
        <v>74</v>
      </c>
      <c r="U1406" s="12" t="s">
        <v>1521</v>
      </c>
      <c r="V1406" s="12" t="str">
        <f t="shared" si="275"/>
        <v>1804</v>
      </c>
      <c r="W1406" s="12" t="s">
        <v>10050</v>
      </c>
      <c r="X1406" s="12" t="s">
        <v>655</v>
      </c>
      <c r="Y1406" s="12"/>
      <c r="AB1406" s="2" t="s">
        <v>542</v>
      </c>
      <c r="AC1406" s="12" t="s">
        <v>10051</v>
      </c>
      <c r="AF1406" s="12"/>
      <c r="AG1406" s="12" t="s">
        <v>10052</v>
      </c>
      <c r="AH1406" s="12" t="s">
        <v>9782</v>
      </c>
      <c r="AI1406" s="12" t="str">
        <f t="shared" si="276"/>
        <v>1838</v>
      </c>
      <c r="AJ1406" s="12"/>
      <c r="AK1406" s="2" t="s">
        <v>9365</v>
      </c>
      <c r="AL1406" s="2" t="s">
        <v>140</v>
      </c>
      <c r="AM1406" s="2" t="s">
        <v>2636</v>
      </c>
      <c r="AN1406" s="2" t="s">
        <v>10053</v>
      </c>
      <c r="AO1406" s="2" t="s">
        <v>2086</v>
      </c>
    </row>
    <row r="1407" spans="1:59">
      <c r="A1407" s="12" t="s">
        <v>669</v>
      </c>
      <c r="B1407" s="12" t="str">
        <f t="shared" si="268"/>
        <v>PRETORIUS</v>
      </c>
      <c r="C1407" s="12" t="str">
        <f t="shared" si="269"/>
        <v>PRETORIUS</v>
      </c>
      <c r="D1407" s="12" t="s">
        <v>9027</v>
      </c>
      <c r="E1407" s="12" t="str">
        <f t="shared" si="267"/>
        <v>Jan Adriaan Van De Graaff</v>
      </c>
      <c r="F1407" s="12" t="s">
        <v>9028</v>
      </c>
      <c r="G1407" s="12" t="str">
        <f t="shared" si="270"/>
        <v>a1b5c3d7e3f8</v>
      </c>
      <c r="H1407" s="12" t="str">
        <f t="shared" si="271"/>
        <v>PRETORIUSa1b5c3d7e3f8</v>
      </c>
      <c r="J1407" s="12" t="s">
        <v>9779</v>
      </c>
      <c r="K1407" s="12" t="str">
        <f t="shared" si="272"/>
        <v>1819</v>
      </c>
      <c r="L1407" s="2" t="s">
        <v>28</v>
      </c>
      <c r="M1407" s="12" t="s">
        <v>9780</v>
      </c>
      <c r="N1407" s="12" t="str">
        <f t="shared" si="265"/>
        <v>1819</v>
      </c>
      <c r="O1407" s="12" t="str">
        <f t="shared" si="266"/>
        <v>1819</v>
      </c>
      <c r="P1407" s="12" t="s">
        <v>9781</v>
      </c>
      <c r="Q1407" s="12" t="str">
        <f t="shared" si="273"/>
        <v>1819</v>
      </c>
      <c r="R1407" s="12" t="s">
        <v>8319</v>
      </c>
      <c r="S1407" s="12" t="str">
        <f t="shared" si="274"/>
        <v>1853</v>
      </c>
      <c r="T1407" s="12"/>
      <c r="U1407" s="12"/>
      <c r="V1407" s="12" t="str">
        <f t="shared" si="275"/>
        <v/>
      </c>
      <c r="W1407" s="12" t="s">
        <v>5173</v>
      </c>
      <c r="X1407" s="12" t="s">
        <v>5276</v>
      </c>
      <c r="AC1407" s="12"/>
      <c r="AF1407" s="12" t="s">
        <v>8371</v>
      </c>
      <c r="AG1407" s="12" t="s">
        <v>68</v>
      </c>
      <c r="AH1407" s="12" t="s">
        <v>9782</v>
      </c>
      <c r="AI1407" s="12" t="str">
        <f t="shared" si="276"/>
        <v>1838</v>
      </c>
      <c r="AJ1407" s="12"/>
      <c r="AK1407" s="2" t="s">
        <v>9365</v>
      </c>
    </row>
    <row r="1408" spans="1:59">
      <c r="A1408" s="12" t="s">
        <v>669</v>
      </c>
      <c r="B1408" s="12" t="str">
        <f t="shared" si="268"/>
        <v>PRETORIUS</v>
      </c>
      <c r="C1408" s="12" t="str">
        <f t="shared" si="269"/>
        <v>PRETORIUS</v>
      </c>
      <c r="D1408" s="12" t="s">
        <v>205</v>
      </c>
      <c r="E1408" s="12" t="str">
        <f t="shared" si="267"/>
        <v>Willem Hendrik</v>
      </c>
      <c r="F1408" s="12" t="s">
        <v>9086</v>
      </c>
      <c r="G1408" s="12" t="str">
        <f t="shared" si="270"/>
        <v>a1b5c3d7e3f9</v>
      </c>
      <c r="H1408" s="12" t="str">
        <f t="shared" si="271"/>
        <v>PRETORIUSa1b5c3d7e3f9</v>
      </c>
      <c r="J1408" s="2" t="s">
        <v>10062</v>
      </c>
      <c r="K1408" s="12" t="str">
        <f t="shared" si="272"/>
        <v>1821</v>
      </c>
      <c r="L1408" s="2" t="s">
        <v>28</v>
      </c>
      <c r="M1408" s="12" t="s">
        <v>10063</v>
      </c>
      <c r="N1408" s="12" t="str">
        <f t="shared" si="265"/>
        <v>1821</v>
      </c>
      <c r="O1408" s="12" t="str">
        <f t="shared" si="266"/>
        <v>1821</v>
      </c>
      <c r="P1408" s="2" t="s">
        <v>10064</v>
      </c>
      <c r="Q1408" s="12" t="str">
        <f t="shared" si="273"/>
        <v>1821</v>
      </c>
      <c r="R1408" s="2" t="s">
        <v>10065</v>
      </c>
      <c r="S1408" s="12" t="str">
        <f t="shared" si="274"/>
        <v>1920</v>
      </c>
      <c r="T1408" s="2" t="s">
        <v>190</v>
      </c>
      <c r="U1408" s="12" t="s">
        <v>10066</v>
      </c>
      <c r="V1408" s="12" t="str">
        <f t="shared" si="275"/>
        <v>1843</v>
      </c>
      <c r="W1408" s="12" t="s">
        <v>10067</v>
      </c>
      <c r="X1408" s="12" t="s">
        <v>5276</v>
      </c>
      <c r="Y1408" s="12"/>
      <c r="AA1408" s="2" t="s">
        <v>5205</v>
      </c>
      <c r="AD1408" s="2" t="s">
        <v>10068</v>
      </c>
      <c r="AG1408" s="12" t="s">
        <v>68</v>
      </c>
      <c r="AH1408" s="12" t="s">
        <v>10069</v>
      </c>
      <c r="AI1408" s="12" t="str">
        <f t="shared" si="276"/>
        <v>1843</v>
      </c>
      <c r="AK1408" s="12" t="s">
        <v>2625</v>
      </c>
    </row>
    <row r="1409" spans="1:68">
      <c r="A1409" s="12" t="s">
        <v>696</v>
      </c>
      <c r="B1409" s="12" t="str">
        <f t="shared" si="268"/>
        <v>PRINSLOO</v>
      </c>
      <c r="C1409" s="12" t="str">
        <f t="shared" si="269"/>
        <v>PRINSLOO</v>
      </c>
      <c r="D1409" s="12" t="s">
        <v>4926</v>
      </c>
      <c r="E1409" s="12" t="str">
        <f t="shared" si="267"/>
        <v>Hendrik Frederik</v>
      </c>
      <c r="F1409" s="12" t="s">
        <v>9108</v>
      </c>
      <c r="G1409" s="12" t="str">
        <f t="shared" si="270"/>
        <v>a1b3c3d1e13</v>
      </c>
      <c r="H1409" s="12" t="str">
        <f t="shared" si="271"/>
        <v>PRINSLOOa1b3c3d1e13</v>
      </c>
      <c r="K1409" s="12" t="str">
        <f t="shared" si="272"/>
        <v/>
      </c>
      <c r="M1409" s="12" t="s">
        <v>10145</v>
      </c>
      <c r="N1409" s="12" t="str">
        <f t="shared" si="265"/>
        <v/>
      </c>
      <c r="O1409" s="12" t="str">
        <f t="shared" si="266"/>
        <v>1791</v>
      </c>
      <c r="Q1409" s="12" t="str">
        <f t="shared" si="273"/>
        <v>1791</v>
      </c>
      <c r="S1409" s="12" t="str">
        <f t="shared" si="274"/>
        <v/>
      </c>
      <c r="T1409" s="2" t="s">
        <v>74</v>
      </c>
      <c r="U1409" s="2" t="s">
        <v>8381</v>
      </c>
      <c r="V1409" s="12" t="str">
        <f t="shared" si="275"/>
        <v>1815</v>
      </c>
      <c r="W1409" s="12" t="s">
        <v>10178</v>
      </c>
      <c r="X1409" s="12" t="s">
        <v>10179</v>
      </c>
      <c r="AA1409" s="12"/>
      <c r="AF1409" s="2" t="s">
        <v>10180</v>
      </c>
      <c r="AG1409" s="12" t="s">
        <v>68</v>
      </c>
      <c r="AH1409" s="2" t="s">
        <v>10181</v>
      </c>
      <c r="AI1409" s="12" t="str">
        <f t="shared" si="276"/>
        <v>1837</v>
      </c>
      <c r="AK1409" s="12"/>
      <c r="AN1409" s="2" t="s">
        <v>10182</v>
      </c>
      <c r="AO1409" s="2" t="s">
        <v>631</v>
      </c>
    </row>
    <row r="1410" spans="1:68">
      <c r="A1410" s="12" t="s">
        <v>696</v>
      </c>
      <c r="B1410" s="12" t="str">
        <f t="shared" si="268"/>
        <v>PRINSLOO</v>
      </c>
      <c r="C1410" s="12" t="str">
        <f t="shared" si="269"/>
        <v>PRINSLOO</v>
      </c>
      <c r="D1410" s="12" t="s">
        <v>9141</v>
      </c>
      <c r="E1410" s="12" t="str">
        <f t="shared" si="267"/>
        <v>Klaas Jacobus</v>
      </c>
      <c r="F1410" s="12" t="s">
        <v>9142</v>
      </c>
      <c r="G1410" s="12" t="str">
        <f t="shared" si="270"/>
        <v>a1b3c3d1e13f1</v>
      </c>
      <c r="H1410" s="12" t="str">
        <f t="shared" si="271"/>
        <v>PRINSLOOa1b3c3d1e13f1</v>
      </c>
      <c r="J1410" s="2" t="s">
        <v>15662</v>
      </c>
      <c r="K1410" s="12" t="str">
        <f t="shared" si="272"/>
        <v>1816</v>
      </c>
      <c r="L1410" s="2" t="s">
        <v>74</v>
      </c>
      <c r="M1410" s="12" t="s">
        <v>203</v>
      </c>
      <c r="N1410" s="12" t="str">
        <f t="shared" ref="N1410:N1473" si="277">RIGHT(J1410,4)</f>
        <v>1816</v>
      </c>
      <c r="O1410" s="12" t="str">
        <f t="shared" ref="O1410:O1473" si="278">RIGHT(M1410,4)</f>
        <v>1817</v>
      </c>
      <c r="Q1410" s="12" t="str">
        <f t="shared" si="273"/>
        <v>1816</v>
      </c>
      <c r="S1410" s="12" t="str">
        <f t="shared" si="274"/>
        <v/>
      </c>
      <c r="T1410" s="12" t="s">
        <v>68</v>
      </c>
      <c r="U1410" s="12" t="s">
        <v>318</v>
      </c>
      <c r="V1410" s="12" t="str">
        <f t="shared" si="275"/>
        <v>1834</v>
      </c>
      <c r="W1410" s="12" t="s">
        <v>15663</v>
      </c>
      <c r="X1410" s="12" t="s">
        <v>778</v>
      </c>
      <c r="Y1410" s="12"/>
      <c r="AA1410" s="2" t="s">
        <v>15664</v>
      </c>
      <c r="AB1410" s="2" t="s">
        <v>366</v>
      </c>
      <c r="AC1410" s="2" t="s">
        <v>4209</v>
      </c>
      <c r="AF1410" s="12" t="s">
        <v>15665</v>
      </c>
      <c r="AG1410" s="12" t="s">
        <v>68</v>
      </c>
      <c r="AH1410" s="12" t="s">
        <v>10181</v>
      </c>
      <c r="AI1410" s="12" t="str">
        <f t="shared" si="276"/>
        <v>1837</v>
      </c>
      <c r="AJ1410" s="12"/>
      <c r="AK1410" s="12" t="s">
        <v>551</v>
      </c>
      <c r="AL1410" s="12" t="s">
        <v>15666</v>
      </c>
      <c r="AM1410" s="12" t="s">
        <v>15667</v>
      </c>
      <c r="AN1410" s="12" t="s">
        <v>15668</v>
      </c>
      <c r="AO1410" s="12" t="s">
        <v>4871</v>
      </c>
      <c r="AP1410" s="12"/>
      <c r="AQ1410" s="12"/>
      <c r="AR1410" s="12"/>
      <c r="AU1410" s="12"/>
      <c r="AV1410" s="12"/>
    </row>
    <row r="1411" spans="1:68">
      <c r="A1411" s="12" t="s">
        <v>696</v>
      </c>
      <c r="B1411" s="12" t="str">
        <f t="shared" si="268"/>
        <v>PRINSLOO</v>
      </c>
      <c r="C1411" s="12" t="str">
        <f t="shared" si="269"/>
        <v>PRINSLOO</v>
      </c>
      <c r="D1411" s="12" t="s">
        <v>9100</v>
      </c>
      <c r="E1411" s="12" t="str">
        <f t="shared" ref="E1411:E1474" si="279">PROPER(D1411)</f>
        <v>Arie Jacobus</v>
      </c>
      <c r="F1411" s="12" t="s">
        <v>9101</v>
      </c>
      <c r="G1411" s="12" t="str">
        <f t="shared" si="270"/>
        <v>a1b3c3d1e14</v>
      </c>
      <c r="H1411" s="12" t="str">
        <f t="shared" si="271"/>
        <v>PRINSLOOa1b3c3d1e14</v>
      </c>
      <c r="K1411" s="12" t="str">
        <f t="shared" si="272"/>
        <v/>
      </c>
      <c r="M1411" s="12" t="s">
        <v>10145</v>
      </c>
      <c r="N1411" s="12" t="str">
        <f t="shared" si="277"/>
        <v/>
      </c>
      <c r="O1411" s="12" t="str">
        <f t="shared" si="278"/>
        <v>1791</v>
      </c>
      <c r="Q1411" s="12" t="str">
        <f t="shared" si="273"/>
        <v>1791</v>
      </c>
      <c r="S1411" s="12" t="str">
        <f t="shared" si="274"/>
        <v/>
      </c>
      <c r="T1411" s="12"/>
      <c r="U1411" s="12"/>
      <c r="V1411" s="12" t="str">
        <f t="shared" si="275"/>
        <v/>
      </c>
      <c r="W1411" s="12"/>
      <c r="X1411" s="12"/>
      <c r="AF1411" s="12" t="s">
        <v>10146</v>
      </c>
      <c r="AG1411" s="12" t="s">
        <v>68</v>
      </c>
      <c r="AH1411" s="12" t="s">
        <v>10147</v>
      </c>
      <c r="AI1411" s="12" t="str">
        <f t="shared" si="276"/>
        <v>1837</v>
      </c>
      <c r="AK1411" s="12"/>
    </row>
    <row r="1412" spans="1:68">
      <c r="A1412" s="12" t="s">
        <v>696</v>
      </c>
      <c r="B1412" s="12" t="str">
        <f t="shared" si="268"/>
        <v>PRINSLOO</v>
      </c>
      <c r="C1412" s="12" t="str">
        <f t="shared" si="269"/>
        <v>PRINSLOO</v>
      </c>
      <c r="D1412" s="12" t="s">
        <v>9156</v>
      </c>
      <c r="E1412" s="12" t="str">
        <f t="shared" si="279"/>
        <v>Nicolaas Jacobus (Klaas)</v>
      </c>
      <c r="F1412" s="12" t="s">
        <v>9157</v>
      </c>
      <c r="G1412" s="12" t="str">
        <f t="shared" si="270"/>
        <v>a1b3c3d1e19</v>
      </c>
      <c r="H1412" s="12" t="str">
        <f t="shared" si="271"/>
        <v>PRINSLOOa1b3c3d1e19</v>
      </c>
      <c r="J1412" s="12"/>
      <c r="K1412" s="12" t="str">
        <f t="shared" si="272"/>
        <v/>
      </c>
      <c r="M1412" s="12" t="s">
        <v>8731</v>
      </c>
      <c r="N1412" s="12" t="str">
        <f t="shared" si="277"/>
        <v/>
      </c>
      <c r="O1412" s="12" t="str">
        <f t="shared" si="278"/>
        <v>1801</v>
      </c>
      <c r="P1412" s="12"/>
      <c r="Q1412" s="12" t="str">
        <f t="shared" si="273"/>
        <v>1801</v>
      </c>
      <c r="R1412" s="12"/>
      <c r="S1412" s="12" t="str">
        <f t="shared" si="274"/>
        <v/>
      </c>
      <c r="T1412" s="12" t="s">
        <v>28</v>
      </c>
      <c r="U1412" s="12" t="s">
        <v>15701</v>
      </c>
      <c r="V1412" s="12" t="str">
        <f t="shared" si="275"/>
        <v>1822</v>
      </c>
      <c r="W1412" s="12" t="s">
        <v>5754</v>
      </c>
      <c r="X1412" s="12" t="s">
        <v>655</v>
      </c>
      <c r="Y1412" s="12"/>
      <c r="AC1412" s="12"/>
      <c r="AD1412" s="12"/>
      <c r="AE1412" s="12"/>
      <c r="AF1412" s="12" t="s">
        <v>3720</v>
      </c>
      <c r="AG1412" s="12" t="s">
        <v>68</v>
      </c>
      <c r="AH1412" s="12" t="s">
        <v>15702</v>
      </c>
      <c r="AI1412" s="12" t="str">
        <f t="shared" si="276"/>
        <v>1839</v>
      </c>
      <c r="AJ1412" s="12"/>
      <c r="AK1412" s="12" t="s">
        <v>1654</v>
      </c>
    </row>
    <row r="1413" spans="1:68">
      <c r="A1413" s="12" t="s">
        <v>696</v>
      </c>
      <c r="B1413" s="12" t="str">
        <f t="shared" si="268"/>
        <v>PRINSLOO</v>
      </c>
      <c r="C1413" s="12" t="str">
        <f t="shared" si="269"/>
        <v>PRINSLOO</v>
      </c>
      <c r="D1413" s="12" t="s">
        <v>9158</v>
      </c>
      <c r="E1413" s="12" t="str">
        <f t="shared" si="279"/>
        <v xml:space="preserve">Nicolaas Jacobus </v>
      </c>
      <c r="F1413" s="12" t="s">
        <v>9159</v>
      </c>
      <c r="G1413" s="12" t="str">
        <f t="shared" si="270"/>
        <v>a1b3c3d1e19f1</v>
      </c>
      <c r="H1413" s="12" t="str">
        <f t="shared" si="271"/>
        <v>PRINSLOOa1b3c3d1e19f1</v>
      </c>
      <c r="J1413" s="2" t="s">
        <v>15703</v>
      </c>
      <c r="K1413" s="12" t="str">
        <f t="shared" si="272"/>
        <v>1823</v>
      </c>
      <c r="L1413" s="2" t="s">
        <v>28</v>
      </c>
      <c r="M1413" s="12" t="s">
        <v>15704</v>
      </c>
      <c r="N1413" s="12" t="str">
        <f t="shared" si="277"/>
        <v>1823</v>
      </c>
      <c r="O1413" s="12" t="str">
        <f t="shared" si="278"/>
        <v>1824</v>
      </c>
      <c r="P1413" s="12"/>
      <c r="Q1413" s="12" t="str">
        <f t="shared" si="273"/>
        <v>1823</v>
      </c>
      <c r="R1413" s="12"/>
      <c r="S1413" s="12" t="str">
        <f t="shared" si="274"/>
        <v/>
      </c>
      <c r="T1413" s="12"/>
      <c r="U1413" s="12"/>
      <c r="V1413" s="12" t="str">
        <f t="shared" si="275"/>
        <v/>
      </c>
      <c r="W1413" s="12"/>
      <c r="X1413" s="12"/>
      <c r="Y1413" s="12"/>
      <c r="AA1413" s="12"/>
      <c r="AC1413" s="12"/>
      <c r="AD1413" s="12"/>
      <c r="AE1413" s="12"/>
      <c r="AF1413" s="12" t="s">
        <v>15705</v>
      </c>
      <c r="AG1413" s="12" t="s">
        <v>68</v>
      </c>
      <c r="AH1413" s="12" t="s">
        <v>15702</v>
      </c>
      <c r="AI1413" s="12" t="str">
        <f t="shared" si="276"/>
        <v>1839</v>
      </c>
      <c r="AJ1413" s="12"/>
      <c r="AK1413" s="12"/>
    </row>
    <row r="1414" spans="1:68">
      <c r="A1414" s="12" t="s">
        <v>696</v>
      </c>
      <c r="B1414" s="12" t="str">
        <f t="shared" si="268"/>
        <v>PRINSLOO</v>
      </c>
      <c r="C1414" s="12" t="str">
        <f t="shared" si="269"/>
        <v>PRINSLOO</v>
      </c>
      <c r="D1414" s="12" t="s">
        <v>1345</v>
      </c>
      <c r="E1414" s="12" t="str">
        <f t="shared" si="279"/>
        <v>Philip Rudolph</v>
      </c>
      <c r="F1414" s="12" t="s">
        <v>9162</v>
      </c>
      <c r="G1414" s="12" t="str">
        <f t="shared" si="270"/>
        <v>a1b3c3d1e19f2</v>
      </c>
      <c r="H1414" s="12" t="str">
        <f t="shared" si="271"/>
        <v>PRINSLOOa1b3c3d1e19f2</v>
      </c>
      <c r="I1414" s="12"/>
      <c r="J1414" s="12" t="s">
        <v>15708</v>
      </c>
      <c r="K1414" s="12" t="str">
        <f t="shared" si="272"/>
        <v>1825</v>
      </c>
      <c r="L1414" s="12" t="s">
        <v>68</v>
      </c>
      <c r="M1414" s="12" t="s">
        <v>5352</v>
      </c>
      <c r="N1414" s="12" t="str">
        <f t="shared" si="277"/>
        <v>1825</v>
      </c>
      <c r="O1414" s="12" t="str">
        <f t="shared" si="278"/>
        <v>1826</v>
      </c>
      <c r="P1414" s="12"/>
      <c r="Q1414" s="12" t="str">
        <f t="shared" si="273"/>
        <v>1825</v>
      </c>
      <c r="R1414" s="12" t="s">
        <v>15709</v>
      </c>
      <c r="S1414" s="12" t="str">
        <f t="shared" si="274"/>
        <v>1891</v>
      </c>
      <c r="T1414" s="12"/>
      <c r="U1414" s="12"/>
      <c r="V1414" s="12" t="str">
        <f t="shared" si="275"/>
        <v/>
      </c>
      <c r="W1414" s="12" t="s">
        <v>1982</v>
      </c>
      <c r="X1414" s="12" t="s">
        <v>15710</v>
      </c>
      <c r="AF1414" s="12" t="s">
        <v>3720</v>
      </c>
      <c r="AG1414" s="12" t="s">
        <v>68</v>
      </c>
      <c r="AH1414" s="12" t="s">
        <v>15702</v>
      </c>
      <c r="AI1414" s="12" t="str">
        <f t="shared" si="276"/>
        <v>1839</v>
      </c>
      <c r="AJ1414" s="12"/>
      <c r="AK1414" s="2" t="s">
        <v>9515</v>
      </c>
      <c r="AN1414" s="2" t="s">
        <v>15711</v>
      </c>
      <c r="AO1414" s="2" t="s">
        <v>776</v>
      </c>
      <c r="AR1414" s="2" t="s">
        <v>15712</v>
      </c>
      <c r="AV1414" s="2" t="s">
        <v>15713</v>
      </c>
      <c r="AY1414" s="2" t="s">
        <v>15714</v>
      </c>
      <c r="AZ1414" s="2" t="s">
        <v>696</v>
      </c>
    </row>
    <row r="1415" spans="1:68">
      <c r="A1415" s="12" t="s">
        <v>696</v>
      </c>
      <c r="B1415" s="12" t="str">
        <f t="shared" si="268"/>
        <v>PRINSLOO</v>
      </c>
      <c r="C1415" s="12" t="str">
        <f t="shared" si="269"/>
        <v>PRINSLOO</v>
      </c>
      <c r="D1415" s="12" t="s">
        <v>9102</v>
      </c>
      <c r="E1415" s="12" t="str">
        <f t="shared" si="279"/>
        <v>Balthsar Johannes</v>
      </c>
      <c r="F1415" s="12" t="s">
        <v>9103</v>
      </c>
      <c r="G1415" s="12" t="str">
        <f t="shared" si="270"/>
        <v>a1b3c3d1e1f2</v>
      </c>
      <c r="H1415" s="12" t="str">
        <f t="shared" si="271"/>
        <v>PRINSLOOa1b3c3d1e1f2</v>
      </c>
      <c r="J1415" s="2" t="s">
        <v>10148</v>
      </c>
      <c r="K1415" s="12" t="str">
        <f t="shared" si="272"/>
        <v>1794</v>
      </c>
      <c r="M1415" s="12" t="s">
        <v>10149</v>
      </c>
      <c r="N1415" s="12" t="str">
        <f t="shared" si="277"/>
        <v>1794</v>
      </c>
      <c r="O1415" s="12" t="str">
        <f t="shared" si="278"/>
        <v>1795</v>
      </c>
      <c r="P1415" s="12" t="s">
        <v>10150</v>
      </c>
      <c r="Q1415" s="12" t="str">
        <f t="shared" si="273"/>
        <v>1794</v>
      </c>
      <c r="R1415" s="12" t="s">
        <v>10151</v>
      </c>
      <c r="S1415" s="12" t="str">
        <f t="shared" si="274"/>
        <v>1863</v>
      </c>
      <c r="T1415" s="12" t="s">
        <v>74</v>
      </c>
      <c r="U1415" s="12" t="s">
        <v>203</v>
      </c>
      <c r="V1415" s="12" t="str">
        <f t="shared" si="275"/>
        <v>1817</v>
      </c>
      <c r="W1415" s="12" t="s">
        <v>10152</v>
      </c>
      <c r="X1415" s="12" t="s">
        <v>667</v>
      </c>
      <c r="Y1415" s="12" t="s">
        <v>10153</v>
      </c>
      <c r="AA1415" s="12" t="s">
        <v>10154</v>
      </c>
      <c r="AC1415" s="2" t="s">
        <v>2247</v>
      </c>
      <c r="AD1415" s="2" t="s">
        <v>10155</v>
      </c>
      <c r="AE1415" s="2" t="s">
        <v>10156</v>
      </c>
      <c r="AF1415" s="12" t="s">
        <v>3706</v>
      </c>
      <c r="AG1415" s="12" t="s">
        <v>68</v>
      </c>
      <c r="AH1415" s="12" t="s">
        <v>10157</v>
      </c>
      <c r="AJ1415" s="12"/>
      <c r="AK1415" s="12"/>
    </row>
    <row r="1416" spans="1:68">
      <c r="A1416" s="12" t="s">
        <v>696</v>
      </c>
      <c r="B1416" s="12" t="str">
        <f t="shared" si="268"/>
        <v>PRINSLOO</v>
      </c>
      <c r="C1416" s="12" t="str">
        <f t="shared" si="269"/>
        <v>PRINSLOO</v>
      </c>
      <c r="D1416" s="12" t="s">
        <v>6107</v>
      </c>
      <c r="E1416" s="12" t="str">
        <f t="shared" si="279"/>
        <v>Willem Marthinus</v>
      </c>
      <c r="F1416" s="12" t="s">
        <v>9171</v>
      </c>
      <c r="G1416" s="12" t="str">
        <f t="shared" si="270"/>
        <v>a1b3c3d1e1f3</v>
      </c>
      <c r="H1416" s="12" t="str">
        <f t="shared" si="271"/>
        <v>PRINSLOOa1b3c3d1e1f3</v>
      </c>
      <c r="J1416" s="2" t="s">
        <v>6325</v>
      </c>
      <c r="K1416" s="12" t="str">
        <f t="shared" si="272"/>
        <v>1800</v>
      </c>
      <c r="L1416" s="2" t="s">
        <v>542</v>
      </c>
      <c r="M1416" s="12" t="s">
        <v>3320</v>
      </c>
      <c r="N1416" s="12" t="str">
        <f t="shared" si="277"/>
        <v>1800</v>
      </c>
      <c r="O1416" s="12" t="str">
        <f t="shared" si="278"/>
        <v>1801</v>
      </c>
      <c r="P1416" s="12"/>
      <c r="Q1416" s="12" t="str">
        <f t="shared" si="273"/>
        <v>1800</v>
      </c>
      <c r="R1416" s="12" t="s">
        <v>15741</v>
      </c>
      <c r="S1416" s="12" t="str">
        <f t="shared" si="274"/>
        <v>1859</v>
      </c>
      <c r="T1416" s="12" t="s">
        <v>28</v>
      </c>
      <c r="U1416" s="12" t="s">
        <v>15742</v>
      </c>
      <c r="V1416" s="12" t="str">
        <f t="shared" si="275"/>
        <v>1822</v>
      </c>
      <c r="W1416" s="12" t="s">
        <v>4995</v>
      </c>
      <c r="X1416" s="12" t="s">
        <v>2901</v>
      </c>
      <c r="AA1416" s="12"/>
      <c r="AB1416" s="12"/>
      <c r="AC1416" s="12"/>
      <c r="AD1416" s="12"/>
      <c r="AE1416" s="12" t="s">
        <v>15743</v>
      </c>
      <c r="AF1416" s="12" t="s">
        <v>3706</v>
      </c>
      <c r="AG1416" s="12" t="s">
        <v>68</v>
      </c>
      <c r="AH1416" s="12" t="s">
        <v>15744</v>
      </c>
      <c r="AI1416" s="12" t="str">
        <f t="shared" si="276"/>
        <v>1844</v>
      </c>
      <c r="AJ1416" s="12"/>
      <c r="AK1416" s="12"/>
      <c r="AN1416" s="2" t="s">
        <v>15745</v>
      </c>
    </row>
    <row r="1417" spans="1:68">
      <c r="A1417" s="12" t="s">
        <v>696</v>
      </c>
      <c r="B1417" s="12" t="str">
        <f t="shared" si="268"/>
        <v>PRINSLOO</v>
      </c>
      <c r="C1417" s="12" t="str">
        <f t="shared" si="269"/>
        <v>PRINSLOO</v>
      </c>
      <c r="D1417" s="12" t="s">
        <v>8015</v>
      </c>
      <c r="E1417" s="12" t="str">
        <f t="shared" si="279"/>
        <v>Pieter Willem</v>
      </c>
      <c r="F1417" s="2" t="s">
        <v>9163</v>
      </c>
      <c r="G1417" s="12" t="str">
        <f t="shared" si="270"/>
        <v>a1b3c3d1e1f4</v>
      </c>
      <c r="H1417" s="12" t="str">
        <f t="shared" si="271"/>
        <v>PRINSLOOa1b3c3d1e1f4</v>
      </c>
      <c r="K1417" s="12" t="str">
        <f t="shared" si="272"/>
        <v/>
      </c>
      <c r="M1417" s="2" t="s">
        <v>15715</v>
      </c>
      <c r="N1417" s="12" t="str">
        <f t="shared" si="277"/>
        <v/>
      </c>
      <c r="O1417" s="12" t="str">
        <f t="shared" si="278"/>
        <v>1804</v>
      </c>
      <c r="Q1417" s="12" t="str">
        <f t="shared" si="273"/>
        <v>1804</v>
      </c>
      <c r="S1417" s="12" t="str">
        <f t="shared" si="274"/>
        <v/>
      </c>
      <c r="T1417" s="2" t="s">
        <v>28</v>
      </c>
      <c r="U1417" s="2" t="s">
        <v>3086</v>
      </c>
      <c r="V1417" s="12" t="str">
        <f t="shared" si="275"/>
        <v>1824</v>
      </c>
      <c r="W1417" s="12" t="s">
        <v>10815</v>
      </c>
      <c r="X1417" s="12" t="s">
        <v>5394</v>
      </c>
      <c r="Y1417" s="2" t="s">
        <v>934</v>
      </c>
      <c r="AC1417" s="2" t="s">
        <v>15716</v>
      </c>
      <c r="AF1417" s="2" t="s">
        <v>15717</v>
      </c>
      <c r="AG1417" s="2" t="s">
        <v>68</v>
      </c>
      <c r="AH1417" s="12" t="s">
        <v>15718</v>
      </c>
      <c r="AI1417" s="12" t="str">
        <f t="shared" si="276"/>
        <v>1838</v>
      </c>
      <c r="AJ1417" s="2" t="s">
        <v>15719</v>
      </c>
      <c r="AK1417" s="12" t="s">
        <v>190</v>
      </c>
    </row>
    <row r="1418" spans="1:68">
      <c r="A1418" s="12" t="s">
        <v>696</v>
      </c>
      <c r="B1418" s="12" t="str">
        <f t="shared" si="268"/>
        <v>PRINSLOO</v>
      </c>
      <c r="C1418" s="12" t="str">
        <f t="shared" si="269"/>
        <v>PRINSLOO</v>
      </c>
      <c r="D1418" s="12" t="s">
        <v>9098</v>
      </c>
      <c r="E1418" s="12" t="str">
        <f t="shared" si="279"/>
        <v>Anthonie Christoffel</v>
      </c>
      <c r="F1418" s="12" t="s">
        <v>9099</v>
      </c>
      <c r="G1418" s="12" t="str">
        <f t="shared" si="270"/>
        <v>a1b3c3d1e1f5</v>
      </c>
      <c r="H1418" s="12" t="str">
        <f t="shared" si="271"/>
        <v>PRINSLOOa1b3c3d1e1f5</v>
      </c>
      <c r="K1418" s="12" t="str">
        <f t="shared" si="272"/>
        <v/>
      </c>
      <c r="M1418" s="12" t="s">
        <v>5522</v>
      </c>
      <c r="N1418" s="12" t="str">
        <f t="shared" si="277"/>
        <v/>
      </c>
      <c r="O1418" s="12" t="str">
        <f t="shared" si="278"/>
        <v>1809</v>
      </c>
      <c r="Q1418" s="12" t="str">
        <f t="shared" si="273"/>
        <v>1809</v>
      </c>
      <c r="R1418" s="2" t="s">
        <v>10140</v>
      </c>
      <c r="S1418" s="12" t="str">
        <f t="shared" si="274"/>
        <v>1883</v>
      </c>
      <c r="T1418" s="2" t="s">
        <v>68</v>
      </c>
      <c r="U1418" s="2" t="s">
        <v>1082</v>
      </c>
      <c r="V1418" s="12" t="str">
        <f t="shared" si="275"/>
        <v>1827</v>
      </c>
      <c r="W1418" s="12" t="s">
        <v>644</v>
      </c>
      <c r="X1418" s="12" t="s">
        <v>661</v>
      </c>
      <c r="Y1418" s="12"/>
      <c r="AE1418" s="2" t="s">
        <v>10141</v>
      </c>
      <c r="AF1418" s="12" t="s">
        <v>10142</v>
      </c>
      <c r="AG1418" s="12" t="s">
        <v>68</v>
      </c>
      <c r="AH1418" s="12" t="s">
        <v>10143</v>
      </c>
      <c r="AI1418" s="12" t="str">
        <f t="shared" si="276"/>
        <v>1838</v>
      </c>
      <c r="AJ1418" s="12" t="s">
        <v>10144</v>
      </c>
      <c r="AK1418" s="12"/>
    </row>
    <row r="1419" spans="1:68">
      <c r="A1419" s="12" t="s">
        <v>696</v>
      </c>
      <c r="B1419" s="12" t="str">
        <f t="shared" si="268"/>
        <v>PRINSLOO</v>
      </c>
      <c r="C1419" s="12" t="str">
        <f t="shared" si="269"/>
        <v>PRINSLOO</v>
      </c>
      <c r="D1419" s="12" t="s">
        <v>1484</v>
      </c>
      <c r="E1419" s="12" t="str">
        <f t="shared" si="279"/>
        <v>Willem Jacobus</v>
      </c>
      <c r="F1419" s="12" t="s">
        <v>9168</v>
      </c>
      <c r="G1419" s="12" t="str">
        <f t="shared" si="270"/>
        <v>a1b3c3d4e2f3</v>
      </c>
      <c r="H1419" s="12" t="str">
        <f t="shared" si="271"/>
        <v>PRINSLOOa1b3c3d4e2f3</v>
      </c>
      <c r="I1419" s="12"/>
      <c r="J1419" s="12" t="s">
        <v>15728</v>
      </c>
      <c r="K1419" s="12" t="str">
        <f t="shared" si="272"/>
        <v>1808</v>
      </c>
      <c r="L1419" s="2" t="s">
        <v>74</v>
      </c>
      <c r="M1419" s="12" t="s">
        <v>189</v>
      </c>
      <c r="N1419" s="12" t="str">
        <f t="shared" si="277"/>
        <v>1808</v>
      </c>
      <c r="O1419" s="12" t="str">
        <f t="shared" si="278"/>
        <v>1808</v>
      </c>
      <c r="Q1419" s="12" t="str">
        <f t="shared" si="273"/>
        <v>1808</v>
      </c>
      <c r="S1419" s="12" t="str">
        <f t="shared" si="274"/>
        <v/>
      </c>
      <c r="T1419" s="12" t="s">
        <v>68</v>
      </c>
      <c r="U1419" s="12" t="s">
        <v>15358</v>
      </c>
      <c r="V1419" s="12" t="str">
        <f t="shared" si="275"/>
        <v>1828</v>
      </c>
      <c r="W1419" s="12" t="s">
        <v>15729</v>
      </c>
      <c r="X1419" s="12" t="s">
        <v>1187</v>
      </c>
      <c r="Y1419" s="12"/>
      <c r="AC1419" s="12"/>
      <c r="AF1419" s="12" t="s">
        <v>3706</v>
      </c>
      <c r="AG1419" s="12" t="s">
        <v>68</v>
      </c>
      <c r="AH1419" s="12" t="s">
        <v>8407</v>
      </c>
      <c r="AI1419" s="12" t="str">
        <f t="shared" si="276"/>
        <v>1843</v>
      </c>
      <c r="AJ1419" s="12"/>
      <c r="AK1419" s="12" t="s">
        <v>15730</v>
      </c>
      <c r="AL1419" s="2" t="s">
        <v>140</v>
      </c>
      <c r="AM1419" s="2" t="s">
        <v>15731</v>
      </c>
      <c r="AN1419" s="2" t="s">
        <v>15732</v>
      </c>
      <c r="AO1419" s="2" t="s">
        <v>4449</v>
      </c>
    </row>
    <row r="1420" spans="1:68">
      <c r="A1420" s="12" t="s">
        <v>696</v>
      </c>
      <c r="B1420" s="12" t="str">
        <f t="shared" si="268"/>
        <v>PRINSLOO</v>
      </c>
      <c r="C1420" s="12" t="str">
        <f t="shared" si="269"/>
        <v>PRINSLOO</v>
      </c>
      <c r="D1420" s="12" t="s">
        <v>9104</v>
      </c>
      <c r="E1420" s="12" t="str">
        <f t="shared" si="279"/>
        <v>Christoffel Petrus Joachim</v>
      </c>
      <c r="F1420" s="12" t="s">
        <v>9105</v>
      </c>
      <c r="G1420" s="12" t="str">
        <f t="shared" si="270"/>
        <v>a1b3c3d4e2f6</v>
      </c>
      <c r="H1420" s="12" t="str">
        <f t="shared" si="271"/>
        <v>PRINSLOOa1b3c3d4e2f6</v>
      </c>
      <c r="J1420" s="2" t="s">
        <v>4517</v>
      </c>
      <c r="K1420" s="12" t="str">
        <f t="shared" si="272"/>
        <v>1815</v>
      </c>
      <c r="L1420" s="2" t="s">
        <v>199</v>
      </c>
      <c r="M1420" s="12" t="s">
        <v>336</v>
      </c>
      <c r="N1420" s="12" t="str">
        <f t="shared" si="277"/>
        <v>1815</v>
      </c>
      <c r="O1420" s="12" t="str">
        <f t="shared" si="278"/>
        <v>1815</v>
      </c>
      <c r="Q1420" s="12" t="str">
        <f t="shared" si="273"/>
        <v>1815</v>
      </c>
      <c r="R1420" s="2" t="s">
        <v>10158</v>
      </c>
      <c r="S1420" s="12" t="str">
        <f t="shared" si="274"/>
        <v>1903</v>
      </c>
      <c r="T1420" s="2" t="s">
        <v>68</v>
      </c>
      <c r="U1420" s="2" t="s">
        <v>2874</v>
      </c>
      <c r="V1420" s="12" t="str">
        <f t="shared" si="275"/>
        <v>1833</v>
      </c>
      <c r="W1420" s="2" t="s">
        <v>10159</v>
      </c>
      <c r="X1420" s="2" t="s">
        <v>655</v>
      </c>
      <c r="AA1420" s="2" t="s">
        <v>3720</v>
      </c>
      <c r="AB1420" s="2" t="s">
        <v>10160</v>
      </c>
      <c r="AD1420" s="2" t="s">
        <v>10161</v>
      </c>
      <c r="AE1420" s="12" t="s">
        <v>10162</v>
      </c>
      <c r="AF1420" s="2" t="s">
        <v>10163</v>
      </c>
      <c r="AG1420" s="2" t="s">
        <v>68</v>
      </c>
      <c r="AH1420" s="12" t="s">
        <v>8653</v>
      </c>
      <c r="AI1420" s="12" t="str">
        <f t="shared" si="276"/>
        <v>1840</v>
      </c>
      <c r="AK1420" s="2" t="s">
        <v>24</v>
      </c>
      <c r="AN1420" s="2" t="s">
        <v>10164</v>
      </c>
      <c r="AO1420" s="2" t="s">
        <v>700</v>
      </c>
      <c r="AR1420" s="2" t="s">
        <v>8541</v>
      </c>
      <c r="AU1420" s="2" t="s">
        <v>10165</v>
      </c>
      <c r="AV1420" s="2" t="s">
        <v>10166</v>
      </c>
      <c r="AY1420" s="2" t="s">
        <v>10167</v>
      </c>
      <c r="AZ1420" s="2" t="s">
        <v>731</v>
      </c>
    </row>
    <row r="1421" spans="1:68">
      <c r="A1421" s="12" t="s">
        <v>696</v>
      </c>
      <c r="B1421" s="12" t="str">
        <f t="shared" si="268"/>
        <v>PRINSLOO</v>
      </c>
      <c r="C1421" s="12" t="str">
        <f t="shared" si="269"/>
        <v>PRINSLOO</v>
      </c>
      <c r="D1421" s="12" t="s">
        <v>4926</v>
      </c>
      <c r="E1421" s="12" t="str">
        <f t="shared" si="279"/>
        <v>Hendrik Frederik</v>
      </c>
      <c r="F1421" s="12" t="s">
        <v>9110</v>
      </c>
      <c r="G1421" s="12" t="str">
        <f t="shared" si="270"/>
        <v>a1b3c3d4e2f8</v>
      </c>
      <c r="H1421" s="12" t="str">
        <f t="shared" si="271"/>
        <v>PRINSLOOa1b3c3d4e2f8</v>
      </c>
      <c r="I1421" s="12"/>
      <c r="J1421" s="12" t="s">
        <v>2674</v>
      </c>
      <c r="K1421" s="12" t="str">
        <f t="shared" si="272"/>
        <v>1820</v>
      </c>
      <c r="L1421" s="2" t="s">
        <v>28</v>
      </c>
      <c r="M1421" s="12" t="s">
        <v>4109</v>
      </c>
      <c r="N1421" s="12" t="str">
        <f t="shared" si="277"/>
        <v>1820</v>
      </c>
      <c r="O1421" s="12" t="str">
        <f t="shared" si="278"/>
        <v>1820</v>
      </c>
      <c r="P1421" s="12"/>
      <c r="Q1421" s="12" t="str">
        <f t="shared" si="273"/>
        <v>1820</v>
      </c>
      <c r="R1421" s="12"/>
      <c r="S1421" s="12" t="str">
        <f t="shared" si="274"/>
        <v/>
      </c>
      <c r="T1421" s="12" t="s">
        <v>68</v>
      </c>
      <c r="U1421" s="12" t="s">
        <v>10189</v>
      </c>
      <c r="V1421" s="12" t="str">
        <f t="shared" si="275"/>
        <v>1838</v>
      </c>
      <c r="W1421" s="12" t="s">
        <v>1629</v>
      </c>
      <c r="X1421" s="12" t="s">
        <v>730</v>
      </c>
      <c r="Y1421" s="12" t="s">
        <v>10190</v>
      </c>
      <c r="AA1421" s="12" t="s">
        <v>7226</v>
      </c>
      <c r="AC1421" s="2" t="s">
        <v>10191</v>
      </c>
      <c r="AD1421" s="12"/>
      <c r="AE1421" s="12"/>
      <c r="AF1421" s="12" t="s">
        <v>10192</v>
      </c>
      <c r="AG1421" s="12" t="s">
        <v>68</v>
      </c>
      <c r="AH1421" s="12" t="s">
        <v>7432</v>
      </c>
      <c r="AI1421" s="12" t="str">
        <f t="shared" si="276"/>
        <v>1841</v>
      </c>
      <c r="AJ1421" s="12"/>
      <c r="AK1421" s="12"/>
    </row>
    <row r="1422" spans="1:68">
      <c r="A1422" s="12" t="s">
        <v>696</v>
      </c>
      <c r="B1422" s="12" t="str">
        <f t="shared" si="268"/>
        <v>PRINSLOO</v>
      </c>
      <c r="C1422" s="12" t="str">
        <f t="shared" si="269"/>
        <v>PRINSLOO</v>
      </c>
      <c r="D1422" s="12" t="s">
        <v>4926</v>
      </c>
      <c r="E1422" s="12" t="str">
        <f t="shared" si="279"/>
        <v>Hendrik Frederik</v>
      </c>
      <c r="F1422" s="12" t="s">
        <v>9112</v>
      </c>
      <c r="G1422" s="12" t="str">
        <f t="shared" si="270"/>
        <v>a1b3c3d4e6</v>
      </c>
      <c r="H1422" s="12" t="str">
        <f t="shared" si="271"/>
        <v>PRINSLOOa1b3c3d4e6</v>
      </c>
      <c r="I1422" s="12"/>
      <c r="J1422" s="12"/>
      <c r="K1422" s="12" t="str">
        <f t="shared" si="272"/>
        <v/>
      </c>
      <c r="L1422" s="12"/>
      <c r="M1422" s="12" t="s">
        <v>10197</v>
      </c>
      <c r="N1422" s="12" t="str">
        <f t="shared" si="277"/>
        <v/>
      </c>
      <c r="O1422" s="12" t="str">
        <f t="shared" si="278"/>
        <v>1788</v>
      </c>
      <c r="P1422" s="12"/>
      <c r="Q1422" s="12" t="str">
        <f t="shared" si="273"/>
        <v>1788</v>
      </c>
      <c r="R1422" s="12"/>
      <c r="S1422" s="12" t="str">
        <f t="shared" si="274"/>
        <v/>
      </c>
      <c r="T1422" s="12" t="s">
        <v>74</v>
      </c>
      <c r="U1422" s="12" t="s">
        <v>10198</v>
      </c>
      <c r="V1422" s="12" t="str">
        <f t="shared" si="275"/>
        <v>1809</v>
      </c>
      <c r="W1422" s="12" t="s">
        <v>10199</v>
      </c>
      <c r="X1422" s="12" t="s">
        <v>1388</v>
      </c>
      <c r="Y1422" s="12" t="s">
        <v>939</v>
      </c>
      <c r="Z1422" s="12"/>
      <c r="AA1422" s="12"/>
      <c r="AB1422" s="12"/>
      <c r="AC1422" s="12" t="s">
        <v>10200</v>
      </c>
      <c r="AD1422" s="12" t="s">
        <v>24</v>
      </c>
      <c r="AE1422" s="12" t="s">
        <v>10201</v>
      </c>
      <c r="AF1422" s="12" t="s">
        <v>3709</v>
      </c>
      <c r="AG1422" s="12" t="s">
        <v>68</v>
      </c>
      <c r="AH1422" s="12" t="s">
        <v>10202</v>
      </c>
      <c r="AI1422" s="12" t="str">
        <f t="shared" si="276"/>
        <v>1836</v>
      </c>
      <c r="AJ1422" s="12" t="s">
        <v>10203</v>
      </c>
      <c r="AK1422" s="12" t="s">
        <v>7630</v>
      </c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</row>
    <row r="1423" spans="1:68">
      <c r="A1423" s="12" t="s">
        <v>696</v>
      </c>
      <c r="B1423" s="12" t="str">
        <f t="shared" si="268"/>
        <v>PRINSLOO</v>
      </c>
      <c r="C1423" s="12" t="str">
        <f t="shared" si="269"/>
        <v>PRINSLOO</v>
      </c>
      <c r="D1423" s="12" t="s">
        <v>1484</v>
      </c>
      <c r="E1423" s="12" t="str">
        <f t="shared" si="279"/>
        <v>Willem Jacobus</v>
      </c>
      <c r="F1423" s="12" t="s">
        <v>9169</v>
      </c>
      <c r="G1423" s="12" t="str">
        <f t="shared" si="270"/>
        <v>a1b3c3d4e6f1</v>
      </c>
      <c r="H1423" s="12" t="str">
        <f t="shared" si="271"/>
        <v>PRINSLOOa1b3c3d4e6f1</v>
      </c>
      <c r="I1423" s="12"/>
      <c r="J1423" s="12"/>
      <c r="K1423" s="12" t="str">
        <f t="shared" si="272"/>
        <v/>
      </c>
      <c r="L1423" s="12"/>
      <c r="M1423" s="12" t="s">
        <v>15733</v>
      </c>
      <c r="N1423" s="12" t="str">
        <f t="shared" si="277"/>
        <v/>
      </c>
      <c r="O1423" s="12" t="str">
        <f t="shared" si="278"/>
        <v>1810</v>
      </c>
      <c r="P1423" s="12"/>
      <c r="Q1423" s="12" t="str">
        <f t="shared" si="273"/>
        <v>1810</v>
      </c>
      <c r="R1423" s="12"/>
      <c r="S1423" s="12" t="str">
        <f t="shared" si="274"/>
        <v/>
      </c>
      <c r="T1423" s="12" t="s">
        <v>68</v>
      </c>
      <c r="U1423" s="12" t="s">
        <v>14899</v>
      </c>
      <c r="V1423" s="12" t="str">
        <f t="shared" si="275"/>
        <v>1832</v>
      </c>
      <c r="W1423" s="12" t="s">
        <v>2936</v>
      </c>
      <c r="X1423" s="12" t="s">
        <v>8890</v>
      </c>
      <c r="Y1423" s="12" t="s">
        <v>15734</v>
      </c>
      <c r="Z1423" s="12"/>
      <c r="AA1423" s="12" t="s">
        <v>15735</v>
      </c>
      <c r="AB1423" s="12"/>
      <c r="AC1423" s="12"/>
      <c r="AD1423" s="12"/>
      <c r="AE1423" s="12"/>
      <c r="AF1423" s="12" t="s">
        <v>3709</v>
      </c>
      <c r="AG1423" s="12" t="s">
        <v>68</v>
      </c>
      <c r="AH1423" s="12" t="s">
        <v>10202</v>
      </c>
      <c r="AI1423" s="12" t="str">
        <f t="shared" si="276"/>
        <v>1836</v>
      </c>
      <c r="AJ1423" s="12" t="s">
        <v>10203</v>
      </c>
      <c r="AK1423" s="12" t="s">
        <v>551</v>
      </c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P1423" s="12"/>
    </row>
    <row r="1424" spans="1:68">
      <c r="A1424" s="12" t="s">
        <v>696</v>
      </c>
      <c r="B1424" s="12" t="str">
        <f t="shared" si="268"/>
        <v>PRINSLOO</v>
      </c>
      <c r="C1424" s="12" t="str">
        <f t="shared" si="269"/>
        <v>PRINSLOO</v>
      </c>
      <c r="D1424" s="12" t="s">
        <v>4926</v>
      </c>
      <c r="E1424" s="12" t="str">
        <f t="shared" si="279"/>
        <v>Hendrik Frederik</v>
      </c>
      <c r="F1424" s="12" t="s">
        <v>9109</v>
      </c>
      <c r="G1424" s="12" t="str">
        <f t="shared" si="270"/>
        <v>a1b3c3d4e6f3</v>
      </c>
      <c r="H1424" s="12" t="str">
        <f t="shared" si="271"/>
        <v>PRINSLOOa1b3c3d4e6f3</v>
      </c>
      <c r="I1424" s="12"/>
      <c r="J1424" s="12" t="s">
        <v>10183</v>
      </c>
      <c r="K1424" s="12" t="str">
        <f t="shared" si="272"/>
        <v>1813</v>
      </c>
      <c r="L1424" s="12" t="s">
        <v>74</v>
      </c>
      <c r="M1424" s="12" t="s">
        <v>3525</v>
      </c>
      <c r="N1424" s="12" t="str">
        <f t="shared" si="277"/>
        <v>1813</v>
      </c>
      <c r="O1424" s="12" t="str">
        <f t="shared" si="278"/>
        <v>1813</v>
      </c>
      <c r="P1424" s="12" t="s">
        <v>10184</v>
      </c>
      <c r="Q1424" s="12" t="str">
        <f t="shared" si="273"/>
        <v>1813</v>
      </c>
      <c r="R1424" s="12" t="s">
        <v>10185</v>
      </c>
      <c r="S1424" s="12" t="str">
        <f t="shared" si="274"/>
        <v>1883</v>
      </c>
      <c r="T1424" s="12" t="s">
        <v>28</v>
      </c>
      <c r="U1424" s="12" t="s">
        <v>3748</v>
      </c>
      <c r="V1424" s="12" t="str">
        <f t="shared" si="275"/>
        <v>1833</v>
      </c>
      <c r="W1424" s="12" t="s">
        <v>10186</v>
      </c>
      <c r="X1424" s="12" t="s">
        <v>295</v>
      </c>
      <c r="Y1424" s="12" t="s">
        <v>10187</v>
      </c>
      <c r="Z1424" s="12"/>
      <c r="AA1424" s="12" t="s">
        <v>10188</v>
      </c>
      <c r="AB1424" s="12" t="s">
        <v>199</v>
      </c>
      <c r="AC1424" s="12" t="s">
        <v>336</v>
      </c>
      <c r="AD1424" s="12"/>
      <c r="AE1424" s="12"/>
      <c r="AF1424" s="12" t="s">
        <v>10163</v>
      </c>
      <c r="AG1424" s="12" t="s">
        <v>68</v>
      </c>
      <c r="AH1424" s="12" t="s">
        <v>5021</v>
      </c>
      <c r="AI1424" s="12" t="str">
        <f t="shared" si="276"/>
        <v>1842</v>
      </c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</row>
    <row r="1425" spans="1:70">
      <c r="A1425" s="12" t="s">
        <v>696</v>
      </c>
      <c r="B1425" s="12" t="str">
        <f t="shared" si="268"/>
        <v>PRINSLOO</v>
      </c>
      <c r="C1425" s="12" t="str">
        <f t="shared" si="269"/>
        <v>PRINSLOO</v>
      </c>
      <c r="D1425" s="12" t="s">
        <v>9106</v>
      </c>
      <c r="E1425" s="12" t="str">
        <f t="shared" si="279"/>
        <v>George Diederik Petrus</v>
      </c>
      <c r="F1425" s="12" t="s">
        <v>9107</v>
      </c>
      <c r="G1425" s="12" t="str">
        <f t="shared" si="270"/>
        <v>a1b3c3d4e6f6</v>
      </c>
      <c r="H1425" s="12" t="str">
        <f t="shared" si="271"/>
        <v>PRINSLOOa1b3c3d4e6f6</v>
      </c>
      <c r="I1425" s="12" t="s">
        <v>10171</v>
      </c>
      <c r="J1425" s="12" t="s">
        <v>10168</v>
      </c>
      <c r="K1425" s="12" t="str">
        <f t="shared" si="272"/>
        <v>1821</v>
      </c>
      <c r="L1425" s="12" t="s">
        <v>28</v>
      </c>
      <c r="M1425" s="12" t="s">
        <v>1431</v>
      </c>
      <c r="N1425" s="12" t="str">
        <f t="shared" si="277"/>
        <v>1821</v>
      </c>
      <c r="O1425" s="12" t="str">
        <f t="shared" si="278"/>
        <v>1821</v>
      </c>
      <c r="P1425" s="12" t="s">
        <v>10170</v>
      </c>
      <c r="Q1425" s="12" t="str">
        <f t="shared" si="273"/>
        <v>1821</v>
      </c>
      <c r="R1425" s="12" t="s">
        <v>10169</v>
      </c>
      <c r="S1425" s="12" t="str">
        <f t="shared" si="274"/>
        <v>1888</v>
      </c>
      <c r="T1425" s="12"/>
      <c r="U1425" s="12"/>
      <c r="V1425" s="12" t="str">
        <f t="shared" si="275"/>
        <v/>
      </c>
      <c r="W1425" s="12" t="s">
        <v>9408</v>
      </c>
      <c r="X1425" s="12" t="s">
        <v>5187</v>
      </c>
      <c r="Y1425" s="12" t="s">
        <v>10172</v>
      </c>
      <c r="Z1425" s="12"/>
      <c r="AA1425" s="12"/>
      <c r="AB1425" s="12"/>
      <c r="AC1425" s="12"/>
      <c r="AD1425" s="12"/>
      <c r="AE1425" s="12"/>
      <c r="AF1425" s="12" t="s">
        <v>10173</v>
      </c>
      <c r="AG1425" s="12" t="s">
        <v>68</v>
      </c>
      <c r="AH1425" s="12" t="s">
        <v>4696</v>
      </c>
      <c r="AI1425" s="12" t="str">
        <f t="shared" si="276"/>
        <v>1844</v>
      </c>
      <c r="AJ1425" s="12"/>
      <c r="AK1425" s="12" t="s">
        <v>90</v>
      </c>
      <c r="AL1425" s="12" t="s">
        <v>10174</v>
      </c>
      <c r="AM1425" s="12" t="s">
        <v>10175</v>
      </c>
      <c r="AN1425" s="12" t="s">
        <v>1033</v>
      </c>
      <c r="AO1425" s="12" t="s">
        <v>5523</v>
      </c>
      <c r="AP1425" s="12"/>
      <c r="AQ1425" s="12"/>
      <c r="AR1425" s="12" t="s">
        <v>10176</v>
      </c>
      <c r="AS1425" s="12" t="s">
        <v>140</v>
      </c>
      <c r="AT1425" s="12" t="s">
        <v>10177</v>
      </c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</row>
    <row r="1426" spans="1:70">
      <c r="A1426" s="12" t="s">
        <v>696</v>
      </c>
      <c r="B1426" s="12" t="str">
        <f t="shared" si="268"/>
        <v>PRINSLOO</v>
      </c>
      <c r="C1426" s="12" t="str">
        <f t="shared" si="269"/>
        <v>PRINSLOO</v>
      </c>
      <c r="D1426" s="12" t="s">
        <v>273</v>
      </c>
      <c r="E1426" s="12" t="str">
        <f t="shared" si="279"/>
        <v>Marthinus</v>
      </c>
      <c r="F1426" s="12" t="s">
        <v>9145</v>
      </c>
      <c r="G1426" s="12" t="str">
        <f t="shared" si="270"/>
        <v>a1b3c3d5e1f1</v>
      </c>
      <c r="H1426" s="12" t="str">
        <f t="shared" si="271"/>
        <v>PRINSLOOa1b3c3d5e1f1</v>
      </c>
      <c r="I1426" s="12"/>
      <c r="J1426" s="12"/>
      <c r="K1426" s="12" t="str">
        <f t="shared" si="272"/>
        <v/>
      </c>
      <c r="L1426" s="12"/>
      <c r="M1426" s="12" t="s">
        <v>1288</v>
      </c>
      <c r="N1426" s="12" t="str">
        <f t="shared" si="277"/>
        <v/>
      </c>
      <c r="O1426" s="12" t="str">
        <f t="shared" si="278"/>
        <v>1805</v>
      </c>
      <c r="P1426" s="12"/>
      <c r="Q1426" s="12" t="str">
        <f t="shared" si="273"/>
        <v>1805</v>
      </c>
      <c r="R1426" s="12"/>
      <c r="S1426" s="12" t="str">
        <f t="shared" si="274"/>
        <v/>
      </c>
      <c r="T1426" s="12" t="s">
        <v>28</v>
      </c>
      <c r="U1426" s="12" t="s">
        <v>428</v>
      </c>
      <c r="V1426" s="12" t="str">
        <f t="shared" si="275"/>
        <v>1825</v>
      </c>
      <c r="W1426" s="12" t="s">
        <v>9549</v>
      </c>
      <c r="X1426" s="12" t="s">
        <v>1573</v>
      </c>
      <c r="Y1426" s="12" t="s">
        <v>15671</v>
      </c>
      <c r="Z1426" s="12"/>
      <c r="AA1426" s="12"/>
      <c r="AB1426" s="12"/>
      <c r="AC1426" s="12" t="s">
        <v>15672</v>
      </c>
      <c r="AD1426" s="12"/>
      <c r="AE1426" s="12"/>
      <c r="AF1426" s="12" t="s">
        <v>15656</v>
      </c>
      <c r="AG1426" s="12" t="s">
        <v>68</v>
      </c>
      <c r="AH1426" s="12" t="s">
        <v>15657</v>
      </c>
      <c r="AI1426" s="12" t="str">
        <f t="shared" si="276"/>
        <v>1837</v>
      </c>
      <c r="AJ1426" s="12" t="s">
        <v>15673</v>
      </c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</row>
    <row r="1427" spans="1:70">
      <c r="A1427" s="12" t="s">
        <v>696</v>
      </c>
      <c r="B1427" s="12" t="str">
        <f t="shared" si="268"/>
        <v>PRINSLOO</v>
      </c>
      <c r="C1427" s="12" t="str">
        <f t="shared" si="269"/>
        <v>PRINSLOO</v>
      </c>
      <c r="D1427" s="12" t="s">
        <v>30</v>
      </c>
      <c r="E1427" s="12" t="str">
        <f t="shared" si="279"/>
        <v>Johannes</v>
      </c>
      <c r="F1427" s="12" t="s">
        <v>9134</v>
      </c>
      <c r="G1427" s="12" t="str">
        <f t="shared" si="270"/>
        <v>a1b3c3d5e2</v>
      </c>
      <c r="H1427" s="12" t="str">
        <f t="shared" si="271"/>
        <v>PRINSLOOa1b3c3d5e2</v>
      </c>
      <c r="I1427" s="12"/>
      <c r="J1427" s="12"/>
      <c r="K1427" s="12" t="str">
        <f t="shared" si="272"/>
        <v/>
      </c>
      <c r="L1427" s="12"/>
      <c r="M1427" s="12" t="s">
        <v>10261</v>
      </c>
      <c r="N1427" s="12" t="str">
        <f t="shared" si="277"/>
        <v/>
      </c>
      <c r="O1427" s="12" t="str">
        <f t="shared" si="278"/>
        <v>1781</v>
      </c>
      <c r="P1427" s="12"/>
      <c r="Q1427" s="12" t="str">
        <f t="shared" si="273"/>
        <v>1781</v>
      </c>
      <c r="R1427" s="12"/>
      <c r="S1427" s="12" t="str">
        <f t="shared" si="274"/>
        <v/>
      </c>
      <c r="T1427" s="12"/>
      <c r="U1427" s="12"/>
      <c r="V1427" s="12" t="str">
        <f t="shared" si="275"/>
        <v/>
      </c>
      <c r="W1427" s="12" t="s">
        <v>1083</v>
      </c>
      <c r="X1427" s="12" t="s">
        <v>696</v>
      </c>
      <c r="Y1427" s="12" t="s">
        <v>2709</v>
      </c>
      <c r="Z1427" s="12"/>
      <c r="AA1427" s="12"/>
      <c r="AB1427" s="12"/>
      <c r="AC1427" s="12" t="s">
        <v>8679</v>
      </c>
      <c r="AD1427" s="12"/>
      <c r="AE1427" s="12"/>
      <c r="AF1427" s="12" t="s">
        <v>10262</v>
      </c>
      <c r="AG1427" s="12" t="s">
        <v>68</v>
      </c>
      <c r="AH1427" s="12" t="s">
        <v>10263</v>
      </c>
      <c r="AI1427" s="12" t="str">
        <f t="shared" si="276"/>
        <v>1837</v>
      </c>
      <c r="AJ1427" s="12" t="s">
        <v>10264</v>
      </c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</row>
    <row r="1428" spans="1:70">
      <c r="A1428" s="12" t="s">
        <v>696</v>
      </c>
      <c r="B1428" s="12" t="str">
        <f t="shared" si="268"/>
        <v>PRINSLOO</v>
      </c>
      <c r="C1428" s="12" t="str">
        <f t="shared" si="269"/>
        <v>PRINSLOO</v>
      </c>
      <c r="D1428" s="12" t="s">
        <v>231</v>
      </c>
      <c r="E1428" s="12" t="str">
        <f t="shared" si="279"/>
        <v>Willem Johannes</v>
      </c>
      <c r="F1428" s="12" t="s">
        <v>9170</v>
      </c>
      <c r="G1428" s="12" t="str">
        <f t="shared" si="270"/>
        <v>a1b3c3d5e2f1</v>
      </c>
      <c r="H1428" s="12" t="str">
        <f t="shared" si="271"/>
        <v>PRINSLOOa1b3c3d5e2f1</v>
      </c>
      <c r="I1428" s="12"/>
      <c r="J1428" s="12"/>
      <c r="K1428" s="12" t="str">
        <f t="shared" si="272"/>
        <v/>
      </c>
      <c r="L1428" s="12"/>
      <c r="M1428" s="12" t="s">
        <v>1267</v>
      </c>
      <c r="N1428" s="12" t="str">
        <f t="shared" si="277"/>
        <v/>
      </c>
      <c r="O1428" s="12" t="str">
        <f t="shared" si="278"/>
        <v>1807</v>
      </c>
      <c r="P1428" s="12"/>
      <c r="Q1428" s="12" t="str">
        <f t="shared" si="273"/>
        <v>1807</v>
      </c>
      <c r="R1428" s="12"/>
      <c r="S1428" s="12" t="str">
        <f t="shared" si="274"/>
        <v/>
      </c>
      <c r="T1428" s="12" t="s">
        <v>68</v>
      </c>
      <c r="U1428" s="12" t="s">
        <v>9673</v>
      </c>
      <c r="V1428" s="12" t="str">
        <f t="shared" si="275"/>
        <v>1829</v>
      </c>
      <c r="W1428" s="12" t="s">
        <v>3265</v>
      </c>
      <c r="X1428" s="12" t="s">
        <v>1369</v>
      </c>
      <c r="Y1428" s="12" t="s">
        <v>15736</v>
      </c>
      <c r="Z1428" s="12"/>
      <c r="AA1428" s="12" t="s">
        <v>15737</v>
      </c>
      <c r="AB1428" s="12" t="s">
        <v>74</v>
      </c>
      <c r="AC1428" s="12" t="s">
        <v>4663</v>
      </c>
      <c r="AD1428" s="12"/>
      <c r="AE1428" s="12"/>
      <c r="AF1428" s="12" t="s">
        <v>15738</v>
      </c>
      <c r="AG1428" s="12" t="s">
        <v>68</v>
      </c>
      <c r="AH1428" s="12" t="s">
        <v>15739</v>
      </c>
      <c r="AI1428" s="12" t="str">
        <f t="shared" si="276"/>
        <v>ARCH</v>
      </c>
      <c r="AJ1428" s="12" t="s">
        <v>15740</v>
      </c>
      <c r="AK1428" s="12" t="s">
        <v>90</v>
      </c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</row>
    <row r="1429" spans="1:70">
      <c r="A1429" s="12" t="s">
        <v>696</v>
      </c>
      <c r="B1429" s="12" t="str">
        <f t="shared" si="268"/>
        <v>PRINSLOO</v>
      </c>
      <c r="C1429" s="12" t="str">
        <f t="shared" si="269"/>
        <v>PRINSLOO</v>
      </c>
      <c r="D1429" s="12" t="s">
        <v>9143</v>
      </c>
      <c r="E1429" s="12" t="str">
        <f t="shared" si="279"/>
        <v>Marthinus (J. Son)</v>
      </c>
      <c r="F1429" s="12" t="s">
        <v>9144</v>
      </c>
      <c r="G1429" s="12" t="str">
        <f t="shared" si="270"/>
        <v>a1b3c3d5e2f4</v>
      </c>
      <c r="H1429" s="12" t="str">
        <f t="shared" si="271"/>
        <v>PRINSLOOa1b3c3d5e2f4</v>
      </c>
      <c r="I1429" s="12"/>
      <c r="J1429" s="12" t="s">
        <v>15669</v>
      </c>
      <c r="K1429" s="12" t="str">
        <f t="shared" si="272"/>
        <v>1812</v>
      </c>
      <c r="L1429" s="12" t="s">
        <v>74</v>
      </c>
      <c r="M1429" s="12" t="s">
        <v>7516</v>
      </c>
      <c r="N1429" s="12" t="str">
        <f t="shared" si="277"/>
        <v>1812</v>
      </c>
      <c r="O1429" s="12" t="str">
        <f t="shared" si="278"/>
        <v>1813</v>
      </c>
      <c r="P1429" s="12"/>
      <c r="Q1429" s="12" t="str">
        <f t="shared" si="273"/>
        <v>1812</v>
      </c>
      <c r="R1429" s="12"/>
      <c r="S1429" s="12" t="str">
        <f t="shared" si="274"/>
        <v/>
      </c>
      <c r="T1429" s="12"/>
      <c r="U1429" s="12"/>
      <c r="V1429" s="12" t="str">
        <f t="shared" si="275"/>
        <v/>
      </c>
      <c r="W1429" s="12" t="s">
        <v>8816</v>
      </c>
      <c r="X1429" s="12" t="s">
        <v>696</v>
      </c>
      <c r="Y1429" s="12"/>
      <c r="Z1429" s="12"/>
      <c r="AA1429" s="12"/>
      <c r="AB1429" s="12"/>
      <c r="AC1429" s="12"/>
      <c r="AD1429" s="12"/>
      <c r="AE1429" s="12"/>
      <c r="AF1429" s="12" t="s">
        <v>15656</v>
      </c>
      <c r="AG1429" s="12" t="s">
        <v>68</v>
      </c>
      <c r="AH1429" s="12"/>
      <c r="AI1429" s="12" t="str">
        <f t="shared" si="276"/>
        <v/>
      </c>
      <c r="AJ1429" s="12" t="s">
        <v>15670</v>
      </c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</row>
    <row r="1430" spans="1:70">
      <c r="A1430" s="12" t="s">
        <v>696</v>
      </c>
      <c r="B1430" s="12" t="str">
        <f t="shared" si="268"/>
        <v>PRINSLOO</v>
      </c>
      <c r="C1430" s="12" t="str">
        <f t="shared" si="269"/>
        <v>PRINSLOO</v>
      </c>
      <c r="D1430" s="12" t="s">
        <v>2253</v>
      </c>
      <c r="E1430" s="12" t="str">
        <f t="shared" si="279"/>
        <v>Johannes Jacobus</v>
      </c>
      <c r="F1430" s="12" t="s">
        <v>9138</v>
      </c>
      <c r="G1430" s="12" t="str">
        <f t="shared" si="270"/>
        <v>a1b3c3d5e2f5</v>
      </c>
      <c r="H1430" s="12" t="str">
        <f t="shared" si="271"/>
        <v>PRINSLOOa1b3c3d5e2f5</v>
      </c>
      <c r="I1430" s="12"/>
      <c r="J1430" s="12" t="s">
        <v>9411</v>
      </c>
      <c r="K1430" s="12" t="str">
        <f t="shared" si="272"/>
        <v>1816</v>
      </c>
      <c r="L1430" s="12"/>
      <c r="M1430" s="12"/>
      <c r="N1430" s="12" t="str">
        <f t="shared" si="277"/>
        <v>1816</v>
      </c>
      <c r="O1430" s="12" t="str">
        <f t="shared" si="278"/>
        <v/>
      </c>
      <c r="P1430" s="12"/>
      <c r="Q1430" s="12" t="str">
        <f t="shared" si="273"/>
        <v>1816</v>
      </c>
      <c r="R1430" s="12"/>
      <c r="S1430" s="12" t="str">
        <f t="shared" si="274"/>
        <v/>
      </c>
      <c r="T1430" s="12" t="s">
        <v>5146</v>
      </c>
      <c r="U1430" s="12" t="s">
        <v>15652</v>
      </c>
      <c r="V1430" s="12" t="str">
        <f t="shared" si="275"/>
        <v>1839</v>
      </c>
      <c r="W1430" s="12" t="s">
        <v>15653</v>
      </c>
      <c r="X1430" s="12" t="s">
        <v>3799</v>
      </c>
      <c r="Y1430" s="12" t="s">
        <v>15654</v>
      </c>
      <c r="Z1430" s="12"/>
      <c r="AA1430" s="12"/>
      <c r="AB1430" s="12"/>
      <c r="AC1430" s="12" t="s">
        <v>15655</v>
      </c>
      <c r="AD1430" s="12"/>
      <c r="AE1430" s="12"/>
      <c r="AF1430" s="12" t="s">
        <v>15656</v>
      </c>
      <c r="AG1430" s="12" t="s">
        <v>68</v>
      </c>
      <c r="AH1430" s="12" t="s">
        <v>15657</v>
      </c>
      <c r="AI1430" s="12" t="str">
        <f t="shared" si="276"/>
        <v>1837</v>
      </c>
      <c r="AJ1430" s="12" t="s">
        <v>15658</v>
      </c>
      <c r="AK1430" s="12" t="s">
        <v>67</v>
      </c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</row>
    <row r="1431" spans="1:70">
      <c r="A1431" s="12" t="s">
        <v>696</v>
      </c>
      <c r="B1431" s="12" t="str">
        <f t="shared" si="268"/>
        <v>PRINSLOO</v>
      </c>
      <c r="C1431" s="12" t="str">
        <f t="shared" si="269"/>
        <v>PRINSLOO</v>
      </c>
      <c r="D1431" s="12" t="s">
        <v>4926</v>
      </c>
      <c r="E1431" s="12" t="str">
        <f t="shared" si="279"/>
        <v>Hendrik Frederik</v>
      </c>
      <c r="F1431" s="12" t="s">
        <v>9111</v>
      </c>
      <c r="G1431" s="12" t="str">
        <f t="shared" si="270"/>
        <v>a1b3c3d5e2f7</v>
      </c>
      <c r="H1431" s="12" t="str">
        <f t="shared" si="271"/>
        <v>PRINSLOOa1b3c3d5e2f7</v>
      </c>
      <c r="I1431" s="12"/>
      <c r="J1431" s="12" t="s">
        <v>10193</v>
      </c>
      <c r="K1431" s="12" t="str">
        <f t="shared" si="272"/>
        <v>1818</v>
      </c>
      <c r="L1431" s="12"/>
      <c r="M1431" s="12" t="s">
        <v>415</v>
      </c>
      <c r="N1431" s="12" t="str">
        <f t="shared" si="277"/>
        <v>1818</v>
      </c>
      <c r="O1431" s="12" t="str">
        <f t="shared" si="278"/>
        <v>1819</v>
      </c>
      <c r="P1431" s="12"/>
      <c r="Q1431" s="12" t="str">
        <f t="shared" si="273"/>
        <v>1818</v>
      </c>
      <c r="R1431" s="12"/>
      <c r="S1431" s="12" t="str">
        <f t="shared" si="274"/>
        <v/>
      </c>
      <c r="T1431" s="12" t="s">
        <v>68</v>
      </c>
      <c r="U1431" s="12" t="s">
        <v>2968</v>
      </c>
      <c r="V1431" s="12" t="str">
        <f t="shared" si="275"/>
        <v>1838</v>
      </c>
      <c r="W1431" s="12" t="s">
        <v>10194</v>
      </c>
      <c r="X1431" s="12" t="s">
        <v>696</v>
      </c>
      <c r="Y1431" s="12" t="s">
        <v>10195</v>
      </c>
      <c r="Z1431" s="12"/>
      <c r="AA1431" s="12"/>
      <c r="AB1431" s="12"/>
      <c r="AC1431" s="12"/>
      <c r="AD1431" s="12"/>
      <c r="AE1431" s="12"/>
      <c r="AF1431" s="12" t="s">
        <v>10163</v>
      </c>
      <c r="AG1431" s="12" t="s">
        <v>68</v>
      </c>
      <c r="AH1431" s="12" t="s">
        <v>10196</v>
      </c>
      <c r="AI1431" s="12" t="str">
        <f t="shared" si="276"/>
        <v>1838</v>
      </c>
      <c r="AJ1431" s="12"/>
      <c r="AK1431" s="12" t="s">
        <v>7630</v>
      </c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</row>
    <row r="1432" spans="1:70">
      <c r="A1432" s="12" t="s">
        <v>696</v>
      </c>
      <c r="B1432" s="12" t="str">
        <f t="shared" si="268"/>
        <v>PRINSLOO</v>
      </c>
      <c r="C1432" s="12" t="str">
        <f t="shared" si="269"/>
        <v>PRINSLOO</v>
      </c>
      <c r="D1432" s="12" t="s">
        <v>9154</v>
      </c>
      <c r="E1432" s="12" t="str">
        <f t="shared" si="279"/>
        <v>Nicolaas Balthasar (Klaas Nuweveld)</v>
      </c>
      <c r="F1432" s="12" t="s">
        <v>9155</v>
      </c>
      <c r="G1432" s="12" t="str">
        <f t="shared" si="270"/>
        <v>a1b3c3d5e8</v>
      </c>
      <c r="H1432" s="12" t="str">
        <f t="shared" si="271"/>
        <v>PRINSLOOa1b3c3d5e8</v>
      </c>
      <c r="I1432" s="12"/>
      <c r="J1432" s="12"/>
      <c r="K1432" s="12" t="str">
        <f t="shared" si="272"/>
        <v/>
      </c>
      <c r="L1432" s="12"/>
      <c r="M1432" s="12" t="s">
        <v>4180</v>
      </c>
      <c r="N1432" s="12" t="str">
        <f t="shared" si="277"/>
        <v/>
      </c>
      <c r="O1432" s="12" t="str">
        <f t="shared" si="278"/>
        <v>1794</v>
      </c>
      <c r="P1432" s="12" t="s">
        <v>15674</v>
      </c>
      <c r="Q1432" s="12" t="str">
        <f t="shared" si="273"/>
        <v>1794</v>
      </c>
      <c r="R1432" s="12" t="s">
        <v>7837</v>
      </c>
      <c r="S1432" s="12" t="str">
        <f t="shared" si="274"/>
        <v>1836</v>
      </c>
      <c r="T1432" s="12" t="s">
        <v>542</v>
      </c>
      <c r="U1432" s="12" t="s">
        <v>15698</v>
      </c>
      <c r="V1432" s="12" t="str">
        <f t="shared" si="275"/>
        <v>1819</v>
      </c>
      <c r="W1432" s="12" t="s">
        <v>15699</v>
      </c>
      <c r="X1432" s="12" t="s">
        <v>1578</v>
      </c>
      <c r="Y1432" s="12"/>
      <c r="Z1432" s="12"/>
      <c r="AA1432" s="12"/>
      <c r="AB1432" s="12"/>
      <c r="AC1432" s="12"/>
      <c r="AD1432" s="12" t="s">
        <v>15674</v>
      </c>
      <c r="AE1432" s="12" t="s">
        <v>7837</v>
      </c>
      <c r="AF1432" s="12" t="s">
        <v>7563</v>
      </c>
      <c r="AG1432" s="12" t="s">
        <v>68</v>
      </c>
      <c r="AH1432" s="12" t="s">
        <v>9874</v>
      </c>
      <c r="AI1432" s="12" t="str">
        <f t="shared" si="276"/>
        <v>1835</v>
      </c>
      <c r="AJ1432" s="12" t="s">
        <v>15700</v>
      </c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</row>
    <row r="1433" spans="1:70">
      <c r="A1433" s="12" t="s">
        <v>696</v>
      </c>
      <c r="B1433" s="12" t="str">
        <f t="shared" si="268"/>
        <v>PRINSLOO</v>
      </c>
      <c r="C1433" s="12" t="str">
        <f t="shared" si="269"/>
        <v>PRINSLOO</v>
      </c>
      <c r="D1433" s="12" t="s">
        <v>8545</v>
      </c>
      <c r="E1433" s="12" t="str">
        <f t="shared" si="279"/>
        <v>Joachim Johannes</v>
      </c>
      <c r="F1433" s="12" t="s">
        <v>9128</v>
      </c>
      <c r="G1433" s="12" t="str">
        <f t="shared" si="270"/>
        <v>a1b3c3d6e1</v>
      </c>
      <c r="H1433" s="12" t="str">
        <f t="shared" si="271"/>
        <v>PRINSLOOa1b3c3d6e1</v>
      </c>
      <c r="J1433" s="12"/>
      <c r="K1433" s="12" t="str">
        <f t="shared" si="272"/>
        <v/>
      </c>
      <c r="L1433" s="12"/>
      <c r="M1433" s="12" t="s">
        <v>1008</v>
      </c>
      <c r="N1433" s="12" t="str">
        <f t="shared" si="277"/>
        <v/>
      </c>
      <c r="O1433" s="12" t="str">
        <f t="shared" si="278"/>
        <v>1783</v>
      </c>
      <c r="P1433" s="12" t="s">
        <v>8343</v>
      </c>
      <c r="Q1433" s="12" t="str">
        <f t="shared" si="273"/>
        <v>1783</v>
      </c>
      <c r="R1433" s="12" t="s">
        <v>301</v>
      </c>
      <c r="S1433" s="12" t="str">
        <f t="shared" si="274"/>
        <v>1838</v>
      </c>
      <c r="T1433" s="2" t="s">
        <v>48</v>
      </c>
      <c r="U1433" s="12" t="s">
        <v>10245</v>
      </c>
      <c r="V1433" s="12" t="str">
        <f t="shared" si="275"/>
        <v>1803</v>
      </c>
      <c r="W1433" s="12" t="s">
        <v>811</v>
      </c>
      <c r="X1433" s="12" t="s">
        <v>696</v>
      </c>
      <c r="Y1433" s="2" t="s">
        <v>8707</v>
      </c>
      <c r="AA1433" s="12"/>
      <c r="AB1433" s="12"/>
      <c r="AC1433" s="12"/>
      <c r="AD1433" s="12" t="s">
        <v>10246</v>
      </c>
      <c r="AE1433" s="12" t="s">
        <v>301</v>
      </c>
      <c r="AF1433" s="12" t="s">
        <v>3709</v>
      </c>
      <c r="AG1433" s="12" t="s">
        <v>68</v>
      </c>
      <c r="AH1433" s="12" t="s">
        <v>9445</v>
      </c>
      <c r="AI1433" s="12" t="str">
        <f t="shared" si="276"/>
        <v>1837</v>
      </c>
      <c r="AK1433" s="12"/>
    </row>
    <row r="1434" spans="1:70">
      <c r="A1434" s="12" t="s">
        <v>696</v>
      </c>
      <c r="B1434" s="12" t="str">
        <f t="shared" si="268"/>
        <v>PRINSLOO</v>
      </c>
      <c r="C1434" s="12" t="str">
        <f t="shared" si="269"/>
        <v>PRINSLOO</v>
      </c>
      <c r="D1434" s="12" t="s">
        <v>9152</v>
      </c>
      <c r="E1434" s="12" t="str">
        <f t="shared" si="279"/>
        <v>Nicolaas (Klaas)</v>
      </c>
      <c r="F1434" s="12" t="s">
        <v>9153</v>
      </c>
      <c r="G1434" s="12" t="str">
        <f t="shared" si="270"/>
        <v>a1b3c3d6e11</v>
      </c>
      <c r="H1434" s="12" t="str">
        <f t="shared" si="271"/>
        <v>PRINSLOOa1b3c3d6e11</v>
      </c>
      <c r="J1434" s="12"/>
      <c r="K1434" s="12" t="str">
        <f t="shared" si="272"/>
        <v/>
      </c>
      <c r="L1434" s="12"/>
      <c r="M1434" s="12" t="s">
        <v>1224</v>
      </c>
      <c r="N1434" s="12" t="str">
        <f t="shared" si="277"/>
        <v/>
      </c>
      <c r="O1434" s="12" t="str">
        <f t="shared" si="278"/>
        <v>1809</v>
      </c>
      <c r="P1434" s="12"/>
      <c r="Q1434" s="12" t="str">
        <f t="shared" si="273"/>
        <v>1809</v>
      </c>
      <c r="R1434" s="12"/>
      <c r="S1434" s="12" t="str">
        <f t="shared" si="274"/>
        <v/>
      </c>
      <c r="T1434" s="12" t="s">
        <v>68</v>
      </c>
      <c r="U1434" s="12" t="s">
        <v>5051</v>
      </c>
      <c r="V1434" s="12" t="str">
        <f t="shared" si="275"/>
        <v>1832</v>
      </c>
      <c r="W1434" s="12" t="s">
        <v>15695</v>
      </c>
      <c r="X1434" s="12" t="s">
        <v>295</v>
      </c>
      <c r="Y1434" s="12" t="s">
        <v>2592</v>
      </c>
      <c r="AA1434" s="12" t="s">
        <v>535</v>
      </c>
      <c r="AC1434" s="12" t="s">
        <v>15696</v>
      </c>
      <c r="AF1434" s="12" t="s">
        <v>3709</v>
      </c>
      <c r="AG1434" s="12" t="s">
        <v>68</v>
      </c>
      <c r="AH1434" s="12" t="s">
        <v>15697</v>
      </c>
      <c r="AJ1434" s="12" t="s">
        <v>7099</v>
      </c>
      <c r="AK1434" s="12" t="s">
        <v>90</v>
      </c>
    </row>
    <row r="1435" spans="1:70">
      <c r="A1435" s="12" t="s">
        <v>696</v>
      </c>
      <c r="B1435" s="12" t="str">
        <f t="shared" si="268"/>
        <v>PRINSLOO</v>
      </c>
      <c r="C1435" s="12" t="str">
        <f t="shared" si="269"/>
        <v>PRINSLOO</v>
      </c>
      <c r="D1435" s="12" t="s">
        <v>9130</v>
      </c>
      <c r="E1435" s="12" t="str">
        <f t="shared" si="279"/>
        <v>Joachim (Joachemus) Johannes Petrus</v>
      </c>
      <c r="F1435" s="12" t="s">
        <v>9131</v>
      </c>
      <c r="G1435" s="12" t="str">
        <f t="shared" si="270"/>
        <v>a1b3c3d6e1f3</v>
      </c>
      <c r="H1435" s="12" t="str">
        <f t="shared" si="271"/>
        <v>PRINSLOOa1b3c3d6e1f3</v>
      </c>
      <c r="J1435" s="12"/>
      <c r="K1435" s="12" t="str">
        <f t="shared" si="272"/>
        <v/>
      </c>
      <c r="L1435" s="12"/>
      <c r="M1435" s="12" t="s">
        <v>1893</v>
      </c>
      <c r="N1435" s="12" t="str">
        <f t="shared" si="277"/>
        <v/>
      </c>
      <c r="O1435" s="12" t="str">
        <f t="shared" si="278"/>
        <v>1807</v>
      </c>
      <c r="Q1435" s="12" t="str">
        <f t="shared" si="273"/>
        <v>1807</v>
      </c>
      <c r="R1435" s="2" t="s">
        <v>10249</v>
      </c>
      <c r="S1435" s="12" t="str">
        <f t="shared" si="274"/>
        <v>1877</v>
      </c>
      <c r="T1435" s="12"/>
      <c r="U1435" s="12"/>
      <c r="V1435" s="12" t="str">
        <f t="shared" si="275"/>
        <v/>
      </c>
      <c r="W1435" s="12" t="s">
        <v>10250</v>
      </c>
      <c r="X1435" s="12" t="s">
        <v>295</v>
      </c>
      <c r="Y1435" s="12" t="s">
        <v>10251</v>
      </c>
      <c r="AA1435" s="12" t="s">
        <v>10252</v>
      </c>
      <c r="AC1435" s="12"/>
      <c r="AF1435" s="12" t="s">
        <v>10173</v>
      </c>
      <c r="AG1435" s="12" t="s">
        <v>68</v>
      </c>
      <c r="AH1435" s="12">
        <v>1837</v>
      </c>
      <c r="AI1435" s="12" t="str">
        <f t="shared" si="276"/>
        <v>1837</v>
      </c>
      <c r="AK1435" s="12" t="s">
        <v>90</v>
      </c>
    </row>
    <row r="1436" spans="1:70">
      <c r="A1436" s="12" t="s">
        <v>696</v>
      </c>
      <c r="B1436" s="12" t="str">
        <f t="shared" si="268"/>
        <v>PRINSLOO</v>
      </c>
      <c r="C1436" s="12" t="str">
        <f t="shared" si="269"/>
        <v>PRINSLOO</v>
      </c>
      <c r="D1436" s="12" t="s">
        <v>9113</v>
      </c>
      <c r="E1436" s="12" t="str">
        <f t="shared" si="279"/>
        <v>Hendrik Petrus Sr.</v>
      </c>
      <c r="F1436" s="2" t="s">
        <v>3121</v>
      </c>
      <c r="G1436" s="12" t="str">
        <f t="shared" si="270"/>
        <v>a1b3c3d6e5</v>
      </c>
      <c r="H1436" s="12" t="str">
        <f t="shared" si="271"/>
        <v>PRINSLOOa1b3c3d6e5</v>
      </c>
      <c r="K1436" s="12" t="str">
        <f t="shared" si="272"/>
        <v/>
      </c>
      <c r="M1436" s="2" t="s">
        <v>4195</v>
      </c>
      <c r="N1436" s="12" t="str">
        <f t="shared" si="277"/>
        <v/>
      </c>
      <c r="O1436" s="12" t="str">
        <f t="shared" si="278"/>
        <v>1791</v>
      </c>
      <c r="Q1436" s="12" t="str">
        <f t="shared" si="273"/>
        <v>1791</v>
      </c>
      <c r="S1436" s="12" t="str">
        <f t="shared" si="274"/>
        <v/>
      </c>
      <c r="T1436" s="2" t="s">
        <v>74</v>
      </c>
      <c r="U1436" s="2" t="s">
        <v>1191</v>
      </c>
      <c r="V1436" s="12" t="str">
        <f t="shared" si="275"/>
        <v>1814</v>
      </c>
      <c r="W1436" s="12" t="s">
        <v>10204</v>
      </c>
      <c r="X1436" s="12" t="s">
        <v>700</v>
      </c>
      <c r="Y1436" s="2" t="s">
        <v>10205</v>
      </c>
      <c r="AF1436" s="2" t="s">
        <v>10163</v>
      </c>
      <c r="AG1436" s="2" t="s">
        <v>68</v>
      </c>
      <c r="AH1436" s="12" t="s">
        <v>10206</v>
      </c>
      <c r="AI1436" s="12" t="str">
        <f t="shared" si="276"/>
        <v>1841</v>
      </c>
      <c r="AK1436" s="12" t="s">
        <v>90</v>
      </c>
    </row>
    <row r="1437" spans="1:70">
      <c r="A1437" s="12" t="s">
        <v>696</v>
      </c>
      <c r="B1437" s="12" t="str">
        <f t="shared" si="268"/>
        <v>PRINSLOO</v>
      </c>
      <c r="C1437" s="12" t="str">
        <f t="shared" si="269"/>
        <v>PRINSLOO</v>
      </c>
      <c r="D1437" s="12" t="s">
        <v>9124</v>
      </c>
      <c r="E1437" s="12" t="str">
        <f t="shared" si="279"/>
        <v>Joachim (Joachemus) Johannes</v>
      </c>
      <c r="F1437" s="12" t="s">
        <v>9125</v>
      </c>
      <c r="G1437" s="12" t="str">
        <f t="shared" si="270"/>
        <v>a1b3c3d6e5f1</v>
      </c>
      <c r="H1437" s="12" t="str">
        <f t="shared" si="271"/>
        <v>PRINSLOOa1b3c3d6e5f1</v>
      </c>
      <c r="J1437" s="12" t="s">
        <v>10235</v>
      </c>
      <c r="K1437" s="12" t="str">
        <f t="shared" si="272"/>
        <v>1815</v>
      </c>
      <c r="L1437" s="12" t="s">
        <v>74</v>
      </c>
      <c r="M1437" s="12" t="s">
        <v>2727</v>
      </c>
      <c r="N1437" s="12" t="str">
        <f t="shared" si="277"/>
        <v>1815</v>
      </c>
      <c r="O1437" s="12" t="str">
        <f t="shared" si="278"/>
        <v>1815</v>
      </c>
      <c r="P1437" s="12"/>
      <c r="Q1437" s="12" t="str">
        <f t="shared" si="273"/>
        <v>1815</v>
      </c>
      <c r="S1437" s="12" t="str">
        <f t="shared" si="274"/>
        <v/>
      </c>
      <c r="T1437" s="12" t="s">
        <v>68</v>
      </c>
      <c r="U1437" s="12" t="s">
        <v>10236</v>
      </c>
      <c r="V1437" s="12" t="str">
        <f t="shared" si="275"/>
        <v>1836</v>
      </c>
      <c r="W1437" s="12" t="s">
        <v>10237</v>
      </c>
      <c r="X1437" s="12" t="s">
        <v>295</v>
      </c>
      <c r="Y1437" s="2" t="s">
        <v>10238</v>
      </c>
      <c r="AC1437" s="12"/>
      <c r="AE1437" s="12"/>
      <c r="AF1437" s="12" t="s">
        <v>3706</v>
      </c>
      <c r="AG1437" s="12" t="s">
        <v>68</v>
      </c>
      <c r="AH1437" s="12" t="s">
        <v>385</v>
      </c>
      <c r="AI1437" s="12" t="str">
        <f t="shared" si="276"/>
        <v>1840</v>
      </c>
      <c r="AJ1437" s="12"/>
      <c r="AK1437" s="2" t="s">
        <v>4588</v>
      </c>
      <c r="AL1437" s="12"/>
      <c r="AM1437" s="12"/>
      <c r="AN1437" s="12"/>
      <c r="AO1437" s="12"/>
      <c r="AT1437" s="12"/>
      <c r="AV1437" s="12"/>
      <c r="AW1437" s="12"/>
      <c r="AX1437" s="12"/>
      <c r="AY1437" s="12"/>
      <c r="AZ1437" s="12"/>
      <c r="BD1437" s="12"/>
      <c r="BG1437" s="12"/>
      <c r="BH1437" s="12"/>
      <c r="BI1437" s="12"/>
      <c r="BJ1437" s="12"/>
      <c r="BL1437" s="12"/>
      <c r="BN1437" s="12"/>
    </row>
    <row r="1438" spans="1:70">
      <c r="A1438" s="12" t="s">
        <v>696</v>
      </c>
      <c r="B1438" s="12" t="str">
        <f t="shared" si="268"/>
        <v>PRINSLOO</v>
      </c>
      <c r="C1438" s="12" t="str">
        <f t="shared" si="269"/>
        <v>PRINSLOO</v>
      </c>
      <c r="D1438" s="12" t="s">
        <v>7531</v>
      </c>
      <c r="E1438" s="12" t="str">
        <f t="shared" si="279"/>
        <v>Jacobus Marthinus</v>
      </c>
      <c r="F1438" s="12" t="s">
        <v>9119</v>
      </c>
      <c r="G1438" s="12" t="str">
        <f t="shared" si="270"/>
        <v>a1b3c3d6e5f2</v>
      </c>
      <c r="H1438" s="12" t="str">
        <f t="shared" si="271"/>
        <v>PRINSLOOa1b3c3d6e5f2</v>
      </c>
      <c r="I1438" s="12"/>
      <c r="J1438" s="12"/>
      <c r="K1438" s="12" t="str">
        <f t="shared" si="272"/>
        <v/>
      </c>
      <c r="L1438" s="12"/>
      <c r="M1438" s="12"/>
      <c r="N1438" s="12" t="str">
        <f t="shared" si="277"/>
        <v/>
      </c>
      <c r="O1438" s="12" t="str">
        <f t="shared" si="278"/>
        <v/>
      </c>
      <c r="P1438" s="12"/>
      <c r="Q1438" s="12" t="str">
        <f t="shared" si="273"/>
        <v/>
      </c>
      <c r="R1438" s="12"/>
      <c r="S1438" s="12" t="str">
        <f t="shared" si="274"/>
        <v/>
      </c>
      <c r="V1438" s="12" t="str">
        <f t="shared" si="275"/>
        <v/>
      </c>
      <c r="W1438" s="12"/>
      <c r="X1438" s="12"/>
      <c r="AD1438" s="12"/>
      <c r="AE1438" s="12"/>
      <c r="AF1438" s="12"/>
      <c r="AG1438" s="12"/>
      <c r="AH1438" s="12"/>
      <c r="AI1438" s="12" t="str">
        <f t="shared" si="276"/>
        <v/>
      </c>
      <c r="AJ1438" s="12"/>
      <c r="AK1438" s="12"/>
    </row>
    <row r="1439" spans="1:70">
      <c r="A1439" s="12" t="s">
        <v>696</v>
      </c>
      <c r="B1439" s="12" t="str">
        <f t="shared" si="268"/>
        <v>PRINSLOO</v>
      </c>
      <c r="C1439" s="12" t="str">
        <f t="shared" si="269"/>
        <v>PRINSLOO</v>
      </c>
      <c r="D1439" s="12" t="s">
        <v>9114</v>
      </c>
      <c r="E1439" s="12" t="str">
        <f t="shared" si="279"/>
        <v>Hendrik Petrus Jr.</v>
      </c>
      <c r="F1439" s="12" t="s">
        <v>9115</v>
      </c>
      <c r="G1439" s="12" t="str">
        <f t="shared" si="270"/>
        <v>a1b3c3d6e5f3</v>
      </c>
      <c r="H1439" s="12" t="str">
        <f t="shared" si="271"/>
        <v>PRINSLOOa1b3c3d6e5f3</v>
      </c>
      <c r="I1439" s="12"/>
      <c r="J1439" s="12" t="s">
        <v>10207</v>
      </c>
      <c r="K1439" s="12" t="str">
        <f t="shared" si="272"/>
        <v>1819</v>
      </c>
      <c r="L1439" s="12" t="s">
        <v>28</v>
      </c>
      <c r="M1439" s="12" t="s">
        <v>5323</v>
      </c>
      <c r="N1439" s="12" t="str">
        <f t="shared" si="277"/>
        <v>1819</v>
      </c>
      <c r="O1439" s="12" t="str">
        <f t="shared" si="278"/>
        <v>1819</v>
      </c>
      <c r="P1439" s="12"/>
      <c r="Q1439" s="12" t="str">
        <f t="shared" si="273"/>
        <v>1819</v>
      </c>
      <c r="R1439" s="12"/>
      <c r="S1439" s="12" t="str">
        <f t="shared" si="274"/>
        <v/>
      </c>
      <c r="T1439" s="12"/>
      <c r="U1439" s="12"/>
      <c r="V1439" s="12" t="str">
        <f t="shared" si="275"/>
        <v/>
      </c>
      <c r="W1439" s="12" t="s">
        <v>7549</v>
      </c>
      <c r="X1439" s="12" t="s">
        <v>776</v>
      </c>
      <c r="Y1439" s="12" t="s">
        <v>10208</v>
      </c>
      <c r="Z1439" s="12"/>
      <c r="AA1439" s="12"/>
      <c r="AB1439" s="12"/>
      <c r="AC1439" s="12"/>
      <c r="AD1439" s="12"/>
      <c r="AE1439" s="12"/>
      <c r="AF1439" s="12" t="s">
        <v>10163</v>
      </c>
      <c r="AG1439" s="12" t="s">
        <v>68</v>
      </c>
      <c r="AH1439" s="12" t="s">
        <v>2489</v>
      </c>
      <c r="AI1439" s="12" t="str">
        <f t="shared" si="276"/>
        <v>1841</v>
      </c>
      <c r="AJ1439" s="12"/>
      <c r="AK1439" s="12" t="s">
        <v>90</v>
      </c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  <c r="BO1439" s="12"/>
      <c r="BP1439" s="12"/>
      <c r="BQ1439" s="12"/>
      <c r="BR1439" s="12"/>
    </row>
    <row r="1440" spans="1:70">
      <c r="A1440" s="12" t="s">
        <v>696</v>
      </c>
      <c r="B1440" s="12" t="str">
        <f t="shared" si="268"/>
        <v>PRINSLOO</v>
      </c>
      <c r="C1440" s="12" t="str">
        <f t="shared" si="269"/>
        <v>PRINSLOO</v>
      </c>
      <c r="D1440" s="12" t="s">
        <v>9148</v>
      </c>
      <c r="E1440" s="12" t="str">
        <f t="shared" si="279"/>
        <v>Marthinus Lourens</v>
      </c>
      <c r="F1440" s="12" t="s">
        <v>8430</v>
      </c>
      <c r="G1440" s="12" t="str">
        <f t="shared" si="270"/>
        <v>a1b3c3d6e6</v>
      </c>
      <c r="H1440" s="12" t="str">
        <f t="shared" si="271"/>
        <v>PRINSLOOa1b3c3d6e6</v>
      </c>
      <c r="I1440" s="12"/>
      <c r="J1440" s="12"/>
      <c r="K1440" s="12" t="str">
        <f t="shared" si="272"/>
        <v/>
      </c>
      <c r="L1440" s="12"/>
      <c r="M1440" s="12" t="s">
        <v>3329</v>
      </c>
      <c r="N1440" s="12" t="str">
        <f t="shared" si="277"/>
        <v/>
      </c>
      <c r="O1440" s="12" t="str">
        <f t="shared" si="278"/>
        <v>1793</v>
      </c>
      <c r="P1440" s="12"/>
      <c r="Q1440" s="12" t="str">
        <f t="shared" si="273"/>
        <v>1793</v>
      </c>
      <c r="R1440" s="12"/>
      <c r="S1440" s="12" t="str">
        <f t="shared" si="274"/>
        <v/>
      </c>
      <c r="T1440" s="12" t="s">
        <v>74</v>
      </c>
      <c r="U1440" s="12" t="s">
        <v>8304</v>
      </c>
      <c r="V1440" s="12" t="str">
        <f t="shared" si="275"/>
        <v>1813</v>
      </c>
      <c r="W1440" s="12" t="s">
        <v>15686</v>
      </c>
      <c r="X1440" s="12" t="s">
        <v>700</v>
      </c>
      <c r="Y1440" s="2" t="s">
        <v>15687</v>
      </c>
      <c r="Z1440" s="12"/>
      <c r="AA1440" s="12"/>
      <c r="AC1440" s="2" t="s">
        <v>15688</v>
      </c>
      <c r="AD1440" s="12"/>
      <c r="AE1440" s="12"/>
      <c r="AF1440" s="12" t="s">
        <v>3709</v>
      </c>
      <c r="AG1440" s="12" t="s">
        <v>68</v>
      </c>
      <c r="AH1440" s="12" t="s">
        <v>4696</v>
      </c>
      <c r="AI1440" s="12" t="str">
        <f t="shared" si="276"/>
        <v>1844</v>
      </c>
      <c r="AJ1440" s="12"/>
      <c r="AK1440" s="12" t="s">
        <v>90</v>
      </c>
      <c r="AL1440" s="12"/>
      <c r="AM1440" s="12"/>
      <c r="AN1440" s="12"/>
      <c r="AO1440" s="12"/>
      <c r="AQ1440" s="12"/>
      <c r="AR1440" s="12"/>
      <c r="AU1440" s="12"/>
      <c r="AV1440" s="12"/>
    </row>
    <row r="1441" spans="1:52">
      <c r="A1441" s="12" t="s">
        <v>696</v>
      </c>
      <c r="B1441" s="12" t="str">
        <f t="shared" si="268"/>
        <v>PRINSLOO</v>
      </c>
      <c r="C1441" s="12" t="str">
        <f t="shared" si="269"/>
        <v>PRINSLOO</v>
      </c>
      <c r="D1441" s="12" t="s">
        <v>9124</v>
      </c>
      <c r="E1441" s="12" t="str">
        <f t="shared" si="279"/>
        <v>Joachim (Joachemus) Johannes</v>
      </c>
      <c r="F1441" s="12" t="s">
        <v>9126</v>
      </c>
      <c r="G1441" s="12" t="str">
        <f t="shared" si="270"/>
        <v>a1b3c3d6e6f4</v>
      </c>
      <c r="H1441" s="12" t="str">
        <f t="shared" si="271"/>
        <v>PRINSLOOa1b3c3d6e6f4</v>
      </c>
      <c r="J1441" s="12" t="s">
        <v>9842</v>
      </c>
      <c r="K1441" s="12" t="str">
        <f t="shared" si="272"/>
        <v>1820</v>
      </c>
      <c r="L1441" s="12" t="s">
        <v>28</v>
      </c>
      <c r="M1441" s="12" t="s">
        <v>10063</v>
      </c>
      <c r="N1441" s="12" t="str">
        <f t="shared" si="277"/>
        <v>1820</v>
      </c>
      <c r="O1441" s="12" t="str">
        <f t="shared" si="278"/>
        <v>1821</v>
      </c>
      <c r="Q1441" s="12" t="str">
        <f t="shared" si="273"/>
        <v>1820</v>
      </c>
      <c r="R1441" s="2">
        <v>1878</v>
      </c>
      <c r="S1441" s="12" t="str">
        <f t="shared" si="274"/>
        <v>1878</v>
      </c>
      <c r="T1441" s="2" t="s">
        <v>5146</v>
      </c>
      <c r="U1441" s="2" t="s">
        <v>10239</v>
      </c>
      <c r="V1441" s="12" t="str">
        <f t="shared" si="275"/>
        <v>1840</v>
      </c>
      <c r="W1441" s="2" t="s">
        <v>10240</v>
      </c>
      <c r="X1441" s="2" t="s">
        <v>629</v>
      </c>
      <c r="Y1441" s="2" t="s">
        <v>10241</v>
      </c>
      <c r="AF1441" s="12" t="s">
        <v>10173</v>
      </c>
      <c r="AG1441" s="12" t="s">
        <v>68</v>
      </c>
      <c r="AH1441" s="12" t="s">
        <v>385</v>
      </c>
      <c r="AI1441" s="12" t="str">
        <f t="shared" si="276"/>
        <v>1840</v>
      </c>
      <c r="AJ1441" s="12"/>
      <c r="AK1441" s="12" t="s">
        <v>90</v>
      </c>
    </row>
    <row r="1442" spans="1:52">
      <c r="A1442" s="12" t="s">
        <v>696</v>
      </c>
      <c r="B1442" s="12" t="str">
        <f t="shared" si="268"/>
        <v>PRINSLOO</v>
      </c>
      <c r="C1442" s="12" t="str">
        <f t="shared" si="269"/>
        <v>PRINSLOO</v>
      </c>
      <c r="D1442" s="12" t="s">
        <v>7532</v>
      </c>
      <c r="E1442" s="12" t="str">
        <f t="shared" si="279"/>
        <v>Jacobus Marthinus Lourens</v>
      </c>
      <c r="F1442" s="12" t="s">
        <v>9120</v>
      </c>
      <c r="G1442" s="12" t="str">
        <f t="shared" si="270"/>
        <v>a1b3c3d6e6f5</v>
      </c>
      <c r="H1442" s="12" t="str">
        <f t="shared" si="271"/>
        <v>PRINSLOOa1b3c3d6e6f5</v>
      </c>
      <c r="J1442" s="2" t="s">
        <v>10221</v>
      </c>
      <c r="K1442" s="12" t="str">
        <f t="shared" si="272"/>
        <v>1822</v>
      </c>
      <c r="L1442" s="2" t="s">
        <v>53</v>
      </c>
      <c r="M1442" s="12" t="s">
        <v>10222</v>
      </c>
      <c r="N1442" s="12" t="str">
        <f t="shared" si="277"/>
        <v>1822</v>
      </c>
      <c r="O1442" s="12" t="str">
        <f t="shared" si="278"/>
        <v>1822</v>
      </c>
      <c r="P1442" s="2" t="s">
        <v>24</v>
      </c>
      <c r="Q1442" s="12" t="str">
        <f t="shared" si="273"/>
        <v>1822</v>
      </c>
      <c r="R1442" s="2" t="s">
        <v>10223</v>
      </c>
      <c r="S1442" s="12" t="str">
        <f t="shared" si="274"/>
        <v>1862</v>
      </c>
      <c r="T1442" s="12"/>
      <c r="U1442" s="12"/>
      <c r="V1442" s="12" t="str">
        <f t="shared" si="275"/>
        <v/>
      </c>
      <c r="W1442" s="12" t="s">
        <v>2958</v>
      </c>
      <c r="X1442" s="12" t="s">
        <v>1433</v>
      </c>
      <c r="AC1442" s="12"/>
      <c r="AE1442" s="12"/>
      <c r="AF1442" s="12" t="s">
        <v>10173</v>
      </c>
      <c r="AG1442" s="12" t="s">
        <v>68</v>
      </c>
      <c r="AH1442" s="12" t="s">
        <v>2030</v>
      </c>
      <c r="AI1442" s="12" t="str">
        <f t="shared" si="276"/>
        <v>1845</v>
      </c>
      <c r="AJ1442" s="12"/>
      <c r="AK1442" s="2" t="s">
        <v>5740</v>
      </c>
    </row>
    <row r="1443" spans="1:52">
      <c r="A1443" s="12" t="s">
        <v>696</v>
      </c>
      <c r="B1443" s="12" t="str">
        <f t="shared" si="268"/>
        <v>PRINSLOO</v>
      </c>
      <c r="C1443" s="12" t="str">
        <f t="shared" si="269"/>
        <v>PRINSLOO</v>
      </c>
      <c r="D1443" s="12" t="s">
        <v>7672</v>
      </c>
      <c r="E1443" s="12" t="str">
        <f t="shared" si="279"/>
        <v>Willem Petrus</v>
      </c>
      <c r="F1443" s="12" t="s">
        <v>9172</v>
      </c>
      <c r="G1443" s="12" t="str">
        <f t="shared" si="270"/>
        <v>a1b3c3d6e7</v>
      </c>
      <c r="H1443" s="12" t="str">
        <f t="shared" si="271"/>
        <v>PRINSLOOa1b3c3d6e7</v>
      </c>
      <c r="J1443" s="12"/>
      <c r="K1443" s="12" t="str">
        <f t="shared" si="272"/>
        <v/>
      </c>
      <c r="L1443" s="12"/>
      <c r="M1443" s="12" t="s">
        <v>15513</v>
      </c>
      <c r="N1443" s="12" t="str">
        <f t="shared" si="277"/>
        <v/>
      </c>
      <c r="O1443" s="12" t="str">
        <f t="shared" si="278"/>
        <v>1797</v>
      </c>
      <c r="P1443" s="12" t="s">
        <v>15746</v>
      </c>
      <c r="Q1443" s="12" t="str">
        <f t="shared" si="273"/>
        <v>1797</v>
      </c>
      <c r="R1443" s="12"/>
      <c r="S1443" s="12" t="str">
        <f t="shared" si="274"/>
        <v/>
      </c>
      <c r="T1443" s="12" t="s">
        <v>28</v>
      </c>
      <c r="U1443" s="12" t="s">
        <v>4273</v>
      </c>
      <c r="V1443" s="12" t="str">
        <f t="shared" si="275"/>
        <v>1819</v>
      </c>
      <c r="W1443" s="12" t="s">
        <v>7113</v>
      </c>
      <c r="X1443" s="12" t="s">
        <v>696</v>
      </c>
      <c r="Y1443" s="2" t="s">
        <v>15747</v>
      </c>
      <c r="AC1443" s="2" t="s">
        <v>5170</v>
      </c>
      <c r="AD1443" s="2" t="s">
        <v>15746</v>
      </c>
      <c r="AF1443" s="12" t="s">
        <v>15748</v>
      </c>
      <c r="AG1443" s="12" t="s">
        <v>68</v>
      </c>
      <c r="AH1443" s="12" t="s">
        <v>15749</v>
      </c>
      <c r="AI1443" s="12" t="str">
        <f t="shared" si="276"/>
        <v>1837</v>
      </c>
      <c r="AJ1443" s="12" t="s">
        <v>5444</v>
      </c>
      <c r="AK1443" s="12" t="s">
        <v>15750</v>
      </c>
      <c r="AN1443" s="12"/>
      <c r="AO1443" s="12"/>
    </row>
    <row r="1444" spans="1:52">
      <c r="A1444" s="12" t="s">
        <v>696</v>
      </c>
      <c r="B1444" s="12" t="str">
        <f t="shared" si="268"/>
        <v>PRINSLOO</v>
      </c>
      <c r="C1444" s="12" t="str">
        <f t="shared" si="269"/>
        <v>PRINSLOO</v>
      </c>
      <c r="D1444" s="12" t="s">
        <v>9124</v>
      </c>
      <c r="E1444" s="12" t="str">
        <f t="shared" si="279"/>
        <v>Joachim (Joachemus) Johannes</v>
      </c>
      <c r="F1444" s="12" t="s">
        <v>9127</v>
      </c>
      <c r="G1444" s="12" t="str">
        <f t="shared" si="270"/>
        <v>a1b3c3d6e7f2</v>
      </c>
      <c r="H1444" s="12" t="str">
        <f t="shared" si="271"/>
        <v>PRINSLOOa1b3c3d6e7f2</v>
      </c>
      <c r="J1444" s="12" t="s">
        <v>7227</v>
      </c>
      <c r="K1444" s="12" t="str">
        <f t="shared" si="272"/>
        <v>1822</v>
      </c>
      <c r="L1444" s="12" t="s">
        <v>28</v>
      </c>
      <c r="M1444" s="12" t="s">
        <v>10242</v>
      </c>
      <c r="N1444" s="12" t="str">
        <f t="shared" si="277"/>
        <v>1822</v>
      </c>
      <c r="O1444" s="12" t="str">
        <f t="shared" si="278"/>
        <v>1823</v>
      </c>
      <c r="P1444" s="12"/>
      <c r="Q1444" s="12" t="str">
        <f t="shared" si="273"/>
        <v>1822</v>
      </c>
      <c r="R1444" s="12"/>
      <c r="S1444" s="12" t="str">
        <f t="shared" si="274"/>
        <v/>
      </c>
      <c r="T1444" s="12"/>
      <c r="U1444" s="12"/>
      <c r="V1444" s="12" t="str">
        <f t="shared" si="275"/>
        <v/>
      </c>
      <c r="W1444" s="12" t="s">
        <v>10243</v>
      </c>
      <c r="X1444" s="12" t="s">
        <v>10244</v>
      </c>
      <c r="AA1444" s="12"/>
      <c r="AF1444" s="2" t="s">
        <v>3706</v>
      </c>
      <c r="AG1444" s="12" t="s">
        <v>68</v>
      </c>
      <c r="AH1444" s="12" t="s">
        <v>8218</v>
      </c>
      <c r="AK1444" s="12"/>
    </row>
    <row r="1445" spans="1:52">
      <c r="A1445" s="12" t="s">
        <v>696</v>
      </c>
      <c r="B1445" s="12" t="str">
        <f t="shared" si="268"/>
        <v>PRINSLOO</v>
      </c>
      <c r="C1445" s="12" t="str">
        <f t="shared" si="269"/>
        <v>PRINSLOO</v>
      </c>
      <c r="D1445" s="12" t="s">
        <v>6032</v>
      </c>
      <c r="E1445" s="12" t="str">
        <f t="shared" si="279"/>
        <v>Marthinus Petrus</v>
      </c>
      <c r="F1445" s="2" t="s">
        <v>9149</v>
      </c>
      <c r="G1445" s="12" t="str">
        <f t="shared" si="270"/>
        <v>a1b3c6d1e2</v>
      </c>
      <c r="H1445" s="12" t="str">
        <f t="shared" si="271"/>
        <v>PRINSLOOa1b3c6d1e2</v>
      </c>
      <c r="K1445" s="12" t="str">
        <f t="shared" si="272"/>
        <v/>
      </c>
      <c r="M1445" s="2" t="s">
        <v>15689</v>
      </c>
      <c r="N1445" s="12" t="str">
        <f t="shared" si="277"/>
        <v/>
      </c>
      <c r="O1445" s="12" t="str">
        <f t="shared" si="278"/>
        <v>1782</v>
      </c>
      <c r="Q1445" s="12" t="str">
        <f t="shared" si="273"/>
        <v>1782</v>
      </c>
      <c r="S1445" s="12" t="str">
        <f t="shared" si="274"/>
        <v/>
      </c>
      <c r="T1445" s="2" t="s">
        <v>32</v>
      </c>
      <c r="U1445" s="2" t="s">
        <v>14560</v>
      </c>
      <c r="V1445" s="12" t="str">
        <f t="shared" si="275"/>
        <v>1805</v>
      </c>
      <c r="W1445" s="2" t="s">
        <v>7730</v>
      </c>
      <c r="X1445" s="2" t="s">
        <v>726</v>
      </c>
      <c r="Y1445" s="2" t="s">
        <v>11369</v>
      </c>
      <c r="AC1445" s="2" t="s">
        <v>15690</v>
      </c>
      <c r="AF1445" s="12" t="s">
        <v>3724</v>
      </c>
      <c r="AG1445" s="12" t="s">
        <v>53</v>
      </c>
      <c r="AH1445" s="2" t="s">
        <v>15691</v>
      </c>
      <c r="AJ1445" s="12"/>
    </row>
    <row r="1446" spans="1:52">
      <c r="A1446" s="12" t="s">
        <v>696</v>
      </c>
      <c r="B1446" s="12" t="str">
        <f t="shared" si="268"/>
        <v>PRINSLOO</v>
      </c>
      <c r="C1446" s="12" t="str">
        <f t="shared" si="269"/>
        <v>PRINSLOO</v>
      </c>
      <c r="D1446" s="12" t="s">
        <v>9150</v>
      </c>
      <c r="E1446" s="12" t="str">
        <f t="shared" si="279"/>
        <v>Marthinus Petrus Hendrik</v>
      </c>
      <c r="F1446" s="12" t="s">
        <v>9151</v>
      </c>
      <c r="G1446" s="12" t="str">
        <f t="shared" si="270"/>
        <v>a1b3c6d1e2f2</v>
      </c>
      <c r="H1446" s="12" t="str">
        <f t="shared" si="271"/>
        <v>PRINSLOOa1b3c6d1e2f2</v>
      </c>
      <c r="K1446" s="12" t="str">
        <f t="shared" si="272"/>
        <v/>
      </c>
      <c r="M1446" s="12" t="s">
        <v>388</v>
      </c>
      <c r="N1446" s="12" t="str">
        <f t="shared" si="277"/>
        <v/>
      </c>
      <c r="O1446" s="12" t="str">
        <f t="shared" si="278"/>
        <v>1809</v>
      </c>
      <c r="Q1446" s="12" t="str">
        <f t="shared" si="273"/>
        <v>1809</v>
      </c>
      <c r="S1446" s="12" t="str">
        <f t="shared" si="274"/>
        <v/>
      </c>
      <c r="T1446" s="12" t="s">
        <v>53</v>
      </c>
      <c r="U1446" s="12" t="s">
        <v>15692</v>
      </c>
      <c r="V1446" s="12" t="str">
        <f t="shared" si="275"/>
        <v>1830</v>
      </c>
      <c r="W1446" s="12" t="s">
        <v>13730</v>
      </c>
      <c r="X1446" s="12" t="s">
        <v>662</v>
      </c>
      <c r="Y1446" s="12" t="s">
        <v>15693</v>
      </c>
      <c r="AC1446" s="12" t="s">
        <v>9606</v>
      </c>
      <c r="AF1446" s="12" t="s">
        <v>15694</v>
      </c>
      <c r="AG1446" s="12" t="s">
        <v>53</v>
      </c>
      <c r="AH1446" s="12" t="s">
        <v>2489</v>
      </c>
      <c r="AI1446" s="12" t="str">
        <f t="shared" si="276"/>
        <v>1841</v>
      </c>
      <c r="AJ1446" s="12" t="s">
        <v>9427</v>
      </c>
      <c r="AK1446" s="12"/>
    </row>
    <row r="1447" spans="1:52">
      <c r="A1447" s="12" t="s">
        <v>696</v>
      </c>
      <c r="B1447" s="12" t="str">
        <f t="shared" si="268"/>
        <v>PRINSLOO</v>
      </c>
      <c r="C1447" s="12" t="str">
        <f t="shared" si="269"/>
        <v>PRINSLOO</v>
      </c>
      <c r="D1447" s="12" t="s">
        <v>4980</v>
      </c>
      <c r="E1447" s="12" t="str">
        <f t="shared" si="279"/>
        <v>Johannes Hermanus</v>
      </c>
      <c r="F1447" s="12" t="s">
        <v>9137</v>
      </c>
      <c r="G1447" s="12" t="str">
        <f t="shared" si="270"/>
        <v>a1b3c6d1e2f5</v>
      </c>
      <c r="H1447" s="12" t="str">
        <f t="shared" si="271"/>
        <v>PRINSLOOa1b3c6d1e2f5</v>
      </c>
      <c r="J1447" s="12" t="s">
        <v>15648</v>
      </c>
      <c r="K1447" s="12" t="str">
        <f t="shared" si="272"/>
        <v>1813</v>
      </c>
      <c r="L1447" s="12"/>
      <c r="M1447" s="12" t="s">
        <v>12945</v>
      </c>
      <c r="N1447" s="12" t="str">
        <f t="shared" si="277"/>
        <v>1813</v>
      </c>
      <c r="O1447" s="12" t="str">
        <f t="shared" si="278"/>
        <v>1814</v>
      </c>
      <c r="Q1447" s="12" t="str">
        <f t="shared" si="273"/>
        <v>1813</v>
      </c>
      <c r="R1447" s="12"/>
      <c r="S1447" s="12" t="str">
        <f t="shared" si="274"/>
        <v/>
      </c>
      <c r="T1447" s="12" t="s">
        <v>5146</v>
      </c>
      <c r="U1447" s="12" t="s">
        <v>15649</v>
      </c>
      <c r="V1447" s="12" t="str">
        <f t="shared" si="275"/>
        <v>1840</v>
      </c>
      <c r="W1447" s="12" t="s">
        <v>1757</v>
      </c>
      <c r="X1447" s="12" t="s">
        <v>3799</v>
      </c>
      <c r="Y1447" s="12" t="s">
        <v>15650</v>
      </c>
      <c r="AA1447" s="12"/>
      <c r="AE1447" s="12"/>
      <c r="AF1447" s="12" t="s">
        <v>15651</v>
      </c>
      <c r="AG1447" s="12" t="s">
        <v>53</v>
      </c>
      <c r="AH1447" s="12" t="s">
        <v>385</v>
      </c>
      <c r="AI1447" s="12" t="str">
        <f t="shared" si="276"/>
        <v>1840</v>
      </c>
      <c r="AJ1447" s="12"/>
      <c r="AK1447" s="2" t="s">
        <v>90</v>
      </c>
    </row>
    <row r="1448" spans="1:52">
      <c r="A1448" s="12" t="s">
        <v>696</v>
      </c>
      <c r="B1448" s="12" t="str">
        <f t="shared" si="268"/>
        <v>PRINSLOO</v>
      </c>
      <c r="C1448" s="12" t="str">
        <f t="shared" si="269"/>
        <v>PRINSLOO</v>
      </c>
      <c r="D1448" s="12" t="s">
        <v>8545</v>
      </c>
      <c r="E1448" s="12" t="str">
        <f t="shared" si="279"/>
        <v>Joachim Johannes</v>
      </c>
      <c r="F1448" s="12" t="s">
        <v>9129</v>
      </c>
      <c r="G1448" s="12" t="str">
        <f t="shared" si="270"/>
        <v>a1b3c6d1e5</v>
      </c>
      <c r="H1448" s="12" t="str">
        <f t="shared" si="271"/>
        <v>PRINSLOOa1b3c6d1e5</v>
      </c>
      <c r="J1448" s="12"/>
      <c r="K1448" s="12" t="str">
        <f t="shared" si="272"/>
        <v/>
      </c>
      <c r="L1448" s="12"/>
      <c r="M1448" s="12" t="s">
        <v>10247</v>
      </c>
      <c r="N1448" s="12" t="str">
        <f t="shared" si="277"/>
        <v/>
      </c>
      <c r="O1448" s="12" t="str">
        <f t="shared" si="278"/>
        <v>1788</v>
      </c>
      <c r="Q1448" s="12" t="str">
        <f t="shared" si="273"/>
        <v>1788</v>
      </c>
      <c r="S1448" s="12" t="str">
        <f t="shared" si="274"/>
        <v/>
      </c>
      <c r="T1448" s="2" t="s">
        <v>32</v>
      </c>
      <c r="U1448" s="12" t="s">
        <v>293</v>
      </c>
      <c r="V1448" s="12" t="str">
        <f t="shared" si="275"/>
        <v>1811</v>
      </c>
      <c r="W1448" s="12" t="s">
        <v>10248</v>
      </c>
      <c r="X1448" s="12" t="s">
        <v>697</v>
      </c>
      <c r="AE1448" s="12"/>
      <c r="AF1448" s="12"/>
      <c r="AG1448" s="12" t="s">
        <v>199</v>
      </c>
      <c r="AH1448" s="12" t="s">
        <v>385</v>
      </c>
      <c r="AI1448" s="12" t="str">
        <f t="shared" si="276"/>
        <v>1840</v>
      </c>
      <c r="AJ1448" s="12"/>
      <c r="AK1448" s="2" t="s">
        <v>90</v>
      </c>
      <c r="AN1448" s="12"/>
      <c r="AO1448" s="12"/>
      <c r="AR1448" s="12"/>
      <c r="AT1448" s="12"/>
    </row>
    <row r="1449" spans="1:52">
      <c r="A1449" s="12" t="s">
        <v>696</v>
      </c>
      <c r="B1449" s="12" t="str">
        <f t="shared" si="268"/>
        <v>PRINSLOO</v>
      </c>
      <c r="C1449" s="12" t="str">
        <f t="shared" si="269"/>
        <v>PRINSLOO</v>
      </c>
      <c r="D1449" s="12" t="s">
        <v>9160</v>
      </c>
      <c r="E1449" s="12" t="str">
        <f t="shared" si="279"/>
        <v>Nicolaas Petrus</v>
      </c>
      <c r="F1449" s="12" t="s">
        <v>9161</v>
      </c>
      <c r="G1449" s="12" t="str">
        <f t="shared" si="270"/>
        <v>a1b3c6d1e5f2</v>
      </c>
      <c r="H1449" s="12" t="str">
        <f t="shared" si="271"/>
        <v>PRINSLOOa1b3c6d1e5f2</v>
      </c>
      <c r="J1449" s="2" t="s">
        <v>15706</v>
      </c>
      <c r="K1449" s="12" t="str">
        <f t="shared" si="272"/>
        <v>1814</v>
      </c>
      <c r="L1449" s="12" t="s">
        <v>199</v>
      </c>
      <c r="M1449" s="12" t="s">
        <v>5158</v>
      </c>
      <c r="N1449" s="12" t="str">
        <f t="shared" si="277"/>
        <v>1814</v>
      </c>
      <c r="O1449" s="12" t="str">
        <f t="shared" si="278"/>
        <v>1815</v>
      </c>
      <c r="P1449" s="12"/>
      <c r="Q1449" s="12" t="str">
        <f t="shared" si="273"/>
        <v>1814</v>
      </c>
      <c r="R1449" s="12"/>
      <c r="S1449" s="12" t="str">
        <f t="shared" si="274"/>
        <v/>
      </c>
      <c r="T1449" s="12" t="s">
        <v>199</v>
      </c>
      <c r="U1449" s="12" t="s">
        <v>3669</v>
      </c>
      <c r="V1449" s="12" t="str">
        <f t="shared" si="275"/>
        <v>1837</v>
      </c>
      <c r="W1449" s="12" t="s">
        <v>7113</v>
      </c>
      <c r="X1449" s="12" t="s">
        <v>662</v>
      </c>
      <c r="AA1449" s="12"/>
      <c r="AC1449" s="12"/>
      <c r="AE1449" s="12"/>
      <c r="AF1449" s="12"/>
      <c r="AG1449" s="12" t="s">
        <v>8172</v>
      </c>
      <c r="AH1449" s="12" t="s">
        <v>15707</v>
      </c>
      <c r="AI1449" s="12" t="str">
        <f t="shared" si="276"/>
        <v>1840</v>
      </c>
      <c r="AJ1449" s="12"/>
      <c r="AK1449" s="12" t="s">
        <v>90</v>
      </c>
    </row>
    <row r="1450" spans="1:52">
      <c r="A1450" s="12" t="s">
        <v>696</v>
      </c>
      <c r="B1450" s="12" t="str">
        <f t="shared" si="268"/>
        <v>PRINSLOO</v>
      </c>
      <c r="C1450" s="12" t="str">
        <f t="shared" si="269"/>
        <v>PRINSLOO</v>
      </c>
      <c r="D1450" s="12" t="s">
        <v>9116</v>
      </c>
      <c r="E1450" s="12" t="str">
        <f t="shared" si="279"/>
        <v>Ignatius Michiel</v>
      </c>
      <c r="F1450" s="12" t="s">
        <v>9117</v>
      </c>
      <c r="G1450" s="12" t="str">
        <f t="shared" si="270"/>
        <v>a1b3c6d1e5f3</v>
      </c>
      <c r="H1450" s="12" t="str">
        <f t="shared" si="271"/>
        <v>PRINSLOOa1b3c6d1e5f3</v>
      </c>
      <c r="J1450" s="12" t="s">
        <v>10209</v>
      </c>
      <c r="K1450" s="12" t="str">
        <f t="shared" si="272"/>
        <v>1817</v>
      </c>
      <c r="L1450" s="12" t="s">
        <v>199</v>
      </c>
      <c r="M1450" s="12" t="s">
        <v>10210</v>
      </c>
      <c r="N1450" s="12" t="str">
        <f t="shared" si="277"/>
        <v>1817</v>
      </c>
      <c r="O1450" s="12" t="str">
        <f t="shared" si="278"/>
        <v>1818</v>
      </c>
      <c r="P1450" s="12"/>
      <c r="Q1450" s="12" t="str">
        <f t="shared" si="273"/>
        <v>1817</v>
      </c>
      <c r="R1450" s="12"/>
      <c r="S1450" s="12" t="str">
        <f t="shared" si="274"/>
        <v/>
      </c>
      <c r="T1450" s="2" t="s">
        <v>199</v>
      </c>
      <c r="U1450" s="2" t="s">
        <v>3542</v>
      </c>
      <c r="V1450" s="12" t="str">
        <f t="shared" si="275"/>
        <v>1838</v>
      </c>
      <c r="W1450" s="12" t="s">
        <v>10211</v>
      </c>
      <c r="X1450" s="12" t="s">
        <v>662</v>
      </c>
      <c r="Y1450" s="2" t="s">
        <v>10212</v>
      </c>
      <c r="AA1450" s="12"/>
      <c r="AB1450" s="12"/>
      <c r="AC1450" s="12"/>
      <c r="AD1450" s="12"/>
      <c r="AE1450" s="12"/>
      <c r="AF1450" s="12"/>
      <c r="AG1450" s="12" t="s">
        <v>199</v>
      </c>
      <c r="AH1450" s="12" t="s">
        <v>385</v>
      </c>
      <c r="AI1450" s="12" t="str">
        <f t="shared" si="276"/>
        <v>1840</v>
      </c>
      <c r="AJ1450" s="12"/>
      <c r="AK1450" s="12" t="s">
        <v>90</v>
      </c>
      <c r="AM1450" s="12"/>
      <c r="AN1450" s="12"/>
      <c r="AO1450" s="12"/>
      <c r="AP1450" s="12"/>
      <c r="AR1450" s="12"/>
      <c r="AS1450" s="12"/>
      <c r="AT1450" s="12"/>
      <c r="AY1450" s="12"/>
      <c r="AZ1450" s="12"/>
    </row>
    <row r="1451" spans="1:52">
      <c r="A1451" s="12" t="s">
        <v>696</v>
      </c>
      <c r="B1451" s="12" t="str">
        <f t="shared" si="268"/>
        <v>PRINSLOO</v>
      </c>
      <c r="C1451" s="12" t="str">
        <f t="shared" si="269"/>
        <v>PRINSLOO</v>
      </c>
      <c r="D1451" s="12" t="s">
        <v>6025</v>
      </c>
      <c r="E1451" s="12" t="str">
        <f t="shared" si="279"/>
        <v>Marthinus Jacobus</v>
      </c>
      <c r="F1451" s="12" t="s">
        <v>9147</v>
      </c>
      <c r="G1451" s="12" t="str">
        <f t="shared" si="270"/>
        <v>a1b3c6d1e5f5</v>
      </c>
      <c r="H1451" s="12" t="str">
        <f t="shared" si="271"/>
        <v>PRINSLOOa1b3c6d1e5f5</v>
      </c>
      <c r="J1451" s="12" t="s">
        <v>12378</v>
      </c>
      <c r="K1451" s="12" t="str">
        <f t="shared" si="272"/>
        <v>1821</v>
      </c>
      <c r="L1451" s="12" t="s">
        <v>199</v>
      </c>
      <c r="M1451" s="12" t="s">
        <v>15679</v>
      </c>
      <c r="N1451" s="12" t="str">
        <f t="shared" si="277"/>
        <v>1821</v>
      </c>
      <c r="O1451" s="12" t="str">
        <f t="shared" si="278"/>
        <v>1821</v>
      </c>
      <c r="P1451" s="12" t="s">
        <v>15680</v>
      </c>
      <c r="Q1451" s="12" t="str">
        <f t="shared" si="273"/>
        <v>1821</v>
      </c>
      <c r="R1451" s="12" t="s">
        <v>15681</v>
      </c>
      <c r="S1451" s="12" t="str">
        <f t="shared" si="274"/>
        <v>1892</v>
      </c>
      <c r="T1451" s="12" t="s">
        <v>5146</v>
      </c>
      <c r="U1451" s="12" t="s">
        <v>15682</v>
      </c>
      <c r="V1451" s="12" t="str">
        <f t="shared" si="275"/>
        <v>1844</v>
      </c>
      <c r="W1451" s="12" t="s">
        <v>687</v>
      </c>
      <c r="X1451" s="12" t="s">
        <v>696</v>
      </c>
      <c r="Y1451" s="2" t="s">
        <v>15683</v>
      </c>
      <c r="AA1451" s="12" t="s">
        <v>15684</v>
      </c>
      <c r="AB1451" s="2" t="s">
        <v>53</v>
      </c>
      <c r="AC1451" s="2" t="s">
        <v>492</v>
      </c>
      <c r="AD1451" s="12"/>
      <c r="AE1451" s="12"/>
      <c r="AF1451" s="12"/>
      <c r="AG1451" s="12" t="s">
        <v>199</v>
      </c>
      <c r="AH1451" s="12" t="s">
        <v>4696</v>
      </c>
      <c r="AI1451" s="12" t="str">
        <f t="shared" si="276"/>
        <v>1844</v>
      </c>
      <c r="AJ1451" s="12"/>
      <c r="AK1451" s="12" t="s">
        <v>15685</v>
      </c>
    </row>
    <row r="1452" spans="1:52">
      <c r="A1452" s="12" t="s">
        <v>696</v>
      </c>
      <c r="B1452" s="12" t="str">
        <f t="shared" si="268"/>
        <v>PRINSLOO</v>
      </c>
      <c r="C1452" s="12" t="str">
        <f t="shared" si="269"/>
        <v>PRINSLOO</v>
      </c>
      <c r="D1452" s="12" t="s">
        <v>9132</v>
      </c>
      <c r="E1452" s="12" t="str">
        <f t="shared" si="279"/>
        <v>Joachim Petrus</v>
      </c>
      <c r="F1452" s="2" t="s">
        <v>9133</v>
      </c>
      <c r="G1452" s="12" t="str">
        <f t="shared" si="270"/>
        <v>a1b3c6d2e1f1</v>
      </c>
      <c r="H1452" s="12" t="str">
        <f t="shared" si="271"/>
        <v>PRINSLOOa1b3c6d2e1f1</v>
      </c>
      <c r="I1452" s="2" t="s">
        <v>10253</v>
      </c>
      <c r="J1452" s="2" t="s">
        <v>10254</v>
      </c>
      <c r="K1452" s="12" t="str">
        <f t="shared" si="272"/>
        <v>1812</v>
      </c>
      <c r="M1452" s="2" t="s">
        <v>7827</v>
      </c>
      <c r="N1452" s="12" t="str">
        <f t="shared" si="277"/>
        <v>1812</v>
      </c>
      <c r="O1452" s="12" t="str">
        <f t="shared" si="278"/>
        <v>1812</v>
      </c>
      <c r="P1452" s="2" t="s">
        <v>10255</v>
      </c>
      <c r="Q1452" s="12" t="str">
        <f t="shared" si="273"/>
        <v>1812</v>
      </c>
      <c r="R1452" s="2" t="s">
        <v>10256</v>
      </c>
      <c r="S1452" s="12" t="str">
        <f t="shared" si="274"/>
        <v>1893</v>
      </c>
      <c r="V1452" s="12" t="str">
        <f t="shared" si="275"/>
        <v/>
      </c>
      <c r="W1452" s="2" t="s">
        <v>10257</v>
      </c>
      <c r="X1452" s="2" t="s">
        <v>2589</v>
      </c>
      <c r="AF1452" s="12" t="s">
        <v>10258</v>
      </c>
      <c r="AG1452" s="12" t="s">
        <v>10259</v>
      </c>
      <c r="AH1452" s="12" t="s">
        <v>2489</v>
      </c>
      <c r="AI1452" s="12" t="str">
        <f t="shared" si="276"/>
        <v>1841</v>
      </c>
      <c r="AJ1452" s="12"/>
      <c r="AK1452" s="2" t="s">
        <v>90</v>
      </c>
      <c r="AM1452" s="2" t="s">
        <v>10260</v>
      </c>
      <c r="AN1452" s="2" t="s">
        <v>5754</v>
      </c>
      <c r="AO1452" s="2" t="s">
        <v>1335</v>
      </c>
    </row>
    <row r="1453" spans="1:52">
      <c r="A1453" s="12" t="s">
        <v>696</v>
      </c>
      <c r="B1453" s="12" t="str">
        <f t="shared" si="268"/>
        <v>PRINSLOO</v>
      </c>
      <c r="C1453" s="12" t="str">
        <f t="shared" si="269"/>
        <v>PRINSLOO</v>
      </c>
      <c r="D1453" s="12" t="s">
        <v>9164</v>
      </c>
      <c r="E1453" s="12" t="str">
        <f t="shared" si="279"/>
        <v>Salomon Ignatius Wilhelm</v>
      </c>
      <c r="F1453" s="2" t="s">
        <v>9165</v>
      </c>
      <c r="G1453" s="12" t="str">
        <f t="shared" si="270"/>
        <v>a1b3c6d2e2f6</v>
      </c>
      <c r="H1453" s="12" t="str">
        <f t="shared" si="271"/>
        <v>PRINSLOOa1b3c6d2e2f6</v>
      </c>
      <c r="J1453" s="2" t="s">
        <v>15720</v>
      </c>
      <c r="K1453" s="12" t="str">
        <f t="shared" si="272"/>
        <v>1817</v>
      </c>
      <c r="L1453" s="2" t="s">
        <v>199</v>
      </c>
      <c r="M1453" s="2" t="s">
        <v>15721</v>
      </c>
      <c r="N1453" s="12" t="str">
        <f t="shared" si="277"/>
        <v>1817</v>
      </c>
      <c r="O1453" s="12" t="str">
        <f t="shared" si="278"/>
        <v>1817</v>
      </c>
      <c r="Q1453" s="12" t="str">
        <f t="shared" si="273"/>
        <v>1817</v>
      </c>
      <c r="S1453" s="12" t="str">
        <f t="shared" si="274"/>
        <v/>
      </c>
      <c r="T1453" s="2" t="s">
        <v>53</v>
      </c>
      <c r="U1453" s="2" t="s">
        <v>15722</v>
      </c>
      <c r="V1453" s="12" t="str">
        <f t="shared" si="275"/>
        <v>1837</v>
      </c>
      <c r="W1453" s="2" t="s">
        <v>15723</v>
      </c>
      <c r="X1453" s="2" t="s">
        <v>5044</v>
      </c>
      <c r="AF1453" s="12"/>
      <c r="AG1453" s="12" t="s">
        <v>53</v>
      </c>
      <c r="AH1453" s="12" t="s">
        <v>15724</v>
      </c>
      <c r="AJ1453" s="12"/>
    </row>
    <row r="1454" spans="1:52">
      <c r="A1454" s="12" t="s">
        <v>696</v>
      </c>
      <c r="B1454" s="12" t="str">
        <f t="shared" si="268"/>
        <v>PRINSLOO</v>
      </c>
      <c r="C1454" s="12" t="str">
        <f t="shared" si="269"/>
        <v>PRINSLOO</v>
      </c>
      <c r="D1454" s="12" t="s">
        <v>9122</v>
      </c>
      <c r="E1454" s="12" t="str">
        <f t="shared" si="279"/>
        <v>Joachim</v>
      </c>
      <c r="F1454" s="12" t="s">
        <v>9123</v>
      </c>
      <c r="G1454" s="12" t="str">
        <f t="shared" si="270"/>
        <v>a1b3c6d2e3</v>
      </c>
      <c r="H1454" s="12" t="str">
        <f t="shared" si="271"/>
        <v>PRINSLOOa1b3c6d2e3</v>
      </c>
      <c r="J1454" s="12"/>
      <c r="K1454" s="12" t="str">
        <f t="shared" si="272"/>
        <v/>
      </c>
      <c r="L1454" s="12"/>
      <c r="M1454" s="12" t="s">
        <v>8565</v>
      </c>
      <c r="N1454" s="12" t="str">
        <f t="shared" si="277"/>
        <v/>
      </c>
      <c r="O1454" s="12" t="str">
        <f t="shared" si="278"/>
        <v>1790</v>
      </c>
      <c r="P1454" s="2" t="s">
        <v>10231</v>
      </c>
      <c r="Q1454" s="12" t="str">
        <f t="shared" si="273"/>
        <v>1790</v>
      </c>
      <c r="R1454" s="2" t="s">
        <v>2151</v>
      </c>
      <c r="S1454" s="12" t="str">
        <f t="shared" si="274"/>
        <v>1843</v>
      </c>
      <c r="T1454" s="2" t="s">
        <v>32</v>
      </c>
      <c r="U1454" s="2" t="s">
        <v>10232</v>
      </c>
      <c r="V1454" s="12" t="str">
        <f t="shared" si="275"/>
        <v>1810</v>
      </c>
      <c r="W1454" s="12" t="s">
        <v>5754</v>
      </c>
      <c r="X1454" s="12" t="s">
        <v>697</v>
      </c>
      <c r="Y1454" s="12" t="s">
        <v>7777</v>
      </c>
      <c r="AA1454" s="12"/>
      <c r="AB1454" s="12"/>
      <c r="AC1454" s="12" t="s">
        <v>1905</v>
      </c>
      <c r="AD1454" s="2" t="s">
        <v>90</v>
      </c>
      <c r="AE1454" s="2" t="s">
        <v>10233</v>
      </c>
      <c r="AF1454" s="12"/>
      <c r="AG1454" s="12" t="s">
        <v>10228</v>
      </c>
      <c r="AH1454" s="12" t="s">
        <v>10234</v>
      </c>
      <c r="AI1454" s="12" t="str">
        <f t="shared" si="276"/>
        <v>1837</v>
      </c>
      <c r="AJ1454" s="12"/>
      <c r="AK1454" s="12"/>
      <c r="AN1454" s="12"/>
      <c r="AO1454" s="12"/>
    </row>
    <row r="1455" spans="1:52">
      <c r="A1455" s="12" t="s">
        <v>696</v>
      </c>
      <c r="B1455" s="12" t="str">
        <f t="shared" si="268"/>
        <v>PRINSLOO</v>
      </c>
      <c r="C1455" s="12" t="str">
        <f t="shared" si="269"/>
        <v>PRINSLOO</v>
      </c>
      <c r="D1455" s="12" t="s">
        <v>9116</v>
      </c>
      <c r="E1455" s="12" t="str">
        <f t="shared" si="279"/>
        <v>Ignatius Michiel</v>
      </c>
      <c r="F1455" s="12" t="s">
        <v>9118</v>
      </c>
      <c r="G1455" s="12" t="str">
        <f t="shared" si="270"/>
        <v>a1b3c6d2e3f2</v>
      </c>
      <c r="H1455" s="12" t="str">
        <f t="shared" si="271"/>
        <v>PRINSLOOa1b3c6d2e3f2</v>
      </c>
      <c r="I1455" s="12"/>
      <c r="J1455" s="12"/>
      <c r="K1455" s="12" t="str">
        <f t="shared" si="272"/>
        <v/>
      </c>
      <c r="L1455" s="12"/>
      <c r="M1455" s="12" t="s">
        <v>7827</v>
      </c>
      <c r="N1455" s="12" t="str">
        <f t="shared" si="277"/>
        <v/>
      </c>
      <c r="O1455" s="12" t="str">
        <f t="shared" si="278"/>
        <v>1812</v>
      </c>
      <c r="P1455" s="12"/>
      <c r="Q1455" s="12" t="str">
        <f t="shared" si="273"/>
        <v>1812</v>
      </c>
      <c r="R1455" s="12"/>
      <c r="S1455" s="12" t="str">
        <f t="shared" si="274"/>
        <v/>
      </c>
      <c r="T1455" s="12" t="s">
        <v>53</v>
      </c>
      <c r="U1455" s="12" t="s">
        <v>10213</v>
      </c>
      <c r="V1455" s="12" t="str">
        <f t="shared" si="275"/>
        <v>1835</v>
      </c>
      <c r="W1455" s="12" t="s">
        <v>622</v>
      </c>
      <c r="X1455" s="12" t="s">
        <v>10214</v>
      </c>
      <c r="Y1455" s="12"/>
      <c r="AA1455" s="12"/>
      <c r="AD1455" s="12"/>
      <c r="AE1455" s="12"/>
      <c r="AF1455" s="12"/>
      <c r="AG1455" s="12" t="s">
        <v>53</v>
      </c>
      <c r="AH1455" s="12" t="s">
        <v>10215</v>
      </c>
      <c r="AI1455" s="12" t="str">
        <f t="shared" si="276"/>
        <v>1839</v>
      </c>
      <c r="AJ1455" s="12"/>
      <c r="AK1455" s="12" t="s">
        <v>10216</v>
      </c>
      <c r="AL1455" s="2" t="s">
        <v>53</v>
      </c>
      <c r="AM1455" s="2" t="s">
        <v>10217</v>
      </c>
      <c r="AN1455" s="2" t="s">
        <v>10218</v>
      </c>
      <c r="AO1455" s="2" t="s">
        <v>10219</v>
      </c>
      <c r="AP1455" s="2" t="s">
        <v>10220</v>
      </c>
    </row>
    <row r="1456" spans="1:52">
      <c r="A1456" s="12" t="s">
        <v>696</v>
      </c>
      <c r="B1456" s="12" t="str">
        <f t="shared" si="268"/>
        <v>PRINSLOO</v>
      </c>
      <c r="C1456" s="12" t="str">
        <f t="shared" si="269"/>
        <v>PRINSLOO</v>
      </c>
      <c r="D1456" s="12" t="s">
        <v>3283</v>
      </c>
      <c r="E1456" s="12" t="str">
        <f t="shared" si="279"/>
        <v>Jan Hendrik</v>
      </c>
      <c r="F1456" s="12" t="s">
        <v>9121</v>
      </c>
      <c r="G1456" s="12" t="str">
        <f t="shared" si="270"/>
        <v>a1b3c6d2e3f5</v>
      </c>
      <c r="H1456" s="12" t="str">
        <f t="shared" si="271"/>
        <v>PRINSLOOa1b3c6d2e3f5</v>
      </c>
      <c r="J1456" s="2" t="s">
        <v>10224</v>
      </c>
      <c r="K1456" s="12" t="str">
        <f t="shared" si="272"/>
        <v>1817</v>
      </c>
      <c r="L1456" s="12" t="s">
        <v>199</v>
      </c>
      <c r="M1456" s="12" t="s">
        <v>10210</v>
      </c>
      <c r="N1456" s="12" t="str">
        <f t="shared" si="277"/>
        <v>1817</v>
      </c>
      <c r="O1456" s="12" t="str">
        <f t="shared" si="278"/>
        <v>1818</v>
      </c>
      <c r="Q1456" s="12" t="str">
        <f t="shared" si="273"/>
        <v>1817</v>
      </c>
      <c r="S1456" s="12" t="str">
        <f t="shared" si="274"/>
        <v/>
      </c>
      <c r="T1456" s="12"/>
      <c r="U1456" s="12"/>
      <c r="V1456" s="12" t="str">
        <f t="shared" si="275"/>
        <v/>
      </c>
      <c r="W1456" s="12" t="s">
        <v>10225</v>
      </c>
      <c r="X1456" s="12" t="s">
        <v>696</v>
      </c>
      <c r="Y1456" s="2" t="s">
        <v>10226</v>
      </c>
      <c r="AC1456" s="12" t="s">
        <v>10227</v>
      </c>
      <c r="AG1456" s="12" t="s">
        <v>10228</v>
      </c>
      <c r="AH1456" s="12" t="s">
        <v>5021</v>
      </c>
      <c r="AI1456" s="12" t="str">
        <f t="shared" si="276"/>
        <v>1842</v>
      </c>
      <c r="AJ1456" s="12"/>
      <c r="AK1456" s="2" t="s">
        <v>190</v>
      </c>
      <c r="AL1456" s="2" t="s">
        <v>140</v>
      </c>
      <c r="AM1456" s="2" t="s">
        <v>2636</v>
      </c>
      <c r="AN1456" s="2" t="s">
        <v>10229</v>
      </c>
      <c r="AO1456" s="2" t="s">
        <v>670</v>
      </c>
      <c r="AR1456" s="2" t="s">
        <v>10230</v>
      </c>
      <c r="AV1456" s="12"/>
    </row>
    <row r="1457" spans="1:59">
      <c r="A1457" s="12" t="s">
        <v>696</v>
      </c>
      <c r="B1457" s="12" t="str">
        <f t="shared" si="268"/>
        <v>PRINSLOO</v>
      </c>
      <c r="C1457" s="12" t="str">
        <f t="shared" si="269"/>
        <v>PRINSLOO</v>
      </c>
      <c r="D1457" s="12" t="s">
        <v>9166</v>
      </c>
      <c r="E1457" s="12" t="str">
        <f t="shared" si="279"/>
        <v>Salomon Theodorus</v>
      </c>
      <c r="F1457" s="12" t="s">
        <v>9167</v>
      </c>
      <c r="G1457" s="12" t="str">
        <f t="shared" si="270"/>
        <v>a1b3c6d2e3f8</v>
      </c>
      <c r="H1457" s="12" t="str">
        <f t="shared" si="271"/>
        <v>PRINSLOOa1b3c6d2e3f8</v>
      </c>
      <c r="I1457" s="12"/>
      <c r="J1457" s="12" t="s">
        <v>2642</v>
      </c>
      <c r="K1457" s="12" t="str">
        <f t="shared" si="272"/>
        <v>1824</v>
      </c>
      <c r="L1457" s="2" t="s">
        <v>53</v>
      </c>
      <c r="M1457" s="12" t="s">
        <v>7686</v>
      </c>
      <c r="N1457" s="12" t="str">
        <f t="shared" si="277"/>
        <v>1824</v>
      </c>
      <c r="O1457" s="12" t="str">
        <f t="shared" si="278"/>
        <v>1824</v>
      </c>
      <c r="P1457" s="12"/>
      <c r="Q1457" s="12" t="str">
        <f t="shared" si="273"/>
        <v>1824</v>
      </c>
      <c r="R1457" s="12"/>
      <c r="S1457" s="12" t="str">
        <f t="shared" si="274"/>
        <v/>
      </c>
      <c r="V1457" s="12" t="str">
        <f t="shared" si="275"/>
        <v/>
      </c>
      <c r="W1457" s="12" t="s">
        <v>15725</v>
      </c>
      <c r="X1457" s="12" t="s">
        <v>696</v>
      </c>
      <c r="AA1457" s="2" t="s">
        <v>15726</v>
      </c>
      <c r="AB1457" s="2" t="s">
        <v>199</v>
      </c>
      <c r="AC1457" s="2" t="s">
        <v>401</v>
      </c>
      <c r="AF1457" s="2" t="s">
        <v>15727</v>
      </c>
      <c r="AG1457" s="12" t="s">
        <v>53</v>
      </c>
      <c r="AH1457" s="12" t="s">
        <v>10234</v>
      </c>
      <c r="AI1457" s="12" t="str">
        <f t="shared" si="276"/>
        <v>1837</v>
      </c>
    </row>
    <row r="1458" spans="1:59">
      <c r="A1458" s="12" t="s">
        <v>696</v>
      </c>
      <c r="B1458" s="12" t="str">
        <f t="shared" si="268"/>
        <v>PRINSLOO</v>
      </c>
      <c r="C1458" s="12" t="str">
        <f t="shared" si="269"/>
        <v>PRINSLOO</v>
      </c>
      <c r="D1458" s="12" t="s">
        <v>273</v>
      </c>
      <c r="E1458" s="12" t="str">
        <f t="shared" si="279"/>
        <v>Marthinus</v>
      </c>
      <c r="F1458" s="12" t="s">
        <v>9146</v>
      </c>
      <c r="G1458" s="12" t="str">
        <f t="shared" si="270"/>
        <v>a1b3c6d3e6f1</v>
      </c>
      <c r="H1458" s="12" t="str">
        <f t="shared" si="271"/>
        <v>PRINSLOOa1b3c6d3e6f1</v>
      </c>
      <c r="J1458" s="12"/>
      <c r="K1458" s="12" t="str">
        <f t="shared" si="272"/>
        <v/>
      </c>
      <c r="L1458" s="12"/>
      <c r="M1458" s="12" t="s">
        <v>15675</v>
      </c>
      <c r="N1458" s="12" t="str">
        <f t="shared" si="277"/>
        <v/>
      </c>
      <c r="O1458" s="12" t="str">
        <f t="shared" si="278"/>
        <v>1809</v>
      </c>
      <c r="P1458" s="2" t="s">
        <v>3214</v>
      </c>
      <c r="Q1458" s="12" t="str">
        <f t="shared" si="273"/>
        <v>1809</v>
      </c>
      <c r="R1458" s="12" t="s">
        <v>15676</v>
      </c>
      <c r="S1458" s="12" t="str">
        <f t="shared" si="274"/>
        <v>1882</v>
      </c>
      <c r="T1458" s="12"/>
      <c r="U1458" s="12"/>
      <c r="V1458" s="12" t="str">
        <f t="shared" si="275"/>
        <v/>
      </c>
      <c r="W1458" s="12" t="s">
        <v>15677</v>
      </c>
      <c r="X1458" s="12" t="s">
        <v>696</v>
      </c>
      <c r="Y1458" s="12"/>
      <c r="AA1458" s="12"/>
      <c r="AB1458" s="12"/>
      <c r="AC1458" s="12"/>
      <c r="AE1458" s="12"/>
      <c r="AF1458" s="12" t="s">
        <v>15678</v>
      </c>
      <c r="AG1458" s="12" t="s">
        <v>32</v>
      </c>
      <c r="AH1458" s="12" t="s">
        <v>2489</v>
      </c>
      <c r="AI1458" s="12" t="str">
        <f t="shared" si="276"/>
        <v>1841</v>
      </c>
      <c r="AJ1458" s="12"/>
      <c r="AK1458" s="12" t="s">
        <v>4679</v>
      </c>
      <c r="AL1458" s="12"/>
      <c r="AM1458" s="12"/>
      <c r="AN1458" s="12"/>
      <c r="AO1458" s="12"/>
      <c r="AP1458" s="12"/>
      <c r="AR1458" s="12"/>
      <c r="AV1458" s="12"/>
    </row>
    <row r="1459" spans="1:59">
      <c r="A1459" s="12" t="s">
        <v>696</v>
      </c>
      <c r="B1459" s="12" t="str">
        <f t="shared" si="268"/>
        <v>PRINSLOO</v>
      </c>
      <c r="C1459" s="12" t="str">
        <f t="shared" si="269"/>
        <v>PRINSLOO</v>
      </c>
      <c r="D1459" s="12" t="s">
        <v>9135</v>
      </c>
      <c r="E1459" s="12" t="str">
        <f t="shared" si="279"/>
        <v>Johanness Andries</v>
      </c>
      <c r="F1459" s="12" t="s">
        <v>9136</v>
      </c>
      <c r="G1459" s="12" t="str">
        <f t="shared" si="270"/>
        <v>a1b3c6d3e6f2</v>
      </c>
      <c r="H1459" s="12" t="str">
        <f t="shared" si="271"/>
        <v>PRINSLOOa1b3c6d3e6f2</v>
      </c>
      <c r="K1459" s="12" t="str">
        <f t="shared" si="272"/>
        <v/>
      </c>
      <c r="L1459" s="12"/>
      <c r="M1459" s="12" t="s">
        <v>10265</v>
      </c>
      <c r="N1459" s="12" t="str">
        <f t="shared" si="277"/>
        <v/>
      </c>
      <c r="O1459" s="12" t="str">
        <f t="shared" si="278"/>
        <v>1810</v>
      </c>
      <c r="Q1459" s="12" t="str">
        <f t="shared" si="273"/>
        <v>1810</v>
      </c>
      <c r="S1459" s="12" t="str">
        <f t="shared" si="274"/>
        <v/>
      </c>
      <c r="T1459" s="12" t="s">
        <v>199</v>
      </c>
      <c r="U1459" s="12" t="s">
        <v>1200</v>
      </c>
      <c r="V1459" s="12" t="str">
        <f t="shared" si="275"/>
        <v>1829</v>
      </c>
      <c r="W1459" s="12" t="s">
        <v>8080</v>
      </c>
      <c r="X1459" s="12" t="s">
        <v>695</v>
      </c>
      <c r="AA1459" s="12"/>
      <c r="AF1459" s="12" t="s">
        <v>3727</v>
      </c>
      <c r="AG1459" s="12" t="s">
        <v>32</v>
      </c>
      <c r="AH1459" s="2" t="s">
        <v>385</v>
      </c>
      <c r="AI1459" s="12" t="str">
        <f t="shared" si="276"/>
        <v>1840</v>
      </c>
      <c r="AJ1459" s="12"/>
      <c r="AK1459" s="2" t="s">
        <v>1654</v>
      </c>
    </row>
    <row r="1460" spans="1:59">
      <c r="A1460" s="12" t="s">
        <v>696</v>
      </c>
      <c r="B1460" s="12" t="str">
        <f t="shared" ref="B1460:B1522" si="280">SUBSTITUTE(A1460," ","")</f>
        <v>PRINSLOO</v>
      </c>
      <c r="C1460" s="12" t="str">
        <f t="shared" ref="C1460:C1522" si="281">TRIM(A1460)</f>
        <v>PRINSLOO</v>
      </c>
      <c r="D1460" s="12" t="s">
        <v>9139</v>
      </c>
      <c r="E1460" s="12" t="str">
        <f t="shared" si="279"/>
        <v>Johannes Paulus</v>
      </c>
      <c r="F1460" s="2" t="s">
        <v>9140</v>
      </c>
      <c r="G1460" s="12" t="str">
        <f t="shared" ref="G1460:G1522" si="282">IF(LEFT(F1460,1)="b","a1"&amp;F1460,F1460)</f>
        <v>a1b3c6d3e7f6</v>
      </c>
      <c r="H1460" s="12" t="str">
        <f t="shared" ref="H1460:H1491" si="283">C1460&amp;G1460</f>
        <v>PRINSLOOa1b3c6d3e7f6</v>
      </c>
      <c r="J1460" s="12" t="s">
        <v>15659</v>
      </c>
      <c r="K1460" s="12" t="str">
        <f t="shared" ref="K1460:K1522" si="284">RIGHT(J1460,4)</f>
        <v>1821</v>
      </c>
      <c r="L1460" s="2" t="s">
        <v>199</v>
      </c>
      <c r="M1460" s="2" t="s">
        <v>1885</v>
      </c>
      <c r="N1460" s="12" t="str">
        <f t="shared" si="277"/>
        <v>1821</v>
      </c>
      <c r="O1460" s="12" t="str">
        <f t="shared" si="278"/>
        <v>1822</v>
      </c>
      <c r="P1460" s="2" t="s">
        <v>406</v>
      </c>
      <c r="Q1460" s="12" t="str">
        <f t="shared" ref="Q1460:Q1522" si="285">IF(N1460="",O1460,N1460)</f>
        <v>1821</v>
      </c>
      <c r="R1460" s="2" t="s">
        <v>3676</v>
      </c>
      <c r="S1460" s="12" t="str">
        <f t="shared" ref="S1460:S1522" si="286">RIGHT(R1460,4)</f>
        <v>1881</v>
      </c>
      <c r="T1460" s="12"/>
      <c r="U1460" s="12"/>
      <c r="V1460" s="12" t="str">
        <f t="shared" ref="V1460:V1522" si="287">RIGHT(U1460,4)</f>
        <v/>
      </c>
      <c r="W1460" s="12" t="s">
        <v>7232</v>
      </c>
      <c r="X1460" s="12" t="s">
        <v>655</v>
      </c>
      <c r="Y1460" s="12"/>
      <c r="AB1460" s="12"/>
      <c r="AC1460" s="12"/>
      <c r="AH1460" s="12" t="s">
        <v>15660</v>
      </c>
      <c r="AI1460" s="12" t="str">
        <f t="shared" ref="AI1460:AI1522" si="288">RIGHT(AH1460,4)</f>
        <v>840S</v>
      </c>
      <c r="AJ1460" s="12"/>
      <c r="AK1460" s="2" t="s">
        <v>15661</v>
      </c>
    </row>
    <row r="1461" spans="1:59">
      <c r="A1461" s="12" t="s">
        <v>696</v>
      </c>
      <c r="B1461" s="12" t="str">
        <f t="shared" si="280"/>
        <v>PRINSLOO</v>
      </c>
      <c r="C1461" s="12" t="str">
        <f t="shared" si="281"/>
        <v>PRINSLOO</v>
      </c>
      <c r="D1461" s="12" t="s">
        <v>9173</v>
      </c>
      <c r="E1461" s="12" t="str">
        <f t="shared" si="279"/>
        <v>Willem Petrus( Lang Willem And/Or Willem Wragtag)</v>
      </c>
      <c r="F1461" s="12" t="s">
        <v>9174</v>
      </c>
      <c r="G1461" s="12" t="str">
        <f t="shared" si="282"/>
        <v>probably b3c3d6e7f1</v>
      </c>
      <c r="H1461" s="12" t="str">
        <f t="shared" si="283"/>
        <v>PRINSLOOprobably b3c3d6e7f1</v>
      </c>
      <c r="I1461" s="12"/>
      <c r="J1461" s="12" t="s">
        <v>15751</v>
      </c>
      <c r="K1461" s="12" t="str">
        <f t="shared" si="284"/>
        <v>1820</v>
      </c>
      <c r="L1461" s="12" t="s">
        <v>28</v>
      </c>
      <c r="M1461" s="12" t="s">
        <v>3217</v>
      </c>
      <c r="N1461" s="12" t="str">
        <f t="shared" si="277"/>
        <v>1820</v>
      </c>
      <c r="O1461" s="12" t="str">
        <f t="shared" si="278"/>
        <v>1820</v>
      </c>
      <c r="P1461" s="12" t="s">
        <v>15752</v>
      </c>
      <c r="Q1461" s="12" t="str">
        <f t="shared" si="285"/>
        <v>1820</v>
      </c>
      <c r="R1461" s="12" t="s">
        <v>15753</v>
      </c>
      <c r="S1461" s="12" t="str">
        <f t="shared" si="286"/>
        <v>1898</v>
      </c>
      <c r="T1461" s="12" t="s">
        <v>190</v>
      </c>
      <c r="U1461" s="12">
        <v>1842</v>
      </c>
      <c r="V1461" s="12" t="str">
        <f t="shared" si="287"/>
        <v>1842</v>
      </c>
      <c r="W1461" s="12" t="s">
        <v>2842</v>
      </c>
      <c r="X1461" s="12" t="s">
        <v>629</v>
      </c>
      <c r="Y1461" s="12"/>
      <c r="Z1461" s="12"/>
      <c r="AA1461" s="12"/>
      <c r="AB1461" s="12"/>
      <c r="AC1461" s="12"/>
      <c r="AD1461" s="12"/>
      <c r="AE1461" s="12"/>
      <c r="AF1461" s="12" t="s">
        <v>15754</v>
      </c>
      <c r="AG1461" s="12" t="s">
        <v>68</v>
      </c>
      <c r="AH1461" s="12" t="s">
        <v>7698</v>
      </c>
      <c r="AI1461" s="12" t="str">
        <f t="shared" si="288"/>
        <v>1837</v>
      </c>
      <c r="AJ1461" s="12" t="s">
        <v>5437</v>
      </c>
      <c r="AK1461" s="12" t="s">
        <v>1864</v>
      </c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</row>
    <row r="1462" spans="1:59">
      <c r="A1462" s="12" t="s">
        <v>1381</v>
      </c>
      <c r="B1462" s="12" t="str">
        <f t="shared" si="280"/>
        <v>PUTTER</v>
      </c>
      <c r="C1462" s="12" t="str">
        <f t="shared" si="281"/>
        <v>PUTTER</v>
      </c>
      <c r="D1462" s="12" t="s">
        <v>5025</v>
      </c>
      <c r="E1462" s="12" t="str">
        <f t="shared" si="279"/>
        <v>Diederik Johannes</v>
      </c>
      <c r="F1462" s="12" t="s">
        <v>9175</v>
      </c>
      <c r="G1462" s="12" t="str">
        <f t="shared" si="282"/>
        <v>a1b9c4d66e5f1</v>
      </c>
      <c r="H1462" s="12" t="str">
        <f t="shared" si="283"/>
        <v>PUTTERa1b9c4d66e5f1</v>
      </c>
      <c r="I1462" s="12"/>
      <c r="J1462" s="12" t="s">
        <v>420</v>
      </c>
      <c r="K1462" s="12" t="str">
        <f t="shared" si="284"/>
        <v>1825</v>
      </c>
      <c r="L1462" s="12" t="s">
        <v>28</v>
      </c>
      <c r="M1462" s="12" t="s">
        <v>12449</v>
      </c>
      <c r="N1462" s="12" t="str">
        <f t="shared" si="277"/>
        <v>1825</v>
      </c>
      <c r="O1462" s="12" t="str">
        <f t="shared" si="278"/>
        <v>1825</v>
      </c>
      <c r="P1462" s="12"/>
      <c r="Q1462" s="12" t="str">
        <f t="shared" si="285"/>
        <v>1825</v>
      </c>
      <c r="R1462" s="12"/>
      <c r="S1462" s="12" t="str">
        <f t="shared" si="286"/>
        <v/>
      </c>
      <c r="T1462" s="12" t="s">
        <v>140</v>
      </c>
      <c r="U1462" s="12" t="s">
        <v>2643</v>
      </c>
      <c r="V1462" s="12" t="str">
        <f t="shared" si="287"/>
        <v>1845</v>
      </c>
      <c r="W1462" s="12" t="s">
        <v>7380</v>
      </c>
      <c r="X1462" s="12" t="s">
        <v>5232</v>
      </c>
      <c r="Y1462" s="12"/>
      <c r="Z1462" s="12"/>
      <c r="AA1462" s="12"/>
      <c r="AB1462" s="12"/>
      <c r="AC1462" s="12"/>
      <c r="AD1462" s="12"/>
      <c r="AE1462" s="12"/>
      <c r="AF1462" s="12" t="s">
        <v>3718</v>
      </c>
      <c r="AG1462" s="12" t="s">
        <v>15755</v>
      </c>
      <c r="AH1462" s="12" t="s">
        <v>15756</v>
      </c>
      <c r="AI1462" s="12" t="str">
        <f t="shared" si="288"/>
        <v>1844</v>
      </c>
      <c r="AJ1462" s="12"/>
      <c r="AK1462" s="12" t="s">
        <v>140</v>
      </c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</row>
    <row r="1463" spans="1:59">
      <c r="A1463" s="12" t="s">
        <v>1381</v>
      </c>
      <c r="B1463" s="12" t="str">
        <f t="shared" si="280"/>
        <v>PUTTER</v>
      </c>
      <c r="C1463" s="12" t="str">
        <f t="shared" si="281"/>
        <v>PUTTER</v>
      </c>
      <c r="D1463" s="12" t="s">
        <v>9178</v>
      </c>
      <c r="E1463" s="12" t="str">
        <f t="shared" si="279"/>
        <v>Paul Jacobus</v>
      </c>
      <c r="F1463" s="12" t="s">
        <v>9179</v>
      </c>
      <c r="G1463" s="12" t="str">
        <f t="shared" si="282"/>
        <v>a1b9c4d6e5</v>
      </c>
      <c r="H1463" s="12" t="str">
        <f t="shared" si="283"/>
        <v>PUTTERa1b9c4d6e5</v>
      </c>
      <c r="I1463" s="12"/>
      <c r="J1463" s="12"/>
      <c r="K1463" s="12" t="str">
        <f t="shared" si="284"/>
        <v/>
      </c>
      <c r="L1463" s="12"/>
      <c r="M1463" s="12" t="s">
        <v>15762</v>
      </c>
      <c r="N1463" s="12" t="str">
        <f t="shared" si="277"/>
        <v/>
      </c>
      <c r="O1463" s="12" t="str">
        <f t="shared" si="278"/>
        <v>1805</v>
      </c>
      <c r="P1463" s="12"/>
      <c r="Q1463" s="12" t="str">
        <f t="shared" si="285"/>
        <v>1805</v>
      </c>
      <c r="R1463" s="12"/>
      <c r="S1463" s="12" t="str">
        <f t="shared" si="286"/>
        <v/>
      </c>
      <c r="T1463" s="12" t="s">
        <v>28</v>
      </c>
      <c r="U1463" s="12" t="s">
        <v>15387</v>
      </c>
      <c r="V1463" s="12" t="str">
        <f t="shared" si="287"/>
        <v>1824</v>
      </c>
      <c r="W1463" s="12" t="s">
        <v>10298</v>
      </c>
      <c r="X1463" s="12" t="s">
        <v>1187</v>
      </c>
      <c r="Y1463" s="12"/>
      <c r="Z1463" s="12"/>
      <c r="AA1463" s="12"/>
      <c r="AB1463" s="12"/>
      <c r="AC1463" s="12"/>
      <c r="AD1463" s="12"/>
      <c r="AE1463" s="12"/>
      <c r="AF1463" s="12" t="s">
        <v>3718</v>
      </c>
      <c r="AG1463" s="12" t="s">
        <v>68</v>
      </c>
      <c r="AH1463" s="12" t="s">
        <v>15756</v>
      </c>
      <c r="AI1463" s="12" t="str">
        <f t="shared" si="288"/>
        <v>1844</v>
      </c>
      <c r="AJ1463" s="12"/>
      <c r="AK1463" s="12" t="s">
        <v>140</v>
      </c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</row>
    <row r="1464" spans="1:59">
      <c r="A1464" s="12" t="s">
        <v>1381</v>
      </c>
      <c r="B1464" s="12" t="str">
        <f t="shared" si="280"/>
        <v>PUTTER</v>
      </c>
      <c r="C1464" s="12" t="str">
        <f t="shared" si="281"/>
        <v>PUTTER</v>
      </c>
      <c r="D1464" s="12" t="s">
        <v>9176</v>
      </c>
      <c r="E1464" s="12" t="str">
        <f t="shared" si="279"/>
        <v>Lodewyk Andries</v>
      </c>
      <c r="F1464" s="12" t="s">
        <v>9177</v>
      </c>
      <c r="G1464" s="12" t="str">
        <f t="shared" si="282"/>
        <v>a1b9c4d6e7</v>
      </c>
      <c r="H1464" s="12" t="str">
        <f t="shared" si="283"/>
        <v>PUTTERa1b9c4d6e7</v>
      </c>
      <c r="I1464" s="12"/>
      <c r="J1464" s="12" t="s">
        <v>15757</v>
      </c>
      <c r="K1464" s="12" t="str">
        <f t="shared" si="284"/>
        <v>1811</v>
      </c>
      <c r="L1464" s="12" t="s">
        <v>74</v>
      </c>
      <c r="M1464" s="12" t="s">
        <v>15758</v>
      </c>
      <c r="N1464" s="12" t="str">
        <f t="shared" si="277"/>
        <v>1811</v>
      </c>
      <c r="O1464" s="12" t="str">
        <f t="shared" si="278"/>
        <v>1811</v>
      </c>
      <c r="P1464" s="12"/>
      <c r="Q1464" s="12" t="str">
        <f t="shared" si="285"/>
        <v>1811</v>
      </c>
      <c r="R1464" s="12"/>
      <c r="S1464" s="12" t="str">
        <f t="shared" si="286"/>
        <v/>
      </c>
      <c r="T1464" s="12" t="s">
        <v>28</v>
      </c>
      <c r="U1464" s="12" t="s">
        <v>1263</v>
      </c>
      <c r="V1464" s="12" t="str">
        <f t="shared" si="287"/>
        <v>1832</v>
      </c>
      <c r="W1464" s="12" t="s">
        <v>13265</v>
      </c>
      <c r="X1464" s="12" t="s">
        <v>1187</v>
      </c>
      <c r="Y1464" s="12" t="s">
        <v>15759</v>
      </c>
      <c r="Z1464" s="12"/>
      <c r="AA1464" s="12"/>
      <c r="AB1464" s="12" t="s">
        <v>74</v>
      </c>
      <c r="AC1464" s="12" t="s">
        <v>12957</v>
      </c>
      <c r="AD1464" s="12"/>
      <c r="AE1464" s="12"/>
      <c r="AF1464" s="12" t="s">
        <v>15760</v>
      </c>
      <c r="AG1464" s="12" t="s">
        <v>68</v>
      </c>
      <c r="AH1464" s="12" t="s">
        <v>15761</v>
      </c>
      <c r="AI1464" s="12" t="str">
        <f t="shared" si="288"/>
        <v>1835</v>
      </c>
      <c r="AJ1464" s="12" t="s">
        <v>379</v>
      </c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</row>
    <row r="1465" spans="1:59">
      <c r="A1465" s="12" t="s">
        <v>9507</v>
      </c>
      <c r="B1465" s="12" t="str">
        <f t="shared" si="280"/>
        <v>RAATH</v>
      </c>
      <c r="C1465" s="12" t="str">
        <f t="shared" si="281"/>
        <v>RAATH</v>
      </c>
      <c r="D1465" s="12" t="s">
        <v>5510</v>
      </c>
      <c r="E1465" s="12" t="str">
        <f t="shared" si="279"/>
        <v xml:space="preserve">Johannes Christoffel Sr. </v>
      </c>
      <c r="F1465" s="12" t="s">
        <v>3010</v>
      </c>
      <c r="G1465" s="12" t="str">
        <f t="shared" si="282"/>
        <v>a1b3</v>
      </c>
      <c r="H1465" s="12" t="str">
        <f t="shared" si="283"/>
        <v>RAATHa1b3</v>
      </c>
      <c r="I1465" s="12"/>
      <c r="J1465" s="12"/>
      <c r="K1465" s="12" t="str">
        <f t="shared" si="284"/>
        <v/>
      </c>
      <c r="L1465" s="12" t="s">
        <v>1955</v>
      </c>
      <c r="M1465" s="12" t="s">
        <v>11840</v>
      </c>
      <c r="N1465" s="12" t="str">
        <f t="shared" si="277"/>
        <v/>
      </c>
      <c r="O1465" s="12" t="str">
        <f t="shared" si="278"/>
        <v>1779</v>
      </c>
      <c r="P1465" s="12"/>
      <c r="Q1465" s="12" t="str">
        <f t="shared" si="285"/>
        <v>1779</v>
      </c>
      <c r="R1465" s="12"/>
      <c r="S1465" s="12" t="str">
        <f t="shared" si="286"/>
        <v/>
      </c>
      <c r="T1465" s="12" t="s">
        <v>48</v>
      </c>
      <c r="U1465" s="12" t="s">
        <v>11841</v>
      </c>
      <c r="V1465" s="12" t="str">
        <f t="shared" si="287"/>
        <v>1803</v>
      </c>
      <c r="W1465" s="12" t="s">
        <v>712</v>
      </c>
      <c r="X1465" s="12" t="s">
        <v>668</v>
      </c>
      <c r="Y1465" s="12" t="s">
        <v>11842</v>
      </c>
      <c r="Z1465" s="12"/>
      <c r="AA1465" s="12"/>
      <c r="AB1465" s="12"/>
      <c r="AC1465" s="12" t="s">
        <v>11843</v>
      </c>
      <c r="AD1465" s="12"/>
      <c r="AE1465" s="12"/>
      <c r="AF1465" s="12" t="s">
        <v>3677</v>
      </c>
      <c r="AG1465" s="12" t="s">
        <v>53</v>
      </c>
      <c r="AH1465" s="12" t="s">
        <v>11844</v>
      </c>
      <c r="AI1465" s="12" t="str">
        <f t="shared" si="288"/>
        <v>1837</v>
      </c>
      <c r="AJ1465" s="12" t="s">
        <v>11845</v>
      </c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</row>
    <row r="1466" spans="1:59">
      <c r="A1466" s="12" t="s">
        <v>9507</v>
      </c>
      <c r="B1466" s="12" t="str">
        <f t="shared" si="280"/>
        <v>RAATH</v>
      </c>
      <c r="C1466" s="12" t="str">
        <f t="shared" si="281"/>
        <v>RAATH</v>
      </c>
      <c r="D1466" s="12" t="s">
        <v>11870</v>
      </c>
      <c r="E1466" s="12" t="str">
        <f t="shared" si="279"/>
        <v>Philippus Arnoldus Christiaan</v>
      </c>
      <c r="F1466" s="12" t="s">
        <v>950</v>
      </c>
      <c r="G1466" s="12" t="str">
        <f t="shared" si="282"/>
        <v>a1b3c1</v>
      </c>
      <c r="H1466" s="12" t="str">
        <f t="shared" si="283"/>
        <v>RAATHa1b3c1</v>
      </c>
      <c r="I1466" s="12" t="s">
        <v>11871</v>
      </c>
      <c r="J1466" s="12" t="s">
        <v>11872</v>
      </c>
      <c r="K1466" s="12" t="str">
        <f t="shared" si="284"/>
        <v>1805</v>
      </c>
      <c r="L1466" s="12" t="s">
        <v>32</v>
      </c>
      <c r="M1466" s="12" t="s">
        <v>11873</v>
      </c>
      <c r="N1466" s="12" t="str">
        <f t="shared" si="277"/>
        <v>1805</v>
      </c>
      <c r="O1466" s="12" t="str">
        <f t="shared" si="278"/>
        <v>1805</v>
      </c>
      <c r="P1466" s="12" t="s">
        <v>406</v>
      </c>
      <c r="Q1466" s="12" t="str">
        <f t="shared" si="285"/>
        <v>1805</v>
      </c>
      <c r="R1466" s="12" t="s">
        <v>11874</v>
      </c>
      <c r="S1466" s="12" t="str">
        <f t="shared" si="286"/>
        <v>1881</v>
      </c>
      <c r="T1466" s="12" t="s">
        <v>53</v>
      </c>
      <c r="U1466" s="12" t="s">
        <v>11875</v>
      </c>
      <c r="V1466" s="12" t="str">
        <f t="shared" si="287"/>
        <v>1826</v>
      </c>
      <c r="W1466" s="12" t="s">
        <v>2296</v>
      </c>
      <c r="X1466" s="12" t="s">
        <v>631</v>
      </c>
      <c r="Y1466" s="12" t="s">
        <v>11876</v>
      </c>
      <c r="Z1466" s="12"/>
      <c r="AA1466" s="12"/>
      <c r="AB1466" s="12" t="s">
        <v>11685</v>
      </c>
      <c r="AC1466" s="12" t="s">
        <v>93</v>
      </c>
      <c r="AD1466" s="12" t="s">
        <v>11877</v>
      </c>
      <c r="AE1466" s="12"/>
      <c r="AF1466" s="12" t="s">
        <v>3677</v>
      </c>
      <c r="AG1466" s="12" t="s">
        <v>53</v>
      </c>
      <c r="AH1466" s="12" t="s">
        <v>11844</v>
      </c>
      <c r="AI1466" s="12" t="str">
        <f t="shared" si="288"/>
        <v>1837</v>
      </c>
      <c r="AJ1466" s="12" t="s">
        <v>11845</v>
      </c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</row>
    <row r="1467" spans="1:59">
      <c r="A1467" s="12" t="s">
        <v>9507</v>
      </c>
      <c r="B1467" s="12" t="str">
        <f t="shared" si="280"/>
        <v>RAATH</v>
      </c>
      <c r="C1467" s="12" t="str">
        <f t="shared" si="281"/>
        <v>RAATH</v>
      </c>
      <c r="D1467" s="12" t="s">
        <v>6562</v>
      </c>
      <c r="E1467" s="12" t="str">
        <f t="shared" si="279"/>
        <v>Johannes Gerhardus</v>
      </c>
      <c r="F1467" s="12" t="s">
        <v>2500</v>
      </c>
      <c r="G1467" s="12" t="str">
        <f t="shared" si="282"/>
        <v>a1b3c2</v>
      </c>
      <c r="H1467" s="12" t="str">
        <f t="shared" si="283"/>
        <v>RAATHa1b3c2</v>
      </c>
      <c r="I1467" s="12"/>
      <c r="J1467" s="12" t="s">
        <v>11856</v>
      </c>
      <c r="K1467" s="12" t="str">
        <f t="shared" si="284"/>
        <v>1806</v>
      </c>
      <c r="L1467" s="12" t="s">
        <v>32</v>
      </c>
      <c r="M1467" s="12" t="s">
        <v>11857</v>
      </c>
      <c r="N1467" s="12" t="str">
        <f t="shared" si="277"/>
        <v>1806</v>
      </c>
      <c r="O1467" s="12" t="str">
        <f t="shared" si="278"/>
        <v>1807</v>
      </c>
      <c r="P1467" s="12"/>
      <c r="Q1467" s="12" t="str">
        <f t="shared" si="285"/>
        <v>1806</v>
      </c>
      <c r="R1467" s="12">
        <v>1862</v>
      </c>
      <c r="S1467" s="12" t="str">
        <f t="shared" si="286"/>
        <v>1862</v>
      </c>
      <c r="T1467" s="12" t="s">
        <v>53</v>
      </c>
      <c r="U1467" s="12" t="s">
        <v>11858</v>
      </c>
      <c r="V1467" s="12" t="str">
        <f t="shared" si="287"/>
        <v>1830</v>
      </c>
      <c r="W1467" s="12" t="s">
        <v>11859</v>
      </c>
      <c r="X1467" s="12" t="s">
        <v>731</v>
      </c>
      <c r="Y1467" s="12"/>
      <c r="Z1467" s="12" t="s">
        <v>32</v>
      </c>
      <c r="AA1467" s="12" t="s">
        <v>11860</v>
      </c>
      <c r="AB1467" s="12" t="s">
        <v>32</v>
      </c>
      <c r="AC1467" s="12" t="s">
        <v>11861</v>
      </c>
      <c r="AD1467" s="12"/>
      <c r="AE1467" s="12"/>
      <c r="AF1467" s="12" t="s">
        <v>3677</v>
      </c>
      <c r="AG1467" s="12" t="s">
        <v>53</v>
      </c>
      <c r="AH1467" s="12" t="s">
        <v>11844</v>
      </c>
      <c r="AI1467" s="12" t="str">
        <f t="shared" si="288"/>
        <v>1837</v>
      </c>
      <c r="AJ1467" s="12" t="s">
        <v>11845</v>
      </c>
      <c r="AK1467" s="12"/>
      <c r="AL1467" s="12" t="s">
        <v>2702</v>
      </c>
      <c r="AM1467" s="12" t="s">
        <v>11862</v>
      </c>
      <c r="AN1467" s="12" t="s">
        <v>4828</v>
      </c>
      <c r="AO1467" s="12" t="s">
        <v>698</v>
      </c>
      <c r="AP1467" s="12"/>
      <c r="AQ1467" s="12"/>
      <c r="AR1467" s="12">
        <v>1829</v>
      </c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</row>
    <row r="1468" spans="1:59">
      <c r="A1468" s="12" t="s">
        <v>9507</v>
      </c>
      <c r="B1468" s="12" t="str">
        <f t="shared" si="280"/>
        <v>RAATH</v>
      </c>
      <c r="C1468" s="12" t="str">
        <f t="shared" si="281"/>
        <v>RAATH</v>
      </c>
      <c r="D1468" s="12" t="s">
        <v>11863</v>
      </c>
      <c r="E1468" s="12" t="str">
        <f t="shared" si="279"/>
        <v>Marthinus Johannes Christoffel</v>
      </c>
      <c r="F1468" s="12" t="s">
        <v>5277</v>
      </c>
      <c r="G1468" s="12" t="str">
        <f t="shared" si="282"/>
        <v>a1b3c4</v>
      </c>
      <c r="H1468" s="12" t="str">
        <f t="shared" si="283"/>
        <v>RAATHa1b3c4</v>
      </c>
      <c r="I1468" s="2" t="s">
        <v>11864</v>
      </c>
      <c r="J1468" s="12" t="s">
        <v>11865</v>
      </c>
      <c r="K1468" s="12" t="str">
        <f t="shared" si="284"/>
        <v>1811</v>
      </c>
      <c r="L1468" s="12" t="s">
        <v>32</v>
      </c>
      <c r="M1468" s="12" t="s">
        <v>4398</v>
      </c>
      <c r="N1468" s="12" t="str">
        <f t="shared" si="277"/>
        <v>1811</v>
      </c>
      <c r="O1468" s="12" t="str">
        <f t="shared" si="278"/>
        <v>1811</v>
      </c>
      <c r="P1468" s="12" t="s">
        <v>9365</v>
      </c>
      <c r="Q1468" s="12" t="str">
        <f t="shared" si="285"/>
        <v>1811</v>
      </c>
      <c r="R1468" s="12" t="s">
        <v>11866</v>
      </c>
      <c r="S1468" s="12" t="str">
        <f t="shared" si="286"/>
        <v>1877</v>
      </c>
      <c r="T1468" s="12" t="s">
        <v>28</v>
      </c>
      <c r="U1468" s="12" t="s">
        <v>11867</v>
      </c>
      <c r="V1468" s="12" t="str">
        <f t="shared" si="287"/>
        <v>1836</v>
      </c>
      <c r="W1468" s="12" t="s">
        <v>3331</v>
      </c>
      <c r="X1468" s="12" t="s">
        <v>2901</v>
      </c>
      <c r="Z1468" s="12"/>
      <c r="AA1468" s="12" t="s">
        <v>10675</v>
      </c>
      <c r="AD1468" s="12"/>
      <c r="AE1468" s="12"/>
      <c r="AF1468" s="12" t="s">
        <v>3699</v>
      </c>
      <c r="AG1468" s="12" t="s">
        <v>68</v>
      </c>
      <c r="AH1468" s="12" t="s">
        <v>2489</v>
      </c>
      <c r="AI1468" s="12" t="str">
        <f t="shared" si="288"/>
        <v>1841</v>
      </c>
      <c r="AJ1468" s="12"/>
      <c r="AK1468" s="12" t="s">
        <v>90</v>
      </c>
      <c r="AN1468" s="12" t="s">
        <v>11868</v>
      </c>
      <c r="AO1468" s="12"/>
      <c r="AR1468" s="2" t="s">
        <v>11869</v>
      </c>
    </row>
    <row r="1469" spans="1:59">
      <c r="A1469" s="12" t="s">
        <v>9507</v>
      </c>
      <c r="B1469" s="12" t="str">
        <f t="shared" si="280"/>
        <v>RAATH</v>
      </c>
      <c r="C1469" s="12" t="str">
        <f t="shared" si="281"/>
        <v>RAATH</v>
      </c>
      <c r="D1469" s="12" t="s">
        <v>11846</v>
      </c>
      <c r="E1469" s="12" t="str">
        <f t="shared" si="279"/>
        <v xml:space="preserve">Johannes Christoffel Jr. </v>
      </c>
      <c r="F1469" s="12" t="s">
        <v>11847</v>
      </c>
      <c r="G1469" s="12" t="str">
        <f t="shared" si="282"/>
        <v>a1b3c9</v>
      </c>
      <c r="H1469" s="12" t="str">
        <f t="shared" si="283"/>
        <v>RAATHa1b3c9</v>
      </c>
      <c r="I1469" s="12" t="s">
        <v>346</v>
      </c>
      <c r="J1469" s="12" t="s">
        <v>11848</v>
      </c>
      <c r="K1469" s="12" t="str">
        <f t="shared" si="284"/>
        <v>1823</v>
      </c>
      <c r="L1469" s="12" t="s">
        <v>53</v>
      </c>
      <c r="M1469" s="12" t="s">
        <v>11849</v>
      </c>
      <c r="N1469" s="12" t="str">
        <f t="shared" si="277"/>
        <v>1823</v>
      </c>
      <c r="O1469" s="12" t="str">
        <f t="shared" si="278"/>
        <v>1824</v>
      </c>
      <c r="P1469" s="12" t="s">
        <v>1017</v>
      </c>
      <c r="Q1469" s="12" t="str">
        <f t="shared" si="285"/>
        <v>1823</v>
      </c>
      <c r="R1469" s="12" t="s">
        <v>11850</v>
      </c>
      <c r="S1469" s="12" t="str">
        <f t="shared" si="286"/>
        <v>1879</v>
      </c>
      <c r="T1469" s="12" t="s">
        <v>5146</v>
      </c>
      <c r="U1469" s="12" t="s">
        <v>11851</v>
      </c>
      <c r="V1469" s="12" t="str">
        <f t="shared" si="287"/>
        <v>1845</v>
      </c>
      <c r="W1469" s="12" t="s">
        <v>5112</v>
      </c>
      <c r="X1469" s="12" t="s">
        <v>660</v>
      </c>
      <c r="Y1469" s="2" t="s">
        <v>11852</v>
      </c>
      <c r="AA1469" s="2" t="s">
        <v>11853</v>
      </c>
      <c r="AC1469" s="2" t="s">
        <v>11854</v>
      </c>
      <c r="AD1469" s="2" t="s">
        <v>90</v>
      </c>
      <c r="AE1469" s="2" t="s">
        <v>11855</v>
      </c>
      <c r="AF1469" s="12" t="s">
        <v>3677</v>
      </c>
      <c r="AG1469" s="12" t="s">
        <v>53</v>
      </c>
      <c r="AH1469" s="12" t="s">
        <v>11844</v>
      </c>
      <c r="AI1469" s="12" t="str">
        <f t="shared" si="288"/>
        <v>1837</v>
      </c>
      <c r="AJ1469" s="12" t="s">
        <v>11845</v>
      </c>
      <c r="AL1469" s="12"/>
      <c r="AM1469" s="12"/>
      <c r="AN1469" s="12"/>
      <c r="AO1469" s="12"/>
      <c r="AP1469" s="12"/>
      <c r="AR1469" s="12"/>
      <c r="AS1469" s="12"/>
      <c r="AT1469" s="12"/>
    </row>
    <row r="1470" spans="1:59">
      <c r="A1470" s="12" t="s">
        <v>11878</v>
      </c>
      <c r="B1470" s="12" t="str">
        <f t="shared" si="280"/>
        <v>RABIE</v>
      </c>
      <c r="C1470" s="12" t="str">
        <f t="shared" si="281"/>
        <v>RABIE</v>
      </c>
      <c r="D1470" s="12" t="s">
        <v>11879</v>
      </c>
      <c r="E1470" s="12" t="str">
        <f t="shared" si="279"/>
        <v>Izaak Stephanus</v>
      </c>
      <c r="F1470" s="12" t="s">
        <v>11880</v>
      </c>
      <c r="G1470" s="12" t="str">
        <f t="shared" si="282"/>
        <v>a1b3c6d2</v>
      </c>
      <c r="H1470" s="12" t="str">
        <f t="shared" si="283"/>
        <v>RABIEa1b3c6d2</v>
      </c>
      <c r="I1470" s="2" t="s">
        <v>74</v>
      </c>
      <c r="J1470" s="12" t="s">
        <v>11881</v>
      </c>
      <c r="K1470" s="12" t="str">
        <f t="shared" si="284"/>
        <v>1794</v>
      </c>
      <c r="M1470" s="2" t="s">
        <v>11882</v>
      </c>
      <c r="N1470" s="12" t="str">
        <f t="shared" si="277"/>
        <v>1794</v>
      </c>
      <c r="O1470" s="12" t="str">
        <f t="shared" si="278"/>
        <v>1795</v>
      </c>
      <c r="P1470" s="12" t="s">
        <v>5717</v>
      </c>
      <c r="Q1470" s="12" t="str">
        <f t="shared" si="285"/>
        <v>1794</v>
      </c>
      <c r="R1470" s="12" t="s">
        <v>11883</v>
      </c>
      <c r="S1470" s="12" t="str">
        <f t="shared" si="286"/>
        <v>1862</v>
      </c>
      <c r="U1470" s="2" t="s">
        <v>6704</v>
      </c>
      <c r="V1470" s="12" t="str">
        <f t="shared" si="287"/>
        <v>1813</v>
      </c>
      <c r="W1470" s="12" t="s">
        <v>4623</v>
      </c>
      <c r="X1470" s="12" t="s">
        <v>788</v>
      </c>
      <c r="AA1470" s="2">
        <v>1795</v>
      </c>
      <c r="AF1470" s="2" t="s">
        <v>11884</v>
      </c>
      <c r="AG1470" s="12" t="s">
        <v>74</v>
      </c>
      <c r="AH1470" s="12"/>
      <c r="AI1470" s="12" t="str">
        <f t="shared" si="288"/>
        <v/>
      </c>
      <c r="AK1470" s="12"/>
    </row>
    <row r="1471" spans="1:59">
      <c r="A1471" s="12" t="s">
        <v>11878</v>
      </c>
      <c r="B1471" s="12" t="str">
        <f t="shared" si="280"/>
        <v>RABIE</v>
      </c>
      <c r="C1471" s="12" t="str">
        <f t="shared" si="281"/>
        <v>RABIE</v>
      </c>
      <c r="D1471" s="12" t="s">
        <v>2253</v>
      </c>
      <c r="E1471" s="12" t="str">
        <f t="shared" si="279"/>
        <v>Johannes Jacobus</v>
      </c>
      <c r="F1471" s="12" t="s">
        <v>11897</v>
      </c>
      <c r="G1471" s="12" t="str">
        <f t="shared" si="282"/>
        <v>a1b3c6d2e2</v>
      </c>
      <c r="H1471" s="12" t="str">
        <f t="shared" si="283"/>
        <v>RABIEa1b3c6d2e2</v>
      </c>
      <c r="J1471" s="12" t="s">
        <v>11898</v>
      </c>
      <c r="K1471" s="12" t="str">
        <f t="shared" si="284"/>
        <v>1816</v>
      </c>
      <c r="L1471" s="12"/>
      <c r="M1471" s="12"/>
      <c r="N1471" s="12" t="str">
        <f t="shared" si="277"/>
        <v>1816</v>
      </c>
      <c r="O1471" s="12" t="str">
        <f t="shared" si="278"/>
        <v/>
      </c>
      <c r="P1471" s="12" t="s">
        <v>5717</v>
      </c>
      <c r="Q1471" s="12" t="str">
        <f t="shared" si="285"/>
        <v>1816</v>
      </c>
      <c r="R1471" s="12" t="s">
        <v>11899</v>
      </c>
      <c r="S1471" s="12" t="str">
        <f t="shared" si="286"/>
        <v>1886</v>
      </c>
      <c r="T1471" s="2" t="s">
        <v>74</v>
      </c>
      <c r="U1471" s="2" t="s">
        <v>11900</v>
      </c>
      <c r="V1471" s="12" t="str">
        <f t="shared" si="287"/>
        <v>1836</v>
      </c>
      <c r="W1471" s="2" t="s">
        <v>11901</v>
      </c>
      <c r="X1471" s="2" t="s">
        <v>11902</v>
      </c>
      <c r="AF1471" s="12" t="s">
        <v>11884</v>
      </c>
      <c r="AG1471" s="12" t="s">
        <v>74</v>
      </c>
      <c r="AH1471" s="12" t="s">
        <v>11903</v>
      </c>
      <c r="AI1471" s="12" t="str">
        <f t="shared" si="288"/>
        <v>1844</v>
      </c>
      <c r="AJ1471" s="12"/>
      <c r="AK1471" s="2" t="s">
        <v>5146</v>
      </c>
      <c r="AN1471" s="2" t="s">
        <v>11904</v>
      </c>
      <c r="AO1471" s="2" t="s">
        <v>4871</v>
      </c>
      <c r="AR1471" s="2">
        <v>1836</v>
      </c>
      <c r="AU1471" s="2" t="s">
        <v>961</v>
      </c>
      <c r="AV1471" s="2" t="s">
        <v>11905</v>
      </c>
    </row>
    <row r="1472" spans="1:59">
      <c r="A1472" s="12" t="s">
        <v>11878</v>
      </c>
      <c r="B1472" s="12" t="str">
        <f t="shared" si="280"/>
        <v>RABIE</v>
      </c>
      <c r="C1472" s="12" t="str">
        <f t="shared" si="281"/>
        <v>RABIE</v>
      </c>
      <c r="D1472" s="12" t="s">
        <v>11885</v>
      </c>
      <c r="E1472" s="12" t="str">
        <f t="shared" si="279"/>
        <v>Jan Bastiaan</v>
      </c>
      <c r="F1472" s="12" t="s">
        <v>11886</v>
      </c>
      <c r="G1472" s="12" t="str">
        <f t="shared" si="282"/>
        <v>a1b4c1d3e1</v>
      </c>
      <c r="H1472" s="12" t="str">
        <f t="shared" si="283"/>
        <v>RABIEa1b4c1d3e1</v>
      </c>
      <c r="J1472" s="12" t="s">
        <v>11887</v>
      </c>
      <c r="K1472" s="12" t="str">
        <f t="shared" si="284"/>
        <v>1812</v>
      </c>
      <c r="M1472" s="12" t="s">
        <v>11888</v>
      </c>
      <c r="N1472" s="12" t="str">
        <f t="shared" si="277"/>
        <v>1812</v>
      </c>
      <c r="O1472" s="12" t="str">
        <f t="shared" si="278"/>
        <v>1812</v>
      </c>
      <c r="P1472" s="12" t="s">
        <v>406</v>
      </c>
      <c r="Q1472" s="12" t="str">
        <f t="shared" si="285"/>
        <v>1812</v>
      </c>
      <c r="R1472" s="12" t="s">
        <v>11889</v>
      </c>
      <c r="S1472" s="12" t="str">
        <f t="shared" si="286"/>
        <v>1876</v>
      </c>
      <c r="T1472" s="2" t="s">
        <v>32</v>
      </c>
      <c r="U1472" s="2" t="s">
        <v>11890</v>
      </c>
      <c r="V1472" s="12" t="str">
        <f t="shared" si="287"/>
        <v>1836</v>
      </c>
      <c r="W1472" s="12" t="s">
        <v>11891</v>
      </c>
      <c r="X1472" s="12" t="s">
        <v>1930</v>
      </c>
      <c r="Y1472" s="2" t="s">
        <v>11892</v>
      </c>
      <c r="AA1472" s="12"/>
      <c r="AB1472" s="2" t="s">
        <v>542</v>
      </c>
      <c r="AC1472" s="2" t="s">
        <v>11893</v>
      </c>
      <c r="AE1472" s="2" t="s">
        <v>11894</v>
      </c>
      <c r="AF1472" s="12" t="s">
        <v>10346</v>
      </c>
      <c r="AG1472" s="12" t="s">
        <v>32</v>
      </c>
      <c r="AH1472" s="12" t="s">
        <v>11895</v>
      </c>
      <c r="AI1472" s="12" t="str">
        <f t="shared" si="288"/>
        <v>1843</v>
      </c>
      <c r="AJ1472" s="12"/>
      <c r="AK1472" s="12"/>
      <c r="AL1472" s="12"/>
      <c r="AM1472" s="12"/>
      <c r="AN1472" s="12" t="s">
        <v>11896</v>
      </c>
      <c r="AO1472" s="12" t="s">
        <v>696</v>
      </c>
      <c r="AP1472" s="12"/>
      <c r="AS1472" s="12"/>
      <c r="AT1472" s="12"/>
      <c r="AU1472" s="12"/>
      <c r="AV1472" s="12"/>
    </row>
    <row r="1473" spans="1:59">
      <c r="A1473" s="12" t="s">
        <v>11091</v>
      </c>
      <c r="B1473" s="12" t="str">
        <f t="shared" si="280"/>
        <v>RALL</v>
      </c>
      <c r="C1473" s="12" t="str">
        <f t="shared" si="281"/>
        <v>RALL</v>
      </c>
      <c r="D1473" s="12" t="s">
        <v>11915</v>
      </c>
      <c r="E1473" s="12" t="str">
        <f t="shared" si="279"/>
        <v>Frederik Willem Hermanus</v>
      </c>
      <c r="F1473" s="12" t="s">
        <v>4055</v>
      </c>
      <c r="G1473" s="12" t="str">
        <f t="shared" si="282"/>
        <v>a1b5</v>
      </c>
      <c r="H1473" s="12" t="str">
        <f t="shared" si="283"/>
        <v>RALLa1b5</v>
      </c>
      <c r="I1473" s="12" t="s">
        <v>32</v>
      </c>
      <c r="J1473" s="12" t="s">
        <v>11916</v>
      </c>
      <c r="K1473" s="12" t="str">
        <f t="shared" si="284"/>
        <v>1817</v>
      </c>
      <c r="L1473" s="12"/>
      <c r="M1473" s="12"/>
      <c r="N1473" s="12" t="str">
        <f t="shared" si="277"/>
        <v>1817</v>
      </c>
      <c r="O1473" s="12" t="str">
        <f t="shared" si="278"/>
        <v/>
      </c>
      <c r="P1473" s="12" t="s">
        <v>8709</v>
      </c>
      <c r="Q1473" s="12" t="str">
        <f t="shared" si="285"/>
        <v>1817</v>
      </c>
      <c r="R1473" s="12" t="s">
        <v>11917</v>
      </c>
      <c r="S1473" s="12" t="str">
        <f t="shared" si="286"/>
        <v>1843</v>
      </c>
      <c r="T1473" s="12" t="s">
        <v>60</v>
      </c>
      <c r="U1473" s="12" t="s">
        <v>11918</v>
      </c>
      <c r="V1473" s="12" t="str">
        <f t="shared" si="287"/>
        <v>1839</v>
      </c>
      <c r="W1473" s="12" t="s">
        <v>7427</v>
      </c>
      <c r="X1473" s="12" t="s">
        <v>1330</v>
      </c>
      <c r="Y1473" s="12"/>
      <c r="Z1473" s="12" t="s">
        <v>60</v>
      </c>
      <c r="AA1473" s="12" t="s">
        <v>11919</v>
      </c>
      <c r="AB1473" s="12"/>
      <c r="AC1473" s="12"/>
      <c r="AD1473" s="12" t="s">
        <v>406</v>
      </c>
      <c r="AE1473" s="12" t="s">
        <v>11920</v>
      </c>
      <c r="AF1473" s="12" t="s">
        <v>3726</v>
      </c>
      <c r="AG1473" s="12" t="s">
        <v>32</v>
      </c>
      <c r="AH1473" s="12" t="s">
        <v>11921</v>
      </c>
      <c r="AI1473" s="12" t="str">
        <f t="shared" si="288"/>
        <v>1838</v>
      </c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</row>
    <row r="1474" spans="1:59">
      <c r="A1474" s="12" t="s">
        <v>11091</v>
      </c>
      <c r="B1474" s="12" t="str">
        <f t="shared" si="280"/>
        <v>RALL</v>
      </c>
      <c r="C1474" s="12" t="str">
        <f t="shared" si="281"/>
        <v>RALL</v>
      </c>
      <c r="D1474" s="12" t="s">
        <v>11906</v>
      </c>
      <c r="E1474" s="12" t="str">
        <f t="shared" si="279"/>
        <v>Adriaan Matthys Johannes</v>
      </c>
      <c r="F1474" s="12" t="s">
        <v>2482</v>
      </c>
      <c r="G1474" s="12" t="str">
        <f t="shared" si="282"/>
        <v>a1b6</v>
      </c>
      <c r="H1474" s="12" t="str">
        <f t="shared" si="283"/>
        <v>RALLa1b6</v>
      </c>
      <c r="I1474" s="12" t="s">
        <v>32</v>
      </c>
      <c r="J1474" s="12" t="s">
        <v>11907</v>
      </c>
      <c r="K1474" s="12" t="str">
        <f t="shared" si="284"/>
        <v>1819</v>
      </c>
      <c r="L1474" s="12"/>
      <c r="M1474" s="12"/>
      <c r="N1474" s="12" t="str">
        <f t="shared" ref="N1474:N1537" si="289">RIGHT(J1474,4)</f>
        <v>1819</v>
      </c>
      <c r="O1474" s="12" t="str">
        <f t="shared" ref="O1474:O1537" si="290">RIGHT(M1474,4)</f>
        <v/>
      </c>
      <c r="P1474" s="12" t="s">
        <v>90</v>
      </c>
      <c r="Q1474" s="12" t="str">
        <f t="shared" si="285"/>
        <v>1819</v>
      </c>
      <c r="R1474" s="12" t="s">
        <v>11908</v>
      </c>
      <c r="S1474" s="12" t="str">
        <f t="shared" si="286"/>
        <v>1906</v>
      </c>
      <c r="T1474" s="12"/>
      <c r="U1474" s="12" t="s">
        <v>11909</v>
      </c>
      <c r="V1474" s="12" t="str">
        <f t="shared" si="287"/>
        <v>1844</v>
      </c>
      <c r="W1474" s="12" t="s">
        <v>650</v>
      </c>
      <c r="X1474" s="12" t="s">
        <v>1900</v>
      </c>
      <c r="Y1474" s="12" t="s">
        <v>11910</v>
      </c>
      <c r="Z1474" s="12"/>
      <c r="AA1474" s="12" t="s">
        <v>11911</v>
      </c>
      <c r="AB1474" s="12"/>
      <c r="AC1474" s="12"/>
      <c r="AD1474" s="12"/>
      <c r="AE1474" s="12" t="s">
        <v>11912</v>
      </c>
      <c r="AF1474" s="12" t="s">
        <v>3729</v>
      </c>
      <c r="AG1474" s="12" t="s">
        <v>32</v>
      </c>
      <c r="AH1474" s="12" t="s">
        <v>11913</v>
      </c>
      <c r="AI1474" s="12" t="str">
        <f t="shared" si="288"/>
        <v>1844</v>
      </c>
      <c r="AJ1474" s="12"/>
      <c r="AK1474" s="12"/>
      <c r="AL1474" s="12"/>
      <c r="AM1474" s="12">
        <v>1869</v>
      </c>
      <c r="AN1474" s="12" t="s">
        <v>10895</v>
      </c>
      <c r="AO1474" s="12" t="s">
        <v>4342</v>
      </c>
      <c r="AP1474" s="12" t="s">
        <v>10896</v>
      </c>
      <c r="AQ1474" s="12"/>
      <c r="AR1474" s="12" t="s">
        <v>11914</v>
      </c>
      <c r="AS1474" s="12"/>
      <c r="AT1474" s="12"/>
      <c r="AU1474" s="12" t="s">
        <v>2208</v>
      </c>
      <c r="AV1474" s="12" t="s">
        <v>10897</v>
      </c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</row>
    <row r="1475" spans="1:59">
      <c r="A1475" s="12" t="s">
        <v>11922</v>
      </c>
      <c r="B1475" s="12" t="str">
        <f t="shared" si="280"/>
        <v>RANGE</v>
      </c>
      <c r="C1475" s="12" t="str">
        <f t="shared" si="281"/>
        <v>RANGE</v>
      </c>
      <c r="D1475" s="12" t="s">
        <v>11923</v>
      </c>
      <c r="E1475" s="12" t="str">
        <f t="shared" ref="E1475:E1538" si="291">PROPER(D1475)</f>
        <v>Johan Justus Simon</v>
      </c>
      <c r="F1475" s="12" t="s">
        <v>10751</v>
      </c>
      <c r="G1475" s="12" t="str">
        <f t="shared" si="282"/>
        <v>a1b10</v>
      </c>
      <c r="H1475" s="12" t="str">
        <f t="shared" si="283"/>
        <v>RANGEa1b10</v>
      </c>
      <c r="I1475" s="12"/>
      <c r="J1475" s="12" t="s">
        <v>11924</v>
      </c>
      <c r="K1475" s="12" t="str">
        <f t="shared" si="284"/>
        <v>1818</v>
      </c>
      <c r="L1475" s="12"/>
      <c r="M1475" s="12"/>
      <c r="N1475" s="12" t="str">
        <f t="shared" si="289"/>
        <v>1818</v>
      </c>
      <c r="O1475" s="12" t="str">
        <f t="shared" si="290"/>
        <v/>
      </c>
      <c r="P1475" s="12"/>
      <c r="Q1475" s="12" t="str">
        <f t="shared" si="285"/>
        <v>1818</v>
      </c>
      <c r="R1475" s="12"/>
      <c r="S1475" s="12" t="str">
        <f t="shared" si="286"/>
        <v/>
      </c>
      <c r="T1475" s="12"/>
      <c r="U1475" s="12"/>
      <c r="V1475" s="12" t="str">
        <f t="shared" si="287"/>
        <v/>
      </c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 t="s">
        <v>3707</v>
      </c>
      <c r="AG1475" s="12" t="s">
        <v>32</v>
      </c>
      <c r="AH1475" s="12" t="s">
        <v>7089</v>
      </c>
      <c r="AI1475" s="12" t="str">
        <f t="shared" si="288"/>
        <v>1837</v>
      </c>
      <c r="AJ1475" s="12"/>
      <c r="AK1475" s="12" t="s">
        <v>551</v>
      </c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</row>
    <row r="1476" spans="1:59">
      <c r="A1476" s="12" t="s">
        <v>11925</v>
      </c>
      <c r="B1476" s="12" t="str">
        <f t="shared" si="280"/>
        <v>RAS</v>
      </c>
      <c r="C1476" s="12" t="str">
        <f t="shared" si="281"/>
        <v>RAS</v>
      </c>
      <c r="D1476" s="12" t="s">
        <v>11946</v>
      </c>
      <c r="E1476" s="12" t="str">
        <f t="shared" si="291"/>
        <v>Marthinus Nicolaas</v>
      </c>
      <c r="F1476" s="12" t="s">
        <v>6546</v>
      </c>
      <c r="G1476" s="12" t="str">
        <f t="shared" si="282"/>
        <v>a1b2c6d1e4</v>
      </c>
      <c r="H1476" s="12" t="str">
        <f t="shared" si="283"/>
        <v>RASa1b2c6d1e4</v>
      </c>
      <c r="I1476" s="12"/>
      <c r="J1476" s="12"/>
      <c r="K1476" s="12" t="str">
        <f t="shared" si="284"/>
        <v/>
      </c>
      <c r="L1476" s="12"/>
      <c r="M1476" s="12">
        <v>1780</v>
      </c>
      <c r="N1476" s="12" t="str">
        <f t="shared" si="289"/>
        <v/>
      </c>
      <c r="O1476" s="12" t="str">
        <f t="shared" si="290"/>
        <v>1780</v>
      </c>
      <c r="P1476" s="12"/>
      <c r="Q1476" s="12" t="str">
        <f t="shared" si="285"/>
        <v>1780</v>
      </c>
      <c r="R1476" s="12"/>
      <c r="S1476" s="12" t="str">
        <f t="shared" si="286"/>
        <v/>
      </c>
      <c r="T1476" s="12"/>
      <c r="U1476" s="12" t="s">
        <v>11947</v>
      </c>
      <c r="V1476" s="12" t="str">
        <f t="shared" si="287"/>
        <v>1800</v>
      </c>
      <c r="W1476" s="12" t="s">
        <v>714</v>
      </c>
      <c r="X1476" s="12" t="s">
        <v>704</v>
      </c>
      <c r="Y1476" s="12"/>
      <c r="Z1476" s="12"/>
      <c r="AA1476" s="12"/>
      <c r="AB1476" s="12"/>
      <c r="AC1476" s="12" t="s">
        <v>11948</v>
      </c>
      <c r="AD1476" s="12"/>
      <c r="AE1476" s="12"/>
      <c r="AF1476" s="12" t="s">
        <v>11931</v>
      </c>
      <c r="AG1476" s="12" t="s">
        <v>3587</v>
      </c>
      <c r="AH1476" s="12" t="s">
        <v>11949</v>
      </c>
      <c r="AI1476" s="12" t="str">
        <f t="shared" si="288"/>
        <v>1838</v>
      </c>
      <c r="AJ1476" s="12"/>
      <c r="AK1476" s="12" t="s">
        <v>11420</v>
      </c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</row>
    <row r="1477" spans="1:59">
      <c r="A1477" s="12" t="s">
        <v>11925</v>
      </c>
      <c r="B1477" s="12" t="str">
        <f t="shared" si="280"/>
        <v>RAS</v>
      </c>
      <c r="C1477" s="12" t="str">
        <f t="shared" si="281"/>
        <v>RAS</v>
      </c>
      <c r="D1477" s="12" t="s">
        <v>4534</v>
      </c>
      <c r="E1477" s="12" t="str">
        <f t="shared" si="291"/>
        <v>Hermanus Nicolaas</v>
      </c>
      <c r="F1477" s="12" t="s">
        <v>11936</v>
      </c>
      <c r="G1477" s="12" t="str">
        <f t="shared" si="282"/>
        <v>a1b2c6d1e4f3</v>
      </c>
      <c r="H1477" s="12" t="str">
        <f t="shared" si="283"/>
        <v>RASa1b2c6d1e4f3</v>
      </c>
      <c r="I1477" s="12"/>
      <c r="J1477" s="12" t="s">
        <v>6278</v>
      </c>
      <c r="K1477" s="12" t="str">
        <f t="shared" si="284"/>
        <v>1805</v>
      </c>
      <c r="L1477" s="12"/>
      <c r="M1477" s="12" t="s">
        <v>11937</v>
      </c>
      <c r="N1477" s="12" t="str">
        <f t="shared" si="289"/>
        <v>1805</v>
      </c>
      <c r="O1477" s="12" t="str">
        <f t="shared" si="290"/>
        <v>1806</v>
      </c>
      <c r="P1477" s="12"/>
      <c r="Q1477" s="12" t="str">
        <f t="shared" si="285"/>
        <v>1805</v>
      </c>
      <c r="R1477" s="12"/>
      <c r="S1477" s="12" t="str">
        <f t="shared" si="286"/>
        <v/>
      </c>
      <c r="T1477" s="12"/>
      <c r="U1477" s="12"/>
      <c r="V1477" s="12" t="str">
        <f t="shared" si="287"/>
        <v/>
      </c>
      <c r="W1477" s="12" t="s">
        <v>11938</v>
      </c>
      <c r="X1477" s="12" t="s">
        <v>11939</v>
      </c>
      <c r="Y1477" s="12" t="s">
        <v>11940</v>
      </c>
      <c r="Z1477" s="12"/>
      <c r="AA1477" s="12"/>
      <c r="AB1477" s="12"/>
      <c r="AC1477" s="12" t="s">
        <v>11941</v>
      </c>
      <c r="AD1477" s="12"/>
      <c r="AE1477" s="12"/>
      <c r="AF1477" s="12" t="s">
        <v>11942</v>
      </c>
      <c r="AG1477" s="12" t="s">
        <v>3587</v>
      </c>
      <c r="AH1477" s="12" t="s">
        <v>11932</v>
      </c>
      <c r="AI1477" s="12" t="str">
        <f t="shared" si="288"/>
        <v>1838</v>
      </c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</row>
    <row r="1478" spans="1:59">
      <c r="A1478" s="12" t="s">
        <v>11925</v>
      </c>
      <c r="B1478" s="12" t="str">
        <f t="shared" si="280"/>
        <v>RAS</v>
      </c>
      <c r="C1478" s="12" t="str">
        <f t="shared" si="281"/>
        <v>RAS</v>
      </c>
      <c r="D1478" s="12" t="s">
        <v>11933</v>
      </c>
      <c r="E1478" s="12" t="str">
        <f t="shared" si="291"/>
        <v>Hendrik Willem</v>
      </c>
      <c r="F1478" s="12" t="s">
        <v>11934</v>
      </c>
      <c r="G1478" s="12" t="str">
        <f t="shared" si="282"/>
        <v>a1b2c6d1e4f4</v>
      </c>
      <c r="H1478" s="12" t="str">
        <f t="shared" si="283"/>
        <v>RASa1b2c6d1e4f4</v>
      </c>
      <c r="I1478" s="12"/>
      <c r="J1478" s="12"/>
      <c r="K1478" s="12" t="str">
        <f t="shared" si="284"/>
        <v/>
      </c>
      <c r="L1478" s="12"/>
      <c r="M1478" s="12" t="s">
        <v>11935</v>
      </c>
      <c r="N1478" s="12" t="str">
        <f t="shared" si="289"/>
        <v/>
      </c>
      <c r="O1478" s="12" t="str">
        <f t="shared" si="290"/>
        <v>1808</v>
      </c>
      <c r="P1478" s="12"/>
      <c r="Q1478" s="12" t="str">
        <f t="shared" si="285"/>
        <v>1808</v>
      </c>
      <c r="R1478" s="12"/>
      <c r="S1478" s="12" t="str">
        <f t="shared" si="286"/>
        <v/>
      </c>
      <c r="T1478" s="12"/>
      <c r="U1478" s="12"/>
      <c r="V1478" s="12" t="str">
        <f t="shared" si="287"/>
        <v/>
      </c>
      <c r="W1478" s="12" t="s">
        <v>714</v>
      </c>
      <c r="X1478" s="12" t="s">
        <v>755</v>
      </c>
      <c r="Y1478" s="12"/>
      <c r="Z1478" s="12"/>
      <c r="AA1478" s="12"/>
      <c r="AB1478" s="12"/>
      <c r="AC1478" s="12"/>
      <c r="AD1478" s="12"/>
      <c r="AE1478" s="12"/>
      <c r="AF1478" s="12" t="s">
        <v>11931</v>
      </c>
      <c r="AG1478" s="12" t="s">
        <v>3587</v>
      </c>
      <c r="AH1478" s="12" t="s">
        <v>11932</v>
      </c>
      <c r="AI1478" s="12" t="str">
        <f t="shared" si="288"/>
        <v>1838</v>
      </c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</row>
    <row r="1479" spans="1:59">
      <c r="A1479" s="12" t="s">
        <v>11925</v>
      </c>
      <c r="B1479" s="12" t="str">
        <f t="shared" si="280"/>
        <v>RAS</v>
      </c>
      <c r="C1479" s="12" t="str">
        <f t="shared" si="281"/>
        <v>RAS</v>
      </c>
      <c r="D1479" s="12" t="s">
        <v>30</v>
      </c>
      <c r="E1479" s="12" t="str">
        <f t="shared" si="291"/>
        <v>Johannes</v>
      </c>
      <c r="F1479" s="12" t="s">
        <v>11943</v>
      </c>
      <c r="G1479" s="12" t="str">
        <f t="shared" si="282"/>
        <v>a1b2c6d1e4f6</v>
      </c>
      <c r="H1479" s="12" t="str">
        <f t="shared" si="283"/>
        <v>RASa1b2c6d1e4f6</v>
      </c>
      <c r="I1479" s="12" t="s">
        <v>9989</v>
      </c>
      <c r="J1479" s="12" t="s">
        <v>11944</v>
      </c>
      <c r="K1479" s="12" t="str">
        <f t="shared" si="284"/>
        <v>1811</v>
      </c>
      <c r="L1479" s="12"/>
      <c r="M1479" s="12" t="s">
        <v>11945</v>
      </c>
      <c r="N1479" s="12" t="str">
        <f t="shared" si="289"/>
        <v>1811</v>
      </c>
      <c r="O1479" s="12" t="str">
        <f t="shared" si="290"/>
        <v>1811</v>
      </c>
      <c r="P1479" s="12" t="s">
        <v>5156</v>
      </c>
      <c r="Q1479" s="12" t="str">
        <f t="shared" si="285"/>
        <v>1811</v>
      </c>
      <c r="R1479" s="12"/>
      <c r="S1479" s="12" t="str">
        <f t="shared" si="286"/>
        <v/>
      </c>
      <c r="T1479" s="12"/>
      <c r="U1479" s="12"/>
      <c r="V1479" s="12" t="str">
        <f t="shared" si="287"/>
        <v/>
      </c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 t="s">
        <v>11942</v>
      </c>
      <c r="AG1479" s="12" t="s">
        <v>3587</v>
      </c>
      <c r="AH1479" s="12" t="s">
        <v>11932</v>
      </c>
      <c r="AI1479" s="12" t="str">
        <f t="shared" si="288"/>
        <v>1838</v>
      </c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</row>
    <row r="1480" spans="1:59">
      <c r="A1480" s="12" t="s">
        <v>11925</v>
      </c>
      <c r="B1480" s="12" t="str">
        <f t="shared" si="280"/>
        <v>RAS</v>
      </c>
      <c r="C1480" s="12" t="str">
        <f t="shared" si="281"/>
        <v>RAS</v>
      </c>
      <c r="D1480" s="12" t="s">
        <v>11926</v>
      </c>
      <c r="E1480" s="12" t="str">
        <f t="shared" si="291"/>
        <v>Christiaan David</v>
      </c>
      <c r="F1480" s="12" t="s">
        <v>11927</v>
      </c>
      <c r="G1480" s="12" t="str">
        <f t="shared" si="282"/>
        <v>a1b2c6d1e8</v>
      </c>
      <c r="H1480" s="12" t="str">
        <f t="shared" si="283"/>
        <v>RASa1b2c6d1e8</v>
      </c>
      <c r="I1480" s="12"/>
      <c r="J1480" s="12"/>
      <c r="K1480" s="12" t="str">
        <f t="shared" si="284"/>
        <v/>
      </c>
      <c r="L1480" s="12"/>
      <c r="M1480" s="12" t="s">
        <v>11928</v>
      </c>
      <c r="N1480" s="12" t="str">
        <f t="shared" si="289"/>
        <v/>
      </c>
      <c r="O1480" s="12" t="str">
        <f t="shared" si="290"/>
        <v>1790</v>
      </c>
      <c r="P1480" s="12"/>
      <c r="Q1480" s="12" t="str">
        <f t="shared" si="285"/>
        <v>1790</v>
      </c>
      <c r="R1480" s="12"/>
      <c r="S1480" s="12" t="str">
        <f t="shared" si="286"/>
        <v/>
      </c>
      <c r="T1480" s="12"/>
      <c r="U1480" s="12"/>
      <c r="V1480" s="12" t="str">
        <f t="shared" si="287"/>
        <v/>
      </c>
      <c r="W1480" s="12" t="s">
        <v>7612</v>
      </c>
      <c r="X1480" s="12" t="s">
        <v>637</v>
      </c>
      <c r="Y1480" s="12" t="s">
        <v>11929</v>
      </c>
      <c r="Z1480" s="12"/>
      <c r="AA1480" s="12"/>
      <c r="AB1480" s="12"/>
      <c r="AC1480" s="12" t="s">
        <v>11930</v>
      </c>
      <c r="AD1480" s="12"/>
      <c r="AE1480" s="12"/>
      <c r="AF1480" s="12" t="s">
        <v>11931</v>
      </c>
      <c r="AG1480" s="12" t="s">
        <v>3587</v>
      </c>
      <c r="AH1480" s="12" t="s">
        <v>11932</v>
      </c>
      <c r="AI1480" s="12" t="str">
        <f t="shared" si="288"/>
        <v>1838</v>
      </c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</row>
    <row r="1481" spans="1:59">
      <c r="A1481" s="12" t="s">
        <v>11950</v>
      </c>
      <c r="B1481" s="12" t="str">
        <f t="shared" si="280"/>
        <v>REDELINGHUYS</v>
      </c>
      <c r="C1481" s="12" t="str">
        <f t="shared" si="281"/>
        <v>REDELINGHUYS</v>
      </c>
      <c r="D1481" s="12" t="s">
        <v>2818</v>
      </c>
      <c r="E1481" s="12" t="str">
        <f t="shared" si="291"/>
        <v>Matthys Johannes</v>
      </c>
      <c r="F1481" s="12" t="s">
        <v>11951</v>
      </c>
      <c r="G1481" s="12" t="str">
        <f t="shared" si="282"/>
        <v>a1b3c8</v>
      </c>
      <c r="H1481" s="12" t="str">
        <f t="shared" si="283"/>
        <v>REDELINGHUYSa1b3c8</v>
      </c>
      <c r="I1481" s="12"/>
      <c r="J1481" s="12"/>
      <c r="K1481" s="12" t="str">
        <f t="shared" si="284"/>
        <v/>
      </c>
      <c r="L1481" s="12"/>
      <c r="M1481" s="12" t="s">
        <v>11952</v>
      </c>
      <c r="N1481" s="12" t="str">
        <f t="shared" si="289"/>
        <v/>
      </c>
      <c r="O1481" s="12" t="str">
        <f t="shared" si="290"/>
        <v>1802</v>
      </c>
      <c r="P1481" s="12"/>
      <c r="Q1481" s="12" t="str">
        <f t="shared" si="285"/>
        <v>1802</v>
      </c>
      <c r="R1481" s="12"/>
      <c r="S1481" s="12" t="str">
        <f t="shared" si="286"/>
        <v/>
      </c>
      <c r="T1481" s="12"/>
      <c r="U1481" s="12"/>
      <c r="V1481" s="12" t="str">
        <f t="shared" si="287"/>
        <v/>
      </c>
      <c r="W1481" s="12" t="s">
        <v>11953</v>
      </c>
      <c r="X1481" s="12" t="s">
        <v>2427</v>
      </c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 t="s">
        <v>5445</v>
      </c>
      <c r="AI1481" s="12" t="str">
        <f t="shared" si="288"/>
        <v>1839</v>
      </c>
      <c r="AJ1481" s="12"/>
      <c r="AK1481" s="12" t="s">
        <v>140</v>
      </c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</row>
    <row r="1482" spans="1:59">
      <c r="A1482" s="12" t="s">
        <v>5366</v>
      </c>
      <c r="B1482" s="12" t="str">
        <f t="shared" si="280"/>
        <v>RETIEF</v>
      </c>
      <c r="C1482" s="12" t="str">
        <f t="shared" si="281"/>
        <v>RETIEF</v>
      </c>
      <c r="D1482" s="12" t="s">
        <v>11954</v>
      </c>
      <c r="E1482" s="12" t="str">
        <f t="shared" si="291"/>
        <v>Francois</v>
      </c>
      <c r="F1482" s="12" t="s">
        <v>11955</v>
      </c>
      <c r="G1482" s="12" t="str">
        <f t="shared" si="282"/>
        <v>a1b4c7d1</v>
      </c>
      <c r="H1482" s="12" t="str">
        <f t="shared" si="283"/>
        <v>RETIEFa1b4c7d1</v>
      </c>
      <c r="I1482" s="12"/>
      <c r="J1482" s="12"/>
      <c r="K1482" s="12" t="str">
        <f t="shared" si="284"/>
        <v/>
      </c>
      <c r="L1482" s="12"/>
      <c r="M1482" s="12" t="s">
        <v>11956</v>
      </c>
      <c r="N1482" s="12" t="str">
        <f t="shared" si="289"/>
        <v/>
      </c>
      <c r="O1482" s="12" t="str">
        <f t="shared" si="290"/>
        <v>1773</v>
      </c>
      <c r="P1482" s="12" t="s">
        <v>90</v>
      </c>
      <c r="Q1482" s="12" t="str">
        <f t="shared" si="285"/>
        <v>1773</v>
      </c>
      <c r="R1482" s="12">
        <v>1838</v>
      </c>
      <c r="S1482" s="12" t="str">
        <f t="shared" si="286"/>
        <v>1838</v>
      </c>
      <c r="T1482" s="12" t="s">
        <v>1071</v>
      </c>
      <c r="U1482" s="12" t="s">
        <v>11957</v>
      </c>
      <c r="V1482" s="12" t="str">
        <f t="shared" si="287"/>
        <v>1794</v>
      </c>
      <c r="W1482" s="12" t="s">
        <v>722</v>
      </c>
      <c r="X1482" s="12" t="s">
        <v>758</v>
      </c>
      <c r="Y1482" s="12"/>
      <c r="Z1482" s="12"/>
      <c r="AA1482" s="12"/>
      <c r="AB1482" s="12"/>
      <c r="AC1482" s="12" t="s">
        <v>11958</v>
      </c>
      <c r="AD1482" s="12"/>
      <c r="AE1482" s="12"/>
      <c r="AF1482" s="12" t="s">
        <v>7704</v>
      </c>
      <c r="AG1482" s="12" t="s">
        <v>74</v>
      </c>
      <c r="AH1482" s="12" t="s">
        <v>10606</v>
      </c>
      <c r="AI1482" s="12" t="str">
        <f t="shared" si="288"/>
        <v>1836</v>
      </c>
      <c r="AJ1482" s="12" t="s">
        <v>10539</v>
      </c>
      <c r="AK1482" s="12" t="s">
        <v>90</v>
      </c>
      <c r="AL1482" s="12" t="s">
        <v>74</v>
      </c>
      <c r="AM1482" s="12" t="s">
        <v>10619</v>
      </c>
      <c r="AN1482" s="12" t="s">
        <v>1943</v>
      </c>
      <c r="AO1482" s="12" t="s">
        <v>1151</v>
      </c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</row>
    <row r="1483" spans="1:59">
      <c r="A1483" s="12" t="s">
        <v>5366</v>
      </c>
      <c r="B1483" s="12" t="str">
        <f t="shared" si="280"/>
        <v>RETIEF</v>
      </c>
      <c r="C1483" s="12" t="str">
        <f t="shared" si="281"/>
        <v>RETIEF</v>
      </c>
      <c r="D1483" s="12" t="s">
        <v>2215</v>
      </c>
      <c r="E1483" s="12" t="str">
        <f t="shared" si="291"/>
        <v>Pieter</v>
      </c>
      <c r="F1483" s="12" t="s">
        <v>11965</v>
      </c>
      <c r="G1483" s="12" t="str">
        <f t="shared" si="282"/>
        <v>a1b4c7d4</v>
      </c>
      <c r="H1483" s="12" t="str">
        <f t="shared" si="283"/>
        <v>RETIEFa1b4c7d4</v>
      </c>
      <c r="I1483" s="12" t="s">
        <v>11966</v>
      </c>
      <c r="J1483" s="12" t="s">
        <v>11967</v>
      </c>
      <c r="K1483" s="12" t="str">
        <f t="shared" si="284"/>
        <v>1780</v>
      </c>
      <c r="L1483" s="12" t="s">
        <v>1071</v>
      </c>
      <c r="M1483" s="12" t="s">
        <v>11968</v>
      </c>
      <c r="N1483" s="12" t="str">
        <f t="shared" si="289"/>
        <v>1780</v>
      </c>
      <c r="O1483" s="12" t="str">
        <f t="shared" si="290"/>
        <v>1781</v>
      </c>
      <c r="P1483" s="12" t="s">
        <v>11668</v>
      </c>
      <c r="Q1483" s="12" t="str">
        <f t="shared" si="285"/>
        <v>1780</v>
      </c>
      <c r="R1483" s="12" t="s">
        <v>6764</v>
      </c>
      <c r="S1483" s="12" t="str">
        <f t="shared" si="286"/>
        <v>1838</v>
      </c>
      <c r="T1483" s="12" t="s">
        <v>74</v>
      </c>
      <c r="U1483" s="12" t="s">
        <v>11969</v>
      </c>
      <c r="V1483" s="12" t="str">
        <f t="shared" si="287"/>
        <v>1814</v>
      </c>
      <c r="W1483" s="12" t="s">
        <v>11970</v>
      </c>
      <c r="X1483" s="12" t="s">
        <v>1573</v>
      </c>
      <c r="Y1483" s="12" t="s">
        <v>11971</v>
      </c>
      <c r="Z1483" s="12"/>
      <c r="AA1483" s="12" t="s">
        <v>11972</v>
      </c>
      <c r="AB1483" s="12" t="s">
        <v>48</v>
      </c>
      <c r="AC1483" s="12" t="s">
        <v>6574</v>
      </c>
      <c r="AD1483" s="12" t="s">
        <v>140</v>
      </c>
      <c r="AE1483" s="12" t="s">
        <v>11973</v>
      </c>
      <c r="AF1483" s="12" t="s">
        <v>3728</v>
      </c>
      <c r="AG1483" s="12" t="s">
        <v>346</v>
      </c>
      <c r="AH1483" s="12" t="s">
        <v>1542</v>
      </c>
      <c r="AI1483" s="12" t="str">
        <f t="shared" si="288"/>
        <v>1837</v>
      </c>
      <c r="AJ1483" s="12" t="s">
        <v>3123</v>
      </c>
      <c r="AK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</row>
    <row r="1484" spans="1:59">
      <c r="A1484" s="12" t="s">
        <v>5366</v>
      </c>
      <c r="B1484" s="12" t="str">
        <f t="shared" si="280"/>
        <v>RETIEF</v>
      </c>
      <c r="C1484" s="12" t="str">
        <f t="shared" si="281"/>
        <v>RETIEF</v>
      </c>
      <c r="D1484" s="12" t="s">
        <v>11959</v>
      </c>
      <c r="E1484" s="12" t="str">
        <f t="shared" si="291"/>
        <v>Jacobus Francois (Piet Seun)</v>
      </c>
      <c r="F1484" s="12" t="s">
        <v>11960</v>
      </c>
      <c r="G1484" s="12" t="str">
        <f t="shared" si="282"/>
        <v>a1b4c7d4e2</v>
      </c>
      <c r="H1484" s="12" t="str">
        <f t="shared" si="283"/>
        <v>RETIEFa1b4c7d4e2</v>
      </c>
      <c r="I1484" s="12"/>
      <c r="J1484" s="12" t="s">
        <v>11961</v>
      </c>
      <c r="K1484" s="12" t="str">
        <f t="shared" si="284"/>
        <v>1816</v>
      </c>
      <c r="L1484" s="12" t="s">
        <v>53</v>
      </c>
      <c r="M1484" s="12" t="s">
        <v>5955</v>
      </c>
      <c r="N1484" s="12" t="str">
        <f t="shared" si="289"/>
        <v>1816</v>
      </c>
      <c r="O1484" s="12" t="str">
        <f t="shared" si="290"/>
        <v>1817</v>
      </c>
      <c r="P1484" s="12"/>
      <c r="Q1484" s="12" t="str">
        <f t="shared" si="285"/>
        <v>1816</v>
      </c>
      <c r="R1484" s="12"/>
      <c r="S1484" s="12" t="str">
        <f t="shared" si="286"/>
        <v/>
      </c>
      <c r="T1484" s="12"/>
      <c r="U1484" s="12" t="s">
        <v>11962</v>
      </c>
      <c r="V1484" s="12" t="str">
        <f t="shared" si="287"/>
        <v>1837</v>
      </c>
      <c r="W1484" s="12" t="s">
        <v>11963</v>
      </c>
      <c r="X1484" s="12" t="s">
        <v>695</v>
      </c>
      <c r="Y1484" s="12" t="s">
        <v>11964</v>
      </c>
      <c r="Z1484" s="12"/>
      <c r="AA1484" s="12"/>
      <c r="AB1484" s="12"/>
      <c r="AC1484" s="12"/>
      <c r="AD1484" s="12"/>
      <c r="AE1484" s="12"/>
      <c r="AF1484" s="12" t="s">
        <v>3728</v>
      </c>
      <c r="AG1484" s="12" t="s">
        <v>346</v>
      </c>
      <c r="AH1484" s="12" t="s">
        <v>1542</v>
      </c>
      <c r="AI1484" s="12" t="str">
        <f t="shared" si="288"/>
        <v>1837</v>
      </c>
      <c r="AJ1484" s="12" t="s">
        <v>5423</v>
      </c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</row>
    <row r="1485" spans="1:59">
      <c r="A1485" s="12" t="s">
        <v>5366</v>
      </c>
      <c r="B1485" s="12" t="str">
        <f t="shared" si="280"/>
        <v>RETIEF</v>
      </c>
      <c r="C1485" s="12" t="str">
        <f t="shared" si="281"/>
        <v>RETIEF</v>
      </c>
      <c r="D1485" s="12" t="s">
        <v>1603</v>
      </c>
      <c r="E1485" s="12" t="str">
        <f t="shared" si="291"/>
        <v>Pieter Cornelis</v>
      </c>
      <c r="F1485" s="12" t="s">
        <v>11974</v>
      </c>
      <c r="G1485" s="12" t="str">
        <f t="shared" si="282"/>
        <v>a1b4c7d4e4</v>
      </c>
      <c r="H1485" s="12" t="str">
        <f t="shared" si="283"/>
        <v>RETIEFa1b4c7d4e4</v>
      </c>
      <c r="I1485" s="12"/>
      <c r="J1485" s="12" t="s">
        <v>11975</v>
      </c>
      <c r="K1485" s="12" t="str">
        <f t="shared" si="284"/>
        <v>1823</v>
      </c>
      <c r="L1485" s="12" t="s">
        <v>331</v>
      </c>
      <c r="M1485" s="12" t="s">
        <v>11976</v>
      </c>
      <c r="N1485" s="12" t="str">
        <f t="shared" si="289"/>
        <v>1823</v>
      </c>
      <c r="O1485" s="12" t="str">
        <f t="shared" si="290"/>
        <v>1823</v>
      </c>
      <c r="P1485" s="12" t="s">
        <v>11668</v>
      </c>
      <c r="Q1485" s="12" t="str">
        <f t="shared" si="285"/>
        <v>1823</v>
      </c>
      <c r="R1485" s="12" t="s">
        <v>6764</v>
      </c>
      <c r="S1485" s="12" t="str">
        <f t="shared" si="286"/>
        <v>1838</v>
      </c>
      <c r="T1485" s="12"/>
      <c r="U1485" s="12"/>
      <c r="V1485" s="12" t="str">
        <f t="shared" si="287"/>
        <v/>
      </c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 t="s">
        <v>3728</v>
      </c>
      <c r="AG1485" s="12" t="s">
        <v>346</v>
      </c>
      <c r="AH1485" s="12" t="s">
        <v>1542</v>
      </c>
      <c r="AI1485" s="12" t="str">
        <f t="shared" si="288"/>
        <v>1837</v>
      </c>
      <c r="AJ1485" s="12" t="s">
        <v>5423</v>
      </c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</row>
    <row r="1486" spans="1:59">
      <c r="A1486" s="12" t="s">
        <v>4579</v>
      </c>
      <c r="B1486" s="12" t="str">
        <f t="shared" si="280"/>
        <v>REYNEKE</v>
      </c>
      <c r="C1486" s="12" t="str">
        <f t="shared" si="281"/>
        <v>REYNEKE</v>
      </c>
      <c r="D1486" s="12" t="s">
        <v>11978</v>
      </c>
      <c r="E1486" s="12" t="str">
        <f t="shared" si="291"/>
        <v>Adam Johannes</v>
      </c>
      <c r="F1486" s="12" t="s">
        <v>6105</v>
      </c>
      <c r="G1486" s="12" t="str">
        <f t="shared" si="282"/>
        <v>a1b3c2d2</v>
      </c>
      <c r="H1486" s="12" t="str">
        <f t="shared" si="283"/>
        <v>REYNEKEa1b3c2d2</v>
      </c>
      <c r="I1486" s="12"/>
      <c r="J1486" s="12" t="s">
        <v>11979</v>
      </c>
      <c r="K1486" s="12" t="str">
        <f t="shared" si="284"/>
        <v>1810</v>
      </c>
      <c r="L1486" s="12" t="s">
        <v>32</v>
      </c>
      <c r="M1486" s="12" t="s">
        <v>6531</v>
      </c>
      <c r="N1486" s="12" t="str">
        <f t="shared" si="289"/>
        <v>1810</v>
      </c>
      <c r="O1486" s="12" t="str">
        <f t="shared" si="290"/>
        <v>1812</v>
      </c>
      <c r="P1486" s="12" t="s">
        <v>11980</v>
      </c>
      <c r="Q1486" s="12" t="str">
        <f t="shared" si="285"/>
        <v>1810</v>
      </c>
      <c r="R1486" s="12" t="s">
        <v>11981</v>
      </c>
      <c r="S1486" s="12" t="str">
        <f t="shared" si="286"/>
        <v>1896</v>
      </c>
      <c r="T1486" s="12" t="s">
        <v>28</v>
      </c>
      <c r="U1486" s="12" t="s">
        <v>11982</v>
      </c>
      <c r="V1486" s="12" t="str">
        <f t="shared" si="287"/>
        <v>1831</v>
      </c>
      <c r="W1486" s="12" t="s">
        <v>11983</v>
      </c>
      <c r="X1486" s="12" t="s">
        <v>700</v>
      </c>
      <c r="Y1486" s="12"/>
      <c r="Z1486" s="12"/>
      <c r="AA1486" s="12" t="s">
        <v>11984</v>
      </c>
      <c r="AB1486" s="12"/>
      <c r="AC1486" s="12"/>
      <c r="AD1486" s="12"/>
      <c r="AE1486" s="12" t="s">
        <v>11985</v>
      </c>
      <c r="AF1486" s="12" t="s">
        <v>3709</v>
      </c>
      <c r="AG1486" s="12" t="s">
        <v>68</v>
      </c>
      <c r="AH1486" s="12" t="s">
        <v>11986</v>
      </c>
      <c r="AI1486" s="12" t="str">
        <f t="shared" si="288"/>
        <v>1843</v>
      </c>
      <c r="AJ1486" s="12"/>
      <c r="AK1486" s="12" t="s">
        <v>11987</v>
      </c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</row>
    <row r="1487" spans="1:59">
      <c r="A1487" s="12" t="s">
        <v>4579</v>
      </c>
      <c r="B1487" s="12" t="str">
        <f t="shared" si="280"/>
        <v>REYNEKE</v>
      </c>
      <c r="C1487" s="12" t="str">
        <f t="shared" si="281"/>
        <v>REYNEKE</v>
      </c>
      <c r="D1487" s="12" t="s">
        <v>2140</v>
      </c>
      <c r="E1487" s="12" t="str">
        <f t="shared" si="291"/>
        <v>Jacobus Johannes</v>
      </c>
      <c r="F1487" s="12" t="s">
        <v>1236</v>
      </c>
      <c r="G1487" s="12" t="str">
        <f t="shared" si="282"/>
        <v>a1b3c2d3</v>
      </c>
      <c r="H1487" s="12" t="str">
        <f t="shared" si="283"/>
        <v>REYNEKEa1b3c2d3</v>
      </c>
      <c r="I1487" s="12"/>
      <c r="J1487" s="12" t="s">
        <v>12000</v>
      </c>
      <c r="K1487" s="12" t="str">
        <f t="shared" si="284"/>
        <v>1813</v>
      </c>
      <c r="L1487" s="12" t="s">
        <v>74</v>
      </c>
      <c r="M1487" s="12" t="s">
        <v>12001</v>
      </c>
      <c r="N1487" s="12" t="str">
        <f t="shared" si="289"/>
        <v>1813</v>
      </c>
      <c r="O1487" s="12" t="str">
        <f t="shared" si="290"/>
        <v>1813</v>
      </c>
      <c r="P1487" s="12"/>
      <c r="Q1487" s="12" t="str">
        <f t="shared" si="285"/>
        <v>1813</v>
      </c>
      <c r="R1487" s="12"/>
      <c r="S1487" s="12" t="str">
        <f t="shared" si="286"/>
        <v/>
      </c>
      <c r="T1487" s="12" t="s">
        <v>68</v>
      </c>
      <c r="U1487" s="12" t="s">
        <v>12002</v>
      </c>
      <c r="V1487" s="12" t="str">
        <f t="shared" si="287"/>
        <v>1834</v>
      </c>
      <c r="W1487" s="12" t="s">
        <v>11165</v>
      </c>
      <c r="X1487" s="12" t="s">
        <v>3321</v>
      </c>
      <c r="Y1487" s="12" t="s">
        <v>12003</v>
      </c>
      <c r="Z1487" s="12"/>
      <c r="AA1487" s="12" t="s">
        <v>11517</v>
      </c>
      <c r="AB1487" s="12" t="s">
        <v>28</v>
      </c>
      <c r="AC1487" s="12" t="s">
        <v>305</v>
      </c>
      <c r="AD1487" s="12"/>
      <c r="AE1487" s="12"/>
      <c r="AF1487" s="12" t="s">
        <v>3709</v>
      </c>
      <c r="AG1487" s="12" t="s">
        <v>68</v>
      </c>
      <c r="AH1487" s="12" t="s">
        <v>12004</v>
      </c>
      <c r="AI1487" s="12" t="str">
        <f t="shared" si="288"/>
        <v>1837</v>
      </c>
      <c r="AJ1487" s="12" t="s">
        <v>5423</v>
      </c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</row>
    <row r="1488" spans="1:59">
      <c r="A1488" s="12" t="s">
        <v>4579</v>
      </c>
      <c r="B1488" s="12" t="str">
        <f t="shared" si="280"/>
        <v>REYNEKE</v>
      </c>
      <c r="C1488" s="12" t="str">
        <f t="shared" si="281"/>
        <v>REYNEKE</v>
      </c>
      <c r="D1488" s="12" t="s">
        <v>11978</v>
      </c>
      <c r="E1488" s="12" t="str">
        <f t="shared" si="291"/>
        <v>Adam Johannes</v>
      </c>
      <c r="F1488" s="12" t="s">
        <v>11988</v>
      </c>
      <c r="G1488" s="12" t="str">
        <f t="shared" si="282"/>
        <v>a1b3c4d2</v>
      </c>
      <c r="H1488" s="12" t="str">
        <f t="shared" si="283"/>
        <v>REYNEKEa1b3c4d2</v>
      </c>
      <c r="I1488" s="12"/>
      <c r="J1488" s="12" t="s">
        <v>11989</v>
      </c>
      <c r="K1488" s="12" t="str">
        <f t="shared" si="284"/>
        <v>1812</v>
      </c>
      <c r="L1488" s="12" t="s">
        <v>74</v>
      </c>
      <c r="M1488" s="12" t="s">
        <v>11990</v>
      </c>
      <c r="N1488" s="12" t="str">
        <f t="shared" si="289"/>
        <v>1812</v>
      </c>
      <c r="O1488" s="12" t="str">
        <f t="shared" si="290"/>
        <v>1813</v>
      </c>
      <c r="P1488" s="12" t="s">
        <v>11991</v>
      </c>
      <c r="Q1488" s="12" t="str">
        <f t="shared" si="285"/>
        <v>1812</v>
      </c>
      <c r="R1488" s="12" t="s">
        <v>11992</v>
      </c>
      <c r="S1488" s="12" t="str">
        <f t="shared" si="286"/>
        <v>1893</v>
      </c>
      <c r="T1488" s="12" t="s">
        <v>53</v>
      </c>
      <c r="U1488" s="12" t="s">
        <v>11993</v>
      </c>
      <c r="V1488" s="12" t="str">
        <f t="shared" si="287"/>
        <v>1833</v>
      </c>
      <c r="W1488" s="12" t="s">
        <v>714</v>
      </c>
      <c r="X1488" s="12" t="s">
        <v>2757</v>
      </c>
      <c r="Y1488" s="12" t="s">
        <v>11994</v>
      </c>
      <c r="Z1488" s="12"/>
      <c r="AA1488" s="12"/>
      <c r="AB1488" s="12"/>
      <c r="AC1488" s="12" t="s">
        <v>6096</v>
      </c>
      <c r="AD1488" s="12"/>
      <c r="AE1488" s="12"/>
      <c r="AF1488" s="12" t="s">
        <v>11995</v>
      </c>
      <c r="AG1488" s="12" t="s">
        <v>53</v>
      </c>
      <c r="AH1488" s="12" t="s">
        <v>10806</v>
      </c>
      <c r="AI1488" s="12" t="str">
        <f t="shared" si="288"/>
        <v>1837</v>
      </c>
      <c r="AJ1488" s="12" t="s">
        <v>11996</v>
      </c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</row>
    <row r="1489" spans="1:59">
      <c r="A1489" s="12" t="s">
        <v>4579</v>
      </c>
      <c r="B1489" s="12" t="str">
        <f t="shared" si="280"/>
        <v>REYNEKE</v>
      </c>
      <c r="C1489" s="12" t="str">
        <f t="shared" si="281"/>
        <v>REYNEKE</v>
      </c>
      <c r="D1489" s="12" t="s">
        <v>12005</v>
      </c>
      <c r="E1489" s="12" t="str">
        <f t="shared" si="291"/>
        <v>Petrus (Piet) Albertus</v>
      </c>
      <c r="F1489" s="12" t="s">
        <v>11951</v>
      </c>
      <c r="G1489" s="12" t="str">
        <f t="shared" si="282"/>
        <v>a1b3c8</v>
      </c>
      <c r="H1489" s="12" t="str">
        <f t="shared" si="283"/>
        <v>REYNEKEa1b3c8</v>
      </c>
      <c r="I1489" s="12"/>
      <c r="J1489" s="12"/>
      <c r="K1489" s="12" t="str">
        <f t="shared" si="284"/>
        <v/>
      </c>
      <c r="L1489" s="12"/>
      <c r="M1489" s="12" t="s">
        <v>8039</v>
      </c>
      <c r="N1489" s="12" t="str">
        <f t="shared" si="289"/>
        <v/>
      </c>
      <c r="O1489" s="12" t="str">
        <f t="shared" si="290"/>
        <v>1801</v>
      </c>
      <c r="P1489" s="12" t="s">
        <v>11247</v>
      </c>
      <c r="Q1489" s="12" t="str">
        <f t="shared" si="285"/>
        <v>1801</v>
      </c>
      <c r="R1489" s="12" t="s">
        <v>12006</v>
      </c>
      <c r="S1489" s="12" t="str">
        <f t="shared" si="286"/>
        <v>1888</v>
      </c>
      <c r="T1489" s="12" t="s">
        <v>28</v>
      </c>
      <c r="U1489" s="12" t="s">
        <v>11379</v>
      </c>
      <c r="V1489" s="12" t="str">
        <f t="shared" si="287"/>
        <v>1821</v>
      </c>
      <c r="W1489" s="12" t="s">
        <v>2862</v>
      </c>
      <c r="X1489" s="12" t="s">
        <v>726</v>
      </c>
      <c r="Y1489" s="12"/>
      <c r="Z1489" s="12"/>
      <c r="AA1489" s="12"/>
      <c r="AB1489" s="12"/>
      <c r="AC1489" s="12" t="s">
        <v>10747</v>
      </c>
      <c r="AD1489" s="12" t="s">
        <v>12007</v>
      </c>
      <c r="AE1489" s="12"/>
      <c r="AF1489" s="12" t="s">
        <v>3709</v>
      </c>
      <c r="AG1489" s="12" t="s">
        <v>68</v>
      </c>
      <c r="AH1489" s="12" t="s">
        <v>5231</v>
      </c>
      <c r="AI1489" s="12" t="str">
        <f t="shared" si="288"/>
        <v>1840</v>
      </c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</row>
    <row r="1490" spans="1:59">
      <c r="A1490" s="12" t="s">
        <v>4579</v>
      </c>
      <c r="B1490" s="12" t="str">
        <f t="shared" si="280"/>
        <v>REYNEKE</v>
      </c>
      <c r="C1490" s="12" t="str">
        <f t="shared" si="281"/>
        <v>REYNEKE</v>
      </c>
      <c r="D1490" s="12" t="s">
        <v>11978</v>
      </c>
      <c r="E1490" s="12" t="str">
        <f t="shared" si="291"/>
        <v>Adam Johannes</v>
      </c>
      <c r="F1490" s="12" t="s">
        <v>2458</v>
      </c>
      <c r="G1490" s="12" t="str">
        <f t="shared" si="282"/>
        <v>a1b3c8d1</v>
      </c>
      <c r="H1490" s="12" t="str">
        <f t="shared" si="283"/>
        <v>REYNEKEa1b3c8d1</v>
      </c>
      <c r="I1490" s="12"/>
      <c r="J1490" s="12" t="s">
        <v>5960</v>
      </c>
      <c r="K1490" s="12" t="str">
        <f t="shared" si="284"/>
        <v>1822</v>
      </c>
      <c r="L1490" s="12" t="s">
        <v>53</v>
      </c>
      <c r="M1490" s="12" t="s">
        <v>6911</v>
      </c>
      <c r="N1490" s="12" t="str">
        <f t="shared" si="289"/>
        <v>1822</v>
      </c>
      <c r="O1490" s="12" t="str">
        <f t="shared" si="290"/>
        <v>1822</v>
      </c>
      <c r="P1490" s="12" t="s">
        <v>1774</v>
      </c>
      <c r="Q1490" s="12" t="str">
        <f t="shared" si="285"/>
        <v>1822</v>
      </c>
      <c r="R1490" s="12" t="s">
        <v>11997</v>
      </c>
      <c r="S1490" s="12" t="str">
        <f t="shared" si="286"/>
        <v>1905</v>
      </c>
      <c r="T1490" s="12"/>
      <c r="U1490" s="12"/>
      <c r="V1490" s="12" t="str">
        <f t="shared" si="287"/>
        <v/>
      </c>
      <c r="W1490" s="12" t="s">
        <v>11998</v>
      </c>
      <c r="X1490" s="12" t="s">
        <v>822</v>
      </c>
      <c r="Y1490" s="12"/>
      <c r="Z1490" s="12"/>
      <c r="AA1490" s="12"/>
      <c r="AB1490" s="12"/>
      <c r="AC1490" s="12"/>
      <c r="AD1490" s="12"/>
      <c r="AE1490" s="12"/>
      <c r="AF1490" s="12" t="s">
        <v>3709</v>
      </c>
      <c r="AG1490" s="12" t="s">
        <v>68</v>
      </c>
      <c r="AH1490" s="12" t="s">
        <v>11821</v>
      </c>
      <c r="AI1490" s="12" t="str">
        <f t="shared" si="288"/>
        <v>1840</v>
      </c>
      <c r="AJ1490" s="12"/>
      <c r="AK1490" s="12"/>
      <c r="AL1490" s="12" t="s">
        <v>1774</v>
      </c>
      <c r="AM1490" s="12"/>
      <c r="AN1490" s="12" t="s">
        <v>11999</v>
      </c>
      <c r="AO1490" s="12" t="s">
        <v>637</v>
      </c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</row>
    <row r="1491" spans="1:59">
      <c r="A1491" s="12" t="s">
        <v>5394</v>
      </c>
      <c r="B1491" s="12" t="str">
        <f t="shared" si="280"/>
        <v>RIEKERT</v>
      </c>
      <c r="C1491" s="12" t="str">
        <f t="shared" si="281"/>
        <v>RIEKERT</v>
      </c>
      <c r="D1491" s="12" t="s">
        <v>12019</v>
      </c>
      <c r="E1491" s="12" t="str">
        <f t="shared" si="291"/>
        <v>Simon Lodewyk</v>
      </c>
      <c r="F1491" s="12" t="s">
        <v>837</v>
      </c>
      <c r="G1491" s="12" t="str">
        <f t="shared" si="282"/>
        <v>a1b1</v>
      </c>
      <c r="H1491" s="12" t="str">
        <f t="shared" si="283"/>
        <v>RIEKERTa1b1</v>
      </c>
      <c r="I1491" s="12"/>
      <c r="J1491" s="12"/>
      <c r="K1491" s="12" t="str">
        <f t="shared" si="284"/>
        <v/>
      </c>
      <c r="L1491" s="12"/>
      <c r="M1491" s="12" t="s">
        <v>12020</v>
      </c>
      <c r="N1491" s="12" t="str">
        <f t="shared" si="289"/>
        <v/>
      </c>
      <c r="O1491" s="12" t="str">
        <f t="shared" si="290"/>
        <v>1780</v>
      </c>
      <c r="P1491" s="12"/>
      <c r="Q1491" s="12" t="str">
        <f t="shared" si="285"/>
        <v>1780</v>
      </c>
      <c r="R1491" s="12"/>
      <c r="S1491" s="12" t="str">
        <f t="shared" si="286"/>
        <v/>
      </c>
      <c r="T1491" s="12" t="s">
        <v>48</v>
      </c>
      <c r="U1491" s="12" t="s">
        <v>12021</v>
      </c>
      <c r="V1491" s="12" t="str">
        <f t="shared" si="287"/>
        <v>1803</v>
      </c>
      <c r="W1491" s="12" t="s">
        <v>811</v>
      </c>
      <c r="X1491" s="12" t="s">
        <v>667</v>
      </c>
      <c r="Y1491" s="12"/>
      <c r="Z1491" s="12"/>
      <c r="AA1491" s="12"/>
      <c r="AB1491" s="12"/>
      <c r="AC1491" s="12"/>
      <c r="AD1491" s="12"/>
      <c r="AE1491" s="12"/>
      <c r="AF1491" s="12" t="s">
        <v>12022</v>
      </c>
      <c r="AG1491" s="12" t="s">
        <v>68</v>
      </c>
      <c r="AH1491" s="12" t="s">
        <v>12004</v>
      </c>
      <c r="AI1491" s="12" t="str">
        <f t="shared" si="288"/>
        <v>1837</v>
      </c>
      <c r="AJ1491" s="12" t="s">
        <v>11977</v>
      </c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</row>
    <row r="1492" spans="1:59">
      <c r="A1492" s="12" t="s">
        <v>5394</v>
      </c>
      <c r="B1492" s="12" t="str">
        <f t="shared" si="280"/>
        <v>RIEKERT</v>
      </c>
      <c r="C1492" s="12" t="str">
        <f t="shared" si="281"/>
        <v>RIEKERT</v>
      </c>
      <c r="D1492" s="12" t="s">
        <v>12008</v>
      </c>
      <c r="E1492" s="12" t="str">
        <f t="shared" si="291"/>
        <v>Daniël Jacobus Christoffel</v>
      </c>
      <c r="F1492" s="12" t="s">
        <v>4001</v>
      </c>
      <c r="G1492" s="12" t="str">
        <f t="shared" si="282"/>
        <v>a1b1c3</v>
      </c>
      <c r="H1492" s="12" t="str">
        <f t="shared" ref="H1492:H1522" si="292">C1492&amp;G1492</f>
        <v>RIEKERTa1b1c3</v>
      </c>
      <c r="I1492" s="12"/>
      <c r="J1492" s="12"/>
      <c r="K1492" s="12" t="str">
        <f t="shared" si="284"/>
        <v/>
      </c>
      <c r="L1492" s="12"/>
      <c r="M1492" s="12" t="s">
        <v>2641</v>
      </c>
      <c r="N1492" s="12" t="str">
        <f t="shared" si="289"/>
        <v/>
      </c>
      <c r="O1492" s="12" t="str">
        <f t="shared" si="290"/>
        <v>1808</v>
      </c>
      <c r="P1492" s="12"/>
      <c r="Q1492" s="12" t="str">
        <f t="shared" si="285"/>
        <v>1808</v>
      </c>
      <c r="R1492" s="12"/>
      <c r="S1492" s="12" t="str">
        <f t="shared" si="286"/>
        <v/>
      </c>
      <c r="T1492" s="12" t="s">
        <v>68</v>
      </c>
      <c r="U1492" s="12" t="s">
        <v>12009</v>
      </c>
      <c r="V1492" s="12" t="str">
        <f t="shared" si="287"/>
        <v>1828</v>
      </c>
      <c r="W1492" s="12" t="s">
        <v>12010</v>
      </c>
      <c r="X1492" s="12" t="s">
        <v>11796</v>
      </c>
      <c r="Y1492" s="12" t="s">
        <v>12011</v>
      </c>
      <c r="Z1492" s="12"/>
      <c r="AA1492" s="12"/>
      <c r="AB1492" s="12"/>
      <c r="AC1492" s="12" t="s">
        <v>12012</v>
      </c>
      <c r="AD1492" s="12"/>
      <c r="AE1492" s="12"/>
      <c r="AF1492" s="12" t="s">
        <v>3706</v>
      </c>
      <c r="AG1492" s="12" t="s">
        <v>68</v>
      </c>
      <c r="AH1492" s="12" t="s">
        <v>12004</v>
      </c>
      <c r="AI1492" s="12" t="str">
        <f t="shared" si="288"/>
        <v>1837</v>
      </c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</row>
    <row r="1493" spans="1:59">
      <c r="A1493" s="12" t="s">
        <v>5394</v>
      </c>
      <c r="B1493" s="12" t="str">
        <f t="shared" si="280"/>
        <v>RIEKERT</v>
      </c>
      <c r="C1493" s="12" t="str">
        <f t="shared" si="281"/>
        <v>RIEKERT</v>
      </c>
      <c r="D1493" s="12" t="s">
        <v>8973</v>
      </c>
      <c r="E1493" s="12" t="str">
        <f t="shared" si="291"/>
        <v>Philippus Johannes</v>
      </c>
      <c r="F1493" s="12" t="s">
        <v>944</v>
      </c>
      <c r="G1493" s="12" t="str">
        <f t="shared" si="282"/>
        <v>a1b1c4</v>
      </c>
      <c r="H1493" s="12" t="str">
        <f t="shared" si="292"/>
        <v>RIEKERTa1b1c4</v>
      </c>
      <c r="I1493" s="12"/>
      <c r="J1493" s="12" t="s">
        <v>12015</v>
      </c>
      <c r="K1493" s="12" t="str">
        <f t="shared" si="284"/>
        <v>1812</v>
      </c>
      <c r="L1493" s="12" t="s">
        <v>74</v>
      </c>
      <c r="M1493" s="12" t="s">
        <v>12016</v>
      </c>
      <c r="N1493" s="12" t="str">
        <f t="shared" si="289"/>
        <v>1812</v>
      </c>
      <c r="O1493" s="12" t="str">
        <f t="shared" si="290"/>
        <v>1813</v>
      </c>
      <c r="P1493" s="12"/>
      <c r="Q1493" s="12" t="str">
        <f t="shared" si="285"/>
        <v>1812</v>
      </c>
      <c r="R1493" s="12" t="s">
        <v>12017</v>
      </c>
      <c r="S1493" s="12" t="str">
        <f t="shared" si="286"/>
        <v>1852</v>
      </c>
      <c r="T1493" s="12" t="s">
        <v>68</v>
      </c>
      <c r="U1493" s="12" t="s">
        <v>10344</v>
      </c>
      <c r="V1493" s="12" t="str">
        <f t="shared" si="287"/>
        <v>1832</v>
      </c>
      <c r="W1493" s="12" t="s">
        <v>650</v>
      </c>
      <c r="X1493" s="12" t="s">
        <v>696</v>
      </c>
      <c r="Y1493" s="12" t="s">
        <v>8535</v>
      </c>
      <c r="Z1493" s="12"/>
      <c r="AA1493" s="12"/>
      <c r="AB1493" s="12" t="s">
        <v>74</v>
      </c>
      <c r="AC1493" s="12" t="s">
        <v>12018</v>
      </c>
      <c r="AD1493" s="12"/>
      <c r="AE1493" s="12"/>
      <c r="AF1493" s="12" t="s">
        <v>3706</v>
      </c>
      <c r="AG1493" s="12" t="s">
        <v>68</v>
      </c>
      <c r="AH1493" s="12" t="s">
        <v>12004</v>
      </c>
      <c r="AI1493" s="12" t="str">
        <f t="shared" si="288"/>
        <v>1837</v>
      </c>
      <c r="AJ1493" s="12" t="s">
        <v>11977</v>
      </c>
      <c r="AK1493" s="12" t="s">
        <v>90</v>
      </c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</row>
    <row r="1494" spans="1:59">
      <c r="A1494" s="12" t="s">
        <v>5394</v>
      </c>
      <c r="B1494" s="12" t="str">
        <f t="shared" si="280"/>
        <v>RIEKERT</v>
      </c>
      <c r="C1494" s="12" t="str">
        <f t="shared" si="281"/>
        <v>RIEKERT</v>
      </c>
      <c r="D1494" s="12" t="s">
        <v>4250</v>
      </c>
      <c r="E1494" s="12" t="str">
        <f t="shared" si="291"/>
        <v>Lourens Johannes</v>
      </c>
      <c r="F1494" s="12" t="s">
        <v>943</v>
      </c>
      <c r="G1494" s="12" t="str">
        <f t="shared" si="282"/>
        <v>a1b1c7</v>
      </c>
      <c r="H1494" s="12" t="str">
        <f t="shared" si="292"/>
        <v>RIEKERTa1b1c7</v>
      </c>
      <c r="J1494" s="12" t="s">
        <v>12013</v>
      </c>
      <c r="K1494" s="12" t="str">
        <f t="shared" si="284"/>
        <v>1820</v>
      </c>
      <c r="L1494" s="12" t="s">
        <v>28</v>
      </c>
      <c r="M1494" s="12" t="s">
        <v>6498</v>
      </c>
      <c r="N1494" s="12" t="str">
        <f t="shared" si="289"/>
        <v>1820</v>
      </c>
      <c r="O1494" s="12" t="str">
        <f t="shared" si="290"/>
        <v>1820</v>
      </c>
      <c r="Q1494" s="12" t="str">
        <f t="shared" si="285"/>
        <v>1820</v>
      </c>
      <c r="R1494" s="12"/>
      <c r="S1494" s="12" t="str">
        <f t="shared" si="286"/>
        <v/>
      </c>
      <c r="T1494" s="12" t="s">
        <v>140</v>
      </c>
      <c r="U1494" s="12" t="s">
        <v>12014</v>
      </c>
      <c r="V1494" s="12" t="str">
        <f t="shared" si="287"/>
        <v>1850</v>
      </c>
      <c r="W1494" s="12" t="s">
        <v>5052</v>
      </c>
      <c r="X1494" s="12" t="s">
        <v>391</v>
      </c>
      <c r="AA1494" s="2">
        <v>1824</v>
      </c>
      <c r="AF1494" s="12"/>
      <c r="AG1494" s="12" t="s">
        <v>68</v>
      </c>
      <c r="AH1494" s="12" t="s">
        <v>12004</v>
      </c>
      <c r="AI1494" s="12" t="str">
        <f t="shared" si="288"/>
        <v>1837</v>
      </c>
      <c r="AJ1494" s="12" t="s">
        <v>11977</v>
      </c>
      <c r="AK1494" s="12"/>
    </row>
    <row r="1495" spans="1:59">
      <c r="A1495" s="12" t="s">
        <v>2363</v>
      </c>
      <c r="B1495" s="12" t="str">
        <f t="shared" si="280"/>
        <v>ROBBERTSE</v>
      </c>
      <c r="C1495" s="12" t="str">
        <f t="shared" si="281"/>
        <v>ROBBERTSE</v>
      </c>
      <c r="D1495" s="12" t="s">
        <v>12044</v>
      </c>
      <c r="E1495" s="12" t="str">
        <f t="shared" si="291"/>
        <v>Jan Hendrik Jr.</v>
      </c>
      <c r="F1495" s="12" t="s">
        <v>12045</v>
      </c>
      <c r="G1495" s="12" t="str">
        <f t="shared" si="282"/>
        <v>(?) b1c7d3e1</v>
      </c>
      <c r="H1495" s="12" t="str">
        <f t="shared" si="292"/>
        <v>ROBBERTSE(?) b1c7d3e1</v>
      </c>
      <c r="K1495" s="12" t="str">
        <f t="shared" si="284"/>
        <v/>
      </c>
      <c r="M1495" s="12" t="s">
        <v>12046</v>
      </c>
      <c r="N1495" s="12" t="str">
        <f t="shared" si="289"/>
        <v/>
      </c>
      <c r="O1495" s="12" t="str">
        <f t="shared" si="290"/>
        <v>1800</v>
      </c>
      <c r="Q1495" s="12" t="str">
        <f t="shared" si="285"/>
        <v>1800</v>
      </c>
      <c r="S1495" s="12" t="str">
        <f t="shared" si="286"/>
        <v/>
      </c>
      <c r="T1495" s="12"/>
      <c r="U1495" s="12"/>
      <c r="V1495" s="12" t="str">
        <f t="shared" si="287"/>
        <v/>
      </c>
      <c r="W1495" s="12"/>
      <c r="X1495" s="12"/>
      <c r="AC1495" s="12"/>
      <c r="AF1495" s="12" t="s">
        <v>3699</v>
      </c>
      <c r="AG1495" s="12" t="s">
        <v>68</v>
      </c>
      <c r="AH1495" s="12" t="s">
        <v>12047</v>
      </c>
      <c r="AI1495" s="12" t="str">
        <f t="shared" si="288"/>
        <v>1837</v>
      </c>
      <c r="AK1495" s="12"/>
    </row>
    <row r="1496" spans="1:59">
      <c r="A1496" s="12" t="s">
        <v>2363</v>
      </c>
      <c r="B1496" s="12" t="str">
        <f t="shared" si="280"/>
        <v>ROBBERTSE</v>
      </c>
      <c r="C1496" s="12" t="str">
        <f t="shared" si="281"/>
        <v>ROBBERTSE</v>
      </c>
      <c r="D1496" s="12" t="s">
        <v>5216</v>
      </c>
      <c r="E1496" s="12" t="str">
        <f t="shared" si="291"/>
        <v>Joseph</v>
      </c>
      <c r="F1496" s="12" t="s">
        <v>12078</v>
      </c>
      <c r="G1496" s="12" t="str">
        <f t="shared" si="282"/>
        <v>(?) b1c7d5e(?)</v>
      </c>
      <c r="H1496" s="12" t="str">
        <f t="shared" si="292"/>
        <v>ROBBERTSE(?) b1c7d5e(?)</v>
      </c>
      <c r="J1496" s="12"/>
      <c r="K1496" s="12" t="str">
        <f t="shared" si="284"/>
        <v/>
      </c>
      <c r="N1496" s="12" t="str">
        <f t="shared" si="289"/>
        <v/>
      </c>
      <c r="O1496" s="12" t="str">
        <f t="shared" si="290"/>
        <v/>
      </c>
      <c r="P1496" s="12"/>
      <c r="Q1496" s="12" t="str">
        <f t="shared" si="285"/>
        <v/>
      </c>
      <c r="R1496" s="12"/>
      <c r="S1496" s="12" t="str">
        <f t="shared" si="286"/>
        <v/>
      </c>
      <c r="T1496" s="12" t="s">
        <v>28</v>
      </c>
      <c r="U1496" s="12" t="s">
        <v>281</v>
      </c>
      <c r="V1496" s="12" t="str">
        <f t="shared" si="287"/>
        <v>1836</v>
      </c>
      <c r="W1496" s="12" t="s">
        <v>12079</v>
      </c>
      <c r="X1496" s="12" t="s">
        <v>2589</v>
      </c>
      <c r="AC1496" s="12"/>
      <c r="AG1496" s="12"/>
      <c r="AH1496" s="12"/>
      <c r="AI1496" s="12" t="str">
        <f t="shared" si="288"/>
        <v/>
      </c>
      <c r="AK1496" s="12"/>
    </row>
    <row r="1497" spans="1:59">
      <c r="A1497" s="12" t="s">
        <v>2363</v>
      </c>
      <c r="B1497" s="12" t="str">
        <f t="shared" si="280"/>
        <v>ROBBERTSE</v>
      </c>
      <c r="C1497" s="12" t="str">
        <f t="shared" si="281"/>
        <v>ROBBERTSE</v>
      </c>
      <c r="D1497" s="12" t="s">
        <v>3283</v>
      </c>
      <c r="E1497" s="12" t="str">
        <f t="shared" si="291"/>
        <v>Jan Hendrik</v>
      </c>
      <c r="F1497" s="12" t="s">
        <v>12041</v>
      </c>
      <c r="G1497" s="12" t="str">
        <f t="shared" si="282"/>
        <v>(?)b1c7d6e3</v>
      </c>
      <c r="H1497" s="12" t="str">
        <f t="shared" si="292"/>
        <v>ROBBERTSE(?)b1c7d6e3</v>
      </c>
      <c r="J1497" s="12"/>
      <c r="K1497" s="12" t="str">
        <f t="shared" si="284"/>
        <v/>
      </c>
      <c r="L1497" s="12"/>
      <c r="M1497" s="12" t="s">
        <v>12042</v>
      </c>
      <c r="N1497" s="12" t="str">
        <f t="shared" si="289"/>
        <v/>
      </c>
      <c r="O1497" s="12" t="str">
        <f t="shared" si="290"/>
        <v>1809</v>
      </c>
      <c r="Q1497" s="12" t="str">
        <f t="shared" si="285"/>
        <v>1809</v>
      </c>
      <c r="S1497" s="12" t="str">
        <f t="shared" si="286"/>
        <v/>
      </c>
      <c r="T1497" s="12"/>
      <c r="U1497" s="12"/>
      <c r="V1497" s="12" t="str">
        <f t="shared" si="287"/>
        <v/>
      </c>
      <c r="W1497" s="12"/>
      <c r="X1497" s="12"/>
      <c r="AF1497" s="2" t="s">
        <v>3706</v>
      </c>
      <c r="AG1497" s="12" t="s">
        <v>68</v>
      </c>
      <c r="AH1497" s="12" t="s">
        <v>12043</v>
      </c>
      <c r="AI1497" s="12" t="str">
        <f t="shared" si="288"/>
        <v>1838</v>
      </c>
      <c r="AK1497" s="12"/>
      <c r="AL1497" s="12"/>
      <c r="AM1497" s="12"/>
      <c r="AN1497" s="12"/>
      <c r="AO1497" s="12"/>
      <c r="AP1497" s="12"/>
      <c r="AR1497" s="12"/>
      <c r="AU1497" s="12"/>
      <c r="AV1497" s="12"/>
    </row>
    <row r="1498" spans="1:59">
      <c r="A1498" s="12" t="s">
        <v>2363</v>
      </c>
      <c r="B1498" s="12" t="str">
        <f t="shared" si="280"/>
        <v>ROBBERTSE</v>
      </c>
      <c r="C1498" s="12" t="str">
        <f t="shared" si="281"/>
        <v>ROBBERTSE</v>
      </c>
      <c r="D1498" s="12" t="s">
        <v>2817</v>
      </c>
      <c r="E1498" s="12" t="str">
        <f t="shared" si="291"/>
        <v>Johannes Matthys</v>
      </c>
      <c r="F1498" s="12" t="s">
        <v>12075</v>
      </c>
      <c r="G1498" s="12" t="str">
        <f t="shared" si="282"/>
        <v>a1b1c7d11</v>
      </c>
      <c r="H1498" s="12" t="str">
        <f t="shared" si="292"/>
        <v>ROBBERTSEa1b1c7d11</v>
      </c>
      <c r="I1498" s="12"/>
      <c r="J1498" s="12"/>
      <c r="K1498" s="12" t="str">
        <f t="shared" si="284"/>
        <v/>
      </c>
      <c r="L1498" s="12"/>
      <c r="M1498" s="12" t="s">
        <v>12076</v>
      </c>
      <c r="N1498" s="12" t="str">
        <f t="shared" si="289"/>
        <v/>
      </c>
      <c r="O1498" s="12" t="str">
        <f t="shared" si="290"/>
        <v>1792</v>
      </c>
      <c r="P1498" s="12"/>
      <c r="Q1498" s="12" t="str">
        <f t="shared" si="285"/>
        <v>1792</v>
      </c>
      <c r="R1498" s="12"/>
      <c r="S1498" s="12" t="str">
        <f t="shared" si="286"/>
        <v/>
      </c>
      <c r="T1498" s="12"/>
      <c r="U1498" s="12"/>
      <c r="V1498" s="12" t="str">
        <f t="shared" si="287"/>
        <v/>
      </c>
      <c r="W1498" s="12" t="s">
        <v>10985</v>
      </c>
      <c r="X1498" s="12" t="s">
        <v>10986</v>
      </c>
      <c r="Y1498" s="12" t="s">
        <v>1656</v>
      </c>
      <c r="Z1498" s="12" t="s">
        <v>74</v>
      </c>
      <c r="AA1498" s="12"/>
      <c r="AB1498" s="12"/>
      <c r="AC1498" s="12"/>
      <c r="AD1498" s="12" t="s">
        <v>67</v>
      </c>
      <c r="AE1498" s="12" t="s">
        <v>12077</v>
      </c>
      <c r="AF1498" s="12" t="s">
        <v>11656</v>
      </c>
      <c r="AG1498" s="12" t="s">
        <v>68</v>
      </c>
      <c r="AH1498" s="12" t="s">
        <v>12047</v>
      </c>
      <c r="AI1498" s="12" t="str">
        <f t="shared" si="288"/>
        <v>1837</v>
      </c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</row>
    <row r="1499" spans="1:59">
      <c r="A1499" s="12" t="s">
        <v>2363</v>
      </c>
      <c r="B1499" s="12" t="str">
        <f t="shared" si="280"/>
        <v>ROBBERTSE</v>
      </c>
      <c r="C1499" s="12" t="str">
        <f t="shared" si="281"/>
        <v>ROBBERTSE</v>
      </c>
      <c r="D1499" s="12" t="s">
        <v>1284</v>
      </c>
      <c r="E1499" s="12" t="str">
        <f t="shared" si="291"/>
        <v>Johannes Hendrik</v>
      </c>
      <c r="F1499" s="12" t="s">
        <v>12069</v>
      </c>
      <c r="G1499" s="12" t="str">
        <f t="shared" si="282"/>
        <v>a1b1c7d3e2</v>
      </c>
      <c r="H1499" s="12" t="str">
        <f t="shared" si="292"/>
        <v>ROBBERTSEa1b1c7d3e2</v>
      </c>
      <c r="J1499" s="12"/>
      <c r="K1499" s="12" t="str">
        <f t="shared" si="284"/>
        <v/>
      </c>
      <c r="L1499" s="12"/>
      <c r="M1499" s="12" t="s">
        <v>12070</v>
      </c>
      <c r="N1499" s="12" t="str">
        <f t="shared" si="289"/>
        <v/>
      </c>
      <c r="O1499" s="12" t="str">
        <f t="shared" si="290"/>
        <v>1803</v>
      </c>
      <c r="P1499" s="12"/>
      <c r="Q1499" s="12" t="str">
        <f t="shared" si="285"/>
        <v>1803</v>
      </c>
      <c r="R1499" s="12"/>
      <c r="S1499" s="12" t="str">
        <f t="shared" si="286"/>
        <v/>
      </c>
      <c r="U1499" s="12" t="s">
        <v>10615</v>
      </c>
      <c r="V1499" s="12" t="str">
        <f t="shared" si="287"/>
        <v>1830</v>
      </c>
      <c r="W1499" s="12" t="s">
        <v>2362</v>
      </c>
      <c r="X1499" s="12" t="s">
        <v>625</v>
      </c>
      <c r="AA1499" s="12" t="s">
        <v>12071</v>
      </c>
      <c r="AC1499" s="2" t="s">
        <v>12072</v>
      </c>
      <c r="AD1499" s="12"/>
      <c r="AE1499" s="12"/>
      <c r="AF1499" s="12" t="s">
        <v>12073</v>
      </c>
      <c r="AG1499" s="12" t="s">
        <v>28</v>
      </c>
      <c r="AH1499" s="12" t="s">
        <v>12074</v>
      </c>
      <c r="AI1499" s="12" t="str">
        <f t="shared" si="288"/>
        <v>1838</v>
      </c>
      <c r="AJ1499" s="12"/>
      <c r="AK1499" s="12"/>
    </row>
    <row r="1500" spans="1:59">
      <c r="A1500" s="12" t="s">
        <v>2363</v>
      </c>
      <c r="B1500" s="12" t="str">
        <f t="shared" si="280"/>
        <v>ROBBERTSE</v>
      </c>
      <c r="C1500" s="12" t="str">
        <f t="shared" si="281"/>
        <v>ROBBERTSE</v>
      </c>
      <c r="D1500" s="12" t="s">
        <v>11231</v>
      </c>
      <c r="E1500" s="12" t="str">
        <f t="shared" si="291"/>
        <v>Daniël Jacobus</v>
      </c>
      <c r="F1500" s="12" t="s">
        <v>8297</v>
      </c>
      <c r="G1500" s="12" t="str">
        <f t="shared" si="282"/>
        <v>a1b1c7d4</v>
      </c>
      <c r="H1500" s="12" t="str">
        <f t="shared" si="292"/>
        <v>ROBBERTSEa1b1c7d4</v>
      </c>
      <c r="I1500" s="12"/>
      <c r="J1500" s="12" t="s">
        <v>12023</v>
      </c>
      <c r="K1500" s="12" t="str">
        <f t="shared" si="284"/>
        <v>1776</v>
      </c>
      <c r="N1500" s="12" t="str">
        <f t="shared" si="289"/>
        <v>1776</v>
      </c>
      <c r="O1500" s="12" t="str">
        <f t="shared" si="290"/>
        <v/>
      </c>
      <c r="P1500" s="12"/>
      <c r="Q1500" s="12" t="str">
        <f t="shared" si="285"/>
        <v>1776</v>
      </c>
      <c r="R1500" s="12"/>
      <c r="S1500" s="12" t="str">
        <f t="shared" si="286"/>
        <v/>
      </c>
      <c r="T1500" s="12"/>
      <c r="U1500" s="12" t="s">
        <v>12024</v>
      </c>
      <c r="V1500" s="12" t="str">
        <f t="shared" si="287"/>
        <v>1797</v>
      </c>
      <c r="W1500" s="12" t="s">
        <v>649</v>
      </c>
      <c r="X1500" s="12" t="s">
        <v>776</v>
      </c>
      <c r="Y1500" s="12" t="s">
        <v>12025</v>
      </c>
      <c r="AC1500" s="2" t="s">
        <v>12026</v>
      </c>
      <c r="AD1500" s="12"/>
      <c r="AF1500" s="12" t="s">
        <v>3714</v>
      </c>
      <c r="AG1500" s="12" t="s">
        <v>68</v>
      </c>
      <c r="AH1500" s="12" t="s">
        <v>12027</v>
      </c>
      <c r="AI1500" s="12" t="str">
        <f t="shared" si="288"/>
        <v>1837</v>
      </c>
      <c r="AK1500" s="12"/>
    </row>
    <row r="1501" spans="1:59">
      <c r="A1501" s="12" t="s">
        <v>2363</v>
      </c>
      <c r="B1501" s="12" t="str">
        <f t="shared" si="280"/>
        <v>ROBBERTSE</v>
      </c>
      <c r="C1501" s="12" t="str">
        <f t="shared" si="281"/>
        <v>ROBBERTSE</v>
      </c>
      <c r="D1501" s="12" t="s">
        <v>12057</v>
      </c>
      <c r="E1501" s="12" t="str">
        <f t="shared" si="291"/>
        <v>Johannes Francois</v>
      </c>
      <c r="F1501" s="12" t="s">
        <v>12058</v>
      </c>
      <c r="G1501" s="12" t="str">
        <f t="shared" si="282"/>
        <v>a1b1c7d4e2</v>
      </c>
      <c r="H1501" s="12" t="str">
        <f t="shared" si="292"/>
        <v>ROBBERTSEa1b1c7d4e2</v>
      </c>
      <c r="I1501" s="2" t="s">
        <v>74</v>
      </c>
      <c r="J1501" s="2" t="s">
        <v>12059</v>
      </c>
      <c r="K1501" s="12" t="str">
        <f t="shared" si="284"/>
        <v>1804</v>
      </c>
      <c r="L1501" s="2" t="s">
        <v>67</v>
      </c>
      <c r="M1501" s="2" t="s">
        <v>12060</v>
      </c>
      <c r="N1501" s="12" t="str">
        <f t="shared" si="289"/>
        <v>1804</v>
      </c>
      <c r="O1501" s="12" t="str">
        <f t="shared" si="290"/>
        <v>1893</v>
      </c>
      <c r="P1501" s="12"/>
      <c r="Q1501" s="12" t="str">
        <f t="shared" si="285"/>
        <v>1804</v>
      </c>
      <c r="R1501" s="12"/>
      <c r="S1501" s="12" t="str">
        <f t="shared" si="286"/>
        <v/>
      </c>
      <c r="T1501" s="12" t="s">
        <v>28</v>
      </c>
      <c r="U1501" s="12" t="s">
        <v>12061</v>
      </c>
      <c r="V1501" s="12" t="str">
        <f t="shared" si="287"/>
        <v>1826</v>
      </c>
      <c r="W1501" s="12" t="s">
        <v>2066</v>
      </c>
      <c r="X1501" s="12" t="s">
        <v>1985</v>
      </c>
      <c r="Y1501" s="2" t="s">
        <v>12062</v>
      </c>
      <c r="AC1501" s="2" t="s">
        <v>12063</v>
      </c>
      <c r="AD1501" s="12" t="s">
        <v>67</v>
      </c>
      <c r="AE1501" s="12" t="s">
        <v>12064</v>
      </c>
      <c r="AF1501" s="12" t="s">
        <v>3714</v>
      </c>
      <c r="AG1501" s="12" t="s">
        <v>68</v>
      </c>
      <c r="AH1501" s="12" t="s">
        <v>12065</v>
      </c>
      <c r="AI1501" s="12" t="str">
        <f t="shared" si="288"/>
        <v>1835</v>
      </c>
      <c r="AJ1501" s="2" t="s">
        <v>10941</v>
      </c>
      <c r="AK1501" s="12"/>
      <c r="AL1501" s="12"/>
      <c r="AM1501" s="12"/>
      <c r="AN1501" s="12" t="s">
        <v>12066</v>
      </c>
      <c r="AO1501" s="12" t="s">
        <v>822</v>
      </c>
      <c r="AP1501" s="12"/>
      <c r="AR1501" s="12" t="s">
        <v>12067</v>
      </c>
      <c r="AS1501" s="12"/>
      <c r="AT1501" s="12"/>
      <c r="AU1501" s="12"/>
      <c r="AV1501" s="12" t="s">
        <v>12068</v>
      </c>
    </row>
    <row r="1502" spans="1:59">
      <c r="A1502" s="12" t="s">
        <v>2363</v>
      </c>
      <c r="B1502" s="12" t="str">
        <f t="shared" si="280"/>
        <v>ROBBERTSE</v>
      </c>
      <c r="C1502" s="12" t="str">
        <f t="shared" si="281"/>
        <v>ROBBERTSE</v>
      </c>
      <c r="D1502" s="12" t="s">
        <v>12032</v>
      </c>
      <c r="E1502" s="12" t="str">
        <f t="shared" si="291"/>
        <v>Gerrit Johannes Benjamin</v>
      </c>
      <c r="F1502" s="12" t="s">
        <v>12033</v>
      </c>
      <c r="G1502" s="12" t="str">
        <f t="shared" si="282"/>
        <v>a1b1c7d4e8</v>
      </c>
      <c r="H1502" s="12" t="str">
        <f t="shared" si="292"/>
        <v>ROBBERTSEa1b1c7d4e8</v>
      </c>
      <c r="J1502" s="12" t="s">
        <v>12034</v>
      </c>
      <c r="K1502" s="12" t="str">
        <f t="shared" si="284"/>
        <v>1815</v>
      </c>
      <c r="L1502" s="12"/>
      <c r="M1502" s="12"/>
      <c r="N1502" s="12" t="str">
        <f t="shared" si="289"/>
        <v>1815</v>
      </c>
      <c r="O1502" s="12" t="str">
        <f t="shared" si="290"/>
        <v/>
      </c>
      <c r="P1502" s="12" t="s">
        <v>67</v>
      </c>
      <c r="Q1502" s="12" t="str">
        <f t="shared" si="285"/>
        <v>1815</v>
      </c>
      <c r="R1502" s="12" t="s">
        <v>12035</v>
      </c>
      <c r="S1502" s="12" t="str">
        <f t="shared" si="286"/>
        <v>1893</v>
      </c>
      <c r="T1502" s="12" t="s">
        <v>28</v>
      </c>
      <c r="U1502" s="12" t="s">
        <v>12036</v>
      </c>
      <c r="V1502" s="12" t="str">
        <f t="shared" si="287"/>
        <v>1837</v>
      </c>
      <c r="W1502" s="12" t="s">
        <v>2066</v>
      </c>
      <c r="X1502" s="12" t="s">
        <v>2589</v>
      </c>
      <c r="Y1502" s="12"/>
      <c r="AA1502" s="2" t="s">
        <v>12037</v>
      </c>
      <c r="AC1502" s="12"/>
      <c r="AD1502" s="12" t="s">
        <v>67</v>
      </c>
      <c r="AE1502" s="12" t="s">
        <v>12038</v>
      </c>
      <c r="AF1502" s="12" t="s">
        <v>12039</v>
      </c>
      <c r="AG1502" s="2" t="s">
        <v>68</v>
      </c>
      <c r="AH1502" s="12" t="s">
        <v>12040</v>
      </c>
      <c r="AI1502" s="12" t="str">
        <f t="shared" si="288"/>
        <v>1837</v>
      </c>
      <c r="AK1502" s="12"/>
    </row>
    <row r="1503" spans="1:59">
      <c r="A1503" s="12" t="s">
        <v>2363</v>
      </c>
      <c r="B1503" s="12" t="str">
        <f t="shared" si="280"/>
        <v>ROBBERTSE</v>
      </c>
      <c r="C1503" s="12" t="str">
        <f t="shared" si="281"/>
        <v>ROBBERTSE</v>
      </c>
      <c r="D1503" s="12" t="s">
        <v>2231</v>
      </c>
      <c r="E1503" s="12" t="str">
        <f t="shared" si="291"/>
        <v>Gerrit</v>
      </c>
      <c r="F1503" s="12" t="s">
        <v>12028</v>
      </c>
      <c r="G1503" s="12" t="str">
        <f t="shared" si="282"/>
        <v>a1b1c7d5</v>
      </c>
      <c r="H1503" s="12" t="str">
        <f t="shared" si="292"/>
        <v>ROBBERTSEa1b1c7d5</v>
      </c>
      <c r="J1503" s="12"/>
      <c r="K1503" s="12" t="str">
        <f t="shared" si="284"/>
        <v/>
      </c>
      <c r="L1503" s="12"/>
      <c r="M1503" s="12" t="s">
        <v>12029</v>
      </c>
      <c r="N1503" s="12" t="str">
        <f t="shared" si="289"/>
        <v/>
      </c>
      <c r="O1503" s="12" t="str">
        <f t="shared" si="290"/>
        <v>1779</v>
      </c>
      <c r="P1503" s="12"/>
      <c r="Q1503" s="12" t="str">
        <f t="shared" si="285"/>
        <v>1779</v>
      </c>
      <c r="R1503" s="12"/>
      <c r="S1503" s="12" t="str">
        <f t="shared" si="286"/>
        <v/>
      </c>
      <c r="T1503" s="12" t="s">
        <v>48</v>
      </c>
      <c r="U1503" s="12" t="s">
        <v>12030</v>
      </c>
      <c r="V1503" s="12" t="str">
        <f t="shared" si="287"/>
        <v>1800</v>
      </c>
      <c r="W1503" s="12" t="s">
        <v>804</v>
      </c>
      <c r="X1503" s="12" t="s">
        <v>780</v>
      </c>
      <c r="Y1503" s="12"/>
      <c r="AA1503" s="12"/>
      <c r="AC1503" s="2" t="s">
        <v>12031</v>
      </c>
      <c r="AF1503" s="12" t="s">
        <v>3719</v>
      </c>
      <c r="AG1503" s="12" t="s">
        <v>68</v>
      </c>
      <c r="AH1503" s="12" t="s">
        <v>8079</v>
      </c>
      <c r="AI1503" s="12" t="str">
        <f t="shared" si="288"/>
        <v>1839</v>
      </c>
      <c r="AK1503" s="12"/>
      <c r="AL1503" s="12"/>
      <c r="AM1503" s="12"/>
      <c r="AN1503" s="12"/>
      <c r="AO1503" s="12"/>
      <c r="AQ1503" s="12"/>
      <c r="AR1503" s="12"/>
    </row>
    <row r="1504" spans="1:59">
      <c r="A1504" s="12" t="s">
        <v>2363</v>
      </c>
      <c r="B1504" s="12" t="str">
        <f t="shared" si="280"/>
        <v>ROBBERTSE</v>
      </c>
      <c r="C1504" s="12" t="str">
        <f t="shared" si="281"/>
        <v>ROBBERTSE</v>
      </c>
      <c r="D1504" s="12" t="s">
        <v>3944</v>
      </c>
      <c r="E1504" s="12" t="str">
        <f t="shared" si="291"/>
        <v>Nicolaas Johannes</v>
      </c>
      <c r="F1504" s="12" t="s">
        <v>12085</v>
      </c>
      <c r="G1504" s="12" t="str">
        <f t="shared" si="282"/>
        <v>a1b1c7d6e(?)</v>
      </c>
      <c r="H1504" s="12" t="str">
        <f t="shared" si="292"/>
        <v>ROBBERTSEa1b1c7d6e(?)</v>
      </c>
      <c r="J1504" s="12" t="s">
        <v>6470</v>
      </c>
      <c r="K1504" s="12" t="str">
        <f t="shared" si="284"/>
        <v>1822</v>
      </c>
      <c r="L1504" s="12"/>
      <c r="M1504" s="12"/>
      <c r="N1504" s="12" t="str">
        <f t="shared" si="289"/>
        <v>1822</v>
      </c>
      <c r="O1504" s="12" t="str">
        <f t="shared" si="290"/>
        <v/>
      </c>
      <c r="P1504" s="12" t="s">
        <v>90</v>
      </c>
      <c r="Q1504" s="12" t="str">
        <f t="shared" si="285"/>
        <v>1822</v>
      </c>
      <c r="R1504" s="12" t="s">
        <v>12086</v>
      </c>
      <c r="S1504" s="12" t="str">
        <f t="shared" si="286"/>
        <v>1878</v>
      </c>
      <c r="U1504" s="2">
        <v>1842</v>
      </c>
      <c r="V1504" s="12" t="str">
        <f t="shared" si="287"/>
        <v>1842</v>
      </c>
      <c r="W1504" s="12" t="s">
        <v>12087</v>
      </c>
      <c r="X1504" s="12" t="s">
        <v>661</v>
      </c>
      <c r="Y1504" s="2" t="s">
        <v>12088</v>
      </c>
      <c r="AA1504" s="2" t="s">
        <v>12089</v>
      </c>
      <c r="AB1504" s="2" t="s">
        <v>53</v>
      </c>
      <c r="AC1504" s="2" t="s">
        <v>12090</v>
      </c>
      <c r="AD1504" s="12"/>
      <c r="AE1504" s="12"/>
      <c r="AF1504" s="12" t="s">
        <v>12022</v>
      </c>
      <c r="AG1504" s="12" t="s">
        <v>68</v>
      </c>
      <c r="AH1504" s="12" t="s">
        <v>4696</v>
      </c>
      <c r="AI1504" s="12" t="str">
        <f t="shared" si="288"/>
        <v>1844</v>
      </c>
      <c r="AJ1504" s="12"/>
      <c r="AK1504" s="2" t="s">
        <v>90</v>
      </c>
    </row>
    <row r="1505" spans="1:52">
      <c r="A1505" s="12" t="s">
        <v>2363</v>
      </c>
      <c r="B1505" s="12" t="str">
        <f t="shared" si="280"/>
        <v>ROBBERTSE</v>
      </c>
      <c r="C1505" s="12" t="str">
        <f t="shared" si="281"/>
        <v>ROBBERTSE</v>
      </c>
      <c r="D1505" s="12" t="s">
        <v>12080</v>
      </c>
      <c r="E1505" s="12" t="str">
        <f t="shared" si="291"/>
        <v>Lambertus Nicolaas</v>
      </c>
      <c r="F1505" s="12" t="s">
        <v>5347</v>
      </c>
      <c r="G1505" s="12" t="str">
        <f t="shared" si="282"/>
        <v>a1b1c7d9</v>
      </c>
      <c r="H1505" s="12" t="str">
        <f t="shared" si="292"/>
        <v>ROBBERTSEa1b1c7d9</v>
      </c>
      <c r="J1505" s="12"/>
      <c r="K1505" s="12" t="str">
        <f t="shared" si="284"/>
        <v/>
      </c>
      <c r="L1505" s="12"/>
      <c r="M1505" s="12" t="s">
        <v>12081</v>
      </c>
      <c r="N1505" s="12" t="str">
        <f t="shared" si="289"/>
        <v/>
      </c>
      <c r="O1505" s="12" t="str">
        <f t="shared" si="290"/>
        <v>1787</v>
      </c>
      <c r="P1505" s="12"/>
      <c r="Q1505" s="12" t="str">
        <f t="shared" si="285"/>
        <v>1787</v>
      </c>
      <c r="R1505" s="12"/>
      <c r="S1505" s="12" t="str">
        <f t="shared" si="286"/>
        <v/>
      </c>
      <c r="T1505" s="12"/>
      <c r="U1505" s="12" t="s">
        <v>11343</v>
      </c>
      <c r="V1505" s="12" t="str">
        <f t="shared" si="287"/>
        <v>1808</v>
      </c>
      <c r="W1505" s="12" t="s">
        <v>3471</v>
      </c>
      <c r="X1505" s="12" t="s">
        <v>729</v>
      </c>
      <c r="Y1505" s="12" t="s">
        <v>12082</v>
      </c>
      <c r="AA1505" s="12"/>
      <c r="AC1505" s="2" t="s">
        <v>12083</v>
      </c>
      <c r="AF1505" s="12" t="s">
        <v>3719</v>
      </c>
      <c r="AG1505" s="12" t="s">
        <v>68</v>
      </c>
      <c r="AH1505" s="12" t="s">
        <v>12084</v>
      </c>
      <c r="AI1505" s="12" t="str">
        <f t="shared" si="288"/>
        <v>1841</v>
      </c>
      <c r="AJ1505" s="12"/>
      <c r="AK1505" s="12" t="s">
        <v>90</v>
      </c>
      <c r="AN1505" s="12"/>
      <c r="AO1505" s="12"/>
      <c r="AP1505" s="12"/>
      <c r="AR1505" s="12"/>
      <c r="AS1505" s="12"/>
      <c r="AT1505" s="12"/>
    </row>
    <row r="1506" spans="1:52">
      <c r="A1506" s="12" t="s">
        <v>2363</v>
      </c>
      <c r="B1506" s="12" t="str">
        <f t="shared" si="280"/>
        <v>ROBBERTSE</v>
      </c>
      <c r="C1506" s="12" t="str">
        <f t="shared" si="281"/>
        <v>ROBBERTSE</v>
      </c>
      <c r="D1506" s="12" t="s">
        <v>3283</v>
      </c>
      <c r="E1506" s="12" t="str">
        <f t="shared" si="291"/>
        <v>Jan Hendrik</v>
      </c>
      <c r="F1506" s="12" t="s">
        <v>12048</v>
      </c>
      <c r="G1506" s="12" t="str">
        <f t="shared" si="282"/>
        <v>a1b1c7d9e2</v>
      </c>
      <c r="H1506" s="12" t="str">
        <f t="shared" si="292"/>
        <v>ROBBERTSEa1b1c7d9e2</v>
      </c>
      <c r="J1506" s="12">
        <v>1809</v>
      </c>
      <c r="K1506" s="12" t="str">
        <f t="shared" si="284"/>
        <v>1809</v>
      </c>
      <c r="L1506" s="12"/>
      <c r="M1506" s="12"/>
      <c r="N1506" s="12" t="str">
        <f t="shared" si="289"/>
        <v>1809</v>
      </c>
      <c r="O1506" s="12" t="str">
        <f t="shared" si="290"/>
        <v/>
      </c>
      <c r="P1506" s="12" t="s">
        <v>67</v>
      </c>
      <c r="Q1506" s="12" t="str">
        <f t="shared" si="285"/>
        <v>1809</v>
      </c>
      <c r="R1506" s="12" t="s">
        <v>12049</v>
      </c>
      <c r="S1506" s="12" t="str">
        <f t="shared" si="286"/>
        <v>1879</v>
      </c>
      <c r="T1506" s="12" t="s">
        <v>28</v>
      </c>
      <c r="U1506" s="12" t="s">
        <v>12050</v>
      </c>
      <c r="V1506" s="12" t="str">
        <f t="shared" si="287"/>
        <v>1833</v>
      </c>
      <c r="W1506" s="12" t="s">
        <v>1640</v>
      </c>
      <c r="X1506" s="12" t="s">
        <v>2026</v>
      </c>
      <c r="Y1506" s="12" t="s">
        <v>12051</v>
      </c>
      <c r="AA1506" s="12" t="s">
        <v>12052</v>
      </c>
      <c r="AB1506" s="2" t="s">
        <v>74</v>
      </c>
      <c r="AC1506" s="2" t="s">
        <v>12053</v>
      </c>
      <c r="AD1506" s="12"/>
      <c r="AE1506" s="12"/>
      <c r="AF1506" s="12" t="s">
        <v>3699</v>
      </c>
      <c r="AG1506" s="12" t="s">
        <v>68</v>
      </c>
      <c r="AH1506" s="12" t="s">
        <v>2489</v>
      </c>
      <c r="AI1506" s="12" t="str">
        <f t="shared" si="288"/>
        <v>1841</v>
      </c>
      <c r="AJ1506" s="12"/>
      <c r="AK1506" s="12" t="s">
        <v>90</v>
      </c>
      <c r="AL1506" s="12"/>
      <c r="AM1506" s="12">
        <v>1860</v>
      </c>
      <c r="AN1506" s="12" t="s">
        <v>12054</v>
      </c>
      <c r="AO1506" s="12" t="s">
        <v>4393</v>
      </c>
      <c r="AP1506" s="12"/>
      <c r="AR1506" s="12"/>
      <c r="AS1506" s="2" t="s">
        <v>12055</v>
      </c>
      <c r="AU1506" s="12" t="s">
        <v>67</v>
      </c>
      <c r="AV1506" s="12" t="s">
        <v>12056</v>
      </c>
    </row>
    <row r="1507" spans="1:52">
      <c r="A1507" s="12" t="s">
        <v>5773</v>
      </c>
      <c r="B1507" s="12" t="str">
        <f t="shared" si="280"/>
        <v>ROBINSON</v>
      </c>
      <c r="C1507" s="12" t="str">
        <f t="shared" si="281"/>
        <v>ROBINSON</v>
      </c>
      <c r="D1507" s="12" t="s">
        <v>12091</v>
      </c>
      <c r="E1507" s="12" t="str">
        <f t="shared" si="291"/>
        <v>William</v>
      </c>
      <c r="F1507" s="12" t="s">
        <v>4055</v>
      </c>
      <c r="G1507" s="12" t="str">
        <f t="shared" si="282"/>
        <v>a1b5</v>
      </c>
      <c r="H1507" s="12" t="str">
        <f t="shared" si="292"/>
        <v>ROBINSONa1b5</v>
      </c>
      <c r="I1507" s="2" t="s">
        <v>258</v>
      </c>
      <c r="J1507" s="12" t="s">
        <v>12092</v>
      </c>
      <c r="K1507" s="12" t="str">
        <f t="shared" si="284"/>
        <v>1821</v>
      </c>
      <c r="L1507" s="12" t="s">
        <v>74</v>
      </c>
      <c r="M1507" s="12" t="s">
        <v>6670</v>
      </c>
      <c r="N1507" s="12" t="str">
        <f t="shared" si="289"/>
        <v>1821</v>
      </c>
      <c r="O1507" s="12" t="str">
        <f t="shared" si="290"/>
        <v>1822</v>
      </c>
      <c r="P1507" s="12" t="s">
        <v>120</v>
      </c>
      <c r="Q1507" s="12" t="str">
        <f t="shared" si="285"/>
        <v>1821</v>
      </c>
      <c r="R1507" s="12" t="s">
        <v>12093</v>
      </c>
      <c r="S1507" s="12" t="str">
        <f t="shared" si="286"/>
        <v>1914</v>
      </c>
      <c r="V1507" s="12" t="str">
        <f t="shared" si="287"/>
        <v/>
      </c>
      <c r="W1507" s="12"/>
      <c r="X1507" s="12" t="s">
        <v>9746</v>
      </c>
      <c r="Z1507" s="12"/>
      <c r="AA1507" s="12"/>
      <c r="AD1507" s="12"/>
      <c r="AE1507" s="12"/>
      <c r="AF1507" s="12"/>
      <c r="AG1507" s="12" t="s">
        <v>28</v>
      </c>
      <c r="AH1507" s="12"/>
      <c r="AI1507" s="12" t="str">
        <f t="shared" si="288"/>
        <v/>
      </c>
      <c r="AK1507" s="12"/>
      <c r="AL1507" s="12" t="s">
        <v>155</v>
      </c>
      <c r="AM1507" s="12" t="s">
        <v>5427</v>
      </c>
      <c r="AN1507" s="12" t="s">
        <v>4828</v>
      </c>
      <c r="AO1507" s="12" t="s">
        <v>2427</v>
      </c>
      <c r="AR1507" s="2" t="s">
        <v>12094</v>
      </c>
      <c r="AT1507" s="9" t="s">
        <v>12095</v>
      </c>
      <c r="AU1507" s="12"/>
      <c r="AV1507" s="12" t="s">
        <v>12096</v>
      </c>
    </row>
    <row r="1508" spans="1:52">
      <c r="A1508" s="12" t="s">
        <v>12097</v>
      </c>
      <c r="B1508" s="12" t="str">
        <f t="shared" si="280"/>
        <v>ROELOFSE</v>
      </c>
      <c r="C1508" s="12" t="str">
        <f t="shared" si="281"/>
        <v>ROELOFSE</v>
      </c>
      <c r="D1508" s="12" t="s">
        <v>12098</v>
      </c>
      <c r="E1508" s="12" t="str">
        <f t="shared" si="291"/>
        <v>Johannes Christian Wilhelm</v>
      </c>
      <c r="F1508" s="12" t="s">
        <v>1835</v>
      </c>
      <c r="G1508" s="12" t="str">
        <f t="shared" si="282"/>
        <v>a1b6c1d5</v>
      </c>
      <c r="H1508" s="12" t="str">
        <f t="shared" si="292"/>
        <v>ROELOFSEa1b6c1d5</v>
      </c>
      <c r="J1508" s="12">
        <v>1814</v>
      </c>
      <c r="K1508" s="12" t="str">
        <f t="shared" si="284"/>
        <v>1814</v>
      </c>
      <c r="L1508" s="12"/>
      <c r="M1508" s="12"/>
      <c r="N1508" s="12" t="str">
        <f t="shared" si="289"/>
        <v>1814</v>
      </c>
      <c r="O1508" s="12" t="str">
        <f t="shared" si="290"/>
        <v/>
      </c>
      <c r="P1508" s="12"/>
      <c r="Q1508" s="12" t="str">
        <f t="shared" si="285"/>
        <v>1814</v>
      </c>
      <c r="R1508" s="12"/>
      <c r="S1508" s="12" t="str">
        <f t="shared" si="286"/>
        <v/>
      </c>
      <c r="T1508" s="12" t="s">
        <v>28</v>
      </c>
      <c r="U1508" s="12" t="s">
        <v>12099</v>
      </c>
      <c r="V1508" s="12" t="str">
        <f t="shared" si="287"/>
        <v>1833</v>
      </c>
      <c r="W1508" s="12" t="s">
        <v>3943</v>
      </c>
      <c r="X1508" s="12" t="s">
        <v>2136</v>
      </c>
      <c r="AF1508" s="12" t="s">
        <v>11143</v>
      </c>
      <c r="AG1508" s="12" t="s">
        <v>68</v>
      </c>
      <c r="AH1508" s="12" t="s">
        <v>12100</v>
      </c>
      <c r="AI1508" s="12" t="str">
        <f t="shared" si="288"/>
        <v>1839</v>
      </c>
      <c r="AJ1508" s="12"/>
      <c r="AN1508" s="12"/>
      <c r="AO1508" s="12"/>
    </row>
    <row r="1509" spans="1:52">
      <c r="A1509" s="12" t="s">
        <v>12097</v>
      </c>
      <c r="B1509" s="12" t="str">
        <f t="shared" si="280"/>
        <v>ROELOFSE</v>
      </c>
      <c r="C1509" s="12" t="str">
        <f t="shared" si="281"/>
        <v>ROELOFSE</v>
      </c>
      <c r="D1509" s="12" t="s">
        <v>12101</v>
      </c>
      <c r="E1509" s="12" t="str">
        <f t="shared" si="291"/>
        <v>Maria Sibella (Weduwee Van Daniël Jacob Earsmus)</v>
      </c>
      <c r="F1509" s="12" t="s">
        <v>12102</v>
      </c>
      <c r="G1509" s="12" t="str">
        <f t="shared" si="282"/>
        <v>a1b6c2</v>
      </c>
      <c r="H1509" s="12" t="str">
        <f t="shared" si="292"/>
        <v>ROELOFSEa1b6c2</v>
      </c>
      <c r="J1509" s="12"/>
      <c r="K1509" s="12" t="str">
        <f t="shared" si="284"/>
        <v/>
      </c>
      <c r="L1509" s="12"/>
      <c r="M1509" s="12" t="s">
        <v>12103</v>
      </c>
      <c r="N1509" s="12" t="str">
        <f t="shared" si="289"/>
        <v/>
      </c>
      <c r="O1509" s="12" t="str">
        <f t="shared" si="290"/>
        <v>1772</v>
      </c>
      <c r="P1509" s="12"/>
      <c r="Q1509" s="12" t="str">
        <f t="shared" si="285"/>
        <v>1772</v>
      </c>
      <c r="R1509" s="12"/>
      <c r="S1509" s="12" t="str">
        <f t="shared" si="286"/>
        <v/>
      </c>
      <c r="T1509" s="12" t="s">
        <v>48</v>
      </c>
      <c r="U1509" s="12" t="s">
        <v>12104</v>
      </c>
      <c r="V1509" s="12" t="str">
        <f t="shared" si="287"/>
        <v>1790</v>
      </c>
      <c r="W1509" s="12" t="s">
        <v>11231</v>
      </c>
      <c r="X1509" s="12" t="s">
        <v>667</v>
      </c>
      <c r="AA1509" s="12"/>
      <c r="AC1509" s="2" t="s">
        <v>12105</v>
      </c>
      <c r="AD1509" s="12"/>
      <c r="AE1509" s="12" t="s">
        <v>12106</v>
      </c>
      <c r="AF1509" s="12" t="s">
        <v>3706</v>
      </c>
      <c r="AG1509" s="12" t="s">
        <v>68</v>
      </c>
      <c r="AH1509" s="12" t="s">
        <v>12107</v>
      </c>
      <c r="AI1509" s="12" t="str">
        <f t="shared" si="288"/>
        <v>1837</v>
      </c>
      <c r="AJ1509" s="12"/>
      <c r="AK1509" s="12"/>
    </row>
    <row r="1510" spans="1:52">
      <c r="A1510" s="12" t="s">
        <v>12097</v>
      </c>
      <c r="B1510" s="12" t="str">
        <f t="shared" si="280"/>
        <v>ROELOFSE</v>
      </c>
      <c r="C1510" s="12" t="str">
        <f t="shared" si="281"/>
        <v>ROELOFSE</v>
      </c>
      <c r="D1510" s="12" t="s">
        <v>12108</v>
      </c>
      <c r="E1510" s="12" t="str">
        <f t="shared" si="291"/>
        <v>Sibella (Weduwee Van Willem Prinsloo)</v>
      </c>
      <c r="F1510" s="12" t="s">
        <v>3052</v>
      </c>
      <c r="G1510" s="12" t="str">
        <f t="shared" si="282"/>
        <v>a1b6c3</v>
      </c>
      <c r="H1510" s="12" t="str">
        <f t="shared" si="292"/>
        <v>ROELOFSEa1b6c3</v>
      </c>
      <c r="J1510" s="12"/>
      <c r="K1510" s="12" t="str">
        <f t="shared" si="284"/>
        <v/>
      </c>
      <c r="L1510" s="12"/>
      <c r="M1510" s="12" t="s">
        <v>12109</v>
      </c>
      <c r="N1510" s="12" t="str">
        <f t="shared" si="289"/>
        <v/>
      </c>
      <c r="O1510" s="12" t="str">
        <f t="shared" si="290"/>
        <v>1774</v>
      </c>
      <c r="P1510" s="12"/>
      <c r="Q1510" s="12" t="str">
        <f t="shared" si="285"/>
        <v>1774</v>
      </c>
      <c r="R1510" s="12"/>
      <c r="S1510" s="12" t="str">
        <f t="shared" si="286"/>
        <v/>
      </c>
      <c r="U1510" s="2" t="s">
        <v>12104</v>
      </c>
      <c r="V1510" s="12" t="str">
        <f t="shared" si="287"/>
        <v>1790</v>
      </c>
      <c r="W1510" s="12" t="s">
        <v>1464</v>
      </c>
      <c r="X1510" s="12" t="s">
        <v>696</v>
      </c>
      <c r="Y1510" s="2" t="s">
        <v>12110</v>
      </c>
      <c r="AC1510" s="2" t="s">
        <v>12111</v>
      </c>
      <c r="AF1510" s="12" t="s">
        <v>3706</v>
      </c>
      <c r="AG1510" s="12" t="s">
        <v>68</v>
      </c>
      <c r="AH1510" s="12" t="s">
        <v>12107</v>
      </c>
      <c r="AI1510" s="12" t="str">
        <f t="shared" si="288"/>
        <v>1837</v>
      </c>
      <c r="AK1510" s="12"/>
    </row>
    <row r="1511" spans="1:52">
      <c r="A1511" s="12" t="s">
        <v>2106</v>
      </c>
      <c r="B1511" s="12" t="str">
        <f t="shared" si="280"/>
        <v>ROETS</v>
      </c>
      <c r="C1511" s="12" t="str">
        <f t="shared" si="281"/>
        <v>ROETS</v>
      </c>
      <c r="D1511" s="12" t="s">
        <v>12147</v>
      </c>
      <c r="E1511" s="12" t="str">
        <f t="shared" si="291"/>
        <v>Johannes Nicolaas Rudoplh</v>
      </c>
      <c r="F1511" s="12" t="s">
        <v>939</v>
      </c>
      <c r="G1511" s="12" t="str">
        <f t="shared" si="282"/>
        <v>a1b5c2</v>
      </c>
      <c r="H1511" s="12" t="str">
        <f t="shared" si="292"/>
        <v>ROETSa1b5c2</v>
      </c>
      <c r="J1511" s="12"/>
      <c r="K1511" s="12" t="str">
        <f t="shared" si="284"/>
        <v/>
      </c>
      <c r="L1511" s="2" t="s">
        <v>74</v>
      </c>
      <c r="M1511" s="9" t="s">
        <v>12148</v>
      </c>
      <c r="N1511" s="12" t="str">
        <f t="shared" si="289"/>
        <v/>
      </c>
      <c r="O1511" s="12" t="str">
        <f t="shared" si="290"/>
        <v>1793</v>
      </c>
      <c r="Q1511" s="12" t="str">
        <f t="shared" si="285"/>
        <v>1793</v>
      </c>
      <c r="S1511" s="12" t="str">
        <f t="shared" si="286"/>
        <v/>
      </c>
      <c r="T1511" s="2" t="s">
        <v>74</v>
      </c>
      <c r="U1511" s="2" t="s">
        <v>12149</v>
      </c>
      <c r="V1511" s="12" t="str">
        <f t="shared" si="287"/>
        <v>1813</v>
      </c>
      <c r="W1511" s="12" t="s">
        <v>2137</v>
      </c>
      <c r="X1511" s="12" t="s">
        <v>729</v>
      </c>
      <c r="Y1511" s="2" t="s">
        <v>12150</v>
      </c>
      <c r="AC1511" s="12" t="s">
        <v>12151</v>
      </c>
      <c r="AF1511" s="2" t="s">
        <v>3699</v>
      </c>
      <c r="AG1511" s="2" t="s">
        <v>68</v>
      </c>
      <c r="AH1511" s="12" t="s">
        <v>12152</v>
      </c>
      <c r="AI1511" s="12" t="str">
        <f t="shared" si="288"/>
        <v>1838</v>
      </c>
      <c r="AJ1511" s="2" t="s">
        <v>11643</v>
      </c>
      <c r="AK1511" s="12"/>
    </row>
    <row r="1512" spans="1:52">
      <c r="A1512" s="12" t="s">
        <v>2106</v>
      </c>
      <c r="B1512" s="12" t="str">
        <f t="shared" si="280"/>
        <v>ROETS</v>
      </c>
      <c r="C1512" s="12" t="str">
        <f t="shared" si="281"/>
        <v>ROETS</v>
      </c>
      <c r="D1512" s="12" t="s">
        <v>12134</v>
      </c>
      <c r="E1512" s="12" t="str">
        <f t="shared" si="291"/>
        <v>Johannes Hendricus Adriaan</v>
      </c>
      <c r="F1512" s="12" t="s">
        <v>12135</v>
      </c>
      <c r="G1512" s="12" t="str">
        <f t="shared" si="282"/>
        <v>a1b5c3</v>
      </c>
      <c r="H1512" s="12" t="str">
        <f t="shared" si="292"/>
        <v>ROETSa1b5c3</v>
      </c>
      <c r="J1512" s="12"/>
      <c r="K1512" s="12" t="str">
        <f t="shared" si="284"/>
        <v/>
      </c>
      <c r="L1512" s="12"/>
      <c r="M1512" s="12" t="s">
        <v>12136</v>
      </c>
      <c r="N1512" s="12" t="str">
        <f t="shared" si="289"/>
        <v/>
      </c>
      <c r="O1512" s="12" t="str">
        <f t="shared" si="290"/>
        <v>1794</v>
      </c>
      <c r="P1512" s="12"/>
      <c r="Q1512" s="12" t="str">
        <f t="shared" si="285"/>
        <v>1794</v>
      </c>
      <c r="R1512" s="12">
        <v>1886</v>
      </c>
      <c r="S1512" s="12" t="str">
        <f t="shared" si="286"/>
        <v>1886</v>
      </c>
      <c r="T1512" s="2" t="s">
        <v>74</v>
      </c>
      <c r="U1512" s="2" t="s">
        <v>11767</v>
      </c>
      <c r="V1512" s="12" t="str">
        <f t="shared" si="287"/>
        <v>1814</v>
      </c>
      <c r="W1512" s="2" t="s">
        <v>1010</v>
      </c>
      <c r="X1512" s="2" t="s">
        <v>1034</v>
      </c>
      <c r="Y1512" s="2" t="s">
        <v>12137</v>
      </c>
      <c r="AC1512" s="2" t="s">
        <v>12138</v>
      </c>
      <c r="AF1512" s="12"/>
      <c r="AG1512" s="12"/>
      <c r="AH1512" s="12" t="s">
        <v>11076</v>
      </c>
      <c r="AI1512" s="12" t="str">
        <f t="shared" si="288"/>
        <v>1837</v>
      </c>
      <c r="AJ1512" s="12" t="s">
        <v>11643</v>
      </c>
    </row>
    <row r="1513" spans="1:52">
      <c r="A1513" s="12" t="s">
        <v>2106</v>
      </c>
      <c r="B1513" s="12" t="str">
        <f t="shared" si="280"/>
        <v>ROETS</v>
      </c>
      <c r="C1513" s="12" t="str">
        <f t="shared" si="281"/>
        <v>ROETS</v>
      </c>
      <c r="D1513" s="12" t="s">
        <v>10546</v>
      </c>
      <c r="E1513" s="12" t="str">
        <f t="shared" si="291"/>
        <v>Gerhardus Jacobus</v>
      </c>
      <c r="F1513" s="12" t="s">
        <v>8481</v>
      </c>
      <c r="G1513" s="12" t="str">
        <f t="shared" si="282"/>
        <v>a1b5c6</v>
      </c>
      <c r="H1513" s="12" t="str">
        <f t="shared" si="292"/>
        <v>ROETSa1b5c6</v>
      </c>
      <c r="J1513" s="12" t="s">
        <v>12116</v>
      </c>
      <c r="K1513" s="12" t="str">
        <f t="shared" si="284"/>
        <v>1801</v>
      </c>
      <c r="L1513" s="12" t="s">
        <v>74</v>
      </c>
      <c r="M1513" s="12" t="s">
        <v>212</v>
      </c>
      <c r="N1513" s="12" t="str">
        <f t="shared" si="289"/>
        <v>1801</v>
      </c>
      <c r="O1513" s="12" t="str">
        <f t="shared" si="290"/>
        <v>1801</v>
      </c>
      <c r="P1513" s="12"/>
      <c r="Q1513" s="12" t="str">
        <f t="shared" si="285"/>
        <v>1801</v>
      </c>
      <c r="R1513" s="12"/>
      <c r="S1513" s="12" t="str">
        <f t="shared" si="286"/>
        <v/>
      </c>
      <c r="T1513" s="12" t="s">
        <v>28</v>
      </c>
      <c r="U1513" s="12" t="s">
        <v>12117</v>
      </c>
      <c r="V1513" s="12" t="str">
        <f t="shared" si="287"/>
        <v>1824</v>
      </c>
      <c r="W1513" s="12" t="s">
        <v>2299</v>
      </c>
      <c r="X1513" s="12" t="s">
        <v>822</v>
      </c>
      <c r="Y1513" s="2" t="s">
        <v>12118</v>
      </c>
      <c r="Z1513" s="12"/>
      <c r="AA1513" s="12"/>
      <c r="AD1513" s="12"/>
      <c r="AE1513" s="12"/>
      <c r="AF1513" s="12" t="s">
        <v>3699</v>
      </c>
      <c r="AG1513" s="2" t="s">
        <v>68</v>
      </c>
      <c r="AH1513" s="12" t="s">
        <v>12119</v>
      </c>
      <c r="AI1513" s="12" t="str">
        <f t="shared" si="288"/>
        <v>1839</v>
      </c>
      <c r="AK1513" s="12"/>
    </row>
    <row r="1514" spans="1:52">
      <c r="A1514" s="12" t="s">
        <v>2106</v>
      </c>
      <c r="B1514" s="12" t="str">
        <f t="shared" si="280"/>
        <v>ROETS</v>
      </c>
      <c r="C1514" s="12" t="str">
        <f t="shared" si="281"/>
        <v>ROETS</v>
      </c>
      <c r="D1514" s="12" t="s">
        <v>8004</v>
      </c>
      <c r="E1514" s="12" t="str">
        <f t="shared" si="291"/>
        <v>Hendrik Adriaan</v>
      </c>
      <c r="F1514" s="12" t="s">
        <v>12120</v>
      </c>
      <c r="G1514" s="12" t="str">
        <f t="shared" si="282"/>
        <v>a1b5c6d1</v>
      </c>
      <c r="H1514" s="12" t="str">
        <f t="shared" si="292"/>
        <v>ROETSa1b5c6d1</v>
      </c>
      <c r="J1514" s="12" t="s">
        <v>12121</v>
      </c>
      <c r="K1514" s="12" t="str">
        <f t="shared" si="284"/>
        <v>1825</v>
      </c>
      <c r="L1514" s="12" t="s">
        <v>28</v>
      </c>
      <c r="M1514" s="12" t="s">
        <v>12122</v>
      </c>
      <c r="N1514" s="12" t="str">
        <f t="shared" si="289"/>
        <v>1825</v>
      </c>
      <c r="O1514" s="12" t="str">
        <f t="shared" si="290"/>
        <v>1825</v>
      </c>
      <c r="P1514" s="12"/>
      <c r="Q1514" s="12" t="str">
        <f t="shared" si="285"/>
        <v>1825</v>
      </c>
      <c r="R1514" s="12" t="s">
        <v>12123</v>
      </c>
      <c r="S1514" s="12" t="str">
        <f t="shared" si="286"/>
        <v>1897</v>
      </c>
      <c r="T1514" s="12" t="s">
        <v>140</v>
      </c>
      <c r="U1514" s="12" t="s">
        <v>12124</v>
      </c>
      <c r="V1514" s="12" t="str">
        <f t="shared" si="287"/>
        <v>1851</v>
      </c>
      <c r="W1514" s="12" t="s">
        <v>12125</v>
      </c>
      <c r="X1514" s="12" t="s">
        <v>778</v>
      </c>
      <c r="AA1514" s="12" t="s">
        <v>12126</v>
      </c>
      <c r="AD1514" s="12"/>
      <c r="AE1514" s="12"/>
      <c r="AF1514" s="12" t="s">
        <v>3699</v>
      </c>
      <c r="AG1514" s="12" t="s">
        <v>68</v>
      </c>
      <c r="AH1514" s="2">
        <v>1839</v>
      </c>
      <c r="AI1514" s="12" t="str">
        <f t="shared" si="288"/>
        <v>1839</v>
      </c>
      <c r="AK1514" s="2" t="s">
        <v>90</v>
      </c>
    </row>
    <row r="1515" spans="1:52">
      <c r="A1515" s="12" t="s">
        <v>2106</v>
      </c>
      <c r="B1515" s="12" t="str">
        <f t="shared" si="280"/>
        <v>ROETS</v>
      </c>
      <c r="C1515" s="12" t="str">
        <f t="shared" si="281"/>
        <v>ROETS</v>
      </c>
      <c r="D1515" s="12" t="s">
        <v>8004</v>
      </c>
      <c r="E1515" s="12" t="str">
        <f t="shared" si="291"/>
        <v>Hendrik Adriaan</v>
      </c>
      <c r="F1515" s="12" t="s">
        <v>12127</v>
      </c>
      <c r="G1515" s="12" t="str">
        <f t="shared" si="282"/>
        <v>a1b5c7</v>
      </c>
      <c r="H1515" s="12" t="str">
        <f t="shared" si="292"/>
        <v>ROETSa1b5c7</v>
      </c>
      <c r="J1515" s="12"/>
      <c r="K1515" s="12" t="str">
        <f t="shared" si="284"/>
        <v/>
      </c>
      <c r="L1515" s="12" t="s">
        <v>48</v>
      </c>
      <c r="M1515" s="12" t="s">
        <v>3585</v>
      </c>
      <c r="N1515" s="12" t="str">
        <f t="shared" si="289"/>
        <v/>
      </c>
      <c r="O1515" s="12" t="str">
        <f t="shared" si="290"/>
        <v>1803</v>
      </c>
      <c r="P1515" s="12"/>
      <c r="Q1515" s="12" t="str">
        <f t="shared" si="285"/>
        <v>1803</v>
      </c>
      <c r="R1515" s="12"/>
      <c r="S1515" s="12" t="str">
        <f t="shared" si="286"/>
        <v/>
      </c>
      <c r="T1515" s="12" t="s">
        <v>68</v>
      </c>
      <c r="U1515" s="12" t="s">
        <v>12128</v>
      </c>
      <c r="V1515" s="12" t="str">
        <f t="shared" si="287"/>
        <v>1826</v>
      </c>
      <c r="W1515" s="12" t="s">
        <v>12129</v>
      </c>
      <c r="X1515" s="12" t="s">
        <v>2136</v>
      </c>
      <c r="Y1515" s="12"/>
      <c r="AA1515" s="12"/>
      <c r="AE1515" s="12"/>
      <c r="AF1515" s="12" t="s">
        <v>3699</v>
      </c>
      <c r="AG1515" s="12" t="s">
        <v>68</v>
      </c>
      <c r="AH1515" s="12" t="s">
        <v>12130</v>
      </c>
      <c r="AI1515" s="12" t="str">
        <f t="shared" si="288"/>
        <v>1840</v>
      </c>
      <c r="AJ1515" s="12"/>
      <c r="AK1515" s="12" t="s">
        <v>90</v>
      </c>
      <c r="AL1515" s="12" t="s">
        <v>28</v>
      </c>
      <c r="AM1515" s="12" t="s">
        <v>12131</v>
      </c>
      <c r="AN1515" s="12" t="s">
        <v>12132</v>
      </c>
      <c r="AO1515" s="12" t="s">
        <v>822</v>
      </c>
      <c r="AP1515" s="2" t="s">
        <v>12133</v>
      </c>
    </row>
    <row r="1516" spans="1:52">
      <c r="A1516" s="12" t="s">
        <v>2106</v>
      </c>
      <c r="B1516" s="12" t="str">
        <f t="shared" si="280"/>
        <v>ROETS</v>
      </c>
      <c r="C1516" s="12" t="str">
        <f t="shared" si="281"/>
        <v>ROETS</v>
      </c>
      <c r="D1516" s="12" t="s">
        <v>12139</v>
      </c>
      <c r="E1516" s="12" t="str">
        <f t="shared" si="291"/>
        <v>Johannes Nicolaas Jacobus</v>
      </c>
      <c r="F1516" s="12" t="s">
        <v>7942</v>
      </c>
      <c r="G1516" s="12" t="str">
        <f t="shared" si="282"/>
        <v>a1b8c4</v>
      </c>
      <c r="H1516" s="12" t="str">
        <f t="shared" si="292"/>
        <v>ROETSa1b8c4</v>
      </c>
      <c r="J1516" s="12" t="s">
        <v>12140</v>
      </c>
      <c r="K1516" s="12" t="str">
        <f t="shared" si="284"/>
        <v>1804</v>
      </c>
      <c r="L1516" s="12"/>
      <c r="M1516" s="12" t="s">
        <v>3103</v>
      </c>
      <c r="N1516" s="12" t="str">
        <f t="shared" si="289"/>
        <v>1804</v>
      </c>
      <c r="O1516" s="12" t="str">
        <f t="shared" si="290"/>
        <v>1804</v>
      </c>
      <c r="P1516" s="12" t="s">
        <v>2520</v>
      </c>
      <c r="Q1516" s="12" t="str">
        <f t="shared" si="285"/>
        <v>1804</v>
      </c>
      <c r="R1516" s="12" t="s">
        <v>12141</v>
      </c>
      <c r="S1516" s="12" t="str">
        <f t="shared" si="286"/>
        <v>1892</v>
      </c>
      <c r="T1516" s="12" t="s">
        <v>366</v>
      </c>
      <c r="U1516" s="12" t="s">
        <v>12142</v>
      </c>
      <c r="V1516" s="12" t="str">
        <f t="shared" si="287"/>
        <v>1827</v>
      </c>
      <c r="W1516" s="12" t="s">
        <v>12143</v>
      </c>
      <c r="X1516" s="12" t="s">
        <v>4624</v>
      </c>
      <c r="Y1516" s="2" t="s">
        <v>12144</v>
      </c>
      <c r="AA1516" s="2" t="s">
        <v>12145</v>
      </c>
      <c r="AC1516" s="2" t="s">
        <v>12146</v>
      </c>
      <c r="AF1516" s="12" t="s">
        <v>11656</v>
      </c>
      <c r="AG1516" s="12" t="s">
        <v>68</v>
      </c>
      <c r="AH1516" s="12" t="s">
        <v>11076</v>
      </c>
      <c r="AI1516" s="12" t="str">
        <f t="shared" si="288"/>
        <v>1837</v>
      </c>
      <c r="AJ1516" s="2" t="s">
        <v>11643</v>
      </c>
      <c r="AK1516" s="12"/>
    </row>
    <row r="1517" spans="1:52">
      <c r="A1517" s="12" t="s">
        <v>2106</v>
      </c>
      <c r="B1517" s="12" t="str">
        <f t="shared" si="280"/>
        <v>ROETS</v>
      </c>
      <c r="C1517" s="12" t="str">
        <f t="shared" si="281"/>
        <v>ROETS</v>
      </c>
      <c r="D1517" s="12" t="s">
        <v>6629</v>
      </c>
      <c r="E1517" s="12" t="str">
        <f t="shared" si="291"/>
        <v>Christiaan Rudolph</v>
      </c>
      <c r="F1517" s="12" t="s">
        <v>12112</v>
      </c>
      <c r="G1517" s="12" t="str">
        <f t="shared" si="282"/>
        <v>a1b8c7</v>
      </c>
      <c r="H1517" s="12" t="str">
        <f t="shared" si="292"/>
        <v>ROETSa1b8c7</v>
      </c>
      <c r="J1517" s="12" t="s">
        <v>6698</v>
      </c>
      <c r="K1517" s="12" t="str">
        <f t="shared" si="284"/>
        <v>1812</v>
      </c>
      <c r="L1517" s="12" t="s">
        <v>74</v>
      </c>
      <c r="M1517" s="12" t="s">
        <v>12113</v>
      </c>
      <c r="N1517" s="12" t="str">
        <f t="shared" si="289"/>
        <v>1812</v>
      </c>
      <c r="O1517" s="12" t="str">
        <f t="shared" si="290"/>
        <v>1812</v>
      </c>
      <c r="P1517" s="12"/>
      <c r="Q1517" s="12" t="str">
        <f t="shared" si="285"/>
        <v>1812</v>
      </c>
      <c r="R1517" s="12"/>
      <c r="S1517" s="12" t="str">
        <f t="shared" si="286"/>
        <v/>
      </c>
      <c r="T1517" s="12"/>
      <c r="U1517" s="12" t="s">
        <v>12114</v>
      </c>
      <c r="V1517" s="12" t="str">
        <f t="shared" si="287"/>
        <v>1840</v>
      </c>
      <c r="W1517" s="12" t="s">
        <v>12115</v>
      </c>
      <c r="X1517" s="12" t="s">
        <v>2136</v>
      </c>
      <c r="AF1517" s="12" t="s">
        <v>11656</v>
      </c>
      <c r="AG1517" s="12" t="s">
        <v>68</v>
      </c>
      <c r="AH1517" s="12">
        <v>1837</v>
      </c>
      <c r="AI1517" s="12" t="str">
        <f t="shared" si="288"/>
        <v>1837</v>
      </c>
      <c r="AJ1517" s="12"/>
      <c r="AK1517" s="12"/>
      <c r="AL1517" s="12"/>
      <c r="AM1517" s="12"/>
      <c r="AN1517" s="12"/>
      <c r="AO1517" s="12"/>
    </row>
    <row r="1518" spans="1:52">
      <c r="A1518" s="12" t="s">
        <v>788</v>
      </c>
      <c r="B1518" s="12" t="str">
        <f t="shared" si="280"/>
        <v>ROOS</v>
      </c>
      <c r="C1518" s="12" t="str">
        <f t="shared" si="281"/>
        <v>ROOS</v>
      </c>
      <c r="D1518" s="12" t="s">
        <v>12190</v>
      </c>
      <c r="E1518" s="12" t="str">
        <f t="shared" si="291"/>
        <v>Johannes Gysbertus Sr.</v>
      </c>
      <c r="F1518" s="12" t="s">
        <v>12191</v>
      </c>
      <c r="G1518" s="12" t="str">
        <f t="shared" si="282"/>
        <v>a1b10c2d1</v>
      </c>
      <c r="H1518" s="12" t="str">
        <f t="shared" si="292"/>
        <v>ROOSa1b10c2d1</v>
      </c>
      <c r="J1518" s="12"/>
      <c r="K1518" s="12" t="str">
        <f t="shared" si="284"/>
        <v/>
      </c>
      <c r="L1518" s="12"/>
      <c r="M1518" s="12" t="s">
        <v>12192</v>
      </c>
      <c r="N1518" s="12" t="str">
        <f t="shared" si="289"/>
        <v/>
      </c>
      <c r="O1518" s="12" t="str">
        <f t="shared" si="290"/>
        <v>1786</v>
      </c>
      <c r="P1518" s="12" t="s">
        <v>90</v>
      </c>
      <c r="Q1518" s="12" t="str">
        <f t="shared" si="285"/>
        <v>1786</v>
      </c>
      <c r="R1518" s="12" t="s">
        <v>6649</v>
      </c>
      <c r="S1518" s="12" t="str">
        <f t="shared" si="286"/>
        <v>1838</v>
      </c>
      <c r="V1518" s="12" t="str">
        <f t="shared" si="287"/>
        <v/>
      </c>
      <c r="W1518" s="12" t="s">
        <v>3069</v>
      </c>
      <c r="X1518" s="12" t="s">
        <v>2427</v>
      </c>
      <c r="Z1518" s="12"/>
      <c r="AA1518" s="12"/>
      <c r="AC1518" s="2" t="s">
        <v>12193</v>
      </c>
      <c r="AD1518" s="12"/>
      <c r="AE1518" s="12"/>
      <c r="AF1518" s="12"/>
      <c r="AG1518" s="12" t="s">
        <v>68</v>
      </c>
      <c r="AH1518" s="12"/>
      <c r="AI1518" s="12" t="str">
        <f t="shared" si="288"/>
        <v/>
      </c>
      <c r="AK1518" s="12"/>
      <c r="AL1518" s="2" t="s">
        <v>366</v>
      </c>
      <c r="AM1518" s="2" t="s">
        <v>10744</v>
      </c>
      <c r="AN1518" s="2" t="s">
        <v>768</v>
      </c>
      <c r="AO1518" s="2" t="s">
        <v>4449</v>
      </c>
    </row>
    <row r="1519" spans="1:52">
      <c r="A1519" s="12" t="s">
        <v>788</v>
      </c>
      <c r="B1519" s="12" t="str">
        <f t="shared" si="280"/>
        <v>ROOS</v>
      </c>
      <c r="C1519" s="12" t="str">
        <f t="shared" si="281"/>
        <v>ROOS</v>
      </c>
      <c r="D1519" s="12" t="s">
        <v>2080</v>
      </c>
      <c r="E1519" s="12" t="str">
        <f t="shared" si="291"/>
        <v>Charl Petrus</v>
      </c>
      <c r="F1519" s="12" t="s">
        <v>12153</v>
      </c>
      <c r="G1519" s="12" t="str">
        <f t="shared" si="282"/>
        <v>a1b10c2d13</v>
      </c>
      <c r="H1519" s="12" t="str">
        <f t="shared" si="292"/>
        <v>ROOSa1b10c2d13</v>
      </c>
      <c r="J1519" s="12"/>
      <c r="K1519" s="12" t="str">
        <f t="shared" si="284"/>
        <v/>
      </c>
      <c r="L1519" s="12"/>
      <c r="M1519" s="12" t="s">
        <v>12154</v>
      </c>
      <c r="N1519" s="12" t="str">
        <f t="shared" si="289"/>
        <v/>
      </c>
      <c r="O1519" s="12" t="str">
        <f t="shared" si="290"/>
        <v>1807</v>
      </c>
      <c r="P1519" s="12" t="s">
        <v>90</v>
      </c>
      <c r="Q1519" s="12" t="str">
        <f t="shared" si="285"/>
        <v>1807</v>
      </c>
      <c r="R1519" s="12" t="s">
        <v>6649</v>
      </c>
      <c r="S1519" s="12" t="str">
        <f t="shared" si="286"/>
        <v>1838</v>
      </c>
      <c r="T1519" s="12" t="s">
        <v>74</v>
      </c>
      <c r="U1519" s="12" t="s">
        <v>10615</v>
      </c>
      <c r="V1519" s="12" t="str">
        <f t="shared" si="287"/>
        <v>1830</v>
      </c>
      <c r="W1519" s="12" t="s">
        <v>12155</v>
      </c>
      <c r="X1519" s="12" t="s">
        <v>758</v>
      </c>
      <c r="Y1519" s="12"/>
      <c r="AD1519" s="2" t="s">
        <v>90</v>
      </c>
      <c r="AE1519" s="2" t="s">
        <v>6649</v>
      </c>
      <c r="AF1519" s="12"/>
      <c r="AG1519" s="12" t="s">
        <v>68</v>
      </c>
      <c r="AH1519" s="12"/>
      <c r="AI1519" s="12" t="str">
        <f t="shared" si="288"/>
        <v/>
      </c>
      <c r="AK1519" s="12"/>
      <c r="AL1519" s="12"/>
      <c r="AM1519" s="12"/>
      <c r="AN1519" s="12"/>
      <c r="AO1519" s="12"/>
      <c r="AW1519" s="12"/>
      <c r="AX1519" s="12"/>
      <c r="AY1519" s="12"/>
      <c r="AZ1519" s="12"/>
    </row>
    <row r="1520" spans="1:52">
      <c r="A1520" s="12" t="s">
        <v>788</v>
      </c>
      <c r="B1520" s="12" t="str">
        <f t="shared" si="280"/>
        <v>ROOS</v>
      </c>
      <c r="C1520" s="12" t="str">
        <f t="shared" si="281"/>
        <v>ROOS</v>
      </c>
      <c r="D1520" s="12" t="s">
        <v>12194</v>
      </c>
      <c r="E1520" s="12" t="str">
        <f t="shared" si="291"/>
        <v>Johannes Gysbertus Jr.</v>
      </c>
      <c r="F1520" s="12" t="s">
        <v>12195</v>
      </c>
      <c r="G1520" s="12" t="str">
        <f t="shared" si="282"/>
        <v>a1b10c2d1e1</v>
      </c>
      <c r="H1520" s="12" t="str">
        <f t="shared" si="292"/>
        <v>ROOSa1b10c2d1e1</v>
      </c>
      <c r="J1520" s="12"/>
      <c r="K1520" s="12" t="str">
        <f t="shared" si="284"/>
        <v/>
      </c>
      <c r="L1520" s="12"/>
      <c r="M1520" s="12" t="s">
        <v>12196</v>
      </c>
      <c r="N1520" s="12" t="str">
        <f t="shared" si="289"/>
        <v/>
      </c>
      <c r="O1520" s="12" t="str">
        <f t="shared" si="290"/>
        <v>1806</v>
      </c>
      <c r="P1520" s="12" t="s">
        <v>90</v>
      </c>
      <c r="Q1520" s="12" t="str">
        <f t="shared" si="285"/>
        <v>1806</v>
      </c>
      <c r="R1520" s="12" t="s">
        <v>6649</v>
      </c>
      <c r="S1520" s="12" t="str">
        <f t="shared" si="286"/>
        <v>1838</v>
      </c>
      <c r="T1520" s="12" t="s">
        <v>366</v>
      </c>
      <c r="U1520" s="12" t="s">
        <v>5051</v>
      </c>
      <c r="V1520" s="12" t="str">
        <f t="shared" si="287"/>
        <v>1832</v>
      </c>
      <c r="W1520" s="12" t="s">
        <v>10696</v>
      </c>
      <c r="X1520" s="12" t="s">
        <v>633</v>
      </c>
      <c r="Y1520" s="12"/>
      <c r="AD1520" s="12" t="s">
        <v>90</v>
      </c>
      <c r="AE1520" s="12" t="s">
        <v>6649</v>
      </c>
      <c r="AF1520" s="12"/>
      <c r="AG1520" s="12" t="s">
        <v>68</v>
      </c>
      <c r="AH1520" s="12"/>
      <c r="AI1520" s="12" t="str">
        <f t="shared" si="288"/>
        <v/>
      </c>
      <c r="AK1520" s="12"/>
      <c r="AL1520" s="12"/>
      <c r="AM1520" s="12"/>
      <c r="AN1520" s="12"/>
      <c r="AO1520" s="12"/>
    </row>
    <row r="1521" spans="1:54">
      <c r="A1521" s="12" t="s">
        <v>788</v>
      </c>
      <c r="B1521" s="12" t="str">
        <f t="shared" si="280"/>
        <v>ROOS</v>
      </c>
      <c r="C1521" s="12" t="str">
        <f t="shared" si="281"/>
        <v>ROOS</v>
      </c>
      <c r="D1521" s="12" t="s">
        <v>398</v>
      </c>
      <c r="E1521" s="12" t="str">
        <f t="shared" si="291"/>
        <v>Cornelis Johannes</v>
      </c>
      <c r="F1521" s="12" t="s">
        <v>12156</v>
      </c>
      <c r="G1521" s="12" t="str">
        <f t="shared" si="282"/>
        <v>a1b10c2d1e5</v>
      </c>
      <c r="H1521" s="12" t="str">
        <f t="shared" si="292"/>
        <v>ROOSa1b10c2d1e5</v>
      </c>
      <c r="J1521" s="12" t="s">
        <v>7025</v>
      </c>
      <c r="K1521" s="12" t="str">
        <f t="shared" si="284"/>
        <v>1813</v>
      </c>
      <c r="L1521" s="12" t="s">
        <v>74</v>
      </c>
      <c r="M1521" s="12" t="s">
        <v>2220</v>
      </c>
      <c r="N1521" s="12" t="str">
        <f t="shared" si="289"/>
        <v>1813</v>
      </c>
      <c r="O1521" s="12" t="str">
        <f t="shared" si="290"/>
        <v>1813</v>
      </c>
      <c r="P1521" s="12" t="s">
        <v>2063</v>
      </c>
      <c r="Q1521" s="12" t="str">
        <f t="shared" si="285"/>
        <v>1813</v>
      </c>
      <c r="R1521" s="12" t="s">
        <v>10661</v>
      </c>
      <c r="S1521" s="12" t="str">
        <f t="shared" si="286"/>
        <v>1883</v>
      </c>
      <c r="T1521" s="2" t="s">
        <v>28</v>
      </c>
      <c r="U1521" s="2" t="s">
        <v>12157</v>
      </c>
      <c r="V1521" s="12" t="str">
        <f t="shared" si="287"/>
        <v>1834</v>
      </c>
      <c r="W1521" s="12" t="s">
        <v>819</v>
      </c>
      <c r="X1521" s="12" t="s">
        <v>1573</v>
      </c>
      <c r="Y1521" s="2" t="s">
        <v>12158</v>
      </c>
      <c r="AA1521" s="2" t="s">
        <v>12159</v>
      </c>
      <c r="AB1521" s="2" t="s">
        <v>366</v>
      </c>
      <c r="AC1521" s="2" t="s">
        <v>12160</v>
      </c>
      <c r="AD1521" s="12"/>
      <c r="AE1521" s="12"/>
      <c r="AF1521" s="2" t="s">
        <v>11656</v>
      </c>
      <c r="AG1521" s="12" t="s">
        <v>68</v>
      </c>
      <c r="AH1521" s="12" t="s">
        <v>12161</v>
      </c>
      <c r="AI1521" s="12" t="str">
        <f t="shared" si="288"/>
        <v>1837</v>
      </c>
      <c r="AK1521" s="12"/>
    </row>
    <row r="1522" spans="1:54">
      <c r="A1522" s="12" t="s">
        <v>788</v>
      </c>
      <c r="B1522" s="12" t="str">
        <f t="shared" si="280"/>
        <v>ROOS</v>
      </c>
      <c r="C1522" s="12" t="str">
        <f t="shared" si="281"/>
        <v>ROOS</v>
      </c>
      <c r="D1522" s="12" t="s">
        <v>12222</v>
      </c>
      <c r="E1522" s="12" t="str">
        <f t="shared" si="291"/>
        <v>Tieleman Francois</v>
      </c>
      <c r="F1522" s="12" t="s">
        <v>12223</v>
      </c>
      <c r="G1522" s="12" t="str">
        <f t="shared" si="282"/>
        <v>a1b10c2d5</v>
      </c>
      <c r="H1522" s="12" t="str">
        <f t="shared" si="292"/>
        <v>ROOSa1b10c2d5</v>
      </c>
      <c r="J1522" s="12"/>
      <c r="K1522" s="12" t="str">
        <f t="shared" si="284"/>
        <v/>
      </c>
      <c r="L1522" s="12"/>
      <c r="M1522" s="12" t="s">
        <v>12224</v>
      </c>
      <c r="N1522" s="12" t="str">
        <f t="shared" si="289"/>
        <v/>
      </c>
      <c r="O1522" s="12" t="str">
        <f t="shared" si="290"/>
        <v>1792</v>
      </c>
      <c r="P1522" s="12"/>
      <c r="Q1522" s="12" t="str">
        <f t="shared" si="285"/>
        <v>1792</v>
      </c>
      <c r="R1522" s="12">
        <v>1869</v>
      </c>
      <c r="S1522" s="12" t="str">
        <f t="shared" si="286"/>
        <v>1869</v>
      </c>
      <c r="T1522" s="12" t="s">
        <v>74</v>
      </c>
      <c r="U1522" s="12" t="s">
        <v>10964</v>
      </c>
      <c r="V1522" s="12" t="str">
        <f t="shared" si="287"/>
        <v>1811</v>
      </c>
      <c r="W1522" s="12" t="s">
        <v>12225</v>
      </c>
      <c r="X1522" s="12" t="s">
        <v>11144</v>
      </c>
      <c r="AA1522" s="12"/>
      <c r="AC1522" s="2" t="s">
        <v>12226</v>
      </c>
      <c r="AD1522" s="12"/>
      <c r="AE1522" s="12"/>
      <c r="AG1522" s="12" t="s">
        <v>11803</v>
      </c>
      <c r="AH1522" s="12" t="s">
        <v>385</v>
      </c>
      <c r="AI1522" s="12" t="str">
        <f t="shared" si="288"/>
        <v>1840</v>
      </c>
      <c r="AK1522" s="12"/>
    </row>
    <row r="1523" spans="1:54">
      <c r="A1523" s="12" t="s">
        <v>788</v>
      </c>
      <c r="B1523" s="12" t="str">
        <f t="shared" ref="B1523:B1586" si="293">SUBSTITUTE(A1523," ","")</f>
        <v>ROOS</v>
      </c>
      <c r="C1523" s="12" t="str">
        <f t="shared" ref="C1523:C1586" si="294">TRIM(A1523)</f>
        <v>ROOS</v>
      </c>
      <c r="D1523" s="12" t="s">
        <v>12213</v>
      </c>
      <c r="E1523" s="12" t="str">
        <f t="shared" si="291"/>
        <v>Philippus Petrus</v>
      </c>
      <c r="F1523" s="12" t="s">
        <v>12214</v>
      </c>
      <c r="G1523" s="12" t="str">
        <f t="shared" ref="G1523:G1586" si="295">IF(LEFT(F1523,1)="b","a1"&amp;F1523,F1523)</f>
        <v>a1b10c2d5e2</v>
      </c>
      <c r="H1523" s="12" t="str">
        <f t="shared" ref="H1523:H1586" si="296">C1523&amp;G1523</f>
        <v>ROOSa1b10c2d5e2</v>
      </c>
      <c r="J1523" s="12" t="s">
        <v>12215</v>
      </c>
      <c r="K1523" s="12" t="str">
        <f t="shared" ref="K1523:K1586" si="297">RIGHT(J1523,4)</f>
        <v>1815</v>
      </c>
      <c r="L1523" s="12" t="s">
        <v>74</v>
      </c>
      <c r="M1523" s="12" t="s">
        <v>1602</v>
      </c>
      <c r="N1523" s="12" t="str">
        <f t="shared" si="289"/>
        <v>1815</v>
      </c>
      <c r="O1523" s="12" t="str">
        <f t="shared" si="290"/>
        <v>1815</v>
      </c>
      <c r="P1523" s="12" t="s">
        <v>1864</v>
      </c>
      <c r="Q1523" s="12" t="str">
        <f t="shared" ref="Q1523:Q1586" si="298">IF(N1523="",O1523,N1523)</f>
        <v>1815</v>
      </c>
      <c r="R1523" s="12" t="s">
        <v>12216</v>
      </c>
      <c r="S1523" s="12" t="str">
        <f t="shared" ref="S1523:S1586" si="299">RIGHT(R1523,4)</f>
        <v>1891</v>
      </c>
      <c r="T1523" s="12" t="s">
        <v>31</v>
      </c>
      <c r="U1523" s="12"/>
      <c r="V1523" s="12" t="str">
        <f t="shared" ref="V1523:V1586" si="300">RIGHT(U1523,4)</f>
        <v/>
      </c>
      <c r="W1523" s="12" t="s">
        <v>12217</v>
      </c>
      <c r="X1523" s="12" t="s">
        <v>2136</v>
      </c>
      <c r="AA1523" s="2" t="s">
        <v>12218</v>
      </c>
      <c r="AC1523" s="2" t="s">
        <v>12219</v>
      </c>
      <c r="AD1523" s="12" t="s">
        <v>1864</v>
      </c>
      <c r="AE1523" s="12" t="s">
        <v>12220</v>
      </c>
      <c r="AG1523" s="12" t="s">
        <v>11803</v>
      </c>
      <c r="AH1523" s="12" t="s">
        <v>12221</v>
      </c>
      <c r="AI1523" s="12" t="str">
        <f t="shared" ref="AI1523:AI1586" si="301">RIGHT(AH1523,4)</f>
        <v>1840</v>
      </c>
      <c r="AK1523" s="12"/>
    </row>
    <row r="1524" spans="1:54">
      <c r="A1524" s="12" t="s">
        <v>788</v>
      </c>
      <c r="B1524" s="12" t="str">
        <f t="shared" si="293"/>
        <v>ROOS</v>
      </c>
      <c r="C1524" s="12" t="str">
        <f t="shared" si="294"/>
        <v>ROOS</v>
      </c>
      <c r="D1524" s="12" t="s">
        <v>2253</v>
      </c>
      <c r="E1524" s="12" t="str">
        <f t="shared" si="291"/>
        <v>Johannes Jacobus</v>
      </c>
      <c r="F1524" s="12" t="s">
        <v>12201</v>
      </c>
      <c r="G1524" s="12" t="str">
        <f t="shared" si="295"/>
        <v>a1b10c2d5e3</v>
      </c>
      <c r="H1524" s="12" t="str">
        <f t="shared" si="296"/>
        <v>ROOSa1b10c2d5e3</v>
      </c>
      <c r="J1524" s="2" t="s">
        <v>12202</v>
      </c>
      <c r="K1524" s="12" t="str">
        <f t="shared" si="297"/>
        <v>1818</v>
      </c>
      <c r="L1524" s="12" t="s">
        <v>74</v>
      </c>
      <c r="M1524" s="12" t="s">
        <v>12203</v>
      </c>
      <c r="N1524" s="12" t="str">
        <f t="shared" si="289"/>
        <v>1818</v>
      </c>
      <c r="O1524" s="12" t="str">
        <f t="shared" si="290"/>
        <v>1818</v>
      </c>
      <c r="P1524" s="12"/>
      <c r="Q1524" s="12" t="str">
        <f t="shared" si="298"/>
        <v>1818</v>
      </c>
      <c r="R1524" s="12">
        <v>1874</v>
      </c>
      <c r="S1524" s="12" t="str">
        <f t="shared" si="299"/>
        <v>1874</v>
      </c>
      <c r="T1524" s="2" t="s">
        <v>140</v>
      </c>
      <c r="U1524" s="2" t="s">
        <v>12204</v>
      </c>
      <c r="V1524" s="12" t="str">
        <f t="shared" si="300"/>
        <v>1840</v>
      </c>
      <c r="W1524" s="2" t="s">
        <v>12205</v>
      </c>
      <c r="X1524" s="2" t="s">
        <v>2589</v>
      </c>
      <c r="AA1524" s="2" t="s">
        <v>12206</v>
      </c>
      <c r="AF1524" s="12"/>
      <c r="AG1524" s="12" t="s">
        <v>74</v>
      </c>
      <c r="AH1524" s="12" t="s">
        <v>11220</v>
      </c>
      <c r="AI1524" s="12" t="str">
        <f t="shared" si="301"/>
        <v>1838</v>
      </c>
      <c r="AJ1524" s="12" t="s">
        <v>12189</v>
      </c>
      <c r="AK1524" s="12"/>
    </row>
    <row r="1525" spans="1:54">
      <c r="A1525" s="12" t="s">
        <v>788</v>
      </c>
      <c r="B1525" s="12" t="str">
        <f t="shared" si="293"/>
        <v>ROOS</v>
      </c>
      <c r="C1525" s="12" t="str">
        <f t="shared" si="294"/>
        <v>ROOS</v>
      </c>
      <c r="D1525" s="12" t="s">
        <v>5073</v>
      </c>
      <c r="E1525" s="12" t="str">
        <f t="shared" si="291"/>
        <v>Paulus Stephanus</v>
      </c>
      <c r="F1525" s="12" t="s">
        <v>12207</v>
      </c>
      <c r="G1525" s="12" t="str">
        <f t="shared" si="295"/>
        <v>a1b10c2d9</v>
      </c>
      <c r="H1525" s="12" t="str">
        <f t="shared" si="296"/>
        <v>ROOSa1b10c2d9</v>
      </c>
      <c r="J1525" s="12"/>
      <c r="K1525" s="12" t="str">
        <f t="shared" si="297"/>
        <v/>
      </c>
      <c r="L1525" s="12"/>
      <c r="M1525" s="12" t="s">
        <v>12208</v>
      </c>
      <c r="N1525" s="12" t="str">
        <f t="shared" si="289"/>
        <v/>
      </c>
      <c r="O1525" s="12" t="str">
        <f t="shared" si="290"/>
        <v>1799</v>
      </c>
      <c r="P1525" s="12"/>
      <c r="Q1525" s="12" t="str">
        <f t="shared" si="298"/>
        <v>1799</v>
      </c>
      <c r="R1525" s="12"/>
      <c r="S1525" s="12" t="str">
        <f t="shared" si="299"/>
        <v/>
      </c>
      <c r="V1525" s="12" t="str">
        <f t="shared" si="300"/>
        <v/>
      </c>
      <c r="W1525" s="12" t="s">
        <v>4765</v>
      </c>
      <c r="X1525" s="12" t="s">
        <v>1824</v>
      </c>
      <c r="AF1525" s="12"/>
      <c r="AG1525" s="12" t="s">
        <v>68</v>
      </c>
      <c r="AH1525" s="12" t="s">
        <v>385</v>
      </c>
      <c r="AI1525" s="12" t="str">
        <f t="shared" si="301"/>
        <v>1840</v>
      </c>
      <c r="AJ1525" s="12"/>
      <c r="AK1525" s="2" t="s">
        <v>551</v>
      </c>
      <c r="AL1525" s="12" t="s">
        <v>68</v>
      </c>
      <c r="AM1525" s="12" t="s">
        <v>12209</v>
      </c>
      <c r="AN1525" s="12" t="s">
        <v>12210</v>
      </c>
      <c r="AO1525" s="12" t="s">
        <v>730</v>
      </c>
      <c r="AP1525" s="12"/>
      <c r="AR1525" s="12"/>
      <c r="AS1525" s="12"/>
      <c r="AT1525" s="12"/>
      <c r="AU1525" s="12"/>
      <c r="AV1525" s="12"/>
      <c r="AW1525" s="2" t="s">
        <v>68</v>
      </c>
      <c r="AX1525" s="2" t="s">
        <v>12211</v>
      </c>
      <c r="AY1525" s="2" t="s">
        <v>12212</v>
      </c>
      <c r="AZ1525" s="2" t="s">
        <v>792</v>
      </c>
    </row>
    <row r="1526" spans="1:54">
      <c r="A1526" s="12" t="s">
        <v>788</v>
      </c>
      <c r="B1526" s="12" t="str">
        <f t="shared" si="293"/>
        <v>ROOS</v>
      </c>
      <c r="C1526" s="12" t="str">
        <f t="shared" si="294"/>
        <v>ROOS</v>
      </c>
      <c r="D1526" s="12" t="s">
        <v>12182</v>
      </c>
      <c r="E1526" s="12" t="str">
        <f t="shared" si="291"/>
        <v>Gysbertus Johannes</v>
      </c>
      <c r="F1526" s="12" t="s">
        <v>8687</v>
      </c>
      <c r="G1526" s="12" t="str">
        <f t="shared" si="295"/>
        <v>a1b10c3d1</v>
      </c>
      <c r="H1526" s="12" t="str">
        <f t="shared" si="296"/>
        <v>ROOSa1b10c3d1</v>
      </c>
      <c r="K1526" s="12" t="str">
        <f t="shared" si="297"/>
        <v/>
      </c>
      <c r="L1526" s="12" t="s">
        <v>1529</v>
      </c>
      <c r="M1526" s="12"/>
      <c r="N1526" s="12" t="str">
        <f t="shared" si="289"/>
        <v/>
      </c>
      <c r="O1526" s="12" t="str">
        <f t="shared" si="290"/>
        <v/>
      </c>
      <c r="P1526" s="12"/>
      <c r="Q1526" s="12" t="str">
        <f t="shared" si="298"/>
        <v/>
      </c>
      <c r="R1526" s="12"/>
      <c r="S1526" s="12" t="str">
        <f t="shared" si="299"/>
        <v/>
      </c>
      <c r="T1526" s="12" t="s">
        <v>74</v>
      </c>
      <c r="U1526" s="12" t="s">
        <v>12183</v>
      </c>
      <c r="V1526" s="12" t="str">
        <f t="shared" si="300"/>
        <v>1820</v>
      </c>
      <c r="W1526" s="12" t="s">
        <v>11262</v>
      </c>
      <c r="X1526" s="12" t="s">
        <v>788</v>
      </c>
      <c r="Y1526" s="2" t="s">
        <v>12184</v>
      </c>
      <c r="AC1526" s="2" t="s">
        <v>6014</v>
      </c>
      <c r="AF1526" s="12"/>
      <c r="AG1526" s="12" t="s">
        <v>74</v>
      </c>
      <c r="AH1526" s="12" t="s">
        <v>12185</v>
      </c>
      <c r="AI1526" s="12" t="str">
        <f t="shared" si="301"/>
        <v>1836</v>
      </c>
      <c r="AJ1526" s="2" t="s">
        <v>12186</v>
      </c>
      <c r="AN1526" s="12"/>
      <c r="AO1526" s="12"/>
    </row>
    <row r="1527" spans="1:54">
      <c r="A1527" s="12" t="s">
        <v>788</v>
      </c>
      <c r="B1527" s="12" t="str">
        <f t="shared" si="293"/>
        <v>ROOS</v>
      </c>
      <c r="C1527" s="12" t="str">
        <f t="shared" si="294"/>
        <v>ROOS</v>
      </c>
      <c r="D1527" s="12" t="s">
        <v>12170</v>
      </c>
      <c r="E1527" s="12" t="str">
        <f t="shared" si="291"/>
        <v>Gert Lucas</v>
      </c>
      <c r="F1527" s="12" t="s">
        <v>12171</v>
      </c>
      <c r="G1527" s="12" t="str">
        <f t="shared" si="295"/>
        <v>a1b10c3d1e2</v>
      </c>
      <c r="H1527" s="12" t="str">
        <f t="shared" si="296"/>
        <v>ROOSa1b10c3d1e2</v>
      </c>
      <c r="I1527" s="12" t="s">
        <v>12172</v>
      </c>
      <c r="J1527" s="12" t="s">
        <v>12173</v>
      </c>
      <c r="K1527" s="12" t="str">
        <f t="shared" si="297"/>
        <v>1823</v>
      </c>
      <c r="L1527" s="12" t="s">
        <v>74</v>
      </c>
      <c r="M1527" s="12" t="s">
        <v>12174</v>
      </c>
      <c r="N1527" s="12" t="str">
        <f t="shared" si="289"/>
        <v>1823</v>
      </c>
      <c r="O1527" s="12" t="str">
        <f t="shared" si="290"/>
        <v>1823</v>
      </c>
      <c r="P1527" s="12" t="s">
        <v>4129</v>
      </c>
      <c r="Q1527" s="12" t="str">
        <f t="shared" si="298"/>
        <v>1823</v>
      </c>
      <c r="R1527" s="12" t="s">
        <v>12175</v>
      </c>
      <c r="S1527" s="12" t="str">
        <f t="shared" si="299"/>
        <v>1880</v>
      </c>
      <c r="T1527" s="12" t="s">
        <v>140</v>
      </c>
      <c r="U1527" s="12" t="s">
        <v>11239</v>
      </c>
      <c r="V1527" s="12" t="str">
        <f t="shared" si="300"/>
        <v>1845</v>
      </c>
      <c r="W1527" s="12" t="s">
        <v>11511</v>
      </c>
      <c r="X1527" s="12" t="s">
        <v>12176</v>
      </c>
      <c r="Y1527" s="12"/>
      <c r="Z1527" s="12"/>
      <c r="AA1527" s="12">
        <v>1829</v>
      </c>
      <c r="AD1527" s="12"/>
      <c r="AF1527" s="12"/>
      <c r="AG1527" s="12" t="s">
        <v>12177</v>
      </c>
      <c r="AH1527" s="12" t="s">
        <v>2030</v>
      </c>
      <c r="AI1527" s="12" t="str">
        <f t="shared" si="301"/>
        <v>1845</v>
      </c>
      <c r="AJ1527" s="12"/>
      <c r="AK1527" s="2" t="s">
        <v>12178</v>
      </c>
      <c r="AM1527" s="12"/>
      <c r="AN1527" s="12"/>
      <c r="AO1527" s="12"/>
      <c r="AP1527" s="12"/>
      <c r="AQ1527" s="12"/>
      <c r="AR1527" s="12"/>
      <c r="AV1527" s="12"/>
    </row>
    <row r="1528" spans="1:54">
      <c r="A1528" s="12" t="s">
        <v>788</v>
      </c>
      <c r="B1528" s="12" t="str">
        <f t="shared" si="293"/>
        <v>ROOS</v>
      </c>
      <c r="C1528" s="12" t="str">
        <f t="shared" si="294"/>
        <v>ROOS</v>
      </c>
      <c r="D1528" s="12" t="s">
        <v>12187</v>
      </c>
      <c r="E1528" s="12" t="str">
        <f t="shared" si="291"/>
        <v>Izaak Francois</v>
      </c>
      <c r="F1528" s="2" t="s">
        <v>8692</v>
      </c>
      <c r="G1528" s="12" t="str">
        <f t="shared" si="295"/>
        <v>a1b10c3d2</v>
      </c>
      <c r="H1528" s="12" t="str">
        <f t="shared" si="296"/>
        <v>ROOSa1b10c3d2</v>
      </c>
      <c r="K1528" s="12" t="str">
        <f t="shared" si="297"/>
        <v/>
      </c>
      <c r="M1528" s="2" t="s">
        <v>12188</v>
      </c>
      <c r="N1528" s="12" t="str">
        <f t="shared" si="289"/>
        <v/>
      </c>
      <c r="O1528" s="12" t="str">
        <f t="shared" si="290"/>
        <v>1799</v>
      </c>
      <c r="Q1528" s="12" t="str">
        <f t="shared" si="298"/>
        <v>1799</v>
      </c>
      <c r="S1528" s="12" t="str">
        <f t="shared" si="299"/>
        <v/>
      </c>
      <c r="V1528" s="12" t="str">
        <f t="shared" si="300"/>
        <v/>
      </c>
      <c r="AF1528" s="12"/>
      <c r="AG1528" s="12" t="s">
        <v>74</v>
      </c>
      <c r="AH1528" s="12" t="s">
        <v>2769</v>
      </c>
      <c r="AI1528" s="12" t="str">
        <f t="shared" si="301"/>
        <v>1838</v>
      </c>
      <c r="AJ1528" s="2" t="s">
        <v>12189</v>
      </c>
    </row>
    <row r="1529" spans="1:54">
      <c r="A1529" s="12" t="s">
        <v>788</v>
      </c>
      <c r="B1529" s="12" t="str">
        <f t="shared" si="293"/>
        <v>ROOS</v>
      </c>
      <c r="C1529" s="12" t="str">
        <f t="shared" si="294"/>
        <v>ROOS</v>
      </c>
      <c r="D1529" s="12" t="s">
        <v>12170</v>
      </c>
      <c r="E1529" s="12" t="str">
        <f t="shared" si="291"/>
        <v>Gert Lucas</v>
      </c>
      <c r="F1529" s="12" t="s">
        <v>12179</v>
      </c>
      <c r="G1529" s="12" t="str">
        <f t="shared" si="295"/>
        <v>a1b10c3d4</v>
      </c>
      <c r="H1529" s="12" t="str">
        <f t="shared" si="296"/>
        <v>ROOSa1b10c3d4</v>
      </c>
      <c r="J1529" s="12"/>
      <c r="K1529" s="12" t="str">
        <f t="shared" si="297"/>
        <v/>
      </c>
      <c r="L1529" s="12"/>
      <c r="M1529" s="12"/>
      <c r="N1529" s="12" t="str">
        <f t="shared" si="289"/>
        <v/>
      </c>
      <c r="O1529" s="12" t="str">
        <f t="shared" si="290"/>
        <v/>
      </c>
      <c r="P1529" s="12"/>
      <c r="Q1529" s="12" t="str">
        <f t="shared" si="298"/>
        <v/>
      </c>
      <c r="R1529" s="12"/>
      <c r="S1529" s="12" t="str">
        <f t="shared" si="299"/>
        <v/>
      </c>
      <c r="T1529" s="2" t="s">
        <v>74</v>
      </c>
      <c r="U1529" s="2" t="s">
        <v>11462</v>
      </c>
      <c r="V1529" s="12" t="str">
        <f t="shared" si="300"/>
        <v>1828</v>
      </c>
      <c r="W1529" s="2" t="s">
        <v>12180</v>
      </c>
      <c r="X1529" s="2" t="s">
        <v>2731</v>
      </c>
      <c r="AF1529" s="12"/>
      <c r="AG1529" s="12" t="s">
        <v>12177</v>
      </c>
      <c r="AH1529" s="12" t="s">
        <v>12181</v>
      </c>
      <c r="AI1529" s="12" t="str">
        <f t="shared" si="301"/>
        <v>1842</v>
      </c>
      <c r="AJ1529" s="12"/>
    </row>
    <row r="1530" spans="1:54">
      <c r="A1530" s="12" t="s">
        <v>788</v>
      </c>
      <c r="B1530" s="12" t="str">
        <f t="shared" si="293"/>
        <v>ROOS</v>
      </c>
      <c r="C1530" s="12" t="str">
        <f t="shared" si="294"/>
        <v>ROOS</v>
      </c>
      <c r="D1530" s="12" t="s">
        <v>2253</v>
      </c>
      <c r="E1530" s="12" t="str">
        <f t="shared" si="291"/>
        <v>Johannes Jacobus</v>
      </c>
      <c r="F1530" s="12" t="s">
        <v>10270</v>
      </c>
      <c r="G1530" s="12" t="str">
        <f t="shared" si="295"/>
        <v>a1b10c3d5</v>
      </c>
      <c r="H1530" s="12" t="str">
        <f t="shared" si="296"/>
        <v>ROOSa1b10c3d5</v>
      </c>
      <c r="J1530" s="12"/>
      <c r="K1530" s="12" t="str">
        <f t="shared" si="297"/>
        <v/>
      </c>
      <c r="L1530" s="12"/>
      <c r="M1530" s="12" t="s">
        <v>6014</v>
      </c>
      <c r="N1530" s="12" t="str">
        <f t="shared" si="289"/>
        <v/>
      </c>
      <c r="O1530" s="12" t="str">
        <f t="shared" si="290"/>
        <v>1806</v>
      </c>
      <c r="P1530" s="12"/>
      <c r="Q1530" s="12" t="str">
        <f t="shared" si="298"/>
        <v>1806</v>
      </c>
      <c r="R1530" s="12"/>
      <c r="S1530" s="12" t="str">
        <f t="shared" si="299"/>
        <v/>
      </c>
      <c r="T1530" s="12" t="s">
        <v>74</v>
      </c>
      <c r="U1530" s="12" t="s">
        <v>12197</v>
      </c>
      <c r="V1530" s="12" t="str">
        <f t="shared" si="300"/>
        <v>1826</v>
      </c>
      <c r="W1530" s="12" t="s">
        <v>1135</v>
      </c>
      <c r="X1530" s="12" t="s">
        <v>12198</v>
      </c>
      <c r="Y1530" s="12" t="s">
        <v>12199</v>
      </c>
      <c r="AA1530" s="12"/>
      <c r="AB1530" s="12"/>
      <c r="AC1530" s="2" t="s">
        <v>12200</v>
      </c>
      <c r="AD1530" s="12"/>
      <c r="AE1530" s="12"/>
      <c r="AF1530" s="12"/>
      <c r="AG1530" s="12" t="s">
        <v>74</v>
      </c>
      <c r="AH1530" s="12"/>
      <c r="AI1530" s="12" t="str">
        <f t="shared" si="301"/>
        <v/>
      </c>
      <c r="AJ1530" s="12" t="s">
        <v>12186</v>
      </c>
      <c r="AL1530" s="12"/>
      <c r="AM1530" s="12"/>
      <c r="AN1530" s="12"/>
    </row>
    <row r="1531" spans="1:54">
      <c r="A1531" s="12" t="s">
        <v>788</v>
      </c>
      <c r="B1531" s="12" t="str">
        <f t="shared" si="293"/>
        <v>ROOS</v>
      </c>
      <c r="C1531" s="12" t="str">
        <f t="shared" si="294"/>
        <v>ROOS</v>
      </c>
      <c r="D1531" s="12" t="s">
        <v>12162</v>
      </c>
      <c r="E1531" s="12" t="str">
        <f t="shared" si="291"/>
        <v>Francois (Frans)</v>
      </c>
      <c r="F1531" s="12" t="s">
        <v>12163</v>
      </c>
      <c r="G1531" s="12" t="str">
        <f t="shared" si="295"/>
        <v>a1b8c2d4</v>
      </c>
      <c r="H1531" s="12" t="str">
        <f t="shared" si="296"/>
        <v>ROOSa1b8c2d4</v>
      </c>
      <c r="K1531" s="12" t="str">
        <f t="shared" si="297"/>
        <v/>
      </c>
      <c r="L1531" s="2" t="s">
        <v>48</v>
      </c>
      <c r="M1531" s="12" t="s">
        <v>12164</v>
      </c>
      <c r="N1531" s="12" t="str">
        <f t="shared" si="289"/>
        <v/>
      </c>
      <c r="O1531" s="12" t="str">
        <f t="shared" si="290"/>
        <v>1781</v>
      </c>
      <c r="P1531" s="12" t="s">
        <v>90</v>
      </c>
      <c r="Q1531" s="12" t="str">
        <f t="shared" si="298"/>
        <v>1781</v>
      </c>
      <c r="R1531" s="12" t="s">
        <v>12165</v>
      </c>
      <c r="S1531" s="12" t="str">
        <f t="shared" si="299"/>
        <v>1853</v>
      </c>
      <c r="T1531" s="2" t="s">
        <v>48</v>
      </c>
      <c r="U1531" s="12" t="s">
        <v>12166</v>
      </c>
      <c r="V1531" s="12" t="str">
        <f t="shared" si="300"/>
        <v>1805</v>
      </c>
      <c r="W1531" s="12" t="s">
        <v>650</v>
      </c>
      <c r="X1531" s="12" t="s">
        <v>12167</v>
      </c>
      <c r="Y1531" s="12" t="s">
        <v>3010</v>
      </c>
      <c r="AC1531" s="12"/>
      <c r="AF1531" s="12" t="s">
        <v>12168</v>
      </c>
      <c r="AG1531" s="12" t="s">
        <v>961</v>
      </c>
      <c r="AH1531" s="12" t="s">
        <v>12169</v>
      </c>
      <c r="AI1531" s="12" t="str">
        <f t="shared" si="301"/>
        <v>1838</v>
      </c>
      <c r="AJ1531" s="12"/>
      <c r="AK1531" s="12"/>
      <c r="AL1531" s="12"/>
      <c r="AM1531" s="12"/>
      <c r="AN1531" s="12"/>
      <c r="AO1531" s="12"/>
      <c r="AP1531" s="12"/>
      <c r="AS1531" s="12"/>
      <c r="AT1531" s="12"/>
      <c r="AU1531" s="12"/>
      <c r="AV1531" s="12"/>
    </row>
    <row r="1532" spans="1:54">
      <c r="A1532" s="12" t="s">
        <v>5159</v>
      </c>
      <c r="B1532" s="12" t="str">
        <f t="shared" si="293"/>
        <v>ROSSOUW</v>
      </c>
      <c r="C1532" s="12" t="str">
        <f t="shared" si="294"/>
        <v>ROSSOUW</v>
      </c>
      <c r="D1532" s="12" t="s">
        <v>12233</v>
      </c>
      <c r="E1532" s="12" t="str">
        <f t="shared" si="291"/>
        <v>Petrus Stephanus</v>
      </c>
      <c r="F1532" s="12" t="s">
        <v>12234</v>
      </c>
      <c r="G1532" s="12" t="str">
        <f t="shared" si="295"/>
        <v>a1b9c1d$E5f4</v>
      </c>
      <c r="H1532" s="12" t="str">
        <f t="shared" si="296"/>
        <v>ROSSOUWa1b9c1d$E5f4</v>
      </c>
      <c r="J1532" s="12" t="s">
        <v>12235</v>
      </c>
      <c r="K1532" s="12" t="str">
        <f t="shared" si="297"/>
        <v>1821</v>
      </c>
      <c r="L1532" s="12" t="s">
        <v>366</v>
      </c>
      <c r="M1532" s="12" t="s">
        <v>12236</v>
      </c>
      <c r="N1532" s="12" t="str">
        <f t="shared" si="289"/>
        <v>1821</v>
      </c>
      <c r="O1532" s="12" t="str">
        <f t="shared" si="290"/>
        <v>1821</v>
      </c>
      <c r="P1532" s="12" t="s">
        <v>12237</v>
      </c>
      <c r="Q1532" s="12" t="str">
        <f t="shared" si="298"/>
        <v>1821</v>
      </c>
      <c r="R1532" s="12" t="s">
        <v>12238</v>
      </c>
      <c r="S1532" s="12" t="str">
        <f t="shared" si="299"/>
        <v>1904</v>
      </c>
      <c r="V1532" s="12" t="str">
        <f t="shared" si="300"/>
        <v/>
      </c>
      <c r="W1532" s="2" t="s">
        <v>2472</v>
      </c>
      <c r="X1532" s="2" t="s">
        <v>1824</v>
      </c>
      <c r="AD1532" s="2" t="s">
        <v>12239</v>
      </c>
      <c r="AE1532" s="2" t="s">
        <v>12240</v>
      </c>
      <c r="AG1532" s="12" t="s">
        <v>60</v>
      </c>
      <c r="AH1532" s="12" t="s">
        <v>12241</v>
      </c>
      <c r="AI1532" s="12" t="str">
        <f t="shared" si="301"/>
        <v>1837</v>
      </c>
      <c r="AK1532" s="12"/>
    </row>
    <row r="1533" spans="1:54">
      <c r="A1533" s="12" t="s">
        <v>5159</v>
      </c>
      <c r="B1533" s="12" t="str">
        <f t="shared" si="293"/>
        <v>ROSSOUW</v>
      </c>
      <c r="C1533" s="12" t="str">
        <f t="shared" si="294"/>
        <v>ROSSOUW</v>
      </c>
      <c r="D1533" s="12" t="s">
        <v>12227</v>
      </c>
      <c r="E1533" s="12" t="str">
        <f t="shared" si="291"/>
        <v>Gerrit Adolph</v>
      </c>
      <c r="F1533" s="12" t="s">
        <v>12228</v>
      </c>
      <c r="G1533" s="12" t="str">
        <f t="shared" si="295"/>
        <v>a1b9c1d4E5f5</v>
      </c>
      <c r="H1533" s="12" t="str">
        <f t="shared" si="296"/>
        <v>ROSSOUWa1b9c1d4E5f5</v>
      </c>
      <c r="J1533" s="12" t="s">
        <v>12229</v>
      </c>
      <c r="K1533" s="12" t="str">
        <f t="shared" si="297"/>
        <v>1824</v>
      </c>
      <c r="L1533" s="12" t="s">
        <v>366</v>
      </c>
      <c r="M1533" s="12" t="s">
        <v>11269</v>
      </c>
      <c r="N1533" s="12" t="str">
        <f t="shared" si="289"/>
        <v>1824</v>
      </c>
      <c r="O1533" s="12" t="str">
        <f t="shared" si="290"/>
        <v>1824</v>
      </c>
      <c r="P1533" s="12" t="s">
        <v>24</v>
      </c>
      <c r="Q1533" s="12" t="str">
        <f t="shared" si="298"/>
        <v>1824</v>
      </c>
      <c r="R1533" s="12" t="s">
        <v>12230</v>
      </c>
      <c r="S1533" s="12" t="str">
        <f t="shared" si="299"/>
        <v>1871</v>
      </c>
      <c r="T1533" s="12"/>
      <c r="U1533" s="12"/>
      <c r="V1533" s="12" t="str">
        <f t="shared" si="300"/>
        <v/>
      </c>
      <c r="W1533" s="12" t="s">
        <v>5241</v>
      </c>
      <c r="X1533" s="12" t="s">
        <v>633</v>
      </c>
      <c r="Y1533" s="12"/>
      <c r="AA1533" s="12"/>
      <c r="AD1533" s="12"/>
      <c r="AE1533" s="12"/>
      <c r="AF1533" s="12" t="s">
        <v>12231</v>
      </c>
      <c r="AG1533" s="12" t="s">
        <v>32</v>
      </c>
      <c r="AH1533" s="12" t="s">
        <v>12232</v>
      </c>
      <c r="AI1533" s="12" t="str">
        <f t="shared" si="301"/>
        <v>1845</v>
      </c>
      <c r="AJ1533" s="12"/>
      <c r="AK1533" s="2" t="s">
        <v>551</v>
      </c>
    </row>
    <row r="1534" spans="1:54">
      <c r="A1534" s="12" t="s">
        <v>3629</v>
      </c>
      <c r="B1534" s="12" t="str">
        <f t="shared" si="293"/>
        <v>ROUX</v>
      </c>
      <c r="C1534" s="12" t="str">
        <f t="shared" si="294"/>
        <v>ROUX</v>
      </c>
      <c r="D1534" s="12" t="s">
        <v>12242</v>
      </c>
      <c r="E1534" s="12" t="str">
        <f t="shared" si="291"/>
        <v>Johannes Petrus Gerhardus</v>
      </c>
      <c r="F1534" s="12" t="s">
        <v>1411</v>
      </c>
      <c r="G1534" s="12" t="str">
        <f t="shared" si="295"/>
        <v>a1b2c4d1e3f2</v>
      </c>
      <c r="H1534" s="12" t="str">
        <f t="shared" si="296"/>
        <v>ROUXa1b2c4d1e3f2</v>
      </c>
      <c r="J1534" s="12"/>
      <c r="K1534" s="12" t="str">
        <f t="shared" si="297"/>
        <v/>
      </c>
      <c r="L1534" s="2" t="s">
        <v>32</v>
      </c>
      <c r="M1534" s="12" t="s">
        <v>12243</v>
      </c>
      <c r="N1534" s="12" t="str">
        <f t="shared" si="289"/>
        <v/>
      </c>
      <c r="O1534" s="12" t="str">
        <f t="shared" si="290"/>
        <v>1811</v>
      </c>
      <c r="P1534" s="12"/>
      <c r="Q1534" s="12" t="str">
        <f t="shared" si="298"/>
        <v>1811</v>
      </c>
      <c r="R1534" s="12"/>
      <c r="S1534" s="12" t="str">
        <f t="shared" si="299"/>
        <v/>
      </c>
      <c r="T1534" s="12" t="s">
        <v>366</v>
      </c>
      <c r="U1534" s="12" t="s">
        <v>12244</v>
      </c>
      <c r="V1534" s="12" t="str">
        <f t="shared" si="300"/>
        <v>1837</v>
      </c>
      <c r="W1534" s="12" t="s">
        <v>12245</v>
      </c>
      <c r="X1534" s="12" t="s">
        <v>9507</v>
      </c>
      <c r="Y1534" s="12"/>
      <c r="Z1534" s="12"/>
      <c r="AA1534" s="12" t="s">
        <v>12246</v>
      </c>
      <c r="AB1534" s="2" t="s">
        <v>366</v>
      </c>
      <c r="AC1534" s="12" t="s">
        <v>12247</v>
      </c>
      <c r="AD1534" s="12" t="s">
        <v>2877</v>
      </c>
      <c r="AE1534" s="12" t="s">
        <v>12248</v>
      </c>
      <c r="AF1534" s="12"/>
      <c r="AG1534" s="12" t="s">
        <v>60</v>
      </c>
      <c r="AH1534" s="12" t="s">
        <v>12249</v>
      </c>
      <c r="AI1534" s="12" t="str">
        <f t="shared" si="301"/>
        <v>1842</v>
      </c>
      <c r="AJ1534" s="12"/>
      <c r="AK1534" s="12"/>
    </row>
    <row r="1535" spans="1:54">
      <c r="A1535" s="12" t="s">
        <v>3629</v>
      </c>
      <c r="B1535" s="12" t="str">
        <f t="shared" si="293"/>
        <v>ROUX</v>
      </c>
      <c r="C1535" s="12" t="str">
        <f t="shared" si="294"/>
        <v>ROUX</v>
      </c>
      <c r="D1535" s="12" t="s">
        <v>12250</v>
      </c>
      <c r="E1535" s="12" t="str">
        <f t="shared" si="291"/>
        <v>Pieter Anthonie</v>
      </c>
      <c r="F1535" s="12" t="s">
        <v>12251</v>
      </c>
      <c r="G1535" s="12" t="str">
        <f t="shared" si="295"/>
        <v>a1b2c4d1e5</v>
      </c>
      <c r="H1535" s="12" t="str">
        <f t="shared" si="296"/>
        <v>ROUXa1b2c4d1e5</v>
      </c>
      <c r="I1535" s="12"/>
      <c r="J1535" s="12" t="s">
        <v>12252</v>
      </c>
      <c r="K1535" s="12" t="str">
        <f t="shared" si="297"/>
        <v>1792</v>
      </c>
      <c r="L1535" s="12" t="s">
        <v>1071</v>
      </c>
      <c r="M1535" s="12" t="s">
        <v>12253</v>
      </c>
      <c r="N1535" s="12" t="str">
        <f t="shared" si="289"/>
        <v>1792</v>
      </c>
      <c r="O1535" s="12" t="str">
        <f t="shared" si="290"/>
        <v>1793</v>
      </c>
      <c r="P1535" s="12"/>
      <c r="Q1535" s="12" t="str">
        <f t="shared" si="298"/>
        <v>1792</v>
      </c>
      <c r="R1535" s="12"/>
      <c r="S1535" s="12" t="str">
        <f t="shared" si="299"/>
        <v/>
      </c>
      <c r="T1535" s="2" t="s">
        <v>32</v>
      </c>
      <c r="U1535" s="12" t="s">
        <v>12254</v>
      </c>
      <c r="V1535" s="12" t="str">
        <f t="shared" si="300"/>
        <v>1817</v>
      </c>
      <c r="W1535" s="12" t="s">
        <v>12255</v>
      </c>
      <c r="X1535" s="12" t="s">
        <v>698</v>
      </c>
      <c r="Y1535" s="12"/>
      <c r="AA1535" s="12"/>
      <c r="AC1535" s="2" t="s">
        <v>12256</v>
      </c>
      <c r="AD1535" s="12"/>
      <c r="AE1535" s="12"/>
      <c r="AF1535" s="12" t="s">
        <v>3697</v>
      </c>
      <c r="AG1535" s="12" t="s">
        <v>3702</v>
      </c>
      <c r="AH1535" s="12" t="s">
        <v>12257</v>
      </c>
      <c r="AI1535" s="12" t="str">
        <f t="shared" si="301"/>
        <v>1845</v>
      </c>
      <c r="AJ1535" s="12"/>
      <c r="AL1535" s="12"/>
      <c r="AM1535" s="12"/>
      <c r="AN1535" s="12"/>
      <c r="AO1535" s="12"/>
      <c r="AU1535" s="12"/>
      <c r="AV1535" s="12"/>
      <c r="AW1535" s="12"/>
      <c r="AX1535" s="12"/>
      <c r="AY1535" s="12"/>
      <c r="AZ1535" s="12"/>
      <c r="BB1535" s="12"/>
    </row>
    <row r="1536" spans="1:54">
      <c r="A1536" s="12" t="s">
        <v>3629</v>
      </c>
      <c r="B1536" s="12" t="str">
        <f t="shared" si="293"/>
        <v>ROUX</v>
      </c>
      <c r="C1536" s="12" t="str">
        <f t="shared" si="294"/>
        <v>ROUX</v>
      </c>
      <c r="D1536" s="12" t="s">
        <v>8015</v>
      </c>
      <c r="E1536" s="12" t="str">
        <f t="shared" si="291"/>
        <v>Pieter Willem</v>
      </c>
      <c r="F1536" s="12" t="s">
        <v>12258</v>
      </c>
      <c r="G1536" s="12" t="str">
        <f t="shared" si="295"/>
        <v>a1b2c4d1e5f2</v>
      </c>
      <c r="H1536" s="12" t="str">
        <f t="shared" si="296"/>
        <v>ROUXa1b2c4d1e5f2</v>
      </c>
      <c r="J1536" s="12" t="s">
        <v>12259</v>
      </c>
      <c r="K1536" s="12" t="str">
        <f t="shared" si="297"/>
        <v>1821</v>
      </c>
      <c r="L1536" s="2" t="s">
        <v>32</v>
      </c>
      <c r="M1536" s="2" t="s">
        <v>12260</v>
      </c>
      <c r="N1536" s="12" t="str">
        <f t="shared" si="289"/>
        <v>1821</v>
      </c>
      <c r="O1536" s="12" t="str">
        <f t="shared" si="290"/>
        <v>1822</v>
      </c>
      <c r="P1536" s="12"/>
      <c r="Q1536" s="12" t="str">
        <f t="shared" si="298"/>
        <v>1821</v>
      </c>
      <c r="R1536" s="12" t="s">
        <v>12261</v>
      </c>
      <c r="S1536" s="12" t="str">
        <f t="shared" si="299"/>
        <v>1893</v>
      </c>
      <c r="T1536" s="12" t="s">
        <v>2360</v>
      </c>
      <c r="U1536" s="12"/>
      <c r="V1536" s="12" t="str">
        <f t="shared" si="300"/>
        <v/>
      </c>
      <c r="W1536" s="12" t="s">
        <v>12262</v>
      </c>
      <c r="X1536" s="12" t="s">
        <v>667</v>
      </c>
      <c r="Y1536" s="12"/>
      <c r="Z1536" s="2" t="s">
        <v>346</v>
      </c>
      <c r="AA1536" s="12" t="s">
        <v>12263</v>
      </c>
      <c r="AC1536" s="12"/>
      <c r="AD1536" s="12" t="s">
        <v>120</v>
      </c>
      <c r="AE1536" s="12" t="s">
        <v>10816</v>
      </c>
      <c r="AF1536" s="12" t="s">
        <v>3697</v>
      </c>
      <c r="AG1536" s="12" t="s">
        <v>3702</v>
      </c>
      <c r="AH1536" s="12" t="s">
        <v>12257</v>
      </c>
      <c r="AI1536" s="12" t="str">
        <f t="shared" si="301"/>
        <v>1845</v>
      </c>
      <c r="AJ1536" s="12"/>
    </row>
    <row r="1537" spans="1:58">
      <c r="A1537" s="12" t="s">
        <v>12264</v>
      </c>
      <c r="B1537" s="12" t="str">
        <f t="shared" si="293"/>
        <v>RUDOPLH</v>
      </c>
      <c r="C1537" s="12" t="str">
        <f t="shared" si="294"/>
        <v>RUDOPLH</v>
      </c>
      <c r="D1537" s="12" t="s">
        <v>12293</v>
      </c>
      <c r="E1537" s="12" t="str">
        <f t="shared" si="291"/>
        <v>Petrus (Pieter) Johannes</v>
      </c>
      <c r="F1537" s="12" t="s">
        <v>12294</v>
      </c>
      <c r="G1537" s="12" t="str">
        <f t="shared" si="295"/>
        <v>(?) b1c1d2</v>
      </c>
      <c r="H1537" s="12" t="str">
        <f t="shared" si="296"/>
        <v>RUDOPLH(?) b1c1d2</v>
      </c>
      <c r="I1537" s="12"/>
      <c r="J1537" s="12" t="s">
        <v>6635</v>
      </c>
      <c r="K1537" s="12" t="str">
        <f t="shared" si="297"/>
        <v>1818</v>
      </c>
      <c r="L1537" s="12" t="s">
        <v>53</v>
      </c>
      <c r="M1537" s="12" t="s">
        <v>12295</v>
      </c>
      <c r="N1537" s="12" t="str">
        <f t="shared" si="289"/>
        <v>1818</v>
      </c>
      <c r="O1537" s="12" t="str">
        <f t="shared" si="290"/>
        <v>1818</v>
      </c>
      <c r="P1537" s="12"/>
      <c r="Q1537" s="12" t="str">
        <f t="shared" si="298"/>
        <v>1818</v>
      </c>
      <c r="R1537" s="12"/>
      <c r="S1537" s="12" t="str">
        <f t="shared" si="299"/>
        <v/>
      </c>
      <c r="T1537" s="12"/>
      <c r="U1537" s="12"/>
      <c r="V1537" s="12" t="str">
        <f t="shared" si="300"/>
        <v/>
      </c>
      <c r="W1537" s="12"/>
      <c r="X1537" s="12"/>
      <c r="AF1537" s="12" t="s">
        <v>11768</v>
      </c>
      <c r="AG1537" s="12" t="s">
        <v>53</v>
      </c>
      <c r="AH1537" s="12" t="s">
        <v>11607</v>
      </c>
      <c r="AI1537" s="12" t="str">
        <f t="shared" si="301"/>
        <v>1837</v>
      </c>
      <c r="AJ1537" s="12" t="s">
        <v>2382</v>
      </c>
    </row>
    <row r="1538" spans="1:58">
      <c r="A1538" s="12" t="s">
        <v>12264</v>
      </c>
      <c r="B1538" s="12" t="str">
        <f t="shared" si="293"/>
        <v>RUDOPLH</v>
      </c>
      <c r="C1538" s="12" t="str">
        <f t="shared" si="294"/>
        <v>RUDOPLH</v>
      </c>
      <c r="D1538" s="12" t="s">
        <v>12270</v>
      </c>
      <c r="E1538" s="12" t="str">
        <f t="shared" si="291"/>
        <v>Jacobus Andreas Sr.</v>
      </c>
      <c r="F1538" s="12" t="s">
        <v>837</v>
      </c>
      <c r="G1538" s="12" t="str">
        <f t="shared" si="295"/>
        <v>a1b1</v>
      </c>
      <c r="H1538" s="12" t="str">
        <f t="shared" si="296"/>
        <v>RUDOPLHa1b1</v>
      </c>
      <c r="K1538" s="12" t="str">
        <f t="shared" si="297"/>
        <v/>
      </c>
      <c r="L1538" s="12"/>
      <c r="M1538" s="12" t="s">
        <v>12271</v>
      </c>
      <c r="N1538" s="12" t="str">
        <f t="shared" ref="N1538:N1601" si="302">RIGHT(J1538,4)</f>
        <v/>
      </c>
      <c r="O1538" s="12" t="str">
        <f t="shared" ref="O1538:O1601" si="303">RIGHT(M1538,4)</f>
        <v>1773</v>
      </c>
      <c r="Q1538" s="12" t="str">
        <f t="shared" si="298"/>
        <v>1773</v>
      </c>
      <c r="S1538" s="12" t="str">
        <f t="shared" si="299"/>
        <v/>
      </c>
      <c r="T1538" s="12"/>
      <c r="U1538" s="12" t="s">
        <v>6684</v>
      </c>
      <c r="V1538" s="12" t="str">
        <f t="shared" si="300"/>
        <v>1793</v>
      </c>
      <c r="W1538" s="12" t="s">
        <v>1124</v>
      </c>
      <c r="X1538" s="12" t="s">
        <v>731</v>
      </c>
      <c r="Y1538" s="12" t="s">
        <v>5559</v>
      </c>
      <c r="AA1538" s="2" t="s">
        <v>12272</v>
      </c>
      <c r="AC1538" s="12" t="s">
        <v>12273</v>
      </c>
      <c r="AD1538" s="2" t="s">
        <v>597</v>
      </c>
      <c r="AE1538" s="2" t="s">
        <v>12274</v>
      </c>
      <c r="AF1538" s="2" t="s">
        <v>3677</v>
      </c>
      <c r="AG1538" s="12" t="s">
        <v>53</v>
      </c>
      <c r="AH1538" s="12" t="s">
        <v>351</v>
      </c>
      <c r="AI1538" s="12" t="str">
        <f t="shared" si="301"/>
        <v>1837</v>
      </c>
      <c r="AJ1538" s="12" t="s">
        <v>4538</v>
      </c>
      <c r="AK1538" s="12"/>
    </row>
    <row r="1539" spans="1:58">
      <c r="A1539" s="12" t="s">
        <v>12264</v>
      </c>
      <c r="B1539" s="12" t="str">
        <f t="shared" si="293"/>
        <v>RUDOPLH</v>
      </c>
      <c r="C1539" s="12" t="str">
        <f t="shared" si="294"/>
        <v>RUDOPLH</v>
      </c>
      <c r="D1539" s="12" t="s">
        <v>12280</v>
      </c>
      <c r="E1539" s="12" t="str">
        <f t="shared" ref="E1539:E1602" si="304">PROPER(D1539)</f>
        <v>Johan Bern(H)Ard Sr.</v>
      </c>
      <c r="F1539" s="12" t="s">
        <v>3992</v>
      </c>
      <c r="G1539" s="12" t="str">
        <f t="shared" si="295"/>
        <v>a1b1c1</v>
      </c>
      <c r="H1539" s="12" t="str">
        <f t="shared" si="296"/>
        <v>RUDOPLHa1b1c1</v>
      </c>
      <c r="J1539" s="12" t="s">
        <v>12281</v>
      </c>
      <c r="K1539" s="12" t="str">
        <f t="shared" si="297"/>
        <v>1794</v>
      </c>
      <c r="L1539" s="12"/>
      <c r="M1539" s="12" t="s">
        <v>12282</v>
      </c>
      <c r="N1539" s="12" t="str">
        <f t="shared" si="302"/>
        <v>1794</v>
      </c>
      <c r="O1539" s="12" t="str">
        <f t="shared" si="303"/>
        <v>1794</v>
      </c>
      <c r="P1539" s="12"/>
      <c r="Q1539" s="12" t="str">
        <f t="shared" si="298"/>
        <v>1794</v>
      </c>
      <c r="R1539" s="12" t="s">
        <v>12283</v>
      </c>
      <c r="S1539" s="12" t="str">
        <f t="shared" si="299"/>
        <v>1876</v>
      </c>
      <c r="T1539" s="12" t="s">
        <v>74</v>
      </c>
      <c r="U1539" s="12" t="s">
        <v>11535</v>
      </c>
      <c r="V1539" s="12" t="str">
        <f t="shared" si="300"/>
        <v>1815</v>
      </c>
      <c r="W1539" s="12" t="s">
        <v>12284</v>
      </c>
      <c r="X1539" s="12" t="s">
        <v>757</v>
      </c>
      <c r="Y1539" s="2" t="s">
        <v>8067</v>
      </c>
      <c r="AA1539" s="12" t="s">
        <v>12285</v>
      </c>
      <c r="AC1539" s="2" t="s">
        <v>5987</v>
      </c>
      <c r="AD1539" s="12"/>
      <c r="AE1539" s="12" t="s">
        <v>12286</v>
      </c>
      <c r="AF1539" s="12" t="s">
        <v>3677</v>
      </c>
      <c r="AG1539" s="12" t="s">
        <v>53</v>
      </c>
      <c r="AH1539" s="12" t="s">
        <v>11607</v>
      </c>
      <c r="AI1539" s="12" t="str">
        <f t="shared" si="301"/>
        <v>1837</v>
      </c>
      <c r="AJ1539" s="12" t="s">
        <v>2382</v>
      </c>
      <c r="AK1539" s="12"/>
    </row>
    <row r="1540" spans="1:58">
      <c r="A1540" s="12" t="s">
        <v>12264</v>
      </c>
      <c r="B1540" s="12" t="str">
        <f t="shared" si="293"/>
        <v>RUDOPLH</v>
      </c>
      <c r="C1540" s="12" t="str">
        <f t="shared" si="294"/>
        <v>RUDOPLH</v>
      </c>
      <c r="D1540" s="12" t="s">
        <v>12287</v>
      </c>
      <c r="E1540" s="12" t="str">
        <f t="shared" si="304"/>
        <v>Johan Bern(H)Ard Jr.</v>
      </c>
      <c r="F1540" s="12" t="s">
        <v>11783</v>
      </c>
      <c r="G1540" s="12" t="str">
        <f t="shared" si="295"/>
        <v>a1b1c1d4</v>
      </c>
      <c r="H1540" s="12" t="str">
        <f t="shared" si="296"/>
        <v>RUDOPLHa1b1c1d4</v>
      </c>
      <c r="J1540" s="12" t="s">
        <v>12288</v>
      </c>
      <c r="K1540" s="12" t="str">
        <f t="shared" si="297"/>
        <v>1823</v>
      </c>
      <c r="L1540" s="12" t="s">
        <v>53</v>
      </c>
      <c r="M1540" s="12" t="s">
        <v>12277</v>
      </c>
      <c r="N1540" s="12" t="str">
        <f t="shared" si="302"/>
        <v>1823</v>
      </c>
      <c r="O1540" s="12" t="str">
        <f t="shared" si="303"/>
        <v>1824</v>
      </c>
      <c r="P1540" s="12" t="s">
        <v>93</v>
      </c>
      <c r="Q1540" s="12" t="str">
        <f t="shared" si="298"/>
        <v>1823</v>
      </c>
      <c r="R1540" s="12" t="s">
        <v>12289</v>
      </c>
      <c r="S1540" s="12" t="str">
        <f t="shared" si="299"/>
        <v>1899</v>
      </c>
      <c r="T1540" s="12" t="s">
        <v>5146</v>
      </c>
      <c r="U1540" s="12" t="s">
        <v>12290</v>
      </c>
      <c r="V1540" s="12" t="str">
        <f t="shared" si="300"/>
        <v>1849</v>
      </c>
      <c r="W1540" s="12" t="s">
        <v>12291</v>
      </c>
      <c r="X1540" s="12" t="s">
        <v>700</v>
      </c>
      <c r="Y1540" s="2" t="s">
        <v>12292</v>
      </c>
      <c r="AA1540" s="2">
        <v>1827</v>
      </c>
      <c r="AD1540" s="12"/>
      <c r="AE1540" s="12"/>
      <c r="AF1540" s="12" t="s">
        <v>11768</v>
      </c>
      <c r="AG1540" s="12" t="s">
        <v>53</v>
      </c>
      <c r="AH1540" s="12" t="s">
        <v>11607</v>
      </c>
      <c r="AI1540" s="12" t="str">
        <f t="shared" si="301"/>
        <v>1837</v>
      </c>
      <c r="AJ1540" s="12" t="s">
        <v>2382</v>
      </c>
      <c r="AK1540" s="12"/>
    </row>
    <row r="1541" spans="1:58">
      <c r="A1541" s="12" t="s">
        <v>12264</v>
      </c>
      <c r="B1541" s="12" t="str">
        <f t="shared" si="293"/>
        <v>RUDOPLH</v>
      </c>
      <c r="C1541" s="12" t="str">
        <f t="shared" si="294"/>
        <v>RUDOPLH</v>
      </c>
      <c r="D1541" s="12" t="s">
        <v>10546</v>
      </c>
      <c r="E1541" s="12" t="str">
        <f t="shared" si="304"/>
        <v>Gerhardus Jacobus</v>
      </c>
      <c r="F1541" s="12" t="s">
        <v>934</v>
      </c>
      <c r="G1541" s="12" t="str">
        <f t="shared" si="295"/>
        <v>a1b1c2</v>
      </c>
      <c r="H1541" s="12" t="str">
        <f t="shared" si="296"/>
        <v>RUDOPLHa1b1c2</v>
      </c>
      <c r="K1541" s="12" t="str">
        <f t="shared" si="297"/>
        <v/>
      </c>
      <c r="L1541" s="12"/>
      <c r="M1541" s="12" t="s">
        <v>12265</v>
      </c>
      <c r="N1541" s="12" t="str">
        <f t="shared" si="302"/>
        <v/>
      </c>
      <c r="O1541" s="12" t="str">
        <f t="shared" si="303"/>
        <v>1797</v>
      </c>
      <c r="P1541" s="12" t="s">
        <v>90</v>
      </c>
      <c r="Q1541" s="12" t="str">
        <f t="shared" si="298"/>
        <v>1797</v>
      </c>
      <c r="R1541" s="12" t="s">
        <v>12266</v>
      </c>
      <c r="S1541" s="12" t="str">
        <f t="shared" si="299"/>
        <v>1851</v>
      </c>
      <c r="T1541" s="12" t="s">
        <v>53</v>
      </c>
      <c r="U1541" s="12" t="s">
        <v>10961</v>
      </c>
      <c r="V1541" s="12" t="str">
        <f t="shared" si="300"/>
        <v>1819</v>
      </c>
      <c r="W1541" s="12" t="s">
        <v>12267</v>
      </c>
      <c r="X1541" s="12" t="s">
        <v>695</v>
      </c>
      <c r="Y1541" s="2" t="s">
        <v>12268</v>
      </c>
      <c r="Z1541" s="12"/>
      <c r="AC1541" s="12" t="s">
        <v>12269</v>
      </c>
      <c r="AD1541" s="12" t="s">
        <v>155</v>
      </c>
      <c r="AE1541" s="12">
        <v>1848</v>
      </c>
      <c r="AF1541" s="12" t="s">
        <v>3677</v>
      </c>
      <c r="AG1541" s="12" t="s">
        <v>53</v>
      </c>
      <c r="AH1541" s="12" t="s">
        <v>351</v>
      </c>
      <c r="AI1541" s="12" t="str">
        <f t="shared" si="301"/>
        <v>1837</v>
      </c>
      <c r="AJ1541" s="12" t="s">
        <v>3123</v>
      </c>
      <c r="AK1541" s="12"/>
    </row>
    <row r="1542" spans="1:58">
      <c r="A1542" s="12" t="s">
        <v>12264</v>
      </c>
      <c r="B1542" s="12" t="str">
        <f t="shared" si="293"/>
        <v>RUDOPLH</v>
      </c>
      <c r="C1542" s="12" t="str">
        <f t="shared" si="294"/>
        <v>RUDOPLH</v>
      </c>
      <c r="D1542" s="12" t="s">
        <v>12275</v>
      </c>
      <c r="E1542" s="12" t="str">
        <f t="shared" si="304"/>
        <v>Jacobus Andreas Jr.</v>
      </c>
      <c r="F1542" s="12" t="s">
        <v>4001</v>
      </c>
      <c r="G1542" s="12" t="str">
        <f t="shared" si="295"/>
        <v>a1b1c3</v>
      </c>
      <c r="H1542" s="12" t="str">
        <f t="shared" si="296"/>
        <v>RUDOPLHa1b1c3</v>
      </c>
      <c r="J1542" s="12"/>
      <c r="K1542" s="12" t="str">
        <f t="shared" si="297"/>
        <v/>
      </c>
      <c r="L1542" s="12"/>
      <c r="M1542" s="12" t="s">
        <v>12276</v>
      </c>
      <c r="N1542" s="12" t="str">
        <f t="shared" si="302"/>
        <v/>
      </c>
      <c r="O1542" s="12" t="str">
        <f t="shared" si="303"/>
        <v>1798</v>
      </c>
      <c r="P1542" s="12"/>
      <c r="Q1542" s="12" t="str">
        <f t="shared" si="298"/>
        <v>1798</v>
      </c>
      <c r="R1542" s="12"/>
      <c r="S1542" s="12" t="str">
        <f t="shared" si="299"/>
        <v/>
      </c>
      <c r="T1542" s="2" t="s">
        <v>53</v>
      </c>
      <c r="U1542" s="2" t="s">
        <v>12277</v>
      </c>
      <c r="V1542" s="12" t="str">
        <f t="shared" si="300"/>
        <v>1824</v>
      </c>
      <c r="W1542" s="12" t="s">
        <v>12278</v>
      </c>
      <c r="X1542" s="12" t="s">
        <v>695</v>
      </c>
      <c r="Y1542" s="2" t="s">
        <v>12279</v>
      </c>
      <c r="AC1542" s="2" t="s">
        <v>12269</v>
      </c>
      <c r="AD1542" s="12"/>
      <c r="AE1542" s="12"/>
      <c r="AF1542" s="12" t="s">
        <v>3677</v>
      </c>
      <c r="AG1542" s="12" t="s">
        <v>53</v>
      </c>
      <c r="AH1542" s="12" t="s">
        <v>351</v>
      </c>
      <c r="AI1542" s="12" t="str">
        <f t="shared" si="301"/>
        <v>1837</v>
      </c>
      <c r="AJ1542" s="12" t="s">
        <v>4538</v>
      </c>
      <c r="AK1542" s="12"/>
    </row>
    <row r="1543" spans="1:58">
      <c r="A1543" s="13" t="s">
        <v>3799</v>
      </c>
      <c r="B1543" s="12" t="str">
        <f t="shared" si="293"/>
        <v>SCHEEPERS</v>
      </c>
      <c r="C1543" s="12" t="str">
        <f t="shared" si="294"/>
        <v>SCHEEPERS</v>
      </c>
      <c r="D1543" s="12" t="s">
        <v>4465</v>
      </c>
      <c r="E1543" s="12" t="str">
        <f t="shared" si="304"/>
        <v>Stephanus Jacobus</v>
      </c>
      <c r="F1543" s="12" t="s">
        <v>12431</v>
      </c>
      <c r="G1543" s="12" t="str">
        <f t="shared" si="295"/>
        <v>a1b2c1d2e2f4</v>
      </c>
      <c r="H1543" s="12" t="str">
        <f t="shared" si="296"/>
        <v>SCHEEPERSa1b2c1d2e2f4</v>
      </c>
      <c r="I1543" s="2" t="s">
        <v>199</v>
      </c>
      <c r="J1543" s="12" t="s">
        <v>12432</v>
      </c>
      <c r="K1543" s="12" t="str">
        <f t="shared" si="297"/>
        <v>1811</v>
      </c>
      <c r="L1543" s="12"/>
      <c r="M1543" s="12" t="s">
        <v>12433</v>
      </c>
      <c r="N1543" s="12" t="str">
        <f t="shared" si="302"/>
        <v>1811</v>
      </c>
      <c r="O1543" s="12" t="str">
        <f t="shared" si="303"/>
        <v>1811</v>
      </c>
      <c r="P1543" s="12" t="s">
        <v>155</v>
      </c>
      <c r="Q1543" s="12" t="str">
        <f t="shared" si="298"/>
        <v>1811</v>
      </c>
      <c r="R1543" s="12"/>
      <c r="S1543" s="12" t="str">
        <f t="shared" si="299"/>
        <v/>
      </c>
      <c r="T1543" s="12" t="s">
        <v>199</v>
      </c>
      <c r="U1543" s="12" t="s">
        <v>12434</v>
      </c>
      <c r="V1543" s="12" t="str">
        <f t="shared" si="300"/>
        <v>1835</v>
      </c>
      <c r="W1543" s="12" t="s">
        <v>12435</v>
      </c>
      <c r="X1543" s="12" t="s">
        <v>1003</v>
      </c>
      <c r="Y1543" s="12"/>
      <c r="AC1543" s="12"/>
      <c r="AD1543" s="12"/>
      <c r="AE1543" s="12"/>
      <c r="AF1543" s="12"/>
      <c r="AG1543" s="12" t="s">
        <v>199</v>
      </c>
      <c r="AH1543" s="12">
        <v>1844</v>
      </c>
      <c r="AI1543" s="12" t="str">
        <f t="shared" si="301"/>
        <v>1844</v>
      </c>
      <c r="AJ1543" s="12" t="s">
        <v>12354</v>
      </c>
      <c r="AK1543" s="12" t="s">
        <v>155</v>
      </c>
      <c r="AL1543" s="12"/>
      <c r="AM1543" s="12"/>
      <c r="AN1543" s="12"/>
      <c r="AO1543" s="12"/>
      <c r="AU1543" s="12"/>
      <c r="AV1543" s="12"/>
    </row>
    <row r="1544" spans="1:58">
      <c r="A1544" s="13" t="s">
        <v>3799</v>
      </c>
      <c r="B1544" s="12" t="str">
        <f t="shared" si="293"/>
        <v>SCHEEPERS</v>
      </c>
      <c r="C1544" s="12" t="str">
        <f t="shared" si="294"/>
        <v>SCHEEPERS</v>
      </c>
      <c r="D1544" s="12" t="s">
        <v>12365</v>
      </c>
      <c r="E1544" s="12" t="str">
        <f t="shared" si="304"/>
        <v xml:space="preserve">Hendrik Nicolaas </v>
      </c>
      <c r="F1544" s="12" t="s">
        <v>12366</v>
      </c>
      <c r="G1544" s="12" t="str">
        <f t="shared" si="295"/>
        <v>a1b2c1d2e2f6</v>
      </c>
      <c r="H1544" s="12" t="str">
        <f t="shared" si="296"/>
        <v>SCHEEPERSa1b2c1d2e2f6</v>
      </c>
      <c r="I1544" s="12"/>
      <c r="J1544" s="12" t="s">
        <v>12367</v>
      </c>
      <c r="K1544" s="12" t="str">
        <f t="shared" si="297"/>
        <v>1815</v>
      </c>
      <c r="L1544" s="12" t="s">
        <v>74</v>
      </c>
      <c r="M1544" s="12" t="s">
        <v>200</v>
      </c>
      <c r="N1544" s="12" t="str">
        <f t="shared" si="302"/>
        <v>1815</v>
      </c>
      <c r="O1544" s="12" t="str">
        <f t="shared" si="303"/>
        <v>1815</v>
      </c>
      <c r="P1544" s="12"/>
      <c r="Q1544" s="12" t="str">
        <f t="shared" si="298"/>
        <v>1815</v>
      </c>
      <c r="R1544" s="12"/>
      <c r="S1544" s="12" t="str">
        <f t="shared" si="299"/>
        <v/>
      </c>
      <c r="T1544" s="12" t="s">
        <v>199</v>
      </c>
      <c r="U1544" s="12" t="s">
        <v>2883</v>
      </c>
      <c r="V1544" s="12" t="str">
        <f t="shared" si="300"/>
        <v>1840</v>
      </c>
      <c r="W1544" s="12" t="s">
        <v>3389</v>
      </c>
      <c r="X1544" s="12" t="s">
        <v>266</v>
      </c>
      <c r="Y1544" s="12"/>
      <c r="AA1544" s="12" t="s">
        <v>12368</v>
      </c>
      <c r="AB1544" s="2" t="s">
        <v>53</v>
      </c>
      <c r="AC1544" s="2" t="s">
        <v>12369</v>
      </c>
      <c r="AD1544" s="12"/>
      <c r="AE1544" s="12"/>
      <c r="AF1544" s="12"/>
      <c r="AG1544" s="12" t="s">
        <v>199</v>
      </c>
      <c r="AH1544" s="12" t="s">
        <v>12370</v>
      </c>
      <c r="AI1544" s="12" t="str">
        <f t="shared" si="301"/>
        <v>1845</v>
      </c>
      <c r="AJ1544" s="12" t="s">
        <v>12354</v>
      </c>
      <c r="AK1544" s="12" t="s">
        <v>140</v>
      </c>
    </row>
    <row r="1545" spans="1:58">
      <c r="A1545" s="13" t="s">
        <v>3799</v>
      </c>
      <c r="B1545" s="12" t="str">
        <f t="shared" si="293"/>
        <v>SCHEEPERS</v>
      </c>
      <c r="C1545" s="12" t="str">
        <f t="shared" si="294"/>
        <v>SCHEEPERS</v>
      </c>
      <c r="D1545" s="12" t="s">
        <v>12436</v>
      </c>
      <c r="E1545" s="12" t="str">
        <f t="shared" si="304"/>
        <v>Stephanus Johannes Sr.</v>
      </c>
      <c r="F1545" s="2" t="s">
        <v>12437</v>
      </c>
      <c r="G1545" s="12" t="str">
        <f t="shared" si="295"/>
        <v>a1b2c1d2e3</v>
      </c>
      <c r="H1545" s="12" t="str">
        <f t="shared" si="296"/>
        <v>SCHEEPERSa1b2c1d2e3</v>
      </c>
      <c r="K1545" s="12" t="str">
        <f t="shared" si="297"/>
        <v/>
      </c>
      <c r="L1545" s="2" t="s">
        <v>6098</v>
      </c>
      <c r="M1545" s="2" t="s">
        <v>12438</v>
      </c>
      <c r="N1545" s="12" t="str">
        <f t="shared" si="302"/>
        <v/>
      </c>
      <c r="O1545" s="12" t="str">
        <f t="shared" si="303"/>
        <v>1785</v>
      </c>
      <c r="P1545" s="2" t="s">
        <v>71</v>
      </c>
      <c r="Q1545" s="12" t="str">
        <f t="shared" si="298"/>
        <v>1785</v>
      </c>
      <c r="R1545" s="2" t="s">
        <v>72</v>
      </c>
      <c r="S1545" s="12" t="str">
        <f t="shared" si="299"/>
        <v>1838</v>
      </c>
      <c r="T1545" s="2" t="s">
        <v>74</v>
      </c>
      <c r="U1545" s="2" t="s">
        <v>12439</v>
      </c>
      <c r="V1545" s="12" t="str">
        <f t="shared" si="300"/>
        <v>1808</v>
      </c>
      <c r="W1545" s="2" t="s">
        <v>1674</v>
      </c>
      <c r="X1545" s="2" t="s">
        <v>1763</v>
      </c>
      <c r="AF1545" s="2" t="s">
        <v>3698</v>
      </c>
      <c r="AG1545" s="2" t="s">
        <v>74</v>
      </c>
      <c r="AH1545" s="2" t="s">
        <v>12344</v>
      </c>
      <c r="AI1545" s="12" t="str">
        <f t="shared" si="301"/>
        <v>1837</v>
      </c>
      <c r="AJ1545" s="2" t="s">
        <v>5423</v>
      </c>
    </row>
    <row r="1546" spans="1:58">
      <c r="A1546" s="13" t="s">
        <v>3799</v>
      </c>
      <c r="B1546" s="12" t="str">
        <f t="shared" si="293"/>
        <v>SCHEEPERS</v>
      </c>
      <c r="C1546" s="12" t="str">
        <f t="shared" si="294"/>
        <v>SCHEEPERS</v>
      </c>
      <c r="D1546" s="12" t="s">
        <v>4908</v>
      </c>
      <c r="E1546" s="12" t="str">
        <f t="shared" si="304"/>
        <v>Gerrit Hendrik</v>
      </c>
      <c r="F1546" s="12" t="s">
        <v>12339</v>
      </c>
      <c r="G1546" s="12" t="str">
        <f t="shared" si="295"/>
        <v>a1b2c1d2e3f1</v>
      </c>
      <c r="H1546" s="12" t="str">
        <f t="shared" si="296"/>
        <v>SCHEEPERSa1b2c1d2e3f1</v>
      </c>
      <c r="J1546" s="12" t="s">
        <v>12340</v>
      </c>
      <c r="K1546" s="12" t="str">
        <f t="shared" si="297"/>
        <v>1809</v>
      </c>
      <c r="L1546" s="12" t="s">
        <v>74</v>
      </c>
      <c r="M1546" s="12" t="s">
        <v>8230</v>
      </c>
      <c r="N1546" s="12" t="str">
        <f t="shared" si="302"/>
        <v>1809</v>
      </c>
      <c r="O1546" s="12" t="str">
        <f t="shared" si="303"/>
        <v>1809</v>
      </c>
      <c r="P1546" s="12" t="s">
        <v>71</v>
      </c>
      <c r="Q1546" s="12" t="str">
        <f t="shared" si="298"/>
        <v>1809</v>
      </c>
      <c r="R1546" s="12" t="s">
        <v>72</v>
      </c>
      <c r="S1546" s="12" t="str">
        <f t="shared" si="299"/>
        <v>1838</v>
      </c>
      <c r="T1546" s="12" t="s">
        <v>74</v>
      </c>
      <c r="U1546" s="12" t="s">
        <v>12341</v>
      </c>
      <c r="V1546" s="12" t="str">
        <f t="shared" si="300"/>
        <v>1833</v>
      </c>
      <c r="W1546" s="12" t="s">
        <v>12342</v>
      </c>
      <c r="X1546" s="12" t="s">
        <v>1763</v>
      </c>
      <c r="Y1546" s="2" t="s">
        <v>12343</v>
      </c>
      <c r="AA1546" s="12"/>
      <c r="AD1546" s="12"/>
      <c r="AE1546" s="12"/>
      <c r="AF1546" s="12" t="s">
        <v>3698</v>
      </c>
      <c r="AG1546" s="12" t="s">
        <v>74</v>
      </c>
      <c r="AH1546" s="12" t="s">
        <v>12344</v>
      </c>
      <c r="AI1546" s="12" t="str">
        <f t="shared" si="301"/>
        <v>1837</v>
      </c>
      <c r="AK1546" s="12" t="s">
        <v>90</v>
      </c>
      <c r="AL1546" s="12"/>
      <c r="AM1546" s="12"/>
      <c r="AN1546" s="12"/>
      <c r="AO1546" s="12"/>
    </row>
    <row r="1547" spans="1:58">
      <c r="A1547" s="13" t="s">
        <v>3799</v>
      </c>
      <c r="B1547" s="12" t="str">
        <f t="shared" si="293"/>
        <v>SCHEEPERS</v>
      </c>
      <c r="C1547" s="12" t="str">
        <f t="shared" si="294"/>
        <v>SCHEEPERS</v>
      </c>
      <c r="D1547" s="12" t="s">
        <v>12440</v>
      </c>
      <c r="E1547" s="12" t="str">
        <f t="shared" si="304"/>
        <v>Stephanus Johannes Jr.</v>
      </c>
      <c r="F1547" s="12" t="s">
        <v>12441</v>
      </c>
      <c r="G1547" s="12" t="str">
        <f t="shared" si="295"/>
        <v>a1b2c1d2e3f6</v>
      </c>
      <c r="H1547" s="12" t="str">
        <f t="shared" si="296"/>
        <v>SCHEEPERSa1b2c1d2e3f6</v>
      </c>
      <c r="I1547" s="12"/>
      <c r="J1547" s="12" t="s">
        <v>12442</v>
      </c>
      <c r="K1547" s="12" t="str">
        <f t="shared" si="297"/>
        <v>1818</v>
      </c>
      <c r="L1547" s="12" t="s">
        <v>74</v>
      </c>
      <c r="M1547" s="12" t="s">
        <v>4223</v>
      </c>
      <c r="N1547" s="12" t="str">
        <f t="shared" si="302"/>
        <v>1818</v>
      </c>
      <c r="O1547" s="12" t="str">
        <f t="shared" si="303"/>
        <v>1818</v>
      </c>
      <c r="P1547" s="12" t="s">
        <v>406</v>
      </c>
      <c r="Q1547" s="12" t="str">
        <f t="shared" si="298"/>
        <v>1818</v>
      </c>
      <c r="R1547" s="12" t="s">
        <v>12443</v>
      </c>
      <c r="S1547" s="12" t="str">
        <f t="shared" si="299"/>
        <v>1893</v>
      </c>
      <c r="T1547" s="12" t="s">
        <v>60</v>
      </c>
      <c r="U1547" s="12" t="s">
        <v>12444</v>
      </c>
      <c r="V1547" s="12" t="str">
        <f t="shared" si="300"/>
        <v>1840</v>
      </c>
      <c r="W1547" s="12" t="s">
        <v>4267</v>
      </c>
      <c r="X1547" s="12" t="s">
        <v>700</v>
      </c>
      <c r="Z1547" s="12"/>
      <c r="AA1547" s="12"/>
      <c r="AD1547" s="12" t="s">
        <v>12445</v>
      </c>
      <c r="AE1547" s="12" t="s">
        <v>12444</v>
      </c>
      <c r="AF1547" s="12" t="s">
        <v>3698</v>
      </c>
      <c r="AG1547" s="12" t="s">
        <v>74</v>
      </c>
      <c r="AH1547" s="12" t="s">
        <v>12446</v>
      </c>
      <c r="AI1547" s="12" t="str">
        <f t="shared" si="301"/>
        <v>1844</v>
      </c>
      <c r="AJ1547" s="12"/>
      <c r="AK1547" s="12" t="s">
        <v>551</v>
      </c>
      <c r="AL1547" s="12" t="s">
        <v>140</v>
      </c>
      <c r="AM1547" s="12" t="s">
        <v>12447</v>
      </c>
      <c r="AN1547" s="12" t="s">
        <v>12448</v>
      </c>
      <c r="AO1547" s="12" t="s">
        <v>4338</v>
      </c>
      <c r="AP1547" s="12"/>
      <c r="AR1547" s="12" t="s">
        <v>12449</v>
      </c>
      <c r="AS1547" s="2" t="s">
        <v>158</v>
      </c>
      <c r="AT1547" s="2" t="s">
        <v>9584</v>
      </c>
      <c r="AU1547" s="12" t="s">
        <v>406</v>
      </c>
      <c r="AV1547" s="1">
        <v>5569</v>
      </c>
    </row>
    <row r="1548" spans="1:58">
      <c r="A1548" s="13" t="s">
        <v>3799</v>
      </c>
      <c r="B1548" s="12" t="str">
        <f t="shared" si="293"/>
        <v>SCHEEPERS</v>
      </c>
      <c r="C1548" s="12" t="str">
        <f t="shared" si="294"/>
        <v>SCHEEPERS</v>
      </c>
      <c r="D1548" s="12" t="s">
        <v>2140</v>
      </c>
      <c r="E1548" s="12" t="str">
        <f t="shared" si="304"/>
        <v>Jacobus Johannes</v>
      </c>
      <c r="F1548" s="12" t="s">
        <v>12390</v>
      </c>
      <c r="G1548" s="12" t="str">
        <f t="shared" si="295"/>
        <v>a1b2c1d2e3f9</v>
      </c>
      <c r="H1548" s="12" t="str">
        <f t="shared" si="296"/>
        <v>SCHEEPERSa1b2c1d2e3f9</v>
      </c>
      <c r="J1548" s="12" t="s">
        <v>12391</v>
      </c>
      <c r="K1548" s="12" t="str">
        <f t="shared" si="297"/>
        <v>1824</v>
      </c>
      <c r="L1548" s="12" t="s">
        <v>74</v>
      </c>
      <c r="M1548" s="12" t="s">
        <v>2077</v>
      </c>
      <c r="N1548" s="12" t="str">
        <f t="shared" si="302"/>
        <v>1824</v>
      </c>
      <c r="O1548" s="12" t="str">
        <f t="shared" si="303"/>
        <v>1825</v>
      </c>
      <c r="P1548" s="12" t="s">
        <v>190</v>
      </c>
      <c r="Q1548" s="12" t="str">
        <f t="shared" si="298"/>
        <v>1824</v>
      </c>
      <c r="R1548" s="12" t="s">
        <v>3195</v>
      </c>
      <c r="S1548" s="12" t="str">
        <f t="shared" si="299"/>
        <v>1894</v>
      </c>
      <c r="V1548" s="12" t="str">
        <f t="shared" si="300"/>
        <v/>
      </c>
      <c r="W1548" s="12" t="s">
        <v>650</v>
      </c>
      <c r="X1548" s="12" t="s">
        <v>700</v>
      </c>
      <c r="AD1548" s="2" t="s">
        <v>190</v>
      </c>
      <c r="AE1548" s="2" t="s">
        <v>12392</v>
      </c>
      <c r="AF1548" s="12" t="s">
        <v>3698</v>
      </c>
      <c r="AG1548" s="12" t="s">
        <v>74</v>
      </c>
      <c r="AH1548" s="12" t="s">
        <v>12344</v>
      </c>
      <c r="AI1548" s="12" t="str">
        <f t="shared" si="301"/>
        <v>1837</v>
      </c>
      <c r="AK1548" s="12" t="s">
        <v>190</v>
      </c>
      <c r="AL1548" s="12"/>
      <c r="AM1548" s="12"/>
      <c r="AN1548" s="12"/>
      <c r="AO1548" s="12"/>
      <c r="AU1548" s="12"/>
      <c r="AV1548" s="12"/>
      <c r="AX1548" s="12"/>
      <c r="AY1548" s="12"/>
      <c r="AZ1548" s="12"/>
      <c r="BB1548" s="12"/>
      <c r="BF1548" s="12"/>
    </row>
    <row r="1549" spans="1:58">
      <c r="A1549" s="13" t="s">
        <v>3799</v>
      </c>
      <c r="B1549" s="12" t="str">
        <f t="shared" si="293"/>
        <v>SCHEEPERS</v>
      </c>
      <c r="C1549" s="12" t="str">
        <f t="shared" si="294"/>
        <v>SCHEEPERS</v>
      </c>
      <c r="D1549" s="12" t="s">
        <v>12355</v>
      </c>
      <c r="E1549" s="12" t="str">
        <f t="shared" si="304"/>
        <v>Gideon</v>
      </c>
      <c r="F1549" s="12" t="s">
        <v>1063</v>
      </c>
      <c r="G1549" s="12" t="str">
        <f t="shared" si="295"/>
        <v>a1b2c1d3e2</v>
      </c>
      <c r="H1549" s="12" t="str">
        <f t="shared" si="296"/>
        <v>SCHEEPERSa1b2c1d3e2</v>
      </c>
      <c r="K1549" s="12" t="str">
        <f t="shared" si="297"/>
        <v/>
      </c>
      <c r="L1549" s="12" t="s">
        <v>6098</v>
      </c>
      <c r="M1549" s="12" t="s">
        <v>12356</v>
      </c>
      <c r="N1549" s="12" t="str">
        <f t="shared" si="302"/>
        <v/>
      </c>
      <c r="O1549" s="12" t="str">
        <f t="shared" si="303"/>
        <v>1784</v>
      </c>
      <c r="Q1549" s="12" t="str">
        <f t="shared" si="298"/>
        <v>1784</v>
      </c>
      <c r="S1549" s="12" t="str">
        <f t="shared" si="299"/>
        <v/>
      </c>
      <c r="T1549" s="12" t="s">
        <v>32</v>
      </c>
      <c r="U1549" s="12" t="s">
        <v>3792</v>
      </c>
      <c r="V1549" s="12" t="str">
        <f t="shared" si="300"/>
        <v>1803</v>
      </c>
      <c r="W1549" s="12" t="s">
        <v>2952</v>
      </c>
      <c r="X1549" s="12" t="s">
        <v>10705</v>
      </c>
      <c r="AB1549" s="12"/>
      <c r="AC1549" s="12" t="s">
        <v>12357</v>
      </c>
      <c r="AG1549" s="12" t="s">
        <v>199</v>
      </c>
      <c r="AH1549" s="12" t="s">
        <v>12358</v>
      </c>
      <c r="AI1549" s="12" t="str">
        <f t="shared" si="301"/>
        <v>1845</v>
      </c>
      <c r="AK1549" s="12"/>
      <c r="AL1549" s="12" t="s">
        <v>140</v>
      </c>
      <c r="AM1549" s="12" t="s">
        <v>2636</v>
      </c>
      <c r="AN1549" s="12" t="s">
        <v>692</v>
      </c>
      <c r="AO1549" s="12" t="s">
        <v>697</v>
      </c>
    </row>
    <row r="1550" spans="1:58">
      <c r="A1550" s="13" t="s">
        <v>3799</v>
      </c>
      <c r="B1550" s="12" t="str">
        <f t="shared" si="293"/>
        <v>SCHEEPERS</v>
      </c>
      <c r="C1550" s="12" t="str">
        <f t="shared" si="294"/>
        <v>SCHEEPERS</v>
      </c>
      <c r="D1550" s="12" t="s">
        <v>2140</v>
      </c>
      <c r="E1550" s="12" t="str">
        <f t="shared" si="304"/>
        <v>Jacobus Johannes</v>
      </c>
      <c r="F1550" s="12" t="s">
        <v>12384</v>
      </c>
      <c r="G1550" s="12" t="str">
        <f t="shared" si="295"/>
        <v>a1b2c1d3e2f2</v>
      </c>
      <c r="H1550" s="12" t="str">
        <f t="shared" si="296"/>
        <v>SCHEEPERSa1b2c1d3e2f2</v>
      </c>
      <c r="J1550" s="12" t="s">
        <v>12385</v>
      </c>
      <c r="K1550" s="12" t="str">
        <f t="shared" si="297"/>
        <v>1805</v>
      </c>
      <c r="L1550" s="12" t="s">
        <v>5185</v>
      </c>
      <c r="M1550" s="12" t="s">
        <v>12386</v>
      </c>
      <c r="N1550" s="12" t="str">
        <f t="shared" si="302"/>
        <v>1805</v>
      </c>
      <c r="O1550" s="12" t="str">
        <f t="shared" si="303"/>
        <v>8015</v>
      </c>
      <c r="P1550" s="12" t="s">
        <v>4103</v>
      </c>
      <c r="Q1550" s="12" t="str">
        <f t="shared" si="298"/>
        <v>1805</v>
      </c>
      <c r="R1550" s="12" t="s">
        <v>12387</v>
      </c>
      <c r="S1550" s="12" t="str">
        <f t="shared" si="299"/>
        <v>1881</v>
      </c>
      <c r="T1550" s="12" t="s">
        <v>28</v>
      </c>
      <c r="U1550" s="12" t="s">
        <v>428</v>
      </c>
      <c r="V1550" s="12" t="str">
        <f t="shared" si="300"/>
        <v>1825</v>
      </c>
      <c r="W1550" s="12" t="s">
        <v>8075</v>
      </c>
      <c r="X1550" s="12" t="s">
        <v>2575</v>
      </c>
      <c r="Z1550" s="2" t="s">
        <v>68</v>
      </c>
      <c r="AA1550" s="12"/>
      <c r="AB1550" s="2" t="s">
        <v>6098</v>
      </c>
      <c r="AC1550" s="2" t="s">
        <v>12388</v>
      </c>
      <c r="AD1550" s="2" t="s">
        <v>134</v>
      </c>
      <c r="AE1550" s="2" t="s">
        <v>12389</v>
      </c>
      <c r="AG1550" s="12" t="s">
        <v>199</v>
      </c>
      <c r="AH1550" s="12">
        <v>1845</v>
      </c>
      <c r="AI1550" s="12" t="str">
        <f t="shared" si="301"/>
        <v>1845</v>
      </c>
      <c r="AK1550" s="12"/>
      <c r="AL1550" s="12"/>
      <c r="AM1550" s="12"/>
      <c r="AN1550" s="12"/>
      <c r="AO1550" s="12"/>
    </row>
    <row r="1551" spans="1:58">
      <c r="A1551" s="13" t="s">
        <v>3799</v>
      </c>
      <c r="B1551" s="12" t="str">
        <f t="shared" si="293"/>
        <v>SCHEEPERS</v>
      </c>
      <c r="C1551" s="12" t="str">
        <f t="shared" si="294"/>
        <v>SCHEEPERS</v>
      </c>
      <c r="D1551" s="12" t="s">
        <v>12450</v>
      </c>
      <c r="E1551" s="12" t="str">
        <f t="shared" si="304"/>
        <v>Theodorus Ernst</v>
      </c>
      <c r="F1551" s="12" t="s">
        <v>12451</v>
      </c>
      <c r="G1551" s="12" t="str">
        <f t="shared" si="295"/>
        <v>a1b2c1d3e2f9</v>
      </c>
      <c r="H1551" s="12" t="str">
        <f t="shared" si="296"/>
        <v>SCHEEPERSa1b2c1d3e2f9</v>
      </c>
      <c r="I1551" s="2" t="s">
        <v>199</v>
      </c>
      <c r="J1551" s="12">
        <v>1824</v>
      </c>
      <c r="K1551" s="12" t="str">
        <f t="shared" si="297"/>
        <v>1824</v>
      </c>
      <c r="L1551" s="12"/>
      <c r="M1551" s="12"/>
      <c r="N1551" s="12" t="str">
        <f t="shared" si="302"/>
        <v>1824</v>
      </c>
      <c r="O1551" s="12" t="str">
        <f t="shared" si="303"/>
        <v/>
      </c>
      <c r="P1551" s="12" t="s">
        <v>24</v>
      </c>
      <c r="Q1551" s="12" t="str">
        <f t="shared" si="298"/>
        <v>1824</v>
      </c>
      <c r="R1551" s="12" t="s">
        <v>12452</v>
      </c>
      <c r="S1551" s="12" t="str">
        <f t="shared" si="299"/>
        <v>1866</v>
      </c>
      <c r="T1551" s="12"/>
      <c r="U1551" s="12"/>
      <c r="V1551" s="12" t="str">
        <f t="shared" si="300"/>
        <v/>
      </c>
      <c r="W1551" s="12" t="s">
        <v>4235</v>
      </c>
      <c r="X1551" s="12" t="s">
        <v>1983</v>
      </c>
      <c r="AA1551" s="12"/>
      <c r="AD1551" s="12"/>
      <c r="AG1551" s="12" t="s">
        <v>199</v>
      </c>
      <c r="AH1551" s="12">
        <v>1845</v>
      </c>
      <c r="AI1551" s="12" t="str">
        <f t="shared" si="301"/>
        <v>1845</v>
      </c>
      <c r="AK1551" s="12"/>
    </row>
    <row r="1552" spans="1:58">
      <c r="A1552" s="13" t="s">
        <v>3799</v>
      </c>
      <c r="B1552" s="12" t="str">
        <f t="shared" si="293"/>
        <v>SCHEEPERS</v>
      </c>
      <c r="C1552" s="12" t="str">
        <f t="shared" si="294"/>
        <v>SCHEEPERS</v>
      </c>
      <c r="D1552" s="12" t="s">
        <v>2782</v>
      </c>
      <c r="E1552" s="12" t="str">
        <f t="shared" si="304"/>
        <v>Gerhardus Stephanus</v>
      </c>
      <c r="F1552" s="12" t="s">
        <v>12324</v>
      </c>
      <c r="G1552" s="12" t="str">
        <f t="shared" si="295"/>
        <v>a1b2c1d3e6</v>
      </c>
      <c r="H1552" s="12" t="str">
        <f t="shared" si="296"/>
        <v>SCHEEPERSa1b2c1d3e6</v>
      </c>
      <c r="I1552" s="12"/>
      <c r="J1552" s="12"/>
      <c r="K1552" s="12" t="str">
        <f t="shared" si="297"/>
        <v/>
      </c>
      <c r="L1552" s="12" t="s">
        <v>74</v>
      </c>
      <c r="M1552" s="12" t="s">
        <v>1905</v>
      </c>
      <c r="N1552" s="12" t="str">
        <f t="shared" si="302"/>
        <v/>
      </c>
      <c r="O1552" s="12" t="str">
        <f t="shared" si="303"/>
        <v>1793</v>
      </c>
      <c r="P1552" s="12"/>
      <c r="Q1552" s="12" t="str">
        <f t="shared" si="298"/>
        <v>1793</v>
      </c>
      <c r="R1552" s="12"/>
      <c r="S1552" s="12" t="str">
        <f t="shared" si="299"/>
        <v/>
      </c>
      <c r="T1552" s="12" t="s">
        <v>53</v>
      </c>
      <c r="U1552" s="12" t="s">
        <v>1960</v>
      </c>
      <c r="V1552" s="12" t="str">
        <f t="shared" si="300"/>
        <v>1817</v>
      </c>
      <c r="W1552" s="12" t="s">
        <v>12325</v>
      </c>
      <c r="X1552" s="12" t="s">
        <v>726</v>
      </c>
      <c r="Y1552" s="12" t="s">
        <v>12326</v>
      </c>
      <c r="AA1552" s="12"/>
      <c r="AC1552" s="12" t="s">
        <v>12208</v>
      </c>
      <c r="AD1552" s="12"/>
      <c r="AE1552" s="12"/>
      <c r="AF1552" s="12" t="s">
        <v>3724</v>
      </c>
      <c r="AG1552" s="12" t="s">
        <v>53</v>
      </c>
      <c r="AH1552" s="2" t="s">
        <v>385</v>
      </c>
      <c r="AI1552" s="12" t="str">
        <f t="shared" si="301"/>
        <v>1840</v>
      </c>
      <c r="AK1552" s="12" t="s">
        <v>90</v>
      </c>
      <c r="AL1552" s="12"/>
      <c r="AM1552" s="12"/>
      <c r="AN1552" s="12"/>
      <c r="AO1552" s="12"/>
      <c r="AP1552" s="12"/>
      <c r="AR1552" s="12"/>
      <c r="AT1552" s="12"/>
      <c r="AV1552" s="12"/>
    </row>
    <row r="1553" spans="1:56">
      <c r="A1553" s="13" t="s">
        <v>3799</v>
      </c>
      <c r="B1553" s="12" t="str">
        <f t="shared" si="293"/>
        <v>SCHEEPERS</v>
      </c>
      <c r="C1553" s="12" t="str">
        <f t="shared" si="294"/>
        <v>SCHEEPERS</v>
      </c>
      <c r="D1553" s="12" t="s">
        <v>7016</v>
      </c>
      <c r="E1553" s="12" t="str">
        <f t="shared" si="304"/>
        <v>Hermanus Lambertus</v>
      </c>
      <c r="F1553" s="12" t="s">
        <v>12377</v>
      </c>
      <c r="G1553" s="12" t="str">
        <f t="shared" si="295"/>
        <v>a1b2c1d3e6f3</v>
      </c>
      <c r="H1553" s="12" t="str">
        <f t="shared" si="296"/>
        <v>SCHEEPERSa1b2c1d3e6f3</v>
      </c>
      <c r="J1553" s="12" t="s">
        <v>12378</v>
      </c>
      <c r="K1553" s="12" t="str">
        <f t="shared" si="297"/>
        <v>1821</v>
      </c>
      <c r="L1553" s="12" t="s">
        <v>53</v>
      </c>
      <c r="M1553" s="12" t="s">
        <v>12379</v>
      </c>
      <c r="N1553" s="12" t="str">
        <f t="shared" si="302"/>
        <v>1821</v>
      </c>
      <c r="O1553" s="12" t="str">
        <f t="shared" si="303"/>
        <v>1821</v>
      </c>
      <c r="P1553" s="12" t="s">
        <v>67</v>
      </c>
      <c r="Q1553" s="12" t="str">
        <f t="shared" si="298"/>
        <v>1821</v>
      </c>
      <c r="R1553" s="12" t="s">
        <v>12380</v>
      </c>
      <c r="S1553" s="12" t="str">
        <f t="shared" si="299"/>
        <v>1894</v>
      </c>
      <c r="T1553" s="2" t="s">
        <v>140</v>
      </c>
      <c r="U1553" s="2" t="s">
        <v>3798</v>
      </c>
      <c r="V1553" s="12" t="str">
        <f t="shared" si="300"/>
        <v>1848</v>
      </c>
      <c r="W1553" s="12" t="s">
        <v>12381</v>
      </c>
      <c r="X1553" s="12" t="s">
        <v>12382</v>
      </c>
      <c r="Z1553" s="12" t="s">
        <v>53</v>
      </c>
      <c r="AA1553" s="12"/>
      <c r="AD1553" s="12" t="s">
        <v>67</v>
      </c>
      <c r="AE1553" s="12" t="s">
        <v>12383</v>
      </c>
      <c r="AF1553" s="12" t="s">
        <v>3724</v>
      </c>
      <c r="AG1553" s="12" t="s">
        <v>53</v>
      </c>
      <c r="AH1553" s="12" t="s">
        <v>385</v>
      </c>
      <c r="AI1553" s="12" t="str">
        <f t="shared" si="301"/>
        <v>1840</v>
      </c>
      <c r="AJ1553" s="12" t="s">
        <v>67</v>
      </c>
      <c r="AK1553" s="12"/>
      <c r="AL1553" s="12"/>
      <c r="AM1553" s="12"/>
      <c r="AN1553" s="12"/>
      <c r="AO1553" s="12"/>
    </row>
    <row r="1554" spans="1:56">
      <c r="A1554" s="13" t="s">
        <v>3799</v>
      </c>
      <c r="B1554" s="12" t="str">
        <f t="shared" si="293"/>
        <v>SCHEEPERS</v>
      </c>
      <c r="C1554" s="12" t="str">
        <f t="shared" si="294"/>
        <v>SCHEEPERS</v>
      </c>
      <c r="D1554" s="12" t="s">
        <v>2576</v>
      </c>
      <c r="E1554" s="12" t="str">
        <f t="shared" si="304"/>
        <v>Frederik Coenraad</v>
      </c>
      <c r="F1554" s="12" t="s">
        <v>8384</v>
      </c>
      <c r="G1554" s="12" t="str">
        <f t="shared" si="295"/>
        <v>a1b2c3d2e4</v>
      </c>
      <c r="H1554" s="12" t="str">
        <f t="shared" si="296"/>
        <v>SCHEEPERSa1b2c3d2e4</v>
      </c>
      <c r="I1554" s="2" t="s">
        <v>32</v>
      </c>
      <c r="J1554" s="12" t="s">
        <v>12309</v>
      </c>
      <c r="K1554" s="12" t="str">
        <f t="shared" si="297"/>
        <v>1801</v>
      </c>
      <c r="L1554" s="12"/>
      <c r="M1554" s="12"/>
      <c r="N1554" s="12" t="str">
        <f t="shared" si="302"/>
        <v>1801</v>
      </c>
      <c r="O1554" s="12" t="str">
        <f t="shared" si="303"/>
        <v/>
      </c>
      <c r="P1554" s="12"/>
      <c r="Q1554" s="12" t="str">
        <f t="shared" si="298"/>
        <v>1801</v>
      </c>
      <c r="R1554" s="12"/>
      <c r="S1554" s="12" t="str">
        <f t="shared" si="299"/>
        <v/>
      </c>
      <c r="T1554" s="12" t="s">
        <v>53</v>
      </c>
      <c r="U1554" s="12" t="s">
        <v>4197</v>
      </c>
      <c r="V1554" s="12" t="str">
        <f t="shared" si="300"/>
        <v>1827</v>
      </c>
      <c r="W1554" s="12" t="s">
        <v>743</v>
      </c>
      <c r="X1554" s="12" t="s">
        <v>1961</v>
      </c>
      <c r="Y1554" s="2" t="s">
        <v>1047</v>
      </c>
      <c r="AA1554" s="2" t="s">
        <v>12310</v>
      </c>
      <c r="AC1554" s="12" t="s">
        <v>12311</v>
      </c>
      <c r="AD1554" s="12" t="s">
        <v>2355</v>
      </c>
      <c r="AE1554" s="12" t="s">
        <v>12312</v>
      </c>
      <c r="AF1554" s="12" t="s">
        <v>3677</v>
      </c>
      <c r="AG1554" s="12" t="s">
        <v>53</v>
      </c>
      <c r="AH1554" s="12" t="s">
        <v>12313</v>
      </c>
      <c r="AI1554" s="12" t="str">
        <f t="shared" si="301"/>
        <v>1837</v>
      </c>
      <c r="AJ1554" s="2" t="s">
        <v>12314</v>
      </c>
      <c r="AK1554" s="12" t="s">
        <v>12315</v>
      </c>
    </row>
    <row r="1555" spans="1:56">
      <c r="A1555" s="13" t="s">
        <v>3799</v>
      </c>
      <c r="B1555" s="12" t="str">
        <f t="shared" si="293"/>
        <v>SCHEEPERS</v>
      </c>
      <c r="C1555" s="12" t="str">
        <f t="shared" si="294"/>
        <v>SCHEEPERS</v>
      </c>
      <c r="D1555" s="12" t="s">
        <v>47</v>
      </c>
      <c r="E1555" s="12" t="str">
        <f t="shared" si="304"/>
        <v>Johannes Hendricus</v>
      </c>
      <c r="F1555" s="12" t="s">
        <v>8390</v>
      </c>
      <c r="G1555" s="12" t="str">
        <f t="shared" si="295"/>
        <v>a1b2c3d2e8</v>
      </c>
      <c r="H1555" s="12" t="str">
        <f t="shared" si="296"/>
        <v>SCHEEPERSa1b2c3d2e8</v>
      </c>
      <c r="I1555" s="12"/>
      <c r="J1555" s="12" t="s">
        <v>12393</v>
      </c>
      <c r="K1555" s="12" t="str">
        <f t="shared" si="297"/>
        <v>1813</v>
      </c>
      <c r="L1555" s="12" t="s">
        <v>199</v>
      </c>
      <c r="M1555" s="12" t="s">
        <v>4577</v>
      </c>
      <c r="N1555" s="12" t="str">
        <f t="shared" si="302"/>
        <v>1813</v>
      </c>
      <c r="O1555" s="12" t="str">
        <f t="shared" si="303"/>
        <v>1814</v>
      </c>
      <c r="P1555" s="12"/>
      <c r="Q1555" s="12" t="str">
        <f t="shared" si="298"/>
        <v>1813</v>
      </c>
      <c r="R1555" s="12"/>
      <c r="S1555" s="12" t="str">
        <f t="shared" si="299"/>
        <v/>
      </c>
      <c r="T1555" s="12"/>
      <c r="U1555" s="12"/>
      <c r="V1555" s="12" t="str">
        <f t="shared" si="300"/>
        <v/>
      </c>
      <c r="W1555" s="12" t="s">
        <v>1943</v>
      </c>
      <c r="X1555" s="12" t="s">
        <v>1330</v>
      </c>
      <c r="Y1555" s="12"/>
      <c r="AC1555" s="12" t="s">
        <v>515</v>
      </c>
      <c r="AF1555" s="12" t="s">
        <v>3677</v>
      </c>
      <c r="AG1555" s="12" t="s">
        <v>53</v>
      </c>
      <c r="AH1555" s="12" t="s">
        <v>12313</v>
      </c>
      <c r="AI1555" s="12" t="str">
        <f t="shared" si="301"/>
        <v>1837</v>
      </c>
      <c r="AJ1555" s="12" t="s">
        <v>12314</v>
      </c>
      <c r="AK1555" s="12" t="s">
        <v>12394</v>
      </c>
      <c r="AN1555" s="12"/>
      <c r="AO1555" s="12"/>
      <c r="AT1555" s="12"/>
      <c r="AU1555" s="12"/>
      <c r="AV1555" s="12"/>
      <c r="AW1555" s="12"/>
      <c r="AX1555" s="12"/>
      <c r="AY1555" s="12"/>
      <c r="AZ1555" s="12"/>
      <c r="BB1555" s="12"/>
      <c r="BC1555" s="12"/>
      <c r="BD1555" s="12"/>
    </row>
    <row r="1556" spans="1:56">
      <c r="A1556" s="13" t="s">
        <v>3799</v>
      </c>
      <c r="B1556" s="12" t="str">
        <f t="shared" si="293"/>
        <v>SCHEEPERS</v>
      </c>
      <c r="C1556" s="12" t="str">
        <f t="shared" si="294"/>
        <v>SCHEEPERS</v>
      </c>
      <c r="D1556" s="12" t="s">
        <v>392</v>
      </c>
      <c r="E1556" s="12" t="str">
        <f t="shared" si="304"/>
        <v>Coenraad</v>
      </c>
      <c r="F1556" s="12" t="s">
        <v>12296</v>
      </c>
      <c r="G1556" s="12" t="str">
        <f t="shared" si="295"/>
        <v>a1b2c3d6e2</v>
      </c>
      <c r="H1556" s="12" t="str">
        <f t="shared" si="296"/>
        <v>SCHEEPERSa1b2c3d6e2</v>
      </c>
      <c r="J1556" s="12"/>
      <c r="K1556" s="12" t="str">
        <f t="shared" si="297"/>
        <v/>
      </c>
      <c r="L1556" s="12"/>
      <c r="M1556" s="12" t="s">
        <v>12297</v>
      </c>
      <c r="N1556" s="12" t="str">
        <f t="shared" si="302"/>
        <v/>
      </c>
      <c r="O1556" s="12" t="str">
        <f t="shared" si="303"/>
        <v>1795</v>
      </c>
      <c r="P1556" s="12" t="s">
        <v>1017</v>
      </c>
      <c r="Q1556" s="12" t="str">
        <f t="shared" si="298"/>
        <v>1795</v>
      </c>
      <c r="R1556" s="12" t="s">
        <v>12298</v>
      </c>
      <c r="S1556" s="12" t="str">
        <f t="shared" si="299"/>
        <v>1859</v>
      </c>
      <c r="T1556" s="12" t="s">
        <v>53</v>
      </c>
      <c r="U1556" s="12" t="s">
        <v>10063</v>
      </c>
      <c r="V1556" s="12" t="str">
        <f t="shared" si="300"/>
        <v>1821</v>
      </c>
      <c r="W1556" s="12" t="s">
        <v>12299</v>
      </c>
      <c r="X1556" s="12" t="s">
        <v>726</v>
      </c>
      <c r="Y1556" s="12" t="s">
        <v>12300</v>
      </c>
      <c r="AA1556" s="12"/>
      <c r="AC1556" s="12" t="s">
        <v>2679</v>
      </c>
      <c r="AD1556" s="12" t="s">
        <v>406</v>
      </c>
      <c r="AE1556" s="12"/>
      <c r="AF1556" s="2" t="s">
        <v>3677</v>
      </c>
      <c r="AG1556" s="12" t="s">
        <v>53</v>
      </c>
      <c r="AH1556" s="12" t="s">
        <v>12301</v>
      </c>
      <c r="AI1556" s="12" t="str">
        <f t="shared" si="301"/>
        <v>1837</v>
      </c>
      <c r="AJ1556" s="2" t="s">
        <v>5606</v>
      </c>
      <c r="AK1556" s="12" t="s">
        <v>190</v>
      </c>
    </row>
    <row r="1557" spans="1:56">
      <c r="A1557" s="13" t="s">
        <v>3799</v>
      </c>
      <c r="B1557" s="12" t="str">
        <f t="shared" si="293"/>
        <v>SCHEEPERS</v>
      </c>
      <c r="C1557" s="12" t="str">
        <f t="shared" si="294"/>
        <v>SCHEEPERS</v>
      </c>
      <c r="D1557" s="12" t="s">
        <v>12413</v>
      </c>
      <c r="E1557" s="12" t="str">
        <f t="shared" si="304"/>
        <v>Marthinus Easias</v>
      </c>
      <c r="F1557" s="12" t="s">
        <v>12414</v>
      </c>
      <c r="G1557" s="12" t="str">
        <f t="shared" si="295"/>
        <v>a1b2c3d6e5</v>
      </c>
      <c r="H1557" s="12" t="str">
        <f t="shared" si="296"/>
        <v>SCHEEPERSa1b2c3d6e5</v>
      </c>
      <c r="J1557" s="12"/>
      <c r="K1557" s="12" t="str">
        <f t="shared" si="297"/>
        <v/>
      </c>
      <c r="L1557" s="12" t="s">
        <v>5185</v>
      </c>
      <c r="M1557" s="12" t="s">
        <v>3585</v>
      </c>
      <c r="N1557" s="12" t="str">
        <f t="shared" si="302"/>
        <v/>
      </c>
      <c r="O1557" s="12" t="str">
        <f t="shared" si="303"/>
        <v>1803</v>
      </c>
      <c r="P1557" s="12"/>
      <c r="Q1557" s="12" t="str">
        <f t="shared" si="298"/>
        <v>1803</v>
      </c>
      <c r="R1557" s="12"/>
      <c r="S1557" s="12" t="str">
        <f t="shared" si="299"/>
        <v/>
      </c>
      <c r="T1557" s="12" t="s">
        <v>53</v>
      </c>
      <c r="U1557" s="12" t="s">
        <v>5527</v>
      </c>
      <c r="V1557" s="12" t="str">
        <f t="shared" si="300"/>
        <v>1822</v>
      </c>
      <c r="W1557" s="12" t="s">
        <v>12415</v>
      </c>
      <c r="X1557" s="12" t="s">
        <v>3799</v>
      </c>
      <c r="Y1557" s="2" t="s">
        <v>8379</v>
      </c>
      <c r="AA1557" s="2" t="s">
        <v>12416</v>
      </c>
      <c r="AB1557" s="12" t="s">
        <v>32</v>
      </c>
      <c r="AC1557" s="12" t="s">
        <v>12417</v>
      </c>
      <c r="AD1557" s="2" t="s">
        <v>11991</v>
      </c>
      <c r="AE1557" s="2" t="s">
        <v>12418</v>
      </c>
      <c r="AF1557" s="2" t="s">
        <v>3677</v>
      </c>
      <c r="AG1557" s="12" t="s">
        <v>53</v>
      </c>
      <c r="AH1557" s="12" t="s">
        <v>12301</v>
      </c>
      <c r="AI1557" s="12" t="str">
        <f t="shared" si="301"/>
        <v>1837</v>
      </c>
      <c r="AJ1557" s="12" t="s">
        <v>5606</v>
      </c>
      <c r="AK1557" s="2" t="s">
        <v>90</v>
      </c>
    </row>
    <row r="1558" spans="1:56">
      <c r="A1558" s="13" t="s">
        <v>3799</v>
      </c>
      <c r="B1558" s="12" t="str">
        <f t="shared" si="293"/>
        <v>SCHEEPERS</v>
      </c>
      <c r="C1558" s="12" t="str">
        <f t="shared" si="294"/>
        <v>SCHEEPERS</v>
      </c>
      <c r="D1558" s="12" t="s">
        <v>12345</v>
      </c>
      <c r="E1558" s="12" t="str">
        <f t="shared" si="304"/>
        <v>Gerrit Frederik</v>
      </c>
      <c r="F1558" s="12" t="s">
        <v>12346</v>
      </c>
      <c r="G1558" s="12" t="str">
        <f t="shared" si="295"/>
        <v>a1b2c3d6e5f1</v>
      </c>
      <c r="H1558" s="12" t="str">
        <f t="shared" si="296"/>
        <v>SCHEEPERSa1b2c3d6e5f1</v>
      </c>
      <c r="J1558" s="12" t="s">
        <v>12347</v>
      </c>
      <c r="K1558" s="12" t="str">
        <f t="shared" si="297"/>
        <v>1823</v>
      </c>
      <c r="L1558" s="12" t="s">
        <v>53</v>
      </c>
      <c r="M1558" s="12" t="s">
        <v>12348</v>
      </c>
      <c r="N1558" s="12" t="str">
        <f t="shared" si="302"/>
        <v>1823</v>
      </c>
      <c r="O1558" s="12" t="str">
        <f t="shared" si="303"/>
        <v>1824</v>
      </c>
      <c r="P1558" s="12"/>
      <c r="Q1558" s="12" t="str">
        <f t="shared" si="298"/>
        <v>1823</v>
      </c>
      <c r="R1558" s="12"/>
      <c r="S1558" s="12" t="str">
        <f t="shared" si="299"/>
        <v/>
      </c>
      <c r="T1558" s="12" t="s">
        <v>12315</v>
      </c>
      <c r="U1558" s="12" t="s">
        <v>12349</v>
      </c>
      <c r="V1558" s="12" t="str">
        <f t="shared" si="300"/>
        <v>1845</v>
      </c>
      <c r="W1558" s="12" t="s">
        <v>11511</v>
      </c>
      <c r="X1558" s="12" t="s">
        <v>2944</v>
      </c>
      <c r="Y1558" s="2" t="s">
        <v>1080</v>
      </c>
      <c r="AD1558" s="2" t="s">
        <v>2355</v>
      </c>
      <c r="AE1558" s="2" t="s">
        <v>12350</v>
      </c>
      <c r="AF1558" s="12" t="s">
        <v>3677</v>
      </c>
      <c r="AG1558" s="12" t="s">
        <v>53</v>
      </c>
      <c r="AH1558" s="12"/>
      <c r="AI1558" s="12" t="str">
        <f t="shared" si="301"/>
        <v/>
      </c>
      <c r="AK1558" s="12"/>
      <c r="AL1558" s="2" t="s">
        <v>2355</v>
      </c>
      <c r="AM1558" s="2" t="s">
        <v>12351</v>
      </c>
      <c r="AN1558" s="2" t="s">
        <v>1891</v>
      </c>
      <c r="AO1558" s="2" t="s">
        <v>12352</v>
      </c>
      <c r="AU1558" s="2" t="s">
        <v>5423</v>
      </c>
      <c r="AV1558" s="2" t="s">
        <v>12353</v>
      </c>
    </row>
    <row r="1559" spans="1:56">
      <c r="A1559" s="13" t="s">
        <v>3799</v>
      </c>
      <c r="B1559" s="12" t="str">
        <f t="shared" si="293"/>
        <v>SCHEEPERS</v>
      </c>
      <c r="C1559" s="12" t="str">
        <f t="shared" si="294"/>
        <v>SCHEEPERS</v>
      </c>
      <c r="D1559" s="2" t="s">
        <v>12316</v>
      </c>
      <c r="E1559" s="12" t="str">
        <f t="shared" si="304"/>
        <v>Gerhardus Johannes Adolphus</v>
      </c>
      <c r="F1559" s="2" t="s">
        <v>12317</v>
      </c>
      <c r="G1559" s="12" t="str">
        <f t="shared" si="295"/>
        <v>a1b2c3d6e7</v>
      </c>
      <c r="H1559" s="12" t="str">
        <f t="shared" si="296"/>
        <v>SCHEEPERSa1b2c3d6e7</v>
      </c>
      <c r="J1559" s="2" t="s">
        <v>12318</v>
      </c>
      <c r="K1559" s="12" t="str">
        <f t="shared" si="297"/>
        <v>1808</v>
      </c>
      <c r="L1559" s="2" t="s">
        <v>53</v>
      </c>
      <c r="M1559" s="2" t="s">
        <v>9669</v>
      </c>
      <c r="N1559" s="12" t="str">
        <f t="shared" si="302"/>
        <v>1808</v>
      </c>
      <c r="O1559" s="12" t="str">
        <f t="shared" si="303"/>
        <v>1809</v>
      </c>
      <c r="Q1559" s="12" t="str">
        <f t="shared" si="298"/>
        <v>1808</v>
      </c>
      <c r="R1559" s="2" t="s">
        <v>12319</v>
      </c>
      <c r="S1559" s="12" t="str">
        <f t="shared" si="299"/>
        <v>1895</v>
      </c>
      <c r="T1559" s="2" t="s">
        <v>53</v>
      </c>
      <c r="U1559" s="2" t="s">
        <v>12320</v>
      </c>
      <c r="V1559" s="12" t="str">
        <f t="shared" si="300"/>
        <v>1829</v>
      </c>
      <c r="W1559" s="2" t="s">
        <v>12321</v>
      </c>
      <c r="X1559" s="2" t="s">
        <v>731</v>
      </c>
      <c r="Y1559" s="2" t="s">
        <v>11700</v>
      </c>
      <c r="AC1559" s="2" t="s">
        <v>4577</v>
      </c>
      <c r="AD1559" s="2" t="s">
        <v>90</v>
      </c>
      <c r="AE1559" s="1">
        <v>1867</v>
      </c>
      <c r="AF1559" s="2" t="s">
        <v>3677</v>
      </c>
      <c r="AG1559" s="2" t="s">
        <v>53</v>
      </c>
      <c r="AH1559" s="2" t="s">
        <v>12322</v>
      </c>
      <c r="AI1559" s="12" t="str">
        <f t="shared" si="301"/>
        <v>1837</v>
      </c>
      <c r="AJ1559" s="2" t="s">
        <v>12323</v>
      </c>
      <c r="AK1559" s="2" t="s">
        <v>7040</v>
      </c>
    </row>
    <row r="1560" spans="1:56">
      <c r="A1560" s="13" t="s">
        <v>3799</v>
      </c>
      <c r="B1560" s="12" t="str">
        <f t="shared" si="293"/>
        <v>SCHEEPERS</v>
      </c>
      <c r="C1560" s="12" t="str">
        <f t="shared" si="294"/>
        <v>SCHEEPERS</v>
      </c>
      <c r="D1560" s="12" t="s">
        <v>12400</v>
      </c>
      <c r="E1560" s="12" t="str">
        <f t="shared" si="304"/>
        <v>Jan (Johannes) Marthinus</v>
      </c>
      <c r="F1560" s="12" t="s">
        <v>6118</v>
      </c>
      <c r="G1560" s="12" t="str">
        <f t="shared" si="295"/>
        <v>a1b2c3d8</v>
      </c>
      <c r="H1560" s="12" t="str">
        <f t="shared" si="296"/>
        <v>SCHEEPERSa1b2c3d8</v>
      </c>
      <c r="K1560" s="12" t="str">
        <f t="shared" si="297"/>
        <v/>
      </c>
      <c r="M1560" s="12" t="s">
        <v>12401</v>
      </c>
      <c r="N1560" s="12" t="str">
        <f t="shared" si="302"/>
        <v/>
      </c>
      <c r="O1560" s="12" t="str">
        <f t="shared" si="303"/>
        <v>1780</v>
      </c>
      <c r="Q1560" s="12" t="str">
        <f t="shared" si="298"/>
        <v>1780</v>
      </c>
      <c r="R1560" s="12"/>
      <c r="S1560" s="12" t="str">
        <f t="shared" si="299"/>
        <v/>
      </c>
      <c r="T1560" s="12" t="s">
        <v>6098</v>
      </c>
      <c r="U1560" s="12" t="s">
        <v>12402</v>
      </c>
      <c r="V1560" s="12" t="str">
        <f t="shared" si="300"/>
        <v>1798</v>
      </c>
      <c r="W1560" s="12" t="s">
        <v>12403</v>
      </c>
      <c r="X1560" s="12" t="s">
        <v>1961</v>
      </c>
      <c r="AC1560" s="2" t="s">
        <v>12404</v>
      </c>
      <c r="AD1560" s="2" t="s">
        <v>11037</v>
      </c>
      <c r="AE1560" s="12" t="s">
        <v>12405</v>
      </c>
      <c r="AF1560" s="12" t="s">
        <v>3677</v>
      </c>
      <c r="AG1560" s="12" t="s">
        <v>53</v>
      </c>
      <c r="AH1560" s="12" t="s">
        <v>12406</v>
      </c>
      <c r="AI1560" s="12" t="str">
        <f t="shared" si="301"/>
        <v>1837</v>
      </c>
      <c r="AJ1560" s="12" t="s">
        <v>2034</v>
      </c>
      <c r="AK1560" s="2" t="s">
        <v>90</v>
      </c>
    </row>
    <row r="1561" spans="1:56">
      <c r="A1561" s="13" t="s">
        <v>3799</v>
      </c>
      <c r="B1561" s="12" t="str">
        <f t="shared" si="293"/>
        <v>SCHEEPERS</v>
      </c>
      <c r="C1561" s="12" t="str">
        <f t="shared" si="294"/>
        <v>SCHEEPERS</v>
      </c>
      <c r="D1561" s="12" t="s">
        <v>12302</v>
      </c>
      <c r="E1561" s="12" t="str">
        <f t="shared" si="304"/>
        <v>Coenraad Johannes Abraham</v>
      </c>
      <c r="F1561" s="12" t="s">
        <v>12303</v>
      </c>
      <c r="G1561" s="12" t="str">
        <f t="shared" si="295"/>
        <v>a1b2c3d8e3</v>
      </c>
      <c r="H1561" s="12" t="str">
        <f t="shared" si="296"/>
        <v>SCHEEPERSa1b2c3d8e3</v>
      </c>
      <c r="K1561" s="12" t="str">
        <f t="shared" si="297"/>
        <v/>
      </c>
      <c r="L1561" s="2" t="s">
        <v>5185</v>
      </c>
      <c r="M1561" s="12" t="s">
        <v>12304</v>
      </c>
      <c r="N1561" s="12" t="str">
        <f t="shared" si="302"/>
        <v/>
      </c>
      <c r="O1561" s="12" t="str">
        <f t="shared" si="303"/>
        <v>1803</v>
      </c>
      <c r="P1561" s="2" t="s">
        <v>331</v>
      </c>
      <c r="Q1561" s="12" t="str">
        <f t="shared" si="298"/>
        <v>1803</v>
      </c>
      <c r="R1561" s="2" t="s">
        <v>12305</v>
      </c>
      <c r="S1561" s="12" t="str">
        <f t="shared" si="299"/>
        <v>1823</v>
      </c>
      <c r="V1561" s="12" t="str">
        <f t="shared" si="300"/>
        <v/>
      </c>
      <c r="W1561" s="2" t="s">
        <v>1674</v>
      </c>
      <c r="X1561" s="2" t="s">
        <v>1151</v>
      </c>
      <c r="Y1561" s="2" t="s">
        <v>12306</v>
      </c>
      <c r="AC1561" s="2" t="s">
        <v>3835</v>
      </c>
      <c r="AF1561" s="12" t="s">
        <v>3677</v>
      </c>
      <c r="AG1561" s="12" t="s">
        <v>53</v>
      </c>
      <c r="AH1561" s="12" t="s">
        <v>12307</v>
      </c>
      <c r="AI1561" s="12" t="str">
        <f t="shared" si="301"/>
        <v>1836</v>
      </c>
      <c r="AJ1561" s="2" t="s">
        <v>12308</v>
      </c>
      <c r="AK1561" s="2" t="s">
        <v>90</v>
      </c>
    </row>
    <row r="1562" spans="1:56">
      <c r="A1562" s="13" t="s">
        <v>3799</v>
      </c>
      <c r="B1562" s="12" t="str">
        <f t="shared" si="293"/>
        <v>SCHEEPERS</v>
      </c>
      <c r="C1562" s="12" t="str">
        <f t="shared" si="294"/>
        <v>SCHEEPERS</v>
      </c>
      <c r="D1562" s="12" t="s">
        <v>12371</v>
      </c>
      <c r="E1562" s="12" t="str">
        <f t="shared" si="304"/>
        <v>Hendrik Petrus Gerrit</v>
      </c>
      <c r="F1562" s="12" t="s">
        <v>12372</v>
      </c>
      <c r="G1562" s="12" t="str">
        <f t="shared" si="295"/>
        <v>a1b2c4d2e10</v>
      </c>
      <c r="H1562" s="12" t="str">
        <f t="shared" si="296"/>
        <v>SCHEEPERSa1b2c4d2e10</v>
      </c>
      <c r="J1562" s="12"/>
      <c r="K1562" s="12" t="str">
        <f t="shared" si="297"/>
        <v/>
      </c>
      <c r="M1562" s="12"/>
      <c r="N1562" s="12" t="str">
        <f t="shared" si="302"/>
        <v/>
      </c>
      <c r="O1562" s="12" t="str">
        <f t="shared" si="303"/>
        <v/>
      </c>
      <c r="P1562" s="12"/>
      <c r="Q1562" s="12" t="str">
        <f t="shared" si="298"/>
        <v/>
      </c>
      <c r="R1562" s="12"/>
      <c r="S1562" s="12" t="str">
        <f t="shared" si="299"/>
        <v/>
      </c>
      <c r="T1562" s="12" t="s">
        <v>53</v>
      </c>
      <c r="U1562" s="12" t="s">
        <v>4983</v>
      </c>
      <c r="V1562" s="12" t="str">
        <f t="shared" si="300"/>
        <v>1825</v>
      </c>
      <c r="W1562" s="12" t="s">
        <v>711</v>
      </c>
      <c r="X1562" s="12" t="s">
        <v>778</v>
      </c>
      <c r="Y1562" s="12"/>
      <c r="AA1562" s="12"/>
      <c r="AC1562" s="12" t="s">
        <v>12373</v>
      </c>
      <c r="AD1562" s="12"/>
      <c r="AE1562" s="12" t="s">
        <v>974</v>
      </c>
      <c r="AF1562" s="12" t="s">
        <v>3724</v>
      </c>
      <c r="AG1562" s="12" t="s">
        <v>53</v>
      </c>
      <c r="AH1562" s="12" t="s">
        <v>12374</v>
      </c>
      <c r="AI1562" s="12" t="str">
        <f t="shared" si="301"/>
        <v>1840</v>
      </c>
      <c r="AK1562" s="2" t="s">
        <v>90</v>
      </c>
      <c r="AL1562" s="2" t="s">
        <v>53</v>
      </c>
      <c r="AM1562" s="2" t="s">
        <v>2318</v>
      </c>
      <c r="AN1562" s="2" t="s">
        <v>12375</v>
      </c>
      <c r="AO1562" s="2" t="s">
        <v>12376</v>
      </c>
      <c r="AV1562" s="2">
        <v>1840</v>
      </c>
    </row>
    <row r="1563" spans="1:56">
      <c r="A1563" s="13" t="s">
        <v>3799</v>
      </c>
      <c r="B1563" s="12" t="str">
        <f t="shared" si="293"/>
        <v>SCHEEPERS</v>
      </c>
      <c r="C1563" s="12" t="str">
        <f t="shared" si="294"/>
        <v>SCHEEPERS</v>
      </c>
      <c r="D1563" s="12" t="s">
        <v>2253</v>
      </c>
      <c r="E1563" s="12" t="str">
        <f t="shared" si="304"/>
        <v>Johannes Jacobus</v>
      </c>
      <c r="F1563" s="2" t="s">
        <v>12395</v>
      </c>
      <c r="G1563" s="12" t="str">
        <f t="shared" si="295"/>
        <v>a1b2c4d2e7</v>
      </c>
      <c r="H1563" s="12" t="str">
        <f t="shared" si="296"/>
        <v>SCHEEPERSa1b2c4d2e7</v>
      </c>
      <c r="K1563" s="12" t="str">
        <f t="shared" si="297"/>
        <v/>
      </c>
      <c r="L1563" s="2" t="s">
        <v>5185</v>
      </c>
      <c r="M1563" s="2" t="s">
        <v>9518</v>
      </c>
      <c r="N1563" s="12" t="str">
        <f t="shared" si="302"/>
        <v/>
      </c>
      <c r="O1563" s="12" t="str">
        <f t="shared" si="303"/>
        <v>1800</v>
      </c>
      <c r="Q1563" s="12" t="str">
        <f t="shared" si="298"/>
        <v>1800</v>
      </c>
      <c r="S1563" s="12" t="str">
        <f t="shared" si="299"/>
        <v/>
      </c>
      <c r="T1563" s="2" t="s">
        <v>53</v>
      </c>
      <c r="U1563" s="2" t="s">
        <v>11782</v>
      </c>
      <c r="V1563" s="12" t="str">
        <f t="shared" si="300"/>
        <v>1820</v>
      </c>
      <c r="W1563" s="2" t="s">
        <v>819</v>
      </c>
      <c r="X1563" s="2" t="s">
        <v>1077</v>
      </c>
      <c r="Y1563" s="2" t="s">
        <v>12396</v>
      </c>
      <c r="AA1563" s="2" t="s">
        <v>12397</v>
      </c>
      <c r="AD1563" s="2" t="s">
        <v>2520</v>
      </c>
      <c r="AE1563" s="2" t="s">
        <v>12398</v>
      </c>
      <c r="AF1563" s="12" t="s">
        <v>3724</v>
      </c>
      <c r="AG1563" s="12" t="s">
        <v>53</v>
      </c>
      <c r="AH1563" s="12" t="s">
        <v>12399</v>
      </c>
      <c r="AI1563" s="12" t="str">
        <f t="shared" si="301"/>
        <v>1836</v>
      </c>
      <c r="AK1563" s="2" t="s">
        <v>140</v>
      </c>
    </row>
    <row r="1564" spans="1:56">
      <c r="A1564" s="13" t="s">
        <v>3799</v>
      </c>
      <c r="B1564" s="12" t="str">
        <f t="shared" si="293"/>
        <v>SCHEEPERS</v>
      </c>
      <c r="C1564" s="12" t="str">
        <f t="shared" si="294"/>
        <v>SCHEEPERS</v>
      </c>
      <c r="D1564" s="12" t="s">
        <v>12359</v>
      </c>
      <c r="E1564" s="12" t="str">
        <f t="shared" si="304"/>
        <v>Hendrik Christoffel Pretrus</v>
      </c>
      <c r="F1564" s="2" t="s">
        <v>12360</v>
      </c>
      <c r="G1564" s="12" t="str">
        <f t="shared" si="295"/>
        <v>a1b2c4d2e9</v>
      </c>
      <c r="H1564" s="12" t="str">
        <f t="shared" si="296"/>
        <v>SCHEEPERSa1b2c4d2e9</v>
      </c>
      <c r="K1564" s="12" t="str">
        <f t="shared" si="297"/>
        <v/>
      </c>
      <c r="L1564" s="2" t="s">
        <v>74</v>
      </c>
      <c r="M1564" s="2" t="s">
        <v>4212</v>
      </c>
      <c r="N1564" s="12" t="str">
        <f t="shared" si="302"/>
        <v/>
      </c>
      <c r="O1564" s="12" t="str">
        <f t="shared" si="303"/>
        <v>1806</v>
      </c>
      <c r="P1564" s="2" t="s">
        <v>67</v>
      </c>
      <c r="Q1564" s="12" t="str">
        <f t="shared" si="298"/>
        <v>1806</v>
      </c>
      <c r="R1564" s="2" t="s">
        <v>12361</v>
      </c>
      <c r="S1564" s="12" t="str">
        <f t="shared" si="299"/>
        <v>1880</v>
      </c>
      <c r="T1564" s="2" t="s">
        <v>90</v>
      </c>
      <c r="U1564" s="2" t="s">
        <v>12362</v>
      </c>
      <c r="V1564" s="12" t="str">
        <f t="shared" si="300"/>
        <v>1839</v>
      </c>
      <c r="W1564" s="2" t="s">
        <v>624</v>
      </c>
      <c r="X1564" s="2" t="s">
        <v>618</v>
      </c>
      <c r="Y1564" s="2" t="s">
        <v>12363</v>
      </c>
      <c r="AF1564" s="2" t="s">
        <v>3724</v>
      </c>
      <c r="AG1564" s="2" t="s">
        <v>53</v>
      </c>
      <c r="AH1564" s="2" t="s">
        <v>12364</v>
      </c>
      <c r="AI1564" s="12" t="str">
        <f t="shared" si="301"/>
        <v>1841</v>
      </c>
      <c r="AJ1564" s="2" t="s">
        <v>12354</v>
      </c>
      <c r="AK1564" s="2" t="s">
        <v>570</v>
      </c>
    </row>
    <row r="1565" spans="1:56">
      <c r="A1565" s="13" t="s">
        <v>3799</v>
      </c>
      <c r="B1565" s="12" t="str">
        <f t="shared" si="293"/>
        <v>SCHEEPERS</v>
      </c>
      <c r="C1565" s="12" t="str">
        <f t="shared" si="294"/>
        <v>SCHEEPERS</v>
      </c>
      <c r="D1565" s="12" t="s">
        <v>12327</v>
      </c>
      <c r="E1565" s="12" t="str">
        <f t="shared" si="304"/>
        <v>Gerhardus (Gert) Stephanus</v>
      </c>
      <c r="F1565" s="12" t="s">
        <v>12328</v>
      </c>
      <c r="G1565" s="12" t="str">
        <f t="shared" si="295"/>
        <v>a1b2c4d5e1</v>
      </c>
      <c r="H1565" s="12" t="str">
        <f t="shared" si="296"/>
        <v>SCHEEPERSa1b2c4d5e1</v>
      </c>
      <c r="J1565" s="12" t="s">
        <v>12329</v>
      </c>
      <c r="K1565" s="12" t="str">
        <f t="shared" si="297"/>
        <v>1797</v>
      </c>
      <c r="L1565" s="12"/>
      <c r="M1565" s="12" t="s">
        <v>12330</v>
      </c>
      <c r="N1565" s="12" t="str">
        <f t="shared" si="302"/>
        <v>1797</v>
      </c>
      <c r="O1565" s="12" t="str">
        <f t="shared" si="303"/>
        <v>1798</v>
      </c>
      <c r="P1565" s="2" t="s">
        <v>8673</v>
      </c>
      <c r="Q1565" s="12" t="str">
        <f t="shared" si="298"/>
        <v>1797</v>
      </c>
      <c r="R1565" s="12" t="s">
        <v>12331</v>
      </c>
      <c r="S1565" s="12" t="str">
        <f t="shared" si="299"/>
        <v>1837</v>
      </c>
      <c r="T1565" s="12" t="s">
        <v>53</v>
      </c>
      <c r="U1565" s="12" t="s">
        <v>5015</v>
      </c>
      <c r="V1565" s="12" t="str">
        <f t="shared" si="300"/>
        <v>1821</v>
      </c>
      <c r="W1565" s="12" t="s">
        <v>12332</v>
      </c>
      <c r="X1565" s="12" t="s">
        <v>3799</v>
      </c>
      <c r="Y1565" s="2" t="s">
        <v>12333</v>
      </c>
      <c r="AA1565" s="12" t="s">
        <v>12334</v>
      </c>
      <c r="AB1565" s="12" t="s">
        <v>32</v>
      </c>
      <c r="AC1565" s="2" t="s">
        <v>12335</v>
      </c>
      <c r="AD1565" s="12" t="s">
        <v>1547</v>
      </c>
      <c r="AE1565" s="12" t="s">
        <v>12336</v>
      </c>
      <c r="AF1565" s="12" t="s">
        <v>12337</v>
      </c>
      <c r="AG1565" s="12" t="s">
        <v>53</v>
      </c>
      <c r="AH1565" s="12" t="s">
        <v>12338</v>
      </c>
      <c r="AI1565" s="12" t="str">
        <f t="shared" si="301"/>
        <v>1835</v>
      </c>
      <c r="AJ1565" s="2" t="s">
        <v>8674</v>
      </c>
      <c r="AK1565" s="12" t="s">
        <v>1547</v>
      </c>
      <c r="AN1565" s="12"/>
      <c r="AO1565" s="12"/>
      <c r="AR1565" s="12"/>
      <c r="AU1565" s="12"/>
      <c r="AV1565" s="12"/>
      <c r="AY1565" s="12"/>
      <c r="AZ1565" s="12"/>
    </row>
    <row r="1566" spans="1:56">
      <c r="A1566" s="13" t="s">
        <v>3799</v>
      </c>
      <c r="B1566" s="12" t="str">
        <f t="shared" si="293"/>
        <v>SCHEEPERS</v>
      </c>
      <c r="C1566" s="12" t="str">
        <f t="shared" si="294"/>
        <v>SCHEEPERS</v>
      </c>
      <c r="D1566" s="12" t="s">
        <v>12407</v>
      </c>
      <c r="E1566" s="12" t="str">
        <f t="shared" si="304"/>
        <v>Marhta Magdalena</v>
      </c>
      <c r="F1566" s="2" t="s">
        <v>1962</v>
      </c>
      <c r="G1566" s="12" t="str">
        <f t="shared" si="295"/>
        <v>a1b2c4d7</v>
      </c>
      <c r="H1566" s="12" t="str">
        <f t="shared" si="296"/>
        <v>SCHEEPERSa1b2c4d7</v>
      </c>
      <c r="I1566" s="12"/>
      <c r="J1566" s="12">
        <v>1777</v>
      </c>
      <c r="K1566" s="12" t="str">
        <f t="shared" si="297"/>
        <v>1777</v>
      </c>
      <c r="L1566" s="12"/>
      <c r="M1566" s="12"/>
      <c r="N1566" s="12" t="str">
        <f t="shared" si="302"/>
        <v>1777</v>
      </c>
      <c r="O1566" s="12" t="str">
        <f t="shared" si="303"/>
        <v/>
      </c>
      <c r="P1566" s="12"/>
      <c r="Q1566" s="12" t="str">
        <f t="shared" si="298"/>
        <v>1777</v>
      </c>
      <c r="R1566" s="12"/>
      <c r="S1566" s="12" t="str">
        <f t="shared" si="299"/>
        <v/>
      </c>
      <c r="V1566" s="12" t="str">
        <f t="shared" si="300"/>
        <v/>
      </c>
      <c r="W1566" s="12" t="s">
        <v>12408</v>
      </c>
      <c r="X1566" s="12" t="s">
        <v>731</v>
      </c>
      <c r="Y1566" s="12"/>
      <c r="AC1566" s="2" t="s">
        <v>12409</v>
      </c>
      <c r="AE1566" s="2">
        <v>1804</v>
      </c>
      <c r="AF1566" s="12" t="s">
        <v>3705</v>
      </c>
      <c r="AG1566" s="12" t="s">
        <v>68</v>
      </c>
      <c r="AH1566" s="12">
        <v>1836</v>
      </c>
      <c r="AI1566" s="12" t="str">
        <f t="shared" si="301"/>
        <v>1836</v>
      </c>
      <c r="AJ1566" s="2" t="s">
        <v>1404</v>
      </c>
      <c r="AK1566" s="12" t="s">
        <v>90</v>
      </c>
      <c r="AL1566" s="12" t="s">
        <v>6098</v>
      </c>
      <c r="AM1566" s="12" t="s">
        <v>12410</v>
      </c>
      <c r="AN1566" s="12" t="s">
        <v>12411</v>
      </c>
      <c r="AO1566" s="12" t="s">
        <v>1763</v>
      </c>
      <c r="AR1566" s="12"/>
      <c r="AS1566" s="12" t="s">
        <v>961</v>
      </c>
      <c r="AT1566" s="12" t="s">
        <v>12412</v>
      </c>
      <c r="AU1566" s="2" t="s">
        <v>68</v>
      </c>
      <c r="AV1566" s="2">
        <v>1828</v>
      </c>
    </row>
    <row r="1567" spans="1:56">
      <c r="A1567" s="13" t="s">
        <v>3799</v>
      </c>
      <c r="B1567" s="12" t="str">
        <f t="shared" si="293"/>
        <v>SCHEEPERS</v>
      </c>
      <c r="C1567" s="12" t="str">
        <f t="shared" si="294"/>
        <v>SCHEEPERS</v>
      </c>
      <c r="D1567" s="12" t="s">
        <v>12426</v>
      </c>
      <c r="E1567" s="12" t="str">
        <f t="shared" si="304"/>
        <v>Sara Johanna (Catharina)</v>
      </c>
      <c r="F1567" s="12" t="s">
        <v>6571</v>
      </c>
      <c r="G1567" s="12" t="str">
        <f t="shared" si="295"/>
        <v>a1b2c6d7</v>
      </c>
      <c r="H1567" s="12" t="str">
        <f t="shared" si="296"/>
        <v>SCHEEPERSa1b2c6d7</v>
      </c>
      <c r="I1567" s="2" t="s">
        <v>10719</v>
      </c>
      <c r="K1567" s="12" t="str">
        <f t="shared" si="297"/>
        <v/>
      </c>
      <c r="L1567" s="2" t="s">
        <v>6098</v>
      </c>
      <c r="M1567" s="12"/>
      <c r="N1567" s="12" t="str">
        <f t="shared" si="302"/>
        <v/>
      </c>
      <c r="O1567" s="12" t="str">
        <f t="shared" si="303"/>
        <v/>
      </c>
      <c r="P1567" s="2" t="s">
        <v>134</v>
      </c>
      <c r="Q1567" s="12" t="str">
        <f t="shared" si="298"/>
        <v/>
      </c>
      <c r="R1567" s="2" t="s">
        <v>12427</v>
      </c>
      <c r="S1567" s="12" t="str">
        <f t="shared" si="299"/>
        <v>1898</v>
      </c>
      <c r="T1567" s="12" t="s">
        <v>1071</v>
      </c>
      <c r="U1567" s="12" t="s">
        <v>9359</v>
      </c>
      <c r="V1567" s="12" t="str">
        <f t="shared" si="300"/>
        <v>1800</v>
      </c>
      <c r="W1567" s="12" t="s">
        <v>12428</v>
      </c>
      <c r="X1567" s="12" t="s">
        <v>2153</v>
      </c>
      <c r="AC1567" s="2" t="s">
        <v>12429</v>
      </c>
      <c r="AF1567" s="12"/>
      <c r="AG1567" s="12" t="s">
        <v>53</v>
      </c>
      <c r="AH1567" s="12">
        <v>1838</v>
      </c>
      <c r="AI1567" s="12" t="str">
        <f t="shared" si="301"/>
        <v>1838</v>
      </c>
      <c r="AJ1567" s="2" t="s">
        <v>12430</v>
      </c>
      <c r="AK1567" s="2" t="s">
        <v>155</v>
      </c>
      <c r="AN1567" s="12"/>
      <c r="AO1567" s="12"/>
    </row>
    <row r="1568" spans="1:56">
      <c r="A1568" s="13" t="s">
        <v>3799</v>
      </c>
      <c r="B1568" s="12" t="str">
        <f t="shared" si="293"/>
        <v>SCHEEPERS</v>
      </c>
      <c r="C1568" s="12" t="str">
        <f t="shared" si="294"/>
        <v>SCHEEPERS</v>
      </c>
      <c r="D1568" s="12" t="s">
        <v>12453</v>
      </c>
      <c r="E1568" s="12" t="str">
        <f t="shared" si="304"/>
        <v>Wilhelm Jacobus</v>
      </c>
      <c r="F1568" s="12" t="s">
        <v>12454</v>
      </c>
      <c r="G1568" s="12" t="str">
        <f t="shared" si="295"/>
        <v>a1b5c1d1e1f4</v>
      </c>
      <c r="H1568" s="12" t="str">
        <f t="shared" si="296"/>
        <v>SCHEEPERSa1b5c1d1e1f4</v>
      </c>
      <c r="J1568" s="12" t="s">
        <v>12455</v>
      </c>
      <c r="K1568" s="12" t="str">
        <f t="shared" si="297"/>
        <v>1815</v>
      </c>
      <c r="L1568" s="12" t="s">
        <v>199</v>
      </c>
      <c r="M1568" s="12" t="s">
        <v>515</v>
      </c>
      <c r="N1568" s="12" t="str">
        <f t="shared" si="302"/>
        <v>1815</v>
      </c>
      <c r="O1568" s="12" t="str">
        <f t="shared" si="303"/>
        <v>1815</v>
      </c>
      <c r="P1568" s="12" t="s">
        <v>331</v>
      </c>
      <c r="Q1568" s="12" t="str">
        <f t="shared" si="298"/>
        <v>1815</v>
      </c>
      <c r="R1568" s="12" t="s">
        <v>12456</v>
      </c>
      <c r="S1568" s="12" t="str">
        <f t="shared" si="299"/>
        <v>1893</v>
      </c>
      <c r="T1568" s="12"/>
      <c r="U1568" s="12"/>
      <c r="V1568" s="12" t="str">
        <f t="shared" si="300"/>
        <v/>
      </c>
      <c r="W1568" s="12" t="s">
        <v>12457</v>
      </c>
      <c r="X1568" s="12" t="s">
        <v>3799</v>
      </c>
      <c r="Y1568" s="12"/>
      <c r="AA1568" s="12"/>
      <c r="AB1568" s="12"/>
      <c r="AC1568" s="12"/>
      <c r="AD1568" s="2" t="s">
        <v>12458</v>
      </c>
      <c r="AE1568" s="2" t="s">
        <v>12459</v>
      </c>
      <c r="AF1568" s="12" t="s">
        <v>3677</v>
      </c>
      <c r="AG1568" s="12" t="s">
        <v>53</v>
      </c>
      <c r="AH1568" s="12" t="s">
        <v>12460</v>
      </c>
      <c r="AI1568" s="12" t="str">
        <f t="shared" si="301"/>
        <v>1841</v>
      </c>
      <c r="AK1568" s="2" t="s">
        <v>90</v>
      </c>
      <c r="AN1568" s="2" t="s">
        <v>12461</v>
      </c>
      <c r="AO1568" s="2" t="s">
        <v>2136</v>
      </c>
    </row>
    <row r="1569" spans="1:59">
      <c r="A1569" s="13" t="s">
        <v>3799</v>
      </c>
      <c r="B1569" s="12" t="str">
        <f t="shared" si="293"/>
        <v>SCHEEPERS</v>
      </c>
      <c r="C1569" s="12" t="str">
        <f t="shared" si="294"/>
        <v>SCHEEPERS</v>
      </c>
      <c r="D1569" s="12" t="s">
        <v>12419</v>
      </c>
      <c r="E1569" s="12" t="str">
        <f t="shared" si="304"/>
        <v>Petrus Johannes Christoffel</v>
      </c>
      <c r="F1569" s="12" t="s">
        <v>12420</v>
      </c>
      <c r="G1569" s="12" t="str">
        <f t="shared" si="295"/>
        <v>a1b5c1d4e3</v>
      </c>
      <c r="H1569" s="12" t="str">
        <f t="shared" si="296"/>
        <v>SCHEEPERSa1b5c1d4e3</v>
      </c>
      <c r="J1569" s="12" t="s">
        <v>12421</v>
      </c>
      <c r="K1569" s="12" t="str">
        <f t="shared" si="297"/>
        <v>1799</v>
      </c>
      <c r="L1569" s="12" t="s">
        <v>5185</v>
      </c>
      <c r="M1569" s="12" t="s">
        <v>12422</v>
      </c>
      <c r="N1569" s="12" t="str">
        <f t="shared" si="302"/>
        <v>1799</v>
      </c>
      <c r="O1569" s="12" t="str">
        <f t="shared" si="303"/>
        <v>1799</v>
      </c>
      <c r="P1569" s="2" t="s">
        <v>90</v>
      </c>
      <c r="Q1569" s="12" t="str">
        <f t="shared" si="298"/>
        <v>1799</v>
      </c>
      <c r="R1569" s="2" t="s">
        <v>12423</v>
      </c>
      <c r="S1569" s="12" t="str">
        <f t="shared" si="299"/>
        <v>1847</v>
      </c>
      <c r="T1569" s="12" t="s">
        <v>6098</v>
      </c>
      <c r="U1569" s="12"/>
      <c r="V1569" s="12" t="str">
        <f t="shared" si="300"/>
        <v/>
      </c>
      <c r="W1569" s="12" t="s">
        <v>3069</v>
      </c>
      <c r="X1569" s="12" t="s">
        <v>12424</v>
      </c>
      <c r="Y1569" s="12"/>
      <c r="AA1569" s="12"/>
      <c r="AC1569" s="12"/>
      <c r="AD1569" s="2" t="s">
        <v>12425</v>
      </c>
      <c r="AE1569" s="2">
        <v>1847</v>
      </c>
      <c r="AF1569" s="12" t="s">
        <v>3677</v>
      </c>
      <c r="AG1569" s="12" t="s">
        <v>53</v>
      </c>
      <c r="AH1569" s="12"/>
      <c r="AI1569" s="12" t="str">
        <f t="shared" si="301"/>
        <v/>
      </c>
      <c r="AK1569" s="2" t="s">
        <v>90</v>
      </c>
    </row>
    <row r="1570" spans="1:59">
      <c r="A1570" s="13" t="s">
        <v>660</v>
      </c>
      <c r="B1570" s="12" t="str">
        <f t="shared" si="293"/>
        <v>SCHOEMAN</v>
      </c>
      <c r="C1570" s="12" t="str">
        <f t="shared" si="294"/>
        <v>SCHOEMAN</v>
      </c>
      <c r="D1570" s="12" t="s">
        <v>12488</v>
      </c>
      <c r="E1570" s="12" t="str">
        <f t="shared" si="304"/>
        <v>Hendrik Nicolaas</v>
      </c>
      <c r="F1570" s="12" t="s">
        <v>12489</v>
      </c>
      <c r="G1570" s="12" t="str">
        <f t="shared" si="295"/>
        <v>a1b1c11</v>
      </c>
      <c r="H1570" s="12" t="str">
        <f t="shared" si="296"/>
        <v>SCHOEMANa1b1c11</v>
      </c>
      <c r="J1570" s="12"/>
      <c r="K1570" s="12" t="str">
        <f t="shared" si="297"/>
        <v/>
      </c>
      <c r="L1570" s="2" t="s">
        <v>542</v>
      </c>
      <c r="M1570" s="12" t="s">
        <v>12490</v>
      </c>
      <c r="N1570" s="12" t="str">
        <f t="shared" si="302"/>
        <v/>
      </c>
      <c r="O1570" s="12" t="str">
        <f t="shared" si="303"/>
        <v>1780</v>
      </c>
      <c r="Q1570" s="12" t="str">
        <f t="shared" si="298"/>
        <v>1780</v>
      </c>
      <c r="S1570" s="12" t="str">
        <f t="shared" si="299"/>
        <v/>
      </c>
      <c r="T1570" s="12" t="s">
        <v>6098</v>
      </c>
      <c r="U1570" s="12" t="s">
        <v>6590</v>
      </c>
      <c r="V1570" s="12" t="str">
        <f t="shared" si="300"/>
        <v>1801</v>
      </c>
      <c r="W1570" s="12" t="s">
        <v>1324</v>
      </c>
      <c r="X1570" s="12" t="s">
        <v>266</v>
      </c>
      <c r="Y1570" s="12" t="s">
        <v>3363</v>
      </c>
      <c r="AC1570" s="2" t="s">
        <v>12491</v>
      </c>
      <c r="AF1570" s="12" t="s">
        <v>28</v>
      </c>
      <c r="AG1570" s="12" t="s">
        <v>68</v>
      </c>
      <c r="AH1570" s="12" t="s">
        <v>12492</v>
      </c>
      <c r="AI1570" s="12" t="str">
        <f t="shared" si="301"/>
        <v>1837</v>
      </c>
      <c r="AK1570" s="12"/>
      <c r="AL1570" s="2" t="s">
        <v>68</v>
      </c>
      <c r="AM1570" s="2" t="s">
        <v>3488</v>
      </c>
      <c r="AN1570" s="2" t="s">
        <v>4267</v>
      </c>
      <c r="AO1570" s="2" t="s">
        <v>12493</v>
      </c>
      <c r="AS1570" s="2" t="s">
        <v>1071</v>
      </c>
      <c r="AT1570" s="2" t="s">
        <v>12494</v>
      </c>
    </row>
    <row r="1571" spans="1:59">
      <c r="A1571" s="13" t="s">
        <v>660</v>
      </c>
      <c r="B1571" s="12" t="str">
        <f t="shared" si="293"/>
        <v>SCHOEMAN</v>
      </c>
      <c r="C1571" s="12" t="str">
        <f t="shared" si="294"/>
        <v>SCHOEMAN</v>
      </c>
      <c r="D1571" s="12" t="s">
        <v>12488</v>
      </c>
      <c r="E1571" s="12" t="str">
        <f t="shared" si="304"/>
        <v>Hendrik Nicolaas</v>
      </c>
      <c r="F1571" s="12" t="s">
        <v>12495</v>
      </c>
      <c r="G1571" s="12" t="str">
        <f t="shared" si="295"/>
        <v>a1b1c11d5</v>
      </c>
      <c r="H1571" s="12" t="str">
        <f t="shared" si="296"/>
        <v>SCHOEMANa1b1c11d5</v>
      </c>
      <c r="J1571" s="2" t="s">
        <v>405</v>
      </c>
      <c r="K1571" s="12" t="str">
        <f t="shared" si="297"/>
        <v>1814</v>
      </c>
      <c r="L1571" s="2" t="s">
        <v>74</v>
      </c>
      <c r="M1571" s="12"/>
      <c r="N1571" s="12" t="str">
        <f t="shared" si="302"/>
        <v>1814</v>
      </c>
      <c r="O1571" s="12" t="str">
        <f t="shared" si="303"/>
        <v/>
      </c>
      <c r="P1571" s="2" t="s">
        <v>1017</v>
      </c>
      <c r="Q1571" s="12" t="str">
        <f t="shared" si="298"/>
        <v>1814</v>
      </c>
      <c r="R1571" s="2" t="s">
        <v>12496</v>
      </c>
      <c r="S1571" s="12" t="str">
        <f t="shared" si="299"/>
        <v>1855</v>
      </c>
      <c r="T1571" s="12" t="s">
        <v>28</v>
      </c>
      <c r="U1571" s="12" t="s">
        <v>8660</v>
      </c>
      <c r="V1571" s="12" t="str">
        <f t="shared" si="300"/>
        <v>1836</v>
      </c>
      <c r="W1571" s="12" t="s">
        <v>12497</v>
      </c>
      <c r="X1571" s="12" t="s">
        <v>9507</v>
      </c>
      <c r="Y1571" s="12" t="s">
        <v>12127</v>
      </c>
      <c r="AA1571" s="2" t="s">
        <v>12498</v>
      </c>
      <c r="AC1571" s="12"/>
      <c r="AD1571" s="12" t="s">
        <v>2702</v>
      </c>
      <c r="AE1571" s="1">
        <v>523</v>
      </c>
      <c r="AF1571" s="12" t="s">
        <v>28</v>
      </c>
      <c r="AG1571" s="12" t="s">
        <v>68</v>
      </c>
      <c r="AH1571" s="12" t="s">
        <v>12499</v>
      </c>
      <c r="AI1571" s="12" t="str">
        <f t="shared" si="301"/>
        <v>1836</v>
      </c>
      <c r="AJ1571" s="12"/>
      <c r="AK1571" s="12" t="s">
        <v>90</v>
      </c>
    </row>
    <row r="1572" spans="1:59">
      <c r="A1572" s="13" t="s">
        <v>660</v>
      </c>
      <c r="B1572" s="12" t="str">
        <f t="shared" si="293"/>
        <v>SCHOEMAN</v>
      </c>
      <c r="C1572" s="12" t="str">
        <f t="shared" si="294"/>
        <v>SCHOEMAN</v>
      </c>
      <c r="D1572" s="12" t="s">
        <v>5106</v>
      </c>
      <c r="E1572" s="12" t="str">
        <f t="shared" si="304"/>
        <v>Stephanus Johannes</v>
      </c>
      <c r="F1572" s="12" t="s">
        <v>12577</v>
      </c>
      <c r="G1572" s="12" t="str">
        <f t="shared" si="295"/>
        <v>a1b1c1d1e1</v>
      </c>
      <c r="H1572" s="12" t="str">
        <f t="shared" si="296"/>
        <v>SCHOEMANa1b1c1d1e1</v>
      </c>
      <c r="J1572" s="2" t="s">
        <v>12578</v>
      </c>
      <c r="K1572" s="12" t="str">
        <f t="shared" si="297"/>
        <v>1812</v>
      </c>
      <c r="L1572" s="2" t="s">
        <v>74</v>
      </c>
      <c r="M1572" s="12" t="s">
        <v>2767</v>
      </c>
      <c r="N1572" s="12" t="str">
        <f t="shared" si="302"/>
        <v>1812</v>
      </c>
      <c r="O1572" s="12" t="str">
        <f t="shared" si="303"/>
        <v>1813</v>
      </c>
      <c r="P1572" s="2" t="s">
        <v>9365</v>
      </c>
      <c r="Q1572" s="12" t="str">
        <f t="shared" si="298"/>
        <v>1812</v>
      </c>
      <c r="R1572" s="2" t="s">
        <v>12579</v>
      </c>
      <c r="S1572" s="12" t="str">
        <f t="shared" si="299"/>
        <v>1865</v>
      </c>
      <c r="T1572" s="12" t="s">
        <v>53</v>
      </c>
      <c r="U1572" s="12" t="s">
        <v>12580</v>
      </c>
      <c r="V1572" s="12" t="str">
        <f t="shared" si="300"/>
        <v>1834</v>
      </c>
      <c r="W1572" s="12" t="s">
        <v>4499</v>
      </c>
      <c r="X1572" s="12" t="s">
        <v>266</v>
      </c>
      <c r="Y1572" s="12" t="s">
        <v>11281</v>
      </c>
      <c r="AA1572" s="2" t="s">
        <v>4485</v>
      </c>
      <c r="AC1572" s="2" t="s">
        <v>12581</v>
      </c>
      <c r="AE1572" s="2">
        <v>1877</v>
      </c>
      <c r="AF1572" s="12" t="s">
        <v>570</v>
      </c>
      <c r="AG1572" s="12" t="s">
        <v>53</v>
      </c>
      <c r="AH1572" s="12" t="s">
        <v>12531</v>
      </c>
      <c r="AI1572" s="12" t="str">
        <f t="shared" si="301"/>
        <v>1837</v>
      </c>
      <c r="AJ1572" s="2" t="s">
        <v>5606</v>
      </c>
      <c r="AK1572" s="12" t="s">
        <v>9365</v>
      </c>
    </row>
    <row r="1573" spans="1:59">
      <c r="A1573" s="13" t="s">
        <v>660</v>
      </c>
      <c r="B1573" s="12" t="str">
        <f t="shared" si="293"/>
        <v>SCHOEMAN</v>
      </c>
      <c r="C1573" s="12" t="str">
        <f t="shared" si="294"/>
        <v>SCHOEMAN</v>
      </c>
      <c r="D1573" s="12" t="s">
        <v>12526</v>
      </c>
      <c r="E1573" s="12" t="str">
        <f t="shared" si="304"/>
        <v>Marthinus Johannes Sr.</v>
      </c>
      <c r="F1573" s="12" t="s">
        <v>12527</v>
      </c>
      <c r="G1573" s="12" t="str">
        <f t="shared" si="295"/>
        <v>a1b1c3d1</v>
      </c>
      <c r="H1573" s="12" t="str">
        <f t="shared" si="296"/>
        <v>SCHOEMANa1b1c3d1</v>
      </c>
      <c r="I1573" s="2" t="s">
        <v>199</v>
      </c>
      <c r="J1573" s="12" t="s">
        <v>12528</v>
      </c>
      <c r="K1573" s="12" t="str">
        <f t="shared" si="297"/>
        <v>1789</v>
      </c>
      <c r="L1573" s="12" t="s">
        <v>542</v>
      </c>
      <c r="M1573" s="12" t="s">
        <v>12529</v>
      </c>
      <c r="N1573" s="12" t="str">
        <f t="shared" si="302"/>
        <v>1789</v>
      </c>
      <c r="O1573" s="12" t="str">
        <f t="shared" si="303"/>
        <v>1790</v>
      </c>
      <c r="P1573" s="2" t="s">
        <v>155</v>
      </c>
      <c r="Q1573" s="12" t="str">
        <f t="shared" si="298"/>
        <v>1789</v>
      </c>
      <c r="R1573" s="2" t="s">
        <v>12530</v>
      </c>
      <c r="S1573" s="12" t="str">
        <f t="shared" si="299"/>
        <v>1848</v>
      </c>
      <c r="T1573" s="2" t="s">
        <v>74</v>
      </c>
      <c r="U1573" s="2" t="s">
        <v>7509</v>
      </c>
      <c r="V1573" s="12" t="str">
        <f t="shared" si="300"/>
        <v>1810</v>
      </c>
      <c r="W1573" s="12" t="s">
        <v>4694</v>
      </c>
      <c r="X1573" s="12" t="s">
        <v>3799</v>
      </c>
      <c r="Y1573" s="12"/>
      <c r="AB1573" s="2" t="s">
        <v>74</v>
      </c>
      <c r="AC1573" s="2" t="s">
        <v>2693</v>
      </c>
      <c r="AF1573" s="12" t="s">
        <v>570</v>
      </c>
      <c r="AG1573" s="12" t="s">
        <v>53</v>
      </c>
      <c r="AH1573" s="12" t="s">
        <v>12531</v>
      </c>
      <c r="AI1573" s="12" t="str">
        <f t="shared" si="301"/>
        <v>1837</v>
      </c>
      <c r="AJ1573" s="2" t="s">
        <v>5606</v>
      </c>
      <c r="AK1573" s="12" t="s">
        <v>155</v>
      </c>
    </row>
    <row r="1574" spans="1:59">
      <c r="A1574" s="13" t="s">
        <v>660</v>
      </c>
      <c r="B1574" s="12" t="str">
        <f t="shared" si="293"/>
        <v>SCHOEMAN</v>
      </c>
      <c r="C1574" s="12" t="str">
        <f t="shared" si="294"/>
        <v>SCHOEMAN</v>
      </c>
      <c r="D1574" s="12" t="s">
        <v>12532</v>
      </c>
      <c r="E1574" s="12" t="str">
        <f t="shared" si="304"/>
        <v>Marthinus Johannes Jr.</v>
      </c>
      <c r="F1574" s="2" t="s">
        <v>12533</v>
      </c>
      <c r="G1574" s="12" t="str">
        <f t="shared" si="295"/>
        <v>a1b1c3d1e4</v>
      </c>
      <c r="H1574" s="12" t="str">
        <f t="shared" si="296"/>
        <v>SCHOEMANa1b1c3d1e4</v>
      </c>
      <c r="J1574" s="2" t="s">
        <v>12534</v>
      </c>
      <c r="K1574" s="12" t="str">
        <f t="shared" si="297"/>
        <v>1819</v>
      </c>
      <c r="L1574" s="2" t="s">
        <v>53</v>
      </c>
      <c r="M1574" s="2" t="s">
        <v>12535</v>
      </c>
      <c r="N1574" s="12" t="str">
        <f t="shared" si="302"/>
        <v>1819</v>
      </c>
      <c r="O1574" s="12" t="str">
        <f t="shared" si="303"/>
        <v>1820</v>
      </c>
      <c r="P1574" s="2" t="s">
        <v>67</v>
      </c>
      <c r="Q1574" s="12" t="str">
        <f t="shared" si="298"/>
        <v>1819</v>
      </c>
      <c r="R1574" s="2" t="s">
        <v>12536</v>
      </c>
      <c r="S1574" s="12" t="str">
        <f t="shared" si="299"/>
        <v>1880</v>
      </c>
      <c r="T1574" s="2" t="s">
        <v>90</v>
      </c>
      <c r="U1574" s="2" t="s">
        <v>12537</v>
      </c>
      <c r="V1574" s="12" t="str">
        <f t="shared" si="300"/>
        <v>1838</v>
      </c>
      <c r="W1574" s="2" t="s">
        <v>3389</v>
      </c>
      <c r="X1574" s="2" t="s">
        <v>2363</v>
      </c>
      <c r="Y1574" s="2" t="s">
        <v>3383</v>
      </c>
      <c r="AA1574" s="2" t="s">
        <v>5511</v>
      </c>
      <c r="AC1574" s="2" t="s">
        <v>4369</v>
      </c>
      <c r="AD1574" s="2" t="s">
        <v>67</v>
      </c>
      <c r="AE1574" s="2" t="s">
        <v>12538</v>
      </c>
      <c r="AF1574" s="12" t="s">
        <v>570</v>
      </c>
      <c r="AG1574" s="12" t="s">
        <v>53</v>
      </c>
      <c r="AH1574" s="12" t="s">
        <v>12531</v>
      </c>
      <c r="AI1574" s="12" t="str">
        <f t="shared" si="301"/>
        <v>1837</v>
      </c>
      <c r="AJ1574" s="2" t="s">
        <v>5606</v>
      </c>
      <c r="AK1574" s="2" t="s">
        <v>67</v>
      </c>
      <c r="AN1574" s="2" t="s">
        <v>1611</v>
      </c>
      <c r="AO1574" s="2" t="s">
        <v>3314</v>
      </c>
      <c r="AR1574" s="2" t="s">
        <v>12539</v>
      </c>
      <c r="AS1574" s="2" t="s">
        <v>53</v>
      </c>
      <c r="AT1574" s="2" t="s">
        <v>12540</v>
      </c>
      <c r="AU1574" s="2" t="s">
        <v>67</v>
      </c>
      <c r="AV1574" s="2" t="s">
        <v>12541</v>
      </c>
    </row>
    <row r="1575" spans="1:59">
      <c r="A1575" s="13" t="s">
        <v>660</v>
      </c>
      <c r="B1575" s="12" t="str">
        <f t="shared" si="293"/>
        <v>SCHOEMAN</v>
      </c>
      <c r="C1575" s="12" t="str">
        <f t="shared" si="294"/>
        <v>SCHOEMAN</v>
      </c>
      <c r="D1575" s="12" t="s">
        <v>6464</v>
      </c>
      <c r="E1575" s="12" t="str">
        <f t="shared" si="304"/>
        <v>Petrus Albertus</v>
      </c>
      <c r="F1575" s="12" t="s">
        <v>12555</v>
      </c>
      <c r="G1575" s="12" t="str">
        <f t="shared" si="295"/>
        <v>a1b1c3d1e6</v>
      </c>
      <c r="H1575" s="12" t="str">
        <f t="shared" si="296"/>
        <v>SCHOEMANa1b1c3d1e6</v>
      </c>
      <c r="J1575" s="12" t="s">
        <v>12556</v>
      </c>
      <c r="K1575" s="12" t="str">
        <f t="shared" si="297"/>
        <v>1823</v>
      </c>
      <c r="L1575" s="12" t="s">
        <v>53</v>
      </c>
      <c r="M1575" s="12" t="s">
        <v>12557</v>
      </c>
      <c r="N1575" s="12" t="str">
        <f t="shared" si="302"/>
        <v>1823</v>
      </c>
      <c r="O1575" s="12" t="str">
        <f t="shared" si="303"/>
        <v>1824</v>
      </c>
      <c r="P1575" s="2" t="s">
        <v>134</v>
      </c>
      <c r="Q1575" s="12" t="str">
        <f t="shared" si="298"/>
        <v>1823</v>
      </c>
      <c r="R1575" s="2" t="s">
        <v>12558</v>
      </c>
      <c r="S1575" s="12" t="str">
        <f t="shared" si="299"/>
        <v>1885</v>
      </c>
      <c r="T1575" s="12" t="s">
        <v>134</v>
      </c>
      <c r="U1575" s="12"/>
      <c r="V1575" s="12" t="str">
        <f t="shared" si="300"/>
        <v/>
      </c>
      <c r="W1575" s="12" t="s">
        <v>12559</v>
      </c>
      <c r="X1575" s="12" t="s">
        <v>2995</v>
      </c>
      <c r="Y1575" s="12"/>
      <c r="Z1575" s="2" t="s">
        <v>32</v>
      </c>
      <c r="AA1575" s="2" t="s">
        <v>12560</v>
      </c>
      <c r="AD1575" s="2" t="s">
        <v>134</v>
      </c>
      <c r="AE1575" s="2" t="s">
        <v>12561</v>
      </c>
      <c r="AF1575" s="2" t="s">
        <v>570</v>
      </c>
      <c r="AG1575" s="12" t="s">
        <v>53</v>
      </c>
      <c r="AH1575" s="12" t="s">
        <v>12531</v>
      </c>
      <c r="AI1575" s="12" t="str">
        <f t="shared" si="301"/>
        <v>1837</v>
      </c>
      <c r="AJ1575" s="2" t="s">
        <v>5606</v>
      </c>
      <c r="AK1575" s="12" t="s">
        <v>134</v>
      </c>
    </row>
    <row r="1576" spans="1:59">
      <c r="A1576" s="13" t="s">
        <v>660</v>
      </c>
      <c r="B1576" s="12" t="str">
        <f t="shared" si="293"/>
        <v>SCHOEMAN</v>
      </c>
      <c r="C1576" s="12" t="str">
        <f t="shared" si="294"/>
        <v>SCHOEMAN</v>
      </c>
      <c r="D1576" s="12" t="s">
        <v>6464</v>
      </c>
      <c r="E1576" s="12" t="str">
        <f t="shared" si="304"/>
        <v>Petrus Albertus</v>
      </c>
      <c r="F1576" s="12" t="s">
        <v>12562</v>
      </c>
      <c r="G1576" s="12" t="str">
        <f t="shared" si="295"/>
        <v>a1b1c3d4</v>
      </c>
      <c r="H1576" s="12" t="str">
        <f t="shared" si="296"/>
        <v>SCHOEMANa1b1c3d4</v>
      </c>
      <c r="J1576" s="2" t="s">
        <v>12563</v>
      </c>
      <c r="K1576" s="12" t="str">
        <f t="shared" si="297"/>
        <v>1796</v>
      </c>
      <c r="L1576" s="2" t="s">
        <v>74</v>
      </c>
      <c r="M1576" s="12" t="s">
        <v>238</v>
      </c>
      <c r="N1576" s="12" t="str">
        <f t="shared" si="302"/>
        <v>1796</v>
      </c>
      <c r="O1576" s="12" t="str">
        <f t="shared" si="303"/>
        <v>1797</v>
      </c>
      <c r="P1576" s="2" t="s">
        <v>155</v>
      </c>
      <c r="Q1576" s="12" t="str">
        <f t="shared" si="298"/>
        <v>1796</v>
      </c>
      <c r="R1576" s="2" t="s">
        <v>12564</v>
      </c>
      <c r="S1576" s="12" t="str">
        <f t="shared" si="299"/>
        <v>1886</v>
      </c>
      <c r="T1576" s="12" t="s">
        <v>53</v>
      </c>
      <c r="U1576" s="12" t="s">
        <v>305</v>
      </c>
      <c r="V1576" s="12" t="str">
        <f t="shared" si="300"/>
        <v>1817</v>
      </c>
      <c r="W1576" s="12" t="s">
        <v>2756</v>
      </c>
      <c r="X1576" s="12" t="s">
        <v>266</v>
      </c>
      <c r="Y1576" s="2" t="s">
        <v>12565</v>
      </c>
      <c r="AA1576" s="2" t="s">
        <v>3981</v>
      </c>
      <c r="AC1576" s="2" t="s">
        <v>12566</v>
      </c>
      <c r="AD1576" s="2" t="s">
        <v>12567</v>
      </c>
      <c r="AE1576" s="2" t="s">
        <v>12568</v>
      </c>
      <c r="AF1576" s="2" t="s">
        <v>570</v>
      </c>
      <c r="AG1576" s="12" t="s">
        <v>53</v>
      </c>
      <c r="AH1576" s="12" t="s">
        <v>2489</v>
      </c>
      <c r="AI1576" s="12" t="str">
        <f t="shared" si="301"/>
        <v>1841</v>
      </c>
      <c r="AK1576" s="12" t="s">
        <v>90</v>
      </c>
      <c r="AL1576" s="12"/>
      <c r="AM1576" s="12"/>
      <c r="AN1576" s="12"/>
      <c r="AO1576" s="12"/>
      <c r="AP1576" s="12"/>
    </row>
    <row r="1577" spans="1:59">
      <c r="A1577" s="13" t="s">
        <v>660</v>
      </c>
      <c r="B1577" s="12" t="str">
        <f t="shared" si="293"/>
        <v>SCHOEMAN</v>
      </c>
      <c r="C1577" s="12" t="str">
        <f t="shared" si="294"/>
        <v>SCHOEMAN</v>
      </c>
      <c r="D1577" s="12" t="s">
        <v>5106</v>
      </c>
      <c r="E1577" s="12" t="str">
        <f t="shared" si="304"/>
        <v>Stephanus Johannes</v>
      </c>
      <c r="F1577" s="12" t="s">
        <v>12587</v>
      </c>
      <c r="G1577" s="12" t="str">
        <f t="shared" si="295"/>
        <v>a1b1c3d4e1</v>
      </c>
      <c r="H1577" s="12" t="str">
        <f t="shared" si="296"/>
        <v>SCHOEMANa1b1c3d4e1</v>
      </c>
      <c r="J1577" s="2" t="s">
        <v>12588</v>
      </c>
      <c r="K1577" s="12" t="str">
        <f t="shared" si="297"/>
        <v>1818</v>
      </c>
      <c r="L1577" s="2" t="s">
        <v>74</v>
      </c>
      <c r="M1577" s="2" t="s">
        <v>441</v>
      </c>
      <c r="N1577" s="12" t="str">
        <f t="shared" si="302"/>
        <v>1818</v>
      </c>
      <c r="O1577" s="12" t="str">
        <f t="shared" si="303"/>
        <v>1819</v>
      </c>
      <c r="P1577" s="2" t="s">
        <v>134</v>
      </c>
      <c r="Q1577" s="12" t="str">
        <f t="shared" si="298"/>
        <v>1818</v>
      </c>
      <c r="R1577" s="2" t="s">
        <v>12589</v>
      </c>
      <c r="S1577" s="12" t="str">
        <f t="shared" si="299"/>
        <v>1886</v>
      </c>
      <c r="T1577" s="2" t="s">
        <v>83</v>
      </c>
      <c r="U1577" s="2" t="s">
        <v>9219</v>
      </c>
      <c r="V1577" s="12" t="str">
        <f t="shared" si="300"/>
        <v>1841</v>
      </c>
      <c r="W1577" s="2" t="s">
        <v>5582</v>
      </c>
      <c r="X1577" s="2" t="s">
        <v>661</v>
      </c>
      <c r="Y1577" s="2" t="s">
        <v>12590</v>
      </c>
      <c r="Z1577" s="2" t="s">
        <v>199</v>
      </c>
      <c r="AA1577" s="2">
        <v>1822</v>
      </c>
      <c r="AD1577" s="2" t="s">
        <v>134</v>
      </c>
      <c r="AE1577" s="2" t="s">
        <v>12591</v>
      </c>
      <c r="AF1577" s="2" t="s">
        <v>570</v>
      </c>
      <c r="AG1577" s="2" t="s">
        <v>53</v>
      </c>
      <c r="AH1577" s="2" t="s">
        <v>12364</v>
      </c>
      <c r="AI1577" s="12" t="str">
        <f t="shared" si="301"/>
        <v>1841</v>
      </c>
      <c r="AK1577" s="2" t="s">
        <v>134</v>
      </c>
      <c r="AL1577" s="2" t="s">
        <v>134</v>
      </c>
      <c r="AM1577" s="2" t="s">
        <v>12592</v>
      </c>
      <c r="AN1577" s="2" t="s">
        <v>2249</v>
      </c>
      <c r="AO1577" s="2" t="s">
        <v>1578</v>
      </c>
      <c r="AQ1577" s="2" t="s">
        <v>28</v>
      </c>
      <c r="AR1577" s="2" t="s">
        <v>12593</v>
      </c>
    </row>
    <row r="1578" spans="1:59">
      <c r="A1578" s="13" t="s">
        <v>660</v>
      </c>
      <c r="B1578" s="12" t="str">
        <f t="shared" si="293"/>
        <v>SCHOEMAN</v>
      </c>
      <c r="C1578" s="12" t="str">
        <f t="shared" si="294"/>
        <v>SCHOEMAN</v>
      </c>
      <c r="D1578" s="12" t="s">
        <v>6021</v>
      </c>
      <c r="E1578" s="12" t="str">
        <f t="shared" si="304"/>
        <v>Johannes Jurie</v>
      </c>
      <c r="F1578" s="12" t="s">
        <v>12513</v>
      </c>
      <c r="G1578" s="12" t="str">
        <f t="shared" si="295"/>
        <v>a1b1c3d4e2</v>
      </c>
      <c r="H1578" s="12" t="str">
        <f t="shared" si="296"/>
        <v>SCHOEMANa1b1c3d4e2</v>
      </c>
      <c r="J1578" s="12" t="s">
        <v>12514</v>
      </c>
      <c r="K1578" s="12" t="str">
        <f t="shared" si="297"/>
        <v>1820</v>
      </c>
      <c r="L1578" s="12" t="s">
        <v>53</v>
      </c>
      <c r="M1578" s="12" t="s">
        <v>12515</v>
      </c>
      <c r="N1578" s="12" t="str">
        <f t="shared" si="302"/>
        <v>1820</v>
      </c>
      <c r="O1578" s="12" t="str">
        <f t="shared" si="303"/>
        <v>1821</v>
      </c>
      <c r="P1578" s="12" t="s">
        <v>134</v>
      </c>
      <c r="Q1578" s="12" t="str">
        <f t="shared" si="298"/>
        <v>1820</v>
      </c>
      <c r="R1578" s="12" t="s">
        <v>12516</v>
      </c>
      <c r="S1578" s="12" t="str">
        <f t="shared" si="299"/>
        <v>1873</v>
      </c>
      <c r="V1578" s="12" t="str">
        <f t="shared" si="300"/>
        <v/>
      </c>
      <c r="W1578" s="12" t="s">
        <v>1410</v>
      </c>
      <c r="X1578" s="12" t="s">
        <v>1586</v>
      </c>
      <c r="AF1578" s="12" t="s">
        <v>570</v>
      </c>
      <c r="AG1578" s="12" t="s">
        <v>53</v>
      </c>
      <c r="AH1578" s="12" t="s">
        <v>2489</v>
      </c>
      <c r="AI1578" s="12" t="str">
        <f t="shared" si="301"/>
        <v>1841</v>
      </c>
      <c r="AK1578" s="12" t="s">
        <v>134</v>
      </c>
      <c r="AL1578" s="2" t="s">
        <v>134</v>
      </c>
      <c r="AM1578" s="2" t="s">
        <v>12517</v>
      </c>
      <c r="AN1578" s="2" t="s">
        <v>12518</v>
      </c>
      <c r="AO1578" s="2" t="s">
        <v>2995</v>
      </c>
      <c r="AQ1578" s="2" t="s">
        <v>28</v>
      </c>
      <c r="AR1578" s="2" t="s">
        <v>12519</v>
      </c>
    </row>
    <row r="1579" spans="1:59">
      <c r="A1579" s="13" t="s">
        <v>660</v>
      </c>
      <c r="B1579" s="12" t="str">
        <f t="shared" si="293"/>
        <v>SCHOEMAN</v>
      </c>
      <c r="C1579" s="12" t="str">
        <f t="shared" si="294"/>
        <v>SCHOEMAN</v>
      </c>
      <c r="D1579" s="12" t="s">
        <v>6464</v>
      </c>
      <c r="E1579" s="12" t="str">
        <f t="shared" si="304"/>
        <v>Petrus Albertus</v>
      </c>
      <c r="F1579" s="12" t="s">
        <v>12546</v>
      </c>
      <c r="G1579" s="12" t="str">
        <f t="shared" si="295"/>
        <v>a1b1c3d4e3</v>
      </c>
      <c r="H1579" s="12" t="str">
        <f t="shared" si="296"/>
        <v>SCHOEMANa1b1c3d4e3</v>
      </c>
      <c r="J1579" s="12" t="s">
        <v>12547</v>
      </c>
      <c r="K1579" s="12" t="str">
        <f t="shared" si="297"/>
        <v>1822</v>
      </c>
      <c r="L1579" s="12" t="s">
        <v>53</v>
      </c>
      <c r="M1579" s="12" t="s">
        <v>344</v>
      </c>
      <c r="N1579" s="12" t="str">
        <f t="shared" si="302"/>
        <v>1822</v>
      </c>
      <c r="O1579" s="12" t="str">
        <f t="shared" si="303"/>
        <v>1822</v>
      </c>
      <c r="P1579" s="2" t="s">
        <v>3821</v>
      </c>
      <c r="Q1579" s="12" t="str">
        <f t="shared" si="298"/>
        <v>1822</v>
      </c>
      <c r="R1579" s="2" t="s">
        <v>12548</v>
      </c>
      <c r="S1579" s="12" t="str">
        <f t="shared" si="299"/>
        <v>1887</v>
      </c>
      <c r="V1579" s="12" t="str">
        <f t="shared" si="300"/>
        <v/>
      </c>
      <c r="W1579" s="12" t="s">
        <v>12549</v>
      </c>
      <c r="X1579" s="12" t="s">
        <v>662</v>
      </c>
      <c r="Y1579" s="12"/>
      <c r="AA1579" s="2">
        <v>1831</v>
      </c>
      <c r="AC1579" s="12"/>
      <c r="AD1579" s="2" t="s">
        <v>134</v>
      </c>
      <c r="AE1579" s="2" t="s">
        <v>12550</v>
      </c>
      <c r="AF1579" s="2" t="s">
        <v>570</v>
      </c>
      <c r="AG1579" s="12" t="s">
        <v>53</v>
      </c>
      <c r="AH1579" s="12" t="s">
        <v>2489</v>
      </c>
      <c r="AI1579" s="12" t="str">
        <f t="shared" si="301"/>
        <v>1841</v>
      </c>
      <c r="AK1579" s="12" t="s">
        <v>3821</v>
      </c>
      <c r="AL1579" s="12" t="s">
        <v>2877</v>
      </c>
      <c r="AM1579" s="12" t="s">
        <v>12551</v>
      </c>
      <c r="AN1579" s="12" t="s">
        <v>12552</v>
      </c>
      <c r="AO1579" s="12" t="s">
        <v>1425</v>
      </c>
      <c r="AQ1579" s="2" t="s">
        <v>60</v>
      </c>
      <c r="AR1579" s="12" t="s">
        <v>12553</v>
      </c>
      <c r="AS1579" s="2" t="s">
        <v>28</v>
      </c>
      <c r="AT1579" s="2" t="s">
        <v>3392</v>
      </c>
      <c r="AU1579" s="2" t="s">
        <v>3821</v>
      </c>
      <c r="AV1579" s="2" t="s">
        <v>12554</v>
      </c>
    </row>
    <row r="1580" spans="1:59">
      <c r="A1580" s="13" t="s">
        <v>660</v>
      </c>
      <c r="B1580" s="12" t="str">
        <f t="shared" si="293"/>
        <v>SCHOEMAN</v>
      </c>
      <c r="C1580" s="12" t="str">
        <f t="shared" si="294"/>
        <v>SCHOEMAN</v>
      </c>
      <c r="D1580" s="12" t="s">
        <v>278</v>
      </c>
      <c r="E1580" s="12" t="str">
        <f t="shared" si="304"/>
        <v>Marthinus Johannes</v>
      </c>
      <c r="F1580" s="12" t="s">
        <v>12542</v>
      </c>
      <c r="G1580" s="12" t="str">
        <f t="shared" si="295"/>
        <v>a1b1c3d4e4</v>
      </c>
      <c r="H1580" s="12" t="str">
        <f t="shared" si="296"/>
        <v>SCHOEMANa1b1c3d4e4</v>
      </c>
      <c r="J1580" s="2" t="s">
        <v>218</v>
      </c>
      <c r="K1580" s="12" t="str">
        <f t="shared" si="297"/>
        <v>1824</v>
      </c>
      <c r="L1580" s="2" t="s">
        <v>53</v>
      </c>
      <c r="M1580" s="12" t="s">
        <v>12543</v>
      </c>
      <c r="N1580" s="12" t="str">
        <f t="shared" si="302"/>
        <v>1824</v>
      </c>
      <c r="O1580" s="12" t="str">
        <f t="shared" si="303"/>
        <v>1825</v>
      </c>
      <c r="P1580" s="12"/>
      <c r="Q1580" s="12" t="str">
        <f t="shared" si="298"/>
        <v>1824</v>
      </c>
      <c r="R1580" s="12"/>
      <c r="S1580" s="12" t="str">
        <f t="shared" si="299"/>
        <v/>
      </c>
      <c r="T1580" s="12" t="s">
        <v>140</v>
      </c>
      <c r="U1580" s="12" t="s">
        <v>12544</v>
      </c>
      <c r="V1580" s="12" t="str">
        <f t="shared" si="300"/>
        <v>1849</v>
      </c>
      <c r="W1580" s="12" t="s">
        <v>12545</v>
      </c>
      <c r="X1580" s="12" t="s">
        <v>2136</v>
      </c>
      <c r="Y1580" s="12"/>
      <c r="AC1580" s="12"/>
      <c r="AD1580" s="12"/>
      <c r="AE1580" s="12"/>
      <c r="AF1580" s="2" t="s">
        <v>570</v>
      </c>
      <c r="AG1580" s="12" t="s">
        <v>53</v>
      </c>
      <c r="AH1580" s="12" t="s">
        <v>2489</v>
      </c>
      <c r="AI1580" s="12" t="str">
        <f t="shared" si="301"/>
        <v>1841</v>
      </c>
      <c r="AK1580" s="2" t="s">
        <v>90</v>
      </c>
    </row>
    <row r="1581" spans="1:59">
      <c r="A1581" s="13" t="s">
        <v>660</v>
      </c>
      <c r="B1581" s="12" t="str">
        <f t="shared" si="293"/>
        <v>SCHOEMAN</v>
      </c>
      <c r="C1581" s="12" t="str">
        <f t="shared" si="294"/>
        <v>SCHOEMAN</v>
      </c>
      <c r="D1581" s="12" t="s">
        <v>12471</v>
      </c>
      <c r="E1581" s="12" t="str">
        <f t="shared" si="304"/>
        <v>Frederik Stephanus</v>
      </c>
      <c r="F1581" s="12" t="s">
        <v>12472</v>
      </c>
      <c r="G1581" s="12" t="str">
        <f t="shared" si="295"/>
        <v>a1b1c5d3</v>
      </c>
      <c r="H1581" s="12" t="str">
        <f t="shared" si="296"/>
        <v>SCHOEMANa1b1c5d3</v>
      </c>
      <c r="J1581" s="12" t="s">
        <v>12473</v>
      </c>
      <c r="K1581" s="12" t="str">
        <f t="shared" si="297"/>
        <v>1793</v>
      </c>
      <c r="L1581" s="12"/>
      <c r="M1581" s="12" t="s">
        <v>12474</v>
      </c>
      <c r="N1581" s="12" t="str">
        <f t="shared" si="302"/>
        <v>1793</v>
      </c>
      <c r="O1581" s="12" t="str">
        <f t="shared" si="303"/>
        <v>1794</v>
      </c>
      <c r="P1581" s="2" t="s">
        <v>134</v>
      </c>
      <c r="Q1581" s="12" t="str">
        <f t="shared" si="298"/>
        <v>1793</v>
      </c>
      <c r="R1581" s="2" t="s">
        <v>12475</v>
      </c>
      <c r="S1581" s="12" t="str">
        <f t="shared" si="299"/>
        <v>1864</v>
      </c>
      <c r="T1581" s="12" t="s">
        <v>199</v>
      </c>
      <c r="U1581" s="12" t="s">
        <v>3167</v>
      </c>
      <c r="V1581" s="12" t="str">
        <f t="shared" si="300"/>
        <v>1817</v>
      </c>
      <c r="W1581" s="12" t="s">
        <v>1020</v>
      </c>
      <c r="X1581" s="12" t="s">
        <v>698</v>
      </c>
      <c r="Y1581" s="12" t="s">
        <v>11424</v>
      </c>
      <c r="AB1581" s="2" t="s">
        <v>199</v>
      </c>
      <c r="AC1581" s="2" t="s">
        <v>9453</v>
      </c>
      <c r="AD1581" s="2" t="s">
        <v>134</v>
      </c>
      <c r="AE1581" s="2" t="s">
        <v>12476</v>
      </c>
      <c r="AF1581" s="12"/>
      <c r="AG1581" s="12" t="s">
        <v>199</v>
      </c>
      <c r="AH1581" s="12" t="s">
        <v>12313</v>
      </c>
      <c r="AI1581" s="12" t="str">
        <f t="shared" si="301"/>
        <v>1837</v>
      </c>
      <c r="AJ1581" s="2" t="s">
        <v>12477</v>
      </c>
      <c r="AK1581" s="12" t="s">
        <v>134</v>
      </c>
      <c r="AN1581" s="2" t="s">
        <v>9674</v>
      </c>
      <c r="AO1581" s="2" t="s">
        <v>391</v>
      </c>
      <c r="AY1581" s="2" t="s">
        <v>11354</v>
      </c>
      <c r="AZ1581" s="2" t="s">
        <v>655</v>
      </c>
    </row>
    <row r="1582" spans="1:59">
      <c r="A1582" s="13" t="s">
        <v>660</v>
      </c>
      <c r="B1582" s="12" t="str">
        <f t="shared" si="293"/>
        <v>SCHOEMAN</v>
      </c>
      <c r="C1582" s="12" t="str">
        <f t="shared" si="294"/>
        <v>SCHOEMAN</v>
      </c>
      <c r="D1582" s="12" t="s">
        <v>30</v>
      </c>
      <c r="E1582" s="12" t="str">
        <f t="shared" si="304"/>
        <v>Johannes</v>
      </c>
      <c r="F1582" s="12" t="s">
        <v>12500</v>
      </c>
      <c r="G1582" s="12" t="str">
        <f t="shared" si="295"/>
        <v>a1b1c5d5</v>
      </c>
      <c r="H1582" s="12" t="str">
        <f t="shared" si="296"/>
        <v>SCHOEMANa1b1c5d5</v>
      </c>
      <c r="J1582" s="12" t="s">
        <v>12501</v>
      </c>
      <c r="K1582" s="12" t="str">
        <f t="shared" si="297"/>
        <v>1797</v>
      </c>
      <c r="L1582" s="12" t="s">
        <v>1955</v>
      </c>
      <c r="M1582" s="12" t="s">
        <v>12502</v>
      </c>
      <c r="N1582" s="12" t="str">
        <f t="shared" si="302"/>
        <v>1797</v>
      </c>
      <c r="O1582" s="12" t="str">
        <f t="shared" si="303"/>
        <v>1798</v>
      </c>
      <c r="P1582" s="2" t="s">
        <v>2242</v>
      </c>
      <c r="Q1582" s="12" t="str">
        <f t="shared" si="298"/>
        <v>1797</v>
      </c>
      <c r="R1582" s="2" t="s">
        <v>12503</v>
      </c>
      <c r="S1582" s="12" t="str">
        <f t="shared" si="299"/>
        <v>1890</v>
      </c>
      <c r="T1582" s="12" t="s">
        <v>199</v>
      </c>
      <c r="U1582" s="12" t="s">
        <v>246</v>
      </c>
      <c r="V1582" s="12" t="str">
        <f t="shared" si="300"/>
        <v>1823</v>
      </c>
      <c r="W1582" s="12" t="s">
        <v>806</v>
      </c>
      <c r="X1582" s="12" t="s">
        <v>660</v>
      </c>
      <c r="Y1582" s="12" t="s">
        <v>12504</v>
      </c>
      <c r="AB1582" s="2" t="s">
        <v>32</v>
      </c>
      <c r="AC1582" s="2" t="s">
        <v>251</v>
      </c>
      <c r="AD1582" s="2" t="s">
        <v>12505</v>
      </c>
      <c r="AE1582" s="2" t="s">
        <v>12506</v>
      </c>
      <c r="AF1582" s="12"/>
      <c r="AG1582" s="12" t="s">
        <v>199</v>
      </c>
      <c r="AH1582" s="12"/>
      <c r="AI1582" s="12" t="str">
        <f t="shared" si="301"/>
        <v/>
      </c>
      <c r="AK1582" s="12" t="s">
        <v>155</v>
      </c>
    </row>
    <row r="1583" spans="1:59">
      <c r="A1583" s="13" t="s">
        <v>660</v>
      </c>
      <c r="B1583" s="12" t="str">
        <f t="shared" si="293"/>
        <v>SCHOEMAN</v>
      </c>
      <c r="C1583" s="12" t="str">
        <f t="shared" si="294"/>
        <v>SCHOEMAN</v>
      </c>
      <c r="D1583" s="12" t="s">
        <v>5106</v>
      </c>
      <c r="E1583" s="12" t="str">
        <f t="shared" si="304"/>
        <v>Stephanus Johannes</v>
      </c>
      <c r="F1583" s="12" t="s">
        <v>12594</v>
      </c>
      <c r="G1583" s="12" t="str">
        <f t="shared" si="295"/>
        <v>a1b1c5d6</v>
      </c>
      <c r="H1583" s="12" t="str">
        <f t="shared" si="296"/>
        <v>SCHOEMANa1b1c5d6</v>
      </c>
      <c r="J1583" s="12"/>
      <c r="K1583" s="12" t="str">
        <f t="shared" si="297"/>
        <v/>
      </c>
      <c r="L1583" s="12" t="s">
        <v>5185</v>
      </c>
      <c r="M1583" s="12" t="s">
        <v>12595</v>
      </c>
      <c r="N1583" s="12" t="str">
        <f t="shared" si="302"/>
        <v/>
      </c>
      <c r="O1583" s="12" t="str">
        <f t="shared" si="303"/>
        <v>1800</v>
      </c>
      <c r="P1583" s="2" t="s">
        <v>1864</v>
      </c>
      <c r="Q1583" s="12" t="str">
        <f t="shared" si="298"/>
        <v>1800</v>
      </c>
      <c r="R1583" s="2" t="s">
        <v>12596</v>
      </c>
      <c r="S1583" s="12" t="str">
        <f t="shared" si="299"/>
        <v>1872</v>
      </c>
      <c r="T1583" s="2" t="s">
        <v>366</v>
      </c>
      <c r="U1583" s="2" t="s">
        <v>7627</v>
      </c>
      <c r="V1583" s="12" t="str">
        <f t="shared" si="300"/>
        <v>1828</v>
      </c>
      <c r="W1583" s="12" t="s">
        <v>820</v>
      </c>
      <c r="X1583" s="12" t="s">
        <v>391</v>
      </c>
      <c r="AC1583" s="2" t="s">
        <v>2109</v>
      </c>
      <c r="AF1583" s="12"/>
      <c r="AG1583" s="12" t="s">
        <v>199</v>
      </c>
      <c r="AH1583" s="12" t="s">
        <v>5021</v>
      </c>
      <c r="AI1583" s="12" t="str">
        <f t="shared" si="301"/>
        <v>1842</v>
      </c>
      <c r="AN1583" s="2" t="s">
        <v>12597</v>
      </c>
      <c r="AO1583" s="2" t="s">
        <v>618</v>
      </c>
      <c r="AY1583" s="2" t="s">
        <v>2958</v>
      </c>
      <c r="AZ1583" s="2" t="s">
        <v>2669</v>
      </c>
      <c r="BC1583" s="2" t="s">
        <v>12539</v>
      </c>
      <c r="BD1583" s="2" t="s">
        <v>53</v>
      </c>
      <c r="BE1583" s="2" t="s">
        <v>12540</v>
      </c>
      <c r="BF1583" s="2" t="s">
        <v>1864</v>
      </c>
      <c r="BG1583" s="2" t="s">
        <v>12541</v>
      </c>
    </row>
    <row r="1584" spans="1:59">
      <c r="A1584" s="13" t="s">
        <v>660</v>
      </c>
      <c r="B1584" s="12" t="str">
        <f t="shared" si="293"/>
        <v>SCHOEMAN</v>
      </c>
      <c r="C1584" s="12" t="str">
        <f t="shared" si="294"/>
        <v>SCHOEMAN</v>
      </c>
      <c r="D1584" s="12" t="s">
        <v>4749</v>
      </c>
      <c r="E1584" s="12" t="str">
        <f t="shared" si="304"/>
        <v>Marthinus Gerhardus</v>
      </c>
      <c r="F1584" s="12" t="s">
        <v>12520</v>
      </c>
      <c r="G1584" s="12" t="str">
        <f t="shared" si="295"/>
        <v>a1b3c2d11</v>
      </c>
      <c r="H1584" s="12" t="str">
        <f t="shared" si="296"/>
        <v>SCHOEMANa1b3c2d11</v>
      </c>
      <c r="J1584" s="2" t="s">
        <v>7046</v>
      </c>
      <c r="K1584" s="12" t="str">
        <f t="shared" si="297"/>
        <v>1813</v>
      </c>
      <c r="L1584" s="2" t="s">
        <v>199</v>
      </c>
      <c r="M1584" s="12" t="s">
        <v>1853</v>
      </c>
      <c r="N1584" s="12" t="str">
        <f t="shared" si="302"/>
        <v>1813</v>
      </c>
      <c r="O1584" s="12" t="str">
        <f t="shared" si="303"/>
        <v>1814</v>
      </c>
      <c r="P1584" s="12" t="s">
        <v>140</v>
      </c>
      <c r="Q1584" s="12" t="str">
        <f t="shared" si="298"/>
        <v>1813</v>
      </c>
      <c r="R1584" s="12" t="s">
        <v>12521</v>
      </c>
      <c r="S1584" s="12" t="str">
        <f t="shared" si="299"/>
        <v>1886</v>
      </c>
      <c r="T1584" s="12" t="s">
        <v>199</v>
      </c>
      <c r="U1584" s="12" t="s">
        <v>977</v>
      </c>
      <c r="V1584" s="12" t="str">
        <f t="shared" si="300"/>
        <v>1834</v>
      </c>
      <c r="W1584" s="12" t="s">
        <v>12522</v>
      </c>
      <c r="X1584" s="12" t="s">
        <v>660</v>
      </c>
      <c r="Y1584" s="12" t="s">
        <v>12523</v>
      </c>
      <c r="AA1584" s="2" t="s">
        <v>12524</v>
      </c>
      <c r="AB1584" s="2" t="s">
        <v>199</v>
      </c>
      <c r="AC1584" s="2" t="s">
        <v>1536</v>
      </c>
      <c r="AD1584" s="12"/>
      <c r="AE1584" s="12"/>
      <c r="AF1584" s="12" t="s">
        <v>3735</v>
      </c>
      <c r="AG1584" s="12" t="s">
        <v>199</v>
      </c>
      <c r="AH1584" s="12">
        <v>1839</v>
      </c>
      <c r="AI1584" s="12" t="str">
        <f t="shared" si="301"/>
        <v>1839</v>
      </c>
      <c r="AJ1584" s="2" t="s">
        <v>12354</v>
      </c>
      <c r="AK1584" s="2" t="s">
        <v>12525</v>
      </c>
    </row>
    <row r="1585" spans="1:59">
      <c r="A1585" s="13" t="s">
        <v>660</v>
      </c>
      <c r="B1585" s="12" t="str">
        <f t="shared" si="293"/>
        <v>SCHOEMAN</v>
      </c>
      <c r="C1585" s="12" t="str">
        <f t="shared" si="294"/>
        <v>SCHOEMAN</v>
      </c>
      <c r="D1585" s="12" t="s">
        <v>4462</v>
      </c>
      <c r="E1585" s="12" t="str">
        <f t="shared" si="304"/>
        <v>Stephanus</v>
      </c>
      <c r="F1585" s="12" t="s">
        <v>12569</v>
      </c>
      <c r="G1585" s="12" t="str">
        <f t="shared" si="295"/>
        <v>a1b3c2d9</v>
      </c>
      <c r="H1585" s="12" t="str">
        <f t="shared" si="296"/>
        <v>SCHOEMANa1b3c2d9</v>
      </c>
      <c r="I1585" s="2" t="s">
        <v>199</v>
      </c>
      <c r="J1585" s="2" t="s">
        <v>12570</v>
      </c>
      <c r="K1585" s="12" t="str">
        <f t="shared" si="297"/>
        <v>1810</v>
      </c>
      <c r="L1585" s="2" t="s">
        <v>74</v>
      </c>
      <c r="M1585" s="12" t="s">
        <v>12571</v>
      </c>
      <c r="N1585" s="12" t="str">
        <f t="shared" si="302"/>
        <v>1810</v>
      </c>
      <c r="O1585" s="12" t="str">
        <f t="shared" si="303"/>
        <v>1810</v>
      </c>
      <c r="P1585" s="2" t="s">
        <v>1864</v>
      </c>
      <c r="Q1585" s="12" t="str">
        <f t="shared" si="298"/>
        <v>1810</v>
      </c>
      <c r="R1585" s="2" t="s">
        <v>12572</v>
      </c>
      <c r="S1585" s="12" t="str">
        <f t="shared" si="299"/>
        <v>1890</v>
      </c>
      <c r="T1585" s="12" t="s">
        <v>199</v>
      </c>
      <c r="U1585" s="12" t="s">
        <v>3014</v>
      </c>
      <c r="V1585" s="12" t="str">
        <f t="shared" si="300"/>
        <v>1830</v>
      </c>
      <c r="W1585" s="12" t="s">
        <v>12573</v>
      </c>
      <c r="X1585" s="12" t="s">
        <v>655</v>
      </c>
      <c r="Z1585" s="2" t="s">
        <v>3735</v>
      </c>
      <c r="AA1585" s="2" t="s">
        <v>4121</v>
      </c>
      <c r="AB1585" s="2" t="s">
        <v>199</v>
      </c>
      <c r="AC1585" s="2" t="s">
        <v>4576</v>
      </c>
      <c r="AF1585" s="2" t="s">
        <v>7355</v>
      </c>
      <c r="AG1585" s="12" t="s">
        <v>199</v>
      </c>
      <c r="AH1585" s="12">
        <v>1839</v>
      </c>
      <c r="AI1585" s="12" t="str">
        <f t="shared" si="301"/>
        <v>1839</v>
      </c>
      <c r="AJ1585" s="2" t="s">
        <v>12354</v>
      </c>
      <c r="AK1585" s="12" t="s">
        <v>12525</v>
      </c>
      <c r="AL1585" s="2" t="s">
        <v>199</v>
      </c>
      <c r="AM1585" s="2" t="s">
        <v>12574</v>
      </c>
      <c r="AN1585" s="2" t="s">
        <v>12575</v>
      </c>
      <c r="AO1585" s="2" t="s">
        <v>1034</v>
      </c>
      <c r="AR1585" s="2" t="s">
        <v>171</v>
      </c>
      <c r="AS1585" s="2" t="s">
        <v>74</v>
      </c>
      <c r="AT1585" s="2" t="s">
        <v>4223</v>
      </c>
      <c r="AU1585" s="2" t="s">
        <v>60</v>
      </c>
      <c r="AV1585" s="2">
        <v>1842</v>
      </c>
      <c r="AW1585" s="2" t="s">
        <v>2625</v>
      </c>
      <c r="AX1585" s="2" t="s">
        <v>12576</v>
      </c>
      <c r="AY1585" s="2" t="s">
        <v>9527</v>
      </c>
      <c r="AZ1585" s="2" t="s">
        <v>780</v>
      </c>
      <c r="BC1585" s="2" t="s">
        <v>9528</v>
      </c>
      <c r="BF1585" s="2" t="s">
        <v>1864</v>
      </c>
      <c r="BG1585" s="2">
        <v>1865</v>
      </c>
    </row>
    <row r="1586" spans="1:59">
      <c r="A1586" s="13" t="s">
        <v>660</v>
      </c>
      <c r="B1586" s="12" t="str">
        <f t="shared" si="293"/>
        <v>SCHOEMAN</v>
      </c>
      <c r="C1586" s="12" t="str">
        <f t="shared" si="294"/>
        <v>SCHOEMAN</v>
      </c>
      <c r="D1586" s="12" t="s">
        <v>12462</v>
      </c>
      <c r="E1586" s="12" t="str">
        <f t="shared" si="304"/>
        <v>Carolus Gustaaf</v>
      </c>
      <c r="F1586" s="12" t="s">
        <v>12463</v>
      </c>
      <c r="G1586" s="12" t="str">
        <f t="shared" si="295"/>
        <v>a2b1c5</v>
      </c>
      <c r="H1586" s="12" t="str">
        <f t="shared" si="296"/>
        <v>SCHOEMANa2b1c5</v>
      </c>
      <c r="J1586" s="2" t="s">
        <v>12464</v>
      </c>
      <c r="K1586" s="12" t="str">
        <f t="shared" si="297"/>
        <v>1800</v>
      </c>
      <c r="M1586" s="12" t="s">
        <v>12465</v>
      </c>
      <c r="N1586" s="12" t="str">
        <f t="shared" si="302"/>
        <v>1800</v>
      </c>
      <c r="O1586" s="12" t="str">
        <f t="shared" si="303"/>
        <v>1801</v>
      </c>
      <c r="P1586" s="2" t="s">
        <v>67</v>
      </c>
      <c r="Q1586" s="12" t="str">
        <f t="shared" si="298"/>
        <v>1800</v>
      </c>
      <c r="R1586" s="12" t="s">
        <v>12466</v>
      </c>
      <c r="S1586" s="12" t="str">
        <f t="shared" si="299"/>
        <v>1881</v>
      </c>
      <c r="T1586" s="2" t="s">
        <v>28</v>
      </c>
      <c r="U1586" s="2" t="s">
        <v>383</v>
      </c>
      <c r="V1586" s="12" t="str">
        <f t="shared" si="300"/>
        <v>1822</v>
      </c>
      <c r="W1586" s="12" t="s">
        <v>12467</v>
      </c>
      <c r="X1586" s="12" t="s">
        <v>822</v>
      </c>
      <c r="Y1586" s="12"/>
      <c r="AA1586" s="12" t="s">
        <v>12468</v>
      </c>
      <c r="AB1586" s="2" t="s">
        <v>74</v>
      </c>
      <c r="AC1586" s="2" t="s">
        <v>1429</v>
      </c>
      <c r="AF1586" s="12" t="s">
        <v>3699</v>
      </c>
      <c r="AG1586" s="12" t="s">
        <v>68</v>
      </c>
      <c r="AH1586" s="2">
        <v>1838</v>
      </c>
      <c r="AI1586" s="12" t="str">
        <f t="shared" si="301"/>
        <v>1838</v>
      </c>
      <c r="AK1586" s="12" t="s">
        <v>67</v>
      </c>
      <c r="AN1586" s="2" t="s">
        <v>9408</v>
      </c>
      <c r="AO1586" s="2" t="s">
        <v>2427</v>
      </c>
      <c r="AR1586" s="2" t="s">
        <v>1483</v>
      </c>
      <c r="AU1586" s="2" t="s">
        <v>67</v>
      </c>
      <c r="AV1586" s="2" t="s">
        <v>12469</v>
      </c>
    </row>
    <row r="1587" spans="1:59">
      <c r="A1587" s="13" t="s">
        <v>660</v>
      </c>
      <c r="B1587" s="12" t="str">
        <f t="shared" ref="B1587:B1650" si="305">SUBSTITUTE(A1587," ","")</f>
        <v>SCHOEMAN</v>
      </c>
      <c r="C1587" s="12" t="str">
        <f t="shared" ref="C1587:C1650" si="306">TRIM(A1587)</f>
        <v>SCHOEMAN</v>
      </c>
      <c r="D1587" s="12" t="s">
        <v>5106</v>
      </c>
      <c r="E1587" s="12" t="str">
        <f t="shared" si="304"/>
        <v>Stephanus Johannes</v>
      </c>
      <c r="F1587" s="12" t="s">
        <v>12582</v>
      </c>
      <c r="G1587" s="12" t="str">
        <f t="shared" ref="G1587:G1650" si="307">IF(LEFT(F1587,1)="b","a1"&amp;F1587,F1587)</f>
        <v>a1b1c11d4</v>
      </c>
      <c r="H1587" s="12" t="str">
        <f t="shared" ref="H1587:H1650" si="308">C1587&amp;G1587</f>
        <v>SCHOEMANa1b1c11d4</v>
      </c>
      <c r="I1587" s="12"/>
      <c r="J1587" s="12" t="s">
        <v>12583</v>
      </c>
      <c r="K1587" s="12" t="str">
        <f t="shared" ref="K1587:K1650" si="309">RIGHT(J1587,4)</f>
        <v>1809</v>
      </c>
      <c r="L1587" s="2" t="s">
        <v>5185</v>
      </c>
      <c r="M1587" s="12" t="s">
        <v>3868</v>
      </c>
      <c r="N1587" s="12" t="str">
        <f t="shared" si="302"/>
        <v>1809</v>
      </c>
      <c r="O1587" s="12" t="str">
        <f t="shared" si="303"/>
        <v>1809</v>
      </c>
      <c r="P1587" s="12"/>
      <c r="Q1587" s="12" t="str">
        <f t="shared" ref="Q1587:Q1650" si="310">IF(N1587="",O1587,N1587)</f>
        <v>1809</v>
      </c>
      <c r="R1587" s="12"/>
      <c r="S1587" s="12" t="str">
        <f t="shared" ref="S1587:S1650" si="311">RIGHT(R1587,4)</f>
        <v/>
      </c>
      <c r="T1587" s="2" t="s">
        <v>28</v>
      </c>
      <c r="U1587" s="2" t="s">
        <v>12584</v>
      </c>
      <c r="V1587" s="12" t="str">
        <f t="shared" ref="V1587:V1650" si="312">RIGHT(U1587,4)</f>
        <v>1836</v>
      </c>
      <c r="W1587" s="12" t="s">
        <v>12585</v>
      </c>
      <c r="X1587" s="12" t="s">
        <v>1003</v>
      </c>
      <c r="AA1587" s="2" t="s">
        <v>2431</v>
      </c>
      <c r="AB1587" s="2" t="s">
        <v>199</v>
      </c>
      <c r="AC1587" s="2" t="s">
        <v>1646</v>
      </c>
      <c r="AF1587" s="12" t="s">
        <v>28</v>
      </c>
      <c r="AG1587" s="12" t="s">
        <v>68</v>
      </c>
      <c r="AH1587" s="12" t="s">
        <v>12586</v>
      </c>
      <c r="AI1587" s="12" t="str">
        <f t="shared" ref="AI1587:AI1650" si="313">RIGHT(AH1587,4)</f>
        <v>1836</v>
      </c>
      <c r="AK1587" s="12" t="s">
        <v>90</v>
      </c>
      <c r="AM1587" s="12"/>
      <c r="AN1587" s="12"/>
      <c r="AO1587" s="12"/>
    </row>
    <row r="1588" spans="1:59">
      <c r="A1588" s="13" t="s">
        <v>660</v>
      </c>
      <c r="B1588" s="12" t="str">
        <f t="shared" si="305"/>
        <v>SCHOEMAN</v>
      </c>
      <c r="C1588" s="12" t="str">
        <f t="shared" si="306"/>
        <v>SCHOEMAN</v>
      </c>
      <c r="D1588" s="12" t="s">
        <v>1540</v>
      </c>
      <c r="E1588" s="12" t="str">
        <f t="shared" si="304"/>
        <v>Gerhardus Cornelis</v>
      </c>
      <c r="F1588" s="12" t="s">
        <v>12478</v>
      </c>
      <c r="G1588" s="12" t="str">
        <f t="shared" si="307"/>
        <v>a1b1c1d1e3</v>
      </c>
      <c r="H1588" s="12" t="str">
        <f t="shared" si="308"/>
        <v>SCHOEMANa1b1c1d1e3</v>
      </c>
      <c r="J1588" s="2" t="s">
        <v>12479</v>
      </c>
      <c r="K1588" s="12" t="str">
        <f t="shared" si="309"/>
        <v>1817</v>
      </c>
      <c r="L1588" s="2" t="s">
        <v>53</v>
      </c>
      <c r="M1588" s="12" t="s">
        <v>12480</v>
      </c>
      <c r="N1588" s="12" t="str">
        <f t="shared" si="302"/>
        <v>1817</v>
      </c>
      <c r="O1588" s="12" t="str">
        <f t="shared" si="303"/>
        <v>1818</v>
      </c>
      <c r="P1588" s="2" t="s">
        <v>134</v>
      </c>
      <c r="Q1588" s="12" t="str">
        <f t="shared" si="310"/>
        <v>1817</v>
      </c>
      <c r="R1588" s="2" t="s">
        <v>12481</v>
      </c>
      <c r="S1588" s="12" t="str">
        <f t="shared" si="311"/>
        <v>1875</v>
      </c>
      <c r="T1588" s="2" t="s">
        <v>83</v>
      </c>
      <c r="U1588" s="2" t="s">
        <v>12482</v>
      </c>
      <c r="V1588" s="12" t="str">
        <f t="shared" si="312"/>
        <v>1839</v>
      </c>
      <c r="W1588" s="12" t="s">
        <v>12483</v>
      </c>
      <c r="X1588" s="12" t="s">
        <v>2427</v>
      </c>
      <c r="Y1588" s="12"/>
      <c r="AA1588" s="2" t="s">
        <v>12484</v>
      </c>
      <c r="AC1588" s="12"/>
      <c r="AD1588" s="2" t="s">
        <v>134</v>
      </c>
      <c r="AE1588" s="2" t="s">
        <v>12485</v>
      </c>
      <c r="AF1588" s="12" t="s">
        <v>12486</v>
      </c>
      <c r="AG1588" s="12" t="s">
        <v>53</v>
      </c>
      <c r="AH1588" s="12" t="s">
        <v>12487</v>
      </c>
      <c r="AI1588" s="12" t="str">
        <f t="shared" si="313"/>
        <v>1839</v>
      </c>
      <c r="AJ1588" s="12"/>
      <c r="AK1588" s="2" t="s">
        <v>134</v>
      </c>
    </row>
    <row r="1589" spans="1:59">
      <c r="A1589" s="13" t="s">
        <v>660</v>
      </c>
      <c r="B1589" s="12" t="str">
        <f t="shared" si="305"/>
        <v>SCHOEMAN</v>
      </c>
      <c r="C1589" s="12" t="str">
        <f t="shared" si="306"/>
        <v>SCHOEMAN</v>
      </c>
      <c r="D1589" s="12" t="s">
        <v>1284</v>
      </c>
      <c r="E1589" s="12" t="str">
        <f t="shared" si="304"/>
        <v>Johannes Hendrik</v>
      </c>
      <c r="F1589" s="12" t="s">
        <v>12507</v>
      </c>
      <c r="G1589" s="12" t="str">
        <f t="shared" si="307"/>
        <v>a1b1c3d1e5</v>
      </c>
      <c r="H1589" s="12" t="str">
        <f t="shared" si="308"/>
        <v>SCHOEMANa1b1c3d1e5</v>
      </c>
      <c r="J1589" s="2" t="s">
        <v>12508</v>
      </c>
      <c r="K1589" s="12" t="str">
        <f t="shared" si="309"/>
        <v>1822</v>
      </c>
      <c r="L1589" s="2" t="s">
        <v>53</v>
      </c>
      <c r="M1589" s="12" t="s">
        <v>12369</v>
      </c>
      <c r="N1589" s="12" t="str">
        <f t="shared" si="302"/>
        <v>1822</v>
      </c>
      <c r="O1589" s="12" t="str">
        <f t="shared" si="303"/>
        <v>1822</v>
      </c>
      <c r="Q1589" s="12" t="str">
        <f t="shared" si="310"/>
        <v>1822</v>
      </c>
      <c r="S1589" s="12" t="str">
        <f t="shared" si="311"/>
        <v/>
      </c>
      <c r="T1589" s="12"/>
      <c r="U1589" s="12"/>
      <c r="V1589" s="12" t="str">
        <f t="shared" si="312"/>
        <v/>
      </c>
      <c r="W1589" s="12" t="s">
        <v>12509</v>
      </c>
      <c r="X1589" s="12" t="s">
        <v>1685</v>
      </c>
      <c r="AE1589" s="2" t="s">
        <v>12510</v>
      </c>
      <c r="AF1589" s="12" t="s">
        <v>570</v>
      </c>
      <c r="AG1589" s="12" t="s">
        <v>53</v>
      </c>
      <c r="AH1589" s="12">
        <v>1837</v>
      </c>
      <c r="AI1589" s="12" t="str">
        <f t="shared" si="313"/>
        <v>1837</v>
      </c>
      <c r="AK1589" s="12" t="s">
        <v>134</v>
      </c>
      <c r="AN1589" s="2" t="s">
        <v>3389</v>
      </c>
      <c r="AO1589" s="2" t="s">
        <v>758</v>
      </c>
      <c r="AR1589" s="2" t="s">
        <v>12511</v>
      </c>
      <c r="AS1589" s="2" t="s">
        <v>74</v>
      </c>
      <c r="AT1589" s="2" t="s">
        <v>12512</v>
      </c>
      <c r="AV1589" s="2">
        <v>1890</v>
      </c>
    </row>
    <row r="1590" spans="1:59">
      <c r="A1590" s="13" t="s">
        <v>1299</v>
      </c>
      <c r="B1590" s="12" t="str">
        <f t="shared" si="305"/>
        <v>SCHOLTZ</v>
      </c>
      <c r="C1590" s="12" t="str">
        <f t="shared" si="306"/>
        <v>SCHOLTZ</v>
      </c>
      <c r="D1590" s="12" t="s">
        <v>12598</v>
      </c>
      <c r="E1590" s="12" t="str">
        <f t="shared" si="304"/>
        <v>Joachim Hermanus</v>
      </c>
      <c r="F1590" s="12" t="s">
        <v>12599</v>
      </c>
      <c r="G1590" s="12" t="str">
        <f t="shared" si="307"/>
        <v>a1b2c7d1</v>
      </c>
      <c r="H1590" s="12" t="str">
        <f t="shared" si="308"/>
        <v>SCHOLTZa1b2c7d1</v>
      </c>
      <c r="I1590" s="2" t="s">
        <v>9989</v>
      </c>
      <c r="J1590" s="12"/>
      <c r="K1590" s="12" t="str">
        <f t="shared" si="309"/>
        <v/>
      </c>
      <c r="M1590" s="12" t="s">
        <v>2419</v>
      </c>
      <c r="N1590" s="12" t="str">
        <f t="shared" si="302"/>
        <v/>
      </c>
      <c r="O1590" s="12" t="str">
        <f t="shared" si="303"/>
        <v>1783</v>
      </c>
      <c r="P1590" s="2" t="s">
        <v>566</v>
      </c>
      <c r="Q1590" s="12" t="str">
        <f t="shared" si="310"/>
        <v>1783</v>
      </c>
      <c r="R1590" s="2" t="s">
        <v>12600</v>
      </c>
      <c r="S1590" s="12" t="str">
        <f t="shared" si="311"/>
        <v>1834</v>
      </c>
      <c r="T1590" s="12" t="s">
        <v>6098</v>
      </c>
      <c r="U1590" s="12" t="s">
        <v>12601</v>
      </c>
      <c r="V1590" s="12" t="str">
        <f t="shared" si="312"/>
        <v>1801</v>
      </c>
      <c r="W1590" s="12" t="s">
        <v>1410</v>
      </c>
      <c r="X1590" s="12" t="s">
        <v>2589</v>
      </c>
      <c r="Y1590" s="12"/>
      <c r="Z1590" s="2" t="s">
        <v>12602</v>
      </c>
      <c r="AC1590" s="2" t="s">
        <v>5859</v>
      </c>
      <c r="AD1590" s="2" t="s">
        <v>3875</v>
      </c>
      <c r="AE1590" s="2" t="s">
        <v>12603</v>
      </c>
      <c r="AF1590" s="12"/>
      <c r="AG1590" s="12" t="s">
        <v>74</v>
      </c>
      <c r="AH1590" s="12"/>
      <c r="AI1590" s="12" t="str">
        <f t="shared" si="313"/>
        <v/>
      </c>
      <c r="AK1590" s="12"/>
    </row>
    <row r="1591" spans="1:59">
      <c r="A1591" s="13" t="s">
        <v>9746</v>
      </c>
      <c r="B1591" s="12" t="str">
        <f t="shared" si="305"/>
        <v>SCHOOMBEE</v>
      </c>
      <c r="C1591" s="12" t="str">
        <f t="shared" si="306"/>
        <v>SCHOOMBEE</v>
      </c>
      <c r="D1591" s="12" t="s">
        <v>12604</v>
      </c>
      <c r="E1591" s="12" t="str">
        <f t="shared" si="304"/>
        <v>Andries Godlieb</v>
      </c>
      <c r="F1591" s="12" t="s">
        <v>934</v>
      </c>
      <c r="G1591" s="12" t="str">
        <f t="shared" si="307"/>
        <v>a1b1c2</v>
      </c>
      <c r="H1591" s="12" t="str">
        <f t="shared" si="308"/>
        <v>SCHOOMBEEa1b1c2</v>
      </c>
      <c r="J1591" s="12"/>
      <c r="K1591" s="12" t="str">
        <f t="shared" si="309"/>
        <v/>
      </c>
      <c r="M1591" s="2" t="s">
        <v>12605</v>
      </c>
      <c r="N1591" s="12" t="str">
        <f t="shared" si="302"/>
        <v/>
      </c>
      <c r="O1591" s="12" t="str">
        <f t="shared" si="303"/>
        <v>1809</v>
      </c>
      <c r="Q1591" s="12" t="str">
        <f t="shared" si="310"/>
        <v>1809</v>
      </c>
      <c r="S1591" s="12" t="str">
        <f t="shared" si="311"/>
        <v/>
      </c>
      <c r="T1591" s="12" t="s">
        <v>74</v>
      </c>
      <c r="U1591" s="12" t="s">
        <v>5343</v>
      </c>
      <c r="V1591" s="12" t="str">
        <f t="shared" si="312"/>
        <v>1827</v>
      </c>
      <c r="W1591" s="12" t="s">
        <v>12606</v>
      </c>
      <c r="X1591" s="12" t="s">
        <v>788</v>
      </c>
      <c r="Y1591" s="12" t="s">
        <v>5924</v>
      </c>
      <c r="AC1591" s="12" t="s">
        <v>1224</v>
      </c>
      <c r="AF1591" s="12"/>
      <c r="AG1591" s="12" t="s">
        <v>74</v>
      </c>
      <c r="AH1591" s="12" t="s">
        <v>12607</v>
      </c>
      <c r="AI1591" s="12" t="str">
        <f t="shared" si="313"/>
        <v>1842</v>
      </c>
      <c r="AJ1591" s="12"/>
      <c r="AK1591" s="12" t="s">
        <v>140</v>
      </c>
      <c r="AN1591" s="2" t="s">
        <v>12608</v>
      </c>
    </row>
    <row r="1592" spans="1:59">
      <c r="A1592" s="13" t="s">
        <v>1034</v>
      </c>
      <c r="B1592" s="12" t="str">
        <f t="shared" si="305"/>
        <v>SCHUTTE</v>
      </c>
      <c r="C1592" s="12" t="str">
        <f t="shared" si="306"/>
        <v>SCHUTTE</v>
      </c>
      <c r="D1592" s="12" t="s">
        <v>12615</v>
      </c>
      <c r="E1592" s="12" t="str">
        <f t="shared" si="304"/>
        <v>Jan Francois</v>
      </c>
      <c r="F1592" s="12" t="s">
        <v>12616</v>
      </c>
      <c r="G1592" s="12" t="str">
        <f t="shared" si="307"/>
        <v>a1b1c2d11</v>
      </c>
      <c r="H1592" s="12" t="str">
        <f t="shared" si="308"/>
        <v>SCHUTTEa1b1c2d11</v>
      </c>
      <c r="J1592" s="12" t="s">
        <v>7441</v>
      </c>
      <c r="K1592" s="12" t="str">
        <f t="shared" si="309"/>
        <v>1810</v>
      </c>
      <c r="L1592" s="12"/>
      <c r="M1592" s="12" t="s">
        <v>12571</v>
      </c>
      <c r="N1592" s="12" t="str">
        <f t="shared" si="302"/>
        <v>1810</v>
      </c>
      <c r="O1592" s="12" t="str">
        <f t="shared" si="303"/>
        <v>1810</v>
      </c>
      <c r="P1592" s="12" t="s">
        <v>1864</v>
      </c>
      <c r="Q1592" s="12" t="str">
        <f t="shared" si="310"/>
        <v>1810</v>
      </c>
      <c r="R1592" s="12" t="s">
        <v>12617</v>
      </c>
      <c r="S1592" s="12" t="str">
        <f t="shared" si="311"/>
        <v>1833</v>
      </c>
      <c r="T1592" s="2" t="s">
        <v>53</v>
      </c>
      <c r="U1592" s="2" t="s">
        <v>12618</v>
      </c>
      <c r="V1592" s="12" t="str">
        <f t="shared" si="312"/>
        <v>1829</v>
      </c>
      <c r="W1592" s="12" t="s">
        <v>4026</v>
      </c>
      <c r="X1592" s="12" t="s">
        <v>12619</v>
      </c>
      <c r="AA1592" s="2" t="s">
        <v>7555</v>
      </c>
      <c r="AB1592" s="2" t="s">
        <v>74</v>
      </c>
      <c r="AC1592" s="2" t="s">
        <v>4455</v>
      </c>
      <c r="AE1592" s="2" t="s">
        <v>12620</v>
      </c>
      <c r="AF1592" s="2" t="s">
        <v>3699</v>
      </c>
      <c r="AG1592" s="2" t="s">
        <v>68</v>
      </c>
      <c r="AH1592" s="12" t="s">
        <v>12621</v>
      </c>
      <c r="AI1592" s="12" t="str">
        <f t="shared" si="313"/>
        <v>1836</v>
      </c>
      <c r="AJ1592" s="2" t="s">
        <v>379</v>
      </c>
      <c r="AK1592" s="12" t="s">
        <v>12622</v>
      </c>
      <c r="AM1592" s="2" t="s">
        <v>12623</v>
      </c>
      <c r="AN1592" s="2" t="s">
        <v>6997</v>
      </c>
      <c r="AO1592" s="2" t="s">
        <v>660</v>
      </c>
    </row>
    <row r="1593" spans="1:59">
      <c r="A1593" s="13" t="s">
        <v>1034</v>
      </c>
      <c r="B1593" s="12" t="str">
        <f t="shared" si="305"/>
        <v>SCHUTTE</v>
      </c>
      <c r="C1593" s="12" t="str">
        <f t="shared" si="306"/>
        <v>SCHUTTE</v>
      </c>
      <c r="D1593" s="12" t="s">
        <v>12639</v>
      </c>
      <c r="E1593" s="12" t="str">
        <f t="shared" si="304"/>
        <v>Stephanus Philippus</v>
      </c>
      <c r="F1593" s="12" t="s">
        <v>12640</v>
      </c>
      <c r="G1593" s="12" t="str">
        <f t="shared" si="307"/>
        <v xml:space="preserve">a1b1c2d4  </v>
      </c>
      <c r="H1593" s="12" t="str">
        <f t="shared" si="308"/>
        <v xml:space="preserve">SCHUTTEa1b1c2d4  </v>
      </c>
      <c r="J1593" s="12"/>
      <c r="K1593" s="12" t="str">
        <f t="shared" si="309"/>
        <v/>
      </c>
      <c r="L1593" s="12"/>
      <c r="M1593" s="12" t="s">
        <v>12641</v>
      </c>
      <c r="N1593" s="12" t="str">
        <f t="shared" si="302"/>
        <v/>
      </c>
      <c r="O1593" s="12" t="str">
        <f t="shared" si="303"/>
        <v>1798</v>
      </c>
      <c r="P1593" s="2" t="s">
        <v>90</v>
      </c>
      <c r="Q1593" s="12" t="str">
        <f t="shared" si="310"/>
        <v>1798</v>
      </c>
      <c r="R1593" s="2">
        <v>1843</v>
      </c>
      <c r="S1593" s="12" t="str">
        <f t="shared" si="311"/>
        <v>1843</v>
      </c>
      <c r="T1593" s="12"/>
      <c r="U1593" s="12"/>
      <c r="V1593" s="12" t="str">
        <f t="shared" si="312"/>
        <v/>
      </c>
      <c r="W1593" s="12" t="s">
        <v>7427</v>
      </c>
      <c r="X1593" s="12" t="s">
        <v>662</v>
      </c>
      <c r="Y1593" s="2" t="s">
        <v>12642</v>
      </c>
      <c r="AA1593" s="12" t="s">
        <v>12643</v>
      </c>
      <c r="AB1593" s="12" t="s">
        <v>74</v>
      </c>
      <c r="AC1593" s="12" t="s">
        <v>12644</v>
      </c>
      <c r="AD1593" s="2" t="s">
        <v>134</v>
      </c>
      <c r="AE1593" s="2" t="s">
        <v>12645</v>
      </c>
      <c r="AF1593" s="12" t="s">
        <v>3699</v>
      </c>
      <c r="AG1593" s="12" t="s">
        <v>68</v>
      </c>
      <c r="AH1593" s="12" t="s">
        <v>1172</v>
      </c>
      <c r="AI1593" s="12" t="str">
        <f t="shared" si="313"/>
        <v>1837</v>
      </c>
      <c r="AK1593" s="12"/>
      <c r="AL1593" s="12"/>
      <c r="AM1593" s="12"/>
      <c r="AN1593" s="12"/>
      <c r="AO1593" s="12"/>
    </row>
    <row r="1594" spans="1:59">
      <c r="A1594" s="13" t="s">
        <v>1034</v>
      </c>
      <c r="B1594" s="12" t="str">
        <f t="shared" si="305"/>
        <v>SCHUTTE</v>
      </c>
      <c r="C1594" s="12" t="str">
        <f t="shared" si="306"/>
        <v>SCHUTTE</v>
      </c>
      <c r="D1594" s="12" t="s">
        <v>2253</v>
      </c>
      <c r="E1594" s="12" t="str">
        <f t="shared" si="304"/>
        <v>Johannes Jacobus</v>
      </c>
      <c r="F1594" s="12" t="s">
        <v>12634</v>
      </c>
      <c r="G1594" s="12" t="str">
        <f t="shared" si="307"/>
        <v>a1b1c2d4e2</v>
      </c>
      <c r="H1594" s="12" t="str">
        <f t="shared" si="308"/>
        <v>SCHUTTEa1b1c2d4e2</v>
      </c>
      <c r="I1594" s="2" t="s">
        <v>53</v>
      </c>
      <c r="J1594" s="12" t="s">
        <v>12635</v>
      </c>
      <c r="K1594" s="12" t="str">
        <f t="shared" si="309"/>
        <v>1821</v>
      </c>
      <c r="L1594" s="12"/>
      <c r="M1594" s="12" t="s">
        <v>4638</v>
      </c>
      <c r="N1594" s="12" t="str">
        <f t="shared" si="302"/>
        <v>1821</v>
      </c>
      <c r="O1594" s="12" t="str">
        <f t="shared" si="303"/>
        <v>1822</v>
      </c>
      <c r="P1594" s="2" t="s">
        <v>134</v>
      </c>
      <c r="Q1594" s="12" t="str">
        <f t="shared" si="310"/>
        <v>1821</v>
      </c>
      <c r="R1594" s="2" t="s">
        <v>12636</v>
      </c>
      <c r="S1594" s="12" t="str">
        <f t="shared" si="311"/>
        <v>1871</v>
      </c>
      <c r="T1594" s="2" t="s">
        <v>83</v>
      </c>
      <c r="U1594" s="2" t="s">
        <v>12637</v>
      </c>
      <c r="V1594" s="12" t="str">
        <f t="shared" si="312"/>
        <v>1842</v>
      </c>
      <c r="W1594" s="12" t="s">
        <v>12638</v>
      </c>
      <c r="X1594" s="12" t="s">
        <v>662</v>
      </c>
      <c r="AF1594" s="12" t="s">
        <v>3699</v>
      </c>
      <c r="AG1594" s="12" t="s">
        <v>68</v>
      </c>
      <c r="AH1594" s="2" t="s">
        <v>1172</v>
      </c>
      <c r="AI1594" s="12" t="str">
        <f t="shared" si="313"/>
        <v>1837</v>
      </c>
      <c r="AJ1594" s="12"/>
    </row>
    <row r="1595" spans="1:59">
      <c r="A1595" s="13" t="s">
        <v>1034</v>
      </c>
      <c r="B1595" s="12" t="str">
        <f t="shared" si="305"/>
        <v>SCHUTTE</v>
      </c>
      <c r="C1595" s="12" t="str">
        <f t="shared" si="306"/>
        <v>SCHUTTE</v>
      </c>
      <c r="D1595" s="12" t="s">
        <v>12609</v>
      </c>
      <c r="E1595" s="12" t="str">
        <f t="shared" si="304"/>
        <v>Barend Jacobus Philippus</v>
      </c>
      <c r="F1595" s="12" t="s">
        <v>12610</v>
      </c>
      <c r="G1595" s="12" t="str">
        <f t="shared" si="307"/>
        <v>a1b1c4d11</v>
      </c>
      <c r="H1595" s="12" t="str">
        <f t="shared" si="308"/>
        <v>SCHUTTEa1b1c4d11</v>
      </c>
      <c r="J1595" s="2" t="s">
        <v>12611</v>
      </c>
      <c r="K1595" s="12" t="str">
        <f t="shared" si="309"/>
        <v>1820</v>
      </c>
      <c r="L1595" s="2" t="s">
        <v>28</v>
      </c>
      <c r="M1595" s="12" t="s">
        <v>3426</v>
      </c>
      <c r="N1595" s="12" t="str">
        <f t="shared" si="302"/>
        <v>1820</v>
      </c>
      <c r="O1595" s="12" t="str">
        <f t="shared" si="303"/>
        <v>1821</v>
      </c>
      <c r="P1595" s="2" t="s">
        <v>2520</v>
      </c>
      <c r="Q1595" s="12" t="str">
        <f t="shared" si="310"/>
        <v>1820</v>
      </c>
      <c r="R1595" s="2" t="s">
        <v>12612</v>
      </c>
      <c r="S1595" s="12" t="str">
        <f t="shared" si="311"/>
        <v>1899</v>
      </c>
      <c r="T1595" s="12"/>
      <c r="U1595" s="12"/>
      <c r="V1595" s="12" t="str">
        <f t="shared" si="312"/>
        <v/>
      </c>
      <c r="W1595" s="12" t="s">
        <v>3371</v>
      </c>
      <c r="X1595" s="12" t="s">
        <v>2995</v>
      </c>
      <c r="Y1595" s="12"/>
      <c r="AA1595" s="2" t="s">
        <v>12613</v>
      </c>
      <c r="AC1595" s="12"/>
      <c r="AD1595" s="2" t="s">
        <v>2520</v>
      </c>
      <c r="AE1595" s="2" t="s">
        <v>12614</v>
      </c>
      <c r="AF1595" s="12" t="s">
        <v>16</v>
      </c>
      <c r="AG1595" s="12" t="s">
        <v>68</v>
      </c>
      <c r="AH1595" s="12">
        <v>1843</v>
      </c>
      <c r="AI1595" s="12" t="str">
        <f t="shared" si="313"/>
        <v>1843</v>
      </c>
      <c r="AJ1595" s="12"/>
      <c r="AK1595" s="2" t="s">
        <v>551</v>
      </c>
    </row>
    <row r="1596" spans="1:59">
      <c r="A1596" s="13" t="s">
        <v>1034</v>
      </c>
      <c r="B1596" s="12" t="str">
        <f t="shared" si="305"/>
        <v>SCHUTTE</v>
      </c>
      <c r="C1596" s="12" t="str">
        <f t="shared" si="306"/>
        <v>SCHUTTE</v>
      </c>
      <c r="D1596" s="12" t="s">
        <v>12624</v>
      </c>
      <c r="E1596" s="12" t="str">
        <f t="shared" si="304"/>
        <v>Jan Harm Thomas</v>
      </c>
      <c r="F1596" s="2" t="s">
        <v>12625</v>
      </c>
      <c r="G1596" s="12" t="str">
        <f t="shared" si="307"/>
        <v>a1b1c4d9</v>
      </c>
      <c r="H1596" s="12" t="str">
        <f t="shared" si="308"/>
        <v>SCHUTTEa1b1c4d9</v>
      </c>
      <c r="J1596" s="2" t="s">
        <v>12626</v>
      </c>
      <c r="K1596" s="12" t="str">
        <f t="shared" si="309"/>
        <v>1812</v>
      </c>
      <c r="L1596" s="2" t="s">
        <v>74</v>
      </c>
      <c r="M1596" s="2" t="s">
        <v>12627</v>
      </c>
      <c r="N1596" s="12" t="str">
        <f t="shared" si="302"/>
        <v>1812</v>
      </c>
      <c r="O1596" s="12" t="str">
        <f t="shared" si="303"/>
        <v>1813</v>
      </c>
      <c r="P1596" s="12" t="s">
        <v>190</v>
      </c>
      <c r="Q1596" s="12" t="str">
        <f t="shared" si="310"/>
        <v>1812</v>
      </c>
      <c r="R1596" s="12" t="s">
        <v>12628</v>
      </c>
      <c r="S1596" s="12" t="str">
        <f t="shared" si="311"/>
        <v>1897</v>
      </c>
      <c r="T1596" s="2" t="s">
        <v>28</v>
      </c>
      <c r="U1596" s="2" t="s">
        <v>7449</v>
      </c>
      <c r="V1596" s="12" t="str">
        <f t="shared" si="312"/>
        <v>1832</v>
      </c>
      <c r="W1596" s="2" t="s">
        <v>2296</v>
      </c>
      <c r="X1596" s="2" t="s">
        <v>1292</v>
      </c>
      <c r="AA1596" s="2" t="s">
        <v>8592</v>
      </c>
      <c r="AD1596" s="2" t="s">
        <v>190</v>
      </c>
      <c r="AE1596" s="2" t="s">
        <v>12629</v>
      </c>
      <c r="AF1596" s="12" t="s">
        <v>16</v>
      </c>
      <c r="AG1596" s="12" t="s">
        <v>68</v>
      </c>
      <c r="AH1596" s="12" t="s">
        <v>1036</v>
      </c>
      <c r="AI1596" s="12" t="str">
        <f t="shared" si="313"/>
        <v>1838</v>
      </c>
      <c r="AJ1596" s="12"/>
      <c r="AK1596" s="2" t="s">
        <v>90</v>
      </c>
      <c r="AL1596" s="2" t="s">
        <v>31</v>
      </c>
      <c r="AM1596" s="2" t="s">
        <v>12630</v>
      </c>
      <c r="AN1596" s="2" t="s">
        <v>12631</v>
      </c>
      <c r="AO1596" s="2" t="s">
        <v>670</v>
      </c>
      <c r="AQ1596" s="2" t="s">
        <v>190</v>
      </c>
      <c r="AR1596" s="2" t="s">
        <v>12632</v>
      </c>
      <c r="AU1596" s="2" t="s">
        <v>5044</v>
      </c>
      <c r="AV1596" s="2" t="s">
        <v>12633</v>
      </c>
    </row>
    <row r="1597" spans="1:59">
      <c r="A1597" s="13" t="s">
        <v>12646</v>
      </c>
      <c r="B1597" s="12" t="str">
        <f t="shared" si="305"/>
        <v>SCROOBIE</v>
      </c>
      <c r="C1597" s="12" t="str">
        <f t="shared" si="306"/>
        <v>SCROOBIE</v>
      </c>
      <c r="D1597" s="12" t="s">
        <v>199</v>
      </c>
      <c r="E1597" s="12" t="str">
        <f t="shared" si="304"/>
        <v>George</v>
      </c>
      <c r="F1597" s="12" t="s">
        <v>932</v>
      </c>
      <c r="G1597" s="12" t="str">
        <f t="shared" si="307"/>
        <v>a1b2</v>
      </c>
      <c r="H1597" s="12" t="str">
        <f t="shared" si="308"/>
        <v>SCROOBIEa1b2</v>
      </c>
      <c r="J1597" s="2">
        <v>1814</v>
      </c>
      <c r="K1597" s="12" t="str">
        <f t="shared" si="309"/>
        <v>1814</v>
      </c>
      <c r="M1597" s="12"/>
      <c r="N1597" s="12" t="str">
        <f t="shared" si="302"/>
        <v>1814</v>
      </c>
      <c r="O1597" s="12" t="str">
        <f t="shared" si="303"/>
        <v/>
      </c>
      <c r="P1597" s="12"/>
      <c r="Q1597" s="12" t="str">
        <f t="shared" si="310"/>
        <v>1814</v>
      </c>
      <c r="R1597" s="12"/>
      <c r="S1597" s="12" t="str">
        <f t="shared" si="311"/>
        <v/>
      </c>
      <c r="T1597" s="2" t="s">
        <v>83</v>
      </c>
      <c r="U1597" s="2" t="s">
        <v>12647</v>
      </c>
      <c r="V1597" s="12" t="str">
        <f t="shared" si="312"/>
        <v>1839</v>
      </c>
      <c r="W1597" s="12" t="s">
        <v>12648</v>
      </c>
      <c r="X1597" s="12" t="s">
        <v>655</v>
      </c>
      <c r="AF1597" s="12" t="s">
        <v>331</v>
      </c>
      <c r="AG1597" s="12"/>
      <c r="AH1597" s="12" t="s">
        <v>12487</v>
      </c>
      <c r="AI1597" s="12" t="str">
        <f t="shared" si="313"/>
        <v>1839</v>
      </c>
      <c r="AK1597" s="12" t="s">
        <v>90</v>
      </c>
    </row>
    <row r="1598" spans="1:59">
      <c r="A1598" s="13" t="s">
        <v>5044</v>
      </c>
      <c r="B1598" s="12" t="str">
        <f t="shared" si="305"/>
        <v>SENEKAL</v>
      </c>
      <c r="C1598" s="12" t="str">
        <f t="shared" si="306"/>
        <v>SENEKAL</v>
      </c>
      <c r="D1598" s="12" t="s">
        <v>12649</v>
      </c>
      <c r="E1598" s="12" t="str">
        <f t="shared" si="304"/>
        <v>David Frederik Petrus Johannes</v>
      </c>
      <c r="F1598" s="12" t="s">
        <v>12650</v>
      </c>
      <c r="G1598" s="12" t="str">
        <f t="shared" si="307"/>
        <v>a1b1c1d2e2</v>
      </c>
      <c r="H1598" s="12" t="str">
        <f t="shared" si="308"/>
        <v>SENEKALa1b1c1d2e2</v>
      </c>
      <c r="I1598" s="2" t="s">
        <v>199</v>
      </c>
      <c r="J1598" s="12" t="s">
        <v>12651</v>
      </c>
      <c r="K1598" s="12" t="str">
        <f t="shared" si="309"/>
        <v>1808</v>
      </c>
      <c r="L1598" s="12"/>
      <c r="M1598" s="12" t="s">
        <v>4920</v>
      </c>
      <c r="N1598" s="12" t="str">
        <f t="shared" si="302"/>
        <v>1808</v>
      </c>
      <c r="O1598" s="12" t="str">
        <f t="shared" si="303"/>
        <v>1809</v>
      </c>
      <c r="P1598" s="12" t="s">
        <v>2520</v>
      </c>
      <c r="Q1598" s="12" t="str">
        <f t="shared" si="310"/>
        <v>1808</v>
      </c>
      <c r="R1598" s="12" t="s">
        <v>12652</v>
      </c>
      <c r="S1598" s="12" t="str">
        <f t="shared" si="311"/>
        <v>1883</v>
      </c>
      <c r="T1598" s="12" t="s">
        <v>53</v>
      </c>
      <c r="U1598" s="12" t="s">
        <v>12653</v>
      </c>
      <c r="V1598" s="12" t="str">
        <f t="shared" si="312"/>
        <v>1832</v>
      </c>
      <c r="W1598" s="12" t="s">
        <v>12654</v>
      </c>
      <c r="X1598" s="12" t="s">
        <v>696</v>
      </c>
      <c r="Y1598" s="12"/>
      <c r="AA1598" s="12"/>
      <c r="AB1598" s="12"/>
      <c r="AC1598" s="12" t="s">
        <v>4408</v>
      </c>
      <c r="AG1598" s="12" t="s">
        <v>199</v>
      </c>
      <c r="AH1598" s="12">
        <v>1840</v>
      </c>
      <c r="AI1598" s="12" t="str">
        <f t="shared" si="313"/>
        <v>1840</v>
      </c>
      <c r="AK1598" s="12" t="s">
        <v>2520</v>
      </c>
    </row>
    <row r="1599" spans="1:59">
      <c r="A1599" s="13" t="s">
        <v>12655</v>
      </c>
      <c r="B1599" s="12" t="str">
        <f t="shared" si="305"/>
        <v>SERFONTEIN</v>
      </c>
      <c r="C1599" s="12" t="str">
        <f t="shared" si="306"/>
        <v>SERFONTEIN</v>
      </c>
      <c r="D1599" s="12" t="s">
        <v>12666</v>
      </c>
      <c r="E1599" s="12" t="str">
        <f t="shared" si="304"/>
        <v>Willem Jacob</v>
      </c>
      <c r="F1599" s="12" t="s">
        <v>3992</v>
      </c>
      <c r="G1599" s="12" t="str">
        <f t="shared" si="307"/>
        <v>a1b1c1</v>
      </c>
      <c r="H1599" s="12" t="str">
        <f t="shared" si="308"/>
        <v>SERFONTEINa1b1c1</v>
      </c>
      <c r="J1599" s="2" t="s">
        <v>6489</v>
      </c>
      <c r="K1599" s="12" t="str">
        <f t="shared" si="309"/>
        <v>1811</v>
      </c>
      <c r="M1599" s="12" t="s">
        <v>12667</v>
      </c>
      <c r="N1599" s="12" t="str">
        <f t="shared" si="302"/>
        <v>1811</v>
      </c>
      <c r="O1599" s="12" t="str">
        <f t="shared" si="303"/>
        <v>1812</v>
      </c>
      <c r="P1599" s="2" t="s">
        <v>566</v>
      </c>
      <c r="Q1599" s="12" t="str">
        <f t="shared" si="310"/>
        <v>1811</v>
      </c>
      <c r="R1599" s="2" t="s">
        <v>12668</v>
      </c>
      <c r="S1599" s="12" t="str">
        <f t="shared" si="311"/>
        <v>1876</v>
      </c>
      <c r="T1599" s="12" t="s">
        <v>53</v>
      </c>
      <c r="U1599" s="12" t="s">
        <v>12669</v>
      </c>
      <c r="V1599" s="12" t="str">
        <f t="shared" si="312"/>
        <v>1835</v>
      </c>
      <c r="W1599" s="12" t="s">
        <v>12670</v>
      </c>
      <c r="X1599" s="12" t="s">
        <v>4579</v>
      </c>
      <c r="Y1599" s="12"/>
      <c r="AA1599" s="2" t="s">
        <v>12671</v>
      </c>
      <c r="AC1599" s="12"/>
      <c r="AF1599" s="12" t="s">
        <v>3707</v>
      </c>
      <c r="AG1599" s="12" t="s">
        <v>32</v>
      </c>
      <c r="AH1599" s="12">
        <v>1838</v>
      </c>
      <c r="AI1599" s="12" t="str">
        <f t="shared" si="313"/>
        <v>1838</v>
      </c>
      <c r="AJ1599" s="2" t="s">
        <v>12354</v>
      </c>
      <c r="AK1599" s="12" t="s">
        <v>551</v>
      </c>
    </row>
    <row r="1600" spans="1:59">
      <c r="A1600" s="13" t="s">
        <v>12655</v>
      </c>
      <c r="B1600" s="12" t="str">
        <f t="shared" si="305"/>
        <v>SERFONTEIN</v>
      </c>
      <c r="C1600" s="12" t="str">
        <f t="shared" si="306"/>
        <v>SERFONTEIN</v>
      </c>
      <c r="D1600" s="12" t="s">
        <v>8450</v>
      </c>
      <c r="E1600" s="12" t="str">
        <f t="shared" si="304"/>
        <v>Jan Lodewyk</v>
      </c>
      <c r="F1600" s="12" t="s">
        <v>934</v>
      </c>
      <c r="G1600" s="12" t="str">
        <f t="shared" si="307"/>
        <v>a1b1c2</v>
      </c>
      <c r="H1600" s="12" t="str">
        <f t="shared" si="308"/>
        <v>SERFONTEINa1b1c2</v>
      </c>
      <c r="I1600" s="12"/>
      <c r="J1600" s="12"/>
      <c r="K1600" s="12" t="str">
        <f t="shared" si="309"/>
        <v/>
      </c>
      <c r="L1600" s="12"/>
      <c r="M1600" s="12" t="s">
        <v>12664</v>
      </c>
      <c r="N1600" s="12" t="str">
        <f t="shared" si="302"/>
        <v/>
      </c>
      <c r="O1600" s="12" t="str">
        <f t="shared" si="303"/>
        <v>1813</v>
      </c>
      <c r="P1600" s="12"/>
      <c r="Q1600" s="12" t="str">
        <f t="shared" si="310"/>
        <v>1813</v>
      </c>
      <c r="R1600" s="12"/>
      <c r="S1600" s="12" t="str">
        <f t="shared" si="311"/>
        <v/>
      </c>
      <c r="T1600" s="12" t="s">
        <v>32</v>
      </c>
      <c r="U1600" s="12" t="s">
        <v>12661</v>
      </c>
      <c r="V1600" s="12" t="str">
        <f t="shared" si="312"/>
        <v>1838</v>
      </c>
      <c r="W1600" s="12" t="s">
        <v>12665</v>
      </c>
      <c r="X1600" s="12" t="s">
        <v>10705</v>
      </c>
      <c r="Y1600" s="12"/>
      <c r="Z1600" s="12"/>
      <c r="AA1600" s="12"/>
      <c r="AB1600" s="12"/>
      <c r="AC1600" s="12"/>
      <c r="AD1600" s="12"/>
      <c r="AE1600" s="12"/>
      <c r="AF1600" s="12" t="s">
        <v>3707</v>
      </c>
      <c r="AG1600" s="12" t="s">
        <v>32</v>
      </c>
      <c r="AH1600" s="12">
        <v>1841</v>
      </c>
      <c r="AI1600" s="12" t="str">
        <f t="shared" si="313"/>
        <v>1841</v>
      </c>
      <c r="AJ1600" s="12" t="s">
        <v>12354</v>
      </c>
      <c r="AK1600" s="12" t="s">
        <v>24</v>
      </c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</row>
    <row r="1601" spans="1:63">
      <c r="A1601" s="13" t="s">
        <v>12655</v>
      </c>
      <c r="B1601" s="12" t="str">
        <f t="shared" si="305"/>
        <v>SERFONTEIN</v>
      </c>
      <c r="C1601" s="12" t="str">
        <f t="shared" si="306"/>
        <v>SERFONTEIN</v>
      </c>
      <c r="D1601" s="12" t="s">
        <v>12658</v>
      </c>
      <c r="E1601" s="12" t="str">
        <f t="shared" si="304"/>
        <v>Jacobus Hendrik</v>
      </c>
      <c r="F1601" s="12" t="s">
        <v>4001</v>
      </c>
      <c r="G1601" s="12" t="str">
        <f t="shared" si="307"/>
        <v>a1b1c3</v>
      </c>
      <c r="H1601" s="12" t="str">
        <f t="shared" si="308"/>
        <v>SERFONTEINa1b1c3</v>
      </c>
      <c r="I1601" s="12"/>
      <c r="J1601" s="12" t="s">
        <v>12659</v>
      </c>
      <c r="K1601" s="12" t="str">
        <f t="shared" si="309"/>
        <v>1815</v>
      </c>
      <c r="L1601" s="12" t="s">
        <v>1071</v>
      </c>
      <c r="M1601" s="12" t="s">
        <v>2397</v>
      </c>
      <c r="N1601" s="12" t="str">
        <f t="shared" si="302"/>
        <v>1815</v>
      </c>
      <c r="O1601" s="12" t="str">
        <f t="shared" si="303"/>
        <v>1815</v>
      </c>
      <c r="P1601" s="12"/>
      <c r="Q1601" s="12" t="str">
        <f t="shared" si="310"/>
        <v>1815</v>
      </c>
      <c r="R1601" s="12" t="s">
        <v>12660</v>
      </c>
      <c r="S1601" s="12" t="str">
        <f t="shared" si="311"/>
        <v>1901</v>
      </c>
      <c r="T1601" s="12" t="s">
        <v>32</v>
      </c>
      <c r="U1601" s="12" t="s">
        <v>12661</v>
      </c>
      <c r="V1601" s="12" t="str">
        <f t="shared" si="312"/>
        <v>1838</v>
      </c>
      <c r="W1601" s="12" t="s">
        <v>1010</v>
      </c>
      <c r="X1601" s="12" t="s">
        <v>10705</v>
      </c>
      <c r="Y1601" s="12"/>
      <c r="Z1601" s="12"/>
      <c r="AA1601" s="12" t="s">
        <v>12662</v>
      </c>
      <c r="AB1601" s="12"/>
      <c r="AC1601" s="12"/>
      <c r="AD1601" s="12"/>
      <c r="AE1601" s="12" t="s">
        <v>12663</v>
      </c>
      <c r="AF1601" s="12" t="s">
        <v>3707</v>
      </c>
      <c r="AG1601" s="12" t="s">
        <v>32</v>
      </c>
      <c r="AH1601" s="12">
        <v>1838</v>
      </c>
      <c r="AI1601" s="12" t="str">
        <f t="shared" si="313"/>
        <v>1838</v>
      </c>
      <c r="AJ1601" s="12" t="s">
        <v>12354</v>
      </c>
      <c r="AK1601" s="12" t="s">
        <v>24</v>
      </c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</row>
    <row r="1602" spans="1:63">
      <c r="A1602" s="13" t="s">
        <v>12655</v>
      </c>
      <c r="B1602" s="12" t="str">
        <f t="shared" si="305"/>
        <v>SERFONTEIN</v>
      </c>
      <c r="C1602" s="12" t="str">
        <f t="shared" si="306"/>
        <v>SERFONTEIN</v>
      </c>
      <c r="D1602" s="12" t="s">
        <v>5254</v>
      </c>
      <c r="E1602" s="12" t="str">
        <f t="shared" si="304"/>
        <v>Christiaan Jacobus</v>
      </c>
      <c r="F1602" s="12" t="s">
        <v>944</v>
      </c>
      <c r="G1602" s="12" t="str">
        <f t="shared" si="307"/>
        <v>a1b1c4</v>
      </c>
      <c r="H1602" s="12" t="str">
        <f t="shared" si="308"/>
        <v>SERFONTEINa1b1c4</v>
      </c>
      <c r="I1602" s="12"/>
      <c r="J1602" s="12" t="s">
        <v>12656</v>
      </c>
      <c r="K1602" s="12" t="str">
        <f t="shared" si="309"/>
        <v>1817</v>
      </c>
      <c r="L1602" s="12" t="s">
        <v>1071</v>
      </c>
      <c r="M1602" s="12" t="s">
        <v>2173</v>
      </c>
      <c r="N1602" s="12" t="str">
        <f t="shared" ref="N1602:N1665" si="314">RIGHT(J1602,4)</f>
        <v>1817</v>
      </c>
      <c r="O1602" s="12" t="str">
        <f t="shared" ref="O1602:O1665" si="315">RIGHT(M1602,4)</f>
        <v>1817</v>
      </c>
      <c r="P1602" s="12"/>
      <c r="Q1602" s="12" t="str">
        <f t="shared" si="310"/>
        <v>1817</v>
      </c>
      <c r="R1602" s="12">
        <v>1880</v>
      </c>
      <c r="S1602" s="12" t="str">
        <f t="shared" si="311"/>
        <v>1880</v>
      </c>
      <c r="T1602" s="12" t="s">
        <v>32</v>
      </c>
      <c r="U1602" s="12" t="s">
        <v>12657</v>
      </c>
      <c r="V1602" s="12" t="str">
        <f t="shared" si="312"/>
        <v>1850</v>
      </c>
      <c r="W1602" s="12" t="s">
        <v>1010</v>
      </c>
      <c r="X1602" s="12" t="s">
        <v>725</v>
      </c>
      <c r="Y1602" s="12"/>
      <c r="Z1602" s="12"/>
      <c r="AA1602" s="12"/>
      <c r="AB1602" s="12"/>
      <c r="AC1602" s="12"/>
      <c r="AD1602" s="12"/>
      <c r="AE1602" s="12"/>
      <c r="AF1602" s="12" t="s">
        <v>3707</v>
      </c>
      <c r="AG1602" s="12" t="s">
        <v>32</v>
      </c>
      <c r="AH1602" s="12">
        <v>1838</v>
      </c>
      <c r="AI1602" s="12" t="str">
        <f t="shared" si="313"/>
        <v>1838</v>
      </c>
      <c r="AJ1602" s="12" t="s">
        <v>12354</v>
      </c>
      <c r="AK1602" s="12" t="s">
        <v>551</v>
      </c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</row>
    <row r="1603" spans="1:63">
      <c r="A1603" s="13" t="s">
        <v>12619</v>
      </c>
      <c r="B1603" s="12" t="str">
        <f t="shared" si="305"/>
        <v>SEVENSTER</v>
      </c>
      <c r="C1603" s="12" t="str">
        <f t="shared" si="306"/>
        <v>SEVENSTER</v>
      </c>
      <c r="D1603" s="12" t="s">
        <v>12678</v>
      </c>
      <c r="E1603" s="12" t="str">
        <f t="shared" ref="E1603:E1666" si="316">PROPER(D1603)</f>
        <v>Wessel Lourens Johannes Antoon</v>
      </c>
      <c r="F1603" s="12" t="s">
        <v>837</v>
      </c>
      <c r="G1603" s="12" t="str">
        <f t="shared" si="307"/>
        <v>a1b1</v>
      </c>
      <c r="H1603" s="12" t="str">
        <f t="shared" si="308"/>
        <v>SEVENSTERa1b1</v>
      </c>
      <c r="K1603" s="12" t="str">
        <f t="shared" si="309"/>
        <v/>
      </c>
      <c r="L1603" s="2" t="s">
        <v>1071</v>
      </c>
      <c r="M1603" s="12" t="s">
        <v>12409</v>
      </c>
      <c r="N1603" s="12" t="str">
        <f t="shared" si="314"/>
        <v/>
      </c>
      <c r="O1603" s="12" t="str">
        <f t="shared" si="315"/>
        <v>1780</v>
      </c>
      <c r="P1603" s="12"/>
      <c r="Q1603" s="12" t="str">
        <f t="shared" si="310"/>
        <v>1780</v>
      </c>
      <c r="R1603" s="12"/>
      <c r="S1603" s="12" t="str">
        <f t="shared" si="311"/>
        <v/>
      </c>
      <c r="T1603" s="12" t="s">
        <v>6098</v>
      </c>
      <c r="U1603" s="12" t="s">
        <v>3788</v>
      </c>
      <c r="V1603" s="12" t="str">
        <f t="shared" si="312"/>
        <v>1809</v>
      </c>
      <c r="W1603" s="12" t="s">
        <v>10307</v>
      </c>
      <c r="X1603" s="12" t="s">
        <v>655</v>
      </c>
      <c r="AA1603" s="2" t="s">
        <v>12679</v>
      </c>
      <c r="AB1603" s="2" t="s">
        <v>1071</v>
      </c>
      <c r="AC1603" s="2" t="s">
        <v>12680</v>
      </c>
      <c r="AD1603" s="12" t="s">
        <v>1654</v>
      </c>
      <c r="AE1603" s="12" t="s">
        <v>12681</v>
      </c>
      <c r="AF1603" s="12" t="s">
        <v>3724</v>
      </c>
      <c r="AG1603" s="12" t="s">
        <v>53</v>
      </c>
      <c r="AH1603" s="12" t="s">
        <v>12677</v>
      </c>
      <c r="AI1603" s="12" t="str">
        <f t="shared" si="313"/>
        <v>1842</v>
      </c>
      <c r="AJ1603" s="12"/>
      <c r="AK1603" s="2" t="s">
        <v>190</v>
      </c>
    </row>
    <row r="1604" spans="1:63">
      <c r="A1604" s="13" t="s">
        <v>12619</v>
      </c>
      <c r="B1604" s="12" t="str">
        <f t="shared" si="305"/>
        <v>SEVENSTER</v>
      </c>
      <c r="C1604" s="12" t="str">
        <f t="shared" si="306"/>
        <v>SEVENSTER</v>
      </c>
      <c r="D1604" s="12" t="s">
        <v>12672</v>
      </c>
      <c r="E1604" s="12" t="str">
        <f t="shared" si="316"/>
        <v>Frederik Wessel</v>
      </c>
      <c r="F1604" s="12" t="s">
        <v>934</v>
      </c>
      <c r="G1604" s="12" t="str">
        <f t="shared" si="307"/>
        <v>a1b1c2</v>
      </c>
      <c r="H1604" s="12" t="str">
        <f t="shared" si="308"/>
        <v>SEVENSTERa1b1c2</v>
      </c>
      <c r="J1604" s="2" t="s">
        <v>515</v>
      </c>
      <c r="K1604" s="12" t="str">
        <f t="shared" si="309"/>
        <v>1815</v>
      </c>
      <c r="M1604" s="12"/>
      <c r="N1604" s="12" t="str">
        <f t="shared" si="314"/>
        <v>1815</v>
      </c>
      <c r="O1604" s="12" t="str">
        <f t="shared" si="315"/>
        <v/>
      </c>
      <c r="P1604" s="2" t="s">
        <v>160</v>
      </c>
      <c r="Q1604" s="12" t="str">
        <f t="shared" si="310"/>
        <v>1815</v>
      </c>
      <c r="R1604" s="2" t="s">
        <v>2408</v>
      </c>
      <c r="S1604" s="12" t="str">
        <f t="shared" si="311"/>
        <v>1858</v>
      </c>
      <c r="T1604" s="12" t="s">
        <v>28</v>
      </c>
      <c r="U1604" s="12" t="s">
        <v>12673</v>
      </c>
      <c r="V1604" s="12" t="str">
        <f t="shared" si="312"/>
        <v>1839</v>
      </c>
      <c r="W1604" s="12" t="s">
        <v>12674</v>
      </c>
      <c r="X1604" s="12" t="s">
        <v>700</v>
      </c>
      <c r="AA1604" s="2" t="s">
        <v>12675</v>
      </c>
      <c r="AB1604" s="2" t="s">
        <v>53</v>
      </c>
      <c r="AC1604" s="2" t="s">
        <v>12676</v>
      </c>
      <c r="AD1604" s="2" t="s">
        <v>160</v>
      </c>
      <c r="AE1604" s="2" t="s">
        <v>10166</v>
      </c>
      <c r="AF1604" s="12" t="s">
        <v>3724</v>
      </c>
      <c r="AG1604" s="12" t="s">
        <v>53</v>
      </c>
      <c r="AH1604" s="12" t="s">
        <v>12677</v>
      </c>
      <c r="AI1604" s="12" t="str">
        <f t="shared" si="313"/>
        <v>1842</v>
      </c>
      <c r="AK1604" s="12" t="s">
        <v>551</v>
      </c>
    </row>
    <row r="1605" spans="1:63">
      <c r="A1605" s="13" t="s">
        <v>7927</v>
      </c>
      <c r="B1605" s="12" t="str">
        <f t="shared" si="305"/>
        <v>SLABBERT</v>
      </c>
      <c r="C1605" s="12" t="str">
        <f t="shared" si="306"/>
        <v>SLABBERT</v>
      </c>
      <c r="D1605" s="12" t="s">
        <v>5637</v>
      </c>
      <c r="E1605" s="12" t="str">
        <f t="shared" si="316"/>
        <v>Gert Petrus</v>
      </c>
      <c r="F1605" s="12" t="s">
        <v>12682</v>
      </c>
      <c r="G1605" s="12" t="str">
        <f t="shared" si="307"/>
        <v>a1b10c4d4e5</v>
      </c>
      <c r="H1605" s="12" t="str">
        <f t="shared" si="308"/>
        <v>SLABBERTa1b10c4d4e5</v>
      </c>
      <c r="J1605" s="12" t="s">
        <v>12683</v>
      </c>
      <c r="K1605" s="12" t="str">
        <f t="shared" si="309"/>
        <v>1817</v>
      </c>
      <c r="L1605" s="12" t="s">
        <v>53</v>
      </c>
      <c r="M1605" s="12" t="s">
        <v>12684</v>
      </c>
      <c r="N1605" s="12" t="str">
        <f t="shared" si="314"/>
        <v>1817</v>
      </c>
      <c r="O1605" s="12" t="str">
        <f t="shared" si="315"/>
        <v>1818</v>
      </c>
      <c r="P1605" s="2" t="s">
        <v>81</v>
      </c>
      <c r="Q1605" s="12" t="str">
        <f t="shared" si="310"/>
        <v>1817</v>
      </c>
      <c r="R1605" s="2" t="s">
        <v>12685</v>
      </c>
      <c r="S1605" s="12" t="str">
        <f t="shared" si="311"/>
        <v>1880</v>
      </c>
      <c r="T1605" s="2" t="s">
        <v>140</v>
      </c>
      <c r="U1605" s="2" t="s">
        <v>12686</v>
      </c>
      <c r="V1605" s="12" t="str">
        <f t="shared" si="312"/>
        <v>1840</v>
      </c>
      <c r="W1605" s="2" t="s">
        <v>4261</v>
      </c>
      <c r="X1605" s="2" t="s">
        <v>2138</v>
      </c>
      <c r="AE1605" s="2" t="s">
        <v>12687</v>
      </c>
      <c r="AF1605" s="12"/>
      <c r="AG1605" s="12"/>
      <c r="AH1605" s="12" t="s">
        <v>12688</v>
      </c>
      <c r="AI1605" s="12" t="str">
        <f t="shared" si="313"/>
        <v>1840</v>
      </c>
      <c r="AK1605" s="2" t="s">
        <v>140</v>
      </c>
    </row>
    <row r="1606" spans="1:63">
      <c r="A1606" s="13" t="s">
        <v>7927</v>
      </c>
      <c r="B1606" s="12" t="str">
        <f t="shared" si="305"/>
        <v>SLABBERT</v>
      </c>
      <c r="C1606" s="12" t="str">
        <f t="shared" si="306"/>
        <v>SLABBERT</v>
      </c>
      <c r="D1606" s="12" t="s">
        <v>201</v>
      </c>
      <c r="E1606" s="12" t="str">
        <f t="shared" si="316"/>
        <v>Petrus Johannes</v>
      </c>
      <c r="F1606" s="12" t="s">
        <v>12701</v>
      </c>
      <c r="G1606" s="12" t="str">
        <f t="shared" si="307"/>
        <v>a1b10c4d5e5</v>
      </c>
      <c r="H1606" s="12" t="str">
        <f t="shared" si="308"/>
        <v>SLABBERTa1b10c4d5e5</v>
      </c>
      <c r="J1606" s="12"/>
      <c r="K1606" s="12" t="str">
        <f t="shared" si="309"/>
        <v/>
      </c>
      <c r="L1606" s="12"/>
      <c r="M1606" s="12" t="s">
        <v>12702</v>
      </c>
      <c r="N1606" s="12" t="str">
        <f t="shared" si="314"/>
        <v/>
      </c>
      <c r="O1606" s="12" t="str">
        <f t="shared" si="315"/>
        <v>/189</v>
      </c>
      <c r="P1606" s="2" t="s">
        <v>406</v>
      </c>
      <c r="Q1606" s="12" t="str">
        <f t="shared" si="310"/>
        <v>/189</v>
      </c>
      <c r="R1606" s="2" t="s">
        <v>12703</v>
      </c>
      <c r="S1606" s="12" t="str">
        <f t="shared" si="311"/>
        <v>1894</v>
      </c>
      <c r="T1606" s="12" t="s">
        <v>32</v>
      </c>
      <c r="U1606" s="12" t="s">
        <v>2400</v>
      </c>
      <c r="V1606" s="12" t="str">
        <f t="shared" si="312"/>
        <v>1836</v>
      </c>
      <c r="W1606" s="12" t="s">
        <v>1838</v>
      </c>
      <c r="X1606" s="12" t="s">
        <v>758</v>
      </c>
      <c r="AA1606" s="2" t="s">
        <v>170</v>
      </c>
      <c r="AE1606" s="2" t="s">
        <v>12704</v>
      </c>
      <c r="AF1606" s="2" t="s">
        <v>10648</v>
      </c>
      <c r="AG1606" s="12" t="s">
        <v>32</v>
      </c>
      <c r="AH1606" s="12" t="s">
        <v>12700</v>
      </c>
      <c r="AI1606" s="12" t="str">
        <f t="shared" si="313"/>
        <v>1838</v>
      </c>
      <c r="AJ1606" s="2" t="s">
        <v>12354</v>
      </c>
      <c r="AK1606" s="12" t="s">
        <v>406</v>
      </c>
    </row>
    <row r="1607" spans="1:63">
      <c r="A1607" s="13" t="s">
        <v>7927</v>
      </c>
      <c r="B1607" s="12" t="str">
        <f t="shared" si="305"/>
        <v>SLABBERT</v>
      </c>
      <c r="C1607" s="12" t="str">
        <f t="shared" si="306"/>
        <v>SLABBERT</v>
      </c>
      <c r="D1607" s="12" t="s">
        <v>6557</v>
      </c>
      <c r="E1607" s="12" t="str">
        <f t="shared" si="316"/>
        <v>Johannes Cornelis</v>
      </c>
      <c r="F1607" s="12" t="s">
        <v>12697</v>
      </c>
      <c r="G1607" s="12" t="str">
        <f t="shared" si="307"/>
        <v>a1b10c4d5e6</v>
      </c>
      <c r="H1607" s="12" t="str">
        <f t="shared" si="308"/>
        <v>SLABBERTa1b10c4d5e6</v>
      </c>
      <c r="J1607" s="12"/>
      <c r="K1607" s="12" t="str">
        <f t="shared" si="309"/>
        <v/>
      </c>
      <c r="L1607" s="12"/>
      <c r="M1607" s="12" t="s">
        <v>12571</v>
      </c>
      <c r="N1607" s="12" t="str">
        <f t="shared" si="314"/>
        <v/>
      </c>
      <c r="O1607" s="12" t="str">
        <f t="shared" si="315"/>
        <v>1810</v>
      </c>
      <c r="P1607" s="2" t="s">
        <v>406</v>
      </c>
      <c r="Q1607" s="12" t="str">
        <f t="shared" si="310"/>
        <v>1810</v>
      </c>
      <c r="R1607" s="12" t="s">
        <v>12698</v>
      </c>
      <c r="S1607" s="12" t="str">
        <f t="shared" si="311"/>
        <v>1879</v>
      </c>
      <c r="T1607" s="2" t="s">
        <v>32</v>
      </c>
      <c r="U1607" s="2" t="s">
        <v>12699</v>
      </c>
      <c r="V1607" s="12" t="str">
        <f t="shared" si="312"/>
        <v>1836</v>
      </c>
      <c r="W1607" s="12" t="s">
        <v>2421</v>
      </c>
      <c r="X1607" s="12" t="s">
        <v>620</v>
      </c>
      <c r="AF1607" s="12" t="s">
        <v>6174</v>
      </c>
      <c r="AG1607" s="12" t="s">
        <v>32</v>
      </c>
      <c r="AH1607" s="12" t="s">
        <v>12700</v>
      </c>
      <c r="AI1607" s="12" t="str">
        <f t="shared" si="313"/>
        <v>1838</v>
      </c>
      <c r="AJ1607" s="2" t="s">
        <v>12354</v>
      </c>
      <c r="AK1607" s="12" t="s">
        <v>406</v>
      </c>
      <c r="AN1607" s="12"/>
      <c r="AO1607" s="12"/>
      <c r="AR1607" s="12"/>
      <c r="AV1607" s="12"/>
      <c r="AY1607" s="12"/>
      <c r="AZ1607" s="12"/>
    </row>
    <row r="1608" spans="1:63">
      <c r="A1608" s="13" t="s">
        <v>7927</v>
      </c>
      <c r="B1608" s="12" t="str">
        <f t="shared" si="305"/>
        <v>SLABBERT</v>
      </c>
      <c r="C1608" s="12" t="str">
        <f t="shared" si="306"/>
        <v>SLABBERT</v>
      </c>
      <c r="D1608" s="12" t="s">
        <v>12689</v>
      </c>
      <c r="E1608" s="12" t="str">
        <f t="shared" si="316"/>
        <v>Jasper Johannes</v>
      </c>
      <c r="F1608" s="12" t="s">
        <v>12690</v>
      </c>
      <c r="G1608" s="12" t="str">
        <f t="shared" si="307"/>
        <v>a1b10c4d6e2</v>
      </c>
      <c r="H1608" s="12" t="str">
        <f t="shared" si="308"/>
        <v>SLABBERTa1b10c4d6e2</v>
      </c>
      <c r="K1608" s="12" t="str">
        <f t="shared" si="309"/>
        <v/>
      </c>
      <c r="M1608" s="12" t="s">
        <v>7250</v>
      </c>
      <c r="N1608" s="12" t="str">
        <f t="shared" si="314"/>
        <v/>
      </c>
      <c r="O1608" s="12" t="str">
        <f t="shared" si="315"/>
        <v>1804</v>
      </c>
      <c r="P1608" s="2" t="s">
        <v>551</v>
      </c>
      <c r="Q1608" s="12" t="str">
        <f t="shared" si="310"/>
        <v>1804</v>
      </c>
      <c r="R1608" s="2" t="s">
        <v>12691</v>
      </c>
      <c r="S1608" s="12" t="str">
        <f t="shared" si="311"/>
        <v>1854</v>
      </c>
      <c r="T1608" s="12" t="s">
        <v>366</v>
      </c>
      <c r="U1608" s="12" t="s">
        <v>1165</v>
      </c>
      <c r="V1608" s="12" t="str">
        <f t="shared" si="312"/>
        <v>1831</v>
      </c>
      <c r="W1608" s="12" t="s">
        <v>12692</v>
      </c>
      <c r="X1608" s="12" t="s">
        <v>12693</v>
      </c>
      <c r="Y1608" s="12" t="s">
        <v>12694</v>
      </c>
      <c r="AA1608" s="2" t="s">
        <v>12695</v>
      </c>
      <c r="AB1608" s="2" t="s">
        <v>74</v>
      </c>
      <c r="AC1608" s="12" t="s">
        <v>2632</v>
      </c>
      <c r="AF1608" s="12"/>
      <c r="AG1608" s="12" t="s">
        <v>366</v>
      </c>
      <c r="AH1608" s="12" t="s">
        <v>12696</v>
      </c>
      <c r="AI1608" s="12" t="str">
        <f t="shared" si="313"/>
        <v>1844</v>
      </c>
      <c r="AJ1608" s="12"/>
      <c r="AK1608" s="12" t="s">
        <v>190</v>
      </c>
    </row>
    <row r="1609" spans="1:63">
      <c r="A1609" s="13" t="s">
        <v>664</v>
      </c>
      <c r="B1609" s="12" t="str">
        <f t="shared" si="305"/>
        <v>SMIT</v>
      </c>
      <c r="C1609" s="12" t="str">
        <f t="shared" si="306"/>
        <v>SMIT</v>
      </c>
      <c r="D1609" s="12" t="s">
        <v>667</v>
      </c>
      <c r="E1609" s="12" t="str">
        <f t="shared" si="316"/>
        <v>Erasmus</v>
      </c>
      <c r="F1609" s="12" t="s">
        <v>829</v>
      </c>
      <c r="G1609" s="12" t="str">
        <f t="shared" si="307"/>
        <v>a1</v>
      </c>
      <c r="H1609" s="12" t="str">
        <f t="shared" si="308"/>
        <v>SMITa1</v>
      </c>
      <c r="I1609" s="2" t="s">
        <v>12783</v>
      </c>
      <c r="J1609" s="12" t="s">
        <v>12784</v>
      </c>
      <c r="K1609" s="12" t="str">
        <f t="shared" si="309"/>
        <v>1778</v>
      </c>
      <c r="L1609" s="12"/>
      <c r="M1609" s="12"/>
      <c r="N1609" s="12" t="str">
        <f t="shared" si="314"/>
        <v>1778</v>
      </c>
      <c r="O1609" s="12" t="str">
        <f t="shared" si="315"/>
        <v/>
      </c>
      <c r="P1609" s="2" t="s">
        <v>168</v>
      </c>
      <c r="Q1609" s="12" t="str">
        <f t="shared" si="310"/>
        <v>1778</v>
      </c>
      <c r="R1609" s="2" t="s">
        <v>12785</v>
      </c>
      <c r="S1609" s="12" t="str">
        <f t="shared" si="311"/>
        <v>1863</v>
      </c>
      <c r="T1609" s="12"/>
      <c r="U1609" s="12"/>
      <c r="V1609" s="12" t="str">
        <f t="shared" si="312"/>
        <v/>
      </c>
      <c r="W1609" s="12" t="s">
        <v>3331</v>
      </c>
      <c r="X1609" s="12" t="s">
        <v>1151</v>
      </c>
      <c r="Y1609" s="2" t="s">
        <v>2257</v>
      </c>
      <c r="AC1609" s="2" t="s">
        <v>3980</v>
      </c>
      <c r="AD1609" s="2" t="s">
        <v>168</v>
      </c>
      <c r="AE1609" s="2" t="s">
        <v>12786</v>
      </c>
      <c r="AG1609" s="12" t="s">
        <v>74</v>
      </c>
      <c r="AH1609" s="12" t="s">
        <v>12307</v>
      </c>
      <c r="AI1609" s="12" t="str">
        <f t="shared" si="313"/>
        <v>1836</v>
      </c>
      <c r="AJ1609" s="2" t="s">
        <v>12787</v>
      </c>
    </row>
    <row r="1610" spans="1:63">
      <c r="A1610" s="13" t="s">
        <v>664</v>
      </c>
      <c r="B1610" s="12" t="str">
        <f t="shared" si="305"/>
        <v>SMIT</v>
      </c>
      <c r="C1610" s="12" t="str">
        <f t="shared" si="306"/>
        <v>SMIT</v>
      </c>
      <c r="D1610" s="12" t="s">
        <v>12895</v>
      </c>
      <c r="E1610" s="12" t="str">
        <f t="shared" si="316"/>
        <v>Salmomon Erasmus Gerhardus</v>
      </c>
      <c r="F1610" s="12" t="s">
        <v>12896</v>
      </c>
      <c r="G1610" s="12" t="str">
        <f t="shared" si="307"/>
        <v>a1b2</v>
      </c>
      <c r="H1610" s="12" t="str">
        <f t="shared" si="308"/>
        <v>SMITa1b2</v>
      </c>
      <c r="I1610" s="2" t="s">
        <v>60</v>
      </c>
      <c r="J1610" s="12" t="s">
        <v>12897</v>
      </c>
      <c r="K1610" s="12" t="str">
        <f t="shared" si="309"/>
        <v>1816</v>
      </c>
      <c r="L1610" s="12"/>
      <c r="M1610" s="12"/>
      <c r="N1610" s="12" t="str">
        <f t="shared" si="314"/>
        <v>1816</v>
      </c>
      <c r="O1610" s="12" t="str">
        <f t="shared" si="315"/>
        <v/>
      </c>
      <c r="P1610" s="2" t="s">
        <v>12898</v>
      </c>
      <c r="Q1610" s="12" t="str">
        <f t="shared" si="310"/>
        <v>1816</v>
      </c>
      <c r="R1610" s="2" t="s">
        <v>12899</v>
      </c>
      <c r="S1610" s="12" t="str">
        <f t="shared" si="311"/>
        <v>1837</v>
      </c>
      <c r="V1610" s="12" t="str">
        <f t="shared" si="312"/>
        <v/>
      </c>
      <c r="W1610" s="12"/>
      <c r="X1610" s="12"/>
      <c r="AA1610" s="12"/>
      <c r="AB1610" s="12"/>
      <c r="AC1610" s="12"/>
      <c r="AF1610" s="12"/>
      <c r="AG1610" s="12" t="s">
        <v>74</v>
      </c>
      <c r="AH1610" s="12" t="s">
        <v>12900</v>
      </c>
      <c r="AI1610" s="12" t="str">
        <f t="shared" si="313"/>
        <v>1836</v>
      </c>
      <c r="AJ1610" s="2" t="s">
        <v>10539</v>
      </c>
    </row>
    <row r="1611" spans="1:63">
      <c r="A1611" s="13" t="s">
        <v>664</v>
      </c>
      <c r="B1611" s="12" t="str">
        <f t="shared" si="305"/>
        <v>SMIT</v>
      </c>
      <c r="C1611" s="12" t="str">
        <f t="shared" si="306"/>
        <v>SMIT</v>
      </c>
      <c r="D1611" s="12" t="s">
        <v>3761</v>
      </c>
      <c r="E1611" s="12" t="str">
        <f t="shared" si="316"/>
        <v>Johannes Petrus</v>
      </c>
      <c r="F1611" s="2" t="s">
        <v>12853</v>
      </c>
      <c r="G1611" s="12" t="str">
        <f t="shared" si="307"/>
        <v>a1b4c10d1e2f2</v>
      </c>
      <c r="H1611" s="12" t="str">
        <f t="shared" si="308"/>
        <v>SMITa1b4c10d1e2f2</v>
      </c>
      <c r="K1611" s="12" t="str">
        <f t="shared" si="309"/>
        <v/>
      </c>
      <c r="N1611" s="12" t="str">
        <f t="shared" si="314"/>
        <v/>
      </c>
      <c r="O1611" s="12" t="str">
        <f t="shared" si="315"/>
        <v/>
      </c>
      <c r="Q1611" s="12" t="str">
        <f t="shared" si="310"/>
        <v/>
      </c>
      <c r="S1611" s="12" t="str">
        <f t="shared" si="311"/>
        <v/>
      </c>
      <c r="V1611" s="12" t="str">
        <f t="shared" si="312"/>
        <v/>
      </c>
      <c r="W1611" s="2" t="s">
        <v>12854</v>
      </c>
      <c r="X1611" s="2" t="s">
        <v>726</v>
      </c>
      <c r="AF1611" s="2" t="s">
        <v>3699</v>
      </c>
      <c r="AG1611" s="2" t="s">
        <v>68</v>
      </c>
      <c r="AH1611" s="2">
        <v>1837</v>
      </c>
      <c r="AI1611" s="12" t="str">
        <f t="shared" si="313"/>
        <v>1837</v>
      </c>
      <c r="AJ1611" s="2" t="s">
        <v>5423</v>
      </c>
      <c r="AK1611" s="2" t="s">
        <v>168</v>
      </c>
    </row>
    <row r="1612" spans="1:63">
      <c r="A1612" s="13" t="s">
        <v>664</v>
      </c>
      <c r="B1612" s="12" t="str">
        <f t="shared" si="305"/>
        <v>SMIT</v>
      </c>
      <c r="C1612" s="12" t="str">
        <f t="shared" si="306"/>
        <v>SMIT</v>
      </c>
      <c r="D1612" s="12" t="s">
        <v>12743</v>
      </c>
      <c r="E1612" s="12" t="str">
        <f t="shared" si="316"/>
        <v>Carel (Sarel) Gerhardus</v>
      </c>
      <c r="F1612" s="12" t="s">
        <v>12744</v>
      </c>
      <c r="G1612" s="12" t="str">
        <f t="shared" si="307"/>
        <v>a2b9c11</v>
      </c>
      <c r="H1612" s="12" t="str">
        <f t="shared" si="308"/>
        <v>SMITa2b9c11</v>
      </c>
      <c r="J1612" s="12"/>
      <c r="K1612" s="12" t="str">
        <f t="shared" si="309"/>
        <v/>
      </c>
      <c r="L1612" s="12"/>
      <c r="M1612" s="12" t="s">
        <v>2098</v>
      </c>
      <c r="N1612" s="12" t="str">
        <f t="shared" si="314"/>
        <v/>
      </c>
      <c r="O1612" s="12" t="str">
        <f t="shared" si="315"/>
        <v>1795</v>
      </c>
      <c r="P1612" s="2" t="s">
        <v>1774</v>
      </c>
      <c r="Q1612" s="12" t="str">
        <f t="shared" si="310"/>
        <v>1795</v>
      </c>
      <c r="R1612" s="2" t="s">
        <v>12745</v>
      </c>
      <c r="S1612" s="12" t="str">
        <f t="shared" si="311"/>
        <v>1871</v>
      </c>
      <c r="T1612" s="12"/>
      <c r="U1612" s="12"/>
      <c r="V1612" s="12" t="str">
        <f t="shared" si="312"/>
        <v/>
      </c>
      <c r="W1612" s="12" t="s">
        <v>4623</v>
      </c>
      <c r="X1612" s="12" t="s">
        <v>664</v>
      </c>
      <c r="AF1612" s="12"/>
      <c r="AG1612" s="12" t="s">
        <v>366</v>
      </c>
      <c r="AH1612" s="12" t="s">
        <v>12746</v>
      </c>
      <c r="AI1612" s="12" t="str">
        <f t="shared" si="313"/>
        <v>1842</v>
      </c>
      <c r="AK1612" s="12" t="s">
        <v>140</v>
      </c>
      <c r="AL1612" s="12" t="s">
        <v>542</v>
      </c>
      <c r="AM1612" s="12" t="s">
        <v>1368</v>
      </c>
      <c r="AN1612" s="12" t="s">
        <v>642</v>
      </c>
      <c r="AO1612" s="12" t="s">
        <v>3187</v>
      </c>
    </row>
    <row r="1613" spans="1:63">
      <c r="A1613" s="13" t="s">
        <v>664</v>
      </c>
      <c r="B1613" s="12" t="str">
        <f t="shared" si="305"/>
        <v>SMIT</v>
      </c>
      <c r="C1613" s="12" t="str">
        <f t="shared" si="306"/>
        <v>SMIT</v>
      </c>
      <c r="D1613" s="12" t="s">
        <v>12888</v>
      </c>
      <c r="E1613" s="12" t="str">
        <f t="shared" si="316"/>
        <v>Pieter Gerrit</v>
      </c>
      <c r="F1613" s="12" t="s">
        <v>12889</v>
      </c>
      <c r="G1613" s="12" t="str">
        <f t="shared" si="307"/>
        <v>a2b9c11d2</v>
      </c>
      <c r="H1613" s="12" t="str">
        <f t="shared" si="308"/>
        <v>SMITa2b9c11d2</v>
      </c>
      <c r="J1613" s="2" t="s">
        <v>4852</v>
      </c>
      <c r="K1613" s="12" t="str">
        <f t="shared" si="309"/>
        <v>1823</v>
      </c>
      <c r="L1613" s="2" t="s">
        <v>542</v>
      </c>
      <c r="M1613" s="12" t="s">
        <v>12890</v>
      </c>
      <c r="N1613" s="12" t="str">
        <f t="shared" si="314"/>
        <v>1823</v>
      </c>
      <c r="O1613" s="12" t="str">
        <f t="shared" si="315"/>
        <v>1823</v>
      </c>
      <c r="P1613" s="2" t="s">
        <v>12891</v>
      </c>
      <c r="Q1613" s="12" t="str">
        <f t="shared" si="310"/>
        <v>1823</v>
      </c>
      <c r="R1613" s="2" t="s">
        <v>12892</v>
      </c>
      <c r="S1613" s="12" t="str">
        <f t="shared" si="311"/>
        <v>1897</v>
      </c>
      <c r="T1613" s="12" t="s">
        <v>140</v>
      </c>
      <c r="U1613" s="12" t="s">
        <v>12893</v>
      </c>
      <c r="V1613" s="12" t="str">
        <f t="shared" si="312"/>
        <v>1846</v>
      </c>
      <c r="W1613" s="12" t="s">
        <v>12894</v>
      </c>
      <c r="X1613" s="12" t="s">
        <v>1037</v>
      </c>
      <c r="Y1613" s="12"/>
      <c r="AA1613" s="12"/>
      <c r="AF1613" s="12"/>
      <c r="AG1613" s="12" t="s">
        <v>366</v>
      </c>
      <c r="AH1613" s="12" t="s">
        <v>12839</v>
      </c>
      <c r="AI1613" s="12" t="str">
        <f t="shared" si="313"/>
        <v>1840</v>
      </c>
      <c r="AJ1613" s="12"/>
      <c r="AK1613" s="12" t="s">
        <v>140</v>
      </c>
    </row>
    <row r="1614" spans="1:63">
      <c r="A1614" s="13" t="s">
        <v>664</v>
      </c>
      <c r="B1614" s="12" t="str">
        <f t="shared" si="305"/>
        <v>SMIT</v>
      </c>
      <c r="C1614" s="12" t="str">
        <f t="shared" si="306"/>
        <v>SMIT</v>
      </c>
      <c r="D1614" s="12" t="s">
        <v>12837</v>
      </c>
      <c r="E1614" s="12" t="str">
        <f t="shared" si="316"/>
        <v>Jan Paul</v>
      </c>
      <c r="F1614" s="12" t="s">
        <v>12838</v>
      </c>
      <c r="G1614" s="12" t="str">
        <f t="shared" si="307"/>
        <v>a2b9c11d3</v>
      </c>
      <c r="H1614" s="12" t="str">
        <f t="shared" si="308"/>
        <v>SMITa2b9c11d3</v>
      </c>
      <c r="J1614" s="2" t="s">
        <v>4685</v>
      </c>
      <c r="K1614" s="12" t="str">
        <f t="shared" si="309"/>
        <v>1825</v>
      </c>
      <c r="L1614" s="2" t="s">
        <v>366</v>
      </c>
      <c r="M1614" s="12" t="s">
        <v>4032</v>
      </c>
      <c r="N1614" s="12" t="str">
        <f t="shared" si="314"/>
        <v>1825</v>
      </c>
      <c r="O1614" s="12" t="str">
        <f t="shared" si="315"/>
        <v>1825</v>
      </c>
      <c r="Q1614" s="12" t="str">
        <f t="shared" si="310"/>
        <v>1825</v>
      </c>
      <c r="S1614" s="12" t="str">
        <f t="shared" si="311"/>
        <v/>
      </c>
      <c r="T1614" s="12"/>
      <c r="U1614" s="12"/>
      <c r="V1614" s="12" t="str">
        <f t="shared" si="312"/>
        <v/>
      </c>
      <c r="W1614" s="12" t="s">
        <v>5463</v>
      </c>
      <c r="X1614" s="12" t="s">
        <v>701</v>
      </c>
      <c r="Y1614" s="12"/>
      <c r="AA1614" s="12"/>
      <c r="AB1614" s="12"/>
      <c r="AC1614" s="12"/>
      <c r="AF1614" s="12"/>
      <c r="AG1614" s="12" t="s">
        <v>366</v>
      </c>
      <c r="AH1614" s="12" t="s">
        <v>12839</v>
      </c>
      <c r="AI1614" s="12" t="str">
        <f t="shared" si="313"/>
        <v>1840</v>
      </c>
      <c r="AJ1614" s="12"/>
      <c r="AK1614" s="12" t="s">
        <v>140</v>
      </c>
    </row>
    <row r="1615" spans="1:63">
      <c r="A1615" s="13" t="s">
        <v>664</v>
      </c>
      <c r="B1615" s="12" t="str">
        <f t="shared" si="305"/>
        <v>SMIT</v>
      </c>
      <c r="C1615" s="12" t="str">
        <f t="shared" si="306"/>
        <v>SMIT</v>
      </c>
      <c r="D1615" s="12" t="s">
        <v>6760</v>
      </c>
      <c r="E1615" s="12" t="str">
        <f t="shared" si="316"/>
        <v>Gerrit Willem</v>
      </c>
      <c r="F1615" s="12" t="s">
        <v>12826</v>
      </c>
      <c r="G1615" s="12" t="str">
        <f t="shared" si="307"/>
        <v>a2b9c13</v>
      </c>
      <c r="H1615" s="12" t="str">
        <f t="shared" si="308"/>
        <v>SMITa2b9c13</v>
      </c>
      <c r="J1615" s="12"/>
      <c r="K1615" s="12" t="str">
        <f t="shared" si="309"/>
        <v/>
      </c>
      <c r="L1615" s="12"/>
      <c r="M1615" s="12" t="s">
        <v>12827</v>
      </c>
      <c r="N1615" s="12" t="str">
        <f t="shared" si="314"/>
        <v/>
      </c>
      <c r="O1615" s="12" t="str">
        <f t="shared" si="315"/>
        <v>1799</v>
      </c>
      <c r="Q1615" s="12" t="str">
        <f t="shared" si="310"/>
        <v>1799</v>
      </c>
      <c r="R1615" s="12"/>
      <c r="S1615" s="12" t="str">
        <f t="shared" si="311"/>
        <v/>
      </c>
      <c r="T1615" s="12" t="s">
        <v>542</v>
      </c>
      <c r="U1615" s="12" t="s">
        <v>2841</v>
      </c>
      <c r="V1615" s="12" t="str">
        <f t="shared" si="312"/>
        <v>1823</v>
      </c>
      <c r="W1615" s="12" t="s">
        <v>714</v>
      </c>
      <c r="X1615" s="12" t="s">
        <v>755</v>
      </c>
      <c r="Y1615" s="2" t="s">
        <v>12828</v>
      </c>
      <c r="AC1615" s="2" t="s">
        <v>9802</v>
      </c>
      <c r="AE1615" s="12"/>
      <c r="AF1615" s="12"/>
      <c r="AG1615" s="12" t="s">
        <v>3587</v>
      </c>
      <c r="AH1615" s="12">
        <v>1838</v>
      </c>
      <c r="AI1615" s="12" t="str">
        <f t="shared" si="313"/>
        <v>1838</v>
      </c>
      <c r="AK1615" s="2" t="s">
        <v>140</v>
      </c>
      <c r="AN1615" s="12"/>
    </row>
    <row r="1616" spans="1:63">
      <c r="A1616" s="13" t="s">
        <v>664</v>
      </c>
      <c r="B1616" s="12" t="str">
        <f t="shared" si="305"/>
        <v>SMIT</v>
      </c>
      <c r="C1616" s="12" t="str">
        <f t="shared" si="306"/>
        <v>SMIT</v>
      </c>
      <c r="D1616" s="12" t="s">
        <v>12880</v>
      </c>
      <c r="E1616" s="12" t="str">
        <f t="shared" si="316"/>
        <v>Nicolaas Wilhelmus</v>
      </c>
      <c r="F1616" s="12" t="s">
        <v>12881</v>
      </c>
      <c r="G1616" s="12" t="str">
        <f t="shared" si="307"/>
        <v>a2b9c15</v>
      </c>
      <c r="H1616" s="12" t="str">
        <f t="shared" si="308"/>
        <v>SMITa2b9c15</v>
      </c>
      <c r="J1616" s="2" t="s">
        <v>12882</v>
      </c>
      <c r="K1616" s="12" t="str">
        <f t="shared" si="309"/>
        <v>1804</v>
      </c>
      <c r="L1616" s="2" t="s">
        <v>542</v>
      </c>
      <c r="M1616" s="12" t="s">
        <v>12883</v>
      </c>
      <c r="N1616" s="12" t="str">
        <f t="shared" si="314"/>
        <v>1804</v>
      </c>
      <c r="O1616" s="12" t="str">
        <f t="shared" si="315"/>
        <v>1804</v>
      </c>
      <c r="P1616" s="12" t="s">
        <v>190</v>
      </c>
      <c r="Q1616" s="12" t="str">
        <f t="shared" si="310"/>
        <v>1804</v>
      </c>
      <c r="R1616" s="2" t="s">
        <v>12884</v>
      </c>
      <c r="S1616" s="12" t="str">
        <f t="shared" si="311"/>
        <v>1872</v>
      </c>
      <c r="T1616" s="12"/>
      <c r="U1616" s="12"/>
      <c r="V1616" s="12" t="str">
        <f t="shared" si="312"/>
        <v/>
      </c>
      <c r="W1616" s="12" t="s">
        <v>12885</v>
      </c>
      <c r="X1616" s="12" t="s">
        <v>1453</v>
      </c>
      <c r="Y1616" s="12"/>
      <c r="AC1616" s="12"/>
      <c r="AD1616" s="12"/>
      <c r="AF1616" s="12"/>
      <c r="AG1616" s="12" t="s">
        <v>542</v>
      </c>
      <c r="AH1616" s="12" t="s">
        <v>12886</v>
      </c>
      <c r="AI1616" s="12" t="str">
        <f t="shared" si="313"/>
        <v>1840</v>
      </c>
      <c r="AJ1616" s="12"/>
      <c r="AK1616" s="12" t="s">
        <v>1035</v>
      </c>
      <c r="AN1616" s="2" t="s">
        <v>12887</v>
      </c>
      <c r="AO1616" s="2" t="s">
        <v>2106</v>
      </c>
      <c r="AW1616" s="2" t="s">
        <v>542</v>
      </c>
      <c r="AX1616" s="2" t="s">
        <v>3427</v>
      </c>
      <c r="AY1616" s="2" t="s">
        <v>1891</v>
      </c>
      <c r="AZ1616" s="2" t="s">
        <v>12751</v>
      </c>
      <c r="BH1616" s="2" t="s">
        <v>140</v>
      </c>
      <c r="BI1616" s="2" t="s">
        <v>241</v>
      </c>
      <c r="BJ1616" s="2" t="s">
        <v>2137</v>
      </c>
      <c r="BK1616" s="2" t="s">
        <v>729</v>
      </c>
    </row>
    <row r="1617" spans="1:70">
      <c r="A1617" s="13" t="s">
        <v>664</v>
      </c>
      <c r="B1617" s="12" t="str">
        <f t="shared" si="305"/>
        <v>SMIT</v>
      </c>
      <c r="C1617" s="12" t="str">
        <f t="shared" si="306"/>
        <v>SMIT</v>
      </c>
      <c r="D1617" s="12" t="s">
        <v>12747</v>
      </c>
      <c r="E1617" s="12" t="str">
        <f t="shared" si="316"/>
        <v>Christiaan Adreas</v>
      </c>
      <c r="F1617" s="12" t="s">
        <v>12748</v>
      </c>
      <c r="G1617" s="12" t="str">
        <f t="shared" si="307"/>
        <v>a2b9c16</v>
      </c>
      <c r="H1617" s="12" t="str">
        <f t="shared" si="308"/>
        <v>SMITa2b9c16</v>
      </c>
      <c r="J1617" s="12" t="s">
        <v>12749</v>
      </c>
      <c r="K1617" s="12" t="str">
        <f t="shared" si="309"/>
        <v>1806</v>
      </c>
      <c r="L1617" s="12" t="s">
        <v>542</v>
      </c>
      <c r="M1617" s="12" t="s">
        <v>10120</v>
      </c>
      <c r="N1617" s="12" t="str">
        <f t="shared" si="314"/>
        <v>1806</v>
      </c>
      <c r="O1617" s="12" t="str">
        <f t="shared" si="315"/>
        <v>1807</v>
      </c>
      <c r="P1617" s="12" t="s">
        <v>2520</v>
      </c>
      <c r="Q1617" s="12" t="str">
        <f t="shared" si="310"/>
        <v>1806</v>
      </c>
      <c r="R1617" s="12" t="s">
        <v>12750</v>
      </c>
      <c r="S1617" s="12" t="str">
        <f t="shared" si="311"/>
        <v>1881</v>
      </c>
      <c r="T1617" s="12" t="s">
        <v>5738</v>
      </c>
      <c r="U1617" s="2" t="s">
        <v>7416</v>
      </c>
      <c r="V1617" s="12" t="str">
        <f t="shared" si="312"/>
        <v>1831</v>
      </c>
      <c r="W1617" s="12" t="s">
        <v>12132</v>
      </c>
      <c r="X1617" s="12" t="s">
        <v>12751</v>
      </c>
      <c r="AA1617" s="2" t="s">
        <v>12752</v>
      </c>
      <c r="AD1617" s="2" t="s">
        <v>2520</v>
      </c>
      <c r="AE1617" s="2" t="s">
        <v>12753</v>
      </c>
      <c r="AF1617" s="12"/>
      <c r="AG1617" s="12" t="s">
        <v>12754</v>
      </c>
      <c r="AH1617" s="12" t="s">
        <v>12755</v>
      </c>
      <c r="AI1617" s="12" t="str">
        <f t="shared" si="313"/>
        <v>1842</v>
      </c>
      <c r="AJ1617" s="12"/>
      <c r="AK1617" s="12" t="s">
        <v>168</v>
      </c>
    </row>
    <row r="1618" spans="1:70">
      <c r="A1618" s="13" t="s">
        <v>664</v>
      </c>
      <c r="B1618" s="12" t="str">
        <f t="shared" si="305"/>
        <v>SMIT</v>
      </c>
      <c r="C1618" s="12" t="str">
        <f t="shared" si="306"/>
        <v>SMIT</v>
      </c>
      <c r="D1618" s="12" t="s">
        <v>1284</v>
      </c>
      <c r="E1618" s="12" t="str">
        <f t="shared" si="316"/>
        <v>Johannes Hendrik</v>
      </c>
      <c r="F1618" s="12" t="s">
        <v>12849</v>
      </c>
      <c r="G1618" s="12" t="str">
        <f t="shared" si="307"/>
        <v>a2b9c7</v>
      </c>
      <c r="H1618" s="12" t="str">
        <f t="shared" si="308"/>
        <v>SMITa2b9c7</v>
      </c>
      <c r="J1618" s="12"/>
      <c r="K1618" s="12" t="str">
        <f t="shared" si="309"/>
        <v/>
      </c>
      <c r="L1618" s="12"/>
      <c r="M1618" s="12" t="s">
        <v>12850</v>
      </c>
      <c r="N1618" s="12" t="str">
        <f t="shared" si="314"/>
        <v/>
      </c>
      <c r="O1618" s="12" t="str">
        <f t="shared" si="315"/>
        <v>1789</v>
      </c>
      <c r="Q1618" s="12" t="str">
        <f t="shared" si="310"/>
        <v>1789</v>
      </c>
      <c r="S1618" s="12" t="str">
        <f t="shared" si="311"/>
        <v/>
      </c>
      <c r="T1618" s="12" t="s">
        <v>542</v>
      </c>
      <c r="U1618" s="12" t="s">
        <v>12851</v>
      </c>
      <c r="V1618" s="12" t="str">
        <f t="shared" si="312"/>
        <v>1812</v>
      </c>
      <c r="W1618" s="12" t="s">
        <v>5365</v>
      </c>
      <c r="X1618" s="12" t="s">
        <v>618</v>
      </c>
      <c r="AF1618" s="12"/>
      <c r="AG1618" s="12" t="s">
        <v>366</v>
      </c>
      <c r="AH1618" s="12" t="s">
        <v>12836</v>
      </c>
      <c r="AI1618" s="12" t="str">
        <f t="shared" si="313"/>
        <v>1838</v>
      </c>
      <c r="AJ1618" s="2" t="s">
        <v>433</v>
      </c>
      <c r="AK1618" s="12" t="s">
        <v>168</v>
      </c>
      <c r="AL1618" s="2" t="s">
        <v>542</v>
      </c>
      <c r="AM1618" s="2" t="s">
        <v>3983</v>
      </c>
      <c r="AN1618" s="2" t="s">
        <v>3589</v>
      </c>
      <c r="AO1618" s="2" t="s">
        <v>12852</v>
      </c>
    </row>
    <row r="1619" spans="1:70">
      <c r="A1619" s="13" t="s">
        <v>664</v>
      </c>
      <c r="B1619" s="12" t="str">
        <f t="shared" si="305"/>
        <v>SMIT</v>
      </c>
      <c r="C1619" s="12" t="str">
        <f t="shared" si="306"/>
        <v>SMIT</v>
      </c>
      <c r="D1619" s="12" t="s">
        <v>3283</v>
      </c>
      <c r="E1619" s="12" t="str">
        <f t="shared" si="316"/>
        <v>Jan Hendrik</v>
      </c>
      <c r="F1619" s="12" t="s">
        <v>12834</v>
      </c>
      <c r="G1619" s="12" t="str">
        <f t="shared" si="307"/>
        <v>a2b9c7d4</v>
      </c>
      <c r="H1619" s="12" t="str">
        <f t="shared" si="308"/>
        <v>SMITa2b9c7d4</v>
      </c>
      <c r="J1619" s="12" t="s">
        <v>4350</v>
      </c>
      <c r="K1619" s="12" t="str">
        <f t="shared" si="309"/>
        <v>1818</v>
      </c>
      <c r="L1619" s="12" t="s">
        <v>542</v>
      </c>
      <c r="M1619" s="12" t="s">
        <v>12835</v>
      </c>
      <c r="N1619" s="12" t="str">
        <f t="shared" si="314"/>
        <v>1818</v>
      </c>
      <c r="O1619" s="12" t="str">
        <f t="shared" si="315"/>
        <v>1818</v>
      </c>
      <c r="Q1619" s="12" t="str">
        <f t="shared" si="310"/>
        <v>1818</v>
      </c>
      <c r="S1619" s="12" t="str">
        <f t="shared" si="311"/>
        <v/>
      </c>
      <c r="T1619" s="12"/>
      <c r="U1619" s="12"/>
      <c r="V1619" s="12" t="str">
        <f t="shared" si="312"/>
        <v/>
      </c>
      <c r="W1619" s="12" t="s">
        <v>708</v>
      </c>
      <c r="X1619" s="12" t="s">
        <v>5159</v>
      </c>
      <c r="Y1619" s="12"/>
      <c r="AB1619" s="12"/>
      <c r="AC1619" s="12"/>
      <c r="AF1619" s="12"/>
      <c r="AG1619" s="12" t="s">
        <v>366</v>
      </c>
      <c r="AH1619" s="12" t="s">
        <v>12836</v>
      </c>
      <c r="AI1619" s="12" t="str">
        <f t="shared" si="313"/>
        <v>1838</v>
      </c>
      <c r="AJ1619" s="12" t="s">
        <v>433</v>
      </c>
      <c r="AK1619" s="2" t="s">
        <v>140</v>
      </c>
    </row>
    <row r="1620" spans="1:70">
      <c r="A1620" s="13" t="s">
        <v>664</v>
      </c>
      <c r="B1620" s="12" t="str">
        <f t="shared" si="305"/>
        <v>SMIT</v>
      </c>
      <c r="C1620" s="12" t="str">
        <f t="shared" si="306"/>
        <v>SMIT</v>
      </c>
      <c r="D1620" s="12" t="s">
        <v>3239</v>
      </c>
      <c r="E1620" s="12" t="str">
        <f t="shared" si="316"/>
        <v>Christoffel Johannes</v>
      </c>
      <c r="F1620" s="12" t="s">
        <v>12767</v>
      </c>
      <c r="G1620" s="12" t="str">
        <f t="shared" si="307"/>
        <v>a4b2c4d3e1f4</v>
      </c>
      <c r="H1620" s="12" t="str">
        <f t="shared" si="308"/>
        <v>SMITa4b2c4d3e1f4</v>
      </c>
      <c r="K1620" s="12" t="str">
        <f t="shared" si="309"/>
        <v/>
      </c>
      <c r="M1620" s="12" t="s">
        <v>12571</v>
      </c>
      <c r="N1620" s="12" t="str">
        <f t="shared" si="314"/>
        <v/>
      </c>
      <c r="O1620" s="12" t="str">
        <f t="shared" si="315"/>
        <v>1810</v>
      </c>
      <c r="Q1620" s="12" t="str">
        <f t="shared" si="310"/>
        <v>1810</v>
      </c>
      <c r="S1620" s="12" t="str">
        <f t="shared" si="311"/>
        <v/>
      </c>
      <c r="T1620" s="12" t="s">
        <v>366</v>
      </c>
      <c r="U1620" s="12" t="s">
        <v>1424</v>
      </c>
      <c r="V1620" s="12" t="str">
        <f t="shared" si="312"/>
        <v>1834</v>
      </c>
      <c r="W1620" s="12" t="s">
        <v>12768</v>
      </c>
      <c r="X1620" s="12" t="s">
        <v>1685</v>
      </c>
      <c r="Y1620" s="2" t="s">
        <v>12769</v>
      </c>
      <c r="AA1620" s="2" t="s">
        <v>12770</v>
      </c>
      <c r="AC1620" s="2" t="s">
        <v>9896</v>
      </c>
      <c r="AF1620" s="12"/>
      <c r="AG1620" s="12" t="s">
        <v>366</v>
      </c>
      <c r="AH1620" s="12" t="s">
        <v>12677</v>
      </c>
      <c r="AI1620" s="12" t="str">
        <f t="shared" si="313"/>
        <v>1842</v>
      </c>
      <c r="AK1620" s="12" t="s">
        <v>190</v>
      </c>
    </row>
    <row r="1621" spans="1:70">
      <c r="A1621" s="13" t="s">
        <v>664</v>
      </c>
      <c r="B1621" s="12" t="str">
        <f t="shared" si="305"/>
        <v>SMIT</v>
      </c>
      <c r="C1621" s="12" t="str">
        <f t="shared" si="306"/>
        <v>SMIT</v>
      </c>
      <c r="D1621" s="12" t="s">
        <v>12705</v>
      </c>
      <c r="E1621" s="12" t="str">
        <f t="shared" si="316"/>
        <v xml:space="preserve">Abraham  </v>
      </c>
      <c r="F1621" s="12" t="s">
        <v>12706</v>
      </c>
      <c r="G1621" s="12" t="str">
        <f t="shared" si="307"/>
        <v>a4b2c4d3e1f5</v>
      </c>
      <c r="H1621" s="12" t="str">
        <f t="shared" si="308"/>
        <v>SMITa4b2c4d3e1f5</v>
      </c>
      <c r="I1621" s="12"/>
      <c r="J1621" s="12" t="s">
        <v>3388</v>
      </c>
      <c r="K1621" s="12" t="str">
        <f t="shared" si="309"/>
        <v>1812</v>
      </c>
      <c r="L1621" s="12" t="s">
        <v>74</v>
      </c>
      <c r="M1621" s="12" t="s">
        <v>2789</v>
      </c>
      <c r="N1621" s="12" t="str">
        <f t="shared" si="314"/>
        <v>1812</v>
      </c>
      <c r="O1621" s="12" t="str">
        <f t="shared" si="315"/>
        <v>1812</v>
      </c>
      <c r="P1621" s="12"/>
      <c r="Q1621" s="12" t="str">
        <f t="shared" si="310"/>
        <v>1812</v>
      </c>
      <c r="R1621" s="12"/>
      <c r="S1621" s="12" t="str">
        <f t="shared" si="311"/>
        <v/>
      </c>
      <c r="T1621" s="12" t="s">
        <v>366</v>
      </c>
      <c r="U1621" s="12" t="s">
        <v>12707</v>
      </c>
      <c r="V1621" s="12" t="str">
        <f t="shared" si="312"/>
        <v>1833</v>
      </c>
      <c r="W1621" s="12" t="s">
        <v>12708</v>
      </c>
      <c r="X1621" s="12" t="s">
        <v>1340</v>
      </c>
      <c r="Y1621" s="12" t="s">
        <v>12709</v>
      </c>
      <c r="Z1621" s="12"/>
      <c r="AA1621" s="12" t="s">
        <v>12710</v>
      </c>
      <c r="AB1621" s="12" t="s">
        <v>74</v>
      </c>
      <c r="AC1621" s="12" t="s">
        <v>8304</v>
      </c>
      <c r="AD1621" s="12"/>
      <c r="AE1621" s="12"/>
      <c r="AF1621" s="12"/>
      <c r="AG1621" s="12" t="s">
        <v>366</v>
      </c>
      <c r="AH1621" s="12" t="s">
        <v>12677</v>
      </c>
      <c r="AI1621" s="12" t="str">
        <f t="shared" si="313"/>
        <v>1842</v>
      </c>
      <c r="AJ1621" s="12"/>
      <c r="AK1621" s="12" t="s">
        <v>190</v>
      </c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  <c r="BO1621" s="12"/>
      <c r="BP1621" s="12"/>
      <c r="BQ1621" s="12"/>
      <c r="BR1621" s="12"/>
    </row>
    <row r="1622" spans="1:70">
      <c r="A1622" s="13" t="s">
        <v>664</v>
      </c>
      <c r="B1622" s="12" t="str">
        <f t="shared" si="305"/>
        <v>SMIT</v>
      </c>
      <c r="C1622" s="12" t="str">
        <f t="shared" si="306"/>
        <v>SMIT</v>
      </c>
      <c r="D1622" s="12" t="s">
        <v>12779</v>
      </c>
      <c r="E1622" s="12" t="str">
        <f t="shared" si="316"/>
        <v>Cornelis Michiel</v>
      </c>
      <c r="F1622" s="12" t="s">
        <v>12780</v>
      </c>
      <c r="G1622" s="12" t="str">
        <f t="shared" si="307"/>
        <v>a4b2c4d3e1f7</v>
      </c>
      <c r="H1622" s="12" t="str">
        <f t="shared" si="308"/>
        <v>SMITa4b2c4d3e1f7</v>
      </c>
      <c r="I1622" s="12"/>
      <c r="J1622" s="12" t="s">
        <v>12781</v>
      </c>
      <c r="K1622" s="12" t="str">
        <f t="shared" si="309"/>
        <v>1819</v>
      </c>
      <c r="L1622" s="12" t="s">
        <v>366</v>
      </c>
      <c r="M1622" s="12" t="s">
        <v>12782</v>
      </c>
      <c r="N1622" s="12" t="str">
        <f t="shared" si="314"/>
        <v>1819</v>
      </c>
      <c r="O1622" s="12" t="str">
        <f t="shared" si="315"/>
        <v>1819</v>
      </c>
      <c r="P1622" s="12"/>
      <c r="Q1622" s="12" t="str">
        <f t="shared" si="310"/>
        <v>1819</v>
      </c>
      <c r="R1622" s="12"/>
      <c r="S1622" s="12" t="str">
        <f t="shared" si="311"/>
        <v/>
      </c>
      <c r="T1622" s="12"/>
      <c r="U1622" s="12"/>
      <c r="V1622" s="12" t="str">
        <f t="shared" si="312"/>
        <v/>
      </c>
      <c r="W1622" s="12" t="s">
        <v>1124</v>
      </c>
      <c r="X1622" s="12" t="s">
        <v>1340</v>
      </c>
      <c r="Y1622" s="12"/>
      <c r="Z1622" s="12"/>
      <c r="AA1622" s="12"/>
      <c r="AB1622" s="12"/>
      <c r="AC1622" s="12"/>
      <c r="AD1622" s="12"/>
      <c r="AE1622" s="12"/>
      <c r="AF1622" s="12"/>
      <c r="AG1622" s="12" t="s">
        <v>366</v>
      </c>
      <c r="AH1622" s="12" t="s">
        <v>12677</v>
      </c>
      <c r="AI1622" s="12" t="str">
        <f t="shared" si="313"/>
        <v>1842</v>
      </c>
      <c r="AJ1622" s="12"/>
      <c r="AK1622" s="12" t="s">
        <v>551</v>
      </c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  <c r="BO1622" s="12"/>
      <c r="BP1622" s="12"/>
      <c r="BQ1622" s="12"/>
      <c r="BR1622" s="12"/>
    </row>
    <row r="1623" spans="1:70">
      <c r="A1623" s="13" t="s">
        <v>664</v>
      </c>
      <c r="B1623" s="12" t="str">
        <f t="shared" si="305"/>
        <v>SMIT</v>
      </c>
      <c r="C1623" s="12" t="str">
        <f t="shared" si="306"/>
        <v>SMIT</v>
      </c>
      <c r="D1623" s="12" t="s">
        <v>1484</v>
      </c>
      <c r="E1623" s="12" t="str">
        <f t="shared" si="316"/>
        <v>Willem Jacobus</v>
      </c>
      <c r="F1623" s="12" t="s">
        <v>12908</v>
      </c>
      <c r="G1623" s="12" t="str">
        <f t="shared" si="307"/>
        <v>a4b2c4d3e2f2</v>
      </c>
      <c r="H1623" s="12" t="str">
        <f t="shared" si="308"/>
        <v>SMITa4b2c4d3e2f2</v>
      </c>
      <c r="I1623" s="12"/>
      <c r="J1623" s="12"/>
      <c r="K1623" s="12" t="str">
        <f t="shared" si="309"/>
        <v/>
      </c>
      <c r="L1623" s="12"/>
      <c r="M1623" s="12" t="s">
        <v>5415</v>
      </c>
      <c r="N1623" s="12" t="str">
        <f t="shared" si="314"/>
        <v/>
      </c>
      <c r="O1623" s="12" t="str">
        <f t="shared" si="315"/>
        <v>1806</v>
      </c>
      <c r="P1623" s="12"/>
      <c r="Q1623" s="12" t="str">
        <f t="shared" si="310"/>
        <v>1806</v>
      </c>
      <c r="R1623" s="12"/>
      <c r="S1623" s="12" t="str">
        <f t="shared" si="311"/>
        <v/>
      </c>
      <c r="T1623" s="12" t="s">
        <v>366</v>
      </c>
      <c r="U1623" s="12" t="s">
        <v>1487</v>
      </c>
      <c r="V1623" s="12" t="str">
        <f t="shared" si="312"/>
        <v>1823</v>
      </c>
      <c r="W1623" s="12" t="s">
        <v>692</v>
      </c>
      <c r="X1623" s="12" t="s">
        <v>725</v>
      </c>
      <c r="Y1623" s="12"/>
      <c r="Z1623" s="12"/>
      <c r="AA1623" s="12"/>
      <c r="AB1623" s="12"/>
      <c r="AC1623" s="12"/>
      <c r="AD1623" s="12"/>
      <c r="AE1623" s="12"/>
      <c r="AF1623" s="12"/>
      <c r="AG1623" s="12" t="s">
        <v>60</v>
      </c>
      <c r="AH1623" s="12" t="s">
        <v>448</v>
      </c>
      <c r="AI1623" s="12" t="str">
        <f t="shared" si="313"/>
        <v>1838</v>
      </c>
      <c r="AJ1623" s="12" t="s">
        <v>433</v>
      </c>
      <c r="AK1623" s="12" t="s">
        <v>190</v>
      </c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  <c r="BP1623" s="12"/>
      <c r="BQ1623" s="12"/>
      <c r="BR1623" s="12"/>
    </row>
    <row r="1624" spans="1:70">
      <c r="A1624" s="13" t="s">
        <v>664</v>
      </c>
      <c r="B1624" s="12" t="str">
        <f t="shared" si="305"/>
        <v>SMIT</v>
      </c>
      <c r="C1624" s="12" t="str">
        <f t="shared" si="306"/>
        <v>SMIT</v>
      </c>
      <c r="D1624" s="12" t="s">
        <v>2683</v>
      </c>
      <c r="E1624" s="12" t="str">
        <f t="shared" si="316"/>
        <v>Samuel Jacobus</v>
      </c>
      <c r="F1624" s="12" t="s">
        <v>12901</v>
      </c>
      <c r="G1624" s="12" t="str">
        <f t="shared" si="307"/>
        <v>a4b2c4d3e2f3</v>
      </c>
      <c r="H1624" s="12" t="str">
        <f t="shared" si="308"/>
        <v>SMITa4b2c4d3e2f3</v>
      </c>
      <c r="I1624" s="12"/>
      <c r="J1624" s="12"/>
      <c r="K1624" s="12" t="str">
        <f t="shared" si="309"/>
        <v/>
      </c>
      <c r="L1624" s="12"/>
      <c r="M1624" s="12" t="s">
        <v>3770</v>
      </c>
      <c r="N1624" s="12" t="str">
        <f t="shared" si="314"/>
        <v/>
      </c>
      <c r="O1624" s="12" t="str">
        <f t="shared" si="315"/>
        <v>1807</v>
      </c>
      <c r="P1624" s="12"/>
      <c r="Q1624" s="12" t="str">
        <f t="shared" si="310"/>
        <v>1807</v>
      </c>
      <c r="R1624" s="12"/>
      <c r="S1624" s="12" t="str">
        <f t="shared" si="311"/>
        <v/>
      </c>
      <c r="T1624" s="12" t="s">
        <v>366</v>
      </c>
      <c r="U1624" s="12" t="s">
        <v>12902</v>
      </c>
      <c r="V1624" s="12" t="str">
        <f t="shared" si="312"/>
        <v>1829</v>
      </c>
      <c r="W1624" s="12" t="s">
        <v>642</v>
      </c>
      <c r="X1624" s="12" t="s">
        <v>5781</v>
      </c>
      <c r="Y1624" s="12"/>
      <c r="Z1624" s="12"/>
      <c r="AA1624" s="12"/>
      <c r="AB1624" s="12"/>
      <c r="AC1624" s="12"/>
      <c r="AD1624" s="12"/>
      <c r="AE1624" s="12"/>
      <c r="AF1624" s="12" t="s">
        <v>16</v>
      </c>
      <c r="AG1624" s="12" t="s">
        <v>68</v>
      </c>
      <c r="AH1624" s="12">
        <v>1837</v>
      </c>
      <c r="AI1624" s="12" t="str">
        <f t="shared" si="313"/>
        <v>1837</v>
      </c>
      <c r="AJ1624" s="12"/>
      <c r="AK1624" s="12" t="s">
        <v>551</v>
      </c>
      <c r="AL1624" s="12" t="s">
        <v>366</v>
      </c>
      <c r="AM1624" s="12" t="s">
        <v>3404</v>
      </c>
      <c r="AN1624" s="12" t="s">
        <v>1838</v>
      </c>
      <c r="AO1624" s="12" t="s">
        <v>725</v>
      </c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  <c r="BO1624" s="12"/>
      <c r="BP1624" s="12"/>
      <c r="BQ1624" s="12"/>
      <c r="BR1624" s="12"/>
    </row>
    <row r="1625" spans="1:70">
      <c r="A1625" s="13" t="s">
        <v>664</v>
      </c>
      <c r="B1625" s="12" t="str">
        <f t="shared" si="305"/>
        <v>SMIT</v>
      </c>
      <c r="C1625" s="12" t="str">
        <f t="shared" si="306"/>
        <v>SMIT</v>
      </c>
      <c r="D1625" s="12" t="s">
        <v>12807</v>
      </c>
      <c r="E1625" s="12" t="str">
        <f t="shared" si="316"/>
        <v xml:space="preserve">Francois Petrus </v>
      </c>
      <c r="F1625" s="12" t="s">
        <v>12808</v>
      </c>
      <c r="G1625" s="12" t="str">
        <f t="shared" si="307"/>
        <v>a4b2c4d3e7</v>
      </c>
      <c r="H1625" s="12" t="str">
        <f t="shared" si="308"/>
        <v>SMITa4b2c4d3e7</v>
      </c>
      <c r="I1625" s="12"/>
      <c r="J1625" s="12"/>
      <c r="K1625" s="12" t="str">
        <f t="shared" si="309"/>
        <v/>
      </c>
      <c r="L1625" s="12"/>
      <c r="M1625" s="12" t="s">
        <v>3060</v>
      </c>
      <c r="N1625" s="12" t="str">
        <f t="shared" si="314"/>
        <v/>
      </c>
      <c r="O1625" s="12" t="str">
        <f t="shared" si="315"/>
        <v>1792</v>
      </c>
      <c r="P1625" s="12" t="s">
        <v>1774</v>
      </c>
      <c r="Q1625" s="12" t="str">
        <f t="shared" si="310"/>
        <v>1792</v>
      </c>
      <c r="R1625" s="12" t="s">
        <v>12809</v>
      </c>
      <c r="S1625" s="12" t="str">
        <f t="shared" si="311"/>
        <v>1863</v>
      </c>
      <c r="T1625" s="12" t="s">
        <v>74</v>
      </c>
      <c r="U1625" s="12" t="s">
        <v>4796</v>
      </c>
      <c r="V1625" s="12" t="str">
        <f t="shared" si="312"/>
        <v>1814</v>
      </c>
      <c r="W1625" s="12" t="s">
        <v>12810</v>
      </c>
      <c r="X1625" s="12" t="s">
        <v>1685</v>
      </c>
      <c r="Y1625" s="12" t="s">
        <v>6935</v>
      </c>
      <c r="Z1625" s="12"/>
      <c r="AA1625" s="12" t="s">
        <v>12811</v>
      </c>
      <c r="AB1625" s="12"/>
      <c r="AC1625" s="12" t="s">
        <v>12812</v>
      </c>
      <c r="AD1625" s="12" t="s">
        <v>1774</v>
      </c>
      <c r="AE1625" s="12" t="s">
        <v>12813</v>
      </c>
      <c r="AF1625" s="12"/>
      <c r="AG1625" s="12" t="s">
        <v>366</v>
      </c>
      <c r="AH1625" s="12">
        <v>1838</v>
      </c>
      <c r="AI1625" s="12" t="str">
        <f t="shared" si="313"/>
        <v>1838</v>
      </c>
      <c r="AJ1625" s="12"/>
      <c r="AK1625" s="12" t="s">
        <v>1774</v>
      </c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  <c r="BO1625" s="12"/>
      <c r="BP1625" s="12"/>
      <c r="BQ1625" s="12"/>
      <c r="BR1625" s="12"/>
    </row>
    <row r="1626" spans="1:70">
      <c r="A1626" s="13" t="s">
        <v>664</v>
      </c>
      <c r="B1626" s="12" t="str">
        <f t="shared" si="305"/>
        <v>SMIT</v>
      </c>
      <c r="C1626" s="12" t="str">
        <f t="shared" si="306"/>
        <v>SMIT</v>
      </c>
      <c r="D1626" s="12" t="s">
        <v>12903</v>
      </c>
      <c r="E1626" s="12" t="str">
        <f t="shared" si="316"/>
        <v xml:space="preserve">Willem  </v>
      </c>
      <c r="F1626" s="12" t="s">
        <v>12904</v>
      </c>
      <c r="G1626" s="12" t="str">
        <f t="shared" si="307"/>
        <v>a4b2c4d3e7f1</v>
      </c>
      <c r="H1626" s="12" t="str">
        <f t="shared" si="308"/>
        <v>SMITa4b2c4d3e7f1</v>
      </c>
      <c r="I1626" s="12"/>
      <c r="J1626" s="12" t="s">
        <v>12905</v>
      </c>
      <c r="K1626" s="12" t="str">
        <f t="shared" si="309"/>
        <v>1815</v>
      </c>
      <c r="L1626" s="12" t="s">
        <v>74</v>
      </c>
      <c r="M1626" s="12" t="s">
        <v>1980</v>
      </c>
      <c r="N1626" s="12" t="str">
        <f t="shared" si="314"/>
        <v>1815</v>
      </c>
      <c r="O1626" s="12" t="str">
        <f t="shared" si="315"/>
        <v>1815</v>
      </c>
      <c r="P1626" s="12" t="s">
        <v>31</v>
      </c>
      <c r="Q1626" s="12" t="str">
        <f t="shared" si="310"/>
        <v>1815</v>
      </c>
      <c r="R1626" s="12" t="s">
        <v>12906</v>
      </c>
      <c r="S1626" s="12" t="str">
        <f t="shared" si="311"/>
        <v>1852</v>
      </c>
      <c r="T1626" s="12" t="s">
        <v>366</v>
      </c>
      <c r="U1626" s="12" t="s">
        <v>3846</v>
      </c>
      <c r="V1626" s="12" t="str">
        <f t="shared" si="312"/>
        <v>1835</v>
      </c>
      <c r="W1626" s="12" t="s">
        <v>12907</v>
      </c>
      <c r="X1626" s="12" t="s">
        <v>757</v>
      </c>
      <c r="Y1626" s="12"/>
      <c r="Z1626" s="12"/>
      <c r="AA1626" s="12"/>
      <c r="AB1626" s="12"/>
      <c r="AC1626" s="12"/>
      <c r="AD1626" s="12"/>
      <c r="AE1626" s="12"/>
      <c r="AF1626" s="12"/>
      <c r="AG1626" s="12" t="s">
        <v>366</v>
      </c>
      <c r="AH1626" s="12">
        <v>1838</v>
      </c>
      <c r="AI1626" s="12" t="str">
        <f t="shared" si="313"/>
        <v>1838</v>
      </c>
      <c r="AJ1626" s="12"/>
      <c r="AK1626" s="12" t="s">
        <v>1774</v>
      </c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  <c r="BO1626" s="12"/>
      <c r="BP1626" s="12"/>
      <c r="BQ1626" s="12"/>
      <c r="BR1626" s="12"/>
    </row>
    <row r="1627" spans="1:70">
      <c r="A1627" s="13" t="s">
        <v>664</v>
      </c>
      <c r="B1627" s="12" t="str">
        <f t="shared" si="305"/>
        <v>SMIT</v>
      </c>
      <c r="C1627" s="12" t="str">
        <f t="shared" si="306"/>
        <v>SMIT</v>
      </c>
      <c r="D1627" s="12" t="s">
        <v>1743</v>
      </c>
      <c r="E1627" s="12" t="str">
        <f t="shared" si="316"/>
        <v>Wynand</v>
      </c>
      <c r="F1627" s="12" t="s">
        <v>12909</v>
      </c>
      <c r="G1627" s="12" t="str">
        <f t="shared" si="307"/>
        <v>a4b2c4d3e7f3</v>
      </c>
      <c r="H1627" s="12" t="str">
        <f t="shared" si="308"/>
        <v>SMITa4b2c4d3e7f3</v>
      </c>
      <c r="I1627" s="12"/>
      <c r="J1627" s="12" t="s">
        <v>12910</v>
      </c>
      <c r="K1627" s="12" t="str">
        <f t="shared" si="309"/>
        <v>1817</v>
      </c>
      <c r="L1627" s="12" t="s">
        <v>74</v>
      </c>
      <c r="M1627" s="12" t="s">
        <v>4944</v>
      </c>
      <c r="N1627" s="12" t="str">
        <f t="shared" si="314"/>
        <v>1817</v>
      </c>
      <c r="O1627" s="12" t="str">
        <f t="shared" si="315"/>
        <v>1818</v>
      </c>
      <c r="P1627" s="12" t="s">
        <v>12911</v>
      </c>
      <c r="Q1627" s="12" t="str">
        <f t="shared" si="310"/>
        <v>1817</v>
      </c>
      <c r="R1627" s="12" t="s">
        <v>12912</v>
      </c>
      <c r="S1627" s="12" t="str">
        <f t="shared" si="311"/>
        <v>1865</v>
      </c>
      <c r="T1627" s="12"/>
      <c r="U1627" s="12"/>
      <c r="V1627" s="12" t="str">
        <f t="shared" si="312"/>
        <v/>
      </c>
      <c r="W1627" s="12" t="s">
        <v>12913</v>
      </c>
      <c r="X1627" s="12" t="s">
        <v>664</v>
      </c>
      <c r="Y1627" s="12"/>
      <c r="Z1627" s="12"/>
      <c r="AA1627" s="12"/>
      <c r="AB1627" s="12"/>
      <c r="AC1627" s="12"/>
      <c r="AD1627" s="12"/>
      <c r="AE1627" s="12"/>
      <c r="AF1627" s="12"/>
      <c r="AG1627" s="12" t="s">
        <v>366</v>
      </c>
      <c r="AH1627" s="12">
        <v>1838</v>
      </c>
      <c r="AI1627" s="12" t="str">
        <f t="shared" si="313"/>
        <v>1838</v>
      </c>
      <c r="AJ1627" s="12"/>
      <c r="AK1627" s="12" t="s">
        <v>12911</v>
      </c>
      <c r="AL1627" s="12"/>
      <c r="AM1627" s="12"/>
      <c r="AN1627" s="12" t="s">
        <v>12914</v>
      </c>
      <c r="AO1627" s="12" t="s">
        <v>1985</v>
      </c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  <c r="BP1627" s="12"/>
      <c r="BQ1627" s="12"/>
      <c r="BR1627" s="12"/>
    </row>
    <row r="1628" spans="1:70">
      <c r="A1628" s="13" t="s">
        <v>664</v>
      </c>
      <c r="B1628" s="12" t="str">
        <f t="shared" si="305"/>
        <v>SMIT</v>
      </c>
      <c r="C1628" s="12" t="str">
        <f t="shared" si="306"/>
        <v>SMIT</v>
      </c>
      <c r="D1628" s="12" t="s">
        <v>1743</v>
      </c>
      <c r="E1628" s="12" t="str">
        <f t="shared" si="316"/>
        <v>Wynand</v>
      </c>
      <c r="F1628" s="12" t="s">
        <v>12915</v>
      </c>
      <c r="G1628" s="12" t="str">
        <f t="shared" si="307"/>
        <v>a4b2c4d3e8f3</v>
      </c>
      <c r="H1628" s="12" t="str">
        <f t="shared" si="308"/>
        <v>SMITa4b2c4d3e8f3</v>
      </c>
      <c r="I1628" s="12"/>
      <c r="J1628" s="12" t="s">
        <v>5150</v>
      </c>
      <c r="K1628" s="12" t="str">
        <f t="shared" si="309"/>
        <v>1820</v>
      </c>
      <c r="L1628" s="12" t="s">
        <v>366</v>
      </c>
      <c r="M1628" s="12" t="s">
        <v>508</v>
      </c>
      <c r="N1628" s="12" t="str">
        <f t="shared" si="314"/>
        <v>1820</v>
      </c>
      <c r="O1628" s="12" t="str">
        <f t="shared" si="315"/>
        <v>1821</v>
      </c>
      <c r="P1628" s="12"/>
      <c r="Q1628" s="12" t="str">
        <f t="shared" si="310"/>
        <v>1820</v>
      </c>
      <c r="R1628" s="12"/>
      <c r="S1628" s="12" t="str">
        <f t="shared" si="311"/>
        <v/>
      </c>
      <c r="T1628" s="12"/>
      <c r="U1628" s="12"/>
      <c r="V1628" s="12" t="str">
        <f t="shared" si="312"/>
        <v/>
      </c>
      <c r="W1628" s="12" t="s">
        <v>4779</v>
      </c>
      <c r="X1628" s="12" t="s">
        <v>700</v>
      </c>
      <c r="Y1628" s="12"/>
      <c r="Z1628" s="12"/>
      <c r="AA1628" s="12" t="s">
        <v>12916</v>
      </c>
      <c r="AB1628" s="12" t="s">
        <v>53</v>
      </c>
      <c r="AC1628" s="12" t="s">
        <v>344</v>
      </c>
      <c r="AD1628" s="12" t="s">
        <v>120</v>
      </c>
      <c r="AE1628" s="12" t="s">
        <v>12917</v>
      </c>
      <c r="AF1628" s="12"/>
      <c r="AG1628" s="12" t="s">
        <v>366</v>
      </c>
      <c r="AH1628" s="12" t="s">
        <v>12776</v>
      </c>
      <c r="AI1628" s="12" t="str">
        <f t="shared" si="313"/>
        <v>1842</v>
      </c>
      <c r="AJ1628" s="12"/>
      <c r="AK1628" s="12" t="s">
        <v>140</v>
      </c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  <c r="BO1628" s="12"/>
      <c r="BP1628" s="12"/>
      <c r="BQ1628" s="12"/>
      <c r="BR1628" s="12"/>
    </row>
    <row r="1629" spans="1:70">
      <c r="A1629" s="13" t="s">
        <v>664</v>
      </c>
      <c r="B1629" s="12" t="str">
        <f t="shared" si="305"/>
        <v>SMIT</v>
      </c>
      <c r="C1629" s="12" t="str">
        <f t="shared" si="306"/>
        <v>SMIT</v>
      </c>
      <c r="D1629" s="12" t="s">
        <v>12830</v>
      </c>
      <c r="E1629" s="12" t="str">
        <f t="shared" si="316"/>
        <v>Jacobus Alwyn</v>
      </c>
      <c r="F1629" s="12" t="s">
        <v>12831</v>
      </c>
      <c r="G1629" s="12" t="str">
        <f t="shared" si="307"/>
        <v>a4b2c4d3e8f5</v>
      </c>
      <c r="H1629" s="12" t="str">
        <f t="shared" si="308"/>
        <v>SMITa4b2c4d3e8f5</v>
      </c>
      <c r="I1629" s="12"/>
      <c r="J1629" s="12" t="s">
        <v>12832</v>
      </c>
      <c r="K1629" s="12" t="str">
        <f t="shared" si="309"/>
        <v>1823</v>
      </c>
      <c r="L1629" s="12" t="s">
        <v>366</v>
      </c>
      <c r="M1629" s="12" t="s">
        <v>283</v>
      </c>
      <c r="N1629" s="12" t="str">
        <f t="shared" si="314"/>
        <v>1823</v>
      </c>
      <c r="O1629" s="12" t="str">
        <f t="shared" si="315"/>
        <v>1823</v>
      </c>
      <c r="P1629" s="12"/>
      <c r="Q1629" s="12" t="str">
        <f t="shared" si="310"/>
        <v>1823</v>
      </c>
      <c r="R1629" s="12"/>
      <c r="S1629" s="12" t="str">
        <f t="shared" si="311"/>
        <v/>
      </c>
      <c r="T1629" s="12" t="s">
        <v>140</v>
      </c>
      <c r="U1629" s="12" t="s">
        <v>2699</v>
      </c>
      <c r="V1629" s="12" t="str">
        <f t="shared" si="312"/>
        <v>1847</v>
      </c>
      <c r="W1629" s="12" t="s">
        <v>5712</v>
      </c>
      <c r="X1629" s="12" t="s">
        <v>700</v>
      </c>
      <c r="Y1629" s="12"/>
      <c r="Z1629" s="12"/>
      <c r="AA1629" s="12"/>
      <c r="AB1629" s="12"/>
      <c r="AC1629" s="12"/>
      <c r="AD1629" s="12"/>
      <c r="AE1629" s="12"/>
      <c r="AF1629" s="12"/>
      <c r="AG1629" s="12" t="s">
        <v>366</v>
      </c>
      <c r="AH1629" s="12" t="s">
        <v>12833</v>
      </c>
      <c r="AI1629" s="12" t="str">
        <f t="shared" si="313"/>
        <v>1847</v>
      </c>
      <c r="AJ1629" s="12"/>
      <c r="AK1629" s="12" t="s">
        <v>140</v>
      </c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  <c r="BO1629" s="12"/>
      <c r="BP1629" s="12"/>
      <c r="BQ1629" s="12"/>
      <c r="BR1629" s="12"/>
    </row>
    <row r="1630" spans="1:70">
      <c r="A1630" s="13" t="s">
        <v>664</v>
      </c>
      <c r="B1630" s="12" t="str">
        <f t="shared" si="305"/>
        <v>SMIT</v>
      </c>
      <c r="C1630" s="12" t="str">
        <f t="shared" si="306"/>
        <v>SMIT</v>
      </c>
      <c r="D1630" s="12" t="s">
        <v>109</v>
      </c>
      <c r="E1630" s="12" t="str">
        <f t="shared" si="316"/>
        <v>Cornelis Jacobus</v>
      </c>
      <c r="F1630" s="12" t="s">
        <v>12777</v>
      </c>
      <c r="G1630" s="12" t="str">
        <f t="shared" si="307"/>
        <v>a4b2c4d5e1f1</v>
      </c>
      <c r="H1630" s="12" t="str">
        <f t="shared" si="308"/>
        <v>SMITa4b2c4d5e1f1</v>
      </c>
      <c r="I1630" s="12"/>
      <c r="J1630" s="12"/>
      <c r="K1630" s="12" t="str">
        <f t="shared" si="309"/>
        <v/>
      </c>
      <c r="L1630" s="12"/>
      <c r="M1630" s="12" t="s">
        <v>2737</v>
      </c>
      <c r="N1630" s="12" t="str">
        <f t="shared" si="314"/>
        <v/>
      </c>
      <c r="O1630" s="12" t="str">
        <f t="shared" si="315"/>
        <v>1810</v>
      </c>
      <c r="P1630" s="12"/>
      <c r="Q1630" s="12" t="str">
        <f t="shared" si="310"/>
        <v>1810</v>
      </c>
      <c r="R1630" s="12"/>
      <c r="S1630" s="12" t="str">
        <f t="shared" si="311"/>
        <v/>
      </c>
      <c r="T1630" s="12"/>
      <c r="U1630" s="12"/>
      <c r="V1630" s="12" t="str">
        <f t="shared" si="312"/>
        <v/>
      </c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 t="s">
        <v>366</v>
      </c>
      <c r="AH1630" s="12" t="s">
        <v>12778</v>
      </c>
      <c r="AI1630" s="12" t="str">
        <f t="shared" si="313"/>
        <v>1838</v>
      </c>
      <c r="AJ1630" s="12" t="s">
        <v>433</v>
      </c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  <c r="BO1630" s="12"/>
      <c r="BP1630" s="12"/>
      <c r="BQ1630" s="12"/>
      <c r="BR1630" s="12"/>
    </row>
    <row r="1631" spans="1:70">
      <c r="A1631" s="13" t="s">
        <v>664</v>
      </c>
      <c r="B1631" s="12" t="str">
        <f t="shared" si="305"/>
        <v>SMIT</v>
      </c>
      <c r="C1631" s="12" t="str">
        <f t="shared" si="306"/>
        <v>SMIT</v>
      </c>
      <c r="D1631" s="12" t="s">
        <v>1877</v>
      </c>
      <c r="E1631" s="12" t="str">
        <f t="shared" si="316"/>
        <v>Nicolaas Jacobus</v>
      </c>
      <c r="F1631" s="12" t="s">
        <v>12862</v>
      </c>
      <c r="G1631" s="12" t="str">
        <f t="shared" si="307"/>
        <v>a4b2c4d5e2</v>
      </c>
      <c r="H1631" s="12" t="str">
        <f t="shared" si="308"/>
        <v>SMITa4b2c4d5e2</v>
      </c>
      <c r="I1631" s="12"/>
      <c r="J1631" s="12" t="s">
        <v>12863</v>
      </c>
      <c r="K1631" s="12" t="str">
        <f t="shared" si="309"/>
        <v>1821</v>
      </c>
      <c r="L1631" s="12" t="s">
        <v>366</v>
      </c>
      <c r="M1631" s="12" t="s">
        <v>1349</v>
      </c>
      <c r="N1631" s="12" t="str">
        <f t="shared" si="314"/>
        <v>1821</v>
      </c>
      <c r="O1631" s="12" t="str">
        <f t="shared" si="315"/>
        <v>1822</v>
      </c>
      <c r="P1631" s="12" t="s">
        <v>2520</v>
      </c>
      <c r="Q1631" s="12" t="str">
        <f t="shared" si="310"/>
        <v>1821</v>
      </c>
      <c r="R1631" s="12" t="s">
        <v>12864</v>
      </c>
      <c r="S1631" s="12" t="str">
        <f t="shared" si="311"/>
        <v>1882</v>
      </c>
      <c r="T1631" s="12" t="s">
        <v>168</v>
      </c>
      <c r="U1631" s="12" t="s">
        <v>12865</v>
      </c>
      <c r="V1631" s="12" t="str">
        <f t="shared" si="312"/>
        <v>1841</v>
      </c>
      <c r="W1631" s="12" t="s">
        <v>12866</v>
      </c>
      <c r="X1631" s="12" t="s">
        <v>822</v>
      </c>
      <c r="Y1631" s="12" t="s">
        <v>12867</v>
      </c>
      <c r="Z1631" s="12"/>
      <c r="AA1631" s="12" t="s">
        <v>988</v>
      </c>
      <c r="AB1631" s="12" t="s">
        <v>366</v>
      </c>
      <c r="AC1631" s="12" t="s">
        <v>12868</v>
      </c>
      <c r="AD1631" s="12" t="s">
        <v>1017</v>
      </c>
      <c r="AE1631" s="12" t="s">
        <v>12869</v>
      </c>
      <c r="AF1631" s="12"/>
      <c r="AG1631" s="12" t="s">
        <v>366</v>
      </c>
      <c r="AH1631" s="12"/>
      <c r="AI1631" s="12" t="str">
        <f t="shared" si="313"/>
        <v/>
      </c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  <c r="BO1631" s="12"/>
      <c r="BP1631" s="12"/>
      <c r="BQ1631" s="12"/>
      <c r="BR1631" s="12"/>
    </row>
    <row r="1632" spans="1:70">
      <c r="A1632" s="13" t="s">
        <v>664</v>
      </c>
      <c r="B1632" s="12" t="str">
        <f t="shared" si="305"/>
        <v>SMIT</v>
      </c>
      <c r="C1632" s="12" t="str">
        <f t="shared" si="306"/>
        <v>SMIT</v>
      </c>
      <c r="D1632" s="12" t="s">
        <v>12771</v>
      </c>
      <c r="E1632" s="12" t="str">
        <f t="shared" si="316"/>
        <v>Cornelis Abraham</v>
      </c>
      <c r="F1632" s="12" t="s">
        <v>12772</v>
      </c>
      <c r="G1632" s="12" t="str">
        <f t="shared" si="307"/>
        <v>a4b2c4d5e4f1</v>
      </c>
      <c r="H1632" s="12" t="str">
        <f t="shared" si="308"/>
        <v>SMITa4b2c4d5e4f1</v>
      </c>
      <c r="I1632" s="12"/>
      <c r="J1632" s="12" t="s">
        <v>12773</v>
      </c>
      <c r="K1632" s="12" t="str">
        <f t="shared" si="309"/>
        <v>1818</v>
      </c>
      <c r="L1632" s="12" t="s">
        <v>366</v>
      </c>
      <c r="M1632" s="12" t="s">
        <v>12774</v>
      </c>
      <c r="N1632" s="12" t="str">
        <f t="shared" si="314"/>
        <v>1818</v>
      </c>
      <c r="O1632" s="12" t="str">
        <f t="shared" si="315"/>
        <v>1819</v>
      </c>
      <c r="P1632" s="12"/>
      <c r="Q1632" s="12" t="str">
        <f t="shared" si="310"/>
        <v>1818</v>
      </c>
      <c r="R1632" s="12"/>
      <c r="S1632" s="12" t="str">
        <f t="shared" si="311"/>
        <v/>
      </c>
      <c r="T1632" s="12"/>
      <c r="U1632" s="12"/>
      <c r="V1632" s="12" t="str">
        <f t="shared" si="312"/>
        <v/>
      </c>
      <c r="W1632" s="12" t="s">
        <v>12775</v>
      </c>
      <c r="X1632" s="12" t="s">
        <v>1167</v>
      </c>
      <c r="Y1632" s="12"/>
      <c r="Z1632" s="12"/>
      <c r="AA1632" s="12"/>
      <c r="AB1632" s="12"/>
      <c r="AC1632" s="12"/>
      <c r="AD1632" s="12"/>
      <c r="AE1632" s="12"/>
      <c r="AF1632" s="12"/>
      <c r="AG1632" s="12" t="s">
        <v>366</v>
      </c>
      <c r="AH1632" s="12" t="s">
        <v>12776</v>
      </c>
      <c r="AI1632" s="12" t="str">
        <f t="shared" si="313"/>
        <v>1842</v>
      </c>
      <c r="AJ1632" s="12"/>
      <c r="AK1632" s="12" t="s">
        <v>168</v>
      </c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  <c r="BO1632" s="12"/>
      <c r="BP1632" s="12"/>
      <c r="BQ1632" s="12"/>
      <c r="BR1632" s="12"/>
    </row>
    <row r="1633" spans="1:70">
      <c r="A1633" s="13" t="s">
        <v>664</v>
      </c>
      <c r="B1633" s="12" t="str">
        <f t="shared" si="305"/>
        <v>SMIT</v>
      </c>
      <c r="C1633" s="12" t="str">
        <f t="shared" si="306"/>
        <v>SMIT</v>
      </c>
      <c r="D1633" s="12" t="s">
        <v>12860</v>
      </c>
      <c r="E1633" s="12" t="str">
        <f t="shared" si="316"/>
        <v>Maartens Johannes (M.J.)</v>
      </c>
      <c r="F1633" s="12" t="s">
        <v>12861</v>
      </c>
      <c r="G1633" s="12" t="str">
        <f t="shared" si="307"/>
        <v>a4b3c12d3e3f6</v>
      </c>
      <c r="H1633" s="12" t="str">
        <f t="shared" si="308"/>
        <v>SMITa4b3c12d3e3f6</v>
      </c>
      <c r="I1633" s="12"/>
      <c r="J1633" s="12" t="s">
        <v>7590</v>
      </c>
      <c r="K1633" s="12" t="str">
        <f t="shared" si="309"/>
        <v>1819</v>
      </c>
      <c r="L1633" s="12" t="s">
        <v>6098</v>
      </c>
      <c r="M1633" s="12" t="s">
        <v>9325</v>
      </c>
      <c r="N1633" s="12" t="str">
        <f t="shared" si="314"/>
        <v>1819</v>
      </c>
      <c r="O1633" s="12" t="str">
        <f t="shared" si="315"/>
        <v>1819</v>
      </c>
      <c r="P1633" s="12"/>
      <c r="Q1633" s="12" t="str">
        <f t="shared" si="310"/>
        <v>1819</v>
      </c>
      <c r="R1633" s="12"/>
      <c r="S1633" s="12" t="str">
        <f t="shared" si="311"/>
        <v/>
      </c>
      <c r="T1633" s="12"/>
      <c r="U1633" s="12"/>
      <c r="V1633" s="12" t="str">
        <f t="shared" si="312"/>
        <v/>
      </c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 t="s">
        <v>366</v>
      </c>
      <c r="AH1633" s="12">
        <v>1838</v>
      </c>
      <c r="AI1633" s="12" t="str">
        <f t="shared" si="313"/>
        <v>1838</v>
      </c>
      <c r="AJ1633" s="12" t="s">
        <v>433</v>
      </c>
      <c r="AK1633" s="12" t="s">
        <v>93</v>
      </c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  <c r="BP1633" s="12"/>
      <c r="BQ1633" s="12"/>
      <c r="BR1633" s="12"/>
    </row>
    <row r="1634" spans="1:70">
      <c r="A1634" s="13" t="s">
        <v>664</v>
      </c>
      <c r="B1634" s="12" t="str">
        <f t="shared" si="305"/>
        <v>SMIT</v>
      </c>
      <c r="C1634" s="12" t="str">
        <f t="shared" si="306"/>
        <v>SMIT</v>
      </c>
      <c r="D1634" s="12" t="s">
        <v>1877</v>
      </c>
      <c r="E1634" s="12" t="str">
        <f t="shared" si="316"/>
        <v>Nicolaas Jacobus</v>
      </c>
      <c r="F1634" s="12" t="s">
        <v>12870</v>
      </c>
      <c r="G1634" s="12" t="str">
        <f t="shared" si="307"/>
        <v>a4b3c4d2e7f1</v>
      </c>
      <c r="H1634" s="12" t="str">
        <f t="shared" si="308"/>
        <v>SMITa4b3c4d2e7f1</v>
      </c>
      <c r="I1634" s="12"/>
      <c r="J1634" s="12" t="s">
        <v>7339</v>
      </c>
      <c r="K1634" s="12" t="str">
        <f t="shared" si="309"/>
        <v>1811</v>
      </c>
      <c r="L1634" s="12" t="s">
        <v>74</v>
      </c>
      <c r="M1634" s="12" t="s">
        <v>5327</v>
      </c>
      <c r="N1634" s="12" t="str">
        <f t="shared" si="314"/>
        <v>1811</v>
      </c>
      <c r="O1634" s="12" t="str">
        <f t="shared" si="315"/>
        <v>1811</v>
      </c>
      <c r="P1634" s="12" t="s">
        <v>1864</v>
      </c>
      <c r="Q1634" s="12" t="str">
        <f t="shared" si="310"/>
        <v>1811</v>
      </c>
      <c r="R1634" s="12" t="s">
        <v>12871</v>
      </c>
      <c r="S1634" s="12" t="str">
        <f t="shared" si="311"/>
        <v>1887</v>
      </c>
      <c r="T1634" s="12" t="s">
        <v>74</v>
      </c>
      <c r="U1634" s="12" t="s">
        <v>12872</v>
      </c>
      <c r="V1634" s="12" t="str">
        <f t="shared" si="312"/>
        <v>1836</v>
      </c>
      <c r="W1634" s="12" t="s">
        <v>5712</v>
      </c>
      <c r="X1634" s="12" t="s">
        <v>700</v>
      </c>
      <c r="Y1634" s="12"/>
      <c r="Z1634" s="12"/>
      <c r="AA1634" s="12" t="s">
        <v>12873</v>
      </c>
      <c r="AB1634" s="12"/>
      <c r="AC1634" s="12"/>
      <c r="AD1634" s="12"/>
      <c r="AE1634" s="12" t="s">
        <v>12874</v>
      </c>
      <c r="AF1634" s="12"/>
      <c r="AG1634" s="12" t="s">
        <v>74</v>
      </c>
      <c r="AH1634" s="12">
        <v>1840</v>
      </c>
      <c r="AI1634" s="12" t="str">
        <f t="shared" si="313"/>
        <v>1840</v>
      </c>
      <c r="AJ1634" s="12" t="s">
        <v>12354</v>
      </c>
      <c r="AK1634" s="12" t="s">
        <v>90</v>
      </c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  <c r="BP1634" s="12"/>
      <c r="BQ1634" s="12"/>
      <c r="BR1634" s="12"/>
    </row>
    <row r="1635" spans="1:70">
      <c r="A1635" s="13" t="s">
        <v>664</v>
      </c>
      <c r="B1635" s="12" t="str">
        <f t="shared" si="305"/>
        <v>SMIT</v>
      </c>
      <c r="C1635" s="12" t="str">
        <f t="shared" si="306"/>
        <v>SMIT</v>
      </c>
      <c r="D1635" s="12" t="s">
        <v>3026</v>
      </c>
      <c r="E1635" s="12" t="str">
        <f t="shared" si="316"/>
        <v>Abraham Johannes</v>
      </c>
      <c r="F1635" s="12" t="s">
        <v>12711</v>
      </c>
      <c r="G1635" s="12" t="str">
        <f t="shared" si="307"/>
        <v>a4b3c5d10e2</v>
      </c>
      <c r="H1635" s="12" t="str">
        <f t="shared" si="308"/>
        <v>SMITa4b3c5d10e2</v>
      </c>
      <c r="I1635" s="12"/>
      <c r="J1635" s="12" t="s">
        <v>12712</v>
      </c>
      <c r="K1635" s="12" t="str">
        <f t="shared" si="309"/>
        <v>1785</v>
      </c>
      <c r="L1635" s="12" t="s">
        <v>1071</v>
      </c>
      <c r="M1635" s="12" t="s">
        <v>12713</v>
      </c>
      <c r="N1635" s="12" t="str">
        <f t="shared" si="314"/>
        <v>1785</v>
      </c>
      <c r="O1635" s="12" t="str">
        <f t="shared" si="315"/>
        <v>1786</v>
      </c>
      <c r="P1635" s="12" t="s">
        <v>74</v>
      </c>
      <c r="Q1635" s="12" t="str">
        <f t="shared" si="310"/>
        <v>1785</v>
      </c>
      <c r="R1635" s="12" t="s">
        <v>12714</v>
      </c>
      <c r="S1635" s="12" t="str">
        <f t="shared" si="311"/>
        <v>1855</v>
      </c>
      <c r="T1635" s="12"/>
      <c r="U1635" s="12"/>
      <c r="V1635" s="12" t="str">
        <f t="shared" si="312"/>
        <v/>
      </c>
      <c r="W1635" s="12" t="s">
        <v>5365</v>
      </c>
      <c r="X1635" s="12" t="s">
        <v>4449</v>
      </c>
      <c r="Y1635" s="12" t="s">
        <v>12715</v>
      </c>
      <c r="Z1635" s="12"/>
      <c r="AA1635" s="12"/>
      <c r="AB1635" s="12"/>
      <c r="AC1635" s="12" t="s">
        <v>12716</v>
      </c>
      <c r="AD1635" s="12"/>
      <c r="AE1635" s="12"/>
      <c r="AF1635" s="12" t="s">
        <v>3719</v>
      </c>
      <c r="AG1635" s="12" t="s">
        <v>68</v>
      </c>
      <c r="AH1635" s="12" t="s">
        <v>12717</v>
      </c>
      <c r="AI1635" s="12" t="str">
        <f t="shared" si="313"/>
        <v>1840</v>
      </c>
      <c r="AJ1635" s="12"/>
      <c r="AK1635" s="12" t="s">
        <v>74</v>
      </c>
      <c r="AL1635" s="12" t="s">
        <v>74</v>
      </c>
      <c r="AM1635" s="12" t="s">
        <v>12605</v>
      </c>
      <c r="AN1635" s="12" t="s">
        <v>12718</v>
      </c>
      <c r="AO1635" s="12" t="s">
        <v>1985</v>
      </c>
      <c r="AP1635" s="12" t="s">
        <v>12719</v>
      </c>
      <c r="AQ1635" s="12"/>
      <c r="AR1635" s="12"/>
      <c r="AS1635" s="12"/>
      <c r="AT1635" s="12" t="s">
        <v>4047</v>
      </c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  <c r="BO1635" s="12"/>
      <c r="BP1635" s="12"/>
      <c r="BQ1635" s="12"/>
      <c r="BR1635" s="12"/>
    </row>
    <row r="1636" spans="1:70">
      <c r="A1636" s="13" t="s">
        <v>664</v>
      </c>
      <c r="B1636" s="12" t="str">
        <f t="shared" si="305"/>
        <v>SMIT</v>
      </c>
      <c r="C1636" s="12" t="str">
        <f t="shared" si="306"/>
        <v>SMIT</v>
      </c>
      <c r="D1636" s="12" t="s">
        <v>12788</v>
      </c>
      <c r="E1636" s="12" t="str">
        <f t="shared" si="316"/>
        <v>Francois Alewyn</v>
      </c>
      <c r="F1636" s="12" t="s">
        <v>12789</v>
      </c>
      <c r="G1636" s="12" t="str">
        <f t="shared" si="307"/>
        <v>a4b3c5d10e2f4</v>
      </c>
      <c r="H1636" s="12" t="str">
        <f t="shared" si="308"/>
        <v>SMITa4b3c5d10e2f4</v>
      </c>
      <c r="I1636" s="12"/>
      <c r="J1636" s="12" t="s">
        <v>3591</v>
      </c>
      <c r="K1636" s="12" t="str">
        <f t="shared" si="309"/>
        <v>1814</v>
      </c>
      <c r="L1636" s="12" t="s">
        <v>74</v>
      </c>
      <c r="M1636" s="12" t="s">
        <v>2611</v>
      </c>
      <c r="N1636" s="12" t="str">
        <f t="shared" si="314"/>
        <v>1814</v>
      </c>
      <c r="O1636" s="12" t="str">
        <f t="shared" si="315"/>
        <v>1815</v>
      </c>
      <c r="P1636" s="12" t="s">
        <v>12790</v>
      </c>
      <c r="Q1636" s="12" t="str">
        <f t="shared" si="310"/>
        <v>1814</v>
      </c>
      <c r="R1636" s="12" t="s">
        <v>12791</v>
      </c>
      <c r="S1636" s="12" t="str">
        <f t="shared" si="311"/>
        <v>1840</v>
      </c>
      <c r="T1636" s="12"/>
      <c r="U1636" s="12"/>
      <c r="V1636" s="12" t="str">
        <f t="shared" si="312"/>
        <v/>
      </c>
      <c r="W1636" s="12" t="s">
        <v>3414</v>
      </c>
      <c r="X1636" s="12" t="s">
        <v>664</v>
      </c>
      <c r="Y1636" s="12"/>
      <c r="Z1636" s="12"/>
      <c r="AA1636" s="12"/>
      <c r="AB1636" s="12"/>
      <c r="AC1636" s="12"/>
      <c r="AD1636" s="12"/>
      <c r="AE1636" s="12"/>
      <c r="AF1636" s="12"/>
      <c r="AG1636" s="12" t="s">
        <v>74</v>
      </c>
      <c r="AH1636" s="12">
        <v>1839</v>
      </c>
      <c r="AI1636" s="12" t="str">
        <f t="shared" si="313"/>
        <v>1839</v>
      </c>
      <c r="AJ1636" s="12"/>
      <c r="AK1636" s="12" t="s">
        <v>1035</v>
      </c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  <c r="BO1636" s="12"/>
      <c r="BP1636" s="12"/>
      <c r="BQ1636" s="12"/>
      <c r="BR1636" s="12"/>
    </row>
    <row r="1637" spans="1:70">
      <c r="A1637" s="13" t="s">
        <v>664</v>
      </c>
      <c r="B1637" s="12" t="str">
        <f t="shared" si="305"/>
        <v>SMIT</v>
      </c>
      <c r="C1637" s="12" t="str">
        <f t="shared" si="306"/>
        <v>SMIT</v>
      </c>
      <c r="D1637" s="12" t="s">
        <v>12814</v>
      </c>
      <c r="E1637" s="12" t="str">
        <f t="shared" si="316"/>
        <v>Gert Lodewyk</v>
      </c>
      <c r="F1637" s="12" t="s">
        <v>12815</v>
      </c>
      <c r="G1637" s="12" t="str">
        <f t="shared" si="307"/>
        <v>a4b3c5d10e2f7</v>
      </c>
      <c r="H1637" s="12" t="str">
        <f t="shared" si="308"/>
        <v>SMITa4b3c5d10e2f7</v>
      </c>
      <c r="I1637" s="12"/>
      <c r="J1637" s="12" t="s">
        <v>12816</v>
      </c>
      <c r="K1637" s="12" t="str">
        <f t="shared" si="309"/>
        <v>1821</v>
      </c>
      <c r="L1637" s="12" t="s">
        <v>74</v>
      </c>
      <c r="M1637" s="12" t="s">
        <v>3426</v>
      </c>
      <c r="N1637" s="12" t="str">
        <f t="shared" si="314"/>
        <v>1821</v>
      </c>
      <c r="O1637" s="12" t="str">
        <f t="shared" si="315"/>
        <v>1821</v>
      </c>
      <c r="P1637" s="12" t="s">
        <v>190</v>
      </c>
      <c r="Q1637" s="12" t="str">
        <f t="shared" si="310"/>
        <v>1821</v>
      </c>
      <c r="R1637" s="12" t="s">
        <v>12817</v>
      </c>
      <c r="S1637" s="12" t="str">
        <f t="shared" si="311"/>
        <v>1896</v>
      </c>
      <c r="T1637" s="12" t="s">
        <v>12315</v>
      </c>
      <c r="U1637" s="12" t="s">
        <v>12818</v>
      </c>
      <c r="V1637" s="12" t="str">
        <f t="shared" si="312"/>
        <v>1841</v>
      </c>
      <c r="W1637" s="12" t="s">
        <v>12819</v>
      </c>
      <c r="X1637" s="12" t="s">
        <v>780</v>
      </c>
      <c r="Y1637" s="12"/>
      <c r="Z1637" s="12"/>
      <c r="AA1637" s="12"/>
      <c r="AB1637" s="12"/>
      <c r="AC1637" s="12"/>
      <c r="AD1637" s="12"/>
      <c r="AE1637" s="12"/>
      <c r="AF1637" s="12"/>
      <c r="AG1637" s="12" t="s">
        <v>74</v>
      </c>
      <c r="AH1637" s="12">
        <v>1838</v>
      </c>
      <c r="AI1637" s="12" t="str">
        <f t="shared" si="313"/>
        <v>1838</v>
      </c>
      <c r="AJ1637" s="12"/>
      <c r="AK1637" s="12"/>
      <c r="AL1637" s="12" t="s">
        <v>190</v>
      </c>
      <c r="AM1637" s="12" t="s">
        <v>12820</v>
      </c>
      <c r="AN1637" s="12" t="s">
        <v>1757</v>
      </c>
      <c r="AO1637" s="12" t="s">
        <v>700</v>
      </c>
      <c r="AP1637" s="12"/>
      <c r="AQ1637" s="12"/>
      <c r="AR1637" s="12" t="s">
        <v>12821</v>
      </c>
      <c r="AS1637" s="12" t="s">
        <v>74</v>
      </c>
      <c r="AT1637" s="12" t="s">
        <v>12822</v>
      </c>
      <c r="AU1637" s="12" t="s">
        <v>12823</v>
      </c>
      <c r="AV1637" s="12" t="s">
        <v>12824</v>
      </c>
      <c r="AW1637" s="12"/>
      <c r="AX1637" s="12"/>
      <c r="AY1637" s="12" t="s">
        <v>12825</v>
      </c>
      <c r="AZ1637" s="12" t="s">
        <v>2176</v>
      </c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  <c r="BP1637" s="12"/>
      <c r="BQ1637" s="12"/>
      <c r="BR1637" s="12"/>
    </row>
    <row r="1638" spans="1:70">
      <c r="A1638" s="13" t="s">
        <v>664</v>
      </c>
      <c r="B1638" s="12" t="str">
        <f t="shared" si="305"/>
        <v>SMIT</v>
      </c>
      <c r="C1638" s="12" t="str">
        <f t="shared" si="306"/>
        <v>SMIT</v>
      </c>
      <c r="D1638" s="12" t="s">
        <v>12788</v>
      </c>
      <c r="E1638" s="12" t="str">
        <f t="shared" si="316"/>
        <v>Francois Alewyn</v>
      </c>
      <c r="F1638" s="12" t="s">
        <v>12792</v>
      </c>
      <c r="G1638" s="12" t="str">
        <f t="shared" si="307"/>
        <v>a4b3c5d10e3f6</v>
      </c>
      <c r="H1638" s="12" t="str">
        <f t="shared" si="308"/>
        <v>SMITa4b3c5d10e3f6</v>
      </c>
      <c r="I1638" s="12"/>
      <c r="J1638" s="12" t="s">
        <v>12793</v>
      </c>
      <c r="K1638" s="12" t="str">
        <f t="shared" si="309"/>
        <v>1818</v>
      </c>
      <c r="L1638" s="12" t="s">
        <v>74</v>
      </c>
      <c r="M1638" s="12" t="s">
        <v>12794</v>
      </c>
      <c r="N1638" s="12" t="str">
        <f t="shared" si="314"/>
        <v>1818</v>
      </c>
      <c r="O1638" s="12" t="str">
        <f t="shared" si="315"/>
        <v>1819</v>
      </c>
      <c r="P1638" s="12" t="s">
        <v>24</v>
      </c>
      <c r="Q1638" s="12" t="str">
        <f t="shared" si="310"/>
        <v>1818</v>
      </c>
      <c r="R1638" s="12" t="s">
        <v>12795</v>
      </c>
      <c r="S1638" s="12" t="str">
        <f t="shared" si="311"/>
        <v>1880</v>
      </c>
      <c r="T1638" s="12" t="s">
        <v>74</v>
      </c>
      <c r="U1638" s="12" t="s">
        <v>12796</v>
      </c>
      <c r="V1638" s="12" t="str">
        <f t="shared" si="312"/>
        <v>1839</v>
      </c>
      <c r="W1638" s="12" t="s">
        <v>12797</v>
      </c>
      <c r="X1638" s="12" t="s">
        <v>7927</v>
      </c>
      <c r="Y1638" s="12"/>
      <c r="Z1638" s="12"/>
      <c r="AA1638" s="12" t="s">
        <v>12798</v>
      </c>
      <c r="AB1638" s="12" t="s">
        <v>53</v>
      </c>
      <c r="AC1638" s="12" t="s">
        <v>12799</v>
      </c>
      <c r="AD1638" s="12" t="s">
        <v>406</v>
      </c>
      <c r="AE1638" s="12" t="s">
        <v>12800</v>
      </c>
      <c r="AF1638" s="12"/>
      <c r="AG1638" s="12" t="s">
        <v>74</v>
      </c>
      <c r="AH1638" s="12" t="s">
        <v>12801</v>
      </c>
      <c r="AI1638" s="12" t="str">
        <f t="shared" si="313"/>
        <v>1839</v>
      </c>
      <c r="AJ1638" s="12" t="s">
        <v>12354</v>
      </c>
      <c r="AK1638" s="12" t="s">
        <v>160</v>
      </c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  <c r="BP1638" s="12"/>
      <c r="BQ1638" s="12"/>
      <c r="BR1638" s="12"/>
    </row>
    <row r="1639" spans="1:70">
      <c r="A1639" s="13" t="s">
        <v>664</v>
      </c>
      <c r="B1639" s="12" t="str">
        <f t="shared" si="305"/>
        <v>SMIT</v>
      </c>
      <c r="C1639" s="12" t="str">
        <f t="shared" si="306"/>
        <v>SMIT</v>
      </c>
      <c r="D1639" s="12" t="s">
        <v>12735</v>
      </c>
      <c r="E1639" s="12" t="str">
        <f t="shared" si="316"/>
        <v>Burgert Godlieb</v>
      </c>
      <c r="F1639" s="12" t="s">
        <v>12736</v>
      </c>
      <c r="G1639" s="12" t="str">
        <f t="shared" si="307"/>
        <v>a4b3c5d10e7</v>
      </c>
      <c r="H1639" s="12" t="str">
        <f t="shared" si="308"/>
        <v>SMITa4b3c5d10e7</v>
      </c>
      <c r="I1639" s="12"/>
      <c r="J1639" s="12" t="s">
        <v>12737</v>
      </c>
      <c r="K1639" s="12" t="str">
        <f t="shared" si="309"/>
        <v>1794</v>
      </c>
      <c r="L1639" s="12" t="s">
        <v>74</v>
      </c>
      <c r="M1639" s="12" t="s">
        <v>12738</v>
      </c>
      <c r="N1639" s="12" t="str">
        <f t="shared" si="314"/>
        <v>1794</v>
      </c>
      <c r="O1639" s="12" t="str">
        <f t="shared" si="315"/>
        <v>1794</v>
      </c>
      <c r="P1639" s="12" t="s">
        <v>2877</v>
      </c>
      <c r="Q1639" s="12" t="str">
        <f t="shared" si="310"/>
        <v>1794</v>
      </c>
      <c r="R1639" s="12" t="s">
        <v>12739</v>
      </c>
      <c r="S1639" s="12" t="str">
        <f t="shared" si="311"/>
        <v>1866</v>
      </c>
      <c r="T1639" s="12" t="s">
        <v>74</v>
      </c>
      <c r="U1639" s="12" t="s">
        <v>4255</v>
      </c>
      <c r="V1639" s="12" t="str">
        <f t="shared" si="312"/>
        <v>1813</v>
      </c>
      <c r="W1639" s="12" t="s">
        <v>12740</v>
      </c>
      <c r="X1639" s="12" t="s">
        <v>776</v>
      </c>
      <c r="Y1639" s="12" t="s">
        <v>12741</v>
      </c>
      <c r="Z1639" s="12"/>
      <c r="AA1639" s="12"/>
      <c r="AB1639" s="12"/>
      <c r="AC1639" s="12" t="s">
        <v>12742</v>
      </c>
      <c r="AD1639" s="12"/>
      <c r="AE1639" s="12"/>
      <c r="AF1639" s="12" t="s">
        <v>3699</v>
      </c>
      <c r="AG1639" s="12" t="s">
        <v>68</v>
      </c>
      <c r="AH1639" s="12">
        <v>1837</v>
      </c>
      <c r="AI1639" s="12" t="str">
        <f t="shared" si="313"/>
        <v>1837</v>
      </c>
      <c r="AJ1639" s="12"/>
      <c r="AK1639" s="12" t="s">
        <v>2877</v>
      </c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  <c r="BP1639" s="12"/>
      <c r="BQ1639" s="12"/>
      <c r="BR1639" s="12"/>
    </row>
    <row r="1640" spans="1:70">
      <c r="A1640" s="13" t="s">
        <v>664</v>
      </c>
      <c r="B1640" s="12" t="str">
        <f t="shared" si="305"/>
        <v>SMIT</v>
      </c>
      <c r="C1640" s="12" t="str">
        <f t="shared" si="306"/>
        <v>SMIT</v>
      </c>
      <c r="D1640" s="12" t="s">
        <v>12802</v>
      </c>
      <c r="E1640" s="12" t="str">
        <f t="shared" si="316"/>
        <v>Francois Alwyn</v>
      </c>
      <c r="F1640" s="12" t="s">
        <v>12803</v>
      </c>
      <c r="G1640" s="12" t="str">
        <f t="shared" si="307"/>
        <v>a4b3c5d10e7f2</v>
      </c>
      <c r="H1640" s="12" t="str">
        <f t="shared" si="308"/>
        <v>SMITa4b3c5d10e7f2</v>
      </c>
      <c r="I1640" s="12"/>
      <c r="J1640" s="12" t="s">
        <v>12804</v>
      </c>
      <c r="K1640" s="12" t="str">
        <f t="shared" si="309"/>
        <v>1817</v>
      </c>
      <c r="L1640" s="12" t="s">
        <v>74</v>
      </c>
      <c r="M1640" s="12" t="s">
        <v>1973</v>
      </c>
      <c r="N1640" s="12" t="str">
        <f t="shared" si="314"/>
        <v>1817</v>
      </c>
      <c r="O1640" s="12" t="str">
        <f t="shared" si="315"/>
        <v>1817</v>
      </c>
      <c r="P1640" s="12"/>
      <c r="Q1640" s="12" t="str">
        <f t="shared" si="310"/>
        <v>1817</v>
      </c>
      <c r="R1640" s="12"/>
      <c r="S1640" s="12" t="str">
        <f t="shared" si="311"/>
        <v/>
      </c>
      <c r="T1640" s="12" t="s">
        <v>28</v>
      </c>
      <c r="U1640" s="12" t="s">
        <v>12805</v>
      </c>
      <c r="V1640" s="12" t="str">
        <f t="shared" si="312"/>
        <v>1837</v>
      </c>
      <c r="W1640" s="12" t="s">
        <v>12806</v>
      </c>
      <c r="X1640" s="12" t="s">
        <v>729</v>
      </c>
      <c r="Y1640" s="12"/>
      <c r="Z1640" s="12"/>
      <c r="AA1640" s="12"/>
      <c r="AB1640" s="12"/>
      <c r="AC1640" s="12"/>
      <c r="AD1640" s="12"/>
      <c r="AE1640" s="12"/>
      <c r="AF1640" s="12" t="s">
        <v>3699</v>
      </c>
      <c r="AG1640" s="12" t="s">
        <v>68</v>
      </c>
      <c r="AH1640" s="12">
        <v>1837</v>
      </c>
      <c r="AI1640" s="12" t="str">
        <f t="shared" si="313"/>
        <v>1837</v>
      </c>
      <c r="AJ1640" s="12"/>
      <c r="AK1640" s="12" t="s">
        <v>155</v>
      </c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  <c r="BO1640" s="12"/>
      <c r="BP1640" s="12"/>
      <c r="BQ1640" s="12"/>
      <c r="BR1640" s="12"/>
    </row>
    <row r="1641" spans="1:70">
      <c r="A1641" s="13" t="s">
        <v>664</v>
      </c>
      <c r="B1641" s="12" t="str">
        <f t="shared" si="305"/>
        <v>SMIT</v>
      </c>
      <c r="C1641" s="12" t="str">
        <f t="shared" si="306"/>
        <v>SMIT</v>
      </c>
      <c r="D1641" s="12" t="s">
        <v>12756</v>
      </c>
      <c r="E1641" s="12" t="str">
        <f t="shared" si="316"/>
        <v>Christiaan Hendrik Stephanus Sr.</v>
      </c>
      <c r="F1641" s="12" t="s">
        <v>12757</v>
      </c>
      <c r="G1641" s="12" t="str">
        <f t="shared" si="307"/>
        <v>a4b3c5d11e3</v>
      </c>
      <c r="H1641" s="12" t="str">
        <f t="shared" si="308"/>
        <v>SMITa4b3c5d11e3</v>
      </c>
      <c r="I1641" s="12"/>
      <c r="J1641" s="12"/>
      <c r="K1641" s="12" t="str">
        <f t="shared" si="309"/>
        <v/>
      </c>
      <c r="L1641" s="12"/>
      <c r="M1641" s="12" t="s">
        <v>12758</v>
      </c>
      <c r="N1641" s="12" t="str">
        <f t="shared" si="314"/>
        <v/>
      </c>
      <c r="O1641" s="12" t="str">
        <f t="shared" si="315"/>
        <v>1793</v>
      </c>
      <c r="P1641" s="12"/>
      <c r="Q1641" s="12" t="str">
        <f t="shared" si="310"/>
        <v>1793</v>
      </c>
      <c r="R1641" s="12"/>
      <c r="S1641" s="12" t="str">
        <f t="shared" si="311"/>
        <v/>
      </c>
      <c r="T1641" s="12"/>
      <c r="U1641" s="12" t="s">
        <v>12759</v>
      </c>
      <c r="V1641" s="12" t="str">
        <f t="shared" si="312"/>
        <v>1817</v>
      </c>
      <c r="W1641" s="12" t="s">
        <v>12760</v>
      </c>
      <c r="X1641" s="12" t="s">
        <v>12761</v>
      </c>
      <c r="Y1641" s="12"/>
      <c r="Z1641" s="12"/>
      <c r="AA1641" s="12"/>
      <c r="AB1641" s="12"/>
      <c r="AC1641" s="12"/>
      <c r="AD1641" s="12"/>
      <c r="AE1641" s="12"/>
      <c r="AF1641" s="12"/>
      <c r="AG1641" s="12" t="s">
        <v>74</v>
      </c>
      <c r="AH1641" s="12"/>
      <c r="AI1641" s="12" t="str">
        <f t="shared" si="313"/>
        <v/>
      </c>
      <c r="AJ1641" s="12"/>
      <c r="AK1641" s="12" t="s">
        <v>155</v>
      </c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  <c r="BO1641" s="12"/>
      <c r="BP1641" s="12"/>
      <c r="BQ1641" s="12"/>
      <c r="BR1641" s="12"/>
    </row>
    <row r="1642" spans="1:70">
      <c r="A1642" s="13" t="s">
        <v>664</v>
      </c>
      <c r="B1642" s="12" t="str">
        <f t="shared" si="305"/>
        <v>SMIT</v>
      </c>
      <c r="C1642" s="12" t="str">
        <f t="shared" si="306"/>
        <v>SMIT</v>
      </c>
      <c r="D1642" s="12" t="s">
        <v>12762</v>
      </c>
      <c r="E1642" s="12" t="str">
        <f t="shared" si="316"/>
        <v>Christiaan Hendrik Stephanus Jr.</v>
      </c>
      <c r="F1642" s="12" t="s">
        <v>12763</v>
      </c>
      <c r="G1642" s="12" t="str">
        <f t="shared" si="307"/>
        <v>a4b3c5d11e3f1</v>
      </c>
      <c r="H1642" s="12" t="str">
        <f t="shared" si="308"/>
        <v>SMITa4b3c5d11e3f1</v>
      </c>
      <c r="I1642" s="12"/>
      <c r="J1642" s="12" t="s">
        <v>12764</v>
      </c>
      <c r="K1642" s="12" t="str">
        <f t="shared" si="309"/>
        <v>1817</v>
      </c>
      <c r="L1642" s="12" t="s">
        <v>74</v>
      </c>
      <c r="M1642" s="12" t="s">
        <v>305</v>
      </c>
      <c r="N1642" s="12" t="str">
        <f t="shared" si="314"/>
        <v>1817</v>
      </c>
      <c r="O1642" s="12" t="str">
        <f t="shared" si="315"/>
        <v>1817</v>
      </c>
      <c r="P1642" s="12" t="s">
        <v>1017</v>
      </c>
      <c r="Q1642" s="12" t="str">
        <f t="shared" si="310"/>
        <v>1817</v>
      </c>
      <c r="R1642" s="12" t="s">
        <v>12765</v>
      </c>
      <c r="S1642" s="12" t="str">
        <f t="shared" si="311"/>
        <v>1884</v>
      </c>
      <c r="T1642" s="12" t="s">
        <v>74</v>
      </c>
      <c r="U1642" s="12" t="s">
        <v>12766</v>
      </c>
      <c r="V1642" s="12" t="str">
        <f t="shared" si="312"/>
        <v>1838</v>
      </c>
      <c r="W1642" s="12" t="s">
        <v>3185</v>
      </c>
      <c r="X1642" s="12" t="s">
        <v>664</v>
      </c>
      <c r="Y1642" s="12"/>
      <c r="Z1642" s="12"/>
      <c r="AA1642" s="12"/>
      <c r="AB1642" s="12"/>
      <c r="AC1642" s="12"/>
      <c r="AD1642" s="12"/>
      <c r="AE1642" s="12"/>
      <c r="AF1642" s="12"/>
      <c r="AG1642" s="12" t="s">
        <v>74</v>
      </c>
      <c r="AH1642" s="12"/>
      <c r="AI1642" s="12" t="str">
        <f t="shared" si="313"/>
        <v/>
      </c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  <c r="BP1642" s="12"/>
      <c r="BQ1642" s="12"/>
      <c r="BR1642" s="12"/>
    </row>
    <row r="1643" spans="1:70">
      <c r="A1643" s="13" t="s">
        <v>664</v>
      </c>
      <c r="B1643" s="12" t="str">
        <f t="shared" si="305"/>
        <v>SMIT</v>
      </c>
      <c r="C1643" s="12" t="str">
        <f t="shared" si="306"/>
        <v>SMIT</v>
      </c>
      <c r="D1643" s="12" t="s">
        <v>12855</v>
      </c>
      <c r="E1643" s="12" t="str">
        <f t="shared" si="316"/>
        <v>Lourens Johannes Benjamin</v>
      </c>
      <c r="F1643" s="12" t="s">
        <v>12856</v>
      </c>
      <c r="G1643" s="12" t="str">
        <f t="shared" si="307"/>
        <v>a4b3c5d5e7f4</v>
      </c>
      <c r="H1643" s="12" t="str">
        <f t="shared" si="308"/>
        <v>SMITa4b3c5d5e7f4</v>
      </c>
      <c r="I1643" s="12"/>
      <c r="J1643" s="12" t="s">
        <v>12857</v>
      </c>
      <c r="K1643" s="12" t="str">
        <f t="shared" si="309"/>
        <v>1819</v>
      </c>
      <c r="L1643" s="12" t="s">
        <v>28</v>
      </c>
      <c r="M1643" s="12" t="s">
        <v>5228</v>
      </c>
      <c r="N1643" s="12" t="str">
        <f t="shared" si="314"/>
        <v>1819</v>
      </c>
      <c r="O1643" s="12" t="str">
        <f t="shared" si="315"/>
        <v>1820</v>
      </c>
      <c r="P1643" s="12"/>
      <c r="Q1643" s="12" t="str">
        <f t="shared" si="310"/>
        <v>1819</v>
      </c>
      <c r="R1643" s="12"/>
      <c r="S1643" s="12" t="str">
        <f t="shared" si="311"/>
        <v/>
      </c>
      <c r="T1643" s="12"/>
      <c r="U1643" s="12"/>
      <c r="V1643" s="12" t="str">
        <f t="shared" si="312"/>
        <v/>
      </c>
      <c r="W1643" s="12" t="s">
        <v>12858</v>
      </c>
      <c r="X1643" s="12" t="s">
        <v>2402</v>
      </c>
      <c r="Y1643" s="12"/>
      <c r="Z1643" s="12"/>
      <c r="AA1643" s="12"/>
      <c r="AB1643" s="12"/>
      <c r="AC1643" s="12"/>
      <c r="AD1643" s="12"/>
      <c r="AE1643" s="12"/>
      <c r="AF1643" s="12"/>
      <c r="AG1643" s="12" t="s">
        <v>28</v>
      </c>
      <c r="AH1643" s="12" t="s">
        <v>12859</v>
      </c>
      <c r="AI1643" s="12" t="str">
        <f t="shared" si="313"/>
        <v>1844</v>
      </c>
      <c r="AJ1643" s="12"/>
      <c r="AK1643" s="12" t="s">
        <v>140</v>
      </c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  <c r="BP1643" s="12"/>
      <c r="BQ1643" s="12"/>
      <c r="BR1643" s="12"/>
    </row>
    <row r="1644" spans="1:70">
      <c r="A1644" s="13" t="s">
        <v>664</v>
      </c>
      <c r="B1644" s="12" t="str">
        <f t="shared" si="305"/>
        <v>SMIT</v>
      </c>
      <c r="C1644" s="12" t="str">
        <f t="shared" si="306"/>
        <v>SMIT</v>
      </c>
      <c r="D1644" s="12" t="s">
        <v>12875</v>
      </c>
      <c r="E1644" s="12" t="str">
        <f t="shared" si="316"/>
        <v>Nicolaas Jacobus Christoffel</v>
      </c>
      <c r="F1644" s="12" t="s">
        <v>12876</v>
      </c>
      <c r="G1644" s="12" t="str">
        <f t="shared" si="307"/>
        <v>a4b3c7d2e6f1</v>
      </c>
      <c r="H1644" s="12" t="str">
        <f t="shared" si="308"/>
        <v>SMITa4b3c7d2e6f1</v>
      </c>
      <c r="I1644" s="12"/>
      <c r="J1644" s="12" t="s">
        <v>12877</v>
      </c>
      <c r="K1644" s="12" t="str">
        <f t="shared" si="309"/>
        <v>1808</v>
      </c>
      <c r="L1644" s="12"/>
      <c r="M1644" s="12" t="s">
        <v>12878</v>
      </c>
      <c r="N1644" s="12" t="str">
        <f t="shared" si="314"/>
        <v>1808</v>
      </c>
      <c r="O1644" s="12" t="str">
        <f t="shared" si="315"/>
        <v>1809</v>
      </c>
      <c r="P1644" s="12"/>
      <c r="Q1644" s="12" t="str">
        <f t="shared" si="310"/>
        <v>1808</v>
      </c>
      <c r="R1644" s="12"/>
      <c r="S1644" s="12" t="str">
        <f t="shared" si="311"/>
        <v/>
      </c>
      <c r="T1644" s="12"/>
      <c r="U1644" s="12"/>
      <c r="V1644" s="12" t="str">
        <f t="shared" si="312"/>
        <v/>
      </c>
      <c r="W1644" s="12" t="s">
        <v>2090</v>
      </c>
      <c r="X1644" s="12" t="s">
        <v>11925</v>
      </c>
      <c r="Y1644" s="12"/>
      <c r="Z1644" s="12"/>
      <c r="AA1644" s="12"/>
      <c r="AB1644" s="12"/>
      <c r="AC1644" s="12"/>
      <c r="AD1644" s="12"/>
      <c r="AE1644" s="12"/>
      <c r="AF1644" s="12" t="s">
        <v>11931</v>
      </c>
      <c r="AG1644" s="12" t="s">
        <v>3587</v>
      </c>
      <c r="AH1644" s="12" t="s">
        <v>12879</v>
      </c>
      <c r="AI1644" s="12" t="str">
        <f t="shared" si="313"/>
        <v>1839</v>
      </c>
      <c r="AJ1644" s="12" t="s">
        <v>12354</v>
      </c>
      <c r="AK1644" s="12" t="s">
        <v>190</v>
      </c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  <c r="BP1644" s="12"/>
      <c r="BQ1644" s="12"/>
      <c r="BR1644" s="12"/>
    </row>
    <row r="1645" spans="1:70">
      <c r="A1645" s="13" t="s">
        <v>664</v>
      </c>
      <c r="B1645" s="12" t="str">
        <f t="shared" si="305"/>
        <v>SMIT</v>
      </c>
      <c r="C1645" s="12" t="str">
        <f t="shared" si="306"/>
        <v>SMIT</v>
      </c>
      <c r="D1645" s="12" t="s">
        <v>12720</v>
      </c>
      <c r="E1645" s="12" t="str">
        <f t="shared" si="316"/>
        <v>Andries Adriaan</v>
      </c>
      <c r="F1645" s="12" t="s">
        <v>12721</v>
      </c>
      <c r="G1645" s="12" t="str">
        <f t="shared" si="307"/>
        <v>a4b6c10d1e2</v>
      </c>
      <c r="H1645" s="12" t="str">
        <f t="shared" si="308"/>
        <v>SMITa4b6c10d1e2</v>
      </c>
      <c r="I1645" s="12"/>
      <c r="J1645" s="12" t="s">
        <v>12722</v>
      </c>
      <c r="K1645" s="12" t="str">
        <f t="shared" si="309"/>
        <v>1797</v>
      </c>
      <c r="L1645" s="12" t="s">
        <v>74</v>
      </c>
      <c r="M1645" s="12" t="s">
        <v>1836</v>
      </c>
      <c r="N1645" s="12" t="str">
        <f t="shared" si="314"/>
        <v>1797</v>
      </c>
      <c r="O1645" s="12" t="str">
        <f t="shared" si="315"/>
        <v>1798</v>
      </c>
      <c r="P1645" s="12"/>
      <c r="Q1645" s="12" t="str">
        <f t="shared" si="310"/>
        <v>1797</v>
      </c>
      <c r="R1645" s="12"/>
      <c r="S1645" s="12" t="str">
        <f t="shared" si="311"/>
        <v/>
      </c>
      <c r="T1645" s="12" t="s">
        <v>28</v>
      </c>
      <c r="U1645" s="12" t="s">
        <v>4209</v>
      </c>
      <c r="V1645" s="12" t="str">
        <f t="shared" si="312"/>
        <v>1821</v>
      </c>
      <c r="W1645" s="12" t="s">
        <v>12723</v>
      </c>
      <c r="X1645" s="12" t="s">
        <v>618</v>
      </c>
      <c r="Y1645" s="12" t="s">
        <v>12724</v>
      </c>
      <c r="Z1645" s="12"/>
      <c r="AA1645" s="12" t="s">
        <v>12725</v>
      </c>
      <c r="AB1645" s="12" t="s">
        <v>32</v>
      </c>
      <c r="AC1645" s="12" t="s">
        <v>12726</v>
      </c>
      <c r="AD1645" s="12"/>
      <c r="AE1645" s="12"/>
      <c r="AF1645" s="12" t="s">
        <v>3699</v>
      </c>
      <c r="AG1645" s="12" t="s">
        <v>68</v>
      </c>
      <c r="AH1645" s="12">
        <v>1837</v>
      </c>
      <c r="AI1645" s="12" t="str">
        <f t="shared" si="313"/>
        <v>1837</v>
      </c>
      <c r="AJ1645" s="12" t="s">
        <v>5423</v>
      </c>
      <c r="AK1645" s="12" t="s">
        <v>90</v>
      </c>
      <c r="AL1645" s="12"/>
      <c r="AM1645" s="12"/>
      <c r="AN1645" s="12" t="s">
        <v>1670</v>
      </c>
      <c r="AO1645" s="12" t="s">
        <v>2901</v>
      </c>
      <c r="AP1645" s="12" t="s">
        <v>3000</v>
      </c>
      <c r="AQ1645" s="12"/>
      <c r="AR1645" s="12"/>
      <c r="AS1645" s="12" t="s">
        <v>74</v>
      </c>
      <c r="AT1645" s="12" t="s">
        <v>3535</v>
      </c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  <c r="BP1645" s="12"/>
      <c r="BQ1645" s="12"/>
      <c r="BR1645" s="12"/>
    </row>
    <row r="1646" spans="1:70">
      <c r="A1646" s="13" t="s">
        <v>664</v>
      </c>
      <c r="B1646" s="12" t="str">
        <f t="shared" si="305"/>
        <v>SMIT</v>
      </c>
      <c r="C1646" s="12" t="str">
        <f t="shared" si="306"/>
        <v>SMIT</v>
      </c>
      <c r="D1646" s="12" t="s">
        <v>12840</v>
      </c>
      <c r="E1646" s="12" t="str">
        <f t="shared" si="316"/>
        <v xml:space="preserve">Johan Frederik  </v>
      </c>
      <c r="F1646" s="12" t="s">
        <v>12841</v>
      </c>
      <c r="G1646" s="12" t="str">
        <f t="shared" si="307"/>
        <v>a5b2c3</v>
      </c>
      <c r="H1646" s="12" t="str">
        <f t="shared" si="308"/>
        <v>SMITa5b2c3</v>
      </c>
      <c r="I1646" s="12"/>
      <c r="J1646" s="12"/>
      <c r="K1646" s="12" t="str">
        <f t="shared" si="309"/>
        <v/>
      </c>
      <c r="L1646" s="12"/>
      <c r="M1646" s="12" t="s">
        <v>12842</v>
      </c>
      <c r="N1646" s="12" t="str">
        <f t="shared" si="314"/>
        <v/>
      </c>
      <c r="O1646" s="12" t="str">
        <f t="shared" si="315"/>
        <v>1850</v>
      </c>
      <c r="P1646" s="12"/>
      <c r="Q1646" s="12" t="str">
        <f t="shared" si="310"/>
        <v>1850</v>
      </c>
      <c r="R1646" s="12"/>
      <c r="S1646" s="12" t="str">
        <f t="shared" si="311"/>
        <v/>
      </c>
      <c r="T1646" s="12"/>
      <c r="U1646" s="12"/>
      <c r="V1646" s="12" t="str">
        <f t="shared" si="312"/>
        <v/>
      </c>
      <c r="W1646" s="12" t="s">
        <v>12843</v>
      </c>
      <c r="X1646" s="12" t="s">
        <v>660</v>
      </c>
      <c r="Y1646" s="12"/>
      <c r="Z1646" s="12"/>
      <c r="AA1646" s="12"/>
      <c r="AB1646" s="12"/>
      <c r="AC1646" s="12"/>
      <c r="AD1646" s="12"/>
      <c r="AE1646" s="12"/>
      <c r="AF1646" s="12" t="s">
        <v>3699</v>
      </c>
      <c r="AG1646" s="12" t="s">
        <v>68</v>
      </c>
      <c r="AH1646" s="12" t="s">
        <v>12844</v>
      </c>
      <c r="AI1646" s="12" t="str">
        <f t="shared" si="313"/>
        <v>1838</v>
      </c>
      <c r="AJ1646" s="12"/>
      <c r="AK1646" s="12" t="s">
        <v>90</v>
      </c>
      <c r="AL1646" s="12" t="s">
        <v>168</v>
      </c>
      <c r="AM1646" s="12" t="s">
        <v>12845</v>
      </c>
      <c r="AN1646" s="12" t="s">
        <v>12846</v>
      </c>
      <c r="AO1646" s="12" t="s">
        <v>6866</v>
      </c>
      <c r="AP1646" s="12" t="s">
        <v>12847</v>
      </c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  <c r="BP1646" s="12"/>
      <c r="BQ1646" s="12"/>
      <c r="BR1646" s="12"/>
    </row>
    <row r="1647" spans="1:70">
      <c r="A1647" s="13" t="s">
        <v>7079</v>
      </c>
      <c r="B1647" s="12" t="str">
        <f t="shared" si="305"/>
        <v>SMIT(H)</v>
      </c>
      <c r="C1647" s="12" t="str">
        <f t="shared" si="306"/>
        <v>SMIT(H)</v>
      </c>
      <c r="D1647" s="12" t="s">
        <v>12727</v>
      </c>
      <c r="E1647" s="12" t="str">
        <f t="shared" si="316"/>
        <v>Andries Johannes Christoffel</v>
      </c>
      <c r="F1647" s="12" t="s">
        <v>12728</v>
      </c>
      <c r="G1647" s="12" t="str">
        <f t="shared" si="307"/>
        <v>a4b3c5d10e2f3</v>
      </c>
      <c r="H1647" s="12" t="str">
        <f t="shared" si="308"/>
        <v>SMIT(H)a4b3c5d10e2f3</v>
      </c>
      <c r="I1647" s="12" t="s">
        <v>74</v>
      </c>
      <c r="J1647" s="12" t="s">
        <v>1505</v>
      </c>
      <c r="K1647" s="12" t="str">
        <f t="shared" si="309"/>
        <v>1813</v>
      </c>
      <c r="L1647" s="12" t="s">
        <v>74</v>
      </c>
      <c r="M1647" s="12" t="s">
        <v>12729</v>
      </c>
      <c r="N1647" s="12" t="str">
        <f t="shared" si="314"/>
        <v>1813</v>
      </c>
      <c r="O1647" s="12" t="str">
        <f t="shared" si="315"/>
        <v>1813</v>
      </c>
      <c r="P1647" s="12" t="s">
        <v>258</v>
      </c>
      <c r="Q1647" s="12" t="str">
        <f t="shared" si="310"/>
        <v>1813</v>
      </c>
      <c r="R1647" s="12" t="s">
        <v>12730</v>
      </c>
      <c r="S1647" s="12" t="str">
        <f t="shared" si="311"/>
        <v>1892</v>
      </c>
      <c r="T1647" s="12"/>
      <c r="U1647" s="12" t="s">
        <v>12731</v>
      </c>
      <c r="V1647" s="12" t="str">
        <f t="shared" si="312"/>
        <v>1842</v>
      </c>
      <c r="W1647" s="12" t="s">
        <v>12732</v>
      </c>
      <c r="X1647" s="12" t="s">
        <v>12733</v>
      </c>
      <c r="Y1647" s="12"/>
      <c r="Z1647" s="12" t="s">
        <v>258</v>
      </c>
      <c r="AA1647" s="12" t="s">
        <v>12734</v>
      </c>
      <c r="AB1647" s="12"/>
      <c r="AC1647" s="12"/>
      <c r="AD1647" s="12" t="s">
        <v>258</v>
      </c>
      <c r="AE1647" s="12">
        <v>1913</v>
      </c>
      <c r="AF1647" s="12" t="s">
        <v>3719</v>
      </c>
      <c r="AG1647" s="12" t="s">
        <v>68</v>
      </c>
      <c r="AH1647" s="12" t="s">
        <v>385</v>
      </c>
      <c r="AI1647" s="12" t="str">
        <f t="shared" si="313"/>
        <v>1840</v>
      </c>
      <c r="AJ1647" s="12"/>
      <c r="AK1647" s="12" t="s">
        <v>68</v>
      </c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  <c r="BO1647" s="12"/>
      <c r="BP1647" s="12"/>
      <c r="BQ1647" s="12"/>
      <c r="BR1647" s="12"/>
    </row>
    <row r="1648" spans="1:70">
      <c r="A1648" s="13" t="s">
        <v>12919</v>
      </c>
      <c r="B1648" s="12" t="str">
        <f t="shared" si="305"/>
        <v>SMUTS</v>
      </c>
      <c r="C1648" s="12" t="str">
        <f t="shared" si="306"/>
        <v>SMUTS</v>
      </c>
      <c r="D1648" s="12" t="s">
        <v>10554</v>
      </c>
      <c r="E1648" s="12" t="str">
        <f t="shared" si="316"/>
        <v>Gerhardus Marthinus</v>
      </c>
      <c r="F1648" s="12" t="s">
        <v>930</v>
      </c>
      <c r="G1648" s="12" t="str">
        <f t="shared" si="307"/>
        <v>a2b2</v>
      </c>
      <c r="H1648" s="12" t="str">
        <f t="shared" si="308"/>
        <v>SMUTSa2b2</v>
      </c>
      <c r="I1648" s="12"/>
      <c r="J1648" s="12" t="s">
        <v>12920</v>
      </c>
      <c r="K1648" s="12" t="str">
        <f t="shared" si="309"/>
        <v>1821</v>
      </c>
      <c r="L1648" s="12" t="s">
        <v>199</v>
      </c>
      <c r="M1648" s="12" t="s">
        <v>12921</v>
      </c>
      <c r="N1648" s="12" t="str">
        <f t="shared" si="314"/>
        <v>1821</v>
      </c>
      <c r="O1648" s="12" t="str">
        <f t="shared" si="315"/>
        <v>1821</v>
      </c>
      <c r="P1648" s="12"/>
      <c r="Q1648" s="12" t="str">
        <f t="shared" si="310"/>
        <v>1821</v>
      </c>
      <c r="R1648" s="12"/>
      <c r="S1648" s="12" t="str">
        <f t="shared" si="311"/>
        <v/>
      </c>
      <c r="T1648" s="12" t="s">
        <v>168</v>
      </c>
      <c r="U1648" s="12" t="s">
        <v>12922</v>
      </c>
      <c r="V1648" s="12" t="str">
        <f t="shared" si="312"/>
        <v>1844</v>
      </c>
      <c r="W1648" s="12" t="s">
        <v>7314</v>
      </c>
      <c r="X1648" s="12" t="s">
        <v>694</v>
      </c>
      <c r="Y1648" s="12" t="s">
        <v>12923</v>
      </c>
      <c r="Z1648" s="12"/>
      <c r="AA1648" s="12">
        <v>1824</v>
      </c>
      <c r="AB1648" s="12"/>
      <c r="AC1648" s="12"/>
      <c r="AD1648" s="12"/>
      <c r="AE1648" s="12"/>
      <c r="AF1648" s="12"/>
      <c r="AG1648" s="12" t="s">
        <v>199</v>
      </c>
      <c r="AH1648" s="12" t="s">
        <v>4696</v>
      </c>
      <c r="AI1648" s="12" t="str">
        <f t="shared" si="313"/>
        <v>1844</v>
      </c>
      <c r="AJ1648" s="12"/>
      <c r="AK1648" s="12" t="s">
        <v>90</v>
      </c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  <c r="BP1648" s="12"/>
      <c r="BQ1648" s="12"/>
      <c r="BR1648" s="12"/>
    </row>
    <row r="1649" spans="1:70">
      <c r="A1649" s="13" t="s">
        <v>12919</v>
      </c>
      <c r="B1649" s="12" t="str">
        <f t="shared" si="305"/>
        <v>SMUTS</v>
      </c>
      <c r="C1649" s="12" t="str">
        <f t="shared" si="306"/>
        <v>SMUTS</v>
      </c>
      <c r="D1649" s="12" t="s">
        <v>12924</v>
      </c>
      <c r="E1649" s="12" t="str">
        <f t="shared" si="316"/>
        <v>Tobias</v>
      </c>
      <c r="F1649" s="12" t="s">
        <v>12925</v>
      </c>
      <c r="G1649" s="12" t="str">
        <f t="shared" si="307"/>
        <v>a1b1c1d4e8f10</v>
      </c>
      <c r="H1649" s="12" t="str">
        <f t="shared" si="308"/>
        <v>SMUTSa1b1c1d4e8f10</v>
      </c>
      <c r="I1649" s="12"/>
      <c r="J1649" s="12" t="s">
        <v>12926</v>
      </c>
      <c r="K1649" s="12" t="str">
        <f t="shared" si="309"/>
        <v>1821</v>
      </c>
      <c r="L1649" s="12" t="s">
        <v>6098</v>
      </c>
      <c r="M1649" s="12" t="s">
        <v>2603</v>
      </c>
      <c r="N1649" s="12" t="str">
        <f t="shared" si="314"/>
        <v>1821</v>
      </c>
      <c r="O1649" s="12" t="str">
        <f t="shared" si="315"/>
        <v>1821</v>
      </c>
      <c r="P1649" s="12"/>
      <c r="Q1649" s="12" t="str">
        <f t="shared" si="310"/>
        <v>1821</v>
      </c>
      <c r="R1649" s="12"/>
      <c r="S1649" s="12" t="str">
        <f t="shared" si="311"/>
        <v/>
      </c>
      <c r="T1649" s="12"/>
      <c r="U1649" s="12"/>
      <c r="V1649" s="12" t="str">
        <f t="shared" si="312"/>
        <v/>
      </c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 t="s">
        <v>2030</v>
      </c>
      <c r="AI1649" s="12" t="str">
        <f t="shared" si="313"/>
        <v>1845</v>
      </c>
      <c r="AJ1649" s="12"/>
      <c r="AK1649" s="12" t="s">
        <v>155</v>
      </c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  <c r="BO1649" s="12"/>
      <c r="BP1649" s="12"/>
      <c r="BQ1649" s="12"/>
      <c r="BR1649" s="12"/>
    </row>
    <row r="1650" spans="1:70">
      <c r="A1650" s="13" t="s">
        <v>702</v>
      </c>
      <c r="B1650" s="12" t="str">
        <f t="shared" si="305"/>
        <v>SNYDERS</v>
      </c>
      <c r="C1650" s="12" t="str">
        <f t="shared" si="306"/>
        <v>SNYDERS</v>
      </c>
      <c r="D1650" s="12" t="s">
        <v>1284</v>
      </c>
      <c r="E1650" s="12" t="str">
        <f t="shared" si="316"/>
        <v>Johannes Hendrik</v>
      </c>
      <c r="F1650" s="12" t="s">
        <v>12934</v>
      </c>
      <c r="G1650" s="12" t="str">
        <f t="shared" si="307"/>
        <v>a1b8c2</v>
      </c>
      <c r="H1650" s="12" t="str">
        <f t="shared" si="308"/>
        <v>SNYDERSa1b8c2</v>
      </c>
      <c r="I1650" s="12"/>
      <c r="J1650" s="12" t="s">
        <v>12935</v>
      </c>
      <c r="K1650" s="12" t="str">
        <f t="shared" si="309"/>
        <v>1788</v>
      </c>
      <c r="L1650" s="12"/>
      <c r="M1650" s="12" t="s">
        <v>12936</v>
      </c>
      <c r="N1650" s="12" t="str">
        <f t="shared" si="314"/>
        <v>1788</v>
      </c>
      <c r="O1650" s="12" t="str">
        <f t="shared" si="315"/>
        <v>1789</v>
      </c>
      <c r="P1650" s="12"/>
      <c r="Q1650" s="12" t="str">
        <f t="shared" si="310"/>
        <v>1788</v>
      </c>
      <c r="R1650" s="12" t="s">
        <v>12937</v>
      </c>
      <c r="S1650" s="12" t="str">
        <f t="shared" si="311"/>
        <v>1852</v>
      </c>
      <c r="T1650" s="12" t="s">
        <v>542</v>
      </c>
      <c r="U1650" s="12" t="s">
        <v>12938</v>
      </c>
      <c r="V1650" s="12" t="str">
        <f t="shared" si="312"/>
        <v>1815</v>
      </c>
      <c r="W1650" s="12" t="s">
        <v>7053</v>
      </c>
      <c r="X1650" s="12" t="s">
        <v>1763</v>
      </c>
      <c r="Y1650" s="12"/>
      <c r="Z1650" s="12"/>
      <c r="AA1650" s="12"/>
      <c r="AB1650" s="12"/>
      <c r="AC1650" s="12"/>
      <c r="AD1650" s="12"/>
      <c r="AE1650" s="12"/>
      <c r="AF1650" s="12" t="s">
        <v>3703</v>
      </c>
      <c r="AG1650" s="12" t="s">
        <v>366</v>
      </c>
      <c r="AH1650" s="12" t="s">
        <v>12933</v>
      </c>
      <c r="AI1650" s="12" t="str">
        <f t="shared" si="313"/>
        <v>1837</v>
      </c>
      <c r="AJ1650" s="12" t="s">
        <v>413</v>
      </c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  <c r="BP1650" s="12"/>
      <c r="BQ1650" s="12"/>
      <c r="BR1650" s="12"/>
    </row>
    <row r="1651" spans="1:70">
      <c r="A1651" s="13" t="s">
        <v>702</v>
      </c>
      <c r="B1651" s="12" t="str">
        <f t="shared" ref="B1651:B1714" si="317">SUBSTITUTE(A1651," ","")</f>
        <v>SNYDERS</v>
      </c>
      <c r="C1651" s="12" t="str">
        <f t="shared" ref="C1651:C1714" si="318">TRIM(A1651)</f>
        <v>SNYDERS</v>
      </c>
      <c r="D1651" s="12" t="s">
        <v>12927</v>
      </c>
      <c r="E1651" s="12" t="str">
        <f t="shared" si="316"/>
        <v>Gerrit Christoffel</v>
      </c>
      <c r="F1651" s="12" t="s">
        <v>12928</v>
      </c>
      <c r="G1651" s="12" t="str">
        <f t="shared" ref="G1651:G1714" si="319">IF(LEFT(F1651,1)="b","a1"&amp;F1651,F1651)</f>
        <v>a1b8c3</v>
      </c>
      <c r="H1651" s="12" t="str">
        <f t="shared" ref="H1651:H1714" si="320">C1651&amp;G1651</f>
        <v>SNYDERSa1b8c3</v>
      </c>
      <c r="I1651" s="12"/>
      <c r="J1651" s="12" t="s">
        <v>12929</v>
      </c>
      <c r="K1651" s="12" t="str">
        <f t="shared" ref="K1651:K1714" si="321">RIGHT(J1651,4)</f>
        <v>1791</v>
      </c>
      <c r="L1651" s="12" t="s">
        <v>542</v>
      </c>
      <c r="M1651" s="12" t="s">
        <v>12930</v>
      </c>
      <c r="N1651" s="12" t="str">
        <f t="shared" si="314"/>
        <v>1791</v>
      </c>
      <c r="O1651" s="12" t="str">
        <f t="shared" si="315"/>
        <v>1791</v>
      </c>
      <c r="P1651" s="12" t="s">
        <v>31</v>
      </c>
      <c r="Q1651" s="12" t="str">
        <f t="shared" ref="Q1651:Q1714" si="322">IF(N1651="",O1651,N1651)</f>
        <v>1791</v>
      </c>
      <c r="R1651" s="12" t="s">
        <v>12931</v>
      </c>
      <c r="S1651" s="12" t="str">
        <f t="shared" ref="S1651:S1714" si="323">RIGHT(R1651,4)</f>
        <v>1855</v>
      </c>
      <c r="T1651" s="12" t="s">
        <v>542</v>
      </c>
      <c r="U1651" s="12" t="s">
        <v>12932</v>
      </c>
      <c r="V1651" s="12" t="str">
        <f t="shared" ref="V1651:V1714" si="324">RIGHT(U1651,4)</f>
        <v>1816</v>
      </c>
      <c r="W1651" s="12" t="s">
        <v>820</v>
      </c>
      <c r="X1651" s="12" t="s">
        <v>1763</v>
      </c>
      <c r="Y1651" s="12"/>
      <c r="Z1651" s="12"/>
      <c r="AA1651" s="12"/>
      <c r="AB1651" s="12"/>
      <c r="AC1651" s="12"/>
      <c r="AD1651" s="12"/>
      <c r="AE1651" s="12"/>
      <c r="AF1651" s="12" t="s">
        <v>3703</v>
      </c>
      <c r="AG1651" s="12" t="s">
        <v>366</v>
      </c>
      <c r="AH1651" s="12" t="s">
        <v>12933</v>
      </c>
      <c r="AI1651" s="12" t="str">
        <f t="shared" ref="AI1651:AI1714" si="325">RIGHT(AH1651,4)</f>
        <v>1837</v>
      </c>
      <c r="AJ1651" s="12" t="s">
        <v>413</v>
      </c>
      <c r="AK1651" s="12"/>
      <c r="AL1651" s="12"/>
      <c r="AM1651" s="12"/>
      <c r="AN1651" s="12" t="s">
        <v>1307</v>
      </c>
      <c r="AO1651" s="12" t="s">
        <v>778</v>
      </c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  <c r="BO1651" s="12"/>
      <c r="BP1651" s="12"/>
      <c r="BQ1651" s="12"/>
      <c r="BR1651" s="12"/>
    </row>
    <row r="1652" spans="1:70">
      <c r="A1652" s="13" t="s">
        <v>702</v>
      </c>
      <c r="B1652" s="12" t="str">
        <f t="shared" si="317"/>
        <v>SNYDERS</v>
      </c>
      <c r="C1652" s="12" t="str">
        <f t="shared" si="318"/>
        <v>SNYDERS</v>
      </c>
      <c r="D1652" s="12" t="s">
        <v>175</v>
      </c>
      <c r="E1652" s="12" t="str">
        <f t="shared" si="316"/>
        <v>Petrus Jacobus</v>
      </c>
      <c r="F1652" s="12" t="s">
        <v>7942</v>
      </c>
      <c r="G1652" s="12" t="str">
        <f t="shared" si="319"/>
        <v>a1b8c4</v>
      </c>
      <c r="H1652" s="12" t="str">
        <f t="shared" si="320"/>
        <v>SNYDERSa1b8c4</v>
      </c>
      <c r="I1652" s="12"/>
      <c r="J1652" s="12"/>
      <c r="K1652" s="12" t="str">
        <f t="shared" si="321"/>
        <v/>
      </c>
      <c r="L1652" s="12"/>
      <c r="M1652" s="12" t="s">
        <v>3547</v>
      </c>
      <c r="N1652" s="12" t="str">
        <f t="shared" si="314"/>
        <v/>
      </c>
      <c r="O1652" s="12" t="str">
        <f t="shared" si="315"/>
        <v>1796</v>
      </c>
      <c r="P1652" s="12"/>
      <c r="Q1652" s="12" t="str">
        <f t="shared" si="322"/>
        <v>1796</v>
      </c>
      <c r="R1652" s="12"/>
      <c r="S1652" s="12" t="str">
        <f t="shared" si="323"/>
        <v/>
      </c>
      <c r="T1652" s="12"/>
      <c r="U1652" s="12"/>
      <c r="V1652" s="12" t="str">
        <f t="shared" si="324"/>
        <v/>
      </c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 t="s">
        <v>3703</v>
      </c>
      <c r="AG1652" s="12" t="s">
        <v>366</v>
      </c>
      <c r="AH1652" s="12" t="s">
        <v>12933</v>
      </c>
      <c r="AI1652" s="12" t="str">
        <f t="shared" si="325"/>
        <v>1837</v>
      </c>
      <c r="AJ1652" s="12" t="s">
        <v>413</v>
      </c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  <c r="BP1652" s="12"/>
      <c r="BQ1652" s="12"/>
      <c r="BR1652" s="12"/>
    </row>
    <row r="1653" spans="1:70">
      <c r="A1653" s="13" t="s">
        <v>702</v>
      </c>
      <c r="B1653" s="12" t="str">
        <f t="shared" si="317"/>
        <v>SNYDERS</v>
      </c>
      <c r="C1653" s="12" t="str">
        <f t="shared" si="318"/>
        <v>SNYDERS</v>
      </c>
      <c r="D1653" s="12" t="s">
        <v>5643</v>
      </c>
      <c r="E1653" s="12" t="str">
        <f t="shared" si="316"/>
        <v>Petrus Casparus</v>
      </c>
      <c r="F1653" s="12" t="s">
        <v>12939</v>
      </c>
      <c r="G1653" s="12" t="str">
        <f t="shared" si="319"/>
        <v>a1b8c6d2</v>
      </c>
      <c r="H1653" s="12" t="str">
        <f t="shared" si="320"/>
        <v>SNYDERSa1b8c6d2</v>
      </c>
      <c r="I1653" s="12"/>
      <c r="J1653" s="12" t="s">
        <v>12940</v>
      </c>
      <c r="K1653" s="12" t="str">
        <f t="shared" si="321"/>
        <v>1825</v>
      </c>
      <c r="L1653" s="12" t="s">
        <v>366</v>
      </c>
      <c r="M1653" s="12" t="s">
        <v>12941</v>
      </c>
      <c r="N1653" s="12" t="str">
        <f t="shared" si="314"/>
        <v>1825</v>
      </c>
      <c r="O1653" s="12" t="str">
        <f t="shared" si="315"/>
        <v>1826</v>
      </c>
      <c r="P1653" s="12"/>
      <c r="Q1653" s="12" t="str">
        <f t="shared" si="322"/>
        <v>1825</v>
      </c>
      <c r="R1653" s="12"/>
      <c r="S1653" s="12" t="str">
        <f t="shared" si="323"/>
        <v/>
      </c>
      <c r="T1653" s="12"/>
      <c r="U1653" s="12"/>
      <c r="V1653" s="12" t="str">
        <f t="shared" si="324"/>
        <v/>
      </c>
      <c r="W1653" s="12" t="s">
        <v>4870</v>
      </c>
      <c r="X1653" s="12" t="s">
        <v>2136</v>
      </c>
      <c r="Y1653" s="12"/>
      <c r="Z1653" s="12"/>
      <c r="AA1653" s="12"/>
      <c r="AB1653" s="12"/>
      <c r="AC1653" s="12"/>
      <c r="AD1653" s="12"/>
      <c r="AE1653" s="12"/>
      <c r="AF1653" s="12" t="s">
        <v>3703</v>
      </c>
      <c r="AG1653" s="12" t="s">
        <v>366</v>
      </c>
      <c r="AH1653" s="12" t="s">
        <v>12933</v>
      </c>
      <c r="AI1653" s="12" t="str">
        <f t="shared" si="325"/>
        <v>1837</v>
      </c>
      <c r="AJ1653" s="12" t="s">
        <v>413</v>
      </c>
      <c r="AK1653" s="12" t="s">
        <v>972</v>
      </c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  <c r="BO1653" s="12"/>
      <c r="BP1653" s="12"/>
      <c r="BQ1653" s="12"/>
      <c r="BR1653" s="12"/>
    </row>
    <row r="1654" spans="1:70">
      <c r="A1654" s="13" t="s">
        <v>661</v>
      </c>
      <c r="B1654" s="12" t="str">
        <f t="shared" si="317"/>
        <v>SNYMAN</v>
      </c>
      <c r="C1654" s="12" t="str">
        <f t="shared" si="318"/>
        <v>SNYMAN</v>
      </c>
      <c r="D1654" s="12" t="s">
        <v>7190</v>
      </c>
      <c r="E1654" s="12" t="str">
        <f t="shared" si="316"/>
        <v>David Benjamin</v>
      </c>
      <c r="F1654" s="12" t="s">
        <v>12956</v>
      </c>
      <c r="G1654" s="12" t="str">
        <f t="shared" si="319"/>
        <v xml:space="preserve">a1b7c1d4e6 </v>
      </c>
      <c r="H1654" s="12" t="str">
        <f t="shared" si="320"/>
        <v xml:space="preserve">SNYMANa1b7c1d4e6 </v>
      </c>
      <c r="I1654" s="12"/>
      <c r="J1654" s="12"/>
      <c r="K1654" s="12" t="str">
        <f t="shared" si="321"/>
        <v/>
      </c>
      <c r="L1654" s="12"/>
      <c r="M1654" s="12" t="s">
        <v>382</v>
      </c>
      <c r="N1654" s="12" t="str">
        <f t="shared" si="314"/>
        <v/>
      </c>
      <c r="O1654" s="12" t="str">
        <f t="shared" si="315"/>
        <v>1798</v>
      </c>
      <c r="P1654" s="12"/>
      <c r="Q1654" s="12" t="str">
        <f t="shared" si="322"/>
        <v>1798</v>
      </c>
      <c r="R1654" s="12"/>
      <c r="S1654" s="12" t="str">
        <f t="shared" si="323"/>
        <v/>
      </c>
      <c r="T1654" s="12" t="s">
        <v>74</v>
      </c>
      <c r="U1654" s="12" t="s">
        <v>12957</v>
      </c>
      <c r="V1654" s="12" t="str">
        <f t="shared" si="324"/>
        <v>1817</v>
      </c>
      <c r="W1654" s="12" t="s">
        <v>2066</v>
      </c>
      <c r="X1654" s="12" t="s">
        <v>4553</v>
      </c>
      <c r="Y1654" s="12"/>
      <c r="Z1654" s="12"/>
      <c r="AA1654" s="12"/>
      <c r="AB1654" s="12" t="s">
        <v>32</v>
      </c>
      <c r="AC1654" s="12" t="s">
        <v>6353</v>
      </c>
      <c r="AD1654" s="12"/>
      <c r="AE1654" s="12"/>
      <c r="AF1654" s="12" t="s">
        <v>3699</v>
      </c>
      <c r="AG1654" s="12" t="s">
        <v>68</v>
      </c>
      <c r="AH1654" s="12" t="s">
        <v>12621</v>
      </c>
      <c r="AI1654" s="12" t="str">
        <f t="shared" si="325"/>
        <v>1836</v>
      </c>
      <c r="AJ1654" s="12" t="s">
        <v>379</v>
      </c>
      <c r="AK1654" s="12" t="s">
        <v>155</v>
      </c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  <c r="BP1654" s="12"/>
      <c r="BQ1654" s="12"/>
      <c r="BR1654" s="12"/>
    </row>
    <row r="1655" spans="1:70">
      <c r="A1655" s="13" t="s">
        <v>661</v>
      </c>
      <c r="B1655" s="12" t="str">
        <f t="shared" si="317"/>
        <v>SNYMAN</v>
      </c>
      <c r="C1655" s="12" t="str">
        <f t="shared" si="318"/>
        <v>SNYMAN</v>
      </c>
      <c r="D1655" s="12" t="s">
        <v>12949</v>
      </c>
      <c r="E1655" s="12" t="str">
        <f t="shared" si="316"/>
        <v>Christoffel Jacobus Johannes</v>
      </c>
      <c r="F1655" s="12" t="s">
        <v>12950</v>
      </c>
      <c r="G1655" s="12" t="str">
        <f t="shared" si="319"/>
        <v>a1b7c1d4e6f1</v>
      </c>
      <c r="H1655" s="12" t="str">
        <f t="shared" si="320"/>
        <v>SNYMANa1b7c1d4e6f1</v>
      </c>
      <c r="I1655" s="12"/>
      <c r="J1655" s="12" t="s">
        <v>12951</v>
      </c>
      <c r="K1655" s="12" t="str">
        <f t="shared" si="321"/>
        <v>1818</v>
      </c>
      <c r="L1655" s="12" t="s">
        <v>74</v>
      </c>
      <c r="M1655" s="12" t="s">
        <v>12952</v>
      </c>
      <c r="N1655" s="12" t="str">
        <f t="shared" si="314"/>
        <v>1818</v>
      </c>
      <c r="O1655" s="12" t="str">
        <f t="shared" si="315"/>
        <v>1818</v>
      </c>
      <c r="P1655" s="12"/>
      <c r="Q1655" s="12" t="str">
        <f t="shared" si="322"/>
        <v>1818</v>
      </c>
      <c r="R1655" s="12"/>
      <c r="S1655" s="12" t="str">
        <f t="shared" si="323"/>
        <v/>
      </c>
      <c r="T1655" s="12" t="s">
        <v>168</v>
      </c>
      <c r="U1655" s="12" t="s">
        <v>12953</v>
      </c>
      <c r="V1655" s="12" t="str">
        <f t="shared" si="324"/>
        <v>1840</v>
      </c>
      <c r="W1655" s="12" t="s">
        <v>12954</v>
      </c>
      <c r="X1655" s="12" t="s">
        <v>1453</v>
      </c>
      <c r="Y1655" s="12"/>
      <c r="Z1655" s="12"/>
      <c r="AA1655" s="12"/>
      <c r="AB1655" s="12"/>
      <c r="AC1655" s="12"/>
      <c r="AD1655" s="12"/>
      <c r="AE1655" s="12"/>
      <c r="AF1655" s="12" t="s">
        <v>3699</v>
      </c>
      <c r="AG1655" s="12" t="s">
        <v>68</v>
      </c>
      <c r="AH1655" s="12" t="s">
        <v>12955</v>
      </c>
      <c r="AI1655" s="12" t="str">
        <f t="shared" si="325"/>
        <v>1840</v>
      </c>
      <c r="AJ1655" s="12" t="s">
        <v>379</v>
      </c>
      <c r="AK1655" s="12" t="s">
        <v>155</v>
      </c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  <c r="BP1655" s="12"/>
      <c r="BQ1655" s="12"/>
      <c r="BR1655" s="12"/>
    </row>
    <row r="1656" spans="1:70">
      <c r="A1656" s="13" t="s">
        <v>661</v>
      </c>
      <c r="B1656" s="12" t="str">
        <f t="shared" si="317"/>
        <v>SNYMAN</v>
      </c>
      <c r="C1656" s="12" t="str">
        <f t="shared" si="318"/>
        <v>SNYMAN</v>
      </c>
      <c r="D1656" s="12" t="s">
        <v>418</v>
      </c>
      <c r="E1656" s="12" t="str">
        <f t="shared" si="316"/>
        <v>Frederik Jacobus</v>
      </c>
      <c r="F1656" s="12" t="s">
        <v>12958</v>
      </c>
      <c r="G1656" s="12" t="str">
        <f t="shared" si="319"/>
        <v>a1b7c1d4e6f3</v>
      </c>
      <c r="H1656" s="12" t="str">
        <f t="shared" si="320"/>
        <v>SNYMANa1b7c1d4e6f3</v>
      </c>
      <c r="I1656" s="12"/>
      <c r="J1656" s="12" t="s">
        <v>12959</v>
      </c>
      <c r="K1656" s="12" t="str">
        <f t="shared" si="321"/>
        <v>1821</v>
      </c>
      <c r="L1656" s="12" t="s">
        <v>74</v>
      </c>
      <c r="M1656" s="12" t="s">
        <v>4369</v>
      </c>
      <c r="N1656" s="12" t="str">
        <f t="shared" si="314"/>
        <v>1821</v>
      </c>
      <c r="O1656" s="12" t="str">
        <f t="shared" si="315"/>
        <v>1821</v>
      </c>
      <c r="P1656" s="12"/>
      <c r="Q1656" s="12" t="str">
        <f t="shared" si="322"/>
        <v>1821</v>
      </c>
      <c r="R1656" s="12"/>
      <c r="S1656" s="12" t="str">
        <f t="shared" si="323"/>
        <v/>
      </c>
      <c r="T1656" s="12"/>
      <c r="U1656" s="12"/>
      <c r="V1656" s="12" t="str">
        <f t="shared" si="324"/>
        <v/>
      </c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 t="s">
        <v>3699</v>
      </c>
      <c r="AG1656" s="12" t="s">
        <v>68</v>
      </c>
      <c r="AH1656" s="12" t="s">
        <v>12621</v>
      </c>
      <c r="AI1656" s="12" t="str">
        <f t="shared" si="325"/>
        <v>1836</v>
      </c>
      <c r="AJ1656" s="12" t="s">
        <v>379</v>
      </c>
      <c r="AK1656" s="12" t="s">
        <v>155</v>
      </c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  <c r="BP1656" s="12"/>
      <c r="BQ1656" s="12"/>
      <c r="BR1656" s="12"/>
    </row>
    <row r="1657" spans="1:70">
      <c r="A1657" s="13" t="s">
        <v>661</v>
      </c>
      <c r="B1657" s="12" t="str">
        <f t="shared" si="317"/>
        <v>SNYMAN</v>
      </c>
      <c r="C1657" s="12" t="str">
        <f t="shared" si="318"/>
        <v>SNYMAN</v>
      </c>
      <c r="D1657" s="12" t="s">
        <v>12982</v>
      </c>
      <c r="E1657" s="12" t="str">
        <f t="shared" si="316"/>
        <v>Nicolaas</v>
      </c>
      <c r="F1657" s="12" t="s">
        <v>12983</v>
      </c>
      <c r="G1657" s="12" t="str">
        <f t="shared" si="319"/>
        <v>a1b7c1d4e8</v>
      </c>
      <c r="H1657" s="12" t="str">
        <f t="shared" si="320"/>
        <v>SNYMANa1b7c1d4e8</v>
      </c>
      <c r="I1657" s="12"/>
      <c r="J1657" s="12"/>
      <c r="K1657" s="12" t="str">
        <f t="shared" si="321"/>
        <v/>
      </c>
      <c r="L1657" s="12"/>
      <c r="M1657" s="12" t="s">
        <v>12984</v>
      </c>
      <c r="N1657" s="12" t="str">
        <f t="shared" si="314"/>
        <v/>
      </c>
      <c r="O1657" s="12" t="str">
        <f t="shared" si="315"/>
        <v>1804</v>
      </c>
      <c r="P1657" s="12"/>
      <c r="Q1657" s="12" t="str">
        <f t="shared" si="322"/>
        <v>1804</v>
      </c>
      <c r="R1657" s="12"/>
      <c r="S1657" s="12" t="str">
        <f t="shared" si="323"/>
        <v/>
      </c>
      <c r="T1657" s="12" t="s">
        <v>28</v>
      </c>
      <c r="U1657" s="12" t="s">
        <v>2539</v>
      </c>
      <c r="V1657" s="12" t="str">
        <f t="shared" si="324"/>
        <v>1825</v>
      </c>
      <c r="W1657" s="12" t="s">
        <v>12985</v>
      </c>
      <c r="X1657" s="12" t="s">
        <v>730</v>
      </c>
      <c r="Y1657" s="12" t="s">
        <v>10865</v>
      </c>
      <c r="Z1657" s="12"/>
      <c r="AA1657" s="12"/>
      <c r="AB1657" s="12"/>
      <c r="AC1657" s="12" t="s">
        <v>3103</v>
      </c>
      <c r="AD1657" s="12" t="s">
        <v>9365</v>
      </c>
      <c r="AE1657" s="12"/>
      <c r="AF1657" s="12" t="s">
        <v>3719</v>
      </c>
      <c r="AG1657" s="12" t="s">
        <v>68</v>
      </c>
      <c r="AH1657" s="12" t="s">
        <v>12986</v>
      </c>
      <c r="AI1657" s="12" t="str">
        <f t="shared" si="325"/>
        <v>1843</v>
      </c>
      <c r="AJ1657" s="12"/>
      <c r="AK1657" s="12" t="s">
        <v>155</v>
      </c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  <c r="BP1657" s="12"/>
      <c r="BQ1657" s="12"/>
      <c r="BR1657" s="12"/>
    </row>
    <row r="1658" spans="1:70">
      <c r="A1658" s="13" t="s">
        <v>661</v>
      </c>
      <c r="B1658" s="12" t="str">
        <f t="shared" si="317"/>
        <v>SNYMAN</v>
      </c>
      <c r="C1658" s="12" t="str">
        <f t="shared" si="318"/>
        <v>SNYMAN</v>
      </c>
      <c r="D1658" s="12" t="s">
        <v>12987</v>
      </c>
      <c r="E1658" s="12" t="str">
        <f t="shared" si="316"/>
        <v>Theunis</v>
      </c>
      <c r="F1658" s="12" t="s">
        <v>12988</v>
      </c>
      <c r="G1658" s="12" t="str">
        <f t="shared" si="319"/>
        <v>a1b7c1d6e6</v>
      </c>
      <c r="H1658" s="12" t="str">
        <f t="shared" si="320"/>
        <v>SNYMANa1b7c1d6e6</v>
      </c>
      <c r="I1658" s="12"/>
      <c r="J1658" s="12"/>
      <c r="K1658" s="12" t="str">
        <f t="shared" si="321"/>
        <v/>
      </c>
      <c r="L1658" s="12"/>
      <c r="M1658" s="12" t="s">
        <v>12989</v>
      </c>
      <c r="N1658" s="12" t="str">
        <f t="shared" si="314"/>
        <v/>
      </c>
      <c r="O1658" s="12" t="str">
        <f t="shared" si="315"/>
        <v>1798</v>
      </c>
      <c r="P1658" s="12" t="s">
        <v>67</v>
      </c>
      <c r="Q1658" s="12" t="str">
        <f t="shared" si="322"/>
        <v>1798</v>
      </c>
      <c r="R1658" s="12">
        <v>1878</v>
      </c>
      <c r="S1658" s="12" t="str">
        <f t="shared" si="323"/>
        <v>1878</v>
      </c>
      <c r="T1658" s="12" t="s">
        <v>53</v>
      </c>
      <c r="U1658" s="12" t="s">
        <v>12990</v>
      </c>
      <c r="V1658" s="12" t="str">
        <f t="shared" si="324"/>
        <v>1820</v>
      </c>
      <c r="W1658" s="12" t="s">
        <v>12991</v>
      </c>
      <c r="X1658" s="12" t="s">
        <v>4393</v>
      </c>
      <c r="Y1658" s="12" t="s">
        <v>12992</v>
      </c>
      <c r="Z1658" s="12"/>
      <c r="AA1658" s="12"/>
      <c r="AB1658" s="12"/>
      <c r="AC1658" s="12" t="s">
        <v>12993</v>
      </c>
      <c r="AD1658" s="12" t="s">
        <v>67</v>
      </c>
      <c r="AE1658" s="12" t="s">
        <v>12994</v>
      </c>
      <c r="AF1658" s="12" t="s">
        <v>11340</v>
      </c>
      <c r="AG1658" s="12" t="s">
        <v>53</v>
      </c>
      <c r="AH1658" s="12" t="s">
        <v>385</v>
      </c>
      <c r="AI1658" s="12" t="str">
        <f t="shared" si="325"/>
        <v>1840</v>
      </c>
      <c r="AJ1658" s="12"/>
      <c r="AK1658" s="12" t="s">
        <v>155</v>
      </c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  <c r="BP1658" s="12"/>
      <c r="BQ1658" s="12"/>
      <c r="BR1658" s="12"/>
    </row>
    <row r="1659" spans="1:70">
      <c r="A1659" s="13" t="s">
        <v>661</v>
      </c>
      <c r="B1659" s="12" t="str">
        <f t="shared" si="317"/>
        <v>SNYMAN</v>
      </c>
      <c r="C1659" s="12" t="str">
        <f t="shared" si="318"/>
        <v>SNYMAN</v>
      </c>
      <c r="D1659" s="12" t="s">
        <v>1184</v>
      </c>
      <c r="E1659" s="12" t="str">
        <f t="shared" si="316"/>
        <v>Gerhardus</v>
      </c>
      <c r="F1659" s="12" t="s">
        <v>12960</v>
      </c>
      <c r="G1659" s="12" t="str">
        <f t="shared" si="319"/>
        <v>a1b7c1d6e7</v>
      </c>
      <c r="H1659" s="12" t="str">
        <f t="shared" si="320"/>
        <v>SNYMANa1b7c1d6e7</v>
      </c>
      <c r="I1659" s="12"/>
      <c r="J1659" s="12"/>
      <c r="K1659" s="12" t="str">
        <f t="shared" si="321"/>
        <v/>
      </c>
      <c r="L1659" s="12"/>
      <c r="M1659" s="12" t="s">
        <v>2380</v>
      </c>
      <c r="N1659" s="12" t="str">
        <f t="shared" si="314"/>
        <v/>
      </c>
      <c r="O1659" s="12" t="str">
        <f t="shared" si="315"/>
        <v>1800</v>
      </c>
      <c r="P1659" s="12"/>
      <c r="Q1659" s="12" t="str">
        <f t="shared" si="322"/>
        <v>1800</v>
      </c>
      <c r="R1659" s="12"/>
      <c r="S1659" s="12" t="str">
        <f t="shared" si="323"/>
        <v/>
      </c>
      <c r="T1659" s="12" t="s">
        <v>53</v>
      </c>
      <c r="U1659" s="12" t="s">
        <v>2734</v>
      </c>
      <c r="V1659" s="12" t="str">
        <f t="shared" si="324"/>
        <v>1822</v>
      </c>
      <c r="W1659" s="12" t="s">
        <v>1135</v>
      </c>
      <c r="X1659" s="12" t="s">
        <v>2757</v>
      </c>
      <c r="Y1659" s="12"/>
      <c r="Z1659" s="12"/>
      <c r="AA1659" s="12"/>
      <c r="AB1659" s="12"/>
      <c r="AC1659" s="12" t="s">
        <v>3806</v>
      </c>
      <c r="AD1659" s="12"/>
      <c r="AE1659" s="12"/>
      <c r="AF1659" s="12" t="s">
        <v>4785</v>
      </c>
      <c r="AG1659" s="12" t="s">
        <v>53</v>
      </c>
      <c r="AH1659" s="12" t="s">
        <v>5021</v>
      </c>
      <c r="AI1659" s="12" t="str">
        <f t="shared" si="325"/>
        <v>1842</v>
      </c>
      <c r="AJ1659" s="12"/>
      <c r="AK1659" s="12" t="s">
        <v>155</v>
      </c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  <c r="BP1659" s="12"/>
      <c r="BQ1659" s="12"/>
      <c r="BR1659" s="12"/>
    </row>
    <row r="1660" spans="1:70">
      <c r="A1660" s="13" t="s">
        <v>661</v>
      </c>
      <c r="B1660" s="12" t="str">
        <f t="shared" si="317"/>
        <v>SNYMAN</v>
      </c>
      <c r="C1660" s="12" t="str">
        <f t="shared" si="318"/>
        <v>SNYMAN</v>
      </c>
      <c r="D1660" s="12" t="s">
        <v>12927</v>
      </c>
      <c r="E1660" s="12" t="str">
        <f t="shared" si="316"/>
        <v>Gerrit Christoffel</v>
      </c>
      <c r="F1660" s="12" t="s">
        <v>12961</v>
      </c>
      <c r="G1660" s="12" t="str">
        <f t="shared" si="319"/>
        <v>a1b7c3d8e5</v>
      </c>
      <c r="H1660" s="12" t="str">
        <f t="shared" si="320"/>
        <v>SNYMANa1b7c3d8e5</v>
      </c>
      <c r="I1660" s="12"/>
      <c r="J1660" s="12" t="s">
        <v>1614</v>
      </c>
      <c r="K1660" s="12" t="str">
        <f t="shared" si="321"/>
        <v>1801</v>
      </c>
      <c r="L1660" s="12" t="s">
        <v>542</v>
      </c>
      <c r="M1660" s="12" t="s">
        <v>12962</v>
      </c>
      <c r="N1660" s="12" t="str">
        <f t="shared" si="314"/>
        <v>1801</v>
      </c>
      <c r="O1660" s="12" t="str">
        <f t="shared" si="315"/>
        <v>1802</v>
      </c>
      <c r="P1660" s="12" t="s">
        <v>4129</v>
      </c>
      <c r="Q1660" s="12" t="str">
        <f t="shared" si="322"/>
        <v>1801</v>
      </c>
      <c r="R1660" s="12" t="s">
        <v>12963</v>
      </c>
      <c r="S1660" s="12" t="str">
        <f t="shared" si="323"/>
        <v>1876</v>
      </c>
      <c r="T1660" s="12" t="s">
        <v>74</v>
      </c>
      <c r="U1660" s="12" t="s">
        <v>12964</v>
      </c>
      <c r="V1660" s="12" t="str">
        <f t="shared" si="324"/>
        <v>1820</v>
      </c>
      <c r="W1660" s="12" t="s">
        <v>806</v>
      </c>
      <c r="X1660" s="12" t="s">
        <v>266</v>
      </c>
      <c r="Y1660" s="12" t="s">
        <v>12965</v>
      </c>
      <c r="Z1660" s="12"/>
      <c r="AA1660" s="12"/>
      <c r="AB1660" s="12"/>
      <c r="AC1660" s="12" t="s">
        <v>92</v>
      </c>
      <c r="AD1660" s="12" t="s">
        <v>90</v>
      </c>
      <c r="AE1660" s="12" t="s">
        <v>12966</v>
      </c>
      <c r="AF1660" s="12"/>
      <c r="AG1660" s="12" t="s">
        <v>199</v>
      </c>
      <c r="AH1660" s="12" t="s">
        <v>12301</v>
      </c>
      <c r="AI1660" s="12" t="str">
        <f t="shared" si="325"/>
        <v>1837</v>
      </c>
      <c r="AJ1660" s="12" t="s">
        <v>5606</v>
      </c>
      <c r="AK1660" s="12"/>
      <c r="AL1660" s="12" t="s">
        <v>12967</v>
      </c>
      <c r="AM1660" s="12"/>
      <c r="AN1660" s="12" t="s">
        <v>12968</v>
      </c>
      <c r="AO1660" s="12" t="s">
        <v>2901</v>
      </c>
      <c r="AP1660" s="12"/>
      <c r="AQ1660" s="12"/>
      <c r="AR1660" s="12" t="s">
        <v>8229</v>
      </c>
      <c r="AS1660" s="12"/>
      <c r="AT1660" s="12"/>
      <c r="AU1660" s="12" t="s">
        <v>4129</v>
      </c>
      <c r="AV1660" s="12">
        <v>1892</v>
      </c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  <c r="BO1660" s="12"/>
      <c r="BP1660" s="12"/>
      <c r="BQ1660" s="12"/>
      <c r="BR1660" s="12"/>
    </row>
    <row r="1661" spans="1:70">
      <c r="A1661" s="13" t="s">
        <v>661</v>
      </c>
      <c r="B1661" s="12" t="str">
        <f t="shared" si="317"/>
        <v>SNYMAN</v>
      </c>
      <c r="C1661" s="12" t="str">
        <f t="shared" si="318"/>
        <v>SNYMAN</v>
      </c>
      <c r="D1661" s="12" t="s">
        <v>12978</v>
      </c>
      <c r="E1661" s="12" t="str">
        <f t="shared" si="316"/>
        <v>Johannes Hendrik Jacobus</v>
      </c>
      <c r="F1661" s="12" t="s">
        <v>12979</v>
      </c>
      <c r="G1661" s="12" t="str">
        <f t="shared" si="319"/>
        <v>a1b7c4d8e2</v>
      </c>
      <c r="H1661" s="12" t="str">
        <f t="shared" si="320"/>
        <v>SNYMANa1b7c4d8e2</v>
      </c>
      <c r="I1661" s="12"/>
      <c r="J1661" s="12"/>
      <c r="K1661" s="12" t="str">
        <f t="shared" si="321"/>
        <v/>
      </c>
      <c r="L1661" s="12"/>
      <c r="M1661" s="12" t="s">
        <v>12980</v>
      </c>
      <c r="N1661" s="12" t="str">
        <f t="shared" si="314"/>
        <v/>
      </c>
      <c r="O1661" s="12" t="str">
        <f t="shared" si="315"/>
        <v>1796</v>
      </c>
      <c r="P1661" s="12"/>
      <c r="Q1661" s="12" t="str">
        <f t="shared" si="322"/>
        <v>1796</v>
      </c>
      <c r="R1661" s="12"/>
      <c r="S1661" s="12" t="str">
        <f t="shared" si="323"/>
        <v/>
      </c>
      <c r="T1661" s="12" t="s">
        <v>199</v>
      </c>
      <c r="U1661" s="12" t="s">
        <v>962</v>
      </c>
      <c r="V1661" s="12" t="str">
        <f t="shared" si="324"/>
        <v>1817</v>
      </c>
      <c r="W1661" s="12" t="s">
        <v>4768</v>
      </c>
      <c r="X1661" s="12" t="s">
        <v>660</v>
      </c>
      <c r="Y1661" s="12" t="s">
        <v>7654</v>
      </c>
      <c r="Z1661" s="12"/>
      <c r="AA1661" s="12"/>
      <c r="AB1661" s="12"/>
      <c r="AC1661" s="12" t="s">
        <v>12827</v>
      </c>
      <c r="AD1661" s="12"/>
      <c r="AE1661" s="12"/>
      <c r="AF1661" s="12"/>
      <c r="AG1661" s="12"/>
      <c r="AH1661" s="12" t="s">
        <v>12981</v>
      </c>
      <c r="AI1661" s="12" t="str">
        <f t="shared" si="325"/>
        <v>1840</v>
      </c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  <c r="BO1661" s="12"/>
      <c r="BP1661" s="12"/>
      <c r="BQ1661" s="12"/>
      <c r="BR1661" s="12"/>
    </row>
    <row r="1662" spans="1:70">
      <c r="A1662" s="13" t="s">
        <v>661</v>
      </c>
      <c r="B1662" s="12" t="str">
        <f t="shared" si="317"/>
        <v>SNYMAN</v>
      </c>
      <c r="C1662" s="12" t="str">
        <f t="shared" si="318"/>
        <v>SNYMAN</v>
      </c>
      <c r="D1662" s="12" t="s">
        <v>12969</v>
      </c>
      <c r="E1662" s="12" t="str">
        <f t="shared" si="316"/>
        <v>Jacobus Philippus</v>
      </c>
      <c r="F1662" s="12" t="s">
        <v>12970</v>
      </c>
      <c r="G1662" s="12" t="str">
        <f t="shared" si="319"/>
        <v>a1b7c4d8e3</v>
      </c>
      <c r="H1662" s="12" t="str">
        <f t="shared" si="320"/>
        <v>SNYMANa1b7c4d8e3</v>
      </c>
      <c r="I1662" s="12"/>
      <c r="J1662" s="12" t="s">
        <v>12971</v>
      </c>
      <c r="K1662" s="12" t="str">
        <f t="shared" si="321"/>
        <v>1797</v>
      </c>
      <c r="L1662" s="12"/>
      <c r="M1662" s="12" t="s">
        <v>12972</v>
      </c>
      <c r="N1662" s="12" t="str">
        <f t="shared" si="314"/>
        <v>1797</v>
      </c>
      <c r="O1662" s="12" t="str">
        <f t="shared" si="315"/>
        <v>1798</v>
      </c>
      <c r="P1662" s="12" t="s">
        <v>4129</v>
      </c>
      <c r="Q1662" s="12" t="str">
        <f t="shared" si="322"/>
        <v>1797</v>
      </c>
      <c r="R1662" s="12" t="s">
        <v>12973</v>
      </c>
      <c r="S1662" s="12" t="str">
        <f t="shared" si="323"/>
        <v>1877</v>
      </c>
      <c r="T1662" s="12" t="s">
        <v>53</v>
      </c>
      <c r="U1662" s="12" t="s">
        <v>1117</v>
      </c>
      <c r="V1662" s="12" t="str">
        <f t="shared" si="324"/>
        <v>1818</v>
      </c>
      <c r="W1662" s="12" t="s">
        <v>12974</v>
      </c>
      <c r="X1662" s="12" t="s">
        <v>266</v>
      </c>
      <c r="Y1662" s="12" t="s">
        <v>12975</v>
      </c>
      <c r="Z1662" s="12"/>
      <c r="AA1662" s="12"/>
      <c r="AB1662" s="12"/>
      <c r="AC1662" s="12" t="s">
        <v>12976</v>
      </c>
      <c r="AD1662" s="12"/>
      <c r="AE1662" s="12"/>
      <c r="AF1662" s="12"/>
      <c r="AG1662" s="12" t="s">
        <v>53</v>
      </c>
      <c r="AH1662" s="12" t="s">
        <v>12977</v>
      </c>
      <c r="AI1662" s="12" t="str">
        <f t="shared" si="325"/>
        <v>1838</v>
      </c>
      <c r="AJ1662" s="12"/>
      <c r="AK1662" s="12" t="s">
        <v>4129</v>
      </c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  <c r="BO1662" s="12"/>
      <c r="BP1662" s="12"/>
      <c r="BQ1662" s="12"/>
      <c r="BR1662" s="12"/>
    </row>
    <row r="1663" spans="1:70">
      <c r="A1663" s="13" t="s">
        <v>661</v>
      </c>
      <c r="B1663" s="12" t="str">
        <f t="shared" si="317"/>
        <v>SNYMAN</v>
      </c>
      <c r="C1663" s="12" t="str">
        <f t="shared" si="318"/>
        <v>SNYMAN</v>
      </c>
      <c r="D1663" s="12" t="s">
        <v>12942</v>
      </c>
      <c r="E1663" s="12" t="str">
        <f t="shared" si="316"/>
        <v>Coenraad Frederik Wilhelmus Johannes</v>
      </c>
      <c r="F1663" s="12" t="s">
        <v>12943</v>
      </c>
      <c r="G1663" s="12" t="str">
        <f t="shared" si="319"/>
        <v>a1b7c4d9e7</v>
      </c>
      <c r="H1663" s="12" t="str">
        <f t="shared" si="320"/>
        <v>SNYMANa1b7c4d9e7</v>
      </c>
      <c r="I1663" s="12"/>
      <c r="J1663" s="12" t="s">
        <v>12944</v>
      </c>
      <c r="K1663" s="12" t="str">
        <f t="shared" si="321"/>
        <v>1813</v>
      </c>
      <c r="L1663" s="12"/>
      <c r="M1663" s="12" t="s">
        <v>12945</v>
      </c>
      <c r="N1663" s="12" t="str">
        <f t="shared" si="314"/>
        <v>1813</v>
      </c>
      <c r="O1663" s="12" t="str">
        <f t="shared" si="315"/>
        <v>1814</v>
      </c>
      <c r="P1663" s="12"/>
      <c r="Q1663" s="12" t="str">
        <f t="shared" si="322"/>
        <v>1813</v>
      </c>
      <c r="R1663" s="12"/>
      <c r="S1663" s="12" t="str">
        <f t="shared" si="323"/>
        <v/>
      </c>
      <c r="T1663" s="12" t="s">
        <v>28</v>
      </c>
      <c r="U1663" s="12" t="s">
        <v>384</v>
      </c>
      <c r="V1663" s="12" t="str">
        <f t="shared" si="324"/>
        <v>1832</v>
      </c>
      <c r="W1663" s="12" t="s">
        <v>692</v>
      </c>
      <c r="X1663" s="12" t="s">
        <v>1453</v>
      </c>
      <c r="Y1663" s="12" t="s">
        <v>12946</v>
      </c>
      <c r="Z1663" s="12"/>
      <c r="AA1663" s="12" t="s">
        <v>12947</v>
      </c>
      <c r="AB1663" s="12" t="s">
        <v>74</v>
      </c>
      <c r="AC1663" s="12" t="s">
        <v>1850</v>
      </c>
      <c r="AD1663" s="12"/>
      <c r="AE1663" s="12" t="s">
        <v>12948</v>
      </c>
      <c r="AF1663" s="12" t="s">
        <v>3699</v>
      </c>
      <c r="AG1663" s="12" t="s">
        <v>68</v>
      </c>
      <c r="AH1663" s="12" t="s">
        <v>12313</v>
      </c>
      <c r="AI1663" s="12" t="str">
        <f t="shared" si="325"/>
        <v>1837</v>
      </c>
      <c r="AJ1663" s="12" t="s">
        <v>277</v>
      </c>
      <c r="AK1663" s="12" t="s">
        <v>90</v>
      </c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  <c r="BO1663" s="12"/>
      <c r="BP1663" s="12"/>
      <c r="BQ1663" s="12"/>
      <c r="BR1663" s="12"/>
    </row>
    <row r="1664" spans="1:70">
      <c r="A1664" s="13" t="s">
        <v>11939</v>
      </c>
      <c r="B1664" s="12" t="str">
        <f t="shared" si="317"/>
        <v>SPANGENBERG</v>
      </c>
      <c r="C1664" s="12" t="str">
        <f t="shared" si="318"/>
        <v>SPANGENBERG</v>
      </c>
      <c r="D1664" s="12" t="s">
        <v>6783</v>
      </c>
      <c r="E1664" s="12" t="str">
        <f t="shared" si="316"/>
        <v>Marthinus David</v>
      </c>
      <c r="F1664" s="12" t="s">
        <v>12995</v>
      </c>
      <c r="G1664" s="12" t="str">
        <f t="shared" si="319"/>
        <v>a3b1c1d2</v>
      </c>
      <c r="H1664" s="12" t="str">
        <f t="shared" si="320"/>
        <v>SPANGENBERGa3b1c1d2</v>
      </c>
      <c r="I1664" s="12"/>
      <c r="J1664" s="12"/>
      <c r="K1664" s="12" t="str">
        <f t="shared" si="321"/>
        <v/>
      </c>
      <c r="L1664" s="12"/>
      <c r="M1664" s="12" t="s">
        <v>1049</v>
      </c>
      <c r="N1664" s="12" t="str">
        <f t="shared" si="314"/>
        <v/>
      </c>
      <c r="O1664" s="12" t="str">
        <f t="shared" si="315"/>
        <v>1801</v>
      </c>
      <c r="P1664" s="12"/>
      <c r="Q1664" s="12" t="str">
        <f t="shared" si="322"/>
        <v>1801</v>
      </c>
      <c r="R1664" s="12"/>
      <c r="S1664" s="12" t="str">
        <f t="shared" si="323"/>
        <v/>
      </c>
      <c r="T1664" s="12"/>
      <c r="U1664" s="12"/>
      <c r="V1664" s="12" t="str">
        <f t="shared" si="324"/>
        <v/>
      </c>
      <c r="W1664" s="12" t="s">
        <v>10164</v>
      </c>
      <c r="X1664" s="12" t="s">
        <v>637</v>
      </c>
      <c r="Y1664" s="12"/>
      <c r="Z1664" s="12"/>
      <c r="AA1664" s="12"/>
      <c r="AB1664" s="12"/>
      <c r="AC1664" s="12"/>
      <c r="AD1664" s="12"/>
      <c r="AE1664" s="12"/>
      <c r="AF1664" s="12" t="s">
        <v>11931</v>
      </c>
      <c r="AG1664" s="12" t="s">
        <v>3587</v>
      </c>
      <c r="AH1664" s="12" t="s">
        <v>12996</v>
      </c>
      <c r="AI1664" s="12" t="str">
        <f t="shared" si="325"/>
        <v>1838</v>
      </c>
      <c r="AJ1664" s="12"/>
      <c r="AK1664" s="12" t="s">
        <v>190</v>
      </c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  <c r="BP1664" s="12"/>
      <c r="BQ1664" s="12"/>
      <c r="BR1664" s="12"/>
    </row>
    <row r="1665" spans="1:70">
      <c r="A1665" s="13" t="s">
        <v>2944</v>
      </c>
      <c r="B1665" s="12" t="str">
        <f t="shared" si="317"/>
        <v>SPIES</v>
      </c>
      <c r="C1665" s="12" t="str">
        <f t="shared" si="318"/>
        <v>SPIES</v>
      </c>
      <c r="D1665" s="12" t="s">
        <v>12997</v>
      </c>
      <c r="E1665" s="12" t="str">
        <f t="shared" si="316"/>
        <v>Abraham Gerhardus</v>
      </c>
      <c r="F1665" s="12" t="s">
        <v>12998</v>
      </c>
      <c r="G1665" s="12" t="str">
        <f t="shared" si="319"/>
        <v>a1b2c11</v>
      </c>
      <c r="H1665" s="12" t="str">
        <f t="shared" si="320"/>
        <v>SPIESa1b2c11</v>
      </c>
      <c r="I1665" s="12"/>
      <c r="J1665" s="12" t="s">
        <v>12999</v>
      </c>
      <c r="K1665" s="12" t="str">
        <f t="shared" si="321"/>
        <v>1811</v>
      </c>
      <c r="L1665" s="12"/>
      <c r="M1665" s="12" t="s">
        <v>4477</v>
      </c>
      <c r="N1665" s="12" t="str">
        <f t="shared" si="314"/>
        <v>1811</v>
      </c>
      <c r="O1665" s="12" t="str">
        <f t="shared" si="315"/>
        <v>1812</v>
      </c>
      <c r="P1665" s="12"/>
      <c r="Q1665" s="12" t="str">
        <f t="shared" si="322"/>
        <v>1811</v>
      </c>
      <c r="R1665" s="12" t="s">
        <v>13000</v>
      </c>
      <c r="S1665" s="12" t="str">
        <f t="shared" si="323"/>
        <v>1890</v>
      </c>
      <c r="T1665" s="12" t="s">
        <v>32</v>
      </c>
      <c r="U1665" s="12" t="s">
        <v>5731</v>
      </c>
      <c r="V1665" s="12" t="str">
        <f t="shared" si="324"/>
        <v>1834</v>
      </c>
      <c r="W1665" s="12" t="s">
        <v>13001</v>
      </c>
      <c r="X1665" s="12" t="s">
        <v>2547</v>
      </c>
      <c r="Y1665" s="12"/>
      <c r="Z1665" s="12"/>
      <c r="AA1665" s="12" t="s">
        <v>7755</v>
      </c>
      <c r="AB1665" s="12"/>
      <c r="AC1665" s="12"/>
      <c r="AD1665" s="12"/>
      <c r="AE1665" s="12" t="s">
        <v>13002</v>
      </c>
      <c r="AF1665" s="12" t="s">
        <v>3711</v>
      </c>
      <c r="AG1665" s="12" t="s">
        <v>32</v>
      </c>
      <c r="AH1665" s="12" t="s">
        <v>13003</v>
      </c>
      <c r="AI1665" s="12" t="str">
        <f t="shared" si="325"/>
        <v>1842</v>
      </c>
      <c r="AJ1665" s="12" t="s">
        <v>12354</v>
      </c>
      <c r="AK1665" s="12" t="s">
        <v>90</v>
      </c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  <c r="BP1665" s="12"/>
      <c r="BQ1665" s="12"/>
      <c r="BR1665" s="12"/>
    </row>
    <row r="1666" spans="1:70">
      <c r="A1666" s="13" t="s">
        <v>2944</v>
      </c>
      <c r="B1666" s="12" t="str">
        <f t="shared" si="317"/>
        <v>SPIES</v>
      </c>
      <c r="C1666" s="12" t="str">
        <f t="shared" si="318"/>
        <v>SPIES</v>
      </c>
      <c r="D1666" s="12" t="s">
        <v>2982</v>
      </c>
      <c r="E1666" s="12" t="str">
        <f t="shared" si="316"/>
        <v>Lodewyk Petrus</v>
      </c>
      <c r="F1666" s="12" t="s">
        <v>1661</v>
      </c>
      <c r="G1666" s="12" t="str">
        <f t="shared" si="319"/>
        <v>a1b2c4</v>
      </c>
      <c r="H1666" s="12" t="str">
        <f t="shared" si="320"/>
        <v>SPIESa1b2c4</v>
      </c>
      <c r="I1666" s="12"/>
      <c r="J1666" s="12" t="s">
        <v>13018</v>
      </c>
      <c r="K1666" s="12" t="str">
        <f t="shared" si="321"/>
        <v>1796</v>
      </c>
      <c r="L1666" s="12"/>
      <c r="M1666" s="12" t="s">
        <v>13019</v>
      </c>
      <c r="N1666" s="12" t="str">
        <f t="shared" ref="N1666:N1729" si="326">RIGHT(J1666,4)</f>
        <v>1796</v>
      </c>
      <c r="O1666" s="12" t="str">
        <f t="shared" ref="O1666:O1729" si="327">RIGHT(M1666,4)</f>
        <v>1796</v>
      </c>
      <c r="P1666" s="12" t="s">
        <v>31</v>
      </c>
      <c r="Q1666" s="12" t="str">
        <f t="shared" si="322"/>
        <v>1796</v>
      </c>
      <c r="R1666" s="12" t="s">
        <v>13020</v>
      </c>
      <c r="S1666" s="12" t="str">
        <f t="shared" si="323"/>
        <v>1874</v>
      </c>
      <c r="T1666" s="12" t="s">
        <v>32</v>
      </c>
      <c r="U1666" s="12" t="s">
        <v>4075</v>
      </c>
      <c r="V1666" s="12" t="str">
        <f t="shared" si="324"/>
        <v>1820</v>
      </c>
      <c r="W1666" s="12" t="s">
        <v>9483</v>
      </c>
      <c r="X1666" s="12" t="s">
        <v>2394</v>
      </c>
      <c r="Y1666" s="12"/>
      <c r="Z1666" s="12"/>
      <c r="AA1666" s="12"/>
      <c r="AB1666" s="12"/>
      <c r="AC1666" s="12"/>
      <c r="AD1666" s="12"/>
      <c r="AE1666" s="12"/>
      <c r="AF1666" s="12" t="s">
        <v>13004</v>
      </c>
      <c r="AG1666" s="12" t="s">
        <v>32</v>
      </c>
      <c r="AH1666" s="12" t="s">
        <v>13021</v>
      </c>
      <c r="AI1666" s="12" t="str">
        <f t="shared" si="325"/>
        <v>1838</v>
      </c>
      <c r="AJ1666" s="12"/>
      <c r="AK1666" s="12" t="s">
        <v>60</v>
      </c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  <c r="BO1666" s="12"/>
      <c r="BP1666" s="12"/>
      <c r="BQ1666" s="12"/>
      <c r="BR1666" s="12"/>
    </row>
    <row r="1667" spans="1:70">
      <c r="A1667" s="13" t="s">
        <v>2944</v>
      </c>
      <c r="B1667" s="12" t="str">
        <f t="shared" si="317"/>
        <v>SPIES</v>
      </c>
      <c r="C1667" s="12" t="str">
        <f t="shared" si="318"/>
        <v>SPIES</v>
      </c>
      <c r="D1667" s="12" t="s">
        <v>3033</v>
      </c>
      <c r="E1667" s="12" t="str">
        <f t="shared" ref="E1667:E1730" si="328">PROPER(D1667)</f>
        <v>Barend Jacobus</v>
      </c>
      <c r="F1667" s="12" t="s">
        <v>1619</v>
      </c>
      <c r="G1667" s="12" t="str">
        <f t="shared" si="319"/>
        <v>a1b2c5</v>
      </c>
      <c r="H1667" s="12" t="str">
        <f t="shared" si="320"/>
        <v>SPIESa1b2c5</v>
      </c>
      <c r="I1667" s="12"/>
      <c r="J1667" s="12" t="s">
        <v>2247</v>
      </c>
      <c r="K1667" s="12" t="str">
        <f t="shared" si="321"/>
        <v>1798</v>
      </c>
      <c r="L1667" s="12"/>
      <c r="M1667" s="12" t="s">
        <v>13012</v>
      </c>
      <c r="N1667" s="12" t="str">
        <f t="shared" si="326"/>
        <v>1798</v>
      </c>
      <c r="O1667" s="12" t="str">
        <f t="shared" si="327"/>
        <v>1798</v>
      </c>
      <c r="P1667" s="12"/>
      <c r="Q1667" s="12" t="str">
        <f t="shared" si="322"/>
        <v>1798</v>
      </c>
      <c r="R1667" s="12"/>
      <c r="S1667" s="12" t="str">
        <f t="shared" si="323"/>
        <v/>
      </c>
      <c r="T1667" s="12" t="s">
        <v>32</v>
      </c>
      <c r="U1667" s="12" t="s">
        <v>3143</v>
      </c>
      <c r="V1667" s="12" t="str">
        <f t="shared" si="324"/>
        <v>1823</v>
      </c>
      <c r="W1667" s="12" t="s">
        <v>13013</v>
      </c>
      <c r="X1667" s="12" t="s">
        <v>640</v>
      </c>
      <c r="Y1667" s="12" t="s">
        <v>13014</v>
      </c>
      <c r="Z1667" s="12"/>
      <c r="AA1667" s="12" t="s">
        <v>13015</v>
      </c>
      <c r="AB1667" s="12"/>
      <c r="AC1667" s="12" t="s">
        <v>13016</v>
      </c>
      <c r="AD1667" s="12"/>
      <c r="AE1667" s="12"/>
      <c r="AF1667" s="12" t="s">
        <v>13004</v>
      </c>
      <c r="AG1667" s="12" t="s">
        <v>32</v>
      </c>
      <c r="AH1667" s="12" t="s">
        <v>13017</v>
      </c>
      <c r="AI1667" s="12" t="str">
        <f t="shared" si="325"/>
        <v>1838</v>
      </c>
      <c r="AJ1667" s="12"/>
      <c r="AK1667" s="12" t="s">
        <v>60</v>
      </c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  <c r="BP1667" s="12"/>
      <c r="BQ1667" s="12"/>
      <c r="BR1667" s="12"/>
    </row>
    <row r="1668" spans="1:70">
      <c r="A1668" s="13" t="s">
        <v>2944</v>
      </c>
      <c r="B1668" s="12" t="str">
        <f t="shared" si="317"/>
        <v>SPIES</v>
      </c>
      <c r="C1668" s="12" t="str">
        <f t="shared" si="318"/>
        <v>SPIES</v>
      </c>
      <c r="D1668" s="12" t="s">
        <v>13005</v>
      </c>
      <c r="E1668" s="12" t="str">
        <f t="shared" si="328"/>
        <v xml:space="preserve">Andries Theodorus </v>
      </c>
      <c r="F1668" s="12" t="s">
        <v>1672</v>
      </c>
      <c r="G1668" s="12" t="str">
        <f t="shared" si="319"/>
        <v>a1b2c6</v>
      </c>
      <c r="H1668" s="12" t="str">
        <f t="shared" si="320"/>
        <v>SPIESa1b2c6</v>
      </c>
      <c r="I1668" s="12" t="s">
        <v>32</v>
      </c>
      <c r="J1668" s="12" t="s">
        <v>13006</v>
      </c>
      <c r="K1668" s="12" t="str">
        <f t="shared" si="321"/>
        <v>1800</v>
      </c>
      <c r="L1668" s="12"/>
      <c r="M1668" s="12" t="s">
        <v>6325</v>
      </c>
      <c r="N1668" s="12" t="str">
        <f t="shared" si="326"/>
        <v>1800</v>
      </c>
      <c r="O1668" s="12" t="str">
        <f t="shared" si="327"/>
        <v>1800</v>
      </c>
      <c r="P1668" s="12" t="s">
        <v>90</v>
      </c>
      <c r="Q1668" s="12" t="str">
        <f t="shared" si="322"/>
        <v>1800</v>
      </c>
      <c r="R1668" s="12" t="s">
        <v>13007</v>
      </c>
      <c r="S1668" s="12" t="str">
        <f t="shared" si="323"/>
        <v>1889</v>
      </c>
      <c r="T1668" s="12" t="s">
        <v>32</v>
      </c>
      <c r="U1668" s="12" t="s">
        <v>10109</v>
      </c>
      <c r="V1668" s="12" t="str">
        <f t="shared" si="324"/>
        <v>1821</v>
      </c>
      <c r="W1668" s="12" t="s">
        <v>642</v>
      </c>
      <c r="X1668" s="12" t="s">
        <v>757</v>
      </c>
      <c r="Y1668" s="12"/>
      <c r="Z1668" s="12"/>
      <c r="AA1668" s="12" t="s">
        <v>13008</v>
      </c>
      <c r="AB1668" s="12"/>
      <c r="AC1668" s="12"/>
      <c r="AD1668" s="12"/>
      <c r="AE1668" s="12" t="s">
        <v>13009</v>
      </c>
      <c r="AF1668" s="12" t="s">
        <v>13004</v>
      </c>
      <c r="AG1668" s="12" t="s">
        <v>32</v>
      </c>
      <c r="AH1668" s="12">
        <v>1839</v>
      </c>
      <c r="AI1668" s="12" t="str">
        <f t="shared" si="325"/>
        <v>1839</v>
      </c>
      <c r="AJ1668" s="12"/>
      <c r="AK1668" s="12" t="s">
        <v>140</v>
      </c>
      <c r="AL1668" s="12"/>
      <c r="AM1668" s="12"/>
      <c r="AN1668" s="12" t="s">
        <v>4566</v>
      </c>
      <c r="AO1668" s="12" t="s">
        <v>775</v>
      </c>
      <c r="AP1668" s="12" t="s">
        <v>13010</v>
      </c>
      <c r="AQ1668" s="12"/>
      <c r="AR1668" s="12"/>
      <c r="AS1668" s="12"/>
      <c r="AT1668" s="12"/>
      <c r="AU1668" s="12"/>
      <c r="AV1668" s="12">
        <v>1869</v>
      </c>
      <c r="AW1668" s="12"/>
      <c r="AX1668" s="12" t="s">
        <v>13011</v>
      </c>
      <c r="AY1668" s="12" t="s">
        <v>680</v>
      </c>
      <c r="AZ1668" s="12" t="s">
        <v>6072</v>
      </c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  <c r="BP1668" s="12"/>
      <c r="BQ1668" s="12"/>
      <c r="BR1668" s="12"/>
    </row>
    <row r="1669" spans="1:70">
      <c r="A1669" s="13" t="s">
        <v>654</v>
      </c>
      <c r="B1669" s="12" t="str">
        <f t="shared" si="317"/>
        <v>SPRUYT</v>
      </c>
      <c r="C1669" s="12" t="str">
        <f t="shared" si="318"/>
        <v>SPRUYT</v>
      </c>
      <c r="D1669" s="12" t="s">
        <v>10829</v>
      </c>
      <c r="E1669" s="12" t="str">
        <f t="shared" si="328"/>
        <v>Jacobus Willem</v>
      </c>
      <c r="F1669" s="12" t="s">
        <v>4001</v>
      </c>
      <c r="G1669" s="12" t="str">
        <f t="shared" si="319"/>
        <v>a1b1c3</v>
      </c>
      <c r="H1669" s="12" t="str">
        <f t="shared" si="320"/>
        <v>SPRUYTa1b1c3</v>
      </c>
      <c r="I1669" s="12"/>
      <c r="J1669" s="12"/>
      <c r="K1669" s="12" t="str">
        <f t="shared" si="321"/>
        <v/>
      </c>
      <c r="L1669" s="12" t="s">
        <v>6098</v>
      </c>
      <c r="M1669" s="12" t="s">
        <v>13022</v>
      </c>
      <c r="N1669" s="12" t="str">
        <f t="shared" si="326"/>
        <v/>
      </c>
      <c r="O1669" s="12" t="str">
        <f t="shared" si="327"/>
        <v>1780</v>
      </c>
      <c r="P1669" s="12"/>
      <c r="Q1669" s="12" t="str">
        <f t="shared" si="322"/>
        <v>1780</v>
      </c>
      <c r="R1669" s="12"/>
      <c r="S1669" s="12" t="str">
        <f t="shared" si="323"/>
        <v/>
      </c>
      <c r="T1669" s="12" t="s">
        <v>542</v>
      </c>
      <c r="U1669" s="12" t="s">
        <v>13023</v>
      </c>
      <c r="V1669" s="12" t="str">
        <f t="shared" si="324"/>
        <v>1809</v>
      </c>
      <c r="W1669" s="12" t="s">
        <v>642</v>
      </c>
      <c r="X1669" s="12" t="s">
        <v>13024</v>
      </c>
      <c r="Y1669" s="12"/>
      <c r="Z1669" s="12"/>
      <c r="AA1669" s="12"/>
      <c r="AB1669" s="12"/>
      <c r="AC1669" s="12"/>
      <c r="AD1669" s="12"/>
      <c r="AE1669" s="12"/>
      <c r="AF1669" s="12" t="s">
        <v>3713</v>
      </c>
      <c r="AG1669" s="12" t="s">
        <v>74</v>
      </c>
      <c r="AH1669" s="12"/>
      <c r="AI1669" s="12" t="str">
        <f t="shared" si="325"/>
        <v/>
      </c>
      <c r="AJ1669" s="12"/>
      <c r="AK1669" s="12" t="s">
        <v>551</v>
      </c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  <c r="BP1669" s="12"/>
      <c r="BQ1669" s="12"/>
      <c r="BR1669" s="12"/>
    </row>
    <row r="1670" spans="1:70">
      <c r="A1670" s="13" t="s">
        <v>13025</v>
      </c>
      <c r="B1670" s="12" t="str">
        <f t="shared" si="317"/>
        <v>STANDER</v>
      </c>
      <c r="C1670" s="12" t="str">
        <f t="shared" si="318"/>
        <v>STANDER</v>
      </c>
      <c r="D1670" s="12" t="s">
        <v>13026</v>
      </c>
      <c r="E1670" s="12" t="str">
        <f t="shared" si="328"/>
        <v>Andriaan Hendricus</v>
      </c>
      <c r="F1670" s="12" t="s">
        <v>13027</v>
      </c>
      <c r="G1670" s="12" t="str">
        <f t="shared" si="319"/>
        <v>a1b8c5d1</v>
      </c>
      <c r="H1670" s="12" t="str">
        <f t="shared" si="320"/>
        <v>STANDERa1b8c5d1</v>
      </c>
      <c r="I1670" s="12" t="s">
        <v>199</v>
      </c>
      <c r="J1670" s="12" t="s">
        <v>13028</v>
      </c>
      <c r="K1670" s="12" t="str">
        <f t="shared" si="321"/>
        <v>1817</v>
      </c>
      <c r="L1670" s="12" t="s">
        <v>199</v>
      </c>
      <c r="M1670" s="12" t="s">
        <v>13029</v>
      </c>
      <c r="N1670" s="12" t="str">
        <f t="shared" si="326"/>
        <v>1817</v>
      </c>
      <c r="O1670" s="12" t="str">
        <f t="shared" si="327"/>
        <v>1817</v>
      </c>
      <c r="P1670" s="12" t="s">
        <v>4103</v>
      </c>
      <c r="Q1670" s="12" t="str">
        <f t="shared" si="322"/>
        <v>1817</v>
      </c>
      <c r="R1670" s="12" t="s">
        <v>13030</v>
      </c>
      <c r="S1670" s="12" t="str">
        <f t="shared" si="323"/>
        <v>1897</v>
      </c>
      <c r="T1670" s="12" t="s">
        <v>199</v>
      </c>
      <c r="U1670" s="12" t="s">
        <v>1981</v>
      </c>
      <c r="V1670" s="12" t="str">
        <f t="shared" si="324"/>
        <v>1836</v>
      </c>
      <c r="W1670" s="12" t="s">
        <v>2462</v>
      </c>
      <c r="X1670" s="12" t="s">
        <v>13031</v>
      </c>
      <c r="Y1670" s="12" t="s">
        <v>13032</v>
      </c>
      <c r="Z1670" s="12"/>
      <c r="AA1670" s="12"/>
      <c r="AB1670" s="12"/>
      <c r="AC1670" s="12"/>
      <c r="AD1670" s="12"/>
      <c r="AE1670" s="12"/>
      <c r="AF1670" s="12"/>
      <c r="AG1670" s="12" t="s">
        <v>199</v>
      </c>
      <c r="AH1670" s="12">
        <v>1839</v>
      </c>
      <c r="AI1670" s="12" t="str">
        <f t="shared" si="325"/>
        <v>1839</v>
      </c>
      <c r="AJ1670" s="12"/>
      <c r="AK1670" s="12" t="s">
        <v>4103</v>
      </c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  <c r="BP1670" s="12"/>
      <c r="BQ1670" s="12"/>
      <c r="BR1670" s="12"/>
    </row>
    <row r="1671" spans="1:70">
      <c r="A1671" s="18" t="s">
        <v>15790</v>
      </c>
      <c r="B1671" s="12" t="str">
        <f t="shared" si="317"/>
        <v>STEYNBERG</v>
      </c>
      <c r="C1671" s="12" t="str">
        <f t="shared" si="318"/>
        <v>STEYNBERG</v>
      </c>
      <c r="D1671" s="12" t="s">
        <v>13033</v>
      </c>
      <c r="E1671" s="12" t="str">
        <f t="shared" si="328"/>
        <v>Willem Federik</v>
      </c>
      <c r="F1671" s="12" t="s">
        <v>13034</v>
      </c>
      <c r="G1671" s="12" t="str">
        <f t="shared" si="319"/>
        <v>a1b11c2</v>
      </c>
      <c r="H1671" s="12" t="str">
        <f t="shared" si="320"/>
        <v>STEYNBERGa1b11c2</v>
      </c>
      <c r="I1671" s="12"/>
      <c r="J1671" s="12" t="s">
        <v>3830</v>
      </c>
      <c r="K1671" s="12" t="str">
        <f t="shared" si="321"/>
        <v>1804</v>
      </c>
      <c r="L1671" s="12"/>
      <c r="M1671" s="12"/>
      <c r="N1671" s="12" t="str">
        <f t="shared" si="326"/>
        <v>1804</v>
      </c>
      <c r="O1671" s="12" t="str">
        <f t="shared" si="327"/>
        <v/>
      </c>
      <c r="P1671" s="12"/>
      <c r="Q1671" s="12" t="str">
        <f t="shared" si="322"/>
        <v>1804</v>
      </c>
      <c r="R1671" s="12" t="s">
        <v>9762</v>
      </c>
      <c r="S1671" s="12" t="str">
        <f t="shared" si="323"/>
        <v>1890</v>
      </c>
      <c r="T1671" s="12" t="s">
        <v>74</v>
      </c>
      <c r="U1671" s="12" t="s">
        <v>13035</v>
      </c>
      <c r="V1671" s="12" t="str">
        <f t="shared" si="324"/>
        <v>1829</v>
      </c>
      <c r="W1671" s="12" t="s">
        <v>13036</v>
      </c>
      <c r="X1671" s="12" t="s">
        <v>295</v>
      </c>
      <c r="Y1671" s="12"/>
      <c r="Z1671" s="12"/>
      <c r="AA1671" s="12">
        <v>1810</v>
      </c>
      <c r="AB1671" s="12"/>
      <c r="AC1671" s="12"/>
      <c r="AD1671" s="12"/>
      <c r="AE1671" s="12" t="s">
        <v>13037</v>
      </c>
      <c r="AF1671" s="12"/>
      <c r="AG1671" s="12" t="s">
        <v>74</v>
      </c>
      <c r="AH1671" s="12" t="s">
        <v>5021</v>
      </c>
      <c r="AI1671" s="12" t="str">
        <f t="shared" si="325"/>
        <v>1842</v>
      </c>
      <c r="AJ1671" s="12"/>
      <c r="AK1671" s="12" t="s">
        <v>551</v>
      </c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  <c r="BP1671" s="12"/>
      <c r="BQ1671" s="12"/>
      <c r="BR1671" s="12"/>
    </row>
    <row r="1672" spans="1:70">
      <c r="A1672" s="13" t="s">
        <v>2026</v>
      </c>
      <c r="B1672" s="12" t="str">
        <f t="shared" si="317"/>
        <v>STEENKAMP</v>
      </c>
      <c r="C1672" s="12" t="str">
        <f t="shared" si="318"/>
        <v>STEENKAMP</v>
      </c>
      <c r="D1672" s="12" t="s">
        <v>13104</v>
      </c>
      <c r="E1672" s="12" t="str">
        <f t="shared" si="328"/>
        <v>Petrus Johannes Dirkse</v>
      </c>
      <c r="F1672" s="12" t="s">
        <v>13105</v>
      </c>
      <c r="G1672" s="12" t="str">
        <f t="shared" si="319"/>
        <v>a1b11c10d2</v>
      </c>
      <c r="H1672" s="12" t="str">
        <f t="shared" si="320"/>
        <v>STEENKAMPa1b11c10d2</v>
      </c>
      <c r="I1672" s="12"/>
      <c r="J1672" s="12" t="s">
        <v>9227</v>
      </c>
      <c r="K1672" s="12" t="str">
        <f t="shared" si="321"/>
        <v>1800</v>
      </c>
      <c r="L1672" s="12" t="s">
        <v>542</v>
      </c>
      <c r="M1672" s="12" t="s">
        <v>13106</v>
      </c>
      <c r="N1672" s="12" t="str">
        <f t="shared" si="326"/>
        <v>1800</v>
      </c>
      <c r="O1672" s="12" t="str">
        <f t="shared" si="327"/>
        <v>1800</v>
      </c>
      <c r="P1672" s="12" t="s">
        <v>134</v>
      </c>
      <c r="Q1672" s="12" t="str">
        <f t="shared" si="322"/>
        <v>1800</v>
      </c>
      <c r="R1672" s="12" t="s">
        <v>13107</v>
      </c>
      <c r="S1672" s="12" t="str">
        <f t="shared" si="323"/>
        <v>1871</v>
      </c>
      <c r="T1672" s="12" t="s">
        <v>6098</v>
      </c>
      <c r="U1672" s="12" t="s">
        <v>13108</v>
      </c>
      <c r="V1672" s="12" t="str">
        <f t="shared" si="324"/>
        <v>1824</v>
      </c>
      <c r="W1672" s="12" t="s">
        <v>693</v>
      </c>
      <c r="X1672" s="12" t="s">
        <v>2026</v>
      </c>
      <c r="Y1672" s="12" t="s">
        <v>8145</v>
      </c>
      <c r="Z1672" s="12"/>
      <c r="AA1672" s="12" t="s">
        <v>13109</v>
      </c>
      <c r="AB1672" s="12"/>
      <c r="AC1672" s="12"/>
      <c r="AD1672" s="12" t="s">
        <v>3387</v>
      </c>
      <c r="AE1672" s="12" t="s">
        <v>13110</v>
      </c>
      <c r="AF1672" s="12"/>
      <c r="AG1672" s="12" t="s">
        <v>3587</v>
      </c>
      <c r="AH1672" s="12" t="s">
        <v>13111</v>
      </c>
      <c r="AI1672" s="12" t="str">
        <f t="shared" si="325"/>
        <v>1841</v>
      </c>
      <c r="AJ1672" s="12"/>
      <c r="AK1672" s="12" t="s">
        <v>13112</v>
      </c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  <c r="BP1672" s="12"/>
      <c r="BQ1672" s="12"/>
      <c r="BR1672" s="12"/>
    </row>
    <row r="1673" spans="1:70">
      <c r="A1673" s="13" t="s">
        <v>2026</v>
      </c>
      <c r="B1673" s="12" t="str">
        <f t="shared" si="317"/>
        <v>STEENKAMP</v>
      </c>
      <c r="C1673" s="12" t="str">
        <f t="shared" si="318"/>
        <v>STEENKAMP</v>
      </c>
      <c r="D1673" s="12" t="s">
        <v>13038</v>
      </c>
      <c r="E1673" s="12" t="str">
        <f t="shared" si="328"/>
        <v>Albert Nicolaas</v>
      </c>
      <c r="F1673" s="12" t="s">
        <v>13039</v>
      </c>
      <c r="G1673" s="12" t="str">
        <f t="shared" si="319"/>
        <v>a1b11c4d14</v>
      </c>
      <c r="H1673" s="12" t="str">
        <f t="shared" si="320"/>
        <v>STEENKAMPa1b11c4d14</v>
      </c>
      <c r="I1673" s="12"/>
      <c r="J1673" s="12" t="s">
        <v>369</v>
      </c>
      <c r="K1673" s="12" t="str">
        <f t="shared" si="321"/>
        <v>1813</v>
      </c>
      <c r="L1673" s="12" t="s">
        <v>5738</v>
      </c>
      <c r="M1673" s="12" t="s">
        <v>13040</v>
      </c>
      <c r="N1673" s="12" t="str">
        <f t="shared" si="326"/>
        <v>1813</v>
      </c>
      <c r="O1673" s="12" t="str">
        <f t="shared" si="327"/>
        <v>1814</v>
      </c>
      <c r="P1673" s="12" t="s">
        <v>120</v>
      </c>
      <c r="Q1673" s="12" t="str">
        <f t="shared" si="322"/>
        <v>1813</v>
      </c>
      <c r="R1673" s="12" t="s">
        <v>13041</v>
      </c>
      <c r="S1673" s="12" t="str">
        <f t="shared" si="323"/>
        <v>1873</v>
      </c>
      <c r="T1673" s="12"/>
      <c r="U1673" s="12"/>
      <c r="V1673" s="12" t="str">
        <f t="shared" si="324"/>
        <v/>
      </c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 t="str">
        <f t="shared" si="325"/>
        <v/>
      </c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  <c r="BP1673" s="12"/>
      <c r="BQ1673" s="12"/>
      <c r="BR1673" s="12"/>
    </row>
    <row r="1674" spans="1:70">
      <c r="A1674" s="13" t="s">
        <v>2026</v>
      </c>
      <c r="B1674" s="12" t="str">
        <f t="shared" si="317"/>
        <v>STEENKAMP</v>
      </c>
      <c r="C1674" s="12" t="str">
        <f t="shared" si="318"/>
        <v>STEENKAMP</v>
      </c>
      <c r="D1674" s="12" t="s">
        <v>1464</v>
      </c>
      <c r="E1674" s="12" t="str">
        <f t="shared" si="328"/>
        <v>Willem</v>
      </c>
      <c r="F1674" s="12" t="s">
        <v>13132</v>
      </c>
      <c r="G1674" s="12" t="str">
        <f t="shared" si="319"/>
        <v>a1b12c8d4</v>
      </c>
      <c r="H1674" s="12" t="str">
        <f t="shared" si="320"/>
        <v>STEENKAMPa1b12c8d4</v>
      </c>
      <c r="I1674" s="12"/>
      <c r="J1674" s="12" t="s">
        <v>13133</v>
      </c>
      <c r="K1674" s="12" t="str">
        <f t="shared" si="321"/>
        <v>1806</v>
      </c>
      <c r="L1674" s="12"/>
      <c r="M1674" s="12" t="s">
        <v>13134</v>
      </c>
      <c r="N1674" s="12" t="str">
        <f t="shared" si="326"/>
        <v>1806</v>
      </c>
      <c r="O1674" s="12" t="str">
        <f t="shared" si="327"/>
        <v>1807</v>
      </c>
      <c r="P1674" s="12" t="s">
        <v>4932</v>
      </c>
      <c r="Q1674" s="12" t="str">
        <f t="shared" si="322"/>
        <v>1806</v>
      </c>
      <c r="R1674" s="12" t="s">
        <v>13135</v>
      </c>
      <c r="S1674" s="12" t="str">
        <f t="shared" si="323"/>
        <v>1874</v>
      </c>
      <c r="T1674" s="12" t="s">
        <v>6098</v>
      </c>
      <c r="U1674" s="12" t="s">
        <v>3243</v>
      </c>
      <c r="V1674" s="12" t="str">
        <f t="shared" si="324"/>
        <v>1829</v>
      </c>
      <c r="W1674" s="12" t="s">
        <v>3185</v>
      </c>
      <c r="X1674" s="12" t="s">
        <v>3289</v>
      </c>
      <c r="Y1674" s="12"/>
      <c r="Z1674" s="12"/>
      <c r="AA1674" s="12" t="s">
        <v>13136</v>
      </c>
      <c r="AB1674" s="12"/>
      <c r="AC1674" s="12"/>
      <c r="AD1674" s="12" t="s">
        <v>4932</v>
      </c>
      <c r="AE1674" s="12" t="s">
        <v>13137</v>
      </c>
      <c r="AF1674" s="12"/>
      <c r="AG1674" s="12" t="s">
        <v>3587</v>
      </c>
      <c r="AH1674" s="12" t="s">
        <v>13138</v>
      </c>
      <c r="AI1674" s="12" t="str">
        <f t="shared" si="325"/>
        <v>1842</v>
      </c>
      <c r="AJ1674" s="12" t="s">
        <v>13076</v>
      </c>
      <c r="AK1674" s="12" t="s">
        <v>4932</v>
      </c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  <c r="BP1674" s="12"/>
      <c r="BQ1674" s="12"/>
      <c r="BR1674" s="12"/>
    </row>
    <row r="1675" spans="1:70">
      <c r="A1675" s="13" t="s">
        <v>2026</v>
      </c>
      <c r="B1675" s="12" t="str">
        <f t="shared" si="317"/>
        <v>STEENKAMP</v>
      </c>
      <c r="C1675" s="12" t="str">
        <f t="shared" si="318"/>
        <v>STEENKAMP</v>
      </c>
      <c r="D1675" s="12" t="s">
        <v>4865</v>
      </c>
      <c r="E1675" s="12" t="str">
        <f t="shared" si="328"/>
        <v>Jan Harmse</v>
      </c>
      <c r="F1675" s="12" t="s">
        <v>7528</v>
      </c>
      <c r="G1675" s="12" t="str">
        <f t="shared" si="319"/>
        <v>a1b7c2</v>
      </c>
      <c r="H1675" s="12" t="str">
        <f t="shared" si="320"/>
        <v>STEENKAMPa1b7c2</v>
      </c>
      <c r="I1675" s="12"/>
      <c r="J1675" s="12"/>
      <c r="K1675" s="12" t="str">
        <f t="shared" si="321"/>
        <v/>
      </c>
      <c r="L1675" s="12"/>
      <c r="M1675" s="12" t="s">
        <v>13092</v>
      </c>
      <c r="N1675" s="12" t="str">
        <f t="shared" si="326"/>
        <v/>
      </c>
      <c r="O1675" s="12" t="str">
        <f t="shared" si="327"/>
        <v>1761</v>
      </c>
      <c r="P1675" s="12"/>
      <c r="Q1675" s="12" t="str">
        <f t="shared" si="322"/>
        <v>1761</v>
      </c>
      <c r="R1675" s="12"/>
      <c r="S1675" s="12" t="str">
        <f t="shared" si="323"/>
        <v/>
      </c>
      <c r="T1675" s="12"/>
      <c r="U1675" s="12" t="s">
        <v>13093</v>
      </c>
      <c r="V1675" s="12" t="str">
        <f t="shared" si="324"/>
        <v>1783</v>
      </c>
      <c r="W1675" s="12" t="s">
        <v>5365</v>
      </c>
      <c r="X1675" s="12" t="s">
        <v>6111</v>
      </c>
      <c r="Y1675" s="12"/>
      <c r="Z1675" s="12"/>
      <c r="AA1675" s="12"/>
      <c r="AB1675" s="12"/>
      <c r="AC1675" s="12"/>
      <c r="AD1675" s="12"/>
      <c r="AE1675" s="12"/>
      <c r="AF1675" s="12" t="s">
        <v>3699</v>
      </c>
      <c r="AG1675" s="12" t="s">
        <v>68</v>
      </c>
      <c r="AH1675" s="12" t="s">
        <v>12313</v>
      </c>
      <c r="AI1675" s="12" t="str">
        <f t="shared" si="325"/>
        <v>1837</v>
      </c>
      <c r="AJ1675" s="12" t="s">
        <v>277</v>
      </c>
      <c r="AK1675" s="12"/>
      <c r="AL1675" s="12"/>
      <c r="AM1675" s="12" t="s">
        <v>13094</v>
      </c>
      <c r="AN1675" s="12" t="s">
        <v>5068</v>
      </c>
      <c r="AO1675" s="12" t="s">
        <v>1453</v>
      </c>
      <c r="AP1675" s="12"/>
      <c r="AQ1675" s="12"/>
      <c r="AR1675" s="12"/>
      <c r="AS1675" s="12"/>
      <c r="AT1675" s="12" t="s">
        <v>13095</v>
      </c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  <c r="BO1675" s="12"/>
      <c r="BP1675" s="12"/>
      <c r="BQ1675" s="12"/>
      <c r="BR1675" s="12"/>
    </row>
    <row r="1676" spans="1:70">
      <c r="A1676" s="13" t="s">
        <v>2026</v>
      </c>
      <c r="B1676" s="12" t="str">
        <f t="shared" si="317"/>
        <v>STEENKAMP</v>
      </c>
      <c r="C1676" s="12" t="str">
        <f t="shared" si="318"/>
        <v>STEENKAMP</v>
      </c>
      <c r="D1676" s="12" t="s">
        <v>13042</v>
      </c>
      <c r="E1676" s="12" t="str">
        <f t="shared" si="328"/>
        <v>Barend Willem Jacobus</v>
      </c>
      <c r="F1676" s="12" t="s">
        <v>7541</v>
      </c>
      <c r="G1676" s="12" t="str">
        <f t="shared" si="319"/>
        <v>a1b7c2d10</v>
      </c>
      <c r="H1676" s="12" t="str">
        <f t="shared" si="320"/>
        <v>STEENKAMPa1b7c2d10</v>
      </c>
      <c r="I1676" s="12"/>
      <c r="J1676" s="12" t="s">
        <v>13043</v>
      </c>
      <c r="K1676" s="12" t="str">
        <f t="shared" si="321"/>
        <v>1803</v>
      </c>
      <c r="L1676" s="12" t="s">
        <v>74</v>
      </c>
      <c r="M1676" s="12" t="s">
        <v>3103</v>
      </c>
      <c r="N1676" s="12" t="str">
        <f t="shared" si="326"/>
        <v>1803</v>
      </c>
      <c r="O1676" s="12" t="str">
        <f t="shared" si="327"/>
        <v>1804</v>
      </c>
      <c r="P1676" s="12" t="s">
        <v>81</v>
      </c>
      <c r="Q1676" s="12" t="str">
        <f t="shared" si="322"/>
        <v>1803</v>
      </c>
      <c r="R1676" s="12" t="s">
        <v>13044</v>
      </c>
      <c r="S1676" s="12" t="str">
        <f t="shared" si="323"/>
        <v>1880</v>
      </c>
      <c r="T1676" s="12" t="s">
        <v>28</v>
      </c>
      <c r="U1676" s="12" t="s">
        <v>3392</v>
      </c>
      <c r="V1676" s="12" t="str">
        <f t="shared" si="324"/>
        <v>1824</v>
      </c>
      <c r="W1676" s="12" t="s">
        <v>13045</v>
      </c>
      <c r="X1676" s="12" t="s">
        <v>625</v>
      </c>
      <c r="Y1676" s="12" t="s">
        <v>8007</v>
      </c>
      <c r="Z1676" s="12"/>
      <c r="AA1676" s="12" t="s">
        <v>13046</v>
      </c>
      <c r="AB1676" s="12"/>
      <c r="AC1676" s="12" t="s">
        <v>13047</v>
      </c>
      <c r="AD1676" s="12"/>
      <c r="AE1676" s="12"/>
      <c r="AF1676" s="12" t="s">
        <v>3699</v>
      </c>
      <c r="AG1676" s="12" t="s">
        <v>68</v>
      </c>
      <c r="AH1676" s="12">
        <v>1837</v>
      </c>
      <c r="AI1676" s="12" t="str">
        <f t="shared" si="325"/>
        <v>1837</v>
      </c>
      <c r="AJ1676" s="12" t="s">
        <v>13048</v>
      </c>
      <c r="AK1676" s="12" t="s">
        <v>81</v>
      </c>
      <c r="AL1676" s="12" t="s">
        <v>168</v>
      </c>
      <c r="AM1676" s="12" t="s">
        <v>13049</v>
      </c>
      <c r="AN1676" s="12" t="s">
        <v>13050</v>
      </c>
      <c r="AO1676" s="12" t="s">
        <v>1453</v>
      </c>
      <c r="AP1676" s="12" t="s">
        <v>13051</v>
      </c>
      <c r="AQ1676" s="12"/>
      <c r="AR1676" s="12" t="s">
        <v>13052</v>
      </c>
      <c r="AS1676" s="12"/>
      <c r="AT1676" s="12"/>
      <c r="AU1676" s="12" t="s">
        <v>5423</v>
      </c>
      <c r="AV1676" s="12" t="s">
        <v>13053</v>
      </c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  <c r="BO1676" s="12"/>
      <c r="BP1676" s="12"/>
      <c r="BQ1676" s="12"/>
      <c r="BR1676" s="12"/>
    </row>
    <row r="1677" spans="1:70">
      <c r="A1677" s="13" t="s">
        <v>2026</v>
      </c>
      <c r="B1677" s="12" t="str">
        <f t="shared" si="317"/>
        <v>STEENKAMP</v>
      </c>
      <c r="C1677" s="12" t="str">
        <f t="shared" si="318"/>
        <v>STEENKAMP</v>
      </c>
      <c r="D1677" s="12" t="s">
        <v>13085</v>
      </c>
      <c r="E1677" s="12" t="str">
        <f t="shared" si="328"/>
        <v>Jan Harmen</v>
      </c>
      <c r="F1677" s="12" t="s">
        <v>13086</v>
      </c>
      <c r="G1677" s="12" t="str">
        <f t="shared" si="319"/>
        <v>a1b7c2d2e1</v>
      </c>
      <c r="H1677" s="12" t="str">
        <f t="shared" si="320"/>
        <v>STEENKAMPa1b7c2d2e1</v>
      </c>
      <c r="I1677" s="12"/>
      <c r="J1677" s="12" t="s">
        <v>13087</v>
      </c>
      <c r="K1677" s="12" t="str">
        <f t="shared" si="321"/>
        <v>1810</v>
      </c>
      <c r="L1677" s="12"/>
      <c r="M1677" s="12" t="s">
        <v>1609</v>
      </c>
      <c r="N1677" s="12" t="str">
        <f t="shared" si="326"/>
        <v>1810</v>
      </c>
      <c r="O1677" s="12" t="str">
        <f t="shared" si="327"/>
        <v>1810</v>
      </c>
      <c r="P1677" s="12" t="s">
        <v>90</v>
      </c>
      <c r="Q1677" s="12" t="str">
        <f t="shared" si="322"/>
        <v>1810</v>
      </c>
      <c r="R1677" s="12" t="s">
        <v>13088</v>
      </c>
      <c r="S1677" s="12" t="str">
        <f t="shared" si="323"/>
        <v>1840</v>
      </c>
      <c r="T1677" s="12" t="s">
        <v>28</v>
      </c>
      <c r="U1677" s="12" t="s">
        <v>9916</v>
      </c>
      <c r="V1677" s="12" t="str">
        <f t="shared" si="324"/>
        <v>1831</v>
      </c>
      <c r="W1677" s="12" t="s">
        <v>4949</v>
      </c>
      <c r="X1677" s="12" t="s">
        <v>1453</v>
      </c>
      <c r="Y1677" s="12"/>
      <c r="Z1677" s="12"/>
      <c r="AA1677" s="12"/>
      <c r="AB1677" s="12"/>
      <c r="AC1677" s="12"/>
      <c r="AD1677" s="12"/>
      <c r="AE1677" s="12"/>
      <c r="AF1677" s="12" t="s">
        <v>3699</v>
      </c>
      <c r="AG1677" s="12" t="s">
        <v>68</v>
      </c>
      <c r="AH1677" s="12" t="s">
        <v>12313</v>
      </c>
      <c r="AI1677" s="12" t="str">
        <f t="shared" si="325"/>
        <v>1837</v>
      </c>
      <c r="AJ1677" s="12" t="s">
        <v>277</v>
      </c>
      <c r="AK1677" s="12" t="s">
        <v>3699</v>
      </c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  <c r="BO1677" s="12"/>
      <c r="BP1677" s="12"/>
      <c r="BQ1677" s="12"/>
      <c r="BR1677" s="12"/>
    </row>
    <row r="1678" spans="1:70">
      <c r="A1678" s="13" t="s">
        <v>2026</v>
      </c>
      <c r="B1678" s="12" t="str">
        <f t="shared" si="317"/>
        <v>STEENKAMP</v>
      </c>
      <c r="C1678" s="12" t="str">
        <f t="shared" si="318"/>
        <v>STEENKAMP</v>
      </c>
      <c r="D1678" s="12" t="s">
        <v>13065</v>
      </c>
      <c r="E1678" s="12" t="str">
        <f t="shared" si="328"/>
        <v xml:space="preserve">Jacobus Christoffel </v>
      </c>
      <c r="F1678" s="12" t="s">
        <v>13066</v>
      </c>
      <c r="G1678" s="12" t="str">
        <f t="shared" si="319"/>
        <v>a1b7c2d2e4</v>
      </c>
      <c r="H1678" s="12" t="str">
        <f t="shared" si="320"/>
        <v>STEENKAMPa1b7c2d2e4</v>
      </c>
      <c r="I1678" s="12"/>
      <c r="J1678" s="12" t="s">
        <v>13067</v>
      </c>
      <c r="K1678" s="12" t="str">
        <f t="shared" si="321"/>
        <v>1815</v>
      </c>
      <c r="L1678" s="12" t="s">
        <v>74</v>
      </c>
      <c r="M1678" s="12" t="s">
        <v>1850</v>
      </c>
      <c r="N1678" s="12" t="str">
        <f t="shared" si="326"/>
        <v>1815</v>
      </c>
      <c r="O1678" s="12" t="str">
        <f t="shared" si="327"/>
        <v>1816</v>
      </c>
      <c r="P1678" s="12"/>
      <c r="Q1678" s="12" t="str">
        <f t="shared" si="322"/>
        <v>1815</v>
      </c>
      <c r="R1678" s="12" t="s">
        <v>12362</v>
      </c>
      <c r="S1678" s="12" t="str">
        <f t="shared" si="323"/>
        <v>1839</v>
      </c>
      <c r="T1678" s="12" t="s">
        <v>28</v>
      </c>
      <c r="U1678" s="12" t="s">
        <v>13068</v>
      </c>
      <c r="V1678" s="12" t="str">
        <f t="shared" si="324"/>
        <v>1834</v>
      </c>
      <c r="W1678" s="12" t="s">
        <v>13069</v>
      </c>
      <c r="X1678" s="12" t="s">
        <v>618</v>
      </c>
      <c r="Y1678" s="12"/>
      <c r="Z1678" s="12"/>
      <c r="AA1678" s="12"/>
      <c r="AB1678" s="12"/>
      <c r="AC1678" s="12"/>
      <c r="AD1678" s="12"/>
      <c r="AE1678" s="12"/>
      <c r="AF1678" s="12" t="s">
        <v>3699</v>
      </c>
      <c r="AG1678" s="12" t="s">
        <v>68</v>
      </c>
      <c r="AH1678" s="12" t="s">
        <v>12313</v>
      </c>
      <c r="AI1678" s="12" t="str">
        <f t="shared" si="325"/>
        <v>1837</v>
      </c>
      <c r="AJ1678" s="12" t="s">
        <v>277</v>
      </c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  <c r="BO1678" s="12"/>
      <c r="BP1678" s="12"/>
      <c r="BQ1678" s="12"/>
      <c r="BR1678" s="12"/>
    </row>
    <row r="1679" spans="1:70">
      <c r="A1679" s="13" t="s">
        <v>2026</v>
      </c>
      <c r="B1679" s="12" t="str">
        <f t="shared" si="317"/>
        <v>STEENKAMP</v>
      </c>
      <c r="C1679" s="12" t="str">
        <f t="shared" si="318"/>
        <v>STEENKAMP</v>
      </c>
      <c r="D1679" s="12" t="s">
        <v>13096</v>
      </c>
      <c r="E1679" s="12" t="str">
        <f t="shared" si="328"/>
        <v>Petrus Ignatius Lourens</v>
      </c>
      <c r="F1679" s="12" t="s">
        <v>13097</v>
      </c>
      <c r="G1679" s="12" t="str">
        <f t="shared" si="319"/>
        <v>a1b7c2d2e6</v>
      </c>
      <c r="H1679" s="12" t="str">
        <f t="shared" si="320"/>
        <v>STEENKAMPa1b7c2d2e6</v>
      </c>
      <c r="I1679" s="12"/>
      <c r="J1679" s="12" t="s">
        <v>2126</v>
      </c>
      <c r="K1679" s="12" t="str">
        <f t="shared" si="321"/>
        <v>1820</v>
      </c>
      <c r="L1679" s="12" t="s">
        <v>28</v>
      </c>
      <c r="M1679" s="12" t="s">
        <v>233</v>
      </c>
      <c r="N1679" s="12" t="str">
        <f t="shared" si="326"/>
        <v>1820</v>
      </c>
      <c r="O1679" s="12" t="str">
        <f t="shared" si="327"/>
        <v>1820</v>
      </c>
      <c r="P1679" s="12"/>
      <c r="Q1679" s="12" t="str">
        <f t="shared" si="322"/>
        <v>1820</v>
      </c>
      <c r="R1679" s="12" t="s">
        <v>13098</v>
      </c>
      <c r="S1679" s="12" t="str">
        <f t="shared" si="323"/>
        <v>1901</v>
      </c>
      <c r="T1679" s="12"/>
      <c r="U1679" s="12"/>
      <c r="V1679" s="12" t="str">
        <f t="shared" si="324"/>
        <v/>
      </c>
      <c r="W1679" s="12" t="s">
        <v>13099</v>
      </c>
      <c r="X1679" s="12" t="s">
        <v>1453</v>
      </c>
      <c r="Y1679" s="12" t="s">
        <v>13100</v>
      </c>
      <c r="Z1679" s="12"/>
      <c r="AA1679" s="12"/>
      <c r="AB1679" s="12"/>
      <c r="AC1679" s="12"/>
      <c r="AD1679" s="12"/>
      <c r="AE1679" s="12">
        <v>1852</v>
      </c>
      <c r="AF1679" s="12" t="s">
        <v>3699</v>
      </c>
      <c r="AG1679" s="12" t="s">
        <v>68</v>
      </c>
      <c r="AH1679" s="12" t="s">
        <v>12313</v>
      </c>
      <c r="AI1679" s="12" t="str">
        <f t="shared" si="325"/>
        <v>1837</v>
      </c>
      <c r="AJ1679" s="12" t="s">
        <v>277</v>
      </c>
      <c r="AK1679" s="12"/>
      <c r="AL1679" s="12"/>
      <c r="AM1679" s="12"/>
      <c r="AN1679" s="12" t="s">
        <v>13101</v>
      </c>
      <c r="AO1679" s="12" t="s">
        <v>242</v>
      </c>
      <c r="AP1679" s="12"/>
      <c r="AQ1679" s="12">
        <v>1839</v>
      </c>
      <c r="AR1679" s="12"/>
      <c r="AS1679" s="12"/>
      <c r="AT1679" s="12"/>
      <c r="AU1679" s="12" t="s">
        <v>13102</v>
      </c>
      <c r="AV1679" s="1" t="s">
        <v>13103</v>
      </c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  <c r="BO1679" s="12"/>
      <c r="BP1679" s="12"/>
      <c r="BQ1679" s="12"/>
      <c r="BR1679" s="12"/>
    </row>
    <row r="1680" spans="1:70">
      <c r="A1680" s="13" t="s">
        <v>2026</v>
      </c>
      <c r="B1680" s="12" t="str">
        <f t="shared" si="317"/>
        <v>STEENKAMP</v>
      </c>
      <c r="C1680" s="12" t="str">
        <f t="shared" si="318"/>
        <v>STEENKAMP</v>
      </c>
      <c r="D1680" s="12" t="s">
        <v>13118</v>
      </c>
      <c r="E1680" s="12" t="str">
        <f t="shared" si="328"/>
        <v>Thomas Ignatius (Jacobus)</v>
      </c>
      <c r="F1680" s="12" t="s">
        <v>11705</v>
      </c>
      <c r="G1680" s="12" t="str">
        <f t="shared" si="319"/>
        <v>a1b7c2d3</v>
      </c>
      <c r="H1680" s="12" t="str">
        <f t="shared" si="320"/>
        <v>STEENKAMPa1b7c2d3</v>
      </c>
      <c r="I1680" s="12"/>
      <c r="J1680" s="12"/>
      <c r="K1680" s="12" t="str">
        <f t="shared" si="321"/>
        <v/>
      </c>
      <c r="L1680" s="12"/>
      <c r="M1680" s="12" t="s">
        <v>7488</v>
      </c>
      <c r="N1680" s="12" t="str">
        <f t="shared" si="326"/>
        <v/>
      </c>
      <c r="O1680" s="12" t="str">
        <f t="shared" si="327"/>
        <v>1791</v>
      </c>
      <c r="P1680" s="12" t="s">
        <v>13119</v>
      </c>
      <c r="Q1680" s="12" t="str">
        <f t="shared" si="322"/>
        <v>1791</v>
      </c>
      <c r="R1680" s="12" t="s">
        <v>13120</v>
      </c>
      <c r="S1680" s="12" t="str">
        <f t="shared" si="323"/>
        <v>1865</v>
      </c>
      <c r="T1680" s="12" t="s">
        <v>74</v>
      </c>
      <c r="U1680" s="12" t="s">
        <v>8304</v>
      </c>
      <c r="V1680" s="12" t="str">
        <f t="shared" si="324"/>
        <v>1813</v>
      </c>
      <c r="W1680" s="12" t="s">
        <v>13121</v>
      </c>
      <c r="X1680" s="12" t="s">
        <v>726</v>
      </c>
      <c r="Y1680" s="12" t="s">
        <v>13122</v>
      </c>
      <c r="Z1680" s="12"/>
      <c r="AA1680" s="12" t="s">
        <v>13123</v>
      </c>
      <c r="AB1680" s="12"/>
      <c r="AC1680" s="12"/>
      <c r="AD1680" s="12"/>
      <c r="AE1680" s="12" t="s">
        <v>13124</v>
      </c>
      <c r="AF1680" s="12" t="s">
        <v>3699</v>
      </c>
      <c r="AG1680" s="12" t="s">
        <v>68</v>
      </c>
      <c r="AH1680" s="12">
        <v>1836</v>
      </c>
      <c r="AI1680" s="12" t="str">
        <f t="shared" si="325"/>
        <v>1836</v>
      </c>
      <c r="AJ1680" s="12" t="s">
        <v>13060</v>
      </c>
      <c r="AK1680" s="12" t="s">
        <v>551</v>
      </c>
      <c r="AL1680" s="12"/>
      <c r="AM1680" s="12" t="s">
        <v>9412</v>
      </c>
      <c r="AN1680" s="12" t="s">
        <v>5365</v>
      </c>
      <c r="AO1680" s="12" t="s">
        <v>5366</v>
      </c>
      <c r="AP1680" s="12" t="s">
        <v>5367</v>
      </c>
      <c r="AQ1680" s="12"/>
      <c r="AR1680" s="12" t="s">
        <v>5368</v>
      </c>
      <c r="AS1680" s="12"/>
      <c r="AT1680" s="12" t="s">
        <v>5369</v>
      </c>
      <c r="AU1680" s="12" t="s">
        <v>2063</v>
      </c>
      <c r="AV1680" s="12" t="s">
        <v>5371</v>
      </c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  <c r="BO1680" s="12"/>
      <c r="BP1680" s="12"/>
      <c r="BQ1680" s="12"/>
      <c r="BR1680" s="12"/>
    </row>
    <row r="1681" spans="1:70">
      <c r="A1681" s="13" t="s">
        <v>2026</v>
      </c>
      <c r="B1681" s="12" t="str">
        <f t="shared" si="317"/>
        <v>STEENKAMP</v>
      </c>
      <c r="C1681" s="12" t="str">
        <f t="shared" si="318"/>
        <v>STEENKAMP</v>
      </c>
      <c r="D1681" s="12" t="s">
        <v>13077</v>
      </c>
      <c r="E1681" s="12" t="str">
        <f t="shared" si="328"/>
        <v xml:space="preserve">Jan Harm  </v>
      </c>
      <c r="F1681" s="12" t="s">
        <v>11709</v>
      </c>
      <c r="G1681" s="12" t="str">
        <f t="shared" si="319"/>
        <v>a1b7c2d3e2</v>
      </c>
      <c r="H1681" s="12" t="str">
        <f t="shared" si="320"/>
        <v>STEENKAMPa1b7c2d3e2</v>
      </c>
      <c r="I1681" s="12"/>
      <c r="J1681" s="12" t="s">
        <v>13078</v>
      </c>
      <c r="K1681" s="12" t="str">
        <f t="shared" si="321"/>
        <v>1818</v>
      </c>
      <c r="L1681" s="12"/>
      <c r="M1681" s="12" t="s">
        <v>8152</v>
      </c>
      <c r="N1681" s="12" t="str">
        <f t="shared" si="326"/>
        <v>1818</v>
      </c>
      <c r="O1681" s="12" t="str">
        <f t="shared" si="327"/>
        <v>1818</v>
      </c>
      <c r="P1681" s="12" t="s">
        <v>11991</v>
      </c>
      <c r="Q1681" s="12" t="str">
        <f t="shared" si="322"/>
        <v>1818</v>
      </c>
      <c r="R1681" s="12" t="s">
        <v>13079</v>
      </c>
      <c r="S1681" s="12" t="str">
        <f t="shared" si="323"/>
        <v>1914</v>
      </c>
      <c r="T1681" s="12"/>
      <c r="U1681" s="12" t="s">
        <v>13080</v>
      </c>
      <c r="V1681" s="12" t="str">
        <f t="shared" si="324"/>
        <v>1839</v>
      </c>
      <c r="W1681" s="12" t="s">
        <v>13081</v>
      </c>
      <c r="X1681" s="12" t="s">
        <v>3321</v>
      </c>
      <c r="Y1681" s="12" t="s">
        <v>13082</v>
      </c>
      <c r="Z1681" s="12"/>
      <c r="AA1681" s="12" t="s">
        <v>13083</v>
      </c>
      <c r="AB1681" s="12"/>
      <c r="AC1681" s="12"/>
      <c r="AD1681" s="12" t="s">
        <v>11991</v>
      </c>
      <c r="AE1681" s="12" t="s">
        <v>13084</v>
      </c>
      <c r="AF1681" s="12"/>
      <c r="AG1681" s="12"/>
      <c r="AH1681" s="12">
        <v>1839</v>
      </c>
      <c r="AI1681" s="12" t="str">
        <f t="shared" si="325"/>
        <v>1839</v>
      </c>
      <c r="AJ1681" s="12"/>
      <c r="AK1681" s="12" t="s">
        <v>90</v>
      </c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  <c r="BO1681" s="12"/>
      <c r="BP1681" s="12"/>
      <c r="BQ1681" s="12"/>
      <c r="BR1681" s="12"/>
    </row>
    <row r="1682" spans="1:70">
      <c r="A1682" s="13" t="s">
        <v>2026</v>
      </c>
      <c r="B1682" s="12" t="str">
        <f t="shared" si="317"/>
        <v>STEENKAMP</v>
      </c>
      <c r="C1682" s="12" t="str">
        <f t="shared" si="318"/>
        <v>STEENKAMP</v>
      </c>
      <c r="D1682" s="12" t="s">
        <v>13054</v>
      </c>
      <c r="E1682" s="12" t="str">
        <f t="shared" si="328"/>
        <v>Hermanus Philippus</v>
      </c>
      <c r="F1682" s="12" t="s">
        <v>10620</v>
      </c>
      <c r="G1682" s="12" t="str">
        <f t="shared" si="319"/>
        <v>a1b7c2d3e3</v>
      </c>
      <c r="H1682" s="12" t="str">
        <f t="shared" si="320"/>
        <v>STEENKAMPa1b7c2d3e3</v>
      </c>
      <c r="I1682" s="12"/>
      <c r="J1682" s="12" t="s">
        <v>13055</v>
      </c>
      <c r="K1682" s="12" t="str">
        <f t="shared" si="321"/>
        <v>1821</v>
      </c>
      <c r="L1682" s="12" t="s">
        <v>28</v>
      </c>
      <c r="M1682" s="12" t="s">
        <v>8588</v>
      </c>
      <c r="N1682" s="12" t="str">
        <f t="shared" si="326"/>
        <v>1821</v>
      </c>
      <c r="O1682" s="12" t="str">
        <f t="shared" si="327"/>
        <v>1821</v>
      </c>
      <c r="P1682" s="12" t="s">
        <v>13056</v>
      </c>
      <c r="Q1682" s="12" t="str">
        <f t="shared" si="322"/>
        <v>1821</v>
      </c>
      <c r="R1682" s="12" t="s">
        <v>13057</v>
      </c>
      <c r="S1682" s="12" t="str">
        <f t="shared" si="323"/>
        <v>1894</v>
      </c>
      <c r="T1682" s="12"/>
      <c r="U1682" s="12" t="s">
        <v>13058</v>
      </c>
      <c r="V1682" s="12" t="str">
        <f t="shared" si="324"/>
        <v>1849</v>
      </c>
      <c r="W1682" s="12" t="s">
        <v>13059</v>
      </c>
      <c r="X1682" s="12" t="s">
        <v>1330</v>
      </c>
      <c r="Y1682" s="12"/>
      <c r="Z1682" s="12"/>
      <c r="AA1682" s="12">
        <v>1831</v>
      </c>
      <c r="AB1682" s="12"/>
      <c r="AC1682" s="12"/>
      <c r="AD1682" s="12"/>
      <c r="AE1682" s="12"/>
      <c r="AF1682" s="12" t="s">
        <v>3699</v>
      </c>
      <c r="AG1682" s="12" t="s">
        <v>68</v>
      </c>
      <c r="AH1682" s="12">
        <v>1836</v>
      </c>
      <c r="AI1682" s="12" t="str">
        <f t="shared" si="325"/>
        <v>1836</v>
      </c>
      <c r="AJ1682" s="12" t="s">
        <v>13060</v>
      </c>
      <c r="AK1682" s="12" t="s">
        <v>90</v>
      </c>
      <c r="AL1682" s="12" t="s">
        <v>168</v>
      </c>
      <c r="AM1682" s="12" t="s">
        <v>13061</v>
      </c>
      <c r="AN1682" s="12" t="s">
        <v>13062</v>
      </c>
      <c r="AO1682" s="12" t="s">
        <v>629</v>
      </c>
      <c r="AP1682" s="12" t="s">
        <v>13063</v>
      </c>
      <c r="AQ1682" s="12"/>
      <c r="AR1682" s="12" t="s">
        <v>13064</v>
      </c>
      <c r="AS1682" s="12"/>
      <c r="AT1682" s="12"/>
      <c r="AU1682" s="12"/>
      <c r="AV1682" s="1">
        <v>64</v>
      </c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  <c r="BO1682" s="12"/>
      <c r="BP1682" s="12"/>
      <c r="BQ1682" s="12"/>
      <c r="BR1682" s="12"/>
    </row>
    <row r="1683" spans="1:70">
      <c r="A1683" s="13" t="s">
        <v>2026</v>
      </c>
      <c r="B1683" s="12" t="str">
        <f t="shared" si="317"/>
        <v>STEENKAMP</v>
      </c>
      <c r="C1683" s="12" t="str">
        <f t="shared" si="318"/>
        <v>STEENKAMP</v>
      </c>
      <c r="D1683" s="12" t="s">
        <v>13125</v>
      </c>
      <c r="E1683" s="12" t="str">
        <f t="shared" si="328"/>
        <v>Thomas Ignatius Jacobus</v>
      </c>
      <c r="F1683" s="12" t="s">
        <v>13126</v>
      </c>
      <c r="G1683" s="12" t="str">
        <f t="shared" si="319"/>
        <v>a1b7c2d3e4</v>
      </c>
      <c r="H1683" s="12" t="str">
        <f t="shared" si="320"/>
        <v>STEENKAMPa1b7c2d3e4</v>
      </c>
      <c r="I1683" s="12"/>
      <c r="J1683" s="12" t="s">
        <v>13127</v>
      </c>
      <c r="K1683" s="12" t="str">
        <f t="shared" si="321"/>
        <v>1825</v>
      </c>
      <c r="L1683" s="12" t="s">
        <v>28</v>
      </c>
      <c r="M1683" s="12" t="s">
        <v>3410</v>
      </c>
      <c r="N1683" s="12" t="str">
        <f t="shared" si="326"/>
        <v>1825</v>
      </c>
      <c r="O1683" s="12" t="str">
        <f t="shared" si="327"/>
        <v>1825</v>
      </c>
      <c r="P1683" s="12" t="s">
        <v>1017</v>
      </c>
      <c r="Q1683" s="12" t="str">
        <f t="shared" si="322"/>
        <v>1825</v>
      </c>
      <c r="R1683" s="12" t="s">
        <v>13128</v>
      </c>
      <c r="S1683" s="12" t="str">
        <f t="shared" si="323"/>
        <v>1869</v>
      </c>
      <c r="T1683" s="12"/>
      <c r="U1683" s="12"/>
      <c r="V1683" s="12" t="str">
        <f t="shared" si="324"/>
        <v/>
      </c>
      <c r="W1683" s="12" t="s">
        <v>13129</v>
      </c>
      <c r="X1683" s="12" t="s">
        <v>788</v>
      </c>
      <c r="Y1683" s="12"/>
      <c r="Z1683" s="12"/>
      <c r="AA1683" s="12" t="s">
        <v>389</v>
      </c>
      <c r="AB1683" s="12"/>
      <c r="AC1683" s="12" t="s">
        <v>7830</v>
      </c>
      <c r="AD1683" s="12" t="s">
        <v>13130</v>
      </c>
      <c r="AE1683" s="12" t="s">
        <v>13131</v>
      </c>
      <c r="AF1683" s="12" t="s">
        <v>3699</v>
      </c>
      <c r="AG1683" s="12" t="s">
        <v>68</v>
      </c>
      <c r="AH1683" s="12" t="s">
        <v>12621</v>
      </c>
      <c r="AI1683" s="12" t="str">
        <f t="shared" si="325"/>
        <v>1836</v>
      </c>
      <c r="AJ1683" s="12" t="s">
        <v>13060</v>
      </c>
      <c r="AK1683" s="12" t="s">
        <v>1017</v>
      </c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  <c r="BO1683" s="12"/>
      <c r="BP1683" s="12"/>
      <c r="BQ1683" s="12"/>
      <c r="BR1683" s="12"/>
    </row>
    <row r="1684" spans="1:70">
      <c r="A1684" s="13" t="s">
        <v>2026</v>
      </c>
      <c r="B1684" s="12" t="str">
        <f t="shared" si="317"/>
        <v>STEENKAMP</v>
      </c>
      <c r="C1684" s="12" t="str">
        <f t="shared" si="318"/>
        <v>STEENKAMP</v>
      </c>
      <c r="D1684" s="12" t="s">
        <v>13113</v>
      </c>
      <c r="E1684" s="12" t="str">
        <f t="shared" si="328"/>
        <v>Philippus Lourens</v>
      </c>
      <c r="F1684" s="12" t="s">
        <v>3534</v>
      </c>
      <c r="G1684" s="12" t="str">
        <f t="shared" si="319"/>
        <v>a1b7c2d5</v>
      </c>
      <c r="H1684" s="12" t="str">
        <f t="shared" si="320"/>
        <v>STEENKAMPa1b7c2d5</v>
      </c>
      <c r="I1684" s="12"/>
      <c r="J1684" s="12"/>
      <c r="K1684" s="12" t="str">
        <f t="shared" si="321"/>
        <v/>
      </c>
      <c r="L1684" s="12" t="s">
        <v>74</v>
      </c>
      <c r="M1684" s="12" t="s">
        <v>3528</v>
      </c>
      <c r="N1684" s="12" t="str">
        <f t="shared" si="326"/>
        <v/>
      </c>
      <c r="O1684" s="12" t="str">
        <f t="shared" si="327"/>
        <v>1795</v>
      </c>
      <c r="P1684" s="12" t="s">
        <v>67</v>
      </c>
      <c r="Q1684" s="12" t="str">
        <f t="shared" si="322"/>
        <v>1795</v>
      </c>
      <c r="R1684" s="12">
        <v>1856</v>
      </c>
      <c r="S1684" s="12" t="str">
        <f t="shared" si="323"/>
        <v>1856</v>
      </c>
      <c r="T1684" s="12" t="s">
        <v>74</v>
      </c>
      <c r="U1684" s="12" t="s">
        <v>1850</v>
      </c>
      <c r="V1684" s="12" t="str">
        <f t="shared" si="324"/>
        <v>1816</v>
      </c>
      <c r="W1684" s="12" t="s">
        <v>13114</v>
      </c>
      <c r="X1684" s="12" t="s">
        <v>1453</v>
      </c>
      <c r="Y1684" s="12"/>
      <c r="Z1684" s="12"/>
      <c r="AA1684" s="12"/>
      <c r="AB1684" s="12"/>
      <c r="AC1684" s="12" t="s">
        <v>2227</v>
      </c>
      <c r="AD1684" s="12"/>
      <c r="AE1684" s="12">
        <v>1826</v>
      </c>
      <c r="AF1684" s="12" t="s">
        <v>3699</v>
      </c>
      <c r="AG1684" s="12" t="s">
        <v>68</v>
      </c>
      <c r="AH1684" s="12" t="s">
        <v>13115</v>
      </c>
      <c r="AI1684" s="12" t="str">
        <f t="shared" si="325"/>
        <v>1837</v>
      </c>
      <c r="AJ1684" s="12" t="s">
        <v>277</v>
      </c>
      <c r="AK1684" s="12" t="s">
        <v>67</v>
      </c>
      <c r="AL1684" s="12" t="s">
        <v>28</v>
      </c>
      <c r="AM1684" s="12" t="s">
        <v>13116</v>
      </c>
      <c r="AN1684" s="12" t="s">
        <v>13117</v>
      </c>
      <c r="AO1684" s="12" t="s">
        <v>625</v>
      </c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  <c r="BO1684" s="12"/>
      <c r="BP1684" s="12"/>
      <c r="BQ1684" s="12"/>
      <c r="BR1684" s="12"/>
    </row>
    <row r="1685" spans="1:70">
      <c r="A1685" s="13" t="s">
        <v>2026</v>
      </c>
      <c r="B1685" s="12" t="str">
        <f t="shared" si="317"/>
        <v>STEENKAMP</v>
      </c>
      <c r="C1685" s="12" t="str">
        <f t="shared" si="318"/>
        <v>STEENKAMP</v>
      </c>
      <c r="D1685" s="12" t="s">
        <v>13085</v>
      </c>
      <c r="E1685" s="12" t="str">
        <f t="shared" si="328"/>
        <v>Jan Harmen</v>
      </c>
      <c r="F1685" s="12" t="s">
        <v>13089</v>
      </c>
      <c r="G1685" s="12" t="str">
        <f t="shared" si="319"/>
        <v>a1b7c2d5e1</v>
      </c>
      <c r="H1685" s="12" t="str">
        <f t="shared" si="320"/>
        <v>STEENKAMPa1b7c2d5e1</v>
      </c>
      <c r="I1685" s="12"/>
      <c r="J1685" s="12" t="s">
        <v>13090</v>
      </c>
      <c r="K1685" s="12" t="str">
        <f t="shared" si="321"/>
        <v>1817</v>
      </c>
      <c r="L1685" s="12" t="s">
        <v>28</v>
      </c>
      <c r="M1685" s="12" t="s">
        <v>106</v>
      </c>
      <c r="N1685" s="12" t="str">
        <f t="shared" si="326"/>
        <v>1817</v>
      </c>
      <c r="O1685" s="12" t="str">
        <f t="shared" si="327"/>
        <v>1817</v>
      </c>
      <c r="P1685" s="12"/>
      <c r="Q1685" s="12" t="str">
        <f t="shared" si="322"/>
        <v>1817</v>
      </c>
      <c r="R1685" s="12"/>
      <c r="S1685" s="12" t="str">
        <f t="shared" si="323"/>
        <v/>
      </c>
      <c r="T1685" s="12"/>
      <c r="U1685" s="12" t="s">
        <v>13091</v>
      </c>
      <c r="V1685" s="12" t="str">
        <f t="shared" si="324"/>
        <v>1838</v>
      </c>
      <c r="W1685" s="12" t="s">
        <v>7612</v>
      </c>
      <c r="X1685" s="12" t="s">
        <v>726</v>
      </c>
      <c r="Y1685" s="12"/>
      <c r="Z1685" s="12"/>
      <c r="AA1685" s="12"/>
      <c r="AB1685" s="12"/>
      <c r="AC1685" s="12"/>
      <c r="AD1685" s="12"/>
      <c r="AE1685" s="12"/>
      <c r="AF1685" s="12" t="s">
        <v>3699</v>
      </c>
      <c r="AG1685" s="12" t="s">
        <v>68</v>
      </c>
      <c r="AH1685" s="12" t="s">
        <v>12313</v>
      </c>
      <c r="AI1685" s="12" t="str">
        <f t="shared" si="325"/>
        <v>1837</v>
      </c>
      <c r="AJ1685" s="12" t="s">
        <v>277</v>
      </c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  <c r="BO1685" s="12"/>
      <c r="BP1685" s="12"/>
      <c r="BQ1685" s="12"/>
      <c r="BR1685" s="12"/>
    </row>
    <row r="1686" spans="1:70">
      <c r="A1686" s="13" t="s">
        <v>2026</v>
      </c>
      <c r="B1686" s="12" t="str">
        <f t="shared" si="317"/>
        <v>STEENKAMP</v>
      </c>
      <c r="C1686" s="12" t="str">
        <f t="shared" si="318"/>
        <v>STEENKAMP</v>
      </c>
      <c r="D1686" s="12" t="s">
        <v>13065</v>
      </c>
      <c r="E1686" s="12" t="str">
        <f t="shared" si="328"/>
        <v xml:space="preserve">Jacobus Christoffel </v>
      </c>
      <c r="F1686" s="12" t="s">
        <v>13070</v>
      </c>
      <c r="G1686" s="12" t="str">
        <f t="shared" si="319"/>
        <v>a1b7c2d6e2</v>
      </c>
      <c r="H1686" s="12" t="str">
        <f t="shared" si="320"/>
        <v>STEENKAMPa1b7c2d6e2</v>
      </c>
      <c r="I1686" s="12"/>
      <c r="J1686" s="12" t="s">
        <v>13071</v>
      </c>
      <c r="K1686" s="12" t="str">
        <f t="shared" si="321"/>
        <v>1822</v>
      </c>
      <c r="L1686" s="12" t="s">
        <v>28</v>
      </c>
      <c r="M1686" s="12" t="s">
        <v>10242</v>
      </c>
      <c r="N1686" s="12" t="str">
        <f t="shared" si="326"/>
        <v>1822</v>
      </c>
      <c r="O1686" s="12" t="str">
        <f t="shared" si="327"/>
        <v>1823</v>
      </c>
      <c r="P1686" s="12" t="s">
        <v>3387</v>
      </c>
      <c r="Q1686" s="12" t="str">
        <f t="shared" si="322"/>
        <v>1822</v>
      </c>
      <c r="R1686" s="12">
        <v>1867</v>
      </c>
      <c r="S1686" s="12" t="str">
        <f t="shared" si="323"/>
        <v>1867</v>
      </c>
      <c r="T1686" s="12"/>
      <c r="U1686" s="12"/>
      <c r="V1686" s="12" t="str">
        <f t="shared" si="324"/>
        <v/>
      </c>
      <c r="W1686" s="12" t="s">
        <v>13072</v>
      </c>
      <c r="X1686" s="12" t="s">
        <v>210</v>
      </c>
      <c r="Y1686" s="12" t="s">
        <v>13073</v>
      </c>
      <c r="Z1686" s="12"/>
      <c r="AA1686" s="12" t="s">
        <v>13074</v>
      </c>
      <c r="AB1686" s="12"/>
      <c r="AC1686" s="12"/>
      <c r="AD1686" s="12" t="s">
        <v>3387</v>
      </c>
      <c r="AE1686" s="12" t="s">
        <v>13075</v>
      </c>
      <c r="AF1686" s="12" t="s">
        <v>3699</v>
      </c>
      <c r="AG1686" s="12" t="s">
        <v>68</v>
      </c>
      <c r="AH1686" s="12" t="s">
        <v>4696</v>
      </c>
      <c r="AI1686" s="12" t="str">
        <f t="shared" si="325"/>
        <v>1844</v>
      </c>
      <c r="AJ1686" s="12" t="s">
        <v>13076</v>
      </c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  <c r="BO1686" s="12"/>
      <c r="BP1686" s="12"/>
      <c r="BQ1686" s="12"/>
      <c r="BR1686" s="12"/>
    </row>
    <row r="1687" spans="1:70">
      <c r="A1687" s="13" t="s">
        <v>13139</v>
      </c>
      <c r="B1687" s="12" t="str">
        <f t="shared" si="317"/>
        <v>STEENVAT</v>
      </c>
      <c r="C1687" s="12" t="str">
        <f t="shared" si="318"/>
        <v>STEENVAT</v>
      </c>
      <c r="D1687" s="12" t="s">
        <v>13140</v>
      </c>
      <c r="E1687" s="12" t="str">
        <f t="shared" si="328"/>
        <v>Johannes Carolus</v>
      </c>
      <c r="F1687" s="12" t="s">
        <v>932</v>
      </c>
      <c r="G1687" s="12" t="str">
        <f t="shared" si="319"/>
        <v>a1b2</v>
      </c>
      <c r="H1687" s="12" t="str">
        <f t="shared" si="320"/>
        <v>STEENVATa1b2</v>
      </c>
      <c r="I1687" s="12"/>
      <c r="J1687" s="12" t="s">
        <v>13141</v>
      </c>
      <c r="K1687" s="12" t="str">
        <f t="shared" si="321"/>
        <v>1789</v>
      </c>
      <c r="L1687" s="12" t="s">
        <v>74</v>
      </c>
      <c r="M1687" s="12" t="s">
        <v>13142</v>
      </c>
      <c r="N1687" s="12" t="str">
        <f t="shared" si="326"/>
        <v>1789</v>
      </c>
      <c r="O1687" s="12" t="str">
        <f t="shared" si="327"/>
        <v>1799</v>
      </c>
      <c r="P1687" s="12"/>
      <c r="Q1687" s="12" t="str">
        <f t="shared" si="322"/>
        <v>1789</v>
      </c>
      <c r="R1687" s="12"/>
      <c r="S1687" s="12" t="str">
        <f t="shared" si="323"/>
        <v/>
      </c>
      <c r="T1687" s="12" t="s">
        <v>68</v>
      </c>
      <c r="U1687" s="12" t="s">
        <v>13143</v>
      </c>
      <c r="V1687" s="12" t="str">
        <f t="shared" si="324"/>
        <v>1830</v>
      </c>
      <c r="W1687" s="12" t="s">
        <v>13144</v>
      </c>
      <c r="X1687" s="12" t="s">
        <v>663</v>
      </c>
      <c r="Y1687" s="12"/>
      <c r="Z1687" s="12"/>
      <c r="AA1687" s="12"/>
      <c r="AB1687" s="12"/>
      <c r="AC1687" s="12"/>
      <c r="AD1687" s="12"/>
      <c r="AE1687" s="12"/>
      <c r="AF1687" s="12" t="s">
        <v>3706</v>
      </c>
      <c r="AG1687" s="12" t="s">
        <v>68</v>
      </c>
      <c r="AH1687" s="12" t="s">
        <v>13145</v>
      </c>
      <c r="AI1687" s="12" t="str">
        <f t="shared" si="325"/>
        <v>1839</v>
      </c>
      <c r="AJ1687" s="12"/>
      <c r="AK1687" s="12" t="s">
        <v>90</v>
      </c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  <c r="BO1687" s="12"/>
      <c r="BP1687" s="12"/>
      <c r="BQ1687" s="12"/>
      <c r="BR1687" s="12"/>
    </row>
    <row r="1688" spans="1:70">
      <c r="A1688" s="18" t="s">
        <v>13146</v>
      </c>
      <c r="B1688" s="12" t="str">
        <f t="shared" si="317"/>
        <v>STEINMAN(N)</v>
      </c>
      <c r="C1688" s="12" t="str">
        <f t="shared" si="318"/>
        <v>STEINMAN(N)</v>
      </c>
      <c r="D1688" s="12" t="s">
        <v>455</v>
      </c>
      <c r="E1688" s="12" t="str">
        <f t="shared" si="328"/>
        <v>Pieter Christiaan</v>
      </c>
      <c r="F1688" s="12" t="s">
        <v>932</v>
      </c>
      <c r="G1688" s="12" t="str">
        <f t="shared" si="319"/>
        <v>a1b2</v>
      </c>
      <c r="H1688" s="12" t="str">
        <f t="shared" si="320"/>
        <v>STEINMAN(N)a1b2</v>
      </c>
      <c r="I1688" s="12"/>
      <c r="J1688" s="12" t="s">
        <v>13147</v>
      </c>
      <c r="K1688" s="12" t="str">
        <f t="shared" si="321"/>
        <v>1811</v>
      </c>
      <c r="L1688" s="12" t="s">
        <v>74</v>
      </c>
      <c r="M1688" s="12" t="s">
        <v>13148</v>
      </c>
      <c r="N1688" s="12" t="str">
        <f t="shared" si="326"/>
        <v>1811</v>
      </c>
      <c r="O1688" s="12" t="str">
        <f t="shared" si="327"/>
        <v>1812</v>
      </c>
      <c r="P1688" s="12"/>
      <c r="Q1688" s="12" t="str">
        <f t="shared" si="322"/>
        <v>1811</v>
      </c>
      <c r="R1688" s="12"/>
      <c r="S1688" s="12" t="str">
        <f t="shared" si="323"/>
        <v/>
      </c>
      <c r="T1688" s="12" t="s">
        <v>168</v>
      </c>
      <c r="U1688" s="12" t="s">
        <v>1439</v>
      </c>
      <c r="V1688" s="12" t="str">
        <f t="shared" si="324"/>
        <v>1842</v>
      </c>
      <c r="W1688" s="12" t="s">
        <v>13149</v>
      </c>
      <c r="X1688" s="12" t="s">
        <v>663</v>
      </c>
      <c r="Y1688" s="12" t="s">
        <v>13150</v>
      </c>
      <c r="Z1688" s="12"/>
      <c r="AA1688" s="12" t="s">
        <v>13151</v>
      </c>
      <c r="AB1688" s="12" t="s">
        <v>74</v>
      </c>
      <c r="AC1688" s="12" t="s">
        <v>13152</v>
      </c>
      <c r="AD1688" s="12" t="s">
        <v>2890</v>
      </c>
      <c r="AE1688" s="1">
        <v>2648</v>
      </c>
      <c r="AF1688" s="12" t="s">
        <v>3714</v>
      </c>
      <c r="AG1688" s="12" t="s">
        <v>68</v>
      </c>
      <c r="AH1688" s="12" t="s">
        <v>2489</v>
      </c>
      <c r="AI1688" s="12" t="str">
        <f t="shared" si="325"/>
        <v>1841</v>
      </c>
      <c r="AJ1688" s="12"/>
      <c r="AK1688" s="12" t="s">
        <v>90</v>
      </c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  <c r="BO1688" s="12"/>
      <c r="BP1688" s="12"/>
      <c r="BQ1688" s="12"/>
      <c r="BR1688" s="12"/>
    </row>
    <row r="1689" spans="1:70">
      <c r="A1689" s="13" t="s">
        <v>2995</v>
      </c>
      <c r="B1689" s="12" t="str">
        <f t="shared" si="317"/>
        <v>STEYN</v>
      </c>
      <c r="C1689" s="12" t="str">
        <f t="shared" si="318"/>
        <v>STEYN</v>
      </c>
      <c r="D1689" s="12" t="s">
        <v>567</v>
      </c>
      <c r="E1689" s="12" t="str">
        <f t="shared" si="328"/>
        <v>Hans Jurgen</v>
      </c>
      <c r="F1689" s="12" t="s">
        <v>13164</v>
      </c>
      <c r="G1689" s="12" t="str">
        <f t="shared" si="319"/>
        <v>a1b1c3d4e8</v>
      </c>
      <c r="H1689" s="12" t="str">
        <f t="shared" si="320"/>
        <v>STEYNa1b1c3d4e8</v>
      </c>
      <c r="I1689" s="12"/>
      <c r="J1689" s="12"/>
      <c r="K1689" s="12" t="str">
        <f t="shared" si="321"/>
        <v/>
      </c>
      <c r="L1689" s="12" t="s">
        <v>74</v>
      </c>
      <c r="M1689" s="12" t="s">
        <v>13165</v>
      </c>
      <c r="N1689" s="12" t="str">
        <f t="shared" si="326"/>
        <v/>
      </c>
      <c r="O1689" s="12" t="str">
        <f t="shared" si="327"/>
        <v>1788</v>
      </c>
      <c r="P1689" s="12"/>
      <c r="Q1689" s="12" t="str">
        <f t="shared" si="322"/>
        <v>1788</v>
      </c>
      <c r="R1689" s="12"/>
      <c r="S1689" s="12" t="str">
        <f t="shared" si="323"/>
        <v/>
      </c>
      <c r="T1689" s="12" t="s">
        <v>32</v>
      </c>
      <c r="U1689" s="12" t="s">
        <v>13166</v>
      </c>
      <c r="V1689" s="12" t="str">
        <f t="shared" si="324"/>
        <v>1811</v>
      </c>
      <c r="W1689" s="12" t="s">
        <v>13167</v>
      </c>
      <c r="X1689" s="12" t="s">
        <v>1031</v>
      </c>
      <c r="Y1689" s="12" t="s">
        <v>13168</v>
      </c>
      <c r="Z1689" s="12"/>
      <c r="AA1689" s="12"/>
      <c r="AB1689" s="12" t="s">
        <v>1071</v>
      </c>
      <c r="AC1689" s="12" t="s">
        <v>13169</v>
      </c>
      <c r="AD1689" s="12"/>
      <c r="AE1689" s="12" t="s">
        <v>13170</v>
      </c>
      <c r="AF1689" s="12"/>
      <c r="AG1689" s="12" t="s">
        <v>366</v>
      </c>
      <c r="AH1689" s="12"/>
      <c r="AI1689" s="12" t="str">
        <f t="shared" si="325"/>
        <v/>
      </c>
      <c r="AJ1689" s="12"/>
      <c r="AK1689" s="12" t="s">
        <v>155</v>
      </c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  <c r="BO1689" s="12"/>
      <c r="BP1689" s="12"/>
      <c r="BQ1689" s="12"/>
      <c r="BR1689" s="12"/>
    </row>
    <row r="1690" spans="1:70">
      <c r="A1690" s="13" t="s">
        <v>2995</v>
      </c>
      <c r="B1690" s="12" t="str">
        <f t="shared" si="317"/>
        <v>STEYN</v>
      </c>
      <c r="C1690" s="12" t="str">
        <f t="shared" si="318"/>
        <v>STEYN</v>
      </c>
      <c r="D1690" s="12" t="s">
        <v>13231</v>
      </c>
      <c r="E1690" s="12" t="str">
        <f t="shared" si="328"/>
        <v>Johannes Christoffel (Hans)</v>
      </c>
      <c r="F1690" s="12" t="s">
        <v>13232</v>
      </c>
      <c r="G1690" s="12" t="str">
        <f t="shared" si="319"/>
        <v>a1b2c3d11e4f1</v>
      </c>
      <c r="H1690" s="12" t="str">
        <f t="shared" si="320"/>
        <v>STEYNa1b2c3d11e4f1</v>
      </c>
      <c r="I1690" s="12" t="s">
        <v>32</v>
      </c>
      <c r="J1690" s="12" t="s">
        <v>13233</v>
      </c>
      <c r="K1690" s="12" t="str">
        <f t="shared" si="321"/>
        <v>1799</v>
      </c>
      <c r="L1690" s="12" t="s">
        <v>32</v>
      </c>
      <c r="M1690" s="12" t="s">
        <v>13234</v>
      </c>
      <c r="N1690" s="12" t="str">
        <f t="shared" si="326"/>
        <v>1799</v>
      </c>
      <c r="O1690" s="12" t="str">
        <f t="shared" si="327"/>
        <v>1804</v>
      </c>
      <c r="P1690" s="12" t="s">
        <v>1864</v>
      </c>
      <c r="Q1690" s="12" t="str">
        <f t="shared" si="322"/>
        <v>1799</v>
      </c>
      <c r="R1690" s="12" t="s">
        <v>13235</v>
      </c>
      <c r="S1690" s="12" t="str">
        <f t="shared" si="323"/>
        <v>1887</v>
      </c>
      <c r="T1690" s="12" t="s">
        <v>199</v>
      </c>
      <c r="U1690" s="12" t="s">
        <v>13236</v>
      </c>
      <c r="V1690" s="12" t="str">
        <f t="shared" si="324"/>
        <v>1825</v>
      </c>
      <c r="W1690" s="12" t="s">
        <v>13237</v>
      </c>
      <c r="X1690" s="12" t="s">
        <v>660</v>
      </c>
      <c r="Y1690" s="12"/>
      <c r="Z1690" s="12"/>
      <c r="AA1690" s="12"/>
      <c r="AB1690" s="12"/>
      <c r="AC1690" s="12"/>
      <c r="AD1690" s="12"/>
      <c r="AE1690" s="12"/>
      <c r="AF1690" s="12" t="s">
        <v>13184</v>
      </c>
      <c r="AG1690" s="12" t="s">
        <v>32</v>
      </c>
      <c r="AH1690" s="12">
        <v>1838</v>
      </c>
      <c r="AI1690" s="12" t="str">
        <f t="shared" si="325"/>
        <v>1838</v>
      </c>
      <c r="AJ1690" s="12" t="s">
        <v>13076</v>
      </c>
      <c r="AK1690" s="12" t="s">
        <v>155</v>
      </c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  <c r="BO1690" s="12"/>
      <c r="BP1690" s="12"/>
      <c r="BQ1690" s="12"/>
      <c r="BR1690" s="12"/>
    </row>
    <row r="1691" spans="1:70">
      <c r="A1691" s="13" t="s">
        <v>2995</v>
      </c>
      <c r="B1691" s="12" t="str">
        <f t="shared" si="317"/>
        <v>STEYN</v>
      </c>
      <c r="C1691" s="12" t="str">
        <f t="shared" si="318"/>
        <v>STEYN</v>
      </c>
      <c r="D1691" s="12" t="s">
        <v>13203</v>
      </c>
      <c r="E1691" s="12" t="str">
        <f t="shared" si="328"/>
        <v>Hermanus Theodorus</v>
      </c>
      <c r="F1691" s="12" t="s">
        <v>13204</v>
      </c>
      <c r="G1691" s="12" t="str">
        <f t="shared" si="319"/>
        <v>a1b2c3d11e5f3</v>
      </c>
      <c r="H1691" s="12" t="str">
        <f t="shared" si="320"/>
        <v>STEYNa1b2c3d11e5f3</v>
      </c>
      <c r="I1691" s="12"/>
      <c r="J1691" s="12" t="s">
        <v>13205</v>
      </c>
      <c r="K1691" s="12" t="str">
        <f t="shared" si="321"/>
        <v>1813</v>
      </c>
      <c r="L1691" s="12" t="s">
        <v>158</v>
      </c>
      <c r="M1691" s="12" t="s">
        <v>13206</v>
      </c>
      <c r="N1691" s="12" t="str">
        <f t="shared" si="326"/>
        <v>1813</v>
      </c>
      <c r="O1691" s="12" t="str">
        <f t="shared" si="327"/>
        <v>1814</v>
      </c>
      <c r="P1691" s="12"/>
      <c r="Q1691" s="12" t="str">
        <f t="shared" si="322"/>
        <v>1813</v>
      </c>
      <c r="R1691" s="12"/>
      <c r="S1691" s="12" t="str">
        <f t="shared" si="323"/>
        <v/>
      </c>
      <c r="T1691" s="12" t="s">
        <v>168</v>
      </c>
      <c r="U1691" s="12" t="s">
        <v>13207</v>
      </c>
      <c r="V1691" s="12" t="str">
        <f t="shared" si="324"/>
        <v>1839</v>
      </c>
      <c r="W1691" s="12" t="s">
        <v>4715</v>
      </c>
      <c r="X1691" s="12" t="s">
        <v>1675</v>
      </c>
      <c r="Y1691" s="12" t="s">
        <v>872</v>
      </c>
      <c r="Z1691" s="12"/>
      <c r="AA1691" s="12">
        <v>1820</v>
      </c>
      <c r="AB1691" s="12"/>
      <c r="AC1691" s="12"/>
      <c r="AD1691" s="12"/>
      <c r="AE1691" s="12"/>
      <c r="AF1691" s="12"/>
      <c r="AG1691" s="12" t="s">
        <v>32</v>
      </c>
      <c r="AH1691" s="12" t="s">
        <v>13208</v>
      </c>
      <c r="AI1691" s="12" t="str">
        <f t="shared" si="325"/>
        <v>1839</v>
      </c>
      <c r="AJ1691" s="12"/>
      <c r="AK1691" s="12" t="s">
        <v>90</v>
      </c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  <c r="BO1691" s="12"/>
      <c r="BP1691" s="12"/>
      <c r="BQ1691" s="12"/>
      <c r="BR1691" s="12"/>
    </row>
    <row r="1692" spans="1:70">
      <c r="A1692" s="13" t="s">
        <v>2995</v>
      </c>
      <c r="B1692" s="12" t="str">
        <f t="shared" si="317"/>
        <v>STEYN</v>
      </c>
      <c r="C1692" s="12" t="str">
        <f t="shared" si="318"/>
        <v>STEYN</v>
      </c>
      <c r="D1692" s="12" t="s">
        <v>5588</v>
      </c>
      <c r="E1692" s="12" t="str">
        <f t="shared" si="328"/>
        <v>Petrus Paulus</v>
      </c>
      <c r="F1692" s="12" t="s">
        <v>13298</v>
      </c>
      <c r="G1692" s="12" t="str">
        <f t="shared" si="319"/>
        <v>a1b2c3d13e2</v>
      </c>
      <c r="H1692" s="12" t="str">
        <f t="shared" si="320"/>
        <v>STEYNa1b2c3d13e2</v>
      </c>
      <c r="I1692" s="12"/>
      <c r="J1692" s="12"/>
      <c r="K1692" s="12" t="str">
        <f t="shared" si="321"/>
        <v/>
      </c>
      <c r="L1692" s="12"/>
      <c r="M1692" s="12" t="s">
        <v>13299</v>
      </c>
      <c r="N1692" s="12" t="str">
        <f t="shared" si="326"/>
        <v/>
      </c>
      <c r="O1692" s="12" t="str">
        <f t="shared" si="327"/>
        <v>1792</v>
      </c>
      <c r="P1692" s="12"/>
      <c r="Q1692" s="12" t="str">
        <f t="shared" si="322"/>
        <v>1792</v>
      </c>
      <c r="R1692" s="12"/>
      <c r="S1692" s="12" t="str">
        <f t="shared" si="323"/>
        <v/>
      </c>
      <c r="T1692" s="12"/>
      <c r="U1692" s="12" t="s">
        <v>3347</v>
      </c>
      <c r="V1692" s="12" t="str">
        <f t="shared" si="324"/>
        <v>1820</v>
      </c>
      <c r="W1692" s="12" t="s">
        <v>13300</v>
      </c>
      <c r="X1692" s="12" t="s">
        <v>788</v>
      </c>
      <c r="Y1692" s="12"/>
      <c r="Z1692" s="12"/>
      <c r="AA1692" s="12"/>
      <c r="AB1692" s="12"/>
      <c r="AC1692" s="12" t="s">
        <v>13301</v>
      </c>
      <c r="AD1692" s="12"/>
      <c r="AE1692" s="12"/>
      <c r="AF1692" s="12" t="s">
        <v>13184</v>
      </c>
      <c r="AG1692" s="12" t="s">
        <v>32</v>
      </c>
      <c r="AH1692" s="12" t="s">
        <v>13302</v>
      </c>
      <c r="AI1692" s="12" t="str">
        <f t="shared" si="325"/>
        <v>1839</v>
      </c>
      <c r="AJ1692" s="12"/>
      <c r="AK1692" s="12" t="s">
        <v>155</v>
      </c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  <c r="BO1692" s="12"/>
      <c r="BP1692" s="12"/>
      <c r="BQ1692" s="12"/>
      <c r="BR1692" s="12"/>
    </row>
    <row r="1693" spans="1:70">
      <c r="A1693" s="13" t="s">
        <v>2995</v>
      </c>
      <c r="B1693" s="12" t="str">
        <f t="shared" si="317"/>
        <v>STEYN</v>
      </c>
      <c r="C1693" s="12" t="str">
        <f t="shared" si="318"/>
        <v>STEYN</v>
      </c>
      <c r="D1693" s="12" t="s">
        <v>13182</v>
      </c>
      <c r="E1693" s="12" t="str">
        <f t="shared" si="328"/>
        <v>Hermanus (P.Seun)</v>
      </c>
      <c r="F1693" s="12" t="s">
        <v>13183</v>
      </c>
      <c r="G1693" s="12" t="str">
        <f t="shared" si="319"/>
        <v>a1b2c3d13e2f?</v>
      </c>
      <c r="H1693" s="12" t="str">
        <f t="shared" si="320"/>
        <v>STEYNa1b2c3d13e2f?</v>
      </c>
      <c r="I1693" s="12"/>
      <c r="J1693" s="12"/>
      <c r="K1693" s="12" t="str">
        <f t="shared" si="321"/>
        <v/>
      </c>
      <c r="L1693" s="12"/>
      <c r="M1693" s="12"/>
      <c r="N1693" s="12" t="str">
        <f t="shared" si="326"/>
        <v/>
      </c>
      <c r="O1693" s="12" t="str">
        <f t="shared" si="327"/>
        <v/>
      </c>
      <c r="P1693" s="12"/>
      <c r="Q1693" s="12" t="str">
        <f t="shared" si="322"/>
        <v/>
      </c>
      <c r="R1693" s="12"/>
      <c r="S1693" s="12" t="str">
        <f t="shared" si="323"/>
        <v/>
      </c>
      <c r="T1693" s="12"/>
      <c r="U1693" s="12"/>
      <c r="V1693" s="12" t="str">
        <f t="shared" si="324"/>
        <v/>
      </c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 t="s">
        <v>13184</v>
      </c>
      <c r="AG1693" s="12" t="s">
        <v>32</v>
      </c>
      <c r="AH1693" s="12">
        <v>1839</v>
      </c>
      <c r="AI1693" s="12" t="str">
        <f t="shared" si="325"/>
        <v>1839</v>
      </c>
      <c r="AJ1693" s="12"/>
      <c r="AK1693" s="12" t="s">
        <v>68</v>
      </c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  <c r="BO1693" s="12"/>
      <c r="BP1693" s="12"/>
      <c r="BQ1693" s="12"/>
      <c r="BR1693" s="12"/>
    </row>
    <row r="1694" spans="1:70">
      <c r="A1694" s="13" t="s">
        <v>2995</v>
      </c>
      <c r="B1694" s="12" t="str">
        <f t="shared" si="317"/>
        <v>STEYN</v>
      </c>
      <c r="C1694" s="12" t="str">
        <f t="shared" si="318"/>
        <v>STEYN</v>
      </c>
      <c r="D1694" s="12" t="s">
        <v>2253</v>
      </c>
      <c r="E1694" s="12" t="str">
        <f t="shared" si="328"/>
        <v>Johannes Jacobus</v>
      </c>
      <c r="F1694" s="12" t="s">
        <v>13242</v>
      </c>
      <c r="G1694" s="12" t="str">
        <f t="shared" si="319"/>
        <v>a1b2c3d13e2f2</v>
      </c>
      <c r="H1694" s="12" t="str">
        <f t="shared" si="320"/>
        <v>STEYNa1b2c3d13e2f2</v>
      </c>
      <c r="I1694" s="12"/>
      <c r="J1694" s="12" t="s">
        <v>13243</v>
      </c>
      <c r="K1694" s="12" t="str">
        <f t="shared" si="321"/>
        <v>1823</v>
      </c>
      <c r="L1694" s="12" t="s">
        <v>32</v>
      </c>
      <c r="M1694" s="12" t="s">
        <v>13244</v>
      </c>
      <c r="N1694" s="12" t="str">
        <f t="shared" si="326"/>
        <v>1823</v>
      </c>
      <c r="O1694" s="12" t="str">
        <f t="shared" si="327"/>
        <v>1823</v>
      </c>
      <c r="P1694" s="12" t="s">
        <v>24</v>
      </c>
      <c r="Q1694" s="12" t="str">
        <f t="shared" si="322"/>
        <v>1823</v>
      </c>
      <c r="R1694" s="12" t="s">
        <v>12703</v>
      </c>
      <c r="S1694" s="12" t="str">
        <f t="shared" si="323"/>
        <v>1894</v>
      </c>
      <c r="T1694" s="12"/>
      <c r="U1694" s="12"/>
      <c r="V1694" s="12" t="str">
        <f t="shared" si="324"/>
        <v/>
      </c>
      <c r="W1694" s="12" t="s">
        <v>13245</v>
      </c>
      <c r="X1694" s="12" t="s">
        <v>2222</v>
      </c>
      <c r="Y1694" s="12"/>
      <c r="Z1694" s="12"/>
      <c r="AA1694" s="12"/>
      <c r="AB1694" s="12"/>
      <c r="AC1694" s="12"/>
      <c r="AD1694" s="12"/>
      <c r="AE1694" s="12"/>
      <c r="AF1694" s="12" t="s">
        <v>13184</v>
      </c>
      <c r="AG1694" s="12" t="s">
        <v>32</v>
      </c>
      <c r="AH1694" s="12"/>
      <c r="AI1694" s="12" t="str">
        <f t="shared" si="325"/>
        <v/>
      </c>
      <c r="AJ1694" s="12"/>
      <c r="AK1694" s="12" t="s">
        <v>155</v>
      </c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  <c r="BO1694" s="12"/>
      <c r="BP1694" s="12"/>
      <c r="BQ1694" s="12"/>
      <c r="BR1694" s="12"/>
    </row>
    <row r="1695" spans="1:70">
      <c r="A1695" s="13" t="s">
        <v>2995</v>
      </c>
      <c r="B1695" s="12" t="str">
        <f t="shared" si="317"/>
        <v>STEYN</v>
      </c>
      <c r="C1695" s="12" t="str">
        <f t="shared" si="318"/>
        <v>STEYN</v>
      </c>
      <c r="D1695" s="12" t="s">
        <v>13160</v>
      </c>
      <c r="E1695" s="12" t="str">
        <f t="shared" si="328"/>
        <v>Douw Petrus Jacobus</v>
      </c>
      <c r="F1695" s="12" t="s">
        <v>13161</v>
      </c>
      <c r="G1695" s="12" t="str">
        <f t="shared" si="319"/>
        <v>a1b2c3d4e11</v>
      </c>
      <c r="H1695" s="12" t="str">
        <f t="shared" si="320"/>
        <v>STEYNa1b2c3d4e11</v>
      </c>
      <c r="I1695" s="12"/>
      <c r="J1695" s="12"/>
      <c r="K1695" s="12" t="str">
        <f t="shared" si="321"/>
        <v/>
      </c>
      <c r="L1695" s="12" t="s">
        <v>74</v>
      </c>
      <c r="M1695" s="12" t="s">
        <v>13162</v>
      </c>
      <c r="N1695" s="12" t="str">
        <f t="shared" si="326"/>
        <v/>
      </c>
      <c r="O1695" s="12" t="str">
        <f t="shared" si="327"/>
        <v>1797</v>
      </c>
      <c r="P1695" s="12"/>
      <c r="Q1695" s="12" t="str">
        <f t="shared" si="322"/>
        <v>1797</v>
      </c>
      <c r="R1695" s="12"/>
      <c r="S1695" s="12" t="str">
        <f t="shared" si="323"/>
        <v/>
      </c>
      <c r="T1695" s="12" t="s">
        <v>366</v>
      </c>
      <c r="U1695" s="12" t="s">
        <v>401</v>
      </c>
      <c r="V1695" s="12" t="str">
        <f t="shared" si="324"/>
        <v>1824</v>
      </c>
      <c r="W1695" s="12" t="s">
        <v>13163</v>
      </c>
      <c r="X1695" s="12" t="s">
        <v>4236</v>
      </c>
      <c r="Y1695" s="12"/>
      <c r="Z1695" s="12"/>
      <c r="AA1695" s="12"/>
      <c r="AB1695" s="12"/>
      <c r="AC1695" s="12"/>
      <c r="AD1695" s="12"/>
      <c r="AE1695" s="12"/>
      <c r="AF1695" s="12"/>
      <c r="AG1695" s="12" t="s">
        <v>366</v>
      </c>
      <c r="AH1695" s="12" t="s">
        <v>5445</v>
      </c>
      <c r="AI1695" s="12" t="str">
        <f t="shared" si="325"/>
        <v>1839</v>
      </c>
      <c r="AJ1695" s="12"/>
      <c r="AK1695" s="12" t="s">
        <v>551</v>
      </c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  <c r="BO1695" s="12"/>
      <c r="BP1695" s="12"/>
      <c r="BQ1695" s="12"/>
      <c r="BR1695" s="12"/>
    </row>
    <row r="1696" spans="1:70">
      <c r="A1696" s="13" t="s">
        <v>2995</v>
      </c>
      <c r="B1696" s="12" t="str">
        <f t="shared" si="317"/>
        <v>STEYN</v>
      </c>
      <c r="C1696" s="12" t="str">
        <f t="shared" si="318"/>
        <v>STEYN</v>
      </c>
      <c r="D1696" s="12" t="s">
        <v>3345</v>
      </c>
      <c r="E1696" s="12" t="str">
        <f t="shared" si="328"/>
        <v>Lucas Cornelis</v>
      </c>
      <c r="F1696" s="12" t="s">
        <v>13263</v>
      </c>
      <c r="G1696" s="12" t="str">
        <f t="shared" si="319"/>
        <v>a1b2c3d4e2f2</v>
      </c>
      <c r="H1696" s="12" t="str">
        <f t="shared" si="320"/>
        <v>STEYNa1b2c3d4e2f2</v>
      </c>
      <c r="I1696" s="12"/>
      <c r="J1696" s="12"/>
      <c r="K1696" s="12" t="str">
        <f t="shared" si="321"/>
        <v/>
      </c>
      <c r="L1696" s="12" t="s">
        <v>74</v>
      </c>
      <c r="M1696" s="12" t="s">
        <v>13264</v>
      </c>
      <c r="N1696" s="12" t="str">
        <f t="shared" si="326"/>
        <v/>
      </c>
      <c r="O1696" s="12" t="str">
        <f t="shared" si="327"/>
        <v>1794</v>
      </c>
      <c r="P1696" s="12"/>
      <c r="Q1696" s="12" t="str">
        <f t="shared" si="322"/>
        <v>1794</v>
      </c>
      <c r="R1696" s="12"/>
      <c r="S1696" s="12" t="str">
        <f t="shared" si="323"/>
        <v/>
      </c>
      <c r="T1696" s="12" t="s">
        <v>74</v>
      </c>
      <c r="U1696" s="12" t="s">
        <v>2667</v>
      </c>
      <c r="V1696" s="12" t="str">
        <f t="shared" si="324"/>
        <v>1816</v>
      </c>
      <c r="W1696" s="12" t="s">
        <v>13265</v>
      </c>
      <c r="X1696" s="12" t="s">
        <v>1453</v>
      </c>
      <c r="Y1696" s="12"/>
      <c r="Z1696" s="12"/>
      <c r="AA1696" s="12"/>
      <c r="AB1696" s="12" t="s">
        <v>8630</v>
      </c>
      <c r="AC1696" s="12"/>
      <c r="AD1696" s="12"/>
      <c r="AE1696" s="12"/>
      <c r="AF1696" s="12" t="s">
        <v>3706</v>
      </c>
      <c r="AG1696" s="12" t="s">
        <v>68</v>
      </c>
      <c r="AH1696" s="12">
        <v>1837</v>
      </c>
      <c r="AI1696" s="12" t="str">
        <f t="shared" si="325"/>
        <v>1837</v>
      </c>
      <c r="AJ1696" s="12" t="s">
        <v>10763</v>
      </c>
      <c r="AK1696" s="12" t="s">
        <v>155</v>
      </c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  <c r="BO1696" s="12"/>
      <c r="BP1696" s="12"/>
      <c r="BQ1696" s="12"/>
      <c r="BR1696" s="12"/>
    </row>
    <row r="1697" spans="1:70">
      <c r="A1697" s="13" t="s">
        <v>2995</v>
      </c>
      <c r="B1697" s="12" t="str">
        <f t="shared" si="317"/>
        <v>STEYN</v>
      </c>
      <c r="C1697" s="12" t="str">
        <f t="shared" si="318"/>
        <v>STEYN</v>
      </c>
      <c r="D1697" s="12" t="s">
        <v>1268</v>
      </c>
      <c r="E1697" s="12" t="str">
        <f t="shared" si="328"/>
        <v>Johannes Christiaan</v>
      </c>
      <c r="F1697" s="12" t="s">
        <v>13225</v>
      </c>
      <c r="G1697" s="12" t="str">
        <f t="shared" si="319"/>
        <v>a1b2c3d4e2f2g1</v>
      </c>
      <c r="H1697" s="12" t="str">
        <f t="shared" si="320"/>
        <v>STEYNa1b2c3d4e2f2g1</v>
      </c>
      <c r="I1697" s="12"/>
      <c r="J1697" s="12" t="s">
        <v>13226</v>
      </c>
      <c r="K1697" s="12" t="str">
        <f t="shared" si="321"/>
        <v>1817</v>
      </c>
      <c r="L1697" s="12" t="s">
        <v>74</v>
      </c>
      <c r="M1697" s="12" t="s">
        <v>13227</v>
      </c>
      <c r="N1697" s="12" t="str">
        <f t="shared" si="326"/>
        <v>1817</v>
      </c>
      <c r="O1697" s="12" t="str">
        <f t="shared" si="327"/>
        <v>1818</v>
      </c>
      <c r="P1697" s="12"/>
      <c r="Q1697" s="12" t="str">
        <f t="shared" si="322"/>
        <v>1817</v>
      </c>
      <c r="R1697" s="12"/>
      <c r="S1697" s="12" t="str">
        <f t="shared" si="323"/>
        <v/>
      </c>
      <c r="T1697" s="12" t="s">
        <v>168</v>
      </c>
      <c r="U1697" s="12" t="s">
        <v>13228</v>
      </c>
      <c r="V1697" s="12" t="str">
        <f t="shared" si="324"/>
        <v>1840</v>
      </c>
      <c r="W1697" s="12" t="s">
        <v>13229</v>
      </c>
      <c r="X1697" s="12" t="s">
        <v>2901</v>
      </c>
      <c r="Y1697" s="12" t="s">
        <v>7533</v>
      </c>
      <c r="Z1697" s="12"/>
      <c r="AA1697" s="12" t="s">
        <v>7809</v>
      </c>
      <c r="AB1697" s="12"/>
      <c r="AC1697" s="12" t="s">
        <v>4109</v>
      </c>
      <c r="AD1697" s="12" t="s">
        <v>24</v>
      </c>
      <c r="AE1697" s="12" t="s">
        <v>13230</v>
      </c>
      <c r="AF1697" s="12" t="s">
        <v>3706</v>
      </c>
      <c r="AG1697" s="12" t="s">
        <v>68</v>
      </c>
      <c r="AH1697" s="12">
        <v>1837</v>
      </c>
      <c r="AI1697" s="12" t="str">
        <f t="shared" si="325"/>
        <v>1837</v>
      </c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  <c r="BO1697" s="12"/>
      <c r="BP1697" s="12"/>
      <c r="BQ1697" s="12"/>
      <c r="BR1697" s="12"/>
    </row>
    <row r="1698" spans="1:70">
      <c r="A1698" s="13" t="s">
        <v>2995</v>
      </c>
      <c r="B1698" s="12" t="str">
        <f t="shared" si="317"/>
        <v>STEYN</v>
      </c>
      <c r="C1698" s="12" t="str">
        <f t="shared" si="318"/>
        <v>STEYN</v>
      </c>
      <c r="D1698" s="12" t="s">
        <v>8915</v>
      </c>
      <c r="E1698" s="12" t="str">
        <f t="shared" si="328"/>
        <v>Gerhardus Daniel</v>
      </c>
      <c r="F1698" s="12" t="s">
        <v>13285</v>
      </c>
      <c r="G1698" s="12" t="str">
        <f t="shared" si="319"/>
        <v>a1b2c3d4e2f2g3</v>
      </c>
      <c r="H1698" s="12" t="str">
        <f t="shared" si="320"/>
        <v>STEYNa1b2c3d4e2f2g3</v>
      </c>
      <c r="I1698" s="12"/>
      <c r="J1698" s="12" t="s">
        <v>12515</v>
      </c>
      <c r="K1698" s="12" t="str">
        <f t="shared" si="321"/>
        <v>1821</v>
      </c>
      <c r="L1698" s="12" t="s">
        <v>74</v>
      </c>
      <c r="M1698" s="12" t="s">
        <v>1349</v>
      </c>
      <c r="N1698" s="12" t="str">
        <f t="shared" si="326"/>
        <v>1821</v>
      </c>
      <c r="O1698" s="12" t="str">
        <f t="shared" si="327"/>
        <v>1822</v>
      </c>
      <c r="P1698" s="12" t="s">
        <v>24</v>
      </c>
      <c r="Q1698" s="12" t="str">
        <f t="shared" si="322"/>
        <v>1821</v>
      </c>
      <c r="R1698" s="12" t="s">
        <v>13286</v>
      </c>
      <c r="S1698" s="12" t="str">
        <f t="shared" si="323"/>
        <v>1876</v>
      </c>
      <c r="T1698" s="12" t="s">
        <v>140</v>
      </c>
      <c r="U1698" s="12" t="s">
        <v>13287</v>
      </c>
      <c r="V1698" s="12" t="str">
        <f t="shared" si="324"/>
        <v>1840</v>
      </c>
      <c r="W1698" s="12" t="s">
        <v>8166</v>
      </c>
      <c r="X1698" s="12" t="s">
        <v>704</v>
      </c>
      <c r="Y1698" s="12"/>
      <c r="Z1698" s="12"/>
      <c r="AA1698" s="12"/>
      <c r="AB1698" s="12"/>
      <c r="AC1698" s="12"/>
      <c r="AD1698" s="12" t="s">
        <v>24</v>
      </c>
      <c r="AE1698" s="12" t="s">
        <v>13288</v>
      </c>
      <c r="AF1698" s="12" t="s">
        <v>3706</v>
      </c>
      <c r="AG1698" s="12" t="s">
        <v>68</v>
      </c>
      <c r="AH1698" s="12" t="s">
        <v>385</v>
      </c>
      <c r="AI1698" s="12" t="str">
        <f t="shared" si="325"/>
        <v>1840</v>
      </c>
      <c r="AJ1698" s="12"/>
      <c r="AK1698" s="12" t="s">
        <v>551</v>
      </c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  <c r="BO1698" s="12"/>
      <c r="BP1698" s="12"/>
      <c r="BQ1698" s="12"/>
      <c r="BR1698" s="12"/>
    </row>
    <row r="1699" spans="1:70">
      <c r="A1699" s="13" t="s">
        <v>2995</v>
      </c>
      <c r="B1699" s="12" t="str">
        <f t="shared" si="317"/>
        <v>STEYN</v>
      </c>
      <c r="C1699" s="12" t="str">
        <f t="shared" si="318"/>
        <v>STEYN</v>
      </c>
      <c r="D1699" s="12" t="s">
        <v>13246</v>
      </c>
      <c r="E1699" s="12" t="str">
        <f t="shared" si="328"/>
        <v>Johannes Jurgen (L.Seun)</v>
      </c>
      <c r="F1699" s="12" t="s">
        <v>13247</v>
      </c>
      <c r="G1699" s="12" t="str">
        <f t="shared" si="319"/>
        <v>a1b2c3d4e2f2g5</v>
      </c>
      <c r="H1699" s="12" t="str">
        <f t="shared" si="320"/>
        <v>STEYNa1b2c3d4e2f2g5</v>
      </c>
      <c r="I1699" s="12"/>
      <c r="J1699" s="12" t="s">
        <v>428</v>
      </c>
      <c r="K1699" s="12" t="str">
        <f t="shared" si="321"/>
        <v>1825</v>
      </c>
      <c r="L1699" s="12" t="s">
        <v>74</v>
      </c>
      <c r="M1699" s="12" t="s">
        <v>3563</v>
      </c>
      <c r="N1699" s="12" t="str">
        <f t="shared" si="326"/>
        <v>1825</v>
      </c>
      <c r="O1699" s="12" t="str">
        <f t="shared" si="327"/>
        <v>1825</v>
      </c>
      <c r="P1699" s="12"/>
      <c r="Q1699" s="12" t="str">
        <f t="shared" si="322"/>
        <v>1825</v>
      </c>
      <c r="R1699" s="12"/>
      <c r="S1699" s="12" t="str">
        <f t="shared" si="323"/>
        <v/>
      </c>
      <c r="T1699" s="12"/>
      <c r="U1699" s="12"/>
      <c r="V1699" s="12" t="str">
        <f t="shared" si="324"/>
        <v/>
      </c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 t="s">
        <v>3706</v>
      </c>
      <c r="AG1699" s="12" t="s">
        <v>68</v>
      </c>
      <c r="AH1699" s="12">
        <v>1837</v>
      </c>
      <c r="AI1699" s="12" t="str">
        <f t="shared" si="325"/>
        <v>1837</v>
      </c>
      <c r="AJ1699" s="12" t="s">
        <v>10763</v>
      </c>
      <c r="AK1699" s="12" t="s">
        <v>155</v>
      </c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  <c r="BO1699" s="12"/>
      <c r="BP1699" s="12"/>
      <c r="BQ1699" s="12"/>
      <c r="BR1699" s="12"/>
    </row>
    <row r="1700" spans="1:70">
      <c r="A1700" s="13" t="s">
        <v>2995</v>
      </c>
      <c r="B1700" s="12" t="str">
        <f t="shared" si="317"/>
        <v>STEYN</v>
      </c>
      <c r="C1700" s="12" t="str">
        <f t="shared" si="318"/>
        <v>STEYN</v>
      </c>
      <c r="D1700" s="12" t="s">
        <v>567</v>
      </c>
      <c r="E1700" s="12" t="str">
        <f t="shared" si="328"/>
        <v>Hans Jurgen</v>
      </c>
      <c r="F1700" s="12" t="s">
        <v>13171</v>
      </c>
      <c r="G1700" s="12" t="str">
        <f t="shared" si="319"/>
        <v>a1b2c3d4e2f3</v>
      </c>
      <c r="H1700" s="12" t="str">
        <f t="shared" si="320"/>
        <v>STEYNa1b2c3d4e2f3</v>
      </c>
      <c r="I1700" s="12"/>
      <c r="J1700" s="12"/>
      <c r="K1700" s="12" t="str">
        <f t="shared" si="321"/>
        <v/>
      </c>
      <c r="L1700" s="12"/>
      <c r="M1700" s="12" t="s">
        <v>13172</v>
      </c>
      <c r="N1700" s="12" t="str">
        <f t="shared" si="326"/>
        <v/>
      </c>
      <c r="O1700" s="12" t="str">
        <f t="shared" si="327"/>
        <v>1795</v>
      </c>
      <c r="P1700" s="12"/>
      <c r="Q1700" s="12" t="str">
        <f t="shared" si="322"/>
        <v>1795</v>
      </c>
      <c r="R1700" s="12"/>
      <c r="S1700" s="12" t="str">
        <f t="shared" si="323"/>
        <v/>
      </c>
      <c r="T1700" s="12"/>
      <c r="U1700" s="12"/>
      <c r="V1700" s="12" t="str">
        <f t="shared" si="324"/>
        <v/>
      </c>
      <c r="W1700" s="12" t="s">
        <v>13173</v>
      </c>
      <c r="X1700" s="12" t="s">
        <v>2901</v>
      </c>
      <c r="Y1700" s="12"/>
      <c r="Z1700" s="12"/>
      <c r="AA1700" s="12"/>
      <c r="AB1700" s="12" t="s">
        <v>74</v>
      </c>
      <c r="AC1700" s="12" t="s">
        <v>2247</v>
      </c>
      <c r="AD1700" s="12"/>
      <c r="AE1700" s="12">
        <v>1826</v>
      </c>
      <c r="AF1700" s="12" t="s">
        <v>3706</v>
      </c>
      <c r="AG1700" s="12" t="s">
        <v>68</v>
      </c>
      <c r="AH1700" s="12" t="s">
        <v>13174</v>
      </c>
      <c r="AI1700" s="12" t="str">
        <f t="shared" si="325"/>
        <v>1838</v>
      </c>
      <c r="AJ1700" s="12" t="s">
        <v>12470</v>
      </c>
      <c r="AK1700" s="12" t="s">
        <v>155</v>
      </c>
      <c r="AL1700" s="12"/>
      <c r="AM1700" s="12">
        <v>1826</v>
      </c>
      <c r="AN1700" s="12" t="s">
        <v>13175</v>
      </c>
      <c r="AO1700" s="12" t="s">
        <v>2111</v>
      </c>
      <c r="AP1700" s="12"/>
      <c r="AQ1700" s="12"/>
      <c r="AR1700" s="12"/>
      <c r="AS1700" s="12"/>
      <c r="AT1700" s="12" t="s">
        <v>4313</v>
      </c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  <c r="BO1700" s="12"/>
      <c r="BP1700" s="12"/>
      <c r="BQ1700" s="12"/>
      <c r="BR1700" s="12"/>
    </row>
    <row r="1701" spans="1:70">
      <c r="A1701" s="13" t="s">
        <v>2995</v>
      </c>
      <c r="B1701" s="12" t="str">
        <f t="shared" si="317"/>
        <v>STEYN</v>
      </c>
      <c r="C1701" s="12" t="str">
        <f t="shared" si="318"/>
        <v>STEYN</v>
      </c>
      <c r="D1701" s="12" t="s">
        <v>6562</v>
      </c>
      <c r="E1701" s="12" t="str">
        <f t="shared" si="328"/>
        <v>Johannes Gerhardus</v>
      </c>
      <c r="F1701" s="12" t="s">
        <v>13238</v>
      </c>
      <c r="G1701" s="12" t="str">
        <f t="shared" si="319"/>
        <v>a1b2c3d4e2f3g3</v>
      </c>
      <c r="H1701" s="12" t="str">
        <f t="shared" si="320"/>
        <v>STEYNa1b2c3d4e2f3g3</v>
      </c>
      <c r="I1701" s="12"/>
      <c r="J1701" s="12" t="s">
        <v>13239</v>
      </c>
      <c r="K1701" s="12" t="str">
        <f t="shared" si="321"/>
        <v>1822</v>
      </c>
      <c r="L1701" s="12" t="s">
        <v>28</v>
      </c>
      <c r="M1701" s="12" t="s">
        <v>8053</v>
      </c>
      <c r="N1701" s="12" t="str">
        <f t="shared" si="326"/>
        <v>1822</v>
      </c>
      <c r="O1701" s="12" t="str">
        <f t="shared" si="327"/>
        <v>1823</v>
      </c>
      <c r="P1701" s="12"/>
      <c r="Q1701" s="12" t="str">
        <f t="shared" si="322"/>
        <v>1822</v>
      </c>
      <c r="R1701" s="12"/>
      <c r="S1701" s="12" t="str">
        <f t="shared" si="323"/>
        <v/>
      </c>
      <c r="T1701" s="12"/>
      <c r="U1701" s="12"/>
      <c r="V1701" s="12" t="str">
        <f t="shared" si="324"/>
        <v/>
      </c>
      <c r="W1701" s="12" t="s">
        <v>13240</v>
      </c>
      <c r="X1701" s="12" t="s">
        <v>3321</v>
      </c>
      <c r="Y1701" s="12"/>
      <c r="Z1701" s="12"/>
      <c r="AA1701" s="12"/>
      <c r="AB1701" s="12"/>
      <c r="AC1701" s="12"/>
      <c r="AD1701" s="12"/>
      <c r="AE1701" s="12"/>
      <c r="AF1701" s="12" t="s">
        <v>3706</v>
      </c>
      <c r="AG1701" s="12" t="s">
        <v>68</v>
      </c>
      <c r="AH1701" s="12" t="s">
        <v>13241</v>
      </c>
      <c r="AI1701" s="12" t="str">
        <f t="shared" si="325"/>
        <v>1837</v>
      </c>
      <c r="AJ1701" s="12" t="s">
        <v>10763</v>
      </c>
      <c r="AK1701" s="12" t="s">
        <v>155</v>
      </c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  <c r="BO1701" s="12"/>
      <c r="BP1701" s="12"/>
      <c r="BQ1701" s="12"/>
      <c r="BR1701" s="12"/>
    </row>
    <row r="1702" spans="1:70">
      <c r="A1702" s="13" t="s">
        <v>2995</v>
      </c>
      <c r="B1702" s="12" t="str">
        <f t="shared" si="317"/>
        <v>STEYN</v>
      </c>
      <c r="C1702" s="12" t="str">
        <f t="shared" si="318"/>
        <v>STEYN</v>
      </c>
      <c r="D1702" s="12" t="s">
        <v>13312</v>
      </c>
      <c r="E1702" s="12" t="str">
        <f t="shared" si="328"/>
        <v>Theunis Frederik Jacobus</v>
      </c>
      <c r="F1702" s="12" t="s">
        <v>13313</v>
      </c>
      <c r="G1702" s="12" t="str">
        <f t="shared" si="319"/>
        <v>a1b2c3d4e2f7</v>
      </c>
      <c r="H1702" s="12" t="str">
        <f t="shared" si="320"/>
        <v>STEYNa1b2c3d4e2f7</v>
      </c>
      <c r="I1702" s="12"/>
      <c r="J1702" s="12" t="s">
        <v>9665</v>
      </c>
      <c r="K1702" s="12" t="str">
        <f t="shared" si="321"/>
        <v>1806</v>
      </c>
      <c r="L1702" s="12" t="s">
        <v>74</v>
      </c>
      <c r="M1702" s="12" t="s">
        <v>13314</v>
      </c>
      <c r="N1702" s="12" t="str">
        <f t="shared" si="326"/>
        <v>1806</v>
      </c>
      <c r="O1702" s="12" t="str">
        <f t="shared" si="327"/>
        <v>1808</v>
      </c>
      <c r="P1702" s="12" t="s">
        <v>140</v>
      </c>
      <c r="Q1702" s="12" t="str">
        <f t="shared" si="322"/>
        <v>1806</v>
      </c>
      <c r="R1702" s="12" t="s">
        <v>13315</v>
      </c>
      <c r="S1702" s="12" t="str">
        <f t="shared" si="323"/>
        <v>1889</v>
      </c>
      <c r="T1702" s="12" t="s">
        <v>68</v>
      </c>
      <c r="U1702" s="12" t="s">
        <v>44</v>
      </c>
      <c r="V1702" s="12" t="str">
        <f t="shared" si="324"/>
        <v>1826</v>
      </c>
      <c r="W1702" s="12" t="s">
        <v>13316</v>
      </c>
      <c r="X1702" s="12" t="s">
        <v>662</v>
      </c>
      <c r="Y1702" s="12"/>
      <c r="Z1702" s="12"/>
      <c r="AA1702" s="12" t="s">
        <v>13317</v>
      </c>
      <c r="AB1702" s="12" t="s">
        <v>74</v>
      </c>
      <c r="AC1702" s="12" t="s">
        <v>2895</v>
      </c>
      <c r="AD1702" s="12" t="s">
        <v>140</v>
      </c>
      <c r="AE1702" s="12" t="s">
        <v>13318</v>
      </c>
      <c r="AF1702" s="12" t="s">
        <v>3706</v>
      </c>
      <c r="AG1702" s="12" t="s">
        <v>68</v>
      </c>
      <c r="AH1702" s="12">
        <v>1837</v>
      </c>
      <c r="AI1702" s="12" t="str">
        <f t="shared" si="325"/>
        <v>1837</v>
      </c>
      <c r="AJ1702" s="12" t="s">
        <v>10763</v>
      </c>
      <c r="AK1702" s="12" t="s">
        <v>5700</v>
      </c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  <c r="BO1702" s="12"/>
      <c r="BP1702" s="12"/>
      <c r="BQ1702" s="12"/>
      <c r="BR1702" s="12"/>
    </row>
    <row r="1703" spans="1:70">
      <c r="A1703" s="13" t="s">
        <v>2995</v>
      </c>
      <c r="B1703" s="12" t="str">
        <f t="shared" si="317"/>
        <v>STEYN</v>
      </c>
      <c r="C1703" s="12" t="str">
        <f t="shared" si="318"/>
        <v>STEYN</v>
      </c>
      <c r="D1703" s="12" t="s">
        <v>13254</v>
      </c>
      <c r="E1703" s="12" t="str">
        <f t="shared" si="328"/>
        <v>Louis Hermanus Petrus</v>
      </c>
      <c r="F1703" s="12" t="s">
        <v>13255</v>
      </c>
      <c r="G1703" s="12" t="str">
        <f t="shared" si="319"/>
        <v>a1b2c3d4e2f9</v>
      </c>
      <c r="H1703" s="12" t="str">
        <f t="shared" si="320"/>
        <v>STEYNa1b2c3d4e2f9</v>
      </c>
      <c r="I1703" s="12"/>
      <c r="J1703" s="12" t="s">
        <v>13256</v>
      </c>
      <c r="K1703" s="12" t="str">
        <f t="shared" si="321"/>
        <v>1815</v>
      </c>
      <c r="L1703" s="12" t="s">
        <v>199</v>
      </c>
      <c r="M1703" s="12" t="s">
        <v>336</v>
      </c>
      <c r="N1703" s="12" t="str">
        <f t="shared" si="326"/>
        <v>1815</v>
      </c>
      <c r="O1703" s="12" t="str">
        <f t="shared" si="327"/>
        <v>1815</v>
      </c>
      <c r="P1703" s="12"/>
      <c r="Q1703" s="12" t="str">
        <f t="shared" si="322"/>
        <v>1815</v>
      </c>
      <c r="R1703" s="12"/>
      <c r="S1703" s="12" t="str">
        <f t="shared" si="323"/>
        <v/>
      </c>
      <c r="T1703" s="12" t="s">
        <v>68</v>
      </c>
      <c r="U1703" s="12" t="s">
        <v>13257</v>
      </c>
      <c r="V1703" s="12" t="str">
        <f t="shared" si="324"/>
        <v>1834</v>
      </c>
      <c r="W1703" s="12" t="s">
        <v>13258</v>
      </c>
      <c r="X1703" s="12" t="s">
        <v>3321</v>
      </c>
      <c r="Y1703" s="12"/>
      <c r="Z1703" s="12"/>
      <c r="AA1703" s="12"/>
      <c r="AB1703" s="12"/>
      <c r="AC1703" s="12"/>
      <c r="AD1703" s="12"/>
      <c r="AE1703" s="12"/>
      <c r="AF1703" s="12" t="s">
        <v>3717</v>
      </c>
      <c r="AG1703" s="12" t="s">
        <v>346</v>
      </c>
      <c r="AH1703" s="12">
        <v>1838</v>
      </c>
      <c r="AI1703" s="12" t="str">
        <f t="shared" si="325"/>
        <v>1838</v>
      </c>
      <c r="AJ1703" s="12" t="s">
        <v>13259</v>
      </c>
      <c r="AK1703" s="12" t="s">
        <v>155</v>
      </c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  <c r="BO1703" s="12"/>
      <c r="BP1703" s="12"/>
      <c r="BQ1703" s="12"/>
      <c r="BR1703" s="12"/>
    </row>
    <row r="1704" spans="1:70">
      <c r="A1704" s="13" t="s">
        <v>2995</v>
      </c>
      <c r="B1704" s="12" t="str">
        <f t="shared" si="317"/>
        <v>STEYN</v>
      </c>
      <c r="C1704" s="12" t="str">
        <f t="shared" si="318"/>
        <v>STEYN</v>
      </c>
      <c r="D1704" s="12" t="s">
        <v>611</v>
      </c>
      <c r="E1704" s="12" t="str">
        <f t="shared" si="328"/>
        <v>Hermanus Stephanus</v>
      </c>
      <c r="F1704" s="12" t="s">
        <v>13197</v>
      </c>
      <c r="G1704" s="12" t="str">
        <f t="shared" si="319"/>
        <v>a1b2c3d4e6f3</v>
      </c>
      <c r="H1704" s="12" t="str">
        <f t="shared" si="320"/>
        <v>STEYNa1b2c3d4e6f3</v>
      </c>
      <c r="I1704" s="12"/>
      <c r="J1704" s="12" t="s">
        <v>207</v>
      </c>
      <c r="K1704" s="12" t="str">
        <f t="shared" si="321"/>
        <v>1811</v>
      </c>
      <c r="L1704" s="12" t="s">
        <v>32</v>
      </c>
      <c r="M1704" s="12" t="s">
        <v>13198</v>
      </c>
      <c r="N1704" s="12" t="str">
        <f t="shared" si="326"/>
        <v>1811</v>
      </c>
      <c r="O1704" s="12" t="str">
        <f t="shared" si="327"/>
        <v>1812</v>
      </c>
      <c r="P1704" s="12"/>
      <c r="Q1704" s="12" t="str">
        <f t="shared" si="322"/>
        <v>1811</v>
      </c>
      <c r="R1704" s="12"/>
      <c r="S1704" s="12" t="str">
        <f t="shared" si="323"/>
        <v/>
      </c>
      <c r="T1704" s="12" t="s">
        <v>366</v>
      </c>
      <c r="U1704" s="12" t="s">
        <v>13199</v>
      </c>
      <c r="V1704" s="12" t="str">
        <f t="shared" si="324"/>
        <v>1838</v>
      </c>
      <c r="W1704" s="12" t="s">
        <v>13200</v>
      </c>
      <c r="X1704" s="12" t="s">
        <v>1760</v>
      </c>
      <c r="Y1704" s="12"/>
      <c r="Z1704" s="12"/>
      <c r="AA1704" s="12"/>
      <c r="AB1704" s="12"/>
      <c r="AC1704" s="12"/>
      <c r="AD1704" s="12"/>
      <c r="AE1704" s="12"/>
      <c r="AF1704" s="12"/>
      <c r="AG1704" s="12" t="s">
        <v>60</v>
      </c>
      <c r="AH1704" s="12" t="s">
        <v>385</v>
      </c>
      <c r="AI1704" s="12" t="str">
        <f t="shared" si="325"/>
        <v>1840</v>
      </c>
      <c r="AJ1704" s="12"/>
      <c r="AK1704" s="12"/>
      <c r="AL1704" s="12" t="s">
        <v>60</v>
      </c>
      <c r="AM1704" s="12" t="s">
        <v>13201</v>
      </c>
      <c r="AN1704" s="12" t="s">
        <v>13202</v>
      </c>
      <c r="AO1704" s="12" t="s">
        <v>3765</v>
      </c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  <c r="BO1704" s="12"/>
      <c r="BP1704" s="12"/>
      <c r="BQ1704" s="12"/>
      <c r="BR1704" s="12"/>
    </row>
    <row r="1705" spans="1:70">
      <c r="A1705" s="13" t="s">
        <v>2995</v>
      </c>
      <c r="B1705" s="12" t="str">
        <f t="shared" si="317"/>
        <v>STEYN</v>
      </c>
      <c r="C1705" s="12" t="str">
        <f t="shared" si="318"/>
        <v>STEYN</v>
      </c>
      <c r="D1705" s="12" t="s">
        <v>13319</v>
      </c>
      <c r="E1705" s="12" t="str">
        <f t="shared" si="328"/>
        <v xml:space="preserve">Willem Hendrik  </v>
      </c>
      <c r="F1705" s="12" t="s">
        <v>13320</v>
      </c>
      <c r="G1705" s="12" t="str">
        <f t="shared" si="319"/>
        <v>a1b2c3d4e6f7</v>
      </c>
      <c r="H1705" s="12" t="str">
        <f t="shared" si="320"/>
        <v>STEYNa1b2c3d4e6f7</v>
      </c>
      <c r="I1705" s="12"/>
      <c r="J1705" s="12" t="s">
        <v>5305</v>
      </c>
      <c r="K1705" s="12" t="str">
        <f t="shared" si="321"/>
        <v>1818</v>
      </c>
      <c r="L1705" s="12" t="s">
        <v>366</v>
      </c>
      <c r="M1705" s="12" t="s">
        <v>13215</v>
      </c>
      <c r="N1705" s="12" t="str">
        <f t="shared" si="326"/>
        <v>1818</v>
      </c>
      <c r="O1705" s="12" t="str">
        <f t="shared" si="327"/>
        <v>1819</v>
      </c>
      <c r="P1705" s="12" t="s">
        <v>190</v>
      </c>
      <c r="Q1705" s="12" t="str">
        <f t="shared" si="322"/>
        <v>1818</v>
      </c>
      <c r="R1705" s="12" t="s">
        <v>13321</v>
      </c>
      <c r="S1705" s="12" t="str">
        <f t="shared" si="323"/>
        <v>1896</v>
      </c>
      <c r="T1705" s="12" t="s">
        <v>140</v>
      </c>
      <c r="U1705" s="12" t="s">
        <v>3449</v>
      </c>
      <c r="V1705" s="12" t="str">
        <f t="shared" si="324"/>
        <v>1840</v>
      </c>
      <c r="W1705" s="12" t="s">
        <v>1943</v>
      </c>
      <c r="X1705" s="12" t="s">
        <v>5086</v>
      </c>
      <c r="Y1705" s="12"/>
      <c r="Z1705" s="12"/>
      <c r="AA1705" s="12"/>
      <c r="AB1705" s="12"/>
      <c r="AC1705" s="12"/>
      <c r="AD1705" s="12"/>
      <c r="AE1705" s="12"/>
      <c r="AF1705" s="12"/>
      <c r="AG1705" s="12" t="s">
        <v>60</v>
      </c>
      <c r="AH1705" s="12">
        <v>1839</v>
      </c>
      <c r="AI1705" s="12" t="str">
        <f t="shared" si="325"/>
        <v>1839</v>
      </c>
      <c r="AJ1705" s="12"/>
      <c r="AK1705" s="12" t="s">
        <v>155</v>
      </c>
      <c r="AL1705" s="12"/>
      <c r="AM1705" s="12"/>
      <c r="AN1705" s="12" t="s">
        <v>13322</v>
      </c>
      <c r="AO1705" s="12" t="s">
        <v>729</v>
      </c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  <c r="BO1705" s="12"/>
      <c r="BP1705" s="12"/>
      <c r="BQ1705" s="12"/>
      <c r="BR1705" s="12"/>
    </row>
    <row r="1706" spans="1:70">
      <c r="A1706" s="13" t="s">
        <v>2995</v>
      </c>
      <c r="B1706" s="12" t="str">
        <f t="shared" si="317"/>
        <v>STEYN</v>
      </c>
      <c r="C1706" s="12" t="str">
        <f t="shared" si="318"/>
        <v>STEYN</v>
      </c>
      <c r="D1706" s="12" t="s">
        <v>4523</v>
      </c>
      <c r="E1706" s="12" t="str">
        <f t="shared" si="328"/>
        <v>Hermanus</v>
      </c>
      <c r="F1706" s="12" t="s">
        <v>13185</v>
      </c>
      <c r="G1706" s="12" t="str">
        <f t="shared" si="319"/>
        <v>a1b2c3d6e1f1</v>
      </c>
      <c r="H1706" s="12" t="str">
        <f t="shared" si="320"/>
        <v>STEYNa1b2c3d6e1f1</v>
      </c>
      <c r="I1706" s="12"/>
      <c r="J1706" s="12"/>
      <c r="K1706" s="12" t="str">
        <f t="shared" si="321"/>
        <v/>
      </c>
      <c r="L1706" s="12"/>
      <c r="M1706" s="12" t="s">
        <v>1714</v>
      </c>
      <c r="N1706" s="12" t="str">
        <f t="shared" si="326"/>
        <v/>
      </c>
      <c r="O1706" s="12" t="str">
        <f t="shared" si="327"/>
        <v>1789</v>
      </c>
      <c r="P1706" s="12"/>
      <c r="Q1706" s="12" t="str">
        <f t="shared" si="322"/>
        <v>1789</v>
      </c>
      <c r="R1706" s="12"/>
      <c r="S1706" s="12" t="str">
        <f t="shared" si="323"/>
        <v/>
      </c>
      <c r="T1706" s="12" t="s">
        <v>74</v>
      </c>
      <c r="U1706" s="12" t="s">
        <v>13186</v>
      </c>
      <c r="V1706" s="12" t="str">
        <f t="shared" si="324"/>
        <v>1808</v>
      </c>
      <c r="W1706" s="12" t="s">
        <v>4261</v>
      </c>
      <c r="X1706" s="12" t="s">
        <v>757</v>
      </c>
      <c r="Y1706" s="12"/>
      <c r="Z1706" s="12"/>
      <c r="AA1706" s="12">
        <v>1787</v>
      </c>
      <c r="AB1706" s="12"/>
      <c r="AC1706" s="12" t="s">
        <v>4047</v>
      </c>
      <c r="AD1706" s="12"/>
      <c r="AE1706" s="12"/>
      <c r="AF1706" s="12" t="s">
        <v>16</v>
      </c>
      <c r="AG1706" s="12" t="s">
        <v>68</v>
      </c>
      <c r="AH1706" s="12" t="s">
        <v>12621</v>
      </c>
      <c r="AI1706" s="12" t="str">
        <f t="shared" si="325"/>
        <v>1836</v>
      </c>
      <c r="AJ1706" s="12" t="s">
        <v>13060</v>
      </c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  <c r="BO1706" s="12"/>
      <c r="BP1706" s="12"/>
      <c r="BQ1706" s="12"/>
      <c r="BR1706" s="12"/>
    </row>
    <row r="1707" spans="1:70">
      <c r="A1707" s="13" t="s">
        <v>2995</v>
      </c>
      <c r="B1707" s="12" t="str">
        <f t="shared" si="317"/>
        <v>STEYN</v>
      </c>
      <c r="C1707" s="12" t="str">
        <f t="shared" si="318"/>
        <v>STEYN</v>
      </c>
      <c r="D1707" s="12" t="s">
        <v>4523</v>
      </c>
      <c r="E1707" s="12" t="str">
        <f t="shared" si="328"/>
        <v>Hermanus</v>
      </c>
      <c r="F1707" s="12" t="s">
        <v>13187</v>
      </c>
      <c r="G1707" s="12" t="str">
        <f t="shared" si="319"/>
        <v>a1b2c3d6e1f1g1</v>
      </c>
      <c r="H1707" s="12" t="str">
        <f t="shared" si="320"/>
        <v>STEYNa1b2c3d6e1f1g1</v>
      </c>
      <c r="I1707" s="12"/>
      <c r="J1707" s="12"/>
      <c r="K1707" s="12" t="str">
        <f t="shared" si="321"/>
        <v/>
      </c>
      <c r="L1707" s="12"/>
      <c r="M1707" s="12" t="s">
        <v>13188</v>
      </c>
      <c r="N1707" s="12" t="str">
        <f t="shared" si="326"/>
        <v/>
      </c>
      <c r="O1707" s="12" t="str">
        <f t="shared" si="327"/>
        <v>1809</v>
      </c>
      <c r="P1707" s="12" t="s">
        <v>190</v>
      </c>
      <c r="Q1707" s="12" t="str">
        <f t="shared" si="322"/>
        <v>1809</v>
      </c>
      <c r="R1707" s="12" t="s">
        <v>13189</v>
      </c>
      <c r="S1707" s="12" t="str">
        <f t="shared" si="323"/>
        <v>1882</v>
      </c>
      <c r="T1707" s="12" t="s">
        <v>28</v>
      </c>
      <c r="U1707" s="12" t="s">
        <v>4321</v>
      </c>
      <c r="V1707" s="12" t="str">
        <f t="shared" si="324"/>
        <v>1829</v>
      </c>
      <c r="W1707" s="12" t="s">
        <v>13190</v>
      </c>
      <c r="X1707" s="12" t="s">
        <v>2589</v>
      </c>
      <c r="Y1707" s="12"/>
      <c r="Z1707" s="12"/>
      <c r="AA1707" s="12" t="s">
        <v>13191</v>
      </c>
      <c r="AB1707" s="12" t="s">
        <v>74</v>
      </c>
      <c r="AC1707" s="12" t="s">
        <v>200</v>
      </c>
      <c r="AD1707" s="12" t="s">
        <v>190</v>
      </c>
      <c r="AE1707" s="12" t="s">
        <v>13192</v>
      </c>
      <c r="AF1707" s="12" t="s">
        <v>3714</v>
      </c>
      <c r="AG1707" s="12" t="s">
        <v>68</v>
      </c>
      <c r="AH1707" s="12" t="s">
        <v>12621</v>
      </c>
      <c r="AI1707" s="12" t="str">
        <f t="shared" si="325"/>
        <v>1836</v>
      </c>
      <c r="AJ1707" s="12" t="s">
        <v>13060</v>
      </c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  <c r="BO1707" s="12"/>
      <c r="BP1707" s="12"/>
      <c r="BQ1707" s="12"/>
      <c r="BR1707" s="12"/>
    </row>
    <row r="1708" spans="1:70">
      <c r="A1708" s="13" t="s">
        <v>2995</v>
      </c>
      <c r="B1708" s="12" t="str">
        <f t="shared" si="317"/>
        <v>STEYN</v>
      </c>
      <c r="C1708" s="12" t="str">
        <f t="shared" si="318"/>
        <v>STEYN</v>
      </c>
      <c r="D1708" s="12" t="s">
        <v>4562</v>
      </c>
      <c r="E1708" s="12" t="str">
        <f t="shared" si="328"/>
        <v>Louis Johannes</v>
      </c>
      <c r="F1708" s="12" t="s">
        <v>13260</v>
      </c>
      <c r="G1708" s="12" t="str">
        <f t="shared" si="319"/>
        <v>a1b2c3d6e1f1g2</v>
      </c>
      <c r="H1708" s="12" t="str">
        <f t="shared" si="320"/>
        <v>STEYNa1b2c3d6e1f1g2</v>
      </c>
      <c r="I1708" s="12"/>
      <c r="J1708" s="12"/>
      <c r="K1708" s="12" t="str">
        <f t="shared" si="321"/>
        <v/>
      </c>
      <c r="L1708" s="12"/>
      <c r="M1708" s="12" t="s">
        <v>2737</v>
      </c>
      <c r="N1708" s="12" t="str">
        <f t="shared" si="326"/>
        <v/>
      </c>
      <c r="O1708" s="12" t="str">
        <f t="shared" si="327"/>
        <v>1810</v>
      </c>
      <c r="P1708" s="12" t="s">
        <v>190</v>
      </c>
      <c r="Q1708" s="12" t="str">
        <f t="shared" si="322"/>
        <v>1810</v>
      </c>
      <c r="R1708" s="12" t="s">
        <v>13261</v>
      </c>
      <c r="S1708" s="12" t="str">
        <f t="shared" si="323"/>
        <v>1892</v>
      </c>
      <c r="T1708" s="12" t="s">
        <v>74</v>
      </c>
      <c r="U1708" s="12" t="s">
        <v>1492</v>
      </c>
      <c r="V1708" s="12" t="str">
        <f t="shared" si="324"/>
        <v>1830</v>
      </c>
      <c r="W1708" s="12" t="s">
        <v>13262</v>
      </c>
      <c r="X1708" s="12"/>
      <c r="Y1708" s="12"/>
      <c r="Z1708" s="12"/>
      <c r="AA1708" s="12"/>
      <c r="AB1708" s="12"/>
      <c r="AC1708" s="12">
        <v>1809</v>
      </c>
      <c r="AD1708" s="12"/>
      <c r="AE1708" s="12"/>
      <c r="AF1708" s="12"/>
      <c r="AG1708" s="12" t="s">
        <v>60</v>
      </c>
      <c r="AH1708" s="12" t="s">
        <v>12621</v>
      </c>
      <c r="AI1708" s="12" t="str">
        <f t="shared" si="325"/>
        <v>1836</v>
      </c>
      <c r="AJ1708" s="12" t="s">
        <v>13060</v>
      </c>
      <c r="AK1708" s="12" t="s">
        <v>1035</v>
      </c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  <c r="BO1708" s="12"/>
      <c r="BP1708" s="12"/>
      <c r="BQ1708" s="12"/>
      <c r="BR1708" s="12"/>
    </row>
    <row r="1709" spans="1:70">
      <c r="A1709" s="13" t="s">
        <v>2995</v>
      </c>
      <c r="B1709" s="12" t="str">
        <f t="shared" si="317"/>
        <v>STEYN</v>
      </c>
      <c r="C1709" s="12" t="str">
        <f t="shared" si="318"/>
        <v>STEYN</v>
      </c>
      <c r="D1709" s="12" t="s">
        <v>3944</v>
      </c>
      <c r="E1709" s="12" t="str">
        <f t="shared" si="328"/>
        <v>Nicolaas Johannes</v>
      </c>
      <c r="F1709" s="12" t="s">
        <v>13279</v>
      </c>
      <c r="G1709" s="12" t="str">
        <f t="shared" si="319"/>
        <v>a1b2c3d6e1f1g3</v>
      </c>
      <c r="H1709" s="12" t="str">
        <f t="shared" si="320"/>
        <v>STEYNa1b2c3d6e1f1g3</v>
      </c>
      <c r="I1709" s="12"/>
      <c r="J1709" s="12" t="s">
        <v>13280</v>
      </c>
      <c r="K1709" s="12" t="str">
        <f t="shared" si="321"/>
        <v>1812</v>
      </c>
      <c r="L1709" s="12" t="s">
        <v>74</v>
      </c>
      <c r="M1709" s="12" t="s">
        <v>13281</v>
      </c>
      <c r="N1709" s="12" t="str">
        <f t="shared" si="326"/>
        <v>1812</v>
      </c>
      <c r="O1709" s="12" t="str">
        <f t="shared" si="327"/>
        <v>1812</v>
      </c>
      <c r="P1709" s="12" t="s">
        <v>190</v>
      </c>
      <c r="Q1709" s="12" t="str">
        <f t="shared" si="322"/>
        <v>1812</v>
      </c>
      <c r="R1709" s="12" t="s">
        <v>13282</v>
      </c>
      <c r="S1709" s="12" t="str">
        <f t="shared" si="323"/>
        <v>1877</v>
      </c>
      <c r="T1709" s="12" t="s">
        <v>28</v>
      </c>
      <c r="U1709" s="12" t="s">
        <v>1636</v>
      </c>
      <c r="V1709" s="12" t="str">
        <f t="shared" si="324"/>
        <v>1832</v>
      </c>
      <c r="W1709" s="12" t="s">
        <v>13283</v>
      </c>
      <c r="X1709" s="12" t="s">
        <v>2427</v>
      </c>
      <c r="Y1709" s="12"/>
      <c r="Z1709" s="12"/>
      <c r="AA1709" s="12"/>
      <c r="AB1709" s="12"/>
      <c r="AC1709" s="12"/>
      <c r="AD1709" s="12"/>
      <c r="AE1709" s="12"/>
      <c r="AF1709" s="12" t="s">
        <v>16</v>
      </c>
      <c r="AG1709" s="12" t="s">
        <v>68</v>
      </c>
      <c r="AH1709" s="12" t="s">
        <v>12621</v>
      </c>
      <c r="AI1709" s="12" t="str">
        <f t="shared" si="325"/>
        <v>1836</v>
      </c>
      <c r="AJ1709" s="12" t="s">
        <v>13060</v>
      </c>
      <c r="AK1709" s="12" t="s">
        <v>190</v>
      </c>
      <c r="AL1709" s="12"/>
      <c r="AM1709" s="12"/>
      <c r="AN1709" s="12" t="s">
        <v>13284</v>
      </c>
      <c r="AO1709" s="12" t="s">
        <v>2106</v>
      </c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  <c r="BO1709" s="12"/>
      <c r="BP1709" s="12"/>
      <c r="BQ1709" s="12"/>
      <c r="BR1709" s="12"/>
    </row>
    <row r="1710" spans="1:70">
      <c r="A1710" s="13" t="s">
        <v>2995</v>
      </c>
      <c r="B1710" s="12" t="str">
        <f t="shared" si="317"/>
        <v>STEYN</v>
      </c>
      <c r="C1710" s="12" t="str">
        <f t="shared" si="318"/>
        <v>STEYN</v>
      </c>
      <c r="D1710" s="12" t="s">
        <v>3232</v>
      </c>
      <c r="E1710" s="12" t="str">
        <f t="shared" si="328"/>
        <v>Pieter Jacobus</v>
      </c>
      <c r="F1710" s="12" t="s">
        <v>13303</v>
      </c>
      <c r="G1710" s="12" t="str">
        <f t="shared" si="319"/>
        <v>a1b2c3d6e1f1g6</v>
      </c>
      <c r="H1710" s="12" t="str">
        <f t="shared" si="320"/>
        <v>STEYNa1b2c3d6e1f1g6</v>
      </c>
      <c r="I1710" s="12"/>
      <c r="J1710" s="12" t="s">
        <v>13304</v>
      </c>
      <c r="K1710" s="12" t="str">
        <f t="shared" si="321"/>
        <v>1818</v>
      </c>
      <c r="L1710" s="12" t="s">
        <v>28</v>
      </c>
      <c r="M1710" s="12" t="s">
        <v>13305</v>
      </c>
      <c r="N1710" s="12" t="str">
        <f t="shared" si="326"/>
        <v>1818</v>
      </c>
      <c r="O1710" s="12" t="str">
        <f t="shared" si="327"/>
        <v>1819</v>
      </c>
      <c r="P1710" s="12"/>
      <c r="Q1710" s="12" t="str">
        <f t="shared" si="322"/>
        <v>1818</v>
      </c>
      <c r="R1710" s="12"/>
      <c r="S1710" s="12" t="str">
        <f t="shared" si="323"/>
        <v/>
      </c>
      <c r="T1710" s="12" t="s">
        <v>140</v>
      </c>
      <c r="U1710" s="12" t="s">
        <v>5297</v>
      </c>
      <c r="V1710" s="12" t="str">
        <f t="shared" si="324"/>
        <v>1838</v>
      </c>
      <c r="W1710" s="12" t="s">
        <v>13306</v>
      </c>
      <c r="X1710" s="12" t="s">
        <v>2427</v>
      </c>
      <c r="Y1710" s="12"/>
      <c r="Z1710" s="12"/>
      <c r="AA1710" s="12" t="s">
        <v>1349</v>
      </c>
      <c r="AB1710" s="12" t="s">
        <v>28</v>
      </c>
      <c r="AC1710" s="12" t="s">
        <v>250</v>
      </c>
      <c r="AD1710" s="12"/>
      <c r="AE1710" s="12"/>
      <c r="AF1710" s="12" t="s">
        <v>16</v>
      </c>
      <c r="AG1710" s="12" t="s">
        <v>68</v>
      </c>
      <c r="AH1710" s="12" t="s">
        <v>13307</v>
      </c>
      <c r="AI1710" s="12" t="str">
        <f t="shared" si="325"/>
        <v>1838</v>
      </c>
      <c r="AJ1710" s="12" t="s">
        <v>13060</v>
      </c>
      <c r="AK1710" s="12" t="s">
        <v>1035</v>
      </c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  <c r="BO1710" s="12"/>
      <c r="BP1710" s="12"/>
      <c r="BQ1710" s="12"/>
      <c r="BR1710" s="12"/>
    </row>
    <row r="1711" spans="1:70">
      <c r="A1711" s="13" t="s">
        <v>2995</v>
      </c>
      <c r="B1711" s="12" t="str">
        <f t="shared" si="317"/>
        <v>STEYN</v>
      </c>
      <c r="C1711" s="12" t="str">
        <f t="shared" si="318"/>
        <v>STEYN</v>
      </c>
      <c r="D1711" s="12" t="s">
        <v>13176</v>
      </c>
      <c r="E1711" s="12" t="str">
        <f t="shared" si="328"/>
        <v>Hermanus (M. Seun)</v>
      </c>
      <c r="F1711" s="12" t="s">
        <v>13177</v>
      </c>
      <c r="G1711" s="12" t="str">
        <f t="shared" si="319"/>
        <v>a1b2c3d6e2f1</v>
      </c>
      <c r="H1711" s="12" t="str">
        <f t="shared" si="320"/>
        <v>STEYNa1b2c3d6e2f1</v>
      </c>
      <c r="I1711" s="12"/>
      <c r="J1711" s="12" t="s">
        <v>13178</v>
      </c>
      <c r="K1711" s="12" t="str">
        <f t="shared" si="321"/>
        <v>1791</v>
      </c>
      <c r="L1711" s="12"/>
      <c r="M1711" s="12" t="s">
        <v>13179</v>
      </c>
      <c r="N1711" s="12" t="str">
        <f t="shared" si="326"/>
        <v>1791</v>
      </c>
      <c r="O1711" s="12" t="str">
        <f t="shared" si="327"/>
        <v>1792</v>
      </c>
      <c r="P1711" s="12"/>
      <c r="Q1711" s="12" t="str">
        <f t="shared" si="322"/>
        <v>1791</v>
      </c>
      <c r="R1711" s="12" t="s">
        <v>13128</v>
      </c>
      <c r="S1711" s="12" t="str">
        <f t="shared" si="323"/>
        <v>1869</v>
      </c>
      <c r="T1711" s="12" t="s">
        <v>74</v>
      </c>
      <c r="U1711" s="12" t="s">
        <v>3082</v>
      </c>
      <c r="V1711" s="12" t="str">
        <f t="shared" si="324"/>
        <v>1815</v>
      </c>
      <c r="W1711" s="12" t="s">
        <v>819</v>
      </c>
      <c r="X1711" s="12" t="s">
        <v>822</v>
      </c>
      <c r="Y1711" s="12"/>
      <c r="Z1711" s="12"/>
      <c r="AA1711" s="12"/>
      <c r="AB1711" s="12"/>
      <c r="AC1711" s="12" t="s">
        <v>3567</v>
      </c>
      <c r="AD1711" s="12"/>
      <c r="AE1711" s="12"/>
      <c r="AF1711" s="12"/>
      <c r="AG1711" s="12" t="s">
        <v>366</v>
      </c>
      <c r="AH1711" s="12" t="s">
        <v>13180</v>
      </c>
      <c r="AI1711" s="12" t="str">
        <f t="shared" si="325"/>
        <v>1838</v>
      </c>
      <c r="AJ1711" s="12" t="s">
        <v>13076</v>
      </c>
      <c r="AK1711" s="12" t="s">
        <v>13181</v>
      </c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  <c r="BO1711" s="12"/>
      <c r="BP1711" s="12"/>
      <c r="BQ1711" s="12"/>
      <c r="BR1711" s="12"/>
    </row>
    <row r="1712" spans="1:70">
      <c r="A1712" s="13" t="s">
        <v>2995</v>
      </c>
      <c r="B1712" s="12" t="str">
        <f t="shared" si="317"/>
        <v>STEYN</v>
      </c>
      <c r="C1712" s="12" t="str">
        <f t="shared" si="318"/>
        <v>STEYN</v>
      </c>
      <c r="D1712" s="12" t="s">
        <v>13274</v>
      </c>
      <c r="E1712" s="12" t="str">
        <f t="shared" si="328"/>
        <v>Marthinus Jacobus Dewald</v>
      </c>
      <c r="F1712" s="12" t="s">
        <v>13275</v>
      </c>
      <c r="G1712" s="12" t="str">
        <f t="shared" si="319"/>
        <v>a1b2c3d6e2f1g5</v>
      </c>
      <c r="H1712" s="12" t="str">
        <f t="shared" si="320"/>
        <v>STEYNa1b2c3d6e2f1g5</v>
      </c>
      <c r="I1712" s="12"/>
      <c r="J1712" s="12" t="s">
        <v>13276</v>
      </c>
      <c r="K1712" s="12" t="str">
        <f t="shared" si="321"/>
        <v>1823</v>
      </c>
      <c r="L1712" s="12" t="s">
        <v>366</v>
      </c>
      <c r="M1712" s="12" t="s">
        <v>3594</v>
      </c>
      <c r="N1712" s="12" t="str">
        <f t="shared" si="326"/>
        <v>1823</v>
      </c>
      <c r="O1712" s="12" t="str">
        <f t="shared" si="327"/>
        <v>1824</v>
      </c>
      <c r="P1712" s="12"/>
      <c r="Q1712" s="12" t="str">
        <f t="shared" si="322"/>
        <v>1823</v>
      </c>
      <c r="R1712" s="12"/>
      <c r="S1712" s="12" t="str">
        <f t="shared" si="323"/>
        <v/>
      </c>
      <c r="T1712" s="12"/>
      <c r="U1712" s="12"/>
      <c r="V1712" s="12" t="str">
        <f t="shared" si="324"/>
        <v/>
      </c>
      <c r="W1712" s="12" t="s">
        <v>9674</v>
      </c>
      <c r="X1712" s="12" t="s">
        <v>2138</v>
      </c>
      <c r="Y1712" s="12"/>
      <c r="Z1712" s="12"/>
      <c r="AA1712" s="12" t="s">
        <v>13277</v>
      </c>
      <c r="AB1712" s="12" t="s">
        <v>366</v>
      </c>
      <c r="AC1712" s="12" t="s">
        <v>13278</v>
      </c>
      <c r="AD1712" s="12"/>
      <c r="AE1712" s="12"/>
      <c r="AF1712" s="12"/>
      <c r="AG1712" s="12" t="s">
        <v>366</v>
      </c>
      <c r="AH1712" s="12" t="s">
        <v>12933</v>
      </c>
      <c r="AI1712" s="12" t="str">
        <f t="shared" si="325"/>
        <v>1837</v>
      </c>
      <c r="AJ1712" s="12" t="s">
        <v>413</v>
      </c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  <c r="BO1712" s="12"/>
      <c r="BP1712" s="12"/>
      <c r="BQ1712" s="12"/>
      <c r="BR1712" s="12"/>
    </row>
    <row r="1713" spans="1:82">
      <c r="A1713" s="13" t="s">
        <v>2995</v>
      </c>
      <c r="B1713" s="12" t="str">
        <f t="shared" si="317"/>
        <v>STEYN</v>
      </c>
      <c r="C1713" s="12" t="str">
        <f t="shared" si="318"/>
        <v>STEYN</v>
      </c>
      <c r="D1713" s="12" t="s">
        <v>30</v>
      </c>
      <c r="E1713" s="12" t="str">
        <f t="shared" si="328"/>
        <v>Johannes</v>
      </c>
      <c r="F1713" s="12" t="s">
        <v>13221</v>
      </c>
      <c r="G1713" s="12" t="str">
        <f t="shared" si="319"/>
        <v>a1b2c3d6e7f3</v>
      </c>
      <c r="H1713" s="12" t="str">
        <f t="shared" si="320"/>
        <v>STEYNa1b2c3d6e7f3</v>
      </c>
      <c r="I1713" s="12"/>
      <c r="J1713" s="12" t="s">
        <v>13222</v>
      </c>
      <c r="K1713" s="12" t="str">
        <f t="shared" si="321"/>
        <v>1802</v>
      </c>
      <c r="L1713" s="12"/>
      <c r="M1713" s="12" t="s">
        <v>3192</v>
      </c>
      <c r="N1713" s="12" t="str">
        <f t="shared" si="326"/>
        <v>1802</v>
      </c>
      <c r="O1713" s="12" t="str">
        <f t="shared" si="327"/>
        <v>1802</v>
      </c>
      <c r="P1713" s="12" t="s">
        <v>31</v>
      </c>
      <c r="Q1713" s="12" t="str">
        <f t="shared" si="322"/>
        <v>1802</v>
      </c>
      <c r="R1713" s="12" t="s">
        <v>13223</v>
      </c>
      <c r="S1713" s="12" t="str">
        <f t="shared" si="323"/>
        <v>1885</v>
      </c>
      <c r="T1713" s="12" t="s">
        <v>32</v>
      </c>
      <c r="U1713" s="12" t="s">
        <v>257</v>
      </c>
      <c r="V1713" s="12" t="str">
        <f t="shared" si="324"/>
        <v>1822</v>
      </c>
      <c r="W1713" s="12" t="s">
        <v>13224</v>
      </c>
      <c r="X1713" s="12" t="s">
        <v>731</v>
      </c>
      <c r="Y1713" s="12"/>
      <c r="Z1713" s="12"/>
      <c r="AA1713" s="12"/>
      <c r="AB1713" s="12"/>
      <c r="AC1713" s="12"/>
      <c r="AD1713" s="12"/>
      <c r="AE1713" s="12"/>
      <c r="AF1713" s="12"/>
      <c r="AG1713" s="12" t="s">
        <v>366</v>
      </c>
      <c r="AH1713" s="12" t="s">
        <v>385</v>
      </c>
      <c r="AI1713" s="12" t="str">
        <f t="shared" si="325"/>
        <v>1840</v>
      </c>
      <c r="AJ1713" s="12"/>
      <c r="AK1713" s="12" t="s">
        <v>551</v>
      </c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  <c r="BO1713" s="12"/>
      <c r="BP1713" s="12"/>
      <c r="BQ1713" s="12"/>
      <c r="BR1713" s="12"/>
    </row>
    <row r="1714" spans="1:82">
      <c r="A1714" s="13" t="s">
        <v>2995</v>
      </c>
      <c r="B1714" s="12" t="str">
        <f t="shared" si="317"/>
        <v>STEYN</v>
      </c>
      <c r="C1714" s="12" t="str">
        <f t="shared" si="318"/>
        <v>STEYN</v>
      </c>
      <c r="D1714" s="12" t="s">
        <v>273</v>
      </c>
      <c r="E1714" s="12" t="str">
        <f t="shared" si="328"/>
        <v>Marthinus</v>
      </c>
      <c r="F1714" s="12" t="s">
        <v>13271</v>
      </c>
      <c r="G1714" s="12" t="str">
        <f t="shared" si="319"/>
        <v>a1b2c3d6e7f7</v>
      </c>
      <c r="H1714" s="12" t="str">
        <f t="shared" si="320"/>
        <v>STEYNa1b2c3d6e7f7</v>
      </c>
      <c r="I1714" s="12"/>
      <c r="J1714" s="12" t="s">
        <v>13272</v>
      </c>
      <c r="K1714" s="12" t="str">
        <f t="shared" si="321"/>
        <v>1811</v>
      </c>
      <c r="L1714" s="12" t="s">
        <v>32</v>
      </c>
      <c r="M1714" s="12" t="s">
        <v>1963</v>
      </c>
      <c r="N1714" s="12" t="str">
        <f t="shared" si="326"/>
        <v>1811</v>
      </c>
      <c r="O1714" s="12" t="str">
        <f t="shared" si="327"/>
        <v>1811</v>
      </c>
      <c r="P1714" s="12"/>
      <c r="Q1714" s="12" t="str">
        <f t="shared" si="322"/>
        <v>1811</v>
      </c>
      <c r="R1714" s="12"/>
      <c r="S1714" s="12" t="str">
        <f t="shared" si="323"/>
        <v/>
      </c>
      <c r="T1714" s="12"/>
      <c r="U1714" s="12"/>
      <c r="V1714" s="12" t="str">
        <f t="shared" si="324"/>
        <v/>
      </c>
      <c r="W1714" s="12" t="s">
        <v>13273</v>
      </c>
      <c r="X1714" s="12" t="s">
        <v>2995</v>
      </c>
      <c r="Y1714" s="12"/>
      <c r="Z1714" s="12"/>
      <c r="AA1714" s="12"/>
      <c r="AB1714" s="12"/>
      <c r="AC1714" s="12"/>
      <c r="AD1714" s="12"/>
      <c r="AE1714" s="12"/>
      <c r="AF1714" s="12"/>
      <c r="AG1714" s="12" t="s">
        <v>32</v>
      </c>
      <c r="AH1714" s="12" t="s">
        <v>4696</v>
      </c>
      <c r="AI1714" s="12" t="str">
        <f t="shared" si="325"/>
        <v>1844</v>
      </c>
      <c r="AJ1714" s="12"/>
      <c r="AK1714" s="12" t="s">
        <v>168</v>
      </c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  <c r="BP1714" s="12"/>
      <c r="BQ1714" s="12"/>
      <c r="BR1714" s="12"/>
      <c r="BS1714" s="12"/>
      <c r="BT1714" s="12"/>
      <c r="BU1714" s="12"/>
      <c r="BV1714" s="12"/>
      <c r="BW1714" s="12"/>
      <c r="BX1714" s="12"/>
      <c r="BY1714" s="12"/>
      <c r="BZ1714" s="12"/>
      <c r="CA1714" s="12"/>
      <c r="CB1714" s="12"/>
      <c r="CC1714" s="12"/>
      <c r="CD1714" s="12"/>
    </row>
    <row r="1715" spans="1:82">
      <c r="A1715" s="13" t="s">
        <v>2995</v>
      </c>
      <c r="B1715" s="12" t="str">
        <f t="shared" ref="B1715:B1778" si="329">SUBSTITUTE(A1715," ","")</f>
        <v>STEYN</v>
      </c>
      <c r="C1715" s="12" t="str">
        <f t="shared" ref="C1715:C1778" si="330">TRIM(A1715)</f>
        <v>STEYN</v>
      </c>
      <c r="D1715" s="12" t="s">
        <v>273</v>
      </c>
      <c r="E1715" s="12" t="str">
        <f t="shared" si="328"/>
        <v>Marthinus</v>
      </c>
      <c r="F1715" s="12" t="s">
        <v>13266</v>
      </c>
      <c r="G1715" s="12" t="str">
        <f t="shared" ref="G1715:G1778" si="331">IF(LEFT(F1715,1)="b","a1"&amp;F1715,F1715)</f>
        <v>a1b2c6d13e4</v>
      </c>
      <c r="H1715" s="12" t="str">
        <f t="shared" ref="H1715:H1778" si="332">C1715&amp;G1715</f>
        <v>STEYNa1b2c6d13e4</v>
      </c>
      <c r="I1715" s="12"/>
      <c r="J1715" s="12"/>
      <c r="K1715" s="12" t="str">
        <f t="shared" ref="K1715:K1778" si="333">RIGHT(J1715,4)</f>
        <v/>
      </c>
      <c r="L1715" s="12"/>
      <c r="M1715" s="12" t="s">
        <v>11035</v>
      </c>
      <c r="N1715" s="12" t="str">
        <f t="shared" si="326"/>
        <v/>
      </c>
      <c r="O1715" s="12" t="str">
        <f t="shared" si="327"/>
        <v>1806</v>
      </c>
      <c r="P1715" s="12" t="s">
        <v>13267</v>
      </c>
      <c r="Q1715" s="12" t="str">
        <f t="shared" ref="Q1715:Q1778" si="334">IF(N1715="",O1715,N1715)</f>
        <v>1806</v>
      </c>
      <c r="R1715" s="12" t="s">
        <v>13268</v>
      </c>
      <c r="S1715" s="12" t="str">
        <f t="shared" ref="S1715:S1778" si="335">RIGHT(R1715,4)</f>
        <v>1864</v>
      </c>
      <c r="T1715" s="12" t="s">
        <v>158</v>
      </c>
      <c r="U1715" s="12" t="s">
        <v>7605</v>
      </c>
      <c r="V1715" s="12" t="str">
        <f t="shared" ref="V1715:V1778" si="336">RIGHT(U1715,4)</f>
        <v>1830</v>
      </c>
      <c r="W1715" s="12" t="s">
        <v>13269</v>
      </c>
      <c r="X1715" s="12" t="s">
        <v>6870</v>
      </c>
      <c r="Y1715" s="12" t="s">
        <v>13270</v>
      </c>
      <c r="Z1715" s="12"/>
      <c r="AA1715" s="12"/>
      <c r="AB1715" s="12" t="s">
        <v>4920</v>
      </c>
      <c r="AC1715" s="12"/>
      <c r="AD1715" s="12"/>
      <c r="AE1715" s="12"/>
      <c r="AF1715" s="12" t="s">
        <v>158</v>
      </c>
      <c r="AG1715" s="12" t="s">
        <v>32</v>
      </c>
      <c r="AH1715" s="12" t="s">
        <v>10069</v>
      </c>
      <c r="AI1715" s="12" t="str">
        <f t="shared" ref="AI1715:AI1778" si="337">RIGHT(AH1715,4)</f>
        <v>1843</v>
      </c>
      <c r="AJ1715" s="12"/>
      <c r="AK1715" s="12" t="s">
        <v>190</v>
      </c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  <c r="BO1715" s="12"/>
      <c r="BP1715" s="12"/>
      <c r="BQ1715" s="12"/>
      <c r="BR1715" s="12"/>
      <c r="BS1715" s="12"/>
      <c r="BT1715" s="12"/>
      <c r="BU1715" s="12"/>
      <c r="BV1715" s="12"/>
      <c r="BW1715" s="12"/>
      <c r="BX1715" s="12"/>
      <c r="BY1715" s="12"/>
      <c r="BZ1715" s="12"/>
      <c r="CA1715" s="12"/>
      <c r="CB1715" s="12"/>
      <c r="CC1715" s="12"/>
      <c r="CD1715" s="12"/>
    </row>
    <row r="1716" spans="1:82">
      <c r="A1716" s="13" t="s">
        <v>2995</v>
      </c>
      <c r="B1716" s="12" t="str">
        <f t="shared" si="329"/>
        <v>STEYN</v>
      </c>
      <c r="C1716" s="12" t="str">
        <f t="shared" si="330"/>
        <v>STEYN</v>
      </c>
      <c r="D1716" s="12" t="s">
        <v>7531</v>
      </c>
      <c r="E1716" s="12" t="str">
        <f t="shared" si="328"/>
        <v>Jacobus Marthinus</v>
      </c>
      <c r="F1716" s="12" t="s">
        <v>13209</v>
      </c>
      <c r="G1716" s="12" t="str">
        <f t="shared" si="331"/>
        <v>a1b2c8d2e5</v>
      </c>
      <c r="H1716" s="12" t="str">
        <f t="shared" si="332"/>
        <v>STEYNa1b2c8d2e5</v>
      </c>
      <c r="I1716" s="12"/>
      <c r="J1716" s="12"/>
      <c r="K1716" s="12" t="str">
        <f t="shared" si="333"/>
        <v/>
      </c>
      <c r="L1716" s="12"/>
      <c r="M1716" s="12" t="s">
        <v>13210</v>
      </c>
      <c r="N1716" s="12" t="str">
        <f t="shared" si="326"/>
        <v/>
      </c>
      <c r="O1716" s="12" t="str">
        <f t="shared" si="327"/>
        <v>1798</v>
      </c>
      <c r="P1716" s="12"/>
      <c r="Q1716" s="12" t="str">
        <f t="shared" si="334"/>
        <v>1798</v>
      </c>
      <c r="R1716" s="12"/>
      <c r="S1716" s="12" t="str">
        <f t="shared" si="335"/>
        <v/>
      </c>
      <c r="T1716" s="12" t="s">
        <v>366</v>
      </c>
      <c r="U1716" s="12" t="s">
        <v>4075</v>
      </c>
      <c r="V1716" s="12" t="str">
        <f t="shared" si="336"/>
        <v>1820</v>
      </c>
      <c r="W1716" s="12" t="s">
        <v>13211</v>
      </c>
      <c r="X1716" s="12" t="s">
        <v>776</v>
      </c>
      <c r="Y1716" s="12" t="s">
        <v>6465</v>
      </c>
      <c r="Z1716" s="12"/>
      <c r="AA1716" s="12" t="s">
        <v>2662</v>
      </c>
      <c r="AB1716" s="12"/>
      <c r="AC1716" s="12"/>
      <c r="AD1716" s="12" t="s">
        <v>140</v>
      </c>
      <c r="AE1716" s="12" t="s">
        <v>13212</v>
      </c>
      <c r="AF1716" s="12"/>
      <c r="AG1716" s="12" t="s">
        <v>366</v>
      </c>
      <c r="AH1716" s="12"/>
      <c r="AI1716" s="12" t="str">
        <f t="shared" si="337"/>
        <v/>
      </c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  <c r="BO1716" s="12"/>
      <c r="BP1716" s="12"/>
      <c r="BQ1716" s="12"/>
      <c r="BR1716" s="12"/>
      <c r="BS1716" s="12"/>
      <c r="BT1716" s="12"/>
      <c r="BU1716" s="12"/>
      <c r="BV1716" s="12"/>
      <c r="BW1716" s="12"/>
      <c r="BX1716" s="12"/>
      <c r="BY1716" s="12"/>
      <c r="BZ1716" s="12"/>
      <c r="CA1716" s="12"/>
      <c r="CB1716" s="12"/>
      <c r="CC1716" s="12"/>
      <c r="CD1716" s="12"/>
    </row>
    <row r="1717" spans="1:82">
      <c r="A1717" s="13" t="s">
        <v>2995</v>
      </c>
      <c r="B1717" s="12" t="str">
        <f t="shared" si="329"/>
        <v>STEYN</v>
      </c>
      <c r="C1717" s="12" t="str">
        <f t="shared" si="330"/>
        <v>STEYN</v>
      </c>
      <c r="D1717" s="12" t="s">
        <v>1323</v>
      </c>
      <c r="E1717" s="12" t="str">
        <f t="shared" si="328"/>
        <v>Petrus Hermanus</v>
      </c>
      <c r="F1717" s="12" t="s">
        <v>13295</v>
      </c>
      <c r="G1717" s="12" t="str">
        <f t="shared" si="331"/>
        <v>a1b2c8d2e5f2</v>
      </c>
      <c r="H1717" s="12" t="str">
        <f t="shared" si="332"/>
        <v>STEYNa1b2c8d2e5f2</v>
      </c>
      <c r="I1717" s="12"/>
      <c r="J1717" s="12" t="s">
        <v>2743</v>
      </c>
      <c r="K1717" s="12" t="str">
        <f t="shared" si="333"/>
        <v>1823</v>
      </c>
      <c r="L1717" s="12" t="s">
        <v>366</v>
      </c>
      <c r="M1717" s="12" t="s">
        <v>2456</v>
      </c>
      <c r="N1717" s="12" t="str">
        <f t="shared" si="326"/>
        <v>1823</v>
      </c>
      <c r="O1717" s="12" t="str">
        <f t="shared" si="327"/>
        <v>1823</v>
      </c>
      <c r="P1717" s="12"/>
      <c r="Q1717" s="12" t="str">
        <f t="shared" si="334"/>
        <v>1823</v>
      </c>
      <c r="R1717" s="12"/>
      <c r="S1717" s="12" t="str">
        <f t="shared" si="335"/>
        <v/>
      </c>
      <c r="T1717" s="12" t="s">
        <v>140</v>
      </c>
      <c r="U1717" s="12" t="s">
        <v>13296</v>
      </c>
      <c r="V1717" s="12" t="str">
        <f t="shared" si="336"/>
        <v>1852</v>
      </c>
      <c r="W1717" s="12" t="s">
        <v>13297</v>
      </c>
      <c r="X1717" s="12" t="s">
        <v>3799</v>
      </c>
      <c r="Y1717" s="12"/>
      <c r="Z1717" s="12"/>
      <c r="AA1717" s="12"/>
      <c r="AB1717" s="12"/>
      <c r="AC1717" s="12"/>
      <c r="AD1717" s="12"/>
      <c r="AE1717" s="12"/>
      <c r="AF1717" s="12"/>
      <c r="AG1717" s="12" t="s">
        <v>366</v>
      </c>
      <c r="AH1717" s="12"/>
      <c r="AI1717" s="12" t="str">
        <f t="shared" si="337"/>
        <v/>
      </c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  <c r="BO1717" s="12"/>
      <c r="BP1717" s="12"/>
      <c r="BQ1717" s="12"/>
      <c r="BR1717" s="12"/>
      <c r="BS1717" s="12"/>
      <c r="BT1717" s="12"/>
      <c r="BU1717" s="12"/>
      <c r="BV1717" s="12"/>
      <c r="BW1717" s="12"/>
      <c r="BX1717" s="12"/>
      <c r="BY1717" s="12"/>
      <c r="BZ1717" s="12"/>
      <c r="CA1717" s="12"/>
      <c r="CB1717" s="12"/>
      <c r="CC1717" s="12"/>
      <c r="CD1717" s="12"/>
    </row>
    <row r="1718" spans="1:82">
      <c r="A1718" s="13" t="s">
        <v>2995</v>
      </c>
      <c r="B1718" s="12" t="str">
        <f t="shared" si="329"/>
        <v>STEYN</v>
      </c>
      <c r="C1718" s="12" t="str">
        <f t="shared" si="330"/>
        <v>STEYN</v>
      </c>
      <c r="D1718" s="12" t="s">
        <v>1323</v>
      </c>
      <c r="E1718" s="12" t="str">
        <f t="shared" si="328"/>
        <v>Petrus Hermanus</v>
      </c>
      <c r="F1718" s="12" t="s">
        <v>13289</v>
      </c>
      <c r="G1718" s="12" t="str">
        <f t="shared" si="331"/>
        <v>a1b2c8d2e6</v>
      </c>
      <c r="H1718" s="12" t="str">
        <f t="shared" si="332"/>
        <v>STEYNa1b2c8d2e6</v>
      </c>
      <c r="I1718" s="12"/>
      <c r="J1718" s="12"/>
      <c r="K1718" s="12" t="str">
        <f t="shared" si="333"/>
        <v/>
      </c>
      <c r="L1718" s="12" t="s">
        <v>74</v>
      </c>
      <c r="M1718" s="12" t="s">
        <v>13290</v>
      </c>
      <c r="N1718" s="12" t="str">
        <f t="shared" si="326"/>
        <v/>
      </c>
      <c r="O1718" s="12" t="str">
        <f t="shared" si="327"/>
        <v>1800</v>
      </c>
      <c r="P1718" s="12" t="s">
        <v>140</v>
      </c>
      <c r="Q1718" s="12" t="str">
        <f t="shared" si="334"/>
        <v>1800</v>
      </c>
      <c r="R1718" s="12" t="s">
        <v>13291</v>
      </c>
      <c r="S1718" s="12" t="str">
        <f t="shared" si="335"/>
        <v>1896</v>
      </c>
      <c r="T1718" s="12" t="s">
        <v>74</v>
      </c>
      <c r="U1718" s="12" t="s">
        <v>13292</v>
      </c>
      <c r="V1718" s="12" t="str">
        <f t="shared" si="336"/>
        <v>1815</v>
      </c>
      <c r="W1718" s="12" t="s">
        <v>13293</v>
      </c>
      <c r="X1718" s="12" t="s">
        <v>776</v>
      </c>
      <c r="Y1718" s="12" t="s">
        <v>13294</v>
      </c>
      <c r="Z1718" s="12"/>
      <c r="AA1718" s="12"/>
      <c r="AB1718" s="12"/>
      <c r="AC1718" s="12" t="s">
        <v>4564</v>
      </c>
      <c r="AD1718" s="12"/>
      <c r="AE1718" s="12"/>
      <c r="AF1718" s="12"/>
      <c r="AG1718" s="12" t="s">
        <v>366</v>
      </c>
      <c r="AH1718" s="12" t="s">
        <v>4696</v>
      </c>
      <c r="AI1718" s="12" t="str">
        <f t="shared" si="337"/>
        <v>1844</v>
      </c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  <c r="BO1718" s="12"/>
      <c r="BP1718" s="12"/>
      <c r="BQ1718" s="12"/>
      <c r="BR1718" s="12"/>
      <c r="BS1718" s="12"/>
      <c r="BT1718" s="12"/>
      <c r="BU1718" s="12"/>
      <c r="BV1718" s="12"/>
      <c r="BW1718" s="12"/>
      <c r="BX1718" s="12"/>
      <c r="BY1718" s="12"/>
      <c r="BZ1718" s="12"/>
      <c r="CA1718" s="12"/>
      <c r="CB1718" s="12"/>
      <c r="CC1718" s="12"/>
      <c r="CD1718" s="12"/>
    </row>
    <row r="1719" spans="1:82">
      <c r="A1719" s="13" t="s">
        <v>2995</v>
      </c>
      <c r="B1719" s="12" t="str">
        <f t="shared" si="329"/>
        <v>STEYN</v>
      </c>
      <c r="C1719" s="12" t="str">
        <f t="shared" si="330"/>
        <v>STEYN</v>
      </c>
      <c r="D1719" s="12" t="s">
        <v>7531</v>
      </c>
      <c r="E1719" s="12" t="str">
        <f t="shared" si="328"/>
        <v>Jacobus Marthinus</v>
      </c>
      <c r="F1719" s="12" t="s">
        <v>13213</v>
      </c>
      <c r="G1719" s="12" t="str">
        <f t="shared" si="331"/>
        <v>a1b2c8d2e6f1</v>
      </c>
      <c r="H1719" s="12" t="str">
        <f t="shared" si="332"/>
        <v>STEYNa1b2c8d2e6f1</v>
      </c>
      <c r="I1719" s="12"/>
      <c r="J1719" s="12" t="s">
        <v>13214</v>
      </c>
      <c r="K1719" s="12" t="str">
        <f t="shared" si="333"/>
        <v>1819</v>
      </c>
      <c r="L1719" s="12" t="s">
        <v>366</v>
      </c>
      <c r="M1719" s="12" t="s">
        <v>13215</v>
      </c>
      <c r="N1719" s="12" t="str">
        <f t="shared" si="326"/>
        <v>1819</v>
      </c>
      <c r="O1719" s="12" t="str">
        <f t="shared" si="327"/>
        <v>1819</v>
      </c>
      <c r="P1719" s="12" t="s">
        <v>140</v>
      </c>
      <c r="Q1719" s="12" t="str">
        <f t="shared" si="334"/>
        <v>1819</v>
      </c>
      <c r="R1719" s="12" t="s">
        <v>13216</v>
      </c>
      <c r="S1719" s="12" t="str">
        <f t="shared" si="335"/>
        <v>1887</v>
      </c>
      <c r="T1719" s="12" t="s">
        <v>140</v>
      </c>
      <c r="U1719" s="12" t="s">
        <v>13217</v>
      </c>
      <c r="V1719" s="12" t="str">
        <f t="shared" si="336"/>
        <v>1845</v>
      </c>
      <c r="W1719" s="12" t="s">
        <v>13218</v>
      </c>
      <c r="X1719" s="12" t="s">
        <v>13219</v>
      </c>
      <c r="Y1719" s="12"/>
      <c r="Z1719" s="12"/>
      <c r="AA1719" s="12">
        <v>1828</v>
      </c>
      <c r="AB1719" s="12"/>
      <c r="AC1719" s="12"/>
      <c r="AD1719" s="12"/>
      <c r="AE1719" s="12" t="s">
        <v>13220</v>
      </c>
      <c r="AF1719" s="12"/>
      <c r="AG1719" s="12" t="s">
        <v>366</v>
      </c>
      <c r="AH1719" s="12"/>
      <c r="AI1719" s="12" t="str">
        <f t="shared" si="337"/>
        <v/>
      </c>
      <c r="AJ1719" s="12"/>
      <c r="AK1719" s="12"/>
      <c r="AL1719" s="12"/>
      <c r="AM1719" s="12"/>
      <c r="AN1719" s="12" t="s">
        <v>3087</v>
      </c>
      <c r="AO1719" s="12" t="s">
        <v>636</v>
      </c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  <c r="BO1719" s="12"/>
      <c r="BP1719" s="12"/>
      <c r="BQ1719" s="12"/>
      <c r="BR1719" s="12"/>
      <c r="BS1719" s="12"/>
      <c r="BT1719" s="12"/>
      <c r="BU1719" s="12"/>
      <c r="BV1719" s="12"/>
      <c r="BW1719" s="12"/>
      <c r="BX1719" s="12"/>
      <c r="BY1719" s="12"/>
      <c r="BZ1719" s="12"/>
      <c r="CA1719" s="12"/>
      <c r="CB1719" s="12"/>
      <c r="CC1719" s="12"/>
      <c r="CD1719" s="12"/>
    </row>
    <row r="1720" spans="1:82">
      <c r="A1720" s="13" t="s">
        <v>2995</v>
      </c>
      <c r="B1720" s="12" t="str">
        <f t="shared" si="329"/>
        <v>STEYN</v>
      </c>
      <c r="C1720" s="12" t="str">
        <f t="shared" si="330"/>
        <v>STEYN</v>
      </c>
      <c r="D1720" s="12" t="s">
        <v>13248</v>
      </c>
      <c r="E1720" s="12" t="str">
        <f t="shared" si="328"/>
        <v>Joseph Jacobus Johannes</v>
      </c>
      <c r="F1720" s="12" t="s">
        <v>13249</v>
      </c>
      <c r="G1720" s="12" t="str">
        <f t="shared" si="331"/>
        <v>a1b2c8d2e6f3</v>
      </c>
      <c r="H1720" s="12" t="str">
        <f t="shared" si="332"/>
        <v>STEYNa1b2c8d2e6f3</v>
      </c>
      <c r="I1720" s="12"/>
      <c r="J1720" s="12" t="s">
        <v>13250</v>
      </c>
      <c r="K1720" s="12" t="str">
        <f t="shared" si="333"/>
        <v>1821</v>
      </c>
      <c r="L1720" s="12" t="s">
        <v>366</v>
      </c>
      <c r="M1720" s="12" t="s">
        <v>2940</v>
      </c>
      <c r="N1720" s="12" t="str">
        <f t="shared" si="326"/>
        <v>1821</v>
      </c>
      <c r="O1720" s="12" t="str">
        <f t="shared" si="327"/>
        <v>1822</v>
      </c>
      <c r="P1720" s="12" t="s">
        <v>9900</v>
      </c>
      <c r="Q1720" s="12" t="str">
        <f t="shared" si="334"/>
        <v>1821</v>
      </c>
      <c r="R1720" s="1" t="s">
        <v>15777</v>
      </c>
      <c r="S1720" s="12" t="str">
        <f t="shared" si="335"/>
        <v>1902</v>
      </c>
      <c r="T1720" s="12"/>
      <c r="U1720" s="12"/>
      <c r="V1720" s="12" t="str">
        <f t="shared" si="336"/>
        <v/>
      </c>
      <c r="W1720" s="12" t="s">
        <v>13251</v>
      </c>
      <c r="X1720" s="12" t="s">
        <v>629</v>
      </c>
      <c r="Y1720" s="12"/>
      <c r="Z1720" s="12"/>
      <c r="AA1720" s="12"/>
      <c r="AB1720" s="12"/>
      <c r="AC1720" s="12"/>
      <c r="AD1720" s="12"/>
      <c r="AE1720" s="12" t="s">
        <v>13252</v>
      </c>
      <c r="AF1720" s="12"/>
      <c r="AG1720" s="12"/>
      <c r="AH1720" s="12" t="s">
        <v>13253</v>
      </c>
      <c r="AI1720" s="12" t="str">
        <f t="shared" si="337"/>
        <v>1844</v>
      </c>
      <c r="AJ1720" s="12"/>
      <c r="AK1720" s="12" t="s">
        <v>551</v>
      </c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  <c r="BO1720" s="12"/>
      <c r="BP1720" s="12"/>
      <c r="BQ1720" s="12"/>
      <c r="BR1720" s="12"/>
      <c r="BS1720" s="12"/>
      <c r="BT1720" s="12"/>
      <c r="BU1720" s="12"/>
      <c r="BV1720" s="12"/>
      <c r="BW1720" s="12"/>
      <c r="BX1720" s="12"/>
      <c r="BY1720" s="12"/>
      <c r="BZ1720" s="12"/>
      <c r="CA1720" s="12"/>
      <c r="CB1720" s="12"/>
      <c r="CC1720" s="12"/>
      <c r="CD1720" s="12"/>
    </row>
    <row r="1721" spans="1:82">
      <c r="A1721" s="13" t="s">
        <v>2995</v>
      </c>
      <c r="B1721" s="12" t="str">
        <f t="shared" si="329"/>
        <v>STEYN</v>
      </c>
      <c r="C1721" s="12" t="str">
        <f t="shared" si="330"/>
        <v>STEYN</v>
      </c>
      <c r="D1721" s="12" t="s">
        <v>13308</v>
      </c>
      <c r="E1721" s="12" t="str">
        <f t="shared" si="328"/>
        <v>Pieter Wouter</v>
      </c>
      <c r="F1721" s="12" t="s">
        <v>13309</v>
      </c>
      <c r="G1721" s="12" t="str">
        <f t="shared" si="331"/>
        <v>a1b2c8d3e4</v>
      </c>
      <c r="H1721" s="12" t="str">
        <f t="shared" si="332"/>
        <v>STEYNa1b2c8d3e4</v>
      </c>
      <c r="I1721" s="12"/>
      <c r="J1721" s="12"/>
      <c r="K1721" s="12" t="str">
        <f t="shared" si="333"/>
        <v/>
      </c>
      <c r="L1721" s="12"/>
      <c r="M1721" s="12" t="s">
        <v>13310</v>
      </c>
      <c r="N1721" s="12" t="str">
        <f t="shared" si="326"/>
        <v/>
      </c>
      <c r="O1721" s="12" t="str">
        <f t="shared" si="327"/>
        <v>1790</v>
      </c>
      <c r="P1721" s="12"/>
      <c r="Q1721" s="12" t="str">
        <f t="shared" si="334"/>
        <v>1790</v>
      </c>
      <c r="R1721" s="12"/>
      <c r="S1721" s="12" t="str">
        <f t="shared" si="335"/>
        <v/>
      </c>
      <c r="T1721" s="12" t="s">
        <v>32</v>
      </c>
      <c r="U1721" s="12" t="s">
        <v>7127</v>
      </c>
      <c r="V1721" s="12" t="str">
        <f t="shared" si="336"/>
        <v>1810</v>
      </c>
      <c r="W1721" s="12" t="s">
        <v>7163</v>
      </c>
      <c r="X1721" s="12" t="s">
        <v>631</v>
      </c>
      <c r="Y1721" s="12"/>
      <c r="Z1721" s="12"/>
      <c r="AA1721" s="12"/>
      <c r="AB1721" s="12"/>
      <c r="AC1721" s="12" t="s">
        <v>13311</v>
      </c>
      <c r="AD1721" s="12"/>
      <c r="AE1721" s="12"/>
      <c r="AF1721" s="12" t="s">
        <v>10648</v>
      </c>
      <c r="AG1721" s="12" t="s">
        <v>32</v>
      </c>
      <c r="AH1721" s="12" t="s">
        <v>13159</v>
      </c>
      <c r="AI1721" s="12" t="str">
        <f t="shared" si="337"/>
        <v>1840</v>
      </c>
      <c r="AJ1721" s="12" t="s">
        <v>13076</v>
      </c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  <c r="BO1721" s="12"/>
      <c r="BP1721" s="12"/>
      <c r="BQ1721" s="12"/>
      <c r="BR1721" s="12"/>
      <c r="BS1721" s="12"/>
      <c r="BT1721" s="12"/>
      <c r="BU1721" s="12"/>
      <c r="BV1721" s="12"/>
      <c r="BW1721" s="12"/>
      <c r="BX1721" s="12"/>
      <c r="BY1721" s="12"/>
      <c r="BZ1721" s="12"/>
      <c r="CA1721" s="12"/>
      <c r="CB1721" s="12"/>
      <c r="CC1721" s="12"/>
      <c r="CD1721" s="12"/>
    </row>
    <row r="1722" spans="1:82">
      <c r="A1722" s="13" t="s">
        <v>2995</v>
      </c>
      <c r="B1722" s="12" t="str">
        <f t="shared" si="329"/>
        <v>STEYN</v>
      </c>
      <c r="C1722" s="12" t="str">
        <f t="shared" si="330"/>
        <v>STEYN</v>
      </c>
      <c r="D1722" s="12" t="s">
        <v>4885</v>
      </c>
      <c r="E1722" s="12" t="str">
        <f t="shared" si="328"/>
        <v>Douw Gerbrand</v>
      </c>
      <c r="F1722" s="12" t="s">
        <v>13153</v>
      </c>
      <c r="G1722" s="12" t="str">
        <f t="shared" si="331"/>
        <v>a1b2c8d3e4f4</v>
      </c>
      <c r="H1722" s="12" t="str">
        <f t="shared" si="332"/>
        <v>STEYNa1b2c8d3e4f4</v>
      </c>
      <c r="I1722" s="12"/>
      <c r="J1722" s="12" t="s">
        <v>13154</v>
      </c>
      <c r="K1722" s="12" t="str">
        <f t="shared" si="333"/>
        <v>1817</v>
      </c>
      <c r="L1722" s="12"/>
      <c r="M1722" s="12" t="s">
        <v>13155</v>
      </c>
      <c r="N1722" s="12" t="str">
        <f t="shared" si="326"/>
        <v>1817</v>
      </c>
      <c r="O1722" s="12" t="str">
        <f t="shared" si="327"/>
        <v>1818</v>
      </c>
      <c r="P1722" s="12" t="s">
        <v>8736</v>
      </c>
      <c r="Q1722" s="12" t="str">
        <f t="shared" si="334"/>
        <v>1817</v>
      </c>
      <c r="R1722" s="12" t="s">
        <v>13156</v>
      </c>
      <c r="S1722" s="12" t="str">
        <f t="shared" si="335"/>
        <v>1893</v>
      </c>
      <c r="T1722" s="12" t="s">
        <v>13157</v>
      </c>
      <c r="U1722" s="12" t="s">
        <v>2282</v>
      </c>
      <c r="V1722" s="12" t="str">
        <f t="shared" si="336"/>
        <v>1840</v>
      </c>
      <c r="W1722" s="12" t="s">
        <v>13158</v>
      </c>
      <c r="X1722" s="12" t="s">
        <v>695</v>
      </c>
      <c r="Y1722" s="12"/>
      <c r="Z1722" s="12"/>
      <c r="AA1722" s="12"/>
      <c r="AB1722" s="12"/>
      <c r="AC1722" s="12"/>
      <c r="AD1722" s="12"/>
      <c r="AE1722" s="12"/>
      <c r="AF1722" s="12" t="s">
        <v>10648</v>
      </c>
      <c r="AG1722" s="12" t="s">
        <v>32</v>
      </c>
      <c r="AH1722" s="12" t="s">
        <v>13159</v>
      </c>
      <c r="AI1722" s="12" t="str">
        <f t="shared" si="337"/>
        <v>1840</v>
      </c>
      <c r="AJ1722" s="12" t="s">
        <v>13076</v>
      </c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  <c r="BO1722" s="12"/>
      <c r="BP1722" s="12"/>
      <c r="BQ1722" s="12"/>
      <c r="BR1722" s="12"/>
      <c r="BS1722" s="12"/>
      <c r="BT1722" s="12"/>
      <c r="BU1722" s="12"/>
      <c r="BV1722" s="12"/>
      <c r="BW1722" s="12"/>
      <c r="BX1722" s="12"/>
      <c r="BY1722" s="12"/>
      <c r="BZ1722" s="12"/>
      <c r="CA1722" s="12"/>
      <c r="CB1722" s="12"/>
      <c r="CC1722" s="12"/>
      <c r="CD1722" s="12"/>
    </row>
    <row r="1723" spans="1:82">
      <c r="A1723" s="13" t="s">
        <v>2995</v>
      </c>
      <c r="B1723" s="12" t="str">
        <f t="shared" si="329"/>
        <v>STEYN</v>
      </c>
      <c r="C1723" s="12" t="str">
        <f t="shared" si="330"/>
        <v>STEYN</v>
      </c>
      <c r="D1723" s="12" t="s">
        <v>13193</v>
      </c>
      <c r="E1723" s="12" t="str">
        <f t="shared" si="328"/>
        <v>Hermanus Jacobus (Douw Seun)</v>
      </c>
      <c r="F1723" s="12" t="s">
        <v>13194</v>
      </c>
      <c r="G1723" s="12" t="str">
        <f t="shared" si="331"/>
        <v>a1b2c8d3e5</v>
      </c>
      <c r="H1723" s="12" t="str">
        <f t="shared" si="332"/>
        <v>STEYNa1b2c8d3e5</v>
      </c>
      <c r="I1723" s="12"/>
      <c r="J1723" s="12"/>
      <c r="K1723" s="12" t="str">
        <f t="shared" si="333"/>
        <v/>
      </c>
      <c r="L1723" s="12" t="s">
        <v>13195</v>
      </c>
      <c r="M1723" s="12" t="s">
        <v>7580</v>
      </c>
      <c r="N1723" s="12" t="str">
        <f t="shared" si="326"/>
        <v/>
      </c>
      <c r="O1723" s="12" t="str">
        <f t="shared" si="327"/>
        <v>1794</v>
      </c>
      <c r="P1723" s="12"/>
      <c r="Q1723" s="12" t="str">
        <f t="shared" si="334"/>
        <v>1794</v>
      </c>
      <c r="R1723" s="12"/>
      <c r="S1723" s="12" t="str">
        <f t="shared" si="335"/>
        <v/>
      </c>
      <c r="T1723" s="12" t="s">
        <v>32</v>
      </c>
      <c r="U1723" s="12" t="s">
        <v>13196</v>
      </c>
      <c r="V1723" s="12" t="str">
        <f t="shared" si="336"/>
        <v>1815</v>
      </c>
      <c r="W1723" s="12" t="s">
        <v>2472</v>
      </c>
      <c r="X1723" s="12" t="s">
        <v>2995</v>
      </c>
      <c r="Y1723" s="12"/>
      <c r="Z1723" s="12"/>
      <c r="AA1723" s="12"/>
      <c r="AB1723" s="12"/>
      <c r="AC1723" s="12"/>
      <c r="AD1723" s="12"/>
      <c r="AE1723" s="12"/>
      <c r="AF1723" s="12" t="s">
        <v>10648</v>
      </c>
      <c r="AG1723" s="12" t="s">
        <v>32</v>
      </c>
      <c r="AH1723" s="12"/>
      <c r="AI1723" s="12" t="str">
        <f t="shared" si="337"/>
        <v/>
      </c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  <c r="BO1723" s="12"/>
      <c r="BP1723" s="12"/>
      <c r="BQ1723" s="12"/>
      <c r="BR1723" s="12"/>
      <c r="BS1723" s="12"/>
      <c r="BT1723" s="12"/>
      <c r="BU1723" s="12"/>
      <c r="BV1723" s="12"/>
      <c r="BW1723" s="12"/>
      <c r="BX1723" s="12"/>
      <c r="BY1723" s="12"/>
      <c r="BZ1723" s="12"/>
      <c r="CA1723" s="12"/>
      <c r="CB1723" s="12"/>
      <c r="CC1723" s="12"/>
      <c r="CD1723" s="12"/>
    </row>
    <row r="1724" spans="1:82">
      <c r="A1724" s="13" t="s">
        <v>13323</v>
      </c>
      <c r="B1724" s="12" t="str">
        <f t="shared" si="329"/>
        <v>STOLZ</v>
      </c>
      <c r="C1724" s="12" t="str">
        <f t="shared" si="330"/>
        <v>STOLZ</v>
      </c>
      <c r="D1724" s="12" t="s">
        <v>13327</v>
      </c>
      <c r="E1724" s="12" t="str">
        <f t="shared" si="328"/>
        <v>Gabriel Gerhardus Frderik</v>
      </c>
      <c r="F1724" s="12" t="s">
        <v>1069</v>
      </c>
      <c r="G1724" s="12" t="str">
        <f t="shared" si="331"/>
        <v>a1b2c1d1e1</v>
      </c>
      <c r="H1724" s="12" t="str">
        <f t="shared" si="332"/>
        <v>STOLZa1b2c1d1e1</v>
      </c>
      <c r="I1724" s="12"/>
      <c r="J1724" s="12" t="s">
        <v>13328</v>
      </c>
      <c r="K1724" s="12" t="str">
        <f t="shared" si="333"/>
        <v>1819</v>
      </c>
      <c r="L1724" s="12" t="s">
        <v>53</v>
      </c>
      <c r="M1724" s="12" t="s">
        <v>13329</v>
      </c>
      <c r="N1724" s="12" t="str">
        <f t="shared" si="326"/>
        <v>1819</v>
      </c>
      <c r="O1724" s="12" t="str">
        <f t="shared" si="327"/>
        <v>1819</v>
      </c>
      <c r="P1724" s="12"/>
      <c r="Q1724" s="12" t="str">
        <f t="shared" si="334"/>
        <v>1819</v>
      </c>
      <c r="R1724" s="12"/>
      <c r="S1724" s="12" t="str">
        <f t="shared" si="335"/>
        <v/>
      </c>
      <c r="T1724" s="12" t="s">
        <v>68</v>
      </c>
      <c r="U1724" s="12" t="s">
        <v>2143</v>
      </c>
      <c r="V1724" s="12" t="str">
        <f t="shared" si="336"/>
        <v>1837</v>
      </c>
      <c r="W1724" s="12" t="s">
        <v>13330</v>
      </c>
      <c r="X1724" s="12" t="s">
        <v>2427</v>
      </c>
      <c r="Y1724" s="12"/>
      <c r="Z1724" s="12"/>
      <c r="AA1724" s="12"/>
      <c r="AB1724" s="12"/>
      <c r="AC1724" s="12"/>
      <c r="AD1724" s="12"/>
      <c r="AE1724" s="12"/>
      <c r="AF1724" s="12"/>
      <c r="AG1724" s="12" t="s">
        <v>28</v>
      </c>
      <c r="AH1724" s="12">
        <v>1844</v>
      </c>
      <c r="AI1724" s="12" t="str">
        <f t="shared" si="337"/>
        <v>1844</v>
      </c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  <c r="BO1724" s="12"/>
      <c r="BP1724" s="12"/>
      <c r="BQ1724" s="12"/>
      <c r="BR1724" s="12"/>
      <c r="BS1724" s="12"/>
      <c r="BT1724" s="12"/>
      <c r="BU1724" s="12"/>
      <c r="BV1724" s="12"/>
      <c r="BW1724" s="12"/>
      <c r="BX1724" s="12"/>
      <c r="BY1724" s="12"/>
      <c r="BZ1724" s="12"/>
      <c r="CA1724" s="12"/>
      <c r="CB1724" s="12"/>
      <c r="CC1724" s="12"/>
      <c r="CD1724" s="12"/>
    </row>
    <row r="1725" spans="1:82">
      <c r="A1725" s="13" t="s">
        <v>13323</v>
      </c>
      <c r="B1725" s="12" t="str">
        <f t="shared" si="329"/>
        <v>STOLZ</v>
      </c>
      <c r="C1725" s="12" t="str">
        <f t="shared" si="330"/>
        <v>STOLZ</v>
      </c>
      <c r="D1725" s="12" t="s">
        <v>13324</v>
      </c>
      <c r="E1725" s="12" t="str">
        <f t="shared" si="328"/>
        <v>Coenraad Fredrik</v>
      </c>
      <c r="F1725" s="12" t="s">
        <v>5505</v>
      </c>
      <c r="G1725" s="12" t="str">
        <f t="shared" si="331"/>
        <v>a1b2c1d2</v>
      </c>
      <c r="H1725" s="12" t="str">
        <f t="shared" si="332"/>
        <v>STOLZa1b2c1d2</v>
      </c>
      <c r="I1725" s="12"/>
      <c r="J1725" s="12"/>
      <c r="K1725" s="12" t="str">
        <f t="shared" si="333"/>
        <v/>
      </c>
      <c r="L1725" s="12" t="s">
        <v>32</v>
      </c>
      <c r="M1725" s="12" t="s">
        <v>13325</v>
      </c>
      <c r="N1725" s="12" t="str">
        <f t="shared" si="326"/>
        <v/>
      </c>
      <c r="O1725" s="12" t="str">
        <f t="shared" si="327"/>
        <v>1798</v>
      </c>
      <c r="P1725" s="12"/>
      <c r="Q1725" s="12" t="str">
        <f t="shared" si="334"/>
        <v>1798</v>
      </c>
      <c r="R1725" s="12"/>
      <c r="S1725" s="12" t="str">
        <f t="shared" si="335"/>
        <v/>
      </c>
      <c r="T1725" s="12" t="s">
        <v>53</v>
      </c>
      <c r="U1725" s="12" t="s">
        <v>1368</v>
      </c>
      <c r="V1725" s="12" t="str">
        <f t="shared" si="336"/>
        <v>1821</v>
      </c>
      <c r="W1725" s="12" t="s">
        <v>13326</v>
      </c>
      <c r="X1725" s="12" t="s">
        <v>5521</v>
      </c>
      <c r="Y1725" s="12" t="s">
        <v>5513</v>
      </c>
      <c r="Z1725" s="12"/>
      <c r="AA1725" s="12"/>
      <c r="AB1725" s="12"/>
      <c r="AC1725" s="12"/>
      <c r="AD1725" s="12"/>
      <c r="AE1725" s="12"/>
      <c r="AF1725" s="12"/>
      <c r="AG1725" s="12" t="s">
        <v>28</v>
      </c>
      <c r="AH1725" s="12" t="s">
        <v>385</v>
      </c>
      <c r="AI1725" s="12" t="str">
        <f t="shared" si="337"/>
        <v>1840</v>
      </c>
      <c r="AJ1725" s="12"/>
      <c r="AK1725" s="12" t="s">
        <v>90</v>
      </c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  <c r="BO1725" s="12"/>
      <c r="BP1725" s="12"/>
      <c r="BQ1725" s="12"/>
      <c r="BR1725" s="12"/>
      <c r="BS1725" s="12"/>
      <c r="BT1725" s="12"/>
      <c r="BU1725" s="12"/>
      <c r="BV1725" s="12"/>
      <c r="BW1725" s="12"/>
      <c r="BX1725" s="12"/>
      <c r="BY1725" s="12"/>
      <c r="BZ1725" s="12"/>
      <c r="CA1725" s="12"/>
      <c r="CB1725" s="12"/>
      <c r="CC1725" s="12"/>
      <c r="CD1725" s="12"/>
    </row>
    <row r="1726" spans="1:82">
      <c r="A1726" s="13" t="s">
        <v>13323</v>
      </c>
      <c r="B1726" s="12" t="str">
        <f t="shared" si="329"/>
        <v>STOLZ</v>
      </c>
      <c r="C1726" s="12" t="str">
        <f t="shared" si="330"/>
        <v>STOLZ</v>
      </c>
      <c r="D1726" s="12" t="s">
        <v>1464</v>
      </c>
      <c r="E1726" s="12" t="str">
        <f t="shared" si="328"/>
        <v>Willem</v>
      </c>
      <c r="F1726" s="12" t="s">
        <v>938</v>
      </c>
      <c r="G1726" s="12" t="str">
        <f t="shared" si="331"/>
        <v>a1b2c2d3</v>
      </c>
      <c r="H1726" s="12" t="str">
        <f t="shared" si="332"/>
        <v>STOLZa1b2c2d3</v>
      </c>
      <c r="I1726" s="12"/>
      <c r="J1726" s="12"/>
      <c r="K1726" s="12" t="str">
        <f t="shared" si="333"/>
        <v/>
      </c>
      <c r="L1726" s="12"/>
      <c r="M1726" s="12" t="s">
        <v>5490</v>
      </c>
      <c r="N1726" s="12" t="str">
        <f t="shared" si="326"/>
        <v/>
      </c>
      <c r="O1726" s="12" t="str">
        <f t="shared" si="327"/>
        <v>1802</v>
      </c>
      <c r="P1726" s="12"/>
      <c r="Q1726" s="12" t="str">
        <f t="shared" si="334"/>
        <v>1802</v>
      </c>
      <c r="R1726" s="12"/>
      <c r="S1726" s="12" t="str">
        <f t="shared" si="335"/>
        <v/>
      </c>
      <c r="T1726" s="12" t="s">
        <v>366</v>
      </c>
      <c r="U1726" s="12" t="s">
        <v>2456</v>
      </c>
      <c r="V1726" s="12" t="str">
        <f t="shared" si="336"/>
        <v>1823</v>
      </c>
      <c r="W1726" s="12" t="s">
        <v>13331</v>
      </c>
      <c r="X1726" s="12" t="s">
        <v>667</v>
      </c>
      <c r="Y1726" s="12"/>
      <c r="Z1726" s="12"/>
      <c r="AA1726" s="12"/>
      <c r="AB1726" s="12"/>
      <c r="AC1726" s="12"/>
      <c r="AD1726" s="12"/>
      <c r="AE1726" s="12"/>
      <c r="AF1726" s="12"/>
      <c r="AG1726" s="12" t="s">
        <v>53</v>
      </c>
      <c r="AH1726" s="12">
        <v>1840</v>
      </c>
      <c r="AI1726" s="12" t="str">
        <f t="shared" si="337"/>
        <v>1840</v>
      </c>
      <c r="AJ1726" s="12"/>
      <c r="AK1726" s="12" t="s">
        <v>551</v>
      </c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  <c r="BO1726" s="12"/>
      <c r="BP1726" s="12"/>
      <c r="BQ1726" s="12"/>
      <c r="BR1726" s="12"/>
      <c r="BS1726" s="12"/>
      <c r="BT1726" s="12"/>
      <c r="BU1726" s="12"/>
      <c r="BV1726" s="12"/>
      <c r="BW1726" s="12"/>
      <c r="BX1726" s="12"/>
      <c r="BY1726" s="12"/>
      <c r="BZ1726" s="12"/>
      <c r="CA1726" s="12"/>
      <c r="CB1726" s="12"/>
      <c r="CC1726" s="12"/>
      <c r="CD1726" s="12"/>
    </row>
    <row r="1727" spans="1:82">
      <c r="A1727" s="13" t="s">
        <v>13323</v>
      </c>
      <c r="B1727" s="12" t="str">
        <f t="shared" si="329"/>
        <v>STOLZ</v>
      </c>
      <c r="C1727" s="12" t="str">
        <f t="shared" si="330"/>
        <v>STOLZ</v>
      </c>
      <c r="D1727" s="12" t="s">
        <v>1464</v>
      </c>
      <c r="E1727" s="12" t="str">
        <f t="shared" si="328"/>
        <v>Willem</v>
      </c>
      <c r="F1727" s="12" t="s">
        <v>856</v>
      </c>
      <c r="G1727" s="12" t="str">
        <f t="shared" si="331"/>
        <v>a1b2c2d3e1</v>
      </c>
      <c r="H1727" s="12" t="str">
        <f t="shared" si="332"/>
        <v>STOLZa1b2c2d3e1</v>
      </c>
      <c r="I1727" s="12"/>
      <c r="J1727" s="12" t="s">
        <v>13332</v>
      </c>
      <c r="K1727" s="12" t="str">
        <f t="shared" si="333"/>
        <v>1825</v>
      </c>
      <c r="L1727" s="12" t="s">
        <v>53</v>
      </c>
      <c r="M1727" s="12" t="s">
        <v>13236</v>
      </c>
      <c r="N1727" s="12" t="str">
        <f t="shared" si="326"/>
        <v>1825</v>
      </c>
      <c r="O1727" s="12" t="str">
        <f t="shared" si="327"/>
        <v>1825</v>
      </c>
      <c r="P1727" s="12"/>
      <c r="Q1727" s="12" t="str">
        <f t="shared" si="334"/>
        <v>1825</v>
      </c>
      <c r="R1727" s="12"/>
      <c r="S1727" s="12" t="str">
        <f t="shared" si="335"/>
        <v/>
      </c>
      <c r="T1727" s="12" t="s">
        <v>140</v>
      </c>
      <c r="U1727" s="12" t="s">
        <v>13333</v>
      </c>
      <c r="V1727" s="12" t="str">
        <f t="shared" si="336"/>
        <v>1850</v>
      </c>
      <c r="W1727" s="12" t="s">
        <v>2421</v>
      </c>
      <c r="X1727" s="12" t="s">
        <v>663</v>
      </c>
      <c r="Y1727" s="12"/>
      <c r="Z1727" s="12"/>
      <c r="AA1727" s="12"/>
      <c r="AB1727" s="12"/>
      <c r="AC1727" s="12"/>
      <c r="AD1727" s="12"/>
      <c r="AE1727" s="12"/>
      <c r="AF1727" s="12"/>
      <c r="AG1727" s="12" t="s">
        <v>53</v>
      </c>
      <c r="AH1727" s="12">
        <v>1840</v>
      </c>
      <c r="AI1727" s="12" t="str">
        <f t="shared" si="337"/>
        <v>1840</v>
      </c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  <c r="BO1727" s="12"/>
      <c r="BP1727" s="12"/>
      <c r="BQ1727" s="12"/>
      <c r="BR1727" s="12"/>
      <c r="BS1727" s="12"/>
      <c r="BT1727" s="12"/>
      <c r="BU1727" s="12"/>
      <c r="BV1727" s="12"/>
      <c r="BW1727" s="12"/>
      <c r="BX1727" s="12"/>
      <c r="BY1727" s="12"/>
      <c r="BZ1727" s="12"/>
      <c r="CA1727" s="12"/>
      <c r="CB1727" s="12"/>
      <c r="CC1727" s="12"/>
      <c r="CD1727" s="12"/>
    </row>
    <row r="1728" spans="1:82">
      <c r="A1728" s="13" t="s">
        <v>13334</v>
      </c>
      <c r="B1728" s="12" t="str">
        <f t="shared" si="329"/>
        <v>STOOP</v>
      </c>
      <c r="C1728" s="12" t="str">
        <f t="shared" si="330"/>
        <v>STOOP</v>
      </c>
      <c r="D1728" s="12" t="s">
        <v>13342</v>
      </c>
      <c r="E1728" s="12" t="str">
        <f t="shared" si="328"/>
        <v>Hendrik Gerhardus</v>
      </c>
      <c r="F1728" s="12" t="s">
        <v>4055</v>
      </c>
      <c r="G1728" s="12" t="str">
        <f t="shared" si="331"/>
        <v>a1b5</v>
      </c>
      <c r="H1728" s="12" t="str">
        <f t="shared" si="332"/>
        <v>STOOPa1b5</v>
      </c>
      <c r="I1728" s="12"/>
      <c r="J1728" s="12" t="s">
        <v>13343</v>
      </c>
      <c r="K1728" s="12" t="str">
        <f t="shared" si="333"/>
        <v>1810</v>
      </c>
      <c r="L1728" s="12" t="s">
        <v>74</v>
      </c>
      <c r="M1728" s="12" t="s">
        <v>3622</v>
      </c>
      <c r="N1728" s="12" t="str">
        <f t="shared" si="326"/>
        <v>1810</v>
      </c>
      <c r="O1728" s="12" t="str">
        <f t="shared" si="327"/>
        <v>1814</v>
      </c>
      <c r="P1728" s="12" t="s">
        <v>1017</v>
      </c>
      <c r="Q1728" s="12" t="str">
        <f t="shared" si="334"/>
        <v>1810</v>
      </c>
      <c r="R1728" s="12" t="s">
        <v>13344</v>
      </c>
      <c r="S1728" s="12" t="str">
        <f t="shared" si="335"/>
        <v>1864</v>
      </c>
      <c r="T1728" s="12" t="s">
        <v>74</v>
      </c>
      <c r="U1728" s="12" t="s">
        <v>1424</v>
      </c>
      <c r="V1728" s="12" t="str">
        <f t="shared" si="336"/>
        <v>1834</v>
      </c>
      <c r="W1728" s="12" t="s">
        <v>13345</v>
      </c>
      <c r="X1728" s="12" t="s">
        <v>777</v>
      </c>
      <c r="Y1728" s="12"/>
      <c r="Z1728" s="12"/>
      <c r="AA1728" s="12"/>
      <c r="AB1728" s="12"/>
      <c r="AC1728" s="12"/>
      <c r="AD1728" s="12" t="s">
        <v>13346</v>
      </c>
      <c r="AE1728" s="12" t="s">
        <v>13347</v>
      </c>
      <c r="AF1728" s="12"/>
      <c r="AG1728" s="12" t="s">
        <v>74</v>
      </c>
      <c r="AH1728" s="12" t="s">
        <v>13348</v>
      </c>
      <c r="AI1728" s="12" t="str">
        <f t="shared" si="337"/>
        <v>1841</v>
      </c>
      <c r="AJ1728" s="12"/>
      <c r="AK1728" s="12" t="s">
        <v>24</v>
      </c>
      <c r="AL1728" s="12" t="s">
        <v>168</v>
      </c>
      <c r="AM1728" s="12" t="s">
        <v>1439</v>
      </c>
      <c r="AN1728" s="12" t="s">
        <v>13349</v>
      </c>
      <c r="AO1728" s="12" t="s">
        <v>669</v>
      </c>
      <c r="AP1728" s="12" t="s">
        <v>13350</v>
      </c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  <c r="BO1728" s="12"/>
      <c r="BP1728" s="12"/>
      <c r="BQ1728" s="12"/>
      <c r="BR1728" s="12"/>
      <c r="BS1728" s="12"/>
      <c r="BT1728" s="12"/>
      <c r="BU1728" s="12"/>
      <c r="BV1728" s="12"/>
      <c r="BW1728" s="12"/>
      <c r="BX1728" s="12"/>
      <c r="BY1728" s="12"/>
      <c r="BZ1728" s="12"/>
      <c r="CA1728" s="12"/>
      <c r="CB1728" s="12"/>
      <c r="CC1728" s="12"/>
      <c r="CD1728" s="12"/>
    </row>
    <row r="1729" spans="1:82">
      <c r="A1729" s="13" t="s">
        <v>13334</v>
      </c>
      <c r="B1729" s="12" t="str">
        <f t="shared" si="329"/>
        <v>STOOP</v>
      </c>
      <c r="C1729" s="12" t="str">
        <f t="shared" si="330"/>
        <v>STOOP</v>
      </c>
      <c r="D1729" s="12" t="s">
        <v>175</v>
      </c>
      <c r="E1729" s="12" t="str">
        <f t="shared" si="328"/>
        <v>Petrus Jacobus</v>
      </c>
      <c r="F1729" s="12" t="s">
        <v>4652</v>
      </c>
      <c r="G1729" s="12" t="str">
        <f t="shared" si="331"/>
        <v>a1b7</v>
      </c>
      <c r="H1729" s="12" t="str">
        <f t="shared" si="332"/>
        <v>STOOPa1b7</v>
      </c>
      <c r="I1729" s="12"/>
      <c r="J1729" s="12" t="s">
        <v>2730</v>
      </c>
      <c r="K1729" s="12" t="str">
        <f t="shared" si="333"/>
        <v>1816</v>
      </c>
      <c r="L1729" s="12" t="s">
        <v>542</v>
      </c>
      <c r="M1729" s="12" t="s">
        <v>7504</v>
      </c>
      <c r="N1729" s="12" t="str">
        <f t="shared" si="326"/>
        <v>1816</v>
      </c>
      <c r="O1729" s="12" t="str">
        <f t="shared" si="327"/>
        <v>1819</v>
      </c>
      <c r="P1729" s="12"/>
      <c r="Q1729" s="12" t="str">
        <f t="shared" si="334"/>
        <v>1816</v>
      </c>
      <c r="R1729" s="12"/>
      <c r="S1729" s="12" t="str">
        <f t="shared" si="335"/>
        <v/>
      </c>
      <c r="T1729" s="12" t="s">
        <v>74</v>
      </c>
      <c r="U1729" s="12" t="s">
        <v>13351</v>
      </c>
      <c r="V1729" s="12" t="str">
        <f t="shared" si="336"/>
        <v>1836</v>
      </c>
      <c r="W1729" s="12" t="s">
        <v>13352</v>
      </c>
      <c r="X1729" s="12" t="s">
        <v>776</v>
      </c>
      <c r="Y1729" s="12" t="s">
        <v>12694</v>
      </c>
      <c r="Z1729" s="12"/>
      <c r="AA1729" s="12"/>
      <c r="AB1729" s="12"/>
      <c r="AC1729" s="12"/>
      <c r="AD1729" s="12"/>
      <c r="AE1729" s="12"/>
      <c r="AF1729" s="12"/>
      <c r="AG1729" s="12" t="s">
        <v>60</v>
      </c>
      <c r="AH1729" s="12">
        <v>1842</v>
      </c>
      <c r="AI1729" s="12" t="str">
        <f t="shared" si="337"/>
        <v>1842</v>
      </c>
      <c r="AJ1729" s="12"/>
      <c r="AK1729" s="12" t="s">
        <v>81</v>
      </c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  <c r="BO1729" s="12"/>
      <c r="BP1729" s="12"/>
      <c r="BQ1729" s="12"/>
      <c r="BR1729" s="12"/>
      <c r="BS1729" s="12"/>
      <c r="BT1729" s="12"/>
      <c r="BU1729" s="12"/>
      <c r="BV1729" s="12"/>
      <c r="BW1729" s="12"/>
      <c r="BX1729" s="12"/>
      <c r="BY1729" s="12"/>
      <c r="BZ1729" s="12"/>
      <c r="CA1729" s="12"/>
      <c r="CB1729" s="12"/>
      <c r="CC1729" s="12"/>
      <c r="CD1729" s="12"/>
    </row>
    <row r="1730" spans="1:82">
      <c r="A1730" s="13" t="s">
        <v>13334</v>
      </c>
      <c r="B1730" s="12" t="str">
        <f t="shared" si="329"/>
        <v>STOOP</v>
      </c>
      <c r="C1730" s="12" t="str">
        <f t="shared" si="330"/>
        <v>STOOP</v>
      </c>
      <c r="D1730" s="12" t="s">
        <v>13335</v>
      </c>
      <c r="E1730" s="12" t="str">
        <f t="shared" si="328"/>
        <v>Albertus Abraham</v>
      </c>
      <c r="F1730" s="12" t="s">
        <v>4661</v>
      </c>
      <c r="G1730" s="12" t="str">
        <f t="shared" si="331"/>
        <v>a1b8</v>
      </c>
      <c r="H1730" s="12" t="str">
        <f t="shared" si="332"/>
        <v>STOOPa1b8</v>
      </c>
      <c r="I1730" s="12"/>
      <c r="J1730" s="12" t="s">
        <v>13336</v>
      </c>
      <c r="K1730" s="12" t="str">
        <f t="shared" si="333"/>
        <v>1818</v>
      </c>
      <c r="L1730" s="12" t="s">
        <v>542</v>
      </c>
      <c r="M1730" s="12" t="s">
        <v>2126</v>
      </c>
      <c r="N1730" s="12" t="str">
        <f t="shared" ref="N1730:N1793" si="338">RIGHT(J1730,4)</f>
        <v>1818</v>
      </c>
      <c r="O1730" s="12" t="str">
        <f t="shared" ref="O1730:O1793" si="339">RIGHT(M1730,4)</f>
        <v>1820</v>
      </c>
      <c r="P1730" s="12"/>
      <c r="Q1730" s="12" t="str">
        <f t="shared" si="334"/>
        <v>1818</v>
      </c>
      <c r="R1730" s="12"/>
      <c r="S1730" s="12" t="str">
        <f t="shared" si="335"/>
        <v/>
      </c>
      <c r="T1730" s="12" t="s">
        <v>168</v>
      </c>
      <c r="U1730" s="12" t="s">
        <v>13337</v>
      </c>
      <c r="V1730" s="12" t="str">
        <f t="shared" si="336"/>
        <v>1839</v>
      </c>
      <c r="W1730" s="12" t="s">
        <v>13338</v>
      </c>
      <c r="X1730" s="12" t="s">
        <v>1675</v>
      </c>
      <c r="Y1730" s="12"/>
      <c r="Z1730" s="12"/>
      <c r="AA1730" s="12" t="s">
        <v>13339</v>
      </c>
      <c r="AB1730" s="12"/>
      <c r="AC1730" s="12"/>
      <c r="AD1730" s="12"/>
      <c r="AE1730" s="12"/>
      <c r="AF1730" s="12"/>
      <c r="AG1730" s="12"/>
      <c r="AH1730" s="12" t="s">
        <v>13340</v>
      </c>
      <c r="AI1730" s="12" t="str">
        <f t="shared" si="337"/>
        <v>1839</v>
      </c>
      <c r="AJ1730" s="12"/>
      <c r="AK1730" s="12" t="s">
        <v>13341</v>
      </c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  <c r="BO1730" s="12"/>
      <c r="BP1730" s="12"/>
      <c r="BQ1730" s="12"/>
      <c r="BR1730" s="12"/>
      <c r="BS1730" s="12"/>
      <c r="BT1730" s="12"/>
      <c r="BU1730" s="12"/>
      <c r="BV1730" s="12"/>
      <c r="BW1730" s="12"/>
      <c r="BX1730" s="12"/>
      <c r="BY1730" s="12"/>
      <c r="BZ1730" s="12"/>
      <c r="CA1730" s="12"/>
      <c r="CB1730" s="12"/>
      <c r="CC1730" s="12"/>
      <c r="CD1730" s="12"/>
    </row>
    <row r="1731" spans="1:82">
      <c r="A1731" s="13" t="s">
        <v>8373</v>
      </c>
      <c r="B1731" s="12" t="str">
        <f t="shared" si="329"/>
        <v>STRAUSS</v>
      </c>
      <c r="C1731" s="12" t="str">
        <f t="shared" si="330"/>
        <v>STRAUSS</v>
      </c>
      <c r="D1731" s="12" t="s">
        <v>10371</v>
      </c>
      <c r="E1731" s="12" t="str">
        <f t="shared" ref="E1731:E1794" si="340">PROPER(D1731)</f>
        <v>David Jacobus</v>
      </c>
      <c r="F1731" s="12" t="s">
        <v>1661</v>
      </c>
      <c r="G1731" s="12" t="str">
        <f t="shared" si="331"/>
        <v>a1b2c4</v>
      </c>
      <c r="H1731" s="12" t="str">
        <f t="shared" si="332"/>
        <v>STRAUSSa1b2c4</v>
      </c>
      <c r="I1731" s="12"/>
      <c r="J1731" s="12"/>
      <c r="K1731" s="12" t="str">
        <f t="shared" si="333"/>
        <v/>
      </c>
      <c r="L1731" s="12" t="s">
        <v>6098</v>
      </c>
      <c r="M1731" s="12" t="s">
        <v>13378</v>
      </c>
      <c r="N1731" s="12" t="str">
        <f t="shared" si="338"/>
        <v/>
      </c>
      <c r="O1731" s="12" t="str">
        <f t="shared" si="339"/>
        <v>1781</v>
      </c>
      <c r="P1731" s="12"/>
      <c r="Q1731" s="12" t="str">
        <f t="shared" si="334"/>
        <v>1781</v>
      </c>
      <c r="R1731" s="12"/>
      <c r="S1731" s="12" t="str">
        <f t="shared" si="335"/>
        <v/>
      </c>
      <c r="T1731" s="12" t="s">
        <v>6098</v>
      </c>
      <c r="U1731" s="12" t="s">
        <v>3644</v>
      </c>
      <c r="V1731" s="12" t="str">
        <f t="shared" si="336"/>
        <v>1802</v>
      </c>
      <c r="W1731" s="12" t="s">
        <v>13379</v>
      </c>
      <c r="X1731" s="12" t="s">
        <v>784</v>
      </c>
      <c r="Y1731" s="12"/>
      <c r="Z1731" s="12"/>
      <c r="AA1731" s="12"/>
      <c r="AB1731" s="12"/>
      <c r="AC1731" s="12" t="s">
        <v>13380</v>
      </c>
      <c r="AD1731" s="12"/>
      <c r="AE1731" s="12"/>
      <c r="AF1731" s="12" t="s">
        <v>6991</v>
      </c>
      <c r="AG1731" s="12" t="s">
        <v>74</v>
      </c>
      <c r="AH1731" s="12" t="s">
        <v>13381</v>
      </c>
      <c r="AI1731" s="12" t="str">
        <f t="shared" si="337"/>
        <v>1834</v>
      </c>
      <c r="AJ1731" s="12"/>
      <c r="AK1731" s="12" t="s">
        <v>551</v>
      </c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  <c r="BO1731" s="12"/>
      <c r="BP1731" s="12"/>
      <c r="BQ1731" s="12"/>
      <c r="BR1731" s="12"/>
      <c r="BS1731" s="12"/>
      <c r="BT1731" s="12"/>
      <c r="BU1731" s="12"/>
      <c r="BV1731" s="12"/>
      <c r="BW1731" s="12"/>
      <c r="BX1731" s="12"/>
      <c r="BY1731" s="12"/>
      <c r="BZ1731" s="12"/>
      <c r="CA1731" s="12"/>
      <c r="CB1731" s="12"/>
      <c r="CC1731" s="12"/>
      <c r="CD1731" s="12"/>
    </row>
    <row r="1732" spans="1:82">
      <c r="A1732" s="13" t="s">
        <v>8373</v>
      </c>
      <c r="B1732" s="12" t="str">
        <f t="shared" si="329"/>
        <v>STRAUSS</v>
      </c>
      <c r="C1732" s="12" t="str">
        <f t="shared" si="330"/>
        <v>STRAUSS</v>
      </c>
      <c r="D1732" s="12" t="s">
        <v>13359</v>
      </c>
      <c r="E1732" s="12" t="str">
        <f t="shared" si="340"/>
        <v>David Chistiaan Dirk</v>
      </c>
      <c r="F1732" s="12" t="s">
        <v>1666</v>
      </c>
      <c r="G1732" s="12" t="str">
        <f t="shared" si="331"/>
        <v>a1b2c4d1</v>
      </c>
      <c r="H1732" s="12" t="str">
        <f t="shared" si="332"/>
        <v>STRAUSSa1b2c4d1</v>
      </c>
      <c r="I1732" s="12"/>
      <c r="J1732" s="12" t="s">
        <v>13360</v>
      </c>
      <c r="K1732" s="12" t="str">
        <f t="shared" si="333"/>
        <v>1804</v>
      </c>
      <c r="L1732" s="12"/>
      <c r="M1732" s="12" t="s">
        <v>1429</v>
      </c>
      <c r="N1732" s="12" t="str">
        <f t="shared" si="338"/>
        <v>1804</v>
      </c>
      <c r="O1732" s="12" t="str">
        <f t="shared" si="339"/>
        <v>1804</v>
      </c>
      <c r="P1732" s="12" t="s">
        <v>566</v>
      </c>
      <c r="Q1732" s="12" t="str">
        <f t="shared" si="334"/>
        <v>1804</v>
      </c>
      <c r="R1732" s="12" t="s">
        <v>13361</v>
      </c>
      <c r="S1732" s="12" t="str">
        <f t="shared" si="335"/>
        <v>1870</v>
      </c>
      <c r="T1732" s="12" t="s">
        <v>74</v>
      </c>
      <c r="U1732" s="12" t="s">
        <v>5343</v>
      </c>
      <c r="V1732" s="12" t="str">
        <f t="shared" si="336"/>
        <v>1827</v>
      </c>
      <c r="W1732" s="12" t="s">
        <v>13362</v>
      </c>
      <c r="X1732" s="12" t="s">
        <v>1299</v>
      </c>
      <c r="Y1732" s="12"/>
      <c r="Z1732" s="12"/>
      <c r="AA1732" s="12"/>
      <c r="AB1732" s="12"/>
      <c r="AC1732" s="12" t="s">
        <v>1577</v>
      </c>
      <c r="AD1732" s="12" t="s">
        <v>566</v>
      </c>
      <c r="AE1732" s="12" t="s">
        <v>13363</v>
      </c>
      <c r="AF1732" s="12" t="s">
        <v>3723</v>
      </c>
      <c r="AG1732" s="12" t="s">
        <v>60</v>
      </c>
      <c r="AH1732" s="12"/>
      <c r="AI1732" s="12" t="str">
        <f t="shared" si="337"/>
        <v/>
      </c>
      <c r="AJ1732" s="12"/>
      <c r="AK1732" s="12" t="s">
        <v>566</v>
      </c>
      <c r="AL1732" s="12" t="s">
        <v>74</v>
      </c>
      <c r="AM1732" s="12" t="s">
        <v>529</v>
      </c>
      <c r="AN1732" s="12" t="s">
        <v>11223</v>
      </c>
      <c r="AO1732" s="12" t="s">
        <v>8373</v>
      </c>
      <c r="AP1732" s="12"/>
      <c r="AQ1732" s="12" t="s">
        <v>13364</v>
      </c>
      <c r="AR1732" s="12" t="s">
        <v>4950</v>
      </c>
      <c r="AS1732" s="12" t="s">
        <v>6098</v>
      </c>
      <c r="AT1732" s="12" t="s">
        <v>9201</v>
      </c>
      <c r="AU1732" s="12" t="s">
        <v>566</v>
      </c>
      <c r="AV1732" s="12" t="s">
        <v>13365</v>
      </c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  <c r="BO1732" s="12"/>
      <c r="BP1732" s="12"/>
      <c r="BQ1732" s="12"/>
      <c r="BR1732" s="12"/>
      <c r="BS1732" s="12"/>
      <c r="BT1732" s="12"/>
      <c r="BU1732" s="12"/>
      <c r="BV1732" s="12"/>
      <c r="BW1732" s="12"/>
      <c r="BX1732" s="12"/>
      <c r="BY1732" s="12"/>
      <c r="BZ1732" s="12"/>
      <c r="CA1732" s="12"/>
      <c r="CB1732" s="12"/>
      <c r="CC1732" s="12"/>
      <c r="CD1732" s="12"/>
    </row>
    <row r="1733" spans="1:82">
      <c r="A1733" s="13" t="s">
        <v>8373</v>
      </c>
      <c r="B1733" s="12" t="str">
        <f t="shared" si="329"/>
        <v>STRAUSS</v>
      </c>
      <c r="C1733" s="12" t="str">
        <f t="shared" si="330"/>
        <v>STRAUSS</v>
      </c>
      <c r="D1733" s="12" t="s">
        <v>13356</v>
      </c>
      <c r="E1733" s="12" t="str">
        <f t="shared" si="340"/>
        <v>Adries Jacobus</v>
      </c>
      <c r="F1733" s="12" t="s">
        <v>7987</v>
      </c>
      <c r="G1733" s="12" t="str">
        <f t="shared" si="331"/>
        <v>a1b2c4d3</v>
      </c>
      <c r="H1733" s="12" t="str">
        <f t="shared" si="332"/>
        <v>STRAUSSa1b2c4d3</v>
      </c>
      <c r="I1733" s="12"/>
      <c r="J1733" s="12" t="s">
        <v>13357</v>
      </c>
      <c r="K1733" s="12" t="str">
        <f t="shared" si="333"/>
        <v>1806</v>
      </c>
      <c r="L1733" s="12" t="s">
        <v>542</v>
      </c>
      <c r="M1733" s="12" t="s">
        <v>7206</v>
      </c>
      <c r="N1733" s="12" t="str">
        <f t="shared" si="338"/>
        <v>1806</v>
      </c>
      <c r="O1733" s="12" t="str">
        <f t="shared" si="339"/>
        <v>1809</v>
      </c>
      <c r="P1733" s="12"/>
      <c r="Q1733" s="12" t="str">
        <f t="shared" si="334"/>
        <v>1806</v>
      </c>
      <c r="R1733" s="12"/>
      <c r="S1733" s="12" t="str">
        <f t="shared" si="335"/>
        <v/>
      </c>
      <c r="T1733" s="12" t="s">
        <v>74</v>
      </c>
      <c r="U1733" s="12" t="s">
        <v>1225</v>
      </c>
      <c r="V1733" s="12" t="str">
        <f t="shared" si="336"/>
        <v>1830</v>
      </c>
      <c r="W1733" s="12" t="s">
        <v>13358</v>
      </c>
      <c r="X1733" s="12" t="s">
        <v>2023</v>
      </c>
      <c r="Y1733" s="12"/>
      <c r="Z1733" s="12"/>
      <c r="AA1733" s="12"/>
      <c r="AB1733" s="12"/>
      <c r="AC1733" s="12"/>
      <c r="AD1733" s="12"/>
      <c r="AE1733" s="12"/>
      <c r="AF1733" s="12"/>
      <c r="AG1733" s="12" t="s">
        <v>60</v>
      </c>
      <c r="AH1733" s="12"/>
      <c r="AI1733" s="12" t="str">
        <f t="shared" si="337"/>
        <v/>
      </c>
      <c r="AJ1733" s="12" t="s">
        <v>13076</v>
      </c>
      <c r="AK1733" s="12" t="s">
        <v>8760</v>
      </c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  <c r="BO1733" s="12"/>
      <c r="BP1733" s="12"/>
      <c r="BQ1733" s="12"/>
      <c r="BR1733" s="12"/>
      <c r="BS1733" s="12"/>
      <c r="BT1733" s="12"/>
      <c r="BU1733" s="12"/>
      <c r="BV1733" s="12"/>
      <c r="BW1733" s="12"/>
      <c r="BX1733" s="12"/>
      <c r="BY1733" s="12"/>
      <c r="BZ1733" s="12"/>
      <c r="CA1733" s="12"/>
      <c r="CB1733" s="12"/>
      <c r="CC1733" s="12"/>
      <c r="CD1733" s="12"/>
    </row>
    <row r="1734" spans="1:82">
      <c r="A1734" s="13" t="s">
        <v>8373</v>
      </c>
      <c r="B1734" s="12" t="str">
        <f t="shared" si="329"/>
        <v>STRAUSS</v>
      </c>
      <c r="C1734" s="12" t="str">
        <f t="shared" si="330"/>
        <v>STRAUSS</v>
      </c>
      <c r="D1734" s="12" t="s">
        <v>1818</v>
      </c>
      <c r="E1734" s="12" t="str">
        <f t="shared" si="340"/>
        <v>Jacob Johannes</v>
      </c>
      <c r="F1734" s="12" t="s">
        <v>2523</v>
      </c>
      <c r="G1734" s="12" t="str">
        <f t="shared" si="331"/>
        <v>a1b2c4d4</v>
      </c>
      <c r="H1734" s="12" t="str">
        <f t="shared" si="332"/>
        <v>STRAUSSa1b2c4d4</v>
      </c>
      <c r="I1734" s="12"/>
      <c r="J1734" s="12" t="s">
        <v>13385</v>
      </c>
      <c r="K1734" s="12" t="str">
        <f t="shared" si="333"/>
        <v>1811</v>
      </c>
      <c r="L1734" s="12" t="s">
        <v>74</v>
      </c>
      <c r="M1734" s="12" t="s">
        <v>523</v>
      </c>
      <c r="N1734" s="12" t="str">
        <f t="shared" si="338"/>
        <v>1811</v>
      </c>
      <c r="O1734" s="12" t="str">
        <f t="shared" si="339"/>
        <v>1811</v>
      </c>
      <c r="P1734" s="12" t="s">
        <v>9326</v>
      </c>
      <c r="Q1734" s="12" t="str">
        <f t="shared" si="334"/>
        <v>1811</v>
      </c>
      <c r="R1734" s="12" t="s">
        <v>13386</v>
      </c>
      <c r="S1734" s="12" t="str">
        <f t="shared" si="335"/>
        <v>1878</v>
      </c>
      <c r="T1734" s="12" t="s">
        <v>74</v>
      </c>
      <c r="U1734" s="12" t="s">
        <v>13387</v>
      </c>
      <c r="V1734" s="12" t="str">
        <f t="shared" si="336"/>
        <v>1829</v>
      </c>
      <c r="W1734" s="12" t="s">
        <v>13388</v>
      </c>
      <c r="X1734" s="12" t="s">
        <v>8373</v>
      </c>
      <c r="Y1734" s="12"/>
      <c r="Z1734" s="12"/>
      <c r="AA1734" s="12" t="s">
        <v>9969</v>
      </c>
      <c r="AB1734" s="12"/>
      <c r="AC1734" s="12"/>
      <c r="AD1734" s="12"/>
      <c r="AE1734" s="12"/>
      <c r="AF1734" s="12"/>
      <c r="AG1734" s="12" t="s">
        <v>60</v>
      </c>
      <c r="AH1734" s="12" t="s">
        <v>13389</v>
      </c>
      <c r="AI1734" s="12" t="str">
        <f t="shared" si="337"/>
        <v>1840</v>
      </c>
      <c r="AJ1734" s="12"/>
      <c r="AK1734" s="12" t="s">
        <v>551</v>
      </c>
      <c r="AL1734" s="12" t="s">
        <v>74</v>
      </c>
      <c r="AM1734" s="12" t="s">
        <v>13390</v>
      </c>
      <c r="AN1734" s="12" t="s">
        <v>5404</v>
      </c>
      <c r="AO1734" s="12" t="s">
        <v>758</v>
      </c>
      <c r="AP1734" s="12"/>
      <c r="AQ1734" s="12" t="s">
        <v>60</v>
      </c>
      <c r="AR1734" s="12" t="s">
        <v>13391</v>
      </c>
      <c r="AS1734" s="12"/>
      <c r="AT1734" s="12"/>
      <c r="AU1734" s="12" t="s">
        <v>9326</v>
      </c>
      <c r="AV1734" s="12" t="s">
        <v>13392</v>
      </c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  <c r="BO1734" s="12"/>
      <c r="BP1734" s="12"/>
      <c r="BQ1734" s="12"/>
      <c r="BR1734" s="12"/>
      <c r="BS1734" s="12"/>
      <c r="BT1734" s="12"/>
      <c r="BU1734" s="12"/>
      <c r="BV1734" s="12"/>
      <c r="BW1734" s="12"/>
      <c r="BX1734" s="12"/>
      <c r="BY1734" s="12"/>
      <c r="BZ1734" s="12"/>
      <c r="CA1734" s="12"/>
      <c r="CB1734" s="12"/>
      <c r="CC1734" s="12"/>
      <c r="CD1734" s="12"/>
    </row>
    <row r="1735" spans="1:82">
      <c r="A1735" s="13" t="s">
        <v>8373</v>
      </c>
      <c r="B1735" s="12" t="str">
        <f t="shared" si="329"/>
        <v>STRAUSS</v>
      </c>
      <c r="C1735" s="12" t="str">
        <f t="shared" si="330"/>
        <v>STRAUSS</v>
      </c>
      <c r="D1735" s="12" t="s">
        <v>13353</v>
      </c>
      <c r="E1735" s="12" t="str">
        <f t="shared" si="340"/>
        <v>Abraham Frderik</v>
      </c>
      <c r="F1735" s="12" t="s">
        <v>868</v>
      </c>
      <c r="G1735" s="12" t="str">
        <f t="shared" si="331"/>
        <v>a1b2c4d9</v>
      </c>
      <c r="H1735" s="12" t="str">
        <f t="shared" si="332"/>
        <v>STRAUSSa1b2c4d9</v>
      </c>
      <c r="I1735" s="12"/>
      <c r="J1735" s="12" t="s">
        <v>1621</v>
      </c>
      <c r="K1735" s="12" t="str">
        <f t="shared" si="333"/>
        <v>1824</v>
      </c>
      <c r="L1735" s="12" t="s">
        <v>74</v>
      </c>
      <c r="M1735" s="12" t="s">
        <v>4032</v>
      </c>
      <c r="N1735" s="12" t="str">
        <f t="shared" si="338"/>
        <v>1824</v>
      </c>
      <c r="O1735" s="12" t="str">
        <f t="shared" si="339"/>
        <v>1825</v>
      </c>
      <c r="P1735" s="12" t="s">
        <v>8760</v>
      </c>
      <c r="Q1735" s="12" t="str">
        <f t="shared" si="334"/>
        <v>1824</v>
      </c>
      <c r="R1735" s="12" t="s">
        <v>13354</v>
      </c>
      <c r="S1735" s="12" t="str">
        <f t="shared" si="335"/>
        <v>1892</v>
      </c>
      <c r="T1735" s="12" t="s">
        <v>6991</v>
      </c>
      <c r="U1735" s="12" t="s">
        <v>13355</v>
      </c>
      <c r="V1735" s="12" t="str">
        <f t="shared" si="336"/>
        <v>1840</v>
      </c>
      <c r="W1735" s="12" t="s">
        <v>1410</v>
      </c>
      <c r="X1735" s="12" t="s">
        <v>2023</v>
      </c>
      <c r="Y1735" s="12"/>
      <c r="Z1735" s="12"/>
      <c r="AA1735" s="12"/>
      <c r="AB1735" s="12"/>
      <c r="AC1735" s="12"/>
      <c r="AD1735" s="12"/>
      <c r="AE1735" s="12"/>
      <c r="AF1735" s="12"/>
      <c r="AG1735" s="12" t="s">
        <v>60</v>
      </c>
      <c r="AH1735" s="12">
        <v>1840</v>
      </c>
      <c r="AI1735" s="12" t="str">
        <f t="shared" si="337"/>
        <v>1840</v>
      </c>
      <c r="AJ1735" s="12"/>
      <c r="AK1735" s="12" t="s">
        <v>551</v>
      </c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  <c r="BO1735" s="12"/>
      <c r="BP1735" s="12"/>
      <c r="BQ1735" s="12"/>
      <c r="BR1735" s="12"/>
      <c r="BS1735" s="12"/>
      <c r="BT1735" s="12"/>
      <c r="BU1735" s="12"/>
      <c r="BV1735" s="12"/>
      <c r="BW1735" s="12"/>
      <c r="BX1735" s="12"/>
      <c r="BY1735" s="12"/>
      <c r="BZ1735" s="12"/>
      <c r="CA1735" s="12"/>
      <c r="CB1735" s="12"/>
      <c r="CC1735" s="12"/>
      <c r="CD1735" s="12"/>
    </row>
    <row r="1736" spans="1:82">
      <c r="A1736" s="13" t="s">
        <v>8373</v>
      </c>
      <c r="B1736" s="12" t="str">
        <f t="shared" si="329"/>
        <v>STRAUSS</v>
      </c>
      <c r="C1736" s="12" t="str">
        <f t="shared" si="330"/>
        <v>STRAUSS</v>
      </c>
      <c r="D1736" s="12" t="s">
        <v>13366</v>
      </c>
      <c r="E1736" s="12" t="str">
        <f t="shared" si="340"/>
        <v xml:space="preserve">David Frederik  </v>
      </c>
      <c r="F1736" s="12" t="s">
        <v>1080</v>
      </c>
      <c r="G1736" s="12" t="str">
        <f t="shared" si="331"/>
        <v>a1b2c6d4</v>
      </c>
      <c r="H1736" s="12" t="str">
        <f t="shared" si="332"/>
        <v>STRAUSSa1b2c6d4</v>
      </c>
      <c r="I1736" s="12" t="s">
        <v>60</v>
      </c>
      <c r="J1736" s="12" t="s">
        <v>13367</v>
      </c>
      <c r="K1736" s="12" t="str">
        <f t="shared" si="333"/>
        <v>1818</v>
      </c>
      <c r="L1736" s="12" t="s">
        <v>74</v>
      </c>
      <c r="M1736" s="12" t="s">
        <v>8332</v>
      </c>
      <c r="N1736" s="12" t="str">
        <f t="shared" si="338"/>
        <v>1818</v>
      </c>
      <c r="O1736" s="12" t="str">
        <f t="shared" si="339"/>
        <v>1819</v>
      </c>
      <c r="P1736" s="12" t="s">
        <v>564</v>
      </c>
      <c r="Q1736" s="12" t="str">
        <f t="shared" si="334"/>
        <v>1818</v>
      </c>
      <c r="R1736" s="12" t="s">
        <v>13368</v>
      </c>
      <c r="S1736" s="12" t="str">
        <f t="shared" si="335"/>
        <v>1896</v>
      </c>
      <c r="T1736" s="12" t="s">
        <v>6991</v>
      </c>
      <c r="U1736" s="12" t="s">
        <v>13369</v>
      </c>
      <c r="V1736" s="12" t="str">
        <f t="shared" si="336"/>
        <v>1838</v>
      </c>
      <c r="W1736" s="12" t="s">
        <v>13370</v>
      </c>
      <c r="X1736" s="12" t="s">
        <v>2394</v>
      </c>
      <c r="Y1736" s="12"/>
      <c r="Z1736" s="12"/>
      <c r="AA1736" s="12" t="s">
        <v>2199</v>
      </c>
      <c r="AB1736" s="12"/>
      <c r="AC1736" s="12"/>
      <c r="AD1736" s="12"/>
      <c r="AE1736" s="12"/>
      <c r="AF1736" s="12"/>
      <c r="AG1736" s="12" t="s">
        <v>60</v>
      </c>
      <c r="AH1736" s="12" t="s">
        <v>13371</v>
      </c>
      <c r="AI1736" s="12" t="str">
        <f t="shared" si="337"/>
        <v>1843</v>
      </c>
      <c r="AJ1736" s="12"/>
      <c r="AK1736" s="12"/>
      <c r="AL1736" s="12" t="s">
        <v>60</v>
      </c>
      <c r="AM1736" s="12" t="s">
        <v>13372</v>
      </c>
      <c r="AN1736" s="12" t="s">
        <v>13373</v>
      </c>
      <c r="AO1736" s="12" t="s">
        <v>2394</v>
      </c>
      <c r="AP1736" s="12"/>
      <c r="AQ1736" s="12"/>
      <c r="AR1736" s="12" t="s">
        <v>13374</v>
      </c>
      <c r="AS1736" s="12" t="s">
        <v>32</v>
      </c>
      <c r="AT1736" s="12" t="s">
        <v>13375</v>
      </c>
      <c r="AU1736" s="12" t="s">
        <v>566</v>
      </c>
      <c r="AV1736" s="12" t="s">
        <v>13376</v>
      </c>
      <c r="AW1736" s="12" t="s">
        <v>566</v>
      </c>
      <c r="AX1736" s="12" t="s">
        <v>13377</v>
      </c>
      <c r="AY1736" s="12" t="s">
        <v>1943</v>
      </c>
      <c r="AZ1736" s="12" t="s">
        <v>781</v>
      </c>
      <c r="BA1736" s="12"/>
      <c r="BB1736" s="12" t="s">
        <v>6991</v>
      </c>
      <c r="BC1736" s="12"/>
      <c r="BD1736" s="12"/>
      <c r="BE1736" s="12"/>
      <c r="BF1736" s="12" t="s">
        <v>564</v>
      </c>
      <c r="BG1736" s="12"/>
      <c r="BH1736" s="12"/>
      <c r="BI1736" s="12"/>
      <c r="BJ1736" s="12"/>
      <c r="BK1736" s="12"/>
      <c r="BL1736" s="12"/>
      <c r="BM1736" s="12"/>
      <c r="BN1736" s="12"/>
      <c r="BO1736" s="12"/>
      <c r="BP1736" s="12"/>
      <c r="BQ1736" s="12"/>
      <c r="BR1736" s="12"/>
      <c r="BS1736" s="12"/>
      <c r="BT1736" s="12"/>
      <c r="BU1736" s="12"/>
      <c r="BV1736" s="12"/>
      <c r="BW1736" s="12"/>
      <c r="BX1736" s="12"/>
      <c r="BY1736" s="12"/>
      <c r="BZ1736" s="12"/>
      <c r="CA1736" s="12"/>
      <c r="CB1736" s="12"/>
      <c r="CC1736" s="12"/>
      <c r="CD1736" s="12"/>
    </row>
    <row r="1737" spans="1:82">
      <c r="A1737" s="13" t="s">
        <v>8373</v>
      </c>
      <c r="B1737" s="12" t="str">
        <f t="shared" si="329"/>
        <v>STRAUSS</v>
      </c>
      <c r="C1737" s="12" t="str">
        <f t="shared" si="330"/>
        <v>STRAUSS</v>
      </c>
      <c r="D1737" s="12" t="s">
        <v>13393</v>
      </c>
      <c r="E1737" s="12" t="str">
        <f t="shared" si="340"/>
        <v>Johannes Martthias</v>
      </c>
      <c r="F1737" s="12" t="s">
        <v>13394</v>
      </c>
      <c r="G1737" s="12" t="str">
        <f t="shared" si="331"/>
        <v>a1b2c8</v>
      </c>
      <c r="H1737" s="12" t="str">
        <f t="shared" si="332"/>
        <v>STRAUSSa1b2c8</v>
      </c>
      <c r="I1737" s="12" t="s">
        <v>542</v>
      </c>
      <c r="J1737" s="12" t="s">
        <v>13395</v>
      </c>
      <c r="K1737" s="12" t="str">
        <f t="shared" si="333"/>
        <v>1790</v>
      </c>
      <c r="L1737" s="12" t="s">
        <v>5738</v>
      </c>
      <c r="M1737" s="12" t="s">
        <v>13396</v>
      </c>
      <c r="N1737" s="12" t="str">
        <f t="shared" si="338"/>
        <v>1790</v>
      </c>
      <c r="O1737" s="12" t="str">
        <f t="shared" si="339"/>
        <v>1790</v>
      </c>
      <c r="P1737" s="12" t="s">
        <v>566</v>
      </c>
      <c r="Q1737" s="12" t="str">
        <f t="shared" si="334"/>
        <v>1790</v>
      </c>
      <c r="R1737" s="12" t="s">
        <v>13397</v>
      </c>
      <c r="S1737" s="12" t="str">
        <f t="shared" si="335"/>
        <v>1870</v>
      </c>
      <c r="T1737" s="12" t="s">
        <v>74</v>
      </c>
      <c r="U1737" s="12" t="s">
        <v>1602</v>
      </c>
      <c r="V1737" s="12" t="str">
        <f t="shared" si="336"/>
        <v>1815</v>
      </c>
      <c r="W1737" s="12" t="s">
        <v>13398</v>
      </c>
      <c r="X1737" s="12" t="s">
        <v>2136</v>
      </c>
      <c r="Y1737" s="12"/>
      <c r="Z1737" s="12"/>
      <c r="AA1737" s="12"/>
      <c r="AB1737" s="12"/>
      <c r="AC1737" s="12"/>
      <c r="AD1737" s="12"/>
      <c r="AE1737" s="12"/>
      <c r="AF1737" s="12"/>
      <c r="AG1737" s="12" t="s">
        <v>60</v>
      </c>
      <c r="AH1737" s="12">
        <v>1834</v>
      </c>
      <c r="AI1737" s="12" t="str">
        <f t="shared" si="337"/>
        <v>1834</v>
      </c>
      <c r="AJ1737" s="12"/>
      <c r="AK1737" s="12" t="s">
        <v>551</v>
      </c>
      <c r="AL1737" s="12" t="s">
        <v>74</v>
      </c>
      <c r="AM1737" s="12" t="s">
        <v>13399</v>
      </c>
      <c r="AN1737" s="12" t="s">
        <v>13400</v>
      </c>
      <c r="AO1737" s="12" t="s">
        <v>3765</v>
      </c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  <c r="BO1737" s="12"/>
      <c r="BP1737" s="12"/>
      <c r="BQ1737" s="12"/>
      <c r="BR1737" s="12"/>
      <c r="BS1737" s="12"/>
      <c r="BT1737" s="12"/>
      <c r="BU1737" s="12"/>
      <c r="BV1737" s="12"/>
      <c r="BW1737" s="12"/>
      <c r="BX1737" s="12"/>
      <c r="BY1737" s="12"/>
      <c r="BZ1737" s="12"/>
      <c r="CA1737" s="12"/>
      <c r="CB1737" s="12"/>
      <c r="CC1737" s="12"/>
      <c r="CD1737" s="12"/>
    </row>
    <row r="1738" spans="1:82">
      <c r="A1738" s="13" t="s">
        <v>8373</v>
      </c>
      <c r="B1738" s="12" t="str">
        <f t="shared" si="329"/>
        <v>STRAUSS</v>
      </c>
      <c r="C1738" s="12" t="str">
        <f t="shared" si="330"/>
        <v>STRAUSS</v>
      </c>
      <c r="D1738" s="12" t="s">
        <v>10371</v>
      </c>
      <c r="E1738" s="12" t="str">
        <f t="shared" si="340"/>
        <v>David Jacobus</v>
      </c>
      <c r="F1738" s="12" t="s">
        <v>8011</v>
      </c>
      <c r="G1738" s="12" t="str">
        <f t="shared" si="331"/>
        <v>a1b2c8d4</v>
      </c>
      <c r="H1738" s="12" t="str">
        <f t="shared" si="332"/>
        <v>STRAUSSa1b2c8d4</v>
      </c>
      <c r="I1738" s="12"/>
      <c r="J1738" s="12" t="s">
        <v>13382</v>
      </c>
      <c r="K1738" s="12" t="str">
        <f t="shared" si="333"/>
        <v>1822</v>
      </c>
      <c r="L1738" s="12" t="s">
        <v>74</v>
      </c>
      <c r="M1738" s="12" t="s">
        <v>383</v>
      </c>
      <c r="N1738" s="12" t="str">
        <f t="shared" si="338"/>
        <v>1822</v>
      </c>
      <c r="O1738" s="12" t="str">
        <f t="shared" si="339"/>
        <v>1822</v>
      </c>
      <c r="P1738" s="12" t="s">
        <v>2242</v>
      </c>
      <c r="Q1738" s="12" t="str">
        <f t="shared" si="334"/>
        <v>1822</v>
      </c>
      <c r="R1738" s="12" t="s">
        <v>13383</v>
      </c>
      <c r="S1738" s="12" t="str">
        <f t="shared" si="335"/>
        <v>1899</v>
      </c>
      <c r="T1738" s="12"/>
      <c r="U1738" s="12"/>
      <c r="V1738" s="12" t="str">
        <f t="shared" si="336"/>
        <v/>
      </c>
      <c r="W1738" s="12" t="s">
        <v>4355</v>
      </c>
      <c r="X1738" s="12" t="s">
        <v>1425</v>
      </c>
      <c r="Y1738" s="12"/>
      <c r="Z1738" s="12" t="s">
        <v>13384</v>
      </c>
      <c r="AA1738" s="12">
        <v>1825</v>
      </c>
      <c r="AB1738" s="12"/>
      <c r="AC1738" s="12"/>
      <c r="AD1738" s="12" t="s">
        <v>1092</v>
      </c>
      <c r="AE1738" s="1">
        <v>588</v>
      </c>
      <c r="AF1738" s="12"/>
      <c r="AG1738" s="12" t="s">
        <v>60</v>
      </c>
      <c r="AH1738" s="12"/>
      <c r="AI1738" s="12" t="str">
        <f t="shared" si="337"/>
        <v/>
      </c>
      <c r="AJ1738" s="12"/>
      <c r="AK1738" s="12" t="s">
        <v>551</v>
      </c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  <c r="BO1738" s="12"/>
      <c r="BP1738" s="12"/>
      <c r="BQ1738" s="12"/>
      <c r="BR1738" s="12"/>
      <c r="BS1738" s="12"/>
      <c r="BT1738" s="12"/>
      <c r="BU1738" s="12"/>
      <c r="BV1738" s="12"/>
      <c r="BW1738" s="12"/>
      <c r="BX1738" s="12"/>
      <c r="BY1738" s="12"/>
      <c r="BZ1738" s="12"/>
      <c r="CA1738" s="12"/>
      <c r="CB1738" s="12"/>
      <c r="CC1738" s="12"/>
      <c r="CD1738" s="12"/>
    </row>
    <row r="1739" spans="1:82">
      <c r="A1739" s="13" t="s">
        <v>13401</v>
      </c>
      <c r="B1739" s="12" t="str">
        <f t="shared" si="329"/>
        <v>STROH</v>
      </c>
      <c r="C1739" s="12" t="str">
        <f t="shared" si="330"/>
        <v>STROH</v>
      </c>
      <c r="D1739" s="12" t="s">
        <v>13402</v>
      </c>
      <c r="E1739" s="12" t="str">
        <f t="shared" si="340"/>
        <v>Hendrik Stephanus Marthinus</v>
      </c>
      <c r="F1739" s="12" t="s">
        <v>4661</v>
      </c>
      <c r="G1739" s="12" t="str">
        <f t="shared" si="331"/>
        <v>a1b8</v>
      </c>
      <c r="H1739" s="12" t="str">
        <f t="shared" si="332"/>
        <v>STROHa1b8</v>
      </c>
      <c r="I1739" s="12"/>
      <c r="J1739" s="12" t="s">
        <v>13403</v>
      </c>
      <c r="K1739" s="12" t="str">
        <f t="shared" si="333"/>
        <v>1814</v>
      </c>
      <c r="L1739" s="12" t="s">
        <v>74</v>
      </c>
      <c r="M1739" s="12" t="s">
        <v>13404</v>
      </c>
      <c r="N1739" s="12" t="str">
        <f t="shared" si="338"/>
        <v>1814</v>
      </c>
      <c r="O1739" s="12" t="str">
        <f t="shared" si="339"/>
        <v>1814</v>
      </c>
      <c r="P1739" s="12" t="s">
        <v>67</v>
      </c>
      <c r="Q1739" s="12" t="str">
        <f t="shared" si="334"/>
        <v>1814</v>
      </c>
      <c r="R1739" s="12" t="s">
        <v>13405</v>
      </c>
      <c r="S1739" s="12" t="str">
        <f t="shared" si="335"/>
        <v>1885</v>
      </c>
      <c r="T1739" s="12" t="s">
        <v>74</v>
      </c>
      <c r="U1739" s="12" t="s">
        <v>13406</v>
      </c>
      <c r="V1739" s="12" t="str">
        <f t="shared" si="336"/>
        <v>1834</v>
      </c>
      <c r="W1739" s="12" t="s">
        <v>4106</v>
      </c>
      <c r="X1739" s="12" t="s">
        <v>664</v>
      </c>
      <c r="Y1739" s="12"/>
      <c r="Z1739" s="12"/>
      <c r="AA1739" s="12"/>
      <c r="AB1739" s="12"/>
      <c r="AC1739" s="12"/>
      <c r="AD1739" s="12"/>
      <c r="AE1739" s="12"/>
      <c r="AF1739" s="12" t="s">
        <v>3720</v>
      </c>
      <c r="AG1739" s="12" t="s">
        <v>68</v>
      </c>
      <c r="AH1739" s="12" t="s">
        <v>385</v>
      </c>
      <c r="AI1739" s="12" t="str">
        <f t="shared" si="337"/>
        <v>1840</v>
      </c>
      <c r="AJ1739" s="12"/>
      <c r="AK1739" s="12" t="s">
        <v>551</v>
      </c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  <c r="BO1739" s="12"/>
      <c r="BP1739" s="12"/>
      <c r="BQ1739" s="12"/>
      <c r="BR1739" s="12"/>
      <c r="BS1739" s="12"/>
      <c r="BT1739" s="12"/>
      <c r="BU1739" s="12"/>
      <c r="BV1739" s="12"/>
      <c r="BW1739" s="12"/>
      <c r="BX1739" s="12"/>
      <c r="BY1739" s="12"/>
      <c r="BZ1739" s="12"/>
      <c r="CA1739" s="12"/>
      <c r="CB1739" s="12"/>
      <c r="CC1739" s="12"/>
      <c r="CD1739" s="12"/>
    </row>
    <row r="1740" spans="1:82">
      <c r="A1740" s="13" t="s">
        <v>2153</v>
      </c>
      <c r="B1740" s="12" t="str">
        <f t="shared" si="329"/>
        <v>STRYDOM</v>
      </c>
      <c r="C1740" s="12" t="str">
        <f t="shared" si="330"/>
        <v>STRYDOM</v>
      </c>
      <c r="D1740" s="12" t="s">
        <v>13471</v>
      </c>
      <c r="E1740" s="12" t="str">
        <f t="shared" si="340"/>
        <v>Gideon Lourens</v>
      </c>
      <c r="F1740" s="12" t="s">
        <v>13472</v>
      </c>
      <c r="G1740" s="12" t="str">
        <f t="shared" si="331"/>
        <v>a1b3c3d3e11</v>
      </c>
      <c r="H1740" s="12" t="str">
        <f t="shared" si="332"/>
        <v>STRYDOMa1b3c3d3e11</v>
      </c>
      <c r="I1740" s="12"/>
      <c r="J1740" s="12">
        <v>1791</v>
      </c>
      <c r="K1740" s="12" t="str">
        <f t="shared" si="333"/>
        <v>1791</v>
      </c>
      <c r="L1740" s="12"/>
      <c r="M1740" s="12" t="s">
        <v>13473</v>
      </c>
      <c r="N1740" s="12" t="str">
        <f t="shared" si="338"/>
        <v>1791</v>
      </c>
      <c r="O1740" s="12" t="str">
        <f t="shared" si="339"/>
        <v>1792</v>
      </c>
      <c r="P1740" s="12" t="s">
        <v>255</v>
      </c>
      <c r="Q1740" s="12" t="str">
        <f t="shared" si="334"/>
        <v>1791</v>
      </c>
      <c r="R1740" s="12" t="s">
        <v>13474</v>
      </c>
      <c r="S1740" s="12" t="str">
        <f t="shared" si="335"/>
        <v>1872</v>
      </c>
      <c r="T1740" s="12" t="s">
        <v>74</v>
      </c>
      <c r="U1740" s="12" t="s">
        <v>5124</v>
      </c>
      <c r="V1740" s="12" t="str">
        <f t="shared" si="336"/>
        <v>1815</v>
      </c>
      <c r="W1740" s="12" t="s">
        <v>13475</v>
      </c>
      <c r="X1740" s="12" t="s">
        <v>391</v>
      </c>
      <c r="Y1740" s="12"/>
      <c r="Z1740" s="12"/>
      <c r="AA1740" s="12"/>
      <c r="AB1740" s="12"/>
      <c r="AC1740" s="12" t="s">
        <v>13476</v>
      </c>
      <c r="AD1740" s="12"/>
      <c r="AE1740" s="12"/>
      <c r="AF1740" s="12"/>
      <c r="AG1740" s="12" t="s">
        <v>53</v>
      </c>
      <c r="AH1740" s="12" t="s">
        <v>12677</v>
      </c>
      <c r="AI1740" s="12" t="str">
        <f t="shared" si="337"/>
        <v>1842</v>
      </c>
      <c r="AJ1740" s="12"/>
      <c r="AK1740" s="12" t="s">
        <v>190</v>
      </c>
      <c r="AL1740" s="12" t="s">
        <v>53</v>
      </c>
      <c r="AM1740" s="12" t="s">
        <v>13477</v>
      </c>
      <c r="AN1740" s="12" t="s">
        <v>13478</v>
      </c>
      <c r="AO1740" s="12" t="s">
        <v>696</v>
      </c>
      <c r="AP1740" s="12"/>
      <c r="AQ1740" s="12"/>
      <c r="AR1740" s="12"/>
      <c r="AS1740" s="12"/>
      <c r="AT1740" s="12" t="s">
        <v>13479</v>
      </c>
      <c r="AU1740" s="12" t="s">
        <v>255</v>
      </c>
      <c r="AV1740" s="12" t="s">
        <v>12548</v>
      </c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  <c r="BO1740" s="12"/>
      <c r="BP1740" s="12"/>
      <c r="BQ1740" s="12"/>
      <c r="BR1740" s="12"/>
      <c r="BS1740" s="12"/>
      <c r="BT1740" s="12"/>
      <c r="BU1740" s="12"/>
      <c r="BV1740" s="12"/>
      <c r="BW1740" s="12"/>
      <c r="BX1740" s="12"/>
      <c r="BY1740" s="12"/>
      <c r="BZ1740" s="12"/>
      <c r="CA1740" s="12"/>
      <c r="CB1740" s="12"/>
      <c r="CC1740" s="12"/>
      <c r="CD1740" s="12"/>
    </row>
    <row r="1741" spans="1:82">
      <c r="A1741" s="13" t="s">
        <v>2153</v>
      </c>
      <c r="B1741" s="12" t="str">
        <f t="shared" si="329"/>
        <v>STRYDOM</v>
      </c>
      <c r="C1741" s="12" t="str">
        <f t="shared" si="330"/>
        <v>STRYDOM</v>
      </c>
      <c r="D1741" s="12" t="s">
        <v>2818</v>
      </c>
      <c r="E1741" s="12" t="str">
        <f t="shared" si="340"/>
        <v>Matthys Johannes</v>
      </c>
      <c r="F1741" s="12" t="s">
        <v>13532</v>
      </c>
      <c r="G1741" s="12" t="str">
        <f t="shared" si="331"/>
        <v>a1b3c3d3e11f1</v>
      </c>
      <c r="H1741" s="12" t="str">
        <f t="shared" si="332"/>
        <v>STRYDOMa1b3c3d3e11f1</v>
      </c>
      <c r="I1741" s="12" t="s">
        <v>74</v>
      </c>
      <c r="J1741" s="12" t="s">
        <v>13533</v>
      </c>
      <c r="K1741" s="12" t="str">
        <f t="shared" si="333"/>
        <v>1816</v>
      </c>
      <c r="L1741" s="12"/>
      <c r="M1741" s="12"/>
      <c r="N1741" s="12" t="str">
        <f t="shared" si="338"/>
        <v>1816</v>
      </c>
      <c r="O1741" s="12" t="str">
        <f t="shared" si="339"/>
        <v/>
      </c>
      <c r="P1741" s="12" t="s">
        <v>13534</v>
      </c>
      <c r="Q1741" s="12" t="str">
        <f t="shared" si="334"/>
        <v>1816</v>
      </c>
      <c r="R1741" s="12" t="s">
        <v>13535</v>
      </c>
      <c r="S1741" s="12" t="str">
        <f t="shared" si="335"/>
        <v>1893</v>
      </c>
      <c r="T1741" s="12"/>
      <c r="U1741" s="12"/>
      <c r="V1741" s="12" t="str">
        <f t="shared" si="336"/>
        <v/>
      </c>
      <c r="W1741" s="12" t="s">
        <v>13536</v>
      </c>
      <c r="X1741" s="12" t="s">
        <v>2153</v>
      </c>
      <c r="Y1741" s="12"/>
      <c r="Z1741" s="12"/>
      <c r="AA1741" s="12" t="s">
        <v>13537</v>
      </c>
      <c r="AB1741" s="12" t="s">
        <v>53</v>
      </c>
      <c r="AC1741" s="12" t="s">
        <v>8125</v>
      </c>
      <c r="AD1741" s="12" t="s">
        <v>2877</v>
      </c>
      <c r="AE1741" s="12" t="s">
        <v>13538</v>
      </c>
      <c r="AF1741" s="12"/>
      <c r="AG1741" s="12" t="s">
        <v>53</v>
      </c>
      <c r="AH1741" s="12">
        <v>1840</v>
      </c>
      <c r="AI1741" s="12" t="str">
        <f t="shared" si="337"/>
        <v>1840</v>
      </c>
      <c r="AJ1741" s="12"/>
      <c r="AK1741" s="12"/>
      <c r="AL1741" s="12" t="s">
        <v>2877</v>
      </c>
      <c r="AM1741" s="12" t="s">
        <v>13539</v>
      </c>
      <c r="AN1741" s="12" t="s">
        <v>764</v>
      </c>
      <c r="AO1741" s="12" t="s">
        <v>700</v>
      </c>
      <c r="AP1741" s="12"/>
      <c r="AQ1741" s="12"/>
      <c r="AR1741" s="12" t="s">
        <v>13540</v>
      </c>
      <c r="AS1741" s="12" t="s">
        <v>28</v>
      </c>
      <c r="AT1741" s="12" t="s">
        <v>4197</v>
      </c>
      <c r="AU1741" s="12" t="s">
        <v>13541</v>
      </c>
      <c r="AV1741" s="1">
        <v>1282</v>
      </c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  <c r="BO1741" s="12"/>
      <c r="BP1741" s="12"/>
      <c r="BQ1741" s="12"/>
      <c r="BR1741" s="12"/>
      <c r="BS1741" s="12"/>
      <c r="BT1741" s="12"/>
      <c r="BU1741" s="12"/>
      <c r="BV1741" s="12"/>
      <c r="BW1741" s="12"/>
      <c r="BX1741" s="12"/>
      <c r="BY1741" s="12"/>
      <c r="BZ1741" s="12"/>
      <c r="CA1741" s="12"/>
      <c r="CB1741" s="12"/>
      <c r="CC1741" s="12"/>
      <c r="CD1741" s="12"/>
    </row>
    <row r="1742" spans="1:82">
      <c r="A1742" s="13" t="s">
        <v>2153</v>
      </c>
      <c r="B1742" s="12" t="str">
        <f t="shared" si="329"/>
        <v>STRYDOM</v>
      </c>
      <c r="C1742" s="12" t="str">
        <f t="shared" si="330"/>
        <v>STRYDOM</v>
      </c>
      <c r="D1742" s="12" t="s">
        <v>13549</v>
      </c>
      <c r="E1742" s="12" t="str">
        <f t="shared" si="340"/>
        <v>Petrus Stephanus (Johannes)</v>
      </c>
      <c r="F1742" s="12" t="s">
        <v>13550</v>
      </c>
      <c r="G1742" s="12" t="str">
        <f t="shared" si="331"/>
        <v>a1b3c3d3e11f2</v>
      </c>
      <c r="H1742" s="12" t="str">
        <f t="shared" si="332"/>
        <v>STRYDOMa1b3c3d3e11f2</v>
      </c>
      <c r="I1742" s="12"/>
      <c r="J1742" s="12" t="s">
        <v>13551</v>
      </c>
      <c r="K1742" s="12" t="str">
        <f t="shared" si="333"/>
        <v>1820</v>
      </c>
      <c r="L1742" s="12" t="s">
        <v>53</v>
      </c>
      <c r="M1742" s="12" t="s">
        <v>4773</v>
      </c>
      <c r="N1742" s="12" t="str">
        <f t="shared" si="338"/>
        <v>1820</v>
      </c>
      <c r="O1742" s="12" t="str">
        <f t="shared" si="339"/>
        <v>1820</v>
      </c>
      <c r="P1742" s="12"/>
      <c r="Q1742" s="12" t="str">
        <f t="shared" si="334"/>
        <v>1820</v>
      </c>
      <c r="R1742" s="12"/>
      <c r="S1742" s="12" t="str">
        <f t="shared" si="335"/>
        <v/>
      </c>
      <c r="T1742" s="12" t="s">
        <v>140</v>
      </c>
      <c r="U1742" s="12" t="s">
        <v>13552</v>
      </c>
      <c r="V1742" s="12" t="str">
        <f t="shared" si="336"/>
        <v>1848</v>
      </c>
      <c r="W1742" s="12" t="s">
        <v>13553</v>
      </c>
      <c r="X1742" s="12" t="s">
        <v>13554</v>
      </c>
      <c r="Y1742" s="12"/>
      <c r="Z1742" s="12"/>
      <c r="AA1742" s="12">
        <v>1829</v>
      </c>
      <c r="AB1742" s="12"/>
      <c r="AC1742" s="12"/>
      <c r="AD1742" s="12"/>
      <c r="AE1742" s="12"/>
      <c r="AF1742" s="12"/>
      <c r="AG1742" s="12" t="s">
        <v>53</v>
      </c>
      <c r="AH1742" s="12" t="s">
        <v>12677</v>
      </c>
      <c r="AI1742" s="12" t="str">
        <f t="shared" si="337"/>
        <v>1842</v>
      </c>
      <c r="AJ1742" s="12"/>
      <c r="AK1742" s="12" t="s">
        <v>67</v>
      </c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  <c r="BO1742" s="12"/>
      <c r="BP1742" s="12"/>
      <c r="BQ1742" s="12"/>
      <c r="BR1742" s="12"/>
      <c r="BS1742" s="12"/>
      <c r="BT1742" s="12"/>
      <c r="BU1742" s="12"/>
      <c r="BV1742" s="12"/>
      <c r="BW1742" s="12"/>
      <c r="BX1742" s="12"/>
      <c r="BY1742" s="12"/>
      <c r="BZ1742" s="12"/>
      <c r="CA1742" s="12"/>
      <c r="CB1742" s="12"/>
      <c r="CC1742" s="12"/>
      <c r="CD1742" s="12"/>
    </row>
    <row r="1743" spans="1:82">
      <c r="A1743" s="13" t="s">
        <v>2153</v>
      </c>
      <c r="B1743" s="12" t="str">
        <f t="shared" si="329"/>
        <v>STRYDOM</v>
      </c>
      <c r="C1743" s="12" t="str">
        <f t="shared" si="330"/>
        <v>STRYDOM</v>
      </c>
      <c r="D1743" s="12" t="s">
        <v>13437</v>
      </c>
      <c r="E1743" s="12" t="str">
        <f t="shared" si="340"/>
        <v>Daniel Jacobus Johannes (Jacobus)</v>
      </c>
      <c r="F1743" s="12" t="s">
        <v>13438</v>
      </c>
      <c r="G1743" s="12" t="str">
        <f t="shared" si="331"/>
        <v>a1b3c3d6e10</v>
      </c>
      <c r="H1743" s="12" t="str">
        <f t="shared" si="332"/>
        <v>STRYDOMa1b3c3d6e10</v>
      </c>
      <c r="I1743" s="12"/>
      <c r="J1743" s="12"/>
      <c r="K1743" s="12" t="str">
        <f t="shared" si="333"/>
        <v/>
      </c>
      <c r="L1743" s="12"/>
      <c r="M1743" s="12" t="s">
        <v>13439</v>
      </c>
      <c r="N1743" s="12" t="str">
        <f t="shared" si="338"/>
        <v/>
      </c>
      <c r="O1743" s="12" t="str">
        <f t="shared" si="339"/>
        <v>1794</v>
      </c>
      <c r="P1743" s="12"/>
      <c r="Q1743" s="12" t="str">
        <f t="shared" si="334"/>
        <v>1794</v>
      </c>
      <c r="R1743" s="12"/>
      <c r="S1743" s="12" t="str">
        <f t="shared" si="335"/>
        <v/>
      </c>
      <c r="T1743" s="12" t="s">
        <v>140</v>
      </c>
      <c r="U1743" s="12" t="s">
        <v>4882</v>
      </c>
      <c r="V1743" s="12" t="str">
        <f t="shared" si="336"/>
        <v>1840</v>
      </c>
      <c r="W1743" s="12" t="s">
        <v>13440</v>
      </c>
      <c r="X1743" s="12" t="s">
        <v>781</v>
      </c>
      <c r="Y1743" s="12"/>
      <c r="Z1743" s="12"/>
      <c r="AA1743" s="12"/>
      <c r="AB1743" s="12"/>
      <c r="AC1743" s="12"/>
      <c r="AD1743" s="12"/>
      <c r="AE1743" s="12"/>
      <c r="AF1743" s="12" t="s">
        <v>2597</v>
      </c>
      <c r="AG1743" s="12" t="s">
        <v>366</v>
      </c>
      <c r="AH1743" s="12" t="s">
        <v>13441</v>
      </c>
      <c r="AI1743" s="12" t="str">
        <f t="shared" si="337"/>
        <v>1840</v>
      </c>
      <c r="AJ1743" s="12" t="s">
        <v>13442</v>
      </c>
      <c r="AK1743" s="12" t="s">
        <v>4129</v>
      </c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  <c r="BO1743" s="12"/>
      <c r="BP1743" s="12"/>
      <c r="BQ1743" s="12"/>
      <c r="BR1743" s="12"/>
      <c r="BS1743" s="12"/>
      <c r="BT1743" s="12"/>
      <c r="BU1743" s="12"/>
      <c r="BV1743" s="12"/>
      <c r="BW1743" s="12"/>
      <c r="BX1743" s="12"/>
      <c r="BY1743" s="12"/>
      <c r="BZ1743" s="12"/>
      <c r="CA1743" s="12"/>
      <c r="CB1743" s="12"/>
      <c r="CC1743" s="12"/>
      <c r="CD1743" s="12"/>
    </row>
    <row r="1744" spans="1:82">
      <c r="A1744" s="13" t="s">
        <v>2153</v>
      </c>
      <c r="B1744" s="12" t="str">
        <f t="shared" si="329"/>
        <v>STRYDOM</v>
      </c>
      <c r="C1744" s="12" t="str">
        <f t="shared" si="330"/>
        <v>STRYDOM</v>
      </c>
      <c r="D1744" s="12" t="s">
        <v>2817</v>
      </c>
      <c r="E1744" s="12" t="str">
        <f t="shared" si="340"/>
        <v>Johannes Matthys</v>
      </c>
      <c r="F1744" s="12" t="s">
        <v>9153</v>
      </c>
      <c r="G1744" s="12" t="str">
        <f t="shared" si="331"/>
        <v>a1b3c3d6e11</v>
      </c>
      <c r="H1744" s="12" t="str">
        <f t="shared" si="332"/>
        <v>STRYDOMa1b3c3d6e11</v>
      </c>
      <c r="I1744" s="12"/>
      <c r="J1744" s="12"/>
      <c r="K1744" s="12" t="str">
        <f t="shared" si="333"/>
        <v/>
      </c>
      <c r="L1744" s="12"/>
      <c r="M1744" s="12" t="s">
        <v>13501</v>
      </c>
      <c r="N1744" s="12" t="str">
        <f t="shared" si="338"/>
        <v/>
      </c>
      <c r="O1744" s="12" t="str">
        <f t="shared" si="339"/>
        <v>1797</v>
      </c>
      <c r="P1744" s="12" t="s">
        <v>93</v>
      </c>
      <c r="Q1744" s="12" t="str">
        <f t="shared" si="334"/>
        <v>1797</v>
      </c>
      <c r="R1744" s="12" t="s">
        <v>13502</v>
      </c>
      <c r="S1744" s="12" t="str">
        <f t="shared" si="335"/>
        <v>1882</v>
      </c>
      <c r="T1744" s="12" t="s">
        <v>199</v>
      </c>
      <c r="U1744" s="12" t="s">
        <v>1850</v>
      </c>
      <c r="V1744" s="12" t="str">
        <f t="shared" si="336"/>
        <v>1816</v>
      </c>
      <c r="W1744" s="12" t="s">
        <v>764</v>
      </c>
      <c r="X1744" s="12" t="s">
        <v>266</v>
      </c>
      <c r="Y1744" s="12"/>
      <c r="Z1744" s="12"/>
      <c r="AA1744" s="12"/>
      <c r="AB1744" s="12" t="s">
        <v>199</v>
      </c>
      <c r="AC1744" s="12" t="s">
        <v>13503</v>
      </c>
      <c r="AD1744" s="12"/>
      <c r="AE1744" s="12"/>
      <c r="AF1744" s="12" t="s">
        <v>11752</v>
      </c>
      <c r="AG1744" s="12" t="s">
        <v>366</v>
      </c>
      <c r="AH1744" s="12" t="s">
        <v>13504</v>
      </c>
      <c r="AI1744" s="12" t="str">
        <f t="shared" si="337"/>
        <v>1837</v>
      </c>
      <c r="AJ1744" s="12"/>
      <c r="AK1744" s="12" t="s">
        <v>93</v>
      </c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  <c r="BO1744" s="12"/>
      <c r="BP1744" s="12"/>
      <c r="BQ1744" s="12"/>
      <c r="BR1744" s="12"/>
      <c r="BS1744" s="12"/>
      <c r="BT1744" s="12"/>
      <c r="BU1744" s="12"/>
      <c r="BV1744" s="12"/>
      <c r="BW1744" s="12"/>
      <c r="BX1744" s="12"/>
      <c r="BY1744" s="12"/>
      <c r="BZ1744" s="12"/>
      <c r="CA1744" s="12"/>
      <c r="CB1744" s="12"/>
      <c r="CC1744" s="12"/>
      <c r="CD1744" s="12"/>
    </row>
    <row r="1745" spans="1:82">
      <c r="A1745" s="13" t="s">
        <v>2153</v>
      </c>
      <c r="B1745" s="12" t="str">
        <f t="shared" si="329"/>
        <v>STRYDOM</v>
      </c>
      <c r="C1745" s="12" t="str">
        <f t="shared" si="330"/>
        <v>STRYDOM</v>
      </c>
      <c r="D1745" s="12" t="s">
        <v>278</v>
      </c>
      <c r="E1745" s="12" t="str">
        <f t="shared" si="340"/>
        <v>Marthinus Johannes</v>
      </c>
      <c r="F1745" s="12" t="s">
        <v>13528</v>
      </c>
      <c r="G1745" s="12" t="str">
        <f t="shared" si="331"/>
        <v>a1b3c3d6e11f3</v>
      </c>
      <c r="H1745" s="12" t="str">
        <f t="shared" si="332"/>
        <v>STRYDOMa1b3c3d6e11f3</v>
      </c>
      <c r="I1745" s="12"/>
      <c r="J1745" s="12">
        <v>1824</v>
      </c>
      <c r="K1745" s="12" t="str">
        <f t="shared" si="333"/>
        <v>1824</v>
      </c>
      <c r="L1745" s="12"/>
      <c r="M1745" s="12"/>
      <c r="N1745" s="12" t="str">
        <f t="shared" si="338"/>
        <v>1824</v>
      </c>
      <c r="O1745" s="12" t="str">
        <f t="shared" si="339"/>
        <v/>
      </c>
      <c r="P1745" s="12" t="s">
        <v>93</v>
      </c>
      <c r="Q1745" s="12" t="str">
        <f t="shared" si="334"/>
        <v>1824</v>
      </c>
      <c r="R1745" s="1" t="s">
        <v>15778</v>
      </c>
      <c r="S1745" s="12" t="str">
        <f t="shared" si="335"/>
        <v>1902</v>
      </c>
      <c r="T1745" s="12" t="s">
        <v>140</v>
      </c>
      <c r="U1745" s="12" t="s">
        <v>13529</v>
      </c>
      <c r="V1745" s="12" t="str">
        <f t="shared" si="336"/>
        <v>1846</v>
      </c>
      <c r="W1745" s="12" t="s">
        <v>7314</v>
      </c>
      <c r="X1745" s="12" t="s">
        <v>266</v>
      </c>
      <c r="Y1745" s="12"/>
      <c r="Z1745" s="12" t="s">
        <v>53</v>
      </c>
      <c r="AA1745" s="12" t="s">
        <v>13530</v>
      </c>
      <c r="AB1745" s="12"/>
      <c r="AC1745" s="12"/>
      <c r="AD1745" s="12" t="s">
        <v>93</v>
      </c>
      <c r="AE1745" s="12" t="s">
        <v>13531</v>
      </c>
      <c r="AF1745" s="12" t="s">
        <v>11752</v>
      </c>
      <c r="AG1745" s="12" t="s">
        <v>366</v>
      </c>
      <c r="AH1745" s="12" t="s">
        <v>13504</v>
      </c>
      <c r="AI1745" s="12" t="str">
        <f t="shared" si="337"/>
        <v>1837</v>
      </c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  <c r="BO1745" s="12"/>
      <c r="BP1745" s="12"/>
      <c r="BQ1745" s="12"/>
      <c r="BR1745" s="12"/>
      <c r="BS1745" s="12"/>
      <c r="BT1745" s="12"/>
      <c r="BU1745" s="12"/>
      <c r="BV1745" s="12"/>
      <c r="BW1745" s="12"/>
      <c r="BX1745" s="12"/>
      <c r="BY1745" s="12"/>
      <c r="BZ1745" s="12"/>
      <c r="CA1745" s="12"/>
      <c r="CB1745" s="12"/>
      <c r="CC1745" s="12"/>
      <c r="CD1745" s="12"/>
    </row>
    <row r="1746" spans="1:82">
      <c r="A1746" s="13" t="s">
        <v>2153</v>
      </c>
      <c r="B1746" s="12" t="str">
        <f t="shared" si="329"/>
        <v>STRYDOM</v>
      </c>
      <c r="C1746" s="12" t="str">
        <f t="shared" si="330"/>
        <v>STRYDOM</v>
      </c>
      <c r="D1746" s="12" t="s">
        <v>13448</v>
      </c>
      <c r="E1746" s="12" t="str">
        <f t="shared" si="340"/>
        <v>David Jan Jacobus</v>
      </c>
      <c r="F1746" s="12" t="s">
        <v>13449</v>
      </c>
      <c r="G1746" s="12" t="str">
        <f t="shared" si="331"/>
        <v>a1b3c3d6e12</v>
      </c>
      <c r="H1746" s="12" t="str">
        <f t="shared" si="332"/>
        <v>STRYDOMa1b3c3d6e12</v>
      </c>
      <c r="I1746" s="12"/>
      <c r="J1746" s="12"/>
      <c r="K1746" s="12" t="str">
        <f t="shared" si="333"/>
        <v/>
      </c>
      <c r="L1746" s="12"/>
      <c r="M1746" s="12" t="s">
        <v>13450</v>
      </c>
      <c r="N1746" s="12" t="str">
        <f t="shared" si="338"/>
        <v/>
      </c>
      <c r="O1746" s="12" t="str">
        <f t="shared" si="339"/>
        <v>1798</v>
      </c>
      <c r="P1746" s="12"/>
      <c r="Q1746" s="12" t="str">
        <f t="shared" si="334"/>
        <v>1798</v>
      </c>
      <c r="R1746" s="12"/>
      <c r="S1746" s="12" t="str">
        <f t="shared" si="335"/>
        <v/>
      </c>
      <c r="T1746" s="12"/>
      <c r="U1746" s="12"/>
      <c r="V1746" s="12" t="str">
        <f t="shared" si="336"/>
        <v/>
      </c>
      <c r="W1746" s="12" t="s">
        <v>2090</v>
      </c>
      <c r="X1746" s="12" t="s">
        <v>13451</v>
      </c>
      <c r="Y1746" s="12"/>
      <c r="Z1746" s="12"/>
      <c r="AA1746" s="12"/>
      <c r="AB1746" s="12"/>
      <c r="AC1746" s="12"/>
      <c r="AD1746" s="12"/>
      <c r="AE1746" s="12"/>
      <c r="AF1746" s="12" t="s">
        <v>11752</v>
      </c>
      <c r="AG1746" s="12" t="s">
        <v>366</v>
      </c>
      <c r="AH1746" s="12" t="s">
        <v>2489</v>
      </c>
      <c r="AI1746" s="12" t="str">
        <f t="shared" si="337"/>
        <v>1841</v>
      </c>
      <c r="AJ1746" s="12" t="s">
        <v>13442</v>
      </c>
      <c r="AK1746" s="12" t="s">
        <v>93</v>
      </c>
      <c r="AL1746" s="12"/>
      <c r="AM1746" s="12" t="s">
        <v>13452</v>
      </c>
      <c r="AN1746" s="12" t="s">
        <v>13453</v>
      </c>
      <c r="AO1746" s="12" t="s">
        <v>13454</v>
      </c>
      <c r="AP1746" s="12" t="s">
        <v>13455</v>
      </c>
      <c r="AQ1746" s="12"/>
      <c r="AR1746" s="12"/>
      <c r="AS1746" s="12"/>
      <c r="AT1746" s="12" t="s">
        <v>13456</v>
      </c>
      <c r="AU1746" s="12"/>
      <c r="AV1746" s="12">
        <v>1855</v>
      </c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  <c r="BO1746" s="12"/>
      <c r="BP1746" s="12"/>
      <c r="BQ1746" s="12"/>
      <c r="BR1746" s="12"/>
      <c r="BS1746" s="12"/>
      <c r="BT1746" s="12"/>
      <c r="BU1746" s="12"/>
      <c r="BV1746" s="12"/>
      <c r="BW1746" s="12"/>
      <c r="BX1746" s="12"/>
      <c r="BY1746" s="12"/>
      <c r="BZ1746" s="12"/>
      <c r="CA1746" s="12"/>
      <c r="CB1746" s="12"/>
      <c r="CC1746" s="12"/>
      <c r="CD1746" s="12"/>
    </row>
    <row r="1747" spans="1:82">
      <c r="A1747" s="13" t="s">
        <v>2153</v>
      </c>
      <c r="B1747" s="12" t="str">
        <f t="shared" si="329"/>
        <v>STRYDOM</v>
      </c>
      <c r="C1747" s="12" t="str">
        <f t="shared" si="330"/>
        <v>STRYDOM</v>
      </c>
      <c r="D1747" s="12" t="s">
        <v>13542</v>
      </c>
      <c r="E1747" s="12" t="str">
        <f t="shared" si="340"/>
        <v>Okker Andries</v>
      </c>
      <c r="F1747" s="12" t="s">
        <v>13543</v>
      </c>
      <c r="G1747" s="12" t="str">
        <f t="shared" si="331"/>
        <v>a1b3c3d6e12f3</v>
      </c>
      <c r="H1747" s="12" t="str">
        <f t="shared" si="332"/>
        <v>STRYDOMa1b3c3d6e12f3</v>
      </c>
      <c r="I1747" s="12" t="s">
        <v>366</v>
      </c>
      <c r="J1747" s="12">
        <v>1824</v>
      </c>
      <c r="K1747" s="12" t="str">
        <f t="shared" si="333"/>
        <v>1824</v>
      </c>
      <c r="L1747" s="12"/>
      <c r="M1747" s="12"/>
      <c r="N1747" s="12" t="str">
        <f t="shared" si="338"/>
        <v>1824</v>
      </c>
      <c r="O1747" s="12" t="str">
        <f t="shared" si="339"/>
        <v/>
      </c>
      <c r="P1747" s="12" t="s">
        <v>1035</v>
      </c>
      <c r="Q1747" s="12" t="str">
        <f t="shared" si="334"/>
        <v>1824</v>
      </c>
      <c r="R1747" s="12" t="s">
        <v>13544</v>
      </c>
      <c r="S1747" s="12" t="str">
        <f t="shared" si="335"/>
        <v>1890</v>
      </c>
      <c r="T1747" s="12"/>
      <c r="U1747" s="12"/>
      <c r="V1747" s="12" t="str">
        <f t="shared" si="336"/>
        <v/>
      </c>
      <c r="W1747" s="12" t="s">
        <v>13545</v>
      </c>
      <c r="X1747" s="12" t="s">
        <v>266</v>
      </c>
      <c r="Y1747" s="12"/>
      <c r="Z1747" s="12" t="s">
        <v>199</v>
      </c>
      <c r="AA1747" s="12" t="s">
        <v>13546</v>
      </c>
      <c r="AB1747" s="12"/>
      <c r="AC1747" s="12"/>
      <c r="AD1747" s="12"/>
      <c r="AE1747" s="12" t="s">
        <v>13547</v>
      </c>
      <c r="AF1747" s="12" t="s">
        <v>11752</v>
      </c>
      <c r="AG1747" s="12" t="s">
        <v>366</v>
      </c>
      <c r="AH1747" s="12" t="s">
        <v>2489</v>
      </c>
      <c r="AI1747" s="12" t="str">
        <f t="shared" si="337"/>
        <v>1841</v>
      </c>
      <c r="AJ1747" s="12" t="s">
        <v>13442</v>
      </c>
      <c r="AK1747" s="12" t="s">
        <v>93</v>
      </c>
      <c r="AL1747" s="12"/>
      <c r="AM1747" s="12"/>
      <c r="AN1747" s="12" t="s">
        <v>4789</v>
      </c>
      <c r="AO1747" s="12" t="s">
        <v>13548</v>
      </c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  <c r="BO1747" s="12"/>
      <c r="BP1747" s="12"/>
      <c r="BQ1747" s="12"/>
      <c r="BR1747" s="12"/>
      <c r="BS1747" s="12"/>
      <c r="BT1747" s="12"/>
      <c r="BU1747" s="12"/>
      <c r="BV1747" s="12"/>
      <c r="BW1747" s="12"/>
      <c r="BX1747" s="12"/>
      <c r="BY1747" s="12"/>
      <c r="BZ1747" s="12"/>
      <c r="CA1747" s="12"/>
      <c r="CB1747" s="12"/>
      <c r="CC1747" s="12"/>
      <c r="CD1747" s="12"/>
    </row>
    <row r="1748" spans="1:82">
      <c r="A1748" s="13" t="s">
        <v>2153</v>
      </c>
      <c r="B1748" s="12" t="str">
        <f t="shared" si="329"/>
        <v>STRYDOM</v>
      </c>
      <c r="C1748" s="12" t="str">
        <f t="shared" si="330"/>
        <v>STRYDOM</v>
      </c>
      <c r="D1748" s="12" t="s">
        <v>13555</v>
      </c>
      <c r="E1748" s="12" t="str">
        <f t="shared" si="340"/>
        <v>Pieter Frederik</v>
      </c>
      <c r="F1748" s="12" t="s">
        <v>13556</v>
      </c>
      <c r="G1748" s="12" t="str">
        <f t="shared" si="331"/>
        <v xml:space="preserve">a1b3c3d6e13 </v>
      </c>
      <c r="H1748" s="12" t="str">
        <f t="shared" si="332"/>
        <v xml:space="preserve">STRYDOMa1b3c3d6e13 </v>
      </c>
      <c r="I1748" s="12"/>
      <c r="J1748" s="12" t="s">
        <v>13557</v>
      </c>
      <c r="K1748" s="12" t="str">
        <f t="shared" si="333"/>
        <v>1800</v>
      </c>
      <c r="L1748" s="12"/>
      <c r="M1748" s="12"/>
      <c r="N1748" s="12" t="str">
        <f t="shared" si="338"/>
        <v>1800</v>
      </c>
      <c r="O1748" s="12" t="str">
        <f t="shared" si="339"/>
        <v/>
      </c>
      <c r="P1748" s="12" t="s">
        <v>93</v>
      </c>
      <c r="Q1748" s="12" t="str">
        <f t="shared" si="334"/>
        <v>1800</v>
      </c>
      <c r="R1748" s="12" t="s">
        <v>13558</v>
      </c>
      <c r="S1748" s="12" t="str">
        <f t="shared" si="335"/>
        <v>1887</v>
      </c>
      <c r="T1748" s="12" t="s">
        <v>366</v>
      </c>
      <c r="U1748" s="12" t="s">
        <v>10109</v>
      </c>
      <c r="V1748" s="12" t="str">
        <f t="shared" si="336"/>
        <v>1821</v>
      </c>
      <c r="W1748" s="12" t="s">
        <v>13559</v>
      </c>
      <c r="X1748" s="12" t="s">
        <v>1077</v>
      </c>
      <c r="Y1748" s="12" t="s">
        <v>13560</v>
      </c>
      <c r="Z1748" s="12"/>
      <c r="AA1748" s="12"/>
      <c r="AB1748" s="12"/>
      <c r="AC1748" s="12" t="s">
        <v>4211</v>
      </c>
      <c r="AD1748" s="12" t="s">
        <v>93</v>
      </c>
      <c r="AE1748" s="12" t="s">
        <v>13561</v>
      </c>
      <c r="AF1748" s="12" t="s">
        <v>11752</v>
      </c>
      <c r="AG1748" s="12" t="s">
        <v>366</v>
      </c>
      <c r="AH1748" s="12">
        <v>1838</v>
      </c>
      <c r="AI1748" s="12" t="str">
        <f t="shared" si="337"/>
        <v>1838</v>
      </c>
      <c r="AJ1748" s="12" t="s">
        <v>13076</v>
      </c>
      <c r="AK1748" s="12" t="s">
        <v>4129</v>
      </c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  <c r="BO1748" s="12"/>
      <c r="BP1748" s="12"/>
      <c r="BQ1748" s="12"/>
      <c r="BR1748" s="12"/>
      <c r="BS1748" s="12"/>
      <c r="BT1748" s="12"/>
      <c r="BU1748" s="12"/>
      <c r="BV1748" s="12"/>
      <c r="BW1748" s="12"/>
      <c r="BX1748" s="12"/>
      <c r="BY1748" s="12"/>
      <c r="BZ1748" s="12"/>
      <c r="CA1748" s="12"/>
      <c r="CB1748" s="12"/>
      <c r="CC1748" s="12"/>
      <c r="CD1748" s="12"/>
    </row>
    <row r="1749" spans="1:82">
      <c r="A1749" s="13" t="s">
        <v>2153</v>
      </c>
      <c r="B1749" s="12" t="str">
        <f t="shared" si="329"/>
        <v>STRYDOM</v>
      </c>
      <c r="C1749" s="12" t="str">
        <f t="shared" si="330"/>
        <v>STRYDOM</v>
      </c>
      <c r="D1749" s="12" t="s">
        <v>13443</v>
      </c>
      <c r="E1749" s="12" t="str">
        <f t="shared" si="340"/>
        <v>Daniel Jacobus Johannes (P.F Seun)</v>
      </c>
      <c r="F1749" s="12" t="s">
        <v>13444</v>
      </c>
      <c r="G1749" s="12" t="str">
        <f t="shared" si="331"/>
        <v>a1b3c3d6e13f1</v>
      </c>
      <c r="H1749" s="12" t="str">
        <f t="shared" si="332"/>
        <v>STRYDOMa1b3c3d6e13f1</v>
      </c>
      <c r="I1749" s="12" t="s">
        <v>74</v>
      </c>
      <c r="J1749" s="12" t="s">
        <v>13445</v>
      </c>
      <c r="K1749" s="12" t="str">
        <f t="shared" si="333"/>
        <v>1823</v>
      </c>
      <c r="L1749" s="12"/>
      <c r="M1749" s="12"/>
      <c r="N1749" s="12" t="str">
        <f t="shared" si="338"/>
        <v>1823</v>
      </c>
      <c r="O1749" s="12" t="str">
        <f t="shared" si="339"/>
        <v/>
      </c>
      <c r="P1749" s="12"/>
      <c r="Q1749" s="12" t="str">
        <f t="shared" si="334"/>
        <v>1823</v>
      </c>
      <c r="R1749" s="12" t="s">
        <v>13446</v>
      </c>
      <c r="S1749" s="12" t="str">
        <f t="shared" si="335"/>
        <v>1880</v>
      </c>
      <c r="T1749" s="12" t="s">
        <v>140</v>
      </c>
      <c r="U1749" s="12" t="s">
        <v>8493</v>
      </c>
      <c r="V1749" s="12" t="str">
        <f t="shared" si="336"/>
        <v>1849</v>
      </c>
      <c r="W1749" s="12" t="s">
        <v>13447</v>
      </c>
      <c r="X1749" s="12" t="s">
        <v>726</v>
      </c>
      <c r="Y1749" s="12"/>
      <c r="Z1749" s="12"/>
      <c r="AA1749" s="12">
        <v>1833</v>
      </c>
      <c r="AB1749" s="12"/>
      <c r="AC1749" s="12"/>
      <c r="AD1749" s="12" t="s">
        <v>93</v>
      </c>
      <c r="AE1749" s="12" t="s">
        <v>12568</v>
      </c>
      <c r="AF1749" s="12" t="s">
        <v>11752</v>
      </c>
      <c r="AG1749" s="12" t="s">
        <v>366</v>
      </c>
      <c r="AH1749" s="12">
        <v>1838</v>
      </c>
      <c r="AI1749" s="12" t="str">
        <f t="shared" si="337"/>
        <v>1838</v>
      </c>
      <c r="AJ1749" s="12" t="s">
        <v>13442</v>
      </c>
      <c r="AK1749" s="12"/>
      <c r="AL1749" s="12"/>
      <c r="AM1749" s="12"/>
      <c r="AN1749" s="12">
        <v>1880</v>
      </c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  <c r="BO1749" s="12"/>
      <c r="BP1749" s="12"/>
      <c r="BQ1749" s="12"/>
      <c r="BR1749" s="12"/>
      <c r="BS1749" s="12"/>
      <c r="BT1749" s="12"/>
      <c r="BU1749" s="12"/>
      <c r="BV1749" s="12"/>
      <c r="BW1749" s="12"/>
      <c r="BX1749" s="12"/>
      <c r="BY1749" s="12"/>
      <c r="BZ1749" s="12"/>
      <c r="CA1749" s="12"/>
      <c r="CB1749" s="12"/>
      <c r="CC1749" s="12"/>
      <c r="CD1749" s="12"/>
    </row>
    <row r="1750" spans="1:82">
      <c r="A1750" s="13" t="s">
        <v>2153</v>
      </c>
      <c r="B1750" s="12" t="str">
        <f t="shared" si="329"/>
        <v>STRYDOM</v>
      </c>
      <c r="C1750" s="12" t="str">
        <f t="shared" si="330"/>
        <v>STRYDOM</v>
      </c>
      <c r="D1750" s="12" t="s">
        <v>13562</v>
      </c>
      <c r="E1750" s="12" t="str">
        <f t="shared" si="340"/>
        <v>Pieter Frederik Jr.</v>
      </c>
      <c r="F1750" s="12" t="s">
        <v>13563</v>
      </c>
      <c r="G1750" s="12" t="str">
        <f t="shared" si="331"/>
        <v>a1b3c3d6e13f3</v>
      </c>
      <c r="H1750" s="12" t="str">
        <f t="shared" si="332"/>
        <v>STRYDOMa1b3c3d6e13f3</v>
      </c>
      <c r="I1750" s="12" t="s">
        <v>366</v>
      </c>
      <c r="J1750" s="12">
        <v>1825</v>
      </c>
      <c r="K1750" s="12" t="str">
        <f t="shared" si="333"/>
        <v>1825</v>
      </c>
      <c r="L1750" s="12"/>
      <c r="M1750" s="12"/>
      <c r="N1750" s="12" t="str">
        <f t="shared" si="338"/>
        <v>1825</v>
      </c>
      <c r="O1750" s="12" t="str">
        <f t="shared" si="339"/>
        <v/>
      </c>
      <c r="P1750" s="12" t="s">
        <v>93</v>
      </c>
      <c r="Q1750" s="12" t="str">
        <f t="shared" si="334"/>
        <v>1825</v>
      </c>
      <c r="R1750" s="12" t="s">
        <v>4875</v>
      </c>
      <c r="S1750" s="12" t="str">
        <f t="shared" si="335"/>
        <v>1804</v>
      </c>
      <c r="T1750" s="12" t="s">
        <v>140</v>
      </c>
      <c r="U1750" s="12" t="s">
        <v>13529</v>
      </c>
      <c r="V1750" s="12" t="str">
        <f t="shared" si="336"/>
        <v>1846</v>
      </c>
      <c r="W1750" s="12" t="s">
        <v>13564</v>
      </c>
      <c r="X1750" s="12" t="s">
        <v>1077</v>
      </c>
      <c r="Y1750" s="12"/>
      <c r="Z1750" s="12" t="s">
        <v>53</v>
      </c>
      <c r="AA1750" s="12" t="s">
        <v>1492</v>
      </c>
      <c r="AB1750" s="12"/>
      <c r="AC1750" s="12"/>
      <c r="AD1750" s="12" t="s">
        <v>93</v>
      </c>
      <c r="AE1750" s="12" t="s">
        <v>13565</v>
      </c>
      <c r="AF1750" s="12" t="s">
        <v>11752</v>
      </c>
      <c r="AG1750" s="12" t="s">
        <v>366</v>
      </c>
      <c r="AH1750" s="12">
        <v>1838</v>
      </c>
      <c r="AI1750" s="12" t="str">
        <f t="shared" si="337"/>
        <v>1838</v>
      </c>
      <c r="AJ1750" s="12" t="s">
        <v>13442</v>
      </c>
      <c r="AK1750" s="12" t="s">
        <v>484</v>
      </c>
      <c r="AL1750" s="12" t="s">
        <v>93</v>
      </c>
      <c r="AM1750" s="12" t="s">
        <v>13566</v>
      </c>
      <c r="AN1750" s="12" t="s">
        <v>13567</v>
      </c>
      <c r="AO1750" s="12" t="s">
        <v>757</v>
      </c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  <c r="BO1750" s="12"/>
      <c r="BP1750" s="12"/>
      <c r="BQ1750" s="12"/>
      <c r="BR1750" s="12"/>
      <c r="BS1750" s="12"/>
      <c r="BT1750" s="12"/>
      <c r="BU1750" s="12"/>
      <c r="BV1750" s="12"/>
      <c r="BW1750" s="12"/>
      <c r="BX1750" s="12"/>
      <c r="BY1750" s="12"/>
      <c r="BZ1750" s="12"/>
      <c r="CA1750" s="12"/>
      <c r="CB1750" s="12"/>
      <c r="CC1750" s="12"/>
      <c r="CD1750" s="12"/>
    </row>
    <row r="1751" spans="1:82">
      <c r="A1751" s="13" t="s">
        <v>2153</v>
      </c>
      <c r="B1751" s="12" t="str">
        <f t="shared" si="329"/>
        <v>STRYDOM</v>
      </c>
      <c r="C1751" s="12" t="str">
        <f t="shared" si="330"/>
        <v>STRYDOM</v>
      </c>
      <c r="D1751" s="12" t="s">
        <v>3283</v>
      </c>
      <c r="E1751" s="12" t="str">
        <f t="shared" si="340"/>
        <v>Jan Hendrik</v>
      </c>
      <c r="F1751" s="12" t="s">
        <v>13496</v>
      </c>
      <c r="G1751" s="12" t="str">
        <f t="shared" si="331"/>
        <v>a1b3c3d6e15</v>
      </c>
      <c r="H1751" s="12" t="str">
        <f t="shared" si="332"/>
        <v>STRYDOMa1b3c3d6e15</v>
      </c>
      <c r="I1751" s="12" t="s">
        <v>366</v>
      </c>
      <c r="J1751" s="12" t="s">
        <v>13497</v>
      </c>
      <c r="K1751" s="12" t="str">
        <f t="shared" si="333"/>
        <v>1804</v>
      </c>
      <c r="L1751" s="12"/>
      <c r="M1751" s="12" t="s">
        <v>3470</v>
      </c>
      <c r="N1751" s="12" t="str">
        <f t="shared" si="338"/>
        <v>1804</v>
      </c>
      <c r="O1751" s="12" t="str">
        <f t="shared" si="339"/>
        <v>1804</v>
      </c>
      <c r="P1751" s="12" t="s">
        <v>93</v>
      </c>
      <c r="Q1751" s="12" t="str">
        <f t="shared" si="334"/>
        <v>1804</v>
      </c>
      <c r="R1751" s="12" t="s">
        <v>13498</v>
      </c>
      <c r="S1751" s="12" t="str">
        <f t="shared" si="335"/>
        <v>1875</v>
      </c>
      <c r="T1751" s="12"/>
      <c r="U1751" s="12" t="s">
        <v>1715</v>
      </c>
      <c r="V1751" s="12" t="str">
        <f t="shared" si="336"/>
        <v>1831</v>
      </c>
      <c r="W1751" s="12" t="s">
        <v>13499</v>
      </c>
      <c r="X1751" s="12" t="s">
        <v>695</v>
      </c>
      <c r="Y1751" s="12"/>
      <c r="Z1751" s="12"/>
      <c r="AA1751" s="12"/>
      <c r="AB1751" s="12"/>
      <c r="AC1751" s="12"/>
      <c r="AD1751" s="12"/>
      <c r="AE1751" s="12"/>
      <c r="AF1751" s="12" t="s">
        <v>11752</v>
      </c>
      <c r="AG1751" s="12" t="s">
        <v>366</v>
      </c>
      <c r="AH1751" s="12">
        <v>1838</v>
      </c>
      <c r="AI1751" s="12" t="str">
        <f t="shared" si="337"/>
        <v>1838</v>
      </c>
      <c r="AJ1751" s="12" t="s">
        <v>13442</v>
      </c>
      <c r="AK1751" s="12" t="s">
        <v>4129</v>
      </c>
      <c r="AL1751" s="12"/>
      <c r="AM1751" s="12"/>
      <c r="AN1751" s="12" t="s">
        <v>9613</v>
      </c>
      <c r="AO1751" s="12" t="s">
        <v>1320</v>
      </c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  <c r="BO1751" s="12"/>
      <c r="BP1751" s="12"/>
      <c r="BQ1751" s="12"/>
      <c r="BR1751" s="12"/>
      <c r="BS1751" s="12"/>
      <c r="BT1751" s="12"/>
      <c r="BU1751" s="12"/>
      <c r="BV1751" s="12"/>
      <c r="BW1751" s="12"/>
      <c r="BX1751" s="12"/>
      <c r="BY1751" s="12"/>
      <c r="BZ1751" s="12"/>
      <c r="CA1751" s="12"/>
      <c r="CB1751" s="12"/>
      <c r="CC1751" s="12"/>
      <c r="CD1751" s="12"/>
    </row>
    <row r="1752" spans="1:82">
      <c r="A1752" s="13" t="s">
        <v>2153</v>
      </c>
      <c r="B1752" s="12" t="str">
        <f t="shared" si="329"/>
        <v>STRYDOM</v>
      </c>
      <c r="C1752" s="12" t="str">
        <f t="shared" si="330"/>
        <v>STRYDOM</v>
      </c>
      <c r="D1752" s="12" t="s">
        <v>1203</v>
      </c>
      <c r="E1752" s="12" t="str">
        <f t="shared" si="340"/>
        <v>Jacobus</v>
      </c>
      <c r="F1752" s="12" t="s">
        <v>13489</v>
      </c>
      <c r="G1752" s="12" t="str">
        <f t="shared" si="331"/>
        <v>a1b3c3d6e16</v>
      </c>
      <c r="H1752" s="12" t="str">
        <f t="shared" si="332"/>
        <v>STRYDOMa1b3c3d6e16</v>
      </c>
      <c r="I1752" s="12"/>
      <c r="J1752" s="12"/>
      <c r="K1752" s="12" t="str">
        <f t="shared" si="333"/>
        <v/>
      </c>
      <c r="L1752" s="12"/>
      <c r="M1752" s="12" t="s">
        <v>3770</v>
      </c>
      <c r="N1752" s="12" t="str">
        <f t="shared" si="338"/>
        <v/>
      </c>
      <c r="O1752" s="12" t="str">
        <f t="shared" si="339"/>
        <v>1807</v>
      </c>
      <c r="P1752" s="12" t="s">
        <v>406</v>
      </c>
      <c r="Q1752" s="12" t="str">
        <f t="shared" si="334"/>
        <v>1807</v>
      </c>
      <c r="R1752" s="12" t="s">
        <v>13490</v>
      </c>
      <c r="S1752" s="12" t="str">
        <f t="shared" si="335"/>
        <v>1886</v>
      </c>
      <c r="T1752" s="12"/>
      <c r="U1752" s="12"/>
      <c r="V1752" s="12" t="str">
        <f t="shared" si="336"/>
        <v/>
      </c>
      <c r="W1752" s="12" t="s">
        <v>13491</v>
      </c>
      <c r="X1752" s="12" t="s">
        <v>695</v>
      </c>
      <c r="Y1752" s="12"/>
      <c r="Z1752" s="12"/>
      <c r="AA1752" s="12"/>
      <c r="AB1752" s="12"/>
      <c r="AC1752" s="12"/>
      <c r="AD1752" s="12"/>
      <c r="AE1752" s="12"/>
      <c r="AF1752" s="12"/>
      <c r="AG1752" s="12" t="s">
        <v>366</v>
      </c>
      <c r="AH1752" s="12" t="s">
        <v>385</v>
      </c>
      <c r="AI1752" s="12" t="str">
        <f t="shared" si="337"/>
        <v>1840</v>
      </c>
      <c r="AJ1752" s="12" t="s">
        <v>13442</v>
      </c>
      <c r="AK1752" s="12" t="s">
        <v>90</v>
      </c>
      <c r="AL1752" s="12" t="s">
        <v>366</v>
      </c>
      <c r="AM1752" s="12" t="s">
        <v>13492</v>
      </c>
      <c r="AN1752" s="12" t="s">
        <v>13493</v>
      </c>
      <c r="AO1752" s="12" t="s">
        <v>618</v>
      </c>
      <c r="AP1752" s="12" t="s">
        <v>13494</v>
      </c>
      <c r="AQ1752" s="12" t="s">
        <v>32</v>
      </c>
      <c r="AR1752" s="12" t="s">
        <v>13495</v>
      </c>
      <c r="AS1752" s="12"/>
      <c r="AT1752" s="12"/>
      <c r="AU1752" s="12" t="s">
        <v>406</v>
      </c>
      <c r="AV1752" s="12" t="s">
        <v>3127</v>
      </c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  <c r="BO1752" s="12"/>
      <c r="BP1752" s="12"/>
      <c r="BQ1752" s="12"/>
      <c r="BR1752" s="12"/>
      <c r="BS1752" s="12"/>
      <c r="BT1752" s="12"/>
      <c r="BU1752" s="12"/>
      <c r="BV1752" s="12"/>
      <c r="BW1752" s="12"/>
      <c r="BX1752" s="12"/>
      <c r="BY1752" s="12"/>
      <c r="BZ1752" s="12"/>
      <c r="CA1752" s="12"/>
      <c r="CB1752" s="12"/>
      <c r="CC1752" s="12"/>
      <c r="CD1752" s="12"/>
    </row>
    <row r="1753" spans="1:82">
      <c r="A1753" s="13" t="s">
        <v>2153</v>
      </c>
      <c r="B1753" s="12" t="str">
        <f t="shared" si="329"/>
        <v>STRYDOM</v>
      </c>
      <c r="C1753" s="12" t="str">
        <f t="shared" si="330"/>
        <v>STRYDOM</v>
      </c>
      <c r="D1753" s="12" t="s">
        <v>13457</v>
      </c>
      <c r="E1753" s="12" t="str">
        <f t="shared" si="340"/>
        <v>Frederik Andries</v>
      </c>
      <c r="F1753" s="12" t="s">
        <v>13458</v>
      </c>
      <c r="G1753" s="12" t="str">
        <f t="shared" si="331"/>
        <v>a1b3c3d6e17</v>
      </c>
      <c r="H1753" s="12" t="str">
        <f t="shared" si="332"/>
        <v>STRYDOMa1b3c3d6e17</v>
      </c>
      <c r="I1753" s="12"/>
      <c r="J1753" s="12" t="s">
        <v>13459</v>
      </c>
      <c r="K1753" s="12" t="str">
        <f t="shared" si="333"/>
        <v>1809</v>
      </c>
      <c r="L1753" s="12" t="s">
        <v>32</v>
      </c>
      <c r="M1753" s="12" t="s">
        <v>3868</v>
      </c>
      <c r="N1753" s="12" t="str">
        <f t="shared" si="338"/>
        <v>1809</v>
      </c>
      <c r="O1753" s="12" t="str">
        <f t="shared" si="339"/>
        <v>1809</v>
      </c>
      <c r="P1753" s="12"/>
      <c r="Q1753" s="12" t="str">
        <f t="shared" si="334"/>
        <v>1809</v>
      </c>
      <c r="R1753" s="12" t="s">
        <v>13460</v>
      </c>
      <c r="S1753" s="12" t="str">
        <f t="shared" si="335"/>
        <v>1873</v>
      </c>
      <c r="T1753" s="12" t="s">
        <v>53</v>
      </c>
      <c r="U1753" s="12" t="s">
        <v>1636</v>
      </c>
      <c r="V1753" s="12" t="str">
        <f t="shared" si="336"/>
        <v>1832</v>
      </c>
      <c r="W1753" s="12" t="s">
        <v>747</v>
      </c>
      <c r="X1753" s="12" t="s">
        <v>667</v>
      </c>
      <c r="Y1753" s="12" t="s">
        <v>13461</v>
      </c>
      <c r="Z1753" s="12"/>
      <c r="AA1753" s="12" t="s">
        <v>13462</v>
      </c>
      <c r="AB1753" s="12" t="s">
        <v>542</v>
      </c>
      <c r="AC1753" s="12" t="s">
        <v>13463</v>
      </c>
      <c r="AD1753" s="12" t="s">
        <v>3387</v>
      </c>
      <c r="AE1753" s="12" t="s">
        <v>13464</v>
      </c>
      <c r="AF1753" s="12" t="s">
        <v>11752</v>
      </c>
      <c r="AG1753" s="12" t="s">
        <v>366</v>
      </c>
      <c r="AH1753" s="12" t="s">
        <v>13465</v>
      </c>
      <c r="AI1753" s="12" t="str">
        <f t="shared" si="337"/>
        <v>1842</v>
      </c>
      <c r="AJ1753" s="12" t="s">
        <v>13442</v>
      </c>
      <c r="AK1753" s="12" t="s">
        <v>140</v>
      </c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  <c r="BO1753" s="12"/>
      <c r="BP1753" s="12"/>
      <c r="BQ1753" s="12"/>
      <c r="BR1753" s="12"/>
      <c r="BS1753" s="12"/>
      <c r="BT1753" s="12"/>
      <c r="BU1753" s="12"/>
      <c r="BV1753" s="12"/>
      <c r="BW1753" s="12"/>
      <c r="BX1753" s="12"/>
      <c r="BY1753" s="12"/>
      <c r="BZ1753" s="12"/>
      <c r="CA1753" s="12"/>
      <c r="CB1753" s="12"/>
      <c r="CC1753" s="12"/>
      <c r="CD1753" s="12"/>
    </row>
    <row r="1754" spans="1:82">
      <c r="A1754" s="13" t="s">
        <v>2153</v>
      </c>
      <c r="B1754" s="12" t="str">
        <f t="shared" si="329"/>
        <v>STRYDOM</v>
      </c>
      <c r="C1754" s="12" t="str">
        <f t="shared" si="330"/>
        <v>STRYDOM</v>
      </c>
      <c r="D1754" s="12" t="s">
        <v>13505</v>
      </c>
      <c r="E1754" s="12" t="str">
        <f t="shared" si="340"/>
        <v>Johannes Petrus (Hans)</v>
      </c>
      <c r="F1754" s="12" t="s">
        <v>901</v>
      </c>
      <c r="G1754" s="12" t="str">
        <f t="shared" si="331"/>
        <v>a1b3c3d6e3</v>
      </c>
      <c r="H1754" s="12" t="str">
        <f t="shared" si="332"/>
        <v>STRYDOMa1b3c3d6e3</v>
      </c>
      <c r="I1754" s="12"/>
      <c r="J1754" s="12"/>
      <c r="K1754" s="12" t="str">
        <f t="shared" si="333"/>
        <v/>
      </c>
      <c r="L1754" s="12" t="s">
        <v>542</v>
      </c>
      <c r="M1754" s="12" t="s">
        <v>13506</v>
      </c>
      <c r="N1754" s="12" t="str">
        <f t="shared" si="338"/>
        <v/>
      </c>
      <c r="O1754" s="12" t="str">
        <f t="shared" si="339"/>
        <v>1778</v>
      </c>
      <c r="P1754" s="12" t="s">
        <v>8673</v>
      </c>
      <c r="Q1754" s="12" t="str">
        <f t="shared" si="334"/>
        <v>1778</v>
      </c>
      <c r="R1754" s="12" t="s">
        <v>13507</v>
      </c>
      <c r="S1754" s="12" t="str">
        <f t="shared" si="335"/>
        <v>1838</v>
      </c>
      <c r="T1754" s="12" t="s">
        <v>74</v>
      </c>
      <c r="U1754" s="12" t="s">
        <v>13508</v>
      </c>
      <c r="V1754" s="12" t="str">
        <f t="shared" si="336"/>
        <v>1810</v>
      </c>
      <c r="W1754" s="12" t="s">
        <v>13509</v>
      </c>
      <c r="X1754" s="12" t="s">
        <v>792</v>
      </c>
      <c r="Y1754" s="12"/>
      <c r="Z1754" s="12"/>
      <c r="AA1754" s="12"/>
      <c r="AB1754" s="12"/>
      <c r="AC1754" s="12" t="s">
        <v>13510</v>
      </c>
      <c r="AD1754" s="12"/>
      <c r="AE1754" s="12">
        <v>1822</v>
      </c>
      <c r="AF1754" s="12" t="s">
        <v>16</v>
      </c>
      <c r="AG1754" s="12" t="s">
        <v>68</v>
      </c>
      <c r="AH1754" s="12" t="s">
        <v>13511</v>
      </c>
      <c r="AI1754" s="12" t="str">
        <f t="shared" si="337"/>
        <v>1835</v>
      </c>
      <c r="AJ1754" s="12" t="s">
        <v>13512</v>
      </c>
      <c r="AK1754" s="12"/>
      <c r="AL1754" s="12" t="s">
        <v>74</v>
      </c>
      <c r="AM1754" s="12" t="s">
        <v>13513</v>
      </c>
      <c r="AN1754" s="12" t="s">
        <v>13514</v>
      </c>
      <c r="AO1754" s="12" t="s">
        <v>778</v>
      </c>
      <c r="AP1754" s="12" t="s">
        <v>13515</v>
      </c>
      <c r="AQ1754" s="12"/>
      <c r="AR1754" s="12" t="s">
        <v>13516</v>
      </c>
      <c r="AS1754" s="12" t="s">
        <v>1071</v>
      </c>
      <c r="AT1754" s="12" t="s">
        <v>13517</v>
      </c>
      <c r="AU1754" s="12" t="s">
        <v>9365</v>
      </c>
      <c r="AV1754" s="12" t="s">
        <v>13518</v>
      </c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  <c r="BO1754" s="12"/>
      <c r="BP1754" s="12"/>
      <c r="BQ1754" s="12"/>
      <c r="BR1754" s="12"/>
      <c r="BS1754" s="12"/>
      <c r="BT1754" s="12"/>
      <c r="BU1754" s="12"/>
      <c r="BV1754" s="12"/>
      <c r="BW1754" s="12"/>
      <c r="BX1754" s="12"/>
      <c r="BY1754" s="12"/>
      <c r="BZ1754" s="12"/>
      <c r="CA1754" s="12"/>
      <c r="CB1754" s="12"/>
      <c r="CC1754" s="12"/>
      <c r="CD1754" s="12"/>
    </row>
    <row r="1755" spans="1:82">
      <c r="A1755" s="13" t="s">
        <v>2153</v>
      </c>
      <c r="B1755" s="12" t="str">
        <f t="shared" si="329"/>
        <v>STRYDOM</v>
      </c>
      <c r="C1755" s="12" t="str">
        <f t="shared" si="330"/>
        <v>STRYDOM</v>
      </c>
      <c r="D1755" s="12" t="s">
        <v>11356</v>
      </c>
      <c r="E1755" s="12" t="str">
        <f t="shared" si="340"/>
        <v>Johannes Petrus Jr.</v>
      </c>
      <c r="F1755" s="12" t="s">
        <v>13519</v>
      </c>
      <c r="G1755" s="12" t="str">
        <f t="shared" si="331"/>
        <v>a1b3c3d6e3f3</v>
      </c>
      <c r="H1755" s="12" t="str">
        <f t="shared" si="332"/>
        <v>STRYDOMa1b3c3d6e3f3</v>
      </c>
      <c r="I1755" s="12" t="s">
        <v>60</v>
      </c>
      <c r="J1755" s="12" t="s">
        <v>13520</v>
      </c>
      <c r="K1755" s="12" t="str">
        <f t="shared" si="333"/>
        <v>1818</v>
      </c>
      <c r="L1755" s="12"/>
      <c r="M1755" s="12"/>
      <c r="N1755" s="12" t="str">
        <f t="shared" si="338"/>
        <v>1818</v>
      </c>
      <c r="O1755" s="12" t="str">
        <f t="shared" si="339"/>
        <v/>
      </c>
      <c r="P1755" s="12" t="s">
        <v>140</v>
      </c>
      <c r="Q1755" s="12" t="str">
        <f t="shared" si="334"/>
        <v>1818</v>
      </c>
      <c r="R1755" s="12" t="s">
        <v>13521</v>
      </c>
      <c r="S1755" s="12" t="str">
        <f t="shared" si="335"/>
        <v>1887</v>
      </c>
      <c r="T1755" s="12" t="s">
        <v>60</v>
      </c>
      <c r="U1755" s="12" t="s">
        <v>13522</v>
      </c>
      <c r="V1755" s="12" t="str">
        <f t="shared" si="336"/>
        <v>1838</v>
      </c>
      <c r="W1755" s="12" t="s">
        <v>1076</v>
      </c>
      <c r="X1755" s="12" t="s">
        <v>662</v>
      </c>
      <c r="Y1755" s="12"/>
      <c r="Z1755" s="12" t="s">
        <v>74</v>
      </c>
      <c r="AA1755" s="12">
        <v>1809</v>
      </c>
      <c r="AB1755" s="12"/>
      <c r="AC1755" s="12"/>
      <c r="AD1755" s="12" t="s">
        <v>13523</v>
      </c>
      <c r="AE1755" s="12" t="s">
        <v>13524</v>
      </c>
      <c r="AF1755" s="12"/>
      <c r="AG1755" s="12" t="s">
        <v>68</v>
      </c>
      <c r="AH1755" s="12" t="s">
        <v>13525</v>
      </c>
      <c r="AI1755" s="12" t="str">
        <f t="shared" si="337"/>
        <v>1838</v>
      </c>
      <c r="AJ1755" s="12"/>
      <c r="AK1755" s="12"/>
      <c r="AL1755" s="12"/>
      <c r="AM1755" s="12"/>
      <c r="AN1755" s="12" t="s">
        <v>13526</v>
      </c>
      <c r="AO1755" s="12" t="s">
        <v>782</v>
      </c>
      <c r="AP1755" s="12"/>
      <c r="AQ1755" s="12"/>
      <c r="AR1755" s="12" t="s">
        <v>13527</v>
      </c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  <c r="BO1755" s="12"/>
      <c r="BP1755" s="12"/>
      <c r="BQ1755" s="12"/>
      <c r="BR1755" s="12"/>
      <c r="BS1755" s="12"/>
      <c r="BT1755" s="12"/>
      <c r="BU1755" s="12"/>
      <c r="BV1755" s="12"/>
      <c r="BW1755" s="12"/>
      <c r="BX1755" s="12"/>
      <c r="BY1755" s="12"/>
      <c r="BZ1755" s="12"/>
      <c r="CA1755" s="12"/>
      <c r="CB1755" s="12"/>
      <c r="CC1755" s="12"/>
      <c r="CD1755" s="12"/>
    </row>
    <row r="1756" spans="1:82">
      <c r="A1756" s="13" t="s">
        <v>2153</v>
      </c>
      <c r="B1756" s="12" t="str">
        <f t="shared" si="329"/>
        <v>STRYDOM</v>
      </c>
      <c r="C1756" s="12" t="str">
        <f t="shared" si="330"/>
        <v>STRYDOM</v>
      </c>
      <c r="D1756" s="12" t="s">
        <v>13583</v>
      </c>
      <c r="E1756" s="12" t="str">
        <f t="shared" si="340"/>
        <v>Willem Gerhardus</v>
      </c>
      <c r="F1756" s="12" t="s">
        <v>13584</v>
      </c>
      <c r="G1756" s="12" t="str">
        <f t="shared" si="331"/>
        <v>a1b3c3d6e3f4</v>
      </c>
      <c r="H1756" s="12" t="str">
        <f t="shared" si="332"/>
        <v>STRYDOMa1b3c3d6e3f4</v>
      </c>
      <c r="I1756" s="12" t="s">
        <v>74</v>
      </c>
      <c r="J1756" s="12" t="s">
        <v>13585</v>
      </c>
      <c r="K1756" s="12" t="str">
        <f t="shared" si="333"/>
        <v>1820</v>
      </c>
      <c r="L1756" s="12"/>
      <c r="M1756" s="12"/>
      <c r="N1756" s="12" t="str">
        <f t="shared" si="338"/>
        <v>1820</v>
      </c>
      <c r="O1756" s="12" t="str">
        <f t="shared" si="339"/>
        <v/>
      </c>
      <c r="P1756" s="12"/>
      <c r="Q1756" s="12" t="str">
        <f t="shared" si="334"/>
        <v>1820</v>
      </c>
      <c r="R1756" s="12">
        <v>1865</v>
      </c>
      <c r="S1756" s="12" t="str">
        <f t="shared" si="335"/>
        <v>1865</v>
      </c>
      <c r="T1756" s="12"/>
      <c r="U1756" s="12"/>
      <c r="V1756" s="12" t="str">
        <f t="shared" si="336"/>
        <v/>
      </c>
      <c r="W1756" s="12" t="s">
        <v>747</v>
      </c>
      <c r="X1756" s="12" t="s">
        <v>1675</v>
      </c>
      <c r="Y1756" s="12"/>
      <c r="Z1756" s="12"/>
      <c r="AA1756" s="12">
        <v>1830</v>
      </c>
      <c r="AB1756" s="12"/>
      <c r="AC1756" s="12"/>
      <c r="AD1756" s="12"/>
      <c r="AE1756" s="12">
        <v>1905</v>
      </c>
      <c r="AF1756" s="12" t="s">
        <v>16</v>
      </c>
      <c r="AG1756" s="12" t="s">
        <v>68</v>
      </c>
      <c r="AH1756" s="12">
        <v>1835</v>
      </c>
      <c r="AI1756" s="12" t="str">
        <f t="shared" si="337"/>
        <v>1835</v>
      </c>
      <c r="AJ1756" s="12" t="s">
        <v>13586</v>
      </c>
      <c r="AK1756" s="12" t="s">
        <v>321</v>
      </c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  <c r="BO1756" s="12"/>
      <c r="BP1756" s="12"/>
      <c r="BQ1756" s="12"/>
      <c r="BR1756" s="12"/>
      <c r="BS1756" s="12"/>
      <c r="BT1756" s="12"/>
      <c r="BU1756" s="12"/>
      <c r="BV1756" s="12"/>
      <c r="BW1756" s="12"/>
      <c r="BX1756" s="12"/>
      <c r="BY1756" s="12"/>
      <c r="BZ1756" s="12"/>
      <c r="CA1756" s="12"/>
      <c r="CB1756" s="12"/>
      <c r="CC1756" s="12"/>
      <c r="CD1756" s="12"/>
    </row>
    <row r="1757" spans="1:82">
      <c r="A1757" s="13" t="s">
        <v>2153</v>
      </c>
      <c r="B1757" s="12" t="str">
        <f t="shared" si="329"/>
        <v>STRYDOM</v>
      </c>
      <c r="C1757" s="12" t="str">
        <f t="shared" si="330"/>
        <v>STRYDOM</v>
      </c>
      <c r="D1757" s="12" t="s">
        <v>1464</v>
      </c>
      <c r="E1757" s="12" t="str">
        <f t="shared" si="340"/>
        <v>Willem</v>
      </c>
      <c r="F1757" s="12" t="s">
        <v>3121</v>
      </c>
      <c r="G1757" s="12" t="str">
        <f t="shared" si="331"/>
        <v>a1b3c3d6e5</v>
      </c>
      <c r="H1757" s="12" t="str">
        <f t="shared" si="332"/>
        <v>STRYDOMa1b3c3d6e5</v>
      </c>
      <c r="I1757" s="12"/>
      <c r="J1757" s="12"/>
      <c r="K1757" s="12" t="str">
        <f t="shared" si="333"/>
        <v/>
      </c>
      <c r="L1757" s="12"/>
      <c r="M1757" s="12" t="s">
        <v>13581</v>
      </c>
      <c r="N1757" s="12" t="str">
        <f t="shared" si="338"/>
        <v/>
      </c>
      <c r="O1757" s="12" t="str">
        <f t="shared" si="339"/>
        <v>1892</v>
      </c>
      <c r="P1757" s="12"/>
      <c r="Q1757" s="12" t="str">
        <f t="shared" si="334"/>
        <v>1892</v>
      </c>
      <c r="R1757" s="12"/>
      <c r="S1757" s="12" t="str">
        <f t="shared" si="335"/>
        <v/>
      </c>
      <c r="T1757" s="12"/>
      <c r="U1757" s="12"/>
      <c r="V1757" s="12" t="str">
        <f t="shared" si="336"/>
        <v/>
      </c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 t="s">
        <v>11752</v>
      </c>
      <c r="AG1757" s="12" t="s">
        <v>366</v>
      </c>
      <c r="AH1757" s="12" t="s">
        <v>13582</v>
      </c>
      <c r="AI1757" s="12" t="str">
        <f t="shared" si="337"/>
        <v>1839</v>
      </c>
      <c r="AJ1757" s="12"/>
      <c r="AK1757" s="12" t="s">
        <v>140</v>
      </c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  <c r="BO1757" s="12"/>
      <c r="BP1757" s="12"/>
      <c r="BQ1757" s="12"/>
      <c r="BR1757" s="12"/>
      <c r="BS1757" s="12"/>
      <c r="BT1757" s="12"/>
      <c r="BU1757" s="12"/>
      <c r="BV1757" s="12"/>
      <c r="BW1757" s="12"/>
      <c r="BX1757" s="12"/>
      <c r="BY1757" s="12"/>
      <c r="BZ1757" s="12"/>
      <c r="CA1757" s="12"/>
      <c r="CB1757" s="12"/>
      <c r="CC1757" s="12"/>
      <c r="CD1757" s="12"/>
    </row>
    <row r="1758" spans="1:82">
      <c r="A1758" s="13" t="s">
        <v>2153</v>
      </c>
      <c r="B1758" s="12" t="str">
        <f t="shared" si="329"/>
        <v>STRYDOM</v>
      </c>
      <c r="C1758" s="12" t="str">
        <f t="shared" si="330"/>
        <v>STRYDOM</v>
      </c>
      <c r="D1758" s="12" t="s">
        <v>4707</v>
      </c>
      <c r="E1758" s="12" t="str">
        <f t="shared" si="340"/>
        <v>Hendrik Josephus</v>
      </c>
      <c r="F1758" s="12" t="s">
        <v>13480</v>
      </c>
      <c r="G1758" s="12" t="str">
        <f t="shared" si="331"/>
        <v>a1b4c23d2e2</v>
      </c>
      <c r="H1758" s="12" t="str">
        <f t="shared" si="332"/>
        <v>STRYDOMa1b4c23d2e2</v>
      </c>
      <c r="I1758" s="12"/>
      <c r="J1758" s="12"/>
      <c r="K1758" s="12" t="str">
        <f t="shared" si="333"/>
        <v/>
      </c>
      <c r="L1758" s="12"/>
      <c r="M1758" s="12" t="s">
        <v>12429</v>
      </c>
      <c r="N1758" s="12" t="str">
        <f t="shared" si="338"/>
        <v/>
      </c>
      <c r="O1758" s="12" t="str">
        <f t="shared" si="339"/>
        <v>1777</v>
      </c>
      <c r="P1758" s="12"/>
      <c r="Q1758" s="12" t="str">
        <f t="shared" si="334"/>
        <v>1777</v>
      </c>
      <c r="R1758" s="12"/>
      <c r="S1758" s="12" t="str">
        <f t="shared" si="335"/>
        <v/>
      </c>
      <c r="T1758" s="12"/>
      <c r="U1758" s="12"/>
      <c r="V1758" s="12" t="str">
        <f t="shared" si="336"/>
        <v/>
      </c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 t="str">
        <f t="shared" si="337"/>
        <v/>
      </c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  <c r="BO1758" s="12"/>
      <c r="BP1758" s="12"/>
      <c r="BQ1758" s="12"/>
      <c r="BR1758" s="12"/>
      <c r="BS1758" s="12"/>
      <c r="BT1758" s="12"/>
      <c r="BU1758" s="12"/>
      <c r="BV1758" s="12"/>
      <c r="BW1758" s="12"/>
      <c r="BX1758" s="12"/>
      <c r="BY1758" s="12"/>
      <c r="BZ1758" s="12"/>
      <c r="CA1758" s="12"/>
      <c r="CB1758" s="12"/>
      <c r="CC1758" s="12"/>
      <c r="CD1758" s="12"/>
    </row>
    <row r="1759" spans="1:82">
      <c r="A1759" s="13" t="s">
        <v>2153</v>
      </c>
      <c r="B1759" s="12" t="str">
        <f t="shared" si="329"/>
        <v>STRYDOM</v>
      </c>
      <c r="C1759" s="12" t="str">
        <f t="shared" si="330"/>
        <v>STRYDOM</v>
      </c>
      <c r="D1759" s="12" t="s">
        <v>30</v>
      </c>
      <c r="E1759" s="12" t="str">
        <f t="shared" si="340"/>
        <v>Johannes</v>
      </c>
      <c r="F1759" s="12" t="s">
        <v>13500</v>
      </c>
      <c r="G1759" s="12" t="str">
        <f t="shared" si="331"/>
        <v xml:space="preserve">a1b4c3d2e2f2 </v>
      </c>
      <c r="H1759" s="12" t="str">
        <f t="shared" si="332"/>
        <v xml:space="preserve">STRYDOMa1b4c3d2e2f2 </v>
      </c>
      <c r="I1759" s="12"/>
      <c r="J1759" s="12"/>
      <c r="K1759" s="12" t="str">
        <f t="shared" si="333"/>
        <v/>
      </c>
      <c r="L1759" s="12"/>
      <c r="M1759" s="12" t="s">
        <v>4629</v>
      </c>
      <c r="N1759" s="12" t="str">
        <f t="shared" si="338"/>
        <v/>
      </c>
      <c r="O1759" s="12" t="str">
        <f t="shared" si="339"/>
        <v>1803</v>
      </c>
      <c r="P1759" s="12"/>
      <c r="Q1759" s="12" t="str">
        <f t="shared" si="334"/>
        <v>1803</v>
      </c>
      <c r="R1759" s="12"/>
      <c r="S1759" s="12" t="str">
        <f t="shared" si="335"/>
        <v/>
      </c>
      <c r="T1759" s="12" t="s">
        <v>53</v>
      </c>
      <c r="U1759" s="12" t="s">
        <v>1480</v>
      </c>
      <c r="V1759" s="12" t="str">
        <f t="shared" si="336"/>
        <v>1822</v>
      </c>
      <c r="W1759" s="12" t="s">
        <v>4694</v>
      </c>
      <c r="X1759" s="12" t="s">
        <v>2306</v>
      </c>
      <c r="Y1759" s="12"/>
      <c r="Z1759" s="12"/>
      <c r="AA1759" s="12"/>
      <c r="AB1759" s="12"/>
      <c r="AC1759" s="12" t="s">
        <v>3280</v>
      </c>
      <c r="AD1759" s="12"/>
      <c r="AE1759" s="12"/>
      <c r="AF1759" s="12"/>
      <c r="AG1759" s="12" t="s">
        <v>53</v>
      </c>
      <c r="AH1759" s="12">
        <v>1838</v>
      </c>
      <c r="AI1759" s="12" t="str">
        <f t="shared" si="337"/>
        <v>1838</v>
      </c>
      <c r="AJ1759" s="12"/>
      <c r="AK1759" s="12" t="s">
        <v>90</v>
      </c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  <c r="BO1759" s="12"/>
      <c r="BP1759" s="12"/>
      <c r="BQ1759" s="12"/>
      <c r="BR1759" s="12"/>
      <c r="BS1759" s="12"/>
      <c r="BT1759" s="12"/>
      <c r="BU1759" s="12"/>
      <c r="BV1759" s="12"/>
      <c r="BW1759" s="12"/>
      <c r="BX1759" s="12"/>
      <c r="BY1759" s="12"/>
      <c r="BZ1759" s="12"/>
      <c r="CA1759" s="12"/>
      <c r="CB1759" s="12"/>
      <c r="CC1759" s="12"/>
      <c r="CD1759" s="12"/>
    </row>
    <row r="1760" spans="1:82">
      <c r="A1760" s="13" t="s">
        <v>2153</v>
      </c>
      <c r="B1760" s="12" t="str">
        <f t="shared" si="329"/>
        <v>STRYDOM</v>
      </c>
      <c r="C1760" s="12" t="str">
        <f t="shared" si="330"/>
        <v>STRYDOM</v>
      </c>
      <c r="D1760" s="12" t="s">
        <v>4707</v>
      </c>
      <c r="E1760" s="12" t="str">
        <f t="shared" si="340"/>
        <v>Hendrik Josephus</v>
      </c>
      <c r="F1760" s="12" t="s">
        <v>13481</v>
      </c>
      <c r="G1760" s="12" t="str">
        <f t="shared" si="331"/>
        <v>a1b4c3d2e2f2g2</v>
      </c>
      <c r="H1760" s="12" t="str">
        <f t="shared" si="332"/>
        <v>STRYDOMa1b4c3d2e2f2g2</v>
      </c>
      <c r="I1760" s="12"/>
      <c r="J1760" s="12" t="s">
        <v>13482</v>
      </c>
      <c r="K1760" s="12" t="str">
        <f t="shared" si="333"/>
        <v>1824</v>
      </c>
      <c r="L1760" s="12" t="s">
        <v>53</v>
      </c>
      <c r="M1760" s="12" t="s">
        <v>13483</v>
      </c>
      <c r="N1760" s="12" t="str">
        <f t="shared" si="338"/>
        <v>1824</v>
      </c>
      <c r="O1760" s="12" t="str">
        <f t="shared" si="339"/>
        <v>1825</v>
      </c>
      <c r="P1760" s="12"/>
      <c r="Q1760" s="12" t="str">
        <f t="shared" si="334"/>
        <v>1824</v>
      </c>
      <c r="R1760" s="12"/>
      <c r="S1760" s="12" t="str">
        <f t="shared" si="335"/>
        <v/>
      </c>
      <c r="T1760" s="12" t="s">
        <v>90</v>
      </c>
      <c r="U1760" s="12" t="s">
        <v>13484</v>
      </c>
      <c r="V1760" s="12" t="str">
        <f t="shared" si="336"/>
        <v>1849</v>
      </c>
      <c r="W1760" s="12" t="s">
        <v>13485</v>
      </c>
      <c r="X1760" s="12" t="s">
        <v>2306</v>
      </c>
      <c r="Y1760" s="12" t="s">
        <v>13486</v>
      </c>
      <c r="Z1760" s="12"/>
      <c r="AA1760" s="12"/>
      <c r="AB1760" s="12" t="s">
        <v>53</v>
      </c>
      <c r="AC1760" s="12" t="s">
        <v>13487</v>
      </c>
      <c r="AD1760" s="12"/>
      <c r="AE1760" s="12" t="s">
        <v>13488</v>
      </c>
      <c r="AF1760" s="12"/>
      <c r="AG1760" s="12" t="s">
        <v>53</v>
      </c>
      <c r="AH1760" s="12"/>
      <c r="AI1760" s="12" t="str">
        <f t="shared" si="337"/>
        <v/>
      </c>
      <c r="AJ1760" s="12"/>
      <c r="AK1760" s="12" t="s">
        <v>168</v>
      </c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  <c r="BO1760" s="12"/>
      <c r="BP1760" s="12"/>
      <c r="BQ1760" s="12"/>
      <c r="BR1760" s="12"/>
      <c r="BS1760" s="12"/>
      <c r="BT1760" s="12"/>
      <c r="BU1760" s="12"/>
      <c r="BV1760" s="12"/>
      <c r="BW1760" s="12"/>
      <c r="BX1760" s="12"/>
      <c r="BY1760" s="12"/>
      <c r="BZ1760" s="12"/>
      <c r="CA1760" s="12"/>
      <c r="CB1760" s="12"/>
      <c r="CC1760" s="12"/>
      <c r="CD1760" s="12"/>
    </row>
    <row r="1761" spans="1:82">
      <c r="A1761" s="13" t="s">
        <v>2153</v>
      </c>
      <c r="B1761" s="12" t="str">
        <f t="shared" si="329"/>
        <v>STRYDOM</v>
      </c>
      <c r="C1761" s="12" t="str">
        <f t="shared" si="330"/>
        <v>STRYDOM</v>
      </c>
      <c r="D1761" s="12" t="s">
        <v>4465</v>
      </c>
      <c r="E1761" s="12" t="str">
        <f t="shared" si="340"/>
        <v>Stephanus Jacobus</v>
      </c>
      <c r="F1761" s="12" t="s">
        <v>13575</v>
      </c>
      <c r="G1761" s="12" t="str">
        <f t="shared" si="331"/>
        <v>a1b4c3d2e2f5</v>
      </c>
      <c r="H1761" s="12" t="str">
        <f t="shared" si="332"/>
        <v>STRYDOMa1b4c3d2e2f5</v>
      </c>
      <c r="I1761" s="12"/>
      <c r="J1761" s="12" t="s">
        <v>12145</v>
      </c>
      <c r="K1761" s="12" t="str">
        <f t="shared" si="333"/>
        <v>1809</v>
      </c>
      <c r="L1761" s="12" t="s">
        <v>74</v>
      </c>
      <c r="M1761" s="12" t="s">
        <v>13576</v>
      </c>
      <c r="N1761" s="12" t="str">
        <f t="shared" si="338"/>
        <v>1809</v>
      </c>
      <c r="O1761" s="12" t="str">
        <f t="shared" si="339"/>
        <v>1810</v>
      </c>
      <c r="P1761" s="12" t="s">
        <v>140</v>
      </c>
      <c r="Q1761" s="12" t="str">
        <f t="shared" si="334"/>
        <v>1809</v>
      </c>
      <c r="R1761" s="12" t="s">
        <v>13577</v>
      </c>
      <c r="S1761" s="12" t="str">
        <f t="shared" si="335"/>
        <v>1879</v>
      </c>
      <c r="T1761" s="12" t="s">
        <v>53</v>
      </c>
      <c r="U1761" s="12" t="s">
        <v>13578</v>
      </c>
      <c r="V1761" s="12" t="str">
        <f t="shared" si="336"/>
        <v>1836</v>
      </c>
      <c r="W1761" s="12" t="s">
        <v>2936</v>
      </c>
      <c r="X1761" s="12" t="s">
        <v>636</v>
      </c>
      <c r="Y1761" s="12"/>
      <c r="Z1761" s="12"/>
      <c r="AA1761" s="12">
        <v>1809</v>
      </c>
      <c r="AB1761" s="12"/>
      <c r="AC1761" s="12"/>
      <c r="AD1761" s="12" t="s">
        <v>140</v>
      </c>
      <c r="AE1761" s="12" t="s">
        <v>13579</v>
      </c>
      <c r="AF1761" s="12"/>
      <c r="AG1761" s="12" t="s">
        <v>53</v>
      </c>
      <c r="AH1761" s="12" t="s">
        <v>13580</v>
      </c>
      <c r="AI1761" s="12" t="str">
        <f t="shared" si="337"/>
        <v>1838</v>
      </c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  <c r="BO1761" s="12"/>
      <c r="BP1761" s="12"/>
      <c r="BQ1761" s="12"/>
      <c r="BR1761" s="12"/>
      <c r="BS1761" s="12"/>
      <c r="BT1761" s="12"/>
      <c r="BU1761" s="12"/>
      <c r="BV1761" s="12"/>
      <c r="BW1761" s="12"/>
      <c r="BX1761" s="12"/>
      <c r="BY1761" s="12"/>
      <c r="BZ1761" s="12"/>
      <c r="CA1761" s="12"/>
      <c r="CB1761" s="12"/>
      <c r="CC1761" s="12"/>
      <c r="CD1761" s="12"/>
    </row>
    <row r="1762" spans="1:82">
      <c r="A1762" s="13" t="s">
        <v>2153</v>
      </c>
      <c r="B1762" s="12" t="str">
        <f t="shared" si="329"/>
        <v>STRYDOM</v>
      </c>
      <c r="C1762" s="12" t="str">
        <f t="shared" si="330"/>
        <v>STRYDOM</v>
      </c>
      <c r="D1762" s="12" t="s">
        <v>4068</v>
      </c>
      <c r="E1762" s="12" t="str">
        <f t="shared" si="340"/>
        <v>Adriaan Stephanus</v>
      </c>
      <c r="F1762" s="12" t="s">
        <v>13407</v>
      </c>
      <c r="G1762" s="12" t="str">
        <f t="shared" si="331"/>
        <v>a1b4c3d2e6f3</v>
      </c>
      <c r="H1762" s="12" t="str">
        <f t="shared" si="332"/>
        <v>STRYDOMa1b4c3d2e6f3</v>
      </c>
      <c r="I1762" s="12" t="s">
        <v>53</v>
      </c>
      <c r="J1762" s="12" t="s">
        <v>13408</v>
      </c>
      <c r="K1762" s="12" t="str">
        <f t="shared" si="333"/>
        <v>1814</v>
      </c>
      <c r="L1762" s="12" t="s">
        <v>199</v>
      </c>
      <c r="M1762" s="12" t="s">
        <v>336</v>
      </c>
      <c r="N1762" s="12" t="str">
        <f t="shared" si="338"/>
        <v>1814</v>
      </c>
      <c r="O1762" s="12" t="str">
        <f t="shared" si="339"/>
        <v>1815</v>
      </c>
      <c r="P1762" s="12"/>
      <c r="Q1762" s="12" t="str">
        <f t="shared" si="334"/>
        <v>1814</v>
      </c>
      <c r="R1762" s="12" t="s">
        <v>13409</v>
      </c>
      <c r="S1762" s="12" t="str">
        <f t="shared" si="335"/>
        <v>1867</v>
      </c>
      <c r="T1762" s="12"/>
      <c r="U1762" s="12"/>
      <c r="V1762" s="12" t="str">
        <f t="shared" si="336"/>
        <v/>
      </c>
      <c r="W1762" s="12" t="s">
        <v>2936</v>
      </c>
      <c r="X1762" s="12" t="s">
        <v>1034</v>
      </c>
      <c r="Y1762" s="12" t="s">
        <v>13410</v>
      </c>
      <c r="Z1762" s="12"/>
      <c r="AA1762" s="12"/>
      <c r="AB1762" s="12"/>
      <c r="AC1762" s="12" t="s">
        <v>855</v>
      </c>
      <c r="AD1762" s="12" t="s">
        <v>9326</v>
      </c>
      <c r="AE1762" s="12" t="s">
        <v>13411</v>
      </c>
      <c r="AF1762" s="12"/>
      <c r="AG1762" s="12"/>
      <c r="AH1762" s="12">
        <v>1838</v>
      </c>
      <c r="AI1762" s="12" t="str">
        <f t="shared" si="337"/>
        <v>1838</v>
      </c>
      <c r="AJ1762" s="12"/>
      <c r="AK1762" s="12" t="s">
        <v>2877</v>
      </c>
      <c r="AL1762" s="12" t="s">
        <v>28</v>
      </c>
      <c r="AM1762" s="12" t="s">
        <v>13412</v>
      </c>
      <c r="AN1762" s="12" t="s">
        <v>13413</v>
      </c>
      <c r="AO1762" s="12" t="s">
        <v>1824</v>
      </c>
      <c r="AP1762" s="12"/>
      <c r="AQ1762" s="12" t="s">
        <v>74</v>
      </c>
      <c r="AR1762" s="12" t="s">
        <v>13414</v>
      </c>
      <c r="AS1762" s="12"/>
      <c r="AT1762" s="12"/>
      <c r="AU1762" s="12" t="s">
        <v>3218</v>
      </c>
      <c r="AV1762" s="12" t="s">
        <v>13415</v>
      </c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  <c r="BO1762" s="12"/>
      <c r="BP1762" s="12"/>
      <c r="BQ1762" s="12"/>
      <c r="BR1762" s="12"/>
      <c r="BS1762" s="12"/>
      <c r="BT1762" s="12"/>
      <c r="BU1762" s="12"/>
      <c r="BV1762" s="12"/>
      <c r="BW1762" s="12"/>
      <c r="BX1762" s="12"/>
      <c r="BY1762" s="12"/>
      <c r="BZ1762" s="12"/>
      <c r="CA1762" s="12"/>
      <c r="CB1762" s="12"/>
      <c r="CC1762" s="12"/>
      <c r="CD1762" s="12"/>
    </row>
    <row r="1763" spans="1:82">
      <c r="A1763" s="13" t="s">
        <v>2153</v>
      </c>
      <c r="B1763" s="12" t="str">
        <f t="shared" si="329"/>
        <v>STRYDOM</v>
      </c>
      <c r="C1763" s="12" t="str">
        <f t="shared" si="330"/>
        <v>STRYDOM</v>
      </c>
      <c r="D1763" s="12" t="s">
        <v>13416</v>
      </c>
      <c r="E1763" s="12" t="str">
        <f t="shared" si="340"/>
        <v>Barend Hendrik Josephus</v>
      </c>
      <c r="F1763" s="12" t="s">
        <v>13417</v>
      </c>
      <c r="G1763" s="12" t="str">
        <f t="shared" si="331"/>
        <v>a1b4c6d3e5</v>
      </c>
      <c r="H1763" s="12" t="str">
        <f t="shared" si="332"/>
        <v>STRYDOMa1b4c6d3e5</v>
      </c>
      <c r="I1763" s="12"/>
      <c r="J1763" s="12"/>
      <c r="K1763" s="12" t="str">
        <f t="shared" si="333"/>
        <v/>
      </c>
      <c r="L1763" s="12"/>
      <c r="M1763" s="12" t="s">
        <v>13418</v>
      </c>
      <c r="N1763" s="12" t="str">
        <f t="shared" si="338"/>
        <v/>
      </c>
      <c r="O1763" s="12" t="str">
        <f t="shared" si="339"/>
        <v>1797</v>
      </c>
      <c r="P1763" s="12" t="s">
        <v>4103</v>
      </c>
      <c r="Q1763" s="12" t="str">
        <f t="shared" si="334"/>
        <v>1797</v>
      </c>
      <c r="R1763" s="12" t="s">
        <v>13419</v>
      </c>
      <c r="S1763" s="12" t="str">
        <f t="shared" si="335"/>
        <v>1882</v>
      </c>
      <c r="T1763" s="12" t="s">
        <v>53</v>
      </c>
      <c r="U1763" s="12" t="s">
        <v>12662</v>
      </c>
      <c r="V1763" s="12" t="str">
        <f t="shared" si="336"/>
        <v>1818</v>
      </c>
      <c r="W1763" s="12" t="s">
        <v>13420</v>
      </c>
      <c r="X1763" s="12" t="s">
        <v>781</v>
      </c>
      <c r="Y1763" s="12" t="s">
        <v>13421</v>
      </c>
      <c r="Z1763" s="12"/>
      <c r="AA1763" s="12"/>
      <c r="AB1763" s="12"/>
      <c r="AC1763" s="12"/>
      <c r="AD1763" s="12"/>
      <c r="AE1763" s="12"/>
      <c r="AF1763" s="12" t="s">
        <v>16</v>
      </c>
      <c r="AG1763" s="12" t="s">
        <v>68</v>
      </c>
      <c r="AH1763" s="12" t="s">
        <v>12677</v>
      </c>
      <c r="AI1763" s="12" t="str">
        <f t="shared" si="337"/>
        <v>1842</v>
      </c>
      <c r="AJ1763" s="12"/>
      <c r="AK1763" s="12" t="s">
        <v>551</v>
      </c>
      <c r="AL1763" s="12" t="s">
        <v>31</v>
      </c>
      <c r="AM1763" s="12"/>
      <c r="AN1763" s="12" t="s">
        <v>13422</v>
      </c>
      <c r="AO1763" s="12" t="s">
        <v>10737</v>
      </c>
      <c r="AP1763" s="12"/>
      <c r="AQ1763" s="12"/>
      <c r="AR1763" s="12">
        <v>1819</v>
      </c>
      <c r="AS1763" s="12"/>
      <c r="AT1763" s="12"/>
      <c r="AU1763" s="12" t="s">
        <v>4103</v>
      </c>
      <c r="AV1763" s="12" t="s">
        <v>13423</v>
      </c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  <c r="BO1763" s="12"/>
      <c r="BP1763" s="12"/>
      <c r="BQ1763" s="12"/>
      <c r="BR1763" s="12"/>
      <c r="BS1763" s="12"/>
      <c r="BT1763" s="12"/>
      <c r="BU1763" s="12"/>
      <c r="BV1763" s="12"/>
      <c r="BW1763" s="12"/>
      <c r="BX1763" s="12"/>
      <c r="BY1763" s="12"/>
      <c r="BZ1763" s="12"/>
      <c r="CA1763" s="12"/>
      <c r="CB1763" s="12"/>
      <c r="CC1763" s="12"/>
      <c r="CD1763" s="12"/>
    </row>
    <row r="1764" spans="1:82">
      <c r="A1764" s="13" t="s">
        <v>2153</v>
      </c>
      <c r="B1764" s="12" t="str">
        <f t="shared" si="329"/>
        <v>STRYDOM</v>
      </c>
      <c r="C1764" s="12" t="str">
        <f t="shared" si="330"/>
        <v>STRYDOM</v>
      </c>
      <c r="D1764" s="12" t="s">
        <v>13466</v>
      </c>
      <c r="E1764" s="12" t="str">
        <f t="shared" si="340"/>
        <v>Gerrit Roelof Johannes (Gert)</v>
      </c>
      <c r="F1764" s="12" t="s">
        <v>13467</v>
      </c>
      <c r="G1764" s="12" t="str">
        <f t="shared" si="331"/>
        <v>a1b4c6d3e5f1</v>
      </c>
      <c r="H1764" s="12" t="str">
        <f t="shared" si="332"/>
        <v>STRYDOMa1b4c6d3e5f1</v>
      </c>
      <c r="I1764" s="12"/>
      <c r="J1764" s="12" t="s">
        <v>13468</v>
      </c>
      <c r="K1764" s="12" t="str">
        <f t="shared" si="333"/>
        <v>1819</v>
      </c>
      <c r="L1764" s="12" t="s">
        <v>53</v>
      </c>
      <c r="M1764" s="12" t="s">
        <v>489</v>
      </c>
      <c r="N1764" s="12" t="str">
        <f t="shared" si="338"/>
        <v>1819</v>
      </c>
      <c r="O1764" s="12" t="str">
        <f t="shared" si="339"/>
        <v>1819</v>
      </c>
      <c r="P1764" s="12" t="s">
        <v>93</v>
      </c>
      <c r="Q1764" s="12" t="str">
        <f t="shared" si="334"/>
        <v>1819</v>
      </c>
      <c r="R1764" s="12" t="s">
        <v>13469</v>
      </c>
      <c r="S1764" s="12" t="str">
        <f t="shared" si="335"/>
        <v>1891</v>
      </c>
      <c r="T1764" s="12"/>
      <c r="U1764" s="12"/>
      <c r="V1764" s="12" t="str">
        <f t="shared" si="336"/>
        <v/>
      </c>
      <c r="W1764" s="12" t="s">
        <v>3265</v>
      </c>
      <c r="X1764" s="12" t="s">
        <v>655</v>
      </c>
      <c r="Y1764" s="12"/>
      <c r="Z1764" s="12"/>
      <c r="AA1764" s="12"/>
      <c r="AB1764" s="12"/>
      <c r="AC1764" s="12"/>
      <c r="AD1764" s="12"/>
      <c r="AE1764" s="12"/>
      <c r="AF1764" s="12" t="s">
        <v>16</v>
      </c>
      <c r="AG1764" s="12" t="s">
        <v>68</v>
      </c>
      <c r="AH1764" s="12">
        <v>1842</v>
      </c>
      <c r="AI1764" s="12" t="str">
        <f t="shared" si="337"/>
        <v>1842</v>
      </c>
      <c r="AJ1764" s="12"/>
      <c r="AK1764" s="12"/>
      <c r="AL1764" s="12"/>
      <c r="AM1764" s="12">
        <v>1844</v>
      </c>
      <c r="AN1764" s="12" t="s">
        <v>1097</v>
      </c>
      <c r="AO1764" s="12" t="s">
        <v>1209</v>
      </c>
      <c r="AP1764" s="12"/>
      <c r="AQ1764" s="12" t="s">
        <v>53</v>
      </c>
      <c r="AR1764" s="12">
        <v>1826</v>
      </c>
      <c r="AS1764" s="12"/>
      <c r="AT1764" s="12"/>
      <c r="AU1764" s="12" t="s">
        <v>93</v>
      </c>
      <c r="AV1764" s="12" t="s">
        <v>13470</v>
      </c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  <c r="BO1764" s="12"/>
      <c r="BP1764" s="12"/>
      <c r="BQ1764" s="12"/>
      <c r="BR1764" s="12"/>
      <c r="BS1764" s="12"/>
      <c r="BT1764" s="12"/>
      <c r="BU1764" s="12"/>
      <c r="BV1764" s="12"/>
      <c r="BW1764" s="12"/>
      <c r="BX1764" s="12"/>
      <c r="BY1764" s="12"/>
      <c r="BZ1764" s="12"/>
      <c r="CA1764" s="12"/>
      <c r="CB1764" s="12"/>
      <c r="CC1764" s="12"/>
      <c r="CD1764" s="12"/>
    </row>
    <row r="1765" spans="1:82">
      <c r="A1765" s="13" t="s">
        <v>2153</v>
      </c>
      <c r="B1765" s="12" t="str">
        <f t="shared" si="329"/>
        <v>STRYDOM</v>
      </c>
      <c r="C1765" s="12" t="str">
        <f t="shared" si="330"/>
        <v>STRYDOM</v>
      </c>
      <c r="D1765" s="12" t="s">
        <v>13568</v>
      </c>
      <c r="E1765" s="12" t="str">
        <f t="shared" si="340"/>
        <v xml:space="preserve">Roelof Johannes </v>
      </c>
      <c r="F1765" s="12" t="s">
        <v>13569</v>
      </c>
      <c r="G1765" s="12" t="str">
        <f t="shared" si="331"/>
        <v>a1b4c6d3e5f2</v>
      </c>
      <c r="H1765" s="12" t="str">
        <f t="shared" si="332"/>
        <v>STRYDOMa1b4c6d3e5f2</v>
      </c>
      <c r="I1765" s="12" t="s">
        <v>74</v>
      </c>
      <c r="J1765" s="12" t="s">
        <v>13570</v>
      </c>
      <c r="K1765" s="12" t="str">
        <f t="shared" si="333"/>
        <v>1821</v>
      </c>
      <c r="L1765" s="12"/>
      <c r="M1765" s="12"/>
      <c r="N1765" s="12" t="str">
        <f t="shared" si="338"/>
        <v>1821</v>
      </c>
      <c r="O1765" s="12" t="str">
        <f t="shared" si="339"/>
        <v/>
      </c>
      <c r="P1765" s="12" t="s">
        <v>93</v>
      </c>
      <c r="Q1765" s="12" t="str">
        <f t="shared" si="334"/>
        <v>1821</v>
      </c>
      <c r="R1765" s="12" t="s">
        <v>7236</v>
      </c>
      <c r="S1765" s="12" t="str">
        <f t="shared" si="335"/>
        <v>1901</v>
      </c>
      <c r="T1765" s="12"/>
      <c r="U1765" s="12"/>
      <c r="V1765" s="12" t="str">
        <f t="shared" si="336"/>
        <v/>
      </c>
      <c r="W1765" s="12" t="s">
        <v>7363</v>
      </c>
      <c r="X1765" s="12" t="s">
        <v>635</v>
      </c>
      <c r="Y1765" s="12"/>
      <c r="Z1765" s="12"/>
      <c r="AA1765" s="12" t="s">
        <v>13571</v>
      </c>
      <c r="AB1765" s="12"/>
      <c r="AC1765" s="12"/>
      <c r="AD1765" s="12"/>
      <c r="AE1765" s="12" t="s">
        <v>13572</v>
      </c>
      <c r="AF1765" s="12" t="s">
        <v>16</v>
      </c>
      <c r="AG1765" s="12" t="s">
        <v>68</v>
      </c>
      <c r="AH1765" s="12" t="s">
        <v>12677</v>
      </c>
      <c r="AI1765" s="12" t="str">
        <f t="shared" si="337"/>
        <v>1842</v>
      </c>
      <c r="AJ1765" s="12"/>
      <c r="AK1765" s="12" t="s">
        <v>551</v>
      </c>
      <c r="AL1765" s="12"/>
      <c r="AM1765" s="12" t="s">
        <v>13573</v>
      </c>
      <c r="AN1765" s="12" t="s">
        <v>13574</v>
      </c>
      <c r="AO1765" s="12" t="s">
        <v>3429</v>
      </c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  <c r="BO1765" s="12"/>
      <c r="BP1765" s="12"/>
      <c r="BQ1765" s="12"/>
      <c r="BR1765" s="12"/>
      <c r="BS1765" s="12"/>
      <c r="BT1765" s="12"/>
      <c r="BU1765" s="12"/>
      <c r="BV1765" s="12"/>
      <c r="BW1765" s="12"/>
      <c r="BX1765" s="12"/>
      <c r="BY1765" s="12"/>
      <c r="BZ1765" s="12"/>
      <c r="CA1765" s="12"/>
      <c r="CB1765" s="12"/>
      <c r="CC1765" s="12"/>
      <c r="CD1765" s="12"/>
    </row>
    <row r="1766" spans="1:82">
      <c r="A1766" s="13" t="s">
        <v>2153</v>
      </c>
      <c r="B1766" s="12" t="str">
        <f t="shared" si="329"/>
        <v>STRYDOM</v>
      </c>
      <c r="C1766" s="12" t="str">
        <f t="shared" si="330"/>
        <v>STRYDOM</v>
      </c>
      <c r="D1766" s="12" t="s">
        <v>13429</v>
      </c>
      <c r="E1766" s="12" t="str">
        <f t="shared" si="340"/>
        <v>Coenraad Jacobus Stephanus</v>
      </c>
      <c r="F1766" s="12" t="s">
        <v>13430</v>
      </c>
      <c r="G1766" s="12" t="str">
        <f t="shared" si="331"/>
        <v>a1b4c6d3e6</v>
      </c>
      <c r="H1766" s="12" t="str">
        <f t="shared" si="332"/>
        <v>STRYDOMa1b4c6d3e6</v>
      </c>
      <c r="I1766" s="12"/>
      <c r="J1766" s="12"/>
      <c r="K1766" s="12" t="str">
        <f t="shared" si="333"/>
        <v/>
      </c>
      <c r="L1766" s="12"/>
      <c r="M1766" s="12" t="s">
        <v>4564</v>
      </c>
      <c r="N1766" s="12" t="str">
        <f t="shared" si="338"/>
        <v/>
      </c>
      <c r="O1766" s="12" t="str">
        <f t="shared" si="339"/>
        <v>1797</v>
      </c>
      <c r="P1766" s="12" t="s">
        <v>160</v>
      </c>
      <c r="Q1766" s="12" t="str">
        <f t="shared" si="334"/>
        <v>1797</v>
      </c>
      <c r="R1766" s="12">
        <v>1879</v>
      </c>
      <c r="S1766" s="12" t="str">
        <f t="shared" si="335"/>
        <v>1879</v>
      </c>
      <c r="T1766" s="12" t="s">
        <v>53</v>
      </c>
      <c r="U1766" s="12" t="s">
        <v>7518</v>
      </c>
      <c r="V1766" s="12" t="str">
        <f t="shared" si="336"/>
        <v>1834</v>
      </c>
      <c r="W1766" s="12" t="s">
        <v>13431</v>
      </c>
      <c r="X1766" s="12" t="s">
        <v>7927</v>
      </c>
      <c r="Y1766" s="12"/>
      <c r="Z1766" s="12"/>
      <c r="AA1766" s="12"/>
      <c r="AB1766" s="12"/>
      <c r="AC1766" s="12"/>
      <c r="AD1766" s="12"/>
      <c r="AE1766" s="12"/>
      <c r="AF1766" s="12" t="s">
        <v>3698</v>
      </c>
      <c r="AG1766" s="12" t="s">
        <v>53</v>
      </c>
      <c r="AH1766" s="12" t="s">
        <v>13432</v>
      </c>
      <c r="AI1766" s="12" t="str">
        <f t="shared" si="337"/>
        <v>1840</v>
      </c>
      <c r="AJ1766" s="12"/>
      <c r="AK1766" s="12" t="s">
        <v>140</v>
      </c>
      <c r="AL1766" s="12" t="s">
        <v>140</v>
      </c>
      <c r="AM1766" s="12" t="s">
        <v>13433</v>
      </c>
      <c r="AN1766" s="12" t="s">
        <v>1201</v>
      </c>
      <c r="AO1766" s="12" t="s">
        <v>1209</v>
      </c>
      <c r="AP1766" s="12" t="s">
        <v>13434</v>
      </c>
      <c r="AQ1766" s="12"/>
      <c r="AR1766" s="12" t="s">
        <v>13435</v>
      </c>
      <c r="AS1766" s="12"/>
      <c r="AT1766" s="12" t="s">
        <v>1885</v>
      </c>
      <c r="AU1766" s="12" t="s">
        <v>93</v>
      </c>
      <c r="AV1766" s="12" t="s">
        <v>13436</v>
      </c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  <c r="BO1766" s="12"/>
      <c r="BP1766" s="12"/>
      <c r="BQ1766" s="12"/>
      <c r="BR1766" s="12"/>
      <c r="BS1766" s="12"/>
      <c r="BT1766" s="12"/>
      <c r="BU1766" s="12"/>
      <c r="BV1766" s="12"/>
      <c r="BW1766" s="12"/>
      <c r="BX1766" s="12"/>
      <c r="BY1766" s="12"/>
      <c r="BZ1766" s="12"/>
      <c r="CA1766" s="12"/>
      <c r="CB1766" s="12"/>
      <c r="CC1766" s="12"/>
      <c r="CD1766" s="12"/>
    </row>
    <row r="1767" spans="1:82">
      <c r="A1767" s="13" t="s">
        <v>2153</v>
      </c>
      <c r="B1767" s="12" t="str">
        <f t="shared" si="329"/>
        <v>STRYDOM</v>
      </c>
      <c r="C1767" s="12" t="str">
        <f t="shared" si="330"/>
        <v>STRYDOM</v>
      </c>
      <c r="D1767" s="12" t="s">
        <v>13424</v>
      </c>
      <c r="E1767" s="12" t="str">
        <f t="shared" si="340"/>
        <v>Barend Hendrik Josephus Jr.</v>
      </c>
      <c r="F1767" s="12" t="s">
        <v>13425</v>
      </c>
      <c r="G1767" s="12" t="str">
        <f t="shared" si="331"/>
        <v>a1b4cd3e5f3</v>
      </c>
      <c r="H1767" s="12" t="str">
        <f t="shared" si="332"/>
        <v>STRYDOMa1b4cd3e5f3</v>
      </c>
      <c r="I1767" s="12"/>
      <c r="J1767" s="12" t="s">
        <v>13426</v>
      </c>
      <c r="K1767" s="12" t="str">
        <f t="shared" si="333"/>
        <v>1824</v>
      </c>
      <c r="L1767" s="12" t="s">
        <v>28</v>
      </c>
      <c r="M1767" s="12" t="s">
        <v>13427</v>
      </c>
      <c r="N1767" s="12" t="str">
        <f t="shared" si="338"/>
        <v>1824</v>
      </c>
      <c r="O1767" s="12" t="str">
        <f t="shared" si="339"/>
        <v>1825</v>
      </c>
      <c r="P1767" s="12"/>
      <c r="Q1767" s="12" t="str">
        <f t="shared" si="334"/>
        <v>1824</v>
      </c>
      <c r="R1767" s="12"/>
      <c r="S1767" s="12" t="str">
        <f t="shared" si="335"/>
        <v/>
      </c>
      <c r="T1767" s="12"/>
      <c r="U1767" s="12"/>
      <c r="V1767" s="12" t="str">
        <f t="shared" si="336"/>
        <v/>
      </c>
      <c r="W1767" s="12" t="s">
        <v>13428</v>
      </c>
      <c r="X1767" s="12" t="s">
        <v>10968</v>
      </c>
      <c r="Y1767" s="12"/>
      <c r="Z1767" s="12"/>
      <c r="AA1767" s="12"/>
      <c r="AB1767" s="12"/>
      <c r="AC1767" s="12"/>
      <c r="AD1767" s="12"/>
      <c r="AE1767" s="12"/>
      <c r="AF1767" s="12" t="s">
        <v>16</v>
      </c>
      <c r="AG1767" s="12" t="s">
        <v>68</v>
      </c>
      <c r="AH1767" s="12">
        <v>1840</v>
      </c>
      <c r="AI1767" s="12" t="str">
        <f t="shared" si="337"/>
        <v>1840</v>
      </c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  <c r="BO1767" s="12"/>
      <c r="BP1767" s="12"/>
      <c r="BQ1767" s="12"/>
      <c r="BR1767" s="12"/>
      <c r="BS1767" s="12"/>
      <c r="BT1767" s="12"/>
      <c r="BU1767" s="12"/>
      <c r="BV1767" s="12"/>
      <c r="BW1767" s="12"/>
      <c r="BX1767" s="12"/>
      <c r="BY1767" s="12"/>
      <c r="BZ1767" s="12"/>
      <c r="CA1767" s="12"/>
      <c r="CB1767" s="12"/>
      <c r="CC1767" s="12"/>
      <c r="CD1767" s="12"/>
    </row>
    <row r="1768" spans="1:82">
      <c r="A1768" s="13" t="s">
        <v>1824</v>
      </c>
      <c r="B1768" s="12" t="str">
        <f t="shared" si="329"/>
        <v>SWANEPOEL</v>
      </c>
      <c r="C1768" s="12" t="str">
        <f t="shared" si="330"/>
        <v>SWANEPOEL</v>
      </c>
      <c r="D1768" s="12" t="s">
        <v>13610</v>
      </c>
      <c r="E1768" s="12" t="str">
        <f t="shared" si="340"/>
        <v>Frederik Jacobus Cornelis</v>
      </c>
      <c r="F1768" s="12" t="s">
        <v>13611</v>
      </c>
      <c r="G1768" s="12" t="str">
        <f t="shared" si="331"/>
        <v>a1b3c12d13</v>
      </c>
      <c r="H1768" s="12" t="str">
        <f t="shared" si="332"/>
        <v>SWANEPOELa1b3c12d13</v>
      </c>
      <c r="I1768" s="12"/>
      <c r="J1768" s="12" t="s">
        <v>13612</v>
      </c>
      <c r="K1768" s="12" t="str">
        <f t="shared" si="333"/>
        <v>1820</v>
      </c>
      <c r="L1768" s="12" t="s">
        <v>366</v>
      </c>
      <c r="M1768" s="12" t="s">
        <v>9843</v>
      </c>
      <c r="N1768" s="12" t="str">
        <f t="shared" si="338"/>
        <v>1820</v>
      </c>
      <c r="O1768" s="12" t="str">
        <f t="shared" si="339"/>
        <v>1821</v>
      </c>
      <c r="P1768" s="12" t="s">
        <v>4103</v>
      </c>
      <c r="Q1768" s="12" t="str">
        <f t="shared" si="334"/>
        <v>1820</v>
      </c>
      <c r="R1768" s="12" t="s">
        <v>13613</v>
      </c>
      <c r="S1768" s="12" t="str">
        <f t="shared" si="335"/>
        <v>1892</v>
      </c>
      <c r="T1768" s="12" t="s">
        <v>140</v>
      </c>
      <c r="U1768" s="12" t="s">
        <v>3531</v>
      </c>
      <c r="V1768" s="12" t="str">
        <f t="shared" si="336"/>
        <v>1846</v>
      </c>
      <c r="W1768" s="12" t="s">
        <v>796</v>
      </c>
      <c r="X1768" s="12" t="s">
        <v>636</v>
      </c>
      <c r="Y1768" s="12"/>
      <c r="Z1768" s="12"/>
      <c r="AA1768" s="12"/>
      <c r="AB1768" s="12"/>
      <c r="AC1768" s="12" t="s">
        <v>7091</v>
      </c>
      <c r="AD1768" s="12"/>
      <c r="AE1768" s="12"/>
      <c r="AF1768" s="12"/>
      <c r="AG1768" s="12" t="s">
        <v>366</v>
      </c>
      <c r="AH1768" s="12">
        <v>1845</v>
      </c>
      <c r="AI1768" s="12" t="str">
        <f t="shared" si="337"/>
        <v>1845</v>
      </c>
      <c r="AJ1768" s="12"/>
      <c r="AK1768" s="12" t="s">
        <v>140</v>
      </c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  <c r="BO1768" s="12"/>
      <c r="BP1768" s="12"/>
      <c r="BQ1768" s="12"/>
      <c r="BR1768" s="12"/>
      <c r="BS1768" s="12"/>
      <c r="BT1768" s="12"/>
      <c r="BU1768" s="12"/>
      <c r="BV1768" s="12"/>
      <c r="BW1768" s="12"/>
      <c r="BX1768" s="12"/>
      <c r="BY1768" s="12"/>
      <c r="BZ1768" s="12"/>
      <c r="CA1768" s="12"/>
      <c r="CB1768" s="12"/>
      <c r="CC1768" s="12"/>
      <c r="CD1768" s="12"/>
    </row>
    <row r="1769" spans="1:82">
      <c r="A1769" s="13" t="s">
        <v>1824</v>
      </c>
      <c r="B1769" s="12" t="str">
        <f t="shared" si="329"/>
        <v>SWANEPOEL</v>
      </c>
      <c r="C1769" s="12" t="str">
        <f t="shared" si="330"/>
        <v>SWANEPOEL</v>
      </c>
      <c r="D1769" s="12" t="s">
        <v>13699</v>
      </c>
      <c r="E1769" s="12" t="str">
        <f t="shared" si="340"/>
        <v>Pieter Andries</v>
      </c>
      <c r="F1769" s="12" t="s">
        <v>13700</v>
      </c>
      <c r="G1769" s="12" t="str">
        <f t="shared" si="331"/>
        <v>a1b3c3d2</v>
      </c>
      <c r="H1769" s="12" t="str">
        <f t="shared" si="332"/>
        <v>SWANEPOELa1b3c3d2</v>
      </c>
      <c r="I1769" s="12"/>
      <c r="J1769" s="12"/>
      <c r="K1769" s="12" t="str">
        <f t="shared" si="333"/>
        <v/>
      </c>
      <c r="L1769" s="12" t="s">
        <v>1071</v>
      </c>
      <c r="M1769" s="12" t="s">
        <v>8840</v>
      </c>
      <c r="N1769" s="12" t="str">
        <f t="shared" si="338"/>
        <v/>
      </c>
      <c r="O1769" s="12" t="str">
        <f t="shared" si="339"/>
        <v>1776</v>
      </c>
      <c r="P1769" s="12"/>
      <c r="Q1769" s="12" t="str">
        <f t="shared" si="334"/>
        <v>1776</v>
      </c>
      <c r="R1769" s="12"/>
      <c r="S1769" s="12" t="str">
        <f t="shared" si="335"/>
        <v/>
      </c>
      <c r="T1769" s="12" t="s">
        <v>6098</v>
      </c>
      <c r="U1769" s="12" t="s">
        <v>446</v>
      </c>
      <c r="V1769" s="12" t="str">
        <f t="shared" si="336"/>
        <v>1801</v>
      </c>
      <c r="W1769" s="12" t="s">
        <v>3389</v>
      </c>
      <c r="X1769" s="12" t="s">
        <v>8890</v>
      </c>
      <c r="Y1769" s="12"/>
      <c r="Z1769" s="12"/>
      <c r="AA1769" s="12" t="s">
        <v>13701</v>
      </c>
      <c r="AB1769" s="12"/>
      <c r="AC1769" s="12"/>
      <c r="AD1769" s="12"/>
      <c r="AE1769" s="12" t="s">
        <v>13702</v>
      </c>
      <c r="AF1769" s="12" t="s">
        <v>13703</v>
      </c>
      <c r="AG1769" s="12" t="s">
        <v>395</v>
      </c>
      <c r="AH1769" s="12">
        <v>1840</v>
      </c>
      <c r="AI1769" s="12" t="str">
        <f t="shared" si="337"/>
        <v>1840</v>
      </c>
      <c r="AJ1769" s="12"/>
      <c r="AK1769" s="12" t="s">
        <v>140</v>
      </c>
      <c r="AL1769" s="12" t="s">
        <v>542</v>
      </c>
      <c r="AM1769" s="12" t="s">
        <v>13704</v>
      </c>
      <c r="AN1769" s="12" t="s">
        <v>13705</v>
      </c>
      <c r="AO1769" s="12" t="s">
        <v>13706</v>
      </c>
      <c r="AP1769" s="12"/>
      <c r="AQ1769" s="12"/>
      <c r="AR1769" s="12"/>
      <c r="AS1769" s="12"/>
      <c r="AT1769" s="12" t="s">
        <v>4990</v>
      </c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  <c r="BO1769" s="12"/>
      <c r="BP1769" s="12"/>
      <c r="BQ1769" s="12"/>
      <c r="BR1769" s="12"/>
      <c r="BS1769" s="12"/>
      <c r="BT1769" s="12"/>
      <c r="BU1769" s="12"/>
      <c r="BV1769" s="12"/>
      <c r="BW1769" s="12"/>
      <c r="BX1769" s="12"/>
      <c r="BY1769" s="12"/>
      <c r="BZ1769" s="12"/>
      <c r="CA1769" s="12"/>
      <c r="CB1769" s="12"/>
      <c r="CC1769" s="12"/>
      <c r="CD1769" s="12"/>
    </row>
    <row r="1770" spans="1:82">
      <c r="A1770" s="13" t="s">
        <v>1824</v>
      </c>
      <c r="B1770" s="12" t="str">
        <f t="shared" si="329"/>
        <v>SWANEPOEL</v>
      </c>
      <c r="C1770" s="12" t="str">
        <f t="shared" si="330"/>
        <v>SWANEPOEL</v>
      </c>
      <c r="D1770" s="12" t="s">
        <v>13763</v>
      </c>
      <c r="E1770" s="12" t="str">
        <f t="shared" si="340"/>
        <v>Willem Jacob Marthinus</v>
      </c>
      <c r="F1770" s="12" t="s">
        <v>13764</v>
      </c>
      <c r="G1770" s="12" t="str">
        <f t="shared" si="331"/>
        <v>a1b3c3d2e10</v>
      </c>
      <c r="H1770" s="12" t="str">
        <f t="shared" si="332"/>
        <v>SWANEPOELa1b3c3d2e10</v>
      </c>
      <c r="I1770" s="12"/>
      <c r="J1770" s="12" t="s">
        <v>13765</v>
      </c>
      <c r="K1770" s="12" t="str">
        <f t="shared" si="333"/>
        <v>1824</v>
      </c>
      <c r="L1770" s="12" t="s">
        <v>366</v>
      </c>
      <c r="M1770" s="12" t="s">
        <v>13766</v>
      </c>
      <c r="N1770" s="12" t="str">
        <f t="shared" si="338"/>
        <v>1824</v>
      </c>
      <c r="O1770" s="12" t="str">
        <f t="shared" si="339"/>
        <v>1826</v>
      </c>
      <c r="P1770" s="12" t="s">
        <v>13767</v>
      </c>
      <c r="Q1770" s="12" t="str">
        <f t="shared" si="334"/>
        <v>1824</v>
      </c>
      <c r="R1770" s="12"/>
      <c r="S1770" s="12" t="str">
        <f t="shared" si="335"/>
        <v/>
      </c>
      <c r="T1770" s="12"/>
      <c r="U1770" s="12"/>
      <c r="V1770" s="12" t="str">
        <f t="shared" si="336"/>
        <v/>
      </c>
      <c r="W1770" s="12" t="s">
        <v>1838</v>
      </c>
      <c r="X1770" s="12" t="s">
        <v>4871</v>
      </c>
      <c r="Y1770" s="12"/>
      <c r="Z1770" s="12"/>
      <c r="AA1770" s="12" t="s">
        <v>13768</v>
      </c>
      <c r="AB1770" s="12"/>
      <c r="AC1770" s="12"/>
      <c r="AD1770" s="12" t="s">
        <v>12237</v>
      </c>
      <c r="AE1770" s="12" t="s">
        <v>13769</v>
      </c>
      <c r="AF1770" s="12" t="s">
        <v>13703</v>
      </c>
      <c r="AG1770" s="12" t="s">
        <v>366</v>
      </c>
      <c r="AH1770" s="12">
        <v>1841</v>
      </c>
      <c r="AI1770" s="12" t="str">
        <f t="shared" si="337"/>
        <v>1841</v>
      </c>
      <c r="AJ1770" s="12"/>
      <c r="AK1770" s="12" t="s">
        <v>12237</v>
      </c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  <c r="BO1770" s="12"/>
      <c r="BP1770" s="12"/>
      <c r="BQ1770" s="12"/>
      <c r="BR1770" s="12"/>
      <c r="BS1770" s="12"/>
      <c r="BT1770" s="12"/>
      <c r="BU1770" s="12"/>
      <c r="BV1770" s="12"/>
      <c r="BW1770" s="12"/>
      <c r="BX1770" s="12"/>
      <c r="BY1770" s="12"/>
      <c r="BZ1770" s="12"/>
      <c r="CA1770" s="12"/>
      <c r="CB1770" s="12"/>
      <c r="CC1770" s="12"/>
      <c r="CD1770" s="12"/>
    </row>
    <row r="1771" spans="1:82">
      <c r="A1771" s="13" t="s">
        <v>1824</v>
      </c>
      <c r="B1771" s="12" t="str">
        <f t="shared" si="329"/>
        <v>SWANEPOEL</v>
      </c>
      <c r="C1771" s="12" t="str">
        <f t="shared" si="330"/>
        <v>SWANEPOEL</v>
      </c>
      <c r="D1771" s="12" t="s">
        <v>1707</v>
      </c>
      <c r="E1771" s="12" t="str">
        <f t="shared" si="340"/>
        <v>Jan Andries</v>
      </c>
      <c r="F1771" s="12" t="s">
        <v>13653</v>
      </c>
      <c r="G1771" s="12" t="str">
        <f t="shared" si="331"/>
        <v>a1b3c3d2e3</v>
      </c>
      <c r="H1771" s="12" t="str">
        <f t="shared" si="332"/>
        <v>SWANEPOELa1b3c3d2e3</v>
      </c>
      <c r="I1771" s="12"/>
      <c r="J1771" s="12" t="s">
        <v>13654</v>
      </c>
      <c r="K1771" s="12" t="str">
        <f t="shared" si="333"/>
        <v>1811</v>
      </c>
      <c r="L1771" s="12" t="s">
        <v>542</v>
      </c>
      <c r="M1771" s="12" t="s">
        <v>1854</v>
      </c>
      <c r="N1771" s="12" t="str">
        <f t="shared" si="338"/>
        <v>1811</v>
      </c>
      <c r="O1771" s="12" t="str">
        <f t="shared" si="339"/>
        <v>1814</v>
      </c>
      <c r="P1771" s="12" t="s">
        <v>140</v>
      </c>
      <c r="Q1771" s="12" t="str">
        <f t="shared" si="334"/>
        <v>1811</v>
      </c>
      <c r="R1771" s="12" t="s">
        <v>13655</v>
      </c>
      <c r="S1771" s="12" t="str">
        <f t="shared" si="335"/>
        <v>1877</v>
      </c>
      <c r="T1771" s="12" t="s">
        <v>395</v>
      </c>
      <c r="U1771" s="12" t="s">
        <v>384</v>
      </c>
      <c r="V1771" s="12" t="str">
        <f t="shared" si="336"/>
        <v>1832</v>
      </c>
      <c r="W1771" s="12" t="s">
        <v>13656</v>
      </c>
      <c r="X1771" s="12" t="s">
        <v>13628</v>
      </c>
      <c r="Y1771" s="12"/>
      <c r="Z1771" s="12"/>
      <c r="AA1771" s="12">
        <v>1812</v>
      </c>
      <c r="AB1771" s="12"/>
      <c r="AC1771" s="12"/>
      <c r="AD1771" s="12" t="s">
        <v>140</v>
      </c>
      <c r="AE1771" s="12" t="s">
        <v>13657</v>
      </c>
      <c r="AF1771" s="12" t="s">
        <v>13658</v>
      </c>
      <c r="AG1771" s="12" t="s">
        <v>395</v>
      </c>
      <c r="AH1771" s="12">
        <v>1840</v>
      </c>
      <c r="AI1771" s="12" t="str">
        <f t="shared" si="337"/>
        <v>1840</v>
      </c>
      <c r="AJ1771" s="12"/>
      <c r="AK1771" s="12" t="s">
        <v>140</v>
      </c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  <c r="BO1771" s="12"/>
      <c r="BP1771" s="12"/>
      <c r="BQ1771" s="12"/>
      <c r="BR1771" s="12"/>
      <c r="BS1771" s="12"/>
      <c r="BT1771" s="12"/>
      <c r="BU1771" s="12"/>
      <c r="BV1771" s="12"/>
      <c r="BW1771" s="12"/>
      <c r="BX1771" s="12"/>
      <c r="BY1771" s="12"/>
      <c r="BZ1771" s="12"/>
      <c r="CA1771" s="12"/>
      <c r="CB1771" s="12"/>
      <c r="CC1771" s="12"/>
      <c r="CD1771" s="12"/>
    </row>
    <row r="1772" spans="1:82">
      <c r="A1772" s="13" t="s">
        <v>1824</v>
      </c>
      <c r="B1772" s="12" t="str">
        <f t="shared" si="329"/>
        <v>SWANEPOEL</v>
      </c>
      <c r="C1772" s="12" t="str">
        <f t="shared" si="330"/>
        <v>SWANEPOEL</v>
      </c>
      <c r="D1772" s="12" t="s">
        <v>13717</v>
      </c>
      <c r="E1772" s="12" t="str">
        <f t="shared" si="340"/>
        <v>Roedolf Johannes</v>
      </c>
      <c r="F1772" s="12" t="s">
        <v>13718</v>
      </c>
      <c r="G1772" s="12" t="str">
        <f t="shared" si="331"/>
        <v>a1b3c3d2e5</v>
      </c>
      <c r="H1772" s="12" t="str">
        <f t="shared" si="332"/>
        <v>SWANEPOELa1b3c3d2e5</v>
      </c>
      <c r="I1772" s="12" t="s">
        <v>366</v>
      </c>
      <c r="J1772" s="12" t="s">
        <v>13719</v>
      </c>
      <c r="K1772" s="12" t="str">
        <f t="shared" si="333"/>
        <v>1813</v>
      </c>
      <c r="L1772" s="12" t="s">
        <v>542</v>
      </c>
      <c r="M1772" s="12" t="s">
        <v>1854</v>
      </c>
      <c r="N1772" s="12" t="str">
        <f t="shared" si="338"/>
        <v>1813</v>
      </c>
      <c r="O1772" s="12" t="str">
        <f t="shared" si="339"/>
        <v>1814</v>
      </c>
      <c r="P1772" s="12" t="s">
        <v>120</v>
      </c>
      <c r="Q1772" s="12" t="str">
        <f t="shared" si="334"/>
        <v>1813</v>
      </c>
      <c r="R1772" s="12" t="s">
        <v>13720</v>
      </c>
      <c r="S1772" s="12" t="str">
        <f t="shared" si="335"/>
        <v>1894</v>
      </c>
      <c r="T1772" s="12" t="s">
        <v>395</v>
      </c>
      <c r="U1772" s="12" t="s">
        <v>5494</v>
      </c>
      <c r="V1772" s="12" t="str">
        <f t="shared" si="336"/>
        <v>1837</v>
      </c>
      <c r="W1772" s="12" t="s">
        <v>13721</v>
      </c>
      <c r="X1772" s="12" t="s">
        <v>10705</v>
      </c>
      <c r="Y1772" s="12"/>
      <c r="Z1772" s="12"/>
      <c r="AA1772" s="12">
        <v>1815</v>
      </c>
      <c r="AB1772" s="12"/>
      <c r="AC1772" s="12"/>
      <c r="AD1772" s="12"/>
      <c r="AE1772" s="12"/>
      <c r="AF1772" s="12" t="s">
        <v>13703</v>
      </c>
      <c r="AG1772" s="12" t="s">
        <v>395</v>
      </c>
      <c r="AH1772" s="12">
        <v>1840</v>
      </c>
      <c r="AI1772" s="12" t="str">
        <f t="shared" si="337"/>
        <v>1840</v>
      </c>
      <c r="AJ1772" s="12"/>
      <c r="AK1772" s="12"/>
      <c r="AL1772" s="12" t="s">
        <v>31</v>
      </c>
      <c r="AM1772" s="12" t="s">
        <v>13722</v>
      </c>
      <c r="AN1772" s="12" t="s">
        <v>13723</v>
      </c>
      <c r="AO1772" s="12" t="s">
        <v>662</v>
      </c>
      <c r="AP1772" s="12"/>
      <c r="AQ1772" s="12"/>
      <c r="AR1772" s="12">
        <v>1836</v>
      </c>
      <c r="AS1772" s="12"/>
      <c r="AT1772" s="12"/>
      <c r="AU1772" s="12"/>
      <c r="AV1772" s="12"/>
      <c r="AW1772" s="12"/>
      <c r="AX1772" s="12">
        <v>1876</v>
      </c>
      <c r="AY1772" s="12" t="s">
        <v>13724</v>
      </c>
      <c r="AZ1772" s="12" t="s">
        <v>6072</v>
      </c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  <c r="BO1772" s="12"/>
      <c r="BP1772" s="12"/>
      <c r="BQ1772" s="12"/>
      <c r="BR1772" s="12"/>
      <c r="BS1772" s="12"/>
      <c r="BT1772" s="12"/>
      <c r="BU1772" s="12"/>
      <c r="BV1772" s="12"/>
      <c r="BW1772" s="12"/>
      <c r="BX1772" s="12"/>
      <c r="BY1772" s="12"/>
      <c r="BZ1772" s="12"/>
      <c r="CA1772" s="12"/>
      <c r="CB1772" s="12"/>
      <c r="CC1772" s="12"/>
      <c r="CD1772" s="12"/>
    </row>
    <row r="1773" spans="1:82">
      <c r="A1773" s="13" t="s">
        <v>1824</v>
      </c>
      <c r="B1773" s="12" t="str">
        <f t="shared" si="329"/>
        <v>SWANEPOEL</v>
      </c>
      <c r="C1773" s="12" t="str">
        <f t="shared" si="330"/>
        <v>SWANEPOEL</v>
      </c>
      <c r="D1773" s="12" t="s">
        <v>2782</v>
      </c>
      <c r="E1773" s="12" t="str">
        <f t="shared" si="340"/>
        <v>Gerhardus Stephanus</v>
      </c>
      <c r="F1773" s="12" t="s">
        <v>13623</v>
      </c>
      <c r="G1773" s="12" t="str">
        <f t="shared" si="331"/>
        <v>a1b3c3d2e7</v>
      </c>
      <c r="H1773" s="12" t="str">
        <f t="shared" si="332"/>
        <v>SWANEPOELa1b3c3d2e7</v>
      </c>
      <c r="I1773" s="12" t="s">
        <v>366</v>
      </c>
      <c r="J1773" s="12" t="s">
        <v>13624</v>
      </c>
      <c r="K1773" s="12" t="str">
        <f t="shared" si="333"/>
        <v>1817</v>
      </c>
      <c r="L1773" s="12" t="s">
        <v>542</v>
      </c>
      <c r="M1773" s="12" t="s">
        <v>3167</v>
      </c>
      <c r="N1773" s="12" t="str">
        <f t="shared" si="338"/>
        <v>1817</v>
      </c>
      <c r="O1773" s="12" t="str">
        <f t="shared" si="339"/>
        <v>1817</v>
      </c>
      <c r="P1773" s="12" t="s">
        <v>24</v>
      </c>
      <c r="Q1773" s="12" t="str">
        <f t="shared" si="334"/>
        <v>1817</v>
      </c>
      <c r="R1773" s="12" t="s">
        <v>13625</v>
      </c>
      <c r="S1773" s="12" t="str">
        <f t="shared" si="335"/>
        <v>1873</v>
      </c>
      <c r="T1773" s="12" t="s">
        <v>366</v>
      </c>
      <c r="U1773" s="12" t="s">
        <v>13626</v>
      </c>
      <c r="V1773" s="12" t="str">
        <f t="shared" si="336"/>
        <v>1839</v>
      </c>
      <c r="W1773" s="12" t="s">
        <v>13627</v>
      </c>
      <c r="X1773" s="12" t="s">
        <v>13628</v>
      </c>
      <c r="Y1773" s="12"/>
      <c r="Z1773" s="12"/>
      <c r="AA1773" s="12">
        <v>1819</v>
      </c>
      <c r="AB1773" s="12"/>
      <c r="AC1773" s="12"/>
      <c r="AD1773" s="12" t="s">
        <v>24</v>
      </c>
      <c r="AE1773" s="12" t="s">
        <v>13629</v>
      </c>
      <c r="AF1773" s="12" t="s">
        <v>13630</v>
      </c>
      <c r="AG1773" s="12" t="s">
        <v>366</v>
      </c>
      <c r="AH1773" s="12" t="s">
        <v>13631</v>
      </c>
      <c r="AI1773" s="12" t="str">
        <f t="shared" si="337"/>
        <v>1844</v>
      </c>
      <c r="AJ1773" s="12"/>
      <c r="AK1773" s="12" t="s">
        <v>24</v>
      </c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  <c r="BO1773" s="12"/>
      <c r="BP1773" s="12"/>
      <c r="BQ1773" s="12"/>
      <c r="BR1773" s="12"/>
      <c r="BS1773" s="12"/>
      <c r="BT1773" s="12"/>
      <c r="BU1773" s="12"/>
      <c r="BV1773" s="12"/>
      <c r="BW1773" s="12"/>
      <c r="BX1773" s="12"/>
      <c r="BY1773" s="12"/>
      <c r="BZ1773" s="12"/>
      <c r="CA1773" s="12"/>
      <c r="CB1773" s="12"/>
      <c r="CC1773" s="12"/>
      <c r="CD1773" s="12"/>
    </row>
    <row r="1774" spans="1:82">
      <c r="A1774" s="13" t="s">
        <v>1824</v>
      </c>
      <c r="B1774" s="12" t="str">
        <f t="shared" si="329"/>
        <v>SWANEPOEL</v>
      </c>
      <c r="C1774" s="12" t="str">
        <f t="shared" si="330"/>
        <v>SWANEPOEL</v>
      </c>
      <c r="D1774" s="12" t="s">
        <v>352</v>
      </c>
      <c r="E1774" s="12" t="str">
        <f t="shared" si="340"/>
        <v>Willem Abraham</v>
      </c>
      <c r="F1774" s="12" t="s">
        <v>13748</v>
      </c>
      <c r="G1774" s="12" t="str">
        <f t="shared" si="331"/>
        <v xml:space="preserve">a1b3c6d12  </v>
      </c>
      <c r="H1774" s="12" t="str">
        <f t="shared" si="332"/>
        <v xml:space="preserve">SWANEPOELa1b3c6d12  </v>
      </c>
      <c r="I1774" s="12" t="s">
        <v>3732</v>
      </c>
      <c r="J1774" s="12" t="s">
        <v>13749</v>
      </c>
      <c r="K1774" s="12" t="str">
        <f t="shared" si="333"/>
        <v>1803</v>
      </c>
      <c r="L1774" s="12" t="s">
        <v>961</v>
      </c>
      <c r="M1774" s="12" t="s">
        <v>13750</v>
      </c>
      <c r="N1774" s="12" t="str">
        <f t="shared" si="338"/>
        <v>1803</v>
      </c>
      <c r="O1774" s="12" t="str">
        <f t="shared" si="339"/>
        <v>1805</v>
      </c>
      <c r="P1774" s="12"/>
      <c r="Q1774" s="12" t="str">
        <f t="shared" si="334"/>
        <v>1803</v>
      </c>
      <c r="R1774" s="12"/>
      <c r="S1774" s="12" t="str">
        <f t="shared" si="335"/>
        <v/>
      </c>
      <c r="T1774" s="12" t="s">
        <v>74</v>
      </c>
      <c r="U1774" s="12" t="s">
        <v>2796</v>
      </c>
      <c r="V1774" s="12" t="str">
        <f t="shared" si="336"/>
        <v>1822</v>
      </c>
      <c r="W1774" s="12" t="s">
        <v>3503</v>
      </c>
      <c r="X1774" s="12" t="s">
        <v>729</v>
      </c>
      <c r="Y1774" s="12" t="s">
        <v>13751</v>
      </c>
      <c r="Z1774" s="12"/>
      <c r="AA1774" s="12" t="s">
        <v>13752</v>
      </c>
      <c r="AB1774" s="12"/>
      <c r="AC1774" s="12" t="s">
        <v>359</v>
      </c>
      <c r="AD1774" s="12"/>
      <c r="AE1774" s="12"/>
      <c r="AF1774" s="12"/>
      <c r="AG1774" s="12" t="s">
        <v>74</v>
      </c>
      <c r="AH1774" s="12" t="s">
        <v>12374</v>
      </c>
      <c r="AI1774" s="12" t="str">
        <f t="shared" si="337"/>
        <v>1840</v>
      </c>
      <c r="AJ1774" s="12"/>
      <c r="AK1774" s="12" t="s">
        <v>90</v>
      </c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  <c r="BO1774" s="12"/>
      <c r="BP1774" s="12"/>
      <c r="BQ1774" s="12"/>
      <c r="BR1774" s="12"/>
      <c r="BS1774" s="12"/>
      <c r="BT1774" s="12"/>
      <c r="BU1774" s="12"/>
      <c r="BV1774" s="12"/>
      <c r="BW1774" s="12"/>
      <c r="BX1774" s="12"/>
      <c r="BY1774" s="12"/>
      <c r="BZ1774" s="12"/>
      <c r="CA1774" s="12"/>
      <c r="CB1774" s="12"/>
      <c r="CC1774" s="12"/>
      <c r="CD1774" s="12"/>
    </row>
    <row r="1775" spans="1:82">
      <c r="A1775" s="13" t="s">
        <v>1824</v>
      </c>
      <c r="B1775" s="12" t="str">
        <f t="shared" si="329"/>
        <v>SWANEPOEL</v>
      </c>
      <c r="C1775" s="12" t="str">
        <f t="shared" si="330"/>
        <v>SWANEPOEL</v>
      </c>
      <c r="D1775" s="12" t="s">
        <v>13667</v>
      </c>
      <c r="E1775" s="12" t="str">
        <f t="shared" si="340"/>
        <v>Johannes Jochemus</v>
      </c>
      <c r="F1775" s="12" t="s">
        <v>13668</v>
      </c>
      <c r="G1775" s="12" t="str">
        <f t="shared" si="331"/>
        <v>a1b3c6d12e1</v>
      </c>
      <c r="H1775" s="12" t="str">
        <f t="shared" si="332"/>
        <v>SWANEPOELa1b3c6d12e1</v>
      </c>
      <c r="I1775" s="12"/>
      <c r="J1775" s="12" t="s">
        <v>13669</v>
      </c>
      <c r="K1775" s="12" t="str">
        <f t="shared" si="333"/>
        <v>1823</v>
      </c>
      <c r="L1775" s="12" t="s">
        <v>74</v>
      </c>
      <c r="M1775" s="12" t="s">
        <v>7740</v>
      </c>
      <c r="N1775" s="12" t="str">
        <f t="shared" si="338"/>
        <v>1823</v>
      </c>
      <c r="O1775" s="12" t="str">
        <f t="shared" si="339"/>
        <v>1823</v>
      </c>
      <c r="P1775" s="12"/>
      <c r="Q1775" s="12" t="str">
        <f t="shared" si="334"/>
        <v>1823</v>
      </c>
      <c r="R1775" s="12"/>
      <c r="S1775" s="12" t="str">
        <f t="shared" si="335"/>
        <v/>
      </c>
      <c r="T1775" s="12" t="s">
        <v>168</v>
      </c>
      <c r="U1775" s="12" t="s">
        <v>13670</v>
      </c>
      <c r="V1775" s="12" t="str">
        <f t="shared" si="336"/>
        <v>1854</v>
      </c>
      <c r="W1775" s="12" t="s">
        <v>13671</v>
      </c>
      <c r="X1775" s="12" t="s">
        <v>11105</v>
      </c>
      <c r="Y1775" s="12" t="s">
        <v>5169</v>
      </c>
      <c r="Z1775" s="12"/>
      <c r="AA1775" s="12">
        <v>1825</v>
      </c>
      <c r="AB1775" s="12"/>
      <c r="AC1775" s="12"/>
      <c r="AD1775" s="12"/>
      <c r="AE1775" s="12"/>
      <c r="AF1775" s="12"/>
      <c r="AG1775" s="12" t="s">
        <v>74</v>
      </c>
      <c r="AH1775" s="12" t="s">
        <v>385</v>
      </c>
      <c r="AI1775" s="12" t="str">
        <f t="shared" si="337"/>
        <v>1840</v>
      </c>
      <c r="AJ1775" s="12"/>
      <c r="AK1775" s="12" t="s">
        <v>90</v>
      </c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  <c r="BO1775" s="12"/>
      <c r="BP1775" s="12"/>
      <c r="BQ1775" s="12"/>
      <c r="BR1775" s="12"/>
      <c r="BS1775" s="12"/>
      <c r="BT1775" s="12"/>
      <c r="BU1775" s="12"/>
      <c r="BV1775" s="12"/>
      <c r="BW1775" s="12"/>
      <c r="BX1775" s="12"/>
      <c r="BY1775" s="12"/>
      <c r="BZ1775" s="12"/>
      <c r="CA1775" s="12"/>
      <c r="CB1775" s="12"/>
      <c r="CC1775" s="12"/>
      <c r="CD1775" s="12"/>
    </row>
    <row r="1776" spans="1:82">
      <c r="A1776" s="13" t="s">
        <v>1824</v>
      </c>
      <c r="B1776" s="12" t="str">
        <f t="shared" si="329"/>
        <v>SWANEPOEL</v>
      </c>
      <c r="C1776" s="12" t="str">
        <f t="shared" si="330"/>
        <v>SWANEPOEL</v>
      </c>
      <c r="D1776" s="12" t="s">
        <v>13759</v>
      </c>
      <c r="E1776" s="12" t="str">
        <f t="shared" si="340"/>
        <v>Willem Barend</v>
      </c>
      <c r="F1776" s="12" t="s">
        <v>7121</v>
      </c>
      <c r="G1776" s="12" t="str">
        <f t="shared" si="331"/>
        <v>a1b3c7</v>
      </c>
      <c r="H1776" s="12" t="str">
        <f t="shared" si="332"/>
        <v>SWANEPOELa1b3c7</v>
      </c>
      <c r="I1776" s="12"/>
      <c r="J1776" s="12" t="s">
        <v>13760</v>
      </c>
      <c r="K1776" s="12" t="str">
        <f t="shared" si="333"/>
        <v>1758</v>
      </c>
      <c r="L1776" s="12"/>
      <c r="M1776" s="12"/>
      <c r="N1776" s="12" t="str">
        <f t="shared" si="338"/>
        <v>1758</v>
      </c>
      <c r="O1776" s="12" t="str">
        <f t="shared" si="339"/>
        <v/>
      </c>
      <c r="P1776" s="12"/>
      <c r="Q1776" s="12" t="str">
        <f t="shared" si="334"/>
        <v>1758</v>
      </c>
      <c r="R1776" s="12"/>
      <c r="S1776" s="12" t="str">
        <f t="shared" si="335"/>
        <v/>
      </c>
      <c r="T1776" s="12" t="s">
        <v>6098</v>
      </c>
      <c r="U1776" s="12" t="s">
        <v>13761</v>
      </c>
      <c r="V1776" s="12" t="str">
        <f t="shared" si="336"/>
        <v>1790</v>
      </c>
      <c r="W1776" s="12" t="s">
        <v>11827</v>
      </c>
      <c r="X1776" s="12" t="s">
        <v>757</v>
      </c>
      <c r="Y1776" s="12"/>
      <c r="Z1776" s="12"/>
      <c r="AA1776" s="12"/>
      <c r="AB1776" s="12"/>
      <c r="AC1776" s="12" t="s">
        <v>13762</v>
      </c>
      <c r="AD1776" s="12"/>
      <c r="AE1776" s="12"/>
      <c r="AF1776" s="12"/>
      <c r="AG1776" s="12" t="s">
        <v>74</v>
      </c>
      <c r="AH1776" s="12"/>
      <c r="AI1776" s="12" t="str">
        <f t="shared" si="337"/>
        <v/>
      </c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  <c r="BO1776" s="12"/>
      <c r="BP1776" s="12"/>
      <c r="BQ1776" s="12"/>
      <c r="BR1776" s="12"/>
      <c r="BS1776" s="12"/>
      <c r="BT1776" s="12"/>
      <c r="BU1776" s="12"/>
      <c r="BV1776" s="12"/>
      <c r="BW1776" s="12"/>
      <c r="BX1776" s="12"/>
      <c r="BY1776" s="12"/>
      <c r="BZ1776" s="12"/>
      <c r="CA1776" s="12"/>
      <c r="CB1776" s="12"/>
      <c r="CC1776" s="12"/>
      <c r="CD1776" s="12"/>
    </row>
    <row r="1777" spans="1:82">
      <c r="A1777" s="13" t="s">
        <v>1824</v>
      </c>
      <c r="B1777" s="12" t="str">
        <f t="shared" si="329"/>
        <v>SWANEPOEL</v>
      </c>
      <c r="C1777" s="12" t="str">
        <f t="shared" si="330"/>
        <v>SWANEPOEL</v>
      </c>
      <c r="D1777" s="12" t="s">
        <v>13587</v>
      </c>
      <c r="E1777" s="12" t="str">
        <f t="shared" si="340"/>
        <v>Abraham Christoffel Johannes</v>
      </c>
      <c r="F1777" s="12" t="s">
        <v>6102</v>
      </c>
      <c r="G1777" s="12" t="str">
        <f t="shared" si="331"/>
        <v>a1b3c8d6</v>
      </c>
      <c r="H1777" s="12" t="str">
        <f t="shared" si="332"/>
        <v>SWANEPOELa1b3c8d6</v>
      </c>
      <c r="I1777" s="12"/>
      <c r="J1777" s="12" t="s">
        <v>13588</v>
      </c>
      <c r="K1777" s="12" t="str">
        <f t="shared" si="333"/>
        <v>1804</v>
      </c>
      <c r="L1777" s="12" t="s">
        <v>74</v>
      </c>
      <c r="M1777" s="12" t="s">
        <v>13589</v>
      </c>
      <c r="N1777" s="12" t="str">
        <f t="shared" si="338"/>
        <v>1804</v>
      </c>
      <c r="O1777" s="12" t="str">
        <f t="shared" si="339"/>
        <v>1804</v>
      </c>
      <c r="P1777" s="12" t="s">
        <v>2890</v>
      </c>
      <c r="Q1777" s="12" t="str">
        <f t="shared" si="334"/>
        <v>1804</v>
      </c>
      <c r="R1777" s="12" t="s">
        <v>13590</v>
      </c>
      <c r="S1777" s="12" t="str">
        <f t="shared" si="335"/>
        <v>1894</v>
      </c>
      <c r="T1777" s="12" t="s">
        <v>366</v>
      </c>
      <c r="U1777" s="12" t="s">
        <v>1082</v>
      </c>
      <c r="V1777" s="12" t="str">
        <f t="shared" si="336"/>
        <v>1827</v>
      </c>
      <c r="W1777" s="12" t="s">
        <v>13591</v>
      </c>
      <c r="X1777" s="12" t="s">
        <v>13592</v>
      </c>
      <c r="Y1777" s="12" t="s">
        <v>13593</v>
      </c>
      <c r="Z1777" s="12"/>
      <c r="AA1777" s="12" t="s">
        <v>388</v>
      </c>
      <c r="AB1777" s="12" t="s">
        <v>32</v>
      </c>
      <c r="AC1777" s="12" t="s">
        <v>13479</v>
      </c>
      <c r="AD1777" s="12" t="s">
        <v>2890</v>
      </c>
      <c r="AE1777" s="12" t="s">
        <v>13594</v>
      </c>
      <c r="AF1777" s="12"/>
      <c r="AG1777" s="12" t="s">
        <v>366</v>
      </c>
      <c r="AH1777" s="12" t="s">
        <v>12621</v>
      </c>
      <c r="AI1777" s="12" t="str">
        <f t="shared" si="337"/>
        <v>1836</v>
      </c>
      <c r="AJ1777" s="12" t="s">
        <v>13060</v>
      </c>
      <c r="AK1777" s="12" t="s">
        <v>190</v>
      </c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  <c r="BO1777" s="12"/>
      <c r="BP1777" s="12"/>
      <c r="BQ1777" s="12"/>
      <c r="BR1777" s="12"/>
      <c r="BS1777" s="12"/>
      <c r="BT1777" s="12"/>
      <c r="BU1777" s="12"/>
      <c r="BV1777" s="12"/>
      <c r="BW1777" s="12"/>
      <c r="BX1777" s="12"/>
      <c r="BY1777" s="12"/>
      <c r="BZ1777" s="12"/>
      <c r="CA1777" s="12"/>
      <c r="CB1777" s="12"/>
      <c r="CC1777" s="12"/>
      <c r="CD1777" s="12"/>
    </row>
    <row r="1778" spans="1:82">
      <c r="A1778" s="13" t="s">
        <v>1824</v>
      </c>
      <c r="B1778" s="12" t="str">
        <f t="shared" si="329"/>
        <v>SWANEPOEL</v>
      </c>
      <c r="C1778" s="12" t="str">
        <f t="shared" si="330"/>
        <v>SWANEPOEL</v>
      </c>
      <c r="D1778" s="12" t="s">
        <v>13637</v>
      </c>
      <c r="E1778" s="12" t="str">
        <f t="shared" si="340"/>
        <v>Jacobus (Rooi Koos)</v>
      </c>
      <c r="F1778" s="12" t="s">
        <v>13638</v>
      </c>
      <c r="G1778" s="12" t="str">
        <f t="shared" si="331"/>
        <v xml:space="preserve">a1b6c5d2  </v>
      </c>
      <c r="H1778" s="12" t="str">
        <f t="shared" si="332"/>
        <v xml:space="preserve">SWANEPOELa1b6c5d2  </v>
      </c>
      <c r="I1778" s="12"/>
      <c r="J1778" s="12" t="s">
        <v>5762</v>
      </c>
      <c r="K1778" s="12" t="str">
        <f t="shared" si="333"/>
        <v>1786</v>
      </c>
      <c r="L1778" s="12" t="s">
        <v>6098</v>
      </c>
      <c r="M1778" s="12" t="s">
        <v>13639</v>
      </c>
      <c r="N1778" s="12" t="str">
        <f t="shared" si="338"/>
        <v>1786</v>
      </c>
      <c r="O1778" s="12" t="str">
        <f t="shared" si="339"/>
        <v>1787</v>
      </c>
      <c r="P1778" s="12" t="s">
        <v>2877</v>
      </c>
      <c r="Q1778" s="12" t="str">
        <f t="shared" si="334"/>
        <v>1786</v>
      </c>
      <c r="R1778" s="12" t="s">
        <v>13640</v>
      </c>
      <c r="S1778" s="12" t="str">
        <f t="shared" si="335"/>
        <v>1860</v>
      </c>
      <c r="T1778" s="12" t="s">
        <v>74</v>
      </c>
      <c r="U1778" s="12" t="s">
        <v>1677</v>
      </c>
      <c r="V1778" s="12" t="str">
        <f t="shared" si="336"/>
        <v>1807</v>
      </c>
      <c r="W1778" s="12" t="s">
        <v>715</v>
      </c>
      <c r="X1778" s="12" t="s">
        <v>6072</v>
      </c>
      <c r="Y1778" s="12" t="s">
        <v>13641</v>
      </c>
      <c r="Z1778" s="12"/>
      <c r="AA1778" s="12"/>
      <c r="AB1778" s="12"/>
      <c r="AC1778" s="12"/>
      <c r="AD1778" s="12"/>
      <c r="AE1778" s="12"/>
      <c r="AF1778" s="12"/>
      <c r="AG1778" s="12" t="s">
        <v>74</v>
      </c>
      <c r="AH1778" s="12">
        <v>1840</v>
      </c>
      <c r="AI1778" s="12" t="str">
        <f t="shared" si="337"/>
        <v>1840</v>
      </c>
      <c r="AJ1778" s="12"/>
      <c r="AK1778" s="12" t="s">
        <v>2877</v>
      </c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  <c r="BO1778" s="12"/>
      <c r="BP1778" s="12"/>
      <c r="BQ1778" s="12"/>
      <c r="BR1778" s="12"/>
      <c r="BS1778" s="12"/>
      <c r="BT1778" s="12"/>
      <c r="BU1778" s="12"/>
      <c r="BV1778" s="12"/>
      <c r="BW1778" s="12"/>
      <c r="BX1778" s="12"/>
      <c r="BY1778" s="12"/>
      <c r="BZ1778" s="12"/>
      <c r="CA1778" s="12"/>
      <c r="CB1778" s="12"/>
      <c r="CC1778" s="12"/>
      <c r="CD1778" s="12"/>
    </row>
    <row r="1779" spans="1:82">
      <c r="A1779" s="13" t="s">
        <v>1824</v>
      </c>
      <c r="B1779" s="12" t="str">
        <f t="shared" ref="B1779:B1842" si="341">SUBSTITUTE(A1779," ","")</f>
        <v>SWANEPOEL</v>
      </c>
      <c r="C1779" s="12" t="str">
        <f t="shared" ref="C1779:C1842" si="342">TRIM(A1779)</f>
        <v>SWANEPOEL</v>
      </c>
      <c r="D1779" s="12" t="s">
        <v>13602</v>
      </c>
      <c r="E1779" s="12" t="str">
        <f t="shared" si="340"/>
        <v>Christiaan Henderik</v>
      </c>
      <c r="F1779" s="12" t="s">
        <v>13603</v>
      </c>
      <c r="G1779" s="12" t="str">
        <f t="shared" ref="G1779:G1842" si="343">IF(LEFT(F1779,1)="b","a1"&amp;F1779,F1779)</f>
        <v>a1b6c5d2e2</v>
      </c>
      <c r="H1779" s="12" t="str">
        <f t="shared" ref="H1779:H1842" si="344">C1779&amp;G1779</f>
        <v>SWANEPOELa1b6c5d2e2</v>
      </c>
      <c r="I1779" s="12" t="s">
        <v>74</v>
      </c>
      <c r="J1779" s="12" t="s">
        <v>13604</v>
      </c>
      <c r="K1779" s="12" t="str">
        <f t="shared" ref="K1779:K1842" si="345">RIGHT(J1779,4)</f>
        <v>1808</v>
      </c>
      <c r="L1779" s="12" t="s">
        <v>74</v>
      </c>
      <c r="M1779" s="12" t="s">
        <v>9501</v>
      </c>
      <c r="N1779" s="12" t="str">
        <f t="shared" si="338"/>
        <v>1808</v>
      </c>
      <c r="O1779" s="12" t="str">
        <f t="shared" si="339"/>
        <v>1808</v>
      </c>
      <c r="P1779" s="12" t="s">
        <v>1289</v>
      </c>
      <c r="Q1779" s="12" t="str">
        <f t="shared" ref="Q1779:Q1842" si="346">IF(N1779="",O1779,N1779)</f>
        <v>1808</v>
      </c>
      <c r="R1779" s="12" t="s">
        <v>13605</v>
      </c>
      <c r="S1779" s="12" t="str">
        <f t="shared" ref="S1779:S1842" si="347">RIGHT(R1779,4)</f>
        <v>1880</v>
      </c>
      <c r="T1779" s="12" t="s">
        <v>366</v>
      </c>
      <c r="U1779" s="12" t="s">
        <v>13606</v>
      </c>
      <c r="V1779" s="12" t="str">
        <f t="shared" ref="V1779:V1842" si="348">RIGHT(U1779,4)</f>
        <v>1827</v>
      </c>
      <c r="W1779" s="12" t="s">
        <v>4835</v>
      </c>
      <c r="X1779" s="12" t="s">
        <v>1824</v>
      </c>
      <c r="Y1779" s="12"/>
      <c r="Z1779" s="12"/>
      <c r="AA1779" s="12" t="s">
        <v>13607</v>
      </c>
      <c r="AB1779" s="12"/>
      <c r="AC1779" s="12" t="s">
        <v>13608</v>
      </c>
      <c r="AD1779" s="12" t="s">
        <v>1289</v>
      </c>
      <c r="AE1779" s="12"/>
      <c r="AF1779" s="12" t="s">
        <v>16</v>
      </c>
      <c r="AG1779" s="12" t="s">
        <v>68</v>
      </c>
      <c r="AH1779" s="12">
        <v>1840</v>
      </c>
      <c r="AI1779" s="12" t="str">
        <f t="shared" ref="AI1779:AI1842" si="349">RIGHT(AH1779,4)</f>
        <v>1840</v>
      </c>
      <c r="AJ1779" s="12"/>
      <c r="AK1779" s="12" t="s">
        <v>13609</v>
      </c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  <c r="BO1779" s="12"/>
      <c r="BP1779" s="12"/>
      <c r="BQ1779" s="12"/>
      <c r="BR1779" s="12"/>
      <c r="BS1779" s="12"/>
      <c r="BT1779" s="12"/>
      <c r="BU1779" s="12"/>
      <c r="BV1779" s="12"/>
      <c r="BW1779" s="12"/>
      <c r="BX1779" s="12"/>
      <c r="BY1779" s="12"/>
      <c r="BZ1779" s="12"/>
      <c r="CA1779" s="12"/>
      <c r="CB1779" s="12"/>
      <c r="CC1779" s="12"/>
      <c r="CD1779" s="12"/>
    </row>
    <row r="1780" spans="1:82">
      <c r="A1780" s="13" t="s">
        <v>1824</v>
      </c>
      <c r="B1780" s="12" t="str">
        <f t="shared" si="341"/>
        <v>SWANEPOEL</v>
      </c>
      <c r="C1780" s="12" t="str">
        <f t="shared" si="342"/>
        <v>SWANEPOEL</v>
      </c>
      <c r="D1780" s="12" t="s">
        <v>13753</v>
      </c>
      <c r="E1780" s="12" t="str">
        <f t="shared" si="340"/>
        <v>Willem Andries Jacobus</v>
      </c>
      <c r="F1780" s="12" t="s">
        <v>13754</v>
      </c>
      <c r="G1780" s="12" t="str">
        <f t="shared" si="343"/>
        <v>a1b6c5d2e3</v>
      </c>
      <c r="H1780" s="12" t="str">
        <f t="shared" si="344"/>
        <v>SWANEPOELa1b6c5d2e3</v>
      </c>
      <c r="I1780" s="12"/>
      <c r="J1780" s="12" t="s">
        <v>13755</v>
      </c>
      <c r="K1780" s="12" t="str">
        <f t="shared" si="345"/>
        <v>1812</v>
      </c>
      <c r="L1780" s="12" t="s">
        <v>74</v>
      </c>
      <c r="M1780" s="12" t="s">
        <v>5032</v>
      </c>
      <c r="N1780" s="12" t="str">
        <f t="shared" si="338"/>
        <v>1812</v>
      </c>
      <c r="O1780" s="12" t="str">
        <f t="shared" si="339"/>
        <v>1812</v>
      </c>
      <c r="P1780" s="12" t="s">
        <v>9326</v>
      </c>
      <c r="Q1780" s="12" t="str">
        <f t="shared" si="346"/>
        <v>1812</v>
      </c>
      <c r="R1780" s="12" t="s">
        <v>13756</v>
      </c>
      <c r="S1780" s="12" t="str">
        <f t="shared" si="347"/>
        <v>1887</v>
      </c>
      <c r="T1780" s="12" t="s">
        <v>74</v>
      </c>
      <c r="U1780" s="12" t="s">
        <v>13757</v>
      </c>
      <c r="V1780" s="12" t="str">
        <f t="shared" si="348"/>
        <v>1830</v>
      </c>
      <c r="W1780" s="12" t="s">
        <v>13647</v>
      </c>
      <c r="X1780" s="12" t="s">
        <v>1824</v>
      </c>
      <c r="Y1780" s="12"/>
      <c r="Z1780" s="12"/>
      <c r="AA1780" s="12" t="s">
        <v>13758</v>
      </c>
      <c r="AB1780" s="12" t="s">
        <v>74</v>
      </c>
      <c r="AC1780" s="12" t="s">
        <v>2789</v>
      </c>
      <c r="AD1780" s="12" t="s">
        <v>9326</v>
      </c>
      <c r="AE1780" s="12" t="s">
        <v>5628</v>
      </c>
      <c r="AF1780" s="12" t="s">
        <v>16</v>
      </c>
      <c r="AG1780" s="12" t="s">
        <v>68</v>
      </c>
      <c r="AH1780" s="12">
        <v>1839</v>
      </c>
      <c r="AI1780" s="12" t="str">
        <f t="shared" si="349"/>
        <v>1839</v>
      </c>
      <c r="AJ1780" s="12"/>
      <c r="AK1780" s="12" t="s">
        <v>2877</v>
      </c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  <c r="BO1780" s="12"/>
      <c r="BP1780" s="12"/>
      <c r="BQ1780" s="12"/>
      <c r="BR1780" s="12"/>
      <c r="BS1780" s="12"/>
      <c r="BT1780" s="12"/>
      <c r="BU1780" s="12"/>
      <c r="BV1780" s="12"/>
      <c r="BW1780" s="12"/>
      <c r="BX1780" s="12"/>
      <c r="BY1780" s="12"/>
      <c r="BZ1780" s="12"/>
      <c r="CA1780" s="12"/>
      <c r="CB1780" s="12"/>
      <c r="CC1780" s="12"/>
      <c r="CD1780" s="12"/>
    </row>
    <row r="1781" spans="1:82">
      <c r="A1781" s="13" t="s">
        <v>1824</v>
      </c>
      <c r="B1781" s="12" t="str">
        <f t="shared" si="341"/>
        <v>SWANEPOEL</v>
      </c>
      <c r="C1781" s="12" t="str">
        <f t="shared" si="342"/>
        <v>SWANEPOEL</v>
      </c>
      <c r="D1781" s="12" t="s">
        <v>13642</v>
      </c>
      <c r="E1781" s="12" t="str">
        <f t="shared" si="340"/>
        <v>Jacobus Johannes (Blou Koos)</v>
      </c>
      <c r="F1781" s="12" t="s">
        <v>1913</v>
      </c>
      <c r="G1781" s="12" t="str">
        <f t="shared" si="343"/>
        <v>a1b6c6d1</v>
      </c>
      <c r="H1781" s="12" t="str">
        <f t="shared" si="344"/>
        <v>SWANEPOELa1b6c6d1</v>
      </c>
      <c r="I1781" s="12" t="s">
        <v>32</v>
      </c>
      <c r="J1781" s="12" t="s">
        <v>13643</v>
      </c>
      <c r="K1781" s="12" t="str">
        <f t="shared" si="345"/>
        <v>1784</v>
      </c>
      <c r="L1781" s="12" t="s">
        <v>1071</v>
      </c>
      <c r="M1781" s="12" t="s">
        <v>13644</v>
      </c>
      <c r="N1781" s="12" t="str">
        <f t="shared" si="338"/>
        <v>1784</v>
      </c>
      <c r="O1781" s="12" t="str">
        <f t="shared" si="339"/>
        <v>1785</v>
      </c>
      <c r="P1781" s="12" t="s">
        <v>1289</v>
      </c>
      <c r="Q1781" s="12" t="str">
        <f t="shared" si="346"/>
        <v>1784</v>
      </c>
      <c r="R1781" s="12" t="s">
        <v>13645</v>
      </c>
      <c r="S1781" s="12" t="str">
        <f t="shared" si="347"/>
        <v>1871</v>
      </c>
      <c r="T1781" s="12" t="s">
        <v>74</v>
      </c>
      <c r="U1781" s="12" t="s">
        <v>13646</v>
      </c>
      <c r="V1781" s="12" t="str">
        <f t="shared" si="348"/>
        <v>1809</v>
      </c>
      <c r="W1781" s="12" t="s">
        <v>13647</v>
      </c>
      <c r="X1781" s="12" t="s">
        <v>2073</v>
      </c>
      <c r="Y1781" s="12"/>
      <c r="Z1781" s="12" t="s">
        <v>74</v>
      </c>
      <c r="AA1781" s="12"/>
      <c r="AB1781" s="12"/>
      <c r="AC1781" s="12" t="s">
        <v>4313</v>
      </c>
      <c r="AD1781" s="12" t="s">
        <v>1289</v>
      </c>
      <c r="AE1781" s="12">
        <v>1867</v>
      </c>
      <c r="AF1781" s="12" t="s">
        <v>3698</v>
      </c>
      <c r="AG1781" s="12" t="s">
        <v>53</v>
      </c>
      <c r="AH1781" s="12">
        <v>1839</v>
      </c>
      <c r="AI1781" s="12" t="str">
        <f t="shared" si="349"/>
        <v>1839</v>
      </c>
      <c r="AJ1781" s="12"/>
      <c r="AK1781" s="12" t="s">
        <v>551</v>
      </c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  <c r="BO1781" s="12"/>
      <c r="BP1781" s="12"/>
      <c r="BQ1781" s="12"/>
      <c r="BR1781" s="12"/>
      <c r="BS1781" s="12"/>
      <c r="BT1781" s="12"/>
      <c r="BU1781" s="12"/>
      <c r="BV1781" s="12"/>
      <c r="BW1781" s="12"/>
      <c r="BX1781" s="12"/>
      <c r="BY1781" s="12"/>
      <c r="BZ1781" s="12"/>
      <c r="CA1781" s="12"/>
      <c r="CB1781" s="12"/>
      <c r="CC1781" s="12"/>
      <c r="CD1781" s="12"/>
    </row>
    <row r="1782" spans="1:82">
      <c r="A1782" s="13" t="s">
        <v>1824</v>
      </c>
      <c r="B1782" s="12" t="str">
        <f t="shared" si="341"/>
        <v>SWANEPOEL</v>
      </c>
      <c r="C1782" s="12" t="str">
        <f t="shared" si="342"/>
        <v>SWANEPOEL</v>
      </c>
      <c r="D1782" s="12" t="s">
        <v>13693</v>
      </c>
      <c r="E1782" s="12" t="str">
        <f t="shared" si="340"/>
        <v>Philippus Johannes Cornelis</v>
      </c>
      <c r="F1782" s="12" t="s">
        <v>13694</v>
      </c>
      <c r="G1782" s="12" t="str">
        <f t="shared" si="343"/>
        <v>a1b6c6d1e5</v>
      </c>
      <c r="H1782" s="12" t="str">
        <f t="shared" si="344"/>
        <v>SWANEPOELa1b6c6d1e5</v>
      </c>
      <c r="I1782" s="12" t="s">
        <v>53</v>
      </c>
      <c r="J1782" s="12" t="s">
        <v>13695</v>
      </c>
      <c r="K1782" s="12" t="str">
        <f t="shared" si="345"/>
        <v>1815</v>
      </c>
      <c r="L1782" s="12" t="s">
        <v>74</v>
      </c>
      <c r="M1782" s="12" t="s">
        <v>7463</v>
      </c>
      <c r="N1782" s="12" t="str">
        <f t="shared" si="338"/>
        <v>1815</v>
      </c>
      <c r="O1782" s="12" t="str">
        <f t="shared" si="339"/>
        <v>1816</v>
      </c>
      <c r="P1782" s="12" t="s">
        <v>1289</v>
      </c>
      <c r="Q1782" s="12" t="str">
        <f t="shared" si="346"/>
        <v>1815</v>
      </c>
      <c r="R1782" s="12" t="s">
        <v>9756</v>
      </c>
      <c r="S1782" s="12" t="str">
        <f t="shared" si="347"/>
        <v>1899</v>
      </c>
      <c r="T1782" s="12" t="s">
        <v>28</v>
      </c>
      <c r="U1782" s="12" t="s">
        <v>173</v>
      </c>
      <c r="V1782" s="12" t="str">
        <f t="shared" si="348"/>
        <v>1838</v>
      </c>
      <c r="W1782" s="12" t="s">
        <v>7314</v>
      </c>
      <c r="X1782" s="12" t="s">
        <v>657</v>
      </c>
      <c r="Y1782" s="12"/>
      <c r="Z1782" s="12"/>
      <c r="AA1782" s="12" t="s">
        <v>13696</v>
      </c>
      <c r="AB1782" s="12" t="s">
        <v>74</v>
      </c>
      <c r="AC1782" s="12" t="s">
        <v>4223</v>
      </c>
      <c r="AD1782" s="12" t="s">
        <v>1289</v>
      </c>
      <c r="AE1782" s="12" t="s">
        <v>13697</v>
      </c>
      <c r="AF1782" s="12" t="s">
        <v>16</v>
      </c>
      <c r="AG1782" s="12" t="s">
        <v>68</v>
      </c>
      <c r="AH1782" s="12" t="s">
        <v>13698</v>
      </c>
      <c r="AI1782" s="12" t="str">
        <f t="shared" si="349"/>
        <v>1839</v>
      </c>
      <c r="AJ1782" s="12"/>
      <c r="AK1782" s="12" t="s">
        <v>1289</v>
      </c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  <c r="BO1782" s="12"/>
      <c r="BP1782" s="12"/>
      <c r="BQ1782" s="12"/>
      <c r="BR1782" s="12"/>
      <c r="BS1782" s="12"/>
      <c r="BT1782" s="12"/>
      <c r="BU1782" s="12"/>
      <c r="BV1782" s="12"/>
      <c r="BW1782" s="12"/>
      <c r="BX1782" s="12"/>
      <c r="BY1782" s="12"/>
      <c r="BZ1782" s="12"/>
      <c r="CA1782" s="12"/>
      <c r="CB1782" s="12"/>
      <c r="CC1782" s="12"/>
      <c r="CD1782" s="12"/>
    </row>
    <row r="1783" spans="1:82">
      <c r="A1783" s="13" t="s">
        <v>1824</v>
      </c>
      <c r="B1783" s="12" t="str">
        <f t="shared" si="341"/>
        <v>SWANEPOEL</v>
      </c>
      <c r="C1783" s="12" t="str">
        <f t="shared" si="342"/>
        <v>SWANEPOEL</v>
      </c>
      <c r="D1783" s="12" t="s">
        <v>2253</v>
      </c>
      <c r="E1783" s="12" t="str">
        <f t="shared" si="340"/>
        <v>Johannes Jacobus</v>
      </c>
      <c r="F1783" s="12" t="s">
        <v>13659</v>
      </c>
      <c r="G1783" s="12" t="str">
        <f t="shared" si="343"/>
        <v>a1b6c6d1e6</v>
      </c>
      <c r="H1783" s="12" t="str">
        <f t="shared" si="344"/>
        <v>SWANEPOELa1b6c6d1e6</v>
      </c>
      <c r="I1783" s="12" t="s">
        <v>366</v>
      </c>
      <c r="J1783" s="12" t="s">
        <v>11490</v>
      </c>
      <c r="K1783" s="12" t="str">
        <f t="shared" si="345"/>
        <v>1817</v>
      </c>
      <c r="L1783" s="12" t="s">
        <v>74</v>
      </c>
      <c r="M1783" s="12" t="s">
        <v>13660</v>
      </c>
      <c r="N1783" s="12" t="str">
        <f t="shared" si="338"/>
        <v>1817</v>
      </c>
      <c r="O1783" s="12" t="str">
        <f t="shared" si="339"/>
        <v>1818</v>
      </c>
      <c r="P1783" s="12" t="s">
        <v>24</v>
      </c>
      <c r="Q1783" s="12" t="str">
        <f t="shared" si="346"/>
        <v>1817</v>
      </c>
      <c r="R1783" s="12" t="s">
        <v>13661</v>
      </c>
      <c r="S1783" s="12" t="str">
        <f t="shared" si="347"/>
        <v>1886</v>
      </c>
      <c r="T1783" s="12" t="s">
        <v>28</v>
      </c>
      <c r="U1783" s="12" t="s">
        <v>13662</v>
      </c>
      <c r="V1783" s="12" t="str">
        <f t="shared" si="348"/>
        <v>1841</v>
      </c>
      <c r="W1783" s="12" t="s">
        <v>13663</v>
      </c>
      <c r="X1783" s="12" t="s">
        <v>697</v>
      </c>
      <c r="Y1783" s="12"/>
      <c r="Z1783" s="12"/>
      <c r="AA1783" s="12">
        <v>1794</v>
      </c>
      <c r="AB1783" s="12"/>
      <c r="AC1783" s="12" t="s">
        <v>5063</v>
      </c>
      <c r="AD1783" s="12" t="s">
        <v>24</v>
      </c>
      <c r="AE1783" s="12" t="s">
        <v>13664</v>
      </c>
      <c r="AF1783" s="12" t="s">
        <v>16</v>
      </c>
      <c r="AG1783" s="12" t="s">
        <v>68</v>
      </c>
      <c r="AH1783" s="12">
        <v>1839</v>
      </c>
      <c r="AI1783" s="12" t="str">
        <f t="shared" si="349"/>
        <v>1839</v>
      </c>
      <c r="AJ1783" s="12"/>
      <c r="AK1783" s="12" t="s">
        <v>13665</v>
      </c>
      <c r="AL1783" s="12" t="s">
        <v>24</v>
      </c>
      <c r="AM1783" s="12" t="s">
        <v>13666</v>
      </c>
      <c r="AN1783" s="12" t="s">
        <v>714</v>
      </c>
      <c r="AO1783" s="12" t="s">
        <v>640</v>
      </c>
      <c r="AP1783" s="12"/>
      <c r="AQ1783" s="12"/>
      <c r="AR1783" s="12">
        <v>1857</v>
      </c>
      <c r="AS1783" s="12"/>
      <c r="AT1783" s="12"/>
      <c r="AU1783" s="12" t="s">
        <v>24</v>
      </c>
      <c r="AV1783" s="12">
        <v>1886</v>
      </c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  <c r="BO1783" s="12"/>
      <c r="BP1783" s="12"/>
      <c r="BQ1783" s="12"/>
      <c r="BR1783" s="12"/>
      <c r="BS1783" s="12"/>
      <c r="BT1783" s="12"/>
      <c r="BU1783" s="12"/>
      <c r="BV1783" s="12"/>
      <c r="BW1783" s="12"/>
      <c r="BX1783" s="12"/>
      <c r="BY1783" s="12"/>
      <c r="BZ1783" s="12"/>
      <c r="CA1783" s="12"/>
      <c r="CB1783" s="12"/>
      <c r="CC1783" s="12"/>
      <c r="CD1783" s="12"/>
    </row>
    <row r="1784" spans="1:82">
      <c r="A1784" s="13" t="s">
        <v>1824</v>
      </c>
      <c r="B1784" s="12" t="str">
        <f t="shared" si="341"/>
        <v>SWANEPOEL</v>
      </c>
      <c r="C1784" s="12" t="str">
        <f t="shared" si="342"/>
        <v>SWANEPOEL</v>
      </c>
      <c r="D1784" s="12" t="s">
        <v>13710</v>
      </c>
      <c r="E1784" s="12" t="str">
        <f t="shared" si="340"/>
        <v>Pieter Frederik Reinier</v>
      </c>
      <c r="F1784" s="12" t="s">
        <v>13711</v>
      </c>
      <c r="G1784" s="12" t="str">
        <f t="shared" si="343"/>
        <v>a1b6c6d1e7</v>
      </c>
      <c r="H1784" s="12" t="str">
        <f t="shared" si="344"/>
        <v>SWANEPOELa1b6c6d1e7</v>
      </c>
      <c r="I1784" s="12"/>
      <c r="J1784" s="12" t="s">
        <v>13712</v>
      </c>
      <c r="K1784" s="12" t="str">
        <f t="shared" si="345"/>
        <v>1819</v>
      </c>
      <c r="L1784" s="12" t="s">
        <v>366</v>
      </c>
      <c r="M1784" s="12" t="s">
        <v>2275</v>
      </c>
      <c r="N1784" s="12" t="str">
        <f t="shared" si="338"/>
        <v>1819</v>
      </c>
      <c r="O1784" s="12" t="str">
        <f t="shared" si="339"/>
        <v>1819</v>
      </c>
      <c r="P1784" s="12" t="s">
        <v>1289</v>
      </c>
      <c r="Q1784" s="12" t="str">
        <f t="shared" si="346"/>
        <v>1819</v>
      </c>
      <c r="R1784" s="12" t="s">
        <v>13713</v>
      </c>
      <c r="S1784" s="12" t="str">
        <f t="shared" si="347"/>
        <v>1882</v>
      </c>
      <c r="T1784" s="12" t="s">
        <v>28</v>
      </c>
      <c r="U1784" s="12" t="s">
        <v>13714</v>
      </c>
      <c r="V1784" s="12" t="str">
        <f t="shared" si="348"/>
        <v>1845</v>
      </c>
      <c r="W1784" s="12" t="s">
        <v>1387</v>
      </c>
      <c r="X1784" s="12" t="s">
        <v>657</v>
      </c>
      <c r="Y1784" s="12"/>
      <c r="Z1784" s="12"/>
      <c r="AA1784" s="12" t="s">
        <v>13715</v>
      </c>
      <c r="AB1784" s="12"/>
      <c r="AC1784" s="12"/>
      <c r="AD1784" s="12" t="s">
        <v>1289</v>
      </c>
      <c r="AE1784" s="12" t="s">
        <v>13716</v>
      </c>
      <c r="AF1784" s="12" t="s">
        <v>16</v>
      </c>
      <c r="AG1784" s="12" t="s">
        <v>68</v>
      </c>
      <c r="AH1784" s="12">
        <v>1839</v>
      </c>
      <c r="AI1784" s="12" t="str">
        <f t="shared" si="349"/>
        <v>1839</v>
      </c>
      <c r="AJ1784" s="12"/>
      <c r="AK1784" s="12" t="s">
        <v>1289</v>
      </c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  <c r="BO1784" s="12"/>
      <c r="BP1784" s="12"/>
      <c r="BQ1784" s="12"/>
      <c r="BR1784" s="12"/>
      <c r="BS1784" s="12"/>
      <c r="BT1784" s="12"/>
      <c r="BU1784" s="12"/>
      <c r="BV1784" s="12"/>
      <c r="BW1784" s="12"/>
      <c r="BX1784" s="12"/>
      <c r="BY1784" s="12"/>
      <c r="BZ1784" s="12"/>
      <c r="CA1784" s="12"/>
      <c r="CB1784" s="12"/>
      <c r="CC1784" s="12"/>
      <c r="CD1784" s="12"/>
    </row>
    <row r="1785" spans="1:82">
      <c r="A1785" s="13" t="s">
        <v>1824</v>
      </c>
      <c r="B1785" s="12" t="str">
        <f t="shared" si="341"/>
        <v>SWANEPOEL</v>
      </c>
      <c r="C1785" s="12" t="str">
        <f t="shared" si="342"/>
        <v>SWANEPOEL</v>
      </c>
      <c r="D1785" s="12" t="s">
        <v>201</v>
      </c>
      <c r="E1785" s="12" t="str">
        <f t="shared" si="340"/>
        <v>Petrus Johannes</v>
      </c>
      <c r="F1785" s="12" t="s">
        <v>13685</v>
      </c>
      <c r="G1785" s="12" t="str">
        <f t="shared" si="343"/>
        <v>a1b6c6d6e1</v>
      </c>
      <c r="H1785" s="12" t="str">
        <f t="shared" si="344"/>
        <v>SWANEPOELa1b6c6d6e1</v>
      </c>
      <c r="I1785" s="12"/>
      <c r="J1785" s="12" t="s">
        <v>13686</v>
      </c>
      <c r="K1785" s="12" t="str">
        <f t="shared" si="345"/>
        <v>1816</v>
      </c>
      <c r="L1785" s="12" t="s">
        <v>199</v>
      </c>
      <c r="M1785" s="12" t="s">
        <v>13687</v>
      </c>
      <c r="N1785" s="12" t="str">
        <f t="shared" si="338"/>
        <v>1816</v>
      </c>
      <c r="O1785" s="12" t="str">
        <f t="shared" si="339"/>
        <v>1817</v>
      </c>
      <c r="P1785" s="12" t="s">
        <v>1289</v>
      </c>
      <c r="Q1785" s="12" t="str">
        <f t="shared" si="346"/>
        <v>1816</v>
      </c>
      <c r="R1785" s="12" t="s">
        <v>13688</v>
      </c>
      <c r="S1785" s="12" t="str">
        <f t="shared" si="347"/>
        <v>1899</v>
      </c>
      <c r="T1785" s="12" t="s">
        <v>60</v>
      </c>
      <c r="U1785" s="12" t="s">
        <v>13689</v>
      </c>
      <c r="V1785" s="12" t="str">
        <f t="shared" si="348"/>
        <v>1840</v>
      </c>
      <c r="W1785" s="12" t="s">
        <v>13690</v>
      </c>
      <c r="X1785" s="12" t="s">
        <v>13691</v>
      </c>
      <c r="Y1785" s="12"/>
      <c r="Z1785" s="12"/>
      <c r="AA1785" s="12">
        <v>1836</v>
      </c>
      <c r="AB1785" s="12"/>
      <c r="AC1785" s="12"/>
      <c r="AD1785" s="12"/>
      <c r="AE1785" s="12"/>
      <c r="AF1785" s="12" t="s">
        <v>13692</v>
      </c>
      <c r="AG1785" s="12" t="s">
        <v>60</v>
      </c>
      <c r="AH1785" s="12" t="s">
        <v>13599</v>
      </c>
      <c r="AI1785" s="12" t="str">
        <f t="shared" si="349"/>
        <v>1844</v>
      </c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  <c r="BO1785" s="12"/>
      <c r="BP1785" s="12"/>
      <c r="BQ1785" s="12"/>
      <c r="BR1785" s="12"/>
      <c r="BS1785" s="12"/>
      <c r="BT1785" s="12"/>
      <c r="BU1785" s="12"/>
      <c r="BV1785" s="12"/>
      <c r="BW1785" s="12"/>
      <c r="BX1785" s="12"/>
      <c r="BY1785" s="12"/>
      <c r="BZ1785" s="12"/>
      <c r="CA1785" s="12"/>
      <c r="CB1785" s="12"/>
      <c r="CC1785" s="12"/>
      <c r="CD1785" s="12"/>
    </row>
    <row r="1786" spans="1:82">
      <c r="A1786" s="13" t="s">
        <v>1824</v>
      </c>
      <c r="B1786" s="12" t="str">
        <f t="shared" si="341"/>
        <v>SWANEPOEL</v>
      </c>
      <c r="C1786" s="12" t="str">
        <f t="shared" si="342"/>
        <v>SWANEPOEL</v>
      </c>
      <c r="D1786" s="12" t="s">
        <v>11978</v>
      </c>
      <c r="E1786" s="12" t="str">
        <f t="shared" si="340"/>
        <v>Adam Johannes</v>
      </c>
      <c r="F1786" s="12" t="s">
        <v>11709</v>
      </c>
      <c r="G1786" s="12" t="str">
        <f t="shared" si="343"/>
        <v>a1b7c2d3e2</v>
      </c>
      <c r="H1786" s="12" t="str">
        <f t="shared" si="344"/>
        <v>SWANEPOELa1b7c2d3e2</v>
      </c>
      <c r="I1786" s="12" t="s">
        <v>3720</v>
      </c>
      <c r="J1786" s="12" t="s">
        <v>13595</v>
      </c>
      <c r="K1786" s="12" t="str">
        <f t="shared" si="345"/>
        <v>1812</v>
      </c>
      <c r="L1786" s="12" t="s">
        <v>74</v>
      </c>
      <c r="M1786" s="12" t="s">
        <v>4663</v>
      </c>
      <c r="N1786" s="12" t="str">
        <f t="shared" si="338"/>
        <v>1812</v>
      </c>
      <c r="O1786" s="12" t="str">
        <f t="shared" si="339"/>
        <v>1812</v>
      </c>
      <c r="P1786" s="12" t="s">
        <v>1289</v>
      </c>
      <c r="Q1786" s="12" t="str">
        <f t="shared" si="346"/>
        <v>1812</v>
      </c>
      <c r="R1786" s="12" t="s">
        <v>13596</v>
      </c>
      <c r="S1786" s="12" t="str">
        <f t="shared" si="347"/>
        <v>1876</v>
      </c>
      <c r="T1786" s="12" t="s">
        <v>74</v>
      </c>
      <c r="U1786" s="12" t="s">
        <v>246</v>
      </c>
      <c r="V1786" s="12" t="str">
        <f t="shared" si="348"/>
        <v>1823</v>
      </c>
      <c r="W1786" s="12" t="s">
        <v>1943</v>
      </c>
      <c r="X1786" s="12" t="s">
        <v>3657</v>
      </c>
      <c r="Y1786" s="12"/>
      <c r="Z1786" s="12" t="s">
        <v>13597</v>
      </c>
      <c r="AA1786" s="12" t="s">
        <v>13598</v>
      </c>
      <c r="AB1786" s="12" t="s">
        <v>74</v>
      </c>
      <c r="AC1786" s="12" t="s">
        <v>3072</v>
      </c>
      <c r="AD1786" s="12"/>
      <c r="AE1786" s="12"/>
      <c r="AF1786" s="12"/>
      <c r="AG1786" s="12" t="s">
        <v>60</v>
      </c>
      <c r="AH1786" s="12" t="s">
        <v>13599</v>
      </c>
      <c r="AI1786" s="12" t="str">
        <f t="shared" si="349"/>
        <v>1844</v>
      </c>
      <c r="AJ1786" s="12"/>
      <c r="AK1786" s="12" t="s">
        <v>1289</v>
      </c>
      <c r="AL1786" s="12" t="s">
        <v>2877</v>
      </c>
      <c r="AM1786" s="12" t="s">
        <v>13600</v>
      </c>
      <c r="AN1786" s="12" t="s">
        <v>13601</v>
      </c>
      <c r="AO1786" s="12" t="s">
        <v>6072</v>
      </c>
      <c r="AP1786" s="12"/>
      <c r="AQ1786" s="12"/>
      <c r="AR1786" s="12">
        <v>1845</v>
      </c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  <c r="BO1786" s="12"/>
      <c r="BP1786" s="12"/>
      <c r="BQ1786" s="12"/>
      <c r="BR1786" s="12"/>
      <c r="BS1786" s="12"/>
      <c r="BT1786" s="12"/>
      <c r="BU1786" s="12"/>
      <c r="BV1786" s="12"/>
      <c r="BW1786" s="12"/>
      <c r="BX1786" s="12"/>
      <c r="BY1786" s="12"/>
      <c r="BZ1786" s="12"/>
      <c r="CA1786" s="12"/>
      <c r="CB1786" s="12"/>
      <c r="CC1786" s="12"/>
      <c r="CD1786" s="12"/>
    </row>
    <row r="1787" spans="1:82">
      <c r="A1787" s="13" t="s">
        <v>1824</v>
      </c>
      <c r="B1787" s="12" t="str">
        <f t="shared" si="341"/>
        <v>SWANEPOEL</v>
      </c>
      <c r="C1787" s="12" t="str">
        <f t="shared" si="342"/>
        <v>SWANEPOEL</v>
      </c>
      <c r="D1787" s="12" t="s">
        <v>13725</v>
      </c>
      <c r="E1787" s="12" t="str">
        <f t="shared" si="340"/>
        <v>Stephanus Johannes Marthinus</v>
      </c>
      <c r="F1787" s="12" t="s">
        <v>13740</v>
      </c>
      <c r="G1787" s="12" t="str">
        <f t="shared" si="343"/>
        <v>a1b7c2d3e7</v>
      </c>
      <c r="H1787" s="12" t="str">
        <f t="shared" si="344"/>
        <v>SWANEPOELa1b7c2d3e7</v>
      </c>
      <c r="I1787" s="12"/>
      <c r="J1787" s="12" t="s">
        <v>13741</v>
      </c>
      <c r="K1787" s="12" t="str">
        <f t="shared" si="345"/>
        <v>1821</v>
      </c>
      <c r="L1787" s="12" t="s">
        <v>53</v>
      </c>
      <c r="M1787" s="12" t="s">
        <v>5015</v>
      </c>
      <c r="N1787" s="12" t="str">
        <f t="shared" si="338"/>
        <v>1821</v>
      </c>
      <c r="O1787" s="12" t="str">
        <f t="shared" si="339"/>
        <v>1821</v>
      </c>
      <c r="P1787" s="12" t="s">
        <v>81</v>
      </c>
      <c r="Q1787" s="12" t="str">
        <f t="shared" si="346"/>
        <v>1821</v>
      </c>
      <c r="R1787" s="12" t="s">
        <v>13742</v>
      </c>
      <c r="S1787" s="12" t="str">
        <f t="shared" si="347"/>
        <v>1897</v>
      </c>
      <c r="T1787" s="12" t="s">
        <v>28</v>
      </c>
      <c r="U1787" s="12" t="s">
        <v>13743</v>
      </c>
      <c r="V1787" s="12" t="str">
        <f t="shared" si="348"/>
        <v>1840</v>
      </c>
      <c r="W1787" s="12" t="s">
        <v>13744</v>
      </c>
      <c r="X1787" s="12" t="s">
        <v>1136</v>
      </c>
      <c r="Y1787" s="12" t="s">
        <v>13745</v>
      </c>
      <c r="Z1787" s="12"/>
      <c r="AA1787" s="12" t="s">
        <v>10445</v>
      </c>
      <c r="AB1787" s="12" t="s">
        <v>74</v>
      </c>
      <c r="AC1787" s="12"/>
      <c r="AD1787" s="12" t="s">
        <v>81</v>
      </c>
      <c r="AE1787" s="12" t="s">
        <v>13746</v>
      </c>
      <c r="AF1787" s="12"/>
      <c r="AG1787" s="12" t="s">
        <v>28</v>
      </c>
      <c r="AH1787" s="12" t="s">
        <v>13747</v>
      </c>
      <c r="AI1787" s="12" t="str">
        <f t="shared" si="349"/>
        <v>1845</v>
      </c>
      <c r="AJ1787" s="12"/>
      <c r="AK1787" s="12" t="s">
        <v>81</v>
      </c>
      <c r="AL1787" s="12"/>
      <c r="AM1787" s="12">
        <v>1889</v>
      </c>
      <c r="AN1787" s="12" t="s">
        <v>11712</v>
      </c>
      <c r="AO1787" s="12" t="s">
        <v>669</v>
      </c>
      <c r="AP1787" s="12"/>
      <c r="AQ1787" s="12"/>
      <c r="AR1787" s="12">
        <v>1835</v>
      </c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  <c r="BO1787" s="12"/>
      <c r="BP1787" s="12"/>
      <c r="BQ1787" s="12"/>
      <c r="BR1787" s="12"/>
      <c r="BS1787" s="12"/>
      <c r="BT1787" s="12"/>
      <c r="BU1787" s="12"/>
      <c r="BV1787" s="12"/>
      <c r="BW1787" s="12"/>
      <c r="BX1787" s="12"/>
      <c r="BY1787" s="12"/>
      <c r="BZ1787" s="12"/>
      <c r="CA1787" s="12"/>
      <c r="CB1787" s="12"/>
      <c r="CC1787" s="12"/>
      <c r="CD1787" s="12"/>
    </row>
    <row r="1788" spans="1:82">
      <c r="A1788" s="13" t="s">
        <v>1824</v>
      </c>
      <c r="B1788" s="12" t="str">
        <f t="shared" si="341"/>
        <v>SWANEPOEL</v>
      </c>
      <c r="C1788" s="12" t="str">
        <f t="shared" si="342"/>
        <v>SWANEPOEL</v>
      </c>
      <c r="D1788" s="12" t="s">
        <v>7540</v>
      </c>
      <c r="E1788" s="12" t="str">
        <f t="shared" si="340"/>
        <v>Petrus Cornelis</v>
      </c>
      <c r="F1788" s="12" t="s">
        <v>13672</v>
      </c>
      <c r="G1788" s="12" t="str">
        <f t="shared" si="343"/>
        <v>a1b7c2d3e8</v>
      </c>
      <c r="H1788" s="12" t="str">
        <f t="shared" si="344"/>
        <v>SWANEPOELa1b7c2d3e8</v>
      </c>
      <c r="I1788" s="12"/>
      <c r="J1788" s="12" t="s">
        <v>13673</v>
      </c>
      <c r="K1788" s="12" t="str">
        <f t="shared" si="345"/>
        <v>1823</v>
      </c>
      <c r="L1788" s="12" t="s">
        <v>74</v>
      </c>
      <c r="M1788" s="12" t="s">
        <v>1658</v>
      </c>
      <c r="N1788" s="12" t="str">
        <f t="shared" si="338"/>
        <v>1823</v>
      </c>
      <c r="O1788" s="12" t="str">
        <f t="shared" si="339"/>
        <v>1823</v>
      </c>
      <c r="P1788" s="12" t="s">
        <v>9326</v>
      </c>
      <c r="Q1788" s="12" t="str">
        <f t="shared" si="346"/>
        <v>1823</v>
      </c>
      <c r="R1788" s="12" t="s">
        <v>13674</v>
      </c>
      <c r="S1788" s="12" t="str">
        <f t="shared" si="347"/>
        <v>1889</v>
      </c>
      <c r="T1788" s="12" t="s">
        <v>60</v>
      </c>
      <c r="U1788" s="12" t="s">
        <v>13675</v>
      </c>
      <c r="V1788" s="12" t="str">
        <f t="shared" si="348"/>
        <v>1843</v>
      </c>
      <c r="W1788" s="12" t="s">
        <v>13676</v>
      </c>
      <c r="X1788" s="12" t="s">
        <v>3657</v>
      </c>
      <c r="Y1788" s="12"/>
      <c r="Z1788" s="12"/>
      <c r="AA1788" s="12" t="s">
        <v>13677</v>
      </c>
      <c r="AB1788" s="12"/>
      <c r="AC1788" s="12"/>
      <c r="AD1788" s="12" t="s">
        <v>3821</v>
      </c>
      <c r="AE1788" s="12" t="s">
        <v>13678</v>
      </c>
      <c r="AF1788" s="12" t="s">
        <v>3723</v>
      </c>
      <c r="AG1788" s="12" t="s">
        <v>60</v>
      </c>
      <c r="AH1788" s="12">
        <v>1845</v>
      </c>
      <c r="AI1788" s="12" t="str">
        <f t="shared" si="349"/>
        <v>1845</v>
      </c>
      <c r="AJ1788" s="12"/>
      <c r="AK1788" s="12" t="s">
        <v>2877</v>
      </c>
      <c r="AL1788" s="12" t="s">
        <v>3821</v>
      </c>
      <c r="AM1788" s="12" t="s">
        <v>13679</v>
      </c>
      <c r="AN1788" s="12" t="s">
        <v>4499</v>
      </c>
      <c r="AO1788" s="12" t="s">
        <v>3115</v>
      </c>
      <c r="AP1788" s="12"/>
      <c r="AQ1788" s="12" t="s">
        <v>68</v>
      </c>
      <c r="AR1788" s="12" t="s">
        <v>13680</v>
      </c>
      <c r="AS1788" s="12" t="s">
        <v>68</v>
      </c>
      <c r="AT1788" s="12" t="s">
        <v>13681</v>
      </c>
      <c r="AU1788" s="12" t="s">
        <v>2877</v>
      </c>
      <c r="AV1788" s="12" t="s">
        <v>13682</v>
      </c>
      <c r="AW1788" s="12"/>
      <c r="AX1788" s="12">
        <v>1882</v>
      </c>
      <c r="AY1788" s="12" t="s">
        <v>5712</v>
      </c>
      <c r="AZ1788" s="12" t="s">
        <v>629</v>
      </c>
      <c r="BA1788" s="12"/>
      <c r="BB1788" s="12" t="s">
        <v>3720</v>
      </c>
      <c r="BC1788" s="12" t="s">
        <v>13683</v>
      </c>
      <c r="BD1788" s="12"/>
      <c r="BE1788" s="12"/>
      <c r="BF1788" s="12" t="s">
        <v>13684</v>
      </c>
      <c r="BG1788" s="12"/>
      <c r="BH1788" s="12"/>
      <c r="BI1788" s="12">
        <v>1883</v>
      </c>
      <c r="BJ1788" s="12" t="s">
        <v>708</v>
      </c>
      <c r="BK1788" s="12" t="s">
        <v>755</v>
      </c>
      <c r="BL1788" s="12"/>
      <c r="BM1788" s="12">
        <v>1825</v>
      </c>
      <c r="BN1788" s="12"/>
      <c r="BO1788" s="12"/>
      <c r="BP1788" s="12"/>
      <c r="BQ1788" s="12"/>
      <c r="BR1788" s="12"/>
      <c r="BS1788" s="12"/>
      <c r="BT1788" s="12"/>
      <c r="BU1788" s="12"/>
      <c r="BV1788" s="12"/>
      <c r="BW1788" s="12"/>
      <c r="BX1788" s="12"/>
      <c r="BY1788" s="12"/>
      <c r="BZ1788" s="12"/>
      <c r="CA1788" s="12"/>
      <c r="CB1788" s="12"/>
      <c r="CC1788" s="12"/>
      <c r="CD1788" s="12"/>
    </row>
    <row r="1789" spans="1:82">
      <c r="A1789" s="13" t="s">
        <v>1824</v>
      </c>
      <c r="B1789" s="12" t="str">
        <f t="shared" si="341"/>
        <v>SWANEPOEL</v>
      </c>
      <c r="C1789" s="12" t="str">
        <f t="shared" si="342"/>
        <v>SWANEPOEL</v>
      </c>
      <c r="D1789" s="12" t="s">
        <v>13725</v>
      </c>
      <c r="E1789" s="12" t="str">
        <f t="shared" si="340"/>
        <v>Stephanus Johannes Marthinus</v>
      </c>
      <c r="F1789" s="12" t="s">
        <v>3534</v>
      </c>
      <c r="G1789" s="12" t="str">
        <f t="shared" si="343"/>
        <v>a1b7c2d5</v>
      </c>
      <c r="H1789" s="12" t="str">
        <f t="shared" si="344"/>
        <v>SWANEPOELa1b7c2d5</v>
      </c>
      <c r="I1789" s="12"/>
      <c r="J1789" s="12" t="s">
        <v>13726</v>
      </c>
      <c r="K1789" s="12" t="str">
        <f t="shared" si="345"/>
        <v>1792</v>
      </c>
      <c r="L1789" s="12"/>
      <c r="M1789" s="12" t="s">
        <v>13727</v>
      </c>
      <c r="N1789" s="12" t="str">
        <f t="shared" si="338"/>
        <v>1792</v>
      </c>
      <c r="O1789" s="12" t="str">
        <f t="shared" si="339"/>
        <v>1793</v>
      </c>
      <c r="P1789" s="12" t="s">
        <v>13728</v>
      </c>
      <c r="Q1789" s="12" t="str">
        <f t="shared" si="346"/>
        <v>1792</v>
      </c>
      <c r="R1789" s="12" t="s">
        <v>13729</v>
      </c>
      <c r="S1789" s="12" t="str">
        <f t="shared" si="347"/>
        <v>1866</v>
      </c>
      <c r="T1789" s="12" t="s">
        <v>74</v>
      </c>
      <c r="U1789" s="12" t="s">
        <v>8381</v>
      </c>
      <c r="V1789" s="12" t="str">
        <f t="shared" si="348"/>
        <v>1815</v>
      </c>
      <c r="W1789" s="12" t="s">
        <v>13730</v>
      </c>
      <c r="X1789" s="12" t="s">
        <v>13731</v>
      </c>
      <c r="Y1789" s="12"/>
      <c r="Z1789" s="12"/>
      <c r="AA1789" s="12"/>
      <c r="AB1789" s="12"/>
      <c r="AC1789" s="12"/>
      <c r="AD1789" s="12"/>
      <c r="AE1789" s="12">
        <v>1817</v>
      </c>
      <c r="AF1789" s="12"/>
      <c r="AG1789" s="12" t="s">
        <v>28</v>
      </c>
      <c r="AH1789" s="12"/>
      <c r="AI1789" s="12" t="str">
        <f t="shared" si="349"/>
        <v/>
      </c>
      <c r="AJ1789" s="12"/>
      <c r="AK1789" s="12"/>
      <c r="AL1789" s="12" t="s">
        <v>53</v>
      </c>
      <c r="AM1789" s="12" t="s">
        <v>13732</v>
      </c>
      <c r="AN1789" s="12" t="s">
        <v>13733</v>
      </c>
      <c r="AO1789" s="12" t="s">
        <v>661</v>
      </c>
      <c r="AP1789" s="12"/>
      <c r="AQ1789" s="12"/>
      <c r="AR1789" s="12"/>
      <c r="AS1789" s="12"/>
      <c r="AT1789" s="12"/>
      <c r="AU1789" s="12" t="s">
        <v>13728</v>
      </c>
      <c r="AV1789" s="12" t="s">
        <v>9862</v>
      </c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  <c r="BO1789" s="12"/>
      <c r="BP1789" s="12"/>
      <c r="BQ1789" s="12"/>
      <c r="BR1789" s="12"/>
      <c r="BS1789" s="12"/>
      <c r="BT1789" s="12"/>
      <c r="BU1789" s="12"/>
      <c r="BV1789" s="12"/>
      <c r="BW1789" s="12"/>
      <c r="BX1789" s="12"/>
      <c r="BY1789" s="12"/>
      <c r="BZ1789" s="12"/>
      <c r="CA1789" s="12"/>
      <c r="CB1789" s="12"/>
      <c r="CC1789" s="12"/>
      <c r="CD1789" s="12"/>
    </row>
    <row r="1790" spans="1:82">
      <c r="A1790" s="13" t="s">
        <v>1824</v>
      </c>
      <c r="B1790" s="12" t="str">
        <f t="shared" si="341"/>
        <v>SWANEPOEL</v>
      </c>
      <c r="C1790" s="12" t="str">
        <f t="shared" si="342"/>
        <v>SWANEPOEL</v>
      </c>
      <c r="D1790" s="12" t="s">
        <v>13699</v>
      </c>
      <c r="E1790" s="12" t="str">
        <f t="shared" si="340"/>
        <v>Pieter Andries</v>
      </c>
      <c r="F1790" s="12" t="s">
        <v>13089</v>
      </c>
      <c r="G1790" s="12" t="str">
        <f t="shared" si="343"/>
        <v>a1b7c2d5e1</v>
      </c>
      <c r="H1790" s="12" t="str">
        <f t="shared" si="344"/>
        <v>SWANEPOELa1b7c2d5e1</v>
      </c>
      <c r="I1790" s="12"/>
      <c r="J1790" s="12" t="s">
        <v>13707</v>
      </c>
      <c r="K1790" s="12" t="str">
        <f t="shared" si="345"/>
        <v>1815</v>
      </c>
      <c r="L1790" s="12" t="s">
        <v>74</v>
      </c>
      <c r="M1790" s="12" t="s">
        <v>7051</v>
      </c>
      <c r="N1790" s="12" t="str">
        <f t="shared" si="338"/>
        <v>1815</v>
      </c>
      <c r="O1790" s="12" t="str">
        <f t="shared" si="339"/>
        <v>1816</v>
      </c>
      <c r="P1790" s="12" t="s">
        <v>1547</v>
      </c>
      <c r="Q1790" s="12" t="str">
        <f t="shared" si="346"/>
        <v>1815</v>
      </c>
      <c r="R1790" s="12" t="s">
        <v>4420</v>
      </c>
      <c r="S1790" s="12" t="str">
        <f t="shared" si="347"/>
        <v>1892</v>
      </c>
      <c r="T1790" s="12" t="s">
        <v>28</v>
      </c>
      <c r="U1790" s="12" t="s">
        <v>7895</v>
      </c>
      <c r="V1790" s="12" t="str">
        <f t="shared" si="348"/>
        <v>1835</v>
      </c>
      <c r="W1790" s="12" t="s">
        <v>13708</v>
      </c>
      <c r="X1790" s="12" t="s">
        <v>629</v>
      </c>
      <c r="Y1790" s="12"/>
      <c r="Z1790" s="12"/>
      <c r="AA1790" s="12">
        <v>1815</v>
      </c>
      <c r="AB1790" s="12"/>
      <c r="AC1790" s="12"/>
      <c r="AD1790" s="12" t="s">
        <v>1547</v>
      </c>
      <c r="AE1790" s="12" t="s">
        <v>13709</v>
      </c>
      <c r="AF1790" s="12"/>
      <c r="AG1790" s="12" t="s">
        <v>28</v>
      </c>
      <c r="AH1790" s="12">
        <v>1844</v>
      </c>
      <c r="AI1790" s="12" t="str">
        <f t="shared" si="349"/>
        <v>1844</v>
      </c>
      <c r="AJ1790" s="12"/>
      <c r="AK1790" s="12" t="s">
        <v>1547</v>
      </c>
      <c r="AL1790" s="12"/>
      <c r="AM1790" s="12">
        <v>1866</v>
      </c>
      <c r="AN1790" s="12" t="s">
        <v>717</v>
      </c>
      <c r="AO1790" s="12" t="s">
        <v>2023</v>
      </c>
      <c r="AP1790" s="12"/>
      <c r="AQ1790" s="12"/>
      <c r="AR1790" s="12">
        <v>1820</v>
      </c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  <c r="BO1790" s="12"/>
      <c r="BP1790" s="12"/>
      <c r="BQ1790" s="12"/>
      <c r="BR1790" s="12"/>
      <c r="BS1790" s="12"/>
      <c r="BT1790" s="12"/>
      <c r="BU1790" s="12"/>
      <c r="BV1790" s="12"/>
      <c r="BW1790" s="12"/>
      <c r="BX1790" s="12"/>
      <c r="BY1790" s="12"/>
      <c r="BZ1790" s="12"/>
      <c r="CA1790" s="12"/>
      <c r="CB1790" s="12"/>
      <c r="CC1790" s="12"/>
      <c r="CD1790" s="12"/>
    </row>
    <row r="1791" spans="1:82">
      <c r="A1791" s="13" t="s">
        <v>1824</v>
      </c>
      <c r="B1791" s="12" t="str">
        <f t="shared" si="341"/>
        <v>SWANEPOEL</v>
      </c>
      <c r="C1791" s="12" t="str">
        <f t="shared" si="342"/>
        <v>SWANEPOEL</v>
      </c>
      <c r="D1791" s="12" t="s">
        <v>13725</v>
      </c>
      <c r="E1791" s="12" t="str">
        <f t="shared" si="340"/>
        <v>Stephanus Johannes Marthinus</v>
      </c>
      <c r="F1791" s="12" t="s">
        <v>13734</v>
      </c>
      <c r="G1791" s="12" t="str">
        <f t="shared" si="343"/>
        <v>a1b7c2d5e3</v>
      </c>
      <c r="H1791" s="12" t="str">
        <f t="shared" si="344"/>
        <v>SWANEPOELa1b7c2d5e3</v>
      </c>
      <c r="I1791" s="12"/>
      <c r="J1791" s="12" t="s">
        <v>13735</v>
      </c>
      <c r="K1791" s="12" t="str">
        <f t="shared" si="345"/>
        <v>1820</v>
      </c>
      <c r="L1791" s="12" t="s">
        <v>53</v>
      </c>
      <c r="M1791" s="12" t="s">
        <v>13736</v>
      </c>
      <c r="N1791" s="12" t="str">
        <f t="shared" si="338"/>
        <v>1820</v>
      </c>
      <c r="O1791" s="12" t="str">
        <f t="shared" si="339"/>
        <v>1820</v>
      </c>
      <c r="P1791" s="12" t="s">
        <v>2625</v>
      </c>
      <c r="Q1791" s="12" t="str">
        <f t="shared" si="346"/>
        <v>1820</v>
      </c>
      <c r="R1791" s="12" t="s">
        <v>13737</v>
      </c>
      <c r="S1791" s="12" t="str">
        <f t="shared" si="347"/>
        <v>1879</v>
      </c>
      <c r="T1791" s="12"/>
      <c r="U1791" s="12"/>
      <c r="V1791" s="12" t="str">
        <f t="shared" si="348"/>
        <v/>
      </c>
      <c r="W1791" s="12" t="s">
        <v>13738</v>
      </c>
      <c r="X1791" s="12" t="s">
        <v>4126</v>
      </c>
      <c r="Y1791" s="12"/>
      <c r="Z1791" s="12"/>
      <c r="AA1791" s="12" t="s">
        <v>589</v>
      </c>
      <c r="AB1791" s="12"/>
      <c r="AC1791" s="12"/>
      <c r="AD1791" s="12"/>
      <c r="AE1791" s="12" t="s">
        <v>13739</v>
      </c>
      <c r="AF1791" s="12"/>
      <c r="AG1791" s="12" t="s">
        <v>28</v>
      </c>
      <c r="AH1791" s="12">
        <v>1844</v>
      </c>
      <c r="AI1791" s="12" t="str">
        <f t="shared" si="349"/>
        <v>1844</v>
      </c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  <c r="BO1791" s="12"/>
      <c r="BP1791" s="12"/>
      <c r="BQ1791" s="12"/>
      <c r="BR1791" s="12"/>
      <c r="BS1791" s="12"/>
      <c r="BT1791" s="12"/>
      <c r="BU1791" s="12"/>
      <c r="BV1791" s="12"/>
      <c r="BW1791" s="12"/>
      <c r="BX1791" s="12"/>
      <c r="BY1791" s="12"/>
      <c r="BZ1791" s="12"/>
      <c r="CA1791" s="12"/>
      <c r="CB1791" s="12"/>
      <c r="CC1791" s="12"/>
      <c r="CD1791" s="12"/>
    </row>
    <row r="1792" spans="1:82">
      <c r="A1792" s="13" t="s">
        <v>1824</v>
      </c>
      <c r="B1792" s="12" t="str">
        <f t="shared" si="341"/>
        <v>SWANEPOEL</v>
      </c>
      <c r="C1792" s="12" t="str">
        <f t="shared" si="342"/>
        <v>SWANEPOEL</v>
      </c>
      <c r="D1792" s="12" t="s">
        <v>1184</v>
      </c>
      <c r="E1792" s="12" t="str">
        <f t="shared" si="340"/>
        <v>Gerhardus</v>
      </c>
      <c r="F1792" s="12" t="s">
        <v>13614</v>
      </c>
      <c r="G1792" s="12" t="str">
        <f t="shared" si="343"/>
        <v>a1b7c2d5e4</v>
      </c>
      <c r="H1792" s="12" t="str">
        <f t="shared" si="344"/>
        <v>SWANEPOELa1b7c2d5e4</v>
      </c>
      <c r="I1792" s="12"/>
      <c r="J1792" s="12" t="s">
        <v>13615</v>
      </c>
      <c r="K1792" s="12" t="str">
        <f t="shared" si="345"/>
        <v>1823</v>
      </c>
      <c r="L1792" s="12" t="s">
        <v>53</v>
      </c>
      <c r="M1792" s="12" t="s">
        <v>13616</v>
      </c>
      <c r="N1792" s="12" t="str">
        <f t="shared" si="338"/>
        <v>1823</v>
      </c>
      <c r="O1792" s="12" t="str">
        <f t="shared" si="339"/>
        <v>1824</v>
      </c>
      <c r="P1792" s="12" t="s">
        <v>2625</v>
      </c>
      <c r="Q1792" s="12" t="str">
        <f t="shared" si="346"/>
        <v>1823</v>
      </c>
      <c r="R1792" s="12" t="s">
        <v>13617</v>
      </c>
      <c r="S1792" s="12" t="str">
        <f t="shared" si="347"/>
        <v>1887</v>
      </c>
      <c r="T1792" s="12"/>
      <c r="U1792" s="12"/>
      <c r="V1792" s="12" t="str">
        <f t="shared" si="348"/>
        <v/>
      </c>
      <c r="W1792" s="12" t="s">
        <v>13618</v>
      </c>
      <c r="X1792" s="12" t="s">
        <v>667</v>
      </c>
      <c r="Y1792" s="12"/>
      <c r="Z1792" s="12"/>
      <c r="AA1792" s="12" t="s">
        <v>13619</v>
      </c>
      <c r="AB1792" s="12" t="s">
        <v>68</v>
      </c>
      <c r="AC1792" s="12" t="s">
        <v>7627</v>
      </c>
      <c r="AD1792" s="12" t="s">
        <v>13620</v>
      </c>
      <c r="AE1792" s="12" t="s">
        <v>13621</v>
      </c>
      <c r="AF1792" s="12"/>
      <c r="AG1792" s="12" t="s">
        <v>28</v>
      </c>
      <c r="AH1792" s="12">
        <v>1844</v>
      </c>
      <c r="AI1792" s="12" t="str">
        <f t="shared" si="349"/>
        <v>1844</v>
      </c>
      <c r="AJ1792" s="12"/>
      <c r="AK1792" s="12"/>
      <c r="AL1792" s="12" t="s">
        <v>93</v>
      </c>
      <c r="AM1792" s="12" t="s">
        <v>13622</v>
      </c>
      <c r="AN1792" s="12" t="s">
        <v>811</v>
      </c>
      <c r="AO1792" s="12" t="s">
        <v>4126</v>
      </c>
      <c r="AP1792" s="12"/>
      <c r="AQ1792" s="12" t="s">
        <v>168</v>
      </c>
      <c r="AR1792" s="12">
        <v>1843</v>
      </c>
      <c r="AS1792" s="12"/>
      <c r="AT1792" s="12"/>
      <c r="AU1792" s="12" t="s">
        <v>13620</v>
      </c>
      <c r="AV1792" s="1">
        <v>1739</v>
      </c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  <c r="BO1792" s="12"/>
      <c r="BP1792" s="12"/>
      <c r="BQ1792" s="12"/>
      <c r="BR1792" s="12"/>
      <c r="BS1792" s="12"/>
      <c r="BT1792" s="12"/>
      <c r="BU1792" s="12"/>
      <c r="BV1792" s="12"/>
      <c r="BW1792" s="12"/>
      <c r="BX1792" s="12"/>
      <c r="BY1792" s="12"/>
      <c r="BZ1792" s="12"/>
      <c r="CA1792" s="12"/>
      <c r="CB1792" s="12"/>
      <c r="CC1792" s="12"/>
      <c r="CD1792" s="12"/>
    </row>
    <row r="1793" spans="1:82">
      <c r="A1793" s="13" t="s">
        <v>1824</v>
      </c>
      <c r="B1793" s="12" t="str">
        <f t="shared" si="341"/>
        <v>SWANEPOEL</v>
      </c>
      <c r="C1793" s="12" t="str">
        <f t="shared" si="342"/>
        <v>SWANEPOEL</v>
      </c>
      <c r="D1793" s="12" t="s">
        <v>13648</v>
      </c>
      <c r="E1793" s="12" t="str">
        <f t="shared" si="340"/>
        <v>Jacobus Johannes Petrus Cornelis</v>
      </c>
      <c r="F1793" s="12" t="s">
        <v>13649</v>
      </c>
      <c r="G1793" s="12" t="str">
        <f t="shared" si="343"/>
        <v>a1b7c2d5e5</v>
      </c>
      <c r="H1793" s="12" t="str">
        <f t="shared" si="344"/>
        <v>SWANEPOELa1b7c2d5e5</v>
      </c>
      <c r="I1793" s="12"/>
      <c r="J1793" s="12" t="s">
        <v>13650</v>
      </c>
      <c r="K1793" s="12" t="str">
        <f t="shared" si="345"/>
        <v>1825</v>
      </c>
      <c r="L1793" s="12" t="s">
        <v>53</v>
      </c>
      <c r="M1793" s="12" t="s">
        <v>10549</v>
      </c>
      <c r="N1793" s="12" t="str">
        <f t="shared" si="338"/>
        <v>1825</v>
      </c>
      <c r="O1793" s="12" t="str">
        <f t="shared" si="339"/>
        <v>1825</v>
      </c>
      <c r="P1793" s="12"/>
      <c r="Q1793" s="12" t="str">
        <f t="shared" si="346"/>
        <v>1825</v>
      </c>
      <c r="R1793" s="12"/>
      <c r="S1793" s="12" t="str">
        <f t="shared" si="347"/>
        <v/>
      </c>
      <c r="T1793" s="12" t="s">
        <v>140</v>
      </c>
      <c r="U1793" s="12" t="s">
        <v>6961</v>
      </c>
      <c r="V1793" s="12" t="str">
        <f t="shared" si="348"/>
        <v>1845</v>
      </c>
      <c r="W1793" s="12" t="s">
        <v>13651</v>
      </c>
      <c r="X1793" s="12" t="s">
        <v>822</v>
      </c>
      <c r="Y1793" s="12"/>
      <c r="Z1793" s="12"/>
      <c r="AA1793" s="12" t="s">
        <v>13652</v>
      </c>
      <c r="AB1793" s="12"/>
      <c r="AC1793" s="12"/>
      <c r="AD1793" s="12"/>
      <c r="AE1793" s="12"/>
      <c r="AF1793" s="12"/>
      <c r="AG1793" s="12" t="s">
        <v>28</v>
      </c>
      <c r="AH1793" s="12">
        <v>1844</v>
      </c>
      <c r="AI1793" s="12" t="str">
        <f t="shared" si="349"/>
        <v>1844</v>
      </c>
      <c r="AJ1793" s="12"/>
      <c r="AK1793" s="12" t="s">
        <v>67</v>
      </c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  <c r="BO1793" s="12"/>
      <c r="BP1793" s="12"/>
      <c r="BQ1793" s="12"/>
      <c r="BR1793" s="12"/>
      <c r="BS1793" s="12"/>
      <c r="BT1793" s="12"/>
      <c r="BU1793" s="12"/>
      <c r="BV1793" s="12"/>
      <c r="BW1793" s="12"/>
      <c r="BX1793" s="12"/>
      <c r="BY1793" s="12"/>
      <c r="BZ1793" s="12"/>
      <c r="CA1793" s="12"/>
      <c r="CB1793" s="12"/>
      <c r="CC1793" s="12"/>
      <c r="CD1793" s="12"/>
    </row>
    <row r="1794" spans="1:82">
      <c r="A1794" s="13" t="s">
        <v>1824</v>
      </c>
      <c r="B1794" s="12" t="str">
        <f t="shared" si="341"/>
        <v>SWANEPOEL</v>
      </c>
      <c r="C1794" s="12" t="str">
        <f t="shared" si="342"/>
        <v>SWANEPOEL</v>
      </c>
      <c r="D1794" s="12" t="s">
        <v>4926</v>
      </c>
      <c r="E1794" s="12" t="str">
        <f t="shared" si="340"/>
        <v>Hendrik Frederik</v>
      </c>
      <c r="F1794" s="12" t="s">
        <v>13632</v>
      </c>
      <c r="G1794" s="12" t="str">
        <f t="shared" si="343"/>
        <v>a1b7c7d1</v>
      </c>
      <c r="H1794" s="12" t="str">
        <f t="shared" si="344"/>
        <v>SWANEPOELa1b7c7d1</v>
      </c>
      <c r="I1794" s="12"/>
      <c r="J1794" s="12" t="s">
        <v>13633</v>
      </c>
      <c r="K1794" s="12" t="str">
        <f t="shared" si="345"/>
        <v>1794</v>
      </c>
      <c r="L1794" s="12" t="s">
        <v>1071</v>
      </c>
      <c r="M1794" s="12" t="s">
        <v>13634</v>
      </c>
      <c r="N1794" s="12" t="str">
        <f t="shared" ref="N1794:N1857" si="350">RIGHT(J1794,4)</f>
        <v>1794</v>
      </c>
      <c r="O1794" s="12" t="str">
        <f t="shared" ref="O1794:O1857" si="351">RIGHT(M1794,4)</f>
        <v>1795</v>
      </c>
      <c r="P1794" s="12" t="s">
        <v>9326</v>
      </c>
      <c r="Q1794" s="12" t="str">
        <f t="shared" si="346"/>
        <v>1794</v>
      </c>
      <c r="R1794" s="12">
        <v>1851</v>
      </c>
      <c r="S1794" s="12" t="str">
        <f t="shared" si="347"/>
        <v>1851</v>
      </c>
      <c r="T1794" s="12" t="s">
        <v>74</v>
      </c>
      <c r="U1794" s="12" t="s">
        <v>7897</v>
      </c>
      <c r="V1794" s="12" t="str">
        <f t="shared" si="348"/>
        <v>1816</v>
      </c>
      <c r="W1794" s="12" t="s">
        <v>13635</v>
      </c>
      <c r="X1794" s="12" t="s">
        <v>6072</v>
      </c>
      <c r="Y1794" s="12"/>
      <c r="Z1794" s="12"/>
      <c r="AA1794" s="12"/>
      <c r="AB1794" s="12"/>
      <c r="AC1794" s="12" t="s">
        <v>12595</v>
      </c>
      <c r="AD1794" s="12"/>
      <c r="AE1794" s="12"/>
      <c r="AF1794" s="12" t="s">
        <v>16</v>
      </c>
      <c r="AG1794" s="12" t="s">
        <v>28</v>
      </c>
      <c r="AH1794" s="12" t="s">
        <v>13636</v>
      </c>
      <c r="AI1794" s="12" t="str">
        <f t="shared" si="349"/>
        <v>1835</v>
      </c>
      <c r="AJ1794" s="12" t="s">
        <v>13060</v>
      </c>
      <c r="AK1794" s="12" t="s">
        <v>2877</v>
      </c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  <c r="BO1794" s="12"/>
      <c r="BP1794" s="12"/>
      <c r="BQ1794" s="12"/>
      <c r="BR1794" s="12"/>
      <c r="BS1794" s="12"/>
      <c r="BT1794" s="12"/>
      <c r="BU1794" s="12"/>
      <c r="BV1794" s="12"/>
      <c r="BW1794" s="12"/>
      <c r="BX1794" s="12"/>
      <c r="BY1794" s="12"/>
      <c r="BZ1794" s="12"/>
      <c r="CA1794" s="12"/>
      <c r="CB1794" s="12"/>
      <c r="CC1794" s="12"/>
      <c r="CD1794" s="12"/>
    </row>
    <row r="1795" spans="1:82">
      <c r="A1795" s="13" t="s">
        <v>640</v>
      </c>
      <c r="B1795" s="12" t="str">
        <f t="shared" si="341"/>
        <v>SWART</v>
      </c>
      <c r="C1795" s="12" t="str">
        <f t="shared" si="342"/>
        <v>SWART</v>
      </c>
      <c r="D1795" s="12" t="s">
        <v>10546</v>
      </c>
      <c r="E1795" s="12" t="str">
        <f t="shared" ref="E1795:E1858" si="352">PROPER(D1795)</f>
        <v>Gerhardus Jacobus</v>
      </c>
      <c r="F1795" s="12" t="s">
        <v>13770</v>
      </c>
      <c r="G1795" s="12" t="str">
        <f t="shared" si="343"/>
        <v>a1b2c3d5e13</v>
      </c>
      <c r="H1795" s="12" t="str">
        <f t="shared" si="344"/>
        <v>SWARTa1b2c3d5e13</v>
      </c>
      <c r="I1795" s="12"/>
      <c r="J1795" s="12"/>
      <c r="K1795" s="12" t="str">
        <f t="shared" si="345"/>
        <v/>
      </c>
      <c r="L1795" s="12" t="s">
        <v>32</v>
      </c>
      <c r="M1795" s="12" t="s">
        <v>3831</v>
      </c>
      <c r="N1795" s="12" t="str">
        <f t="shared" si="350"/>
        <v/>
      </c>
      <c r="O1795" s="12" t="str">
        <f t="shared" si="351"/>
        <v>1804</v>
      </c>
      <c r="P1795" s="12" t="s">
        <v>4103</v>
      </c>
      <c r="Q1795" s="12" t="str">
        <f t="shared" si="346"/>
        <v>1804</v>
      </c>
      <c r="R1795" s="12" t="s">
        <v>13771</v>
      </c>
      <c r="S1795" s="12" t="str">
        <f t="shared" si="347"/>
        <v>1880</v>
      </c>
      <c r="T1795" s="12" t="s">
        <v>28</v>
      </c>
      <c r="U1795" s="12" t="s">
        <v>13772</v>
      </c>
      <c r="V1795" s="12" t="str">
        <f t="shared" si="348"/>
        <v>1825</v>
      </c>
      <c r="W1795" s="12" t="s">
        <v>13773</v>
      </c>
      <c r="X1795" s="12" t="s">
        <v>13774</v>
      </c>
      <c r="Y1795" s="12"/>
      <c r="Z1795" s="12"/>
      <c r="AA1795" s="12"/>
      <c r="AB1795" s="12"/>
      <c r="AC1795" s="12"/>
      <c r="AD1795" s="12"/>
      <c r="AE1795" s="12"/>
      <c r="AF1795" s="12" t="s">
        <v>3709</v>
      </c>
      <c r="AG1795" s="12" t="s">
        <v>68</v>
      </c>
      <c r="AH1795" s="12" t="s">
        <v>7546</v>
      </c>
      <c r="AI1795" s="12" t="str">
        <f t="shared" si="349"/>
        <v>1837</v>
      </c>
      <c r="AJ1795" s="12" t="s">
        <v>13060</v>
      </c>
      <c r="AK1795" s="12" t="s">
        <v>551</v>
      </c>
      <c r="AL1795" s="12" t="s">
        <v>68</v>
      </c>
      <c r="AM1795" s="12" t="s">
        <v>13775</v>
      </c>
      <c r="AN1795" s="12" t="s">
        <v>3389</v>
      </c>
      <c r="AO1795" s="12" t="s">
        <v>2901</v>
      </c>
      <c r="AP1795" s="12"/>
      <c r="AQ1795" s="12"/>
      <c r="AR1795" s="12">
        <v>1811</v>
      </c>
      <c r="AS1795" s="12"/>
      <c r="AT1795" s="12"/>
      <c r="AU1795" s="12" t="s">
        <v>68</v>
      </c>
      <c r="AV1795" s="12" t="s">
        <v>13776</v>
      </c>
      <c r="AW1795" s="12"/>
      <c r="AX1795" s="12"/>
      <c r="AY1795" s="12"/>
      <c r="AZ1795" s="12" t="s">
        <v>2023</v>
      </c>
      <c r="BA1795" s="12"/>
      <c r="BB1795" s="12"/>
      <c r="BC1795" s="12"/>
      <c r="BD1795" s="12"/>
      <c r="BE1795" s="12"/>
      <c r="BF1795" s="12"/>
      <c r="BG1795" s="12"/>
      <c r="BH1795" s="12" t="s">
        <v>168</v>
      </c>
      <c r="BI1795" s="12" t="s">
        <v>13743</v>
      </c>
      <c r="BJ1795" s="12" t="s">
        <v>8860</v>
      </c>
      <c r="BK1795" s="12" t="s">
        <v>700</v>
      </c>
      <c r="BL1795" s="12" t="s">
        <v>1125</v>
      </c>
      <c r="BM1795" s="12"/>
      <c r="BN1795" s="12"/>
      <c r="BO1795" s="12"/>
      <c r="BP1795" s="12"/>
      <c r="BQ1795" s="12"/>
      <c r="BR1795" s="12"/>
      <c r="BS1795" s="12"/>
      <c r="BT1795" s="12" t="s">
        <v>13777</v>
      </c>
      <c r="BU1795" s="12" t="s">
        <v>700</v>
      </c>
      <c r="BV1795" s="12"/>
      <c r="BW1795" s="12"/>
      <c r="BX1795" s="12"/>
      <c r="BY1795" s="12"/>
      <c r="BZ1795" s="12"/>
      <c r="CA1795" s="12" t="s">
        <v>4103</v>
      </c>
      <c r="CB1795" s="12">
        <v>1902</v>
      </c>
      <c r="CC1795" s="12"/>
      <c r="CD1795" s="12"/>
    </row>
    <row r="1796" spans="1:82">
      <c r="A1796" s="13" t="s">
        <v>640</v>
      </c>
      <c r="B1796" s="12" t="str">
        <f t="shared" si="341"/>
        <v>SWART</v>
      </c>
      <c r="C1796" s="12" t="str">
        <f t="shared" si="342"/>
        <v>SWART</v>
      </c>
      <c r="D1796" s="12" t="s">
        <v>3944</v>
      </c>
      <c r="E1796" s="12" t="str">
        <f t="shared" si="352"/>
        <v>Nicolaas Johannes</v>
      </c>
      <c r="F1796" s="12" t="s">
        <v>867</v>
      </c>
      <c r="G1796" s="12" t="str">
        <f t="shared" si="343"/>
        <v>a1b2c4d9e3</v>
      </c>
      <c r="H1796" s="12" t="str">
        <f t="shared" si="344"/>
        <v>SWARTa1b2c4d9e3</v>
      </c>
      <c r="I1796" s="12"/>
      <c r="J1796" s="12"/>
      <c r="K1796" s="12" t="str">
        <f t="shared" si="345"/>
        <v/>
      </c>
      <c r="L1796" s="12"/>
      <c r="M1796" s="12" t="s">
        <v>13806</v>
      </c>
      <c r="N1796" s="12" t="str">
        <f t="shared" si="350"/>
        <v/>
      </c>
      <c r="O1796" s="12" t="str">
        <f t="shared" si="351"/>
        <v>1799</v>
      </c>
      <c r="P1796" s="12" t="s">
        <v>31</v>
      </c>
      <c r="Q1796" s="12" t="str">
        <f t="shared" si="346"/>
        <v>1799</v>
      </c>
      <c r="R1796" s="12" t="s">
        <v>13807</v>
      </c>
      <c r="S1796" s="12" t="str">
        <f t="shared" si="347"/>
        <v>1880</v>
      </c>
      <c r="T1796" s="12" t="s">
        <v>199</v>
      </c>
      <c r="U1796" s="12" t="s">
        <v>10210</v>
      </c>
      <c r="V1796" s="12" t="str">
        <f t="shared" si="348"/>
        <v>1818</v>
      </c>
      <c r="W1796" s="12" t="s">
        <v>3628</v>
      </c>
      <c r="X1796" s="12" t="s">
        <v>3138</v>
      </c>
      <c r="Y1796" s="12" t="s">
        <v>3010</v>
      </c>
      <c r="Z1796" s="12"/>
      <c r="AA1796" s="12"/>
      <c r="AB1796" s="12"/>
      <c r="AC1796" s="12"/>
      <c r="AD1796" s="12"/>
      <c r="AE1796" s="12"/>
      <c r="AF1796" s="12" t="s">
        <v>3709</v>
      </c>
      <c r="AG1796" s="12" t="s">
        <v>68</v>
      </c>
      <c r="AH1796" s="12">
        <v>1840</v>
      </c>
      <c r="AI1796" s="12" t="str">
        <f t="shared" si="349"/>
        <v>1840</v>
      </c>
      <c r="AJ1796" s="12"/>
      <c r="AK1796" s="12"/>
      <c r="AL1796" s="12"/>
      <c r="AM1796" s="12"/>
      <c r="AN1796" s="12" t="s">
        <v>1475</v>
      </c>
      <c r="AO1796" s="12" t="s">
        <v>1320</v>
      </c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  <c r="BO1796" s="12"/>
      <c r="BP1796" s="12"/>
      <c r="BQ1796" s="12"/>
      <c r="BR1796" s="12"/>
      <c r="BS1796" s="12"/>
      <c r="BT1796" s="12"/>
      <c r="BU1796" s="12"/>
      <c r="BV1796" s="12"/>
      <c r="BW1796" s="12"/>
      <c r="BX1796" s="12"/>
      <c r="BY1796" s="12"/>
      <c r="BZ1796" s="12"/>
      <c r="CA1796" s="12"/>
      <c r="CB1796" s="12"/>
      <c r="CC1796" s="12"/>
      <c r="CD1796" s="12"/>
    </row>
    <row r="1797" spans="1:82">
      <c r="A1797" s="13" t="s">
        <v>640</v>
      </c>
      <c r="B1797" s="12" t="str">
        <f t="shared" si="341"/>
        <v>SWART</v>
      </c>
      <c r="C1797" s="12" t="str">
        <f t="shared" si="342"/>
        <v>SWART</v>
      </c>
      <c r="D1797" s="12" t="s">
        <v>13814</v>
      </c>
      <c r="E1797" s="12" t="str">
        <f t="shared" si="352"/>
        <v>Wessel Cornelis</v>
      </c>
      <c r="F1797" s="12" t="s">
        <v>13815</v>
      </c>
      <c r="G1797" s="12" t="str">
        <f t="shared" si="343"/>
        <v xml:space="preserve">a1b2c4d9e4 </v>
      </c>
      <c r="H1797" s="12" t="str">
        <f t="shared" si="344"/>
        <v xml:space="preserve">SWARTa1b2c4d9e4 </v>
      </c>
      <c r="I1797" s="12"/>
      <c r="J1797" s="12"/>
      <c r="K1797" s="12" t="str">
        <f t="shared" si="345"/>
        <v/>
      </c>
      <c r="L1797" s="12"/>
      <c r="M1797" s="12" t="s">
        <v>2673</v>
      </c>
      <c r="N1797" s="12" t="str">
        <f t="shared" si="350"/>
        <v/>
      </c>
      <c r="O1797" s="12" t="str">
        <f t="shared" si="351"/>
        <v>1801</v>
      </c>
      <c r="P1797" s="12"/>
      <c r="Q1797" s="12" t="str">
        <f t="shared" si="346"/>
        <v>1801</v>
      </c>
      <c r="R1797" s="12">
        <v>1852</v>
      </c>
      <c r="S1797" s="12" t="str">
        <f t="shared" si="347"/>
        <v>1852</v>
      </c>
      <c r="T1797" s="12" t="s">
        <v>53</v>
      </c>
      <c r="U1797" s="12" t="s">
        <v>4075</v>
      </c>
      <c r="V1797" s="12" t="str">
        <f t="shared" si="348"/>
        <v>1820</v>
      </c>
      <c r="W1797" s="12" t="s">
        <v>3943</v>
      </c>
      <c r="X1797" s="12" t="s">
        <v>655</v>
      </c>
      <c r="Y1797" s="12" t="s">
        <v>13816</v>
      </c>
      <c r="Z1797" s="12"/>
      <c r="AA1797" s="12"/>
      <c r="AB1797" s="12"/>
      <c r="AC1797" s="12" t="s">
        <v>12410</v>
      </c>
      <c r="AD1797" s="12" t="s">
        <v>134</v>
      </c>
      <c r="AE1797" s="12" t="s">
        <v>13817</v>
      </c>
      <c r="AF1797" s="12" t="s">
        <v>3709</v>
      </c>
      <c r="AG1797" s="12" t="s">
        <v>68</v>
      </c>
      <c r="AH1797" s="12" t="s">
        <v>4696</v>
      </c>
      <c r="AI1797" s="12" t="str">
        <f t="shared" si="349"/>
        <v>1844</v>
      </c>
      <c r="AJ1797" s="12"/>
      <c r="AK1797" s="12" t="s">
        <v>155</v>
      </c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  <c r="BO1797" s="12"/>
      <c r="BP1797" s="12"/>
      <c r="BQ1797" s="12"/>
      <c r="BR1797" s="12"/>
      <c r="BS1797" s="12"/>
      <c r="BT1797" s="12"/>
      <c r="BU1797" s="12"/>
      <c r="BV1797" s="12"/>
      <c r="BW1797" s="12"/>
      <c r="BX1797" s="12"/>
      <c r="BY1797" s="12"/>
      <c r="BZ1797" s="12"/>
      <c r="CA1797" s="12"/>
      <c r="CB1797" s="12"/>
      <c r="CC1797" s="12"/>
      <c r="CD1797" s="12"/>
    </row>
    <row r="1798" spans="1:82">
      <c r="A1798" s="13" t="s">
        <v>640</v>
      </c>
      <c r="B1798" s="12" t="str">
        <f t="shared" si="341"/>
        <v>SWART</v>
      </c>
      <c r="C1798" s="12" t="str">
        <f t="shared" si="342"/>
        <v>SWART</v>
      </c>
      <c r="D1798" s="12" t="s">
        <v>13778</v>
      </c>
      <c r="E1798" s="12" t="str">
        <f t="shared" si="352"/>
        <v>Hans Jacob Bernhardus</v>
      </c>
      <c r="F1798" s="12" t="s">
        <v>13779</v>
      </c>
      <c r="G1798" s="12" t="str">
        <f t="shared" si="343"/>
        <v>a1b2c4d9e4f1</v>
      </c>
      <c r="H1798" s="12" t="str">
        <f t="shared" si="344"/>
        <v>SWARTa1b2c4d9e4f1</v>
      </c>
      <c r="I1798" s="12" t="s">
        <v>3720</v>
      </c>
      <c r="J1798" s="12" t="s">
        <v>13780</v>
      </c>
      <c r="K1798" s="12" t="str">
        <f t="shared" si="345"/>
        <v>1823</v>
      </c>
      <c r="L1798" s="12" t="s">
        <v>53</v>
      </c>
      <c r="M1798" s="12" t="s">
        <v>13781</v>
      </c>
      <c r="N1798" s="12" t="str">
        <f t="shared" si="350"/>
        <v>1823</v>
      </c>
      <c r="O1798" s="12" t="str">
        <f t="shared" si="351"/>
        <v>1824</v>
      </c>
      <c r="P1798" s="12" t="s">
        <v>134</v>
      </c>
      <c r="Q1798" s="12" t="str">
        <f t="shared" si="346"/>
        <v>1823</v>
      </c>
      <c r="R1798" s="12" t="s">
        <v>13782</v>
      </c>
      <c r="S1798" s="12" t="str">
        <f t="shared" si="347"/>
        <v>1885</v>
      </c>
      <c r="T1798" s="12" t="s">
        <v>68</v>
      </c>
      <c r="U1798" s="12" t="s">
        <v>13783</v>
      </c>
      <c r="V1798" s="12" t="str">
        <f t="shared" si="348"/>
        <v>1841</v>
      </c>
      <c r="W1798" s="12" t="s">
        <v>2958</v>
      </c>
      <c r="X1798" s="12" t="s">
        <v>295</v>
      </c>
      <c r="Y1798" s="12"/>
      <c r="Z1798" s="12"/>
      <c r="AA1798" s="12" t="s">
        <v>3856</v>
      </c>
      <c r="AB1798" s="12"/>
      <c r="AC1798" s="12"/>
      <c r="AD1798" s="12" t="s">
        <v>155</v>
      </c>
      <c r="AE1798" s="12" t="s">
        <v>13784</v>
      </c>
      <c r="AF1798" s="12" t="s">
        <v>3709</v>
      </c>
      <c r="AG1798" s="12" t="s">
        <v>68</v>
      </c>
      <c r="AH1798" s="12" t="s">
        <v>13785</v>
      </c>
      <c r="AI1798" s="12" t="str">
        <f t="shared" si="349"/>
        <v>1843</v>
      </c>
      <c r="AJ1798" s="12"/>
      <c r="AK1798" s="12" t="s">
        <v>13786</v>
      </c>
      <c r="AL1798" s="12"/>
      <c r="AM1798" s="12"/>
      <c r="AN1798" s="12" t="s">
        <v>13787</v>
      </c>
      <c r="AO1798" s="12" t="s">
        <v>758</v>
      </c>
      <c r="AP1798" s="12"/>
      <c r="AQ1798" s="12" t="s">
        <v>67</v>
      </c>
      <c r="AR1798" s="12" t="s">
        <v>13788</v>
      </c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  <c r="BO1798" s="12"/>
      <c r="BP1798" s="12"/>
      <c r="BQ1798" s="12"/>
      <c r="BR1798" s="12"/>
      <c r="BS1798" s="12"/>
      <c r="BT1798" s="12"/>
      <c r="BU1798" s="12"/>
      <c r="BV1798" s="12"/>
      <c r="BW1798" s="12"/>
      <c r="BX1798" s="12"/>
      <c r="BY1798" s="12"/>
      <c r="BZ1798" s="12"/>
      <c r="CA1798" s="12"/>
      <c r="CB1798" s="12"/>
      <c r="CC1798" s="12"/>
      <c r="CD1798" s="12"/>
    </row>
    <row r="1799" spans="1:82">
      <c r="A1799" s="13" t="s">
        <v>640</v>
      </c>
      <c r="B1799" s="12" t="str">
        <f t="shared" si="341"/>
        <v>SWART</v>
      </c>
      <c r="C1799" s="12" t="str">
        <f t="shared" si="342"/>
        <v>SWART</v>
      </c>
      <c r="D1799" s="12" t="s">
        <v>2759</v>
      </c>
      <c r="E1799" s="12" t="str">
        <f t="shared" si="352"/>
        <v>Jacobus Nicolaas</v>
      </c>
      <c r="F1799" s="12" t="s">
        <v>13789</v>
      </c>
      <c r="G1799" s="12" t="str">
        <f t="shared" si="343"/>
        <v>a1b3c3d3e3</v>
      </c>
      <c r="H1799" s="12" t="str">
        <f t="shared" si="344"/>
        <v>SWARTa1b3c3d3e3</v>
      </c>
      <c r="I1799" s="12"/>
      <c r="J1799" s="12"/>
      <c r="K1799" s="12" t="str">
        <f t="shared" si="345"/>
        <v/>
      </c>
      <c r="L1799" s="12"/>
      <c r="M1799" s="12" t="s">
        <v>13790</v>
      </c>
      <c r="N1799" s="12" t="str">
        <f t="shared" si="350"/>
        <v/>
      </c>
      <c r="O1799" s="12" t="str">
        <f t="shared" si="351"/>
        <v>1786</v>
      </c>
      <c r="P1799" s="12"/>
      <c r="Q1799" s="12" t="str">
        <f t="shared" si="346"/>
        <v>1786</v>
      </c>
      <c r="R1799" s="12"/>
      <c r="S1799" s="12" t="str">
        <f t="shared" si="347"/>
        <v/>
      </c>
      <c r="T1799" s="12" t="s">
        <v>961</v>
      </c>
      <c r="U1799" s="12" t="s">
        <v>13314</v>
      </c>
      <c r="V1799" s="12" t="str">
        <f t="shared" si="348"/>
        <v>1808</v>
      </c>
      <c r="W1799" s="12" t="s">
        <v>3389</v>
      </c>
      <c r="X1799" s="12" t="s">
        <v>640</v>
      </c>
      <c r="Y1799" s="12" t="s">
        <v>8427</v>
      </c>
      <c r="Z1799" s="12"/>
      <c r="AA1799" s="12"/>
      <c r="AB1799" s="12"/>
      <c r="AC1799" s="12" t="s">
        <v>13791</v>
      </c>
      <c r="AD1799" s="12"/>
      <c r="AE1799" s="12"/>
      <c r="AF1799" s="12" t="s">
        <v>3711</v>
      </c>
      <c r="AG1799" s="12" t="s">
        <v>32</v>
      </c>
      <c r="AH1799" s="12" t="s">
        <v>13792</v>
      </c>
      <c r="AI1799" s="12" t="str">
        <f t="shared" si="349"/>
        <v>1839</v>
      </c>
      <c r="AJ1799" s="12"/>
      <c r="AK1799" s="12" t="s">
        <v>4129</v>
      </c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  <c r="BO1799" s="12"/>
      <c r="BP1799" s="12"/>
      <c r="BQ1799" s="12"/>
      <c r="BR1799" s="12"/>
      <c r="BS1799" s="12"/>
      <c r="BT1799" s="12"/>
      <c r="BU1799" s="12"/>
      <c r="BV1799" s="12"/>
      <c r="BW1799" s="12"/>
      <c r="BX1799" s="12"/>
      <c r="BY1799" s="12"/>
      <c r="BZ1799" s="12"/>
      <c r="CA1799" s="12"/>
      <c r="CB1799" s="12"/>
      <c r="CC1799" s="12"/>
      <c r="CD1799" s="12"/>
    </row>
    <row r="1800" spans="1:82">
      <c r="A1800" s="13" t="s">
        <v>640</v>
      </c>
      <c r="B1800" s="12" t="str">
        <f t="shared" si="341"/>
        <v>SWART</v>
      </c>
      <c r="C1800" s="12" t="str">
        <f t="shared" si="342"/>
        <v>SWART</v>
      </c>
      <c r="D1800" s="12" t="s">
        <v>6887</v>
      </c>
      <c r="E1800" s="12" t="str">
        <f t="shared" si="352"/>
        <v>Johannes Bernardus</v>
      </c>
      <c r="F1800" s="12" t="s">
        <v>13793</v>
      </c>
      <c r="G1800" s="12" t="str">
        <f t="shared" si="343"/>
        <v>a1b3c3d3e3f3</v>
      </c>
      <c r="H1800" s="12" t="str">
        <f t="shared" si="344"/>
        <v>SWARTa1b3c3d3e3f3</v>
      </c>
      <c r="I1800" s="12"/>
      <c r="J1800" s="12" t="s">
        <v>13794</v>
      </c>
      <c r="K1800" s="12" t="str">
        <f t="shared" si="345"/>
        <v>1813</v>
      </c>
      <c r="L1800" s="12"/>
      <c r="M1800" s="12" t="s">
        <v>13795</v>
      </c>
      <c r="N1800" s="12" t="str">
        <f t="shared" si="350"/>
        <v>1813</v>
      </c>
      <c r="O1800" s="12" t="str">
        <f t="shared" si="351"/>
        <v>1813</v>
      </c>
      <c r="P1800" s="12" t="s">
        <v>4103</v>
      </c>
      <c r="Q1800" s="12" t="str">
        <f t="shared" si="346"/>
        <v>1813</v>
      </c>
      <c r="R1800" s="12" t="s">
        <v>13796</v>
      </c>
      <c r="S1800" s="12" t="str">
        <f t="shared" si="347"/>
        <v>1882</v>
      </c>
      <c r="T1800" s="12" t="s">
        <v>158</v>
      </c>
      <c r="U1800" s="12" t="s">
        <v>13797</v>
      </c>
      <c r="V1800" s="12" t="str">
        <f t="shared" si="348"/>
        <v>1833</v>
      </c>
      <c r="W1800" s="12" t="s">
        <v>13798</v>
      </c>
      <c r="X1800" s="12" t="s">
        <v>2305</v>
      </c>
      <c r="Y1800" s="12" t="s">
        <v>13799</v>
      </c>
      <c r="Z1800" s="12"/>
      <c r="AA1800" s="12"/>
      <c r="AB1800" s="12"/>
      <c r="AC1800" s="12" t="s">
        <v>13800</v>
      </c>
      <c r="AD1800" s="12"/>
      <c r="AE1800" s="12" t="s">
        <v>13801</v>
      </c>
      <c r="AF1800" s="12"/>
      <c r="AG1800" s="12" t="s">
        <v>32</v>
      </c>
      <c r="AH1800" s="12" t="s">
        <v>13802</v>
      </c>
      <c r="AI1800" s="12" t="str">
        <f t="shared" si="349"/>
        <v>1839</v>
      </c>
      <c r="AJ1800" s="12" t="s">
        <v>12354</v>
      </c>
      <c r="AK1800" s="12" t="s">
        <v>4103</v>
      </c>
      <c r="AL1800" s="12"/>
      <c r="AM1800" s="12"/>
      <c r="AN1800" s="12" t="s">
        <v>1010</v>
      </c>
      <c r="AO1800" s="12" t="s">
        <v>760</v>
      </c>
      <c r="AP1800" s="12" t="s">
        <v>13803</v>
      </c>
      <c r="AQ1800" s="12"/>
      <c r="AR1800" s="12" t="s">
        <v>13804</v>
      </c>
      <c r="AS1800" s="12"/>
      <c r="AT1800" s="12"/>
      <c r="AU1800" s="12" t="s">
        <v>3260</v>
      </c>
      <c r="AV1800" s="12" t="s">
        <v>13805</v>
      </c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  <c r="BO1800" s="12"/>
      <c r="BP1800" s="12"/>
      <c r="BQ1800" s="12"/>
      <c r="BR1800" s="12"/>
      <c r="BS1800" s="12"/>
      <c r="BT1800" s="12"/>
      <c r="BU1800" s="12"/>
      <c r="BV1800" s="12"/>
      <c r="BW1800" s="12"/>
      <c r="BX1800" s="12"/>
      <c r="BY1800" s="12"/>
      <c r="BZ1800" s="12"/>
      <c r="CA1800" s="12"/>
      <c r="CB1800" s="12"/>
      <c r="CC1800" s="12"/>
      <c r="CD1800" s="12"/>
    </row>
    <row r="1801" spans="1:82">
      <c r="A1801" s="13" t="s">
        <v>640</v>
      </c>
      <c r="B1801" s="12" t="str">
        <f t="shared" si="341"/>
        <v>SWART</v>
      </c>
      <c r="C1801" s="12" t="str">
        <f t="shared" si="342"/>
        <v>SWART</v>
      </c>
      <c r="D1801" s="12" t="s">
        <v>13811</v>
      </c>
      <c r="E1801" s="12" t="str">
        <f t="shared" si="352"/>
        <v>Petrus Arnoldus Gerhardus</v>
      </c>
      <c r="F1801" s="12" t="s">
        <v>13812</v>
      </c>
      <c r="G1801" s="12" t="str">
        <f t="shared" si="343"/>
        <v>a1b3c3d3e3f4</v>
      </c>
      <c r="H1801" s="12" t="str">
        <f t="shared" si="344"/>
        <v>SWARTa1b3c3d3e3f4</v>
      </c>
      <c r="I1801" s="12"/>
      <c r="J1801" s="12" t="s">
        <v>12947</v>
      </c>
      <c r="K1801" s="12" t="str">
        <f t="shared" si="345"/>
        <v>1815</v>
      </c>
      <c r="L1801" s="12"/>
      <c r="M1801" s="12" t="s">
        <v>13813</v>
      </c>
      <c r="N1801" s="12" t="str">
        <f t="shared" si="350"/>
        <v>1815</v>
      </c>
      <c r="O1801" s="12" t="str">
        <f t="shared" si="351"/>
        <v>1815</v>
      </c>
      <c r="P1801" s="12" t="s">
        <v>81</v>
      </c>
      <c r="Q1801" s="12" t="str">
        <f t="shared" si="346"/>
        <v>1815</v>
      </c>
      <c r="R1801" s="12" t="s">
        <v>9947</v>
      </c>
      <c r="S1801" s="12" t="str">
        <f t="shared" si="347"/>
        <v>1881</v>
      </c>
      <c r="T1801" s="12" t="s">
        <v>140</v>
      </c>
      <c r="U1801" s="12" t="s">
        <v>469</v>
      </c>
      <c r="V1801" s="12" t="str">
        <f t="shared" si="348"/>
        <v>1847</v>
      </c>
      <c r="W1801" s="12" t="s">
        <v>1307</v>
      </c>
      <c r="X1801" s="12" t="s">
        <v>772</v>
      </c>
      <c r="Y1801" s="12"/>
      <c r="Z1801" s="12"/>
      <c r="AA1801" s="12"/>
      <c r="AB1801" s="12" t="s">
        <v>74</v>
      </c>
      <c r="AC1801" s="12"/>
      <c r="AD1801" s="12"/>
      <c r="AE1801" s="12"/>
      <c r="AF1801" s="12" t="s">
        <v>3711</v>
      </c>
      <c r="AG1801" s="12" t="s">
        <v>32</v>
      </c>
      <c r="AH1801" s="12">
        <v>1839</v>
      </c>
      <c r="AI1801" s="12" t="str">
        <f t="shared" si="349"/>
        <v>1839</v>
      </c>
      <c r="AJ1801" s="12"/>
      <c r="AK1801" s="12" t="s">
        <v>81</v>
      </c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  <c r="BO1801" s="12"/>
      <c r="BP1801" s="12"/>
      <c r="BQ1801" s="12"/>
      <c r="BR1801" s="12"/>
      <c r="BS1801" s="12"/>
      <c r="BT1801" s="12"/>
      <c r="BU1801" s="12"/>
      <c r="BV1801" s="12"/>
      <c r="BW1801" s="12"/>
      <c r="BX1801" s="12"/>
      <c r="BY1801" s="12"/>
      <c r="BZ1801" s="12"/>
      <c r="CA1801" s="12"/>
      <c r="CB1801" s="12"/>
      <c r="CC1801" s="12"/>
      <c r="CD1801" s="12"/>
    </row>
    <row r="1802" spans="1:82">
      <c r="A1802" s="13" t="s">
        <v>640</v>
      </c>
      <c r="B1802" s="12" t="str">
        <f t="shared" si="341"/>
        <v>SWART</v>
      </c>
      <c r="C1802" s="12" t="str">
        <f t="shared" si="342"/>
        <v>SWART</v>
      </c>
      <c r="D1802" s="12" t="s">
        <v>2818</v>
      </c>
      <c r="E1802" s="12" t="str">
        <f t="shared" si="352"/>
        <v>Matthys Johannes</v>
      </c>
      <c r="F1802" s="12" t="s">
        <v>13808</v>
      </c>
      <c r="G1802" s="12" t="str">
        <f t="shared" si="343"/>
        <v>a1b3c3d3e3f8</v>
      </c>
      <c r="H1802" s="12" t="str">
        <f t="shared" si="344"/>
        <v>SWARTa1b3c3d3e3f8</v>
      </c>
      <c r="I1802" s="12"/>
      <c r="J1802" s="12" t="s">
        <v>13809</v>
      </c>
      <c r="K1802" s="12" t="str">
        <f t="shared" si="345"/>
        <v>1824</v>
      </c>
      <c r="L1802" s="12"/>
      <c r="M1802" s="12"/>
      <c r="N1802" s="12" t="str">
        <f t="shared" si="350"/>
        <v>1824</v>
      </c>
      <c r="O1802" s="12" t="str">
        <f t="shared" si="351"/>
        <v/>
      </c>
      <c r="P1802" s="12" t="s">
        <v>67</v>
      </c>
      <c r="Q1802" s="12" t="str">
        <f t="shared" si="346"/>
        <v>1824</v>
      </c>
      <c r="R1802" s="12" t="s">
        <v>13810</v>
      </c>
      <c r="S1802" s="12" t="str">
        <f t="shared" si="347"/>
        <v>1880</v>
      </c>
      <c r="T1802" s="12"/>
      <c r="U1802" s="12"/>
      <c r="V1802" s="12" t="str">
        <f t="shared" si="348"/>
        <v/>
      </c>
      <c r="W1802" s="12" t="s">
        <v>5753</v>
      </c>
      <c r="X1802" s="12" t="s">
        <v>1685</v>
      </c>
      <c r="Y1802" s="12"/>
      <c r="Z1802" s="12"/>
      <c r="AA1802" s="12"/>
      <c r="AB1802" s="12"/>
      <c r="AC1802" s="12"/>
      <c r="AD1802" s="12"/>
      <c r="AE1802" s="12"/>
      <c r="AF1802" s="12"/>
      <c r="AG1802" s="12" t="s">
        <v>32</v>
      </c>
      <c r="AH1802" s="12">
        <v>1839</v>
      </c>
      <c r="AI1802" s="12" t="str">
        <f t="shared" si="349"/>
        <v>1839</v>
      </c>
      <c r="AJ1802" s="12"/>
      <c r="AK1802" s="12" t="s">
        <v>4129</v>
      </c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  <c r="BO1802" s="12"/>
      <c r="BP1802" s="12"/>
      <c r="BQ1802" s="12"/>
      <c r="BR1802" s="12"/>
      <c r="BS1802" s="12"/>
      <c r="BT1802" s="12"/>
      <c r="BU1802" s="12"/>
      <c r="BV1802" s="12"/>
      <c r="BW1802" s="12"/>
      <c r="BX1802" s="12"/>
      <c r="BY1802" s="12"/>
      <c r="BZ1802" s="12"/>
      <c r="CA1802" s="12"/>
      <c r="CB1802" s="12"/>
      <c r="CC1802" s="12"/>
      <c r="CD1802" s="12"/>
    </row>
    <row r="1803" spans="1:82">
      <c r="A1803" s="13" t="s">
        <v>13818</v>
      </c>
      <c r="B1803" s="12" t="str">
        <f t="shared" si="341"/>
        <v>TAUTE</v>
      </c>
      <c r="C1803" s="12" t="str">
        <f t="shared" si="342"/>
        <v>TAUTE</v>
      </c>
      <c r="D1803" s="12" t="s">
        <v>13830</v>
      </c>
      <c r="E1803" s="12" t="str">
        <f t="shared" si="352"/>
        <v>Mattheus Pieter</v>
      </c>
      <c r="F1803" s="12" t="s">
        <v>13831</v>
      </c>
      <c r="G1803" s="12" t="str">
        <f t="shared" si="343"/>
        <v>a1b4c7d2</v>
      </c>
      <c r="H1803" s="12" t="str">
        <f t="shared" si="344"/>
        <v>TAUTEa1b4c7d2</v>
      </c>
      <c r="I1803" s="12"/>
      <c r="J1803" s="12" t="s">
        <v>1536</v>
      </c>
      <c r="K1803" s="12" t="str">
        <f t="shared" si="345"/>
        <v>1818</v>
      </c>
      <c r="L1803" s="12" t="s">
        <v>74</v>
      </c>
      <c r="M1803" s="12" t="s">
        <v>13832</v>
      </c>
      <c r="N1803" s="12" t="str">
        <f t="shared" si="350"/>
        <v>1818</v>
      </c>
      <c r="O1803" s="12" t="str">
        <f t="shared" si="351"/>
        <v>16 ?</v>
      </c>
      <c r="P1803" s="12" t="s">
        <v>71</v>
      </c>
      <c r="Q1803" s="12" t="str">
        <f t="shared" si="346"/>
        <v>1818</v>
      </c>
      <c r="R1803" s="12" t="s">
        <v>72</v>
      </c>
      <c r="S1803" s="12" t="str">
        <f t="shared" si="347"/>
        <v>1838</v>
      </c>
      <c r="T1803" s="12"/>
      <c r="U1803" s="12"/>
      <c r="V1803" s="12" t="str">
        <f t="shared" si="348"/>
        <v/>
      </c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 t="s">
        <v>13825</v>
      </c>
      <c r="AG1803" s="12" t="s">
        <v>366</v>
      </c>
      <c r="AH1803" s="12" t="s">
        <v>12933</v>
      </c>
      <c r="AI1803" s="12" t="str">
        <f t="shared" si="349"/>
        <v>1837</v>
      </c>
      <c r="AJ1803" s="12" t="s">
        <v>13826</v>
      </c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  <c r="BO1803" s="12"/>
      <c r="BP1803" s="12"/>
      <c r="BQ1803" s="12"/>
      <c r="BR1803" s="12"/>
      <c r="BS1803" s="12"/>
      <c r="BT1803" s="12"/>
      <c r="BU1803" s="12"/>
      <c r="BV1803" s="12"/>
      <c r="BW1803" s="12"/>
      <c r="BX1803" s="12"/>
      <c r="BY1803" s="12"/>
      <c r="BZ1803" s="12"/>
      <c r="CA1803" s="12"/>
      <c r="CB1803" s="12"/>
      <c r="CC1803" s="12"/>
      <c r="CD1803" s="12"/>
    </row>
    <row r="1804" spans="1:82">
      <c r="A1804" s="13" t="s">
        <v>13818</v>
      </c>
      <c r="B1804" s="12" t="str">
        <f t="shared" si="341"/>
        <v>TAUTE</v>
      </c>
      <c r="C1804" s="12" t="str">
        <f t="shared" si="342"/>
        <v>TAUTE</v>
      </c>
      <c r="D1804" s="12" t="s">
        <v>13819</v>
      </c>
      <c r="E1804" s="12" t="str">
        <f t="shared" si="352"/>
        <v>Johan Hendrik Frederik</v>
      </c>
      <c r="F1804" s="12" t="s">
        <v>13820</v>
      </c>
      <c r="G1804" s="12" t="str">
        <f t="shared" si="343"/>
        <v>a1b4c7d3</v>
      </c>
      <c r="H1804" s="12" t="str">
        <f t="shared" si="344"/>
        <v>TAUTEa1b4c7d3</v>
      </c>
      <c r="I1804" s="12"/>
      <c r="J1804" s="12" t="s">
        <v>13821</v>
      </c>
      <c r="K1804" s="12" t="str">
        <f t="shared" si="345"/>
        <v>1819</v>
      </c>
      <c r="L1804" s="12" t="s">
        <v>366</v>
      </c>
      <c r="M1804" s="12" t="s">
        <v>4720</v>
      </c>
      <c r="N1804" s="12" t="str">
        <f t="shared" si="350"/>
        <v>1819</v>
      </c>
      <c r="O1804" s="12" t="str">
        <f t="shared" si="351"/>
        <v>1819</v>
      </c>
      <c r="P1804" s="12"/>
      <c r="Q1804" s="12" t="str">
        <f t="shared" si="346"/>
        <v>1819</v>
      </c>
      <c r="R1804" s="12">
        <v>1868</v>
      </c>
      <c r="S1804" s="12" t="str">
        <f t="shared" si="347"/>
        <v>1868</v>
      </c>
      <c r="T1804" s="12"/>
      <c r="U1804" s="12" t="s">
        <v>13822</v>
      </c>
      <c r="V1804" s="12" t="str">
        <f t="shared" si="348"/>
        <v>1841</v>
      </c>
      <c r="W1804" s="12" t="s">
        <v>2554</v>
      </c>
      <c r="X1804" s="12" t="s">
        <v>664</v>
      </c>
      <c r="Y1804" s="12"/>
      <c r="Z1804" s="12"/>
      <c r="AA1804" s="12" t="s">
        <v>13823</v>
      </c>
      <c r="AB1804" s="12"/>
      <c r="AC1804" s="12"/>
      <c r="AD1804" s="12"/>
      <c r="AE1804" s="12" t="s">
        <v>13824</v>
      </c>
      <c r="AF1804" s="12" t="s">
        <v>13825</v>
      </c>
      <c r="AG1804" s="12" t="s">
        <v>366</v>
      </c>
      <c r="AH1804" s="12" t="s">
        <v>12933</v>
      </c>
      <c r="AI1804" s="12" t="str">
        <f t="shared" si="349"/>
        <v>1837</v>
      </c>
      <c r="AJ1804" s="12" t="s">
        <v>13826</v>
      </c>
      <c r="AK1804" s="12"/>
      <c r="AL1804" s="12"/>
      <c r="AM1804" s="12" t="s">
        <v>13827</v>
      </c>
      <c r="AN1804" s="12" t="s">
        <v>13828</v>
      </c>
      <c r="AO1804" s="12" t="s">
        <v>13829</v>
      </c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2"/>
      <c r="BM1804" s="12"/>
      <c r="BN1804" s="12"/>
      <c r="BO1804" s="12"/>
      <c r="BP1804" s="12"/>
      <c r="BQ1804" s="12"/>
      <c r="BR1804" s="12"/>
      <c r="BS1804" s="12"/>
      <c r="BT1804" s="12"/>
      <c r="BU1804" s="12"/>
      <c r="BV1804" s="12"/>
      <c r="BW1804" s="12"/>
      <c r="BX1804" s="12"/>
      <c r="BY1804" s="12"/>
      <c r="BZ1804" s="12"/>
      <c r="CA1804" s="12"/>
      <c r="CB1804" s="12"/>
      <c r="CC1804" s="12"/>
      <c r="CD1804" s="12"/>
    </row>
    <row r="1805" spans="1:82">
      <c r="A1805" s="13" t="s">
        <v>13833</v>
      </c>
      <c r="B1805" s="12" t="str">
        <f t="shared" si="341"/>
        <v>TERRBLANCHE</v>
      </c>
      <c r="C1805" s="12" t="str">
        <f t="shared" si="342"/>
        <v>TERRBLANCHE</v>
      </c>
      <c r="D1805" s="12" t="s">
        <v>13834</v>
      </c>
      <c r="E1805" s="12" t="str">
        <f t="shared" si="352"/>
        <v>Johannes (Jan) Abraham</v>
      </c>
      <c r="F1805" s="12" t="s">
        <v>13835</v>
      </c>
      <c r="G1805" s="12" t="str">
        <f t="shared" si="343"/>
        <v>a1b4c2d1e10</v>
      </c>
      <c r="H1805" s="12" t="str">
        <f t="shared" si="344"/>
        <v>TERRBLANCHEa1b4c2d1e10</v>
      </c>
      <c r="I1805" s="12"/>
      <c r="J1805" s="12" t="s">
        <v>9706</v>
      </c>
      <c r="K1805" s="12" t="str">
        <f t="shared" si="345"/>
        <v>1819</v>
      </c>
      <c r="L1805" s="12" t="s">
        <v>53</v>
      </c>
      <c r="M1805" s="12" t="s">
        <v>12782</v>
      </c>
      <c r="N1805" s="12" t="str">
        <f t="shared" si="350"/>
        <v>1819</v>
      </c>
      <c r="O1805" s="12" t="str">
        <f t="shared" si="351"/>
        <v>1819</v>
      </c>
      <c r="P1805" s="12"/>
      <c r="Q1805" s="12" t="str">
        <f t="shared" si="346"/>
        <v>1819</v>
      </c>
      <c r="R1805" s="12"/>
      <c r="S1805" s="12" t="str">
        <f t="shared" si="347"/>
        <v/>
      </c>
      <c r="T1805" s="12"/>
      <c r="U1805" s="12"/>
      <c r="V1805" s="12" t="str">
        <f t="shared" si="348"/>
        <v/>
      </c>
      <c r="W1805" s="12" t="s">
        <v>1709</v>
      </c>
      <c r="X1805" s="12" t="s">
        <v>1320</v>
      </c>
      <c r="Y1805" s="12"/>
      <c r="Z1805" s="12"/>
      <c r="AA1805" s="12" t="s">
        <v>13836</v>
      </c>
      <c r="AB1805" s="12" t="s">
        <v>74</v>
      </c>
      <c r="AC1805" s="12" t="s">
        <v>1306</v>
      </c>
      <c r="AD1805" s="12"/>
      <c r="AE1805" s="12"/>
      <c r="AF1805" s="12" t="s">
        <v>13837</v>
      </c>
      <c r="AG1805" s="12" t="s">
        <v>74</v>
      </c>
      <c r="AH1805" s="12">
        <v>1845</v>
      </c>
      <c r="AI1805" s="12" t="str">
        <f t="shared" si="349"/>
        <v>1845</v>
      </c>
      <c r="AJ1805" s="12"/>
      <c r="AK1805" s="12" t="s">
        <v>90</v>
      </c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2"/>
      <c r="BM1805" s="12"/>
      <c r="BN1805" s="12"/>
      <c r="BO1805" s="12"/>
      <c r="BP1805" s="12"/>
      <c r="BQ1805" s="12"/>
      <c r="BR1805" s="12"/>
      <c r="BS1805" s="12"/>
      <c r="BT1805" s="12"/>
      <c r="BU1805" s="12"/>
      <c r="BV1805" s="12"/>
      <c r="BW1805" s="12"/>
      <c r="BX1805" s="12"/>
      <c r="BY1805" s="12"/>
      <c r="BZ1805" s="12"/>
      <c r="CA1805" s="12"/>
      <c r="CB1805" s="12"/>
      <c r="CC1805" s="12"/>
      <c r="CD1805" s="12"/>
    </row>
    <row r="1806" spans="1:82">
      <c r="A1806" s="13" t="s">
        <v>821</v>
      </c>
      <c r="B1806" s="12" t="str">
        <f t="shared" si="341"/>
        <v>THERON</v>
      </c>
      <c r="C1806" s="12" t="str">
        <f t="shared" si="342"/>
        <v>THERON</v>
      </c>
      <c r="D1806" s="12" t="s">
        <v>13860</v>
      </c>
      <c r="E1806" s="12" t="str">
        <f t="shared" si="352"/>
        <v>Thomas Francois</v>
      </c>
      <c r="F1806" s="12" t="s">
        <v>13861</v>
      </c>
      <c r="G1806" s="12" t="str">
        <f t="shared" si="343"/>
        <v xml:space="preserve">a1b4c7d1e4 </v>
      </c>
      <c r="H1806" s="12" t="str">
        <f t="shared" si="344"/>
        <v xml:space="preserve">THERONa1b4c7d1e4 </v>
      </c>
      <c r="I1806" s="12"/>
      <c r="J1806" s="12" t="s">
        <v>13862</v>
      </c>
      <c r="K1806" s="12" t="str">
        <f t="shared" si="345"/>
        <v>1797</v>
      </c>
      <c r="L1806" s="12" t="s">
        <v>542</v>
      </c>
      <c r="M1806" s="12" t="s">
        <v>4231</v>
      </c>
      <c r="N1806" s="12" t="str">
        <f t="shared" si="350"/>
        <v>1797</v>
      </c>
      <c r="O1806" s="12" t="str">
        <f t="shared" si="351"/>
        <v>1797</v>
      </c>
      <c r="P1806" s="12" t="s">
        <v>190</v>
      </c>
      <c r="Q1806" s="12" t="str">
        <f t="shared" si="346"/>
        <v>1797</v>
      </c>
      <c r="R1806" s="12" t="s">
        <v>13863</v>
      </c>
      <c r="S1806" s="12" t="str">
        <f t="shared" si="347"/>
        <v>1856</v>
      </c>
      <c r="T1806" s="12" t="s">
        <v>74</v>
      </c>
      <c r="U1806" s="12" t="s">
        <v>4273</v>
      </c>
      <c r="V1806" s="12" t="str">
        <f t="shared" si="348"/>
        <v>1819</v>
      </c>
      <c r="W1806" s="12" t="s">
        <v>806</v>
      </c>
      <c r="X1806" s="12" t="s">
        <v>700</v>
      </c>
      <c r="Y1806" s="12"/>
      <c r="Z1806" s="12"/>
      <c r="AA1806" s="12" t="s">
        <v>13864</v>
      </c>
      <c r="AB1806" s="12"/>
      <c r="AC1806" s="12" t="s">
        <v>8843</v>
      </c>
      <c r="AD1806" s="12"/>
      <c r="AE1806" s="12"/>
      <c r="AF1806" s="12"/>
      <c r="AG1806" s="12" t="s">
        <v>74</v>
      </c>
      <c r="AH1806" s="12">
        <v>1845</v>
      </c>
      <c r="AI1806" s="12" t="str">
        <f t="shared" si="349"/>
        <v>1845</v>
      </c>
      <c r="AJ1806" s="12"/>
      <c r="AK1806" s="12" t="s">
        <v>190</v>
      </c>
      <c r="AL1806" s="12"/>
      <c r="AM1806" s="12"/>
      <c r="AN1806" s="12" t="s">
        <v>13865</v>
      </c>
      <c r="AO1806" s="12" t="s">
        <v>13866</v>
      </c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2"/>
      <c r="BM1806" s="12"/>
      <c r="BN1806" s="12"/>
      <c r="BO1806" s="12"/>
      <c r="BP1806" s="12"/>
      <c r="BQ1806" s="12"/>
      <c r="BR1806" s="12"/>
      <c r="BS1806" s="12"/>
      <c r="BT1806" s="12"/>
      <c r="BU1806" s="12"/>
      <c r="BV1806" s="12"/>
      <c r="BW1806" s="12"/>
      <c r="BX1806" s="12"/>
      <c r="BY1806" s="12"/>
      <c r="BZ1806" s="12"/>
      <c r="CA1806" s="12"/>
      <c r="CB1806" s="12"/>
      <c r="CC1806" s="12"/>
      <c r="CD1806" s="12"/>
    </row>
    <row r="1807" spans="1:82">
      <c r="A1807" s="13" t="s">
        <v>821</v>
      </c>
      <c r="B1807" s="12" t="str">
        <f t="shared" si="341"/>
        <v>THERON</v>
      </c>
      <c r="C1807" s="12" t="str">
        <f t="shared" si="342"/>
        <v>THERON</v>
      </c>
      <c r="D1807" s="12" t="s">
        <v>13838</v>
      </c>
      <c r="E1807" s="12" t="str">
        <f t="shared" si="352"/>
        <v>Hendrik Schalk</v>
      </c>
      <c r="F1807" s="12" t="s">
        <v>13839</v>
      </c>
      <c r="G1807" s="12" t="str">
        <f t="shared" si="343"/>
        <v>a1b4c7d1e4f3</v>
      </c>
      <c r="H1807" s="12" t="str">
        <f t="shared" si="344"/>
        <v>THERONa1b4c7d1e4f3</v>
      </c>
      <c r="I1807" s="12"/>
      <c r="J1807" s="12" t="s">
        <v>13840</v>
      </c>
      <c r="K1807" s="12" t="str">
        <f t="shared" si="345"/>
        <v>1823</v>
      </c>
      <c r="L1807" s="12" t="s">
        <v>74</v>
      </c>
      <c r="M1807" s="12" t="s">
        <v>13840</v>
      </c>
      <c r="N1807" s="12" t="str">
        <f t="shared" si="350"/>
        <v>1823</v>
      </c>
      <c r="O1807" s="12" t="str">
        <f t="shared" si="351"/>
        <v>1823</v>
      </c>
      <c r="P1807" s="12" t="s">
        <v>190</v>
      </c>
      <c r="Q1807" s="12" t="str">
        <f t="shared" si="346"/>
        <v>1823</v>
      </c>
      <c r="R1807" s="12" t="s">
        <v>13841</v>
      </c>
      <c r="S1807" s="12" t="str">
        <f t="shared" si="347"/>
        <v>1896</v>
      </c>
      <c r="T1807" s="12" t="s">
        <v>190</v>
      </c>
      <c r="U1807" s="12" t="s">
        <v>13842</v>
      </c>
      <c r="V1807" s="12" t="str">
        <f t="shared" si="348"/>
        <v>1848</v>
      </c>
      <c r="W1807" s="12" t="s">
        <v>13843</v>
      </c>
      <c r="X1807" s="12" t="s">
        <v>1003</v>
      </c>
      <c r="Y1807" s="12"/>
      <c r="Z1807" s="12" t="s">
        <v>32</v>
      </c>
      <c r="AA1807" s="12" t="s">
        <v>13844</v>
      </c>
      <c r="AB1807" s="12"/>
      <c r="AC1807" s="12"/>
      <c r="AD1807" s="12" t="s">
        <v>190</v>
      </c>
      <c r="AE1807" s="12" t="s">
        <v>13845</v>
      </c>
      <c r="AF1807" s="12"/>
      <c r="AG1807" s="12" t="s">
        <v>74</v>
      </c>
      <c r="AH1807" s="12">
        <v>1845</v>
      </c>
      <c r="AI1807" s="12" t="str">
        <f t="shared" si="349"/>
        <v>1845</v>
      </c>
      <c r="AJ1807" s="12"/>
      <c r="AK1807" s="12" t="s">
        <v>190</v>
      </c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2"/>
      <c r="BM1807" s="12"/>
      <c r="BN1807" s="12"/>
      <c r="BO1807" s="12"/>
      <c r="BP1807" s="12"/>
      <c r="BQ1807" s="12"/>
      <c r="BR1807" s="12"/>
      <c r="BS1807" s="12"/>
      <c r="BT1807" s="12"/>
      <c r="BU1807" s="12"/>
      <c r="BV1807" s="12"/>
      <c r="BW1807" s="12"/>
      <c r="BX1807" s="12"/>
      <c r="BY1807" s="12"/>
      <c r="BZ1807" s="12"/>
      <c r="CA1807" s="12"/>
      <c r="CB1807" s="12"/>
      <c r="CC1807" s="12"/>
      <c r="CD1807" s="12"/>
    </row>
    <row r="1808" spans="1:82">
      <c r="A1808" s="13" t="s">
        <v>821</v>
      </c>
      <c r="B1808" s="12" t="str">
        <f t="shared" si="341"/>
        <v>THERON</v>
      </c>
      <c r="C1808" s="12" t="str">
        <f t="shared" si="342"/>
        <v>THERON</v>
      </c>
      <c r="D1808" s="12" t="s">
        <v>175</v>
      </c>
      <c r="E1808" s="12" t="str">
        <f t="shared" si="352"/>
        <v>Petrus Jacobus</v>
      </c>
      <c r="F1808" s="12" t="s">
        <v>13852</v>
      </c>
      <c r="G1808" s="12" t="str">
        <f t="shared" si="343"/>
        <v>a1b4c7d1e4f4</v>
      </c>
      <c r="H1808" s="12" t="str">
        <f t="shared" si="344"/>
        <v>THERONa1b4c7d1e4f4</v>
      </c>
      <c r="I1808" s="12"/>
      <c r="J1808" s="12" t="s">
        <v>13853</v>
      </c>
      <c r="K1808" s="12" t="str">
        <f t="shared" si="345"/>
        <v>1825</v>
      </c>
      <c r="L1808" s="12" t="s">
        <v>74</v>
      </c>
      <c r="M1808" s="12" t="s">
        <v>9667</v>
      </c>
      <c r="N1808" s="12" t="str">
        <f t="shared" si="350"/>
        <v>1825</v>
      </c>
      <c r="O1808" s="12" t="str">
        <f t="shared" si="351"/>
        <v>1825</v>
      </c>
      <c r="P1808" s="12" t="s">
        <v>190</v>
      </c>
      <c r="Q1808" s="12" t="str">
        <f t="shared" si="346"/>
        <v>1825</v>
      </c>
      <c r="R1808" s="12" t="s">
        <v>13854</v>
      </c>
      <c r="S1808" s="12" t="str">
        <f t="shared" si="347"/>
        <v>1852</v>
      </c>
      <c r="T1808" s="12"/>
      <c r="U1808" s="12"/>
      <c r="V1808" s="12" t="str">
        <f t="shared" si="348"/>
        <v/>
      </c>
      <c r="W1808" s="12" t="s">
        <v>13855</v>
      </c>
      <c r="X1808" s="12" t="s">
        <v>821</v>
      </c>
      <c r="Y1808" s="12"/>
      <c r="Z1808" s="12"/>
      <c r="AA1808" s="12" t="s">
        <v>13856</v>
      </c>
      <c r="AB1808" s="12" t="s">
        <v>74</v>
      </c>
      <c r="AC1808" s="12" t="s">
        <v>10972</v>
      </c>
      <c r="AD1808" s="12"/>
      <c r="AE1808" s="12">
        <v>1855</v>
      </c>
      <c r="AF1808" s="12"/>
      <c r="AG1808" s="12" t="s">
        <v>74</v>
      </c>
      <c r="AH1808" s="12">
        <v>1845</v>
      </c>
      <c r="AI1808" s="12" t="str">
        <f t="shared" si="349"/>
        <v>1845</v>
      </c>
      <c r="AJ1808" s="12"/>
      <c r="AK1808" s="12" t="s">
        <v>190</v>
      </c>
      <c r="AL1808" s="12" t="s">
        <v>31</v>
      </c>
      <c r="AM1808" s="12" t="s">
        <v>13857</v>
      </c>
      <c r="AN1808" s="12" t="s">
        <v>3857</v>
      </c>
      <c r="AO1808" s="12" t="s">
        <v>1453</v>
      </c>
      <c r="AP1808" s="12"/>
      <c r="AQ1808" s="12" t="s">
        <v>395</v>
      </c>
      <c r="AR1808" s="12" t="s">
        <v>13858</v>
      </c>
      <c r="AS1808" s="12"/>
      <c r="AT1808" s="12"/>
      <c r="AU1808" s="12" t="s">
        <v>190</v>
      </c>
      <c r="AV1808" s="12" t="s">
        <v>13859</v>
      </c>
      <c r="AW1808" s="12"/>
      <c r="AX1808" s="12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2"/>
      <c r="BM1808" s="12"/>
      <c r="BN1808" s="12"/>
      <c r="BO1808" s="12"/>
      <c r="BP1808" s="12"/>
      <c r="BQ1808" s="12"/>
      <c r="BR1808" s="12"/>
      <c r="BS1808" s="12"/>
      <c r="BT1808" s="12"/>
      <c r="BU1808" s="12"/>
      <c r="BV1808" s="12"/>
      <c r="BW1808" s="12"/>
      <c r="BX1808" s="12"/>
      <c r="BY1808" s="12"/>
      <c r="BZ1808" s="12"/>
      <c r="CA1808" s="12"/>
      <c r="CB1808" s="12"/>
      <c r="CC1808" s="12"/>
      <c r="CD1808" s="12"/>
    </row>
    <row r="1809" spans="1:82">
      <c r="A1809" s="13" t="s">
        <v>821</v>
      </c>
      <c r="B1809" s="12" t="str">
        <f t="shared" si="341"/>
        <v>THERON</v>
      </c>
      <c r="C1809" s="12" t="str">
        <f t="shared" si="342"/>
        <v>THERON</v>
      </c>
      <c r="D1809" s="12" t="s">
        <v>13846</v>
      </c>
      <c r="E1809" s="12" t="str">
        <f t="shared" si="352"/>
        <v>Jacobus Arnoldus</v>
      </c>
      <c r="F1809" s="12" t="s">
        <v>13847</v>
      </c>
      <c r="G1809" s="12" t="str">
        <f t="shared" si="343"/>
        <v>a1b4c7d1e7</v>
      </c>
      <c r="H1809" s="12" t="str">
        <f t="shared" si="344"/>
        <v>THERONa1b4c7d1e7</v>
      </c>
      <c r="I1809" s="12"/>
      <c r="J1809" s="12" t="s">
        <v>13848</v>
      </c>
      <c r="K1809" s="12" t="str">
        <f t="shared" si="345"/>
        <v>1802</v>
      </c>
      <c r="L1809" s="12" t="s">
        <v>542</v>
      </c>
      <c r="M1809" s="12" t="s">
        <v>10108</v>
      </c>
      <c r="N1809" s="12" t="str">
        <f t="shared" si="350"/>
        <v>1802</v>
      </c>
      <c r="O1809" s="12" t="str">
        <f t="shared" si="351"/>
        <v>1802</v>
      </c>
      <c r="P1809" s="12" t="s">
        <v>1774</v>
      </c>
      <c r="Q1809" s="12" t="str">
        <f t="shared" si="346"/>
        <v>1802</v>
      </c>
      <c r="R1809" s="12" t="s">
        <v>13849</v>
      </c>
      <c r="S1809" s="12" t="str">
        <f t="shared" si="347"/>
        <v>1873</v>
      </c>
      <c r="T1809" s="12" t="s">
        <v>74</v>
      </c>
      <c r="U1809" s="12" t="s">
        <v>4369</v>
      </c>
      <c r="V1809" s="12" t="str">
        <f t="shared" si="348"/>
        <v>1821</v>
      </c>
      <c r="W1809" s="12" t="s">
        <v>13618</v>
      </c>
      <c r="X1809" s="12" t="s">
        <v>669</v>
      </c>
      <c r="Y1809" s="12"/>
      <c r="Z1809" s="12"/>
      <c r="AA1809" s="12" t="s">
        <v>13850</v>
      </c>
      <c r="AB1809" s="12" t="s">
        <v>74</v>
      </c>
      <c r="AC1809" s="12" t="s">
        <v>2895</v>
      </c>
      <c r="AD1809" s="12"/>
      <c r="AE1809" s="12" t="s">
        <v>1182</v>
      </c>
      <c r="AF1809" s="12"/>
      <c r="AG1809" s="12" t="s">
        <v>12445</v>
      </c>
      <c r="AH1809" s="12">
        <v>1840</v>
      </c>
      <c r="AI1809" s="12" t="str">
        <f t="shared" si="349"/>
        <v>1840</v>
      </c>
      <c r="AJ1809" s="12"/>
      <c r="AK1809" s="12" t="s">
        <v>1774</v>
      </c>
      <c r="AL1809" s="12" t="s">
        <v>74</v>
      </c>
      <c r="AM1809" s="12" t="s">
        <v>13236</v>
      </c>
      <c r="AN1809" s="12" t="s">
        <v>13851</v>
      </c>
      <c r="AO1809" s="12" t="s">
        <v>784</v>
      </c>
      <c r="AP1809" s="12"/>
      <c r="AQ1809" s="12"/>
      <c r="AR1809" s="12"/>
      <c r="AS1809" s="12"/>
      <c r="AT1809" s="12" t="s">
        <v>2247</v>
      </c>
      <c r="AU1809" s="12" t="s">
        <v>1774</v>
      </c>
      <c r="AV1809" s="12" t="s">
        <v>9593</v>
      </c>
      <c r="AW1809" s="12"/>
      <c r="AX1809" s="12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2"/>
      <c r="BM1809" s="12"/>
      <c r="BN1809" s="12"/>
      <c r="BO1809" s="12"/>
      <c r="BP1809" s="12"/>
      <c r="BQ1809" s="12"/>
      <c r="BR1809" s="12"/>
      <c r="BS1809" s="12"/>
      <c r="BT1809" s="12"/>
      <c r="BU1809" s="12"/>
      <c r="BV1809" s="12"/>
      <c r="BW1809" s="12"/>
      <c r="BX1809" s="12"/>
      <c r="BY1809" s="12"/>
      <c r="BZ1809" s="12"/>
      <c r="CA1809" s="12"/>
      <c r="CB1809" s="12"/>
      <c r="CC1809" s="12"/>
      <c r="CD1809" s="12"/>
    </row>
    <row r="1810" spans="1:82">
      <c r="A1810" s="13" t="s">
        <v>5174</v>
      </c>
      <c r="B1810" s="12" t="str">
        <f t="shared" si="341"/>
        <v>THEUNISSEN</v>
      </c>
      <c r="C1810" s="12" t="str">
        <f t="shared" si="342"/>
        <v>THEUNISSEN</v>
      </c>
      <c r="D1810" s="12" t="s">
        <v>1877</v>
      </c>
      <c r="E1810" s="12" t="str">
        <f t="shared" si="352"/>
        <v>Nicolaas Jacobus</v>
      </c>
      <c r="F1810" s="12" t="s">
        <v>837</v>
      </c>
      <c r="G1810" s="12" t="str">
        <f t="shared" si="343"/>
        <v>a1b1</v>
      </c>
      <c r="H1810" s="12" t="str">
        <f t="shared" si="344"/>
        <v>THEUNISSENa1b1</v>
      </c>
      <c r="I1810" s="12"/>
      <c r="J1810" s="12"/>
      <c r="K1810" s="12" t="str">
        <f t="shared" si="345"/>
        <v/>
      </c>
      <c r="L1810" s="12" t="s">
        <v>74</v>
      </c>
      <c r="M1810" s="12" t="s">
        <v>252</v>
      </c>
      <c r="N1810" s="12" t="str">
        <f t="shared" si="350"/>
        <v/>
      </c>
      <c r="O1810" s="12" t="str">
        <f t="shared" si="351"/>
        <v>1796</v>
      </c>
      <c r="P1810" s="12" t="s">
        <v>13875</v>
      </c>
      <c r="Q1810" s="12" t="str">
        <f t="shared" si="346"/>
        <v>1796</v>
      </c>
      <c r="R1810" s="12" t="s">
        <v>13876</v>
      </c>
      <c r="S1810" s="12" t="str">
        <f t="shared" si="347"/>
        <v>1851</v>
      </c>
      <c r="T1810" s="12"/>
      <c r="U1810" s="12"/>
      <c r="V1810" s="12" t="str">
        <f t="shared" si="348"/>
        <v/>
      </c>
      <c r="W1810" s="12" t="s">
        <v>3471</v>
      </c>
      <c r="X1810" s="12" t="s">
        <v>1453</v>
      </c>
      <c r="Y1810" s="12"/>
      <c r="Z1810" s="12"/>
      <c r="AA1810" s="12"/>
      <c r="AB1810" s="12"/>
      <c r="AC1810" s="12"/>
      <c r="AD1810" s="12"/>
      <c r="AE1810" s="12"/>
      <c r="AF1810" s="12" t="s">
        <v>3699</v>
      </c>
      <c r="AG1810" s="12" t="s">
        <v>68</v>
      </c>
      <c r="AH1810" s="12" t="s">
        <v>5021</v>
      </c>
      <c r="AI1810" s="12" t="str">
        <f t="shared" si="349"/>
        <v>1842</v>
      </c>
      <c r="AJ1810" s="12"/>
      <c r="AK1810" s="12" t="s">
        <v>140</v>
      </c>
      <c r="AL1810" s="12"/>
      <c r="AM1810" s="12"/>
      <c r="AN1810" s="12" t="s">
        <v>4407</v>
      </c>
      <c r="AO1810" s="12" t="s">
        <v>5394</v>
      </c>
      <c r="AP1810" s="12"/>
      <c r="AQ1810" s="12"/>
      <c r="AR1810" s="12"/>
      <c r="AS1810" s="12"/>
      <c r="AT1810" s="12"/>
      <c r="AU1810" s="12"/>
      <c r="AV1810" s="12"/>
      <c r="AW1810" s="12" t="s">
        <v>74</v>
      </c>
      <c r="AX1810" s="10" t="s">
        <v>1850</v>
      </c>
      <c r="AY1810" s="12" t="s">
        <v>2299</v>
      </c>
      <c r="AZ1810" s="12" t="s">
        <v>822</v>
      </c>
      <c r="BA1810" s="12"/>
      <c r="BB1810" s="12"/>
      <c r="BC1810" s="12" t="s">
        <v>8068</v>
      </c>
      <c r="BD1810" s="12"/>
      <c r="BE1810" s="12"/>
      <c r="BF1810" s="12"/>
      <c r="BG1810" s="12"/>
      <c r="BH1810" s="12"/>
      <c r="BI1810" s="12"/>
      <c r="BJ1810" s="12"/>
      <c r="BK1810" s="12"/>
      <c r="BL1810" s="12"/>
      <c r="BM1810" s="12"/>
      <c r="BN1810" s="12"/>
      <c r="BO1810" s="12"/>
      <c r="BP1810" s="12"/>
      <c r="BQ1810" s="12"/>
      <c r="BR1810" s="12"/>
      <c r="BS1810" s="12"/>
      <c r="BT1810" s="12"/>
      <c r="BU1810" s="12"/>
      <c r="BV1810" s="12"/>
      <c r="BW1810" s="12"/>
      <c r="BX1810" s="12"/>
      <c r="BY1810" s="12"/>
      <c r="BZ1810" s="12"/>
      <c r="CA1810" s="12"/>
      <c r="CB1810" s="12"/>
      <c r="CC1810" s="12"/>
      <c r="CD1810" s="12"/>
    </row>
    <row r="1811" spans="1:82">
      <c r="A1811" s="13" t="s">
        <v>5174</v>
      </c>
      <c r="B1811" s="12" t="str">
        <f t="shared" si="341"/>
        <v>THEUNISSEN</v>
      </c>
      <c r="C1811" s="12" t="str">
        <f t="shared" si="342"/>
        <v>THEUNISSEN</v>
      </c>
      <c r="D1811" s="12" t="s">
        <v>5254</v>
      </c>
      <c r="E1811" s="12" t="str">
        <f t="shared" si="352"/>
        <v>Christiaan Jacobus</v>
      </c>
      <c r="F1811" s="12" t="s">
        <v>3992</v>
      </c>
      <c r="G1811" s="12" t="str">
        <f t="shared" si="343"/>
        <v>a1b1c1</v>
      </c>
      <c r="H1811" s="12" t="str">
        <f t="shared" si="344"/>
        <v>THEUNISSENa1b1c1</v>
      </c>
      <c r="I1811" s="12" t="s">
        <v>74</v>
      </c>
      <c r="J1811" s="12"/>
      <c r="K1811" s="12" t="str">
        <f t="shared" si="345"/>
        <v/>
      </c>
      <c r="L1811" s="12" t="s">
        <v>74</v>
      </c>
      <c r="M1811" s="12">
        <v>1818</v>
      </c>
      <c r="N1811" s="12" t="str">
        <f t="shared" si="350"/>
        <v/>
      </c>
      <c r="O1811" s="12" t="str">
        <f t="shared" si="351"/>
        <v>1818</v>
      </c>
      <c r="P1811" s="12" t="s">
        <v>2890</v>
      </c>
      <c r="Q1811" s="12" t="str">
        <f t="shared" si="346"/>
        <v>1818</v>
      </c>
      <c r="R1811" s="12" t="s">
        <v>13867</v>
      </c>
      <c r="S1811" s="12" t="str">
        <f t="shared" si="347"/>
        <v>1899</v>
      </c>
      <c r="T1811" s="12"/>
      <c r="U1811" s="12"/>
      <c r="V1811" s="12" t="str">
        <f t="shared" si="348"/>
        <v/>
      </c>
      <c r="W1811" s="12" t="s">
        <v>3149</v>
      </c>
      <c r="X1811" s="12" t="s">
        <v>3146</v>
      </c>
      <c r="Y1811" s="12" t="s">
        <v>13868</v>
      </c>
      <c r="Z1811" s="12"/>
      <c r="AA1811" s="12" t="s">
        <v>13869</v>
      </c>
      <c r="AB1811" s="12" t="s">
        <v>28</v>
      </c>
      <c r="AC1811" s="12" t="s">
        <v>13870</v>
      </c>
      <c r="AD1811" s="12"/>
      <c r="AE1811" s="12"/>
      <c r="AF1811" s="12" t="s">
        <v>3699</v>
      </c>
      <c r="AG1811" s="12" t="s">
        <v>68</v>
      </c>
      <c r="AH1811" s="12">
        <v>1840</v>
      </c>
      <c r="AI1811" s="12" t="str">
        <f t="shared" si="349"/>
        <v>1840</v>
      </c>
      <c r="AJ1811" s="12"/>
      <c r="AK1811" s="12" t="s">
        <v>140</v>
      </c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2"/>
      <c r="BM1811" s="12"/>
      <c r="BN1811" s="12"/>
      <c r="BO1811" s="12"/>
      <c r="BP1811" s="12"/>
      <c r="BQ1811" s="12"/>
      <c r="BR1811" s="12"/>
      <c r="BS1811" s="12"/>
      <c r="BT1811" s="12"/>
      <c r="BU1811" s="12"/>
      <c r="BV1811" s="12"/>
      <c r="BW1811" s="12"/>
      <c r="BX1811" s="12"/>
      <c r="BY1811" s="12"/>
      <c r="BZ1811" s="12"/>
      <c r="CA1811" s="12"/>
      <c r="CB1811" s="12"/>
      <c r="CC1811" s="12"/>
      <c r="CD1811" s="12"/>
    </row>
    <row r="1812" spans="1:82">
      <c r="A1812" s="13" t="s">
        <v>5174</v>
      </c>
      <c r="B1812" s="12" t="str">
        <f t="shared" si="341"/>
        <v>THEUNISSEN</v>
      </c>
      <c r="C1812" s="12" t="str">
        <f t="shared" si="342"/>
        <v>THEUNISSEN</v>
      </c>
      <c r="D1812" s="12" t="s">
        <v>13871</v>
      </c>
      <c r="E1812" s="12" t="str">
        <f t="shared" si="352"/>
        <v>Johannes Godlieb</v>
      </c>
      <c r="F1812" s="12" t="s">
        <v>4001</v>
      </c>
      <c r="G1812" s="12" t="str">
        <f t="shared" si="343"/>
        <v>a1b1c3</v>
      </c>
      <c r="H1812" s="12" t="str">
        <f t="shared" si="344"/>
        <v>THEUNISSENa1b1c3</v>
      </c>
      <c r="I1812" s="12" t="s">
        <v>28</v>
      </c>
      <c r="J1812" s="12" t="s">
        <v>13872</v>
      </c>
      <c r="K1812" s="12" t="str">
        <f t="shared" si="345"/>
        <v>1822</v>
      </c>
      <c r="L1812" s="12"/>
      <c r="M1812" s="12"/>
      <c r="N1812" s="12" t="str">
        <f t="shared" si="350"/>
        <v>1822</v>
      </c>
      <c r="O1812" s="12" t="str">
        <f t="shared" si="351"/>
        <v/>
      </c>
      <c r="P1812" s="12" t="s">
        <v>3698</v>
      </c>
      <c r="Q1812" s="12" t="str">
        <f t="shared" si="346"/>
        <v>1822</v>
      </c>
      <c r="R1812" s="12" t="s">
        <v>13873</v>
      </c>
      <c r="S1812" s="12" t="str">
        <f t="shared" si="347"/>
        <v>1884</v>
      </c>
      <c r="T1812" s="12"/>
      <c r="U1812" s="12"/>
      <c r="V1812" s="12" t="str">
        <f t="shared" si="348"/>
        <v/>
      </c>
      <c r="W1812" s="12" t="s">
        <v>1387</v>
      </c>
      <c r="X1812" s="12" t="s">
        <v>2901</v>
      </c>
      <c r="Y1812" s="12"/>
      <c r="Z1812" s="12"/>
      <c r="AA1812" s="12"/>
      <c r="AB1812" s="12"/>
      <c r="AC1812" s="12"/>
      <c r="AD1812" s="12"/>
      <c r="AE1812" s="12"/>
      <c r="AF1812" s="12" t="s">
        <v>3699</v>
      </c>
      <c r="AG1812" s="12" t="s">
        <v>68</v>
      </c>
      <c r="AH1812" s="12">
        <v>1840</v>
      </c>
      <c r="AI1812" s="12" t="str">
        <f t="shared" si="349"/>
        <v>1840</v>
      </c>
      <c r="AJ1812" s="12"/>
      <c r="AK1812" s="12" t="s">
        <v>3698</v>
      </c>
      <c r="AL1812" s="12"/>
      <c r="AM1812" s="12"/>
      <c r="AN1812" s="12" t="s">
        <v>1387</v>
      </c>
      <c r="AO1812" s="12" t="s">
        <v>655</v>
      </c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 t="s">
        <v>13874</v>
      </c>
      <c r="AZ1812" s="12" t="s">
        <v>625</v>
      </c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2"/>
      <c r="BM1812" s="12"/>
      <c r="BN1812" s="12"/>
      <c r="BO1812" s="12"/>
      <c r="BP1812" s="12"/>
      <c r="BQ1812" s="12"/>
      <c r="BR1812" s="12"/>
      <c r="BS1812" s="12"/>
      <c r="BT1812" s="12"/>
      <c r="BU1812" s="12"/>
      <c r="BV1812" s="12"/>
      <c r="BW1812" s="12"/>
      <c r="BX1812" s="12"/>
      <c r="BY1812" s="12"/>
      <c r="BZ1812" s="12"/>
      <c r="CA1812" s="12"/>
      <c r="CB1812" s="12"/>
      <c r="CC1812" s="12"/>
      <c r="CD1812" s="12"/>
    </row>
    <row r="1813" spans="1:82">
      <c r="A1813" s="13" t="s">
        <v>5174</v>
      </c>
      <c r="B1813" s="12" t="str">
        <f t="shared" si="341"/>
        <v>THEUNISSEN</v>
      </c>
      <c r="C1813" s="12" t="str">
        <f t="shared" si="342"/>
        <v>THEUNISSEN</v>
      </c>
      <c r="D1813" s="12" t="s">
        <v>1877</v>
      </c>
      <c r="E1813" s="12" t="str">
        <f t="shared" si="352"/>
        <v>Nicolaas Jacobus</v>
      </c>
      <c r="F1813" s="12" t="s">
        <v>944</v>
      </c>
      <c r="G1813" s="12" t="str">
        <f t="shared" si="343"/>
        <v>a1b1c4</v>
      </c>
      <c r="H1813" s="12" t="str">
        <f t="shared" si="344"/>
        <v>THEUNISSENa1b1c4</v>
      </c>
      <c r="I1813" s="12"/>
      <c r="J1813" s="12" t="s">
        <v>13877</v>
      </c>
      <c r="K1813" s="12" t="str">
        <f t="shared" si="345"/>
        <v>1823</v>
      </c>
      <c r="L1813" s="12" t="s">
        <v>28</v>
      </c>
      <c r="M1813" s="12" t="s">
        <v>5319</v>
      </c>
      <c r="N1813" s="12" t="str">
        <f t="shared" si="350"/>
        <v>1823</v>
      </c>
      <c r="O1813" s="12" t="str">
        <f t="shared" si="351"/>
        <v>1824</v>
      </c>
      <c r="P1813" s="12"/>
      <c r="Q1813" s="12" t="str">
        <f t="shared" si="346"/>
        <v>1823</v>
      </c>
      <c r="R1813" s="12"/>
      <c r="S1813" s="12" t="str">
        <f t="shared" si="347"/>
        <v/>
      </c>
      <c r="T1813" s="12" t="s">
        <v>140</v>
      </c>
      <c r="U1813" s="12" t="s">
        <v>13878</v>
      </c>
      <c r="V1813" s="12" t="str">
        <f t="shared" si="348"/>
        <v>1845</v>
      </c>
      <c r="W1813" s="12" t="s">
        <v>13879</v>
      </c>
      <c r="X1813" s="12" t="s">
        <v>655</v>
      </c>
      <c r="Y1813" s="12"/>
      <c r="Z1813" s="12"/>
      <c r="AA1813" s="12"/>
      <c r="AB1813" s="12"/>
      <c r="AC1813" s="12"/>
      <c r="AD1813" s="12"/>
      <c r="AE1813" s="12"/>
      <c r="AF1813" s="12" t="s">
        <v>3699</v>
      </c>
      <c r="AG1813" s="12" t="s">
        <v>68</v>
      </c>
      <c r="AH1813" s="12">
        <v>1840</v>
      </c>
      <c r="AI1813" s="12" t="str">
        <f t="shared" si="349"/>
        <v>1840</v>
      </c>
      <c r="AJ1813" s="12"/>
      <c r="AK1813" s="12" t="s">
        <v>13880</v>
      </c>
      <c r="AL1813" s="12"/>
      <c r="AM1813" s="12"/>
      <c r="AN1813" s="12" t="s">
        <v>8127</v>
      </c>
      <c r="AO1813" s="12" t="s">
        <v>2427</v>
      </c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2"/>
      <c r="BM1813" s="12"/>
      <c r="BN1813" s="12"/>
      <c r="BO1813" s="12"/>
      <c r="BP1813" s="12"/>
      <c r="BQ1813" s="12"/>
      <c r="BR1813" s="12"/>
      <c r="BS1813" s="12"/>
      <c r="BT1813" s="12"/>
      <c r="BU1813" s="12"/>
      <c r="BV1813" s="12"/>
      <c r="BW1813" s="12"/>
      <c r="BX1813" s="12"/>
      <c r="BY1813" s="12"/>
      <c r="BZ1813" s="12"/>
      <c r="CA1813" s="12"/>
      <c r="CB1813" s="12"/>
      <c r="CC1813" s="12"/>
      <c r="CD1813" s="12"/>
    </row>
    <row r="1814" spans="1:82">
      <c r="A1814" s="13" t="s">
        <v>13881</v>
      </c>
      <c r="B1814" s="12" t="str">
        <f t="shared" si="341"/>
        <v>TREDOUX</v>
      </c>
      <c r="C1814" s="12" t="str">
        <f t="shared" si="342"/>
        <v>TREDOUX</v>
      </c>
      <c r="D1814" s="12" t="s">
        <v>13882</v>
      </c>
      <c r="E1814" s="12" t="str">
        <f t="shared" si="352"/>
        <v>Johan Frederik Schickerling</v>
      </c>
      <c r="F1814" s="12" t="s">
        <v>13883</v>
      </c>
      <c r="G1814" s="12" t="str">
        <f t="shared" si="343"/>
        <v>a1b7</v>
      </c>
      <c r="H1814" s="12" t="str">
        <f t="shared" si="344"/>
        <v>TREDOUXa1b7</v>
      </c>
      <c r="I1814" s="12"/>
      <c r="J1814" s="12" t="s">
        <v>4552</v>
      </c>
      <c r="K1814" s="12" t="str">
        <f t="shared" si="345"/>
        <v>1820</v>
      </c>
      <c r="L1814" s="12" t="s">
        <v>6098</v>
      </c>
      <c r="M1814" s="12" t="s">
        <v>13884</v>
      </c>
      <c r="N1814" s="12" t="str">
        <f t="shared" si="350"/>
        <v>1820</v>
      </c>
      <c r="O1814" s="12" t="str">
        <f t="shared" si="351"/>
        <v>1820</v>
      </c>
      <c r="P1814" s="12" t="s">
        <v>90</v>
      </c>
      <c r="Q1814" s="12" t="str">
        <f t="shared" si="346"/>
        <v>1820</v>
      </c>
      <c r="R1814" s="12" t="s">
        <v>13885</v>
      </c>
      <c r="S1814" s="12" t="str">
        <f t="shared" si="347"/>
        <v>1879</v>
      </c>
      <c r="T1814" s="12"/>
      <c r="U1814" s="12" t="s">
        <v>13886</v>
      </c>
      <c r="V1814" s="12" t="str">
        <f t="shared" si="348"/>
        <v>1841</v>
      </c>
      <c r="W1814" s="12" t="s">
        <v>13887</v>
      </c>
      <c r="X1814" s="12" t="s">
        <v>638</v>
      </c>
      <c r="Y1814" s="12" t="s">
        <v>13888</v>
      </c>
      <c r="Z1814" s="12"/>
      <c r="AA1814" s="12" t="s">
        <v>9651</v>
      </c>
      <c r="AB1814" s="12"/>
      <c r="AC1814" s="12"/>
      <c r="AD1814" s="12" t="s">
        <v>90</v>
      </c>
      <c r="AE1814" s="12" t="s">
        <v>13889</v>
      </c>
      <c r="AF1814" s="12"/>
      <c r="AG1814" s="12"/>
      <c r="AH1814" s="12" t="s">
        <v>5021</v>
      </c>
      <c r="AI1814" s="12" t="str">
        <f t="shared" si="349"/>
        <v>1842</v>
      </c>
      <c r="AJ1814" s="12"/>
      <c r="AK1814" s="12" t="s">
        <v>168</v>
      </c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2"/>
      <c r="BM1814" s="12"/>
      <c r="BN1814" s="12"/>
      <c r="BO1814" s="12"/>
      <c r="BP1814" s="12"/>
      <c r="BQ1814" s="12"/>
      <c r="BR1814" s="12"/>
      <c r="BS1814" s="12"/>
      <c r="BT1814" s="12"/>
      <c r="BU1814" s="12"/>
      <c r="BV1814" s="12"/>
      <c r="BW1814" s="12"/>
      <c r="BX1814" s="12"/>
      <c r="BY1814" s="12"/>
      <c r="BZ1814" s="12"/>
      <c r="CA1814" s="12"/>
      <c r="CB1814" s="12"/>
      <c r="CC1814" s="12"/>
      <c r="CD1814" s="12"/>
    </row>
    <row r="1815" spans="1:82">
      <c r="A1815" s="13" t="s">
        <v>18</v>
      </c>
      <c r="B1815" s="12" t="str">
        <f t="shared" si="341"/>
        <v>TREGARDT</v>
      </c>
      <c r="C1815" s="12" t="str">
        <f t="shared" si="342"/>
        <v>TREGARDT</v>
      </c>
      <c r="D1815" s="12" t="s">
        <v>13902</v>
      </c>
      <c r="E1815" s="12" t="str">
        <f t="shared" si="352"/>
        <v>Louis (Lowies)</v>
      </c>
      <c r="F1815" s="12" t="s">
        <v>13903</v>
      </c>
      <c r="G1815" s="12" t="str">
        <f t="shared" si="343"/>
        <v xml:space="preserve">a1b2c4 </v>
      </c>
      <c r="H1815" s="12" t="str">
        <f t="shared" si="344"/>
        <v xml:space="preserve">TREGARDTa1b2c4 </v>
      </c>
      <c r="I1815" s="12" t="s">
        <v>32</v>
      </c>
      <c r="J1815" s="12" t="s">
        <v>13904</v>
      </c>
      <c r="K1815" s="12" t="str">
        <f t="shared" si="345"/>
        <v>1783</v>
      </c>
      <c r="L1815" s="12" t="s">
        <v>13905</v>
      </c>
      <c r="M1815" s="12" t="s">
        <v>13906</v>
      </c>
      <c r="N1815" s="12" t="str">
        <f t="shared" si="350"/>
        <v>1783</v>
      </c>
      <c r="O1815" s="12" t="str">
        <f t="shared" si="351"/>
        <v>1785</v>
      </c>
      <c r="P1815" s="12" t="s">
        <v>8673</v>
      </c>
      <c r="Q1815" s="12" t="str">
        <f t="shared" si="346"/>
        <v>1783</v>
      </c>
      <c r="R1815" s="12" t="s">
        <v>13907</v>
      </c>
      <c r="S1815" s="12" t="str">
        <f t="shared" si="347"/>
        <v>1838</v>
      </c>
      <c r="T1815" s="12" t="s">
        <v>74</v>
      </c>
      <c r="U1815" s="12" t="s">
        <v>7509</v>
      </c>
      <c r="V1815" s="12" t="str">
        <f t="shared" si="348"/>
        <v>1810</v>
      </c>
      <c r="W1815" s="12" t="s">
        <v>13908</v>
      </c>
      <c r="X1815" s="12" t="s">
        <v>1590</v>
      </c>
      <c r="Y1815" s="12"/>
      <c r="Z1815" s="12" t="s">
        <v>32</v>
      </c>
      <c r="AA1815" s="12" t="s">
        <v>13909</v>
      </c>
      <c r="AB1815" s="12"/>
      <c r="AC1815" s="12"/>
      <c r="AD1815" s="12" t="s">
        <v>8673</v>
      </c>
      <c r="AE1815" s="12" t="s">
        <v>13910</v>
      </c>
      <c r="AF1815" s="12" t="s">
        <v>3709</v>
      </c>
      <c r="AG1815" s="12" t="s">
        <v>68</v>
      </c>
      <c r="AH1815" s="12" t="s">
        <v>13511</v>
      </c>
      <c r="AI1815" s="12" t="str">
        <f t="shared" si="349"/>
        <v>1835</v>
      </c>
      <c r="AJ1815" s="12" t="s">
        <v>13911</v>
      </c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2"/>
      <c r="BM1815" s="12"/>
      <c r="BN1815" s="12"/>
      <c r="BO1815" s="12"/>
      <c r="BP1815" s="12"/>
      <c r="BQ1815" s="12"/>
      <c r="BR1815" s="12"/>
      <c r="BS1815" s="12"/>
      <c r="BT1815" s="12"/>
      <c r="BU1815" s="12"/>
      <c r="BV1815" s="12"/>
      <c r="BW1815" s="12"/>
      <c r="BX1815" s="12"/>
      <c r="BY1815" s="12"/>
      <c r="BZ1815" s="12"/>
      <c r="CA1815" s="12"/>
      <c r="CB1815" s="12"/>
      <c r="CC1815" s="12"/>
      <c r="CD1815" s="12"/>
    </row>
    <row r="1816" spans="1:82">
      <c r="A1816" s="13" t="s">
        <v>18</v>
      </c>
      <c r="B1816" s="12" t="str">
        <f t="shared" si="341"/>
        <v>TREGARDT</v>
      </c>
      <c r="C1816" s="12" t="str">
        <f t="shared" si="342"/>
        <v>TREGARDT</v>
      </c>
      <c r="D1816" s="12" t="s">
        <v>13890</v>
      </c>
      <c r="E1816" s="12" t="str">
        <f t="shared" si="352"/>
        <v>Carolus Johannes (Karel)</v>
      </c>
      <c r="F1816" s="12" t="s">
        <v>1666</v>
      </c>
      <c r="G1816" s="12" t="str">
        <f t="shared" si="343"/>
        <v>a1b2c4d1</v>
      </c>
      <c r="H1816" s="12" t="str">
        <f t="shared" si="344"/>
        <v>TREGARDTa1b2c4d1</v>
      </c>
      <c r="I1816" s="12"/>
      <c r="J1816" s="12" t="s">
        <v>4671</v>
      </c>
      <c r="K1816" s="12" t="str">
        <f t="shared" si="345"/>
        <v>1811</v>
      </c>
      <c r="L1816" s="12" t="s">
        <v>74</v>
      </c>
      <c r="M1816" s="12" t="s">
        <v>13891</v>
      </c>
      <c r="N1816" s="12" t="str">
        <f t="shared" si="350"/>
        <v>1811</v>
      </c>
      <c r="O1816" s="12" t="str">
        <f t="shared" si="351"/>
        <v>1812</v>
      </c>
      <c r="P1816" s="12" t="s">
        <v>120</v>
      </c>
      <c r="Q1816" s="12" t="str">
        <f t="shared" si="346"/>
        <v>1811</v>
      </c>
      <c r="R1816" s="12" t="s">
        <v>13892</v>
      </c>
      <c r="S1816" s="12" t="str">
        <f t="shared" si="347"/>
        <v>1901</v>
      </c>
      <c r="T1816" s="12" t="s">
        <v>331</v>
      </c>
      <c r="U1816" s="12" t="s">
        <v>13893</v>
      </c>
      <c r="V1816" s="12" t="str">
        <f t="shared" si="348"/>
        <v>1831</v>
      </c>
      <c r="W1816" s="12" t="s">
        <v>13894</v>
      </c>
      <c r="X1816" s="12" t="s">
        <v>1590</v>
      </c>
      <c r="Y1816" s="12"/>
      <c r="Z1816" s="12"/>
      <c r="AA1816" s="12" t="s">
        <v>4493</v>
      </c>
      <c r="AB1816" s="12" t="s">
        <v>74</v>
      </c>
      <c r="AC1816" s="12" t="s">
        <v>4796</v>
      </c>
      <c r="AD1816" s="12" t="s">
        <v>8673</v>
      </c>
      <c r="AE1816" s="12" t="s">
        <v>13895</v>
      </c>
      <c r="AF1816" s="12" t="s">
        <v>3709</v>
      </c>
      <c r="AG1816" s="12" t="s">
        <v>68</v>
      </c>
      <c r="AH1816" s="12" t="s">
        <v>13511</v>
      </c>
      <c r="AI1816" s="12" t="str">
        <f t="shared" si="349"/>
        <v>1835</v>
      </c>
      <c r="AJ1816" s="12" t="s">
        <v>8674</v>
      </c>
      <c r="AK1816" s="12" t="s">
        <v>155</v>
      </c>
      <c r="AL1816" s="12" t="s">
        <v>12315</v>
      </c>
      <c r="AM1816" s="12" t="s">
        <v>13896</v>
      </c>
      <c r="AN1816" s="12" t="s">
        <v>13897</v>
      </c>
      <c r="AO1816" s="12" t="s">
        <v>667</v>
      </c>
      <c r="AP1816" s="12" t="s">
        <v>13898</v>
      </c>
      <c r="AQ1816" s="12"/>
      <c r="AR1816" s="12" t="s">
        <v>13899</v>
      </c>
      <c r="AS1816" s="12"/>
      <c r="AT1816" s="12" t="s">
        <v>13900</v>
      </c>
      <c r="AU1816" s="12" t="s">
        <v>120</v>
      </c>
      <c r="AV1816" s="12" t="s">
        <v>13901</v>
      </c>
      <c r="AW1816" s="12"/>
      <c r="AX1816" s="12"/>
      <c r="AY1816" s="12"/>
      <c r="AZ1816" s="12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2"/>
      <c r="BM1816" s="12"/>
      <c r="BN1816" s="12"/>
      <c r="BO1816" s="12"/>
      <c r="BP1816" s="12"/>
      <c r="BQ1816" s="12"/>
      <c r="BR1816" s="12"/>
      <c r="BS1816" s="12"/>
      <c r="BT1816" s="12"/>
      <c r="BU1816" s="12"/>
      <c r="BV1816" s="12"/>
      <c r="BW1816" s="12"/>
      <c r="BX1816" s="12"/>
      <c r="BY1816" s="12"/>
      <c r="BZ1816" s="12"/>
      <c r="CA1816" s="12"/>
      <c r="CB1816" s="12"/>
      <c r="CC1816" s="12"/>
      <c r="CD1816" s="12"/>
    </row>
    <row r="1817" spans="1:82">
      <c r="A1817" s="13" t="s">
        <v>18</v>
      </c>
      <c r="B1817" s="12" t="str">
        <f t="shared" si="341"/>
        <v>TREGARDT</v>
      </c>
      <c r="C1817" s="12" t="str">
        <f t="shared" si="342"/>
        <v>TREGARDT</v>
      </c>
      <c r="D1817" s="12" t="s">
        <v>13912</v>
      </c>
      <c r="E1817" s="12" t="str">
        <f t="shared" si="352"/>
        <v>Petrus Frederik (Pieta)</v>
      </c>
      <c r="F1817" s="12" t="s">
        <v>7987</v>
      </c>
      <c r="G1817" s="12" t="str">
        <f t="shared" si="343"/>
        <v>a1b2c4d3</v>
      </c>
      <c r="H1817" s="12" t="str">
        <f t="shared" si="344"/>
        <v>TREGARDTa1b2c4d3</v>
      </c>
      <c r="I1817" s="12"/>
      <c r="J1817" s="12" t="s">
        <v>13913</v>
      </c>
      <c r="K1817" s="12" t="str">
        <f t="shared" si="345"/>
        <v>1819</v>
      </c>
      <c r="L1817" s="12" t="s">
        <v>53</v>
      </c>
      <c r="M1817" s="12" t="s">
        <v>13914</v>
      </c>
      <c r="N1817" s="12" t="str">
        <f t="shared" si="350"/>
        <v>1819</v>
      </c>
      <c r="O1817" s="12" t="str">
        <f t="shared" si="351"/>
        <v>1819</v>
      </c>
      <c r="P1817" s="12" t="s">
        <v>90</v>
      </c>
      <c r="Q1817" s="12" t="str">
        <f t="shared" si="346"/>
        <v>1819</v>
      </c>
      <c r="R1817" s="12">
        <v>1860</v>
      </c>
      <c r="S1817" s="12" t="str">
        <f t="shared" si="347"/>
        <v>1860</v>
      </c>
      <c r="T1817" s="12"/>
      <c r="U1817" s="12"/>
      <c r="V1817" s="12" t="str">
        <f t="shared" si="348"/>
        <v/>
      </c>
      <c r="W1817" s="12" t="s">
        <v>2958</v>
      </c>
      <c r="X1817" s="12" t="s">
        <v>667</v>
      </c>
      <c r="Y1817" s="12"/>
      <c r="Z1817" s="12"/>
      <c r="AA1817" s="12">
        <v>1824</v>
      </c>
      <c r="AB1817" s="12"/>
      <c r="AC1817" s="12"/>
      <c r="AD1817" s="12"/>
      <c r="AE1817" s="12"/>
      <c r="AF1817" s="12" t="s">
        <v>3709</v>
      </c>
      <c r="AG1817" s="12" t="s">
        <v>68</v>
      </c>
      <c r="AH1817" s="12" t="s">
        <v>13915</v>
      </c>
      <c r="AI1817" s="12" t="str">
        <f t="shared" si="349"/>
        <v>1836</v>
      </c>
      <c r="AJ1817" s="12" t="s">
        <v>8674</v>
      </c>
      <c r="AK1817" s="12" t="s">
        <v>90</v>
      </c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2"/>
      <c r="BM1817" s="12"/>
      <c r="BN1817" s="12"/>
      <c r="BO1817" s="12"/>
      <c r="BP1817" s="12"/>
      <c r="BQ1817" s="12"/>
      <c r="BR1817" s="12"/>
      <c r="BS1817" s="12"/>
      <c r="BT1817" s="12"/>
      <c r="BU1817" s="12"/>
      <c r="BV1817" s="12"/>
      <c r="BW1817" s="12"/>
      <c r="BX1817" s="12"/>
      <c r="BY1817" s="12"/>
      <c r="BZ1817" s="12"/>
      <c r="CA1817" s="12"/>
      <c r="CB1817" s="12"/>
      <c r="CC1817" s="12"/>
      <c r="CD1817" s="12"/>
    </row>
    <row r="1818" spans="1:82">
      <c r="A1818" s="13" t="s">
        <v>13916</v>
      </c>
      <c r="B1818" s="12" t="str">
        <f t="shared" si="341"/>
        <v>TRUTER</v>
      </c>
      <c r="C1818" s="12" t="str">
        <f t="shared" si="342"/>
        <v>TRUTER</v>
      </c>
      <c r="D1818" s="12" t="s">
        <v>13917</v>
      </c>
      <c r="E1818" s="12" t="str">
        <f t="shared" si="352"/>
        <v>Jacobus Tredoux</v>
      </c>
      <c r="F1818" s="12" t="s">
        <v>13918</v>
      </c>
      <c r="G1818" s="12" t="str">
        <f t="shared" si="343"/>
        <v>a1b10c7d6</v>
      </c>
      <c r="H1818" s="12" t="str">
        <f t="shared" si="344"/>
        <v>TRUTERa1b10c7d6</v>
      </c>
      <c r="I1818" s="12"/>
      <c r="J1818" s="12" t="s">
        <v>13919</v>
      </c>
      <c r="K1818" s="12" t="str">
        <f t="shared" si="345"/>
        <v>1821</v>
      </c>
      <c r="L1818" s="12" t="s">
        <v>6098</v>
      </c>
      <c r="M1818" s="12" t="s">
        <v>34</v>
      </c>
      <c r="N1818" s="12" t="str">
        <f t="shared" si="350"/>
        <v>1821</v>
      </c>
      <c r="O1818" s="12" t="str">
        <f t="shared" si="351"/>
        <v>1821</v>
      </c>
      <c r="P1818" s="12" t="s">
        <v>1017</v>
      </c>
      <c r="Q1818" s="12" t="str">
        <f t="shared" si="346"/>
        <v>1821</v>
      </c>
      <c r="R1818" s="12" t="s">
        <v>13920</v>
      </c>
      <c r="S1818" s="12" t="str">
        <f t="shared" si="347"/>
        <v>1895</v>
      </c>
      <c r="T1818" s="12"/>
      <c r="U1818" s="12"/>
      <c r="V1818" s="12" t="str">
        <f t="shared" si="348"/>
        <v/>
      </c>
      <c r="W1818" s="12" t="s">
        <v>13921</v>
      </c>
      <c r="X1818" s="12" t="s">
        <v>2589</v>
      </c>
      <c r="Y1818" s="12"/>
      <c r="Z1818" s="12" t="s">
        <v>6098</v>
      </c>
      <c r="AA1818" s="12" t="s">
        <v>13922</v>
      </c>
      <c r="AB1818" s="12"/>
      <c r="AC1818" s="12"/>
      <c r="AD1818" s="12" t="s">
        <v>13923</v>
      </c>
      <c r="AE1818" s="12" t="s">
        <v>13924</v>
      </c>
      <c r="AF1818" s="12" t="s">
        <v>6098</v>
      </c>
      <c r="AG1818" s="12"/>
      <c r="AH1818" s="12" t="s">
        <v>13925</v>
      </c>
      <c r="AI1818" s="12" t="str">
        <f t="shared" si="349"/>
        <v>1843</v>
      </c>
      <c r="AJ1818" s="12"/>
      <c r="AK1818" s="12" t="s">
        <v>1017</v>
      </c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2"/>
      <c r="BM1818" s="12"/>
      <c r="BN1818" s="12"/>
      <c r="BO1818" s="12"/>
      <c r="BP1818" s="12"/>
      <c r="BQ1818" s="12"/>
      <c r="BR1818" s="12"/>
      <c r="BS1818" s="12"/>
      <c r="BT1818" s="12"/>
      <c r="BU1818" s="12"/>
      <c r="BV1818" s="12"/>
      <c r="BW1818" s="12"/>
      <c r="BX1818" s="12"/>
      <c r="BY1818" s="12"/>
      <c r="BZ1818" s="12"/>
      <c r="CA1818" s="12"/>
      <c r="CB1818" s="12"/>
      <c r="CC1818" s="12"/>
      <c r="CD1818" s="12"/>
    </row>
    <row r="1819" spans="1:82">
      <c r="A1819" s="12" t="s">
        <v>775</v>
      </c>
      <c r="B1819" s="12" t="str">
        <f t="shared" si="341"/>
        <v>UYS</v>
      </c>
      <c r="C1819" s="12" t="str">
        <f t="shared" si="342"/>
        <v>UYS</v>
      </c>
      <c r="D1819" s="12" t="s">
        <v>201</v>
      </c>
      <c r="E1819" s="12" t="str">
        <f t="shared" si="352"/>
        <v>Petrus Johannes</v>
      </c>
      <c r="F1819" s="12" t="s">
        <v>13936</v>
      </c>
      <c r="G1819" s="12" t="str">
        <f t="shared" si="343"/>
        <v>a1B1C5D1E4</v>
      </c>
      <c r="H1819" s="12" t="str">
        <f t="shared" si="344"/>
        <v>UYSa1B1C5D1E4</v>
      </c>
      <c r="I1819" s="12"/>
      <c r="J1819" s="12" t="s">
        <v>9743</v>
      </c>
      <c r="K1819" s="12" t="str">
        <f t="shared" si="345"/>
        <v>1803</v>
      </c>
      <c r="L1819" s="12"/>
      <c r="M1819" s="12"/>
      <c r="N1819" s="12" t="str">
        <f t="shared" si="350"/>
        <v>1803</v>
      </c>
      <c r="O1819" s="12" t="str">
        <f t="shared" si="351"/>
        <v/>
      </c>
      <c r="P1819" s="12" t="s">
        <v>93</v>
      </c>
      <c r="Q1819" s="12" t="str">
        <f t="shared" si="346"/>
        <v>1803</v>
      </c>
      <c r="R1819" s="12" t="s">
        <v>13937</v>
      </c>
      <c r="S1819" s="12" t="str">
        <f t="shared" si="347"/>
        <v>1878</v>
      </c>
      <c r="T1819" s="12"/>
      <c r="U1819" s="12"/>
      <c r="V1819" s="12" t="str">
        <f t="shared" si="348"/>
        <v/>
      </c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 t="str">
        <f t="shared" si="349"/>
        <v/>
      </c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2"/>
      <c r="BM1819" s="12"/>
      <c r="BN1819" s="12"/>
      <c r="BO1819" s="12"/>
      <c r="BP1819" s="12"/>
      <c r="BQ1819" s="12"/>
      <c r="BR1819" s="12"/>
      <c r="BS1819" s="12"/>
      <c r="BT1819" s="12"/>
      <c r="BU1819" s="12"/>
      <c r="BV1819" s="12"/>
      <c r="BW1819" s="12"/>
      <c r="BX1819" s="12"/>
      <c r="BY1819" s="12"/>
      <c r="BZ1819" s="12"/>
      <c r="CA1819" s="12"/>
      <c r="CB1819" s="12"/>
      <c r="CC1819" s="12"/>
      <c r="CD1819" s="12"/>
    </row>
    <row r="1820" spans="1:82">
      <c r="A1820" s="12" t="s">
        <v>775</v>
      </c>
      <c r="B1820" s="12" t="str">
        <f t="shared" si="341"/>
        <v>UYS</v>
      </c>
      <c r="C1820" s="12" t="str">
        <f t="shared" si="342"/>
        <v>UYS</v>
      </c>
      <c r="D1820" s="12" t="s">
        <v>2140</v>
      </c>
      <c r="E1820" s="12" t="str">
        <f t="shared" si="352"/>
        <v>Jacobus Johannes</v>
      </c>
      <c r="F1820" s="12" t="s">
        <v>13954</v>
      </c>
      <c r="G1820" s="12" t="str">
        <f t="shared" si="343"/>
        <v>a1B1C5D2</v>
      </c>
      <c r="H1820" s="12" t="str">
        <f t="shared" si="344"/>
        <v>UYSa1B1C5D2</v>
      </c>
      <c r="I1820" s="12" t="s">
        <v>32</v>
      </c>
      <c r="J1820" s="12" t="s">
        <v>13955</v>
      </c>
      <c r="K1820" s="12" t="str">
        <f t="shared" si="345"/>
        <v>1770</v>
      </c>
      <c r="L1820" s="12" t="s">
        <v>961</v>
      </c>
      <c r="M1820" s="12" t="s">
        <v>13956</v>
      </c>
      <c r="N1820" s="12" t="str">
        <f t="shared" si="350"/>
        <v>1770</v>
      </c>
      <c r="O1820" s="12" t="str">
        <f t="shared" si="351"/>
        <v>1771</v>
      </c>
      <c r="P1820" s="12" t="s">
        <v>90</v>
      </c>
      <c r="Q1820" s="12" t="str">
        <f t="shared" si="346"/>
        <v>1770</v>
      </c>
      <c r="R1820" s="12" t="s">
        <v>13957</v>
      </c>
      <c r="S1820" s="12" t="str">
        <f t="shared" si="347"/>
        <v>1838</v>
      </c>
      <c r="T1820" s="12"/>
      <c r="U1820" s="12" t="s">
        <v>13958</v>
      </c>
      <c r="V1820" s="12" t="str">
        <f t="shared" si="348"/>
        <v>1793</v>
      </c>
      <c r="W1820" s="12" t="s">
        <v>1400</v>
      </c>
      <c r="X1820" s="12" t="s">
        <v>2757</v>
      </c>
      <c r="Y1820" s="12" t="s">
        <v>13959</v>
      </c>
      <c r="Z1820" s="12"/>
      <c r="AA1820" s="12"/>
      <c r="AB1820" s="12"/>
      <c r="AC1820" s="12" t="s">
        <v>13960</v>
      </c>
      <c r="AD1820" s="12" t="s">
        <v>168</v>
      </c>
      <c r="AE1820" s="12" t="s">
        <v>13961</v>
      </c>
      <c r="AF1820" s="12" t="s">
        <v>4785</v>
      </c>
      <c r="AG1820" s="12" t="s">
        <v>53</v>
      </c>
      <c r="AH1820" s="12" t="s">
        <v>29</v>
      </c>
      <c r="AI1820" s="12" t="str">
        <f t="shared" si="349"/>
        <v>1837</v>
      </c>
      <c r="AJ1820" s="12" t="s">
        <v>5606</v>
      </c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2"/>
      <c r="BM1820" s="12"/>
      <c r="BN1820" s="12"/>
      <c r="BO1820" s="12"/>
      <c r="BP1820" s="12"/>
      <c r="BQ1820" s="12"/>
      <c r="BR1820" s="12"/>
      <c r="BS1820" s="12"/>
      <c r="BT1820" s="12"/>
      <c r="BU1820" s="12"/>
      <c r="BV1820" s="12"/>
      <c r="BW1820" s="12"/>
      <c r="BX1820" s="12"/>
      <c r="BY1820" s="12"/>
      <c r="BZ1820" s="12"/>
      <c r="CA1820" s="12"/>
      <c r="CB1820" s="12"/>
      <c r="CC1820" s="12"/>
      <c r="CD1820" s="12"/>
    </row>
    <row r="1821" spans="1:82">
      <c r="A1821" s="12" t="s">
        <v>775</v>
      </c>
      <c r="B1821" s="12" t="str">
        <f t="shared" si="341"/>
        <v>UYS</v>
      </c>
      <c r="C1821" s="12" t="str">
        <f t="shared" si="342"/>
        <v>UYS</v>
      </c>
      <c r="D1821" s="12" t="s">
        <v>13945</v>
      </c>
      <c r="E1821" s="12" t="str">
        <f t="shared" si="352"/>
        <v>Dirk Cornelis</v>
      </c>
      <c r="F1821" s="12" t="s">
        <v>13946</v>
      </c>
      <c r="G1821" s="12" t="str">
        <f t="shared" si="343"/>
        <v>a1B1C5D2E12/B1C3D2E4</v>
      </c>
      <c r="H1821" s="12" t="str">
        <f t="shared" si="344"/>
        <v>UYSa1B1C5D2E12/B1C3D2E4</v>
      </c>
      <c r="I1821" s="12" t="s">
        <v>32</v>
      </c>
      <c r="J1821" s="12" t="s">
        <v>13947</v>
      </c>
      <c r="K1821" s="12" t="str">
        <f t="shared" si="345"/>
        <v>1814</v>
      </c>
      <c r="L1821" s="12" t="s">
        <v>32</v>
      </c>
      <c r="M1821" s="12" t="s">
        <v>1191</v>
      </c>
      <c r="N1821" s="12" t="str">
        <f t="shared" si="350"/>
        <v>1814</v>
      </c>
      <c r="O1821" s="12" t="str">
        <f t="shared" si="351"/>
        <v>1814</v>
      </c>
      <c r="P1821" s="12" t="s">
        <v>32</v>
      </c>
      <c r="Q1821" s="12" t="str">
        <f t="shared" si="346"/>
        <v>1814</v>
      </c>
      <c r="R1821" s="1" t="s">
        <v>15773</v>
      </c>
      <c r="S1821" s="12" t="str">
        <f t="shared" si="347"/>
        <v>1910</v>
      </c>
      <c r="T1821" s="12" t="s">
        <v>32</v>
      </c>
      <c r="U1821" s="12" t="s">
        <v>13948</v>
      </c>
      <c r="V1821" s="12" t="str">
        <f t="shared" si="348"/>
        <v>1845</v>
      </c>
      <c r="W1821" s="12" t="s">
        <v>807</v>
      </c>
      <c r="X1821" s="12" t="s">
        <v>1586</v>
      </c>
      <c r="Y1821" s="12"/>
      <c r="Z1821" s="12"/>
      <c r="AA1821" s="12" t="s">
        <v>13949</v>
      </c>
      <c r="AB1821" s="12"/>
      <c r="AC1821" s="12"/>
      <c r="AD1821" s="12" t="s">
        <v>81</v>
      </c>
      <c r="AE1821" s="12" t="s">
        <v>13950</v>
      </c>
      <c r="AF1821" s="12"/>
      <c r="AG1821" s="12"/>
      <c r="AH1821" s="12" t="s">
        <v>29</v>
      </c>
      <c r="AI1821" s="12" t="str">
        <f t="shared" si="349"/>
        <v>1837</v>
      </c>
      <c r="AJ1821" s="12" t="s">
        <v>5606</v>
      </c>
      <c r="AK1821" s="12" t="s">
        <v>90</v>
      </c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2"/>
      <c r="BM1821" s="12"/>
      <c r="BN1821" s="12"/>
      <c r="BO1821" s="12"/>
      <c r="BP1821" s="12"/>
      <c r="BQ1821" s="12"/>
      <c r="BR1821" s="12"/>
      <c r="BS1821" s="12"/>
      <c r="BT1821" s="12"/>
      <c r="BU1821" s="12"/>
      <c r="BV1821" s="12"/>
      <c r="BW1821" s="12"/>
      <c r="BX1821" s="12"/>
      <c r="BY1821" s="12"/>
      <c r="BZ1821" s="12"/>
      <c r="CA1821" s="12"/>
      <c r="CB1821" s="12"/>
      <c r="CC1821" s="12"/>
      <c r="CD1821" s="12"/>
    </row>
    <row r="1822" spans="1:82">
      <c r="A1822" s="12" t="s">
        <v>775</v>
      </c>
      <c r="B1822" s="12" t="str">
        <f t="shared" si="341"/>
        <v>UYS</v>
      </c>
      <c r="C1822" s="12" t="str">
        <f t="shared" si="342"/>
        <v>UYS</v>
      </c>
      <c r="D1822" s="12" t="s">
        <v>11044</v>
      </c>
      <c r="E1822" s="12" t="str">
        <f t="shared" si="352"/>
        <v>Petrus Lafras</v>
      </c>
      <c r="F1822" s="12" t="s">
        <v>13970</v>
      </c>
      <c r="G1822" s="12" t="str">
        <f t="shared" si="343"/>
        <v>a1B1C5D2E15</v>
      </c>
      <c r="H1822" s="12" t="str">
        <f t="shared" si="344"/>
        <v>UYSa1B1C5D2E15</v>
      </c>
      <c r="I1822" s="12" t="s">
        <v>32</v>
      </c>
      <c r="J1822" s="12" t="s">
        <v>10087</v>
      </c>
      <c r="K1822" s="12" t="str">
        <f t="shared" si="345"/>
        <v>1819</v>
      </c>
      <c r="L1822" s="12"/>
      <c r="M1822" s="12" t="s">
        <v>12774</v>
      </c>
      <c r="N1822" s="12" t="str">
        <f t="shared" si="350"/>
        <v>1819</v>
      </c>
      <c r="O1822" s="12" t="str">
        <f t="shared" si="351"/>
        <v>1819</v>
      </c>
      <c r="P1822" s="12"/>
      <c r="Q1822" s="12" t="str">
        <f t="shared" si="346"/>
        <v>1819</v>
      </c>
      <c r="R1822" s="12" t="s">
        <v>13971</v>
      </c>
      <c r="S1822" s="12" t="str">
        <f t="shared" si="347"/>
        <v>1898</v>
      </c>
      <c r="T1822" s="12"/>
      <c r="U1822" s="12"/>
      <c r="V1822" s="12" t="str">
        <f t="shared" si="348"/>
        <v/>
      </c>
      <c r="W1822" s="12" t="s">
        <v>13972</v>
      </c>
      <c r="X1822" s="12" t="s">
        <v>6870</v>
      </c>
      <c r="Y1822" s="12"/>
      <c r="Z1822" s="12" t="s">
        <v>53</v>
      </c>
      <c r="AA1822" s="12">
        <v>1826</v>
      </c>
      <c r="AB1822" s="12"/>
      <c r="AC1822" s="12"/>
      <c r="AD1822" s="12" t="s">
        <v>168</v>
      </c>
      <c r="AE1822" s="12" t="s">
        <v>13973</v>
      </c>
      <c r="AF1822" s="12" t="s">
        <v>4785</v>
      </c>
      <c r="AG1822" s="12" t="s">
        <v>53</v>
      </c>
      <c r="AH1822" s="12" t="s">
        <v>29</v>
      </c>
      <c r="AI1822" s="12" t="str">
        <f t="shared" si="349"/>
        <v>1837</v>
      </c>
      <c r="AJ1822" s="12" t="s">
        <v>5606</v>
      </c>
      <c r="AK1822" s="12" t="s">
        <v>90</v>
      </c>
      <c r="AL1822" s="12"/>
      <c r="AM1822" s="12" t="s">
        <v>13974</v>
      </c>
      <c r="AN1822" s="12" t="s">
        <v>3442</v>
      </c>
      <c r="AO1822" s="12" t="s">
        <v>697</v>
      </c>
      <c r="AP1822" s="12"/>
      <c r="AQ1822" s="12"/>
      <c r="AR1822" s="12">
        <v>1817</v>
      </c>
      <c r="AS1822" s="12"/>
      <c r="AT1822" s="12"/>
      <c r="AU1822" s="12"/>
      <c r="AV1822" s="1">
        <v>1220</v>
      </c>
      <c r="AW1822" s="12"/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2"/>
      <c r="BM1822" s="12"/>
      <c r="BN1822" s="12"/>
      <c r="BO1822" s="12"/>
      <c r="BP1822" s="12"/>
      <c r="BQ1822" s="12"/>
      <c r="BR1822" s="12"/>
      <c r="BS1822" s="12"/>
      <c r="BT1822" s="12"/>
      <c r="BU1822" s="12"/>
      <c r="BV1822" s="12"/>
      <c r="BW1822" s="12"/>
      <c r="BX1822" s="12"/>
      <c r="BY1822" s="12"/>
      <c r="BZ1822" s="12"/>
      <c r="CA1822" s="12"/>
      <c r="CB1822" s="12"/>
      <c r="CC1822" s="12"/>
      <c r="CD1822" s="12"/>
    </row>
    <row r="1823" spans="1:82">
      <c r="A1823" s="12" t="s">
        <v>775</v>
      </c>
      <c r="B1823" s="12" t="str">
        <f t="shared" si="341"/>
        <v>UYS</v>
      </c>
      <c r="C1823" s="12" t="str">
        <f t="shared" si="342"/>
        <v>UYS</v>
      </c>
      <c r="D1823" s="12" t="s">
        <v>6924</v>
      </c>
      <c r="E1823" s="12" t="str">
        <f t="shared" si="352"/>
        <v>Wessel Hendrik</v>
      </c>
      <c r="F1823" s="12" t="s">
        <v>13982</v>
      </c>
      <c r="G1823" s="12" t="str">
        <f t="shared" si="343"/>
        <v>a1B1C5D2E16</v>
      </c>
      <c r="H1823" s="12" t="str">
        <f t="shared" si="344"/>
        <v>UYSa1B1C5D2E16</v>
      </c>
      <c r="I1823" s="12"/>
      <c r="J1823" s="12" t="s">
        <v>13983</v>
      </c>
      <c r="K1823" s="12" t="str">
        <f t="shared" si="345"/>
        <v>1824</v>
      </c>
      <c r="L1823" s="12"/>
      <c r="M1823" s="12" t="s">
        <v>13984</v>
      </c>
      <c r="N1823" s="12" t="str">
        <f t="shared" si="350"/>
        <v>1824</v>
      </c>
      <c r="O1823" s="12" t="str">
        <f t="shared" si="351"/>
        <v>1824</v>
      </c>
      <c r="P1823" s="12" t="s">
        <v>90</v>
      </c>
      <c r="Q1823" s="12" t="str">
        <f t="shared" si="346"/>
        <v>1824</v>
      </c>
      <c r="R1823" s="12" t="s">
        <v>13985</v>
      </c>
      <c r="S1823" s="12" t="str">
        <f t="shared" si="347"/>
        <v>1877</v>
      </c>
      <c r="T1823" s="12" t="s">
        <v>168</v>
      </c>
      <c r="U1823" s="12" t="s">
        <v>13986</v>
      </c>
      <c r="V1823" s="12" t="str">
        <f t="shared" si="348"/>
        <v>1854</v>
      </c>
      <c r="W1823" s="12" t="s">
        <v>2296</v>
      </c>
      <c r="X1823" s="12" t="s">
        <v>698</v>
      </c>
      <c r="Y1823" s="12" t="s">
        <v>13987</v>
      </c>
      <c r="Z1823" s="12" t="s">
        <v>68</v>
      </c>
      <c r="AA1823" s="12" t="s">
        <v>13988</v>
      </c>
      <c r="AB1823" s="12"/>
      <c r="AC1823" s="12"/>
      <c r="AD1823" s="12" t="s">
        <v>2355</v>
      </c>
      <c r="AE1823" s="12" t="s">
        <v>13989</v>
      </c>
      <c r="AF1823" s="12" t="s">
        <v>4785</v>
      </c>
      <c r="AG1823" s="12" t="s">
        <v>53</v>
      </c>
      <c r="AH1823" s="12" t="s">
        <v>29</v>
      </c>
      <c r="AI1823" s="12" t="str">
        <f t="shared" si="349"/>
        <v>1837</v>
      </c>
      <c r="AJ1823" s="12" t="s">
        <v>5606</v>
      </c>
      <c r="AK1823" s="12" t="s">
        <v>2355</v>
      </c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2"/>
      <c r="BM1823" s="12"/>
      <c r="BN1823" s="12"/>
      <c r="BO1823" s="12"/>
      <c r="BP1823" s="12"/>
      <c r="BQ1823" s="12"/>
      <c r="BR1823" s="12"/>
      <c r="BS1823" s="12"/>
      <c r="BT1823" s="12"/>
      <c r="BU1823" s="12"/>
      <c r="BV1823" s="12"/>
      <c r="BW1823" s="12"/>
      <c r="BX1823" s="12"/>
      <c r="BY1823" s="12"/>
      <c r="BZ1823" s="12"/>
      <c r="CA1823" s="12"/>
      <c r="CB1823" s="12"/>
      <c r="CC1823" s="12"/>
      <c r="CD1823" s="12"/>
    </row>
    <row r="1824" spans="1:82">
      <c r="A1824" s="12" t="s">
        <v>775</v>
      </c>
      <c r="B1824" s="12" t="str">
        <f t="shared" si="341"/>
        <v>UYS</v>
      </c>
      <c r="C1824" s="12" t="str">
        <f t="shared" si="342"/>
        <v>UYS</v>
      </c>
      <c r="D1824" s="12" t="s">
        <v>13938</v>
      </c>
      <c r="E1824" s="12" t="str">
        <f t="shared" si="352"/>
        <v>Cornelis Janse</v>
      </c>
      <c r="F1824" s="12" t="s">
        <v>13939</v>
      </c>
      <c r="G1824" s="12" t="str">
        <f t="shared" si="343"/>
        <v>a1B1C5D2E2</v>
      </c>
      <c r="H1824" s="12" t="str">
        <f t="shared" si="344"/>
        <v>UYSa1B1C5D2E2</v>
      </c>
      <c r="I1824" s="12" t="s">
        <v>32</v>
      </c>
      <c r="J1824" s="12" t="s">
        <v>13940</v>
      </c>
      <c r="K1824" s="12" t="str">
        <f t="shared" si="345"/>
        <v>1796</v>
      </c>
      <c r="L1824" s="12" t="s">
        <v>961</v>
      </c>
      <c r="M1824" s="12" t="s">
        <v>13941</v>
      </c>
      <c r="N1824" s="12" t="str">
        <f t="shared" si="350"/>
        <v>1796</v>
      </c>
      <c r="O1824" s="12" t="str">
        <f t="shared" si="351"/>
        <v>1796</v>
      </c>
      <c r="P1824" s="12"/>
      <c r="Q1824" s="12" t="str">
        <f t="shared" si="346"/>
        <v>1796</v>
      </c>
      <c r="R1824" s="12" t="s">
        <v>13942</v>
      </c>
      <c r="S1824" s="12" t="str">
        <f t="shared" si="347"/>
        <v>1872</v>
      </c>
      <c r="T1824" s="12" t="s">
        <v>53</v>
      </c>
      <c r="U1824" s="12" t="s">
        <v>2510</v>
      </c>
      <c r="V1824" s="12" t="str">
        <f t="shared" si="348"/>
        <v>1834</v>
      </c>
      <c r="W1824" s="12" t="s">
        <v>11023</v>
      </c>
      <c r="X1824" s="12" t="s">
        <v>2757</v>
      </c>
      <c r="Y1824" s="12" t="s">
        <v>13943</v>
      </c>
      <c r="Z1824" s="12"/>
      <c r="AA1824" s="12" t="s">
        <v>13944</v>
      </c>
      <c r="AB1824" s="12"/>
      <c r="AC1824" s="12"/>
      <c r="AD1824" s="12"/>
      <c r="AE1824" s="12"/>
      <c r="AF1824" s="12" t="s">
        <v>4785</v>
      </c>
      <c r="AG1824" s="12" t="s">
        <v>53</v>
      </c>
      <c r="AH1824" s="12" t="s">
        <v>29</v>
      </c>
      <c r="AI1824" s="12" t="str">
        <f t="shared" si="349"/>
        <v>1837</v>
      </c>
      <c r="AJ1824" s="12" t="s">
        <v>5606</v>
      </c>
      <c r="AK1824" s="12" t="s">
        <v>90</v>
      </c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  <c r="BO1824" s="12"/>
      <c r="BP1824" s="12"/>
      <c r="BQ1824" s="12"/>
      <c r="BR1824" s="12"/>
      <c r="BS1824" s="12"/>
      <c r="BT1824" s="12"/>
      <c r="BU1824" s="12"/>
      <c r="BV1824" s="12"/>
      <c r="BW1824" s="12"/>
      <c r="BX1824" s="12"/>
      <c r="BY1824" s="12"/>
      <c r="BZ1824" s="12"/>
      <c r="CA1824" s="12"/>
      <c r="CB1824" s="12"/>
      <c r="CC1824" s="12"/>
      <c r="CD1824" s="12"/>
    </row>
    <row r="1825" spans="1:82">
      <c r="A1825" s="12" t="s">
        <v>775</v>
      </c>
      <c r="B1825" s="12" t="str">
        <f t="shared" si="341"/>
        <v>UYS</v>
      </c>
      <c r="C1825" s="12" t="str">
        <f t="shared" si="342"/>
        <v>UYS</v>
      </c>
      <c r="D1825" s="12" t="s">
        <v>13975</v>
      </c>
      <c r="E1825" s="12" t="str">
        <f t="shared" si="352"/>
        <v>Pertus Lafras</v>
      </c>
      <c r="F1825" s="12" t="s">
        <v>13976</v>
      </c>
      <c r="G1825" s="12" t="str">
        <f t="shared" si="343"/>
        <v>a1B1C5D2E3</v>
      </c>
      <c r="H1825" s="12" t="str">
        <f t="shared" si="344"/>
        <v>UYSa1B1C5D2E3</v>
      </c>
      <c r="I1825" s="12" t="s">
        <v>32</v>
      </c>
      <c r="J1825" s="12" t="s">
        <v>13977</v>
      </c>
      <c r="K1825" s="12" t="str">
        <f t="shared" si="345"/>
        <v>1797</v>
      </c>
      <c r="L1825" s="12"/>
      <c r="M1825" s="12" t="s">
        <v>5602</v>
      </c>
      <c r="N1825" s="12" t="str">
        <f t="shared" si="350"/>
        <v>1797</v>
      </c>
      <c r="O1825" s="12" t="str">
        <f t="shared" si="351"/>
        <v>1797</v>
      </c>
      <c r="P1825" s="12" t="s">
        <v>11040</v>
      </c>
      <c r="Q1825" s="12" t="str">
        <f t="shared" si="346"/>
        <v>1797</v>
      </c>
      <c r="R1825" s="12" t="s">
        <v>13953</v>
      </c>
      <c r="S1825" s="12" t="str">
        <f t="shared" si="347"/>
        <v>1838</v>
      </c>
      <c r="T1825" s="12" t="s">
        <v>158</v>
      </c>
      <c r="U1825" s="12" t="s">
        <v>13978</v>
      </c>
      <c r="V1825" s="12" t="str">
        <f t="shared" si="348"/>
        <v>1815</v>
      </c>
      <c r="W1825" s="12" t="s">
        <v>4566</v>
      </c>
      <c r="X1825" s="12" t="s">
        <v>775</v>
      </c>
      <c r="Y1825" s="12"/>
      <c r="Z1825" s="12"/>
      <c r="AA1825" s="12" t="s">
        <v>13979</v>
      </c>
      <c r="AB1825" s="12"/>
      <c r="AC1825" s="12" t="s">
        <v>13980</v>
      </c>
      <c r="AD1825" s="12" t="s">
        <v>2355</v>
      </c>
      <c r="AE1825" s="12" t="s">
        <v>13981</v>
      </c>
      <c r="AF1825" s="12" t="s">
        <v>4785</v>
      </c>
      <c r="AG1825" s="12" t="s">
        <v>53</v>
      </c>
      <c r="AH1825" s="12" t="s">
        <v>29</v>
      </c>
      <c r="AI1825" s="12" t="str">
        <f t="shared" si="349"/>
        <v>1837</v>
      </c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2"/>
      <c r="BM1825" s="12"/>
      <c r="BN1825" s="12"/>
      <c r="BO1825" s="12"/>
      <c r="BP1825" s="12"/>
      <c r="BQ1825" s="12"/>
      <c r="BR1825" s="12"/>
      <c r="BS1825" s="12"/>
      <c r="BT1825" s="12"/>
      <c r="BU1825" s="12"/>
      <c r="BV1825" s="12"/>
      <c r="BW1825" s="12"/>
      <c r="BX1825" s="12"/>
      <c r="BY1825" s="12"/>
      <c r="BZ1825" s="12"/>
      <c r="CA1825" s="12"/>
      <c r="CB1825" s="12"/>
      <c r="CC1825" s="12"/>
      <c r="CD1825" s="12"/>
    </row>
    <row r="1826" spans="1:82">
      <c r="A1826" s="12" t="s">
        <v>775</v>
      </c>
      <c r="B1826" s="12" t="str">
        <f t="shared" si="341"/>
        <v>UYS</v>
      </c>
      <c r="C1826" s="12" t="str">
        <f t="shared" si="342"/>
        <v>UYS</v>
      </c>
      <c r="D1826" s="12" t="s">
        <v>2140</v>
      </c>
      <c r="E1826" s="12" t="str">
        <f t="shared" si="352"/>
        <v>Jacobus Johannes</v>
      </c>
      <c r="F1826" s="12" t="s">
        <v>13966</v>
      </c>
      <c r="G1826" s="12" t="str">
        <f t="shared" si="343"/>
        <v>a1B1C5D2E3F1</v>
      </c>
      <c r="H1826" s="12" t="str">
        <f t="shared" si="344"/>
        <v>UYSa1B1C5D2E3F1</v>
      </c>
      <c r="I1826" s="12" t="s">
        <v>32</v>
      </c>
      <c r="J1826" s="12" t="s">
        <v>13967</v>
      </c>
      <c r="K1826" s="12" t="str">
        <f t="shared" si="345"/>
        <v>1819</v>
      </c>
      <c r="L1826" s="12"/>
      <c r="M1826" s="12" t="s">
        <v>457</v>
      </c>
      <c r="N1826" s="12" t="str">
        <f t="shared" si="350"/>
        <v>1819</v>
      </c>
      <c r="O1826" s="12" t="str">
        <f t="shared" si="351"/>
        <v>1819</v>
      </c>
      <c r="P1826" s="12"/>
      <c r="Q1826" s="12" t="str">
        <f t="shared" si="346"/>
        <v>1819</v>
      </c>
      <c r="R1826" s="12" t="s">
        <v>13968</v>
      </c>
      <c r="S1826" s="12" t="str">
        <f t="shared" si="347"/>
        <v>1886</v>
      </c>
      <c r="T1826" s="12"/>
      <c r="U1826" s="12"/>
      <c r="V1826" s="12" t="str">
        <f t="shared" si="348"/>
        <v/>
      </c>
      <c r="W1826" s="12" t="s">
        <v>13969</v>
      </c>
      <c r="X1826" s="12" t="s">
        <v>775</v>
      </c>
      <c r="Y1826" s="12"/>
      <c r="Z1826" s="12"/>
      <c r="AA1826" s="12" t="s">
        <v>7548</v>
      </c>
      <c r="AB1826" s="12"/>
      <c r="AC1826" s="12"/>
      <c r="AD1826" s="12"/>
      <c r="AE1826" s="12"/>
      <c r="AF1826" s="12" t="s">
        <v>4785</v>
      </c>
      <c r="AG1826" s="12" t="s">
        <v>53</v>
      </c>
      <c r="AH1826" s="12" t="s">
        <v>29</v>
      </c>
      <c r="AI1826" s="12" t="str">
        <f t="shared" si="349"/>
        <v>1837</v>
      </c>
      <c r="AJ1826" s="12" t="s">
        <v>5606</v>
      </c>
      <c r="AK1826" s="12" t="s">
        <v>81</v>
      </c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  <c r="BI1826" s="12"/>
      <c r="BJ1826" s="12"/>
      <c r="BK1826" s="12"/>
      <c r="BL1826" s="12"/>
      <c r="BM1826" s="12"/>
      <c r="BN1826" s="12"/>
      <c r="BO1826" s="12"/>
      <c r="BP1826" s="12"/>
      <c r="BQ1826" s="12"/>
      <c r="BR1826" s="12"/>
      <c r="BS1826" s="12"/>
      <c r="BT1826" s="12"/>
      <c r="BU1826" s="12"/>
      <c r="BV1826" s="12"/>
      <c r="BW1826" s="12"/>
      <c r="BX1826" s="12"/>
      <c r="BY1826" s="12"/>
      <c r="BZ1826" s="12"/>
      <c r="CA1826" s="12"/>
      <c r="CB1826" s="12"/>
      <c r="CC1826" s="12"/>
      <c r="CD1826" s="12"/>
    </row>
    <row r="1827" spans="1:82">
      <c r="A1827" s="12" t="s">
        <v>775</v>
      </c>
      <c r="B1827" s="12" t="str">
        <f t="shared" si="341"/>
        <v>UYS</v>
      </c>
      <c r="C1827" s="12" t="str">
        <f t="shared" si="342"/>
        <v>UYS</v>
      </c>
      <c r="D1827" s="12" t="s">
        <v>13945</v>
      </c>
      <c r="E1827" s="12" t="str">
        <f t="shared" si="352"/>
        <v>Dirk Cornelis</v>
      </c>
      <c r="F1827" s="12" t="s">
        <v>13951</v>
      </c>
      <c r="G1827" s="12" t="str">
        <f t="shared" si="343"/>
        <v>a1B1C5D2E3F3</v>
      </c>
      <c r="H1827" s="12" t="str">
        <f t="shared" si="344"/>
        <v>UYSa1B1C5D2E3F3</v>
      </c>
      <c r="I1827" s="12"/>
      <c r="J1827" s="12" t="s">
        <v>13952</v>
      </c>
      <c r="K1827" s="12" t="str">
        <f t="shared" si="345"/>
        <v>1823</v>
      </c>
      <c r="L1827" s="12"/>
      <c r="M1827" s="12"/>
      <c r="N1827" s="12" t="str">
        <f t="shared" si="350"/>
        <v>1823</v>
      </c>
      <c r="O1827" s="12" t="str">
        <f t="shared" si="351"/>
        <v/>
      </c>
      <c r="P1827" s="12" t="s">
        <v>11040</v>
      </c>
      <c r="Q1827" s="12" t="str">
        <f t="shared" si="346"/>
        <v>1823</v>
      </c>
      <c r="R1827" s="12" t="s">
        <v>13953</v>
      </c>
      <c r="S1827" s="12" t="str">
        <f t="shared" si="347"/>
        <v>1838</v>
      </c>
      <c r="T1827" s="12"/>
      <c r="U1827" s="12"/>
      <c r="V1827" s="12" t="str">
        <f t="shared" si="348"/>
        <v/>
      </c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 t="s">
        <v>4785</v>
      </c>
      <c r="AG1827" s="12" t="s">
        <v>53</v>
      </c>
      <c r="AH1827" s="12" t="s">
        <v>29</v>
      </c>
      <c r="AI1827" s="12" t="str">
        <f t="shared" si="349"/>
        <v>1837</v>
      </c>
      <c r="AJ1827" s="12" t="s">
        <v>5606</v>
      </c>
      <c r="AK1827" s="12"/>
      <c r="AL1827" s="12"/>
      <c r="AM1827" s="12"/>
      <c r="AN1827" s="12"/>
      <c r="AO1827" s="12"/>
      <c r="AP1827" s="12"/>
      <c r="AQ1827" s="12"/>
      <c r="AR1827" s="12"/>
      <c r="AS1827" s="12"/>
      <c r="AT1827" s="12"/>
      <c r="AU1827" s="12"/>
      <c r="AV1827" s="12"/>
      <c r="AW1827" s="12"/>
      <c r="AX1827" s="12"/>
      <c r="AY1827" s="12"/>
      <c r="AZ1827" s="12"/>
      <c r="BA1827" s="12"/>
      <c r="BB1827" s="12"/>
      <c r="BC1827" s="12"/>
      <c r="BD1827" s="12"/>
      <c r="BE1827" s="12"/>
      <c r="BF1827" s="12"/>
      <c r="BG1827" s="12"/>
      <c r="BH1827" s="12"/>
      <c r="BI1827" s="12"/>
      <c r="BJ1827" s="12"/>
      <c r="BK1827" s="12"/>
      <c r="BL1827" s="12"/>
      <c r="BM1827" s="12"/>
      <c r="BN1827" s="12"/>
      <c r="BO1827" s="12"/>
      <c r="BP1827" s="12"/>
      <c r="BQ1827" s="12"/>
      <c r="BR1827" s="12"/>
      <c r="BS1827" s="12"/>
      <c r="BT1827" s="12"/>
      <c r="BU1827" s="12"/>
      <c r="BV1827" s="12"/>
      <c r="BW1827" s="12"/>
      <c r="BX1827" s="12"/>
      <c r="BY1827" s="12"/>
      <c r="BZ1827" s="12"/>
      <c r="CA1827" s="12"/>
      <c r="CB1827" s="12"/>
      <c r="CC1827" s="12"/>
      <c r="CD1827" s="12"/>
    </row>
    <row r="1828" spans="1:82">
      <c r="A1828" s="12" t="s">
        <v>775</v>
      </c>
      <c r="B1828" s="12" t="str">
        <f t="shared" si="341"/>
        <v>UYS</v>
      </c>
      <c r="C1828" s="12" t="str">
        <f t="shared" si="342"/>
        <v>UYS</v>
      </c>
      <c r="D1828" s="12" t="s">
        <v>2140</v>
      </c>
      <c r="E1828" s="12" t="str">
        <f t="shared" si="352"/>
        <v>Jacobus Johannes</v>
      </c>
      <c r="F1828" s="12" t="s">
        <v>13962</v>
      </c>
      <c r="G1828" s="12" t="str">
        <f t="shared" si="343"/>
        <v>a1B1C5D2E4</v>
      </c>
      <c r="H1828" s="12" t="str">
        <f t="shared" si="344"/>
        <v>UYSa1B1C5D2E4</v>
      </c>
      <c r="I1828" s="12"/>
      <c r="J1828" s="12" t="s">
        <v>13963</v>
      </c>
      <c r="K1828" s="12" t="str">
        <f t="shared" si="345"/>
        <v>1800</v>
      </c>
      <c r="L1828" s="12" t="s">
        <v>32</v>
      </c>
      <c r="M1828" s="12" t="s">
        <v>1347</v>
      </c>
      <c r="N1828" s="12" t="str">
        <f t="shared" si="350"/>
        <v>1800</v>
      </c>
      <c r="O1828" s="12" t="str">
        <f t="shared" si="351"/>
        <v>1800</v>
      </c>
      <c r="P1828" s="12"/>
      <c r="Q1828" s="12" t="str">
        <f t="shared" si="346"/>
        <v>1800</v>
      </c>
      <c r="R1828" s="12">
        <v>1871</v>
      </c>
      <c r="S1828" s="12" t="str">
        <f t="shared" si="347"/>
        <v>1871</v>
      </c>
      <c r="T1828" s="12" t="s">
        <v>53</v>
      </c>
      <c r="U1828" s="12" t="s">
        <v>7397</v>
      </c>
      <c r="V1828" s="12" t="str">
        <f t="shared" si="348"/>
        <v>1823</v>
      </c>
      <c r="W1828" s="12" t="s">
        <v>710</v>
      </c>
      <c r="X1828" s="12" t="s">
        <v>4342</v>
      </c>
      <c r="Y1828" s="12"/>
      <c r="Z1828" s="12"/>
      <c r="AA1828" s="12" t="s">
        <v>13964</v>
      </c>
      <c r="AB1828" s="12"/>
      <c r="AC1828" s="12"/>
      <c r="AD1828" s="12"/>
      <c r="AE1828" s="12"/>
      <c r="AF1828" s="12" t="s">
        <v>4785</v>
      </c>
      <c r="AG1828" s="12" t="s">
        <v>53</v>
      </c>
      <c r="AH1828" s="12" t="s">
        <v>29</v>
      </c>
      <c r="AI1828" s="12" t="str">
        <f t="shared" si="349"/>
        <v>1837</v>
      </c>
      <c r="AJ1828" s="12" t="s">
        <v>5606</v>
      </c>
      <c r="AK1828" s="12" t="s">
        <v>90</v>
      </c>
      <c r="AL1828" s="12"/>
      <c r="AM1828" s="12"/>
      <c r="AN1828" s="12" t="s">
        <v>13965</v>
      </c>
      <c r="AO1828" s="12" t="s">
        <v>696</v>
      </c>
      <c r="AP1828" s="12"/>
      <c r="AQ1828" s="12"/>
      <c r="AR1828" s="12"/>
      <c r="AS1828" s="12"/>
      <c r="AT1828" s="12"/>
      <c r="AU1828" s="12"/>
      <c r="AV1828" s="12">
        <v>1871</v>
      </c>
      <c r="AW1828" s="12"/>
      <c r="AX1828" s="12"/>
      <c r="AY1828" s="12"/>
      <c r="AZ1828" s="12"/>
      <c r="BA1828" s="12"/>
      <c r="BB1828" s="12"/>
      <c r="BC1828" s="12"/>
      <c r="BD1828" s="12"/>
      <c r="BE1828" s="12"/>
      <c r="BF1828" s="12"/>
      <c r="BG1828" s="12"/>
      <c r="BH1828" s="12"/>
      <c r="BI1828" s="12"/>
      <c r="BJ1828" s="12"/>
      <c r="BK1828" s="12"/>
      <c r="BL1828" s="12"/>
      <c r="BM1828" s="12"/>
      <c r="BN1828" s="12"/>
      <c r="BO1828" s="12"/>
      <c r="BP1828" s="12"/>
      <c r="BQ1828" s="12"/>
      <c r="BR1828" s="12"/>
      <c r="BS1828" s="12"/>
      <c r="BT1828" s="12"/>
      <c r="BU1828" s="12"/>
      <c r="BV1828" s="12"/>
      <c r="BW1828" s="12"/>
      <c r="BX1828" s="12"/>
      <c r="BY1828" s="12"/>
      <c r="BZ1828" s="12"/>
      <c r="CA1828" s="12"/>
      <c r="CB1828" s="12"/>
      <c r="CC1828" s="12"/>
      <c r="CD1828" s="12"/>
    </row>
    <row r="1829" spans="1:82">
      <c r="A1829" s="12" t="s">
        <v>775</v>
      </c>
      <c r="B1829" s="12" t="str">
        <f t="shared" si="341"/>
        <v>UYS</v>
      </c>
      <c r="C1829" s="12" t="str">
        <f t="shared" si="342"/>
        <v>UYS</v>
      </c>
      <c r="D1829" s="12" t="s">
        <v>13926</v>
      </c>
      <c r="E1829" s="12" t="str">
        <f t="shared" si="352"/>
        <v xml:space="preserve">Johannes Gerhardus </v>
      </c>
      <c r="F1829" s="12" t="s">
        <v>13927</v>
      </c>
      <c r="G1829" s="12" t="str">
        <f t="shared" si="343"/>
        <v>a1B1C5D6</v>
      </c>
      <c r="H1829" s="12" t="str">
        <f t="shared" si="344"/>
        <v>UYSa1B1C5D6</v>
      </c>
      <c r="I1829" s="12" t="s">
        <v>32</v>
      </c>
      <c r="J1829" s="12" t="s">
        <v>13928</v>
      </c>
      <c r="K1829" s="12" t="str">
        <f t="shared" si="345"/>
        <v>1779</v>
      </c>
      <c r="L1829" s="12"/>
      <c r="M1829" s="12"/>
      <c r="N1829" s="12" t="str">
        <f t="shared" si="350"/>
        <v>1779</v>
      </c>
      <c r="O1829" s="12" t="str">
        <f t="shared" si="351"/>
        <v/>
      </c>
      <c r="P1829" s="12"/>
      <c r="Q1829" s="12" t="str">
        <f t="shared" si="346"/>
        <v>1779</v>
      </c>
      <c r="R1829" s="12"/>
      <c r="S1829" s="12" t="str">
        <f t="shared" si="347"/>
        <v/>
      </c>
      <c r="T1829" s="12"/>
      <c r="U1829" s="12"/>
      <c r="V1829" s="12" t="str">
        <f t="shared" si="348"/>
        <v/>
      </c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 t="s">
        <v>3711</v>
      </c>
      <c r="AG1829" s="12" t="s">
        <v>32</v>
      </c>
      <c r="AH1829" s="12"/>
      <c r="AI1829" s="12" t="str">
        <f t="shared" si="349"/>
        <v/>
      </c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  <c r="AT1829" s="12"/>
      <c r="AU1829" s="12"/>
      <c r="AV1829" s="12"/>
      <c r="AW1829" s="12"/>
      <c r="AX1829" s="12"/>
      <c r="AY1829" s="12"/>
      <c r="AZ1829" s="12"/>
      <c r="BA1829" s="12"/>
      <c r="BB1829" s="12"/>
      <c r="BC1829" s="12"/>
      <c r="BD1829" s="12"/>
      <c r="BE1829" s="12"/>
      <c r="BF1829" s="12"/>
      <c r="BG1829" s="12"/>
      <c r="BH1829" s="12"/>
      <c r="BI1829" s="12"/>
      <c r="BJ1829" s="12"/>
      <c r="BK1829" s="12"/>
      <c r="BL1829" s="12"/>
      <c r="BM1829" s="12"/>
      <c r="BN1829" s="12"/>
      <c r="BO1829" s="12"/>
      <c r="BP1829" s="12"/>
      <c r="BQ1829" s="12"/>
      <c r="BR1829" s="12"/>
      <c r="BS1829" s="12"/>
      <c r="BT1829" s="12"/>
      <c r="BU1829" s="12"/>
      <c r="BV1829" s="12"/>
      <c r="BW1829" s="12"/>
      <c r="BX1829" s="12"/>
      <c r="BY1829" s="12"/>
      <c r="BZ1829" s="12"/>
      <c r="CA1829" s="12"/>
      <c r="CB1829" s="12"/>
      <c r="CC1829" s="12"/>
      <c r="CD1829" s="12"/>
    </row>
    <row r="1830" spans="1:82">
      <c r="A1830" s="12" t="s">
        <v>775</v>
      </c>
      <c r="B1830" s="12" t="str">
        <f t="shared" si="341"/>
        <v>UYS</v>
      </c>
      <c r="C1830" s="12" t="str">
        <f t="shared" si="342"/>
        <v>UYS</v>
      </c>
      <c r="D1830" s="12" t="s">
        <v>1323</v>
      </c>
      <c r="E1830" s="12" t="str">
        <f t="shared" si="352"/>
        <v>Petrus Hermanus</v>
      </c>
      <c r="F1830" s="12" t="s">
        <v>13934</v>
      </c>
      <c r="G1830" s="12" t="str">
        <f t="shared" si="343"/>
        <v>a1B1C5D6E8</v>
      </c>
      <c r="H1830" s="12" t="str">
        <f t="shared" si="344"/>
        <v>UYSa1B1C5D6E8</v>
      </c>
      <c r="I1830" s="12" t="s">
        <v>32</v>
      </c>
      <c r="J1830" s="12" t="s">
        <v>13935</v>
      </c>
      <c r="K1830" s="12" t="str">
        <f t="shared" si="345"/>
        <v>1816</v>
      </c>
      <c r="L1830" s="12"/>
      <c r="M1830" s="12"/>
      <c r="N1830" s="12" t="str">
        <f t="shared" si="350"/>
        <v>1816</v>
      </c>
      <c r="O1830" s="12" t="str">
        <f t="shared" si="351"/>
        <v/>
      </c>
      <c r="P1830" s="12"/>
      <c r="Q1830" s="12" t="str">
        <f t="shared" si="346"/>
        <v>1816</v>
      </c>
      <c r="R1830" s="12"/>
      <c r="S1830" s="12" t="str">
        <f t="shared" si="347"/>
        <v/>
      </c>
      <c r="T1830" s="12"/>
      <c r="U1830" s="12"/>
      <c r="V1830" s="12" t="str">
        <f t="shared" si="348"/>
        <v/>
      </c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 t="str">
        <f t="shared" si="349"/>
        <v/>
      </c>
      <c r="AJ1830" s="12"/>
      <c r="AK1830" s="12"/>
      <c r="AL1830" s="12"/>
      <c r="AM1830" s="12"/>
      <c r="AN1830" s="12"/>
      <c r="AO1830" s="12"/>
      <c r="AP1830" s="12"/>
      <c r="AQ1830" s="12"/>
      <c r="AR1830" s="12"/>
      <c r="AS1830" s="12"/>
      <c r="AT1830" s="12"/>
      <c r="AU1830" s="12"/>
      <c r="AV1830" s="12"/>
      <c r="AW1830" s="12"/>
      <c r="AX1830" s="12"/>
      <c r="AY1830" s="12"/>
      <c r="AZ1830" s="12"/>
      <c r="BA1830" s="12"/>
      <c r="BB1830" s="12"/>
      <c r="BC1830" s="12"/>
      <c r="BD1830" s="12"/>
      <c r="BE1830" s="12"/>
      <c r="BF1830" s="12"/>
      <c r="BG1830" s="12"/>
      <c r="BH1830" s="12"/>
      <c r="BI1830" s="12"/>
      <c r="BJ1830" s="12"/>
      <c r="BK1830" s="12"/>
      <c r="BL1830" s="12"/>
      <c r="BM1830" s="12"/>
      <c r="BN1830" s="12"/>
      <c r="BO1830" s="12"/>
      <c r="BP1830" s="12"/>
      <c r="BQ1830" s="12"/>
      <c r="BR1830" s="12"/>
      <c r="BS1830" s="12"/>
      <c r="BT1830" s="12"/>
      <c r="BU1830" s="12"/>
      <c r="BV1830" s="12"/>
      <c r="BW1830" s="12"/>
      <c r="BX1830" s="12"/>
      <c r="BY1830" s="12"/>
      <c r="BZ1830" s="12"/>
      <c r="CA1830" s="12"/>
      <c r="CB1830" s="12"/>
      <c r="CC1830" s="12"/>
      <c r="CD1830" s="12"/>
    </row>
    <row r="1831" spans="1:82">
      <c r="A1831" s="12" t="s">
        <v>775</v>
      </c>
      <c r="B1831" s="12" t="str">
        <f t="shared" si="341"/>
        <v>UYS</v>
      </c>
      <c r="C1831" s="12" t="str">
        <f t="shared" si="342"/>
        <v>UYS</v>
      </c>
      <c r="D1831" s="12" t="s">
        <v>2818</v>
      </c>
      <c r="E1831" s="12" t="str">
        <f t="shared" si="352"/>
        <v>Matthys Johannes</v>
      </c>
      <c r="F1831" s="12" t="s">
        <v>13929</v>
      </c>
      <c r="G1831" s="12" t="str">
        <f t="shared" si="343"/>
        <v>a1B1C5D8</v>
      </c>
      <c r="H1831" s="12" t="str">
        <f t="shared" si="344"/>
        <v>UYSa1B1C5D8</v>
      </c>
      <c r="I1831" s="12" t="s">
        <v>53</v>
      </c>
      <c r="J1831" s="12" t="s">
        <v>13930</v>
      </c>
      <c r="K1831" s="12" t="str">
        <f t="shared" si="345"/>
        <v>1783</v>
      </c>
      <c r="L1831" s="12"/>
      <c r="M1831" s="12"/>
      <c r="N1831" s="12" t="str">
        <f t="shared" si="350"/>
        <v>1783</v>
      </c>
      <c r="O1831" s="12" t="str">
        <f t="shared" si="351"/>
        <v/>
      </c>
      <c r="P1831" s="12" t="s">
        <v>53</v>
      </c>
      <c r="Q1831" s="12" t="str">
        <f t="shared" si="346"/>
        <v>1783</v>
      </c>
      <c r="R1831" s="12" t="s">
        <v>13931</v>
      </c>
      <c r="S1831" s="12" t="str">
        <f t="shared" si="347"/>
        <v>1860</v>
      </c>
      <c r="T1831" s="12"/>
      <c r="U1831" s="12"/>
      <c r="V1831" s="12" t="str">
        <f t="shared" si="348"/>
        <v/>
      </c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 t="str">
        <f t="shared" si="349"/>
        <v/>
      </c>
      <c r="AJ1831" s="12"/>
      <c r="AK1831" s="12"/>
      <c r="AL1831" s="12"/>
      <c r="AM1831" s="12"/>
      <c r="AN1831" s="12"/>
      <c r="AO1831" s="12"/>
      <c r="AP1831" s="12"/>
      <c r="AQ1831" s="12"/>
      <c r="AR1831" s="12"/>
      <c r="AS1831" s="12"/>
      <c r="AT1831" s="12"/>
      <c r="AU1831" s="12"/>
      <c r="AV1831" s="12"/>
      <c r="AW1831" s="12"/>
      <c r="AX1831" s="12"/>
      <c r="AY1831" s="12"/>
      <c r="AZ1831" s="12"/>
      <c r="BA1831" s="12"/>
      <c r="BB1831" s="12"/>
      <c r="BC1831" s="12"/>
      <c r="BD1831" s="12"/>
      <c r="BE1831" s="12"/>
      <c r="BF1831" s="12"/>
      <c r="BG1831" s="12"/>
      <c r="BH1831" s="12"/>
      <c r="BI1831" s="12"/>
      <c r="BJ1831" s="12"/>
      <c r="BK1831" s="12"/>
      <c r="BL1831" s="12"/>
      <c r="BM1831" s="12"/>
      <c r="BN1831" s="12"/>
      <c r="BO1831" s="12"/>
      <c r="BP1831" s="12"/>
      <c r="BQ1831" s="12"/>
      <c r="BR1831" s="12"/>
      <c r="BS1831" s="12"/>
      <c r="BT1831" s="12"/>
      <c r="BU1831" s="12"/>
      <c r="BV1831" s="12"/>
      <c r="BW1831" s="12"/>
      <c r="BX1831" s="12"/>
      <c r="BY1831" s="12"/>
      <c r="BZ1831" s="12"/>
      <c r="CA1831" s="12"/>
      <c r="CB1831" s="12"/>
      <c r="CC1831" s="12"/>
      <c r="CD1831" s="12"/>
    </row>
    <row r="1832" spans="1:82">
      <c r="A1832" s="12" t="s">
        <v>775</v>
      </c>
      <c r="B1832" s="12" t="str">
        <f t="shared" si="341"/>
        <v>UYS</v>
      </c>
      <c r="C1832" s="12" t="str">
        <f t="shared" si="342"/>
        <v>UYS</v>
      </c>
      <c r="D1832" s="12" t="s">
        <v>11044</v>
      </c>
      <c r="E1832" s="12" t="str">
        <f t="shared" si="352"/>
        <v>Petrus Lafras</v>
      </c>
      <c r="F1832" s="12" t="s">
        <v>13932</v>
      </c>
      <c r="G1832" s="12" t="str">
        <f t="shared" si="343"/>
        <v>a1B1C5D8E2</v>
      </c>
      <c r="H1832" s="12" t="str">
        <f t="shared" si="344"/>
        <v>UYSa1B1C5D8E2</v>
      </c>
      <c r="I1832" s="12"/>
      <c r="J1832" s="12"/>
      <c r="K1832" s="12" t="str">
        <f t="shared" si="345"/>
        <v/>
      </c>
      <c r="L1832" s="12"/>
      <c r="M1832" s="12" t="s">
        <v>5610</v>
      </c>
      <c r="N1832" s="12" t="str">
        <f t="shared" si="350"/>
        <v/>
      </c>
      <c r="O1832" s="12" t="str">
        <f t="shared" si="351"/>
        <v>1809</v>
      </c>
      <c r="P1832" s="12" t="s">
        <v>12898</v>
      </c>
      <c r="Q1832" s="12" t="str">
        <f t="shared" si="346"/>
        <v>1809</v>
      </c>
      <c r="R1832" s="12" t="s">
        <v>13933</v>
      </c>
      <c r="S1832" s="12" t="str">
        <f t="shared" si="347"/>
        <v>1859</v>
      </c>
      <c r="T1832" s="12"/>
      <c r="U1832" s="12"/>
      <c r="V1832" s="12" t="str">
        <f t="shared" si="348"/>
        <v/>
      </c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 t="str">
        <f t="shared" si="349"/>
        <v/>
      </c>
      <c r="AJ1832" s="12"/>
      <c r="AK1832" s="12"/>
      <c r="AL1832" s="12"/>
      <c r="AM1832" s="12"/>
      <c r="AN1832" s="12"/>
      <c r="AO1832" s="12"/>
      <c r="AP1832" s="12"/>
      <c r="AQ1832" s="12"/>
      <c r="AR1832" s="12"/>
      <c r="AS1832" s="12"/>
      <c r="AT1832" s="12"/>
      <c r="AU1832" s="12"/>
      <c r="AV1832" s="12"/>
      <c r="AW1832" s="12"/>
      <c r="AX1832" s="12"/>
      <c r="AY1832" s="12"/>
      <c r="AZ1832" s="12"/>
      <c r="BA1832" s="12"/>
      <c r="BB1832" s="12"/>
      <c r="BC1832" s="12"/>
      <c r="BD1832" s="12"/>
      <c r="BE1832" s="12"/>
      <c r="BF1832" s="12"/>
      <c r="BG1832" s="12"/>
      <c r="BH1832" s="12"/>
      <c r="BI1832" s="12"/>
      <c r="BJ1832" s="12"/>
      <c r="BK1832" s="12"/>
      <c r="BL1832" s="12"/>
      <c r="BM1832" s="12"/>
      <c r="BN1832" s="12"/>
      <c r="BO1832" s="12"/>
      <c r="BP1832" s="12"/>
      <c r="BQ1832" s="12"/>
      <c r="BR1832" s="12"/>
      <c r="BS1832" s="12"/>
      <c r="BT1832" s="12"/>
      <c r="BU1832" s="12"/>
      <c r="BV1832" s="12"/>
      <c r="BW1832" s="12"/>
      <c r="BX1832" s="12"/>
      <c r="BY1832" s="12"/>
      <c r="BZ1832" s="12"/>
      <c r="CA1832" s="12"/>
      <c r="CB1832" s="12"/>
      <c r="CC1832" s="12"/>
      <c r="CD1832" s="12"/>
    </row>
    <row r="1833" spans="1:82">
      <c r="A1833" s="12" t="s">
        <v>1116</v>
      </c>
      <c r="B1833" s="12" t="str">
        <f t="shared" si="341"/>
        <v>VANAARDE</v>
      </c>
      <c r="C1833" s="12" t="str">
        <f t="shared" si="342"/>
        <v>VAN AARDE</v>
      </c>
      <c r="D1833" s="12" t="s">
        <v>13990</v>
      </c>
      <c r="E1833" s="12" t="str">
        <f t="shared" si="352"/>
        <v>Abraham Matthys</v>
      </c>
      <c r="F1833" s="12" t="s">
        <v>13991</v>
      </c>
      <c r="G1833" s="12" t="str">
        <f t="shared" si="343"/>
        <v>A2B1C15D3</v>
      </c>
      <c r="H1833" s="12" t="str">
        <f t="shared" si="344"/>
        <v>VAN AARDEA2B1C15D3</v>
      </c>
      <c r="I1833" s="12"/>
      <c r="J1833" s="12"/>
      <c r="K1833" s="12" t="str">
        <f t="shared" si="345"/>
        <v/>
      </c>
      <c r="L1833" s="12"/>
      <c r="M1833" s="12" t="s">
        <v>13992</v>
      </c>
      <c r="N1833" s="12" t="str">
        <f t="shared" si="350"/>
        <v/>
      </c>
      <c r="O1833" s="12" t="str">
        <f t="shared" si="351"/>
        <v>1798</v>
      </c>
      <c r="P1833" s="12"/>
      <c r="Q1833" s="12" t="str">
        <f t="shared" si="346"/>
        <v>1798</v>
      </c>
      <c r="R1833" s="12"/>
      <c r="S1833" s="12" t="str">
        <f t="shared" si="347"/>
        <v/>
      </c>
      <c r="T1833" s="12" t="s">
        <v>1071</v>
      </c>
      <c r="U1833" s="12" t="s">
        <v>13993</v>
      </c>
      <c r="V1833" s="12" t="str">
        <f t="shared" si="348"/>
        <v>1820</v>
      </c>
      <c r="W1833" s="12" t="s">
        <v>13994</v>
      </c>
      <c r="X1833" s="12" t="s">
        <v>1003</v>
      </c>
      <c r="Y1833" s="12"/>
      <c r="Z1833" s="12"/>
      <c r="AA1833" s="12"/>
      <c r="AB1833" s="12"/>
      <c r="AC1833" s="12"/>
      <c r="AD1833" s="12"/>
      <c r="AE1833" s="12"/>
      <c r="AF1833" s="12" t="s">
        <v>13995</v>
      </c>
      <c r="AG1833" s="12" t="s">
        <v>395</v>
      </c>
      <c r="AH1833" s="12" t="s">
        <v>1078</v>
      </c>
      <c r="AI1833" s="12" t="str">
        <f t="shared" si="349"/>
        <v>1838</v>
      </c>
      <c r="AJ1833" s="12" t="s">
        <v>13996</v>
      </c>
      <c r="AK1833" s="12" t="s">
        <v>67</v>
      </c>
      <c r="AL1833" s="12" t="s">
        <v>542</v>
      </c>
      <c r="AM1833" s="12" t="s">
        <v>13997</v>
      </c>
      <c r="AN1833" s="12" t="s">
        <v>7620</v>
      </c>
      <c r="AO1833" s="12" t="s">
        <v>618</v>
      </c>
      <c r="AP1833" s="12"/>
      <c r="AQ1833" s="12"/>
      <c r="AR1833" s="12"/>
      <c r="AS1833" s="12"/>
      <c r="AT1833" s="12"/>
      <c r="AU1833" s="12"/>
      <c r="AV1833" s="12">
        <v>1871</v>
      </c>
      <c r="AW1833" s="12" t="s">
        <v>140</v>
      </c>
      <c r="AX1833" s="12" t="s">
        <v>13998</v>
      </c>
      <c r="AY1833" s="12" t="s">
        <v>2842</v>
      </c>
      <c r="AZ1833" s="12" t="s">
        <v>5232</v>
      </c>
      <c r="BA1833" s="12"/>
      <c r="BB1833" s="12">
        <v>1812</v>
      </c>
      <c r="BC1833" s="12"/>
      <c r="BD1833" s="12"/>
      <c r="BE1833" s="12"/>
      <c r="BF1833" s="12"/>
      <c r="BG1833" s="12"/>
      <c r="BH1833" s="12"/>
      <c r="BI1833" s="12"/>
      <c r="BJ1833" s="12"/>
      <c r="BK1833" s="12"/>
      <c r="BL1833" s="12"/>
      <c r="BM1833" s="12"/>
      <c r="BN1833" s="12"/>
      <c r="BO1833" s="12"/>
      <c r="BP1833" s="12"/>
      <c r="BQ1833" s="12"/>
      <c r="BR1833" s="12"/>
      <c r="BS1833" s="12"/>
      <c r="BT1833" s="12"/>
      <c r="BU1833" s="12"/>
      <c r="BV1833" s="12"/>
      <c r="BW1833" s="12"/>
      <c r="BX1833" s="12"/>
      <c r="BY1833" s="12"/>
      <c r="BZ1833" s="12"/>
      <c r="CA1833" s="12"/>
      <c r="CB1833" s="12"/>
      <c r="CC1833" s="12"/>
      <c r="CD1833" s="12"/>
    </row>
    <row r="1834" spans="1:82">
      <c r="A1834" s="12" t="s">
        <v>8501</v>
      </c>
      <c r="B1834" s="12" t="str">
        <f t="shared" si="341"/>
        <v>VANAARDT</v>
      </c>
      <c r="C1834" s="12" t="str">
        <f t="shared" si="342"/>
        <v>VAN AARDT</v>
      </c>
      <c r="D1834" s="12" t="s">
        <v>1472</v>
      </c>
      <c r="E1834" s="12" t="str">
        <f t="shared" si="352"/>
        <v>Willem Adriaan</v>
      </c>
      <c r="F1834" s="12" t="s">
        <v>13999</v>
      </c>
      <c r="G1834" s="12" t="str">
        <f t="shared" si="343"/>
        <v>A1B2C7D3E8</v>
      </c>
      <c r="H1834" s="12" t="str">
        <f t="shared" si="344"/>
        <v>VAN AARDTA1B2C7D3E8</v>
      </c>
      <c r="I1834" s="12" t="s">
        <v>68</v>
      </c>
      <c r="J1834" s="12" t="s">
        <v>14000</v>
      </c>
      <c r="K1834" s="12" t="str">
        <f t="shared" si="345"/>
        <v>1812</v>
      </c>
      <c r="L1834" s="12"/>
      <c r="M1834" s="12"/>
      <c r="N1834" s="12" t="str">
        <f t="shared" si="350"/>
        <v>1812</v>
      </c>
      <c r="O1834" s="12" t="str">
        <f t="shared" si="351"/>
        <v/>
      </c>
      <c r="P1834" s="12" t="s">
        <v>1017</v>
      </c>
      <c r="Q1834" s="12" t="str">
        <f t="shared" si="346"/>
        <v>1812</v>
      </c>
      <c r="R1834" s="12">
        <v>1869</v>
      </c>
      <c r="S1834" s="12" t="str">
        <f t="shared" si="347"/>
        <v>1869</v>
      </c>
      <c r="T1834" s="12" t="s">
        <v>68</v>
      </c>
      <c r="U1834" s="12" t="s">
        <v>13068</v>
      </c>
      <c r="V1834" s="12" t="str">
        <f t="shared" si="348"/>
        <v>1834</v>
      </c>
      <c r="W1834" s="12" t="s">
        <v>5365</v>
      </c>
      <c r="X1834" s="12" t="s">
        <v>18</v>
      </c>
      <c r="Y1834" s="12" t="s">
        <v>9714</v>
      </c>
      <c r="Z1834" s="12"/>
      <c r="AA1834" s="12" t="s">
        <v>14001</v>
      </c>
      <c r="AB1834" s="12"/>
      <c r="AC1834" s="12"/>
      <c r="AD1834" s="12" t="s">
        <v>1017</v>
      </c>
      <c r="AE1834" s="1">
        <v>2022</v>
      </c>
      <c r="AF1834" s="12" t="s">
        <v>3720</v>
      </c>
      <c r="AG1834" s="12" t="s">
        <v>68</v>
      </c>
      <c r="AH1834" s="12" t="s">
        <v>14002</v>
      </c>
      <c r="AI1834" s="12" t="str">
        <f t="shared" si="349"/>
        <v>1841</v>
      </c>
      <c r="AJ1834" s="12"/>
      <c r="AK1834" s="12" t="s">
        <v>90</v>
      </c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2"/>
      <c r="BA1834" s="12"/>
      <c r="BB1834" s="12"/>
      <c r="BC1834" s="12"/>
      <c r="BD1834" s="12"/>
      <c r="BE1834" s="12"/>
      <c r="BF1834" s="12"/>
      <c r="BG1834" s="12"/>
      <c r="BH1834" s="12"/>
      <c r="BI1834" s="12"/>
      <c r="BJ1834" s="12"/>
      <c r="BK1834" s="12"/>
      <c r="BL1834" s="12"/>
      <c r="BM1834" s="12"/>
      <c r="BN1834" s="12"/>
      <c r="BO1834" s="12"/>
      <c r="BP1834" s="12"/>
      <c r="BQ1834" s="12"/>
      <c r="BR1834" s="12"/>
      <c r="BS1834" s="12"/>
      <c r="BT1834" s="12"/>
      <c r="BU1834" s="12"/>
      <c r="BV1834" s="12"/>
      <c r="BW1834" s="12"/>
      <c r="BX1834" s="12"/>
      <c r="BY1834" s="12"/>
      <c r="BZ1834" s="12"/>
      <c r="CA1834" s="12"/>
      <c r="CB1834" s="12"/>
      <c r="CC1834" s="12"/>
      <c r="CD1834" s="12"/>
    </row>
    <row r="1835" spans="1:82" s="19" customFormat="1">
      <c r="A1835" s="19" t="s">
        <v>14003</v>
      </c>
      <c r="B1835" s="19" t="str">
        <f t="shared" si="341"/>
        <v>VANASWEGEN</v>
      </c>
      <c r="C1835" s="19" t="str">
        <f t="shared" si="342"/>
        <v>VAN ASWEGEN</v>
      </c>
      <c r="D1835" s="19" t="s">
        <v>14008</v>
      </c>
      <c r="E1835" s="12" t="str">
        <f t="shared" si="352"/>
        <v>Henning Petrus Jonathan</v>
      </c>
      <c r="F1835" s="19" t="s">
        <v>14009</v>
      </c>
      <c r="G1835" s="19" t="str">
        <f t="shared" si="343"/>
        <v>a1B1C5D7E2</v>
      </c>
      <c r="H1835" s="19" t="str">
        <f t="shared" si="344"/>
        <v>VAN ASWEGENa1B1C5D7E2</v>
      </c>
      <c r="J1835" s="19" t="s">
        <v>14010</v>
      </c>
      <c r="K1835" s="19" t="str">
        <f t="shared" si="345"/>
        <v>1824</v>
      </c>
      <c r="L1835" s="19" t="s">
        <v>74</v>
      </c>
      <c r="M1835" s="19" t="s">
        <v>4032</v>
      </c>
      <c r="N1835" s="19" t="str">
        <f t="shared" si="350"/>
        <v>1824</v>
      </c>
      <c r="O1835" s="19" t="str">
        <f t="shared" si="351"/>
        <v>1825</v>
      </c>
      <c r="Q1835" s="19" t="str">
        <f t="shared" si="346"/>
        <v>1824</v>
      </c>
      <c r="S1835" s="19" t="str">
        <f t="shared" si="347"/>
        <v/>
      </c>
      <c r="T1835" s="19" t="s">
        <v>60</v>
      </c>
      <c r="U1835" s="19" t="s">
        <v>14011</v>
      </c>
      <c r="V1835" s="19" t="str">
        <f t="shared" si="348"/>
        <v>1841</v>
      </c>
      <c r="W1835" s="19" t="s">
        <v>14012</v>
      </c>
      <c r="X1835" s="19" t="s">
        <v>636</v>
      </c>
      <c r="AG1835" s="19" t="s">
        <v>60</v>
      </c>
      <c r="AH1835" s="19" t="s">
        <v>14013</v>
      </c>
      <c r="AI1835" s="19" t="str">
        <f t="shared" si="349"/>
        <v>1842</v>
      </c>
      <c r="AK1835" s="19" t="s">
        <v>551</v>
      </c>
    </row>
    <row r="1836" spans="1:82" s="19" customFormat="1">
      <c r="A1836" s="19" t="s">
        <v>14003</v>
      </c>
      <c r="B1836" s="19" t="str">
        <f t="shared" si="341"/>
        <v>VANASWEGEN</v>
      </c>
      <c r="C1836" s="19" t="str">
        <f t="shared" si="342"/>
        <v>VAN ASWEGEN</v>
      </c>
      <c r="D1836" s="19" t="s">
        <v>14014</v>
      </c>
      <c r="E1836" s="12" t="str">
        <f t="shared" si="352"/>
        <v>Izak Gerrit</v>
      </c>
      <c r="F1836" s="19" t="s">
        <v>15798</v>
      </c>
      <c r="G1836" s="19" t="str">
        <f t="shared" si="343"/>
        <v>a1B1C5D7</v>
      </c>
      <c r="H1836" s="19" t="str">
        <f t="shared" si="344"/>
        <v>VAN ASWEGENa1B1C5D7</v>
      </c>
      <c r="K1836" s="19" t="str">
        <f t="shared" si="345"/>
        <v/>
      </c>
      <c r="M1836" s="19" t="s">
        <v>2331</v>
      </c>
      <c r="N1836" s="19" t="str">
        <f t="shared" si="350"/>
        <v/>
      </c>
      <c r="O1836" s="19" t="str">
        <f t="shared" si="351"/>
        <v>1803</v>
      </c>
      <c r="P1836" s="19" t="s">
        <v>14015</v>
      </c>
      <c r="Q1836" s="19" t="str">
        <f t="shared" si="346"/>
        <v>1803</v>
      </c>
      <c r="R1836" s="19" t="s">
        <v>14016</v>
      </c>
      <c r="S1836" s="19" t="str">
        <f t="shared" si="347"/>
        <v>1859</v>
      </c>
      <c r="V1836" s="19" t="str">
        <f t="shared" si="348"/>
        <v/>
      </c>
      <c r="W1836" s="19" t="s">
        <v>14017</v>
      </c>
      <c r="X1836" s="19" t="s">
        <v>772</v>
      </c>
      <c r="AG1836" s="19" t="s">
        <v>60</v>
      </c>
      <c r="AH1836" s="19" t="s">
        <v>14013</v>
      </c>
      <c r="AI1836" s="19" t="str">
        <f t="shared" si="349"/>
        <v>1842</v>
      </c>
      <c r="AK1836" s="19" t="s">
        <v>551</v>
      </c>
      <c r="AL1836" s="19" t="s">
        <v>10271</v>
      </c>
      <c r="AM1836" s="19" t="s">
        <v>246</v>
      </c>
      <c r="AN1836" s="19" t="s">
        <v>2252</v>
      </c>
      <c r="AO1836" s="19" t="s">
        <v>295</v>
      </c>
      <c r="AR1836" s="19">
        <v>1807</v>
      </c>
      <c r="AU1836" s="19" t="s">
        <v>1289</v>
      </c>
      <c r="AV1836" s="19" t="s">
        <v>14018</v>
      </c>
    </row>
    <row r="1837" spans="1:82">
      <c r="A1837" s="12" t="s">
        <v>14003</v>
      </c>
      <c r="B1837" s="12" t="str">
        <f t="shared" si="341"/>
        <v>VANASWEGEN</v>
      </c>
      <c r="C1837" s="12" t="str">
        <f t="shared" si="342"/>
        <v>VAN ASWEGEN</v>
      </c>
      <c r="D1837" s="12" t="s">
        <v>14004</v>
      </c>
      <c r="E1837" s="12" t="str">
        <f t="shared" si="352"/>
        <v>Hendrik Abraham</v>
      </c>
      <c r="F1837" s="12" t="s">
        <v>14005</v>
      </c>
      <c r="G1837" s="12" t="str">
        <f t="shared" si="343"/>
        <v>a1B2C4</v>
      </c>
      <c r="H1837" s="12" t="str">
        <f t="shared" si="344"/>
        <v>VAN ASWEGENa1B2C4</v>
      </c>
      <c r="I1837" s="12"/>
      <c r="J1837" s="12"/>
      <c r="K1837" s="12" t="str">
        <f t="shared" si="345"/>
        <v/>
      </c>
      <c r="L1837" s="12"/>
      <c r="M1837" s="12" t="s">
        <v>14006</v>
      </c>
      <c r="N1837" s="12" t="str">
        <f t="shared" si="350"/>
        <v/>
      </c>
      <c r="O1837" s="12" t="str">
        <f t="shared" si="351"/>
        <v>1805</v>
      </c>
      <c r="P1837" s="12"/>
      <c r="Q1837" s="12" t="str">
        <f t="shared" si="346"/>
        <v>1805</v>
      </c>
      <c r="R1837" s="12">
        <v>1855</v>
      </c>
      <c r="S1837" s="12" t="str">
        <f t="shared" si="347"/>
        <v>1855</v>
      </c>
      <c r="T1837" s="12" t="s">
        <v>74</v>
      </c>
      <c r="U1837" s="12" t="s">
        <v>1349</v>
      </c>
      <c r="V1837" s="12" t="str">
        <f t="shared" si="348"/>
        <v>1822</v>
      </c>
      <c r="W1837" s="12" t="s">
        <v>708</v>
      </c>
      <c r="X1837" s="12" t="s">
        <v>757</v>
      </c>
      <c r="Y1837" s="12"/>
      <c r="Z1837" s="12"/>
      <c r="AA1837" s="12"/>
      <c r="AB1837" s="12"/>
      <c r="AC1837" s="12"/>
      <c r="AD1837" s="12"/>
      <c r="AE1837" s="12"/>
      <c r="AF1837" s="12" t="s">
        <v>16</v>
      </c>
      <c r="AG1837" s="12" t="s">
        <v>68</v>
      </c>
      <c r="AH1837" s="12">
        <v>1836</v>
      </c>
      <c r="AI1837" s="12" t="str">
        <f t="shared" si="349"/>
        <v>1836</v>
      </c>
      <c r="AJ1837" s="12" t="s">
        <v>13060</v>
      </c>
      <c r="AK1837" s="12" t="s">
        <v>140</v>
      </c>
      <c r="AL1837" s="12" t="s">
        <v>28</v>
      </c>
      <c r="AM1837" s="12" t="s">
        <v>14007</v>
      </c>
      <c r="AN1837" s="12" t="s">
        <v>2936</v>
      </c>
      <c r="AO1837" s="12" t="s">
        <v>667</v>
      </c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2"/>
      <c r="BA1837" s="12"/>
      <c r="BB1837" s="12"/>
      <c r="BC1837" s="12"/>
      <c r="BD1837" s="12"/>
      <c r="BE1837" s="12"/>
      <c r="BF1837" s="12"/>
      <c r="BG1837" s="12"/>
      <c r="BH1837" s="12"/>
      <c r="BI1837" s="12"/>
      <c r="BJ1837" s="12"/>
      <c r="BK1837" s="12"/>
      <c r="BL1837" s="12"/>
      <c r="BM1837" s="12"/>
      <c r="BN1837" s="12"/>
      <c r="BO1837" s="12"/>
      <c r="BP1837" s="12"/>
      <c r="BQ1837" s="12"/>
      <c r="BR1837" s="12"/>
      <c r="BS1837" s="12"/>
      <c r="BT1837" s="12"/>
      <c r="BU1837" s="12"/>
      <c r="BV1837" s="12"/>
      <c r="BW1837" s="12"/>
      <c r="BX1837" s="12"/>
      <c r="BY1837" s="12"/>
      <c r="BZ1837" s="12"/>
      <c r="CA1837" s="12"/>
      <c r="CB1837" s="12"/>
      <c r="CC1837" s="12"/>
      <c r="CD1837" s="12"/>
    </row>
    <row r="1838" spans="1:82">
      <c r="A1838" s="12" t="s">
        <v>14003</v>
      </c>
      <c r="B1838" s="12" t="str">
        <f t="shared" si="341"/>
        <v>VANASWEGEN</v>
      </c>
      <c r="C1838" s="12" t="str">
        <f t="shared" si="342"/>
        <v>VAN ASWEGEN</v>
      </c>
      <c r="D1838" s="12" t="s">
        <v>6863</v>
      </c>
      <c r="E1838" s="12" t="str">
        <f t="shared" si="352"/>
        <v>Johan David</v>
      </c>
      <c r="F1838" s="12" t="s">
        <v>14019</v>
      </c>
      <c r="G1838" s="12" t="str">
        <f t="shared" si="343"/>
        <v>a1B2C6</v>
      </c>
      <c r="H1838" s="12" t="str">
        <f t="shared" si="344"/>
        <v>VAN ASWEGENa1B2C6</v>
      </c>
      <c r="I1838" s="12"/>
      <c r="J1838" s="12" t="s">
        <v>14020</v>
      </c>
      <c r="K1838" s="12" t="str">
        <f t="shared" si="345"/>
        <v>1809</v>
      </c>
      <c r="L1838" s="12" t="s">
        <v>74</v>
      </c>
      <c r="M1838" s="12" t="s">
        <v>7206</v>
      </c>
      <c r="N1838" s="12" t="str">
        <f t="shared" si="350"/>
        <v>1809</v>
      </c>
      <c r="O1838" s="12" t="str">
        <f t="shared" si="351"/>
        <v>1809</v>
      </c>
      <c r="P1838" s="12"/>
      <c r="Q1838" s="12" t="str">
        <f t="shared" si="346"/>
        <v>1809</v>
      </c>
      <c r="R1838" s="12">
        <v>1872</v>
      </c>
      <c r="S1838" s="12" t="str">
        <f t="shared" si="347"/>
        <v>1872</v>
      </c>
      <c r="T1838" s="12" t="s">
        <v>28</v>
      </c>
      <c r="U1838" s="12" t="s">
        <v>14021</v>
      </c>
      <c r="V1838" s="12" t="str">
        <f t="shared" si="348"/>
        <v>1829</v>
      </c>
      <c r="W1838" s="12" t="s">
        <v>14022</v>
      </c>
      <c r="X1838" s="12" t="s">
        <v>667</v>
      </c>
      <c r="Y1838" s="12"/>
      <c r="Z1838" s="12"/>
      <c r="AA1838" s="12"/>
      <c r="AB1838" s="12"/>
      <c r="AC1838" s="12"/>
      <c r="AD1838" s="12"/>
      <c r="AE1838" s="12"/>
      <c r="AF1838" s="12" t="s">
        <v>16</v>
      </c>
      <c r="AG1838" s="12" t="s">
        <v>68</v>
      </c>
      <c r="AH1838" s="12" t="s">
        <v>14023</v>
      </c>
      <c r="AI1838" s="12" t="str">
        <f t="shared" si="349"/>
        <v>1838</v>
      </c>
      <c r="AJ1838" s="12" t="s">
        <v>13060</v>
      </c>
      <c r="AK1838" s="12" t="s">
        <v>155</v>
      </c>
      <c r="AL1838" s="12" t="s">
        <v>28</v>
      </c>
      <c r="AM1838" s="12" t="s">
        <v>3488</v>
      </c>
      <c r="AN1838" s="12" t="s">
        <v>14024</v>
      </c>
      <c r="AO1838" s="12" t="s">
        <v>5473</v>
      </c>
      <c r="AP1838" s="12"/>
      <c r="AQ1838" s="12"/>
      <c r="AR1838" s="12" t="s">
        <v>14025</v>
      </c>
      <c r="AS1838" s="12"/>
      <c r="AT1838" s="12"/>
      <c r="AU1838" s="12"/>
      <c r="AV1838" s="12"/>
      <c r="AW1838" s="12"/>
      <c r="AX1838" s="12"/>
      <c r="AY1838" s="12"/>
      <c r="AZ1838" s="12"/>
      <c r="BA1838" s="12"/>
      <c r="BB1838" s="12"/>
      <c r="BC1838" s="12"/>
      <c r="BD1838" s="12"/>
      <c r="BE1838" s="12"/>
      <c r="BF1838" s="12"/>
      <c r="BG1838" s="12"/>
      <c r="BH1838" s="12"/>
      <c r="BI1838" s="12"/>
      <c r="BJ1838" s="12"/>
      <c r="BK1838" s="12"/>
      <c r="BL1838" s="12"/>
      <c r="BM1838" s="12"/>
      <c r="BN1838" s="12"/>
      <c r="BO1838" s="12"/>
      <c r="BP1838" s="12"/>
      <c r="BQ1838" s="12"/>
      <c r="BR1838" s="12"/>
      <c r="BS1838" s="12"/>
      <c r="BT1838" s="12"/>
      <c r="BU1838" s="12"/>
      <c r="BV1838" s="12"/>
      <c r="BW1838" s="12"/>
      <c r="BX1838" s="12"/>
      <c r="BY1838" s="12"/>
      <c r="BZ1838" s="12"/>
      <c r="CA1838" s="12"/>
      <c r="CB1838" s="12"/>
      <c r="CC1838" s="12"/>
      <c r="CD1838" s="12"/>
    </row>
    <row r="1839" spans="1:82">
      <c r="A1839" s="12" t="s">
        <v>2111</v>
      </c>
      <c r="B1839" s="12" t="str">
        <f t="shared" si="341"/>
        <v>VANBILJON</v>
      </c>
      <c r="C1839" s="12" t="str">
        <f t="shared" si="342"/>
        <v>VAN BILJON</v>
      </c>
      <c r="D1839" s="12" t="s">
        <v>14030</v>
      </c>
      <c r="E1839" s="12" t="str">
        <f t="shared" si="352"/>
        <v>Pertrus Johannes</v>
      </c>
      <c r="F1839" s="12" t="s">
        <v>14031</v>
      </c>
      <c r="G1839" s="12" t="str">
        <f t="shared" si="343"/>
        <v>a1b2c6d3e1</v>
      </c>
      <c r="H1839" s="12" t="str">
        <f t="shared" si="344"/>
        <v>VAN BILJONa1b2c6d3e1</v>
      </c>
      <c r="I1839" s="12"/>
      <c r="J1839" s="12" t="s">
        <v>14032</v>
      </c>
      <c r="K1839" s="12" t="str">
        <f t="shared" si="345"/>
        <v>1822</v>
      </c>
      <c r="L1839" s="12" t="s">
        <v>74</v>
      </c>
      <c r="M1839" s="12" t="s">
        <v>14033</v>
      </c>
      <c r="N1839" s="12" t="str">
        <f t="shared" si="350"/>
        <v>1822</v>
      </c>
      <c r="O1839" s="12" t="str">
        <f t="shared" si="351"/>
        <v>1823</v>
      </c>
      <c r="P1839" s="12"/>
      <c r="Q1839" s="12" t="str">
        <f t="shared" si="346"/>
        <v>1822</v>
      </c>
      <c r="R1839" s="12"/>
      <c r="S1839" s="12" t="str">
        <f t="shared" si="347"/>
        <v/>
      </c>
      <c r="T1839" s="12" t="s">
        <v>60</v>
      </c>
      <c r="U1839" s="12" t="s">
        <v>14034</v>
      </c>
      <c r="V1839" s="12" t="str">
        <f t="shared" si="348"/>
        <v>1841</v>
      </c>
      <c r="W1839" s="12" t="s">
        <v>1076</v>
      </c>
      <c r="X1839" s="12" t="s">
        <v>14035</v>
      </c>
      <c r="Y1839" s="12"/>
      <c r="Z1839" s="12"/>
      <c r="AA1839" s="12"/>
      <c r="AB1839" s="12"/>
      <c r="AC1839" s="12"/>
      <c r="AD1839" s="12"/>
      <c r="AE1839" s="12"/>
      <c r="AF1839" s="12"/>
      <c r="AG1839" s="12" t="s">
        <v>60</v>
      </c>
      <c r="AH1839" s="12">
        <v>1843</v>
      </c>
      <c r="AI1839" s="12" t="str">
        <f t="shared" si="349"/>
        <v>1843</v>
      </c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  <c r="BA1839" s="12"/>
      <c r="BB1839" s="12"/>
      <c r="BC1839" s="12"/>
      <c r="BD1839" s="12"/>
      <c r="BE1839" s="12"/>
      <c r="BF1839" s="12"/>
      <c r="BG1839" s="12"/>
      <c r="BH1839" s="12"/>
      <c r="BI1839" s="12"/>
      <c r="BJ1839" s="12"/>
      <c r="BK1839" s="12"/>
      <c r="BL1839" s="12"/>
      <c r="BM1839" s="12"/>
      <c r="BN1839" s="12"/>
      <c r="BO1839" s="12"/>
      <c r="BP1839" s="12"/>
      <c r="BQ1839" s="12"/>
      <c r="BR1839" s="12"/>
      <c r="BS1839" s="12"/>
      <c r="BT1839" s="12"/>
      <c r="BU1839" s="12"/>
      <c r="BV1839" s="12"/>
      <c r="BW1839" s="12"/>
      <c r="BX1839" s="12"/>
      <c r="BY1839" s="12"/>
      <c r="BZ1839" s="12"/>
      <c r="CA1839" s="12"/>
      <c r="CB1839" s="12"/>
      <c r="CC1839" s="12"/>
      <c r="CD1839" s="12"/>
    </row>
    <row r="1840" spans="1:82">
      <c r="A1840" s="12" t="s">
        <v>2111</v>
      </c>
      <c r="B1840" s="12" t="str">
        <f t="shared" si="341"/>
        <v>VANBILJON</v>
      </c>
      <c r="C1840" s="12" t="str">
        <f t="shared" si="342"/>
        <v>VAN BILJON</v>
      </c>
      <c r="D1840" s="12" t="s">
        <v>2307</v>
      </c>
      <c r="E1840" s="12" t="str">
        <f t="shared" si="352"/>
        <v>Frederik Johannes</v>
      </c>
      <c r="F1840" s="12" t="s">
        <v>6571</v>
      </c>
      <c r="G1840" s="12" t="str">
        <f t="shared" si="343"/>
        <v>a1b2c6d7</v>
      </c>
      <c r="H1840" s="12" t="str">
        <f t="shared" si="344"/>
        <v>VAN BILJONa1b2c6d7</v>
      </c>
      <c r="I1840" s="12"/>
      <c r="J1840" s="12" t="s">
        <v>14026</v>
      </c>
      <c r="K1840" s="12" t="str">
        <f t="shared" si="345"/>
        <v>1802</v>
      </c>
      <c r="L1840" s="12" t="s">
        <v>542</v>
      </c>
      <c r="M1840" s="12" t="s">
        <v>14027</v>
      </c>
      <c r="N1840" s="12" t="str">
        <f t="shared" si="350"/>
        <v>1802</v>
      </c>
      <c r="O1840" s="12" t="str">
        <f t="shared" si="351"/>
        <v>1803</v>
      </c>
      <c r="P1840" s="12"/>
      <c r="Q1840" s="12" t="str">
        <f t="shared" si="346"/>
        <v>1802</v>
      </c>
      <c r="R1840" s="12"/>
      <c r="S1840" s="12" t="str">
        <f t="shared" si="347"/>
        <v/>
      </c>
      <c r="T1840" s="12"/>
      <c r="U1840" s="12"/>
      <c r="V1840" s="12" t="str">
        <f t="shared" si="348"/>
        <v/>
      </c>
      <c r="W1840" s="12" t="s">
        <v>14028</v>
      </c>
      <c r="X1840" s="12" t="s">
        <v>1675</v>
      </c>
      <c r="Y1840" s="12"/>
      <c r="Z1840" s="12"/>
      <c r="AA1840" s="12"/>
      <c r="AB1840" s="12"/>
      <c r="AC1840" s="12"/>
      <c r="AD1840" s="12"/>
      <c r="AE1840" s="12"/>
      <c r="AF1840" s="12"/>
      <c r="AG1840" s="12" t="s">
        <v>60</v>
      </c>
      <c r="AH1840" s="12">
        <v>1842</v>
      </c>
      <c r="AI1840" s="12" t="str">
        <f t="shared" si="349"/>
        <v>1842</v>
      </c>
      <c r="AJ1840" s="12"/>
      <c r="AK1840" s="12" t="s">
        <v>190</v>
      </c>
      <c r="AL1840" s="12" t="s">
        <v>60</v>
      </c>
      <c r="AM1840" s="12" t="s">
        <v>14029</v>
      </c>
      <c r="AN1840" s="12" t="s">
        <v>13265</v>
      </c>
      <c r="AO1840" s="12" t="s">
        <v>784</v>
      </c>
      <c r="AP1840" s="12"/>
      <c r="AQ1840" s="12"/>
      <c r="AR1840" s="12"/>
      <c r="AS1840" s="12"/>
      <c r="AT1840" s="12"/>
      <c r="AU1840" s="12"/>
      <c r="AV1840" s="12"/>
      <c r="AW1840" s="12"/>
      <c r="AX1840" s="12"/>
      <c r="AY1840" s="12"/>
      <c r="AZ1840" s="12"/>
      <c r="BA1840" s="12"/>
      <c r="BB1840" s="12"/>
      <c r="BC1840" s="12"/>
      <c r="BD1840" s="12"/>
      <c r="BE1840" s="12"/>
      <c r="BF1840" s="12"/>
      <c r="BG1840" s="12"/>
      <c r="BH1840" s="12"/>
      <c r="BI1840" s="12"/>
      <c r="BJ1840" s="12"/>
      <c r="BK1840" s="12"/>
      <c r="BL1840" s="12"/>
      <c r="BM1840" s="12"/>
      <c r="BN1840" s="12"/>
      <c r="BO1840" s="12"/>
      <c r="BP1840" s="12"/>
      <c r="BQ1840" s="12"/>
      <c r="BR1840" s="12"/>
      <c r="BS1840" s="12"/>
      <c r="BT1840" s="12"/>
      <c r="BU1840" s="12"/>
      <c r="BV1840" s="12"/>
      <c r="BW1840" s="12"/>
      <c r="BX1840" s="12"/>
      <c r="BY1840" s="12"/>
      <c r="BZ1840" s="12"/>
      <c r="CA1840" s="12"/>
      <c r="CB1840" s="12"/>
      <c r="CC1840" s="12"/>
      <c r="CD1840" s="12"/>
    </row>
    <row r="1841" spans="1:82">
      <c r="A1841" s="12" t="s">
        <v>14036</v>
      </c>
      <c r="B1841" s="12" t="str">
        <f t="shared" si="341"/>
        <v>VANBREDA</v>
      </c>
      <c r="C1841" s="12" t="str">
        <f t="shared" si="342"/>
        <v>VAN BREDA</v>
      </c>
      <c r="D1841" s="12" t="s">
        <v>14037</v>
      </c>
      <c r="E1841" s="12" t="str">
        <f t="shared" si="352"/>
        <v>Michiel</v>
      </c>
      <c r="F1841" s="12" t="s">
        <v>865</v>
      </c>
      <c r="G1841" s="12" t="str">
        <f t="shared" si="343"/>
        <v>a1b1c3d3</v>
      </c>
      <c r="H1841" s="12" t="str">
        <f t="shared" si="344"/>
        <v>VAN BREDAa1b1c3d3</v>
      </c>
      <c r="I1841" s="12"/>
      <c r="J1841" s="12" t="s">
        <v>14038</v>
      </c>
      <c r="K1841" s="12" t="str">
        <f t="shared" si="345"/>
        <v>1786</v>
      </c>
      <c r="L1841" s="12"/>
      <c r="M1841" s="12" t="s">
        <v>14039</v>
      </c>
      <c r="N1841" s="12" t="str">
        <f t="shared" si="350"/>
        <v>1786</v>
      </c>
      <c r="O1841" s="12" t="str">
        <f t="shared" si="351"/>
        <v>1786</v>
      </c>
      <c r="P1841" s="12" t="s">
        <v>90</v>
      </c>
      <c r="Q1841" s="12" t="str">
        <f t="shared" si="346"/>
        <v>1786</v>
      </c>
      <c r="R1841" s="12">
        <v>1848</v>
      </c>
      <c r="S1841" s="12" t="str">
        <f t="shared" si="347"/>
        <v>1848</v>
      </c>
      <c r="T1841" s="12" t="s">
        <v>6098</v>
      </c>
      <c r="U1841" s="12" t="s">
        <v>14040</v>
      </c>
      <c r="V1841" s="12" t="str">
        <f t="shared" si="348"/>
        <v>1809</v>
      </c>
      <c r="W1841" s="12" t="s">
        <v>14041</v>
      </c>
      <c r="X1841" s="12" t="s">
        <v>14042</v>
      </c>
      <c r="Y1841" s="12" t="s">
        <v>12896</v>
      </c>
      <c r="Z1841" s="12"/>
      <c r="AA1841" s="12" t="s">
        <v>14043</v>
      </c>
      <c r="AB1841" s="12"/>
      <c r="AC1841" s="12"/>
      <c r="AD1841" s="12" t="s">
        <v>90</v>
      </c>
      <c r="AE1841" s="12" t="s">
        <v>14044</v>
      </c>
      <c r="AF1841" s="12" t="s">
        <v>14045</v>
      </c>
      <c r="AG1841" s="12" t="s">
        <v>199</v>
      </c>
      <c r="AH1841" s="12" t="s">
        <v>4283</v>
      </c>
      <c r="AI1841" s="12" t="str">
        <f t="shared" si="349"/>
        <v>1838</v>
      </c>
      <c r="AJ1841" s="12" t="s">
        <v>14046</v>
      </c>
      <c r="AK1841" s="12" t="s">
        <v>90</v>
      </c>
      <c r="AL1841" s="12"/>
      <c r="AM1841" s="12"/>
      <c r="AN1841" s="12"/>
      <c r="AO1841" s="12"/>
      <c r="AP1841" s="12"/>
      <c r="AQ1841" s="12"/>
      <c r="AR1841" s="12"/>
      <c r="AS1841" s="12"/>
      <c r="AT1841" s="12"/>
      <c r="AU1841" s="12"/>
      <c r="AV1841" s="12"/>
      <c r="AW1841" s="12"/>
      <c r="AX1841" s="12"/>
      <c r="AY1841" s="12"/>
      <c r="AZ1841" s="12"/>
      <c r="BA1841" s="12"/>
      <c r="BB1841" s="12"/>
      <c r="BC1841" s="12"/>
      <c r="BD1841" s="12"/>
      <c r="BE1841" s="12"/>
      <c r="BF1841" s="12"/>
      <c r="BG1841" s="12"/>
      <c r="BH1841" s="12"/>
      <c r="BI1841" s="12"/>
      <c r="BJ1841" s="12"/>
      <c r="BK1841" s="12"/>
      <c r="BL1841" s="12"/>
      <c r="BM1841" s="12"/>
      <c r="BN1841" s="12"/>
      <c r="BO1841" s="12"/>
      <c r="BP1841" s="12"/>
      <c r="BQ1841" s="12"/>
      <c r="BR1841" s="12"/>
      <c r="BS1841" s="12"/>
      <c r="BT1841" s="12"/>
      <c r="BU1841" s="12"/>
      <c r="BV1841" s="12"/>
      <c r="BW1841" s="12"/>
      <c r="BX1841" s="12"/>
      <c r="BY1841" s="12"/>
      <c r="BZ1841" s="12"/>
      <c r="CA1841" s="12"/>
      <c r="CB1841" s="12"/>
      <c r="CC1841" s="12"/>
      <c r="CD1841" s="12"/>
    </row>
    <row r="1842" spans="1:82">
      <c r="A1842" s="12" t="s">
        <v>14036</v>
      </c>
      <c r="B1842" s="12" t="str">
        <f t="shared" si="341"/>
        <v>VANBREDA</v>
      </c>
      <c r="C1842" s="12" t="str">
        <f t="shared" si="342"/>
        <v>VAN BREDA</v>
      </c>
      <c r="D1842" s="12" t="s">
        <v>14047</v>
      </c>
      <c r="E1842" s="12" t="str">
        <f t="shared" si="352"/>
        <v>Servaas</v>
      </c>
      <c r="F1842" s="12" t="s">
        <v>14048</v>
      </c>
      <c r="G1842" s="12" t="str">
        <f t="shared" si="343"/>
        <v>a1b1c3d3e1</v>
      </c>
      <c r="H1842" s="12" t="str">
        <f t="shared" si="344"/>
        <v>VAN BREDAa1b1c3d3e1</v>
      </c>
      <c r="I1842" s="12" t="s">
        <v>14049</v>
      </c>
      <c r="J1842" s="12" t="s">
        <v>3746</v>
      </c>
      <c r="K1842" s="12" t="str">
        <f t="shared" si="345"/>
        <v>1813</v>
      </c>
      <c r="L1842" s="12"/>
      <c r="M1842" s="12" t="s">
        <v>12393</v>
      </c>
      <c r="N1842" s="12" t="str">
        <f t="shared" si="350"/>
        <v>1813</v>
      </c>
      <c r="O1842" s="12" t="str">
        <f t="shared" si="351"/>
        <v>1813</v>
      </c>
      <c r="P1842" s="12" t="s">
        <v>1864</v>
      </c>
      <c r="Q1842" s="12" t="str">
        <f t="shared" si="346"/>
        <v>1813</v>
      </c>
      <c r="R1842" s="12" t="s">
        <v>14050</v>
      </c>
      <c r="S1842" s="12" t="str">
        <f t="shared" si="347"/>
        <v>1881</v>
      </c>
      <c r="T1842" s="12" t="s">
        <v>199</v>
      </c>
      <c r="U1842" s="12" t="s">
        <v>2719</v>
      </c>
      <c r="V1842" s="12" t="str">
        <f t="shared" si="348"/>
        <v>1836</v>
      </c>
      <c r="W1842" s="12" t="s">
        <v>14051</v>
      </c>
      <c r="X1842" s="12" t="s">
        <v>695</v>
      </c>
      <c r="Y1842" s="12" t="s">
        <v>14052</v>
      </c>
      <c r="Z1842" s="12"/>
      <c r="AA1842" s="12"/>
      <c r="AB1842" s="12"/>
      <c r="AC1842" s="12" t="s">
        <v>14053</v>
      </c>
      <c r="AD1842" s="12"/>
      <c r="AE1842" s="12"/>
      <c r="AF1842" s="12" t="s">
        <v>14045</v>
      </c>
      <c r="AG1842" s="12" t="s">
        <v>199</v>
      </c>
      <c r="AH1842" s="12" t="s">
        <v>4283</v>
      </c>
      <c r="AI1842" s="12" t="str">
        <f t="shared" si="349"/>
        <v>1838</v>
      </c>
      <c r="AJ1842" s="12" t="s">
        <v>14046</v>
      </c>
      <c r="AK1842" s="12" t="s">
        <v>90</v>
      </c>
      <c r="AL1842" s="12"/>
      <c r="AM1842" s="12"/>
      <c r="AN1842" s="12" t="s">
        <v>746</v>
      </c>
      <c r="AO1842" s="12" t="s">
        <v>1997</v>
      </c>
      <c r="AP1842" s="12"/>
      <c r="AQ1842" s="12"/>
      <c r="AR1842" s="12"/>
      <c r="AS1842" s="12"/>
      <c r="AT1842" s="12"/>
      <c r="AU1842" s="12"/>
      <c r="AV1842" s="12"/>
      <c r="AW1842" s="12"/>
      <c r="AX1842" s="12"/>
      <c r="AY1842" s="12"/>
      <c r="AZ1842" s="12"/>
      <c r="BA1842" s="12"/>
      <c r="BB1842" s="12"/>
      <c r="BC1842" s="12"/>
      <c r="BD1842" s="12"/>
      <c r="BE1842" s="12"/>
      <c r="BF1842" s="12"/>
      <c r="BG1842" s="12"/>
      <c r="BH1842" s="12"/>
      <c r="BI1842" s="12"/>
      <c r="BJ1842" s="12"/>
      <c r="BK1842" s="12"/>
      <c r="BL1842" s="12"/>
      <c r="BM1842" s="12"/>
      <c r="BN1842" s="12"/>
      <c r="BO1842" s="12"/>
      <c r="BP1842" s="12"/>
      <c r="BQ1842" s="12"/>
      <c r="BR1842" s="12"/>
      <c r="BS1842" s="12"/>
      <c r="BT1842" s="12"/>
      <c r="BU1842" s="12"/>
      <c r="BV1842" s="12"/>
      <c r="BW1842" s="12"/>
      <c r="BX1842" s="12"/>
      <c r="BY1842" s="12"/>
      <c r="BZ1842" s="12"/>
      <c r="CA1842" s="12"/>
      <c r="CB1842" s="12"/>
      <c r="CC1842" s="12"/>
      <c r="CD1842" s="12"/>
    </row>
    <row r="1843" spans="1:82">
      <c r="A1843" s="12" t="s">
        <v>2410</v>
      </c>
      <c r="B1843" s="12" t="str">
        <f t="shared" ref="B1843:B1905" si="353">SUBSTITUTE(A1843," ","")</f>
        <v>VANCOLLER</v>
      </c>
      <c r="C1843" s="12" t="str">
        <f t="shared" ref="C1843:C1905" si="354">TRIM(A1843)</f>
        <v>VAN COLLER</v>
      </c>
      <c r="D1843" s="12" t="s">
        <v>14060</v>
      </c>
      <c r="E1843" s="12" t="str">
        <f t="shared" si="352"/>
        <v>Johannes Daniël</v>
      </c>
      <c r="F1843" s="12" t="s">
        <v>3178</v>
      </c>
      <c r="G1843" s="12" t="str">
        <f t="shared" ref="G1843:G1905" si="355">IF(LEFT(F1843,1)="b","a1"&amp;F1843,F1843)</f>
        <v>a1b2c1d1</v>
      </c>
      <c r="H1843" s="12" t="str">
        <f t="shared" ref="H1843:H1874" si="356">C1843&amp;G1843</f>
        <v>VAN COLLERa1b2c1d1</v>
      </c>
      <c r="I1843" s="12"/>
      <c r="J1843" s="12"/>
      <c r="K1843" s="12" t="str">
        <f t="shared" ref="K1843:K1905" si="357">RIGHT(J1843,4)</f>
        <v/>
      </c>
      <c r="L1843" s="12"/>
      <c r="M1843" s="12" t="s">
        <v>5502</v>
      </c>
      <c r="N1843" s="12" t="str">
        <f t="shared" si="350"/>
        <v/>
      </c>
      <c r="O1843" s="12" t="str">
        <f t="shared" si="351"/>
        <v>1800</v>
      </c>
      <c r="P1843" s="12"/>
      <c r="Q1843" s="12" t="str">
        <f t="shared" ref="Q1843:Q1905" si="358">IF(N1843="",O1843,N1843)</f>
        <v>1800</v>
      </c>
      <c r="R1843" s="12"/>
      <c r="S1843" s="12" t="str">
        <f t="shared" ref="S1843:S1905" si="359">RIGHT(R1843,4)</f>
        <v/>
      </c>
      <c r="T1843" s="12" t="s">
        <v>32</v>
      </c>
      <c r="U1843" s="12" t="s">
        <v>14061</v>
      </c>
      <c r="V1843" s="12" t="str">
        <f t="shared" ref="V1843:V1905" si="360">RIGHT(U1843,4)</f>
        <v>1826</v>
      </c>
      <c r="W1843" s="12" t="s">
        <v>14062</v>
      </c>
      <c r="X1843" s="12" t="s">
        <v>3138</v>
      </c>
      <c r="Y1843" s="12"/>
      <c r="Z1843" s="12"/>
      <c r="AA1843" s="12"/>
      <c r="AB1843" s="12"/>
      <c r="AC1843" s="12"/>
      <c r="AD1843" s="12"/>
      <c r="AE1843" s="12"/>
      <c r="AF1843" s="12" t="s">
        <v>3730</v>
      </c>
      <c r="AG1843" s="12" t="s">
        <v>32</v>
      </c>
      <c r="AH1843" s="12" t="s">
        <v>14063</v>
      </c>
      <c r="AI1843" s="12" t="str">
        <f t="shared" ref="AI1843:AI1905" si="361">RIGHT(AH1843,4)</f>
        <v>1838</v>
      </c>
      <c r="AJ1843" s="12"/>
      <c r="AK1843" s="12" t="s">
        <v>90</v>
      </c>
      <c r="AL1843" s="12"/>
      <c r="AM1843" s="12"/>
      <c r="AN1843" s="12"/>
      <c r="AO1843" s="12"/>
      <c r="AP1843" s="12"/>
      <c r="AQ1843" s="12"/>
      <c r="AR1843" s="12"/>
      <c r="AS1843" s="12"/>
      <c r="AT1843" s="12"/>
      <c r="AU1843" s="12"/>
      <c r="AV1843" s="12"/>
      <c r="AW1843" s="12"/>
      <c r="AX1843" s="12"/>
      <c r="AY1843" s="12"/>
      <c r="AZ1843" s="12"/>
      <c r="BA1843" s="12"/>
      <c r="BB1843" s="12"/>
      <c r="BC1843" s="12"/>
      <c r="BD1843" s="12"/>
      <c r="BE1843" s="12"/>
      <c r="BF1843" s="12"/>
      <c r="BG1843" s="12"/>
      <c r="BH1843" s="12"/>
      <c r="BI1843" s="12"/>
      <c r="BJ1843" s="12"/>
      <c r="BK1843" s="12"/>
      <c r="BL1843" s="12"/>
      <c r="BM1843" s="12"/>
      <c r="BN1843" s="12"/>
      <c r="BO1843" s="12"/>
      <c r="BP1843" s="12"/>
      <c r="BQ1843" s="12"/>
      <c r="BR1843" s="12"/>
      <c r="BS1843" s="12"/>
      <c r="BT1843" s="12"/>
      <c r="BU1843" s="12"/>
      <c r="BV1843" s="12"/>
      <c r="BW1843" s="12"/>
      <c r="BX1843" s="12"/>
      <c r="BY1843" s="12"/>
      <c r="BZ1843" s="12"/>
      <c r="CA1843" s="12"/>
      <c r="CB1843" s="12"/>
      <c r="CC1843" s="12"/>
      <c r="CD1843" s="12"/>
    </row>
    <row r="1844" spans="1:82">
      <c r="A1844" s="12" t="s">
        <v>2410</v>
      </c>
      <c r="B1844" s="12" t="str">
        <f t="shared" si="353"/>
        <v>VANCOLLER</v>
      </c>
      <c r="C1844" s="12" t="str">
        <f t="shared" si="354"/>
        <v>VAN COLLER</v>
      </c>
      <c r="D1844" s="12" t="s">
        <v>14054</v>
      </c>
      <c r="E1844" s="12" t="str">
        <f t="shared" si="352"/>
        <v>Adolph Johannes</v>
      </c>
      <c r="F1844" s="12" t="s">
        <v>14055</v>
      </c>
      <c r="G1844" s="12" t="str">
        <f t="shared" si="355"/>
        <v>a1b2c2d?</v>
      </c>
      <c r="H1844" s="12" t="str">
        <f t="shared" si="356"/>
        <v>VAN COLLERa1b2c2d?</v>
      </c>
      <c r="I1844" s="12"/>
      <c r="J1844" s="12"/>
      <c r="K1844" s="12" t="str">
        <f t="shared" si="357"/>
        <v/>
      </c>
      <c r="L1844" s="12"/>
      <c r="M1844" s="12"/>
      <c r="N1844" s="12" t="str">
        <f t="shared" si="350"/>
        <v/>
      </c>
      <c r="O1844" s="12" t="str">
        <f t="shared" si="351"/>
        <v/>
      </c>
      <c r="P1844" s="12"/>
      <c r="Q1844" s="12" t="str">
        <f t="shared" si="358"/>
        <v/>
      </c>
      <c r="R1844" s="12"/>
      <c r="S1844" s="12" t="str">
        <f t="shared" si="359"/>
        <v/>
      </c>
      <c r="T1844" s="12"/>
      <c r="U1844" s="12"/>
      <c r="V1844" s="12" t="str">
        <f t="shared" si="360"/>
        <v/>
      </c>
      <c r="W1844" s="12" t="s">
        <v>14056</v>
      </c>
      <c r="X1844" s="12" t="s">
        <v>2410</v>
      </c>
      <c r="Y1844" s="12" t="s">
        <v>7178</v>
      </c>
      <c r="Z1844" s="12"/>
      <c r="AA1844" s="12"/>
      <c r="AB1844" s="12"/>
      <c r="AC1844" s="12" t="s">
        <v>7801</v>
      </c>
      <c r="AD1844" s="12"/>
      <c r="AE1844" s="12"/>
      <c r="AF1844" s="12" t="s">
        <v>3730</v>
      </c>
      <c r="AG1844" s="12" t="s">
        <v>32</v>
      </c>
      <c r="AH1844" s="12" t="s">
        <v>14057</v>
      </c>
      <c r="AI1844" s="12" t="str">
        <f t="shared" si="361"/>
        <v>1837</v>
      </c>
      <c r="AJ1844" s="12"/>
      <c r="AK1844" s="12" t="s">
        <v>74</v>
      </c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  <c r="BH1844" s="12"/>
      <c r="BI1844" s="12"/>
      <c r="BJ1844" s="12"/>
      <c r="BK1844" s="12"/>
      <c r="BL1844" s="12"/>
      <c r="BM1844" s="12"/>
      <c r="BN1844" s="12"/>
      <c r="BO1844" s="12"/>
      <c r="BP1844" s="12"/>
      <c r="BQ1844" s="12"/>
      <c r="BR1844" s="12"/>
      <c r="BS1844" s="12"/>
      <c r="BT1844" s="12"/>
      <c r="BU1844" s="12"/>
      <c r="BV1844" s="12"/>
      <c r="BW1844" s="12"/>
      <c r="BX1844" s="12"/>
      <c r="BY1844" s="12"/>
      <c r="BZ1844" s="12"/>
      <c r="CA1844" s="12"/>
      <c r="CB1844" s="12"/>
      <c r="CC1844" s="12"/>
      <c r="CD1844" s="12"/>
    </row>
    <row r="1845" spans="1:82">
      <c r="A1845" s="12" t="s">
        <v>2410</v>
      </c>
      <c r="B1845" s="12" t="str">
        <f t="shared" si="353"/>
        <v>VANCOLLER</v>
      </c>
      <c r="C1845" s="12" t="str">
        <f t="shared" si="354"/>
        <v>VAN COLLER</v>
      </c>
      <c r="D1845" s="12" t="s">
        <v>14060</v>
      </c>
      <c r="E1845" s="12" t="str">
        <f t="shared" si="352"/>
        <v>Johannes Daniël</v>
      </c>
      <c r="F1845" s="12" t="s">
        <v>1343</v>
      </c>
      <c r="G1845" s="12" t="str">
        <f t="shared" si="355"/>
        <v>a1b2c2d1</v>
      </c>
      <c r="H1845" s="12" t="str">
        <f t="shared" si="356"/>
        <v>VAN COLLERa1b2c2d1</v>
      </c>
      <c r="I1845" s="12"/>
      <c r="J1845" s="12" t="s">
        <v>14064</v>
      </c>
      <c r="K1845" s="12" t="str">
        <f t="shared" si="357"/>
        <v>1806</v>
      </c>
      <c r="L1845" s="12"/>
      <c r="M1845" s="12"/>
      <c r="N1845" s="12" t="str">
        <f t="shared" si="350"/>
        <v>1806</v>
      </c>
      <c r="O1845" s="12" t="str">
        <f t="shared" si="351"/>
        <v/>
      </c>
      <c r="P1845" s="12"/>
      <c r="Q1845" s="12" t="str">
        <f t="shared" si="358"/>
        <v>1806</v>
      </c>
      <c r="R1845" s="12"/>
      <c r="S1845" s="12" t="str">
        <f t="shared" si="359"/>
        <v/>
      </c>
      <c r="T1845" s="12" t="s">
        <v>32</v>
      </c>
      <c r="U1845" s="12" t="s">
        <v>14065</v>
      </c>
      <c r="V1845" s="12" t="str">
        <f t="shared" si="360"/>
        <v>1837</v>
      </c>
      <c r="W1845" s="12" t="s">
        <v>2472</v>
      </c>
      <c r="X1845" s="12" t="s">
        <v>2410</v>
      </c>
      <c r="Y1845" s="12"/>
      <c r="Z1845" s="12"/>
      <c r="AA1845" s="12"/>
      <c r="AB1845" s="12"/>
      <c r="AC1845" s="12"/>
      <c r="AD1845" s="12"/>
      <c r="AE1845" s="12"/>
      <c r="AF1845" s="12" t="s">
        <v>3711</v>
      </c>
      <c r="AG1845" s="12" t="s">
        <v>32</v>
      </c>
      <c r="AH1845" s="12" t="s">
        <v>2968</v>
      </c>
      <c r="AI1845" s="12" t="str">
        <f t="shared" si="361"/>
        <v>1838</v>
      </c>
      <c r="AJ1845" s="12"/>
      <c r="AK1845" s="12" t="s">
        <v>90</v>
      </c>
      <c r="AL1845" s="12"/>
      <c r="AM1845" s="12"/>
      <c r="AN1845" s="12"/>
      <c r="AO1845" s="12"/>
      <c r="AP1845" s="12"/>
      <c r="AQ1845" s="12"/>
      <c r="AR1845" s="12"/>
      <c r="AS1845" s="12"/>
      <c r="AT1845" s="12"/>
      <c r="AU1845" s="12"/>
      <c r="AV1845" s="12"/>
      <c r="AW1845" s="12"/>
      <c r="AX1845" s="12"/>
      <c r="AY1845" s="12"/>
      <c r="AZ1845" s="12"/>
      <c r="BA1845" s="12"/>
      <c r="BB1845" s="12"/>
      <c r="BC1845" s="12"/>
      <c r="BD1845" s="12"/>
      <c r="BE1845" s="12"/>
      <c r="BF1845" s="12"/>
      <c r="BG1845" s="12"/>
      <c r="BH1845" s="12"/>
      <c r="BI1845" s="12"/>
      <c r="BJ1845" s="12"/>
      <c r="BK1845" s="12"/>
      <c r="BL1845" s="12"/>
      <c r="BM1845" s="12"/>
      <c r="BN1845" s="12"/>
      <c r="BO1845" s="12"/>
      <c r="BP1845" s="12"/>
      <c r="BQ1845" s="12"/>
      <c r="BR1845" s="12"/>
      <c r="BS1845" s="12"/>
      <c r="BT1845" s="12"/>
      <c r="BU1845" s="12"/>
      <c r="BV1845" s="12"/>
      <c r="BW1845" s="12"/>
      <c r="BX1845" s="12"/>
      <c r="BY1845" s="12"/>
      <c r="BZ1845" s="12"/>
      <c r="CA1845" s="12"/>
      <c r="CB1845" s="12"/>
      <c r="CC1845" s="12"/>
      <c r="CD1845" s="12"/>
    </row>
    <row r="1846" spans="1:82">
      <c r="A1846" s="12" t="s">
        <v>2410</v>
      </c>
      <c r="B1846" s="12" t="str">
        <f t="shared" si="353"/>
        <v>VANCOLLER</v>
      </c>
      <c r="C1846" s="12" t="str">
        <f t="shared" si="354"/>
        <v>VAN COLLER</v>
      </c>
      <c r="D1846" s="12" t="s">
        <v>14076</v>
      </c>
      <c r="E1846" s="12" t="str">
        <f t="shared" si="352"/>
        <v>Philippus Marthinus</v>
      </c>
      <c r="F1846" s="12" t="s">
        <v>938</v>
      </c>
      <c r="G1846" s="12" t="str">
        <f t="shared" si="355"/>
        <v>a1b2c2d3</v>
      </c>
      <c r="H1846" s="12" t="str">
        <f t="shared" si="356"/>
        <v>VAN COLLERa1b2c2d3</v>
      </c>
      <c r="I1846" s="12"/>
      <c r="J1846" s="12"/>
      <c r="K1846" s="12" t="str">
        <f t="shared" si="357"/>
        <v/>
      </c>
      <c r="L1846" s="12"/>
      <c r="M1846" s="12" t="s">
        <v>14077</v>
      </c>
      <c r="N1846" s="12" t="str">
        <f t="shared" si="350"/>
        <v/>
      </c>
      <c r="O1846" s="12" t="str">
        <f t="shared" si="351"/>
        <v>1810</v>
      </c>
      <c r="P1846" s="12"/>
      <c r="Q1846" s="12" t="str">
        <f t="shared" si="358"/>
        <v>1810</v>
      </c>
      <c r="R1846" s="12"/>
      <c r="S1846" s="12" t="str">
        <f t="shared" si="359"/>
        <v/>
      </c>
      <c r="T1846" s="12"/>
      <c r="U1846" s="12"/>
      <c r="V1846" s="12" t="str">
        <f t="shared" si="360"/>
        <v/>
      </c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 t="s">
        <v>3711</v>
      </c>
      <c r="AG1846" s="12" t="s">
        <v>32</v>
      </c>
      <c r="AH1846" s="12" t="s">
        <v>2968</v>
      </c>
      <c r="AI1846" s="12" t="str">
        <f t="shared" si="361"/>
        <v>1838</v>
      </c>
      <c r="AJ1846" s="12"/>
      <c r="AK1846" s="12" t="s">
        <v>90</v>
      </c>
      <c r="AL1846" s="12"/>
      <c r="AM1846" s="12"/>
      <c r="AN1846" s="12"/>
      <c r="AO1846" s="12"/>
      <c r="AP1846" s="12"/>
      <c r="AQ1846" s="12"/>
      <c r="AR1846" s="12"/>
      <c r="AS1846" s="12"/>
      <c r="AT1846" s="12"/>
      <c r="AU1846" s="12"/>
      <c r="AV1846" s="12"/>
      <c r="AW1846" s="12"/>
      <c r="AX1846" s="12"/>
      <c r="AY1846" s="12"/>
      <c r="AZ1846" s="12"/>
      <c r="BA1846" s="12"/>
      <c r="BB1846" s="12"/>
      <c r="BC1846" s="12"/>
      <c r="BD1846" s="12"/>
      <c r="BE1846" s="12"/>
      <c r="BF1846" s="12"/>
      <c r="BG1846" s="12"/>
      <c r="BH1846" s="12"/>
      <c r="BI1846" s="12"/>
      <c r="BJ1846" s="12"/>
      <c r="BK1846" s="12"/>
      <c r="BL1846" s="12"/>
      <c r="BM1846" s="12"/>
      <c r="BN1846" s="12"/>
      <c r="BO1846" s="12"/>
      <c r="BP1846" s="12"/>
      <c r="BQ1846" s="12"/>
      <c r="BR1846" s="12"/>
      <c r="BS1846" s="12"/>
      <c r="BT1846" s="12"/>
      <c r="BU1846" s="12"/>
      <c r="BV1846" s="12"/>
      <c r="BW1846" s="12"/>
      <c r="BX1846" s="12"/>
      <c r="BY1846" s="12"/>
      <c r="BZ1846" s="12"/>
      <c r="CA1846" s="12"/>
      <c r="CB1846" s="12"/>
      <c r="CC1846" s="12"/>
      <c r="CD1846" s="12"/>
    </row>
    <row r="1847" spans="1:82">
      <c r="A1847" s="12" t="s">
        <v>2410</v>
      </c>
      <c r="B1847" s="12" t="str">
        <f t="shared" si="353"/>
        <v>VANCOLLER</v>
      </c>
      <c r="C1847" s="12" t="str">
        <f t="shared" si="354"/>
        <v>VAN COLLER</v>
      </c>
      <c r="D1847" s="12" t="s">
        <v>14066</v>
      </c>
      <c r="E1847" s="12" t="str">
        <f t="shared" si="352"/>
        <v>Johannes Daniël Sr.</v>
      </c>
      <c r="F1847" s="12" t="s">
        <v>1661</v>
      </c>
      <c r="G1847" s="12" t="str">
        <f t="shared" si="355"/>
        <v>a1b2c4</v>
      </c>
      <c r="H1847" s="12" t="str">
        <f t="shared" si="356"/>
        <v>VAN COLLERa1b2c4</v>
      </c>
      <c r="I1847" s="12"/>
      <c r="J1847" s="12" t="s">
        <v>14067</v>
      </c>
      <c r="K1847" s="12" t="str">
        <f t="shared" si="357"/>
        <v>1783</v>
      </c>
      <c r="L1847" s="12"/>
      <c r="M1847" s="12" t="s">
        <v>14068</v>
      </c>
      <c r="N1847" s="12" t="str">
        <f t="shared" si="350"/>
        <v>1783</v>
      </c>
      <c r="O1847" s="12" t="str">
        <f t="shared" si="351"/>
        <v>1783</v>
      </c>
      <c r="P1847" s="12" t="s">
        <v>24</v>
      </c>
      <c r="Q1847" s="12" t="str">
        <f t="shared" si="358"/>
        <v>1783</v>
      </c>
      <c r="R1847" s="12" t="s">
        <v>14069</v>
      </c>
      <c r="S1847" s="12" t="str">
        <f t="shared" si="359"/>
        <v>1863</v>
      </c>
      <c r="T1847" s="12" t="s">
        <v>32</v>
      </c>
      <c r="U1847" s="12" t="s">
        <v>14070</v>
      </c>
      <c r="V1847" s="12" t="str">
        <f t="shared" si="360"/>
        <v>1812</v>
      </c>
      <c r="W1847" s="12" t="s">
        <v>1663</v>
      </c>
      <c r="X1847" s="12" t="s">
        <v>2944</v>
      </c>
      <c r="Y1847" s="12" t="s">
        <v>9413</v>
      </c>
      <c r="Z1847" s="12"/>
      <c r="AA1847" s="12" t="s">
        <v>14071</v>
      </c>
      <c r="AB1847" s="12"/>
      <c r="AC1847" s="12" t="s">
        <v>14072</v>
      </c>
      <c r="AD1847" s="12" t="s">
        <v>24</v>
      </c>
      <c r="AE1847" s="12" t="s">
        <v>14073</v>
      </c>
      <c r="AF1847" s="12" t="s">
        <v>3730</v>
      </c>
      <c r="AG1847" s="12" t="s">
        <v>32</v>
      </c>
      <c r="AH1847" s="12" t="s">
        <v>2968</v>
      </c>
      <c r="AI1847" s="12" t="str">
        <f t="shared" si="361"/>
        <v>1838</v>
      </c>
      <c r="AJ1847" s="12"/>
      <c r="AK1847" s="12" t="s">
        <v>90</v>
      </c>
      <c r="AL1847" s="12"/>
      <c r="AM1847" s="12"/>
      <c r="AN1847" s="12"/>
      <c r="AO1847" s="12"/>
      <c r="AP1847" s="12"/>
      <c r="AQ1847" s="12"/>
      <c r="AR1847" s="12"/>
      <c r="AS1847" s="12"/>
      <c r="AT1847" s="12"/>
      <c r="AU1847" s="12"/>
      <c r="AV1847" s="12"/>
      <c r="AW1847" s="12"/>
      <c r="AX1847" s="12"/>
      <c r="AY1847" s="12"/>
      <c r="AZ1847" s="12"/>
      <c r="BA1847" s="12"/>
      <c r="BB1847" s="12"/>
      <c r="BC1847" s="12"/>
      <c r="BD1847" s="12"/>
      <c r="BE1847" s="12"/>
      <c r="BF1847" s="12"/>
      <c r="BG1847" s="12"/>
      <c r="BH1847" s="12"/>
      <c r="BI1847" s="12"/>
      <c r="BJ1847" s="12"/>
      <c r="BK1847" s="12"/>
      <c r="BL1847" s="12"/>
      <c r="BM1847" s="12"/>
      <c r="BN1847" s="12"/>
      <c r="BO1847" s="12"/>
      <c r="BP1847" s="12"/>
      <c r="BQ1847" s="12"/>
      <c r="BR1847" s="12"/>
      <c r="BS1847" s="12"/>
      <c r="BT1847" s="12"/>
      <c r="BU1847" s="12"/>
      <c r="BV1847" s="12"/>
      <c r="BW1847" s="12"/>
      <c r="BX1847" s="12"/>
      <c r="BY1847" s="12"/>
      <c r="BZ1847" s="12"/>
      <c r="CA1847" s="12"/>
      <c r="CB1847" s="12"/>
      <c r="CC1847" s="12"/>
      <c r="CD1847" s="12"/>
    </row>
    <row r="1848" spans="1:82">
      <c r="A1848" s="12" t="s">
        <v>2410</v>
      </c>
      <c r="B1848" s="12" t="str">
        <f t="shared" si="353"/>
        <v>VANCOLLER</v>
      </c>
      <c r="C1848" s="12" t="str">
        <f t="shared" si="354"/>
        <v>VAN COLLER</v>
      </c>
      <c r="D1848" s="12" t="s">
        <v>14074</v>
      </c>
      <c r="E1848" s="12" t="str">
        <f t="shared" si="352"/>
        <v>Johannes Daniël Jr.</v>
      </c>
      <c r="F1848" s="12" t="s">
        <v>969</v>
      </c>
      <c r="G1848" s="12" t="str">
        <f t="shared" si="355"/>
        <v>a1b2c4d2</v>
      </c>
      <c r="H1848" s="12" t="str">
        <f t="shared" si="356"/>
        <v>VAN COLLERa1b2c4d2</v>
      </c>
      <c r="I1848" s="12"/>
      <c r="J1848" s="12"/>
      <c r="K1848" s="12" t="str">
        <f t="shared" si="357"/>
        <v/>
      </c>
      <c r="L1848" s="12"/>
      <c r="M1848" s="12" t="s">
        <v>2053</v>
      </c>
      <c r="N1848" s="12" t="str">
        <f t="shared" si="350"/>
        <v/>
      </c>
      <c r="O1848" s="12" t="str">
        <f t="shared" si="351"/>
        <v>1819</v>
      </c>
      <c r="P1848" s="12" t="s">
        <v>90</v>
      </c>
      <c r="Q1848" s="12" t="str">
        <f t="shared" si="358"/>
        <v>1819</v>
      </c>
      <c r="R1848" s="12" t="s">
        <v>14075</v>
      </c>
      <c r="S1848" s="12" t="str">
        <f t="shared" si="359"/>
        <v>1883</v>
      </c>
      <c r="T1848" s="12"/>
      <c r="U1848" s="12"/>
      <c r="V1848" s="12" t="str">
        <f t="shared" si="360"/>
        <v/>
      </c>
      <c r="W1848" s="12" t="s">
        <v>642</v>
      </c>
      <c r="X1848" s="12" t="s">
        <v>2944</v>
      </c>
      <c r="Y1848" s="12" t="s">
        <v>980</v>
      </c>
      <c r="Z1848" s="12"/>
      <c r="AA1848" s="12"/>
      <c r="AB1848" s="12"/>
      <c r="AC1848" s="12"/>
      <c r="AD1848" s="12"/>
      <c r="AE1848" s="12"/>
      <c r="AF1848" s="12" t="s">
        <v>3730</v>
      </c>
      <c r="AG1848" s="12" t="s">
        <v>32</v>
      </c>
      <c r="AH1848" s="12" t="s">
        <v>2968</v>
      </c>
      <c r="AI1848" s="12" t="str">
        <f t="shared" si="361"/>
        <v>1838</v>
      </c>
      <c r="AJ1848" s="12"/>
      <c r="AK1848" s="12" t="s">
        <v>90</v>
      </c>
      <c r="AL1848" s="12"/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/>
      <c r="AW1848" s="12"/>
      <c r="AX1848" s="12"/>
      <c r="AY1848" s="12"/>
      <c r="AZ1848" s="12"/>
      <c r="BA1848" s="12"/>
      <c r="BB1848" s="12"/>
      <c r="BC1848" s="12"/>
      <c r="BD1848" s="12"/>
      <c r="BE1848" s="12"/>
      <c r="BF1848" s="12"/>
      <c r="BG1848" s="12"/>
      <c r="BH1848" s="12"/>
      <c r="BI1848" s="12"/>
      <c r="BJ1848" s="12"/>
      <c r="BK1848" s="12"/>
      <c r="BL1848" s="12"/>
      <c r="BM1848" s="12"/>
      <c r="BN1848" s="12"/>
      <c r="BO1848" s="12"/>
      <c r="BP1848" s="12"/>
      <c r="BQ1848" s="12"/>
      <c r="BR1848" s="12"/>
      <c r="BS1848" s="12"/>
      <c r="BT1848" s="12"/>
      <c r="BU1848" s="12"/>
      <c r="BV1848" s="12"/>
      <c r="BW1848" s="12"/>
      <c r="BX1848" s="12"/>
      <c r="BY1848" s="12"/>
      <c r="BZ1848" s="12"/>
      <c r="CA1848" s="12"/>
      <c r="CB1848" s="12"/>
      <c r="CC1848" s="12"/>
      <c r="CD1848" s="12"/>
    </row>
    <row r="1849" spans="1:82">
      <c r="A1849" s="12" t="s">
        <v>2410</v>
      </c>
      <c r="B1849" s="12" t="str">
        <f t="shared" si="353"/>
        <v>VANCOLLER</v>
      </c>
      <c r="C1849" s="12" t="str">
        <f t="shared" si="354"/>
        <v>VAN COLLER</v>
      </c>
      <c r="D1849" s="12" t="s">
        <v>14058</v>
      </c>
      <c r="E1849" s="12" t="str">
        <f t="shared" si="352"/>
        <v>Hendrik Pretrus</v>
      </c>
      <c r="F1849" s="12" t="s">
        <v>991</v>
      </c>
      <c r="G1849" s="12" t="str">
        <f t="shared" si="355"/>
        <v>a1b2c5d4</v>
      </c>
      <c r="H1849" s="12" t="str">
        <f t="shared" si="356"/>
        <v>VAN COLLERa1b2c5d4</v>
      </c>
      <c r="I1849" s="12"/>
      <c r="J1849" s="12"/>
      <c r="K1849" s="12" t="str">
        <f t="shared" si="357"/>
        <v/>
      </c>
      <c r="L1849" s="12"/>
      <c r="M1849" s="12" t="s">
        <v>2377</v>
      </c>
      <c r="N1849" s="12" t="str">
        <f t="shared" si="350"/>
        <v/>
      </c>
      <c r="O1849" s="12" t="str">
        <f t="shared" si="351"/>
        <v>1822</v>
      </c>
      <c r="P1849" s="12"/>
      <c r="Q1849" s="12" t="str">
        <f t="shared" si="358"/>
        <v>1822</v>
      </c>
      <c r="R1849" s="12"/>
      <c r="S1849" s="12" t="str">
        <f t="shared" si="359"/>
        <v/>
      </c>
      <c r="T1849" s="12"/>
      <c r="U1849" s="12"/>
      <c r="V1849" s="12" t="str">
        <f t="shared" si="360"/>
        <v/>
      </c>
      <c r="W1849" s="12" t="s">
        <v>5365</v>
      </c>
      <c r="X1849" s="12" t="s">
        <v>4389</v>
      </c>
      <c r="Y1849" s="12" t="s">
        <v>14059</v>
      </c>
      <c r="Z1849" s="12"/>
      <c r="AA1849" s="12"/>
      <c r="AB1849" s="12"/>
      <c r="AC1849" s="12"/>
      <c r="AD1849" s="12"/>
      <c r="AE1849" s="12"/>
      <c r="AF1849" s="12" t="s">
        <v>13004</v>
      </c>
      <c r="AG1849" s="12" t="s">
        <v>32</v>
      </c>
      <c r="AH1849" s="12" t="s">
        <v>13953</v>
      </c>
      <c r="AI1849" s="12" t="str">
        <f t="shared" si="361"/>
        <v>1838</v>
      </c>
      <c r="AJ1849" s="12"/>
      <c r="AK1849" s="12" t="s">
        <v>90</v>
      </c>
      <c r="AL1849" s="12"/>
      <c r="AM1849" s="12"/>
      <c r="AN1849" s="12"/>
      <c r="AO1849" s="12"/>
      <c r="AP1849" s="12"/>
      <c r="AQ1849" s="12"/>
      <c r="AR1849" s="12"/>
      <c r="AS1849" s="12"/>
      <c r="AT1849" s="12"/>
      <c r="AU1849" s="12"/>
      <c r="AV1849" s="12"/>
      <c r="AW1849" s="12"/>
      <c r="AX1849" s="12"/>
      <c r="AY1849" s="12"/>
      <c r="AZ1849" s="12"/>
      <c r="BA1849" s="12"/>
      <c r="BB1849" s="12"/>
      <c r="BC1849" s="12"/>
      <c r="BD1849" s="12"/>
      <c r="BE1849" s="12"/>
      <c r="BF1849" s="12"/>
      <c r="BG1849" s="12"/>
      <c r="BH1849" s="12"/>
      <c r="BI1849" s="12"/>
      <c r="BJ1849" s="12"/>
      <c r="BK1849" s="12"/>
      <c r="BL1849" s="12"/>
      <c r="BM1849" s="12"/>
      <c r="BN1849" s="12"/>
      <c r="BO1849" s="12"/>
      <c r="BP1849" s="12"/>
      <c r="BQ1849" s="12"/>
      <c r="BR1849" s="12"/>
      <c r="BS1849" s="12"/>
      <c r="BT1849" s="12"/>
      <c r="BU1849" s="12"/>
      <c r="BV1849" s="12"/>
      <c r="BW1849" s="12"/>
      <c r="BX1849" s="12"/>
      <c r="BY1849" s="12"/>
      <c r="BZ1849" s="12"/>
      <c r="CA1849" s="12"/>
      <c r="CB1849" s="12"/>
      <c r="CC1849" s="12"/>
      <c r="CD1849" s="12"/>
    </row>
    <row r="1850" spans="1:82">
      <c r="A1850" s="12" t="s">
        <v>633</v>
      </c>
      <c r="B1850" s="12" t="str">
        <f t="shared" si="353"/>
        <v>VANDENBERG</v>
      </c>
      <c r="C1850" s="12" t="str">
        <f t="shared" si="354"/>
        <v>VAN DEN BERG</v>
      </c>
      <c r="D1850" s="12" t="s">
        <v>2253</v>
      </c>
      <c r="E1850" s="12" t="str">
        <f t="shared" si="352"/>
        <v>Johannes Jacobus</v>
      </c>
      <c r="F1850" s="12" t="s">
        <v>14119</v>
      </c>
      <c r="G1850" s="12" t="str">
        <f t="shared" si="355"/>
        <v>a1b1c10d11</v>
      </c>
      <c r="H1850" s="12" t="str">
        <f t="shared" si="356"/>
        <v>VAN DEN BERGa1b1c10d11</v>
      </c>
      <c r="I1850" s="12"/>
      <c r="J1850" s="12" t="s">
        <v>14120</v>
      </c>
      <c r="K1850" s="12" t="str">
        <f t="shared" si="357"/>
        <v>1802</v>
      </c>
      <c r="L1850" s="12" t="s">
        <v>542</v>
      </c>
      <c r="M1850" s="12" t="s">
        <v>7368</v>
      </c>
      <c r="N1850" s="12" t="str">
        <f t="shared" si="350"/>
        <v>1802</v>
      </c>
      <c r="O1850" s="12" t="str">
        <f t="shared" si="351"/>
        <v>1803</v>
      </c>
      <c r="P1850" s="12"/>
      <c r="Q1850" s="12" t="str">
        <f t="shared" si="358"/>
        <v>1802</v>
      </c>
      <c r="R1850" s="12"/>
      <c r="S1850" s="12" t="str">
        <f t="shared" si="359"/>
        <v/>
      </c>
      <c r="T1850" s="12" t="s">
        <v>32</v>
      </c>
      <c r="U1850" s="12" t="s">
        <v>250</v>
      </c>
      <c r="V1850" s="12" t="str">
        <f t="shared" si="360"/>
        <v>1822</v>
      </c>
      <c r="W1850" s="12" t="s">
        <v>11712</v>
      </c>
      <c r="X1850" s="12" t="s">
        <v>618</v>
      </c>
      <c r="Y1850" s="12"/>
      <c r="Z1850" s="12"/>
      <c r="AA1850" s="12"/>
      <c r="AB1850" s="12"/>
      <c r="AC1850" s="12"/>
      <c r="AD1850" s="12"/>
      <c r="AE1850" s="12"/>
      <c r="AF1850" s="12" t="s">
        <v>2597</v>
      </c>
      <c r="AG1850" s="12" t="s">
        <v>366</v>
      </c>
      <c r="AH1850" s="12" t="s">
        <v>7749</v>
      </c>
      <c r="AI1850" s="12" t="str">
        <f t="shared" si="361"/>
        <v>1837</v>
      </c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2"/>
      <c r="BA1850" s="12"/>
      <c r="BB1850" s="12"/>
      <c r="BC1850" s="12"/>
      <c r="BD1850" s="12"/>
      <c r="BE1850" s="12"/>
      <c r="BF1850" s="12"/>
      <c r="BG1850" s="12"/>
      <c r="BH1850" s="12"/>
      <c r="BI1850" s="12"/>
      <c r="BJ1850" s="12"/>
      <c r="BK1850" s="12"/>
      <c r="BL1850" s="12"/>
      <c r="BM1850" s="12"/>
      <c r="BN1850" s="12"/>
      <c r="BO1850" s="12"/>
      <c r="BP1850" s="12"/>
      <c r="BQ1850" s="12"/>
      <c r="BR1850" s="12"/>
      <c r="BS1850" s="12"/>
      <c r="BT1850" s="12"/>
      <c r="BU1850" s="12"/>
      <c r="BV1850" s="12"/>
      <c r="BW1850" s="12"/>
      <c r="BX1850" s="12"/>
      <c r="BY1850" s="12"/>
      <c r="BZ1850" s="12"/>
      <c r="CA1850" s="12"/>
      <c r="CB1850" s="12"/>
      <c r="CC1850" s="12"/>
      <c r="CD1850" s="12"/>
    </row>
    <row r="1851" spans="1:82">
      <c r="A1851" s="12" t="s">
        <v>633</v>
      </c>
      <c r="B1851" s="12" t="str">
        <f t="shared" si="353"/>
        <v>VANDENBERG</v>
      </c>
      <c r="C1851" s="12" t="str">
        <f t="shared" si="354"/>
        <v>VAN DEN BERG</v>
      </c>
      <c r="D1851" s="12" t="s">
        <v>12411</v>
      </c>
      <c r="E1851" s="12" t="str">
        <f t="shared" si="352"/>
        <v xml:space="preserve">Hendrik </v>
      </c>
      <c r="F1851" s="12" t="s">
        <v>14091</v>
      </c>
      <c r="G1851" s="12" t="str">
        <f t="shared" si="355"/>
        <v>a1b1c10d6</v>
      </c>
      <c r="H1851" s="12" t="str">
        <f t="shared" si="356"/>
        <v>VAN DEN BERGa1b1c10d6</v>
      </c>
      <c r="I1851" s="12"/>
      <c r="J1851" s="12" t="s">
        <v>14092</v>
      </c>
      <c r="K1851" s="12" t="str">
        <f t="shared" si="357"/>
        <v>1785</v>
      </c>
      <c r="L1851" s="12"/>
      <c r="M1851" s="12" t="s">
        <v>14093</v>
      </c>
      <c r="N1851" s="12" t="str">
        <f t="shared" si="350"/>
        <v>1785</v>
      </c>
      <c r="O1851" s="12" t="str">
        <f t="shared" si="351"/>
        <v>1785</v>
      </c>
      <c r="P1851" s="12" t="s">
        <v>90</v>
      </c>
      <c r="Q1851" s="12" t="str">
        <f t="shared" si="358"/>
        <v>1785</v>
      </c>
      <c r="R1851" s="12" t="s">
        <v>14094</v>
      </c>
      <c r="S1851" s="12" t="str">
        <f t="shared" si="359"/>
        <v>1839</v>
      </c>
      <c r="T1851" s="12"/>
      <c r="U1851" s="12"/>
      <c r="V1851" s="12" t="str">
        <f t="shared" si="360"/>
        <v/>
      </c>
      <c r="W1851" s="12" t="s">
        <v>1674</v>
      </c>
      <c r="X1851" s="12" t="s">
        <v>2556</v>
      </c>
      <c r="Y1851" s="12" t="s">
        <v>14095</v>
      </c>
      <c r="Z1851" s="12"/>
      <c r="AA1851" s="12" t="s">
        <v>14096</v>
      </c>
      <c r="AB1851" s="12"/>
      <c r="AC1851" s="12"/>
      <c r="AD1851" s="12" t="s">
        <v>90</v>
      </c>
      <c r="AE1851" s="12" t="s">
        <v>14097</v>
      </c>
      <c r="AF1851" s="12" t="s">
        <v>3703</v>
      </c>
      <c r="AG1851" s="12" t="s">
        <v>366</v>
      </c>
      <c r="AH1851" s="12" t="s">
        <v>5445</v>
      </c>
      <c r="AI1851" s="12" t="str">
        <f t="shared" si="361"/>
        <v>1839</v>
      </c>
      <c r="AJ1851" s="12"/>
      <c r="AK1851" s="12" t="s">
        <v>90</v>
      </c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/>
      <c r="AW1851" s="12"/>
      <c r="AX1851" s="12"/>
      <c r="AY1851" s="12"/>
      <c r="AZ1851" s="12"/>
      <c r="BA1851" s="12"/>
      <c r="BB1851" s="12"/>
      <c r="BC1851" s="12"/>
      <c r="BD1851" s="12"/>
      <c r="BE1851" s="12"/>
      <c r="BF1851" s="12"/>
      <c r="BG1851" s="12"/>
      <c r="BH1851" s="12"/>
      <c r="BI1851" s="12"/>
      <c r="BJ1851" s="12"/>
      <c r="BK1851" s="12"/>
      <c r="BL1851" s="12"/>
      <c r="BM1851" s="12"/>
      <c r="BN1851" s="12"/>
      <c r="BO1851" s="12"/>
      <c r="BP1851" s="12"/>
      <c r="BQ1851" s="12"/>
      <c r="BR1851" s="12"/>
      <c r="BS1851" s="12"/>
      <c r="BT1851" s="12"/>
      <c r="BU1851" s="12"/>
      <c r="BV1851" s="12"/>
      <c r="BW1851" s="12"/>
      <c r="BX1851" s="12"/>
      <c r="BY1851" s="12"/>
      <c r="BZ1851" s="12"/>
      <c r="CA1851" s="12"/>
      <c r="CB1851" s="12"/>
      <c r="CC1851" s="12"/>
      <c r="CD1851" s="12"/>
    </row>
    <row r="1852" spans="1:82">
      <c r="A1852" s="12" t="s">
        <v>633</v>
      </c>
      <c r="B1852" s="12" t="str">
        <f t="shared" si="353"/>
        <v>VANDENBERG</v>
      </c>
      <c r="C1852" s="12" t="str">
        <f t="shared" si="354"/>
        <v>VAN DEN BERG</v>
      </c>
      <c r="D1852" s="12" t="s">
        <v>6025</v>
      </c>
      <c r="E1852" s="12" t="str">
        <f t="shared" si="352"/>
        <v>Marthinus Jacobus</v>
      </c>
      <c r="F1852" s="12" t="s">
        <v>14127</v>
      </c>
      <c r="G1852" s="12" t="str">
        <f t="shared" si="355"/>
        <v>a1b1c10d6e2</v>
      </c>
      <c r="H1852" s="12" t="str">
        <f t="shared" si="356"/>
        <v>VAN DEN BERGa1b1c10d6e2</v>
      </c>
      <c r="I1852" s="12" t="s">
        <v>74</v>
      </c>
      <c r="J1852" s="12" t="s">
        <v>14128</v>
      </c>
      <c r="K1852" s="12" t="str">
        <f t="shared" si="357"/>
        <v>1809</v>
      </c>
      <c r="L1852" s="12"/>
      <c r="M1852" s="12"/>
      <c r="N1852" s="12" t="str">
        <f t="shared" si="350"/>
        <v>1809</v>
      </c>
      <c r="O1852" s="12" t="str">
        <f t="shared" si="351"/>
        <v/>
      </c>
      <c r="P1852" s="12" t="s">
        <v>90</v>
      </c>
      <c r="Q1852" s="12" t="str">
        <f t="shared" si="358"/>
        <v>1809</v>
      </c>
      <c r="R1852" s="12" t="s">
        <v>14129</v>
      </c>
      <c r="S1852" s="12" t="str">
        <f t="shared" si="359"/>
        <v>1860</v>
      </c>
      <c r="T1852" s="12" t="s">
        <v>366</v>
      </c>
      <c r="U1852" s="12" t="s">
        <v>14130</v>
      </c>
      <c r="V1852" s="12" t="str">
        <f t="shared" si="360"/>
        <v>1834</v>
      </c>
      <c r="W1852" s="12" t="s">
        <v>3087</v>
      </c>
      <c r="X1852" s="12" t="s">
        <v>778</v>
      </c>
      <c r="Y1852" s="12" t="s">
        <v>1895</v>
      </c>
      <c r="Z1852" s="12"/>
      <c r="AA1852" s="12"/>
      <c r="AB1852" s="12"/>
      <c r="AC1852" s="12"/>
      <c r="AD1852" s="12"/>
      <c r="AE1852" s="12"/>
      <c r="AF1852" s="12" t="s">
        <v>3703</v>
      </c>
      <c r="AG1852" s="12" t="s">
        <v>366</v>
      </c>
      <c r="AH1852" s="12" t="s">
        <v>5445</v>
      </c>
      <c r="AI1852" s="12" t="str">
        <f t="shared" si="361"/>
        <v>1839</v>
      </c>
      <c r="AJ1852" s="12"/>
      <c r="AK1852" s="12" t="s">
        <v>90</v>
      </c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2"/>
      <c r="BA1852" s="12"/>
      <c r="BB1852" s="12"/>
      <c r="BC1852" s="12"/>
      <c r="BD1852" s="12"/>
      <c r="BE1852" s="12"/>
      <c r="BF1852" s="12"/>
      <c r="BG1852" s="12"/>
      <c r="BH1852" s="12"/>
      <c r="BI1852" s="12"/>
      <c r="BJ1852" s="12"/>
      <c r="BK1852" s="12"/>
      <c r="BL1852" s="12"/>
      <c r="BM1852" s="12"/>
      <c r="BN1852" s="12"/>
      <c r="BO1852" s="12"/>
      <c r="BP1852" s="12"/>
      <c r="BQ1852" s="12"/>
      <c r="BR1852" s="12"/>
      <c r="BS1852" s="12"/>
      <c r="BT1852" s="12"/>
      <c r="BU1852" s="12"/>
      <c r="BV1852" s="12"/>
      <c r="BW1852" s="12"/>
      <c r="BX1852" s="12"/>
      <c r="BY1852" s="12"/>
      <c r="BZ1852" s="12"/>
      <c r="CA1852" s="12"/>
      <c r="CB1852" s="12"/>
      <c r="CC1852" s="12"/>
      <c r="CD1852" s="12"/>
    </row>
    <row r="1853" spans="1:82">
      <c r="A1853" s="12" t="s">
        <v>633</v>
      </c>
      <c r="B1853" s="12" t="str">
        <f t="shared" si="353"/>
        <v>VANDENBERG</v>
      </c>
      <c r="C1853" s="12" t="str">
        <f t="shared" si="354"/>
        <v>VAN DEN BERG</v>
      </c>
      <c r="D1853" s="12" t="s">
        <v>2586</v>
      </c>
      <c r="E1853" s="12" t="str">
        <f t="shared" si="352"/>
        <v>Hendrik Stephanus</v>
      </c>
      <c r="F1853" s="12" t="s">
        <v>14104</v>
      </c>
      <c r="G1853" s="12" t="str">
        <f t="shared" si="355"/>
        <v>a1b1c10d6e3</v>
      </c>
      <c r="H1853" s="12" t="str">
        <f t="shared" si="356"/>
        <v>VAN DEN BERGa1b1c10d6e3</v>
      </c>
      <c r="I1853" s="12"/>
      <c r="J1853" s="12" t="s">
        <v>14105</v>
      </c>
      <c r="K1853" s="12" t="str">
        <f t="shared" si="357"/>
        <v>1811</v>
      </c>
      <c r="L1853" s="12" t="s">
        <v>74</v>
      </c>
      <c r="M1853" s="12" t="s">
        <v>2214</v>
      </c>
      <c r="N1853" s="12" t="str">
        <f t="shared" si="350"/>
        <v>1811</v>
      </c>
      <c r="O1853" s="12" t="str">
        <f t="shared" si="351"/>
        <v>1811</v>
      </c>
      <c r="P1853" s="12" t="s">
        <v>551</v>
      </c>
      <c r="Q1853" s="12" t="str">
        <f t="shared" si="358"/>
        <v>1811</v>
      </c>
      <c r="R1853" s="12" t="s">
        <v>14106</v>
      </c>
      <c r="S1853" s="12" t="str">
        <f t="shared" si="359"/>
        <v>1849</v>
      </c>
      <c r="T1853" s="12" t="s">
        <v>366</v>
      </c>
      <c r="U1853" s="12" t="s">
        <v>3839</v>
      </c>
      <c r="V1853" s="12" t="str">
        <f t="shared" si="360"/>
        <v>1830</v>
      </c>
      <c r="W1853" s="12" t="s">
        <v>14107</v>
      </c>
      <c r="X1853" s="12" t="s">
        <v>669</v>
      </c>
      <c r="Y1853" s="12"/>
      <c r="Z1853" s="12"/>
      <c r="AA1853" s="12">
        <v>1814</v>
      </c>
      <c r="AB1853" s="12"/>
      <c r="AC1853" s="12"/>
      <c r="AD1853" s="12" t="s">
        <v>168</v>
      </c>
      <c r="AE1853" s="12" t="s">
        <v>14108</v>
      </c>
      <c r="AF1853" s="12" t="s">
        <v>3703</v>
      </c>
      <c r="AG1853" s="12" t="s">
        <v>366</v>
      </c>
      <c r="AH1853" s="12" t="s">
        <v>5445</v>
      </c>
      <c r="AI1853" s="12" t="str">
        <f t="shared" si="361"/>
        <v>1839</v>
      </c>
      <c r="AJ1853" s="12"/>
      <c r="AK1853" s="12" t="s">
        <v>90</v>
      </c>
      <c r="AL1853" s="12" t="s">
        <v>90</v>
      </c>
      <c r="AM1853" s="12" t="s">
        <v>14109</v>
      </c>
      <c r="AN1853" s="12" t="s">
        <v>13553</v>
      </c>
      <c r="AO1853" s="12" t="s">
        <v>2381</v>
      </c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2"/>
      <c r="BA1853" s="12"/>
      <c r="BB1853" s="12"/>
      <c r="BC1853" s="12"/>
      <c r="BD1853" s="12"/>
      <c r="BE1853" s="12"/>
      <c r="BF1853" s="12"/>
      <c r="BG1853" s="12"/>
      <c r="BH1853" s="12"/>
      <c r="BI1853" s="12"/>
      <c r="BJ1853" s="12"/>
      <c r="BK1853" s="12"/>
      <c r="BL1853" s="12"/>
      <c r="BM1853" s="12"/>
      <c r="BN1853" s="12"/>
      <c r="BO1853" s="12"/>
      <c r="BP1853" s="12"/>
      <c r="BQ1853" s="12"/>
      <c r="BR1853" s="12"/>
      <c r="BS1853" s="12"/>
      <c r="BT1853" s="12"/>
      <c r="BU1853" s="12"/>
      <c r="BV1853" s="12"/>
      <c r="BW1853" s="12"/>
      <c r="BX1853" s="12"/>
      <c r="BY1853" s="12"/>
      <c r="BZ1853" s="12"/>
      <c r="CA1853" s="12"/>
      <c r="CB1853" s="12"/>
      <c r="CC1853" s="12"/>
      <c r="CD1853" s="12"/>
    </row>
    <row r="1854" spans="1:82">
      <c r="A1854" s="12" t="s">
        <v>633</v>
      </c>
      <c r="B1854" s="12" t="str">
        <f t="shared" si="353"/>
        <v>VANDENBERG</v>
      </c>
      <c r="C1854" s="12" t="str">
        <f t="shared" si="354"/>
        <v>VAN DEN BERG</v>
      </c>
      <c r="D1854" s="12" t="s">
        <v>2329</v>
      </c>
      <c r="E1854" s="12" t="str">
        <f t="shared" si="352"/>
        <v>Johannes Nicolaas</v>
      </c>
      <c r="F1854" s="12" t="s">
        <v>14121</v>
      </c>
      <c r="G1854" s="12" t="str">
        <f t="shared" si="355"/>
        <v>a1b1c6d6</v>
      </c>
      <c r="H1854" s="12" t="str">
        <f t="shared" si="356"/>
        <v>VAN DEN BERGa1b1c6d6</v>
      </c>
      <c r="I1854" s="12"/>
      <c r="J1854" s="12"/>
      <c r="K1854" s="12" t="str">
        <f t="shared" si="357"/>
        <v/>
      </c>
      <c r="L1854" s="12"/>
      <c r="M1854" s="12" t="s">
        <v>14122</v>
      </c>
      <c r="N1854" s="12" t="str">
        <f t="shared" si="350"/>
        <v/>
      </c>
      <c r="O1854" s="12" t="str">
        <f t="shared" si="351"/>
        <v>1772</v>
      </c>
      <c r="P1854" s="12" t="s">
        <v>90</v>
      </c>
      <c r="Q1854" s="12" t="str">
        <f t="shared" si="358"/>
        <v>1772</v>
      </c>
      <c r="R1854" s="12" t="s">
        <v>1639</v>
      </c>
      <c r="S1854" s="12" t="str">
        <f t="shared" si="359"/>
        <v>1840</v>
      </c>
      <c r="T1854" s="12"/>
      <c r="U1854" s="12" t="s">
        <v>14123</v>
      </c>
      <c r="V1854" s="12" t="str">
        <f t="shared" si="360"/>
        <v>1800</v>
      </c>
      <c r="W1854" s="12" t="s">
        <v>14124</v>
      </c>
      <c r="X1854" s="12" t="s">
        <v>669</v>
      </c>
      <c r="Y1854" s="12" t="s">
        <v>14125</v>
      </c>
      <c r="Z1854" s="12"/>
      <c r="AA1854" s="12"/>
      <c r="AB1854" s="12"/>
      <c r="AC1854" s="12" t="s">
        <v>14126</v>
      </c>
      <c r="AD1854" s="12"/>
      <c r="AE1854" s="12"/>
      <c r="AF1854" s="12" t="s">
        <v>3713</v>
      </c>
      <c r="AG1854" s="12" t="s">
        <v>74</v>
      </c>
      <c r="AH1854" s="12" t="s">
        <v>14085</v>
      </c>
      <c r="AI1854" s="12" t="str">
        <f t="shared" si="361"/>
        <v>1837</v>
      </c>
      <c r="AJ1854" s="12" t="s">
        <v>5423</v>
      </c>
      <c r="AK1854" s="12"/>
      <c r="AL1854" s="12"/>
      <c r="AM1854" s="12"/>
      <c r="AN1854" s="12"/>
      <c r="AO1854" s="12"/>
      <c r="AP1854" s="12"/>
      <c r="AQ1854" s="12"/>
      <c r="AR1854" s="12"/>
      <c r="AS1854" s="12"/>
      <c r="AT1854" s="12"/>
      <c r="AU1854" s="12"/>
      <c r="AV1854" s="12"/>
      <c r="AW1854" s="12"/>
      <c r="AX1854" s="12"/>
      <c r="AY1854" s="12"/>
      <c r="AZ1854" s="12"/>
      <c r="BA1854" s="12"/>
      <c r="BB1854" s="12"/>
      <c r="BC1854" s="12"/>
      <c r="BD1854" s="12"/>
      <c r="BE1854" s="12"/>
      <c r="BF1854" s="12"/>
      <c r="BG1854" s="12"/>
      <c r="BH1854" s="12"/>
      <c r="BI1854" s="12"/>
      <c r="BJ1854" s="12"/>
      <c r="BK1854" s="12"/>
      <c r="BL1854" s="12"/>
      <c r="BM1854" s="12"/>
      <c r="BN1854" s="12"/>
      <c r="BO1854" s="12"/>
      <c r="BP1854" s="12"/>
      <c r="BQ1854" s="12"/>
      <c r="BR1854" s="12"/>
      <c r="BS1854" s="12"/>
      <c r="BT1854" s="12"/>
      <c r="BU1854" s="12"/>
      <c r="BV1854" s="12"/>
      <c r="BW1854" s="12"/>
      <c r="BX1854" s="12"/>
      <c r="BY1854" s="12"/>
      <c r="BZ1854" s="12"/>
      <c r="CA1854" s="12"/>
      <c r="CB1854" s="12"/>
      <c r="CC1854" s="12"/>
      <c r="CD1854" s="12"/>
    </row>
    <row r="1855" spans="1:82">
      <c r="A1855" s="12" t="s">
        <v>633</v>
      </c>
      <c r="B1855" s="12" t="str">
        <f t="shared" si="353"/>
        <v>VANDENBERG</v>
      </c>
      <c r="C1855" s="12" t="str">
        <f t="shared" si="354"/>
        <v>VAN DEN BERG</v>
      </c>
      <c r="D1855" s="12" t="s">
        <v>9065</v>
      </c>
      <c r="E1855" s="12" t="str">
        <f t="shared" si="352"/>
        <v>Matthys Van As</v>
      </c>
      <c r="F1855" s="12" t="s">
        <v>14131</v>
      </c>
      <c r="G1855" s="12" t="str">
        <f t="shared" si="355"/>
        <v>a1b1c6d6e5</v>
      </c>
      <c r="H1855" s="12" t="str">
        <f t="shared" si="356"/>
        <v>VAN DEN BERGa1b1c6d6e5</v>
      </c>
      <c r="I1855" s="12"/>
      <c r="J1855" s="12"/>
      <c r="K1855" s="12" t="str">
        <f t="shared" si="357"/>
        <v/>
      </c>
      <c r="L1855" s="12"/>
      <c r="M1855" s="12" t="s">
        <v>3072</v>
      </c>
      <c r="N1855" s="12" t="str">
        <f t="shared" si="350"/>
        <v/>
      </c>
      <c r="O1855" s="12" t="str">
        <f t="shared" si="351"/>
        <v>1810</v>
      </c>
      <c r="P1855" s="12"/>
      <c r="Q1855" s="12" t="str">
        <f t="shared" si="358"/>
        <v>1810</v>
      </c>
      <c r="R1855" s="12"/>
      <c r="S1855" s="12" t="str">
        <f t="shared" si="359"/>
        <v/>
      </c>
      <c r="T1855" s="12" t="s">
        <v>74</v>
      </c>
      <c r="U1855" s="12" t="s">
        <v>7322</v>
      </c>
      <c r="V1855" s="12" t="str">
        <f t="shared" si="360"/>
        <v>1827</v>
      </c>
      <c r="W1855" s="12" t="s">
        <v>14132</v>
      </c>
      <c r="X1855" s="12" t="s">
        <v>757</v>
      </c>
      <c r="Y1855" s="12"/>
      <c r="Z1855" s="12"/>
      <c r="AA1855" s="12"/>
      <c r="AB1855" s="12"/>
      <c r="AC1855" s="12"/>
      <c r="AD1855" s="12"/>
      <c r="AE1855" s="12"/>
      <c r="AF1855" s="12" t="s">
        <v>3713</v>
      </c>
      <c r="AG1855" s="12" t="s">
        <v>74</v>
      </c>
      <c r="AH1855" s="12" t="s">
        <v>14133</v>
      </c>
      <c r="AI1855" s="12" t="str">
        <f t="shared" si="361"/>
        <v>1837</v>
      </c>
      <c r="AJ1855" s="12" t="s">
        <v>5423</v>
      </c>
      <c r="AK1855" s="12" t="s">
        <v>90</v>
      </c>
      <c r="AL1855" s="12"/>
      <c r="AM1855" s="12"/>
      <c r="AN1855" s="12"/>
      <c r="AO1855" s="12"/>
      <c r="AP1855" s="12"/>
      <c r="AQ1855" s="12"/>
      <c r="AR1855" s="12"/>
      <c r="AS1855" s="12"/>
      <c r="AT1855" s="12"/>
      <c r="AU1855" s="12"/>
      <c r="AV1855" s="12"/>
      <c r="AW1855" s="12"/>
      <c r="AX1855" s="12"/>
      <c r="AY1855" s="12"/>
      <c r="AZ1855" s="12"/>
      <c r="BA1855" s="12"/>
      <c r="BB1855" s="12"/>
      <c r="BC1855" s="12"/>
      <c r="BD1855" s="12"/>
      <c r="BE1855" s="12"/>
      <c r="BF1855" s="12"/>
      <c r="BG1855" s="12"/>
      <c r="BH1855" s="12"/>
      <c r="BI1855" s="12"/>
      <c r="BJ1855" s="12"/>
      <c r="BK1855" s="12"/>
      <c r="BL1855" s="12"/>
      <c r="BM1855" s="12"/>
      <c r="BN1855" s="12"/>
      <c r="BO1855" s="12"/>
      <c r="BP1855" s="12"/>
      <c r="BQ1855" s="12"/>
      <c r="BR1855" s="12"/>
      <c r="BS1855" s="12"/>
      <c r="BT1855" s="12"/>
      <c r="BU1855" s="12"/>
      <c r="BV1855" s="12"/>
      <c r="BW1855" s="12"/>
      <c r="BX1855" s="12"/>
      <c r="BY1855" s="12"/>
      <c r="BZ1855" s="12"/>
      <c r="CA1855" s="12"/>
      <c r="CB1855" s="12"/>
      <c r="CC1855" s="12"/>
      <c r="CD1855" s="12"/>
    </row>
    <row r="1856" spans="1:82">
      <c r="A1856" s="12" t="s">
        <v>633</v>
      </c>
      <c r="B1856" s="12" t="str">
        <f t="shared" si="353"/>
        <v>VANDENBERG</v>
      </c>
      <c r="C1856" s="12" t="str">
        <f t="shared" si="354"/>
        <v>VAN DEN BERG</v>
      </c>
      <c r="D1856" s="12" t="s">
        <v>2550</v>
      </c>
      <c r="E1856" s="12" t="str">
        <f t="shared" si="352"/>
        <v>Barend Petrus</v>
      </c>
      <c r="F1856" s="12" t="s">
        <v>14086</v>
      </c>
      <c r="G1856" s="12" t="str">
        <f t="shared" si="355"/>
        <v>a1b1c6d9e1</v>
      </c>
      <c r="H1856" s="12" t="str">
        <f t="shared" si="356"/>
        <v>VAN DEN BERGa1b1c6d9e1</v>
      </c>
      <c r="I1856" s="12"/>
      <c r="J1856" s="12">
        <v>1802</v>
      </c>
      <c r="K1856" s="12" t="str">
        <f t="shared" si="357"/>
        <v>1802</v>
      </c>
      <c r="L1856" s="12"/>
      <c r="M1856" s="12"/>
      <c r="N1856" s="12" t="str">
        <f t="shared" si="350"/>
        <v>1802</v>
      </c>
      <c r="O1856" s="12" t="str">
        <f t="shared" si="351"/>
        <v/>
      </c>
      <c r="P1856" s="12"/>
      <c r="Q1856" s="12" t="str">
        <f t="shared" si="358"/>
        <v>1802</v>
      </c>
      <c r="R1856" s="12"/>
      <c r="S1856" s="12" t="str">
        <f t="shared" si="359"/>
        <v/>
      </c>
      <c r="T1856" s="12" t="s">
        <v>74</v>
      </c>
      <c r="U1856" s="12" t="s">
        <v>4209</v>
      </c>
      <c r="V1856" s="12" t="str">
        <f t="shared" si="360"/>
        <v>1821</v>
      </c>
      <c r="W1856" s="12" t="s">
        <v>4235</v>
      </c>
      <c r="X1856" s="12" t="s">
        <v>4871</v>
      </c>
      <c r="Y1856" s="12"/>
      <c r="Z1856" s="12"/>
      <c r="AA1856" s="12"/>
      <c r="AB1856" s="12"/>
      <c r="AC1856" s="12"/>
      <c r="AD1856" s="12"/>
      <c r="AE1856" s="12"/>
      <c r="AF1856" s="12" t="s">
        <v>14087</v>
      </c>
      <c r="AG1856" s="12" t="s">
        <v>74</v>
      </c>
      <c r="AH1856" s="12" t="s">
        <v>5445</v>
      </c>
      <c r="AI1856" s="12" t="str">
        <f t="shared" si="361"/>
        <v>1839</v>
      </c>
      <c r="AJ1856" s="12"/>
      <c r="AK1856" s="12" t="s">
        <v>551</v>
      </c>
      <c r="AL1856" s="12"/>
      <c r="AM1856" s="12"/>
      <c r="AN1856" s="12"/>
      <c r="AO1856" s="12"/>
      <c r="AP1856" s="12"/>
      <c r="AQ1856" s="12"/>
      <c r="AR1856" s="12"/>
      <c r="AS1856" s="12"/>
      <c r="AT1856" s="12"/>
      <c r="AU1856" s="12"/>
      <c r="AV1856" s="12"/>
      <c r="AW1856" s="12"/>
      <c r="AX1856" s="12"/>
      <c r="AY1856" s="12"/>
      <c r="AZ1856" s="12"/>
      <c r="BA1856" s="12"/>
      <c r="BB1856" s="12"/>
      <c r="BC1856" s="12"/>
      <c r="BD1856" s="12"/>
      <c r="BE1856" s="12"/>
      <c r="BF1856" s="12"/>
      <c r="BG1856" s="12"/>
      <c r="BH1856" s="12"/>
      <c r="BI1856" s="12"/>
      <c r="BJ1856" s="12"/>
      <c r="BK1856" s="12"/>
      <c r="BL1856" s="12"/>
      <c r="BM1856" s="12"/>
      <c r="BN1856" s="12"/>
      <c r="BO1856" s="12"/>
      <c r="BP1856" s="12"/>
      <c r="BQ1856" s="12"/>
      <c r="BR1856" s="12"/>
      <c r="BS1856" s="12"/>
      <c r="BT1856" s="12"/>
      <c r="BU1856" s="12"/>
      <c r="BV1856" s="12"/>
      <c r="BW1856" s="12"/>
      <c r="BX1856" s="12"/>
      <c r="BY1856" s="12"/>
      <c r="BZ1856" s="12"/>
      <c r="CA1856" s="12"/>
      <c r="CB1856" s="12"/>
      <c r="CC1856" s="12"/>
      <c r="CD1856" s="12"/>
    </row>
    <row r="1857" spans="1:82">
      <c r="A1857" s="12" t="s">
        <v>633</v>
      </c>
      <c r="B1857" s="12" t="str">
        <f t="shared" si="353"/>
        <v>VANDENBERG</v>
      </c>
      <c r="C1857" s="12" t="str">
        <f t="shared" si="354"/>
        <v>VAN DEN BERG</v>
      </c>
      <c r="D1857" s="12" t="s">
        <v>12788</v>
      </c>
      <c r="E1857" s="12" t="str">
        <f t="shared" si="352"/>
        <v>Francois Alewyn</v>
      </c>
      <c r="F1857" s="12" t="s">
        <v>4230</v>
      </c>
      <c r="G1857" s="12" t="str">
        <f t="shared" si="355"/>
        <v>a1b1c7d10e4</v>
      </c>
      <c r="H1857" s="12" t="str">
        <f t="shared" si="356"/>
        <v>VAN DEN BERGa1b1c7d10e4</v>
      </c>
      <c r="I1857" s="12"/>
      <c r="J1857" s="12" t="s">
        <v>14088</v>
      </c>
      <c r="K1857" s="12" t="str">
        <f t="shared" si="357"/>
        <v>1822</v>
      </c>
      <c r="L1857" s="12" t="s">
        <v>74</v>
      </c>
      <c r="M1857" s="12" t="s">
        <v>4852</v>
      </c>
      <c r="N1857" s="12" t="str">
        <f t="shared" si="350"/>
        <v>1822</v>
      </c>
      <c r="O1857" s="12" t="str">
        <f t="shared" si="351"/>
        <v>1823</v>
      </c>
      <c r="P1857" s="12"/>
      <c r="Q1857" s="12" t="str">
        <f t="shared" si="358"/>
        <v>1822</v>
      </c>
      <c r="R1857" s="12"/>
      <c r="S1857" s="12" t="str">
        <f t="shared" si="359"/>
        <v/>
      </c>
      <c r="T1857" s="12" t="s">
        <v>140</v>
      </c>
      <c r="U1857" s="12" t="s">
        <v>13529</v>
      </c>
      <c r="V1857" s="12" t="str">
        <f t="shared" si="360"/>
        <v>1846</v>
      </c>
      <c r="W1857" s="12" t="s">
        <v>14089</v>
      </c>
      <c r="X1857" s="12" t="s">
        <v>78</v>
      </c>
      <c r="Y1857" s="12"/>
      <c r="Z1857" s="12"/>
      <c r="AA1857" s="12">
        <v>1821</v>
      </c>
      <c r="AB1857" s="12"/>
      <c r="AC1857" s="12"/>
      <c r="AD1857" s="12"/>
      <c r="AE1857" s="12"/>
      <c r="AF1857" s="12" t="s">
        <v>3714</v>
      </c>
      <c r="AG1857" s="12" t="s">
        <v>68</v>
      </c>
      <c r="AH1857" s="12" t="s">
        <v>12900</v>
      </c>
      <c r="AI1857" s="12" t="str">
        <f t="shared" si="361"/>
        <v>1836</v>
      </c>
      <c r="AJ1857" s="12" t="s">
        <v>14090</v>
      </c>
      <c r="AK1857" s="12" t="s">
        <v>90</v>
      </c>
      <c r="AL1857" s="12"/>
      <c r="AM1857" s="12"/>
      <c r="AN1857" s="12"/>
      <c r="AO1857" s="12"/>
      <c r="AP1857" s="12"/>
      <c r="AQ1857" s="12"/>
      <c r="AR1857" s="12"/>
      <c r="AS1857" s="12"/>
      <c r="AT1857" s="12"/>
      <c r="AU1857" s="12"/>
      <c r="AV1857" s="12"/>
      <c r="AW1857" s="12"/>
      <c r="AX1857" s="12"/>
      <c r="AY1857" s="12"/>
      <c r="AZ1857" s="12"/>
      <c r="BA1857" s="12"/>
      <c r="BB1857" s="12"/>
      <c r="BC1857" s="12"/>
      <c r="BD1857" s="12"/>
      <c r="BE1857" s="12"/>
      <c r="BF1857" s="12"/>
      <c r="BG1857" s="12"/>
      <c r="BH1857" s="12"/>
      <c r="BI1857" s="12"/>
      <c r="BJ1857" s="12"/>
      <c r="BK1857" s="12"/>
      <c r="BL1857" s="12"/>
      <c r="BM1857" s="12"/>
      <c r="BN1857" s="12"/>
      <c r="BO1857" s="12"/>
      <c r="BP1857" s="12"/>
      <c r="BQ1857" s="12"/>
      <c r="BR1857" s="12"/>
      <c r="BS1857" s="12"/>
      <c r="BT1857" s="12"/>
      <c r="BU1857" s="12"/>
      <c r="BV1857" s="12"/>
      <c r="BW1857" s="12"/>
      <c r="BX1857" s="12"/>
      <c r="BY1857" s="12"/>
      <c r="BZ1857" s="12"/>
      <c r="CA1857" s="12"/>
      <c r="CB1857" s="12"/>
      <c r="CC1857" s="12"/>
      <c r="CD1857" s="12"/>
    </row>
    <row r="1858" spans="1:82">
      <c r="A1858" s="12" t="s">
        <v>633</v>
      </c>
      <c r="B1858" s="12" t="str">
        <f t="shared" si="353"/>
        <v>VANDENBERG</v>
      </c>
      <c r="C1858" s="12" t="str">
        <f t="shared" si="354"/>
        <v>VAN DEN BERG</v>
      </c>
      <c r="D1858" s="12" t="s">
        <v>5588</v>
      </c>
      <c r="E1858" s="12" t="str">
        <f t="shared" si="352"/>
        <v>Petrus Paulus</v>
      </c>
      <c r="F1858" s="12" t="s">
        <v>14134</v>
      </c>
      <c r="G1858" s="12" t="str">
        <f t="shared" si="355"/>
        <v>a1b1c7d5e1</v>
      </c>
      <c r="H1858" s="12" t="str">
        <f t="shared" si="356"/>
        <v>VAN DEN BERGa1b1c7d5e1</v>
      </c>
      <c r="I1858" s="12"/>
      <c r="J1858" s="12"/>
      <c r="K1858" s="12" t="str">
        <f t="shared" si="357"/>
        <v/>
      </c>
      <c r="L1858" s="12"/>
      <c r="M1858" s="12" t="s">
        <v>92</v>
      </c>
      <c r="N1858" s="12" t="str">
        <f t="shared" ref="N1858:N1921" si="362">RIGHT(J1858,4)</f>
        <v/>
      </c>
      <c r="O1858" s="12" t="str">
        <f t="shared" ref="O1858:O1921" si="363">RIGHT(M1858,4)</f>
        <v>1804</v>
      </c>
      <c r="P1858" s="12"/>
      <c r="Q1858" s="12" t="str">
        <f t="shared" si="358"/>
        <v>1804</v>
      </c>
      <c r="R1858" s="12"/>
      <c r="S1858" s="12" t="str">
        <f t="shared" si="359"/>
        <v/>
      </c>
      <c r="T1858" s="12"/>
      <c r="U1858" s="12"/>
      <c r="V1858" s="12" t="str">
        <f t="shared" si="360"/>
        <v/>
      </c>
      <c r="W1858" s="12" t="s">
        <v>7314</v>
      </c>
      <c r="X1858" s="12" t="s">
        <v>663</v>
      </c>
      <c r="Y1858" s="12"/>
      <c r="Z1858" s="12"/>
      <c r="AA1858" s="12"/>
      <c r="AB1858" s="12"/>
      <c r="AC1858" s="12"/>
      <c r="AD1858" s="12"/>
      <c r="AE1858" s="12"/>
      <c r="AF1858" s="12" t="s">
        <v>3698</v>
      </c>
      <c r="AG1858" s="12" t="s">
        <v>74</v>
      </c>
      <c r="AH1858" s="12" t="s">
        <v>14135</v>
      </c>
      <c r="AI1858" s="12" t="str">
        <f t="shared" si="361"/>
        <v>1837</v>
      </c>
      <c r="AJ1858" s="12" t="s">
        <v>10539</v>
      </c>
      <c r="AK1858" s="12" t="s">
        <v>551</v>
      </c>
      <c r="AL1858" s="12" t="s">
        <v>140</v>
      </c>
      <c r="AM1858" s="12" t="s">
        <v>14136</v>
      </c>
      <c r="AN1858" s="12" t="s">
        <v>14137</v>
      </c>
      <c r="AO1858" s="12" t="s">
        <v>4091</v>
      </c>
      <c r="AP1858" s="12"/>
      <c r="AQ1858" s="12"/>
      <c r="AR1858" s="12">
        <v>1794</v>
      </c>
      <c r="AS1858" s="12"/>
      <c r="AT1858" s="12"/>
      <c r="AU1858" s="12"/>
      <c r="AV1858" s="12"/>
      <c r="AW1858" s="12"/>
      <c r="AX1858" s="12"/>
      <c r="AY1858" s="12"/>
      <c r="AZ1858" s="12"/>
      <c r="BA1858" s="12"/>
      <c r="BB1858" s="12"/>
      <c r="BC1858" s="12"/>
      <c r="BD1858" s="12"/>
      <c r="BE1858" s="12"/>
      <c r="BF1858" s="12"/>
      <c r="BG1858" s="12"/>
      <c r="BH1858" s="12"/>
      <c r="BI1858" s="12"/>
      <c r="BJ1858" s="12"/>
      <c r="BK1858" s="12"/>
      <c r="BL1858" s="12"/>
      <c r="BM1858" s="12"/>
      <c r="BN1858" s="12"/>
      <c r="BO1858" s="12"/>
      <c r="BP1858" s="12"/>
      <c r="BQ1858" s="12"/>
      <c r="BR1858" s="12"/>
      <c r="BS1858" s="12"/>
      <c r="BT1858" s="12"/>
      <c r="BU1858" s="12"/>
      <c r="BV1858" s="12"/>
      <c r="BW1858" s="12"/>
      <c r="BX1858" s="12"/>
      <c r="BY1858" s="12"/>
      <c r="BZ1858" s="12"/>
      <c r="CA1858" s="12"/>
      <c r="CB1858" s="12"/>
      <c r="CC1858" s="12"/>
      <c r="CD1858" s="12"/>
    </row>
    <row r="1859" spans="1:82">
      <c r="A1859" s="12" t="s">
        <v>633</v>
      </c>
      <c r="B1859" s="12" t="str">
        <f t="shared" si="353"/>
        <v>VANDENBERG</v>
      </c>
      <c r="C1859" s="12" t="str">
        <f t="shared" si="354"/>
        <v>VAN DEN BERG</v>
      </c>
      <c r="D1859" s="12" t="s">
        <v>2759</v>
      </c>
      <c r="E1859" s="12" t="str">
        <f t="shared" ref="E1859:E1922" si="364">PROPER(D1859)</f>
        <v>Jacobus Nicolaas</v>
      </c>
      <c r="F1859" s="12" t="s">
        <v>14115</v>
      </c>
      <c r="G1859" s="12" t="str">
        <f t="shared" si="355"/>
        <v>a1b1c7d5e4</v>
      </c>
      <c r="H1859" s="12" t="str">
        <f t="shared" si="356"/>
        <v>VAN DEN BERGa1b1c7d5e4</v>
      </c>
      <c r="I1859" s="12"/>
      <c r="J1859" s="12" t="s">
        <v>14116</v>
      </c>
      <c r="K1859" s="12" t="str">
        <f t="shared" si="357"/>
        <v>1821</v>
      </c>
      <c r="L1859" s="12" t="s">
        <v>74</v>
      </c>
      <c r="M1859" s="12" t="s">
        <v>8588</v>
      </c>
      <c r="N1859" s="12" t="str">
        <f t="shared" si="362"/>
        <v>1821</v>
      </c>
      <c r="O1859" s="12" t="str">
        <f t="shared" si="363"/>
        <v>1821</v>
      </c>
      <c r="P1859" s="12" t="s">
        <v>4103</v>
      </c>
      <c r="Q1859" s="12" t="str">
        <f t="shared" si="358"/>
        <v>1821</v>
      </c>
      <c r="R1859" s="1" t="s">
        <v>15775</v>
      </c>
      <c r="S1859" s="12" t="str">
        <f t="shared" si="359"/>
        <v>1913</v>
      </c>
      <c r="T1859" s="12"/>
      <c r="U1859" s="12"/>
      <c r="V1859" s="12" t="str">
        <f t="shared" si="360"/>
        <v/>
      </c>
      <c r="W1859" s="12" t="s">
        <v>13081</v>
      </c>
      <c r="X1859" s="12" t="s">
        <v>3321</v>
      </c>
      <c r="Y1859" s="12"/>
      <c r="Z1859" s="12"/>
      <c r="AA1859" s="12" t="s">
        <v>14117</v>
      </c>
      <c r="AB1859" s="12"/>
      <c r="AC1859" s="12"/>
      <c r="AD1859" s="12" t="s">
        <v>4103</v>
      </c>
      <c r="AE1859" s="1">
        <v>5056</v>
      </c>
      <c r="AF1859" s="12" t="s">
        <v>3717</v>
      </c>
      <c r="AG1859" s="12" t="s">
        <v>346</v>
      </c>
      <c r="AH1859" s="12">
        <v>1842</v>
      </c>
      <c r="AI1859" s="12" t="str">
        <f t="shared" si="361"/>
        <v>1842</v>
      </c>
      <c r="AJ1859" s="12" t="s">
        <v>13259</v>
      </c>
      <c r="AK1859" s="12"/>
      <c r="AL1859" s="12"/>
      <c r="AM1859" s="12"/>
      <c r="AN1859" s="12"/>
      <c r="AO1859" s="12"/>
      <c r="AP1859" s="12"/>
      <c r="AQ1859" s="12"/>
      <c r="AR1859" s="12"/>
      <c r="AS1859" s="12"/>
      <c r="AT1859" s="12"/>
      <c r="AU1859" s="12"/>
      <c r="AV1859" s="12"/>
      <c r="AW1859" s="12"/>
      <c r="AX1859" s="12"/>
      <c r="AY1859" s="12"/>
      <c r="AZ1859" s="12"/>
      <c r="BA1859" s="12"/>
      <c r="BB1859" s="12"/>
      <c r="BC1859" s="12"/>
      <c r="BD1859" s="12"/>
      <c r="BE1859" s="12"/>
      <c r="BF1859" s="12"/>
      <c r="BG1859" s="12"/>
      <c r="BH1859" s="12"/>
      <c r="BI1859" s="12"/>
      <c r="BJ1859" s="12"/>
      <c r="BK1859" s="12"/>
      <c r="BL1859" s="12"/>
      <c r="BM1859" s="12"/>
      <c r="BN1859" s="12"/>
      <c r="BO1859" s="12"/>
      <c r="BP1859" s="12"/>
      <c r="BQ1859" s="12"/>
      <c r="BR1859" s="12"/>
      <c r="BS1859" s="12"/>
      <c r="BT1859" s="12"/>
      <c r="BU1859" s="12"/>
      <c r="BV1859" s="12"/>
      <c r="BW1859" s="12"/>
      <c r="BX1859" s="12"/>
      <c r="BY1859" s="12"/>
      <c r="BZ1859" s="12"/>
      <c r="CA1859" s="12"/>
      <c r="CB1859" s="12"/>
      <c r="CC1859" s="12"/>
      <c r="CD1859" s="12"/>
    </row>
    <row r="1860" spans="1:82">
      <c r="A1860" s="12" t="s">
        <v>633</v>
      </c>
      <c r="B1860" s="12" t="str">
        <f t="shared" si="353"/>
        <v>VANDENBERG</v>
      </c>
      <c r="C1860" s="12" t="str">
        <f t="shared" si="354"/>
        <v>VAN DEN BERG</v>
      </c>
      <c r="D1860" s="12" t="s">
        <v>14110</v>
      </c>
      <c r="E1860" s="12" t="str">
        <f t="shared" si="364"/>
        <v>Izak Johannes Matthys</v>
      </c>
      <c r="F1860" s="12" t="s">
        <v>14111</v>
      </c>
      <c r="G1860" s="12" t="str">
        <f t="shared" si="355"/>
        <v>a1b1c9d2e4</v>
      </c>
      <c r="H1860" s="12" t="str">
        <f t="shared" si="356"/>
        <v>VAN DEN BERGa1b1c9d2e4</v>
      </c>
      <c r="I1860" s="12"/>
      <c r="J1860" s="12" t="s">
        <v>14112</v>
      </c>
      <c r="K1860" s="12" t="str">
        <f t="shared" si="357"/>
        <v>1802</v>
      </c>
      <c r="L1860" s="12" t="s">
        <v>542</v>
      </c>
      <c r="M1860" s="12" t="s">
        <v>10108</v>
      </c>
      <c r="N1860" s="12" t="str">
        <f t="shared" si="362"/>
        <v>1802</v>
      </c>
      <c r="O1860" s="12" t="str">
        <f t="shared" si="363"/>
        <v>1802</v>
      </c>
      <c r="P1860" s="12"/>
      <c r="Q1860" s="12" t="str">
        <f t="shared" si="358"/>
        <v>1802</v>
      </c>
      <c r="R1860" s="12"/>
      <c r="S1860" s="12" t="str">
        <f t="shared" si="359"/>
        <v/>
      </c>
      <c r="T1860" s="12" t="s">
        <v>74</v>
      </c>
      <c r="U1860" s="12" t="s">
        <v>14113</v>
      </c>
      <c r="V1860" s="12" t="str">
        <f t="shared" si="360"/>
        <v>1819</v>
      </c>
      <c r="W1860" s="12" t="s">
        <v>14114</v>
      </c>
      <c r="X1860" s="12" t="s">
        <v>633</v>
      </c>
      <c r="Y1860" s="12" t="s">
        <v>2701</v>
      </c>
      <c r="Z1860" s="12"/>
      <c r="AA1860" s="12"/>
      <c r="AB1860" s="12"/>
      <c r="AC1860" s="12" t="s">
        <v>5336</v>
      </c>
      <c r="AD1860" s="12" t="s">
        <v>90</v>
      </c>
      <c r="AE1860" s="1">
        <v>25330</v>
      </c>
      <c r="AF1860" s="12"/>
      <c r="AG1860" s="12" t="s">
        <v>74</v>
      </c>
      <c r="AH1860" s="12" t="s">
        <v>362</v>
      </c>
      <c r="AI1860" s="12" t="str">
        <f t="shared" si="361"/>
        <v>40'S</v>
      </c>
      <c r="AJ1860" s="12"/>
      <c r="AK1860" s="12" t="s">
        <v>90</v>
      </c>
      <c r="AL1860" s="12"/>
      <c r="AM1860" s="12"/>
      <c r="AN1860" s="12"/>
      <c r="AO1860" s="12"/>
      <c r="AP1860" s="12"/>
      <c r="AQ1860" s="12"/>
      <c r="AR1860" s="12"/>
      <c r="AS1860" s="12"/>
      <c r="AT1860" s="12"/>
      <c r="AU1860" s="12"/>
      <c r="AV1860" s="12"/>
      <c r="AW1860" s="12"/>
      <c r="AX1860" s="12"/>
      <c r="AY1860" s="12"/>
      <c r="AZ1860" s="12"/>
      <c r="BA1860" s="12"/>
      <c r="BB1860" s="12"/>
      <c r="BC1860" s="12"/>
      <c r="BD1860" s="12"/>
      <c r="BE1860" s="12"/>
      <c r="BF1860" s="12"/>
      <c r="BG1860" s="12"/>
      <c r="BH1860" s="12"/>
      <c r="BI1860" s="12"/>
      <c r="BJ1860" s="12"/>
      <c r="BK1860" s="12"/>
      <c r="BL1860" s="12"/>
      <c r="BM1860" s="12"/>
      <c r="BN1860" s="12"/>
      <c r="BO1860" s="12"/>
      <c r="BP1860" s="12"/>
      <c r="BQ1860" s="12"/>
      <c r="BR1860" s="12"/>
      <c r="BS1860" s="12"/>
      <c r="BT1860" s="12"/>
      <c r="BU1860" s="12"/>
      <c r="BV1860" s="12"/>
      <c r="BW1860" s="12"/>
      <c r="BX1860" s="12"/>
      <c r="BY1860" s="12"/>
      <c r="BZ1860" s="12"/>
      <c r="CA1860" s="12"/>
      <c r="CB1860" s="12"/>
      <c r="CC1860" s="12"/>
      <c r="CD1860" s="12"/>
    </row>
    <row r="1861" spans="1:82">
      <c r="A1861" s="12" t="s">
        <v>633</v>
      </c>
      <c r="B1861" s="12" t="str">
        <f t="shared" si="353"/>
        <v>VANDENBERG</v>
      </c>
      <c r="C1861" s="12" t="str">
        <f t="shared" si="354"/>
        <v>VAN DEN BERG</v>
      </c>
      <c r="D1861" s="12" t="s">
        <v>139</v>
      </c>
      <c r="E1861" s="12" t="str">
        <f t="shared" si="364"/>
        <v>Hendrik Jacobus</v>
      </c>
      <c r="F1861" s="12" t="s">
        <v>14098</v>
      </c>
      <c r="G1861" s="12" t="str">
        <f t="shared" si="355"/>
        <v>a1b1c9d2e4f2</v>
      </c>
      <c r="H1861" s="12" t="str">
        <f t="shared" si="356"/>
        <v>VAN DEN BERGa1b1c9d2e4f2</v>
      </c>
      <c r="I1861" s="12"/>
      <c r="J1861" s="12" t="s">
        <v>14099</v>
      </c>
      <c r="K1861" s="12" t="str">
        <f t="shared" si="357"/>
        <v>1823</v>
      </c>
      <c r="L1861" s="12"/>
      <c r="M1861" s="12"/>
      <c r="N1861" s="12" t="str">
        <f t="shared" si="362"/>
        <v>1823</v>
      </c>
      <c r="O1861" s="12" t="str">
        <f t="shared" si="363"/>
        <v/>
      </c>
      <c r="P1861" s="12"/>
      <c r="Q1861" s="12" t="str">
        <f t="shared" si="358"/>
        <v>1823</v>
      </c>
      <c r="R1861" s="12"/>
      <c r="S1861" s="12" t="str">
        <f t="shared" si="359"/>
        <v/>
      </c>
      <c r="T1861" s="12" t="s">
        <v>168</v>
      </c>
      <c r="U1861" s="12" t="s">
        <v>14100</v>
      </c>
      <c r="V1861" s="12" t="str">
        <f t="shared" si="360"/>
        <v>1847</v>
      </c>
      <c r="W1861" s="12" t="s">
        <v>14101</v>
      </c>
      <c r="X1861" s="12" t="s">
        <v>638</v>
      </c>
      <c r="Y1861" s="12" t="s">
        <v>14102</v>
      </c>
      <c r="Z1861" s="12"/>
      <c r="AA1861" s="12"/>
      <c r="AB1861" s="12"/>
      <c r="AC1861" s="12"/>
      <c r="AD1861" s="12"/>
      <c r="AE1861" s="12"/>
      <c r="AF1861" s="12"/>
      <c r="AG1861" s="12" t="s">
        <v>74</v>
      </c>
      <c r="AH1861" s="12" t="s">
        <v>2489</v>
      </c>
      <c r="AI1861" s="12" t="str">
        <f t="shared" si="361"/>
        <v>1841</v>
      </c>
      <c r="AJ1861" s="12"/>
      <c r="AK1861" s="12" t="s">
        <v>90</v>
      </c>
      <c r="AL1861" s="12"/>
      <c r="AM1861" s="12"/>
      <c r="AN1861" s="12" t="s">
        <v>1642</v>
      </c>
      <c r="AO1861" s="12" t="s">
        <v>2589</v>
      </c>
      <c r="AP1861" s="12" t="s">
        <v>14103</v>
      </c>
      <c r="AQ1861" s="12"/>
      <c r="AR1861" s="12"/>
      <c r="AS1861" s="12"/>
      <c r="AT1861" s="12"/>
      <c r="AU1861" s="12"/>
      <c r="AV1861" s="12"/>
      <c r="AW1861" s="12"/>
      <c r="AX1861" s="12"/>
      <c r="AY1861" s="12"/>
      <c r="AZ1861" s="12"/>
      <c r="BA1861" s="12"/>
      <c r="BB1861" s="12"/>
      <c r="BC1861" s="12"/>
      <c r="BD1861" s="12"/>
      <c r="BE1861" s="12"/>
      <c r="BF1861" s="12"/>
      <c r="BG1861" s="12"/>
      <c r="BH1861" s="12"/>
      <c r="BI1861" s="12"/>
      <c r="BJ1861" s="12"/>
      <c r="BK1861" s="12"/>
      <c r="BL1861" s="12"/>
      <c r="BM1861" s="12"/>
      <c r="BN1861" s="12"/>
      <c r="BO1861" s="12"/>
      <c r="BP1861" s="12"/>
      <c r="BQ1861" s="12"/>
      <c r="BR1861" s="12"/>
      <c r="BS1861" s="12"/>
      <c r="BT1861" s="12"/>
      <c r="BU1861" s="12"/>
      <c r="BV1861" s="12"/>
      <c r="BW1861" s="12"/>
      <c r="BX1861" s="12"/>
      <c r="BY1861" s="12"/>
      <c r="BZ1861" s="12"/>
      <c r="CA1861" s="12"/>
      <c r="CB1861" s="12"/>
      <c r="CC1861" s="12"/>
      <c r="CD1861" s="12"/>
    </row>
    <row r="1862" spans="1:82">
      <c r="A1862" s="6" t="s">
        <v>14078</v>
      </c>
      <c r="B1862" s="12" t="str">
        <f t="shared" si="353"/>
        <v>VANDENBERG(H)</v>
      </c>
      <c r="C1862" s="12" t="str">
        <f t="shared" si="354"/>
        <v>VAN DEN BERG(H)</v>
      </c>
      <c r="D1862" s="12" t="s">
        <v>14079</v>
      </c>
      <c r="E1862" s="12" t="str">
        <f t="shared" si="364"/>
        <v>Barend Jacobus Petrus</v>
      </c>
      <c r="F1862" s="12" t="s">
        <v>14080</v>
      </c>
      <c r="G1862" s="12" t="str">
        <f t="shared" si="355"/>
        <v>a1b1c6d6e4</v>
      </c>
      <c r="H1862" s="12" t="str">
        <f t="shared" si="356"/>
        <v>VAN DEN BERG(H)a1b1c6d6e4</v>
      </c>
      <c r="I1862" s="12"/>
      <c r="J1862" s="12"/>
      <c r="K1862" s="12" t="str">
        <f t="shared" si="357"/>
        <v/>
      </c>
      <c r="L1862" s="12"/>
      <c r="M1862" s="12" t="s">
        <v>1677</v>
      </c>
      <c r="N1862" s="12" t="str">
        <f t="shared" si="362"/>
        <v/>
      </c>
      <c r="O1862" s="12" t="str">
        <f t="shared" si="363"/>
        <v>1807</v>
      </c>
      <c r="P1862" s="12" t="s">
        <v>71</v>
      </c>
      <c r="Q1862" s="12" t="str">
        <f t="shared" si="358"/>
        <v>1807</v>
      </c>
      <c r="R1862" s="12" t="s">
        <v>72</v>
      </c>
      <c r="S1862" s="12" t="str">
        <f t="shared" si="359"/>
        <v>1838</v>
      </c>
      <c r="T1862" s="12"/>
      <c r="U1862" s="12" t="s">
        <v>2833</v>
      </c>
      <c r="V1862" s="12" t="str">
        <f t="shared" si="360"/>
        <v>1825</v>
      </c>
      <c r="W1862" s="12" t="s">
        <v>14081</v>
      </c>
      <c r="X1862" s="12" t="s">
        <v>757</v>
      </c>
      <c r="Y1862" s="12" t="s">
        <v>14082</v>
      </c>
      <c r="Z1862" s="12"/>
      <c r="AA1862" s="12"/>
      <c r="AB1862" s="12" t="s">
        <v>53</v>
      </c>
      <c r="AC1862" s="12" t="s">
        <v>14083</v>
      </c>
      <c r="AD1862" s="12" t="s">
        <v>67</v>
      </c>
      <c r="AE1862" s="12" t="s">
        <v>14084</v>
      </c>
      <c r="AF1862" s="12" t="s">
        <v>3713</v>
      </c>
      <c r="AG1862" s="12" t="s">
        <v>74</v>
      </c>
      <c r="AH1862" s="12" t="s">
        <v>14085</v>
      </c>
      <c r="AI1862" s="12" t="str">
        <f t="shared" si="361"/>
        <v>1837</v>
      </c>
      <c r="AJ1862" s="12" t="s">
        <v>5423</v>
      </c>
      <c r="AK1862" s="12" t="s">
        <v>67</v>
      </c>
      <c r="AL1862" s="12"/>
      <c r="AM1862" s="12"/>
      <c r="AN1862" s="12"/>
      <c r="AO1862" s="12"/>
      <c r="AP1862" s="12"/>
      <c r="AQ1862" s="12"/>
      <c r="AR1862" s="12"/>
      <c r="AS1862" s="12"/>
      <c r="AT1862" s="12"/>
      <c r="AU1862" s="12"/>
      <c r="AV1862" s="12"/>
      <c r="AW1862" s="12"/>
      <c r="AX1862" s="12"/>
      <c r="AY1862" s="12"/>
      <c r="AZ1862" s="12"/>
      <c r="BA1862" s="12"/>
      <c r="BB1862" s="12"/>
      <c r="BC1862" s="12"/>
      <c r="BD1862" s="12"/>
      <c r="BE1862" s="12"/>
      <c r="BF1862" s="12"/>
      <c r="BG1862" s="12"/>
      <c r="BH1862" s="12"/>
      <c r="BI1862" s="12"/>
      <c r="BJ1862" s="12"/>
      <c r="BK1862" s="12"/>
      <c r="BL1862" s="12"/>
      <c r="BM1862" s="12"/>
      <c r="BN1862" s="12"/>
      <c r="BO1862" s="12"/>
      <c r="BP1862" s="12"/>
      <c r="BQ1862" s="12"/>
      <c r="BR1862" s="12"/>
      <c r="BS1862" s="12"/>
      <c r="BT1862" s="12"/>
      <c r="BU1862" s="12"/>
      <c r="BV1862" s="12"/>
      <c r="BW1862" s="12"/>
      <c r="BX1862" s="12"/>
      <c r="BY1862" s="12"/>
      <c r="BZ1862" s="12"/>
      <c r="CA1862" s="12"/>
      <c r="CB1862" s="12"/>
      <c r="CC1862" s="12"/>
      <c r="CD1862" s="12"/>
    </row>
    <row r="1863" spans="1:82">
      <c r="A1863" s="12" t="s">
        <v>14138</v>
      </c>
      <c r="B1863" s="12" t="str">
        <f t="shared" si="353"/>
        <v>VANDERHEEVER</v>
      </c>
      <c r="C1863" s="12" t="str">
        <f t="shared" si="354"/>
        <v>VAN DER HEEVER</v>
      </c>
      <c r="D1863" s="12" t="s">
        <v>14139</v>
      </c>
      <c r="E1863" s="12" t="str">
        <f t="shared" si="364"/>
        <v>Lucas Adriaan Jacobus</v>
      </c>
      <c r="F1863" s="12" t="s">
        <v>835</v>
      </c>
      <c r="G1863" s="12" t="str">
        <f t="shared" si="355"/>
        <v>a1b3c2d1</v>
      </c>
      <c r="H1863" s="12" t="str">
        <f t="shared" si="356"/>
        <v>VAN DER HEEVERa1b3c2d1</v>
      </c>
      <c r="I1863" s="12" t="s">
        <v>32</v>
      </c>
      <c r="J1863" s="12" t="s">
        <v>14140</v>
      </c>
      <c r="K1863" s="12" t="str">
        <f t="shared" si="357"/>
        <v>1807</v>
      </c>
      <c r="L1863" s="12" t="s">
        <v>6098</v>
      </c>
      <c r="M1863" s="12" t="s">
        <v>14141</v>
      </c>
      <c r="N1863" s="12" t="str">
        <f t="shared" si="362"/>
        <v>1807</v>
      </c>
      <c r="O1863" s="12" t="str">
        <f t="shared" si="363"/>
        <v>1808</v>
      </c>
      <c r="P1863" s="12" t="s">
        <v>31</v>
      </c>
      <c r="Q1863" s="12" t="str">
        <f t="shared" si="358"/>
        <v>1807</v>
      </c>
      <c r="R1863" s="12" t="s">
        <v>14142</v>
      </c>
      <c r="S1863" s="12" t="str">
        <f t="shared" si="359"/>
        <v>1857</v>
      </c>
      <c r="T1863" s="12"/>
      <c r="U1863" s="12"/>
      <c r="V1863" s="12" t="str">
        <f t="shared" si="360"/>
        <v/>
      </c>
      <c r="W1863" s="12" t="s">
        <v>14143</v>
      </c>
      <c r="X1863" s="12" t="s">
        <v>14138</v>
      </c>
      <c r="Y1863" s="12"/>
      <c r="Z1863" s="12"/>
      <c r="AA1863" s="12"/>
      <c r="AB1863" s="12"/>
      <c r="AC1863" s="12"/>
      <c r="AD1863" s="12"/>
      <c r="AE1863" s="12"/>
      <c r="AF1863" s="12"/>
      <c r="AG1863" s="12" t="s">
        <v>60</v>
      </c>
      <c r="AH1863" s="12" t="s">
        <v>14144</v>
      </c>
      <c r="AI1863" s="12" t="str">
        <f t="shared" si="361"/>
        <v>1843</v>
      </c>
      <c r="AJ1863" s="12" t="s">
        <v>14145</v>
      </c>
      <c r="AK1863" s="12" t="s">
        <v>551</v>
      </c>
      <c r="AL1863" s="12" t="s">
        <v>60</v>
      </c>
      <c r="AM1863" s="12" t="s">
        <v>14146</v>
      </c>
      <c r="AN1863" s="12" t="s">
        <v>12552</v>
      </c>
      <c r="AO1863" s="12" t="s">
        <v>1425</v>
      </c>
      <c r="AP1863" s="12"/>
      <c r="AQ1863" s="12"/>
      <c r="AR1863" s="12" t="s">
        <v>12553</v>
      </c>
      <c r="AS1863" s="12" t="s">
        <v>28</v>
      </c>
      <c r="AT1863" s="12" t="s">
        <v>3392</v>
      </c>
      <c r="AU1863" s="12"/>
      <c r="AV1863" s="12"/>
      <c r="AW1863" s="12"/>
      <c r="AX1863" s="12"/>
      <c r="AY1863" s="12"/>
      <c r="AZ1863" s="12"/>
      <c r="BA1863" s="12"/>
      <c r="BB1863" s="12"/>
      <c r="BC1863" s="12"/>
      <c r="BD1863" s="12"/>
      <c r="BE1863" s="12"/>
      <c r="BF1863" s="12"/>
      <c r="BG1863" s="12"/>
      <c r="BH1863" s="12"/>
      <c r="BI1863" s="12"/>
      <c r="BJ1863" s="12"/>
      <c r="BK1863" s="12"/>
      <c r="BL1863" s="12"/>
      <c r="BM1863" s="12"/>
      <c r="BN1863" s="12"/>
      <c r="BO1863" s="12"/>
      <c r="BP1863" s="12"/>
      <c r="BQ1863" s="12"/>
      <c r="BR1863" s="12"/>
      <c r="BS1863" s="12"/>
      <c r="BT1863" s="12"/>
      <c r="BU1863" s="12"/>
      <c r="BV1863" s="12"/>
      <c r="BW1863" s="12"/>
      <c r="BX1863" s="12"/>
      <c r="BY1863" s="12"/>
      <c r="BZ1863" s="12"/>
      <c r="CA1863" s="12"/>
      <c r="CB1863" s="12"/>
      <c r="CC1863" s="12"/>
      <c r="CD1863" s="12"/>
    </row>
    <row r="1864" spans="1:82">
      <c r="A1864" s="12" t="s">
        <v>5473</v>
      </c>
      <c r="B1864" s="12" t="str">
        <f t="shared" si="353"/>
        <v>VANDERLINDE</v>
      </c>
      <c r="C1864" s="12" t="str">
        <f t="shared" si="354"/>
        <v>VAN DER LINDE</v>
      </c>
      <c r="D1864" s="12" t="s">
        <v>14152</v>
      </c>
      <c r="E1864" s="12" t="str">
        <f t="shared" si="364"/>
        <v>Lambertus Gerhardus Johannes</v>
      </c>
      <c r="F1864" s="12" t="s">
        <v>14153</v>
      </c>
      <c r="G1864" s="12" t="str">
        <f t="shared" si="355"/>
        <v>a1b3c5d1e2</v>
      </c>
      <c r="H1864" s="12" t="str">
        <f t="shared" si="356"/>
        <v>VAN DER LINDEa1b3c5d1e2</v>
      </c>
      <c r="I1864" s="12"/>
      <c r="J1864" s="12" t="s">
        <v>14154</v>
      </c>
      <c r="K1864" s="12" t="str">
        <f t="shared" si="357"/>
        <v>1815</v>
      </c>
      <c r="L1864" s="12" t="s">
        <v>74</v>
      </c>
      <c r="M1864" s="12" t="s">
        <v>1602</v>
      </c>
      <c r="N1864" s="12" t="str">
        <f t="shared" si="362"/>
        <v>1815</v>
      </c>
      <c r="O1864" s="12" t="str">
        <f t="shared" si="363"/>
        <v>1815</v>
      </c>
      <c r="P1864" s="12"/>
      <c r="Q1864" s="12" t="str">
        <f t="shared" si="358"/>
        <v>1815</v>
      </c>
      <c r="R1864" s="12"/>
      <c r="S1864" s="12" t="str">
        <f t="shared" si="359"/>
        <v/>
      </c>
      <c r="T1864" s="12" t="s">
        <v>366</v>
      </c>
      <c r="U1864" s="12" t="s">
        <v>994</v>
      </c>
      <c r="V1864" s="12" t="str">
        <f t="shared" si="360"/>
        <v>1837</v>
      </c>
      <c r="W1864" s="12" t="s">
        <v>14155</v>
      </c>
      <c r="X1864" s="12" t="s">
        <v>14156</v>
      </c>
      <c r="Y1864" s="12"/>
      <c r="Z1864" s="12"/>
      <c r="AA1864" s="12"/>
      <c r="AB1864" s="12"/>
      <c r="AC1864" s="12"/>
      <c r="AD1864" s="12"/>
      <c r="AE1864" s="12"/>
      <c r="AF1864" s="12"/>
      <c r="AG1864" s="12" t="s">
        <v>366</v>
      </c>
      <c r="AH1864" s="12" t="s">
        <v>362</v>
      </c>
      <c r="AI1864" s="12" t="str">
        <f t="shared" si="361"/>
        <v>40'S</v>
      </c>
      <c r="AJ1864" s="12"/>
      <c r="AK1864" s="12" t="s">
        <v>2877</v>
      </c>
      <c r="AL1864" s="12"/>
      <c r="AM1864" s="12"/>
      <c r="AN1864" s="12"/>
      <c r="AO1864" s="12"/>
      <c r="AP1864" s="12"/>
      <c r="AQ1864" s="12"/>
      <c r="AR1864" s="12"/>
      <c r="AS1864" s="12"/>
      <c r="AT1864" s="12"/>
      <c r="AU1864" s="12"/>
      <c r="AV1864" s="12"/>
      <c r="AW1864" s="12"/>
      <c r="AX1864" s="12"/>
      <c r="AY1864" s="12"/>
      <c r="AZ1864" s="12"/>
      <c r="BA1864" s="12"/>
      <c r="BB1864" s="12"/>
      <c r="BC1864" s="12"/>
      <c r="BD1864" s="12"/>
      <c r="BE1864" s="12"/>
      <c r="BF1864" s="12"/>
      <c r="BG1864" s="12"/>
      <c r="BH1864" s="12"/>
      <c r="BI1864" s="12"/>
      <c r="BJ1864" s="12"/>
      <c r="BK1864" s="12"/>
      <c r="BL1864" s="12"/>
      <c r="BM1864" s="12"/>
      <c r="BN1864" s="12"/>
      <c r="BO1864" s="12"/>
      <c r="BP1864" s="12"/>
      <c r="BQ1864" s="12"/>
      <c r="BR1864" s="12"/>
      <c r="BS1864" s="12"/>
      <c r="BT1864" s="12"/>
      <c r="BU1864" s="12"/>
      <c r="BV1864" s="12"/>
      <c r="BW1864" s="12"/>
      <c r="BX1864" s="12"/>
      <c r="BY1864" s="12"/>
      <c r="BZ1864" s="12"/>
      <c r="CA1864" s="12"/>
      <c r="CB1864" s="12"/>
      <c r="CC1864" s="12"/>
      <c r="CD1864" s="12"/>
    </row>
    <row r="1865" spans="1:82">
      <c r="A1865" s="12" t="s">
        <v>5473</v>
      </c>
      <c r="B1865" s="12" t="str">
        <f t="shared" si="353"/>
        <v>VANDERLINDE</v>
      </c>
      <c r="C1865" s="12" t="str">
        <f t="shared" si="354"/>
        <v>VAN DER LINDE</v>
      </c>
      <c r="D1865" s="12" t="s">
        <v>14147</v>
      </c>
      <c r="E1865" s="12" t="str">
        <f t="shared" si="364"/>
        <v>Johannes Hendrik Gerhardus</v>
      </c>
      <c r="F1865" s="12" t="s">
        <v>14148</v>
      </c>
      <c r="G1865" s="12" t="str">
        <f t="shared" si="355"/>
        <v>a1b3c5d3</v>
      </c>
      <c r="H1865" s="12" t="str">
        <f t="shared" si="356"/>
        <v>VAN DER LINDEa1b3c5d3</v>
      </c>
      <c r="I1865" s="12"/>
      <c r="J1865" s="12"/>
      <c r="K1865" s="12" t="str">
        <f t="shared" si="357"/>
        <v/>
      </c>
      <c r="L1865" s="12"/>
      <c r="M1865" s="12" t="s">
        <v>13791</v>
      </c>
      <c r="N1865" s="12" t="str">
        <f t="shared" si="362"/>
        <v/>
      </c>
      <c r="O1865" s="12" t="str">
        <f t="shared" si="363"/>
        <v>1790</v>
      </c>
      <c r="P1865" s="12"/>
      <c r="Q1865" s="12" t="str">
        <f t="shared" si="358"/>
        <v>1790</v>
      </c>
      <c r="R1865" s="12"/>
      <c r="S1865" s="12" t="str">
        <f t="shared" si="359"/>
        <v/>
      </c>
      <c r="T1865" s="12"/>
      <c r="U1865" s="12"/>
      <c r="V1865" s="12" t="str">
        <f t="shared" si="360"/>
        <v/>
      </c>
      <c r="W1865" s="12" t="s">
        <v>14149</v>
      </c>
      <c r="X1865" s="12" t="s">
        <v>62</v>
      </c>
      <c r="Y1865" s="12" t="s">
        <v>14150</v>
      </c>
      <c r="Z1865" s="12"/>
      <c r="AA1865" s="12"/>
      <c r="AB1865" s="12"/>
      <c r="AC1865" s="12" t="s">
        <v>3477</v>
      </c>
      <c r="AD1865" s="12"/>
      <c r="AE1865" s="12"/>
      <c r="AF1865" s="12" t="s">
        <v>16</v>
      </c>
      <c r="AG1865" s="12" t="s">
        <v>68</v>
      </c>
      <c r="AH1865" s="12" t="s">
        <v>14151</v>
      </c>
      <c r="AI1865" s="12" t="str">
        <f t="shared" si="361"/>
        <v>1837</v>
      </c>
      <c r="AJ1865" s="12"/>
      <c r="AK1865" s="12" t="s">
        <v>551</v>
      </c>
      <c r="AL1865" s="12"/>
      <c r="AM1865" s="12"/>
      <c r="AN1865" s="12"/>
      <c r="AO1865" s="12"/>
      <c r="AP1865" s="12"/>
      <c r="AQ1865" s="12"/>
      <c r="AR1865" s="12"/>
      <c r="AS1865" s="12"/>
      <c r="AT1865" s="12"/>
      <c r="AU1865" s="12"/>
      <c r="AV1865" s="12"/>
      <c r="AW1865" s="12"/>
      <c r="AX1865" s="12"/>
      <c r="AY1865" s="12"/>
      <c r="AZ1865" s="12"/>
      <c r="BA1865" s="12"/>
      <c r="BB1865" s="12"/>
      <c r="BC1865" s="12"/>
      <c r="BD1865" s="12"/>
      <c r="BE1865" s="12"/>
      <c r="BF1865" s="12"/>
      <c r="BG1865" s="12"/>
      <c r="BH1865" s="12"/>
      <c r="BI1865" s="12"/>
      <c r="BJ1865" s="12"/>
      <c r="BK1865" s="12"/>
      <c r="BL1865" s="12"/>
      <c r="BM1865" s="12"/>
      <c r="BN1865" s="12"/>
      <c r="BO1865" s="12"/>
      <c r="BP1865" s="12"/>
      <c r="BQ1865" s="12"/>
      <c r="BR1865" s="12"/>
      <c r="BS1865" s="12"/>
      <c r="BT1865" s="12"/>
      <c r="BU1865" s="12"/>
      <c r="BV1865" s="12"/>
      <c r="BW1865" s="12"/>
      <c r="BX1865" s="12"/>
      <c r="BY1865" s="12"/>
      <c r="BZ1865" s="12"/>
      <c r="CA1865" s="12"/>
      <c r="CB1865" s="12"/>
      <c r="CC1865" s="12"/>
      <c r="CD1865" s="12"/>
    </row>
    <row r="1866" spans="1:82">
      <c r="A1866" s="12" t="s">
        <v>700</v>
      </c>
      <c r="B1866" s="12" t="str">
        <f t="shared" si="353"/>
        <v>VANDERMERWE</v>
      </c>
      <c r="C1866" s="12" t="str">
        <f t="shared" si="354"/>
        <v>VAN DER MERWE</v>
      </c>
      <c r="D1866" s="12" t="s">
        <v>139</v>
      </c>
      <c r="E1866" s="12" t="str">
        <f t="shared" si="364"/>
        <v>Hendrik Jacobus</v>
      </c>
      <c r="F1866" s="12" t="s">
        <v>14235</v>
      </c>
      <c r="G1866" s="12" t="str">
        <f t="shared" si="355"/>
        <v>2c13d4e3f2 and b3c12d2e14f2</v>
      </c>
      <c r="H1866" s="12" t="str">
        <f t="shared" si="356"/>
        <v>VAN DER MERWE2c13d4e3f2 and b3c12d2e14f2</v>
      </c>
      <c r="I1866" s="12"/>
      <c r="J1866" s="12"/>
      <c r="K1866" s="12" t="str">
        <f t="shared" si="357"/>
        <v/>
      </c>
      <c r="L1866" s="12"/>
      <c r="M1866" s="12" t="s">
        <v>14236</v>
      </c>
      <c r="N1866" s="12" t="str">
        <f t="shared" si="362"/>
        <v/>
      </c>
      <c r="O1866" s="12" t="str">
        <f t="shared" si="363"/>
        <v>1795</v>
      </c>
      <c r="P1866" s="12" t="s">
        <v>140</v>
      </c>
      <c r="Q1866" s="12" t="str">
        <f t="shared" si="358"/>
        <v>1795</v>
      </c>
      <c r="R1866" s="12" t="s">
        <v>14237</v>
      </c>
      <c r="S1866" s="12" t="str">
        <f t="shared" si="359"/>
        <v>1877</v>
      </c>
      <c r="T1866" s="12" t="s">
        <v>74</v>
      </c>
      <c r="U1866" s="12" t="s">
        <v>1191</v>
      </c>
      <c r="V1866" s="12" t="str">
        <f t="shared" si="360"/>
        <v>1814</v>
      </c>
      <c r="W1866" s="12" t="s">
        <v>4026</v>
      </c>
      <c r="X1866" s="12" t="s">
        <v>7387</v>
      </c>
      <c r="Y1866" s="12"/>
      <c r="Z1866" s="12"/>
      <c r="AA1866" s="12"/>
      <c r="AB1866" s="12"/>
      <c r="AC1866" s="12" t="s">
        <v>14238</v>
      </c>
      <c r="AD1866" s="12" t="s">
        <v>140</v>
      </c>
      <c r="AE1866" s="12" t="s">
        <v>14239</v>
      </c>
      <c r="AF1866" s="12" t="s">
        <v>3712</v>
      </c>
      <c r="AG1866" s="12" t="s">
        <v>74</v>
      </c>
      <c r="AH1866" s="12">
        <v>1837</v>
      </c>
      <c r="AI1866" s="12" t="str">
        <f t="shared" si="361"/>
        <v>1837</v>
      </c>
      <c r="AJ1866" s="12" t="s">
        <v>13060</v>
      </c>
      <c r="AK1866" s="12" t="s">
        <v>140</v>
      </c>
      <c r="AL1866" s="12"/>
      <c r="AM1866" s="12"/>
      <c r="AN1866" s="12"/>
      <c r="AO1866" s="12"/>
      <c r="AP1866" s="12"/>
      <c r="AQ1866" s="12"/>
      <c r="AR1866" s="12"/>
      <c r="AS1866" s="12"/>
      <c r="AT1866" s="12"/>
      <c r="AU1866" s="12"/>
      <c r="AV1866" s="12"/>
      <c r="AW1866" s="12"/>
      <c r="AX1866" s="12"/>
      <c r="AY1866" s="12"/>
      <c r="AZ1866" s="12"/>
      <c r="BA1866" s="12"/>
      <c r="BB1866" s="12"/>
      <c r="BC1866" s="12"/>
      <c r="BD1866" s="12"/>
      <c r="BE1866" s="12"/>
      <c r="BF1866" s="12"/>
      <c r="BG1866" s="12"/>
      <c r="BH1866" s="12"/>
      <c r="BI1866" s="12"/>
      <c r="BJ1866" s="12"/>
      <c r="BK1866" s="12"/>
      <c r="BL1866" s="12"/>
      <c r="BM1866" s="12"/>
      <c r="BN1866" s="12"/>
      <c r="BO1866" s="12"/>
      <c r="BP1866" s="12"/>
      <c r="BQ1866" s="12"/>
      <c r="BR1866" s="12"/>
      <c r="BS1866" s="12"/>
      <c r="BT1866" s="12"/>
      <c r="BU1866" s="12"/>
      <c r="BV1866" s="12"/>
      <c r="BW1866" s="12"/>
      <c r="BX1866" s="12"/>
      <c r="BY1866" s="12"/>
      <c r="BZ1866" s="12"/>
      <c r="CA1866" s="12"/>
      <c r="CB1866" s="12"/>
      <c r="CC1866" s="12"/>
      <c r="CD1866" s="12"/>
    </row>
    <row r="1867" spans="1:82">
      <c r="A1867" s="12" t="s">
        <v>700</v>
      </c>
      <c r="B1867" s="12" t="str">
        <f t="shared" si="353"/>
        <v>VANDERMERWE</v>
      </c>
      <c r="C1867" s="12" t="str">
        <f t="shared" si="354"/>
        <v>VAN DER MERWE</v>
      </c>
      <c r="D1867" s="12" t="s">
        <v>6271</v>
      </c>
      <c r="E1867" s="12" t="str">
        <f t="shared" si="364"/>
        <v>Gerrit Jacobus</v>
      </c>
      <c r="F1867" s="12" t="s">
        <v>14214</v>
      </c>
      <c r="G1867" s="12" t="str">
        <f t="shared" si="355"/>
        <v>a1b3c13d9e1</v>
      </c>
      <c r="H1867" s="12" t="str">
        <f t="shared" si="356"/>
        <v>VAN DER MERWEa1b3c13d9e1</v>
      </c>
      <c r="I1867" s="12"/>
      <c r="J1867" s="12" t="s">
        <v>14215</v>
      </c>
      <c r="K1867" s="12" t="str">
        <f t="shared" si="357"/>
        <v>1783</v>
      </c>
      <c r="L1867" s="12"/>
      <c r="M1867" s="12" t="s">
        <v>14216</v>
      </c>
      <c r="N1867" s="12" t="str">
        <f t="shared" si="362"/>
        <v>1783</v>
      </c>
      <c r="O1867" s="12" t="str">
        <f t="shared" si="363"/>
        <v>1785</v>
      </c>
      <c r="P1867" s="12"/>
      <c r="Q1867" s="12" t="str">
        <f t="shared" si="358"/>
        <v>1783</v>
      </c>
      <c r="R1867" s="12"/>
      <c r="S1867" s="12" t="str">
        <f t="shared" si="359"/>
        <v/>
      </c>
      <c r="T1867" s="12" t="s">
        <v>74</v>
      </c>
      <c r="U1867" s="12" t="s">
        <v>14217</v>
      </c>
      <c r="V1867" s="12" t="str">
        <f t="shared" si="360"/>
        <v>1805</v>
      </c>
      <c r="W1867" s="12" t="s">
        <v>4694</v>
      </c>
      <c r="X1867" s="12" t="s">
        <v>6072</v>
      </c>
      <c r="Y1867" s="12" t="s">
        <v>14218</v>
      </c>
      <c r="Z1867" s="12"/>
      <c r="AA1867" s="12"/>
      <c r="AB1867" s="12"/>
      <c r="AC1867" s="12" t="s">
        <v>14219</v>
      </c>
      <c r="AD1867" s="12"/>
      <c r="AE1867" s="12"/>
      <c r="AF1867" s="12" t="s">
        <v>28</v>
      </c>
      <c r="AG1867" s="12" t="s">
        <v>68</v>
      </c>
      <c r="AH1867" s="12" t="s">
        <v>385</v>
      </c>
      <c r="AI1867" s="12" t="str">
        <f t="shared" si="361"/>
        <v>1840</v>
      </c>
      <c r="AJ1867" s="12"/>
      <c r="AK1867" s="12" t="s">
        <v>90</v>
      </c>
      <c r="AL1867" s="12"/>
      <c r="AM1867" s="12"/>
      <c r="AN1867" s="12"/>
      <c r="AO1867" s="12"/>
      <c r="AP1867" s="12"/>
      <c r="AQ1867" s="12"/>
      <c r="AR1867" s="12"/>
      <c r="AS1867" s="12"/>
      <c r="AT1867" s="12"/>
      <c r="AU1867" s="12"/>
      <c r="AV1867" s="12"/>
      <c r="AW1867" s="12"/>
      <c r="AX1867" s="12"/>
      <c r="AY1867" s="12"/>
      <c r="AZ1867" s="12"/>
      <c r="BA1867" s="12"/>
      <c r="BB1867" s="12"/>
      <c r="BC1867" s="12"/>
      <c r="BD1867" s="12"/>
      <c r="BE1867" s="12"/>
      <c r="BF1867" s="12"/>
      <c r="BG1867" s="12"/>
      <c r="BH1867" s="12"/>
      <c r="BI1867" s="12"/>
      <c r="BJ1867" s="12"/>
      <c r="BK1867" s="12"/>
      <c r="BL1867" s="12"/>
      <c r="BM1867" s="12"/>
      <c r="BN1867" s="12"/>
      <c r="BO1867" s="12"/>
      <c r="BP1867" s="12"/>
      <c r="BQ1867" s="12"/>
      <c r="BR1867" s="12"/>
      <c r="BS1867" s="12"/>
      <c r="BT1867" s="12"/>
      <c r="BU1867" s="12"/>
      <c r="BV1867" s="12"/>
      <c r="BW1867" s="12"/>
      <c r="BX1867" s="12"/>
      <c r="BY1867" s="12"/>
      <c r="BZ1867" s="12"/>
      <c r="CA1867" s="12"/>
      <c r="CB1867" s="12"/>
      <c r="CC1867" s="12"/>
      <c r="CD1867" s="12"/>
    </row>
    <row r="1868" spans="1:82">
      <c r="A1868" s="12" t="s">
        <v>700</v>
      </c>
      <c r="B1868" s="12" t="str">
        <f t="shared" si="353"/>
        <v>VANDERMERWE</v>
      </c>
      <c r="C1868" s="12" t="str">
        <f t="shared" si="354"/>
        <v>VAN DER MERWE</v>
      </c>
      <c r="D1868" s="12" t="s">
        <v>2253</v>
      </c>
      <c r="E1868" s="12" t="str">
        <f t="shared" si="364"/>
        <v>Johannes Jacobus</v>
      </c>
      <c r="F1868" s="12" t="s">
        <v>14285</v>
      </c>
      <c r="G1868" s="12" t="str">
        <f t="shared" si="355"/>
        <v>a1b3c3d5e2f1g6</v>
      </c>
      <c r="H1868" s="12" t="str">
        <f t="shared" si="356"/>
        <v>VAN DER MERWEa1b3c3d5e2f1g6</v>
      </c>
      <c r="I1868" s="12"/>
      <c r="J1868" s="12" t="s">
        <v>7544</v>
      </c>
      <c r="K1868" s="12" t="str">
        <f t="shared" si="357"/>
        <v>1820</v>
      </c>
      <c r="L1868" s="12" t="s">
        <v>53</v>
      </c>
      <c r="M1868" s="12" t="s">
        <v>14286</v>
      </c>
      <c r="N1868" s="12" t="str">
        <f t="shared" si="362"/>
        <v>1820</v>
      </c>
      <c r="O1868" s="12" t="str">
        <f t="shared" si="363"/>
        <v>1820</v>
      </c>
      <c r="P1868" s="12"/>
      <c r="Q1868" s="12" t="str">
        <f t="shared" si="358"/>
        <v>1820</v>
      </c>
      <c r="R1868" s="12"/>
      <c r="S1868" s="12" t="str">
        <f t="shared" si="359"/>
        <v/>
      </c>
      <c r="T1868" s="12"/>
      <c r="U1868" s="12"/>
      <c r="V1868" s="12" t="str">
        <f t="shared" si="360"/>
        <v/>
      </c>
      <c r="W1868" s="12" t="s">
        <v>4715</v>
      </c>
      <c r="X1868" s="12" t="s">
        <v>670</v>
      </c>
      <c r="Y1868" s="12"/>
      <c r="Z1868" s="12"/>
      <c r="AA1868" s="12" t="s">
        <v>9213</v>
      </c>
      <c r="AB1868" s="12" t="s">
        <v>53</v>
      </c>
      <c r="AC1868" s="12" t="s">
        <v>14287</v>
      </c>
      <c r="AD1868" s="12" t="s">
        <v>1864</v>
      </c>
      <c r="AE1868" s="1">
        <v>2683</v>
      </c>
      <c r="AF1868" s="12" t="s">
        <v>3724</v>
      </c>
      <c r="AG1868" s="12" t="s">
        <v>53</v>
      </c>
      <c r="AH1868" s="12" t="s">
        <v>5021</v>
      </c>
      <c r="AI1868" s="12" t="str">
        <f t="shared" si="361"/>
        <v>1842</v>
      </c>
      <c r="AJ1868" s="12" t="s">
        <v>140</v>
      </c>
      <c r="AK1868" s="12"/>
      <c r="AL1868" s="12"/>
      <c r="AM1868" s="12"/>
      <c r="AN1868" s="12"/>
      <c r="AO1868" s="12"/>
      <c r="AP1868" s="12"/>
      <c r="AQ1868" s="12"/>
      <c r="AR1868" s="12"/>
      <c r="AS1868" s="12"/>
      <c r="AT1868" s="12"/>
      <c r="AU1868" s="12"/>
      <c r="AV1868" s="12"/>
      <c r="AW1868" s="12"/>
      <c r="AX1868" s="12"/>
      <c r="AY1868" s="12"/>
      <c r="AZ1868" s="12"/>
      <c r="BA1868" s="12"/>
      <c r="BB1868" s="12"/>
      <c r="BC1868" s="12"/>
      <c r="BD1868" s="12"/>
      <c r="BE1868" s="12"/>
      <c r="BF1868" s="12"/>
      <c r="BG1868" s="12"/>
      <c r="BH1868" s="12"/>
      <c r="BI1868" s="12"/>
      <c r="BJ1868" s="12"/>
      <c r="BK1868" s="12"/>
      <c r="BL1868" s="12"/>
      <c r="BM1868" s="12"/>
      <c r="BN1868" s="12"/>
      <c r="BO1868" s="12"/>
      <c r="BP1868" s="12"/>
      <c r="BQ1868" s="12"/>
      <c r="BR1868" s="12"/>
      <c r="BS1868" s="12"/>
      <c r="BT1868" s="12"/>
      <c r="BU1868" s="12"/>
      <c r="BV1868" s="12"/>
      <c r="BW1868" s="12"/>
      <c r="BX1868" s="12"/>
      <c r="BY1868" s="12"/>
      <c r="BZ1868" s="12"/>
      <c r="CA1868" s="12"/>
      <c r="CB1868" s="12"/>
      <c r="CC1868" s="12"/>
      <c r="CD1868" s="12"/>
    </row>
    <row r="1869" spans="1:82">
      <c r="A1869" s="12" t="s">
        <v>700</v>
      </c>
      <c r="B1869" s="12" t="str">
        <f t="shared" si="353"/>
        <v>VANDERMERWE</v>
      </c>
      <c r="C1869" s="12" t="str">
        <f t="shared" si="354"/>
        <v>VAN DER MERWE</v>
      </c>
      <c r="D1869" s="12" t="s">
        <v>14288</v>
      </c>
      <c r="E1869" s="12" t="str">
        <f t="shared" si="364"/>
        <v>Johannes Lodevicus</v>
      </c>
      <c r="F1869" s="12" t="s">
        <v>14289</v>
      </c>
      <c r="G1869" s="12" t="str">
        <f t="shared" si="355"/>
        <v>a1b3c8d6e1f7</v>
      </c>
      <c r="H1869" s="12" t="str">
        <f t="shared" si="356"/>
        <v>VAN DER MERWEa1b3c8d6e1f7</v>
      </c>
      <c r="I1869" s="12"/>
      <c r="J1869" s="12" t="s">
        <v>14290</v>
      </c>
      <c r="K1869" s="12" t="str">
        <f t="shared" si="357"/>
        <v>1796</v>
      </c>
      <c r="L1869" s="12" t="s">
        <v>1071</v>
      </c>
      <c r="M1869" s="12" t="s">
        <v>14291</v>
      </c>
      <c r="N1869" s="12" t="str">
        <f t="shared" si="362"/>
        <v>1796</v>
      </c>
      <c r="O1869" s="12" t="str">
        <f t="shared" si="363"/>
        <v>1797</v>
      </c>
      <c r="P1869" s="12"/>
      <c r="Q1869" s="12" t="str">
        <f t="shared" si="358"/>
        <v>1796</v>
      </c>
      <c r="R1869" s="12"/>
      <c r="S1869" s="12" t="str">
        <f t="shared" si="359"/>
        <v/>
      </c>
      <c r="T1869" s="12" t="s">
        <v>74</v>
      </c>
      <c r="U1869" s="12" t="s">
        <v>14292</v>
      </c>
      <c r="V1869" s="12" t="str">
        <f t="shared" si="360"/>
        <v>1816</v>
      </c>
      <c r="W1869" s="12" t="s">
        <v>14293</v>
      </c>
      <c r="X1869" s="12" t="s">
        <v>662</v>
      </c>
      <c r="Y1869" s="12" t="s">
        <v>14294</v>
      </c>
      <c r="Z1869" s="12"/>
      <c r="AA1869" s="12" t="s">
        <v>14295</v>
      </c>
      <c r="AB1869" s="12"/>
      <c r="AC1869" s="12" t="s">
        <v>238</v>
      </c>
      <c r="AD1869" s="12"/>
      <c r="AE1869" s="12"/>
      <c r="AF1869" s="12" t="s">
        <v>3725</v>
      </c>
      <c r="AG1869" s="12" t="s">
        <v>74</v>
      </c>
      <c r="AH1869" s="12" t="s">
        <v>14296</v>
      </c>
      <c r="AI1869" s="12" t="str">
        <f t="shared" si="361"/>
        <v>1837</v>
      </c>
      <c r="AJ1869" s="12"/>
      <c r="AK1869" s="12" t="s">
        <v>90</v>
      </c>
      <c r="AL1869" s="12"/>
      <c r="AM1869" s="12"/>
      <c r="AN1869" s="12"/>
      <c r="AO1869" s="12"/>
      <c r="AP1869" s="12"/>
      <c r="AQ1869" s="12"/>
      <c r="AR1869" s="12"/>
      <c r="AS1869" s="12"/>
      <c r="AT1869" s="12"/>
      <c r="AU1869" s="12"/>
      <c r="AV1869" s="12"/>
      <c r="AW1869" s="12"/>
      <c r="AX1869" s="12"/>
      <c r="AY1869" s="12"/>
      <c r="AZ1869" s="12"/>
      <c r="BA1869" s="12"/>
      <c r="BB1869" s="12"/>
      <c r="BC1869" s="12"/>
      <c r="BD1869" s="12"/>
      <c r="BE1869" s="12"/>
      <c r="BF1869" s="12"/>
      <c r="BG1869" s="12"/>
      <c r="BH1869" s="12"/>
      <c r="BI1869" s="12"/>
      <c r="BJ1869" s="12"/>
      <c r="BK1869" s="12"/>
      <c r="BL1869" s="12"/>
      <c r="BM1869" s="12"/>
      <c r="BN1869" s="12"/>
      <c r="BO1869" s="12"/>
      <c r="BP1869" s="12"/>
      <c r="BQ1869" s="12"/>
      <c r="BR1869" s="12"/>
      <c r="BS1869" s="12"/>
      <c r="BT1869" s="12"/>
      <c r="BU1869" s="12"/>
      <c r="BV1869" s="12"/>
      <c r="BW1869" s="12"/>
      <c r="BX1869" s="12"/>
      <c r="BY1869" s="12"/>
      <c r="BZ1869" s="12"/>
      <c r="CA1869" s="12"/>
      <c r="CB1869" s="12"/>
      <c r="CC1869" s="12"/>
      <c r="CD1869" s="12"/>
    </row>
    <row r="1870" spans="1:82">
      <c r="A1870" s="12" t="s">
        <v>700</v>
      </c>
      <c r="B1870" s="12" t="str">
        <f t="shared" si="353"/>
        <v>VANDERMERWE</v>
      </c>
      <c r="C1870" s="12" t="str">
        <f t="shared" si="354"/>
        <v>VAN DER MERWE</v>
      </c>
      <c r="D1870" s="12" t="s">
        <v>14227</v>
      </c>
      <c r="E1870" s="12" t="str">
        <f t="shared" si="364"/>
        <v>Gert (Gerhardus)</v>
      </c>
      <c r="F1870" s="12" t="s">
        <v>14228</v>
      </c>
      <c r="G1870" s="12" t="str">
        <f t="shared" si="355"/>
        <v>a1b1c14d10e4f2</v>
      </c>
      <c r="H1870" s="12" t="str">
        <f t="shared" si="356"/>
        <v>VAN DER MERWEa1b1c14d10e4f2</v>
      </c>
      <c r="I1870" s="12"/>
      <c r="J1870" s="12" t="s">
        <v>14229</v>
      </c>
      <c r="K1870" s="12" t="str">
        <f t="shared" si="357"/>
        <v>1821</v>
      </c>
      <c r="L1870" s="12"/>
      <c r="M1870" s="12"/>
      <c r="N1870" s="12" t="str">
        <f t="shared" si="362"/>
        <v>1821</v>
      </c>
      <c r="O1870" s="12" t="str">
        <f t="shared" si="363"/>
        <v/>
      </c>
      <c r="P1870" s="12"/>
      <c r="Q1870" s="12" t="str">
        <f t="shared" si="358"/>
        <v>1821</v>
      </c>
      <c r="R1870" s="12"/>
      <c r="S1870" s="12" t="str">
        <f t="shared" si="359"/>
        <v/>
      </c>
      <c r="T1870" s="12" t="s">
        <v>90</v>
      </c>
      <c r="U1870" s="12" t="s">
        <v>11671</v>
      </c>
      <c r="V1870" s="12" t="str">
        <f t="shared" si="360"/>
        <v>1842</v>
      </c>
      <c r="W1870" s="12" t="s">
        <v>4478</v>
      </c>
      <c r="X1870" s="12" t="s">
        <v>662</v>
      </c>
      <c r="Y1870" s="12" t="s">
        <v>14230</v>
      </c>
      <c r="Z1870" s="12"/>
      <c r="AA1870" s="12"/>
      <c r="AB1870" s="12"/>
      <c r="AC1870" s="12"/>
      <c r="AD1870" s="12"/>
      <c r="AE1870" s="12"/>
      <c r="AF1870" s="12"/>
      <c r="AG1870" s="12"/>
      <c r="AH1870" s="12" t="s">
        <v>10069</v>
      </c>
      <c r="AI1870" s="12" t="str">
        <f t="shared" si="361"/>
        <v>1843</v>
      </c>
      <c r="AJ1870" s="12"/>
      <c r="AK1870" s="12" t="s">
        <v>90</v>
      </c>
      <c r="AL1870" s="12"/>
      <c r="AM1870" s="12"/>
      <c r="AN1870" s="12"/>
      <c r="AO1870" s="12"/>
      <c r="AP1870" s="12"/>
      <c r="AQ1870" s="12"/>
      <c r="AR1870" s="12"/>
      <c r="AS1870" s="12"/>
      <c r="AT1870" s="12"/>
      <c r="AU1870" s="12"/>
      <c r="AV1870" s="12"/>
      <c r="AW1870" s="12"/>
      <c r="AX1870" s="12"/>
      <c r="AY1870" s="12"/>
      <c r="AZ1870" s="12"/>
      <c r="BA1870" s="12"/>
      <c r="BB1870" s="12"/>
      <c r="BC1870" s="12"/>
      <c r="BD1870" s="12"/>
      <c r="BE1870" s="12"/>
      <c r="BF1870" s="12"/>
      <c r="BG1870" s="12"/>
      <c r="BH1870" s="12"/>
      <c r="BI1870" s="12"/>
      <c r="BJ1870" s="12"/>
      <c r="BK1870" s="12"/>
      <c r="BL1870" s="12"/>
      <c r="BM1870" s="12"/>
      <c r="BN1870" s="12"/>
      <c r="BO1870" s="12"/>
      <c r="BP1870" s="12"/>
      <c r="BQ1870" s="12"/>
      <c r="BR1870" s="12"/>
      <c r="BS1870" s="12"/>
      <c r="BT1870" s="12"/>
      <c r="BU1870" s="12"/>
      <c r="BV1870" s="12"/>
      <c r="BW1870" s="12"/>
      <c r="BX1870" s="12"/>
      <c r="BY1870" s="12"/>
      <c r="BZ1870" s="12"/>
      <c r="CA1870" s="12"/>
      <c r="CB1870" s="12"/>
      <c r="CC1870" s="12"/>
      <c r="CD1870" s="12"/>
    </row>
    <row r="1871" spans="1:82">
      <c r="A1871" s="12" t="s">
        <v>700</v>
      </c>
      <c r="B1871" s="12" t="str">
        <f t="shared" si="353"/>
        <v>VANDERMERWE</v>
      </c>
      <c r="C1871" s="12" t="str">
        <f t="shared" si="354"/>
        <v>VAN DER MERWE</v>
      </c>
      <c r="D1871" s="12" t="s">
        <v>14175</v>
      </c>
      <c r="E1871" s="12" t="str">
        <f t="shared" si="364"/>
        <v>Christoffel</v>
      </c>
      <c r="F1871" s="12" t="s">
        <v>14176</v>
      </c>
      <c r="G1871" s="12" t="str">
        <f t="shared" si="355"/>
        <v>a1b2c12d2e3f8g3</v>
      </c>
      <c r="H1871" s="12" t="str">
        <f t="shared" si="356"/>
        <v>VAN DER MERWEa1b2c12d2e3f8g3</v>
      </c>
      <c r="I1871" s="12"/>
      <c r="J1871" s="12">
        <v>1825</v>
      </c>
      <c r="K1871" s="12" t="str">
        <f t="shared" si="357"/>
        <v>1825</v>
      </c>
      <c r="L1871" s="12"/>
      <c r="M1871" s="12"/>
      <c r="N1871" s="12" t="str">
        <f t="shared" si="362"/>
        <v>1825</v>
      </c>
      <c r="O1871" s="12" t="str">
        <f t="shared" si="363"/>
        <v/>
      </c>
      <c r="P1871" s="12"/>
      <c r="Q1871" s="12" t="str">
        <f t="shared" si="358"/>
        <v>1825</v>
      </c>
      <c r="R1871" s="12"/>
      <c r="S1871" s="12" t="str">
        <f t="shared" si="359"/>
        <v/>
      </c>
      <c r="T1871" s="12"/>
      <c r="U1871" s="12"/>
      <c r="V1871" s="12" t="str">
        <f t="shared" si="360"/>
        <v/>
      </c>
      <c r="W1871" s="12" t="s">
        <v>14177</v>
      </c>
      <c r="X1871" s="12" t="s">
        <v>760</v>
      </c>
      <c r="Y1871" s="12" t="s">
        <v>14178</v>
      </c>
      <c r="Z1871" s="12"/>
      <c r="AA1871" s="12"/>
      <c r="AB1871" s="12"/>
      <c r="AC1871" s="12"/>
      <c r="AD1871" s="12"/>
      <c r="AE1871" s="12"/>
      <c r="AF1871" s="12"/>
      <c r="AG1871" s="12"/>
      <c r="AH1871" s="12" t="s">
        <v>5021</v>
      </c>
      <c r="AI1871" s="12" t="str">
        <f t="shared" si="361"/>
        <v>1842</v>
      </c>
      <c r="AJ1871" s="12"/>
      <c r="AK1871" s="12" t="s">
        <v>90</v>
      </c>
      <c r="AL1871" s="12"/>
      <c r="AM1871" s="12"/>
      <c r="AN1871" s="12"/>
      <c r="AO1871" s="12"/>
      <c r="AP1871" s="12"/>
      <c r="AQ1871" s="12"/>
      <c r="AR1871" s="12"/>
      <c r="AS1871" s="12"/>
      <c r="AT1871" s="12"/>
      <c r="AU1871" s="12"/>
      <c r="AV1871" s="12"/>
      <c r="AW1871" s="12"/>
      <c r="AX1871" s="12"/>
      <c r="AY1871" s="12"/>
      <c r="AZ1871" s="12"/>
      <c r="BA1871" s="12"/>
      <c r="BB1871" s="12"/>
      <c r="BC1871" s="12"/>
      <c r="BD1871" s="12"/>
      <c r="BE1871" s="12"/>
      <c r="BF1871" s="12"/>
      <c r="BG1871" s="12"/>
      <c r="BH1871" s="12"/>
      <c r="BI1871" s="12"/>
      <c r="BJ1871" s="12"/>
      <c r="BK1871" s="12"/>
      <c r="BL1871" s="12"/>
      <c r="BM1871" s="12"/>
      <c r="BN1871" s="12"/>
      <c r="BO1871" s="12"/>
      <c r="BP1871" s="12"/>
      <c r="BQ1871" s="12"/>
      <c r="BR1871" s="12"/>
      <c r="BS1871" s="12"/>
      <c r="BT1871" s="12"/>
      <c r="BU1871" s="12"/>
      <c r="BV1871" s="12"/>
      <c r="BW1871" s="12"/>
      <c r="BX1871" s="12"/>
      <c r="BY1871" s="12"/>
      <c r="BZ1871" s="12"/>
      <c r="CA1871" s="12"/>
      <c r="CB1871" s="12"/>
      <c r="CC1871" s="12"/>
      <c r="CD1871" s="12"/>
    </row>
    <row r="1872" spans="1:82">
      <c r="A1872" s="12" t="s">
        <v>700</v>
      </c>
      <c r="B1872" s="12" t="str">
        <f t="shared" si="353"/>
        <v>VANDERMERWE</v>
      </c>
      <c r="C1872" s="12" t="str">
        <f t="shared" si="354"/>
        <v>VAN DER MERWE</v>
      </c>
      <c r="D1872" s="12" t="s">
        <v>1948</v>
      </c>
      <c r="E1872" s="12" t="str">
        <f t="shared" si="364"/>
        <v>Schalk Willem</v>
      </c>
      <c r="F1872" s="12" t="s">
        <v>14355</v>
      </c>
      <c r="G1872" s="12" t="str">
        <f t="shared" si="355"/>
        <v>a1b2c13d1e8f3</v>
      </c>
      <c r="H1872" s="12" t="str">
        <f t="shared" si="356"/>
        <v>VAN DER MERWEa1b2c13d1e8f3</v>
      </c>
      <c r="I1872" s="12"/>
      <c r="J1872" s="12"/>
      <c r="K1872" s="12" t="str">
        <f t="shared" si="357"/>
        <v/>
      </c>
      <c r="L1872" s="12" t="s">
        <v>542</v>
      </c>
      <c r="M1872" s="12" t="s">
        <v>14356</v>
      </c>
      <c r="N1872" s="12" t="str">
        <f t="shared" si="362"/>
        <v/>
      </c>
      <c r="O1872" s="12" t="str">
        <f t="shared" si="363"/>
        <v>1796</v>
      </c>
      <c r="P1872" s="12" t="s">
        <v>168</v>
      </c>
      <c r="Q1872" s="12" t="str">
        <f t="shared" si="358"/>
        <v>1796</v>
      </c>
      <c r="R1872" s="12" t="s">
        <v>14357</v>
      </c>
      <c r="S1872" s="12" t="str">
        <f t="shared" si="359"/>
        <v>1860</v>
      </c>
      <c r="T1872" s="12"/>
      <c r="U1872" s="12"/>
      <c r="V1872" s="12" t="str">
        <f t="shared" si="360"/>
        <v/>
      </c>
      <c r="W1872" s="12" t="s">
        <v>4235</v>
      </c>
      <c r="X1872" s="12" t="s">
        <v>700</v>
      </c>
      <c r="Y1872" s="12"/>
      <c r="Z1872" s="12"/>
      <c r="AA1872" s="12">
        <v>1801</v>
      </c>
      <c r="AB1872" s="12"/>
      <c r="AC1872" s="12"/>
      <c r="AD1872" s="12" t="s">
        <v>90</v>
      </c>
      <c r="AE1872" s="12" t="s">
        <v>14358</v>
      </c>
      <c r="AF1872" s="12" t="s">
        <v>3713</v>
      </c>
      <c r="AG1872" s="12" t="s">
        <v>74</v>
      </c>
      <c r="AH1872" s="12" t="s">
        <v>385</v>
      </c>
      <c r="AI1872" s="12" t="str">
        <f t="shared" si="361"/>
        <v>1840</v>
      </c>
      <c r="AJ1872" s="12"/>
      <c r="AK1872" s="12"/>
      <c r="AL1872" s="12"/>
      <c r="AM1872" s="12" t="s">
        <v>14359</v>
      </c>
      <c r="AN1872" s="12" t="s">
        <v>10560</v>
      </c>
      <c r="AO1872" s="12" t="s">
        <v>618</v>
      </c>
      <c r="AP1872" s="12" t="s">
        <v>10561</v>
      </c>
      <c r="AQ1872" s="12"/>
      <c r="AR1872" s="12"/>
      <c r="AS1872" s="12"/>
      <c r="AT1872" s="12" t="s">
        <v>77</v>
      </c>
      <c r="AU1872" s="12" t="s">
        <v>168</v>
      </c>
      <c r="AV1872" s="12" t="s">
        <v>10562</v>
      </c>
      <c r="AW1872" s="12"/>
      <c r="AX1872" s="12"/>
      <c r="AY1872" s="12"/>
      <c r="AZ1872" s="12"/>
      <c r="BA1872" s="12"/>
      <c r="BB1872" s="12"/>
      <c r="BC1872" s="12"/>
      <c r="BD1872" s="12"/>
      <c r="BE1872" s="12"/>
      <c r="BF1872" s="12"/>
      <c r="BG1872" s="12"/>
      <c r="BH1872" s="12"/>
      <c r="BI1872" s="12"/>
      <c r="BJ1872" s="12"/>
      <c r="BK1872" s="12"/>
      <c r="BL1872" s="12"/>
      <c r="BM1872" s="12"/>
      <c r="BN1872" s="12"/>
      <c r="BO1872" s="12"/>
      <c r="BP1872" s="12"/>
      <c r="BQ1872" s="12"/>
      <c r="BR1872" s="12"/>
      <c r="BS1872" s="12"/>
      <c r="BT1872" s="12"/>
      <c r="BU1872" s="12"/>
      <c r="BV1872" s="12"/>
      <c r="BW1872" s="12"/>
      <c r="BX1872" s="12"/>
      <c r="BY1872" s="12"/>
      <c r="BZ1872" s="12"/>
      <c r="CA1872" s="12"/>
      <c r="CB1872" s="12"/>
      <c r="CC1872" s="12"/>
      <c r="CD1872" s="12"/>
    </row>
    <row r="1873" spans="1:82">
      <c r="A1873" s="12" t="s">
        <v>700</v>
      </c>
      <c r="B1873" s="12" t="str">
        <f t="shared" si="353"/>
        <v>VANDERMERWE</v>
      </c>
      <c r="C1873" s="12" t="str">
        <f t="shared" si="354"/>
        <v>VAN DER MERWE</v>
      </c>
      <c r="D1873" s="12" t="s">
        <v>14351</v>
      </c>
      <c r="E1873" s="12" t="str">
        <f t="shared" si="364"/>
        <v>Roelof Jacobus</v>
      </c>
      <c r="F1873" s="12" t="s">
        <v>14352</v>
      </c>
      <c r="G1873" s="12" t="str">
        <f t="shared" si="355"/>
        <v>a1b2c13d1e8f3g1</v>
      </c>
      <c r="H1873" s="12" t="str">
        <f t="shared" si="356"/>
        <v>VAN DER MERWEa1b2c13d1e8f3g1</v>
      </c>
      <c r="I1873" s="12"/>
      <c r="J1873" s="12"/>
      <c r="K1873" s="12" t="str">
        <f t="shared" si="357"/>
        <v/>
      </c>
      <c r="L1873" s="12"/>
      <c r="M1873" s="12"/>
      <c r="N1873" s="12" t="str">
        <f t="shared" si="362"/>
        <v/>
      </c>
      <c r="O1873" s="12" t="str">
        <f t="shared" si="363"/>
        <v/>
      </c>
      <c r="P1873" s="12"/>
      <c r="Q1873" s="12" t="str">
        <f t="shared" si="358"/>
        <v/>
      </c>
      <c r="R1873" s="12"/>
      <c r="S1873" s="12" t="str">
        <f t="shared" si="359"/>
        <v/>
      </c>
      <c r="T1873" s="12"/>
      <c r="U1873" s="12"/>
      <c r="V1873" s="12" t="str">
        <f t="shared" si="360"/>
        <v/>
      </c>
      <c r="W1873" s="12" t="s">
        <v>10481</v>
      </c>
      <c r="X1873" s="12" t="s">
        <v>14353</v>
      </c>
      <c r="Y1873" s="12" t="s">
        <v>14354</v>
      </c>
      <c r="Z1873" s="12"/>
      <c r="AA1873" s="12" t="s">
        <v>13403</v>
      </c>
      <c r="AB1873" s="12"/>
      <c r="AC1873" s="12"/>
      <c r="AD1873" s="12"/>
      <c r="AE1873" s="12"/>
      <c r="AF1873" s="12"/>
      <c r="AG1873" s="12"/>
      <c r="AH1873" s="12" t="s">
        <v>2489</v>
      </c>
      <c r="AI1873" s="12" t="str">
        <f t="shared" si="361"/>
        <v>1841</v>
      </c>
      <c r="AJ1873" s="12"/>
      <c r="AK1873" s="12" t="s">
        <v>90</v>
      </c>
      <c r="AL1873" s="12"/>
      <c r="AM1873" s="12"/>
      <c r="AN1873" s="12"/>
      <c r="AO1873" s="12"/>
      <c r="AP1873" s="12"/>
      <c r="AQ1873" s="12"/>
      <c r="AR1873" s="12"/>
      <c r="AS1873" s="12"/>
      <c r="AT1873" s="12"/>
      <c r="AU1873" s="12"/>
      <c r="AV1873" s="12"/>
      <c r="AW1873" s="12"/>
      <c r="AX1873" s="12"/>
      <c r="AY1873" s="12"/>
      <c r="AZ1873" s="12"/>
      <c r="BA1873" s="12"/>
      <c r="BB1873" s="12"/>
      <c r="BC1873" s="12"/>
      <c r="BD1873" s="12"/>
      <c r="BE1873" s="12"/>
      <c r="BF1873" s="12"/>
      <c r="BG1873" s="12"/>
      <c r="BH1873" s="12"/>
      <c r="BI1873" s="12"/>
      <c r="BJ1873" s="12"/>
      <c r="BK1873" s="12"/>
      <c r="BL1873" s="12"/>
      <c r="BM1873" s="12"/>
      <c r="BN1873" s="12"/>
      <c r="BO1873" s="12"/>
      <c r="BP1873" s="12"/>
      <c r="BQ1873" s="12"/>
      <c r="BR1873" s="12"/>
      <c r="BS1873" s="12"/>
      <c r="BT1873" s="12"/>
      <c r="BU1873" s="12"/>
      <c r="BV1873" s="12"/>
      <c r="BW1873" s="12"/>
      <c r="BX1873" s="12"/>
      <c r="BY1873" s="12"/>
      <c r="BZ1873" s="12"/>
      <c r="CA1873" s="12"/>
      <c r="CB1873" s="12"/>
      <c r="CC1873" s="12"/>
      <c r="CD1873" s="12"/>
    </row>
    <row r="1874" spans="1:82">
      <c r="A1874" s="12" t="s">
        <v>700</v>
      </c>
      <c r="B1874" s="12" t="str">
        <f t="shared" si="353"/>
        <v>VANDERMERWE</v>
      </c>
      <c r="C1874" s="12" t="str">
        <f t="shared" si="354"/>
        <v>VAN DER MERWE</v>
      </c>
      <c r="D1874" s="12" t="s">
        <v>6644</v>
      </c>
      <c r="E1874" s="12" t="str">
        <f t="shared" si="364"/>
        <v>David Schalk</v>
      </c>
      <c r="F1874" s="12" t="s">
        <v>14187</v>
      </c>
      <c r="G1874" s="12" t="str">
        <f t="shared" si="355"/>
        <v>a1b2c13d4e3f3</v>
      </c>
      <c r="H1874" s="12" t="str">
        <f t="shared" si="356"/>
        <v>VAN DER MERWEa1b2c13d4e3f3</v>
      </c>
      <c r="I1874" s="12"/>
      <c r="J1874" s="12"/>
      <c r="K1874" s="12" t="str">
        <f t="shared" si="357"/>
        <v/>
      </c>
      <c r="L1874" s="12"/>
      <c r="M1874" s="12" t="s">
        <v>14188</v>
      </c>
      <c r="N1874" s="12" t="str">
        <f t="shared" si="362"/>
        <v/>
      </c>
      <c r="O1874" s="12" t="str">
        <f t="shared" si="363"/>
        <v>1799</v>
      </c>
      <c r="P1874" s="12"/>
      <c r="Q1874" s="12" t="str">
        <f t="shared" si="358"/>
        <v>1799</v>
      </c>
      <c r="R1874" s="12">
        <v>1874</v>
      </c>
      <c r="S1874" s="12" t="str">
        <f t="shared" si="359"/>
        <v>1874</v>
      </c>
      <c r="T1874" s="12"/>
      <c r="U1874" s="12"/>
      <c r="V1874" s="12" t="str">
        <f t="shared" si="360"/>
        <v/>
      </c>
      <c r="W1874" s="12" t="s">
        <v>715</v>
      </c>
      <c r="X1874" s="12" t="s">
        <v>4594</v>
      </c>
      <c r="Y1874" s="12"/>
      <c r="Z1874" s="12"/>
      <c r="AA1874" s="12"/>
      <c r="AB1874" s="12"/>
      <c r="AC1874" s="12"/>
      <c r="AD1874" s="12"/>
      <c r="AE1874" s="12"/>
      <c r="AF1874" s="12" t="s">
        <v>3712</v>
      </c>
      <c r="AG1874" s="12" t="s">
        <v>74</v>
      </c>
      <c r="AH1874" s="12" t="s">
        <v>12900</v>
      </c>
      <c r="AI1874" s="12" t="str">
        <f t="shared" si="361"/>
        <v>1836</v>
      </c>
      <c r="AJ1874" s="12" t="s">
        <v>10539</v>
      </c>
      <c r="AK1874" s="12" t="s">
        <v>90</v>
      </c>
      <c r="AL1874" s="12" t="s">
        <v>74</v>
      </c>
      <c r="AM1874" s="12" t="s">
        <v>1723</v>
      </c>
      <c r="AN1874" s="12" t="s">
        <v>14189</v>
      </c>
      <c r="AO1874" s="12" t="s">
        <v>776</v>
      </c>
      <c r="AP1874" s="12" t="s">
        <v>14190</v>
      </c>
      <c r="AQ1874" s="12"/>
      <c r="AR1874" s="12"/>
      <c r="AS1874" s="12" t="s">
        <v>74</v>
      </c>
      <c r="AT1874" s="12" t="s">
        <v>5476</v>
      </c>
      <c r="AU1874" s="12"/>
      <c r="AV1874" s="12"/>
      <c r="AW1874" s="12"/>
      <c r="AX1874" s="12"/>
      <c r="AY1874" s="12"/>
      <c r="AZ1874" s="12"/>
      <c r="BA1874" s="12"/>
      <c r="BB1874" s="12"/>
      <c r="BC1874" s="12"/>
      <c r="BD1874" s="12"/>
      <c r="BE1874" s="12"/>
      <c r="BF1874" s="12"/>
      <c r="BG1874" s="12"/>
      <c r="BH1874" s="12"/>
      <c r="BI1874" s="12"/>
      <c r="BJ1874" s="12"/>
      <c r="BK1874" s="12"/>
      <c r="BL1874" s="12"/>
      <c r="BM1874" s="12"/>
      <c r="BN1874" s="12"/>
      <c r="BO1874" s="12"/>
      <c r="BP1874" s="12"/>
      <c r="BQ1874" s="12"/>
      <c r="BR1874" s="12"/>
      <c r="BS1874" s="12"/>
      <c r="BT1874" s="12"/>
      <c r="BU1874" s="12"/>
      <c r="BV1874" s="12"/>
      <c r="BW1874" s="12"/>
      <c r="BX1874" s="12"/>
      <c r="BY1874" s="12"/>
      <c r="BZ1874" s="12"/>
      <c r="CA1874" s="12"/>
      <c r="CB1874" s="12"/>
      <c r="CC1874" s="12"/>
      <c r="CD1874" s="12"/>
    </row>
    <row r="1875" spans="1:82">
      <c r="A1875" s="12" t="s">
        <v>700</v>
      </c>
      <c r="B1875" s="12" t="str">
        <f t="shared" si="353"/>
        <v>VANDERMERWE</v>
      </c>
      <c r="C1875" s="12" t="str">
        <f t="shared" si="354"/>
        <v>VAN DER MERWE</v>
      </c>
      <c r="D1875" s="12" t="s">
        <v>3432</v>
      </c>
      <c r="E1875" s="12" t="str">
        <f t="shared" si="364"/>
        <v>Barend</v>
      </c>
      <c r="F1875" s="12" t="s">
        <v>14161</v>
      </c>
      <c r="G1875" s="12" t="str">
        <f t="shared" si="355"/>
        <v>a1b2c13d4e3f5</v>
      </c>
      <c r="H1875" s="12" t="str">
        <f t="shared" ref="H1875:H1905" si="365">C1875&amp;G1875</f>
        <v>VAN DER MERWEa1b2c13d4e3f5</v>
      </c>
      <c r="I1875" s="12"/>
      <c r="J1875" s="12"/>
      <c r="K1875" s="12" t="str">
        <f t="shared" si="357"/>
        <v/>
      </c>
      <c r="L1875" s="12"/>
      <c r="M1875" s="12" t="s">
        <v>8635</v>
      </c>
      <c r="N1875" s="12" t="str">
        <f t="shared" si="362"/>
        <v/>
      </c>
      <c r="O1875" s="12" t="str">
        <f t="shared" si="363"/>
        <v>1803</v>
      </c>
      <c r="P1875" s="12"/>
      <c r="Q1875" s="12" t="str">
        <f t="shared" si="358"/>
        <v>1803</v>
      </c>
      <c r="R1875" s="12"/>
      <c r="S1875" s="12" t="str">
        <f t="shared" si="359"/>
        <v/>
      </c>
      <c r="T1875" s="12" t="s">
        <v>74</v>
      </c>
      <c r="U1875" s="12" t="s">
        <v>2816</v>
      </c>
      <c r="V1875" s="12" t="str">
        <f t="shared" si="360"/>
        <v>1823</v>
      </c>
      <c r="W1875" s="12" t="s">
        <v>14162</v>
      </c>
      <c r="X1875" s="12" t="s">
        <v>1425</v>
      </c>
      <c r="Y1875" s="12"/>
      <c r="Z1875" s="12"/>
      <c r="AA1875" s="12" t="s">
        <v>14163</v>
      </c>
      <c r="AB1875" s="12" t="s">
        <v>542</v>
      </c>
      <c r="AC1875" s="12" t="s">
        <v>4874</v>
      </c>
      <c r="AD1875" s="12"/>
      <c r="AE1875" s="12"/>
      <c r="AF1875" s="12" t="s">
        <v>3712</v>
      </c>
      <c r="AG1875" s="12" t="s">
        <v>74</v>
      </c>
      <c r="AH1875" s="12">
        <v>1840</v>
      </c>
      <c r="AI1875" s="12" t="str">
        <f t="shared" si="361"/>
        <v>1840</v>
      </c>
      <c r="AJ1875" s="12"/>
      <c r="AK1875" s="12" t="s">
        <v>551</v>
      </c>
      <c r="AL1875" s="12"/>
      <c r="AM1875" s="12"/>
      <c r="AN1875" s="12"/>
      <c r="AO1875" s="12"/>
      <c r="AP1875" s="12"/>
      <c r="AQ1875" s="12"/>
      <c r="AR1875" s="12"/>
      <c r="AS1875" s="12"/>
      <c r="AT1875" s="12"/>
      <c r="AU1875" s="12"/>
      <c r="AV1875" s="12"/>
      <c r="AW1875" s="12"/>
      <c r="AX1875" s="12"/>
      <c r="AY1875" s="12"/>
      <c r="AZ1875" s="12"/>
      <c r="BA1875" s="12"/>
      <c r="BB1875" s="12"/>
      <c r="BC1875" s="12"/>
      <c r="BD1875" s="12"/>
      <c r="BE1875" s="12"/>
      <c r="BF1875" s="12"/>
      <c r="BG1875" s="12"/>
      <c r="BH1875" s="12"/>
      <c r="BI1875" s="12"/>
      <c r="BJ1875" s="12"/>
      <c r="BK1875" s="12"/>
      <c r="BL1875" s="12"/>
      <c r="BM1875" s="12"/>
      <c r="BN1875" s="12"/>
      <c r="BO1875" s="12"/>
      <c r="BP1875" s="12"/>
      <c r="BQ1875" s="12"/>
      <c r="BR1875" s="12"/>
      <c r="BS1875" s="12"/>
      <c r="BT1875" s="12"/>
      <c r="BU1875" s="12"/>
      <c r="BV1875" s="12"/>
      <c r="BW1875" s="12"/>
      <c r="BX1875" s="12"/>
      <c r="BY1875" s="12"/>
      <c r="BZ1875" s="12"/>
      <c r="CA1875" s="12"/>
      <c r="CB1875" s="12"/>
      <c r="CC1875" s="12"/>
      <c r="CD1875" s="12"/>
    </row>
    <row r="1876" spans="1:82">
      <c r="A1876" s="12" t="s">
        <v>700</v>
      </c>
      <c r="B1876" s="12" t="str">
        <f t="shared" si="353"/>
        <v>VANDERMERWE</v>
      </c>
      <c r="C1876" s="12" t="str">
        <f t="shared" si="354"/>
        <v>VAN DER MERWE</v>
      </c>
      <c r="D1876" s="12" t="s">
        <v>14366</v>
      </c>
      <c r="E1876" s="12" t="str">
        <f t="shared" si="364"/>
        <v>Willem Carel</v>
      </c>
      <c r="F1876" s="12" t="s">
        <v>14372</v>
      </c>
      <c r="G1876" s="12" t="str">
        <f t="shared" si="355"/>
        <v>a1b2c13d4e3f8</v>
      </c>
      <c r="H1876" s="12" t="str">
        <f t="shared" si="365"/>
        <v>VAN DER MERWEa1b2c13d4e3f8</v>
      </c>
      <c r="I1876" s="12"/>
      <c r="J1876" s="12" t="s">
        <v>14373</v>
      </c>
      <c r="K1876" s="12" t="str">
        <f t="shared" si="357"/>
        <v>1808</v>
      </c>
      <c r="L1876" s="12"/>
      <c r="M1876" s="12" t="s">
        <v>3045</v>
      </c>
      <c r="N1876" s="12" t="str">
        <f t="shared" si="362"/>
        <v>1808</v>
      </c>
      <c r="O1876" s="12" t="str">
        <f t="shared" si="363"/>
        <v>1808</v>
      </c>
      <c r="P1876" s="12"/>
      <c r="Q1876" s="12" t="str">
        <f t="shared" si="358"/>
        <v>1808</v>
      </c>
      <c r="R1876" s="12"/>
      <c r="S1876" s="12" t="str">
        <f t="shared" si="359"/>
        <v/>
      </c>
      <c r="T1876" s="12"/>
      <c r="U1876" s="12"/>
      <c r="V1876" s="12" t="str">
        <f t="shared" si="360"/>
        <v/>
      </c>
      <c r="W1876" s="12" t="s">
        <v>14374</v>
      </c>
      <c r="X1876" s="12" t="s">
        <v>2306</v>
      </c>
      <c r="Y1876" s="12"/>
      <c r="Z1876" s="12"/>
      <c r="AA1876" s="12"/>
      <c r="AB1876" s="12"/>
      <c r="AC1876" s="12"/>
      <c r="AD1876" s="12"/>
      <c r="AE1876" s="12"/>
      <c r="AF1876" s="12" t="s">
        <v>3712</v>
      </c>
      <c r="AG1876" s="12" t="s">
        <v>74</v>
      </c>
      <c r="AH1876" s="12" t="s">
        <v>14375</v>
      </c>
      <c r="AI1876" s="12" t="str">
        <f t="shared" si="361"/>
        <v>1842</v>
      </c>
      <c r="AJ1876" s="12"/>
      <c r="AK1876" s="12" t="s">
        <v>190</v>
      </c>
      <c r="AL1876" s="12"/>
      <c r="AM1876" s="12"/>
      <c r="AN1876" s="12"/>
      <c r="AO1876" s="12"/>
      <c r="AP1876" s="12"/>
      <c r="AQ1876" s="12"/>
      <c r="AR1876" s="12"/>
      <c r="AS1876" s="12"/>
      <c r="AT1876" s="12"/>
      <c r="AU1876" s="12"/>
      <c r="AV1876" s="12"/>
      <c r="AW1876" s="12"/>
      <c r="AX1876" s="12"/>
      <c r="AY1876" s="12"/>
      <c r="AZ1876" s="12"/>
      <c r="BA1876" s="12"/>
      <c r="BB1876" s="12"/>
      <c r="BC1876" s="12"/>
      <c r="BD1876" s="12"/>
      <c r="BE1876" s="12"/>
      <c r="BF1876" s="12"/>
      <c r="BG1876" s="12"/>
      <c r="BH1876" s="12"/>
      <c r="BI1876" s="12"/>
      <c r="BJ1876" s="12"/>
      <c r="BK1876" s="12"/>
      <c r="BL1876" s="12"/>
      <c r="BM1876" s="12"/>
      <c r="BN1876" s="12"/>
      <c r="BO1876" s="12"/>
      <c r="BP1876" s="12"/>
      <c r="BQ1876" s="12"/>
      <c r="BR1876" s="12"/>
      <c r="BS1876" s="12"/>
      <c r="BT1876" s="12"/>
      <c r="BU1876" s="12"/>
      <c r="BV1876" s="12"/>
      <c r="BW1876" s="12"/>
      <c r="BX1876" s="12"/>
      <c r="BY1876" s="12"/>
      <c r="BZ1876" s="12"/>
      <c r="CA1876" s="12"/>
      <c r="CB1876" s="12"/>
      <c r="CC1876" s="12"/>
      <c r="CD1876" s="12"/>
    </row>
    <row r="1877" spans="1:82">
      <c r="A1877" s="12" t="s">
        <v>700</v>
      </c>
      <c r="B1877" s="12" t="str">
        <f t="shared" si="353"/>
        <v>VANDERMERWE</v>
      </c>
      <c r="C1877" s="12" t="str">
        <f t="shared" si="354"/>
        <v>VAN DER MERWE</v>
      </c>
      <c r="D1877" s="12" t="s">
        <v>1435</v>
      </c>
      <c r="E1877" s="12" t="str">
        <f t="shared" si="364"/>
        <v>Theunis Jacobus</v>
      </c>
      <c r="F1877" s="12" t="s">
        <v>14362</v>
      </c>
      <c r="G1877" s="12" t="str">
        <f t="shared" si="355"/>
        <v>a1b2c14d10e4</v>
      </c>
      <c r="H1877" s="12" t="str">
        <f t="shared" si="365"/>
        <v>VAN DER MERWEa1b2c14d10e4</v>
      </c>
      <c r="I1877" s="12"/>
      <c r="J1877" s="12"/>
      <c r="K1877" s="12" t="str">
        <f t="shared" si="357"/>
        <v/>
      </c>
      <c r="L1877" s="12" t="s">
        <v>74</v>
      </c>
      <c r="M1877" s="12" t="s">
        <v>14363</v>
      </c>
      <c r="N1877" s="12" t="str">
        <f t="shared" si="362"/>
        <v/>
      </c>
      <c r="O1877" s="12" t="str">
        <f t="shared" si="363"/>
        <v>1792</v>
      </c>
      <c r="P1877" s="12"/>
      <c r="Q1877" s="12" t="str">
        <f t="shared" si="358"/>
        <v>1792</v>
      </c>
      <c r="R1877" s="12"/>
      <c r="S1877" s="12" t="str">
        <f t="shared" si="359"/>
        <v/>
      </c>
      <c r="T1877" s="12"/>
      <c r="U1877" s="12"/>
      <c r="V1877" s="12" t="str">
        <f t="shared" si="360"/>
        <v/>
      </c>
      <c r="W1877" s="12" t="s">
        <v>14364</v>
      </c>
      <c r="X1877" s="12" t="s">
        <v>776</v>
      </c>
      <c r="Y1877" s="12" t="s">
        <v>14365</v>
      </c>
      <c r="Z1877" s="12"/>
      <c r="AA1877" s="12"/>
      <c r="AB1877" s="12"/>
      <c r="AC1877" s="12" t="s">
        <v>2258</v>
      </c>
      <c r="AD1877" s="12"/>
      <c r="AE1877" s="12"/>
      <c r="AF1877" s="12" t="s">
        <v>3706</v>
      </c>
      <c r="AG1877" s="12" t="s">
        <v>68</v>
      </c>
      <c r="AH1877" s="12" t="s">
        <v>12301</v>
      </c>
      <c r="AI1877" s="12" t="str">
        <f t="shared" si="361"/>
        <v>1837</v>
      </c>
      <c r="AJ1877" s="12" t="s">
        <v>5606</v>
      </c>
      <c r="AK1877" s="12" t="s">
        <v>90</v>
      </c>
      <c r="AL1877" s="12"/>
      <c r="AM1877" s="12"/>
      <c r="AN1877" s="12"/>
      <c r="AO1877" s="12"/>
      <c r="AP1877" s="12"/>
      <c r="AQ1877" s="12"/>
      <c r="AR1877" s="12"/>
      <c r="AS1877" s="12"/>
      <c r="AT1877" s="12"/>
      <c r="AU1877" s="12"/>
      <c r="AV1877" s="12"/>
      <c r="AW1877" s="12"/>
      <c r="AX1877" s="12"/>
      <c r="AY1877" s="12"/>
      <c r="AZ1877" s="12"/>
      <c r="BA1877" s="12"/>
      <c r="BB1877" s="12"/>
      <c r="BC1877" s="12"/>
      <c r="BD1877" s="12"/>
      <c r="BE1877" s="12"/>
      <c r="BF1877" s="12"/>
      <c r="BG1877" s="12"/>
      <c r="BH1877" s="12"/>
      <c r="BI1877" s="12"/>
      <c r="BJ1877" s="12"/>
      <c r="BK1877" s="12"/>
      <c r="BL1877" s="12"/>
      <c r="BM1877" s="12"/>
      <c r="BN1877" s="12"/>
      <c r="BO1877" s="12"/>
      <c r="BP1877" s="12"/>
      <c r="BQ1877" s="12"/>
      <c r="BR1877" s="12"/>
      <c r="BS1877" s="12"/>
      <c r="BT1877" s="12"/>
      <c r="BU1877" s="12"/>
      <c r="BV1877" s="12"/>
      <c r="BW1877" s="12"/>
      <c r="BX1877" s="12"/>
      <c r="BY1877" s="12"/>
      <c r="BZ1877" s="12"/>
      <c r="CA1877" s="12"/>
      <c r="CB1877" s="12"/>
      <c r="CC1877" s="12"/>
      <c r="CD1877" s="12"/>
    </row>
    <row r="1878" spans="1:82">
      <c r="A1878" s="12" t="s">
        <v>700</v>
      </c>
      <c r="B1878" s="12" t="str">
        <f t="shared" si="353"/>
        <v>VANDERMERWE</v>
      </c>
      <c r="C1878" s="12" t="str">
        <f t="shared" si="354"/>
        <v>VAN DER MERWE</v>
      </c>
      <c r="D1878" s="12" t="s">
        <v>8015</v>
      </c>
      <c r="E1878" s="12" t="str">
        <f t="shared" si="364"/>
        <v>Pieter Willem</v>
      </c>
      <c r="F1878" s="12" t="s">
        <v>14346</v>
      </c>
      <c r="G1878" s="12" t="str">
        <f t="shared" si="355"/>
        <v>a1b2c14d10e5</v>
      </c>
      <c r="H1878" s="12" t="str">
        <f t="shared" si="365"/>
        <v>VAN DER MERWEa1b2c14d10e5</v>
      </c>
      <c r="I1878" s="12"/>
      <c r="J1878" s="12" t="s">
        <v>14347</v>
      </c>
      <c r="K1878" s="12" t="str">
        <f t="shared" si="357"/>
        <v>1795</v>
      </c>
      <c r="L1878" s="12" t="s">
        <v>542</v>
      </c>
      <c r="M1878" s="12" t="s">
        <v>14348</v>
      </c>
      <c r="N1878" s="12" t="str">
        <f t="shared" si="362"/>
        <v>1795</v>
      </c>
      <c r="O1878" s="12" t="str">
        <f t="shared" si="363"/>
        <v>1795</v>
      </c>
      <c r="P1878" s="12"/>
      <c r="Q1878" s="12" t="str">
        <f t="shared" si="358"/>
        <v>1795</v>
      </c>
      <c r="R1878" s="12"/>
      <c r="S1878" s="12" t="str">
        <f t="shared" si="359"/>
        <v/>
      </c>
      <c r="T1878" s="12"/>
      <c r="U1878" s="12"/>
      <c r="V1878" s="12" t="str">
        <f t="shared" si="360"/>
        <v/>
      </c>
      <c r="W1878" s="12" t="s">
        <v>14349</v>
      </c>
      <c r="X1878" s="12" t="s">
        <v>700</v>
      </c>
      <c r="Y1878" s="12" t="s">
        <v>14350</v>
      </c>
      <c r="Z1878" s="12"/>
      <c r="AA1878" s="12"/>
      <c r="AB1878" s="12"/>
      <c r="AC1878" s="12" t="s">
        <v>70</v>
      </c>
      <c r="AD1878" s="12"/>
      <c r="AE1878" s="12"/>
      <c r="AF1878" s="12" t="s">
        <v>3706</v>
      </c>
      <c r="AG1878" s="12" t="s">
        <v>68</v>
      </c>
      <c r="AH1878" s="12" t="s">
        <v>385</v>
      </c>
      <c r="AI1878" s="12" t="str">
        <f t="shared" si="361"/>
        <v>1840</v>
      </c>
      <c r="AJ1878" s="12"/>
      <c r="AK1878" s="12" t="s">
        <v>90</v>
      </c>
      <c r="AL1878" s="12"/>
      <c r="AM1878" s="12"/>
      <c r="AN1878" s="12"/>
      <c r="AO1878" s="12"/>
      <c r="AP1878" s="12"/>
      <c r="AQ1878" s="12"/>
      <c r="AR1878" s="12"/>
      <c r="AS1878" s="12"/>
      <c r="AT1878" s="12"/>
      <c r="AU1878" s="12"/>
      <c r="AV1878" s="12"/>
      <c r="AW1878" s="12"/>
      <c r="AX1878" s="12"/>
      <c r="AY1878" s="12"/>
      <c r="AZ1878" s="12"/>
      <c r="BA1878" s="12"/>
      <c r="BB1878" s="12"/>
      <c r="BC1878" s="12"/>
      <c r="BD1878" s="12"/>
      <c r="BE1878" s="12"/>
      <c r="BF1878" s="12"/>
      <c r="BG1878" s="12"/>
      <c r="BH1878" s="12"/>
      <c r="BI1878" s="12"/>
      <c r="BJ1878" s="12"/>
      <c r="BK1878" s="12"/>
      <c r="BL1878" s="12"/>
      <c r="BM1878" s="12"/>
      <c r="BN1878" s="12"/>
      <c r="BO1878" s="12"/>
      <c r="BP1878" s="12"/>
      <c r="BQ1878" s="12"/>
      <c r="BR1878" s="12"/>
      <c r="BS1878" s="12"/>
      <c r="BT1878" s="12"/>
      <c r="BU1878" s="12"/>
      <c r="BV1878" s="12"/>
      <c r="BW1878" s="12"/>
      <c r="BX1878" s="12"/>
      <c r="BY1878" s="12"/>
      <c r="BZ1878" s="12"/>
      <c r="CA1878" s="12"/>
      <c r="CB1878" s="12"/>
      <c r="CC1878" s="12"/>
      <c r="CD1878" s="12"/>
    </row>
    <row r="1879" spans="1:82">
      <c r="A1879" s="12" t="s">
        <v>700</v>
      </c>
      <c r="B1879" s="12" t="str">
        <f t="shared" si="353"/>
        <v>VANDERMERWE</v>
      </c>
      <c r="C1879" s="12" t="str">
        <f t="shared" si="354"/>
        <v>VAN DER MERWE</v>
      </c>
      <c r="D1879" s="12" t="s">
        <v>2231</v>
      </c>
      <c r="E1879" s="12" t="str">
        <f t="shared" si="364"/>
        <v>Gerrit</v>
      </c>
      <c r="F1879" s="12" t="s">
        <v>14211</v>
      </c>
      <c r="G1879" s="12" t="str">
        <f t="shared" si="355"/>
        <v>a1b2c14d10e5f2</v>
      </c>
      <c r="H1879" s="12" t="str">
        <f t="shared" si="365"/>
        <v>VAN DER MERWEa1b2c14d10e5f2</v>
      </c>
      <c r="I1879" s="12"/>
      <c r="J1879" s="12"/>
      <c r="K1879" s="12" t="str">
        <f t="shared" si="357"/>
        <v/>
      </c>
      <c r="L1879" s="12"/>
      <c r="M1879" s="12" t="s">
        <v>14212</v>
      </c>
      <c r="N1879" s="12" t="str">
        <f t="shared" si="362"/>
        <v/>
      </c>
      <c r="O1879" s="12" t="str">
        <f t="shared" si="363"/>
        <v>1820</v>
      </c>
      <c r="P1879" s="12"/>
      <c r="Q1879" s="12" t="str">
        <f t="shared" si="358"/>
        <v>1820</v>
      </c>
      <c r="R1879" s="12"/>
      <c r="S1879" s="12" t="str">
        <f t="shared" si="359"/>
        <v/>
      </c>
      <c r="T1879" s="12"/>
      <c r="U1879" s="12"/>
      <c r="V1879" s="12" t="str">
        <f t="shared" si="360"/>
        <v/>
      </c>
      <c r="W1879" s="12" t="s">
        <v>14213</v>
      </c>
      <c r="X1879" s="12" t="s">
        <v>700</v>
      </c>
      <c r="Y1879" s="12"/>
      <c r="Z1879" s="12"/>
      <c r="AA1879" s="12"/>
      <c r="AB1879" s="12"/>
      <c r="AC1879" s="12"/>
      <c r="AD1879" s="12"/>
      <c r="AE1879" s="12"/>
      <c r="AF1879" s="12" t="s">
        <v>3706</v>
      </c>
      <c r="AG1879" s="12" t="s">
        <v>68</v>
      </c>
      <c r="AH1879" s="12" t="s">
        <v>12955</v>
      </c>
      <c r="AI1879" s="12" t="str">
        <f t="shared" si="361"/>
        <v>1840</v>
      </c>
      <c r="AJ1879" s="12"/>
      <c r="AK1879" s="12" t="s">
        <v>90</v>
      </c>
      <c r="AL1879" s="12"/>
      <c r="AM1879" s="12"/>
      <c r="AN1879" s="12"/>
      <c r="AO1879" s="12"/>
      <c r="AP1879" s="12"/>
      <c r="AQ1879" s="12"/>
      <c r="AR1879" s="12"/>
      <c r="AS1879" s="12"/>
      <c r="AT1879" s="12"/>
      <c r="AU1879" s="12"/>
      <c r="AV1879" s="12"/>
      <c r="AW1879" s="12"/>
      <c r="AX1879" s="12"/>
      <c r="AY1879" s="12"/>
      <c r="AZ1879" s="12"/>
      <c r="BA1879" s="12"/>
      <c r="BB1879" s="12"/>
      <c r="BC1879" s="12"/>
      <c r="BD1879" s="12"/>
      <c r="BE1879" s="12"/>
      <c r="BF1879" s="12"/>
      <c r="BG1879" s="12"/>
      <c r="BH1879" s="12"/>
      <c r="BI1879" s="12"/>
      <c r="BJ1879" s="12"/>
      <c r="BK1879" s="12"/>
      <c r="BL1879" s="12"/>
      <c r="BM1879" s="12"/>
      <c r="BN1879" s="12"/>
      <c r="BO1879" s="12"/>
      <c r="BP1879" s="12"/>
      <c r="BQ1879" s="12"/>
      <c r="BR1879" s="12"/>
      <c r="BS1879" s="12"/>
      <c r="BT1879" s="12"/>
      <c r="BU1879" s="12"/>
      <c r="BV1879" s="12"/>
      <c r="BW1879" s="12"/>
      <c r="BX1879" s="12"/>
      <c r="BY1879" s="12"/>
      <c r="BZ1879" s="12"/>
      <c r="CA1879" s="12"/>
      <c r="CB1879" s="12"/>
      <c r="CC1879" s="12"/>
      <c r="CD1879" s="12"/>
    </row>
    <row r="1880" spans="1:82">
      <c r="A1880" s="12" t="s">
        <v>700</v>
      </c>
      <c r="B1880" s="12" t="str">
        <f t="shared" si="353"/>
        <v>VANDERMERWE</v>
      </c>
      <c r="C1880" s="12" t="str">
        <f t="shared" si="354"/>
        <v>VAN DER MERWE</v>
      </c>
      <c r="D1880" s="12" t="s">
        <v>139</v>
      </c>
      <c r="E1880" s="12" t="str">
        <f t="shared" si="364"/>
        <v>Hendrik Jacobus</v>
      </c>
      <c r="F1880" s="12" t="s">
        <v>14240</v>
      </c>
      <c r="G1880" s="12" t="str">
        <f t="shared" si="355"/>
        <v>a1b2c14d10e5f3</v>
      </c>
      <c r="H1880" s="12" t="str">
        <f t="shared" si="365"/>
        <v>VAN DER MERWEa1b2c14d10e5f3</v>
      </c>
      <c r="I1880" s="12" t="s">
        <v>28</v>
      </c>
      <c r="J1880" s="12" t="s">
        <v>14241</v>
      </c>
      <c r="K1880" s="12" t="str">
        <f t="shared" si="357"/>
        <v>1825</v>
      </c>
      <c r="L1880" s="12"/>
      <c r="M1880" s="12"/>
      <c r="N1880" s="12" t="str">
        <f t="shared" si="362"/>
        <v>1825</v>
      </c>
      <c r="O1880" s="12" t="str">
        <f t="shared" si="363"/>
        <v/>
      </c>
      <c r="P1880" s="12"/>
      <c r="Q1880" s="12" t="str">
        <f t="shared" si="358"/>
        <v>1825</v>
      </c>
      <c r="R1880" s="12"/>
      <c r="S1880" s="12" t="str">
        <f t="shared" si="359"/>
        <v/>
      </c>
      <c r="T1880" s="12"/>
      <c r="U1880" s="12"/>
      <c r="V1880" s="12" t="str">
        <f t="shared" si="360"/>
        <v/>
      </c>
      <c r="W1880" s="12" t="s">
        <v>14242</v>
      </c>
      <c r="X1880" s="12" t="s">
        <v>700</v>
      </c>
      <c r="Y1880" s="12"/>
      <c r="Z1880" s="12"/>
      <c r="AA1880" s="12"/>
      <c r="AB1880" s="12"/>
      <c r="AC1880" s="12"/>
      <c r="AD1880" s="12"/>
      <c r="AE1880" s="12"/>
      <c r="AF1880" s="12" t="s">
        <v>3706</v>
      </c>
      <c r="AG1880" s="12" t="s">
        <v>68</v>
      </c>
      <c r="AH1880" s="12" t="s">
        <v>385</v>
      </c>
      <c r="AI1880" s="12" t="str">
        <f t="shared" si="361"/>
        <v>1840</v>
      </c>
      <c r="AJ1880" s="12"/>
      <c r="AK1880" s="12" t="s">
        <v>90</v>
      </c>
      <c r="AL1880" s="12"/>
      <c r="AM1880" s="12"/>
      <c r="AN1880" s="12"/>
      <c r="AO1880" s="12"/>
      <c r="AP1880" s="12"/>
      <c r="AQ1880" s="12"/>
      <c r="AR1880" s="12"/>
      <c r="AS1880" s="12"/>
      <c r="AT1880" s="12"/>
      <c r="AU1880" s="12"/>
      <c r="AV1880" s="12"/>
      <c r="AW1880" s="12"/>
      <c r="AX1880" s="12"/>
      <c r="AY1880" s="12"/>
      <c r="AZ1880" s="12"/>
      <c r="BA1880" s="12"/>
      <c r="BB1880" s="12"/>
      <c r="BC1880" s="12"/>
      <c r="BD1880" s="12"/>
      <c r="BE1880" s="12"/>
      <c r="BF1880" s="12"/>
      <c r="BG1880" s="12"/>
      <c r="BH1880" s="12"/>
      <c r="BI1880" s="12"/>
      <c r="BJ1880" s="12"/>
      <c r="BK1880" s="12"/>
      <c r="BL1880" s="12"/>
      <c r="BM1880" s="12"/>
      <c r="BN1880" s="12"/>
      <c r="BO1880" s="12"/>
      <c r="BP1880" s="12"/>
      <c r="BQ1880" s="12"/>
      <c r="BR1880" s="12"/>
      <c r="BS1880" s="12"/>
      <c r="BT1880" s="12"/>
      <c r="BU1880" s="12"/>
      <c r="BV1880" s="12"/>
      <c r="BW1880" s="12"/>
      <c r="BX1880" s="12"/>
      <c r="BY1880" s="12"/>
      <c r="BZ1880" s="12"/>
      <c r="CA1880" s="12"/>
      <c r="CB1880" s="12"/>
      <c r="CC1880" s="12"/>
      <c r="CD1880" s="12"/>
    </row>
    <row r="1881" spans="1:82">
      <c r="A1881" s="12" t="s">
        <v>700</v>
      </c>
      <c r="B1881" s="12" t="str">
        <f t="shared" si="353"/>
        <v>VANDERMERWE</v>
      </c>
      <c r="C1881" s="12" t="str">
        <f t="shared" si="354"/>
        <v>VAN DER MERWE</v>
      </c>
      <c r="D1881" s="12" t="s">
        <v>14202</v>
      </c>
      <c r="E1881" s="12" t="str">
        <f t="shared" si="364"/>
        <v>Diedelof Jacobus</v>
      </c>
      <c r="F1881" s="12" t="s">
        <v>14203</v>
      </c>
      <c r="G1881" s="12" t="str">
        <f t="shared" si="355"/>
        <v>a1b2c14d9e1f1</v>
      </c>
      <c r="H1881" s="12" t="str">
        <f t="shared" si="365"/>
        <v>VAN DER MERWEa1b2c14d9e1f1</v>
      </c>
      <c r="I1881" s="12"/>
      <c r="J1881" s="12">
        <v>1806</v>
      </c>
      <c r="K1881" s="12" t="str">
        <f t="shared" si="357"/>
        <v>1806</v>
      </c>
      <c r="L1881" s="12"/>
      <c r="M1881" s="12"/>
      <c r="N1881" s="12" t="str">
        <f t="shared" si="362"/>
        <v>1806</v>
      </c>
      <c r="O1881" s="12" t="str">
        <f t="shared" si="363"/>
        <v/>
      </c>
      <c r="P1881" s="12"/>
      <c r="Q1881" s="12" t="str">
        <f t="shared" si="358"/>
        <v>1806</v>
      </c>
      <c r="R1881" s="12"/>
      <c r="S1881" s="12" t="str">
        <f t="shared" si="359"/>
        <v/>
      </c>
      <c r="T1881" s="12"/>
      <c r="U1881" s="12"/>
      <c r="V1881" s="12" t="str">
        <f t="shared" si="360"/>
        <v/>
      </c>
      <c r="W1881" s="12" t="s">
        <v>12467</v>
      </c>
      <c r="X1881" s="12" t="s">
        <v>14204</v>
      </c>
      <c r="Y1881" s="12" t="s">
        <v>14205</v>
      </c>
      <c r="Z1881" s="12"/>
      <c r="AA1881" s="12"/>
      <c r="AB1881" s="12"/>
      <c r="AC1881" s="12"/>
      <c r="AD1881" s="12"/>
      <c r="AE1881" s="12"/>
      <c r="AF1881" s="12" t="s">
        <v>3706</v>
      </c>
      <c r="AG1881" s="12" t="s">
        <v>68</v>
      </c>
      <c r="AH1881" s="12" t="s">
        <v>2489</v>
      </c>
      <c r="AI1881" s="12" t="str">
        <f t="shared" si="361"/>
        <v>1841</v>
      </c>
      <c r="AJ1881" s="12"/>
      <c r="AK1881" s="12" t="s">
        <v>90</v>
      </c>
      <c r="AL1881" s="12"/>
      <c r="AM1881" s="12"/>
      <c r="AN1881" s="12"/>
      <c r="AO1881" s="12"/>
      <c r="AP1881" s="12"/>
      <c r="AQ1881" s="12"/>
      <c r="AR1881" s="12"/>
      <c r="AS1881" s="12"/>
      <c r="AT1881" s="12"/>
      <c r="AU1881" s="12"/>
      <c r="AV1881" s="12"/>
      <c r="AW1881" s="12"/>
      <c r="AX1881" s="12"/>
      <c r="AY1881" s="12"/>
      <c r="AZ1881" s="12"/>
      <c r="BA1881" s="12"/>
      <c r="BB1881" s="12"/>
      <c r="BC1881" s="12"/>
      <c r="BD1881" s="12"/>
      <c r="BE1881" s="12"/>
      <c r="BF1881" s="12"/>
      <c r="BG1881" s="12"/>
      <c r="BH1881" s="12"/>
      <c r="BI1881" s="12"/>
      <c r="BJ1881" s="12"/>
      <c r="BK1881" s="12"/>
      <c r="BL1881" s="12"/>
      <c r="BM1881" s="12"/>
      <c r="BN1881" s="12"/>
      <c r="BO1881" s="12"/>
      <c r="BP1881" s="12"/>
      <c r="BQ1881" s="12"/>
      <c r="BR1881" s="12"/>
      <c r="BS1881" s="12"/>
      <c r="BT1881" s="12"/>
      <c r="BU1881" s="12"/>
      <c r="BV1881" s="12"/>
      <c r="BW1881" s="12"/>
      <c r="BX1881" s="12"/>
      <c r="BY1881" s="12"/>
      <c r="BZ1881" s="12"/>
      <c r="CA1881" s="12"/>
      <c r="CB1881" s="12"/>
      <c r="CC1881" s="12"/>
      <c r="CD1881" s="12"/>
    </row>
    <row r="1882" spans="1:82">
      <c r="A1882" s="12" t="s">
        <v>700</v>
      </c>
      <c r="B1882" s="12" t="str">
        <f t="shared" si="353"/>
        <v>VANDERMERWE</v>
      </c>
      <c r="C1882" s="12" t="str">
        <f t="shared" si="354"/>
        <v>VAN DER MERWE</v>
      </c>
      <c r="D1882" s="12" t="s">
        <v>14256</v>
      </c>
      <c r="E1882" s="12" t="str">
        <f t="shared" si="364"/>
        <v>Jacobus Johannes Rudolph</v>
      </c>
      <c r="F1882" s="12" t="s">
        <v>14257</v>
      </c>
      <c r="G1882" s="12" t="str">
        <f t="shared" si="355"/>
        <v>a1b2c14d9e1f2</v>
      </c>
      <c r="H1882" s="12" t="str">
        <f t="shared" si="365"/>
        <v>VAN DER MERWEa1b2c14d9e1f2</v>
      </c>
      <c r="I1882" s="12" t="s">
        <v>74</v>
      </c>
      <c r="J1882" s="12" t="s">
        <v>14258</v>
      </c>
      <c r="K1882" s="12" t="str">
        <f t="shared" si="357"/>
        <v>1807</v>
      </c>
      <c r="L1882" s="12"/>
      <c r="M1882" s="12"/>
      <c r="N1882" s="12" t="str">
        <f t="shared" si="362"/>
        <v>1807</v>
      </c>
      <c r="O1882" s="12" t="str">
        <f t="shared" si="363"/>
        <v/>
      </c>
      <c r="P1882" s="12" t="s">
        <v>90</v>
      </c>
      <c r="Q1882" s="12" t="str">
        <f t="shared" si="358"/>
        <v>1807</v>
      </c>
      <c r="R1882" s="12" t="s">
        <v>14259</v>
      </c>
      <c r="S1882" s="12" t="str">
        <f t="shared" si="359"/>
        <v>1869</v>
      </c>
      <c r="T1882" s="12"/>
      <c r="U1882" s="12"/>
      <c r="V1882" s="12" t="str">
        <f t="shared" si="360"/>
        <v/>
      </c>
      <c r="W1882" s="12" t="s">
        <v>14260</v>
      </c>
      <c r="X1882" s="12" t="s">
        <v>700</v>
      </c>
      <c r="Y1882" s="12"/>
      <c r="Z1882" s="12"/>
      <c r="AA1882" s="12">
        <v>1811</v>
      </c>
      <c r="AB1882" s="12"/>
      <c r="AC1882" s="12"/>
      <c r="AD1882" s="12" t="s">
        <v>2355</v>
      </c>
      <c r="AE1882" s="12" t="s">
        <v>14261</v>
      </c>
      <c r="AF1882" s="12" t="s">
        <v>3719</v>
      </c>
      <c r="AG1882" s="12" t="s">
        <v>68</v>
      </c>
      <c r="AH1882" s="12" t="s">
        <v>12677</v>
      </c>
      <c r="AI1882" s="12" t="str">
        <f t="shared" si="361"/>
        <v>1842</v>
      </c>
      <c r="AJ1882" s="12"/>
      <c r="AK1882" s="12" t="s">
        <v>168</v>
      </c>
      <c r="AL1882" s="12"/>
      <c r="AM1882" s="12"/>
      <c r="AN1882" s="12"/>
      <c r="AO1882" s="12"/>
      <c r="AP1882" s="12"/>
      <c r="AQ1882" s="12"/>
      <c r="AR1882" s="12"/>
      <c r="AS1882" s="12"/>
      <c r="AT1882" s="12"/>
      <c r="AU1882" s="12"/>
      <c r="AV1882" s="12"/>
      <c r="AW1882" s="12"/>
      <c r="AX1882" s="12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  <c r="BI1882" s="12"/>
      <c r="BJ1882" s="12"/>
      <c r="BK1882" s="12"/>
      <c r="BL1882" s="12"/>
      <c r="BM1882" s="12"/>
      <c r="BN1882" s="12"/>
      <c r="BO1882" s="12"/>
      <c r="BP1882" s="12"/>
      <c r="BQ1882" s="12"/>
      <c r="BR1882" s="12"/>
      <c r="BS1882" s="12"/>
      <c r="BT1882" s="12"/>
      <c r="BU1882" s="12"/>
      <c r="BV1882" s="12"/>
      <c r="BW1882" s="12"/>
      <c r="BX1882" s="12"/>
      <c r="BY1882" s="12"/>
      <c r="BZ1882" s="12"/>
      <c r="CA1882" s="12"/>
      <c r="CB1882" s="12"/>
      <c r="CC1882" s="12"/>
      <c r="CD1882" s="12"/>
    </row>
    <row r="1883" spans="1:82">
      <c r="A1883" s="12" t="s">
        <v>700</v>
      </c>
      <c r="B1883" s="12" t="str">
        <f t="shared" si="353"/>
        <v>VANDERMERWE</v>
      </c>
      <c r="C1883" s="12" t="str">
        <f t="shared" si="354"/>
        <v>VAN DER MERWE</v>
      </c>
      <c r="D1883" s="12" t="s">
        <v>398</v>
      </c>
      <c r="E1883" s="12" t="str">
        <f t="shared" si="364"/>
        <v>Cornelis Johannes</v>
      </c>
      <c r="F1883" s="12" t="s">
        <v>14179</v>
      </c>
      <c r="G1883" s="12" t="str">
        <f t="shared" si="355"/>
        <v>a1b2c14d9e1f3</v>
      </c>
      <c r="H1883" s="12" t="str">
        <f t="shared" si="365"/>
        <v>VAN DER MERWEa1b2c14d9e1f3</v>
      </c>
      <c r="I1883" s="12" t="s">
        <v>74</v>
      </c>
      <c r="J1883" s="12" t="s">
        <v>7715</v>
      </c>
      <c r="K1883" s="12" t="str">
        <f t="shared" si="357"/>
        <v>1808</v>
      </c>
      <c r="L1883" s="12"/>
      <c r="M1883" s="12" t="s">
        <v>14180</v>
      </c>
      <c r="N1883" s="12" t="str">
        <f t="shared" si="362"/>
        <v>1808</v>
      </c>
      <c r="O1883" s="12" t="str">
        <f t="shared" si="363"/>
        <v>1809</v>
      </c>
      <c r="P1883" s="12"/>
      <c r="Q1883" s="12" t="str">
        <f t="shared" si="358"/>
        <v>1808</v>
      </c>
      <c r="R1883" s="12"/>
      <c r="S1883" s="12" t="str">
        <f t="shared" si="359"/>
        <v/>
      </c>
      <c r="T1883" s="12"/>
      <c r="U1883" s="12"/>
      <c r="V1883" s="12" t="str">
        <f t="shared" si="360"/>
        <v/>
      </c>
      <c r="W1883" s="12" t="s">
        <v>1516</v>
      </c>
      <c r="X1883" s="12" t="s">
        <v>669</v>
      </c>
      <c r="Y1883" s="12" t="s">
        <v>14181</v>
      </c>
      <c r="Z1883" s="12"/>
      <c r="AA1883" s="12"/>
      <c r="AB1883" s="12"/>
      <c r="AC1883" s="12" t="s">
        <v>3125</v>
      </c>
      <c r="AD1883" s="12" t="s">
        <v>1864</v>
      </c>
      <c r="AE1883" s="1">
        <v>1068</v>
      </c>
      <c r="AF1883" s="12" t="s">
        <v>3719</v>
      </c>
      <c r="AG1883" s="12" t="s">
        <v>68</v>
      </c>
      <c r="AH1883" s="12" t="s">
        <v>2489</v>
      </c>
      <c r="AI1883" s="12" t="str">
        <f t="shared" si="361"/>
        <v>1841</v>
      </c>
      <c r="AJ1883" s="12"/>
      <c r="AK1883" s="12" t="s">
        <v>90</v>
      </c>
      <c r="AL1883" s="12"/>
      <c r="AM1883" s="12"/>
      <c r="AN1883" s="12"/>
      <c r="AO1883" s="12"/>
      <c r="AP1883" s="12"/>
      <c r="AQ1883" s="12"/>
      <c r="AR1883" s="12"/>
      <c r="AS1883" s="12"/>
      <c r="AT1883" s="12"/>
      <c r="AU1883" s="12"/>
      <c r="AV1883" s="12"/>
      <c r="AW1883" s="12"/>
      <c r="AX1883" s="12"/>
      <c r="AY1883" s="12"/>
      <c r="AZ1883" s="12"/>
      <c r="BA1883" s="12"/>
      <c r="BB1883" s="12"/>
      <c r="BC1883" s="12"/>
      <c r="BD1883" s="12"/>
      <c r="BE1883" s="12"/>
      <c r="BF1883" s="12"/>
      <c r="BG1883" s="12"/>
      <c r="BH1883" s="12"/>
      <c r="BI1883" s="12"/>
      <c r="BJ1883" s="12"/>
      <c r="BK1883" s="12"/>
      <c r="BL1883" s="12"/>
      <c r="BM1883" s="12"/>
      <c r="BN1883" s="12"/>
      <c r="BO1883" s="12"/>
      <c r="BP1883" s="12"/>
      <c r="BQ1883" s="12"/>
      <c r="BR1883" s="12"/>
      <c r="BS1883" s="12"/>
      <c r="BT1883" s="12"/>
      <c r="BU1883" s="12"/>
      <c r="BV1883" s="12"/>
      <c r="BW1883" s="12"/>
      <c r="BX1883" s="12"/>
      <c r="BY1883" s="12"/>
      <c r="BZ1883" s="12"/>
      <c r="CA1883" s="12"/>
      <c r="CB1883" s="12"/>
      <c r="CC1883" s="12"/>
      <c r="CD1883" s="12"/>
    </row>
    <row r="1884" spans="1:82">
      <c r="A1884" s="12" t="s">
        <v>700</v>
      </c>
      <c r="B1884" s="12" t="str">
        <f t="shared" si="353"/>
        <v>VANDERMERWE</v>
      </c>
      <c r="C1884" s="12" t="str">
        <f t="shared" si="354"/>
        <v>VAN DER MERWE</v>
      </c>
      <c r="D1884" s="12" t="s">
        <v>14220</v>
      </c>
      <c r="E1884" s="12" t="str">
        <f t="shared" si="364"/>
        <v>Gerrit Jacobus Hendrik Johannes</v>
      </c>
      <c r="F1884" s="12" t="s">
        <v>14221</v>
      </c>
      <c r="G1884" s="12" t="str">
        <f t="shared" si="355"/>
        <v>a1b2c14d9e1f4</v>
      </c>
      <c r="H1884" s="12" t="str">
        <f t="shared" si="365"/>
        <v>VAN DER MERWEa1b2c14d9e1f4</v>
      </c>
      <c r="I1884" s="12" t="s">
        <v>74</v>
      </c>
      <c r="J1884" s="12" t="s">
        <v>14222</v>
      </c>
      <c r="K1884" s="12" t="str">
        <f t="shared" si="357"/>
        <v>1811</v>
      </c>
      <c r="L1884" s="12"/>
      <c r="M1884" s="12"/>
      <c r="N1884" s="12" t="str">
        <f t="shared" si="362"/>
        <v>1811</v>
      </c>
      <c r="O1884" s="12" t="str">
        <f t="shared" si="363"/>
        <v/>
      </c>
      <c r="P1884" s="12"/>
      <c r="Q1884" s="12" t="str">
        <f t="shared" si="358"/>
        <v>1811</v>
      </c>
      <c r="R1884" s="12"/>
      <c r="S1884" s="12" t="str">
        <f t="shared" si="359"/>
        <v/>
      </c>
      <c r="T1884" s="12"/>
      <c r="U1884" s="12"/>
      <c r="V1884" s="12" t="str">
        <f t="shared" si="360"/>
        <v/>
      </c>
      <c r="W1884" s="12" t="s">
        <v>11601</v>
      </c>
      <c r="X1884" s="12" t="s">
        <v>1638</v>
      </c>
      <c r="Y1884" s="12"/>
      <c r="Z1884" s="12"/>
      <c r="AA1884" s="12">
        <v>1812</v>
      </c>
      <c r="AB1884" s="12"/>
      <c r="AC1884" s="12"/>
      <c r="AD1884" s="12"/>
      <c r="AE1884" s="12">
        <v>1836</v>
      </c>
      <c r="AF1884" s="12"/>
      <c r="AG1884" s="12" t="s">
        <v>68</v>
      </c>
      <c r="AH1884" s="12" t="s">
        <v>385</v>
      </c>
      <c r="AI1884" s="12" t="str">
        <f t="shared" si="361"/>
        <v>1840</v>
      </c>
      <c r="AJ1884" s="12"/>
      <c r="AK1884" s="12" t="s">
        <v>90</v>
      </c>
      <c r="AL1884" s="12"/>
      <c r="AM1884" s="12"/>
      <c r="AN1884" s="12" t="s">
        <v>14223</v>
      </c>
      <c r="AO1884" s="12" t="s">
        <v>695</v>
      </c>
      <c r="AP1884" s="12" t="s">
        <v>14224</v>
      </c>
      <c r="AQ1884" s="12"/>
      <c r="AR1884" s="12" t="s">
        <v>11734</v>
      </c>
      <c r="AS1884" s="12"/>
      <c r="AT1884" s="12"/>
      <c r="AU1884" s="12"/>
      <c r="AV1884" s="12"/>
      <c r="AW1884" s="12"/>
      <c r="AX1884" s="12"/>
      <c r="AY1884" s="12" t="s">
        <v>14225</v>
      </c>
      <c r="AZ1884" s="12" t="s">
        <v>778</v>
      </c>
      <c r="BA1884" s="12" t="s">
        <v>1810</v>
      </c>
      <c r="BB1884" s="12"/>
      <c r="BC1884" s="12"/>
      <c r="BD1884" s="12"/>
      <c r="BE1884" s="12" t="s">
        <v>14226</v>
      </c>
      <c r="BF1884" s="12"/>
      <c r="BG1884" s="12"/>
      <c r="BH1884" s="12"/>
      <c r="BI1884" s="12"/>
      <c r="BJ1884" s="12"/>
      <c r="BK1884" s="12"/>
      <c r="BL1884" s="12"/>
      <c r="BM1884" s="12"/>
      <c r="BN1884" s="12"/>
      <c r="BO1884" s="12"/>
      <c r="BP1884" s="12"/>
      <c r="BQ1884" s="12"/>
      <c r="BR1884" s="12"/>
      <c r="BS1884" s="12"/>
      <c r="BT1884" s="12"/>
      <c r="BU1884" s="12"/>
      <c r="BV1884" s="12"/>
      <c r="BW1884" s="12"/>
      <c r="BX1884" s="12"/>
      <c r="BY1884" s="12"/>
      <c r="BZ1884" s="12"/>
      <c r="CA1884" s="12"/>
      <c r="CB1884" s="12"/>
      <c r="CC1884" s="12"/>
      <c r="CD1884" s="12"/>
    </row>
    <row r="1885" spans="1:82">
      <c r="A1885" s="12" t="s">
        <v>700</v>
      </c>
      <c r="B1885" s="12" t="str">
        <f t="shared" si="353"/>
        <v>VANDERMERWE</v>
      </c>
      <c r="C1885" s="12" t="str">
        <f t="shared" si="354"/>
        <v>VAN DER MERWE</v>
      </c>
      <c r="D1885" s="12" t="s">
        <v>1764</v>
      </c>
      <c r="E1885" s="12" t="str">
        <f t="shared" si="364"/>
        <v>Jan</v>
      </c>
      <c r="F1885" s="12" t="s">
        <v>14262</v>
      </c>
      <c r="G1885" s="12" t="str">
        <f t="shared" si="355"/>
        <v>a1b2c14d9e1f5</v>
      </c>
      <c r="H1885" s="12" t="str">
        <f t="shared" si="365"/>
        <v>VAN DER MERWEa1b2c14d9e1f5</v>
      </c>
      <c r="I1885" s="12" t="s">
        <v>28</v>
      </c>
      <c r="J1885" s="12">
        <v>1813</v>
      </c>
      <c r="K1885" s="12" t="str">
        <f t="shared" si="357"/>
        <v>1813</v>
      </c>
      <c r="L1885" s="12"/>
      <c r="M1885" s="12"/>
      <c r="N1885" s="12" t="str">
        <f t="shared" si="362"/>
        <v>1813</v>
      </c>
      <c r="O1885" s="12" t="str">
        <f t="shared" si="363"/>
        <v/>
      </c>
      <c r="P1885" s="12" t="s">
        <v>90</v>
      </c>
      <c r="Q1885" s="12" t="str">
        <f t="shared" si="358"/>
        <v>1813</v>
      </c>
      <c r="R1885" s="12" t="s">
        <v>14263</v>
      </c>
      <c r="S1885" s="12" t="str">
        <f t="shared" si="359"/>
        <v>1900</v>
      </c>
      <c r="T1885" s="12" t="s">
        <v>28</v>
      </c>
      <c r="U1885" s="12" t="s">
        <v>544</v>
      </c>
      <c r="V1885" s="12" t="str">
        <f t="shared" si="360"/>
        <v>1834</v>
      </c>
      <c r="W1885" s="12" t="s">
        <v>673</v>
      </c>
      <c r="X1885" s="12" t="s">
        <v>1638</v>
      </c>
      <c r="Y1885" s="12" t="s">
        <v>14264</v>
      </c>
      <c r="Z1885" s="12"/>
      <c r="AA1885" s="12"/>
      <c r="AB1885" s="12"/>
      <c r="AC1885" s="12" t="s">
        <v>12571</v>
      </c>
      <c r="AD1885" s="12"/>
      <c r="AE1885" s="12"/>
      <c r="AF1885" s="12" t="s">
        <v>3699</v>
      </c>
      <c r="AG1885" s="12" t="s">
        <v>68</v>
      </c>
      <c r="AH1885" s="12" t="s">
        <v>1172</v>
      </c>
      <c r="AI1885" s="12" t="str">
        <f t="shared" si="361"/>
        <v>1837</v>
      </c>
      <c r="AJ1885" s="12" t="s">
        <v>13060</v>
      </c>
      <c r="AK1885" s="12" t="s">
        <v>597</v>
      </c>
      <c r="AL1885" s="12" t="s">
        <v>168</v>
      </c>
      <c r="AM1885" s="12"/>
      <c r="AN1885" s="12" t="s">
        <v>14265</v>
      </c>
      <c r="AO1885" s="12" t="s">
        <v>3799</v>
      </c>
      <c r="AP1885" s="12" t="s">
        <v>14266</v>
      </c>
      <c r="AQ1885" s="12"/>
      <c r="AR1885" s="12" t="s">
        <v>14267</v>
      </c>
      <c r="AS1885" s="12"/>
      <c r="AT1885" s="12" t="s">
        <v>14268</v>
      </c>
      <c r="AU1885" s="12" t="s">
        <v>90</v>
      </c>
      <c r="AV1885" s="12" t="s">
        <v>14269</v>
      </c>
      <c r="AW1885" s="12"/>
      <c r="AX1885" s="12"/>
      <c r="AY1885" s="12"/>
      <c r="AZ1885" s="12"/>
      <c r="BA1885" s="12"/>
      <c r="BB1885" s="12"/>
      <c r="BC1885" s="12"/>
      <c r="BD1885" s="12"/>
      <c r="BE1885" s="12"/>
      <c r="BF1885" s="12"/>
      <c r="BG1885" s="12"/>
      <c r="BH1885" s="12"/>
      <c r="BI1885" s="12"/>
      <c r="BJ1885" s="12"/>
      <c r="BK1885" s="12"/>
      <c r="BL1885" s="12"/>
      <c r="BM1885" s="12"/>
      <c r="BN1885" s="12"/>
      <c r="BO1885" s="12"/>
      <c r="BP1885" s="12"/>
      <c r="BQ1885" s="12"/>
      <c r="BR1885" s="12"/>
      <c r="BS1885" s="12"/>
      <c r="BT1885" s="12"/>
      <c r="BU1885" s="12"/>
      <c r="BV1885" s="12"/>
      <c r="BW1885" s="12"/>
      <c r="BX1885" s="12"/>
      <c r="BY1885" s="12"/>
      <c r="BZ1885" s="12"/>
      <c r="CA1885" s="12"/>
      <c r="CB1885" s="12"/>
      <c r="CC1885" s="12"/>
      <c r="CD1885" s="12"/>
    </row>
    <row r="1886" spans="1:82">
      <c r="A1886" s="12" t="s">
        <v>700</v>
      </c>
      <c r="B1886" s="12" t="str">
        <f t="shared" si="353"/>
        <v>VANDERMERWE</v>
      </c>
      <c r="C1886" s="12" t="str">
        <f t="shared" si="354"/>
        <v>VAN DER MERWE</v>
      </c>
      <c r="D1886" s="12" t="s">
        <v>14157</v>
      </c>
      <c r="E1886" s="12" t="str">
        <f t="shared" si="364"/>
        <v>Andries Petrus Stephanus</v>
      </c>
      <c r="F1886" s="12" t="s">
        <v>14158</v>
      </c>
      <c r="G1886" s="12" t="str">
        <f t="shared" si="355"/>
        <v>a1b2c14d9e2f6</v>
      </c>
      <c r="H1886" s="12" t="str">
        <f t="shared" si="365"/>
        <v>VAN DER MERWEa1b2c14d9e2f6</v>
      </c>
      <c r="I1886" s="12"/>
      <c r="J1886" s="12"/>
      <c r="K1886" s="12" t="str">
        <f t="shared" si="357"/>
        <v/>
      </c>
      <c r="L1886" s="12"/>
      <c r="M1886" s="12"/>
      <c r="N1886" s="12" t="str">
        <f t="shared" si="362"/>
        <v/>
      </c>
      <c r="O1886" s="12" t="str">
        <f t="shared" si="363"/>
        <v/>
      </c>
      <c r="P1886" s="12"/>
      <c r="Q1886" s="12" t="str">
        <f t="shared" si="358"/>
        <v/>
      </c>
      <c r="R1886" s="12"/>
      <c r="S1886" s="12" t="str">
        <f t="shared" si="359"/>
        <v/>
      </c>
      <c r="T1886" s="12"/>
      <c r="U1886" s="12"/>
      <c r="V1886" s="12" t="str">
        <f t="shared" si="360"/>
        <v/>
      </c>
      <c r="W1886" s="12" t="s">
        <v>14159</v>
      </c>
      <c r="X1886" s="12" t="s">
        <v>2106</v>
      </c>
      <c r="Y1886" s="12" t="s">
        <v>14160</v>
      </c>
      <c r="Z1886" s="12"/>
      <c r="AA1886" s="12"/>
      <c r="AB1886" s="12"/>
      <c r="AC1886" s="12"/>
      <c r="AD1886" s="12"/>
      <c r="AE1886" s="12"/>
      <c r="AF1886" s="12"/>
      <c r="AG1886" s="12"/>
      <c r="AH1886" s="12" t="s">
        <v>13886</v>
      </c>
      <c r="AI1886" s="12" t="str">
        <f t="shared" si="361"/>
        <v>1841</v>
      </c>
      <c r="AJ1886" s="12"/>
      <c r="AK1886" s="12" t="s">
        <v>90</v>
      </c>
      <c r="AL1886" s="12"/>
      <c r="AM1886" s="12"/>
      <c r="AN1886" s="12"/>
      <c r="AO1886" s="12"/>
      <c r="AP1886" s="12"/>
      <c r="AQ1886" s="12"/>
      <c r="AR1886" s="12"/>
      <c r="AS1886" s="12"/>
      <c r="AT1886" s="12"/>
      <c r="AU1886" s="12"/>
      <c r="AV1886" s="12"/>
      <c r="AW1886" s="12"/>
      <c r="AX1886" s="12"/>
      <c r="AY1886" s="12"/>
      <c r="AZ1886" s="12"/>
      <c r="BA1886" s="12"/>
      <c r="BB1886" s="12"/>
      <c r="BC1886" s="12"/>
      <c r="BD1886" s="12"/>
      <c r="BE1886" s="12"/>
      <c r="BF1886" s="12"/>
      <c r="BG1886" s="12"/>
      <c r="BH1886" s="12"/>
      <c r="BI1886" s="12"/>
      <c r="BJ1886" s="12"/>
      <c r="BK1886" s="12"/>
      <c r="BL1886" s="12"/>
      <c r="BM1886" s="12"/>
      <c r="BN1886" s="12"/>
      <c r="BO1886" s="12"/>
      <c r="BP1886" s="12"/>
      <c r="BQ1886" s="12"/>
      <c r="BR1886" s="12"/>
      <c r="BS1886" s="12"/>
      <c r="BT1886" s="12"/>
      <c r="BU1886" s="12"/>
      <c r="BV1886" s="12"/>
      <c r="BW1886" s="12"/>
      <c r="BX1886" s="12"/>
      <c r="BY1886" s="12"/>
      <c r="BZ1886" s="12"/>
      <c r="CA1886" s="12"/>
      <c r="CB1886" s="12"/>
      <c r="CC1886" s="12"/>
      <c r="CD1886" s="12"/>
    </row>
    <row r="1887" spans="1:82">
      <c r="A1887" s="12" t="s">
        <v>700</v>
      </c>
      <c r="B1887" s="12" t="str">
        <f t="shared" si="353"/>
        <v>VANDERMERWE</v>
      </c>
      <c r="C1887" s="12" t="str">
        <f t="shared" si="354"/>
        <v>VAN DER MERWE</v>
      </c>
      <c r="D1887" s="12" t="s">
        <v>6644</v>
      </c>
      <c r="E1887" s="12" t="str">
        <f t="shared" si="364"/>
        <v>David Schalk</v>
      </c>
      <c r="F1887" s="12" t="s">
        <v>14195</v>
      </c>
      <c r="G1887" s="12" t="str">
        <f t="shared" si="355"/>
        <v>a1b2c4d5e1f6</v>
      </c>
      <c r="H1887" s="12" t="str">
        <f t="shared" si="365"/>
        <v>VAN DER MERWEa1b2c4d5e1f6</v>
      </c>
      <c r="I1887" s="12" t="s">
        <v>74</v>
      </c>
      <c r="J1887" s="12" t="s">
        <v>1684</v>
      </c>
      <c r="K1887" s="12" t="str">
        <f t="shared" si="357"/>
        <v>1801</v>
      </c>
      <c r="L1887" s="12"/>
      <c r="M1887" s="12"/>
      <c r="N1887" s="12" t="str">
        <f t="shared" si="362"/>
        <v>1801</v>
      </c>
      <c r="O1887" s="12" t="str">
        <f t="shared" si="363"/>
        <v/>
      </c>
      <c r="P1887" s="12" t="s">
        <v>8760</v>
      </c>
      <c r="Q1887" s="12" t="str">
        <f t="shared" si="358"/>
        <v>1801</v>
      </c>
      <c r="R1887" s="12" t="s">
        <v>2600</v>
      </c>
      <c r="S1887" s="12" t="str">
        <f t="shared" si="359"/>
        <v>1865</v>
      </c>
      <c r="T1887" s="12" t="s">
        <v>74</v>
      </c>
      <c r="U1887" s="12" t="s">
        <v>14196</v>
      </c>
      <c r="V1887" s="12" t="str">
        <f t="shared" si="360"/>
        <v>1825</v>
      </c>
      <c r="W1887" s="12" t="s">
        <v>14197</v>
      </c>
      <c r="X1887" s="12" t="s">
        <v>1489</v>
      </c>
      <c r="Y1887" s="12"/>
      <c r="Z1887" s="12"/>
      <c r="AA1887" s="12" t="s">
        <v>14198</v>
      </c>
      <c r="AB1887" s="12" t="s">
        <v>74</v>
      </c>
      <c r="AC1887" s="12"/>
      <c r="AD1887" s="12"/>
      <c r="AE1887" s="12"/>
      <c r="AF1887" s="12"/>
      <c r="AG1887" s="12" t="s">
        <v>60</v>
      </c>
      <c r="AH1887" s="12" t="s">
        <v>8735</v>
      </c>
      <c r="AI1887" s="12" t="str">
        <f t="shared" si="361"/>
        <v>1840</v>
      </c>
      <c r="AJ1887" s="12" t="s">
        <v>12354</v>
      </c>
      <c r="AK1887" s="12" t="s">
        <v>551</v>
      </c>
      <c r="AL1887" s="12"/>
      <c r="AM1887" s="12" t="s">
        <v>14199</v>
      </c>
      <c r="AN1887" s="12" t="s">
        <v>14200</v>
      </c>
      <c r="AO1887" s="12" t="s">
        <v>700</v>
      </c>
      <c r="AP1887" s="12"/>
      <c r="AQ1887" s="12"/>
      <c r="AR1887" s="12" t="s">
        <v>10242</v>
      </c>
      <c r="AS1887" s="12" t="s">
        <v>74</v>
      </c>
      <c r="AT1887" s="12"/>
      <c r="AU1887" s="12"/>
      <c r="AV1887" s="12"/>
      <c r="AW1887" s="12"/>
      <c r="AX1887" s="12">
        <v>1850</v>
      </c>
      <c r="AY1887" s="12" t="s">
        <v>14201</v>
      </c>
      <c r="AZ1887" s="12" t="s">
        <v>667</v>
      </c>
      <c r="BA1887" s="12"/>
      <c r="BB1887" s="12"/>
      <c r="BC1887" s="12"/>
      <c r="BD1887" s="12"/>
      <c r="BE1887" s="12"/>
      <c r="BF1887" s="12"/>
      <c r="BG1887" s="12"/>
      <c r="BH1887" s="12"/>
      <c r="BI1887" s="12"/>
      <c r="BJ1887" s="12"/>
      <c r="BK1887" s="12"/>
      <c r="BL1887" s="12"/>
      <c r="BM1887" s="12"/>
      <c r="BN1887" s="12"/>
      <c r="BO1887" s="12"/>
      <c r="BP1887" s="12"/>
      <c r="BQ1887" s="12"/>
      <c r="BR1887" s="12"/>
      <c r="BS1887" s="12"/>
      <c r="BT1887" s="12"/>
      <c r="BU1887" s="12"/>
      <c r="BV1887" s="12"/>
      <c r="BW1887" s="12"/>
      <c r="BX1887" s="12"/>
      <c r="BY1887" s="12"/>
      <c r="BZ1887" s="12"/>
      <c r="CA1887" s="12"/>
      <c r="CB1887" s="12"/>
      <c r="CC1887" s="12"/>
      <c r="CD1887" s="12"/>
    </row>
    <row r="1888" spans="1:82">
      <c r="A1888" s="12" t="s">
        <v>700</v>
      </c>
      <c r="B1888" s="12" t="str">
        <f t="shared" si="353"/>
        <v>VANDERMERWE</v>
      </c>
      <c r="C1888" s="12" t="str">
        <f t="shared" si="354"/>
        <v>VAN DER MERWE</v>
      </c>
      <c r="D1888" s="12" t="s">
        <v>14270</v>
      </c>
      <c r="E1888" s="12" t="str">
        <f t="shared" si="364"/>
        <v>Jan (Johannes) Lodewyk</v>
      </c>
      <c r="F1888" s="12" t="s">
        <v>14271</v>
      </c>
      <c r="G1888" s="12" t="str">
        <f t="shared" si="355"/>
        <v>a1b2c4d5e1f7</v>
      </c>
      <c r="H1888" s="12" t="str">
        <f t="shared" si="365"/>
        <v>VAN DER MERWEa1b2c4d5e1f7</v>
      </c>
      <c r="I1888" s="12" t="s">
        <v>542</v>
      </c>
      <c r="J1888" s="12" t="s">
        <v>14272</v>
      </c>
      <c r="K1888" s="12" t="str">
        <f t="shared" si="357"/>
        <v>1804</v>
      </c>
      <c r="L1888" s="12"/>
      <c r="M1888" s="12"/>
      <c r="N1888" s="12" t="str">
        <f t="shared" si="362"/>
        <v>1804</v>
      </c>
      <c r="O1888" s="12" t="str">
        <f t="shared" si="363"/>
        <v/>
      </c>
      <c r="P1888" s="12"/>
      <c r="Q1888" s="12" t="str">
        <f t="shared" si="358"/>
        <v>1804</v>
      </c>
      <c r="R1888" s="12"/>
      <c r="S1888" s="12" t="str">
        <f t="shared" si="359"/>
        <v/>
      </c>
      <c r="T1888" s="12" t="s">
        <v>74</v>
      </c>
      <c r="U1888" s="12" t="s">
        <v>14273</v>
      </c>
      <c r="V1888" s="12" t="str">
        <f t="shared" si="360"/>
        <v>1825</v>
      </c>
      <c r="W1888" s="12" t="s">
        <v>806</v>
      </c>
      <c r="X1888" s="12" t="s">
        <v>669</v>
      </c>
      <c r="Y1888" s="12"/>
      <c r="Z1888" s="12"/>
      <c r="AA1888" s="12" t="s">
        <v>3072</v>
      </c>
      <c r="AB1888" s="12"/>
      <c r="AC1888" s="12"/>
      <c r="AD1888" s="12" t="s">
        <v>570</v>
      </c>
      <c r="AE1888" s="12" t="s">
        <v>14274</v>
      </c>
      <c r="AF1888" s="12"/>
      <c r="AG1888" s="12" t="s">
        <v>60</v>
      </c>
      <c r="AH1888" s="12" t="s">
        <v>8735</v>
      </c>
      <c r="AI1888" s="12" t="str">
        <f t="shared" si="361"/>
        <v>1840</v>
      </c>
      <c r="AJ1888" s="12"/>
      <c r="AK1888" s="12" t="s">
        <v>551</v>
      </c>
      <c r="AL1888" s="12"/>
      <c r="AM1888" s="12" t="s">
        <v>14275</v>
      </c>
      <c r="AN1888" s="12" t="s">
        <v>3581</v>
      </c>
      <c r="AO1888" s="12" t="s">
        <v>700</v>
      </c>
      <c r="AP1888" s="12"/>
      <c r="AQ1888" s="12"/>
      <c r="AR1888" s="12" t="s">
        <v>14276</v>
      </c>
      <c r="AS1888" s="12"/>
      <c r="AT1888" s="12"/>
      <c r="AU1888" s="12" t="s">
        <v>566</v>
      </c>
      <c r="AV1888" s="12" t="s">
        <v>14277</v>
      </c>
      <c r="AW1888" s="12"/>
      <c r="AX1888" s="12"/>
      <c r="AY1888" s="12" t="s">
        <v>14278</v>
      </c>
      <c r="AZ1888" s="12" t="s">
        <v>14279</v>
      </c>
      <c r="BA1888" s="12"/>
      <c r="BB1888" s="12"/>
      <c r="BC1888" s="12"/>
      <c r="BD1888" s="12"/>
      <c r="BE1888" s="12"/>
      <c r="BF1888" s="12"/>
      <c r="BG1888" s="12"/>
      <c r="BH1888" s="12"/>
      <c r="BI1888" s="12"/>
      <c r="BJ1888" s="12"/>
      <c r="BK1888" s="12"/>
      <c r="BL1888" s="12"/>
      <c r="BM1888" s="12"/>
      <c r="BN1888" s="12"/>
      <c r="BO1888" s="12"/>
      <c r="BP1888" s="12"/>
      <c r="BQ1888" s="12"/>
      <c r="BR1888" s="12"/>
      <c r="BS1888" s="12"/>
      <c r="BT1888" s="12"/>
      <c r="BU1888" s="12"/>
      <c r="BV1888" s="12"/>
      <c r="BW1888" s="12"/>
      <c r="BX1888" s="12"/>
      <c r="BY1888" s="12"/>
      <c r="BZ1888" s="12"/>
      <c r="CA1888" s="12"/>
      <c r="CB1888" s="12"/>
      <c r="CC1888" s="12"/>
      <c r="CD1888" s="12"/>
    </row>
    <row r="1889" spans="1:82">
      <c r="A1889" s="12" t="s">
        <v>700</v>
      </c>
      <c r="B1889" s="12" t="str">
        <f t="shared" si="353"/>
        <v>VANDERMERWE</v>
      </c>
      <c r="C1889" s="12" t="str">
        <f t="shared" si="354"/>
        <v>VAN DER MERWE</v>
      </c>
      <c r="D1889" s="12" t="s">
        <v>3261</v>
      </c>
      <c r="E1889" s="12" t="str">
        <f t="shared" si="364"/>
        <v>Johannes Marthinus</v>
      </c>
      <c r="F1889" s="12" t="s">
        <v>1816</v>
      </c>
      <c r="G1889" s="12" t="str">
        <f t="shared" si="355"/>
        <v>a1b2c4d5e2f7</v>
      </c>
      <c r="H1889" s="12" t="str">
        <f t="shared" si="365"/>
        <v>VAN DER MERWEa1b2c4d5e2f7</v>
      </c>
      <c r="I1889" s="12" t="s">
        <v>32</v>
      </c>
      <c r="J1889" s="12" t="s">
        <v>14297</v>
      </c>
      <c r="K1889" s="12" t="str">
        <f t="shared" si="357"/>
        <v>1792</v>
      </c>
      <c r="L1889" s="12"/>
      <c r="M1889" s="12" t="s">
        <v>5750</v>
      </c>
      <c r="N1889" s="12" t="str">
        <f t="shared" si="362"/>
        <v>1792</v>
      </c>
      <c r="O1889" s="12" t="str">
        <f t="shared" si="363"/>
        <v>1793</v>
      </c>
      <c r="P1889" s="12" t="s">
        <v>14298</v>
      </c>
      <c r="Q1889" s="12" t="str">
        <f t="shared" si="358"/>
        <v>1792</v>
      </c>
      <c r="R1889" s="12" t="s">
        <v>14299</v>
      </c>
      <c r="S1889" s="12" t="str">
        <f t="shared" si="359"/>
        <v>1884</v>
      </c>
      <c r="T1889" s="12" t="s">
        <v>199</v>
      </c>
      <c r="U1889" s="12" t="s">
        <v>1850</v>
      </c>
      <c r="V1889" s="12" t="str">
        <f t="shared" si="360"/>
        <v>1816</v>
      </c>
      <c r="W1889" s="12" t="s">
        <v>4267</v>
      </c>
      <c r="X1889" s="12" t="s">
        <v>660</v>
      </c>
      <c r="Y1889" s="12"/>
      <c r="Z1889" s="12"/>
      <c r="AA1889" s="12" t="s">
        <v>14291</v>
      </c>
      <c r="AB1889" s="12"/>
      <c r="AC1889" s="12"/>
      <c r="AD1889" s="12"/>
      <c r="AE1889" s="12" t="s">
        <v>14300</v>
      </c>
      <c r="AF1889" s="12" t="s">
        <v>11340</v>
      </c>
      <c r="AG1889" s="12" t="s">
        <v>53</v>
      </c>
      <c r="AH1889" s="12" t="s">
        <v>13915</v>
      </c>
      <c r="AI1889" s="12" t="str">
        <f t="shared" si="361"/>
        <v>1836</v>
      </c>
      <c r="AJ1889" s="12"/>
      <c r="AK1889" s="12" t="s">
        <v>12622</v>
      </c>
      <c r="AL1889" s="12" t="s">
        <v>53</v>
      </c>
      <c r="AM1889" s="12" t="s">
        <v>14301</v>
      </c>
      <c r="AN1889" s="12" t="s">
        <v>14302</v>
      </c>
      <c r="AO1889" s="12" t="s">
        <v>1077</v>
      </c>
      <c r="AP1889" s="12"/>
      <c r="AQ1889" s="12"/>
      <c r="AR1889" s="12" t="s">
        <v>7424</v>
      </c>
      <c r="AS1889" s="12" t="s">
        <v>74</v>
      </c>
      <c r="AT1889" s="12" t="s">
        <v>14303</v>
      </c>
      <c r="AU1889" s="12" t="s">
        <v>14304</v>
      </c>
      <c r="AV1889" s="12" t="s">
        <v>14305</v>
      </c>
      <c r="AW1889" s="12"/>
      <c r="AX1889" s="12"/>
      <c r="AY1889" s="12"/>
      <c r="AZ1889" s="12"/>
      <c r="BA1889" s="12"/>
      <c r="BB1889" s="12"/>
      <c r="BC1889" s="12"/>
      <c r="BD1889" s="12"/>
      <c r="BE1889" s="12"/>
      <c r="BF1889" s="12"/>
      <c r="BG1889" s="12"/>
      <c r="BH1889" s="12"/>
      <c r="BI1889" s="12"/>
      <c r="BJ1889" s="12"/>
      <c r="BK1889" s="12"/>
      <c r="BL1889" s="12"/>
      <c r="BM1889" s="12"/>
      <c r="BN1889" s="12"/>
      <c r="BO1889" s="12"/>
      <c r="BP1889" s="12"/>
      <c r="BQ1889" s="12"/>
      <c r="BR1889" s="12"/>
      <c r="BS1889" s="12"/>
      <c r="BT1889" s="12"/>
      <c r="BU1889" s="12"/>
      <c r="BV1889" s="12"/>
      <c r="BW1889" s="12"/>
      <c r="BX1889" s="12"/>
      <c r="BY1889" s="12"/>
      <c r="BZ1889" s="12"/>
      <c r="CA1889" s="12"/>
      <c r="CB1889" s="12"/>
      <c r="CC1889" s="12"/>
      <c r="CD1889" s="12"/>
    </row>
    <row r="1890" spans="1:82">
      <c r="A1890" s="12" t="s">
        <v>700</v>
      </c>
      <c r="B1890" s="12" t="str">
        <f t="shared" si="353"/>
        <v>VANDERMERWE</v>
      </c>
      <c r="C1890" s="12" t="str">
        <f t="shared" si="354"/>
        <v>VAN DER MERWE</v>
      </c>
      <c r="D1890" s="12" t="s">
        <v>4327</v>
      </c>
      <c r="E1890" s="12" t="str">
        <f t="shared" si="364"/>
        <v>Stephanus Petrus</v>
      </c>
      <c r="F1890" s="12" t="s">
        <v>14360</v>
      </c>
      <c r="G1890" s="12" t="str">
        <f t="shared" si="355"/>
        <v>a1b2c4d5e2f7g3</v>
      </c>
      <c r="H1890" s="12" t="str">
        <f t="shared" si="365"/>
        <v>VAN DER MERWEa1b2c4d5e2f7g3</v>
      </c>
      <c r="I1890" s="12"/>
      <c r="J1890" s="12"/>
      <c r="K1890" s="12" t="str">
        <f t="shared" si="357"/>
        <v/>
      </c>
      <c r="L1890" s="12"/>
      <c r="M1890" s="12"/>
      <c r="N1890" s="12" t="str">
        <f t="shared" si="362"/>
        <v/>
      </c>
      <c r="O1890" s="12" t="str">
        <f t="shared" si="363"/>
        <v/>
      </c>
      <c r="P1890" s="12"/>
      <c r="Q1890" s="12" t="str">
        <f t="shared" si="358"/>
        <v/>
      </c>
      <c r="R1890" s="12"/>
      <c r="S1890" s="12" t="str">
        <f t="shared" si="359"/>
        <v/>
      </c>
      <c r="T1890" s="12"/>
      <c r="U1890" s="12"/>
      <c r="V1890" s="12" t="str">
        <f t="shared" si="360"/>
        <v/>
      </c>
      <c r="W1890" s="12" t="s">
        <v>14361</v>
      </c>
      <c r="X1890" s="12" t="s">
        <v>700</v>
      </c>
      <c r="Y1890" s="12"/>
      <c r="Z1890" s="12"/>
      <c r="AA1890" s="12"/>
      <c r="AB1890" s="12"/>
      <c r="AC1890" s="12"/>
      <c r="AD1890" s="12"/>
      <c r="AE1890" s="12"/>
      <c r="AF1890" s="12" t="s">
        <v>11340</v>
      </c>
      <c r="AG1890" s="12" t="s">
        <v>53</v>
      </c>
      <c r="AH1890" s="12" t="s">
        <v>5071</v>
      </c>
      <c r="AI1890" s="12" t="str">
        <f t="shared" si="361"/>
        <v>1836</v>
      </c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  <c r="AT1890" s="12"/>
      <c r="AU1890" s="12"/>
      <c r="AV1890" s="12"/>
      <c r="AW1890" s="12"/>
      <c r="AX1890" s="12"/>
      <c r="AY1890" s="12"/>
      <c r="AZ1890" s="12"/>
      <c r="BA1890" s="12"/>
      <c r="BB1890" s="12"/>
      <c r="BC1890" s="12"/>
      <c r="BD1890" s="12"/>
      <c r="BE1890" s="12"/>
      <c r="BF1890" s="12"/>
      <c r="BG1890" s="12"/>
      <c r="BH1890" s="12"/>
      <c r="BI1890" s="12"/>
      <c r="BJ1890" s="12"/>
      <c r="BK1890" s="12"/>
      <c r="BL1890" s="12"/>
      <c r="BM1890" s="12"/>
      <c r="BN1890" s="12"/>
      <c r="BO1890" s="12"/>
      <c r="BP1890" s="12"/>
      <c r="BQ1890" s="12"/>
      <c r="BR1890" s="12"/>
      <c r="BS1890" s="12"/>
      <c r="BT1890" s="12"/>
      <c r="BU1890" s="12"/>
      <c r="BV1890" s="12"/>
      <c r="BW1890" s="12"/>
      <c r="BX1890" s="12"/>
      <c r="BY1890" s="12"/>
      <c r="BZ1890" s="12"/>
      <c r="CA1890" s="12"/>
      <c r="CB1890" s="12"/>
      <c r="CC1890" s="12"/>
      <c r="CD1890" s="12"/>
    </row>
    <row r="1891" spans="1:82">
      <c r="A1891" s="12" t="s">
        <v>700</v>
      </c>
      <c r="B1891" s="12" t="str">
        <f t="shared" si="353"/>
        <v>VANDERMERWE</v>
      </c>
      <c r="C1891" s="12" t="str">
        <f t="shared" si="354"/>
        <v>VAN DER MERWE</v>
      </c>
      <c r="D1891" s="12" t="s">
        <v>10859</v>
      </c>
      <c r="E1891" s="12" t="str">
        <f t="shared" si="364"/>
        <v>Lucas Johannes</v>
      </c>
      <c r="F1891" s="12" t="s">
        <v>14326</v>
      </c>
      <c r="G1891" s="12" t="str">
        <f t="shared" si="355"/>
        <v>a1b2c4d5e2f8</v>
      </c>
      <c r="H1891" s="12" t="str">
        <f t="shared" si="365"/>
        <v>VAN DER MERWEa1b2c4d5e2f8</v>
      </c>
      <c r="I1891" s="12"/>
      <c r="J1891" s="12" t="s">
        <v>14327</v>
      </c>
      <c r="K1891" s="12" t="str">
        <f t="shared" si="357"/>
        <v>1795</v>
      </c>
      <c r="L1891" s="12" t="s">
        <v>53</v>
      </c>
      <c r="M1891" s="12" t="s">
        <v>2098</v>
      </c>
      <c r="N1891" s="12" t="str">
        <f t="shared" si="362"/>
        <v>1795</v>
      </c>
      <c r="O1891" s="12" t="str">
        <f t="shared" si="363"/>
        <v>1795</v>
      </c>
      <c r="P1891" s="12" t="s">
        <v>134</v>
      </c>
      <c r="Q1891" s="12" t="str">
        <f t="shared" si="358"/>
        <v>1795</v>
      </c>
      <c r="R1891" s="12" t="s">
        <v>14328</v>
      </c>
      <c r="S1891" s="12" t="str">
        <f t="shared" si="359"/>
        <v>1870</v>
      </c>
      <c r="T1891" s="12"/>
      <c r="U1891" s="12">
        <v>1818</v>
      </c>
      <c r="V1891" s="12" t="str">
        <f t="shared" si="360"/>
        <v>1818</v>
      </c>
      <c r="W1891" s="12" t="s">
        <v>3389</v>
      </c>
      <c r="X1891" s="12" t="s">
        <v>662</v>
      </c>
      <c r="Y1891" s="12"/>
      <c r="Z1891" s="12" t="s">
        <v>6098</v>
      </c>
      <c r="AA1891" s="12" t="s">
        <v>14329</v>
      </c>
      <c r="AB1891" s="12"/>
      <c r="AC1891" s="12"/>
      <c r="AD1891" s="12" t="s">
        <v>14330</v>
      </c>
      <c r="AE1891" s="12" t="s">
        <v>14331</v>
      </c>
      <c r="AF1891" s="12" t="s">
        <v>3724</v>
      </c>
      <c r="AG1891" s="12" t="s">
        <v>53</v>
      </c>
      <c r="AH1891" s="12" t="s">
        <v>1036</v>
      </c>
      <c r="AI1891" s="12" t="str">
        <f t="shared" si="361"/>
        <v>1838</v>
      </c>
      <c r="AJ1891" s="12"/>
      <c r="AK1891" s="12" t="s">
        <v>140</v>
      </c>
      <c r="AL1891" s="12"/>
      <c r="AM1891" s="12"/>
      <c r="AN1891" s="12"/>
      <c r="AO1891" s="12"/>
      <c r="AP1891" s="12"/>
      <c r="AQ1891" s="12"/>
      <c r="AR1891" s="12"/>
      <c r="AS1891" s="12"/>
      <c r="AT1891" s="12"/>
      <c r="AU1891" s="12"/>
      <c r="AV1891" s="12"/>
      <c r="AW1891" s="12"/>
      <c r="AX1891" s="12"/>
      <c r="AY1891" s="12"/>
      <c r="AZ1891" s="12"/>
      <c r="BA1891" s="12"/>
      <c r="BB1891" s="12"/>
      <c r="BC1891" s="12"/>
      <c r="BD1891" s="12"/>
      <c r="BE1891" s="12"/>
      <c r="BF1891" s="12"/>
      <c r="BG1891" s="12"/>
      <c r="BH1891" s="12"/>
      <c r="BI1891" s="12"/>
      <c r="BJ1891" s="12"/>
      <c r="BK1891" s="12"/>
      <c r="BL1891" s="12"/>
      <c r="BM1891" s="12"/>
      <c r="BN1891" s="12"/>
      <c r="BO1891" s="12"/>
      <c r="BP1891" s="12"/>
      <c r="BQ1891" s="12"/>
      <c r="BR1891" s="12"/>
      <c r="BS1891" s="12"/>
      <c r="BT1891" s="12"/>
      <c r="BU1891" s="12"/>
      <c r="BV1891" s="12"/>
      <c r="BW1891" s="12"/>
      <c r="BX1891" s="12"/>
      <c r="BY1891" s="12"/>
      <c r="BZ1891" s="12"/>
      <c r="CA1891" s="12"/>
      <c r="CB1891" s="12"/>
      <c r="CC1891" s="12"/>
      <c r="CD1891" s="12"/>
    </row>
    <row r="1892" spans="1:82">
      <c r="A1892" s="12" t="s">
        <v>700</v>
      </c>
      <c r="B1892" s="12" t="str">
        <f t="shared" si="353"/>
        <v>VANDERMERWE</v>
      </c>
      <c r="C1892" s="12" t="str">
        <f t="shared" si="354"/>
        <v>VAN DER MERWE</v>
      </c>
      <c r="D1892" s="12" t="s">
        <v>1660</v>
      </c>
      <c r="E1892" s="12" t="str">
        <f t="shared" si="364"/>
        <v>Petrus</v>
      </c>
      <c r="F1892" s="12" t="s">
        <v>14340</v>
      </c>
      <c r="G1892" s="12" t="str">
        <f t="shared" si="355"/>
        <v>a1b2c4d5e2f8g1</v>
      </c>
      <c r="H1892" s="12" t="str">
        <f t="shared" si="365"/>
        <v>VAN DER MERWEa1b2c4d5e2f8g1</v>
      </c>
      <c r="I1892" s="12" t="s">
        <v>53</v>
      </c>
      <c r="J1892" s="12" t="s">
        <v>855</v>
      </c>
      <c r="K1892" s="12" t="str">
        <f t="shared" si="357"/>
        <v>1819</v>
      </c>
      <c r="L1892" s="12" t="s">
        <v>53</v>
      </c>
      <c r="M1892" s="12" t="s">
        <v>2275</v>
      </c>
      <c r="N1892" s="12" t="str">
        <f t="shared" si="362"/>
        <v>1819</v>
      </c>
      <c r="O1892" s="12" t="str">
        <f t="shared" si="363"/>
        <v>1819</v>
      </c>
      <c r="P1892" s="12" t="s">
        <v>2625</v>
      </c>
      <c r="Q1892" s="12" t="str">
        <f t="shared" si="358"/>
        <v>1819</v>
      </c>
      <c r="R1892" s="12" t="s">
        <v>14341</v>
      </c>
      <c r="S1892" s="12" t="str">
        <f t="shared" si="359"/>
        <v>1898</v>
      </c>
      <c r="T1892" s="12"/>
      <c r="U1892" s="12"/>
      <c r="V1892" s="12" t="str">
        <f t="shared" si="360"/>
        <v/>
      </c>
      <c r="W1892" s="12" t="s">
        <v>14342</v>
      </c>
      <c r="X1892" s="12" t="s">
        <v>636</v>
      </c>
      <c r="Y1892" s="12"/>
      <c r="Z1892" s="12"/>
      <c r="AA1892" s="12">
        <v>1820</v>
      </c>
      <c r="AB1892" s="12"/>
      <c r="AC1892" s="12"/>
      <c r="AD1892" s="12"/>
      <c r="AE1892" s="12">
        <v>1854</v>
      </c>
      <c r="AF1892" s="12" t="s">
        <v>14343</v>
      </c>
      <c r="AG1892" s="12" t="s">
        <v>53</v>
      </c>
      <c r="AH1892" s="12" t="s">
        <v>5021</v>
      </c>
      <c r="AI1892" s="12" t="str">
        <f t="shared" si="361"/>
        <v>1842</v>
      </c>
      <c r="AJ1892" s="12"/>
      <c r="AK1892" s="12" t="s">
        <v>140</v>
      </c>
      <c r="AL1892" s="12" t="s">
        <v>1864</v>
      </c>
      <c r="AM1892" s="12">
        <v>1856</v>
      </c>
      <c r="AN1892" s="12" t="s">
        <v>14344</v>
      </c>
      <c r="AO1892" s="12" t="s">
        <v>778</v>
      </c>
      <c r="AP1892" s="12"/>
      <c r="AQ1892" s="12" t="s">
        <v>366</v>
      </c>
      <c r="AR1892" s="12">
        <v>1830</v>
      </c>
      <c r="AS1892" s="12"/>
      <c r="AT1892" s="12"/>
      <c r="AU1892" s="12" t="s">
        <v>2625</v>
      </c>
      <c r="AV1892" s="12" t="s">
        <v>14345</v>
      </c>
      <c r="AW1892" s="12"/>
      <c r="AX1892" s="12"/>
      <c r="AY1892" s="12"/>
      <c r="AZ1892" s="12"/>
      <c r="BA1892" s="12"/>
      <c r="BB1892" s="12"/>
      <c r="BC1892" s="12"/>
      <c r="BD1892" s="12"/>
      <c r="BE1892" s="12"/>
      <c r="BF1892" s="12"/>
      <c r="BG1892" s="12"/>
      <c r="BH1892" s="12"/>
      <c r="BI1892" s="12"/>
      <c r="BJ1892" s="12"/>
      <c r="BK1892" s="12"/>
      <c r="BL1892" s="12"/>
      <c r="BM1892" s="12"/>
      <c r="BN1892" s="12"/>
      <c r="BO1892" s="12"/>
      <c r="BP1892" s="12"/>
      <c r="BQ1892" s="12"/>
      <c r="BR1892" s="12"/>
      <c r="BS1892" s="12"/>
      <c r="BT1892" s="12"/>
      <c r="BU1892" s="12"/>
      <c r="BV1892" s="12"/>
      <c r="BW1892" s="12"/>
      <c r="BX1892" s="12"/>
      <c r="BY1892" s="12"/>
      <c r="BZ1892" s="12"/>
      <c r="CA1892" s="12"/>
      <c r="CB1892" s="12"/>
      <c r="CC1892" s="12"/>
      <c r="CD1892" s="12"/>
    </row>
    <row r="1893" spans="1:82">
      <c r="A1893" s="12" t="s">
        <v>700</v>
      </c>
      <c r="B1893" s="12" t="str">
        <f t="shared" si="353"/>
        <v>VANDERMERWE</v>
      </c>
      <c r="C1893" s="12" t="str">
        <f t="shared" si="354"/>
        <v>VAN DER MERWE</v>
      </c>
      <c r="D1893" s="12" t="s">
        <v>273</v>
      </c>
      <c r="E1893" s="12" t="str">
        <f t="shared" si="364"/>
        <v>Marthinus</v>
      </c>
      <c r="F1893" s="12" t="s">
        <v>14332</v>
      </c>
      <c r="G1893" s="12" t="str">
        <f t="shared" si="355"/>
        <v>a1b2c5d4e1f4</v>
      </c>
      <c r="H1893" s="12" t="str">
        <f t="shared" si="365"/>
        <v>VAN DER MERWEa1b2c5d4e1f4</v>
      </c>
      <c r="I1893" s="12"/>
      <c r="J1893" s="12"/>
      <c r="K1893" s="12" t="str">
        <f t="shared" si="357"/>
        <v/>
      </c>
      <c r="L1893" s="12"/>
      <c r="M1893" s="12" t="s">
        <v>3197</v>
      </c>
      <c r="N1893" s="12" t="str">
        <f t="shared" si="362"/>
        <v/>
      </c>
      <c r="O1893" s="12" t="str">
        <f t="shared" si="363"/>
        <v>1783</v>
      </c>
      <c r="P1893" s="12"/>
      <c r="Q1893" s="12" t="str">
        <f t="shared" si="358"/>
        <v>1783</v>
      </c>
      <c r="R1893" s="12"/>
      <c r="S1893" s="12" t="str">
        <f t="shared" si="359"/>
        <v/>
      </c>
      <c r="T1893" s="12"/>
      <c r="U1893" s="12"/>
      <c r="V1893" s="12" t="str">
        <f t="shared" si="360"/>
        <v/>
      </c>
      <c r="W1893" s="12" t="s">
        <v>1124</v>
      </c>
      <c r="X1893" s="12" t="s">
        <v>697</v>
      </c>
      <c r="Y1893" s="12" t="s">
        <v>1687</v>
      </c>
      <c r="Z1893" s="12"/>
      <c r="AA1893" s="12" t="s">
        <v>14333</v>
      </c>
      <c r="AB1893" s="12"/>
      <c r="AC1893" s="12"/>
      <c r="AD1893" s="12"/>
      <c r="AE1893" s="12"/>
      <c r="AF1893" s="12" t="s">
        <v>3705</v>
      </c>
      <c r="AG1893" s="12" t="s">
        <v>68</v>
      </c>
      <c r="AH1893" s="12">
        <v>1842</v>
      </c>
      <c r="AI1893" s="12" t="str">
        <f t="shared" si="361"/>
        <v>1842</v>
      </c>
      <c r="AJ1893" s="12" t="s">
        <v>13259</v>
      </c>
      <c r="AK1893" s="12"/>
      <c r="AL1893" s="12"/>
      <c r="AM1893" s="12"/>
      <c r="AN1893" s="12"/>
      <c r="AO1893" s="12"/>
      <c r="AP1893" s="12"/>
      <c r="AQ1893" s="12"/>
      <c r="AR1893" s="12"/>
      <c r="AS1893" s="12"/>
      <c r="AT1893" s="12"/>
      <c r="AU1893" s="12"/>
      <c r="AV1893" s="12"/>
      <c r="AW1893" s="12"/>
      <c r="AX1893" s="12"/>
      <c r="AY1893" s="12"/>
      <c r="AZ1893" s="12"/>
      <c r="BA1893" s="12"/>
      <c r="BB1893" s="12"/>
      <c r="BC1893" s="12"/>
      <c r="BD1893" s="12"/>
      <c r="BE1893" s="12"/>
      <c r="BF1893" s="12"/>
      <c r="BG1893" s="12"/>
      <c r="BH1893" s="12"/>
      <c r="BI1893" s="12"/>
      <c r="BJ1893" s="12"/>
      <c r="BK1893" s="12"/>
      <c r="BL1893" s="12"/>
      <c r="BM1893" s="12"/>
      <c r="BN1893" s="12"/>
      <c r="BO1893" s="12"/>
      <c r="BP1893" s="12"/>
      <c r="BQ1893" s="12"/>
      <c r="BR1893" s="12"/>
      <c r="BS1893" s="12"/>
      <c r="BT1893" s="12"/>
      <c r="BU1893" s="12"/>
      <c r="BV1893" s="12"/>
      <c r="BW1893" s="12"/>
      <c r="BX1893" s="12"/>
      <c r="BY1893" s="12"/>
      <c r="BZ1893" s="12"/>
      <c r="CA1893" s="12"/>
      <c r="CB1893" s="12"/>
      <c r="CC1893" s="12"/>
      <c r="CD1893" s="12"/>
    </row>
    <row r="1894" spans="1:82">
      <c r="A1894" s="12" t="s">
        <v>700</v>
      </c>
      <c r="B1894" s="12" t="str">
        <f t="shared" si="353"/>
        <v>VANDERMERWE</v>
      </c>
      <c r="C1894" s="12" t="str">
        <f t="shared" si="354"/>
        <v>VAN DER MERWE</v>
      </c>
      <c r="D1894" s="12" t="s">
        <v>4404</v>
      </c>
      <c r="E1894" s="12" t="str">
        <f t="shared" si="364"/>
        <v>Marthinus Stephanus</v>
      </c>
      <c r="F1894" s="12" t="s">
        <v>14334</v>
      </c>
      <c r="G1894" s="12" t="str">
        <f t="shared" si="355"/>
        <v>a1b2c5d4e1f4g1</v>
      </c>
      <c r="H1894" s="12" t="str">
        <f t="shared" si="365"/>
        <v>VAN DER MERWEa1b2c5d4e1f4g1</v>
      </c>
      <c r="I1894" s="12"/>
      <c r="J1894" s="12"/>
      <c r="K1894" s="12" t="str">
        <f t="shared" si="357"/>
        <v/>
      </c>
      <c r="L1894" s="12"/>
      <c r="M1894" s="12" t="s">
        <v>1677</v>
      </c>
      <c r="N1894" s="12" t="str">
        <f t="shared" si="362"/>
        <v/>
      </c>
      <c r="O1894" s="12" t="str">
        <f t="shared" si="363"/>
        <v>1807</v>
      </c>
      <c r="P1894" s="12"/>
      <c r="Q1894" s="12" t="str">
        <f t="shared" si="358"/>
        <v>1807</v>
      </c>
      <c r="R1894" s="12"/>
      <c r="S1894" s="12" t="str">
        <f t="shared" si="359"/>
        <v/>
      </c>
      <c r="T1894" s="12" t="s">
        <v>90</v>
      </c>
      <c r="U1894" s="12" t="s">
        <v>14335</v>
      </c>
      <c r="V1894" s="12" t="str">
        <f t="shared" si="360"/>
        <v>1838</v>
      </c>
      <c r="W1894" s="12" t="s">
        <v>14336</v>
      </c>
      <c r="X1894" s="12" t="s">
        <v>2235</v>
      </c>
      <c r="Y1894" s="12" t="s">
        <v>14337</v>
      </c>
      <c r="Z1894" s="12"/>
      <c r="AA1894" s="12">
        <v>1820</v>
      </c>
      <c r="AB1894" s="12"/>
      <c r="AC1894" s="12"/>
      <c r="AD1894" s="12"/>
      <c r="AE1894" s="12"/>
      <c r="AF1894" s="12" t="s">
        <v>3705</v>
      </c>
      <c r="AG1894" s="12" t="s">
        <v>68</v>
      </c>
      <c r="AH1894" s="12" t="s">
        <v>14338</v>
      </c>
      <c r="AI1894" s="12" t="str">
        <f t="shared" si="361"/>
        <v>1838</v>
      </c>
      <c r="AJ1894" s="12" t="s">
        <v>10763</v>
      </c>
      <c r="AK1894" s="12"/>
      <c r="AL1894" s="12"/>
      <c r="AM1894" s="12"/>
      <c r="AN1894" s="12" t="s">
        <v>3355</v>
      </c>
      <c r="AO1894" s="12" t="s">
        <v>668</v>
      </c>
      <c r="AP1894" s="12"/>
      <c r="AQ1894" s="12"/>
      <c r="AR1894" s="12"/>
      <c r="AS1894" s="12"/>
      <c r="AT1894" s="12"/>
      <c r="AU1894" s="12"/>
      <c r="AV1894" s="12"/>
      <c r="AW1894" s="12"/>
      <c r="AX1894" s="12"/>
      <c r="AY1894" s="12"/>
      <c r="AZ1894" s="12"/>
      <c r="BA1894" s="12"/>
      <c r="BB1894" s="12"/>
      <c r="BC1894" s="12"/>
      <c r="BD1894" s="12"/>
      <c r="BE1894" s="12"/>
      <c r="BF1894" s="12"/>
      <c r="BG1894" s="12"/>
      <c r="BH1894" s="12"/>
      <c r="BI1894" s="12"/>
      <c r="BJ1894" s="12"/>
      <c r="BK1894" s="12"/>
      <c r="BL1894" s="12"/>
      <c r="BM1894" s="12"/>
      <c r="BN1894" s="12"/>
      <c r="BO1894" s="12"/>
      <c r="BP1894" s="12"/>
      <c r="BQ1894" s="12"/>
      <c r="BR1894" s="12"/>
      <c r="BS1894" s="12"/>
      <c r="BT1894" s="12"/>
      <c r="BU1894" s="12"/>
      <c r="BV1894" s="12"/>
      <c r="BW1894" s="12"/>
      <c r="BX1894" s="12"/>
      <c r="BY1894" s="12"/>
      <c r="BZ1894" s="12"/>
      <c r="CA1894" s="12"/>
      <c r="CB1894" s="12"/>
      <c r="CC1894" s="12"/>
      <c r="CD1894" s="12"/>
    </row>
    <row r="1895" spans="1:82">
      <c r="A1895" s="12" t="s">
        <v>700</v>
      </c>
      <c r="B1895" s="12" t="str">
        <f t="shared" si="353"/>
        <v>VANDERMERWE</v>
      </c>
      <c r="C1895" s="12" t="str">
        <f t="shared" si="354"/>
        <v>VAN DER MERWE</v>
      </c>
      <c r="D1895" s="12" t="s">
        <v>122</v>
      </c>
      <c r="E1895" s="12" t="str">
        <f t="shared" si="364"/>
        <v>Hendrik</v>
      </c>
      <c r="F1895" s="12" t="s">
        <v>14231</v>
      </c>
      <c r="G1895" s="12" t="str">
        <f t="shared" si="355"/>
        <v>a1b2c5d4e1f4g4</v>
      </c>
      <c r="H1895" s="12" t="str">
        <f t="shared" si="365"/>
        <v>VAN DER MERWEa1b2c5d4e1f4g4</v>
      </c>
      <c r="I1895" s="12"/>
      <c r="J1895" s="12">
        <v>1817</v>
      </c>
      <c r="K1895" s="12" t="str">
        <f t="shared" si="357"/>
        <v>1817</v>
      </c>
      <c r="L1895" s="12"/>
      <c r="M1895" s="12"/>
      <c r="N1895" s="12" t="str">
        <f t="shared" si="362"/>
        <v>1817</v>
      </c>
      <c r="O1895" s="12" t="str">
        <f t="shared" si="363"/>
        <v/>
      </c>
      <c r="P1895" s="12"/>
      <c r="Q1895" s="12" t="str">
        <f t="shared" si="358"/>
        <v>1817</v>
      </c>
      <c r="R1895" s="12"/>
      <c r="S1895" s="12" t="str">
        <f t="shared" si="359"/>
        <v/>
      </c>
      <c r="T1895" s="12"/>
      <c r="U1895" s="12"/>
      <c r="V1895" s="12" t="str">
        <f t="shared" si="360"/>
        <v/>
      </c>
      <c r="W1895" s="12" t="s">
        <v>14232</v>
      </c>
      <c r="X1895" s="12" t="s">
        <v>295</v>
      </c>
      <c r="Y1895" s="12" t="s">
        <v>14233</v>
      </c>
      <c r="Z1895" s="12"/>
      <c r="AA1895" s="12"/>
      <c r="AB1895" s="12"/>
      <c r="AC1895" s="12"/>
      <c r="AD1895" s="12"/>
      <c r="AE1895" s="12"/>
      <c r="AF1895" s="12" t="s">
        <v>3706</v>
      </c>
      <c r="AG1895" s="12" t="s">
        <v>68</v>
      </c>
      <c r="AH1895" s="12" t="s">
        <v>14234</v>
      </c>
      <c r="AI1895" s="12" t="str">
        <f t="shared" si="361"/>
        <v>1838</v>
      </c>
      <c r="AJ1895" s="12" t="s">
        <v>277</v>
      </c>
      <c r="AK1895" s="12"/>
      <c r="AL1895" s="12"/>
      <c r="AM1895" s="12"/>
      <c r="AN1895" s="12"/>
      <c r="AO1895" s="12"/>
      <c r="AP1895" s="12"/>
      <c r="AQ1895" s="12"/>
      <c r="AR1895" s="12"/>
      <c r="AS1895" s="12"/>
      <c r="AT1895" s="12"/>
      <c r="AU1895" s="12"/>
      <c r="AV1895" s="12"/>
      <c r="AW1895" s="12"/>
      <c r="AX1895" s="12"/>
      <c r="AY1895" s="12"/>
      <c r="AZ1895" s="12"/>
      <c r="BA1895" s="12"/>
      <c r="BB1895" s="12"/>
      <c r="BC1895" s="12"/>
      <c r="BD1895" s="12"/>
      <c r="BE1895" s="12"/>
      <c r="BF1895" s="12"/>
      <c r="BG1895" s="12"/>
      <c r="BH1895" s="12"/>
      <c r="BI1895" s="12"/>
      <c r="BJ1895" s="12"/>
      <c r="BK1895" s="12"/>
      <c r="BL1895" s="12"/>
      <c r="BM1895" s="12"/>
      <c r="BN1895" s="12"/>
      <c r="BO1895" s="12"/>
      <c r="BP1895" s="12"/>
      <c r="BQ1895" s="12"/>
      <c r="BR1895" s="12"/>
      <c r="BS1895" s="12"/>
      <c r="BT1895" s="12"/>
      <c r="BU1895" s="12"/>
      <c r="BV1895" s="12"/>
      <c r="BW1895" s="12"/>
      <c r="BX1895" s="12"/>
      <c r="BY1895" s="12"/>
      <c r="BZ1895" s="12"/>
      <c r="CA1895" s="12"/>
      <c r="CB1895" s="12"/>
      <c r="CC1895" s="12"/>
      <c r="CD1895" s="12"/>
    </row>
    <row r="1896" spans="1:82">
      <c r="A1896" s="12" t="s">
        <v>700</v>
      </c>
      <c r="B1896" s="12" t="str">
        <f t="shared" si="353"/>
        <v>VANDERMERWE</v>
      </c>
      <c r="C1896" s="12" t="str">
        <f t="shared" si="354"/>
        <v>VAN DER MERWE</v>
      </c>
      <c r="D1896" s="12" t="s">
        <v>273</v>
      </c>
      <c r="E1896" s="12" t="str">
        <f t="shared" si="364"/>
        <v>Marthinus</v>
      </c>
      <c r="F1896" s="12" t="s">
        <v>14339</v>
      </c>
      <c r="G1896" s="12" t="str">
        <f t="shared" si="355"/>
        <v>a1b2c5d5e1f1g3</v>
      </c>
      <c r="H1896" s="12" t="str">
        <f t="shared" si="365"/>
        <v>VAN DER MERWEa1b2c5d5e1f1g3</v>
      </c>
      <c r="I1896" s="12"/>
      <c r="J1896" s="12"/>
      <c r="K1896" s="12" t="str">
        <f t="shared" si="357"/>
        <v/>
      </c>
      <c r="L1896" s="12"/>
      <c r="M1896" s="12" t="s">
        <v>1577</v>
      </c>
      <c r="N1896" s="12" t="str">
        <f t="shared" si="362"/>
        <v/>
      </c>
      <c r="O1896" s="12" t="str">
        <f t="shared" si="363"/>
        <v>1808</v>
      </c>
      <c r="P1896" s="12"/>
      <c r="Q1896" s="12" t="str">
        <f t="shared" si="358"/>
        <v>1808</v>
      </c>
      <c r="R1896" s="12"/>
      <c r="S1896" s="12" t="str">
        <f t="shared" si="359"/>
        <v/>
      </c>
      <c r="T1896" s="12" t="s">
        <v>28</v>
      </c>
      <c r="U1896" s="12" t="s">
        <v>4122</v>
      </c>
      <c r="V1896" s="12" t="str">
        <f t="shared" si="360"/>
        <v>1835</v>
      </c>
      <c r="W1896" s="12" t="s">
        <v>3120</v>
      </c>
      <c r="X1896" s="12" t="s">
        <v>295</v>
      </c>
      <c r="Y1896" s="12"/>
      <c r="Z1896" s="12"/>
      <c r="AA1896" s="12"/>
      <c r="AB1896" s="12"/>
      <c r="AC1896" s="12"/>
      <c r="AD1896" s="12"/>
      <c r="AE1896" s="12"/>
      <c r="AF1896" s="12" t="s">
        <v>3699</v>
      </c>
      <c r="AG1896" s="12" t="s">
        <v>68</v>
      </c>
      <c r="AH1896" s="12" t="s">
        <v>12621</v>
      </c>
      <c r="AI1896" s="12" t="str">
        <f t="shared" si="361"/>
        <v>1836</v>
      </c>
      <c r="AJ1896" s="12" t="s">
        <v>13060</v>
      </c>
      <c r="AK1896" s="12"/>
      <c r="AL1896" s="12"/>
      <c r="AM1896" s="12"/>
      <c r="AN1896" s="12"/>
      <c r="AO1896" s="12"/>
      <c r="AP1896" s="12"/>
      <c r="AQ1896" s="12"/>
      <c r="AR1896" s="12"/>
      <c r="AS1896" s="12"/>
      <c r="AT1896" s="12"/>
      <c r="AU1896" s="12"/>
      <c r="AV1896" s="12"/>
      <c r="AW1896" s="12"/>
      <c r="AX1896" s="12"/>
      <c r="AY1896" s="12"/>
      <c r="AZ1896" s="12"/>
      <c r="BA1896" s="12"/>
      <c r="BB1896" s="12"/>
      <c r="BC1896" s="12"/>
      <c r="BD1896" s="12"/>
      <c r="BE1896" s="12"/>
      <c r="BF1896" s="12"/>
      <c r="BG1896" s="12"/>
      <c r="BH1896" s="12"/>
      <c r="BI1896" s="12"/>
      <c r="BJ1896" s="12"/>
      <c r="BK1896" s="12"/>
      <c r="BL1896" s="12"/>
      <c r="BM1896" s="12"/>
      <c r="BN1896" s="12"/>
      <c r="BO1896" s="12"/>
      <c r="BP1896" s="12"/>
      <c r="BQ1896" s="12"/>
      <c r="BR1896" s="12"/>
      <c r="BS1896" s="12"/>
      <c r="BT1896" s="12"/>
      <c r="BU1896" s="12"/>
      <c r="BV1896" s="12"/>
      <c r="BW1896" s="12"/>
      <c r="BX1896" s="12"/>
      <c r="BY1896" s="12"/>
      <c r="BZ1896" s="12"/>
      <c r="CA1896" s="12"/>
      <c r="CB1896" s="12"/>
      <c r="CC1896" s="12"/>
      <c r="CD1896" s="12"/>
    </row>
    <row r="1897" spans="1:82">
      <c r="A1897" s="12" t="s">
        <v>700</v>
      </c>
      <c r="B1897" s="12" t="str">
        <f t="shared" si="353"/>
        <v>VANDERMERWE</v>
      </c>
      <c r="C1897" s="12" t="str">
        <f t="shared" si="354"/>
        <v>VAN DER MERWE</v>
      </c>
      <c r="D1897" s="12" t="s">
        <v>7275</v>
      </c>
      <c r="E1897" s="12" t="str">
        <f t="shared" si="364"/>
        <v>Jacobus Francois</v>
      </c>
      <c r="F1897" s="12" t="s">
        <v>14249</v>
      </c>
      <c r="G1897" s="12" t="str">
        <f t="shared" si="355"/>
        <v>a1b2c5d7e5f1</v>
      </c>
      <c r="H1897" s="12" t="str">
        <f t="shared" si="365"/>
        <v>VAN DER MERWEa1b2c5d7e5f1</v>
      </c>
      <c r="I1897" s="12"/>
      <c r="J1897" s="12" t="s">
        <v>14250</v>
      </c>
      <c r="K1897" s="12" t="str">
        <f t="shared" si="357"/>
        <v>1796</v>
      </c>
      <c r="L1897" s="12" t="s">
        <v>542</v>
      </c>
      <c r="M1897" s="12" t="s">
        <v>14251</v>
      </c>
      <c r="N1897" s="12" t="str">
        <f t="shared" si="362"/>
        <v>1796</v>
      </c>
      <c r="O1897" s="12" t="str">
        <f t="shared" si="363"/>
        <v>1796</v>
      </c>
      <c r="P1897" s="12"/>
      <c r="Q1897" s="12" t="str">
        <f t="shared" si="358"/>
        <v>1796</v>
      </c>
      <c r="R1897" s="12"/>
      <c r="S1897" s="12" t="str">
        <f t="shared" si="359"/>
        <v/>
      </c>
      <c r="T1897" s="12"/>
      <c r="U1897" s="12"/>
      <c r="V1897" s="12" t="str">
        <f t="shared" si="360"/>
        <v/>
      </c>
      <c r="W1897" s="12" t="s">
        <v>3389</v>
      </c>
      <c r="X1897" s="12" t="s">
        <v>3799</v>
      </c>
      <c r="Y1897" s="12"/>
      <c r="Z1897" s="12"/>
      <c r="AA1897" s="12"/>
      <c r="AB1897" s="12"/>
      <c r="AC1897" s="12" t="s">
        <v>14252</v>
      </c>
      <c r="AD1897" s="12"/>
      <c r="AE1897" s="12"/>
      <c r="AF1897" s="12" t="s">
        <v>3698</v>
      </c>
      <c r="AG1897" s="12" t="s">
        <v>74</v>
      </c>
      <c r="AH1897" s="12" t="s">
        <v>14253</v>
      </c>
      <c r="AI1897" s="12" t="str">
        <f t="shared" si="361"/>
        <v>1840</v>
      </c>
      <c r="AJ1897" s="12"/>
      <c r="AK1897" s="12" t="s">
        <v>1035</v>
      </c>
      <c r="AL1897" s="12"/>
      <c r="AM1897" s="12"/>
      <c r="AN1897" s="12" t="s">
        <v>3198</v>
      </c>
      <c r="AO1897" s="12" t="s">
        <v>14254</v>
      </c>
      <c r="AP1897" s="12" t="s">
        <v>1634</v>
      </c>
      <c r="AQ1897" s="12"/>
      <c r="AR1897" s="12">
        <v>1799</v>
      </c>
      <c r="AS1897" s="12"/>
      <c r="AT1897" s="12"/>
      <c r="AU1897" s="12" t="s">
        <v>14255</v>
      </c>
      <c r="AV1897" s="12"/>
      <c r="AW1897" s="12"/>
      <c r="AX1897" s="12"/>
      <c r="AY1897" s="12"/>
      <c r="AZ1897" s="12"/>
      <c r="BA1897" s="12"/>
      <c r="BB1897" s="12"/>
      <c r="BC1897" s="12"/>
      <c r="BD1897" s="12"/>
      <c r="BE1897" s="12"/>
      <c r="BF1897" s="12"/>
      <c r="BG1897" s="12"/>
      <c r="BH1897" s="12"/>
      <c r="BI1897" s="12"/>
      <c r="BJ1897" s="12"/>
      <c r="BK1897" s="12"/>
      <c r="BL1897" s="12"/>
      <c r="BM1897" s="12"/>
      <c r="BN1897" s="12"/>
      <c r="BO1897" s="12"/>
      <c r="BP1897" s="12"/>
      <c r="BQ1897" s="12"/>
      <c r="BR1897" s="12"/>
      <c r="BS1897" s="12"/>
      <c r="BT1897" s="12"/>
      <c r="BU1897" s="12"/>
      <c r="BV1897" s="12"/>
      <c r="BW1897" s="12"/>
      <c r="BX1897" s="12"/>
      <c r="BY1897" s="12"/>
      <c r="BZ1897" s="12"/>
      <c r="CA1897" s="12"/>
      <c r="CB1897" s="12"/>
      <c r="CC1897" s="12"/>
      <c r="CD1897" s="12"/>
    </row>
    <row r="1898" spans="1:82">
      <c r="A1898" s="12" t="s">
        <v>700</v>
      </c>
      <c r="B1898" s="12" t="str">
        <f t="shared" si="353"/>
        <v>VANDERMERWE</v>
      </c>
      <c r="C1898" s="12" t="str">
        <f t="shared" si="354"/>
        <v>VAN DER MERWE</v>
      </c>
      <c r="D1898" s="12" t="s">
        <v>14206</v>
      </c>
      <c r="E1898" s="12" t="str">
        <f t="shared" si="364"/>
        <v>Francois Anroldus</v>
      </c>
      <c r="F1898" s="12" t="s">
        <v>14207</v>
      </c>
      <c r="G1898" s="12" t="str">
        <f t="shared" si="355"/>
        <v>a1b2c5d7e5f2</v>
      </c>
      <c r="H1898" s="12" t="str">
        <f t="shared" si="365"/>
        <v>VAN DER MERWEa1b2c5d7e5f2</v>
      </c>
      <c r="I1898" s="12"/>
      <c r="J1898" s="12" t="s">
        <v>14208</v>
      </c>
      <c r="K1898" s="12" t="str">
        <f t="shared" si="357"/>
        <v>1798</v>
      </c>
      <c r="L1898" s="12" t="s">
        <v>542</v>
      </c>
      <c r="M1898" s="12" t="s">
        <v>12330</v>
      </c>
      <c r="N1898" s="12" t="str">
        <f t="shared" si="362"/>
        <v>1798</v>
      </c>
      <c r="O1898" s="12" t="str">
        <f t="shared" si="363"/>
        <v>1798</v>
      </c>
      <c r="P1898" s="12"/>
      <c r="Q1898" s="12" t="str">
        <f t="shared" si="358"/>
        <v>1798</v>
      </c>
      <c r="R1898" s="12"/>
      <c r="S1898" s="12" t="str">
        <f t="shared" si="359"/>
        <v/>
      </c>
      <c r="T1898" s="12"/>
      <c r="U1898" s="12" t="s">
        <v>4720</v>
      </c>
      <c r="V1898" s="12" t="str">
        <f t="shared" si="360"/>
        <v>1819</v>
      </c>
      <c r="W1898" s="12" t="s">
        <v>14209</v>
      </c>
      <c r="X1898" s="12" t="s">
        <v>2305</v>
      </c>
      <c r="Y1898" s="12"/>
      <c r="Z1898" s="12"/>
      <c r="AA1898" s="12"/>
      <c r="AB1898" s="12"/>
      <c r="AC1898" s="12"/>
      <c r="AD1898" s="12"/>
      <c r="AE1898" s="12"/>
      <c r="AF1898" s="12" t="s">
        <v>3698</v>
      </c>
      <c r="AG1898" s="12" t="s">
        <v>74</v>
      </c>
      <c r="AH1898" s="12" t="s">
        <v>385</v>
      </c>
      <c r="AI1898" s="12" t="str">
        <f t="shared" si="361"/>
        <v>1840</v>
      </c>
      <c r="AJ1898" s="12"/>
      <c r="AK1898" s="12" t="s">
        <v>551</v>
      </c>
      <c r="AL1898" s="12" t="s">
        <v>74</v>
      </c>
      <c r="AM1898" s="12" t="s">
        <v>14210</v>
      </c>
      <c r="AN1898" s="12" t="s">
        <v>4267</v>
      </c>
      <c r="AO1898" s="12" t="s">
        <v>3799</v>
      </c>
      <c r="AP1898" s="12"/>
      <c r="AQ1898" s="12"/>
      <c r="AR1898" s="12"/>
      <c r="AS1898" s="12"/>
      <c r="AT1898" s="12"/>
      <c r="AU1898" s="12"/>
      <c r="AV1898" s="12"/>
      <c r="AW1898" s="12"/>
      <c r="AX1898" s="12"/>
      <c r="AY1898" s="12"/>
      <c r="AZ1898" s="12"/>
      <c r="BA1898" s="12"/>
      <c r="BB1898" s="12"/>
      <c r="BC1898" s="12"/>
      <c r="BD1898" s="12"/>
      <c r="BE1898" s="12"/>
      <c r="BF1898" s="12"/>
      <c r="BG1898" s="12"/>
      <c r="BH1898" s="12"/>
      <c r="BI1898" s="12"/>
      <c r="BJ1898" s="12"/>
      <c r="BK1898" s="12"/>
      <c r="BL1898" s="12"/>
      <c r="BM1898" s="12"/>
      <c r="BN1898" s="12"/>
      <c r="BO1898" s="12"/>
      <c r="BP1898" s="12"/>
      <c r="BQ1898" s="12"/>
      <c r="BR1898" s="12"/>
      <c r="BS1898" s="12"/>
      <c r="BT1898" s="12"/>
      <c r="BU1898" s="12"/>
      <c r="BV1898" s="12"/>
      <c r="BW1898" s="12"/>
      <c r="BX1898" s="12"/>
      <c r="BY1898" s="12"/>
      <c r="BZ1898" s="12"/>
      <c r="CA1898" s="12"/>
      <c r="CB1898" s="12"/>
      <c r="CC1898" s="12"/>
      <c r="CD1898" s="12"/>
    </row>
    <row r="1899" spans="1:82">
      <c r="A1899" s="12" t="s">
        <v>700</v>
      </c>
      <c r="B1899" s="12" t="str">
        <f t="shared" si="353"/>
        <v>VANDERMERWE</v>
      </c>
      <c r="C1899" s="12" t="str">
        <f t="shared" si="354"/>
        <v>VAN DER MERWE</v>
      </c>
      <c r="D1899" s="12" t="s">
        <v>14366</v>
      </c>
      <c r="E1899" s="12" t="str">
        <f t="shared" si="364"/>
        <v>Willem Carel</v>
      </c>
      <c r="F1899" s="12" t="s">
        <v>14367</v>
      </c>
      <c r="G1899" s="12" t="str">
        <f t="shared" si="355"/>
        <v>a1b2c9d12e5</v>
      </c>
      <c r="H1899" s="12" t="str">
        <f t="shared" si="365"/>
        <v>VAN DER MERWEa1b2c9d12e5</v>
      </c>
      <c r="I1899" s="12" t="s">
        <v>14170</v>
      </c>
      <c r="J1899" s="12" t="s">
        <v>14368</v>
      </c>
      <c r="K1899" s="12" t="str">
        <f t="shared" si="357"/>
        <v>1785</v>
      </c>
      <c r="L1899" s="12"/>
      <c r="M1899" s="12" t="s">
        <v>14369</v>
      </c>
      <c r="N1899" s="12" t="str">
        <f t="shared" si="362"/>
        <v>1785</v>
      </c>
      <c r="O1899" s="12" t="str">
        <f t="shared" si="363"/>
        <v>1786</v>
      </c>
      <c r="P1899" s="12"/>
      <c r="Q1899" s="12" t="str">
        <f t="shared" si="358"/>
        <v>1785</v>
      </c>
      <c r="R1899" s="12">
        <v>1858</v>
      </c>
      <c r="S1899" s="12" t="str">
        <f t="shared" si="359"/>
        <v>1858</v>
      </c>
      <c r="T1899" s="12"/>
      <c r="U1899" s="12"/>
      <c r="V1899" s="12" t="str">
        <f t="shared" si="360"/>
        <v/>
      </c>
      <c r="W1899" s="12" t="s">
        <v>2079</v>
      </c>
      <c r="X1899" s="12" t="s">
        <v>1760</v>
      </c>
      <c r="Y1899" s="12" t="s">
        <v>14370</v>
      </c>
      <c r="Z1899" s="12"/>
      <c r="AA1899" s="12"/>
      <c r="AB1899" s="12"/>
      <c r="AC1899" s="12" t="s">
        <v>14371</v>
      </c>
      <c r="AD1899" s="12"/>
      <c r="AE1899" s="12"/>
      <c r="AF1899" s="12" t="s">
        <v>5480</v>
      </c>
      <c r="AG1899" s="12" t="s">
        <v>74</v>
      </c>
      <c r="AH1899" s="12" t="s">
        <v>12900</v>
      </c>
      <c r="AI1899" s="12" t="str">
        <f t="shared" si="361"/>
        <v>1836</v>
      </c>
      <c r="AJ1899" s="12" t="s">
        <v>14090</v>
      </c>
      <c r="AK1899" s="12" t="s">
        <v>406</v>
      </c>
      <c r="AL1899" s="12"/>
      <c r="AM1899" s="12"/>
      <c r="AN1899" s="12"/>
      <c r="AO1899" s="12"/>
      <c r="AP1899" s="12"/>
      <c r="AQ1899" s="12"/>
      <c r="AR1899" s="12"/>
      <c r="AS1899" s="12"/>
      <c r="AT1899" s="12"/>
      <c r="AU1899" s="12"/>
      <c r="AV1899" s="12"/>
      <c r="AW1899" s="12"/>
      <c r="AX1899" s="12"/>
      <c r="AY1899" s="12"/>
      <c r="AZ1899" s="12"/>
      <c r="BA1899" s="12"/>
      <c r="BB1899" s="12"/>
      <c r="BC1899" s="12"/>
      <c r="BD1899" s="12"/>
      <c r="BE1899" s="12"/>
      <c r="BF1899" s="12"/>
      <c r="BG1899" s="12"/>
      <c r="BH1899" s="12"/>
      <c r="BI1899" s="12"/>
      <c r="BJ1899" s="12"/>
      <c r="BK1899" s="12"/>
      <c r="BL1899" s="12"/>
      <c r="BM1899" s="12"/>
      <c r="BN1899" s="12"/>
      <c r="BO1899" s="12"/>
      <c r="BP1899" s="12"/>
      <c r="BQ1899" s="12"/>
      <c r="BR1899" s="12"/>
      <c r="BS1899" s="12"/>
      <c r="BT1899" s="12"/>
      <c r="BU1899" s="12"/>
      <c r="BV1899" s="12"/>
      <c r="BW1899" s="12"/>
      <c r="BX1899" s="12"/>
      <c r="BY1899" s="12"/>
      <c r="BZ1899" s="12"/>
      <c r="CA1899" s="12"/>
      <c r="CB1899" s="12"/>
      <c r="CC1899" s="12"/>
      <c r="CD1899" s="12"/>
    </row>
    <row r="1900" spans="1:82">
      <c r="A1900" s="12" t="s">
        <v>700</v>
      </c>
      <c r="B1900" s="12" t="str">
        <f t="shared" si="353"/>
        <v>VANDERMERWE</v>
      </c>
      <c r="C1900" s="12" t="str">
        <f t="shared" si="354"/>
        <v>VAN DER MERWE</v>
      </c>
      <c r="D1900" s="12" t="s">
        <v>14164</v>
      </c>
      <c r="E1900" s="12" t="str">
        <f t="shared" si="364"/>
        <v>Carel (Karel) Jacobus</v>
      </c>
      <c r="F1900" s="12" t="s">
        <v>14165</v>
      </c>
      <c r="G1900" s="12" t="str">
        <f t="shared" si="355"/>
        <v>a1b2c9d12e5f1</v>
      </c>
      <c r="H1900" s="12" t="str">
        <f t="shared" si="365"/>
        <v>VAN DER MERWEa1b2c9d12e5f1</v>
      </c>
      <c r="I1900" s="12" t="s">
        <v>542</v>
      </c>
      <c r="J1900" s="12" t="s">
        <v>14166</v>
      </c>
      <c r="K1900" s="12" t="str">
        <f t="shared" si="357"/>
        <v>1812</v>
      </c>
      <c r="L1900" s="12"/>
      <c r="M1900" s="12"/>
      <c r="N1900" s="12" t="str">
        <f t="shared" si="362"/>
        <v>1812</v>
      </c>
      <c r="O1900" s="12" t="str">
        <f t="shared" si="363"/>
        <v/>
      </c>
      <c r="P1900" s="12"/>
      <c r="Q1900" s="12" t="str">
        <f t="shared" si="358"/>
        <v>1812</v>
      </c>
      <c r="R1900" s="12"/>
      <c r="S1900" s="12" t="str">
        <f t="shared" si="359"/>
        <v/>
      </c>
      <c r="T1900" s="12"/>
      <c r="U1900" s="12"/>
      <c r="V1900" s="12" t="str">
        <f t="shared" si="360"/>
        <v/>
      </c>
      <c r="W1900" s="12" t="s">
        <v>2314</v>
      </c>
      <c r="X1900" s="12" t="s">
        <v>1034</v>
      </c>
      <c r="Y1900" s="12" t="s">
        <v>14167</v>
      </c>
      <c r="Z1900" s="12"/>
      <c r="AA1900" s="12"/>
      <c r="AB1900" s="12"/>
      <c r="AC1900" s="12" t="s">
        <v>14168</v>
      </c>
      <c r="AD1900" s="12"/>
      <c r="AE1900" s="12"/>
      <c r="AF1900" s="12" t="s">
        <v>5480</v>
      </c>
      <c r="AG1900" s="12" t="s">
        <v>74</v>
      </c>
      <c r="AH1900" s="12" t="s">
        <v>12900</v>
      </c>
      <c r="AI1900" s="12" t="str">
        <f t="shared" si="361"/>
        <v>1836</v>
      </c>
      <c r="AJ1900" s="12" t="s">
        <v>10539</v>
      </c>
      <c r="AK1900" s="12" t="s">
        <v>140</v>
      </c>
      <c r="AL1900" s="12"/>
      <c r="AM1900" s="12"/>
      <c r="AN1900" s="12"/>
      <c r="AO1900" s="12"/>
      <c r="AP1900" s="12"/>
      <c r="AQ1900" s="12"/>
      <c r="AR1900" s="12"/>
      <c r="AS1900" s="12"/>
      <c r="AT1900" s="12"/>
      <c r="AU1900" s="12"/>
      <c r="AV1900" s="12"/>
      <c r="AW1900" s="12"/>
      <c r="AX1900" s="12"/>
      <c r="AY1900" s="12"/>
      <c r="AZ1900" s="12"/>
      <c r="BA1900" s="12"/>
      <c r="BB1900" s="12"/>
      <c r="BC1900" s="12"/>
      <c r="BD1900" s="12"/>
      <c r="BE1900" s="12"/>
      <c r="BF1900" s="12"/>
      <c r="BG1900" s="12"/>
      <c r="BH1900" s="12"/>
      <c r="BI1900" s="12"/>
      <c r="BJ1900" s="12"/>
      <c r="BK1900" s="12"/>
      <c r="BL1900" s="12"/>
      <c r="BM1900" s="12"/>
      <c r="BN1900" s="12"/>
      <c r="BO1900" s="12"/>
      <c r="BP1900" s="12"/>
      <c r="BQ1900" s="12"/>
      <c r="BR1900" s="12"/>
      <c r="BS1900" s="12"/>
      <c r="BT1900" s="12"/>
      <c r="BU1900" s="12"/>
      <c r="BV1900" s="12"/>
      <c r="BW1900" s="12"/>
      <c r="BX1900" s="12"/>
      <c r="BY1900" s="12"/>
      <c r="BZ1900" s="12"/>
      <c r="CA1900" s="12"/>
      <c r="CB1900" s="12"/>
      <c r="CC1900" s="12"/>
      <c r="CD1900" s="12"/>
    </row>
    <row r="1901" spans="1:82">
      <c r="A1901" s="12" t="s">
        <v>700</v>
      </c>
      <c r="B1901" s="12" t="str">
        <f t="shared" si="353"/>
        <v>VANDERMERWE</v>
      </c>
      <c r="C1901" s="12" t="str">
        <f t="shared" si="354"/>
        <v>VAN DER MERWE</v>
      </c>
      <c r="D1901" s="12" t="s">
        <v>1752</v>
      </c>
      <c r="E1901" s="12" t="str">
        <f t="shared" si="364"/>
        <v>Christiaan Pieter</v>
      </c>
      <c r="F1901" s="12" t="s">
        <v>14169</v>
      </c>
      <c r="G1901" s="12" t="str">
        <f t="shared" si="355"/>
        <v>a1b2c9d12e5f2</v>
      </c>
      <c r="H1901" s="12" t="str">
        <f t="shared" si="365"/>
        <v>VAN DER MERWEa1b2c9d12e5f2</v>
      </c>
      <c r="I1901" s="12" t="s">
        <v>14170</v>
      </c>
      <c r="J1901" s="12" t="s">
        <v>7937</v>
      </c>
      <c r="K1901" s="12" t="str">
        <f t="shared" si="357"/>
        <v>1814</v>
      </c>
      <c r="L1901" s="12"/>
      <c r="M1901" s="12"/>
      <c r="N1901" s="12" t="str">
        <f t="shared" si="362"/>
        <v>1814</v>
      </c>
      <c r="O1901" s="12" t="str">
        <f t="shared" si="363"/>
        <v/>
      </c>
      <c r="P1901" s="12" t="s">
        <v>406</v>
      </c>
      <c r="Q1901" s="12" t="str">
        <f t="shared" si="358"/>
        <v>1814</v>
      </c>
      <c r="R1901" s="12"/>
      <c r="S1901" s="12" t="str">
        <f t="shared" si="359"/>
        <v/>
      </c>
      <c r="T1901" s="12"/>
      <c r="U1901" s="12" t="s">
        <v>14171</v>
      </c>
      <c r="V1901" s="12" t="str">
        <f t="shared" si="360"/>
        <v>1835</v>
      </c>
      <c r="W1901" s="12" t="s">
        <v>14172</v>
      </c>
      <c r="X1901" s="12" t="s">
        <v>822</v>
      </c>
      <c r="Y1901" s="12" t="s">
        <v>14173</v>
      </c>
      <c r="Z1901" s="12"/>
      <c r="AA1901" s="12" t="s">
        <v>14174</v>
      </c>
      <c r="AB1901" s="12"/>
      <c r="AC1901" s="12"/>
      <c r="AD1901" s="12"/>
      <c r="AE1901" s="12">
        <v>1903</v>
      </c>
      <c r="AF1901" s="12" t="s">
        <v>5480</v>
      </c>
      <c r="AG1901" s="12" t="s">
        <v>74</v>
      </c>
      <c r="AH1901" s="12" t="s">
        <v>12900</v>
      </c>
      <c r="AI1901" s="12" t="str">
        <f t="shared" si="361"/>
        <v>1836</v>
      </c>
      <c r="AJ1901" s="12" t="s">
        <v>10539</v>
      </c>
      <c r="AK1901" s="12" t="s">
        <v>168</v>
      </c>
      <c r="AL1901" s="12"/>
      <c r="AM1901" s="12"/>
      <c r="AN1901" s="12"/>
      <c r="AO1901" s="12"/>
      <c r="AP1901" s="12"/>
      <c r="AQ1901" s="12"/>
      <c r="AR1901" s="12"/>
      <c r="AS1901" s="12"/>
      <c r="AT1901" s="12"/>
      <c r="AU1901" s="12"/>
      <c r="AV1901" s="12"/>
      <c r="AW1901" s="12"/>
      <c r="AX1901" s="12"/>
      <c r="AY1901" s="12"/>
      <c r="AZ1901" s="12"/>
      <c r="BA1901" s="12"/>
      <c r="BB1901" s="12"/>
      <c r="BC1901" s="12"/>
      <c r="BD1901" s="12"/>
      <c r="BE1901" s="12"/>
      <c r="BF1901" s="12"/>
      <c r="BG1901" s="12"/>
      <c r="BH1901" s="12"/>
      <c r="BI1901" s="12"/>
      <c r="BJ1901" s="12"/>
      <c r="BK1901" s="12"/>
      <c r="BL1901" s="12"/>
      <c r="BM1901" s="12"/>
      <c r="BN1901" s="12"/>
      <c r="BO1901" s="12"/>
      <c r="BP1901" s="12"/>
      <c r="BQ1901" s="12"/>
      <c r="BR1901" s="12"/>
      <c r="BS1901" s="12"/>
      <c r="BT1901" s="12"/>
      <c r="BU1901" s="12"/>
      <c r="BV1901" s="12"/>
      <c r="BW1901" s="12"/>
      <c r="BX1901" s="12"/>
      <c r="BY1901" s="12"/>
      <c r="BZ1901" s="12"/>
      <c r="CA1901" s="12"/>
      <c r="CB1901" s="12"/>
      <c r="CC1901" s="12"/>
      <c r="CD1901" s="12"/>
    </row>
    <row r="1902" spans="1:82">
      <c r="A1902" s="12" t="s">
        <v>700</v>
      </c>
      <c r="B1902" s="12" t="str">
        <f t="shared" si="353"/>
        <v>VANDERMERWE</v>
      </c>
      <c r="C1902" s="12" t="str">
        <f t="shared" si="354"/>
        <v>VAN DER MERWE</v>
      </c>
      <c r="D1902" s="12" t="s">
        <v>14316</v>
      </c>
      <c r="E1902" s="12" t="str">
        <f t="shared" si="364"/>
        <v>Josias Willem</v>
      </c>
      <c r="F1902" s="12" t="s">
        <v>14317</v>
      </c>
      <c r="G1902" s="12" t="str">
        <f t="shared" si="355"/>
        <v>a1b2c9d12e5f4</v>
      </c>
      <c r="H1902" s="12" t="str">
        <f t="shared" si="365"/>
        <v>VAN DER MERWEa1b2c9d12e5f4</v>
      </c>
      <c r="I1902" s="12"/>
      <c r="J1902" s="12" t="s">
        <v>14184</v>
      </c>
      <c r="K1902" s="12" t="str">
        <f t="shared" si="357"/>
        <v>1817</v>
      </c>
      <c r="L1902" s="12"/>
      <c r="M1902" s="12"/>
      <c r="N1902" s="12" t="str">
        <f t="shared" si="362"/>
        <v>1817</v>
      </c>
      <c r="O1902" s="12" t="str">
        <f t="shared" si="363"/>
        <v/>
      </c>
      <c r="P1902" s="12"/>
      <c r="Q1902" s="12" t="str">
        <f t="shared" si="358"/>
        <v>1817</v>
      </c>
      <c r="R1902" s="12"/>
      <c r="S1902" s="12" t="str">
        <f t="shared" si="359"/>
        <v/>
      </c>
      <c r="T1902" s="12"/>
      <c r="U1902" s="12" t="s">
        <v>14109</v>
      </c>
      <c r="V1902" s="12" t="str">
        <f t="shared" si="360"/>
        <v>1844</v>
      </c>
      <c r="W1902" s="12" t="s">
        <v>3389</v>
      </c>
      <c r="X1902" s="12" t="s">
        <v>657</v>
      </c>
      <c r="Y1902" s="12" t="s">
        <v>14318</v>
      </c>
      <c r="Z1902" s="12"/>
      <c r="AA1902" s="12">
        <v>1824</v>
      </c>
      <c r="AB1902" s="12"/>
      <c r="AC1902" s="12"/>
      <c r="AD1902" s="12"/>
      <c r="AE1902" s="12"/>
      <c r="AF1902" s="12" t="s">
        <v>5480</v>
      </c>
      <c r="AG1902" s="12" t="s">
        <v>74</v>
      </c>
      <c r="AH1902" s="12" t="s">
        <v>12900</v>
      </c>
      <c r="AI1902" s="12" t="str">
        <f t="shared" si="361"/>
        <v>1836</v>
      </c>
      <c r="AJ1902" s="12" t="s">
        <v>10539</v>
      </c>
      <c r="AK1902" s="12" t="s">
        <v>90</v>
      </c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2"/>
      <c r="BA1902" s="12"/>
      <c r="BB1902" s="12"/>
      <c r="BC1902" s="12"/>
      <c r="BD1902" s="12"/>
      <c r="BE1902" s="12"/>
      <c r="BF1902" s="12"/>
      <c r="BG1902" s="12"/>
      <c r="BH1902" s="12"/>
      <c r="BI1902" s="12"/>
      <c r="BJ1902" s="12"/>
      <c r="BK1902" s="12"/>
      <c r="BL1902" s="12"/>
      <c r="BM1902" s="12"/>
      <c r="BN1902" s="12"/>
      <c r="BO1902" s="12"/>
      <c r="BP1902" s="12"/>
      <c r="BQ1902" s="12"/>
      <c r="BR1902" s="12"/>
      <c r="BS1902" s="12"/>
      <c r="BT1902" s="12"/>
      <c r="BU1902" s="12"/>
      <c r="BV1902" s="12"/>
      <c r="BW1902" s="12"/>
      <c r="BX1902" s="12"/>
      <c r="BY1902" s="12"/>
      <c r="BZ1902" s="12"/>
      <c r="CA1902" s="12"/>
      <c r="CB1902" s="12"/>
      <c r="CC1902" s="12"/>
      <c r="CD1902" s="12"/>
    </row>
    <row r="1903" spans="1:82">
      <c r="A1903" s="12" t="s">
        <v>700</v>
      </c>
      <c r="B1903" s="12" t="str">
        <f t="shared" si="353"/>
        <v>VANDERMERWE</v>
      </c>
      <c r="C1903" s="12" t="str">
        <f t="shared" si="354"/>
        <v>VAN DER MERWE</v>
      </c>
      <c r="D1903" s="12" t="s">
        <v>6644</v>
      </c>
      <c r="E1903" s="12" t="str">
        <f t="shared" si="364"/>
        <v>David Schalk</v>
      </c>
      <c r="F1903" s="12" t="s">
        <v>14191</v>
      </c>
      <c r="G1903" s="12" t="str">
        <f t="shared" si="355"/>
        <v>a1b2c9d6e10f2</v>
      </c>
      <c r="H1903" s="12" t="str">
        <f t="shared" si="365"/>
        <v>VAN DER MERWEa1b2c9d6e10f2</v>
      </c>
      <c r="I1903" s="12"/>
      <c r="J1903" s="12"/>
      <c r="K1903" s="12" t="str">
        <f t="shared" si="357"/>
        <v/>
      </c>
      <c r="L1903" s="12" t="s">
        <v>74</v>
      </c>
      <c r="M1903" s="12" t="s">
        <v>14192</v>
      </c>
      <c r="N1903" s="12" t="str">
        <f t="shared" si="362"/>
        <v/>
      </c>
      <c r="O1903" s="12" t="str">
        <f t="shared" si="363"/>
        <v>1800</v>
      </c>
      <c r="P1903" s="12"/>
      <c r="Q1903" s="12" t="str">
        <f t="shared" si="358"/>
        <v>1800</v>
      </c>
      <c r="R1903" s="12"/>
      <c r="S1903" s="12" t="str">
        <f t="shared" si="359"/>
        <v/>
      </c>
      <c r="T1903" s="12"/>
      <c r="U1903" s="12"/>
      <c r="V1903" s="12" t="str">
        <f t="shared" si="360"/>
        <v/>
      </c>
      <c r="W1903" s="12" t="s">
        <v>4890</v>
      </c>
      <c r="X1903" s="12" t="s">
        <v>700</v>
      </c>
      <c r="Y1903" s="12"/>
      <c r="Z1903" s="12"/>
      <c r="AA1903" s="12" t="s">
        <v>14193</v>
      </c>
      <c r="AB1903" s="12"/>
      <c r="AC1903" s="12"/>
      <c r="AD1903" s="12"/>
      <c r="AE1903" s="12"/>
      <c r="AF1903" s="12" t="s">
        <v>3714</v>
      </c>
      <c r="AG1903" s="12" t="s">
        <v>68</v>
      </c>
      <c r="AH1903" s="12" t="s">
        <v>14194</v>
      </c>
      <c r="AI1903" s="12" t="str">
        <f t="shared" si="361"/>
        <v>1844</v>
      </c>
      <c r="AJ1903" s="12" t="s">
        <v>1654</v>
      </c>
      <c r="AK1903" s="12"/>
      <c r="AL1903" s="12"/>
      <c r="AM1903" s="12"/>
      <c r="AN1903" s="12"/>
      <c r="AO1903" s="12"/>
      <c r="AP1903" s="12"/>
      <c r="AQ1903" s="12"/>
      <c r="AR1903" s="12"/>
      <c r="AS1903" s="12"/>
      <c r="AT1903" s="12"/>
      <c r="AU1903" s="12"/>
      <c r="AV1903" s="12"/>
      <c r="AW1903" s="12"/>
      <c r="AX1903" s="12"/>
      <c r="AY1903" s="12"/>
      <c r="AZ1903" s="12"/>
      <c r="BA1903" s="12"/>
      <c r="BB1903" s="12"/>
      <c r="BC1903" s="12"/>
      <c r="BD1903" s="12"/>
      <c r="BE1903" s="12"/>
      <c r="BF1903" s="12"/>
      <c r="BG1903" s="12"/>
      <c r="BH1903" s="12"/>
      <c r="BI1903" s="12"/>
      <c r="BJ1903" s="12"/>
      <c r="BK1903" s="12"/>
      <c r="BL1903" s="12"/>
      <c r="BM1903" s="12"/>
      <c r="BN1903" s="12"/>
      <c r="BO1903" s="12"/>
      <c r="BP1903" s="12"/>
      <c r="BQ1903" s="12"/>
      <c r="BR1903" s="12"/>
      <c r="BS1903" s="12"/>
      <c r="BT1903" s="12"/>
      <c r="BU1903" s="12"/>
      <c r="BV1903" s="12"/>
      <c r="BW1903" s="12"/>
      <c r="BX1903" s="12"/>
      <c r="BY1903" s="12"/>
      <c r="BZ1903" s="12"/>
      <c r="CA1903" s="12"/>
      <c r="CB1903" s="12"/>
      <c r="CC1903" s="12"/>
      <c r="CD1903" s="12"/>
    </row>
    <row r="1904" spans="1:82">
      <c r="A1904" s="12" t="s">
        <v>700</v>
      </c>
      <c r="B1904" s="12" t="str">
        <f t="shared" si="353"/>
        <v>VANDERMERWE</v>
      </c>
      <c r="C1904" s="12" t="str">
        <f t="shared" si="354"/>
        <v>VAN DER MERWE</v>
      </c>
      <c r="D1904" s="12" t="s">
        <v>14319</v>
      </c>
      <c r="E1904" s="12" t="str">
        <f t="shared" si="364"/>
        <v>Lodewicus Johannes</v>
      </c>
      <c r="F1904" s="12" t="s">
        <v>14320</v>
      </c>
      <c r="G1904" s="12" t="str">
        <f t="shared" si="355"/>
        <v>a1b2c9d6e1f5g3</v>
      </c>
      <c r="H1904" s="12" t="str">
        <f t="shared" si="365"/>
        <v>VAN DER MERWEa1b2c9d6e1f5g3</v>
      </c>
      <c r="I1904" s="12" t="s">
        <v>74</v>
      </c>
      <c r="J1904" s="12" t="s">
        <v>14321</v>
      </c>
      <c r="K1904" s="12" t="str">
        <f t="shared" si="357"/>
        <v>1825</v>
      </c>
      <c r="L1904" s="12"/>
      <c r="M1904" s="12"/>
      <c r="N1904" s="12" t="str">
        <f t="shared" si="362"/>
        <v>1825</v>
      </c>
      <c r="O1904" s="12" t="str">
        <f t="shared" si="363"/>
        <v/>
      </c>
      <c r="P1904" s="12" t="s">
        <v>168</v>
      </c>
      <c r="Q1904" s="12" t="str">
        <f t="shared" si="358"/>
        <v>1825</v>
      </c>
      <c r="R1904" s="12" t="s">
        <v>14322</v>
      </c>
      <c r="S1904" s="12" t="str">
        <f t="shared" si="359"/>
        <v>1884</v>
      </c>
      <c r="T1904" s="12"/>
      <c r="U1904" s="12"/>
      <c r="V1904" s="12" t="str">
        <f t="shared" si="360"/>
        <v/>
      </c>
      <c r="W1904" s="12" t="s">
        <v>14323</v>
      </c>
      <c r="X1904" s="12" t="s">
        <v>776</v>
      </c>
      <c r="Y1904" s="12" t="s">
        <v>14324</v>
      </c>
      <c r="Z1904" s="12"/>
      <c r="AA1904" s="12"/>
      <c r="AB1904" s="12"/>
      <c r="AC1904" s="12"/>
      <c r="AD1904" s="12"/>
      <c r="AE1904" s="12"/>
      <c r="AF1904" s="12" t="s">
        <v>3725</v>
      </c>
      <c r="AG1904" s="12" t="s">
        <v>74</v>
      </c>
      <c r="AH1904" s="12" t="s">
        <v>14325</v>
      </c>
      <c r="AI1904" s="12" t="str">
        <f t="shared" si="361"/>
        <v>1837</v>
      </c>
      <c r="AJ1904" s="12"/>
      <c r="AK1904" s="12" t="s">
        <v>90</v>
      </c>
      <c r="AL1904" s="12"/>
      <c r="AM1904" s="12"/>
      <c r="AN1904" s="12"/>
      <c r="AO1904" s="12"/>
      <c r="AP1904" s="12"/>
      <c r="AQ1904" s="12"/>
      <c r="AR1904" s="12"/>
      <c r="AS1904" s="12"/>
      <c r="AT1904" s="12"/>
      <c r="AU1904" s="12"/>
      <c r="AV1904" s="12"/>
      <c r="AW1904" s="12"/>
      <c r="AX1904" s="12"/>
      <c r="AY1904" s="12"/>
      <c r="AZ1904" s="12"/>
      <c r="BA1904" s="12"/>
      <c r="BB1904" s="12"/>
      <c r="BC1904" s="12"/>
      <c r="BD1904" s="12"/>
      <c r="BE1904" s="12"/>
      <c r="BF1904" s="12"/>
      <c r="BG1904" s="12"/>
      <c r="BH1904" s="12"/>
      <c r="BI1904" s="12"/>
      <c r="BJ1904" s="12"/>
      <c r="BK1904" s="12"/>
      <c r="BL1904" s="12"/>
      <c r="BM1904" s="12"/>
      <c r="BN1904" s="12"/>
      <c r="BO1904" s="12"/>
      <c r="BP1904" s="12"/>
      <c r="BQ1904" s="12"/>
      <c r="BR1904" s="12"/>
      <c r="BS1904" s="12"/>
      <c r="BT1904" s="12"/>
      <c r="BU1904" s="12"/>
      <c r="BV1904" s="12"/>
      <c r="BW1904" s="12"/>
      <c r="BX1904" s="12"/>
      <c r="BY1904" s="12"/>
      <c r="BZ1904" s="12"/>
      <c r="CA1904" s="12"/>
      <c r="CB1904" s="12"/>
      <c r="CC1904" s="12"/>
      <c r="CD1904" s="12"/>
    </row>
    <row r="1905" spans="1:82">
      <c r="A1905" s="12" t="s">
        <v>700</v>
      </c>
      <c r="B1905" s="12" t="str">
        <f t="shared" si="353"/>
        <v>VANDERMERWE</v>
      </c>
      <c r="C1905" s="12" t="str">
        <f t="shared" si="354"/>
        <v>VAN DER MERWE</v>
      </c>
      <c r="D1905" s="12" t="s">
        <v>14182</v>
      </c>
      <c r="E1905" s="12" t="str">
        <f t="shared" si="364"/>
        <v>David (Schalk)</v>
      </c>
      <c r="F1905" s="12" t="s">
        <v>14183</v>
      </c>
      <c r="G1905" s="12" t="str">
        <f t="shared" si="355"/>
        <v>a1b2c9d6e1f6g1</v>
      </c>
      <c r="H1905" s="12" t="str">
        <f t="shared" si="365"/>
        <v>VAN DER MERWEa1b2c9d6e1f6g1</v>
      </c>
      <c r="I1905" s="12" t="s">
        <v>74</v>
      </c>
      <c r="J1905" s="12" t="s">
        <v>14184</v>
      </c>
      <c r="K1905" s="12" t="str">
        <f t="shared" si="357"/>
        <v>1817</v>
      </c>
      <c r="L1905" s="12"/>
      <c r="M1905" s="12"/>
      <c r="N1905" s="12" t="str">
        <f t="shared" si="362"/>
        <v>1817</v>
      </c>
      <c r="O1905" s="12" t="str">
        <f t="shared" si="363"/>
        <v/>
      </c>
      <c r="P1905" s="12"/>
      <c r="Q1905" s="12" t="str">
        <f t="shared" si="358"/>
        <v>1817</v>
      </c>
      <c r="R1905" s="12"/>
      <c r="S1905" s="12" t="str">
        <f t="shared" si="359"/>
        <v/>
      </c>
      <c r="T1905" s="12"/>
      <c r="U1905" s="12" t="s">
        <v>14185</v>
      </c>
      <c r="V1905" s="12" t="str">
        <f t="shared" si="360"/>
        <v>1845</v>
      </c>
      <c r="W1905" s="12" t="s">
        <v>7163</v>
      </c>
      <c r="X1905" s="12" t="s">
        <v>655</v>
      </c>
      <c r="Y1905" s="12" t="s">
        <v>14186</v>
      </c>
      <c r="Z1905" s="12"/>
      <c r="AA1905" s="12" t="s">
        <v>7349</v>
      </c>
      <c r="AB1905" s="12"/>
      <c r="AC1905" s="12"/>
      <c r="AD1905" s="12"/>
      <c r="AE1905" s="12"/>
      <c r="AF1905" s="12"/>
      <c r="AG1905" s="12"/>
      <c r="AH1905" s="12" t="s">
        <v>7135</v>
      </c>
      <c r="AI1905" s="12" t="str">
        <f t="shared" si="361"/>
        <v>1837</v>
      </c>
      <c r="AJ1905" s="12"/>
      <c r="AK1905" s="12" t="s">
        <v>90</v>
      </c>
      <c r="AL1905" s="12"/>
      <c r="AM1905" s="12"/>
      <c r="AN1905" s="12"/>
      <c r="AO1905" s="12"/>
      <c r="AP1905" s="12"/>
      <c r="AQ1905" s="12"/>
      <c r="AR1905" s="12"/>
      <c r="AS1905" s="12"/>
      <c r="AT1905" s="12"/>
      <c r="AU1905" s="12"/>
      <c r="AV1905" s="12"/>
      <c r="AW1905" s="12"/>
      <c r="AX1905" s="12"/>
      <c r="AY1905" s="12"/>
      <c r="AZ1905" s="12"/>
      <c r="BA1905" s="12"/>
      <c r="BB1905" s="12"/>
      <c r="BC1905" s="12"/>
      <c r="BD1905" s="12"/>
      <c r="BE1905" s="12"/>
      <c r="BF1905" s="12"/>
      <c r="BG1905" s="12"/>
      <c r="BH1905" s="12"/>
      <c r="BI1905" s="12"/>
      <c r="BJ1905" s="12"/>
      <c r="BK1905" s="12"/>
      <c r="BL1905" s="12"/>
      <c r="BM1905" s="12"/>
      <c r="BN1905" s="12"/>
      <c r="BO1905" s="12"/>
      <c r="BP1905" s="12"/>
      <c r="BQ1905" s="12"/>
      <c r="BR1905" s="12"/>
      <c r="BS1905" s="12"/>
      <c r="BT1905" s="12"/>
      <c r="BU1905" s="12"/>
      <c r="BV1905" s="12"/>
      <c r="BW1905" s="12"/>
      <c r="BX1905" s="12"/>
      <c r="BY1905" s="12"/>
      <c r="BZ1905" s="12"/>
      <c r="CA1905" s="12"/>
      <c r="CB1905" s="12"/>
      <c r="CC1905" s="12"/>
      <c r="CD1905" s="12"/>
    </row>
    <row r="1906" spans="1:82">
      <c r="A1906" s="12" t="s">
        <v>700</v>
      </c>
      <c r="B1906" s="12" t="str">
        <f t="shared" ref="B1906:B1969" si="366">SUBSTITUTE(A1906," ","")</f>
        <v>VANDERMERWE</v>
      </c>
      <c r="C1906" s="12" t="str">
        <f t="shared" ref="C1906:C1969" si="367">TRIM(A1906)</f>
        <v>VAN DER MERWE</v>
      </c>
      <c r="D1906" s="12" t="s">
        <v>5829</v>
      </c>
      <c r="E1906" s="12" t="str">
        <f t="shared" si="364"/>
        <v>Johannes Lodewyk</v>
      </c>
      <c r="F1906" s="12" t="s">
        <v>14280</v>
      </c>
      <c r="G1906" s="12" t="str">
        <f t="shared" ref="G1906:G1969" si="368">IF(LEFT(F1906,1)="b","a1"&amp;F1906,F1906)</f>
        <v>a1b2c9d6e2f5g2</v>
      </c>
      <c r="H1906" s="12" t="str">
        <f t="shared" ref="H1906:H1969" si="369">C1906&amp;G1906</f>
        <v>VAN DER MERWEa1b2c9d6e2f5g2</v>
      </c>
      <c r="I1906" s="12"/>
      <c r="J1906" s="12">
        <v>1821</v>
      </c>
      <c r="K1906" s="12" t="str">
        <f t="shared" ref="K1906:K1969" si="370">RIGHT(J1906,4)</f>
        <v>1821</v>
      </c>
      <c r="L1906" s="12"/>
      <c r="M1906" s="12"/>
      <c r="N1906" s="12" t="str">
        <f t="shared" si="362"/>
        <v>1821</v>
      </c>
      <c r="O1906" s="12" t="str">
        <f t="shared" si="363"/>
        <v/>
      </c>
      <c r="P1906" s="12"/>
      <c r="Q1906" s="12" t="str">
        <f t="shared" ref="Q1906:Q1969" si="371">IF(N1906="",O1906,N1906)</f>
        <v>1821</v>
      </c>
      <c r="R1906" s="12"/>
      <c r="S1906" s="12" t="str">
        <f t="shared" ref="S1906:S1969" si="372">RIGHT(R1906,4)</f>
        <v/>
      </c>
      <c r="T1906" s="12"/>
      <c r="U1906" s="12" t="s">
        <v>14281</v>
      </c>
      <c r="V1906" s="12" t="str">
        <f t="shared" ref="V1906:V1969" si="373">RIGHT(U1906,4)</f>
        <v>1843</v>
      </c>
      <c r="W1906" s="12" t="s">
        <v>14282</v>
      </c>
      <c r="X1906" s="12" t="s">
        <v>667</v>
      </c>
      <c r="Y1906" s="12" t="s">
        <v>14283</v>
      </c>
      <c r="Z1906" s="12"/>
      <c r="AA1906" s="12">
        <v>1824</v>
      </c>
      <c r="AB1906" s="12"/>
      <c r="AC1906" s="12"/>
      <c r="AD1906" s="12"/>
      <c r="AE1906" s="12" t="s">
        <v>14284</v>
      </c>
      <c r="AF1906" s="12"/>
      <c r="AG1906" s="12"/>
      <c r="AH1906" s="12" t="s">
        <v>10069</v>
      </c>
      <c r="AI1906" s="12" t="str">
        <f t="shared" ref="AI1906:AI1969" si="374">RIGHT(AH1906,4)</f>
        <v>1843</v>
      </c>
      <c r="AJ1906" s="12"/>
      <c r="AK1906" s="12" t="s">
        <v>90</v>
      </c>
      <c r="AL1906" s="12"/>
      <c r="AM1906" s="12"/>
      <c r="AN1906" s="12"/>
      <c r="AO1906" s="12"/>
      <c r="AP1906" s="12"/>
      <c r="AQ1906" s="12"/>
      <c r="AR1906" s="12"/>
      <c r="AS1906" s="12"/>
      <c r="AT1906" s="12"/>
      <c r="AU1906" s="12"/>
      <c r="AV1906" s="12"/>
      <c r="AW1906" s="12"/>
      <c r="AX1906" s="12"/>
      <c r="AY1906" s="12"/>
      <c r="AZ1906" s="12"/>
      <c r="BA1906" s="12"/>
      <c r="BB1906" s="12"/>
      <c r="BC1906" s="12"/>
      <c r="BD1906" s="12"/>
      <c r="BE1906" s="12"/>
      <c r="BF1906" s="12"/>
      <c r="BG1906" s="12"/>
      <c r="BH1906" s="12"/>
      <c r="BI1906" s="12"/>
      <c r="BJ1906" s="12"/>
      <c r="BK1906" s="12"/>
      <c r="BL1906" s="12"/>
      <c r="BM1906" s="12"/>
      <c r="BN1906" s="12"/>
      <c r="BO1906" s="12"/>
      <c r="BP1906" s="12"/>
      <c r="BQ1906" s="12"/>
      <c r="BR1906" s="12"/>
      <c r="BS1906" s="12"/>
      <c r="BT1906" s="12"/>
      <c r="BU1906" s="12"/>
      <c r="BV1906" s="12"/>
      <c r="BW1906" s="12"/>
      <c r="BX1906" s="12"/>
      <c r="BY1906" s="12"/>
      <c r="BZ1906" s="12"/>
      <c r="CA1906" s="12"/>
      <c r="CB1906" s="12"/>
      <c r="CC1906" s="12"/>
      <c r="CD1906" s="12"/>
    </row>
    <row r="1907" spans="1:82">
      <c r="A1907" s="12" t="s">
        <v>700</v>
      </c>
      <c r="B1907" s="12" t="str">
        <f t="shared" si="366"/>
        <v>VANDERMERWE</v>
      </c>
      <c r="C1907" s="12" t="str">
        <f t="shared" si="367"/>
        <v>VAN DER MERWE</v>
      </c>
      <c r="D1907" s="12" t="s">
        <v>3761</v>
      </c>
      <c r="E1907" s="12" t="str">
        <f t="shared" si="364"/>
        <v>Johannes Petrus</v>
      </c>
      <c r="F1907" s="12" t="s">
        <v>14306</v>
      </c>
      <c r="G1907" s="12" t="str">
        <f t="shared" si="368"/>
        <v>a1b3c14d5e4f5</v>
      </c>
      <c r="H1907" s="12" t="str">
        <f t="shared" si="369"/>
        <v>VAN DER MERWEa1b3c14d5e4f5</v>
      </c>
      <c r="I1907" s="12"/>
      <c r="J1907" s="12" t="s">
        <v>14307</v>
      </c>
      <c r="K1907" s="12" t="str">
        <f t="shared" si="370"/>
        <v>1808</v>
      </c>
      <c r="L1907" s="12" t="s">
        <v>542</v>
      </c>
      <c r="M1907" s="12" t="s">
        <v>14308</v>
      </c>
      <c r="N1907" s="12" t="str">
        <f t="shared" si="362"/>
        <v>1808</v>
      </c>
      <c r="O1907" s="12" t="str">
        <f t="shared" si="363"/>
        <v>1808</v>
      </c>
      <c r="P1907" s="12"/>
      <c r="Q1907" s="12" t="str">
        <f t="shared" si="371"/>
        <v>1808</v>
      </c>
      <c r="R1907" s="12">
        <v>1891</v>
      </c>
      <c r="S1907" s="12" t="str">
        <f t="shared" si="372"/>
        <v>1891</v>
      </c>
      <c r="T1907" s="12" t="s">
        <v>28</v>
      </c>
      <c r="U1907" s="12" t="s">
        <v>14309</v>
      </c>
      <c r="V1907" s="12" t="str">
        <f t="shared" si="373"/>
        <v>1836</v>
      </c>
      <c r="W1907" s="12" t="s">
        <v>5404</v>
      </c>
      <c r="X1907" s="12" t="s">
        <v>3299</v>
      </c>
      <c r="Y1907" s="12" t="s">
        <v>944</v>
      </c>
      <c r="Z1907" s="12"/>
      <c r="AA1907" s="12" t="s">
        <v>14310</v>
      </c>
      <c r="AB1907" s="12"/>
      <c r="AC1907" s="12"/>
      <c r="AD1907" s="12"/>
      <c r="AE1907" s="12"/>
      <c r="AF1907" s="12" t="s">
        <v>3699</v>
      </c>
      <c r="AG1907" s="12" t="s">
        <v>68</v>
      </c>
      <c r="AH1907" s="12" t="s">
        <v>14309</v>
      </c>
      <c r="AI1907" s="12" t="str">
        <f t="shared" si="374"/>
        <v>1836</v>
      </c>
      <c r="AJ1907" s="12" t="s">
        <v>13060</v>
      </c>
      <c r="AK1907" s="12"/>
      <c r="AL1907" s="12"/>
      <c r="AM1907" s="12"/>
      <c r="AN1907" s="12"/>
      <c r="AO1907" s="12"/>
      <c r="AP1907" s="12"/>
      <c r="AQ1907" s="12"/>
      <c r="AR1907" s="12"/>
      <c r="AS1907" s="12"/>
      <c r="AT1907" s="12"/>
      <c r="AU1907" s="12"/>
      <c r="AV1907" s="12"/>
      <c r="AW1907" s="12"/>
      <c r="AX1907" s="12"/>
      <c r="AY1907" s="12"/>
      <c r="AZ1907" s="12"/>
      <c r="BA1907" s="12"/>
      <c r="BB1907" s="12"/>
      <c r="BC1907" s="12"/>
      <c r="BD1907" s="12"/>
      <c r="BE1907" s="12"/>
      <c r="BF1907" s="12"/>
      <c r="BG1907" s="12"/>
      <c r="BH1907" s="12"/>
      <c r="BI1907" s="12"/>
      <c r="BJ1907" s="12"/>
      <c r="BK1907" s="12"/>
      <c r="BL1907" s="12"/>
      <c r="BM1907" s="12"/>
      <c r="BN1907" s="12"/>
      <c r="BO1907" s="12"/>
      <c r="BP1907" s="12"/>
      <c r="BQ1907" s="12"/>
      <c r="BR1907" s="12"/>
      <c r="BS1907" s="12"/>
      <c r="BT1907" s="12"/>
      <c r="BU1907" s="12"/>
      <c r="BV1907" s="12"/>
      <c r="BW1907" s="12"/>
      <c r="BX1907" s="12"/>
      <c r="BY1907" s="12"/>
      <c r="BZ1907" s="12"/>
      <c r="CA1907" s="12"/>
      <c r="CB1907" s="12"/>
      <c r="CC1907" s="12"/>
      <c r="CD1907" s="12"/>
    </row>
    <row r="1908" spans="1:82">
      <c r="A1908" s="12" t="s">
        <v>700</v>
      </c>
      <c r="B1908" s="12" t="str">
        <f t="shared" si="366"/>
        <v>VANDERMERWE</v>
      </c>
      <c r="C1908" s="12" t="str">
        <f t="shared" si="367"/>
        <v>VAN DER MERWE</v>
      </c>
      <c r="D1908" s="12" t="s">
        <v>588</v>
      </c>
      <c r="E1908" s="12" t="str">
        <f t="shared" si="364"/>
        <v>Johannes Stephanus</v>
      </c>
      <c r="F1908" s="12" t="s">
        <v>14311</v>
      </c>
      <c r="G1908" s="12" t="str">
        <f t="shared" si="368"/>
        <v>a1b3c14d5e5f3</v>
      </c>
      <c r="H1908" s="12" t="str">
        <f t="shared" si="369"/>
        <v>VAN DER MERWEa1b3c14d5e5f3</v>
      </c>
      <c r="I1908" s="12"/>
      <c r="J1908" s="12" t="s">
        <v>14312</v>
      </c>
      <c r="K1908" s="12" t="str">
        <f t="shared" si="370"/>
        <v>1805</v>
      </c>
      <c r="L1908" s="12" t="s">
        <v>1071</v>
      </c>
      <c r="M1908" s="12" t="s">
        <v>14313</v>
      </c>
      <c r="N1908" s="12" t="str">
        <f t="shared" si="362"/>
        <v>1805</v>
      </c>
      <c r="O1908" s="12" t="str">
        <f t="shared" si="363"/>
        <v>1805</v>
      </c>
      <c r="P1908" s="12" t="s">
        <v>24</v>
      </c>
      <c r="Q1908" s="12" t="str">
        <f t="shared" si="371"/>
        <v>1805</v>
      </c>
      <c r="R1908" s="12" t="s">
        <v>14314</v>
      </c>
      <c r="S1908" s="12" t="str">
        <f t="shared" si="372"/>
        <v>1877</v>
      </c>
      <c r="T1908" s="12"/>
      <c r="U1908" s="12"/>
      <c r="V1908" s="12" t="str">
        <f t="shared" si="373"/>
        <v/>
      </c>
      <c r="W1908" s="12" t="s">
        <v>4715</v>
      </c>
      <c r="X1908" s="12" t="s">
        <v>2436</v>
      </c>
      <c r="Y1908" s="12"/>
      <c r="Z1908" s="12"/>
      <c r="AA1908" s="12" t="s">
        <v>14315</v>
      </c>
      <c r="AB1908" s="12" t="s">
        <v>74</v>
      </c>
      <c r="AC1908" s="12" t="s">
        <v>2377</v>
      </c>
      <c r="AD1908" s="12"/>
      <c r="AE1908" s="12"/>
      <c r="AF1908" s="12" t="s">
        <v>3714</v>
      </c>
      <c r="AG1908" s="12" t="s">
        <v>74</v>
      </c>
      <c r="AH1908" s="12" t="s">
        <v>12677</v>
      </c>
      <c r="AI1908" s="12" t="str">
        <f t="shared" si="374"/>
        <v>1842</v>
      </c>
      <c r="AJ1908" s="12"/>
      <c r="AK1908" s="12" t="s">
        <v>551</v>
      </c>
      <c r="AL1908" s="12"/>
      <c r="AM1908" s="12"/>
      <c r="AN1908" s="12"/>
      <c r="AO1908" s="12"/>
      <c r="AP1908" s="12"/>
      <c r="AQ1908" s="12"/>
      <c r="AR1908" s="12"/>
      <c r="AS1908" s="12"/>
      <c r="AT1908" s="12"/>
      <c r="AU1908" s="12"/>
      <c r="AV1908" s="12"/>
      <c r="AW1908" s="12"/>
      <c r="AX1908" s="12"/>
      <c r="AY1908" s="12"/>
      <c r="AZ1908" s="12"/>
      <c r="BA1908" s="12"/>
      <c r="BB1908" s="12"/>
      <c r="BC1908" s="12"/>
      <c r="BD1908" s="12"/>
      <c r="BE1908" s="12"/>
      <c r="BF1908" s="12"/>
      <c r="BG1908" s="12"/>
      <c r="BH1908" s="12"/>
      <c r="BI1908" s="12"/>
      <c r="BJ1908" s="12"/>
      <c r="BK1908" s="12"/>
      <c r="BL1908" s="12"/>
      <c r="BM1908" s="12"/>
      <c r="BN1908" s="12"/>
      <c r="BO1908" s="12"/>
      <c r="BP1908" s="12"/>
      <c r="BQ1908" s="12"/>
      <c r="BR1908" s="12"/>
      <c r="BS1908" s="12"/>
      <c r="BT1908" s="12"/>
      <c r="BU1908" s="12"/>
      <c r="BV1908" s="12"/>
      <c r="BW1908" s="12"/>
      <c r="BX1908" s="12"/>
      <c r="BY1908" s="12"/>
      <c r="BZ1908" s="12"/>
      <c r="CA1908" s="12"/>
      <c r="CB1908" s="12"/>
      <c r="CC1908" s="12"/>
      <c r="CD1908" s="12"/>
    </row>
    <row r="1909" spans="1:82">
      <c r="A1909" s="12" t="s">
        <v>700</v>
      </c>
      <c r="B1909" s="12" t="str">
        <f t="shared" si="366"/>
        <v>VANDERMERWE</v>
      </c>
      <c r="C1909" s="12" t="str">
        <f t="shared" si="367"/>
        <v>VAN DER MERWE</v>
      </c>
      <c r="D1909" s="12" t="s">
        <v>14243</v>
      </c>
      <c r="E1909" s="12" t="str">
        <f t="shared" si="364"/>
        <v>Hendrik Jacobus Stephanus</v>
      </c>
      <c r="F1909" s="12" t="s">
        <v>14244</v>
      </c>
      <c r="G1909" s="12" t="str">
        <f t="shared" si="368"/>
        <v>a1b3c8d6e4f7</v>
      </c>
      <c r="H1909" s="12" t="str">
        <f t="shared" si="369"/>
        <v>VAN DER MERWEa1b3c8d6e4f7</v>
      </c>
      <c r="I1909" s="12" t="s">
        <v>74</v>
      </c>
      <c r="J1909" s="12" t="s">
        <v>14245</v>
      </c>
      <c r="K1909" s="12" t="str">
        <f t="shared" si="370"/>
        <v>1811</v>
      </c>
      <c r="L1909" s="12"/>
      <c r="M1909" s="12"/>
      <c r="N1909" s="12" t="str">
        <f t="shared" si="362"/>
        <v>1811</v>
      </c>
      <c r="O1909" s="12" t="str">
        <f t="shared" si="363"/>
        <v/>
      </c>
      <c r="P1909" s="12" t="s">
        <v>566</v>
      </c>
      <c r="Q1909" s="12" t="str">
        <f t="shared" si="371"/>
        <v>1811</v>
      </c>
      <c r="R1909" s="12" t="s">
        <v>14246</v>
      </c>
      <c r="S1909" s="12" t="str">
        <f t="shared" si="372"/>
        <v>1864</v>
      </c>
      <c r="T1909" s="12" t="s">
        <v>74</v>
      </c>
      <c r="U1909" s="12" t="s">
        <v>14247</v>
      </c>
      <c r="V1909" s="12" t="str">
        <f t="shared" si="373"/>
        <v>1832</v>
      </c>
      <c r="W1909" s="12" t="s">
        <v>1838</v>
      </c>
      <c r="X1909" s="12" t="s">
        <v>758</v>
      </c>
      <c r="Y1909" s="12"/>
      <c r="Z1909" s="12"/>
      <c r="AA1909" s="12"/>
      <c r="AB1909" s="12"/>
      <c r="AC1909" s="12" t="s">
        <v>14248</v>
      </c>
      <c r="AD1909" s="12" t="s">
        <v>566</v>
      </c>
      <c r="AE1909" s="12" t="s">
        <v>13007</v>
      </c>
      <c r="AF1909" s="12" t="s">
        <v>11195</v>
      </c>
      <c r="AG1909" s="12" t="s">
        <v>74</v>
      </c>
      <c r="AH1909" s="12" t="s">
        <v>12677</v>
      </c>
      <c r="AI1909" s="12" t="str">
        <f t="shared" si="374"/>
        <v>1842</v>
      </c>
      <c r="AJ1909" s="12"/>
      <c r="AK1909" s="12" t="s">
        <v>551</v>
      </c>
      <c r="AL1909" s="12"/>
      <c r="AM1909" s="12"/>
      <c r="AN1909" s="12"/>
      <c r="AO1909" s="12"/>
      <c r="AP1909" s="12"/>
      <c r="AQ1909" s="12"/>
      <c r="AR1909" s="12"/>
      <c r="AS1909" s="12"/>
      <c r="AT1909" s="12"/>
      <c r="AU1909" s="12"/>
      <c r="AV1909" s="12"/>
      <c r="AW1909" s="12"/>
      <c r="AX1909" s="12"/>
      <c r="AY1909" s="12"/>
      <c r="AZ1909" s="12"/>
      <c r="BA1909" s="12"/>
      <c r="BB1909" s="12"/>
      <c r="BC1909" s="12"/>
      <c r="BD1909" s="12"/>
      <c r="BE1909" s="12"/>
      <c r="BF1909" s="12"/>
      <c r="BG1909" s="12"/>
      <c r="BH1909" s="12"/>
      <c r="BI1909" s="12"/>
      <c r="BJ1909" s="12"/>
      <c r="BK1909" s="12"/>
      <c r="BL1909" s="12"/>
      <c r="BM1909" s="12"/>
      <c r="BN1909" s="12"/>
      <c r="BO1909" s="12"/>
      <c r="BP1909" s="12"/>
      <c r="BQ1909" s="12"/>
      <c r="BR1909" s="12"/>
      <c r="BS1909" s="12"/>
      <c r="BT1909" s="12"/>
      <c r="BU1909" s="12"/>
      <c r="BV1909" s="12"/>
      <c r="BW1909" s="12"/>
      <c r="BX1909" s="12"/>
      <c r="BY1909" s="12"/>
      <c r="BZ1909" s="12"/>
      <c r="CA1909" s="12"/>
      <c r="CB1909" s="12"/>
      <c r="CC1909" s="12"/>
      <c r="CD1909" s="12"/>
    </row>
    <row r="1910" spans="1:82">
      <c r="A1910" s="12" t="s">
        <v>5521</v>
      </c>
      <c r="B1910" s="12" t="str">
        <f t="shared" si="366"/>
        <v>VANDERSCHYFF</v>
      </c>
      <c r="C1910" s="12" t="str">
        <f t="shared" si="367"/>
        <v>VAN DER SCHYFF</v>
      </c>
      <c r="D1910" s="12" t="s">
        <v>14398</v>
      </c>
      <c r="E1910" s="12" t="str">
        <f t="shared" si="364"/>
        <v>Petrus Marthinus</v>
      </c>
      <c r="F1910" s="12" t="s">
        <v>6571</v>
      </c>
      <c r="G1910" s="12" t="str">
        <f t="shared" si="368"/>
        <v>a1b2c6d7</v>
      </c>
      <c r="H1910" s="12" t="str">
        <f t="shared" si="369"/>
        <v>VAN DER SCHYFFa1b2c6d7</v>
      </c>
      <c r="I1910" s="12"/>
      <c r="J1910" s="12"/>
      <c r="K1910" s="12" t="str">
        <f t="shared" si="370"/>
        <v/>
      </c>
      <c r="L1910" s="12"/>
      <c r="M1910" s="12" t="s">
        <v>1474</v>
      </c>
      <c r="N1910" s="12" t="str">
        <f t="shared" si="362"/>
        <v/>
      </c>
      <c r="O1910" s="12" t="str">
        <f t="shared" si="363"/>
        <v>1800</v>
      </c>
      <c r="P1910" s="12"/>
      <c r="Q1910" s="12" t="str">
        <f t="shared" si="371"/>
        <v>1800</v>
      </c>
      <c r="R1910" s="12"/>
      <c r="S1910" s="12" t="str">
        <f t="shared" si="372"/>
        <v/>
      </c>
      <c r="T1910" s="12" t="s">
        <v>74</v>
      </c>
      <c r="U1910" s="12" t="s">
        <v>5343</v>
      </c>
      <c r="V1910" s="12" t="str">
        <f t="shared" si="373"/>
        <v>1827</v>
      </c>
      <c r="W1910" s="12" t="s">
        <v>5428</v>
      </c>
      <c r="X1910" s="12" t="s">
        <v>760</v>
      </c>
      <c r="Y1910" s="12"/>
      <c r="Z1910" s="12"/>
      <c r="AA1910" s="12"/>
      <c r="AB1910" s="12"/>
      <c r="AC1910" s="12"/>
      <c r="AD1910" s="12"/>
      <c r="AE1910" s="12"/>
      <c r="AF1910" s="12"/>
      <c r="AG1910" s="12" t="s">
        <v>60</v>
      </c>
      <c r="AH1910" s="12">
        <v>1843</v>
      </c>
      <c r="AI1910" s="12" t="str">
        <f t="shared" si="374"/>
        <v>1843</v>
      </c>
      <c r="AJ1910" s="12"/>
      <c r="AK1910" s="12" t="s">
        <v>31</v>
      </c>
      <c r="AL1910" s="12" t="s">
        <v>31</v>
      </c>
      <c r="AM1910" s="12" t="s">
        <v>14399</v>
      </c>
      <c r="AN1910" s="12" t="s">
        <v>14400</v>
      </c>
      <c r="AO1910" s="12" t="s">
        <v>14401</v>
      </c>
      <c r="AP1910" s="12"/>
      <c r="AQ1910" s="12"/>
      <c r="AR1910" s="12"/>
      <c r="AS1910" s="12"/>
      <c r="AT1910" s="12"/>
      <c r="AU1910" s="12"/>
      <c r="AV1910" s="12"/>
      <c r="AW1910" s="12"/>
      <c r="AX1910" s="12"/>
      <c r="AY1910" s="12"/>
      <c r="AZ1910" s="12"/>
      <c r="BA1910" s="12"/>
      <c r="BB1910" s="12"/>
      <c r="BC1910" s="12"/>
      <c r="BD1910" s="12"/>
      <c r="BE1910" s="12"/>
      <c r="BF1910" s="12"/>
      <c r="BG1910" s="12"/>
      <c r="BH1910" s="12"/>
      <c r="BI1910" s="12"/>
      <c r="BJ1910" s="12"/>
      <c r="BK1910" s="12"/>
      <c r="BL1910" s="12"/>
      <c r="BM1910" s="12"/>
      <c r="BN1910" s="12"/>
      <c r="BO1910" s="12"/>
      <c r="BP1910" s="12"/>
      <c r="BQ1910" s="12"/>
      <c r="BR1910" s="12"/>
      <c r="BS1910" s="12"/>
      <c r="BT1910" s="12"/>
      <c r="BU1910" s="12"/>
      <c r="BV1910" s="12"/>
      <c r="BW1910" s="12"/>
      <c r="BX1910" s="12"/>
      <c r="BY1910" s="12"/>
      <c r="BZ1910" s="12"/>
      <c r="CA1910" s="12"/>
      <c r="CB1910" s="12"/>
      <c r="CC1910" s="12"/>
      <c r="CD1910" s="12"/>
    </row>
    <row r="1911" spans="1:82">
      <c r="A1911" s="12" t="s">
        <v>5521</v>
      </c>
      <c r="B1911" s="12" t="str">
        <f t="shared" si="366"/>
        <v>VANDERSCHYFF</v>
      </c>
      <c r="C1911" s="12" t="str">
        <f t="shared" si="367"/>
        <v>VAN DER SCHYFF</v>
      </c>
      <c r="D1911" s="12" t="s">
        <v>617</v>
      </c>
      <c r="E1911" s="12" t="str">
        <f t="shared" si="364"/>
        <v>Lucas</v>
      </c>
      <c r="F1911" s="12" t="s">
        <v>12102</v>
      </c>
      <c r="G1911" s="12" t="str">
        <f t="shared" si="368"/>
        <v>a1b6c2</v>
      </c>
      <c r="H1911" s="12" t="str">
        <f t="shared" si="369"/>
        <v>VAN DER SCHYFFa1b6c2</v>
      </c>
      <c r="I1911" s="12"/>
      <c r="J1911" s="12"/>
      <c r="K1911" s="12" t="str">
        <f t="shared" si="370"/>
        <v/>
      </c>
      <c r="L1911" s="12"/>
      <c r="M1911" s="12" t="s">
        <v>14387</v>
      </c>
      <c r="N1911" s="12" t="str">
        <f t="shared" si="362"/>
        <v/>
      </c>
      <c r="O1911" s="12" t="str">
        <f t="shared" si="363"/>
        <v>1741</v>
      </c>
      <c r="P1911" s="12"/>
      <c r="Q1911" s="12" t="str">
        <f t="shared" si="371"/>
        <v>1741</v>
      </c>
      <c r="R1911" s="12"/>
      <c r="S1911" s="12" t="str">
        <f t="shared" si="372"/>
        <v/>
      </c>
      <c r="T1911" s="12"/>
      <c r="U1911" s="12" t="s">
        <v>9284</v>
      </c>
      <c r="V1911" s="12" t="str">
        <f t="shared" si="373"/>
        <v>1781</v>
      </c>
      <c r="W1911" s="12" t="s">
        <v>14388</v>
      </c>
      <c r="X1911" s="12" t="s">
        <v>2381</v>
      </c>
      <c r="Y1911" s="12" t="s">
        <v>3316</v>
      </c>
      <c r="Z1911" s="12"/>
      <c r="AA1911" s="12"/>
      <c r="AB1911" s="12"/>
      <c r="AC1911" s="12"/>
      <c r="AD1911" s="12"/>
      <c r="AE1911" s="12"/>
      <c r="AF1911" s="12" t="s">
        <v>16</v>
      </c>
      <c r="AG1911" s="12" t="s">
        <v>68</v>
      </c>
      <c r="AH1911" s="12" t="s">
        <v>12301</v>
      </c>
      <c r="AI1911" s="12" t="str">
        <f t="shared" si="374"/>
        <v>1837</v>
      </c>
      <c r="AJ1911" s="12" t="s">
        <v>5606</v>
      </c>
      <c r="AK1911" s="12" t="s">
        <v>90</v>
      </c>
      <c r="AL1911" s="12" t="s">
        <v>542</v>
      </c>
      <c r="AM1911" s="12" t="s">
        <v>14389</v>
      </c>
      <c r="AN1911" s="12" t="s">
        <v>14390</v>
      </c>
      <c r="AO1911" s="12" t="s">
        <v>1675</v>
      </c>
      <c r="AP1911" s="12"/>
      <c r="AQ1911" s="12"/>
      <c r="AR1911" s="12"/>
      <c r="AS1911" s="12"/>
      <c r="AT1911" s="12"/>
      <c r="AU1911" s="12"/>
      <c r="AV1911" s="12"/>
      <c r="AW1911" s="12"/>
      <c r="AX1911" s="12"/>
      <c r="AY1911" s="12"/>
      <c r="AZ1911" s="12"/>
      <c r="BA1911" s="12"/>
      <c r="BB1911" s="12"/>
      <c r="BC1911" s="12"/>
      <c r="BD1911" s="12"/>
      <c r="BE1911" s="12"/>
      <c r="BF1911" s="12"/>
      <c r="BG1911" s="12"/>
      <c r="BH1911" s="12"/>
      <c r="BI1911" s="12"/>
      <c r="BJ1911" s="12"/>
      <c r="BK1911" s="12"/>
      <c r="BL1911" s="12"/>
      <c r="BM1911" s="12"/>
      <c r="BN1911" s="12"/>
      <c r="BO1911" s="12"/>
      <c r="BP1911" s="12"/>
      <c r="BQ1911" s="12"/>
      <c r="BR1911" s="12"/>
      <c r="BS1911" s="12"/>
      <c r="BT1911" s="12"/>
      <c r="BU1911" s="12"/>
      <c r="BV1911" s="12"/>
      <c r="BW1911" s="12"/>
      <c r="BX1911" s="12"/>
      <c r="BY1911" s="12"/>
      <c r="BZ1911" s="12"/>
      <c r="CA1911" s="12"/>
      <c r="CB1911" s="12"/>
      <c r="CC1911" s="12"/>
      <c r="CD1911" s="12"/>
    </row>
    <row r="1912" spans="1:82">
      <c r="A1912" s="12" t="s">
        <v>5521</v>
      </c>
      <c r="B1912" s="12" t="str">
        <f t="shared" si="366"/>
        <v>VANDERSCHYFF</v>
      </c>
      <c r="C1912" s="12" t="str">
        <f t="shared" si="367"/>
        <v>VAN DER SCHYFF</v>
      </c>
      <c r="D1912" s="12" t="s">
        <v>14391</v>
      </c>
      <c r="E1912" s="12" t="str">
        <f t="shared" si="364"/>
        <v>Lucas Petrus Daniël</v>
      </c>
      <c r="F1912" s="12" t="s">
        <v>14392</v>
      </c>
      <c r="G1912" s="12" t="str">
        <f t="shared" si="368"/>
        <v>a1b6c2d10</v>
      </c>
      <c r="H1912" s="12" t="str">
        <f t="shared" si="369"/>
        <v>VAN DER SCHYFFa1b6c2d10</v>
      </c>
      <c r="I1912" s="12"/>
      <c r="J1912" s="12" t="s">
        <v>14393</v>
      </c>
      <c r="K1912" s="12" t="str">
        <f t="shared" si="370"/>
        <v>1808</v>
      </c>
      <c r="L1912" s="12" t="s">
        <v>542</v>
      </c>
      <c r="M1912" s="12" t="s">
        <v>3600</v>
      </c>
      <c r="N1912" s="12" t="str">
        <f t="shared" si="362"/>
        <v>1808</v>
      </c>
      <c r="O1912" s="12" t="str">
        <f t="shared" si="363"/>
        <v>1809</v>
      </c>
      <c r="P1912" s="12"/>
      <c r="Q1912" s="12" t="str">
        <f t="shared" si="371"/>
        <v>1808</v>
      </c>
      <c r="R1912" s="12"/>
      <c r="S1912" s="12" t="str">
        <f t="shared" si="372"/>
        <v/>
      </c>
      <c r="T1912" s="12" t="s">
        <v>28</v>
      </c>
      <c r="U1912" s="12" t="s">
        <v>14394</v>
      </c>
      <c r="V1912" s="12" t="str">
        <f t="shared" si="373"/>
        <v>1831</v>
      </c>
      <c r="W1912" s="12" t="s">
        <v>14395</v>
      </c>
      <c r="X1912" s="12" t="s">
        <v>5521</v>
      </c>
      <c r="Y1912" s="12" t="s">
        <v>14396</v>
      </c>
      <c r="Z1912" s="12"/>
      <c r="AA1912" s="12"/>
      <c r="AB1912" s="12"/>
      <c r="AC1912" s="12"/>
      <c r="AD1912" s="12"/>
      <c r="AE1912" s="12"/>
      <c r="AF1912" s="12" t="s">
        <v>16</v>
      </c>
      <c r="AG1912" s="12" t="s">
        <v>68</v>
      </c>
      <c r="AH1912" s="12" t="s">
        <v>14397</v>
      </c>
      <c r="AI1912" s="12" t="str">
        <f t="shared" si="374"/>
        <v>1837</v>
      </c>
      <c r="AJ1912" s="12" t="s">
        <v>5606</v>
      </c>
      <c r="AK1912" s="12" t="s">
        <v>90</v>
      </c>
      <c r="AL1912" s="12"/>
      <c r="AM1912" s="12"/>
      <c r="AN1912" s="12"/>
      <c r="AO1912" s="12"/>
      <c r="AP1912" s="12"/>
      <c r="AQ1912" s="12"/>
      <c r="AR1912" s="12"/>
      <c r="AS1912" s="12"/>
      <c r="AT1912" s="12"/>
      <c r="AU1912" s="12"/>
      <c r="AV1912" s="12"/>
      <c r="AW1912" s="12"/>
      <c r="AX1912" s="12"/>
      <c r="AY1912" s="12"/>
      <c r="AZ1912" s="12"/>
      <c r="BA1912" s="12"/>
      <c r="BB1912" s="12"/>
      <c r="BC1912" s="12"/>
      <c r="BD1912" s="12"/>
      <c r="BE1912" s="12"/>
      <c r="BF1912" s="12"/>
      <c r="BG1912" s="12"/>
      <c r="BH1912" s="12"/>
      <c r="BI1912" s="12"/>
      <c r="BJ1912" s="12"/>
      <c r="BK1912" s="12"/>
      <c r="BL1912" s="12"/>
      <c r="BM1912" s="12"/>
      <c r="BN1912" s="12"/>
      <c r="BO1912" s="12"/>
      <c r="BP1912" s="12"/>
      <c r="BQ1912" s="12"/>
      <c r="BR1912" s="12"/>
      <c r="BS1912" s="12"/>
      <c r="BT1912" s="12"/>
      <c r="BU1912" s="12"/>
      <c r="BV1912" s="12"/>
      <c r="BW1912" s="12"/>
      <c r="BX1912" s="12"/>
      <c r="BY1912" s="12"/>
      <c r="BZ1912" s="12"/>
      <c r="CA1912" s="12"/>
      <c r="CB1912" s="12"/>
      <c r="CC1912" s="12"/>
      <c r="CD1912" s="12"/>
    </row>
    <row r="1913" spans="1:82">
      <c r="A1913" s="12" t="s">
        <v>5521</v>
      </c>
      <c r="B1913" s="12" t="str">
        <f t="shared" si="366"/>
        <v>VANDERSCHYFF</v>
      </c>
      <c r="C1913" s="12" t="str">
        <f t="shared" si="367"/>
        <v>VAN DER SCHYFF</v>
      </c>
      <c r="D1913" s="12" t="s">
        <v>14383</v>
      </c>
      <c r="E1913" s="12" t="str">
        <f t="shared" si="364"/>
        <v>Jan Hendrik Gerhardus</v>
      </c>
      <c r="F1913" s="12" t="s">
        <v>4985</v>
      </c>
      <c r="G1913" s="12" t="str">
        <f t="shared" si="368"/>
        <v>a1b6c2d11</v>
      </c>
      <c r="H1913" s="12" t="str">
        <f t="shared" si="369"/>
        <v>VAN DER SCHYFFa1b6c2d11</v>
      </c>
      <c r="I1913" s="12"/>
      <c r="J1913" s="12"/>
      <c r="K1913" s="12" t="str">
        <f t="shared" si="370"/>
        <v/>
      </c>
      <c r="L1913" s="12"/>
      <c r="M1913" s="12" t="s">
        <v>14384</v>
      </c>
      <c r="N1913" s="12" t="str">
        <f t="shared" si="362"/>
        <v/>
      </c>
      <c r="O1913" s="12" t="str">
        <f t="shared" si="363"/>
        <v>1810</v>
      </c>
      <c r="P1913" s="12"/>
      <c r="Q1913" s="12" t="str">
        <f t="shared" si="371"/>
        <v>1810</v>
      </c>
      <c r="R1913" s="12"/>
      <c r="S1913" s="12" t="str">
        <f t="shared" si="372"/>
        <v/>
      </c>
      <c r="T1913" s="12" t="s">
        <v>74</v>
      </c>
      <c r="U1913" s="12" t="s">
        <v>294</v>
      </c>
      <c r="V1913" s="12" t="str">
        <f t="shared" si="373"/>
        <v>1832</v>
      </c>
      <c r="W1913" s="12" t="s">
        <v>1118</v>
      </c>
      <c r="X1913" s="12" t="s">
        <v>1167</v>
      </c>
      <c r="Y1913" s="12" t="s">
        <v>14385</v>
      </c>
      <c r="Z1913" s="12"/>
      <c r="AA1913" s="12" t="s">
        <v>4455</v>
      </c>
      <c r="AB1913" s="12" t="s">
        <v>74</v>
      </c>
      <c r="AC1913" s="12" t="s">
        <v>14386</v>
      </c>
      <c r="AD1913" s="12"/>
      <c r="AE1913" s="12"/>
      <c r="AF1913" s="12" t="s">
        <v>16</v>
      </c>
      <c r="AG1913" s="12" t="s">
        <v>68</v>
      </c>
      <c r="AH1913" s="12" t="s">
        <v>14381</v>
      </c>
      <c r="AI1913" s="12" t="str">
        <f t="shared" si="374"/>
        <v>1837</v>
      </c>
      <c r="AJ1913" s="12" t="s">
        <v>5606</v>
      </c>
      <c r="AK1913" s="12" t="s">
        <v>190</v>
      </c>
      <c r="AL1913" s="12"/>
      <c r="AM1913" s="12"/>
      <c r="AN1913" s="12"/>
      <c r="AO1913" s="12"/>
      <c r="AP1913" s="12"/>
      <c r="AQ1913" s="12"/>
      <c r="AR1913" s="12"/>
      <c r="AS1913" s="12"/>
      <c r="AT1913" s="12"/>
      <c r="AU1913" s="12"/>
      <c r="AV1913" s="12"/>
      <c r="AW1913" s="12"/>
      <c r="AX1913" s="12"/>
      <c r="AY1913" s="12"/>
      <c r="AZ1913" s="12"/>
      <c r="BA1913" s="12"/>
      <c r="BB1913" s="12"/>
      <c r="BC1913" s="12"/>
      <c r="BD1913" s="12"/>
      <c r="BE1913" s="12"/>
      <c r="BF1913" s="12"/>
      <c r="BG1913" s="12"/>
      <c r="BH1913" s="12"/>
      <c r="BI1913" s="12"/>
      <c r="BJ1913" s="12"/>
      <c r="BK1913" s="12"/>
      <c r="BL1913" s="12"/>
      <c r="BM1913" s="12"/>
      <c r="BN1913" s="12"/>
      <c r="BO1913" s="12"/>
      <c r="BP1913" s="12"/>
      <c r="BQ1913" s="12"/>
      <c r="BR1913" s="12"/>
      <c r="BS1913" s="12"/>
      <c r="BT1913" s="12"/>
      <c r="BU1913" s="12"/>
      <c r="BV1913" s="12"/>
      <c r="BW1913" s="12"/>
      <c r="BX1913" s="12"/>
      <c r="BY1913" s="12"/>
      <c r="BZ1913" s="12"/>
      <c r="CA1913" s="12"/>
      <c r="CB1913" s="12"/>
      <c r="CC1913" s="12"/>
      <c r="CD1913" s="12"/>
    </row>
    <row r="1914" spans="1:82">
      <c r="A1914" s="12" t="s">
        <v>5521</v>
      </c>
      <c r="B1914" s="12" t="str">
        <f t="shared" si="366"/>
        <v>VANDERSCHYFF</v>
      </c>
      <c r="C1914" s="12" t="str">
        <f t="shared" si="367"/>
        <v>VAN DER SCHYFF</v>
      </c>
      <c r="D1914" s="12" t="s">
        <v>14376</v>
      </c>
      <c r="E1914" s="12" t="str">
        <f t="shared" si="364"/>
        <v>Gideon Jacobus Christoffel Petrus</v>
      </c>
      <c r="F1914" s="12" t="s">
        <v>14377</v>
      </c>
      <c r="G1914" s="12" t="str">
        <f t="shared" si="368"/>
        <v>a1b6c2d15</v>
      </c>
      <c r="H1914" s="12" t="str">
        <f t="shared" si="369"/>
        <v>VAN DER SCHYFFa1b6c2d15</v>
      </c>
      <c r="I1914" s="12"/>
      <c r="J1914" s="12">
        <v>1824</v>
      </c>
      <c r="K1914" s="12" t="str">
        <f t="shared" si="370"/>
        <v>1824</v>
      </c>
      <c r="L1914" s="12"/>
      <c r="M1914" s="12"/>
      <c r="N1914" s="12" t="str">
        <f t="shared" si="362"/>
        <v>1824</v>
      </c>
      <c r="O1914" s="12" t="str">
        <f t="shared" si="363"/>
        <v/>
      </c>
      <c r="P1914" s="12"/>
      <c r="Q1914" s="12" t="str">
        <f t="shared" si="371"/>
        <v>1824</v>
      </c>
      <c r="R1914" s="12"/>
      <c r="S1914" s="12" t="str">
        <f t="shared" si="372"/>
        <v/>
      </c>
      <c r="T1914" s="12" t="s">
        <v>168</v>
      </c>
      <c r="U1914" s="12" t="s">
        <v>14378</v>
      </c>
      <c r="V1914" s="12" t="str">
        <f t="shared" si="373"/>
        <v>1843</v>
      </c>
      <c r="W1914" s="12" t="s">
        <v>14379</v>
      </c>
      <c r="X1914" s="12" t="s">
        <v>700</v>
      </c>
      <c r="Y1914" s="12" t="s">
        <v>14380</v>
      </c>
      <c r="Z1914" s="12"/>
      <c r="AA1914" s="12"/>
      <c r="AB1914" s="12"/>
      <c r="AC1914" s="12"/>
      <c r="AD1914" s="12"/>
      <c r="AE1914" s="12"/>
      <c r="AF1914" s="12" t="s">
        <v>16</v>
      </c>
      <c r="AG1914" s="12" t="s">
        <v>68</v>
      </c>
      <c r="AH1914" s="12" t="s">
        <v>14381</v>
      </c>
      <c r="AI1914" s="12" t="str">
        <f t="shared" si="374"/>
        <v>1837</v>
      </c>
      <c r="AJ1914" s="12" t="s">
        <v>5606</v>
      </c>
      <c r="AK1914" s="12" t="s">
        <v>81</v>
      </c>
      <c r="AL1914" s="12"/>
      <c r="AM1914" s="12"/>
      <c r="AN1914" s="12" t="s">
        <v>4828</v>
      </c>
      <c r="AO1914" s="12" t="s">
        <v>662</v>
      </c>
      <c r="AP1914" s="12" t="s">
        <v>14382</v>
      </c>
      <c r="AQ1914" s="12"/>
      <c r="AR1914" s="12"/>
      <c r="AS1914" s="12"/>
      <c r="AT1914" s="12"/>
      <c r="AU1914" s="12"/>
      <c r="AV1914" s="12"/>
      <c r="AW1914" s="12"/>
      <c r="AX1914" s="12"/>
      <c r="AY1914" s="12"/>
      <c r="AZ1914" s="12"/>
      <c r="BA1914" s="12"/>
      <c r="BB1914" s="12"/>
      <c r="BC1914" s="12"/>
      <c r="BD1914" s="12"/>
      <c r="BE1914" s="12"/>
      <c r="BF1914" s="12"/>
      <c r="BG1914" s="12"/>
      <c r="BH1914" s="12"/>
      <c r="BI1914" s="12"/>
      <c r="BJ1914" s="12"/>
      <c r="BK1914" s="12"/>
      <c r="BL1914" s="12"/>
      <c r="BM1914" s="12"/>
      <c r="BN1914" s="12"/>
      <c r="BO1914" s="12"/>
      <c r="BP1914" s="12"/>
      <c r="BQ1914" s="12"/>
      <c r="BR1914" s="12"/>
      <c r="BS1914" s="12"/>
      <c r="BT1914" s="12"/>
      <c r="BU1914" s="12"/>
      <c r="BV1914" s="12"/>
      <c r="BW1914" s="12"/>
      <c r="BX1914" s="12"/>
      <c r="BY1914" s="12"/>
      <c r="BZ1914" s="12"/>
      <c r="CA1914" s="12"/>
      <c r="CB1914" s="12"/>
      <c r="CC1914" s="12"/>
      <c r="CD1914" s="12"/>
    </row>
    <row r="1915" spans="1:82">
      <c r="A1915" s="12" t="s">
        <v>14402</v>
      </c>
      <c r="B1915" s="12" t="str">
        <f t="shared" si="366"/>
        <v>VANDERVYVER</v>
      </c>
      <c r="C1915" s="12" t="str">
        <f t="shared" si="367"/>
        <v>VAN DER VYVER</v>
      </c>
      <c r="D1915" s="12" t="s">
        <v>14403</v>
      </c>
      <c r="E1915" s="12" t="str">
        <f t="shared" si="364"/>
        <v>Willem Bartholomeus</v>
      </c>
      <c r="F1915" s="12" t="s">
        <v>8338</v>
      </c>
      <c r="G1915" s="12" t="str">
        <f t="shared" si="368"/>
        <v>a1b2c3d2</v>
      </c>
      <c r="H1915" s="12" t="str">
        <f t="shared" si="369"/>
        <v>VAN DER VYVERa1b2c3d2</v>
      </c>
      <c r="I1915" s="12"/>
      <c r="J1915" s="12" t="s">
        <v>14404</v>
      </c>
      <c r="K1915" s="12" t="str">
        <f t="shared" si="370"/>
        <v>1802</v>
      </c>
      <c r="L1915" s="12" t="s">
        <v>542</v>
      </c>
      <c r="M1915" s="12" t="s">
        <v>13848</v>
      </c>
      <c r="N1915" s="12" t="str">
        <f t="shared" si="362"/>
        <v>1802</v>
      </c>
      <c r="O1915" s="12" t="str">
        <f t="shared" si="363"/>
        <v>1802</v>
      </c>
      <c r="P1915" s="12"/>
      <c r="Q1915" s="12" t="str">
        <f t="shared" si="371"/>
        <v>1802</v>
      </c>
      <c r="R1915" s="12"/>
      <c r="S1915" s="12" t="str">
        <f t="shared" si="372"/>
        <v/>
      </c>
      <c r="T1915" s="12" t="s">
        <v>68</v>
      </c>
      <c r="U1915" s="12" t="s">
        <v>14405</v>
      </c>
      <c r="V1915" s="12" t="str">
        <f t="shared" si="373"/>
        <v>1827</v>
      </c>
      <c r="W1915" s="12" t="s">
        <v>5361</v>
      </c>
      <c r="X1915" s="12" t="s">
        <v>1265</v>
      </c>
      <c r="Y1915" s="12"/>
      <c r="Z1915" s="12"/>
      <c r="AA1915" s="12"/>
      <c r="AB1915" s="12"/>
      <c r="AC1915" s="12"/>
      <c r="AD1915" s="12"/>
      <c r="AE1915" s="12"/>
      <c r="AF1915" s="12" t="s">
        <v>3706</v>
      </c>
      <c r="AG1915" s="12" t="s">
        <v>68</v>
      </c>
      <c r="AH1915" s="12" t="s">
        <v>1202</v>
      </c>
      <c r="AI1915" s="12" t="str">
        <f t="shared" si="374"/>
        <v>1838</v>
      </c>
      <c r="AJ1915" s="12"/>
      <c r="AK1915" s="12"/>
      <c r="AL1915" s="12"/>
      <c r="AM1915" s="12"/>
      <c r="AN1915" s="12"/>
      <c r="AO1915" s="12"/>
      <c r="AP1915" s="12"/>
      <c r="AQ1915" s="12"/>
      <c r="AR1915" s="12"/>
      <c r="AS1915" s="12"/>
      <c r="AT1915" s="12"/>
      <c r="AU1915" s="12"/>
      <c r="AV1915" s="12"/>
      <c r="AW1915" s="12"/>
      <c r="AX1915" s="12"/>
      <c r="AY1915" s="12"/>
      <c r="AZ1915" s="12"/>
      <c r="BA1915" s="12"/>
      <c r="BB1915" s="12"/>
      <c r="BC1915" s="12"/>
      <c r="BD1915" s="12"/>
      <c r="BE1915" s="12"/>
      <c r="BF1915" s="12"/>
      <c r="BG1915" s="12"/>
      <c r="BH1915" s="12"/>
      <c r="BI1915" s="12"/>
      <c r="BJ1915" s="12"/>
      <c r="BK1915" s="12"/>
      <c r="BL1915" s="12"/>
      <c r="BM1915" s="12"/>
      <c r="BN1915" s="12"/>
      <c r="BO1915" s="12"/>
      <c r="BP1915" s="12"/>
      <c r="BQ1915" s="12"/>
      <c r="BR1915" s="12"/>
      <c r="BS1915" s="12"/>
      <c r="BT1915" s="12"/>
      <c r="BU1915" s="12"/>
      <c r="BV1915" s="12"/>
      <c r="BW1915" s="12"/>
      <c r="BX1915" s="12"/>
      <c r="BY1915" s="12"/>
      <c r="BZ1915" s="12"/>
      <c r="CA1915" s="12"/>
      <c r="CB1915" s="12"/>
      <c r="CC1915" s="12"/>
      <c r="CD1915" s="12"/>
    </row>
    <row r="1916" spans="1:82">
      <c r="A1916" s="12" t="s">
        <v>3431</v>
      </c>
      <c r="B1916" s="12" t="str">
        <f t="shared" si="366"/>
        <v>VANDERWALT</v>
      </c>
      <c r="C1916" s="12" t="str">
        <f t="shared" si="367"/>
        <v>VAN DER WALT</v>
      </c>
      <c r="D1916" s="12" t="s">
        <v>14406</v>
      </c>
      <c r="E1916" s="12" t="str">
        <f t="shared" si="364"/>
        <v>Andries Petrus Jacobus</v>
      </c>
      <c r="F1916" s="12" t="s">
        <v>14407</v>
      </c>
      <c r="G1916" s="12" t="str">
        <f t="shared" si="368"/>
        <v>a1b5c1d2e1</v>
      </c>
      <c r="H1916" s="12" t="str">
        <f t="shared" si="369"/>
        <v>VAN DER WALTa1b5c1d2e1</v>
      </c>
      <c r="I1916" s="12"/>
      <c r="J1916" s="12" t="s">
        <v>3591</v>
      </c>
      <c r="K1916" s="12" t="str">
        <f t="shared" si="370"/>
        <v>1814</v>
      </c>
      <c r="L1916" s="12" t="s">
        <v>74</v>
      </c>
      <c r="M1916" s="12" t="s">
        <v>3486</v>
      </c>
      <c r="N1916" s="12" t="str">
        <f t="shared" si="362"/>
        <v>1814</v>
      </c>
      <c r="O1916" s="12" t="str">
        <f t="shared" si="363"/>
        <v>1815</v>
      </c>
      <c r="P1916" s="12" t="s">
        <v>1864</v>
      </c>
      <c r="Q1916" s="12" t="str">
        <f t="shared" si="371"/>
        <v>1814</v>
      </c>
      <c r="R1916" s="12" t="s">
        <v>14408</v>
      </c>
      <c r="S1916" s="12" t="str">
        <f t="shared" si="372"/>
        <v>1861</v>
      </c>
      <c r="T1916" s="12"/>
      <c r="U1916" s="12"/>
      <c r="V1916" s="12" t="str">
        <f t="shared" si="373"/>
        <v/>
      </c>
      <c r="W1916" s="12" t="s">
        <v>14409</v>
      </c>
      <c r="X1916" s="12" t="s">
        <v>726</v>
      </c>
      <c r="Y1916" s="12"/>
      <c r="Z1916" s="12"/>
      <c r="AA1916" s="12"/>
      <c r="AB1916" s="12"/>
      <c r="AC1916" s="12"/>
      <c r="AD1916" s="12" t="s">
        <v>1864</v>
      </c>
      <c r="AE1916" s="12" t="s">
        <v>14410</v>
      </c>
      <c r="AF1916" s="12"/>
      <c r="AG1916" s="12" t="s">
        <v>60</v>
      </c>
      <c r="AH1916" s="12" t="s">
        <v>14411</v>
      </c>
      <c r="AJ1916" s="12"/>
      <c r="AK1916" s="12" t="s">
        <v>551</v>
      </c>
      <c r="AL1916" s="12"/>
      <c r="AM1916" s="12"/>
      <c r="AN1916" s="12"/>
      <c r="AO1916" s="12"/>
      <c r="AP1916" s="12"/>
      <c r="AQ1916" s="12"/>
      <c r="AR1916" s="12"/>
      <c r="AS1916" s="12"/>
      <c r="AT1916" s="12"/>
      <c r="AU1916" s="12"/>
      <c r="AV1916" s="12"/>
      <c r="AW1916" s="12"/>
      <c r="AX1916" s="12"/>
      <c r="AY1916" s="12"/>
      <c r="AZ1916" s="12"/>
      <c r="BA1916" s="12"/>
      <c r="BB1916" s="12"/>
      <c r="BC1916" s="12"/>
      <c r="BD1916" s="12"/>
      <c r="BE1916" s="12"/>
      <c r="BF1916" s="12"/>
      <c r="BG1916" s="12"/>
      <c r="BH1916" s="12"/>
      <c r="BI1916" s="12"/>
      <c r="BJ1916" s="12"/>
      <c r="BK1916" s="12"/>
      <c r="BL1916" s="12"/>
      <c r="BM1916" s="12"/>
      <c r="BN1916" s="12"/>
      <c r="BO1916" s="12"/>
      <c r="BP1916" s="12"/>
      <c r="BQ1916" s="12"/>
      <c r="BR1916" s="12"/>
      <c r="BS1916" s="12"/>
      <c r="BT1916" s="12"/>
      <c r="BU1916" s="12"/>
      <c r="BV1916" s="12"/>
      <c r="BW1916" s="12"/>
      <c r="BX1916" s="12"/>
      <c r="BY1916" s="12"/>
      <c r="BZ1916" s="12"/>
      <c r="CA1916" s="12"/>
      <c r="CB1916" s="12"/>
      <c r="CC1916" s="12"/>
      <c r="CD1916" s="12"/>
    </row>
    <row r="1917" spans="1:82">
      <c r="A1917" s="12" t="s">
        <v>4624</v>
      </c>
      <c r="B1917" s="12" t="str">
        <f t="shared" si="366"/>
        <v>VANDERWESTHUIZEN</v>
      </c>
      <c r="C1917" s="12" t="str">
        <f t="shared" si="367"/>
        <v>VAN DER WESTHUIZEN</v>
      </c>
      <c r="D1917" s="12" t="s">
        <v>3232</v>
      </c>
      <c r="E1917" s="12" t="str">
        <f t="shared" si="364"/>
        <v>Pieter Jacobus</v>
      </c>
      <c r="F1917" s="12" t="s">
        <v>14450</v>
      </c>
      <c r="G1917" s="12" t="str">
        <f t="shared" si="368"/>
        <v>a1b2c1d6e7</v>
      </c>
      <c r="H1917" s="12" t="str">
        <f t="shared" si="369"/>
        <v>VAN DER WESTHUIZENa1b2c1d6e7</v>
      </c>
      <c r="I1917" s="12"/>
      <c r="J1917" s="12"/>
      <c r="K1917" s="12" t="str">
        <f t="shared" si="370"/>
        <v/>
      </c>
      <c r="L1917" s="12"/>
      <c r="M1917" s="12" t="s">
        <v>14451</v>
      </c>
      <c r="N1917" s="12" t="str">
        <f t="shared" si="362"/>
        <v/>
      </c>
      <c r="O1917" s="12" t="str">
        <f t="shared" si="363"/>
        <v>1880</v>
      </c>
      <c r="P1917" s="12"/>
      <c r="Q1917" s="12" t="str">
        <f t="shared" si="371"/>
        <v>1880</v>
      </c>
      <c r="R1917" s="12"/>
      <c r="S1917" s="12" t="str">
        <f t="shared" si="372"/>
        <v/>
      </c>
      <c r="T1917" s="12" t="s">
        <v>199</v>
      </c>
      <c r="U1917" s="12" t="s">
        <v>4552</v>
      </c>
      <c r="V1917" s="12" t="str">
        <f t="shared" si="373"/>
        <v>1820</v>
      </c>
      <c r="W1917" s="12" t="s">
        <v>14452</v>
      </c>
      <c r="X1917" s="12" t="s">
        <v>756</v>
      </c>
      <c r="Y1917" s="12"/>
      <c r="Z1917" s="12"/>
      <c r="AA1917" s="12"/>
      <c r="AB1917" s="12"/>
      <c r="AC1917" s="12"/>
      <c r="AD1917" s="12"/>
      <c r="AE1917" s="12"/>
      <c r="AF1917" s="12"/>
      <c r="AG1917" s="12" t="s">
        <v>199</v>
      </c>
      <c r="AH1917" s="12" t="s">
        <v>12829</v>
      </c>
      <c r="AI1917" s="12" t="str">
        <f t="shared" si="374"/>
        <v>1838</v>
      </c>
      <c r="AJ1917" s="12" t="s">
        <v>13442</v>
      </c>
      <c r="AK1917" s="12" t="s">
        <v>551</v>
      </c>
      <c r="AL1917" s="12" t="s">
        <v>199</v>
      </c>
      <c r="AM1917" s="12" t="s">
        <v>14453</v>
      </c>
      <c r="AN1917" s="12" t="s">
        <v>10269</v>
      </c>
      <c r="AO1917" s="12" t="s">
        <v>3629</v>
      </c>
      <c r="AP1917" s="12"/>
      <c r="AQ1917" s="12"/>
      <c r="AR1917" s="12"/>
      <c r="AS1917" s="12"/>
      <c r="AT1917" s="12"/>
      <c r="AU1917" s="12"/>
      <c r="AV1917" s="12"/>
      <c r="AW1917" s="12"/>
      <c r="AX1917" s="12"/>
      <c r="AY1917" s="12"/>
      <c r="AZ1917" s="12"/>
      <c r="BA1917" s="12"/>
      <c r="BB1917" s="12"/>
      <c r="BC1917" s="12"/>
      <c r="BD1917" s="12"/>
      <c r="BE1917" s="12"/>
      <c r="BF1917" s="12"/>
      <c r="BG1917" s="12"/>
      <c r="BH1917" s="12"/>
      <c r="BI1917" s="12"/>
      <c r="BJ1917" s="12"/>
      <c r="BK1917" s="12"/>
      <c r="BL1917" s="12"/>
      <c r="BM1917" s="12"/>
      <c r="BN1917" s="12"/>
      <c r="BO1917" s="12"/>
      <c r="BP1917" s="12"/>
      <c r="BQ1917" s="12"/>
      <c r="BR1917" s="12"/>
      <c r="BS1917" s="12"/>
      <c r="BT1917" s="12"/>
      <c r="BU1917" s="12"/>
      <c r="BV1917" s="12"/>
      <c r="BW1917" s="12"/>
      <c r="BX1917" s="12"/>
      <c r="BY1917" s="12"/>
      <c r="BZ1917" s="12"/>
      <c r="CA1917" s="12"/>
      <c r="CB1917" s="12"/>
      <c r="CC1917" s="12"/>
      <c r="CD1917" s="12"/>
    </row>
    <row r="1918" spans="1:82">
      <c r="A1918" s="12" t="s">
        <v>4624</v>
      </c>
      <c r="B1918" s="12" t="str">
        <f t="shared" si="366"/>
        <v>VANDERWESTHUIZEN</v>
      </c>
      <c r="C1918" s="12" t="str">
        <f t="shared" si="367"/>
        <v>VAN DER WESTHUIZEN</v>
      </c>
      <c r="D1918" s="12" t="s">
        <v>14440</v>
      </c>
      <c r="E1918" s="12" t="str">
        <f t="shared" si="364"/>
        <v>Nicolaas Georg</v>
      </c>
      <c r="F1918" s="12" t="s">
        <v>14441</v>
      </c>
      <c r="G1918" s="12" t="str">
        <f t="shared" si="368"/>
        <v>a1b3c8d1e8</v>
      </c>
      <c r="H1918" s="12" t="str">
        <f t="shared" si="369"/>
        <v>VAN DER WESTHUIZENa1b3c8d1e8</v>
      </c>
      <c r="I1918" s="12"/>
      <c r="J1918" s="12" t="s">
        <v>9910</v>
      </c>
      <c r="K1918" s="12" t="str">
        <f t="shared" si="370"/>
        <v>1792</v>
      </c>
      <c r="L1918" s="12" t="s">
        <v>74</v>
      </c>
      <c r="M1918" s="12" t="s">
        <v>5155</v>
      </c>
      <c r="N1918" s="12" t="str">
        <f t="shared" si="362"/>
        <v>1792</v>
      </c>
      <c r="O1918" s="12" t="str">
        <f t="shared" si="363"/>
        <v>1794</v>
      </c>
      <c r="P1918" s="12" t="s">
        <v>12237</v>
      </c>
      <c r="Q1918" s="12" t="str">
        <f t="shared" si="371"/>
        <v>1792</v>
      </c>
      <c r="R1918" s="12" t="s">
        <v>14442</v>
      </c>
      <c r="S1918" s="12" t="str">
        <f t="shared" si="372"/>
        <v>1872</v>
      </c>
      <c r="T1918" s="12"/>
      <c r="U1918" s="12">
        <v>1846</v>
      </c>
      <c r="V1918" s="12" t="str">
        <f t="shared" si="373"/>
        <v>1846</v>
      </c>
      <c r="W1918" s="12" t="s">
        <v>3087</v>
      </c>
      <c r="X1918" s="12" t="s">
        <v>187</v>
      </c>
      <c r="Y1918" s="12"/>
      <c r="Z1918" s="12" t="s">
        <v>74</v>
      </c>
      <c r="AA1918" s="12" t="s">
        <v>3111</v>
      </c>
      <c r="AB1918" s="12" t="s">
        <v>366</v>
      </c>
      <c r="AC1918" s="12" t="s">
        <v>14443</v>
      </c>
      <c r="AD1918" s="12" t="s">
        <v>12237</v>
      </c>
      <c r="AE1918" s="12" t="s">
        <v>14444</v>
      </c>
      <c r="AF1918" s="12" t="s">
        <v>3703</v>
      </c>
      <c r="AG1918" s="12" t="s">
        <v>366</v>
      </c>
      <c r="AH1918" s="12" t="s">
        <v>12836</v>
      </c>
      <c r="AI1918" s="12" t="str">
        <f t="shared" si="374"/>
        <v>1838</v>
      </c>
      <c r="AJ1918" s="12" t="s">
        <v>13442</v>
      </c>
      <c r="AK1918" s="12" t="s">
        <v>12237</v>
      </c>
      <c r="AL1918" s="12"/>
      <c r="AM1918" s="12"/>
      <c r="AN1918" s="12"/>
      <c r="AO1918" s="12"/>
      <c r="AP1918" s="12"/>
      <c r="AQ1918" s="12"/>
      <c r="AR1918" s="12"/>
      <c r="AS1918" s="12"/>
      <c r="AT1918" s="12"/>
      <c r="AU1918" s="12"/>
      <c r="AV1918" s="12"/>
      <c r="AW1918" s="12"/>
      <c r="AX1918" s="12"/>
      <c r="AY1918" s="12"/>
      <c r="AZ1918" s="12"/>
      <c r="BA1918" s="12"/>
      <c r="BB1918" s="12"/>
      <c r="BC1918" s="12"/>
      <c r="BD1918" s="12"/>
      <c r="BE1918" s="12"/>
      <c r="BF1918" s="12"/>
      <c r="BG1918" s="12"/>
      <c r="BH1918" s="12"/>
      <c r="BI1918" s="12"/>
      <c r="BJ1918" s="12"/>
      <c r="BK1918" s="12"/>
      <c r="BL1918" s="12"/>
      <c r="BM1918" s="12"/>
      <c r="BN1918" s="12"/>
      <c r="BO1918" s="12"/>
      <c r="BP1918" s="12"/>
      <c r="BQ1918" s="12"/>
      <c r="BR1918" s="12"/>
      <c r="BS1918" s="12"/>
      <c r="BT1918" s="12"/>
      <c r="BU1918" s="12"/>
      <c r="BV1918" s="12"/>
      <c r="BW1918" s="12"/>
      <c r="BX1918" s="12"/>
      <c r="BY1918" s="12"/>
      <c r="BZ1918" s="12"/>
      <c r="CA1918" s="12"/>
      <c r="CB1918" s="12"/>
      <c r="CC1918" s="12"/>
      <c r="CD1918" s="12"/>
    </row>
    <row r="1919" spans="1:82">
      <c r="A1919" s="12" t="s">
        <v>4624</v>
      </c>
      <c r="B1919" s="12" t="str">
        <f t="shared" si="366"/>
        <v>VANDERWESTHUIZEN</v>
      </c>
      <c r="C1919" s="12" t="str">
        <f t="shared" si="367"/>
        <v>VAN DER WESTHUIZEN</v>
      </c>
      <c r="D1919" s="12" t="s">
        <v>14412</v>
      </c>
      <c r="E1919" s="12" t="str">
        <f t="shared" si="364"/>
        <v>Jacob Sr.</v>
      </c>
      <c r="F1919" s="12" t="s">
        <v>14413</v>
      </c>
      <c r="G1919" s="12" t="str">
        <f t="shared" si="368"/>
        <v>a1b3c8d2e2</v>
      </c>
      <c r="H1919" s="12" t="str">
        <f t="shared" si="369"/>
        <v>VAN DER WESTHUIZENa1b3c8d2e2</v>
      </c>
      <c r="I1919" s="12"/>
      <c r="J1919" s="12"/>
      <c r="K1919" s="12" t="str">
        <f t="shared" si="370"/>
        <v/>
      </c>
      <c r="L1919" s="12"/>
      <c r="M1919" s="12" t="s">
        <v>14414</v>
      </c>
      <c r="N1919" s="12" t="str">
        <f t="shared" si="362"/>
        <v/>
      </c>
      <c r="O1919" s="12" t="str">
        <f t="shared" si="363"/>
        <v>1788</v>
      </c>
      <c r="P1919" s="12"/>
      <c r="Q1919" s="12" t="str">
        <f t="shared" si="371"/>
        <v>1788</v>
      </c>
      <c r="R1919" s="12"/>
      <c r="S1919" s="12" t="str">
        <f t="shared" si="372"/>
        <v/>
      </c>
      <c r="T1919" s="12" t="s">
        <v>542</v>
      </c>
      <c r="U1919" s="12" t="s">
        <v>14415</v>
      </c>
      <c r="V1919" s="12" t="str">
        <f t="shared" si="373"/>
        <v>1806</v>
      </c>
      <c r="W1919" s="12" t="s">
        <v>14416</v>
      </c>
      <c r="X1919" s="12" t="s">
        <v>1555</v>
      </c>
      <c r="Y1919" s="12"/>
      <c r="Z1919" s="12"/>
      <c r="AA1919" s="12">
        <v>1790</v>
      </c>
      <c r="AB1919" s="12"/>
      <c r="AC1919" s="12"/>
      <c r="AD1919" s="12"/>
      <c r="AE1919" s="12"/>
      <c r="AF1919" s="12" t="s">
        <v>3703</v>
      </c>
      <c r="AG1919" s="12" t="s">
        <v>366</v>
      </c>
      <c r="AH1919" s="12" t="s">
        <v>12836</v>
      </c>
      <c r="AI1919" s="12" t="str">
        <f t="shared" si="374"/>
        <v>1838</v>
      </c>
      <c r="AJ1919" s="12" t="s">
        <v>13442</v>
      </c>
      <c r="AK1919" s="12"/>
      <c r="AL1919" s="12"/>
      <c r="AM1919" s="12"/>
      <c r="AN1919" s="12"/>
      <c r="AO1919" s="12"/>
      <c r="AP1919" s="12"/>
      <c r="AQ1919" s="12"/>
      <c r="AR1919" s="12"/>
      <c r="AS1919" s="12"/>
      <c r="AT1919" s="12"/>
      <c r="AU1919" s="12"/>
      <c r="AV1919" s="12"/>
      <c r="AW1919" s="12"/>
      <c r="AX1919" s="12"/>
      <c r="AY1919" s="12"/>
      <c r="AZ1919" s="12"/>
      <c r="BA1919" s="12"/>
      <c r="BB1919" s="12"/>
      <c r="BC1919" s="12"/>
      <c r="BD1919" s="12"/>
      <c r="BE1919" s="12"/>
      <c r="BF1919" s="12"/>
      <c r="BG1919" s="12"/>
      <c r="BH1919" s="12"/>
      <c r="BI1919" s="12"/>
      <c r="BJ1919" s="12"/>
      <c r="BK1919" s="12"/>
      <c r="BL1919" s="12"/>
      <c r="BM1919" s="12"/>
      <c r="BN1919" s="12"/>
      <c r="BO1919" s="12"/>
      <c r="BP1919" s="12"/>
      <c r="BQ1919" s="12"/>
      <c r="BR1919" s="12"/>
      <c r="BS1919" s="12"/>
      <c r="BT1919" s="12"/>
      <c r="BU1919" s="12"/>
      <c r="BV1919" s="12"/>
      <c r="BW1919" s="12"/>
      <c r="BX1919" s="12"/>
      <c r="BY1919" s="12"/>
      <c r="BZ1919" s="12"/>
      <c r="CA1919" s="12"/>
      <c r="CB1919" s="12"/>
      <c r="CC1919" s="12"/>
      <c r="CD1919" s="12"/>
    </row>
    <row r="1920" spans="1:82">
      <c r="A1920" s="12" t="s">
        <v>4624</v>
      </c>
      <c r="B1920" s="12" t="str">
        <f t="shared" si="366"/>
        <v>VANDERWESTHUIZEN</v>
      </c>
      <c r="C1920" s="12" t="str">
        <f t="shared" si="367"/>
        <v>VAN DER WESTHUIZEN</v>
      </c>
      <c r="D1920" s="12" t="s">
        <v>2817</v>
      </c>
      <c r="E1920" s="12" t="str">
        <f t="shared" si="364"/>
        <v>Johannes Matthys</v>
      </c>
      <c r="F1920" s="12" t="s">
        <v>14435</v>
      </c>
      <c r="G1920" s="12" t="str">
        <f t="shared" si="368"/>
        <v>a1b3c8d2e2f1</v>
      </c>
      <c r="H1920" s="12" t="str">
        <f t="shared" si="369"/>
        <v>VAN DER WESTHUIZENa1b3c8d2e2f1</v>
      </c>
      <c r="I1920" s="12"/>
      <c r="J1920" s="12" t="s">
        <v>14393</v>
      </c>
      <c r="K1920" s="12" t="str">
        <f t="shared" si="370"/>
        <v>1808</v>
      </c>
      <c r="L1920" s="12" t="s">
        <v>542</v>
      </c>
      <c r="M1920" s="12" t="s">
        <v>3788</v>
      </c>
      <c r="N1920" s="12" t="str">
        <f t="shared" si="362"/>
        <v>1808</v>
      </c>
      <c r="O1920" s="12" t="str">
        <f t="shared" si="363"/>
        <v>1809</v>
      </c>
      <c r="P1920" s="12"/>
      <c r="Q1920" s="12" t="str">
        <f t="shared" si="371"/>
        <v>1808</v>
      </c>
      <c r="R1920" s="12"/>
      <c r="S1920" s="12" t="str">
        <f t="shared" si="372"/>
        <v/>
      </c>
      <c r="T1920" s="12" t="s">
        <v>366</v>
      </c>
      <c r="U1920" s="12" t="s">
        <v>14425</v>
      </c>
      <c r="V1920" s="12" t="str">
        <f t="shared" si="373"/>
        <v>1829</v>
      </c>
      <c r="W1920" s="12" t="s">
        <v>14436</v>
      </c>
      <c r="X1920" s="12" t="s">
        <v>4624</v>
      </c>
      <c r="Y1920" s="12"/>
      <c r="Z1920" s="12"/>
      <c r="AA1920" s="12"/>
      <c r="AB1920" s="12"/>
      <c r="AC1920" s="12"/>
      <c r="AD1920" s="12"/>
      <c r="AE1920" s="12"/>
      <c r="AF1920" s="12" t="s">
        <v>3703</v>
      </c>
      <c r="AG1920" s="12" t="s">
        <v>366</v>
      </c>
      <c r="AH1920" s="12" t="s">
        <v>12836</v>
      </c>
      <c r="AI1920" s="12" t="str">
        <f t="shared" si="374"/>
        <v>1838</v>
      </c>
      <c r="AJ1920" s="12" t="s">
        <v>13442</v>
      </c>
      <c r="AK1920" s="12" t="s">
        <v>551</v>
      </c>
      <c r="AL1920" s="12"/>
      <c r="AM1920" s="12"/>
      <c r="AN1920" s="12"/>
      <c r="AO1920" s="12"/>
      <c r="AP1920" s="12"/>
      <c r="AQ1920" s="12"/>
      <c r="AR1920" s="12"/>
      <c r="AS1920" s="12"/>
      <c r="AT1920" s="12"/>
      <c r="AU1920" s="12"/>
      <c r="AV1920" s="12"/>
      <c r="AW1920" s="12"/>
      <c r="AX1920" s="12"/>
      <c r="AY1920" s="12"/>
      <c r="AZ1920" s="12"/>
      <c r="BA1920" s="12"/>
      <c r="BB1920" s="12"/>
      <c r="BC1920" s="12"/>
      <c r="BD1920" s="12"/>
      <c r="BE1920" s="12"/>
      <c r="BF1920" s="12"/>
      <c r="BG1920" s="12"/>
      <c r="BH1920" s="12"/>
      <c r="BI1920" s="12"/>
      <c r="BJ1920" s="12"/>
      <c r="BK1920" s="12"/>
      <c r="BL1920" s="12"/>
      <c r="BM1920" s="12"/>
      <c r="BN1920" s="12"/>
      <c r="BO1920" s="12"/>
      <c r="BP1920" s="12"/>
      <c r="BQ1920" s="12"/>
      <c r="BR1920" s="12"/>
      <c r="BS1920" s="12"/>
      <c r="BT1920" s="12"/>
      <c r="BU1920" s="12"/>
      <c r="BV1920" s="12"/>
      <c r="BW1920" s="12"/>
      <c r="BX1920" s="12"/>
      <c r="BY1920" s="12"/>
      <c r="BZ1920" s="12"/>
      <c r="CA1920" s="12"/>
      <c r="CB1920" s="12"/>
      <c r="CC1920" s="12"/>
      <c r="CD1920" s="12"/>
    </row>
    <row r="1921" spans="1:82">
      <c r="A1921" s="12" t="s">
        <v>4624</v>
      </c>
      <c r="B1921" s="12" t="str">
        <f t="shared" si="366"/>
        <v>VANDERWESTHUIZEN</v>
      </c>
      <c r="C1921" s="12" t="str">
        <f t="shared" si="367"/>
        <v>VAN DER WESTHUIZEN</v>
      </c>
      <c r="D1921" s="12" t="s">
        <v>14417</v>
      </c>
      <c r="E1921" s="12" t="str">
        <f t="shared" si="364"/>
        <v>Jacobus Jr.</v>
      </c>
      <c r="F1921" s="12" t="s">
        <v>14418</v>
      </c>
      <c r="G1921" s="12" t="str">
        <f t="shared" si="368"/>
        <v>a1b3c8d2e2f2</v>
      </c>
      <c r="H1921" s="12" t="str">
        <f t="shared" si="369"/>
        <v>VAN DER WESTHUIZENa1b3c8d2e2f2</v>
      </c>
      <c r="I1921" s="12"/>
      <c r="J1921" s="12" t="s">
        <v>14419</v>
      </c>
      <c r="K1921" s="12" t="str">
        <f t="shared" si="370"/>
        <v>1810</v>
      </c>
      <c r="L1921" s="12" t="s">
        <v>542</v>
      </c>
      <c r="M1921" s="12" t="s">
        <v>14420</v>
      </c>
      <c r="N1921" s="12" t="str">
        <f t="shared" si="362"/>
        <v>1810</v>
      </c>
      <c r="O1921" s="12" t="str">
        <f t="shared" si="363"/>
        <v>1811</v>
      </c>
      <c r="P1921" s="12"/>
      <c r="Q1921" s="12" t="str">
        <f t="shared" si="371"/>
        <v>1810</v>
      </c>
      <c r="R1921" s="12"/>
      <c r="S1921" s="12" t="str">
        <f t="shared" si="372"/>
        <v/>
      </c>
      <c r="T1921" s="12" t="s">
        <v>140</v>
      </c>
      <c r="U1921" s="12" t="s">
        <v>13552</v>
      </c>
      <c r="V1921" s="12" t="str">
        <f t="shared" si="373"/>
        <v>1848</v>
      </c>
      <c r="W1921" s="12" t="s">
        <v>14421</v>
      </c>
      <c r="X1921" s="12" t="s">
        <v>1771</v>
      </c>
      <c r="Y1921" s="12"/>
      <c r="Z1921" s="12"/>
      <c r="AA1921" s="12">
        <v>1828</v>
      </c>
      <c r="AB1921" s="12"/>
      <c r="AC1921" s="12"/>
      <c r="AD1921" s="12"/>
      <c r="AE1921" s="12"/>
      <c r="AF1921" s="12" t="s">
        <v>3703</v>
      </c>
      <c r="AG1921" s="12" t="s">
        <v>366</v>
      </c>
      <c r="AH1921" s="12" t="s">
        <v>12836</v>
      </c>
      <c r="AI1921" s="12" t="str">
        <f t="shared" si="374"/>
        <v>1838</v>
      </c>
      <c r="AJ1921" s="12" t="s">
        <v>13442</v>
      </c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  <c r="BH1921" s="12"/>
      <c r="BI1921" s="12"/>
      <c r="BJ1921" s="12"/>
      <c r="BK1921" s="12"/>
      <c r="BL1921" s="12"/>
      <c r="BM1921" s="12"/>
      <c r="BN1921" s="12"/>
      <c r="BO1921" s="12"/>
      <c r="BP1921" s="12"/>
      <c r="BQ1921" s="12"/>
      <c r="BR1921" s="12"/>
      <c r="BS1921" s="12"/>
      <c r="BT1921" s="12"/>
      <c r="BU1921" s="12"/>
      <c r="BV1921" s="12"/>
      <c r="BW1921" s="12"/>
      <c r="BX1921" s="12"/>
      <c r="BY1921" s="12"/>
      <c r="BZ1921" s="12"/>
      <c r="CA1921" s="12"/>
      <c r="CB1921" s="12"/>
      <c r="CC1921" s="12"/>
      <c r="CD1921" s="12"/>
    </row>
    <row r="1922" spans="1:82">
      <c r="A1922" s="12" t="s">
        <v>4624</v>
      </c>
      <c r="B1922" s="12" t="str">
        <f t="shared" si="366"/>
        <v>VANDERWESTHUIZEN</v>
      </c>
      <c r="C1922" s="12" t="str">
        <f t="shared" si="367"/>
        <v>VAN DER WESTHUIZEN</v>
      </c>
      <c r="D1922" s="12" t="s">
        <v>14445</v>
      </c>
      <c r="E1922" s="12" t="str">
        <f t="shared" si="364"/>
        <v>Nicolaas George</v>
      </c>
      <c r="F1922" s="12" t="s">
        <v>14446</v>
      </c>
      <c r="G1922" s="12" t="str">
        <f t="shared" si="368"/>
        <v>a1b3c8d2e2f3</v>
      </c>
      <c r="H1922" s="12" t="str">
        <f t="shared" si="369"/>
        <v>VAN DER WESTHUIZENa1b3c8d2e2f3</v>
      </c>
      <c r="I1922" s="12"/>
      <c r="J1922" s="12" t="s">
        <v>14447</v>
      </c>
      <c r="K1922" s="12" t="str">
        <f t="shared" si="370"/>
        <v>1813</v>
      </c>
      <c r="L1922" s="12" t="s">
        <v>542</v>
      </c>
      <c r="M1922" s="12" t="s">
        <v>14448</v>
      </c>
      <c r="N1922" s="12" t="str">
        <f t="shared" ref="N1922:N1985" si="375">RIGHT(J1922,4)</f>
        <v>1813</v>
      </c>
      <c r="O1922" s="12" t="str">
        <f t="shared" ref="O1922:O1985" si="376">RIGHT(M1922,4)</f>
        <v>1813</v>
      </c>
      <c r="P1922" s="12"/>
      <c r="Q1922" s="12" t="str">
        <f t="shared" si="371"/>
        <v>1813</v>
      </c>
      <c r="R1922" s="12"/>
      <c r="S1922" s="12" t="str">
        <f t="shared" si="372"/>
        <v/>
      </c>
      <c r="T1922" s="12"/>
      <c r="U1922" s="12"/>
      <c r="V1922" s="12" t="str">
        <f t="shared" si="373"/>
        <v/>
      </c>
      <c r="W1922" s="12" t="s">
        <v>14449</v>
      </c>
      <c r="X1922" s="12" t="s">
        <v>4624</v>
      </c>
      <c r="Y1922" s="12"/>
      <c r="Z1922" s="12"/>
      <c r="AA1922" s="12"/>
      <c r="AB1922" s="12"/>
      <c r="AC1922" s="12"/>
      <c r="AD1922" s="12"/>
      <c r="AE1922" s="12"/>
      <c r="AF1922" s="12" t="s">
        <v>3703</v>
      </c>
      <c r="AG1922" s="12" t="s">
        <v>366</v>
      </c>
      <c r="AH1922" s="12" t="s">
        <v>12836</v>
      </c>
      <c r="AI1922" s="12" t="str">
        <f t="shared" si="374"/>
        <v>1838</v>
      </c>
      <c r="AJ1922" s="12" t="s">
        <v>13442</v>
      </c>
      <c r="AK1922" s="12" t="s">
        <v>190</v>
      </c>
      <c r="AL1922" s="12"/>
      <c r="AM1922" s="12"/>
      <c r="AN1922" s="12"/>
      <c r="AO1922" s="12"/>
      <c r="AP1922" s="12"/>
      <c r="AQ1922" s="12"/>
      <c r="AR1922" s="12"/>
      <c r="AS1922" s="12"/>
      <c r="AT1922" s="12"/>
      <c r="AU1922" s="12"/>
      <c r="AV1922" s="12"/>
      <c r="AW1922" s="12"/>
      <c r="AX1922" s="12"/>
      <c r="AY1922" s="12"/>
      <c r="AZ1922" s="12"/>
      <c r="BA1922" s="12"/>
      <c r="BB1922" s="12"/>
      <c r="BC1922" s="12"/>
      <c r="BD1922" s="12"/>
      <c r="BE1922" s="12"/>
      <c r="BF1922" s="12"/>
      <c r="BG1922" s="12"/>
      <c r="BH1922" s="12"/>
      <c r="BI1922" s="12"/>
      <c r="BJ1922" s="12"/>
      <c r="BK1922" s="12"/>
      <c r="BL1922" s="12"/>
      <c r="BM1922" s="12"/>
      <c r="BN1922" s="12"/>
      <c r="BO1922" s="12"/>
      <c r="BP1922" s="12"/>
      <c r="BQ1922" s="12"/>
      <c r="BR1922" s="12"/>
      <c r="BS1922" s="12"/>
      <c r="BT1922" s="12"/>
      <c r="BU1922" s="12"/>
      <c r="BV1922" s="12"/>
      <c r="BW1922" s="12"/>
      <c r="BX1922" s="12"/>
      <c r="BY1922" s="12"/>
      <c r="BZ1922" s="12"/>
      <c r="CA1922" s="12"/>
      <c r="CB1922" s="12"/>
      <c r="CC1922" s="12"/>
      <c r="CD1922" s="12"/>
    </row>
    <row r="1923" spans="1:82">
      <c r="A1923" s="12" t="s">
        <v>4624</v>
      </c>
      <c r="B1923" s="12" t="str">
        <f t="shared" si="366"/>
        <v>VANDERWESTHUIZEN</v>
      </c>
      <c r="C1923" s="12" t="str">
        <f t="shared" si="367"/>
        <v>VAN DER WESTHUIZEN</v>
      </c>
      <c r="D1923" s="12" t="s">
        <v>12982</v>
      </c>
      <c r="E1923" s="12" t="str">
        <f t="shared" ref="E1923:E1986" si="377">PROPER(D1923)</f>
        <v>Nicolaas</v>
      </c>
      <c r="F1923" s="12" t="s">
        <v>14437</v>
      </c>
      <c r="G1923" s="12" t="str">
        <f t="shared" si="368"/>
        <v>a1b3c8d2e3</v>
      </c>
      <c r="H1923" s="12" t="str">
        <f t="shared" si="369"/>
        <v>VAN DER WESTHUIZENa1b3c8d2e3</v>
      </c>
      <c r="I1923" s="12"/>
      <c r="J1923" s="12"/>
      <c r="K1923" s="12" t="str">
        <f t="shared" si="370"/>
        <v/>
      </c>
      <c r="L1923" s="12"/>
      <c r="M1923" s="12" t="s">
        <v>14438</v>
      </c>
      <c r="N1923" s="12" t="str">
        <f t="shared" si="375"/>
        <v/>
      </c>
      <c r="O1923" s="12" t="str">
        <f t="shared" si="376"/>
        <v>1790</v>
      </c>
      <c r="P1923" s="12"/>
      <c r="Q1923" s="12" t="str">
        <f t="shared" si="371"/>
        <v>1790</v>
      </c>
      <c r="R1923" s="12"/>
      <c r="S1923" s="12" t="str">
        <f t="shared" si="372"/>
        <v/>
      </c>
      <c r="T1923" s="12" t="s">
        <v>542</v>
      </c>
      <c r="U1923" s="12" t="s">
        <v>14439</v>
      </c>
      <c r="V1923" s="12" t="str">
        <f t="shared" si="373"/>
        <v>1814</v>
      </c>
      <c r="W1923" s="12" t="s">
        <v>674</v>
      </c>
      <c r="X1923" s="12" t="s">
        <v>781</v>
      </c>
      <c r="Y1923" s="12"/>
      <c r="Z1923" s="12"/>
      <c r="AA1923" s="12"/>
      <c r="AB1923" s="12"/>
      <c r="AC1923" s="12"/>
      <c r="AD1923" s="12"/>
      <c r="AE1923" s="12"/>
      <c r="AF1923" s="12" t="s">
        <v>3703</v>
      </c>
      <c r="AG1923" s="12" t="s">
        <v>366</v>
      </c>
      <c r="AH1923" s="12" t="s">
        <v>12836</v>
      </c>
      <c r="AI1923" s="12" t="str">
        <f t="shared" si="374"/>
        <v>1838</v>
      </c>
      <c r="AJ1923" s="12" t="s">
        <v>13442</v>
      </c>
      <c r="AK1923" s="12"/>
      <c r="AL1923" s="12"/>
      <c r="AM1923" s="12"/>
      <c r="AN1923" s="12"/>
      <c r="AO1923" s="12"/>
      <c r="AP1923" s="12"/>
      <c r="AQ1923" s="12"/>
      <c r="AR1923" s="12"/>
      <c r="AS1923" s="12"/>
      <c r="AT1923" s="12"/>
      <c r="AU1923" s="12"/>
      <c r="AV1923" s="12"/>
      <c r="AW1923" s="12"/>
      <c r="AX1923" s="12"/>
      <c r="AY1923" s="12"/>
      <c r="AZ1923" s="12"/>
      <c r="BA1923" s="12"/>
      <c r="BB1923" s="12"/>
      <c r="BC1923" s="12"/>
      <c r="BD1923" s="12"/>
      <c r="BE1923" s="12"/>
      <c r="BF1923" s="12"/>
      <c r="BG1923" s="12"/>
      <c r="BH1923" s="12"/>
      <c r="BI1923" s="12"/>
      <c r="BJ1923" s="12"/>
      <c r="BK1923" s="12"/>
      <c r="BL1923" s="12"/>
      <c r="BM1923" s="12"/>
      <c r="BN1923" s="12"/>
      <c r="BO1923" s="12"/>
      <c r="BP1923" s="12"/>
      <c r="BQ1923" s="12"/>
      <c r="BR1923" s="12"/>
      <c r="BS1923" s="12"/>
      <c r="BT1923" s="12"/>
      <c r="BU1923" s="12"/>
      <c r="BV1923" s="12"/>
      <c r="BW1923" s="12"/>
      <c r="BX1923" s="12"/>
      <c r="BY1923" s="12"/>
      <c r="BZ1923" s="12"/>
      <c r="CA1923" s="12"/>
      <c r="CB1923" s="12"/>
      <c r="CC1923" s="12"/>
      <c r="CD1923" s="12"/>
    </row>
    <row r="1924" spans="1:82">
      <c r="A1924" s="12" t="s">
        <v>4624</v>
      </c>
      <c r="B1924" s="12" t="str">
        <f t="shared" si="366"/>
        <v>VANDERWESTHUIZEN</v>
      </c>
      <c r="C1924" s="12" t="str">
        <f t="shared" si="367"/>
        <v>VAN DER WESTHUIZEN</v>
      </c>
      <c r="D1924" s="12" t="s">
        <v>14422</v>
      </c>
      <c r="E1924" s="12" t="str">
        <f t="shared" si="377"/>
        <v>Jasper</v>
      </c>
      <c r="F1924" s="12" t="s">
        <v>14423</v>
      </c>
      <c r="G1924" s="12" t="str">
        <f t="shared" si="368"/>
        <v>a1b3c8d2e9</v>
      </c>
      <c r="H1924" s="12" t="str">
        <f t="shared" si="369"/>
        <v>VAN DER WESTHUIZENa1b3c8d2e9</v>
      </c>
      <c r="I1924" s="12" t="s">
        <v>3732</v>
      </c>
      <c r="J1924" s="12"/>
      <c r="K1924" s="12" t="str">
        <f t="shared" si="370"/>
        <v/>
      </c>
      <c r="L1924" s="12" t="s">
        <v>3732</v>
      </c>
      <c r="M1924" s="12" t="s">
        <v>14424</v>
      </c>
      <c r="N1924" s="12" t="str">
        <f t="shared" si="375"/>
        <v/>
      </c>
      <c r="O1924" s="12" t="str">
        <f t="shared" si="376"/>
        <v>1803</v>
      </c>
      <c r="P1924" s="12"/>
      <c r="Q1924" s="12" t="str">
        <f t="shared" si="371"/>
        <v>1803</v>
      </c>
      <c r="R1924" s="12"/>
      <c r="S1924" s="12" t="str">
        <f t="shared" si="372"/>
        <v/>
      </c>
      <c r="T1924" s="12" t="s">
        <v>366</v>
      </c>
      <c r="U1924" s="12" t="s">
        <v>14425</v>
      </c>
      <c r="V1924" s="12" t="str">
        <f t="shared" si="373"/>
        <v>1829</v>
      </c>
      <c r="W1924" s="12" t="s">
        <v>3389</v>
      </c>
      <c r="X1924" s="12" t="s">
        <v>782</v>
      </c>
      <c r="Y1924" s="12"/>
      <c r="Z1924" s="12"/>
      <c r="AA1924" s="12" t="s">
        <v>14426</v>
      </c>
      <c r="AB1924" s="12" t="s">
        <v>5738</v>
      </c>
      <c r="AC1924" s="12" t="s">
        <v>14427</v>
      </c>
      <c r="AD1924" s="12"/>
      <c r="AE1924" s="12">
        <v>1861</v>
      </c>
      <c r="AF1924" s="12" t="s">
        <v>3703</v>
      </c>
      <c r="AG1924" s="12" t="s">
        <v>366</v>
      </c>
      <c r="AH1924" s="12" t="s">
        <v>12836</v>
      </c>
      <c r="AI1924" s="12" t="str">
        <f t="shared" si="374"/>
        <v>1838</v>
      </c>
      <c r="AJ1924" s="12" t="s">
        <v>13442</v>
      </c>
      <c r="AK1924" s="12"/>
      <c r="AL1924" s="12"/>
      <c r="AM1924" s="12"/>
      <c r="AN1924" s="12"/>
      <c r="AO1924" s="12"/>
      <c r="AP1924" s="12"/>
      <c r="AQ1924" s="12"/>
      <c r="AR1924" s="12"/>
      <c r="AS1924" s="12"/>
      <c r="AT1924" s="12"/>
      <c r="AU1924" s="12"/>
      <c r="AV1924" s="12"/>
      <c r="AW1924" s="12"/>
      <c r="AX1924" s="12"/>
      <c r="AY1924" s="12"/>
      <c r="AZ1924" s="12"/>
      <c r="BA1924" s="12"/>
      <c r="BB1924" s="12"/>
      <c r="BC1924" s="12"/>
      <c r="BD1924" s="12"/>
      <c r="BE1924" s="12"/>
      <c r="BF1924" s="12"/>
      <c r="BG1924" s="12"/>
      <c r="BH1924" s="12"/>
      <c r="BI1924" s="12"/>
      <c r="BJ1924" s="12"/>
      <c r="BK1924" s="12"/>
      <c r="BL1924" s="12"/>
      <c r="BM1924" s="12"/>
      <c r="BN1924" s="12"/>
      <c r="BO1924" s="12"/>
      <c r="BP1924" s="12"/>
      <c r="BQ1924" s="12"/>
      <c r="BR1924" s="12"/>
      <c r="BS1924" s="12"/>
      <c r="BT1924" s="12"/>
      <c r="BU1924" s="12"/>
      <c r="BV1924" s="12"/>
      <c r="BW1924" s="12"/>
      <c r="BX1924" s="12"/>
      <c r="BY1924" s="12"/>
      <c r="BZ1924" s="12"/>
      <c r="CA1924" s="12"/>
      <c r="CB1924" s="12"/>
      <c r="CC1924" s="12"/>
      <c r="CD1924" s="12"/>
    </row>
    <row r="1925" spans="1:82">
      <c r="A1925" s="12" t="s">
        <v>4624</v>
      </c>
      <c r="B1925" s="12" t="str">
        <f t="shared" si="366"/>
        <v>VANDERWESTHUIZEN</v>
      </c>
      <c r="C1925" s="12" t="str">
        <f t="shared" si="367"/>
        <v>VAN DER WESTHUIZEN</v>
      </c>
      <c r="D1925" s="12" t="s">
        <v>30</v>
      </c>
      <c r="E1925" s="12" t="str">
        <f t="shared" si="377"/>
        <v>Johannes</v>
      </c>
      <c r="F1925" s="12" t="s">
        <v>14428</v>
      </c>
      <c r="G1925" s="12" t="str">
        <f t="shared" si="368"/>
        <v xml:space="preserve">a1b3c8d6e4  </v>
      </c>
      <c r="H1925" s="12" t="str">
        <f t="shared" si="369"/>
        <v xml:space="preserve">VAN DER WESTHUIZENa1b3c8d6e4  </v>
      </c>
      <c r="I1925" s="12"/>
      <c r="J1925" s="12" t="s">
        <v>14429</v>
      </c>
      <c r="K1925" s="12" t="str">
        <f t="shared" si="370"/>
        <v>1801</v>
      </c>
      <c r="L1925" s="12"/>
      <c r="M1925" s="12" t="s">
        <v>14430</v>
      </c>
      <c r="N1925" s="12" t="str">
        <f t="shared" si="375"/>
        <v>1801</v>
      </c>
      <c r="O1925" s="12" t="str">
        <f t="shared" si="376"/>
        <v>1801</v>
      </c>
      <c r="P1925" s="12" t="s">
        <v>90</v>
      </c>
      <c r="Q1925" s="12" t="str">
        <f t="shared" si="371"/>
        <v>1801</v>
      </c>
      <c r="R1925" s="12" t="s">
        <v>14431</v>
      </c>
      <c r="S1925" s="12" t="str">
        <f t="shared" si="372"/>
        <v>1872</v>
      </c>
      <c r="T1925" s="12" t="s">
        <v>6098</v>
      </c>
      <c r="U1925" s="12" t="s">
        <v>14432</v>
      </c>
      <c r="V1925" s="12" t="str">
        <f t="shared" si="373"/>
        <v>1828</v>
      </c>
      <c r="W1925" s="12" t="s">
        <v>1838</v>
      </c>
      <c r="X1925" s="12" t="s">
        <v>627</v>
      </c>
      <c r="Y1925" s="12" t="s">
        <v>3155</v>
      </c>
      <c r="Z1925" s="12"/>
      <c r="AA1925" s="12" t="s">
        <v>14433</v>
      </c>
      <c r="AB1925" s="12"/>
      <c r="AC1925" s="12"/>
      <c r="AD1925" s="12" t="s">
        <v>90</v>
      </c>
      <c r="AE1925" s="12" t="s">
        <v>14434</v>
      </c>
      <c r="AF1925" s="12" t="s">
        <v>3699</v>
      </c>
      <c r="AG1925" s="12" t="s">
        <v>366</v>
      </c>
      <c r="AH1925" s="12" t="s">
        <v>2489</v>
      </c>
      <c r="AI1925" s="12" t="str">
        <f t="shared" si="374"/>
        <v>1841</v>
      </c>
      <c r="AJ1925" s="12"/>
      <c r="AK1925" s="12" t="s">
        <v>90</v>
      </c>
      <c r="AL1925" s="12"/>
      <c r="AM1925" s="12"/>
      <c r="AN1925" s="12"/>
      <c r="AO1925" s="12"/>
      <c r="AP1925" s="12"/>
      <c r="AQ1925" s="12"/>
      <c r="AR1925" s="12"/>
      <c r="AS1925" s="12"/>
      <c r="AT1925" s="12"/>
      <c r="AU1925" s="12"/>
      <c r="AV1925" s="12"/>
      <c r="AW1925" s="12"/>
      <c r="AX1925" s="12"/>
      <c r="AY1925" s="12"/>
      <c r="AZ1925" s="12"/>
      <c r="BA1925" s="12"/>
      <c r="BB1925" s="12"/>
      <c r="BC1925" s="12"/>
      <c r="BD1925" s="12"/>
      <c r="BE1925" s="12"/>
      <c r="BF1925" s="12"/>
      <c r="BG1925" s="12"/>
      <c r="BH1925" s="12"/>
      <c r="BI1925" s="12"/>
      <c r="BJ1925" s="12"/>
      <c r="BK1925" s="12"/>
      <c r="BL1925" s="12"/>
      <c r="BM1925" s="12"/>
      <c r="BN1925" s="12"/>
      <c r="BO1925" s="12"/>
      <c r="BP1925" s="12"/>
      <c r="BQ1925" s="12"/>
      <c r="BR1925" s="12"/>
      <c r="BS1925" s="12"/>
      <c r="BT1925" s="12"/>
      <c r="BU1925" s="12"/>
      <c r="BV1925" s="12"/>
      <c r="BW1925" s="12"/>
      <c r="BX1925" s="12"/>
      <c r="BY1925" s="12"/>
      <c r="BZ1925" s="12"/>
      <c r="CA1925" s="12"/>
      <c r="CB1925" s="12"/>
      <c r="CC1925" s="12"/>
      <c r="CD1925" s="12"/>
    </row>
    <row r="1926" spans="1:82">
      <c r="A1926" s="12" t="s">
        <v>658</v>
      </c>
      <c r="B1926" s="12" t="str">
        <f t="shared" si="366"/>
        <v>VANDEVENTER</v>
      </c>
      <c r="C1926" s="12" t="str">
        <f t="shared" si="367"/>
        <v>VAN DEVENTER</v>
      </c>
      <c r="D1926" s="12" t="s">
        <v>11106</v>
      </c>
      <c r="E1926" s="12" t="str">
        <f t="shared" si="377"/>
        <v>Gerrit Albertus</v>
      </c>
      <c r="F1926" s="12" t="s">
        <v>14457</v>
      </c>
      <c r="G1926" s="12" t="str">
        <f t="shared" si="368"/>
        <v>a1b5c10d4</v>
      </c>
      <c r="H1926" s="12" t="str">
        <f t="shared" si="369"/>
        <v>VAN DEVENTERa1b5c10d4</v>
      </c>
      <c r="I1926" s="12"/>
      <c r="J1926" s="12"/>
      <c r="K1926" s="12" t="str">
        <f t="shared" si="370"/>
        <v/>
      </c>
      <c r="L1926" s="12"/>
      <c r="M1926" s="12" t="s">
        <v>14458</v>
      </c>
      <c r="N1926" s="12" t="str">
        <f t="shared" si="375"/>
        <v/>
      </c>
      <c r="O1926" s="12" t="str">
        <f t="shared" si="376"/>
        <v>1796</v>
      </c>
      <c r="P1926" s="12" t="s">
        <v>90</v>
      </c>
      <c r="Q1926" s="12" t="str">
        <f t="shared" si="371"/>
        <v>1796</v>
      </c>
      <c r="R1926" s="12" t="s">
        <v>12362</v>
      </c>
      <c r="S1926" s="12" t="str">
        <f t="shared" si="372"/>
        <v>1839</v>
      </c>
      <c r="T1926" s="12" t="s">
        <v>28</v>
      </c>
      <c r="U1926" s="12" t="s">
        <v>4823</v>
      </c>
      <c r="V1926" s="12" t="str">
        <f t="shared" si="373"/>
        <v>1821</v>
      </c>
      <c r="W1926" s="12" t="s">
        <v>4715</v>
      </c>
      <c r="X1926" s="12" t="s">
        <v>629</v>
      </c>
      <c r="Y1926" s="12"/>
      <c r="Z1926" s="12"/>
      <c r="AA1926" s="12"/>
      <c r="AB1926" s="12"/>
      <c r="AC1926" s="12"/>
      <c r="AD1926" s="12"/>
      <c r="AE1926" s="12"/>
      <c r="AF1926" s="12" t="s">
        <v>3699</v>
      </c>
      <c r="AG1926" s="12" t="s">
        <v>68</v>
      </c>
      <c r="AH1926" s="12" t="s">
        <v>12313</v>
      </c>
      <c r="AI1926" s="12" t="str">
        <f t="shared" si="374"/>
        <v>1837</v>
      </c>
      <c r="AJ1926" s="12" t="s">
        <v>277</v>
      </c>
      <c r="AK1926" s="12" t="s">
        <v>90</v>
      </c>
      <c r="AL1926" s="12" t="s">
        <v>28</v>
      </c>
      <c r="AM1926" s="12" t="s">
        <v>14459</v>
      </c>
      <c r="AN1926" s="12" t="s">
        <v>3520</v>
      </c>
      <c r="AO1926" s="12" t="s">
        <v>1034</v>
      </c>
      <c r="AP1926" s="12"/>
      <c r="AQ1926" s="12"/>
      <c r="AR1926" s="12"/>
      <c r="AS1926" s="12"/>
      <c r="AT1926" s="12"/>
      <c r="AU1926" s="12"/>
      <c r="AV1926" s="12"/>
      <c r="AW1926" s="12"/>
      <c r="AX1926" s="12"/>
      <c r="AY1926" s="12"/>
      <c r="AZ1926" s="12"/>
      <c r="BA1926" s="12"/>
      <c r="BB1926" s="12"/>
      <c r="BC1926" s="12"/>
      <c r="BD1926" s="12"/>
      <c r="BE1926" s="12"/>
      <c r="BF1926" s="12"/>
      <c r="BG1926" s="12"/>
      <c r="BH1926" s="12"/>
      <c r="BI1926" s="12"/>
      <c r="BJ1926" s="12"/>
      <c r="BK1926" s="12"/>
      <c r="BL1926" s="12"/>
      <c r="BM1926" s="12"/>
      <c r="BN1926" s="12"/>
      <c r="BO1926" s="12"/>
      <c r="BP1926" s="12"/>
      <c r="BQ1926" s="12"/>
      <c r="BR1926" s="12"/>
      <c r="BS1926" s="12"/>
      <c r="BT1926" s="12"/>
      <c r="BU1926" s="12"/>
      <c r="BV1926" s="12"/>
      <c r="BW1926" s="12"/>
      <c r="BX1926" s="12"/>
      <c r="BY1926" s="12"/>
      <c r="BZ1926" s="12"/>
      <c r="CA1926" s="12"/>
      <c r="CB1926" s="12"/>
      <c r="CC1926" s="12"/>
      <c r="CD1926" s="12"/>
    </row>
    <row r="1927" spans="1:82">
      <c r="A1927" s="12" t="s">
        <v>658</v>
      </c>
      <c r="B1927" s="12" t="str">
        <f t="shared" si="366"/>
        <v>VANDEVENTER</v>
      </c>
      <c r="C1927" s="12" t="str">
        <f t="shared" si="367"/>
        <v>VAN DEVENTER</v>
      </c>
      <c r="D1927" s="12" t="s">
        <v>14470</v>
      </c>
      <c r="E1927" s="12" t="str">
        <f t="shared" si="377"/>
        <v>Johannes Lodewykus</v>
      </c>
      <c r="F1927" s="12" t="s">
        <v>14471</v>
      </c>
      <c r="G1927" s="12" t="str">
        <f t="shared" si="368"/>
        <v>a1b5c10d6</v>
      </c>
      <c r="H1927" s="12" t="str">
        <f t="shared" si="369"/>
        <v>VAN DEVENTERa1b5c10d6</v>
      </c>
      <c r="I1927" s="12"/>
      <c r="J1927" s="12" t="s">
        <v>14472</v>
      </c>
      <c r="K1927" s="12" t="str">
        <f t="shared" si="370"/>
        <v>1800</v>
      </c>
      <c r="L1927" s="12"/>
      <c r="M1927" s="12" t="s">
        <v>14473</v>
      </c>
      <c r="N1927" s="12" t="str">
        <f t="shared" si="375"/>
        <v>1800</v>
      </c>
      <c r="O1927" s="12" t="str">
        <f t="shared" si="376"/>
        <v>1800</v>
      </c>
      <c r="P1927" s="12" t="s">
        <v>160</v>
      </c>
      <c r="Q1927" s="12" t="str">
        <f t="shared" si="371"/>
        <v>1800</v>
      </c>
      <c r="R1927" s="12" t="s">
        <v>14474</v>
      </c>
      <c r="S1927" s="12" t="str">
        <f t="shared" si="372"/>
        <v>1875</v>
      </c>
      <c r="T1927" s="12" t="s">
        <v>28</v>
      </c>
      <c r="U1927" s="12" t="s">
        <v>14475</v>
      </c>
      <c r="V1927" s="12" t="str">
        <f t="shared" si="373"/>
        <v>1821</v>
      </c>
      <c r="W1927" s="12" t="s">
        <v>14476</v>
      </c>
      <c r="X1927" s="12" t="s">
        <v>726</v>
      </c>
      <c r="Y1927" s="12"/>
      <c r="Z1927" s="12"/>
      <c r="AA1927" s="12"/>
      <c r="AB1927" s="12"/>
      <c r="AC1927" s="12" t="s">
        <v>1429</v>
      </c>
      <c r="AD1927" s="12"/>
      <c r="AE1927" s="12"/>
      <c r="AF1927" s="12" t="s">
        <v>3728</v>
      </c>
      <c r="AG1927" s="12" t="s">
        <v>346</v>
      </c>
      <c r="AH1927" s="12" t="s">
        <v>12406</v>
      </c>
      <c r="AI1927" s="12" t="str">
        <f t="shared" si="374"/>
        <v>1837</v>
      </c>
      <c r="AJ1927" s="12" t="s">
        <v>14477</v>
      </c>
      <c r="AK1927" s="12" t="s">
        <v>160</v>
      </c>
      <c r="AL1927" s="12"/>
      <c r="AM1927" s="12"/>
      <c r="AN1927" s="12"/>
      <c r="AO1927" s="12"/>
      <c r="AP1927" s="12"/>
      <c r="AQ1927" s="12"/>
      <c r="AR1927" s="12"/>
      <c r="AS1927" s="12"/>
      <c r="AT1927" s="12"/>
      <c r="AU1927" s="12"/>
      <c r="AV1927" s="12"/>
      <c r="AW1927" s="12"/>
      <c r="AX1927" s="12"/>
      <c r="AY1927" s="12"/>
      <c r="AZ1927" s="12"/>
      <c r="BA1927" s="12"/>
      <c r="BB1927" s="12"/>
      <c r="BC1927" s="12"/>
      <c r="BD1927" s="12"/>
      <c r="BE1927" s="12"/>
      <c r="BF1927" s="12"/>
      <c r="BG1927" s="12"/>
      <c r="BH1927" s="12"/>
      <c r="BI1927" s="12"/>
      <c r="BJ1927" s="12"/>
      <c r="BK1927" s="12"/>
      <c r="BL1927" s="12"/>
      <c r="BM1927" s="12"/>
      <c r="BN1927" s="12"/>
      <c r="BO1927" s="12"/>
      <c r="BP1927" s="12"/>
      <c r="BQ1927" s="12"/>
      <c r="BR1927" s="12"/>
      <c r="BS1927" s="12"/>
      <c r="BT1927" s="12"/>
      <c r="BU1927" s="12"/>
      <c r="BV1927" s="12"/>
      <c r="BW1927" s="12"/>
      <c r="BX1927" s="12"/>
      <c r="BY1927" s="12"/>
      <c r="BZ1927" s="12"/>
      <c r="CA1927" s="12"/>
      <c r="CB1927" s="12"/>
      <c r="CC1927" s="12"/>
      <c r="CD1927" s="12"/>
    </row>
    <row r="1928" spans="1:82">
      <c r="A1928" s="12" t="s">
        <v>658</v>
      </c>
      <c r="B1928" s="12" t="str">
        <f t="shared" si="366"/>
        <v>VANDEVENTER</v>
      </c>
      <c r="C1928" s="12" t="str">
        <f t="shared" si="367"/>
        <v>VAN DEVENTER</v>
      </c>
      <c r="D1928" s="12" t="s">
        <v>2231</v>
      </c>
      <c r="E1928" s="12" t="str">
        <f t="shared" si="377"/>
        <v>Gerrit</v>
      </c>
      <c r="F1928" s="12" t="s">
        <v>6445</v>
      </c>
      <c r="G1928" s="12" t="str">
        <f t="shared" si="368"/>
        <v>a1b5c4d2e1</v>
      </c>
      <c r="H1928" s="12" t="str">
        <f t="shared" si="369"/>
        <v>VAN DEVENTERa1b5c4d2e1</v>
      </c>
      <c r="I1928" s="12"/>
      <c r="J1928" s="12" t="s">
        <v>14454</v>
      </c>
      <c r="K1928" s="12" t="str">
        <f t="shared" si="370"/>
        <v>1796</v>
      </c>
      <c r="L1928" s="12" t="s">
        <v>542</v>
      </c>
      <c r="M1928" s="12" t="s">
        <v>14455</v>
      </c>
      <c r="N1928" s="12" t="str">
        <f t="shared" si="375"/>
        <v>1796</v>
      </c>
      <c r="O1928" s="12" t="str">
        <f t="shared" si="376"/>
        <v>1796</v>
      </c>
      <c r="P1928" s="12"/>
      <c r="Q1928" s="12" t="str">
        <f t="shared" si="371"/>
        <v>1796</v>
      </c>
      <c r="R1928" s="12"/>
      <c r="S1928" s="12" t="str">
        <f t="shared" si="372"/>
        <v/>
      </c>
      <c r="T1928" s="12" t="s">
        <v>28</v>
      </c>
      <c r="U1928" s="12" t="s">
        <v>5322</v>
      </c>
      <c r="V1928" s="12" t="str">
        <f t="shared" si="373"/>
        <v>1823</v>
      </c>
      <c r="W1928" s="12" t="s">
        <v>708</v>
      </c>
      <c r="X1928" s="12" t="s">
        <v>637</v>
      </c>
      <c r="Y1928" s="12" t="s">
        <v>14456</v>
      </c>
      <c r="Z1928" s="12"/>
      <c r="AA1928" s="12"/>
      <c r="AB1928" s="12"/>
      <c r="AC1928" s="12" t="s">
        <v>5775</v>
      </c>
      <c r="AD1928" s="12"/>
      <c r="AE1928" s="12"/>
      <c r="AF1928" s="12" t="s">
        <v>3699</v>
      </c>
      <c r="AG1928" s="12" t="s">
        <v>68</v>
      </c>
      <c r="AH1928" s="12" t="s">
        <v>12313</v>
      </c>
      <c r="AI1928" s="12" t="str">
        <f t="shared" si="374"/>
        <v>1837</v>
      </c>
      <c r="AJ1928" s="12" t="s">
        <v>277</v>
      </c>
      <c r="AK1928" s="12" t="s">
        <v>90</v>
      </c>
      <c r="AL1928" s="12"/>
      <c r="AM1928" s="12"/>
      <c r="AN1928" s="12"/>
      <c r="AO1928" s="12"/>
      <c r="AP1928" s="12"/>
      <c r="AQ1928" s="12"/>
      <c r="AR1928" s="12"/>
      <c r="AS1928" s="12"/>
      <c r="AT1928" s="12"/>
      <c r="AU1928" s="12"/>
      <c r="AV1928" s="12"/>
      <c r="AW1928" s="12"/>
      <c r="AX1928" s="12"/>
      <c r="AY1928" s="12"/>
      <c r="AZ1928" s="12"/>
      <c r="BA1928" s="12"/>
      <c r="BB1928" s="12"/>
      <c r="BC1928" s="12"/>
      <c r="BD1928" s="12"/>
      <c r="BE1928" s="12"/>
      <c r="BF1928" s="12"/>
      <c r="BG1928" s="12"/>
      <c r="BH1928" s="12"/>
      <c r="BI1928" s="12"/>
      <c r="BJ1928" s="12"/>
      <c r="BK1928" s="12"/>
      <c r="BL1928" s="12"/>
      <c r="BM1928" s="12"/>
      <c r="BN1928" s="12"/>
      <c r="BO1928" s="12"/>
      <c r="BP1928" s="12"/>
      <c r="BQ1928" s="12"/>
      <c r="BR1928" s="12"/>
      <c r="BS1928" s="12"/>
      <c r="BT1928" s="12"/>
      <c r="BU1928" s="12"/>
      <c r="BV1928" s="12"/>
      <c r="BW1928" s="12"/>
      <c r="BX1928" s="12"/>
      <c r="BY1928" s="12"/>
      <c r="BZ1928" s="12"/>
      <c r="CA1928" s="12"/>
      <c r="CB1928" s="12"/>
      <c r="CC1928" s="12"/>
      <c r="CD1928" s="12"/>
    </row>
    <row r="1929" spans="1:82">
      <c r="A1929" s="12" t="s">
        <v>658</v>
      </c>
      <c r="B1929" s="12" t="str">
        <f t="shared" si="366"/>
        <v>VANDEVENTER</v>
      </c>
      <c r="C1929" s="12" t="str">
        <f t="shared" si="367"/>
        <v>VAN DEVENTER</v>
      </c>
      <c r="D1929" s="12" t="s">
        <v>179</v>
      </c>
      <c r="E1929" s="12" t="str">
        <f t="shared" si="377"/>
        <v>Jan Gerritse</v>
      </c>
      <c r="F1929" s="12" t="s">
        <v>6438</v>
      </c>
      <c r="G1929" s="12" t="str">
        <f t="shared" si="368"/>
        <v>a1b5c4d2e2</v>
      </c>
      <c r="H1929" s="12" t="str">
        <f t="shared" si="369"/>
        <v>VAN DEVENTERa1b5c4d2e2</v>
      </c>
      <c r="I1929" s="12"/>
      <c r="J1929" s="12" t="s">
        <v>14466</v>
      </c>
      <c r="K1929" s="12" t="str">
        <f t="shared" si="370"/>
        <v>1798</v>
      </c>
      <c r="L1929" s="12" t="s">
        <v>542</v>
      </c>
      <c r="M1929" s="12" t="s">
        <v>14467</v>
      </c>
      <c r="N1929" s="12" t="str">
        <f t="shared" si="375"/>
        <v>1798</v>
      </c>
      <c r="O1929" s="12" t="str">
        <f t="shared" si="376"/>
        <v>1798</v>
      </c>
      <c r="P1929" s="12"/>
      <c r="Q1929" s="12" t="str">
        <f t="shared" si="371"/>
        <v>1798</v>
      </c>
      <c r="R1929" s="12"/>
      <c r="S1929" s="12" t="str">
        <f t="shared" si="372"/>
        <v/>
      </c>
      <c r="T1929" s="12" t="s">
        <v>28</v>
      </c>
      <c r="U1929" s="12" t="s">
        <v>14468</v>
      </c>
      <c r="V1929" s="12" t="str">
        <f t="shared" si="373"/>
        <v>1832</v>
      </c>
      <c r="W1929" s="12" t="s">
        <v>14469</v>
      </c>
      <c r="X1929" s="12" t="s">
        <v>1109</v>
      </c>
      <c r="Y1929" s="12"/>
      <c r="Z1929" s="12"/>
      <c r="AA1929" s="12"/>
      <c r="AB1929" s="12"/>
      <c r="AC1929" s="12"/>
      <c r="AD1929" s="12"/>
      <c r="AE1929" s="12"/>
      <c r="AF1929" s="12" t="s">
        <v>3699</v>
      </c>
      <c r="AG1929" s="12" t="s">
        <v>68</v>
      </c>
      <c r="AH1929" s="12" t="s">
        <v>12313</v>
      </c>
      <c r="AI1929" s="12" t="str">
        <f t="shared" si="374"/>
        <v>1837</v>
      </c>
      <c r="AJ1929" s="12" t="s">
        <v>277</v>
      </c>
      <c r="AK1929" s="12" t="s">
        <v>90</v>
      </c>
      <c r="AL1929" s="12"/>
      <c r="AM1929" s="12"/>
      <c r="AN1929" s="12"/>
      <c r="AO1929" s="12"/>
      <c r="AP1929" s="12"/>
      <c r="AQ1929" s="12"/>
      <c r="AR1929" s="12"/>
      <c r="AS1929" s="12"/>
      <c r="AT1929" s="12"/>
      <c r="AU1929" s="12"/>
      <c r="AV1929" s="12"/>
      <c r="AW1929" s="12"/>
      <c r="AX1929" s="12"/>
      <c r="AY1929" s="12"/>
      <c r="AZ1929" s="12"/>
      <c r="BA1929" s="12"/>
      <c r="BB1929" s="12"/>
      <c r="BC1929" s="12"/>
      <c r="BD1929" s="12"/>
      <c r="BE1929" s="12"/>
      <c r="BF1929" s="12"/>
      <c r="BG1929" s="12"/>
      <c r="BH1929" s="12"/>
      <c r="BI1929" s="12"/>
      <c r="BJ1929" s="12"/>
      <c r="BK1929" s="12"/>
      <c r="BL1929" s="12"/>
      <c r="BM1929" s="12"/>
      <c r="BN1929" s="12"/>
      <c r="BO1929" s="12"/>
      <c r="BP1929" s="12"/>
      <c r="BQ1929" s="12"/>
      <c r="BR1929" s="12"/>
      <c r="BS1929" s="12"/>
      <c r="BT1929" s="12"/>
      <c r="BU1929" s="12"/>
      <c r="BV1929" s="12"/>
      <c r="BW1929" s="12"/>
      <c r="BX1929" s="12"/>
      <c r="BY1929" s="12"/>
      <c r="BZ1929" s="12"/>
      <c r="CA1929" s="12"/>
      <c r="CB1929" s="12"/>
      <c r="CC1929" s="12"/>
      <c r="CD1929" s="12"/>
    </row>
    <row r="1930" spans="1:82">
      <c r="A1930" s="12" t="s">
        <v>658</v>
      </c>
      <c r="B1930" s="12" t="str">
        <f t="shared" si="366"/>
        <v>VANDEVENTER</v>
      </c>
      <c r="C1930" s="12" t="str">
        <f t="shared" si="367"/>
        <v>VAN DEVENTER</v>
      </c>
      <c r="D1930" s="12" t="s">
        <v>14486</v>
      </c>
      <c r="E1930" s="12" t="str">
        <f t="shared" si="377"/>
        <v>Willem Andreas</v>
      </c>
      <c r="F1930" s="12" t="s">
        <v>5813</v>
      </c>
      <c r="G1930" s="12" t="str">
        <f t="shared" si="368"/>
        <v>a1b5c4d2e5</v>
      </c>
      <c r="H1930" s="12" t="str">
        <f t="shared" si="369"/>
        <v>VAN DEVENTERa1b5c4d2e5</v>
      </c>
      <c r="I1930" s="12"/>
      <c r="J1930" s="12" t="s">
        <v>14487</v>
      </c>
      <c r="K1930" s="12" t="str">
        <f t="shared" si="370"/>
        <v>1805</v>
      </c>
      <c r="L1930" s="12" t="s">
        <v>74</v>
      </c>
      <c r="M1930" s="12" t="s">
        <v>7445</v>
      </c>
      <c r="N1930" s="12" t="str">
        <f t="shared" si="375"/>
        <v>1805</v>
      </c>
      <c r="O1930" s="12" t="str">
        <f t="shared" si="376"/>
        <v>1806</v>
      </c>
      <c r="P1930" s="12"/>
      <c r="Q1930" s="12" t="str">
        <f t="shared" si="371"/>
        <v>1805</v>
      </c>
      <c r="R1930" s="12"/>
      <c r="S1930" s="12" t="str">
        <f t="shared" si="372"/>
        <v/>
      </c>
      <c r="T1930" s="12" t="s">
        <v>32</v>
      </c>
      <c r="U1930" s="12" t="s">
        <v>1636</v>
      </c>
      <c r="V1930" s="12" t="str">
        <f t="shared" si="373"/>
        <v>1832</v>
      </c>
      <c r="W1930" s="12" t="s">
        <v>14488</v>
      </c>
      <c r="X1930" s="12" t="s">
        <v>658</v>
      </c>
      <c r="Y1930" s="12"/>
      <c r="Z1930" s="12"/>
      <c r="AA1930" s="12"/>
      <c r="AB1930" s="12"/>
      <c r="AC1930" s="12"/>
      <c r="AD1930" s="12"/>
      <c r="AE1930" s="12"/>
      <c r="AF1930" s="12" t="s">
        <v>3699</v>
      </c>
      <c r="AG1930" s="12" t="s">
        <v>68</v>
      </c>
      <c r="AH1930" s="12" t="s">
        <v>14489</v>
      </c>
      <c r="AI1930" s="12" t="str">
        <f t="shared" si="374"/>
        <v>1839</v>
      </c>
      <c r="AJ1930" s="12"/>
      <c r="AK1930" s="12" t="s">
        <v>90</v>
      </c>
      <c r="AL1930" s="12"/>
      <c r="AM1930" s="12"/>
      <c r="AN1930" s="12"/>
      <c r="AO1930" s="12"/>
      <c r="AP1930" s="12"/>
      <c r="AQ1930" s="12"/>
      <c r="AR1930" s="12"/>
      <c r="AS1930" s="12"/>
      <c r="AT1930" s="12"/>
      <c r="AU1930" s="12"/>
      <c r="AV1930" s="12"/>
      <c r="AW1930" s="12"/>
      <c r="AX1930" s="12"/>
      <c r="AY1930" s="12"/>
      <c r="AZ1930" s="12"/>
      <c r="BA1930" s="12"/>
      <c r="BB1930" s="12"/>
      <c r="BC1930" s="12"/>
      <c r="BD1930" s="12"/>
      <c r="BE1930" s="12"/>
      <c r="BF1930" s="12"/>
      <c r="BG1930" s="12"/>
      <c r="BH1930" s="12"/>
      <c r="BI1930" s="12"/>
      <c r="BJ1930" s="12"/>
      <c r="BK1930" s="12"/>
      <c r="BL1930" s="12"/>
      <c r="BM1930" s="12"/>
      <c r="BN1930" s="12"/>
      <c r="BO1930" s="12"/>
      <c r="BP1930" s="12"/>
      <c r="BQ1930" s="12"/>
      <c r="BR1930" s="12"/>
      <c r="BS1930" s="12"/>
      <c r="BT1930" s="12"/>
      <c r="BU1930" s="12"/>
      <c r="BV1930" s="12"/>
      <c r="BW1930" s="12"/>
      <c r="BX1930" s="12"/>
      <c r="BY1930" s="12"/>
      <c r="BZ1930" s="12"/>
      <c r="CA1930" s="12"/>
      <c r="CB1930" s="12"/>
      <c r="CC1930" s="12"/>
      <c r="CD1930" s="12"/>
    </row>
    <row r="1931" spans="1:82">
      <c r="A1931" s="12" t="s">
        <v>658</v>
      </c>
      <c r="B1931" s="12" t="str">
        <f t="shared" si="366"/>
        <v>VANDEVENTER</v>
      </c>
      <c r="C1931" s="12" t="str">
        <f t="shared" si="367"/>
        <v>VAN DEVENTER</v>
      </c>
      <c r="D1931" s="12" t="s">
        <v>14460</v>
      </c>
      <c r="E1931" s="12" t="str">
        <f t="shared" si="377"/>
        <v>Gideon Gerhardus</v>
      </c>
      <c r="F1931" s="12" t="s">
        <v>14461</v>
      </c>
      <c r="G1931" s="12" t="str">
        <f t="shared" si="368"/>
        <v>a1b5c4d9</v>
      </c>
      <c r="H1931" s="12" t="str">
        <f t="shared" si="369"/>
        <v>VAN DEVENTERa1b5c4d9</v>
      </c>
      <c r="I1931" s="12"/>
      <c r="J1931" s="12"/>
      <c r="K1931" s="12" t="str">
        <f t="shared" si="370"/>
        <v/>
      </c>
      <c r="L1931" s="12"/>
      <c r="M1931" s="12" t="s">
        <v>14462</v>
      </c>
      <c r="N1931" s="12" t="str">
        <f t="shared" si="375"/>
        <v/>
      </c>
      <c r="O1931" s="12" t="str">
        <f t="shared" si="376"/>
        <v>1786</v>
      </c>
      <c r="P1931" s="12"/>
      <c r="Q1931" s="12" t="str">
        <f t="shared" si="371"/>
        <v>1786</v>
      </c>
      <c r="R1931" s="12"/>
      <c r="S1931" s="12" t="str">
        <f t="shared" si="372"/>
        <v/>
      </c>
      <c r="T1931" s="12" t="s">
        <v>542</v>
      </c>
      <c r="U1931" s="12" t="s">
        <v>2690</v>
      </c>
      <c r="V1931" s="12" t="str">
        <f t="shared" si="373"/>
        <v>1819</v>
      </c>
      <c r="W1931" s="12" t="s">
        <v>13431</v>
      </c>
      <c r="X1931" s="12" t="s">
        <v>1562</v>
      </c>
      <c r="Y1931" s="12" t="s">
        <v>14463</v>
      </c>
      <c r="Z1931" s="12"/>
      <c r="AA1931" s="12"/>
      <c r="AB1931" s="12"/>
      <c r="AC1931" s="12" t="s">
        <v>14464</v>
      </c>
      <c r="AD1931" s="12"/>
      <c r="AE1931" s="12"/>
      <c r="AF1931" s="12" t="s">
        <v>3730</v>
      </c>
      <c r="AG1931" s="12" t="s">
        <v>32</v>
      </c>
      <c r="AH1931" s="12" t="s">
        <v>14465</v>
      </c>
      <c r="AI1931" s="12" t="str">
        <f t="shared" si="374"/>
        <v>1837</v>
      </c>
      <c r="AJ1931" s="12"/>
      <c r="AK1931" s="12" t="s">
        <v>551</v>
      </c>
      <c r="AL1931" s="12"/>
      <c r="AM1931" s="12"/>
      <c r="AN1931" s="12"/>
      <c r="AO1931" s="12"/>
      <c r="AP1931" s="12"/>
      <c r="AQ1931" s="12"/>
      <c r="AR1931" s="12"/>
      <c r="AS1931" s="12"/>
      <c r="AT1931" s="12"/>
      <c r="AU1931" s="12"/>
      <c r="AV1931" s="12"/>
      <c r="AW1931" s="12"/>
      <c r="AX1931" s="12"/>
      <c r="AY1931" s="12"/>
      <c r="AZ1931" s="12"/>
      <c r="BA1931" s="12"/>
      <c r="BB1931" s="12"/>
      <c r="BC1931" s="12"/>
      <c r="BD1931" s="12"/>
      <c r="BE1931" s="12"/>
      <c r="BF1931" s="12"/>
      <c r="BG1931" s="12"/>
      <c r="BH1931" s="12"/>
      <c r="BI1931" s="12"/>
      <c r="BJ1931" s="12"/>
      <c r="BK1931" s="12"/>
      <c r="BL1931" s="12"/>
      <c r="BM1931" s="12"/>
      <c r="BN1931" s="12"/>
      <c r="BO1931" s="12"/>
      <c r="BP1931" s="12"/>
      <c r="BQ1931" s="12"/>
      <c r="BR1931" s="12"/>
      <c r="BS1931" s="12"/>
      <c r="BT1931" s="12"/>
      <c r="BU1931" s="12"/>
      <c r="BV1931" s="12"/>
      <c r="BW1931" s="12"/>
      <c r="BX1931" s="12"/>
      <c r="BY1931" s="12"/>
      <c r="BZ1931" s="12"/>
      <c r="CA1931" s="12"/>
      <c r="CB1931" s="12"/>
      <c r="CC1931" s="12"/>
      <c r="CD1931" s="12"/>
    </row>
    <row r="1932" spans="1:82">
      <c r="A1932" s="12" t="s">
        <v>658</v>
      </c>
      <c r="B1932" s="12" t="str">
        <f t="shared" si="366"/>
        <v>VANDEVENTER</v>
      </c>
      <c r="C1932" s="12" t="str">
        <f t="shared" si="367"/>
        <v>VAN DEVENTER</v>
      </c>
      <c r="D1932" s="12" t="s">
        <v>14037</v>
      </c>
      <c r="E1932" s="12" t="str">
        <f t="shared" si="377"/>
        <v>Michiel</v>
      </c>
      <c r="F1932" s="12" t="s">
        <v>14478</v>
      </c>
      <c r="G1932" s="12" t="str">
        <f t="shared" si="368"/>
        <v>a1b5c7d5</v>
      </c>
      <c r="H1932" s="12" t="str">
        <f t="shared" si="369"/>
        <v>VAN DEVENTERa1b5c7d5</v>
      </c>
      <c r="I1932" s="12"/>
      <c r="J1932" s="12"/>
      <c r="K1932" s="12" t="str">
        <f t="shared" si="370"/>
        <v/>
      </c>
      <c r="L1932" s="12"/>
      <c r="M1932" s="12" t="s">
        <v>14479</v>
      </c>
      <c r="N1932" s="12" t="str">
        <f t="shared" si="375"/>
        <v/>
      </c>
      <c r="O1932" s="12" t="str">
        <f t="shared" si="376"/>
        <v>1786</v>
      </c>
      <c r="P1932" s="12"/>
      <c r="Q1932" s="12" t="str">
        <f t="shared" si="371"/>
        <v>1786</v>
      </c>
      <c r="R1932" s="12"/>
      <c r="S1932" s="12" t="str">
        <f t="shared" si="372"/>
        <v/>
      </c>
      <c r="T1932" s="12"/>
      <c r="U1932" s="12"/>
      <c r="V1932" s="12" t="str">
        <f t="shared" si="373"/>
        <v/>
      </c>
      <c r="W1932" s="12" t="s">
        <v>14480</v>
      </c>
      <c r="X1932" s="12" t="s">
        <v>667</v>
      </c>
      <c r="Y1932" s="12" t="s">
        <v>14481</v>
      </c>
      <c r="Z1932" s="12"/>
      <c r="AA1932" s="12"/>
      <c r="AB1932" s="12"/>
      <c r="AC1932" s="12" t="s">
        <v>14482</v>
      </c>
      <c r="AD1932" s="12"/>
      <c r="AE1932" s="12"/>
      <c r="AF1932" s="12" t="s">
        <v>3699</v>
      </c>
      <c r="AG1932" s="12" t="s">
        <v>68</v>
      </c>
      <c r="AH1932" s="12" t="s">
        <v>1110</v>
      </c>
      <c r="AI1932" s="12" t="str">
        <f t="shared" si="374"/>
        <v>1837</v>
      </c>
      <c r="AJ1932" s="12"/>
      <c r="AK1932" s="12"/>
      <c r="AL1932" s="12"/>
      <c r="AM1932" s="12"/>
      <c r="AN1932" s="12"/>
      <c r="AO1932" s="12"/>
      <c r="AP1932" s="12"/>
      <c r="AQ1932" s="12"/>
      <c r="AR1932" s="12"/>
      <c r="AS1932" s="12"/>
      <c r="AT1932" s="12"/>
      <c r="AU1932" s="12"/>
      <c r="AV1932" s="12"/>
      <c r="AW1932" s="12"/>
      <c r="AX1932" s="12"/>
      <c r="AY1932" s="12"/>
      <c r="AZ1932" s="12"/>
      <c r="BA1932" s="12"/>
      <c r="BB1932" s="12"/>
      <c r="BC1932" s="12"/>
      <c r="BD1932" s="12"/>
      <c r="BE1932" s="12"/>
      <c r="BF1932" s="12"/>
      <c r="BG1932" s="12"/>
      <c r="BH1932" s="12"/>
      <c r="BI1932" s="12"/>
      <c r="BJ1932" s="12"/>
      <c r="BK1932" s="12"/>
      <c r="BL1932" s="12"/>
      <c r="BM1932" s="12"/>
      <c r="BN1932" s="12"/>
      <c r="BO1932" s="12"/>
      <c r="BP1932" s="12"/>
      <c r="BQ1932" s="12"/>
      <c r="BR1932" s="12"/>
      <c r="BS1932" s="12"/>
      <c r="BT1932" s="12"/>
      <c r="BU1932" s="12"/>
      <c r="BV1932" s="12"/>
      <c r="BW1932" s="12"/>
      <c r="BX1932" s="12"/>
      <c r="BY1932" s="12"/>
      <c r="BZ1932" s="12"/>
      <c r="CA1932" s="12"/>
      <c r="CB1932" s="12"/>
      <c r="CC1932" s="12"/>
      <c r="CD1932" s="12"/>
    </row>
    <row r="1933" spans="1:82">
      <c r="A1933" s="12" t="s">
        <v>658</v>
      </c>
      <c r="B1933" s="12" t="str">
        <f t="shared" si="366"/>
        <v>VANDEVENTER</v>
      </c>
      <c r="C1933" s="12" t="str">
        <f t="shared" si="367"/>
        <v>VAN DEVENTER</v>
      </c>
      <c r="D1933" s="12" t="s">
        <v>4290</v>
      </c>
      <c r="E1933" s="12" t="str">
        <f t="shared" si="377"/>
        <v>Petrus Rasmus</v>
      </c>
      <c r="F1933" s="12" t="s">
        <v>14483</v>
      </c>
      <c r="G1933" s="12" t="str">
        <f t="shared" si="368"/>
        <v>a1b5c7d5e4</v>
      </c>
      <c r="H1933" s="12" t="str">
        <f t="shared" si="369"/>
        <v>VAN DEVENTERa1b5c7d5e4</v>
      </c>
      <c r="I1933" s="12"/>
      <c r="J1933" s="12" t="s">
        <v>1228</v>
      </c>
      <c r="K1933" s="12" t="str">
        <f t="shared" si="370"/>
        <v>1813</v>
      </c>
      <c r="L1933" s="12" t="s">
        <v>74</v>
      </c>
      <c r="M1933" s="12" t="s">
        <v>14484</v>
      </c>
      <c r="N1933" s="12" t="str">
        <f t="shared" si="375"/>
        <v>1813</v>
      </c>
      <c r="O1933" s="12" t="str">
        <f t="shared" si="376"/>
        <v>1813</v>
      </c>
      <c r="P1933" s="12"/>
      <c r="Q1933" s="12" t="str">
        <f t="shared" si="371"/>
        <v>1813</v>
      </c>
      <c r="R1933" s="12"/>
      <c r="S1933" s="12" t="str">
        <f t="shared" si="372"/>
        <v/>
      </c>
      <c r="T1933" s="12" t="s">
        <v>28</v>
      </c>
      <c r="U1933" s="12" t="s">
        <v>14468</v>
      </c>
      <c r="V1933" s="12" t="str">
        <f t="shared" si="373"/>
        <v>1832</v>
      </c>
      <c r="W1933" s="12" t="s">
        <v>14485</v>
      </c>
      <c r="X1933" s="12" t="s">
        <v>1453</v>
      </c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 t="s">
        <v>1110</v>
      </c>
      <c r="AI1933" s="12" t="str">
        <f t="shared" si="374"/>
        <v>1837</v>
      </c>
      <c r="AJ1933" s="12"/>
      <c r="AK1933" s="12"/>
      <c r="AL1933" s="12"/>
      <c r="AM1933" s="12"/>
      <c r="AN1933" s="12"/>
      <c r="AO1933" s="12"/>
      <c r="AP1933" s="12"/>
      <c r="AQ1933" s="12"/>
      <c r="AR1933" s="12"/>
      <c r="AS1933" s="12"/>
      <c r="AT1933" s="12"/>
      <c r="AU1933" s="12"/>
      <c r="AV1933" s="12"/>
      <c r="AW1933" s="12"/>
      <c r="AX1933" s="12"/>
      <c r="AY1933" s="12"/>
      <c r="AZ1933" s="12"/>
      <c r="BA1933" s="12"/>
      <c r="BB1933" s="12"/>
      <c r="BC1933" s="12"/>
      <c r="BD1933" s="12"/>
      <c r="BE1933" s="12"/>
      <c r="BF1933" s="12"/>
      <c r="BG1933" s="12"/>
      <c r="BH1933" s="12"/>
      <c r="BI1933" s="12"/>
      <c r="BJ1933" s="12"/>
      <c r="BK1933" s="12"/>
      <c r="BL1933" s="12"/>
      <c r="BM1933" s="12"/>
      <c r="BN1933" s="12"/>
      <c r="BO1933" s="12"/>
      <c r="BP1933" s="12"/>
      <c r="BQ1933" s="12"/>
      <c r="BR1933" s="12"/>
      <c r="BS1933" s="12"/>
      <c r="BT1933" s="12"/>
      <c r="BU1933" s="12"/>
      <c r="BV1933" s="12"/>
      <c r="BW1933" s="12"/>
      <c r="BX1933" s="12"/>
      <c r="BY1933" s="12"/>
      <c r="BZ1933" s="12"/>
      <c r="CA1933" s="12"/>
      <c r="CB1933" s="12"/>
      <c r="CC1933" s="12"/>
      <c r="CD1933" s="12"/>
    </row>
    <row r="1934" spans="1:82">
      <c r="A1934" s="12" t="s">
        <v>1167</v>
      </c>
      <c r="B1934" s="12" t="str">
        <f t="shared" si="366"/>
        <v>VANDYK</v>
      </c>
      <c r="C1934" s="12" t="str">
        <f t="shared" si="367"/>
        <v>VAN DYK</v>
      </c>
      <c r="D1934" s="12" t="s">
        <v>14550</v>
      </c>
      <c r="E1934" s="12" t="str">
        <f t="shared" si="377"/>
        <v>Sybrand</v>
      </c>
      <c r="F1934" s="12" t="s">
        <v>14551</v>
      </c>
      <c r="G1934" s="12" t="str">
        <f t="shared" si="368"/>
        <v xml:space="preserve">a1b5c4d2 </v>
      </c>
      <c r="H1934" s="12" t="str">
        <f t="shared" si="369"/>
        <v xml:space="preserve">VAN DYKa1b5c4d2 </v>
      </c>
      <c r="I1934" s="12"/>
      <c r="J1934" s="12"/>
      <c r="K1934" s="12" t="str">
        <f t="shared" si="370"/>
        <v/>
      </c>
      <c r="L1934" s="12"/>
      <c r="M1934" s="12" t="s">
        <v>14552</v>
      </c>
      <c r="N1934" s="12" t="str">
        <f t="shared" si="375"/>
        <v/>
      </c>
      <c r="O1934" s="12" t="str">
        <f t="shared" si="376"/>
        <v>1784</v>
      </c>
      <c r="P1934" s="12"/>
      <c r="Q1934" s="12" t="str">
        <f t="shared" si="371"/>
        <v>1784</v>
      </c>
      <c r="R1934" s="12"/>
      <c r="S1934" s="12" t="str">
        <f t="shared" si="372"/>
        <v/>
      </c>
      <c r="T1934" s="12"/>
      <c r="U1934" s="12" t="s">
        <v>7106</v>
      </c>
      <c r="V1934" s="12" t="str">
        <f t="shared" si="373"/>
        <v>1805</v>
      </c>
      <c r="W1934" s="12" t="s">
        <v>14553</v>
      </c>
      <c r="X1934" s="12" t="s">
        <v>700</v>
      </c>
      <c r="Y1934" s="12" t="s">
        <v>14554</v>
      </c>
      <c r="Z1934" s="12"/>
      <c r="AA1934" s="12"/>
      <c r="AB1934" s="12"/>
      <c r="AC1934" s="12" t="s">
        <v>14555</v>
      </c>
      <c r="AD1934" s="12"/>
      <c r="AE1934" s="12"/>
      <c r="AF1934" s="12" t="s">
        <v>3717</v>
      </c>
      <c r="AG1934" s="12" t="s">
        <v>346</v>
      </c>
      <c r="AH1934" s="12" t="s">
        <v>12621</v>
      </c>
      <c r="AI1934" s="12" t="str">
        <f t="shared" si="374"/>
        <v>1836</v>
      </c>
      <c r="AJ1934" s="12" t="s">
        <v>13060</v>
      </c>
      <c r="AK1934" s="12" t="s">
        <v>14556</v>
      </c>
      <c r="AL1934" s="12"/>
      <c r="AM1934" s="12"/>
      <c r="AN1934" s="12"/>
      <c r="AO1934" s="12"/>
      <c r="AP1934" s="12"/>
      <c r="AQ1934" s="12"/>
      <c r="AR1934" s="12"/>
      <c r="AS1934" s="12"/>
      <c r="AT1934" s="12"/>
      <c r="AU1934" s="12"/>
      <c r="AV1934" s="12"/>
      <c r="AW1934" s="12"/>
      <c r="AX1934" s="12"/>
      <c r="AY1934" s="12"/>
      <c r="AZ1934" s="12"/>
      <c r="BA1934" s="12"/>
      <c r="BB1934" s="12"/>
      <c r="BC1934" s="12"/>
      <c r="BD1934" s="12"/>
      <c r="BE1934" s="12"/>
      <c r="BF1934" s="12"/>
      <c r="BG1934" s="12"/>
      <c r="BH1934" s="12"/>
      <c r="BI1934" s="12"/>
      <c r="BJ1934" s="12"/>
      <c r="BK1934" s="12"/>
      <c r="BL1934" s="12"/>
      <c r="BM1934" s="12"/>
      <c r="BN1934" s="12"/>
      <c r="BO1934" s="12"/>
      <c r="BP1934" s="12"/>
      <c r="BQ1934" s="12"/>
      <c r="BR1934" s="12"/>
      <c r="BS1934" s="12"/>
      <c r="BT1934" s="12"/>
      <c r="BU1934" s="12"/>
      <c r="BV1934" s="12"/>
      <c r="BW1934" s="12"/>
      <c r="BX1934" s="12"/>
      <c r="BY1934" s="12"/>
      <c r="BZ1934" s="12"/>
      <c r="CA1934" s="12"/>
      <c r="CB1934" s="12"/>
      <c r="CC1934" s="12"/>
      <c r="CD1934" s="12"/>
    </row>
    <row r="1935" spans="1:82">
      <c r="A1935" s="12" t="s">
        <v>1167</v>
      </c>
      <c r="B1935" s="12" t="str">
        <f t="shared" si="366"/>
        <v>VANDYK</v>
      </c>
      <c r="C1935" s="12" t="str">
        <f t="shared" si="367"/>
        <v>VAN DYK</v>
      </c>
      <c r="D1935" s="12" t="s">
        <v>278</v>
      </c>
      <c r="E1935" s="12" t="str">
        <f t="shared" si="377"/>
        <v>Marthinus Johannes</v>
      </c>
      <c r="F1935" s="12" t="s">
        <v>14544</v>
      </c>
      <c r="G1935" s="12" t="str">
        <f t="shared" si="368"/>
        <v>a1b5c4d2e1</v>
      </c>
      <c r="H1935" s="12" t="str">
        <f t="shared" si="369"/>
        <v>VAN DYKa1b5c4d2e1</v>
      </c>
      <c r="I1935" s="12"/>
      <c r="J1935" s="12" t="s">
        <v>14545</v>
      </c>
      <c r="K1935" s="12" t="str">
        <f t="shared" si="370"/>
        <v>1807</v>
      </c>
      <c r="L1935" s="12"/>
      <c r="M1935" s="12" t="s">
        <v>1677</v>
      </c>
      <c r="N1935" s="12" t="str">
        <f t="shared" si="375"/>
        <v>1807</v>
      </c>
      <c r="O1935" s="12" t="str">
        <f t="shared" si="376"/>
        <v>1807</v>
      </c>
      <c r="P1935" s="12"/>
      <c r="Q1935" s="12" t="str">
        <f t="shared" si="371"/>
        <v>1807</v>
      </c>
      <c r="R1935" s="12"/>
      <c r="S1935" s="12" t="str">
        <f t="shared" si="372"/>
        <v/>
      </c>
      <c r="T1935" s="12"/>
      <c r="U1935" s="12"/>
      <c r="V1935" s="12" t="str">
        <f t="shared" si="373"/>
        <v/>
      </c>
      <c r="W1935" s="12" t="s">
        <v>4578</v>
      </c>
      <c r="X1935" s="12" t="s">
        <v>5251</v>
      </c>
      <c r="Y1935" s="12" t="s">
        <v>3992</v>
      </c>
      <c r="Z1935" s="12"/>
      <c r="AA1935" s="12"/>
      <c r="AB1935" s="12"/>
      <c r="AC1935" s="12" t="s">
        <v>7206</v>
      </c>
      <c r="AD1935" s="12"/>
      <c r="AE1935" s="12"/>
      <c r="AF1935" s="12" t="s">
        <v>3717</v>
      </c>
      <c r="AG1935" s="12" t="s">
        <v>346</v>
      </c>
      <c r="AH1935" s="12" t="s">
        <v>12621</v>
      </c>
      <c r="AI1935" s="12" t="str">
        <f t="shared" si="374"/>
        <v>1836</v>
      </c>
      <c r="AJ1935" s="12" t="s">
        <v>13060</v>
      </c>
      <c r="AK1935" s="12" t="s">
        <v>90</v>
      </c>
      <c r="AL1935" s="12"/>
      <c r="AM1935" s="12"/>
      <c r="AN1935" s="12" t="s">
        <v>8075</v>
      </c>
      <c r="AO1935" s="12" t="s">
        <v>730</v>
      </c>
      <c r="AP1935" s="12"/>
      <c r="AQ1935" s="12"/>
      <c r="AR1935" s="12"/>
      <c r="AS1935" s="12"/>
      <c r="AT1935" s="12"/>
      <c r="AU1935" s="12"/>
      <c r="AV1935" s="12"/>
      <c r="AW1935" s="12"/>
      <c r="AX1935" s="12"/>
      <c r="AY1935" s="12"/>
      <c r="AZ1935" s="12"/>
      <c r="BA1935" s="12"/>
      <c r="BB1935" s="12"/>
      <c r="BC1935" s="12"/>
      <c r="BD1935" s="12"/>
      <c r="BE1935" s="12"/>
      <c r="BF1935" s="12"/>
      <c r="BG1935" s="12"/>
      <c r="BH1935" s="12"/>
      <c r="BI1935" s="12"/>
      <c r="BJ1935" s="12"/>
      <c r="BK1935" s="12"/>
      <c r="BL1935" s="12"/>
      <c r="BM1935" s="12"/>
      <c r="BN1935" s="12"/>
      <c r="BO1935" s="12"/>
      <c r="BP1935" s="12"/>
      <c r="BQ1935" s="12"/>
      <c r="BR1935" s="12"/>
      <c r="BS1935" s="12"/>
      <c r="BT1935" s="12"/>
      <c r="BU1935" s="12"/>
      <c r="BV1935" s="12"/>
      <c r="BW1935" s="12"/>
      <c r="BX1935" s="12"/>
      <c r="BY1935" s="12"/>
      <c r="BZ1935" s="12"/>
      <c r="CA1935" s="12"/>
      <c r="CB1935" s="12"/>
      <c r="CC1935" s="12"/>
      <c r="CD1935" s="12"/>
    </row>
    <row r="1936" spans="1:82">
      <c r="A1936" s="12" t="s">
        <v>1167</v>
      </c>
      <c r="B1936" s="12" t="str">
        <f t="shared" si="366"/>
        <v>VANDYK</v>
      </c>
      <c r="C1936" s="12" t="str">
        <f t="shared" si="367"/>
        <v>VAN DYK</v>
      </c>
      <c r="D1936" s="12" t="s">
        <v>14504</v>
      </c>
      <c r="E1936" s="12" t="str">
        <f t="shared" si="377"/>
        <v>Frans Johannes Sr.</v>
      </c>
      <c r="F1936" s="12" t="s">
        <v>14505</v>
      </c>
      <c r="G1936" s="12" t="str">
        <f t="shared" si="368"/>
        <v>a1b5c4d3</v>
      </c>
      <c r="H1936" s="12" t="str">
        <f t="shared" si="369"/>
        <v>VAN DYKa1b5c4d3</v>
      </c>
      <c r="I1936" s="12" t="s">
        <v>3699</v>
      </c>
      <c r="J1936" s="12">
        <v>1787</v>
      </c>
      <c r="K1936" s="12" t="str">
        <f t="shared" si="370"/>
        <v>1787</v>
      </c>
      <c r="L1936" s="12"/>
      <c r="M1936" s="12"/>
      <c r="N1936" s="12" t="str">
        <f t="shared" si="375"/>
        <v>1787</v>
      </c>
      <c r="O1936" s="12" t="str">
        <f t="shared" si="376"/>
        <v/>
      </c>
      <c r="P1936" s="12" t="s">
        <v>90</v>
      </c>
      <c r="Q1936" s="12" t="str">
        <f t="shared" si="371"/>
        <v>1787</v>
      </c>
      <c r="R1936" s="12" t="s">
        <v>301</v>
      </c>
      <c r="S1936" s="12" t="str">
        <f t="shared" si="372"/>
        <v>1838</v>
      </c>
      <c r="T1936" s="12" t="s">
        <v>74</v>
      </c>
      <c r="U1936" s="12" t="s">
        <v>14506</v>
      </c>
      <c r="V1936" s="12" t="str">
        <f t="shared" si="373"/>
        <v>1807</v>
      </c>
      <c r="W1936" s="12" t="s">
        <v>819</v>
      </c>
      <c r="X1936" s="12" t="s">
        <v>629</v>
      </c>
      <c r="Y1936" s="12" t="s">
        <v>5293</v>
      </c>
      <c r="Z1936" s="12"/>
      <c r="AA1936" s="12"/>
      <c r="AB1936" s="12"/>
      <c r="AC1936" s="12" t="s">
        <v>14507</v>
      </c>
      <c r="AD1936" s="12"/>
      <c r="AE1936" s="12"/>
      <c r="AF1936" s="12" t="s">
        <v>3717</v>
      </c>
      <c r="AG1936" s="12" t="s">
        <v>346</v>
      </c>
      <c r="AH1936" s="12" t="s">
        <v>14085</v>
      </c>
      <c r="AI1936" s="12" t="str">
        <f t="shared" si="374"/>
        <v>1837</v>
      </c>
      <c r="AJ1936" s="12" t="s">
        <v>5423</v>
      </c>
      <c r="AK1936" s="12" t="s">
        <v>90</v>
      </c>
      <c r="AL1936" s="12"/>
      <c r="AM1936" s="12"/>
      <c r="AN1936" s="12"/>
      <c r="AO1936" s="12"/>
      <c r="AP1936" s="12"/>
      <c r="AQ1936" s="12"/>
      <c r="AR1936" s="12"/>
      <c r="AS1936" s="12"/>
      <c r="AT1936" s="12"/>
      <c r="AU1936" s="12"/>
      <c r="AV1936" s="12"/>
      <c r="AW1936" s="12"/>
      <c r="AX1936" s="12"/>
      <c r="AY1936" s="12"/>
      <c r="AZ1936" s="12"/>
      <c r="BA1936" s="12"/>
      <c r="BB1936" s="12"/>
      <c r="BC1936" s="12"/>
      <c r="BD1936" s="12"/>
      <c r="BE1936" s="12"/>
      <c r="BF1936" s="12"/>
      <c r="BG1936" s="12"/>
      <c r="BH1936" s="12"/>
      <c r="BI1936" s="12"/>
      <c r="BJ1936" s="12"/>
      <c r="BK1936" s="12"/>
      <c r="BL1936" s="12"/>
      <c r="BM1936" s="12"/>
      <c r="BN1936" s="12"/>
      <c r="BO1936" s="12"/>
      <c r="BP1936" s="12"/>
      <c r="BQ1936" s="12"/>
      <c r="BR1936" s="12"/>
      <c r="BS1936" s="12"/>
      <c r="BT1936" s="12"/>
      <c r="BU1936" s="12"/>
      <c r="BV1936" s="12"/>
      <c r="BW1936" s="12"/>
      <c r="BX1936" s="12"/>
      <c r="BY1936" s="12"/>
      <c r="BZ1936" s="12"/>
      <c r="CA1936" s="12"/>
      <c r="CB1936" s="12"/>
      <c r="CC1936" s="12"/>
      <c r="CD1936" s="12"/>
    </row>
    <row r="1937" spans="1:82">
      <c r="A1937" s="12" t="s">
        <v>1167</v>
      </c>
      <c r="B1937" s="12" t="str">
        <f t="shared" si="366"/>
        <v>VANDYK</v>
      </c>
      <c r="C1937" s="12" t="str">
        <f t="shared" si="367"/>
        <v>VAN DYK</v>
      </c>
      <c r="D1937" s="12" t="s">
        <v>5216</v>
      </c>
      <c r="E1937" s="12" t="str">
        <f t="shared" si="377"/>
        <v>Joseph</v>
      </c>
      <c r="F1937" s="12" t="s">
        <v>14531</v>
      </c>
      <c r="G1937" s="12" t="str">
        <f t="shared" si="368"/>
        <v>a1b5c4d3e2</v>
      </c>
      <c r="H1937" s="12" t="str">
        <f t="shared" si="369"/>
        <v>VAN DYKa1b5c4d3e2</v>
      </c>
      <c r="I1937" s="12"/>
      <c r="J1937" s="12" t="s">
        <v>14532</v>
      </c>
      <c r="K1937" s="12" t="str">
        <f t="shared" si="370"/>
        <v>1809</v>
      </c>
      <c r="L1937" s="12" t="s">
        <v>74</v>
      </c>
      <c r="M1937" s="12" t="s">
        <v>14533</v>
      </c>
      <c r="N1937" s="12" t="str">
        <f t="shared" si="375"/>
        <v>1809</v>
      </c>
      <c r="O1937" s="12" t="str">
        <f t="shared" si="376"/>
        <v>1810</v>
      </c>
      <c r="P1937" s="12" t="s">
        <v>140</v>
      </c>
      <c r="Q1937" s="12" t="str">
        <f t="shared" si="371"/>
        <v>1809</v>
      </c>
      <c r="R1937" s="12" t="s">
        <v>14534</v>
      </c>
      <c r="S1937" s="12" t="str">
        <f t="shared" si="372"/>
        <v>1881</v>
      </c>
      <c r="T1937" s="12" t="s">
        <v>28</v>
      </c>
      <c r="U1937" s="12" t="s">
        <v>7449</v>
      </c>
      <c r="V1937" s="12" t="str">
        <f t="shared" si="373"/>
        <v>1832</v>
      </c>
      <c r="W1937" s="12" t="s">
        <v>4890</v>
      </c>
      <c r="X1937" s="12" t="s">
        <v>700</v>
      </c>
      <c r="Y1937" s="12"/>
      <c r="Z1937" s="12"/>
      <c r="AA1937" s="12"/>
      <c r="AB1937" s="12"/>
      <c r="AC1937" s="12"/>
      <c r="AD1937" s="12" t="s">
        <v>90</v>
      </c>
      <c r="AE1937" s="12" t="s">
        <v>301</v>
      </c>
      <c r="AF1937" s="12" t="s">
        <v>3699</v>
      </c>
      <c r="AG1937" s="12" t="s">
        <v>68</v>
      </c>
      <c r="AH1937" s="12" t="s">
        <v>14085</v>
      </c>
      <c r="AI1937" s="12" t="str">
        <f t="shared" si="374"/>
        <v>1837</v>
      </c>
      <c r="AJ1937" s="12" t="s">
        <v>5423</v>
      </c>
      <c r="AK1937" s="12" t="s">
        <v>90</v>
      </c>
      <c r="AL1937" s="12" t="s">
        <v>60</v>
      </c>
      <c r="AM1937" s="12" t="s">
        <v>4450</v>
      </c>
      <c r="AN1937" s="12" t="s">
        <v>14535</v>
      </c>
      <c r="AO1937" s="12"/>
      <c r="AP1937" s="12"/>
      <c r="AQ1937" s="12"/>
      <c r="AR1937" s="12"/>
      <c r="AS1937" s="12"/>
      <c r="AT1937" s="12"/>
      <c r="AU1937" s="12"/>
      <c r="AV1937" s="12"/>
      <c r="AW1937" s="12"/>
      <c r="AX1937" s="12"/>
      <c r="AY1937" s="12"/>
      <c r="AZ1937" s="12"/>
      <c r="BA1937" s="12"/>
      <c r="BB1937" s="12"/>
      <c r="BC1937" s="12"/>
      <c r="BD1937" s="12"/>
      <c r="BE1937" s="12"/>
      <c r="BF1937" s="12"/>
      <c r="BG1937" s="12"/>
      <c r="BH1937" s="12"/>
      <c r="BI1937" s="12"/>
      <c r="BJ1937" s="12"/>
      <c r="BK1937" s="12"/>
      <c r="BL1937" s="12"/>
      <c r="BM1937" s="12"/>
      <c r="BN1937" s="12"/>
      <c r="BO1937" s="12"/>
      <c r="BP1937" s="12"/>
      <c r="BQ1937" s="12"/>
      <c r="BR1937" s="12"/>
      <c r="BS1937" s="12"/>
      <c r="BT1937" s="12"/>
      <c r="BU1937" s="12"/>
      <c r="BV1937" s="12"/>
      <c r="BW1937" s="12"/>
      <c r="BX1937" s="12"/>
      <c r="BY1937" s="12"/>
      <c r="BZ1937" s="12"/>
      <c r="CA1937" s="12"/>
      <c r="CB1937" s="12"/>
      <c r="CC1937" s="12"/>
      <c r="CD1937" s="12"/>
    </row>
    <row r="1938" spans="1:82">
      <c r="A1938" s="12" t="s">
        <v>1167</v>
      </c>
      <c r="B1938" s="12" t="str">
        <f t="shared" si="366"/>
        <v>VANDYK</v>
      </c>
      <c r="C1938" s="12" t="str">
        <f t="shared" si="367"/>
        <v>VAN DYK</v>
      </c>
      <c r="D1938" s="12" t="s">
        <v>1284</v>
      </c>
      <c r="E1938" s="12" t="str">
        <f t="shared" si="377"/>
        <v>Johannes Hendrik</v>
      </c>
      <c r="F1938" s="12" t="s">
        <v>14519</v>
      </c>
      <c r="G1938" s="12" t="str">
        <f t="shared" si="368"/>
        <v>a1b5c4d3e3</v>
      </c>
      <c r="H1938" s="12" t="str">
        <f t="shared" si="369"/>
        <v>VAN DYKa1b5c4d3e3</v>
      </c>
      <c r="I1938" s="12" t="s">
        <v>28</v>
      </c>
      <c r="J1938" s="12" t="s">
        <v>1164</v>
      </c>
      <c r="K1938" s="12" t="str">
        <f t="shared" si="370"/>
        <v>1811</v>
      </c>
      <c r="L1938" s="12" t="s">
        <v>74</v>
      </c>
      <c r="M1938" s="12" t="s">
        <v>14520</v>
      </c>
      <c r="N1938" s="12" t="str">
        <f t="shared" si="375"/>
        <v>1811</v>
      </c>
      <c r="O1938" s="12" t="str">
        <f t="shared" si="376"/>
        <v>1812</v>
      </c>
      <c r="P1938" s="12" t="s">
        <v>67</v>
      </c>
      <c r="Q1938" s="12" t="str">
        <f t="shared" si="371"/>
        <v>1811</v>
      </c>
      <c r="R1938" s="12" t="s">
        <v>14521</v>
      </c>
      <c r="S1938" s="12" t="str">
        <f t="shared" si="372"/>
        <v>1882</v>
      </c>
      <c r="T1938" s="12" t="s">
        <v>28</v>
      </c>
      <c r="U1938" s="12" t="s">
        <v>14522</v>
      </c>
      <c r="V1938" s="12" t="str">
        <f t="shared" si="373"/>
        <v>1832</v>
      </c>
      <c r="W1938" s="12" t="s">
        <v>14523</v>
      </c>
      <c r="X1938" s="12" t="s">
        <v>3299</v>
      </c>
      <c r="Y1938" s="12"/>
      <c r="Z1938" s="12"/>
      <c r="AA1938" s="12" t="s">
        <v>14524</v>
      </c>
      <c r="AB1938" s="12"/>
      <c r="AC1938" s="12"/>
      <c r="AD1938" s="12"/>
      <c r="AE1938" s="12"/>
      <c r="AF1938" s="12" t="s">
        <v>28</v>
      </c>
      <c r="AG1938" s="12" t="s">
        <v>68</v>
      </c>
      <c r="AH1938" s="12" t="s">
        <v>11903</v>
      </c>
      <c r="AI1938" s="12" t="str">
        <f t="shared" si="374"/>
        <v>1844</v>
      </c>
      <c r="AJ1938" s="12" t="s">
        <v>13060</v>
      </c>
      <c r="AK1938" s="12"/>
      <c r="AL1938" s="12"/>
      <c r="AM1938" s="12"/>
      <c r="AN1938" s="12"/>
      <c r="AO1938" s="12"/>
      <c r="AP1938" s="12"/>
      <c r="AQ1938" s="12"/>
      <c r="AR1938" s="12"/>
      <c r="AS1938" s="12"/>
      <c r="AT1938" s="12"/>
      <c r="AU1938" s="12"/>
      <c r="AV1938" s="12"/>
      <c r="AW1938" s="12"/>
      <c r="AX1938" s="12"/>
      <c r="AY1938" s="12"/>
      <c r="AZ1938" s="12"/>
      <c r="BA1938" s="12"/>
      <c r="BB1938" s="12"/>
      <c r="BC1938" s="12"/>
      <c r="BD1938" s="12"/>
      <c r="BE1938" s="12"/>
      <c r="BF1938" s="12"/>
      <c r="BG1938" s="12"/>
      <c r="BH1938" s="12"/>
      <c r="BI1938" s="12"/>
      <c r="BJ1938" s="12"/>
      <c r="BK1938" s="12"/>
      <c r="BL1938" s="12"/>
      <c r="BM1938" s="12"/>
      <c r="BN1938" s="12"/>
      <c r="BO1938" s="12"/>
      <c r="BP1938" s="12"/>
      <c r="BQ1938" s="12"/>
      <c r="BR1938" s="12"/>
      <c r="BS1938" s="12"/>
      <c r="BT1938" s="12"/>
      <c r="BU1938" s="12"/>
      <c r="BV1938" s="12"/>
      <c r="BW1938" s="12"/>
      <c r="BX1938" s="12"/>
      <c r="BY1938" s="12"/>
      <c r="BZ1938" s="12"/>
      <c r="CA1938" s="12"/>
      <c r="CB1938" s="12"/>
      <c r="CC1938" s="12"/>
      <c r="CD1938" s="12"/>
    </row>
    <row r="1939" spans="1:82">
      <c r="A1939" s="12" t="s">
        <v>1167</v>
      </c>
      <c r="B1939" s="12" t="str">
        <f t="shared" si="366"/>
        <v>VANDYK</v>
      </c>
      <c r="C1939" s="12" t="str">
        <f t="shared" si="367"/>
        <v>VAN DYK</v>
      </c>
      <c r="D1939" s="12" t="s">
        <v>14508</v>
      </c>
      <c r="E1939" s="12" t="str">
        <f t="shared" si="377"/>
        <v>Frans Johannes Jr.</v>
      </c>
      <c r="F1939" s="12" t="s">
        <v>14509</v>
      </c>
      <c r="G1939" s="12" t="str">
        <f t="shared" si="368"/>
        <v>a1b5c4d3e5</v>
      </c>
      <c r="H1939" s="12" t="str">
        <f t="shared" si="369"/>
        <v>VAN DYKa1b5c4d3e5</v>
      </c>
      <c r="I1939" s="12"/>
      <c r="J1939" s="12" t="s">
        <v>14510</v>
      </c>
      <c r="K1939" s="12" t="str">
        <f t="shared" si="370"/>
        <v>1815</v>
      </c>
      <c r="L1939" s="12" t="s">
        <v>74</v>
      </c>
      <c r="M1939" s="12" t="s">
        <v>1980</v>
      </c>
      <c r="N1939" s="12" t="str">
        <f t="shared" si="375"/>
        <v>1815</v>
      </c>
      <c r="O1939" s="12" t="str">
        <f t="shared" si="376"/>
        <v>1815</v>
      </c>
      <c r="P1939" s="12"/>
      <c r="Q1939" s="12" t="str">
        <f t="shared" si="371"/>
        <v>1815</v>
      </c>
      <c r="R1939" s="12"/>
      <c r="S1939" s="12" t="str">
        <f t="shared" si="372"/>
        <v/>
      </c>
      <c r="T1939" s="12" t="s">
        <v>28</v>
      </c>
      <c r="U1939" s="12" t="s">
        <v>367</v>
      </c>
      <c r="V1939" s="12" t="str">
        <f t="shared" si="373"/>
        <v>1833</v>
      </c>
      <c r="W1939" s="12" t="s">
        <v>14511</v>
      </c>
      <c r="X1939" s="12" t="s">
        <v>700</v>
      </c>
      <c r="Y1939" s="12"/>
      <c r="Z1939" s="12"/>
      <c r="AA1939" s="12"/>
      <c r="AB1939" s="12"/>
      <c r="AC1939" s="12"/>
      <c r="AD1939" s="12"/>
      <c r="AE1939" s="12"/>
      <c r="AF1939" s="12" t="s">
        <v>3717</v>
      </c>
      <c r="AG1939" s="12" t="s">
        <v>346</v>
      </c>
      <c r="AH1939" s="12" t="s">
        <v>14085</v>
      </c>
      <c r="AI1939" s="12" t="str">
        <f t="shared" si="374"/>
        <v>1837</v>
      </c>
      <c r="AJ1939" s="12" t="s">
        <v>5423</v>
      </c>
      <c r="AK1939" s="12" t="s">
        <v>155</v>
      </c>
      <c r="AL1939" s="12"/>
      <c r="AM1939" s="12"/>
      <c r="AN1939" s="12"/>
      <c r="AO1939" s="12"/>
      <c r="AP1939" s="12"/>
      <c r="AQ1939" s="12"/>
      <c r="AR1939" s="12"/>
      <c r="AS1939" s="12"/>
      <c r="AT1939" s="12"/>
      <c r="AU1939" s="12"/>
      <c r="AV1939" s="12"/>
      <c r="AW1939" s="12"/>
      <c r="AX1939" s="12"/>
      <c r="AY1939" s="12"/>
      <c r="AZ1939" s="12"/>
      <c r="BA1939" s="12"/>
      <c r="BB1939" s="12"/>
      <c r="BC1939" s="12"/>
      <c r="BD1939" s="12"/>
      <c r="BE1939" s="12"/>
      <c r="BF1939" s="12"/>
      <c r="BG1939" s="12"/>
      <c r="BH1939" s="12"/>
      <c r="BI1939" s="12"/>
      <c r="BJ1939" s="12"/>
      <c r="BK1939" s="12"/>
      <c r="BL1939" s="12"/>
      <c r="BM1939" s="12"/>
      <c r="BN1939" s="12"/>
      <c r="BO1939" s="12"/>
      <c r="BP1939" s="12"/>
      <c r="BQ1939" s="12"/>
      <c r="BR1939" s="12"/>
      <c r="BS1939" s="12"/>
      <c r="BT1939" s="12"/>
      <c r="BU1939" s="12"/>
      <c r="BV1939" s="12"/>
      <c r="BW1939" s="12"/>
      <c r="BX1939" s="12"/>
      <c r="BY1939" s="12"/>
      <c r="BZ1939" s="12"/>
      <c r="CA1939" s="12"/>
      <c r="CB1939" s="12"/>
      <c r="CC1939" s="12"/>
      <c r="CD1939" s="12"/>
    </row>
    <row r="1940" spans="1:82">
      <c r="A1940" s="12" t="s">
        <v>1167</v>
      </c>
      <c r="B1940" s="12" t="str">
        <f t="shared" si="366"/>
        <v>VANDYK</v>
      </c>
      <c r="C1940" s="12" t="str">
        <f t="shared" si="367"/>
        <v>VAN DYK</v>
      </c>
      <c r="D1940" s="12" t="s">
        <v>14497</v>
      </c>
      <c r="E1940" s="12" t="str">
        <f t="shared" si="377"/>
        <v>Barend Jacobus Hendrik</v>
      </c>
      <c r="F1940" s="12" t="s">
        <v>14498</v>
      </c>
      <c r="G1940" s="12" t="str">
        <f t="shared" si="368"/>
        <v>a1b5c4d3e7</v>
      </c>
      <c r="H1940" s="12" t="str">
        <f t="shared" si="369"/>
        <v>VAN DYKa1b5c4d3e7</v>
      </c>
      <c r="I1940" s="12"/>
      <c r="J1940" s="12" t="s">
        <v>14499</v>
      </c>
      <c r="K1940" s="12" t="str">
        <f t="shared" si="370"/>
        <v>1819</v>
      </c>
      <c r="L1940" s="12" t="s">
        <v>74</v>
      </c>
      <c r="M1940" s="12" t="s">
        <v>441</v>
      </c>
      <c r="N1940" s="12" t="str">
        <f t="shared" si="375"/>
        <v>1819</v>
      </c>
      <c r="O1940" s="12" t="str">
        <f t="shared" si="376"/>
        <v>1819</v>
      </c>
      <c r="P1940" s="12" t="s">
        <v>5593</v>
      </c>
      <c r="Q1940" s="12" t="str">
        <f t="shared" si="371"/>
        <v>1819</v>
      </c>
      <c r="R1940" s="12"/>
      <c r="S1940" s="12" t="str">
        <f t="shared" si="372"/>
        <v/>
      </c>
      <c r="T1940" s="12" t="s">
        <v>28</v>
      </c>
      <c r="U1940" s="12" t="s">
        <v>14500</v>
      </c>
      <c r="V1940" s="12" t="str">
        <f t="shared" si="373"/>
        <v>1823</v>
      </c>
      <c r="W1940" s="12" t="s">
        <v>14501</v>
      </c>
      <c r="X1940" s="12" t="s">
        <v>1038</v>
      </c>
      <c r="Y1940" s="12" t="s">
        <v>14502</v>
      </c>
      <c r="Z1940" s="12"/>
      <c r="AA1940" s="12" t="s">
        <v>14503</v>
      </c>
      <c r="AB1940" s="12"/>
      <c r="AC1940" s="12"/>
      <c r="AD1940" s="12" t="s">
        <v>5593</v>
      </c>
      <c r="AE1940" s="1">
        <v>496</v>
      </c>
      <c r="AF1940" s="12" t="s">
        <v>28</v>
      </c>
      <c r="AG1940" s="12" t="s">
        <v>68</v>
      </c>
      <c r="AH1940" s="12" t="s">
        <v>5445</v>
      </c>
      <c r="AI1940" s="12" t="str">
        <f t="shared" si="374"/>
        <v>1839</v>
      </c>
      <c r="AJ1940" s="12"/>
      <c r="AK1940" s="12" t="s">
        <v>551</v>
      </c>
      <c r="AL1940" s="12"/>
      <c r="AM1940" s="12"/>
      <c r="AN1940" s="12"/>
      <c r="AO1940" s="12"/>
      <c r="AP1940" s="12"/>
      <c r="AQ1940" s="12"/>
      <c r="AR1940" s="12"/>
      <c r="AS1940" s="12"/>
      <c r="AT1940" s="12"/>
      <c r="AU1940" s="12"/>
      <c r="AV1940" s="12"/>
      <c r="AW1940" s="12"/>
      <c r="AX1940" s="12"/>
      <c r="AY1940" s="12"/>
      <c r="AZ1940" s="12"/>
      <c r="BA1940" s="12"/>
      <c r="BB1940" s="12"/>
      <c r="BC1940" s="12"/>
      <c r="BD1940" s="12"/>
      <c r="BE1940" s="12"/>
      <c r="BF1940" s="12"/>
      <c r="BG1940" s="12"/>
      <c r="BH1940" s="12"/>
      <c r="BI1940" s="12"/>
      <c r="BJ1940" s="12"/>
      <c r="BK1940" s="12"/>
      <c r="BL1940" s="12"/>
      <c r="BM1940" s="12"/>
      <c r="BN1940" s="12"/>
      <c r="BO1940" s="12"/>
      <c r="BP1940" s="12"/>
      <c r="BQ1940" s="12"/>
      <c r="BR1940" s="12"/>
      <c r="BS1940" s="12"/>
      <c r="BT1940" s="12"/>
      <c r="BU1940" s="12"/>
      <c r="BV1940" s="12"/>
      <c r="BW1940" s="12"/>
      <c r="BX1940" s="12"/>
      <c r="BY1940" s="12"/>
      <c r="BZ1940" s="12"/>
      <c r="CA1940" s="12"/>
      <c r="CB1940" s="12"/>
      <c r="CC1940" s="12"/>
      <c r="CD1940" s="12"/>
    </row>
    <row r="1941" spans="1:82">
      <c r="A1941" s="12" t="s">
        <v>1167</v>
      </c>
      <c r="B1941" s="12" t="str">
        <f t="shared" si="366"/>
        <v>VANDYK</v>
      </c>
      <c r="C1941" s="12" t="str">
        <f t="shared" si="367"/>
        <v>VAN DYK</v>
      </c>
      <c r="D1941" s="12" t="s">
        <v>14536</v>
      </c>
      <c r="E1941" s="12" t="str">
        <f t="shared" si="377"/>
        <v>Joseph (Ryk Joseph)</v>
      </c>
      <c r="F1941" s="12" t="s">
        <v>14537</v>
      </c>
      <c r="G1941" s="12" t="str">
        <f t="shared" si="368"/>
        <v>a1b5c4d4</v>
      </c>
      <c r="H1941" s="12" t="str">
        <f t="shared" si="369"/>
        <v>VAN DYKa1b5c4d4</v>
      </c>
      <c r="I1941" s="12"/>
      <c r="J1941" s="12"/>
      <c r="K1941" s="12" t="str">
        <f t="shared" si="370"/>
        <v/>
      </c>
      <c r="L1941" s="12" t="s">
        <v>74</v>
      </c>
      <c r="M1941" s="12" t="s">
        <v>9418</v>
      </c>
      <c r="N1941" s="12" t="str">
        <f t="shared" si="375"/>
        <v/>
      </c>
      <c r="O1941" s="12" t="str">
        <f t="shared" si="376"/>
        <v>1789</v>
      </c>
      <c r="P1941" s="12"/>
      <c r="Q1941" s="12" t="str">
        <f t="shared" si="371"/>
        <v>1789</v>
      </c>
      <c r="R1941" s="12"/>
      <c r="S1941" s="12" t="str">
        <f t="shared" si="372"/>
        <v/>
      </c>
      <c r="T1941" s="12" t="s">
        <v>74</v>
      </c>
      <c r="U1941" s="12" t="s">
        <v>7516</v>
      </c>
      <c r="V1941" s="12" t="str">
        <f t="shared" si="373"/>
        <v>1813</v>
      </c>
      <c r="W1941" s="12" t="s">
        <v>14538</v>
      </c>
      <c r="X1941" s="12" t="s">
        <v>726</v>
      </c>
      <c r="Y1941" s="12" t="s">
        <v>14539</v>
      </c>
      <c r="Z1941" s="12"/>
      <c r="AA1941" s="12"/>
      <c r="AB1941" s="12"/>
      <c r="AC1941" s="12" t="s">
        <v>14540</v>
      </c>
      <c r="AD1941" s="12" t="s">
        <v>90</v>
      </c>
      <c r="AE1941" s="12" t="s">
        <v>301</v>
      </c>
      <c r="AF1941" s="12" t="s">
        <v>3717</v>
      </c>
      <c r="AG1941" s="12" t="s">
        <v>346</v>
      </c>
      <c r="AH1941" s="12" t="s">
        <v>14085</v>
      </c>
      <c r="AI1941" s="12" t="str">
        <f t="shared" si="374"/>
        <v>1837</v>
      </c>
      <c r="AJ1941" s="12" t="s">
        <v>5423</v>
      </c>
      <c r="AK1941" s="12"/>
      <c r="AL1941" s="12"/>
      <c r="AM1941" s="12"/>
      <c r="AN1941" s="12"/>
      <c r="AO1941" s="12"/>
      <c r="AP1941" s="12"/>
      <c r="AQ1941" s="12"/>
      <c r="AR1941" s="12"/>
      <c r="AS1941" s="12"/>
      <c r="AT1941" s="12"/>
      <c r="AU1941" s="12"/>
      <c r="AV1941" s="12"/>
      <c r="AW1941" s="12"/>
      <c r="AX1941" s="12"/>
      <c r="AY1941" s="12"/>
      <c r="AZ1941" s="12"/>
      <c r="BA1941" s="12"/>
      <c r="BB1941" s="12"/>
      <c r="BC1941" s="12"/>
      <c r="BD1941" s="12"/>
      <c r="BE1941" s="12"/>
      <c r="BF1941" s="12"/>
      <c r="BG1941" s="12"/>
      <c r="BH1941" s="12"/>
      <c r="BI1941" s="12"/>
      <c r="BJ1941" s="12"/>
      <c r="BK1941" s="12"/>
      <c r="BL1941" s="12"/>
      <c r="BM1941" s="12"/>
      <c r="BN1941" s="12"/>
      <c r="BO1941" s="12"/>
      <c r="BP1941" s="12"/>
      <c r="BQ1941" s="12"/>
      <c r="BR1941" s="12"/>
      <c r="BS1941" s="12"/>
      <c r="BT1941" s="12"/>
      <c r="BU1941" s="12"/>
      <c r="BV1941" s="12"/>
      <c r="BW1941" s="12"/>
      <c r="BX1941" s="12"/>
      <c r="BY1941" s="12"/>
      <c r="BZ1941" s="12"/>
      <c r="CA1941" s="12"/>
      <c r="CB1941" s="12"/>
      <c r="CC1941" s="12"/>
      <c r="CD1941" s="12"/>
    </row>
    <row r="1942" spans="1:82">
      <c r="A1942" s="12" t="s">
        <v>1167</v>
      </c>
      <c r="B1942" s="12" t="str">
        <f t="shared" si="366"/>
        <v>VANDYK</v>
      </c>
      <c r="C1942" s="12" t="str">
        <f t="shared" si="367"/>
        <v>VAN DYK</v>
      </c>
      <c r="D1942" s="12" t="s">
        <v>5216</v>
      </c>
      <c r="E1942" s="12" t="str">
        <f t="shared" si="377"/>
        <v>Joseph</v>
      </c>
      <c r="F1942" s="12" t="s">
        <v>14530</v>
      </c>
      <c r="G1942" s="12" t="str">
        <f t="shared" si="368"/>
        <v>a1b5c4d4e1</v>
      </c>
      <c r="H1942" s="12" t="str">
        <f t="shared" si="369"/>
        <v>VAN DYKa1b5c4d4e1</v>
      </c>
      <c r="I1942" s="12"/>
      <c r="J1942" s="12">
        <v>1808</v>
      </c>
      <c r="K1942" s="12" t="str">
        <f t="shared" si="370"/>
        <v>1808</v>
      </c>
      <c r="L1942" s="12"/>
      <c r="M1942" s="12"/>
      <c r="N1942" s="12" t="str">
        <f t="shared" si="375"/>
        <v>1808</v>
      </c>
      <c r="O1942" s="12" t="str">
        <f t="shared" si="376"/>
        <v/>
      </c>
      <c r="P1942" s="12"/>
      <c r="Q1942" s="12" t="str">
        <f t="shared" si="371"/>
        <v>1808</v>
      </c>
      <c r="R1942" s="12"/>
      <c r="S1942" s="12" t="str">
        <f t="shared" si="372"/>
        <v/>
      </c>
      <c r="T1942" s="12" t="s">
        <v>90</v>
      </c>
      <c r="U1942" s="12" t="s">
        <v>59</v>
      </c>
      <c r="V1942" s="12" t="str">
        <f t="shared" si="373"/>
        <v>1838</v>
      </c>
      <c r="W1942" s="12" t="s">
        <v>2994</v>
      </c>
      <c r="X1942" s="12" t="s">
        <v>629</v>
      </c>
      <c r="Y1942" s="12"/>
      <c r="Z1942" s="12"/>
      <c r="AA1942" s="12"/>
      <c r="AB1942" s="12"/>
      <c r="AC1942" s="12"/>
      <c r="AD1942" s="12" t="s">
        <v>90</v>
      </c>
      <c r="AE1942" s="12" t="s">
        <v>301</v>
      </c>
      <c r="AF1942" s="12" t="s">
        <v>3717</v>
      </c>
      <c r="AG1942" s="12" t="s">
        <v>346</v>
      </c>
      <c r="AH1942" s="12">
        <v>1837</v>
      </c>
      <c r="AI1942" s="12" t="str">
        <f t="shared" si="374"/>
        <v>1837</v>
      </c>
      <c r="AJ1942" s="12"/>
      <c r="AK1942" s="12"/>
      <c r="AL1942" s="12"/>
      <c r="AM1942" s="12"/>
      <c r="AN1942" s="12"/>
      <c r="AO1942" s="12"/>
      <c r="AP1942" s="12"/>
      <c r="AQ1942" s="12"/>
      <c r="AR1942" s="12"/>
      <c r="AS1942" s="12"/>
      <c r="AT1942" s="12"/>
      <c r="AU1942" s="12"/>
      <c r="AV1942" s="12"/>
      <c r="AW1942" s="12"/>
      <c r="AX1942" s="12"/>
      <c r="AY1942" s="12"/>
      <c r="AZ1942" s="12"/>
      <c r="BA1942" s="12"/>
      <c r="BB1942" s="12"/>
      <c r="BC1942" s="12"/>
      <c r="BD1942" s="12"/>
      <c r="BE1942" s="12"/>
      <c r="BF1942" s="12"/>
      <c r="BG1942" s="12"/>
      <c r="BH1942" s="12"/>
      <c r="BI1942" s="12"/>
      <c r="BJ1942" s="12"/>
      <c r="BK1942" s="12"/>
      <c r="BL1942" s="12"/>
      <c r="BM1942" s="12"/>
      <c r="BN1942" s="12"/>
      <c r="BO1942" s="12"/>
      <c r="BP1942" s="12"/>
      <c r="BQ1942" s="12"/>
      <c r="BR1942" s="12"/>
      <c r="BS1942" s="12"/>
      <c r="BT1942" s="12"/>
      <c r="BU1942" s="12"/>
      <c r="BV1942" s="12"/>
      <c r="BW1942" s="12"/>
      <c r="BX1942" s="12"/>
      <c r="BY1942" s="12"/>
      <c r="BZ1942" s="12"/>
      <c r="CA1942" s="12"/>
      <c r="CB1942" s="12"/>
      <c r="CC1942" s="12"/>
      <c r="CD1942" s="12"/>
    </row>
    <row r="1943" spans="1:82">
      <c r="A1943" s="12" t="s">
        <v>1167</v>
      </c>
      <c r="B1943" s="12" t="str">
        <f t="shared" si="366"/>
        <v>VANDYK</v>
      </c>
      <c r="C1943" s="12" t="str">
        <f t="shared" si="367"/>
        <v>VAN DYK</v>
      </c>
      <c r="D1943" s="12" t="s">
        <v>7841</v>
      </c>
      <c r="E1943" s="12" t="str">
        <f t="shared" si="377"/>
        <v>Andries Jacobus</v>
      </c>
      <c r="F1943" s="12" t="s">
        <v>14493</v>
      </c>
      <c r="G1943" s="12" t="str">
        <f t="shared" si="368"/>
        <v xml:space="preserve">a1b5c4d5 </v>
      </c>
      <c r="H1943" s="12" t="str">
        <f t="shared" si="369"/>
        <v xml:space="preserve">VAN DYKa1b5c4d5 </v>
      </c>
      <c r="I1943" s="12"/>
      <c r="J1943" s="12"/>
      <c r="K1943" s="12" t="str">
        <f t="shared" si="370"/>
        <v/>
      </c>
      <c r="L1943" s="12" t="s">
        <v>74</v>
      </c>
      <c r="M1943" s="12" t="s">
        <v>3329</v>
      </c>
      <c r="N1943" s="12" t="str">
        <f t="shared" si="375"/>
        <v/>
      </c>
      <c r="O1943" s="12" t="str">
        <f t="shared" si="376"/>
        <v>1793</v>
      </c>
      <c r="P1943" s="12" t="s">
        <v>71</v>
      </c>
      <c r="Q1943" s="12" t="str">
        <f t="shared" si="371"/>
        <v>1793</v>
      </c>
      <c r="R1943" s="12" t="s">
        <v>72</v>
      </c>
      <c r="S1943" s="12" t="str">
        <f t="shared" si="372"/>
        <v>1838</v>
      </c>
      <c r="T1943" s="12" t="s">
        <v>74</v>
      </c>
      <c r="U1943" s="12" t="s">
        <v>5311</v>
      </c>
      <c r="V1943" s="12" t="str">
        <f t="shared" si="373"/>
        <v>1814</v>
      </c>
      <c r="W1943" s="12" t="s">
        <v>14494</v>
      </c>
      <c r="X1943" s="12" t="s">
        <v>629</v>
      </c>
      <c r="Y1943" s="12" t="s">
        <v>6864</v>
      </c>
      <c r="Z1943" s="12"/>
      <c r="AA1943" s="12"/>
      <c r="AB1943" s="12"/>
      <c r="AC1943" s="12" t="s">
        <v>14495</v>
      </c>
      <c r="AD1943" s="12" t="s">
        <v>90</v>
      </c>
      <c r="AE1943" s="12" t="s">
        <v>301</v>
      </c>
      <c r="AF1943" s="12" t="s">
        <v>3728</v>
      </c>
      <c r="AG1943" s="12" t="s">
        <v>346</v>
      </c>
      <c r="AH1943" s="12" t="s">
        <v>14496</v>
      </c>
      <c r="AI1943" s="12" t="str">
        <f t="shared" si="374"/>
        <v>1832</v>
      </c>
      <c r="AJ1943" s="12" t="s">
        <v>5423</v>
      </c>
      <c r="AK1943" s="12"/>
      <c r="AL1943" s="12"/>
      <c r="AM1943" s="12"/>
      <c r="AN1943" s="12"/>
      <c r="AO1943" s="12"/>
      <c r="AP1943" s="12"/>
      <c r="AQ1943" s="12"/>
      <c r="AR1943" s="12"/>
      <c r="AS1943" s="12"/>
      <c r="AT1943" s="12"/>
      <c r="AU1943" s="12"/>
      <c r="AV1943" s="12"/>
      <c r="AW1943" s="12"/>
      <c r="AX1943" s="12"/>
      <c r="AY1943" s="12"/>
      <c r="AZ1943" s="12"/>
      <c r="BA1943" s="12"/>
      <c r="BB1943" s="12"/>
      <c r="BC1943" s="12"/>
      <c r="BD1943" s="12"/>
      <c r="BE1943" s="12"/>
      <c r="BF1943" s="12"/>
      <c r="BG1943" s="12"/>
      <c r="BH1943" s="12"/>
      <c r="BI1943" s="12"/>
      <c r="BJ1943" s="12"/>
      <c r="BK1943" s="12"/>
      <c r="BL1943" s="12"/>
      <c r="BM1943" s="12"/>
      <c r="BN1943" s="12"/>
      <c r="BO1943" s="12"/>
      <c r="BP1943" s="12"/>
      <c r="BQ1943" s="12"/>
      <c r="BR1943" s="12"/>
      <c r="BS1943" s="12"/>
      <c r="BT1943" s="12"/>
      <c r="BU1943" s="12"/>
      <c r="BV1943" s="12"/>
      <c r="BW1943" s="12"/>
      <c r="BX1943" s="12"/>
      <c r="BY1943" s="12"/>
      <c r="BZ1943" s="12"/>
      <c r="CA1943" s="12"/>
      <c r="CB1943" s="12"/>
      <c r="CC1943" s="12"/>
      <c r="CD1943" s="12"/>
    </row>
    <row r="1944" spans="1:82">
      <c r="A1944" s="12" t="s">
        <v>1167</v>
      </c>
      <c r="B1944" s="12" t="str">
        <f t="shared" si="366"/>
        <v>VANDYK</v>
      </c>
      <c r="C1944" s="12" t="str">
        <f t="shared" si="367"/>
        <v>VAN DYK</v>
      </c>
      <c r="D1944" s="12" t="s">
        <v>5216</v>
      </c>
      <c r="E1944" s="12" t="str">
        <f t="shared" si="377"/>
        <v>Joseph</v>
      </c>
      <c r="F1944" s="12" t="s">
        <v>14525</v>
      </c>
      <c r="G1944" s="12" t="str">
        <f t="shared" si="368"/>
        <v>a1b5c4d5e3</v>
      </c>
      <c r="H1944" s="12" t="str">
        <f t="shared" si="369"/>
        <v>VAN DYKa1b5c4d5e3</v>
      </c>
      <c r="I1944" s="12"/>
      <c r="J1944" s="12" t="s">
        <v>14526</v>
      </c>
      <c r="K1944" s="12" t="str">
        <f t="shared" si="370"/>
        <v>1816</v>
      </c>
      <c r="L1944" s="12" t="s">
        <v>74</v>
      </c>
      <c r="M1944" s="12" t="s">
        <v>2985</v>
      </c>
      <c r="N1944" s="12" t="str">
        <f t="shared" si="375"/>
        <v>1816</v>
      </c>
      <c r="O1944" s="12" t="str">
        <f t="shared" si="376"/>
        <v>1817</v>
      </c>
      <c r="P1944" s="12" t="s">
        <v>120</v>
      </c>
      <c r="Q1944" s="12" t="str">
        <f t="shared" si="371"/>
        <v>1816</v>
      </c>
      <c r="R1944" s="12" t="s">
        <v>14527</v>
      </c>
      <c r="S1944" s="12" t="str">
        <f t="shared" si="372"/>
        <v>1890</v>
      </c>
      <c r="T1944" s="12"/>
      <c r="U1944" s="12">
        <v>1840</v>
      </c>
      <c r="V1944" s="12" t="str">
        <f t="shared" si="373"/>
        <v>1840</v>
      </c>
      <c r="W1944" s="12" t="s">
        <v>708</v>
      </c>
      <c r="X1944" s="12" t="s">
        <v>629</v>
      </c>
      <c r="Y1944" s="12"/>
      <c r="Z1944" s="12"/>
      <c r="AA1944" s="12" t="s">
        <v>14528</v>
      </c>
      <c r="AB1944" s="12"/>
      <c r="AC1944" s="12"/>
      <c r="AD1944" s="12" t="s">
        <v>120</v>
      </c>
      <c r="AE1944" s="12" t="s">
        <v>14529</v>
      </c>
      <c r="AF1944" s="12" t="s">
        <v>3728</v>
      </c>
      <c r="AG1944" s="12" t="s">
        <v>346</v>
      </c>
      <c r="AH1944" s="12" t="s">
        <v>14085</v>
      </c>
      <c r="AI1944" s="12" t="str">
        <f t="shared" si="374"/>
        <v>1837</v>
      </c>
      <c r="AJ1944" s="12" t="s">
        <v>5423</v>
      </c>
      <c r="AK1944" s="12" t="s">
        <v>120</v>
      </c>
      <c r="AL1944" s="12"/>
      <c r="AM1944" s="12"/>
      <c r="AN1944" s="12"/>
      <c r="AO1944" s="12"/>
      <c r="AP1944" s="12"/>
      <c r="AQ1944" s="12"/>
      <c r="AR1944" s="12"/>
      <c r="AS1944" s="12"/>
      <c r="AT1944" s="12"/>
      <c r="AU1944" s="12"/>
      <c r="AV1944" s="12"/>
      <c r="AW1944" s="12"/>
      <c r="AX1944" s="12"/>
      <c r="AY1944" s="12"/>
      <c r="AZ1944" s="12"/>
      <c r="BA1944" s="12"/>
      <c r="BB1944" s="12"/>
      <c r="BC1944" s="12"/>
      <c r="BD1944" s="12"/>
      <c r="BE1944" s="12"/>
      <c r="BF1944" s="12"/>
      <c r="BG1944" s="12"/>
      <c r="BH1944" s="12"/>
      <c r="BI1944" s="12"/>
      <c r="BJ1944" s="12"/>
      <c r="BK1944" s="12"/>
      <c r="BL1944" s="12"/>
      <c r="BM1944" s="12"/>
      <c r="BN1944" s="12"/>
      <c r="BO1944" s="12"/>
      <c r="BP1944" s="12"/>
      <c r="BQ1944" s="12"/>
      <c r="BR1944" s="12"/>
      <c r="BS1944" s="12"/>
      <c r="BT1944" s="12"/>
      <c r="BU1944" s="12"/>
      <c r="BV1944" s="12"/>
      <c r="BW1944" s="12"/>
      <c r="BX1944" s="12"/>
      <c r="BY1944" s="12"/>
      <c r="BZ1944" s="12"/>
      <c r="CA1944" s="12"/>
      <c r="CB1944" s="12"/>
      <c r="CC1944" s="12"/>
      <c r="CD1944" s="12"/>
    </row>
    <row r="1945" spans="1:82">
      <c r="A1945" s="12" t="s">
        <v>1167</v>
      </c>
      <c r="B1945" s="12" t="str">
        <f t="shared" si="366"/>
        <v>VANDYK</v>
      </c>
      <c r="C1945" s="12" t="str">
        <f t="shared" si="367"/>
        <v>VAN DYK</v>
      </c>
      <c r="D1945" s="12" t="s">
        <v>1284</v>
      </c>
      <c r="E1945" s="12" t="str">
        <f t="shared" si="377"/>
        <v>Johannes Hendrik</v>
      </c>
      <c r="F1945" s="12" t="s">
        <v>14517</v>
      </c>
      <c r="G1945" s="12" t="str">
        <f t="shared" si="368"/>
        <v>a1b5c4d5e4</v>
      </c>
      <c r="H1945" s="12" t="str">
        <f t="shared" si="369"/>
        <v>VAN DYKa1b5c4d5e4</v>
      </c>
      <c r="I1945" s="12"/>
      <c r="J1945" s="12" t="s">
        <v>14518</v>
      </c>
      <c r="K1945" s="12" t="str">
        <f t="shared" si="370"/>
        <v>1818</v>
      </c>
      <c r="L1945" s="12" t="s">
        <v>53</v>
      </c>
      <c r="M1945" s="12" t="s">
        <v>5305</v>
      </c>
      <c r="N1945" s="12" t="str">
        <f t="shared" si="375"/>
        <v>1818</v>
      </c>
      <c r="O1945" s="12" t="str">
        <f t="shared" si="376"/>
        <v>1818</v>
      </c>
      <c r="P1945" s="12" t="s">
        <v>90</v>
      </c>
      <c r="Q1945" s="12" t="str">
        <f t="shared" si="371"/>
        <v>1818</v>
      </c>
      <c r="R1945" s="12" t="s">
        <v>301</v>
      </c>
      <c r="S1945" s="12" t="str">
        <f t="shared" si="372"/>
        <v>1838</v>
      </c>
      <c r="T1945" s="12"/>
      <c r="U1945" s="12"/>
      <c r="V1945" s="12" t="str">
        <f t="shared" si="373"/>
        <v/>
      </c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 t="s">
        <v>3728</v>
      </c>
      <c r="AG1945" s="12" t="s">
        <v>346</v>
      </c>
      <c r="AH1945" s="12" t="s">
        <v>14085</v>
      </c>
      <c r="AI1945" s="12" t="str">
        <f t="shared" si="374"/>
        <v>1837</v>
      </c>
      <c r="AJ1945" s="12" t="s">
        <v>5423</v>
      </c>
      <c r="AK1945" s="12"/>
      <c r="AL1945" s="12"/>
      <c r="AM1945" s="12"/>
      <c r="AN1945" s="12"/>
      <c r="AO1945" s="12"/>
      <c r="AP1945" s="12"/>
      <c r="AQ1945" s="12"/>
      <c r="AR1945" s="12"/>
      <c r="AS1945" s="12"/>
      <c r="AT1945" s="12"/>
      <c r="AU1945" s="12"/>
      <c r="AV1945" s="12"/>
      <c r="AW1945" s="12"/>
      <c r="AX1945" s="12"/>
      <c r="AY1945" s="12"/>
      <c r="AZ1945" s="12"/>
      <c r="BA1945" s="12"/>
      <c r="BB1945" s="12"/>
      <c r="BC1945" s="12"/>
      <c r="BD1945" s="12"/>
      <c r="BE1945" s="12"/>
      <c r="BF1945" s="12"/>
      <c r="BG1945" s="12"/>
      <c r="BH1945" s="12"/>
      <c r="BI1945" s="12"/>
      <c r="BJ1945" s="12"/>
      <c r="BK1945" s="12"/>
      <c r="BL1945" s="12"/>
      <c r="BM1945" s="12"/>
      <c r="BN1945" s="12"/>
      <c r="BO1945" s="12"/>
      <c r="BP1945" s="12"/>
      <c r="BQ1945" s="12"/>
      <c r="BR1945" s="12"/>
      <c r="BS1945" s="12"/>
      <c r="BT1945" s="12"/>
      <c r="BU1945" s="12"/>
      <c r="BV1945" s="12"/>
      <c r="BW1945" s="12"/>
      <c r="BX1945" s="12"/>
      <c r="BY1945" s="12"/>
      <c r="BZ1945" s="12"/>
      <c r="CA1945" s="12"/>
      <c r="CB1945" s="12"/>
      <c r="CC1945" s="12"/>
      <c r="CD1945" s="12"/>
    </row>
    <row r="1946" spans="1:82" s="5" customFormat="1">
      <c r="A1946" s="5" t="s">
        <v>1167</v>
      </c>
      <c r="B1946" s="5" t="str">
        <f t="shared" si="366"/>
        <v>VANDYK</v>
      </c>
      <c r="C1946" s="5" t="str">
        <f t="shared" si="367"/>
        <v>VAN DYK</v>
      </c>
      <c r="D1946" s="5" t="s">
        <v>14490</v>
      </c>
      <c r="E1946" s="12" t="str">
        <f t="shared" si="377"/>
        <v>Andries Frans Jacobus Johannes</v>
      </c>
      <c r="F1946" s="5" t="s">
        <v>14491</v>
      </c>
      <c r="G1946" s="5" t="str">
        <f t="shared" si="368"/>
        <v>a1b5c4d5e5</v>
      </c>
      <c r="H1946" s="5" t="str">
        <f t="shared" si="369"/>
        <v>VAN DYKa1b5c4d5e5</v>
      </c>
      <c r="J1946" s="5" t="s">
        <v>14492</v>
      </c>
      <c r="K1946" s="5" t="str">
        <f t="shared" si="370"/>
        <v>1820</v>
      </c>
      <c r="L1946" s="5" t="s">
        <v>53</v>
      </c>
      <c r="M1946" s="5" t="s">
        <v>1431</v>
      </c>
      <c r="N1946" s="5" t="str">
        <f t="shared" si="375"/>
        <v>1820</v>
      </c>
      <c r="O1946" s="5" t="str">
        <f t="shared" si="376"/>
        <v>1821</v>
      </c>
      <c r="P1946" s="5" t="s">
        <v>90</v>
      </c>
      <c r="Q1946" s="5" t="str">
        <f t="shared" si="371"/>
        <v>1820</v>
      </c>
      <c r="R1946" s="5" t="s">
        <v>301</v>
      </c>
      <c r="S1946" s="5" t="str">
        <f t="shared" si="372"/>
        <v>1838</v>
      </c>
      <c r="V1946" s="5" t="str">
        <f t="shared" si="373"/>
        <v/>
      </c>
      <c r="AF1946" s="5" t="s">
        <v>3728</v>
      </c>
      <c r="AG1946" s="5" t="s">
        <v>346</v>
      </c>
      <c r="AH1946" s="5" t="s">
        <v>14085</v>
      </c>
      <c r="AI1946" s="5" t="str">
        <f t="shared" si="374"/>
        <v>1837</v>
      </c>
      <c r="AJ1946" s="5" t="s">
        <v>5423</v>
      </c>
      <c r="AK1946" s="5" t="s">
        <v>90</v>
      </c>
    </row>
    <row r="1947" spans="1:82" s="5" customFormat="1">
      <c r="A1947" s="5" t="s">
        <v>1167</v>
      </c>
      <c r="B1947" s="5" t="str">
        <f t="shared" si="366"/>
        <v>VANDYK</v>
      </c>
      <c r="C1947" s="5" t="str">
        <f t="shared" si="367"/>
        <v>VAN DYK</v>
      </c>
      <c r="D1947" s="5" t="s">
        <v>14557</v>
      </c>
      <c r="E1947" s="12" t="str">
        <f t="shared" si="377"/>
        <v>Zacharia Susara</v>
      </c>
      <c r="F1947" s="19" t="s">
        <v>15799</v>
      </c>
      <c r="G1947" s="5" t="str">
        <f t="shared" si="368"/>
        <v>a1b5c4d5e6</v>
      </c>
      <c r="H1947" s="5" t="str">
        <f t="shared" si="369"/>
        <v>VAN DYKa1b5c4d5e6</v>
      </c>
      <c r="J1947" s="5" t="s">
        <v>2093</v>
      </c>
      <c r="K1947" s="5" t="str">
        <f t="shared" si="370"/>
        <v>1822</v>
      </c>
      <c r="L1947" s="5" t="s">
        <v>53</v>
      </c>
      <c r="M1947" s="5" t="s">
        <v>14558</v>
      </c>
      <c r="N1947" s="5" t="str">
        <f t="shared" si="375"/>
        <v>1822</v>
      </c>
      <c r="O1947" s="5" t="str">
        <f t="shared" si="376"/>
        <v>1822</v>
      </c>
      <c r="P1947" s="5" t="s">
        <v>14118</v>
      </c>
      <c r="Q1947" s="5" t="str">
        <f t="shared" si="371"/>
        <v>1822</v>
      </c>
      <c r="R1947" s="5" t="s">
        <v>301</v>
      </c>
      <c r="S1947" s="5" t="str">
        <f t="shared" si="372"/>
        <v>1838</v>
      </c>
      <c r="V1947" s="5" t="str">
        <f t="shared" si="373"/>
        <v/>
      </c>
      <c r="AF1947" s="5" t="s">
        <v>3728</v>
      </c>
      <c r="AG1947" s="5" t="s">
        <v>346</v>
      </c>
      <c r="AH1947" s="5" t="s">
        <v>14085</v>
      </c>
      <c r="AI1947" s="5" t="str">
        <f t="shared" si="374"/>
        <v>1837</v>
      </c>
      <c r="AJ1947" s="5" t="s">
        <v>5423</v>
      </c>
    </row>
    <row r="1948" spans="1:82">
      <c r="A1948" s="12" t="s">
        <v>1167</v>
      </c>
      <c r="B1948" s="12" t="str">
        <f t="shared" si="366"/>
        <v>VANDYK</v>
      </c>
      <c r="C1948" s="12" t="str">
        <f t="shared" si="367"/>
        <v>VAN DYK</v>
      </c>
      <c r="D1948" s="12" t="s">
        <v>2759</v>
      </c>
      <c r="E1948" s="12" t="str">
        <f t="shared" si="377"/>
        <v>Jacobus Nicolaas</v>
      </c>
      <c r="F1948" s="12" t="s">
        <v>14512</v>
      </c>
      <c r="G1948" s="12" t="str">
        <f t="shared" si="368"/>
        <v>a1b5c8d7</v>
      </c>
      <c r="H1948" s="12" t="str">
        <f t="shared" si="369"/>
        <v>VAN DYKa1b5c8d7</v>
      </c>
      <c r="I1948" s="12"/>
      <c r="J1948" s="12"/>
      <c r="K1948" s="12" t="str">
        <f t="shared" si="370"/>
        <v/>
      </c>
      <c r="L1948" s="12" t="s">
        <v>74</v>
      </c>
      <c r="M1948" s="12" t="s">
        <v>9302</v>
      </c>
      <c r="N1948" s="12" t="str">
        <f t="shared" si="375"/>
        <v/>
      </c>
      <c r="O1948" s="12" t="str">
        <f t="shared" si="376"/>
        <v>1798</v>
      </c>
      <c r="P1948" s="12" t="s">
        <v>31</v>
      </c>
      <c r="Q1948" s="12" t="str">
        <f t="shared" si="371"/>
        <v>1798</v>
      </c>
      <c r="R1948" s="12" t="s">
        <v>14513</v>
      </c>
      <c r="S1948" s="12" t="str">
        <f t="shared" si="372"/>
        <v>1872</v>
      </c>
      <c r="T1948" s="12" t="s">
        <v>74</v>
      </c>
      <c r="U1948" s="12" t="s">
        <v>14514</v>
      </c>
      <c r="V1948" s="12" t="str">
        <f t="shared" si="373"/>
        <v>1819</v>
      </c>
      <c r="W1948" s="12" t="s">
        <v>13300</v>
      </c>
      <c r="X1948" s="12" t="s">
        <v>776</v>
      </c>
      <c r="Y1948" s="12" t="s">
        <v>14515</v>
      </c>
      <c r="Z1948" s="12"/>
      <c r="AA1948" s="12"/>
      <c r="AB1948" s="12"/>
      <c r="AC1948" s="12" t="s">
        <v>14516</v>
      </c>
      <c r="AD1948" s="12"/>
      <c r="AE1948" s="12"/>
      <c r="AF1948" s="12" t="s">
        <v>16</v>
      </c>
      <c r="AG1948" s="12" t="s">
        <v>68</v>
      </c>
      <c r="AH1948" s="12">
        <v>1840</v>
      </c>
      <c r="AI1948" s="12" t="str">
        <f t="shared" si="374"/>
        <v>1840</v>
      </c>
      <c r="AJ1948" s="12"/>
      <c r="AK1948" s="12" t="s">
        <v>551</v>
      </c>
      <c r="AL1948" s="12"/>
      <c r="AM1948" s="12"/>
      <c r="AN1948" s="12"/>
      <c r="AO1948" s="12"/>
      <c r="AP1948" s="12"/>
      <c r="AQ1948" s="12"/>
      <c r="AR1948" s="12"/>
      <c r="AS1948" s="12"/>
      <c r="AT1948" s="12"/>
      <c r="AU1948" s="12"/>
      <c r="AV1948" s="12"/>
      <c r="AW1948" s="12"/>
      <c r="AX1948" s="12"/>
      <c r="AY1948" s="12"/>
      <c r="AZ1948" s="12"/>
      <c r="BA1948" s="12"/>
      <c r="BB1948" s="12"/>
      <c r="BC1948" s="12"/>
      <c r="BD1948" s="12"/>
      <c r="BE1948" s="12"/>
      <c r="BF1948" s="12"/>
      <c r="BG1948" s="12"/>
      <c r="BH1948" s="12"/>
      <c r="BI1948" s="12"/>
      <c r="BJ1948" s="12"/>
      <c r="BK1948" s="12"/>
      <c r="BL1948" s="12"/>
      <c r="BM1948" s="12"/>
      <c r="BN1948" s="12"/>
      <c r="BO1948" s="12"/>
      <c r="BP1948" s="12"/>
      <c r="BQ1948" s="12"/>
      <c r="BR1948" s="12"/>
      <c r="BS1948" s="12"/>
      <c r="BT1948" s="12"/>
      <c r="BU1948" s="12"/>
      <c r="BV1948" s="12"/>
      <c r="BW1948" s="12"/>
      <c r="BX1948" s="12"/>
      <c r="BY1948" s="12"/>
      <c r="BZ1948" s="12"/>
      <c r="CA1948" s="12"/>
      <c r="CB1948" s="12"/>
      <c r="CC1948" s="12"/>
      <c r="CD1948" s="12"/>
    </row>
    <row r="1949" spans="1:82">
      <c r="A1949" s="12" t="s">
        <v>1167</v>
      </c>
      <c r="B1949" s="12" t="str">
        <f t="shared" si="366"/>
        <v>VANDYK</v>
      </c>
      <c r="C1949" s="12" t="str">
        <f t="shared" si="367"/>
        <v>VAN DYK</v>
      </c>
      <c r="D1949" s="12" t="s">
        <v>201</v>
      </c>
      <c r="E1949" s="12" t="str">
        <f t="shared" si="377"/>
        <v>Petrus Johannes</v>
      </c>
      <c r="F1949" s="12" t="s">
        <v>14546</v>
      </c>
      <c r="G1949" s="12" t="str">
        <f t="shared" si="368"/>
        <v>a1b6c8d3</v>
      </c>
      <c r="H1949" s="12" t="str">
        <f t="shared" si="369"/>
        <v>VAN DYKa1b6c8d3</v>
      </c>
      <c r="I1949" s="12"/>
      <c r="J1949" s="12"/>
      <c r="K1949" s="12" t="str">
        <f t="shared" si="370"/>
        <v/>
      </c>
      <c r="L1949" s="12" t="s">
        <v>961</v>
      </c>
      <c r="M1949" s="12" t="s">
        <v>12276</v>
      </c>
      <c r="N1949" s="12" t="str">
        <f t="shared" si="375"/>
        <v/>
      </c>
      <c r="O1949" s="12" t="str">
        <f t="shared" si="376"/>
        <v>1798</v>
      </c>
      <c r="P1949" s="12" t="s">
        <v>1864</v>
      </c>
      <c r="Q1949" s="12" t="str">
        <f t="shared" si="371"/>
        <v>1798</v>
      </c>
      <c r="R1949" s="12" t="s">
        <v>13135</v>
      </c>
      <c r="S1949" s="12" t="str">
        <f t="shared" si="372"/>
        <v>1874</v>
      </c>
      <c r="T1949" s="12" t="s">
        <v>28</v>
      </c>
      <c r="U1949" s="12" t="s">
        <v>4122</v>
      </c>
      <c r="V1949" s="12" t="str">
        <f t="shared" si="373"/>
        <v>1835</v>
      </c>
      <c r="W1949" s="12" t="s">
        <v>14547</v>
      </c>
      <c r="X1949" s="12" t="s">
        <v>776</v>
      </c>
      <c r="Y1949" s="12"/>
      <c r="Z1949" s="12"/>
      <c r="AA1949" s="12">
        <v>1818</v>
      </c>
      <c r="AB1949" s="12"/>
      <c r="AC1949" s="12"/>
      <c r="AD1949" s="12"/>
      <c r="AE1949" s="12" t="s">
        <v>14548</v>
      </c>
      <c r="AF1949" s="12" t="s">
        <v>28</v>
      </c>
      <c r="AG1949" s="12" t="s">
        <v>68</v>
      </c>
      <c r="AH1949" s="12" t="s">
        <v>14549</v>
      </c>
      <c r="AI1949" s="12" t="str">
        <f t="shared" si="374"/>
        <v>1836</v>
      </c>
      <c r="AJ1949" s="12"/>
      <c r="AK1949" s="12" t="s">
        <v>90</v>
      </c>
      <c r="AL1949" s="12"/>
      <c r="AM1949" s="12"/>
      <c r="AN1949" s="12"/>
      <c r="AO1949" s="12"/>
      <c r="AP1949" s="12"/>
      <c r="AQ1949" s="12"/>
      <c r="AR1949" s="12"/>
      <c r="AS1949" s="12"/>
      <c r="AT1949" s="12"/>
      <c r="AU1949" s="12"/>
      <c r="AV1949" s="12"/>
      <c r="AW1949" s="12"/>
      <c r="AX1949" s="12"/>
      <c r="AY1949" s="12"/>
      <c r="AZ1949" s="12"/>
      <c r="BA1949" s="12"/>
      <c r="BB1949" s="12"/>
      <c r="BC1949" s="12"/>
      <c r="BD1949" s="12"/>
      <c r="BE1949" s="12"/>
      <c r="BF1949" s="12"/>
      <c r="BG1949" s="12"/>
      <c r="BH1949" s="12"/>
      <c r="BI1949" s="12"/>
      <c r="BJ1949" s="12"/>
      <c r="BK1949" s="12"/>
      <c r="BL1949" s="12"/>
      <c r="BM1949" s="12"/>
      <c r="BN1949" s="12"/>
      <c r="BO1949" s="12"/>
      <c r="BP1949" s="12"/>
      <c r="BQ1949" s="12"/>
      <c r="BR1949" s="12"/>
      <c r="BS1949" s="12"/>
      <c r="BT1949" s="12"/>
      <c r="BU1949" s="12"/>
      <c r="BV1949" s="12"/>
      <c r="BW1949" s="12"/>
      <c r="BX1949" s="12"/>
      <c r="BY1949" s="12"/>
      <c r="BZ1949" s="12"/>
      <c r="CA1949" s="12"/>
      <c r="CB1949" s="12"/>
      <c r="CC1949" s="12"/>
      <c r="CD1949" s="12"/>
    </row>
    <row r="1950" spans="1:82">
      <c r="A1950" s="12" t="s">
        <v>1167</v>
      </c>
      <c r="B1950" s="12" t="str">
        <f t="shared" si="366"/>
        <v>VANDYK</v>
      </c>
      <c r="C1950" s="12" t="str">
        <f t="shared" si="367"/>
        <v>VAN DYK</v>
      </c>
      <c r="D1950" s="12" t="s">
        <v>14541</v>
      </c>
      <c r="E1950" s="12" t="str">
        <f t="shared" si="377"/>
        <v>Joseph Sybrand</v>
      </c>
      <c r="F1950" s="12" t="s">
        <v>5892</v>
      </c>
      <c r="G1950" s="12" t="str">
        <f t="shared" si="368"/>
        <v>a1b5c4d4e2</v>
      </c>
      <c r="H1950" s="12" t="str">
        <f t="shared" si="369"/>
        <v>VAN DYKa1b5c4d4e2</v>
      </c>
      <c r="I1950" s="12"/>
      <c r="J1950" s="12" t="s">
        <v>4485</v>
      </c>
      <c r="K1950" s="12" t="str">
        <f t="shared" si="370"/>
        <v>1815</v>
      </c>
      <c r="L1950" s="12" t="s">
        <v>74</v>
      </c>
      <c r="M1950" s="12" t="s">
        <v>2730</v>
      </c>
      <c r="N1950" s="12" t="str">
        <f t="shared" si="375"/>
        <v>1815</v>
      </c>
      <c r="O1950" s="12" t="str">
        <f t="shared" si="376"/>
        <v>1816</v>
      </c>
      <c r="P1950" s="12"/>
      <c r="Q1950" s="12" t="str">
        <f t="shared" si="371"/>
        <v>1815</v>
      </c>
      <c r="R1950" s="12"/>
      <c r="S1950" s="12" t="str">
        <f t="shared" si="372"/>
        <v/>
      </c>
      <c r="T1950" s="12"/>
      <c r="U1950" s="12"/>
      <c r="V1950" s="12" t="str">
        <f t="shared" si="373"/>
        <v/>
      </c>
      <c r="W1950" s="12" t="s">
        <v>14542</v>
      </c>
      <c r="X1950" s="12" t="s">
        <v>295</v>
      </c>
      <c r="Y1950" s="12"/>
      <c r="Z1950" s="12"/>
      <c r="AA1950" s="12"/>
      <c r="AB1950" s="12"/>
      <c r="AC1950" s="12"/>
      <c r="AD1950" s="12"/>
      <c r="AE1950" s="12"/>
      <c r="AF1950" s="12" t="s">
        <v>3717</v>
      </c>
      <c r="AG1950" s="12" t="s">
        <v>346</v>
      </c>
      <c r="AH1950" s="12" t="s">
        <v>14085</v>
      </c>
      <c r="AI1950" s="12" t="str">
        <f t="shared" si="374"/>
        <v>1837</v>
      </c>
      <c r="AJ1950" s="12" t="s">
        <v>5423</v>
      </c>
      <c r="AK1950" s="12"/>
      <c r="AL1950" s="12"/>
      <c r="AM1950" s="12" t="s">
        <v>14543</v>
      </c>
      <c r="AN1950" s="12" t="s">
        <v>762</v>
      </c>
      <c r="AO1950" s="12"/>
      <c r="AP1950" s="12"/>
      <c r="AQ1950" s="12"/>
      <c r="AR1950" s="12"/>
      <c r="AS1950" s="12"/>
      <c r="AT1950" s="12"/>
      <c r="AU1950" s="12"/>
      <c r="AV1950" s="12"/>
      <c r="AW1950" s="12"/>
      <c r="AX1950" s="12"/>
      <c r="AY1950" s="12"/>
      <c r="AZ1950" s="12"/>
      <c r="BA1950" s="12"/>
      <c r="BB1950" s="12"/>
      <c r="BC1950" s="12"/>
      <c r="BD1950" s="12"/>
      <c r="BE1950" s="12"/>
      <c r="BF1950" s="12"/>
      <c r="BG1950" s="12"/>
      <c r="BH1950" s="12"/>
      <c r="BI1950" s="12"/>
      <c r="BJ1950" s="12"/>
      <c r="BK1950" s="12"/>
      <c r="BL1950" s="12"/>
      <c r="BM1950" s="12"/>
      <c r="BN1950" s="12"/>
      <c r="BO1950" s="12"/>
      <c r="BP1950" s="12"/>
      <c r="BQ1950" s="12"/>
      <c r="BR1950" s="12"/>
      <c r="BS1950" s="12"/>
      <c r="BT1950" s="12"/>
      <c r="BU1950" s="12"/>
      <c r="BV1950" s="12"/>
      <c r="BW1950" s="12"/>
      <c r="BX1950" s="12"/>
      <c r="BY1950" s="12"/>
      <c r="BZ1950" s="12"/>
      <c r="CA1950" s="12"/>
      <c r="CB1950" s="12"/>
      <c r="CC1950" s="12"/>
      <c r="CD1950" s="12"/>
    </row>
    <row r="1951" spans="1:82">
      <c r="A1951" s="12" t="s">
        <v>1167</v>
      </c>
      <c r="B1951" s="12" t="str">
        <f t="shared" si="366"/>
        <v>VANDYK</v>
      </c>
      <c r="C1951" s="12" t="str">
        <f t="shared" si="367"/>
        <v>VAN DYK</v>
      </c>
      <c r="D1951" s="12" t="s">
        <v>4181</v>
      </c>
      <c r="E1951" s="12" t="str">
        <f t="shared" si="377"/>
        <v>Anna Johanna Maria</v>
      </c>
      <c r="F1951" s="12" t="s">
        <v>4904</v>
      </c>
      <c r="G1951" s="12" t="str">
        <f t="shared" si="368"/>
        <v>a1b5c4d5e2</v>
      </c>
      <c r="H1951" s="12" t="str">
        <f t="shared" si="369"/>
        <v>VAN DYKa1b5c4d5e2</v>
      </c>
      <c r="I1951" s="12"/>
      <c r="J1951" s="12" t="s">
        <v>1979</v>
      </c>
      <c r="K1951" s="12" t="str">
        <f t="shared" si="370"/>
        <v>1815</v>
      </c>
      <c r="L1951" s="12" t="s">
        <v>53</v>
      </c>
      <c r="M1951" s="12" t="s">
        <v>336</v>
      </c>
      <c r="N1951" s="12" t="str">
        <f t="shared" si="375"/>
        <v>1815</v>
      </c>
      <c r="O1951" s="12" t="str">
        <f t="shared" si="376"/>
        <v>1815</v>
      </c>
      <c r="P1951" s="12" t="s">
        <v>90</v>
      </c>
      <c r="Q1951" s="12" t="str">
        <f t="shared" si="371"/>
        <v>1815</v>
      </c>
      <c r="R1951" s="12" t="s">
        <v>301</v>
      </c>
      <c r="S1951" s="12" t="str">
        <f t="shared" si="372"/>
        <v>1838</v>
      </c>
      <c r="T1951" s="12"/>
      <c r="U1951" s="12"/>
      <c r="V1951" s="12" t="str">
        <f t="shared" si="373"/>
        <v/>
      </c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 t="s">
        <v>3728</v>
      </c>
      <c r="AG1951" s="12" t="s">
        <v>346</v>
      </c>
      <c r="AH1951" s="12" t="s">
        <v>14085</v>
      </c>
      <c r="AI1951" s="12" t="str">
        <f t="shared" si="374"/>
        <v>1837</v>
      </c>
      <c r="AJ1951" s="12" t="s">
        <v>5423</v>
      </c>
      <c r="AK1951" s="12"/>
      <c r="AL1951" s="12"/>
      <c r="AM1951" s="12"/>
      <c r="AN1951" s="12"/>
      <c r="AO1951" s="12"/>
      <c r="AP1951" s="12"/>
      <c r="AQ1951" s="12"/>
      <c r="AR1951" s="12"/>
      <c r="AS1951" s="12"/>
      <c r="AT1951" s="12"/>
      <c r="AU1951" s="12"/>
      <c r="AV1951" s="12"/>
      <c r="AW1951" s="12"/>
      <c r="AX1951" s="12"/>
      <c r="AY1951" s="12"/>
      <c r="AZ1951" s="12"/>
      <c r="BA1951" s="12"/>
      <c r="BB1951" s="12"/>
      <c r="BC1951" s="12"/>
      <c r="BD1951" s="12"/>
      <c r="BE1951" s="12"/>
      <c r="BF1951" s="12"/>
      <c r="BG1951" s="12"/>
      <c r="BH1951" s="12"/>
      <c r="BI1951" s="12"/>
      <c r="BJ1951" s="12"/>
      <c r="BK1951" s="12"/>
      <c r="BL1951" s="12"/>
      <c r="BM1951" s="12"/>
      <c r="BN1951" s="12"/>
      <c r="BO1951" s="12"/>
      <c r="BP1951" s="12"/>
      <c r="BQ1951" s="12"/>
      <c r="BR1951" s="12"/>
      <c r="BS1951" s="12"/>
      <c r="BT1951" s="12"/>
      <c r="BU1951" s="12"/>
      <c r="BV1951" s="12"/>
      <c r="BW1951" s="12"/>
      <c r="BX1951" s="12"/>
      <c r="BY1951" s="12"/>
      <c r="BZ1951" s="12"/>
      <c r="CA1951" s="12"/>
      <c r="CB1951" s="12"/>
      <c r="CC1951" s="12"/>
      <c r="CD1951" s="12"/>
    </row>
    <row r="1952" spans="1:82">
      <c r="A1952" s="12" t="s">
        <v>1037</v>
      </c>
      <c r="B1952" s="12" t="str">
        <f t="shared" si="366"/>
        <v>VANEMMENES</v>
      </c>
      <c r="C1952" s="12" t="str">
        <f t="shared" si="367"/>
        <v>VAN EMMENES</v>
      </c>
      <c r="D1952" s="12" t="s">
        <v>2231</v>
      </c>
      <c r="E1952" s="12" t="str">
        <f t="shared" si="377"/>
        <v>Gerrit</v>
      </c>
      <c r="F1952" s="12" t="s">
        <v>14559</v>
      </c>
      <c r="G1952" s="12" t="str">
        <f t="shared" si="368"/>
        <v>a1b1c6d4</v>
      </c>
      <c r="H1952" s="12" t="str">
        <f t="shared" si="369"/>
        <v>VAN EMMENESa1b1c6d4</v>
      </c>
      <c r="I1952" s="12"/>
      <c r="J1952" s="12"/>
      <c r="K1952" s="12" t="str">
        <f t="shared" si="370"/>
        <v/>
      </c>
      <c r="L1952" s="12"/>
      <c r="M1952" s="12" t="s">
        <v>2109</v>
      </c>
      <c r="N1952" s="12" t="str">
        <f t="shared" si="375"/>
        <v/>
      </c>
      <c r="O1952" s="12" t="str">
        <f t="shared" si="376"/>
        <v>1799</v>
      </c>
      <c r="P1952" s="12"/>
      <c r="Q1952" s="12" t="str">
        <f t="shared" si="371"/>
        <v>1799</v>
      </c>
      <c r="R1952" s="12"/>
      <c r="S1952" s="12" t="str">
        <f t="shared" si="372"/>
        <v/>
      </c>
      <c r="T1952" s="12" t="s">
        <v>366</v>
      </c>
      <c r="U1952" s="12" t="s">
        <v>3217</v>
      </c>
      <c r="V1952" s="12" t="str">
        <f t="shared" si="373"/>
        <v>1820</v>
      </c>
      <c r="W1952" s="12" t="s">
        <v>1663</v>
      </c>
      <c r="X1952" s="12" t="s">
        <v>620</v>
      </c>
      <c r="Y1952" s="12" t="s">
        <v>5801</v>
      </c>
      <c r="Z1952" s="12"/>
      <c r="AA1952" s="12"/>
      <c r="AB1952" s="12"/>
      <c r="AC1952" s="12" t="s">
        <v>14560</v>
      </c>
      <c r="AD1952" s="12"/>
      <c r="AE1952" s="12"/>
      <c r="AF1952" s="12"/>
      <c r="AG1952" s="12" t="s">
        <v>366</v>
      </c>
      <c r="AH1952" s="12" t="s">
        <v>14561</v>
      </c>
      <c r="AI1952" s="12" t="str">
        <f t="shared" si="374"/>
        <v>1839</v>
      </c>
      <c r="AJ1952" s="12" t="s">
        <v>13442</v>
      </c>
      <c r="AK1952" s="12" t="s">
        <v>140</v>
      </c>
      <c r="AL1952" s="12"/>
      <c r="AM1952" s="12"/>
      <c r="AN1952" s="12"/>
      <c r="AO1952" s="12"/>
      <c r="AP1952" s="12"/>
      <c r="AQ1952" s="12"/>
      <c r="AR1952" s="12"/>
      <c r="AS1952" s="12"/>
      <c r="AT1952" s="12"/>
      <c r="AU1952" s="12"/>
      <c r="AV1952" s="12"/>
      <c r="AW1952" s="12"/>
      <c r="AX1952" s="12"/>
      <c r="AY1952" s="12"/>
      <c r="AZ1952" s="12"/>
      <c r="BA1952" s="12"/>
      <c r="BB1952" s="12"/>
      <c r="BC1952" s="12"/>
      <c r="BD1952" s="12"/>
      <c r="BE1952" s="12"/>
      <c r="BF1952" s="12"/>
      <c r="BG1952" s="12"/>
      <c r="BH1952" s="12"/>
      <c r="BI1952" s="12"/>
      <c r="BJ1952" s="12"/>
      <c r="BK1952" s="12"/>
      <c r="BL1952" s="12"/>
      <c r="BM1952" s="12"/>
      <c r="BN1952" s="12"/>
      <c r="BO1952" s="12"/>
      <c r="BP1952" s="12"/>
      <c r="BQ1952" s="12"/>
      <c r="BR1952" s="12"/>
      <c r="BS1952" s="12"/>
      <c r="BT1952" s="12"/>
      <c r="BU1952" s="12"/>
      <c r="BV1952" s="12"/>
      <c r="BW1952" s="12"/>
      <c r="BX1952" s="12"/>
      <c r="BY1952" s="12"/>
      <c r="BZ1952" s="12"/>
      <c r="CA1952" s="12"/>
      <c r="CB1952" s="12"/>
      <c r="CC1952" s="12"/>
      <c r="CD1952" s="12"/>
    </row>
    <row r="1953" spans="1:82">
      <c r="A1953" s="12" t="s">
        <v>1037</v>
      </c>
      <c r="B1953" s="12" t="str">
        <f t="shared" si="366"/>
        <v>VANEMMENES</v>
      </c>
      <c r="C1953" s="12" t="str">
        <f t="shared" si="367"/>
        <v>VAN EMMENES</v>
      </c>
      <c r="D1953" s="12" t="s">
        <v>14562</v>
      </c>
      <c r="E1953" s="12" t="str">
        <f t="shared" si="377"/>
        <v>Pieter Stephanus</v>
      </c>
      <c r="F1953" s="12" t="s">
        <v>8951</v>
      </c>
      <c r="G1953" s="12" t="str">
        <f t="shared" si="368"/>
        <v>a1b1c6d4e3</v>
      </c>
      <c r="H1953" s="12" t="str">
        <f t="shared" si="369"/>
        <v>VAN EMMENESa1b1c6d4e3</v>
      </c>
      <c r="I1953" s="12"/>
      <c r="J1953" s="12" t="s">
        <v>14563</v>
      </c>
      <c r="K1953" s="12" t="str">
        <f t="shared" si="370"/>
        <v>1824</v>
      </c>
      <c r="L1953" s="12" t="s">
        <v>542</v>
      </c>
      <c r="M1953" s="12" t="s">
        <v>14564</v>
      </c>
      <c r="N1953" s="12" t="str">
        <f t="shared" si="375"/>
        <v>1824</v>
      </c>
      <c r="O1953" s="12" t="str">
        <f t="shared" si="376"/>
        <v>1824</v>
      </c>
      <c r="P1953" s="12"/>
      <c r="Q1953" s="12" t="str">
        <f t="shared" si="371"/>
        <v>1824</v>
      </c>
      <c r="R1953" s="12"/>
      <c r="S1953" s="12" t="str">
        <f t="shared" si="372"/>
        <v/>
      </c>
      <c r="T1953" s="12"/>
      <c r="U1953" s="12"/>
      <c r="V1953" s="12" t="str">
        <f t="shared" si="373"/>
        <v/>
      </c>
      <c r="W1953" s="12" t="s">
        <v>642</v>
      </c>
      <c r="X1953" s="12" t="s">
        <v>664</v>
      </c>
      <c r="Y1953" s="12"/>
      <c r="Z1953" s="12"/>
      <c r="AA1953" s="12"/>
      <c r="AB1953" s="12"/>
      <c r="AC1953" s="12"/>
      <c r="AD1953" s="12"/>
      <c r="AE1953" s="12"/>
      <c r="AF1953" s="12"/>
      <c r="AG1953" s="12" t="s">
        <v>366</v>
      </c>
      <c r="AH1953" s="12" t="s">
        <v>12836</v>
      </c>
      <c r="AI1953" s="12" t="str">
        <f t="shared" si="374"/>
        <v>1838</v>
      </c>
      <c r="AJ1953" s="12" t="s">
        <v>13442</v>
      </c>
      <c r="AK1953" s="12" t="s">
        <v>14565</v>
      </c>
      <c r="AL1953" s="12"/>
      <c r="AM1953" s="12"/>
      <c r="AN1953" s="12"/>
      <c r="AO1953" s="12"/>
      <c r="AP1953" s="12"/>
      <c r="AQ1953" s="12"/>
      <c r="AR1953" s="12"/>
      <c r="AS1953" s="12"/>
      <c r="AT1953" s="12"/>
      <c r="AU1953" s="12"/>
      <c r="AV1953" s="12"/>
      <c r="AW1953" s="12"/>
      <c r="AX1953" s="12"/>
      <c r="AY1953" s="12"/>
      <c r="AZ1953" s="12"/>
      <c r="BA1953" s="12"/>
      <c r="BB1953" s="12"/>
      <c r="BC1953" s="12"/>
      <c r="BD1953" s="12"/>
      <c r="BE1953" s="12"/>
      <c r="BF1953" s="12"/>
      <c r="BG1953" s="12"/>
      <c r="BH1953" s="12"/>
      <c r="BI1953" s="12"/>
      <c r="BJ1953" s="12"/>
      <c r="BK1953" s="12"/>
      <c r="BL1953" s="12"/>
      <c r="BM1953" s="12"/>
      <c r="BN1953" s="12"/>
      <c r="BO1953" s="12"/>
      <c r="BP1953" s="12"/>
      <c r="BQ1953" s="12"/>
      <c r="BR1953" s="12"/>
      <c r="BS1953" s="12"/>
      <c r="BT1953" s="12"/>
      <c r="BU1953" s="12"/>
      <c r="BV1953" s="12"/>
      <c r="BW1953" s="12"/>
      <c r="BX1953" s="12"/>
      <c r="BY1953" s="12"/>
      <c r="BZ1953" s="12"/>
      <c r="CA1953" s="12"/>
      <c r="CB1953" s="12"/>
      <c r="CC1953" s="12"/>
      <c r="CD1953" s="12"/>
    </row>
    <row r="1954" spans="1:82">
      <c r="A1954" s="12" t="s">
        <v>14566</v>
      </c>
      <c r="B1954" s="12" t="str">
        <f t="shared" si="366"/>
        <v>VANGASS</v>
      </c>
      <c r="C1954" s="12" t="str">
        <f t="shared" si="367"/>
        <v>VAN GASS</v>
      </c>
      <c r="D1954" s="12" t="s">
        <v>14567</v>
      </c>
      <c r="E1954" s="12" t="str">
        <f t="shared" si="377"/>
        <v>Ferdinand Paul George</v>
      </c>
      <c r="F1954" s="12" t="s">
        <v>830</v>
      </c>
      <c r="G1954" s="12" t="str">
        <f t="shared" si="368"/>
        <v>a1b1</v>
      </c>
      <c r="H1954" s="12" t="str">
        <f t="shared" si="369"/>
        <v>VAN GASSa1b1</v>
      </c>
      <c r="I1954" s="12" t="s">
        <v>74</v>
      </c>
      <c r="J1954" s="12" t="s">
        <v>3173</v>
      </c>
      <c r="K1954" s="12" t="str">
        <f t="shared" si="370"/>
        <v>1824</v>
      </c>
      <c r="L1954" s="12" t="s">
        <v>74</v>
      </c>
      <c r="M1954" s="12" t="s">
        <v>13332</v>
      </c>
      <c r="N1954" s="12" t="str">
        <f t="shared" si="375"/>
        <v>1824</v>
      </c>
      <c r="O1954" s="12" t="str">
        <f t="shared" si="376"/>
        <v>1825</v>
      </c>
      <c r="P1954" s="12" t="s">
        <v>14568</v>
      </c>
      <c r="Q1954" s="12" t="str">
        <f t="shared" si="371"/>
        <v>1824</v>
      </c>
      <c r="R1954" s="12" t="s">
        <v>14569</v>
      </c>
      <c r="S1954" s="12" t="str">
        <f t="shared" si="372"/>
        <v>1883</v>
      </c>
      <c r="T1954" s="12"/>
      <c r="U1954" s="12" t="s">
        <v>14570</v>
      </c>
      <c r="V1954" s="12" t="str">
        <f t="shared" si="373"/>
        <v>1854</v>
      </c>
      <c r="W1954" s="12" t="s">
        <v>11191</v>
      </c>
      <c r="X1954" s="12" t="s">
        <v>3321</v>
      </c>
      <c r="Y1954" s="12"/>
      <c r="Z1954" s="12"/>
      <c r="AA1954" s="12" t="s">
        <v>14571</v>
      </c>
      <c r="AB1954" s="12" t="s">
        <v>6098</v>
      </c>
      <c r="AC1954" s="12" t="s">
        <v>7151</v>
      </c>
      <c r="AD1954" s="12" t="s">
        <v>4226</v>
      </c>
      <c r="AE1954" s="1">
        <v>1675</v>
      </c>
      <c r="AF1954" s="12" t="s">
        <v>3728</v>
      </c>
      <c r="AG1954" s="12" t="s">
        <v>346</v>
      </c>
      <c r="AH1954" s="12" t="s">
        <v>14572</v>
      </c>
      <c r="AI1954" s="12" t="str">
        <f t="shared" si="374"/>
        <v>1836</v>
      </c>
      <c r="AJ1954" s="12" t="s">
        <v>14573</v>
      </c>
      <c r="AK1954" s="12" t="s">
        <v>14568</v>
      </c>
      <c r="AL1954" s="12"/>
      <c r="AM1954" s="12"/>
      <c r="AN1954" s="12"/>
      <c r="AO1954" s="12"/>
      <c r="AP1954" s="12"/>
      <c r="AQ1954" s="12"/>
      <c r="AR1954" s="12"/>
      <c r="AS1954" s="12"/>
      <c r="AT1954" s="12"/>
      <c r="AU1954" s="12"/>
      <c r="AV1954" s="12"/>
      <c r="AW1954" s="12"/>
      <c r="AX1954" s="12"/>
      <c r="AY1954" s="12"/>
      <c r="AZ1954" s="12"/>
      <c r="BA1954" s="12"/>
      <c r="BB1954" s="12"/>
      <c r="BC1954" s="12"/>
      <c r="BD1954" s="12"/>
      <c r="BE1954" s="12"/>
      <c r="BF1954" s="12"/>
      <c r="BG1954" s="12"/>
      <c r="BH1954" s="12"/>
      <c r="BI1954" s="12"/>
      <c r="BJ1954" s="12"/>
      <c r="BK1954" s="12"/>
      <c r="BL1954" s="12"/>
      <c r="BM1954" s="12"/>
      <c r="BN1954" s="12"/>
      <c r="BO1954" s="12"/>
      <c r="BP1954" s="12"/>
      <c r="BQ1954" s="12"/>
      <c r="BR1954" s="12"/>
      <c r="BS1954" s="12"/>
      <c r="BT1954" s="12"/>
      <c r="BU1954" s="12"/>
      <c r="BV1954" s="12"/>
      <c r="BW1954" s="12"/>
      <c r="BX1954" s="12"/>
      <c r="BY1954" s="12"/>
      <c r="BZ1954" s="12"/>
      <c r="CA1954" s="12"/>
      <c r="CB1954" s="12"/>
      <c r="CC1954" s="12"/>
      <c r="CD1954" s="12"/>
    </row>
    <row r="1955" spans="1:82">
      <c r="A1955" s="12" t="s">
        <v>11572</v>
      </c>
      <c r="B1955" s="12" t="str">
        <f t="shared" si="366"/>
        <v>VANGREUNEN</v>
      </c>
      <c r="C1955" s="12" t="str">
        <f t="shared" si="367"/>
        <v>VAN GREUNEN</v>
      </c>
      <c r="D1955" s="12" t="s">
        <v>6838</v>
      </c>
      <c r="E1955" s="12" t="str">
        <f t="shared" si="377"/>
        <v>Barend Johannes</v>
      </c>
      <c r="F1955" s="12" t="s">
        <v>11092</v>
      </c>
      <c r="G1955" s="12" t="str">
        <f t="shared" si="368"/>
        <v>a1b4</v>
      </c>
      <c r="H1955" s="12" t="str">
        <f t="shared" si="369"/>
        <v>VAN GREUNENa1b4</v>
      </c>
      <c r="I1955" s="12"/>
      <c r="J1955" s="12"/>
      <c r="K1955" s="12" t="str">
        <f t="shared" si="370"/>
        <v/>
      </c>
      <c r="L1955" s="12" t="s">
        <v>74</v>
      </c>
      <c r="M1955" s="12" t="s">
        <v>14574</v>
      </c>
      <c r="N1955" s="12" t="str">
        <f t="shared" si="375"/>
        <v/>
      </c>
      <c r="O1955" s="12" t="str">
        <f t="shared" si="376"/>
        <v>1800</v>
      </c>
      <c r="P1955" s="12"/>
      <c r="Q1955" s="12" t="str">
        <f t="shared" si="371"/>
        <v>1800</v>
      </c>
      <c r="R1955" s="12"/>
      <c r="S1955" s="12" t="str">
        <f t="shared" si="372"/>
        <v/>
      </c>
      <c r="T1955" s="12" t="s">
        <v>68</v>
      </c>
      <c r="U1955" s="12" t="s">
        <v>14575</v>
      </c>
      <c r="V1955" s="12" t="str">
        <f t="shared" si="373"/>
        <v>1831</v>
      </c>
      <c r="W1955" s="12" t="s">
        <v>14576</v>
      </c>
      <c r="X1955" s="12" t="s">
        <v>669</v>
      </c>
      <c r="Y1955" s="12" t="s">
        <v>14577</v>
      </c>
      <c r="Z1955" s="12"/>
      <c r="AA1955" s="12"/>
      <c r="AB1955" s="12"/>
      <c r="AC1955" s="12"/>
      <c r="AD1955" s="12"/>
      <c r="AE1955" s="12"/>
      <c r="AF1955" s="12" t="s">
        <v>3706</v>
      </c>
      <c r="AG1955" s="12" t="s">
        <v>68</v>
      </c>
      <c r="AH1955" s="12" t="s">
        <v>14578</v>
      </c>
      <c r="AI1955" s="12" t="str">
        <f t="shared" si="374"/>
        <v>1839</v>
      </c>
      <c r="AJ1955" s="12"/>
      <c r="AK1955" s="12" t="s">
        <v>90</v>
      </c>
      <c r="AL1955" s="12"/>
      <c r="AM1955" s="12"/>
      <c r="AN1955" s="12"/>
      <c r="AO1955" s="12"/>
      <c r="AP1955" s="12"/>
      <c r="AQ1955" s="12"/>
      <c r="AR1955" s="12"/>
      <c r="AS1955" s="12"/>
      <c r="AT1955" s="12"/>
      <c r="AU1955" s="12"/>
      <c r="AV1955" s="12"/>
      <c r="AW1955" s="12"/>
      <c r="AX1955" s="12"/>
      <c r="AY1955" s="12"/>
      <c r="AZ1955" s="12"/>
      <c r="BA1955" s="12"/>
      <c r="BB1955" s="12"/>
      <c r="BC1955" s="12"/>
      <c r="BD1955" s="12"/>
      <c r="BE1955" s="12"/>
      <c r="BF1955" s="12"/>
      <c r="BG1955" s="12"/>
      <c r="BH1955" s="12"/>
      <c r="BI1955" s="12"/>
      <c r="BJ1955" s="12"/>
      <c r="BK1955" s="12"/>
      <c r="BL1955" s="12"/>
      <c r="BM1955" s="12"/>
      <c r="BN1955" s="12"/>
      <c r="BO1955" s="12"/>
      <c r="BP1955" s="12"/>
      <c r="BQ1955" s="12"/>
      <c r="BR1955" s="12"/>
      <c r="BS1955" s="12"/>
      <c r="BT1955" s="12"/>
      <c r="BU1955" s="12"/>
      <c r="BV1955" s="12"/>
      <c r="BW1955" s="12"/>
      <c r="BX1955" s="12"/>
      <c r="BY1955" s="12"/>
      <c r="BZ1955" s="12"/>
      <c r="CA1955" s="12"/>
      <c r="CB1955" s="12"/>
      <c r="CC1955" s="12"/>
      <c r="CD1955" s="12"/>
    </row>
    <row r="1956" spans="1:82">
      <c r="A1956" s="12" t="s">
        <v>11572</v>
      </c>
      <c r="B1956" s="12" t="str">
        <f t="shared" si="366"/>
        <v>VANGREUNEN</v>
      </c>
      <c r="C1956" s="12" t="str">
        <f t="shared" si="367"/>
        <v>VAN GREUNEN</v>
      </c>
      <c r="D1956" s="12" t="s">
        <v>14586</v>
      </c>
      <c r="E1956" s="12" t="str">
        <f t="shared" si="377"/>
        <v>Johannes Wolfgang</v>
      </c>
      <c r="F1956" s="12" t="s">
        <v>14587</v>
      </c>
      <c r="G1956" s="12" t="str">
        <f t="shared" si="368"/>
        <v xml:space="preserve">a2b1 </v>
      </c>
      <c r="H1956" s="12" t="str">
        <f t="shared" si="369"/>
        <v xml:space="preserve">VAN GREUNENa2b1 </v>
      </c>
      <c r="I1956" s="12"/>
      <c r="J1956" s="12"/>
      <c r="K1956" s="12" t="str">
        <f t="shared" si="370"/>
        <v/>
      </c>
      <c r="L1956" s="12" t="s">
        <v>32</v>
      </c>
      <c r="M1956" s="12" t="s">
        <v>14588</v>
      </c>
      <c r="N1956" s="12" t="str">
        <f t="shared" si="375"/>
        <v/>
      </c>
      <c r="O1956" s="12" t="str">
        <f t="shared" si="376"/>
        <v>1799</v>
      </c>
      <c r="P1956" s="12"/>
      <c r="Q1956" s="12" t="str">
        <f t="shared" si="371"/>
        <v>1799</v>
      </c>
      <c r="R1956" s="12"/>
      <c r="S1956" s="12" t="str">
        <f t="shared" si="372"/>
        <v/>
      </c>
      <c r="T1956" s="12" t="s">
        <v>199</v>
      </c>
      <c r="U1956" s="12" t="s">
        <v>1862</v>
      </c>
      <c r="V1956" s="12" t="str">
        <f t="shared" si="373"/>
        <v>1818</v>
      </c>
      <c r="W1956" s="12" t="s">
        <v>2472</v>
      </c>
      <c r="X1956" s="12" t="s">
        <v>1578</v>
      </c>
      <c r="Y1956" s="12"/>
      <c r="Z1956" s="12"/>
      <c r="AA1956" s="12"/>
      <c r="AB1956" s="12"/>
      <c r="AC1956" s="12"/>
      <c r="AD1956" s="12"/>
      <c r="AE1956" s="12"/>
      <c r="AF1956" s="12" t="s">
        <v>3706</v>
      </c>
      <c r="AG1956" s="12" t="s">
        <v>68</v>
      </c>
      <c r="AH1956" s="12" t="s">
        <v>14585</v>
      </c>
      <c r="AI1956" s="12" t="str">
        <f t="shared" si="374"/>
        <v>1838</v>
      </c>
      <c r="AJ1956" s="12"/>
      <c r="AK1956" s="12" t="s">
        <v>67</v>
      </c>
      <c r="AL1956" s="12"/>
      <c r="AM1956" s="12"/>
      <c r="AN1956" s="12"/>
      <c r="AO1956" s="12"/>
      <c r="AP1956" s="12"/>
      <c r="AQ1956" s="12"/>
      <c r="AR1956" s="12"/>
      <c r="AS1956" s="12"/>
      <c r="AT1956" s="12"/>
      <c r="AU1956" s="12"/>
      <c r="AV1956" s="12"/>
      <c r="AW1956" s="12"/>
      <c r="AX1956" s="12"/>
      <c r="AY1956" s="12"/>
      <c r="AZ1956" s="12"/>
      <c r="BA1956" s="12"/>
      <c r="BB1956" s="12"/>
      <c r="BC1956" s="12"/>
      <c r="BD1956" s="12"/>
      <c r="BE1956" s="12"/>
      <c r="BF1956" s="12"/>
      <c r="BG1956" s="12"/>
      <c r="BH1956" s="12"/>
      <c r="BI1956" s="12"/>
      <c r="BJ1956" s="12"/>
      <c r="BK1956" s="12"/>
      <c r="BL1956" s="12"/>
      <c r="BM1956" s="12"/>
      <c r="BN1956" s="12"/>
      <c r="BO1956" s="12"/>
      <c r="BP1956" s="12"/>
      <c r="BQ1956" s="12"/>
      <c r="BR1956" s="12"/>
      <c r="BS1956" s="12"/>
      <c r="BT1956" s="12"/>
      <c r="BU1956" s="12"/>
      <c r="BV1956" s="12"/>
      <c r="BW1956" s="12"/>
      <c r="BX1956" s="12"/>
      <c r="BY1956" s="12"/>
      <c r="BZ1956" s="12"/>
      <c r="CA1956" s="12"/>
      <c r="CB1956" s="12"/>
      <c r="CC1956" s="12"/>
      <c r="CD1956" s="12"/>
    </row>
    <row r="1957" spans="1:82">
      <c r="A1957" s="12" t="s">
        <v>11572</v>
      </c>
      <c r="B1957" s="12" t="str">
        <f t="shared" si="366"/>
        <v>VANGREUNEN</v>
      </c>
      <c r="C1957" s="12" t="str">
        <f t="shared" si="367"/>
        <v>VAN GREUNEN</v>
      </c>
      <c r="D1957" s="12" t="s">
        <v>30</v>
      </c>
      <c r="E1957" s="12" t="str">
        <f t="shared" si="377"/>
        <v>Johannes</v>
      </c>
      <c r="F1957" s="12" t="s">
        <v>14579</v>
      </c>
      <c r="G1957" s="12" t="str">
        <f t="shared" si="368"/>
        <v xml:space="preserve">a2b1c1  </v>
      </c>
      <c r="H1957" s="12" t="str">
        <f t="shared" si="369"/>
        <v xml:space="preserve">VAN GREUNENa2b1c1  </v>
      </c>
      <c r="I1957" s="12"/>
      <c r="J1957" s="12" t="s">
        <v>14580</v>
      </c>
      <c r="K1957" s="12" t="str">
        <f t="shared" si="370"/>
        <v>1818</v>
      </c>
      <c r="L1957" s="12" t="s">
        <v>199</v>
      </c>
      <c r="M1957" s="12" t="s">
        <v>1862</v>
      </c>
      <c r="N1957" s="12" t="str">
        <f t="shared" si="375"/>
        <v>1818</v>
      </c>
      <c r="O1957" s="12" t="str">
        <f t="shared" si="376"/>
        <v>1818</v>
      </c>
      <c r="P1957" s="12"/>
      <c r="Q1957" s="12" t="str">
        <f t="shared" si="371"/>
        <v>1818</v>
      </c>
      <c r="R1957" s="12"/>
      <c r="S1957" s="12" t="str">
        <f t="shared" si="372"/>
        <v/>
      </c>
      <c r="T1957" s="12"/>
      <c r="U1957" s="12"/>
      <c r="V1957" s="12" t="str">
        <f t="shared" si="373"/>
        <v/>
      </c>
      <c r="W1957" s="12" t="s">
        <v>14581</v>
      </c>
      <c r="X1957" s="12" t="s">
        <v>2235</v>
      </c>
      <c r="Y1957" s="12" t="s">
        <v>14582</v>
      </c>
      <c r="Z1957" s="12"/>
      <c r="AA1957" s="12" t="s">
        <v>14583</v>
      </c>
      <c r="AB1957" s="12"/>
      <c r="AC1957" s="12"/>
      <c r="AD1957" s="12" t="s">
        <v>90</v>
      </c>
      <c r="AE1957" s="12" t="s">
        <v>14584</v>
      </c>
      <c r="AF1957" s="12" t="s">
        <v>3706</v>
      </c>
      <c r="AG1957" s="12" t="s">
        <v>68</v>
      </c>
      <c r="AH1957" s="12" t="s">
        <v>14585</v>
      </c>
      <c r="AI1957" s="12" t="str">
        <f t="shared" si="374"/>
        <v>1838</v>
      </c>
      <c r="AJ1957" s="12"/>
      <c r="AK1957" s="12" t="s">
        <v>168</v>
      </c>
      <c r="AL1957" s="12"/>
      <c r="AM1957" s="12"/>
      <c r="AN1957" s="12" t="s">
        <v>3265</v>
      </c>
      <c r="AO1957" s="12" t="s">
        <v>10499</v>
      </c>
      <c r="AP1957" s="12"/>
      <c r="AQ1957" s="12"/>
      <c r="AR1957" s="12"/>
      <c r="AS1957" s="12"/>
      <c r="AT1957" s="12"/>
      <c r="AU1957" s="12"/>
      <c r="AV1957" s="12"/>
      <c r="AW1957" s="12"/>
      <c r="AX1957" s="12"/>
      <c r="AY1957" s="12" t="s">
        <v>5496</v>
      </c>
      <c r="AZ1957" s="12" t="s">
        <v>625</v>
      </c>
      <c r="BA1957" s="12"/>
      <c r="BB1957" s="12"/>
      <c r="BC1957" s="12"/>
      <c r="BD1957" s="12"/>
      <c r="BE1957" s="12"/>
      <c r="BF1957" s="12"/>
      <c r="BG1957" s="12"/>
      <c r="BH1957" s="12"/>
      <c r="BI1957" s="12"/>
      <c r="BJ1957" s="12"/>
      <c r="BK1957" s="12"/>
      <c r="BL1957" s="12"/>
      <c r="BM1957" s="12"/>
      <c r="BN1957" s="12"/>
      <c r="BO1957" s="12"/>
      <c r="BP1957" s="12"/>
      <c r="BQ1957" s="12"/>
      <c r="BR1957" s="12"/>
      <c r="BS1957" s="12"/>
      <c r="BT1957" s="12"/>
      <c r="BU1957" s="12"/>
      <c r="BV1957" s="12"/>
      <c r="BW1957" s="12"/>
      <c r="BX1957" s="12"/>
      <c r="BY1957" s="12"/>
      <c r="BZ1957" s="12"/>
      <c r="CA1957" s="12"/>
      <c r="CB1957" s="12"/>
      <c r="CC1957" s="12"/>
      <c r="CD1957" s="12"/>
    </row>
    <row r="1958" spans="1:82">
      <c r="A1958" s="12" t="s">
        <v>11572</v>
      </c>
      <c r="B1958" s="12" t="str">
        <f t="shared" si="366"/>
        <v>VANGREUNEN</v>
      </c>
      <c r="C1958" s="12" t="str">
        <f t="shared" si="367"/>
        <v>VAN GREUNEN</v>
      </c>
      <c r="D1958" s="12" t="s">
        <v>14589</v>
      </c>
      <c r="E1958" s="12" t="str">
        <f t="shared" si="377"/>
        <v>Johannes Zacharias Nicolaas</v>
      </c>
      <c r="F1958" s="12" t="s">
        <v>11185</v>
      </c>
      <c r="G1958" s="12" t="str">
        <f t="shared" si="368"/>
        <v>a2b1c2</v>
      </c>
      <c r="H1958" s="12" t="str">
        <f t="shared" si="369"/>
        <v>VAN GREUNENa2b1c2</v>
      </c>
      <c r="I1958" s="12"/>
      <c r="J1958" s="12" t="s">
        <v>14590</v>
      </c>
      <c r="K1958" s="12" t="str">
        <f t="shared" si="370"/>
        <v>1821</v>
      </c>
      <c r="L1958" s="12" t="s">
        <v>199</v>
      </c>
      <c r="M1958" s="12" t="s">
        <v>14591</v>
      </c>
      <c r="N1958" s="12" t="str">
        <f t="shared" si="375"/>
        <v>1821</v>
      </c>
      <c r="O1958" s="12" t="str">
        <f t="shared" si="376"/>
        <v>1821</v>
      </c>
      <c r="P1958" s="12"/>
      <c r="Q1958" s="12" t="str">
        <f t="shared" si="371"/>
        <v>1821</v>
      </c>
      <c r="R1958" s="12"/>
      <c r="S1958" s="12" t="str">
        <f t="shared" si="372"/>
        <v/>
      </c>
      <c r="T1958" s="12"/>
      <c r="U1958" s="12"/>
      <c r="V1958" s="12" t="str">
        <f t="shared" si="373"/>
        <v/>
      </c>
      <c r="W1958" s="12" t="s">
        <v>7309</v>
      </c>
      <c r="X1958" s="12" t="s">
        <v>669</v>
      </c>
      <c r="Y1958" s="12"/>
      <c r="Z1958" s="12"/>
      <c r="AA1958" s="12"/>
      <c r="AB1958" s="12"/>
      <c r="AC1958" s="12"/>
      <c r="AD1958" s="12"/>
      <c r="AE1958" s="12"/>
      <c r="AF1958" s="12" t="s">
        <v>3706</v>
      </c>
      <c r="AG1958" s="12" t="s">
        <v>68</v>
      </c>
      <c r="AH1958" s="12" t="s">
        <v>14585</v>
      </c>
      <c r="AI1958" s="12" t="str">
        <f t="shared" si="374"/>
        <v>1838</v>
      </c>
      <c r="AJ1958" s="12"/>
      <c r="AK1958" s="12" t="s">
        <v>90</v>
      </c>
      <c r="AL1958" s="12"/>
      <c r="AM1958" s="12"/>
      <c r="AN1958" s="12" t="s">
        <v>4400</v>
      </c>
      <c r="AO1958" s="12" t="s">
        <v>2427</v>
      </c>
      <c r="AP1958" s="12"/>
      <c r="AQ1958" s="12"/>
      <c r="AR1958" s="12"/>
      <c r="AS1958" s="12"/>
      <c r="AT1958" s="12"/>
      <c r="AU1958" s="12"/>
      <c r="AV1958" s="12"/>
      <c r="AW1958" s="12"/>
      <c r="AX1958" s="12"/>
      <c r="AY1958" s="12"/>
      <c r="AZ1958" s="12"/>
      <c r="BA1958" s="12"/>
      <c r="BB1958" s="12"/>
      <c r="BC1958" s="12"/>
      <c r="BD1958" s="12"/>
      <c r="BE1958" s="12"/>
      <c r="BF1958" s="12"/>
      <c r="BG1958" s="12"/>
      <c r="BH1958" s="12"/>
      <c r="BI1958" s="12"/>
      <c r="BJ1958" s="12"/>
      <c r="BK1958" s="12"/>
      <c r="BL1958" s="12"/>
      <c r="BM1958" s="12"/>
      <c r="BN1958" s="12"/>
      <c r="BO1958" s="12"/>
      <c r="BP1958" s="12"/>
      <c r="BQ1958" s="12"/>
      <c r="BR1958" s="12"/>
      <c r="BS1958" s="12"/>
      <c r="BT1958" s="12"/>
      <c r="BU1958" s="12"/>
      <c r="BV1958" s="12"/>
      <c r="BW1958" s="12"/>
      <c r="BX1958" s="12"/>
      <c r="BY1958" s="12"/>
      <c r="BZ1958" s="12"/>
      <c r="CA1958" s="12"/>
      <c r="CB1958" s="12"/>
      <c r="CC1958" s="12"/>
      <c r="CD1958" s="12"/>
    </row>
    <row r="1959" spans="1:82">
      <c r="A1959" s="12" t="s">
        <v>780</v>
      </c>
      <c r="B1959" s="12" t="str">
        <f t="shared" si="366"/>
        <v>VANHEERDEN</v>
      </c>
      <c r="C1959" s="12" t="str">
        <f t="shared" si="367"/>
        <v>VAN HEERDEN</v>
      </c>
      <c r="D1959" s="12" t="s">
        <v>14592</v>
      </c>
      <c r="E1959" s="12" t="str">
        <f t="shared" si="377"/>
        <v>Willem Francois Petrus</v>
      </c>
      <c r="F1959" s="12" t="s">
        <v>14593</v>
      </c>
      <c r="G1959" s="12" t="str">
        <f t="shared" si="368"/>
        <v>a1b1c2d1e8</v>
      </c>
      <c r="H1959" s="12" t="str">
        <f t="shared" si="369"/>
        <v>VAN HEERDENa1b1c2d1e8</v>
      </c>
      <c r="I1959" s="12"/>
      <c r="J1959" s="12"/>
      <c r="K1959" s="12" t="str">
        <f t="shared" si="370"/>
        <v/>
      </c>
      <c r="L1959" s="12"/>
      <c r="M1959" s="12" t="s">
        <v>14594</v>
      </c>
      <c r="N1959" s="12" t="str">
        <f t="shared" si="375"/>
        <v/>
      </c>
      <c r="O1959" s="12" t="str">
        <f t="shared" si="376"/>
        <v>1791</v>
      </c>
      <c r="P1959" s="12"/>
      <c r="Q1959" s="12" t="str">
        <f t="shared" si="371"/>
        <v>1791</v>
      </c>
      <c r="R1959" s="12"/>
      <c r="S1959" s="12" t="str">
        <f t="shared" si="372"/>
        <v/>
      </c>
      <c r="T1959" s="12"/>
      <c r="U1959" s="12"/>
      <c r="V1959" s="12" t="str">
        <f t="shared" si="373"/>
        <v/>
      </c>
      <c r="W1959" s="12" t="s">
        <v>14595</v>
      </c>
      <c r="X1959" s="12" t="s">
        <v>4449</v>
      </c>
      <c r="Y1959" s="12" t="s">
        <v>14596</v>
      </c>
      <c r="Z1959" s="12"/>
      <c r="AA1959" s="12"/>
      <c r="AB1959" s="12"/>
      <c r="AC1959" s="12" t="s">
        <v>2068</v>
      </c>
      <c r="AD1959" s="12"/>
      <c r="AE1959" s="12"/>
      <c r="AF1959" s="12"/>
      <c r="AG1959" s="12"/>
      <c r="AH1959" s="12" t="s">
        <v>13925</v>
      </c>
      <c r="AI1959" s="12" t="str">
        <f t="shared" si="374"/>
        <v>1843</v>
      </c>
      <c r="AJ1959" s="12"/>
      <c r="AK1959" s="12" t="s">
        <v>140</v>
      </c>
      <c r="AL1959" s="12"/>
      <c r="AM1959" s="12"/>
      <c r="AN1959" s="12"/>
      <c r="AO1959" s="12"/>
      <c r="AP1959" s="12"/>
      <c r="AQ1959" s="12"/>
      <c r="AR1959" s="12"/>
      <c r="AS1959" s="12"/>
      <c r="AT1959" s="12"/>
      <c r="AU1959" s="12"/>
      <c r="AV1959" s="12"/>
      <c r="AW1959" s="12"/>
      <c r="AX1959" s="12"/>
      <c r="AY1959" s="12"/>
      <c r="AZ1959" s="12"/>
      <c r="BA1959" s="12"/>
      <c r="BB1959" s="12"/>
      <c r="BC1959" s="12"/>
      <c r="BD1959" s="12"/>
      <c r="BE1959" s="12"/>
      <c r="BF1959" s="12"/>
      <c r="BG1959" s="12"/>
      <c r="BH1959" s="12"/>
      <c r="BI1959" s="12"/>
      <c r="BJ1959" s="12"/>
      <c r="BK1959" s="12"/>
      <c r="BL1959" s="12"/>
      <c r="BM1959" s="12"/>
      <c r="BN1959" s="12"/>
      <c r="BO1959" s="12"/>
      <c r="BP1959" s="12"/>
      <c r="BQ1959" s="12"/>
      <c r="BR1959" s="12"/>
      <c r="BS1959" s="12"/>
      <c r="BT1959" s="12"/>
      <c r="BU1959" s="12"/>
      <c r="BV1959" s="12"/>
      <c r="BW1959" s="12"/>
      <c r="BX1959" s="12"/>
      <c r="BY1959" s="12"/>
      <c r="BZ1959" s="12"/>
      <c r="CA1959" s="12"/>
      <c r="CB1959" s="12"/>
      <c r="CC1959" s="12"/>
      <c r="CD1959" s="12"/>
    </row>
    <row r="1960" spans="1:82">
      <c r="A1960" s="12" t="s">
        <v>14597</v>
      </c>
      <c r="B1960" s="12" t="str">
        <f t="shared" si="366"/>
        <v>VANHELSDINGEN</v>
      </c>
      <c r="C1960" s="12" t="str">
        <f t="shared" si="367"/>
        <v>VAN HELSDINGEN</v>
      </c>
      <c r="D1960" s="12" t="s">
        <v>5272</v>
      </c>
      <c r="E1960" s="12" t="str">
        <f t="shared" si="377"/>
        <v xml:space="preserve">Johannes Michiel </v>
      </c>
      <c r="F1960" s="12" t="s">
        <v>14598</v>
      </c>
      <c r="G1960" s="12" t="str">
        <f t="shared" si="368"/>
        <v>a1b1c7d4e2f1</v>
      </c>
      <c r="H1960" s="12" t="str">
        <f t="shared" si="369"/>
        <v>VAN HELSDINGENa1b1c7d4e2f1</v>
      </c>
      <c r="I1960" s="12"/>
      <c r="J1960" s="12" t="s">
        <v>14599</v>
      </c>
      <c r="K1960" s="12" t="str">
        <f t="shared" si="370"/>
        <v>1827</v>
      </c>
      <c r="L1960" s="12"/>
      <c r="M1960" s="12"/>
      <c r="N1960" s="12" t="str">
        <f t="shared" si="375"/>
        <v>1827</v>
      </c>
      <c r="O1960" s="12" t="str">
        <f t="shared" si="376"/>
        <v/>
      </c>
      <c r="P1960" s="12"/>
      <c r="Q1960" s="12" t="str">
        <f t="shared" si="371"/>
        <v>1827</v>
      </c>
      <c r="R1960" s="12"/>
      <c r="S1960" s="12" t="str">
        <f t="shared" si="372"/>
        <v/>
      </c>
      <c r="T1960" s="12" t="s">
        <v>140</v>
      </c>
      <c r="U1960" s="12">
        <v>1848</v>
      </c>
      <c r="V1960" s="12" t="str">
        <f t="shared" si="373"/>
        <v>1848</v>
      </c>
      <c r="W1960" s="12" t="s">
        <v>480</v>
      </c>
      <c r="X1960" s="12" t="s">
        <v>478</v>
      </c>
      <c r="Y1960" s="12" t="s">
        <v>8297</v>
      </c>
      <c r="Z1960" s="12"/>
      <c r="AA1960" s="12"/>
      <c r="AB1960" s="12"/>
      <c r="AC1960" s="12" t="s">
        <v>14600</v>
      </c>
      <c r="AD1960" s="12"/>
      <c r="AE1960" s="12"/>
      <c r="AF1960" s="12"/>
      <c r="AG1960" s="12" t="s">
        <v>155</v>
      </c>
      <c r="AH1960" s="12"/>
      <c r="AI1960" s="12" t="str">
        <f t="shared" si="374"/>
        <v/>
      </c>
      <c r="AJ1960" s="12"/>
      <c r="AK1960" s="12"/>
      <c r="AL1960" s="12"/>
      <c r="AM1960" s="12"/>
      <c r="AN1960" s="12"/>
      <c r="AO1960" s="12"/>
      <c r="AP1960" s="12"/>
      <c r="AQ1960" s="12"/>
      <c r="AR1960" s="12"/>
      <c r="AS1960" s="12"/>
      <c r="AT1960" s="12"/>
      <c r="AU1960" s="12"/>
      <c r="AV1960" s="12"/>
      <c r="AW1960" s="12"/>
      <c r="AX1960" s="12"/>
      <c r="AY1960" s="12"/>
      <c r="AZ1960" s="12"/>
      <c r="BA1960" s="12"/>
      <c r="BB1960" s="12"/>
      <c r="BC1960" s="12"/>
      <c r="BD1960" s="12"/>
      <c r="BE1960" s="12"/>
      <c r="BF1960" s="12"/>
      <c r="BG1960" s="12"/>
      <c r="BH1960" s="12"/>
      <c r="BI1960" s="12"/>
      <c r="BJ1960" s="12"/>
      <c r="BK1960" s="12"/>
      <c r="BL1960" s="12"/>
      <c r="BM1960" s="12"/>
      <c r="BN1960" s="12"/>
      <c r="BO1960" s="12"/>
      <c r="BP1960" s="12"/>
      <c r="BQ1960" s="12"/>
      <c r="BR1960" s="12"/>
      <c r="BS1960" s="12"/>
      <c r="BT1960" s="12"/>
      <c r="BU1960" s="12"/>
      <c r="BV1960" s="12"/>
      <c r="BW1960" s="12"/>
      <c r="BX1960" s="12"/>
      <c r="BY1960" s="12"/>
      <c r="BZ1960" s="12"/>
      <c r="CA1960" s="12"/>
      <c r="CB1960" s="12"/>
      <c r="CC1960" s="12"/>
      <c r="CD1960" s="12"/>
    </row>
    <row r="1961" spans="1:82">
      <c r="A1961" s="12" t="s">
        <v>2016</v>
      </c>
      <c r="B1961" s="12" t="str">
        <f t="shared" si="366"/>
        <v>VANJAARSVELD</v>
      </c>
      <c r="C1961" s="12" t="str">
        <f t="shared" si="367"/>
        <v>VAN JAARSVELD</v>
      </c>
      <c r="D1961" s="12" t="s">
        <v>14610</v>
      </c>
      <c r="E1961" s="12" t="str">
        <f t="shared" si="377"/>
        <v>Adriaan Johannes Frederik Gustaaf</v>
      </c>
      <c r="F1961" s="12" t="s">
        <v>14611</v>
      </c>
      <c r="G1961" s="12" t="str">
        <f t="shared" si="368"/>
        <v>a1b2c1d2e2</v>
      </c>
      <c r="H1961" s="12" t="str">
        <f t="shared" si="369"/>
        <v>VAN JAARSVELDa1b2c1d2e2</v>
      </c>
      <c r="I1961" s="12"/>
      <c r="J1961" s="12"/>
      <c r="K1961" s="12" t="str">
        <f t="shared" si="370"/>
        <v/>
      </c>
      <c r="L1961" s="12"/>
      <c r="M1961" s="12" t="s">
        <v>5750</v>
      </c>
      <c r="N1961" s="12" t="str">
        <f t="shared" si="375"/>
        <v/>
      </c>
      <c r="O1961" s="12" t="str">
        <f t="shared" si="376"/>
        <v>1793</v>
      </c>
      <c r="P1961" s="12"/>
      <c r="Q1961" s="12" t="str">
        <f t="shared" si="371"/>
        <v>1793</v>
      </c>
      <c r="R1961" s="12"/>
      <c r="S1961" s="12" t="str">
        <f t="shared" si="372"/>
        <v/>
      </c>
      <c r="T1961" s="12" t="s">
        <v>74</v>
      </c>
      <c r="U1961" s="12" t="s">
        <v>14612</v>
      </c>
      <c r="V1961" s="12" t="str">
        <f t="shared" si="373"/>
        <v>1825</v>
      </c>
      <c r="W1961" s="12" t="s">
        <v>768</v>
      </c>
      <c r="X1961" s="12" t="s">
        <v>700</v>
      </c>
      <c r="Y1961" s="12"/>
      <c r="Z1961" s="12"/>
      <c r="AA1961" s="12"/>
      <c r="AB1961" s="12"/>
      <c r="AC1961" s="12"/>
      <c r="AD1961" s="12"/>
      <c r="AE1961" s="12"/>
      <c r="AF1961" s="12"/>
      <c r="AG1961" s="12" t="s">
        <v>74</v>
      </c>
      <c r="AH1961" s="12">
        <v>1840</v>
      </c>
      <c r="AI1961" s="12" t="str">
        <f t="shared" si="374"/>
        <v>1840</v>
      </c>
      <c r="AJ1961" s="12"/>
      <c r="AK1961" s="12" t="s">
        <v>90</v>
      </c>
      <c r="AL1961" s="12"/>
      <c r="AM1961" s="12"/>
      <c r="AN1961" s="12"/>
      <c r="AO1961" s="12"/>
      <c r="AP1961" s="12"/>
      <c r="AQ1961" s="12"/>
      <c r="AR1961" s="12"/>
      <c r="AS1961" s="12"/>
      <c r="AT1961" s="12"/>
      <c r="AU1961" s="12"/>
      <c r="AV1961" s="12"/>
      <c r="AW1961" s="12"/>
      <c r="AX1961" s="12"/>
      <c r="AY1961" s="12"/>
      <c r="AZ1961" s="12"/>
      <c r="BA1961" s="12"/>
      <c r="BB1961" s="12"/>
      <c r="BC1961" s="12"/>
      <c r="BD1961" s="12"/>
      <c r="BE1961" s="12"/>
      <c r="BF1961" s="12"/>
      <c r="BG1961" s="12"/>
      <c r="BH1961" s="12"/>
      <c r="BI1961" s="12"/>
      <c r="BJ1961" s="12"/>
      <c r="BK1961" s="12"/>
      <c r="BL1961" s="12"/>
      <c r="BM1961" s="12"/>
      <c r="BN1961" s="12"/>
      <c r="BO1961" s="12"/>
      <c r="BP1961" s="12"/>
      <c r="BQ1961" s="12"/>
      <c r="BR1961" s="12"/>
      <c r="BS1961" s="12"/>
      <c r="BT1961" s="12"/>
      <c r="BU1961" s="12"/>
      <c r="BV1961" s="12"/>
      <c r="BW1961" s="12"/>
      <c r="BX1961" s="12"/>
      <c r="BY1961" s="12"/>
      <c r="BZ1961" s="12"/>
      <c r="CA1961" s="12"/>
      <c r="CB1961" s="12"/>
      <c r="CC1961" s="12"/>
      <c r="CD1961" s="12"/>
    </row>
    <row r="1962" spans="1:82">
      <c r="A1962" s="12" t="s">
        <v>2016</v>
      </c>
      <c r="B1962" s="12" t="str">
        <f t="shared" si="366"/>
        <v>VANJAARSVELD</v>
      </c>
      <c r="C1962" s="12" t="str">
        <f t="shared" si="367"/>
        <v>VAN JAARSVELD</v>
      </c>
      <c r="D1962" s="12" t="s">
        <v>243</v>
      </c>
      <c r="E1962" s="12" t="str">
        <f t="shared" si="377"/>
        <v>Adriaan</v>
      </c>
      <c r="F1962" s="12" t="s">
        <v>14601</v>
      </c>
      <c r="G1962" s="12" t="str">
        <f t="shared" si="368"/>
        <v>a1b2c1d8e2</v>
      </c>
      <c r="H1962" s="12" t="str">
        <f t="shared" si="369"/>
        <v>VAN JAARSVELDa1b2c1d8e2</v>
      </c>
      <c r="I1962" s="12"/>
      <c r="J1962" s="12" t="s">
        <v>14602</v>
      </c>
      <c r="K1962" s="12" t="str">
        <f t="shared" si="370"/>
        <v>1818</v>
      </c>
      <c r="L1962" s="12" t="s">
        <v>74</v>
      </c>
      <c r="M1962" s="12" t="s">
        <v>14603</v>
      </c>
      <c r="N1962" s="12" t="str">
        <f t="shared" si="375"/>
        <v>1818</v>
      </c>
      <c r="O1962" s="12" t="str">
        <f t="shared" si="376"/>
        <v>1819</v>
      </c>
      <c r="P1962" s="12"/>
      <c r="Q1962" s="12" t="str">
        <f t="shared" si="371"/>
        <v>1818</v>
      </c>
      <c r="R1962" s="12"/>
      <c r="S1962" s="12" t="str">
        <f t="shared" si="372"/>
        <v/>
      </c>
      <c r="T1962" s="12" t="s">
        <v>28</v>
      </c>
      <c r="U1962" s="12" t="s">
        <v>14604</v>
      </c>
      <c r="V1962" s="12" t="str">
        <f t="shared" si="373"/>
        <v>1838</v>
      </c>
      <c r="W1962" s="12" t="s">
        <v>14605</v>
      </c>
      <c r="X1962" s="12" t="s">
        <v>667</v>
      </c>
      <c r="Y1962" s="12"/>
      <c r="Z1962" s="12"/>
      <c r="AA1962" s="12"/>
      <c r="AB1962" s="12"/>
      <c r="AC1962" s="12"/>
      <c r="AD1962" s="12"/>
      <c r="AE1962" s="12"/>
      <c r="AF1962" s="12" t="s">
        <v>3699</v>
      </c>
      <c r="AG1962" s="12" t="s">
        <v>68</v>
      </c>
      <c r="AH1962" s="12" t="s">
        <v>14606</v>
      </c>
      <c r="AI1962" s="12" t="str">
        <f t="shared" si="374"/>
        <v>1840</v>
      </c>
      <c r="AJ1962" s="12"/>
      <c r="AK1962" s="12" t="s">
        <v>90</v>
      </c>
      <c r="AL1962" s="12"/>
      <c r="AM1962" s="12"/>
      <c r="AN1962" s="12"/>
      <c r="AO1962" s="12"/>
      <c r="AP1962" s="12"/>
      <c r="AQ1962" s="12"/>
      <c r="AR1962" s="12"/>
      <c r="AS1962" s="12"/>
      <c r="AT1962" s="12"/>
      <c r="AU1962" s="12"/>
      <c r="AV1962" s="12"/>
      <c r="AW1962" s="12"/>
      <c r="AX1962" s="12"/>
      <c r="AY1962" s="12"/>
      <c r="AZ1962" s="12"/>
      <c r="BA1962" s="12"/>
      <c r="BB1962" s="12"/>
      <c r="BC1962" s="12"/>
      <c r="BD1962" s="12"/>
      <c r="BE1962" s="12"/>
      <c r="BF1962" s="12"/>
      <c r="BG1962" s="12"/>
      <c r="BH1962" s="12"/>
      <c r="BI1962" s="12"/>
      <c r="BJ1962" s="12"/>
      <c r="BK1962" s="12"/>
      <c r="BL1962" s="12"/>
      <c r="BM1962" s="12"/>
      <c r="BN1962" s="12"/>
      <c r="BO1962" s="12"/>
      <c r="BP1962" s="12"/>
      <c r="BQ1962" s="12"/>
      <c r="BR1962" s="12"/>
      <c r="BS1962" s="12"/>
      <c r="BT1962" s="12"/>
      <c r="BU1962" s="12"/>
      <c r="BV1962" s="12"/>
      <c r="BW1962" s="12"/>
      <c r="BX1962" s="12"/>
      <c r="BY1962" s="12"/>
      <c r="BZ1962" s="12"/>
      <c r="CA1962" s="12"/>
      <c r="CB1962" s="12"/>
      <c r="CC1962" s="12"/>
      <c r="CD1962" s="12"/>
    </row>
    <row r="1963" spans="1:82">
      <c r="A1963" s="12" t="s">
        <v>2016</v>
      </c>
      <c r="B1963" s="12" t="str">
        <f t="shared" si="366"/>
        <v>VANJAARSVELD</v>
      </c>
      <c r="C1963" s="12" t="str">
        <f t="shared" si="367"/>
        <v>VAN JAARSVELD</v>
      </c>
      <c r="D1963" s="12" t="s">
        <v>7841</v>
      </c>
      <c r="E1963" s="12" t="str">
        <f t="shared" si="377"/>
        <v>Andries Jacobus</v>
      </c>
      <c r="F1963" s="12" t="s">
        <v>14628</v>
      </c>
      <c r="G1963" s="12" t="str">
        <f t="shared" si="368"/>
        <v>a1b2c1d8e3</v>
      </c>
      <c r="H1963" s="12" t="str">
        <f t="shared" si="369"/>
        <v>VAN JAARSVELDa1b2c1d8e3</v>
      </c>
      <c r="I1963" s="12"/>
      <c r="J1963" s="12" t="s">
        <v>14629</v>
      </c>
      <c r="K1963" s="12" t="str">
        <f t="shared" si="370"/>
        <v>1823</v>
      </c>
      <c r="L1963" s="12" t="s">
        <v>28</v>
      </c>
      <c r="M1963" s="12" t="s">
        <v>1621</v>
      </c>
      <c r="N1963" s="12" t="str">
        <f t="shared" si="375"/>
        <v>1823</v>
      </c>
      <c r="O1963" s="12" t="str">
        <f t="shared" si="376"/>
        <v>1824</v>
      </c>
      <c r="P1963" s="12"/>
      <c r="Q1963" s="12" t="str">
        <f t="shared" si="371"/>
        <v>1823</v>
      </c>
      <c r="R1963" s="12"/>
      <c r="S1963" s="12" t="str">
        <f t="shared" si="372"/>
        <v/>
      </c>
      <c r="T1963" s="12"/>
      <c r="U1963" s="12"/>
      <c r="V1963" s="12" t="str">
        <f t="shared" si="373"/>
        <v/>
      </c>
      <c r="W1963" s="12" t="s">
        <v>4633</v>
      </c>
      <c r="X1963" s="12" t="s">
        <v>1985</v>
      </c>
      <c r="Y1963" s="12"/>
      <c r="Z1963" s="12"/>
      <c r="AA1963" s="12"/>
      <c r="AB1963" s="12"/>
      <c r="AC1963" s="12"/>
      <c r="AD1963" s="12"/>
      <c r="AE1963" s="12"/>
      <c r="AF1963" s="12" t="s">
        <v>3699</v>
      </c>
      <c r="AG1963" s="12" t="s">
        <v>68</v>
      </c>
      <c r="AH1963" s="12" t="s">
        <v>14630</v>
      </c>
      <c r="AI1963" s="12" t="str">
        <f t="shared" si="374"/>
        <v>1839</v>
      </c>
      <c r="AJ1963" s="12"/>
      <c r="AK1963" s="12" t="s">
        <v>140</v>
      </c>
      <c r="AL1963" s="12"/>
      <c r="AM1963" s="12"/>
      <c r="AN1963" s="12"/>
      <c r="AO1963" s="12"/>
      <c r="AP1963" s="12"/>
      <c r="AQ1963" s="12"/>
      <c r="AR1963" s="12"/>
      <c r="AS1963" s="12"/>
      <c r="AT1963" s="12"/>
      <c r="AU1963" s="12"/>
      <c r="AV1963" s="12"/>
      <c r="AW1963" s="12"/>
      <c r="AX1963" s="12"/>
      <c r="AY1963" s="12"/>
      <c r="AZ1963" s="12"/>
      <c r="BA1963" s="12"/>
      <c r="BB1963" s="12"/>
      <c r="BC1963" s="12"/>
      <c r="BD1963" s="12"/>
      <c r="BE1963" s="12"/>
      <c r="BF1963" s="12"/>
      <c r="BG1963" s="12"/>
      <c r="BH1963" s="12"/>
      <c r="BI1963" s="12"/>
      <c r="BJ1963" s="12"/>
      <c r="BK1963" s="12"/>
      <c r="BL1963" s="12"/>
      <c r="BM1963" s="12"/>
      <c r="BN1963" s="12"/>
      <c r="BO1963" s="12"/>
      <c r="BP1963" s="12"/>
      <c r="BQ1963" s="12"/>
      <c r="BR1963" s="12"/>
      <c r="BS1963" s="12"/>
      <c r="BT1963" s="12"/>
      <c r="BU1963" s="12"/>
      <c r="BV1963" s="12"/>
      <c r="BW1963" s="12"/>
      <c r="BX1963" s="12"/>
      <c r="BY1963" s="12"/>
      <c r="BZ1963" s="12"/>
      <c r="CA1963" s="12"/>
      <c r="CB1963" s="12"/>
      <c r="CC1963" s="12"/>
      <c r="CD1963" s="12"/>
    </row>
    <row r="1964" spans="1:82">
      <c r="A1964" s="12" t="s">
        <v>2016</v>
      </c>
      <c r="B1964" s="12" t="str">
        <f t="shared" si="366"/>
        <v>VANJAARSVELD</v>
      </c>
      <c r="C1964" s="12" t="str">
        <f t="shared" si="367"/>
        <v>VAN JAARSVELD</v>
      </c>
      <c r="D1964" s="12" t="s">
        <v>14617</v>
      </c>
      <c r="E1964" s="12" t="str">
        <f t="shared" si="377"/>
        <v>Albertus Stephanus</v>
      </c>
      <c r="F1964" s="12" t="s">
        <v>14623</v>
      </c>
      <c r="G1964" s="12" t="str">
        <f t="shared" si="368"/>
        <v>a1b2c1d8e4</v>
      </c>
      <c r="H1964" s="12" t="str">
        <f t="shared" si="369"/>
        <v>VAN JAARSVELDa1b2c1d8e4</v>
      </c>
      <c r="I1964" s="12"/>
      <c r="J1964" s="12" t="s">
        <v>14624</v>
      </c>
      <c r="K1964" s="12" t="str">
        <f t="shared" si="370"/>
        <v>1825</v>
      </c>
      <c r="L1964" s="12" t="s">
        <v>28</v>
      </c>
      <c r="M1964" s="12" t="s">
        <v>14625</v>
      </c>
      <c r="N1964" s="12" t="str">
        <f t="shared" si="375"/>
        <v>1825</v>
      </c>
      <c r="O1964" s="12" t="str">
        <f t="shared" si="376"/>
        <v>1826</v>
      </c>
      <c r="P1964" s="12"/>
      <c r="Q1964" s="12" t="str">
        <f t="shared" si="371"/>
        <v>1825</v>
      </c>
      <c r="R1964" s="12"/>
      <c r="S1964" s="12" t="str">
        <f t="shared" si="372"/>
        <v/>
      </c>
      <c r="T1964" s="12" t="s">
        <v>140</v>
      </c>
      <c r="U1964" s="12" t="s">
        <v>14626</v>
      </c>
      <c r="V1964" s="12" t="str">
        <f t="shared" si="373"/>
        <v>1848</v>
      </c>
      <c r="W1964" s="12" t="s">
        <v>14627</v>
      </c>
      <c r="X1964" s="12" t="s">
        <v>1824</v>
      </c>
      <c r="Y1964" s="12"/>
      <c r="Z1964" s="12"/>
      <c r="AA1964" s="12"/>
      <c r="AB1964" s="12"/>
      <c r="AC1964" s="12"/>
      <c r="AD1964" s="12"/>
      <c r="AE1964" s="12"/>
      <c r="AF1964" s="12" t="s">
        <v>3699</v>
      </c>
      <c r="AG1964" s="12" t="s">
        <v>68</v>
      </c>
      <c r="AH1964" s="12" t="s">
        <v>14606</v>
      </c>
      <c r="AI1964" s="12" t="str">
        <f t="shared" si="374"/>
        <v>1840</v>
      </c>
      <c r="AJ1964" s="12"/>
      <c r="AK1964" s="12"/>
      <c r="AL1964" s="12"/>
      <c r="AM1964" s="12"/>
      <c r="AN1964" s="12"/>
      <c r="AO1964" s="12"/>
      <c r="AP1964" s="12"/>
      <c r="AQ1964" s="12"/>
      <c r="AR1964" s="12"/>
      <c r="AS1964" s="12"/>
      <c r="AT1964" s="12"/>
      <c r="AU1964" s="12"/>
      <c r="AV1964" s="12"/>
      <c r="AW1964" s="12"/>
      <c r="AX1964" s="12"/>
      <c r="AY1964" s="12"/>
      <c r="AZ1964" s="12"/>
      <c r="BA1964" s="12"/>
      <c r="BB1964" s="12"/>
      <c r="BC1964" s="12"/>
      <c r="BD1964" s="12"/>
      <c r="BE1964" s="12"/>
      <c r="BF1964" s="12"/>
      <c r="BG1964" s="12"/>
      <c r="BH1964" s="12"/>
      <c r="BI1964" s="12"/>
      <c r="BJ1964" s="12"/>
      <c r="BK1964" s="12"/>
      <c r="BL1964" s="12"/>
      <c r="BM1964" s="12"/>
      <c r="BN1964" s="12"/>
      <c r="BO1964" s="12"/>
      <c r="BP1964" s="12"/>
      <c r="BQ1964" s="12"/>
      <c r="BR1964" s="12"/>
      <c r="BS1964" s="12"/>
      <c r="BT1964" s="12"/>
      <c r="BU1964" s="12"/>
      <c r="BV1964" s="12"/>
      <c r="BW1964" s="12"/>
      <c r="BX1964" s="12"/>
      <c r="BY1964" s="12"/>
      <c r="BZ1964" s="12"/>
      <c r="CA1964" s="12"/>
      <c r="CB1964" s="12"/>
      <c r="CC1964" s="12"/>
      <c r="CD1964" s="12"/>
    </row>
    <row r="1965" spans="1:82">
      <c r="A1965" s="12" t="s">
        <v>2016</v>
      </c>
      <c r="B1965" s="12" t="str">
        <f t="shared" si="366"/>
        <v>VANJAARSVELD</v>
      </c>
      <c r="C1965" s="12" t="str">
        <f t="shared" si="367"/>
        <v>VAN JAARSVELD</v>
      </c>
      <c r="D1965" s="12" t="s">
        <v>1426</v>
      </c>
      <c r="E1965" s="12" t="str">
        <f t="shared" si="377"/>
        <v>Schalk Jacobus</v>
      </c>
      <c r="F1965" s="12" t="s">
        <v>14631</v>
      </c>
      <c r="G1965" s="12" t="str">
        <f t="shared" si="368"/>
        <v>a1b2c3d7e2</v>
      </c>
      <c r="H1965" s="12" t="str">
        <f t="shared" si="369"/>
        <v>VAN JAARSVELDa1b2c3d7e2</v>
      </c>
      <c r="I1965" s="12"/>
      <c r="J1965" s="12" t="s">
        <v>14632</v>
      </c>
      <c r="K1965" s="12" t="str">
        <f t="shared" si="370"/>
        <v>1811</v>
      </c>
      <c r="L1965" s="12"/>
      <c r="M1965" s="12"/>
      <c r="N1965" s="12" t="str">
        <f t="shared" si="375"/>
        <v>1811</v>
      </c>
      <c r="O1965" s="12" t="str">
        <f t="shared" si="376"/>
        <v/>
      </c>
      <c r="P1965" s="12"/>
      <c r="Q1965" s="12" t="str">
        <f t="shared" si="371"/>
        <v>1811</v>
      </c>
      <c r="R1965" s="12"/>
      <c r="S1965" s="12" t="str">
        <f t="shared" si="372"/>
        <v/>
      </c>
      <c r="T1965" s="12" t="s">
        <v>74</v>
      </c>
      <c r="U1965" s="12" t="s">
        <v>4321</v>
      </c>
      <c r="V1965" s="12" t="str">
        <f t="shared" si="373"/>
        <v>1829</v>
      </c>
      <c r="W1965" s="12" t="s">
        <v>14633</v>
      </c>
      <c r="X1965" s="12" t="s">
        <v>2427</v>
      </c>
      <c r="Y1965" s="12" t="s">
        <v>14634</v>
      </c>
      <c r="Z1965" s="12"/>
      <c r="AA1965" s="12" t="s">
        <v>14635</v>
      </c>
      <c r="AB1965" s="12" t="s">
        <v>74</v>
      </c>
      <c r="AC1965" s="12" t="s">
        <v>8632</v>
      </c>
      <c r="AD1965" s="12"/>
      <c r="AE1965" s="12"/>
      <c r="AF1965" s="12" t="s">
        <v>11195</v>
      </c>
      <c r="AG1965" s="12" t="s">
        <v>74</v>
      </c>
      <c r="AH1965" s="12">
        <v>1839</v>
      </c>
      <c r="AI1965" s="12" t="str">
        <f t="shared" si="374"/>
        <v>1839</v>
      </c>
      <c r="AJ1965" s="12"/>
      <c r="AK1965" s="12" t="s">
        <v>140</v>
      </c>
      <c r="AL1965" s="12"/>
      <c r="AM1965" s="12"/>
      <c r="AN1965" s="12"/>
      <c r="AO1965" s="12"/>
      <c r="AP1965" s="12"/>
      <c r="AQ1965" s="12"/>
      <c r="AR1965" s="12"/>
      <c r="AS1965" s="12"/>
      <c r="AT1965" s="12"/>
      <c r="AU1965" s="12"/>
      <c r="AV1965" s="12"/>
      <c r="AW1965" s="12"/>
      <c r="AX1965" s="12"/>
      <c r="AY1965" s="12"/>
      <c r="AZ1965" s="12"/>
      <c r="BA1965" s="12"/>
      <c r="BB1965" s="12"/>
      <c r="BC1965" s="12"/>
      <c r="BD1965" s="12"/>
      <c r="BE1965" s="12"/>
      <c r="BF1965" s="12"/>
      <c r="BG1965" s="12"/>
      <c r="BH1965" s="12"/>
      <c r="BI1965" s="12"/>
      <c r="BJ1965" s="12"/>
      <c r="BK1965" s="12"/>
      <c r="BL1965" s="12"/>
      <c r="BM1965" s="12"/>
      <c r="BN1965" s="12"/>
      <c r="BO1965" s="12"/>
      <c r="BP1965" s="12"/>
      <c r="BQ1965" s="12"/>
      <c r="BR1965" s="12"/>
      <c r="BS1965" s="12"/>
      <c r="BT1965" s="12"/>
      <c r="BU1965" s="12"/>
      <c r="BV1965" s="12"/>
      <c r="BW1965" s="12"/>
      <c r="BX1965" s="12"/>
      <c r="BY1965" s="12"/>
      <c r="BZ1965" s="12"/>
      <c r="CA1965" s="12"/>
      <c r="CB1965" s="12"/>
      <c r="CC1965" s="12"/>
      <c r="CD1965" s="12"/>
    </row>
    <row r="1966" spans="1:82">
      <c r="A1966" s="12" t="s">
        <v>2016</v>
      </c>
      <c r="B1966" s="12" t="str">
        <f t="shared" si="366"/>
        <v>VANJAARSVELD</v>
      </c>
      <c r="C1966" s="12" t="str">
        <f t="shared" si="367"/>
        <v>VAN JAARSVELD</v>
      </c>
      <c r="D1966" s="12" t="s">
        <v>6257</v>
      </c>
      <c r="E1966" s="12" t="str">
        <f t="shared" si="377"/>
        <v>Adriaan Pieter</v>
      </c>
      <c r="F1966" s="12" t="s">
        <v>14613</v>
      </c>
      <c r="G1966" s="12" t="str">
        <f t="shared" si="368"/>
        <v>a1b2c3d9</v>
      </c>
      <c r="H1966" s="12" t="str">
        <f t="shared" si="369"/>
        <v>VAN JAARSVELDa1b2c3d9</v>
      </c>
      <c r="I1966" s="12"/>
      <c r="J1966" s="12"/>
      <c r="K1966" s="12" t="str">
        <f t="shared" si="370"/>
        <v/>
      </c>
      <c r="L1966" s="12"/>
      <c r="M1966" s="12" t="s">
        <v>14614</v>
      </c>
      <c r="N1966" s="12" t="str">
        <f t="shared" si="375"/>
        <v/>
      </c>
      <c r="O1966" s="12" t="str">
        <f t="shared" si="376"/>
        <v>1797</v>
      </c>
      <c r="P1966" s="12"/>
      <c r="Q1966" s="12" t="str">
        <f t="shared" si="371"/>
        <v>1797</v>
      </c>
      <c r="R1966" s="12"/>
      <c r="S1966" s="12" t="str">
        <f t="shared" si="372"/>
        <v/>
      </c>
      <c r="T1966" s="12" t="s">
        <v>199</v>
      </c>
      <c r="U1966" s="12" t="s">
        <v>14615</v>
      </c>
      <c r="V1966" s="12" t="str">
        <f t="shared" si="373"/>
        <v>1821</v>
      </c>
      <c r="W1966" s="12" t="s">
        <v>14616</v>
      </c>
      <c r="X1966" s="12" t="s">
        <v>266</v>
      </c>
      <c r="Y1966" s="12"/>
      <c r="Z1966" s="12"/>
      <c r="AA1966" s="12"/>
      <c r="AB1966" s="12"/>
      <c r="AC1966" s="12"/>
      <c r="AD1966" s="12"/>
      <c r="AE1966" s="12"/>
      <c r="AF1966" s="12"/>
      <c r="AG1966" s="12" t="s">
        <v>74</v>
      </c>
      <c r="AH1966" s="12">
        <v>1837</v>
      </c>
      <c r="AI1966" s="12" t="str">
        <f t="shared" si="374"/>
        <v>1837</v>
      </c>
      <c r="AJ1966" s="12"/>
      <c r="AK1966" s="12" t="s">
        <v>160</v>
      </c>
      <c r="AL1966" s="12"/>
      <c r="AM1966" s="12"/>
      <c r="AN1966" s="12"/>
      <c r="AO1966" s="12"/>
      <c r="AP1966" s="12"/>
      <c r="AQ1966" s="12"/>
      <c r="AR1966" s="12"/>
      <c r="AS1966" s="12"/>
      <c r="AT1966" s="12"/>
      <c r="AU1966" s="12"/>
      <c r="AV1966" s="12"/>
      <c r="AW1966" s="12"/>
      <c r="AX1966" s="12"/>
      <c r="AY1966" s="12"/>
      <c r="AZ1966" s="12"/>
      <c r="BA1966" s="12"/>
      <c r="BB1966" s="12"/>
      <c r="BC1966" s="12"/>
      <c r="BD1966" s="12"/>
      <c r="BE1966" s="12"/>
      <c r="BF1966" s="12"/>
      <c r="BG1966" s="12"/>
      <c r="BH1966" s="12"/>
      <c r="BI1966" s="12"/>
      <c r="BJ1966" s="12"/>
      <c r="BK1966" s="12"/>
      <c r="BL1966" s="12"/>
      <c r="BM1966" s="12"/>
      <c r="BN1966" s="12"/>
      <c r="BO1966" s="12"/>
      <c r="BP1966" s="12"/>
      <c r="BQ1966" s="12"/>
      <c r="BR1966" s="12"/>
      <c r="BS1966" s="12"/>
      <c r="BT1966" s="12"/>
      <c r="BU1966" s="12"/>
      <c r="BV1966" s="12"/>
      <c r="BW1966" s="12"/>
      <c r="BX1966" s="12"/>
      <c r="BY1966" s="12"/>
      <c r="BZ1966" s="12"/>
      <c r="CA1966" s="12"/>
      <c r="CB1966" s="12"/>
      <c r="CC1966" s="12"/>
      <c r="CD1966" s="12"/>
    </row>
    <row r="1967" spans="1:82">
      <c r="A1967" s="12" t="s">
        <v>2016</v>
      </c>
      <c r="B1967" s="12" t="str">
        <f t="shared" si="366"/>
        <v>VANJAARSVELD</v>
      </c>
      <c r="C1967" s="12" t="str">
        <f t="shared" si="367"/>
        <v>VAN JAARSVELD</v>
      </c>
      <c r="D1967" s="12" t="s">
        <v>14617</v>
      </c>
      <c r="E1967" s="12" t="str">
        <f t="shared" si="377"/>
        <v>Albertus Stephanus</v>
      </c>
      <c r="F1967" s="12" t="s">
        <v>1137</v>
      </c>
      <c r="G1967" s="12" t="str">
        <f t="shared" si="368"/>
        <v>a1b2c3d9e2</v>
      </c>
      <c r="H1967" s="12" t="str">
        <f t="shared" si="369"/>
        <v>VAN JAARSVELDa1b2c3d9e2</v>
      </c>
      <c r="I1967" s="12"/>
      <c r="J1967" s="12" t="s">
        <v>14619</v>
      </c>
      <c r="K1967" s="12" t="str">
        <f t="shared" si="370"/>
        <v>1823</v>
      </c>
      <c r="L1967" s="12" t="s">
        <v>53</v>
      </c>
      <c r="M1967" s="12" t="s">
        <v>14620</v>
      </c>
      <c r="N1967" s="12" t="str">
        <f t="shared" si="375"/>
        <v>1823</v>
      </c>
      <c r="O1967" s="12" t="str">
        <f t="shared" si="376"/>
        <v>1825</v>
      </c>
      <c r="P1967" s="12" t="s">
        <v>160</v>
      </c>
      <c r="Q1967" s="12" t="str">
        <f t="shared" si="371"/>
        <v>1823</v>
      </c>
      <c r="R1967" s="12" t="s">
        <v>14621</v>
      </c>
      <c r="S1967" s="12" t="str">
        <f t="shared" si="372"/>
        <v>1872</v>
      </c>
      <c r="T1967" s="12"/>
      <c r="U1967" s="12"/>
      <c r="V1967" s="12" t="str">
        <f t="shared" si="373"/>
        <v/>
      </c>
      <c r="W1967" s="12" t="s">
        <v>14622</v>
      </c>
      <c r="X1967" s="12" t="s">
        <v>694</v>
      </c>
      <c r="Y1967" s="12"/>
      <c r="Z1967" s="12"/>
      <c r="AA1967" s="12"/>
      <c r="AB1967" s="12"/>
      <c r="AC1967" s="12"/>
      <c r="AD1967" s="12"/>
      <c r="AE1967" s="12"/>
      <c r="AF1967" s="12"/>
      <c r="AG1967" s="12" t="s">
        <v>74</v>
      </c>
      <c r="AH1967" s="12">
        <v>1837</v>
      </c>
      <c r="AI1967" s="12" t="str">
        <f t="shared" si="374"/>
        <v>1837</v>
      </c>
      <c r="AJ1967" s="12"/>
      <c r="AK1967" s="12" t="s">
        <v>160</v>
      </c>
      <c r="AL1967" s="12"/>
      <c r="AM1967" s="12"/>
      <c r="AN1967" s="12"/>
      <c r="AO1967" s="12"/>
      <c r="AP1967" s="12"/>
      <c r="AQ1967" s="12"/>
      <c r="AR1967" s="12"/>
      <c r="AS1967" s="12"/>
      <c r="AT1967" s="12"/>
      <c r="AU1967" s="12"/>
      <c r="AV1967" s="12"/>
      <c r="AW1967" s="12"/>
      <c r="AX1967" s="12"/>
      <c r="AY1967" s="12"/>
      <c r="AZ1967" s="12"/>
      <c r="BA1967" s="12"/>
      <c r="BB1967" s="12"/>
      <c r="BC1967" s="12"/>
      <c r="BD1967" s="12"/>
      <c r="BE1967" s="12"/>
      <c r="BF1967" s="12"/>
      <c r="BG1967" s="12"/>
      <c r="BH1967" s="12"/>
      <c r="BI1967" s="12"/>
      <c r="BJ1967" s="12"/>
      <c r="BK1967" s="12"/>
      <c r="BL1967" s="12"/>
      <c r="BM1967" s="12"/>
      <c r="BN1967" s="12"/>
      <c r="BO1967" s="12"/>
      <c r="BP1967" s="12"/>
      <c r="BQ1967" s="12"/>
      <c r="BR1967" s="12"/>
      <c r="BS1967" s="12"/>
      <c r="BT1967" s="12"/>
      <c r="BU1967" s="12"/>
      <c r="BV1967" s="12"/>
      <c r="BW1967" s="12"/>
      <c r="BX1967" s="12"/>
      <c r="BY1967" s="12"/>
      <c r="BZ1967" s="12"/>
      <c r="CA1967" s="12"/>
      <c r="CB1967" s="12"/>
      <c r="CC1967" s="12"/>
      <c r="CD1967" s="12"/>
    </row>
    <row r="1968" spans="1:82">
      <c r="A1968" s="12" t="s">
        <v>2016</v>
      </c>
      <c r="B1968" s="12" t="str">
        <f t="shared" si="366"/>
        <v>VANJAARSVELD</v>
      </c>
      <c r="C1968" s="12" t="str">
        <f t="shared" si="367"/>
        <v>VAN JAARSVELD</v>
      </c>
      <c r="D1968" s="12" t="s">
        <v>14607</v>
      </c>
      <c r="E1968" s="12" t="str">
        <f t="shared" si="377"/>
        <v>Adriaan Albertus Johannes</v>
      </c>
      <c r="F1968" s="12" t="s">
        <v>14608</v>
      </c>
      <c r="G1968" s="12" t="str">
        <f t="shared" si="368"/>
        <v>a1b9c1d1e1</v>
      </c>
      <c r="H1968" s="12" t="str">
        <f t="shared" si="369"/>
        <v>VAN JAARSVELDa1b9c1d1e1</v>
      </c>
      <c r="I1968" s="12"/>
      <c r="J1968" s="12" t="s">
        <v>14609</v>
      </c>
      <c r="K1968" s="12" t="str">
        <f t="shared" si="370"/>
        <v>1818</v>
      </c>
      <c r="L1968" s="12" t="s">
        <v>199</v>
      </c>
      <c r="M1968" s="12" t="s">
        <v>4956</v>
      </c>
      <c r="N1968" s="12" t="str">
        <f t="shared" si="375"/>
        <v>1818</v>
      </c>
      <c r="O1968" s="12" t="str">
        <f t="shared" si="376"/>
        <v>1819</v>
      </c>
      <c r="P1968" s="12"/>
      <c r="Q1968" s="12" t="str">
        <f t="shared" si="371"/>
        <v>1818</v>
      </c>
      <c r="R1968" s="12"/>
      <c r="S1968" s="12" t="str">
        <f t="shared" si="372"/>
        <v/>
      </c>
      <c r="T1968" s="12"/>
      <c r="U1968" s="12"/>
      <c r="V1968" s="12" t="str">
        <f t="shared" si="373"/>
        <v/>
      </c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 t="s">
        <v>199</v>
      </c>
      <c r="AH1968" s="12"/>
      <c r="AI1968" s="12" t="str">
        <f t="shared" si="374"/>
        <v/>
      </c>
      <c r="AJ1968" s="12"/>
      <c r="AK1968" s="12"/>
      <c r="AL1968" s="12"/>
      <c r="AM1968" s="12"/>
      <c r="AN1968" s="12"/>
      <c r="AO1968" s="12"/>
      <c r="AP1968" s="12"/>
      <c r="AQ1968" s="12"/>
      <c r="AR1968" s="12"/>
      <c r="AS1968" s="12"/>
      <c r="AT1968" s="12"/>
      <c r="AU1968" s="12"/>
      <c r="AV1968" s="12"/>
      <c r="AW1968" s="12"/>
      <c r="AX1968" s="12"/>
      <c r="AY1968" s="12"/>
      <c r="AZ1968" s="12"/>
      <c r="BA1968" s="12"/>
      <c r="BB1968" s="12"/>
      <c r="BC1968" s="12"/>
      <c r="BD1968" s="12"/>
      <c r="BE1968" s="12"/>
      <c r="BF1968" s="12"/>
      <c r="BG1968" s="12"/>
      <c r="BH1968" s="12"/>
      <c r="BI1968" s="12"/>
      <c r="BJ1968" s="12"/>
      <c r="BK1968" s="12"/>
      <c r="BL1968" s="12"/>
      <c r="BM1968" s="12"/>
      <c r="BN1968" s="12"/>
      <c r="BO1968" s="12"/>
      <c r="BP1968" s="12"/>
      <c r="BQ1968" s="12"/>
      <c r="BR1968" s="12"/>
      <c r="BS1968" s="12"/>
      <c r="BT1968" s="12"/>
      <c r="BU1968" s="12"/>
      <c r="BV1968" s="12"/>
      <c r="BW1968" s="12"/>
      <c r="BX1968" s="12"/>
      <c r="BY1968" s="12"/>
      <c r="BZ1968" s="12"/>
      <c r="CA1968" s="12"/>
      <c r="CB1968" s="12"/>
      <c r="CC1968" s="12"/>
      <c r="CD1968" s="12"/>
    </row>
    <row r="1969" spans="1:82">
      <c r="A1969" s="12" t="s">
        <v>4561</v>
      </c>
      <c r="B1969" s="12" t="str">
        <f t="shared" si="366"/>
        <v>VANLOGGERENBERG</v>
      </c>
      <c r="C1969" s="12" t="str">
        <f t="shared" si="367"/>
        <v>VAN LOGGERENBERG</v>
      </c>
      <c r="D1969" s="12" t="s">
        <v>12982</v>
      </c>
      <c r="E1969" s="12" t="str">
        <f t="shared" si="377"/>
        <v>Nicolaas</v>
      </c>
      <c r="F1969" s="12" t="s">
        <v>934</v>
      </c>
      <c r="G1969" s="12" t="str">
        <f t="shared" si="368"/>
        <v>a1b1c2</v>
      </c>
      <c r="H1969" s="12" t="str">
        <f t="shared" si="369"/>
        <v>VAN LOGGERENBERGa1b1c2</v>
      </c>
      <c r="I1969" s="12"/>
      <c r="J1969" s="12"/>
      <c r="K1969" s="12" t="str">
        <f t="shared" si="370"/>
        <v/>
      </c>
      <c r="L1969" s="12"/>
      <c r="M1969" s="12" t="s">
        <v>14645</v>
      </c>
      <c r="N1969" s="12" t="str">
        <f t="shared" si="375"/>
        <v/>
      </c>
      <c r="O1969" s="12" t="str">
        <f t="shared" si="376"/>
        <v>1767</v>
      </c>
      <c r="P1969" s="12"/>
      <c r="Q1969" s="12" t="str">
        <f t="shared" si="371"/>
        <v>1767</v>
      </c>
      <c r="R1969" s="12"/>
      <c r="S1969" s="12" t="str">
        <f t="shared" si="372"/>
        <v/>
      </c>
      <c r="T1969" s="12"/>
      <c r="U1969" s="12" t="s">
        <v>14646</v>
      </c>
      <c r="V1969" s="12" t="str">
        <f t="shared" si="373"/>
        <v>1791</v>
      </c>
      <c r="W1969" s="12" t="s">
        <v>14647</v>
      </c>
      <c r="X1969" s="12" t="s">
        <v>758</v>
      </c>
      <c r="Y1969" s="12"/>
      <c r="Z1969" s="12"/>
      <c r="AA1969" s="12"/>
      <c r="AB1969" s="12"/>
      <c r="AC1969" s="12"/>
      <c r="AD1969" s="12"/>
      <c r="AE1969" s="12"/>
      <c r="AF1969" s="12"/>
      <c r="AG1969" s="12" t="s">
        <v>74</v>
      </c>
      <c r="AH1969" s="12" t="s">
        <v>12900</v>
      </c>
      <c r="AI1969" s="12" t="str">
        <f t="shared" si="374"/>
        <v>1836</v>
      </c>
      <c r="AJ1969" s="12" t="s">
        <v>10539</v>
      </c>
      <c r="AK1969" s="12"/>
      <c r="AL1969" s="12"/>
      <c r="AM1969" s="12"/>
      <c r="AN1969" s="12"/>
      <c r="AO1969" s="12"/>
      <c r="AP1969" s="12"/>
      <c r="AQ1969" s="12"/>
      <c r="AR1969" s="12"/>
      <c r="AS1969" s="12"/>
      <c r="AT1969" s="12"/>
      <c r="AU1969" s="12"/>
      <c r="AV1969" s="12"/>
      <c r="AW1969" s="12"/>
      <c r="AX1969" s="12"/>
      <c r="AY1969" s="12"/>
      <c r="AZ1969" s="12"/>
      <c r="BA1969" s="12"/>
      <c r="BB1969" s="12"/>
      <c r="BC1969" s="12"/>
      <c r="BD1969" s="12"/>
      <c r="BE1969" s="12"/>
      <c r="BF1969" s="12"/>
      <c r="BG1969" s="12"/>
      <c r="BH1969" s="12"/>
      <c r="BI1969" s="12"/>
      <c r="BJ1969" s="12"/>
      <c r="BK1969" s="12"/>
      <c r="BL1969" s="12"/>
      <c r="BM1969" s="12"/>
      <c r="BN1969" s="12"/>
      <c r="BO1969" s="12"/>
      <c r="BP1969" s="12"/>
      <c r="BQ1969" s="12"/>
      <c r="BR1969" s="12"/>
      <c r="BS1969" s="12"/>
      <c r="BT1969" s="12"/>
      <c r="BU1969" s="12"/>
      <c r="BV1969" s="12"/>
      <c r="BW1969" s="12"/>
      <c r="BX1969" s="12"/>
      <c r="BY1969" s="12"/>
      <c r="BZ1969" s="12"/>
      <c r="CA1969" s="12"/>
      <c r="CB1969" s="12"/>
      <c r="CC1969" s="12"/>
      <c r="CD1969" s="12"/>
    </row>
    <row r="1970" spans="1:82">
      <c r="A1970" s="12" t="s">
        <v>4561</v>
      </c>
      <c r="B1970" s="12" t="str">
        <f t="shared" ref="B1970:B2033" si="378">SUBSTITUTE(A1970," ","")</f>
        <v>VANLOGGERENBERG</v>
      </c>
      <c r="C1970" s="12" t="str">
        <f t="shared" ref="C1970:C2033" si="379">TRIM(A1970)</f>
        <v>VAN LOGGERENBERG</v>
      </c>
      <c r="D1970" s="12" t="s">
        <v>14636</v>
      </c>
      <c r="E1970" s="12" t="str">
        <f t="shared" si="377"/>
        <v>Hendrik Joseph</v>
      </c>
      <c r="F1970" s="12" t="s">
        <v>896</v>
      </c>
      <c r="G1970" s="12" t="str">
        <f t="shared" ref="G1970:G2033" si="380">IF(LEFT(F1970,1)="b","a1"&amp;F1970,F1970)</f>
        <v>a1b1c2d5</v>
      </c>
      <c r="H1970" s="12" t="str">
        <f t="shared" ref="H1970:H2033" si="381">C1970&amp;G1970</f>
        <v>VAN LOGGERENBERGa1b1c2d5</v>
      </c>
      <c r="I1970" s="12"/>
      <c r="J1970" s="12"/>
      <c r="K1970" s="12" t="str">
        <f t="shared" ref="K1970:K2033" si="382">RIGHT(J1970,4)</f>
        <v/>
      </c>
      <c r="L1970" s="12" t="s">
        <v>32</v>
      </c>
      <c r="M1970" s="12" t="s">
        <v>14637</v>
      </c>
      <c r="N1970" s="12" t="str">
        <f t="shared" si="375"/>
        <v/>
      </c>
      <c r="O1970" s="12" t="str">
        <f t="shared" si="376"/>
        <v>1799</v>
      </c>
      <c r="P1970" s="12"/>
      <c r="Q1970" s="12" t="str">
        <f t="shared" ref="Q1970:Q2033" si="383">IF(N1970="",O1970,N1970)</f>
        <v>1799</v>
      </c>
      <c r="R1970" s="12"/>
      <c r="S1970" s="12" t="str">
        <f t="shared" ref="S1970:S2033" si="384">RIGHT(R1970,4)</f>
        <v/>
      </c>
      <c r="T1970" s="12" t="s">
        <v>53</v>
      </c>
      <c r="U1970" s="12" t="s">
        <v>1480</v>
      </c>
      <c r="V1970" s="12" t="str">
        <f t="shared" ref="V1970:V2033" si="385">RIGHT(U1970,4)</f>
        <v>1822</v>
      </c>
      <c r="W1970" s="12" t="s">
        <v>1800</v>
      </c>
      <c r="X1970" s="12" t="s">
        <v>786</v>
      </c>
      <c r="Y1970" s="12"/>
      <c r="Z1970" s="12"/>
      <c r="AA1970" s="12"/>
      <c r="AB1970" s="12"/>
      <c r="AC1970" s="12"/>
      <c r="AD1970" s="12"/>
      <c r="AE1970" s="12"/>
      <c r="AF1970" s="12" t="s">
        <v>4785</v>
      </c>
      <c r="AG1970" s="12" t="s">
        <v>53</v>
      </c>
      <c r="AH1970" s="12" t="s">
        <v>12900</v>
      </c>
      <c r="AI1970" s="12" t="str">
        <f t="shared" ref="AI1970:AI2033" si="386">RIGHT(AH1970,4)</f>
        <v>1836</v>
      </c>
      <c r="AJ1970" s="12" t="s">
        <v>10539</v>
      </c>
      <c r="AK1970" s="12" t="s">
        <v>140</v>
      </c>
      <c r="AL1970" s="12" t="s">
        <v>140</v>
      </c>
      <c r="AM1970" s="12" t="s">
        <v>1019</v>
      </c>
      <c r="AN1970" s="12" t="s">
        <v>5127</v>
      </c>
      <c r="AO1970" s="12" t="s">
        <v>14638</v>
      </c>
      <c r="AP1970" s="12"/>
      <c r="AQ1970" s="12"/>
      <c r="AR1970" s="12"/>
      <c r="AS1970" s="12"/>
      <c r="AT1970" s="12"/>
      <c r="AU1970" s="12"/>
      <c r="AV1970" s="12"/>
      <c r="AW1970" s="12"/>
      <c r="AX1970" s="12"/>
      <c r="AY1970" s="12"/>
      <c r="AZ1970" s="12"/>
      <c r="BA1970" s="12"/>
      <c r="BB1970" s="12"/>
      <c r="BC1970" s="12"/>
      <c r="BD1970" s="12"/>
      <c r="BE1970" s="12"/>
      <c r="BF1970" s="12"/>
      <c r="BG1970" s="12"/>
      <c r="BH1970" s="12"/>
      <c r="BI1970" s="12"/>
      <c r="BJ1970" s="12"/>
      <c r="BK1970" s="12"/>
      <c r="BL1970" s="12"/>
      <c r="BM1970" s="12"/>
      <c r="BN1970" s="12"/>
      <c r="BO1970" s="12"/>
      <c r="BP1970" s="12"/>
      <c r="BQ1970" s="12"/>
      <c r="BR1970" s="12"/>
      <c r="BS1970" s="12"/>
      <c r="BT1970" s="12"/>
      <c r="BU1970" s="12"/>
      <c r="BV1970" s="12"/>
      <c r="BW1970" s="12"/>
      <c r="BX1970" s="12"/>
      <c r="BY1970" s="12"/>
      <c r="BZ1970" s="12"/>
      <c r="CA1970" s="12"/>
      <c r="CB1970" s="12"/>
      <c r="CC1970" s="12"/>
      <c r="CD1970" s="12"/>
    </row>
    <row r="1971" spans="1:82">
      <c r="A1971" s="12" t="s">
        <v>4561</v>
      </c>
      <c r="B1971" s="12" t="str">
        <f t="shared" si="378"/>
        <v>VANLOGGERENBERG</v>
      </c>
      <c r="C1971" s="12" t="str">
        <f t="shared" si="379"/>
        <v>VAN LOGGERENBERG</v>
      </c>
      <c r="D1971" s="12" t="s">
        <v>47</v>
      </c>
      <c r="E1971" s="12" t="str">
        <f t="shared" si="377"/>
        <v>Johannes Hendricus</v>
      </c>
      <c r="F1971" s="12" t="s">
        <v>943</v>
      </c>
      <c r="G1971" s="12" t="str">
        <f t="shared" si="380"/>
        <v>a1b1c7</v>
      </c>
      <c r="H1971" s="12" t="str">
        <f t="shared" si="381"/>
        <v>VAN LOGGERENBERGa1b1c7</v>
      </c>
      <c r="I1971" s="12"/>
      <c r="J1971" s="12"/>
      <c r="K1971" s="12" t="str">
        <f t="shared" si="382"/>
        <v/>
      </c>
      <c r="L1971" s="12"/>
      <c r="M1971" s="12" t="s">
        <v>14639</v>
      </c>
      <c r="N1971" s="12" t="str">
        <f t="shared" si="375"/>
        <v/>
      </c>
      <c r="O1971" s="12" t="str">
        <f t="shared" si="376"/>
        <v>1778</v>
      </c>
      <c r="P1971" s="12" t="s">
        <v>90</v>
      </c>
      <c r="Q1971" s="12" t="str">
        <f t="shared" si="383"/>
        <v>1778</v>
      </c>
      <c r="R1971" s="12">
        <v>1838</v>
      </c>
      <c r="S1971" s="12" t="str">
        <f t="shared" si="384"/>
        <v>1838</v>
      </c>
      <c r="T1971" s="12"/>
      <c r="U1971" s="12" t="s">
        <v>14640</v>
      </c>
      <c r="V1971" s="12" t="str">
        <f t="shared" si="385"/>
        <v>1798</v>
      </c>
      <c r="W1971" s="12" t="s">
        <v>5365</v>
      </c>
      <c r="X1971" s="12" t="s">
        <v>1003</v>
      </c>
      <c r="Y1971" s="12"/>
      <c r="Z1971" s="12"/>
      <c r="AA1971" s="12"/>
      <c r="AB1971" s="12"/>
      <c r="AC1971" s="12"/>
      <c r="AD1971" s="12"/>
      <c r="AE1971" s="12"/>
      <c r="AF1971" s="12" t="s">
        <v>14641</v>
      </c>
      <c r="AG1971" s="12" t="s">
        <v>68</v>
      </c>
      <c r="AH1971" s="12" t="s">
        <v>12900</v>
      </c>
      <c r="AI1971" s="12" t="str">
        <f t="shared" si="386"/>
        <v>1836</v>
      </c>
      <c r="AJ1971" s="12" t="s">
        <v>10539</v>
      </c>
      <c r="AK1971" s="12"/>
      <c r="AL1971" s="12"/>
      <c r="AM1971" s="12" t="s">
        <v>5364</v>
      </c>
      <c r="AN1971" s="12" t="s">
        <v>14642</v>
      </c>
      <c r="AO1971" s="12" t="s">
        <v>1578</v>
      </c>
      <c r="AP1971" s="12" t="s">
        <v>14643</v>
      </c>
      <c r="AQ1971" s="12"/>
      <c r="AR1971" s="12"/>
      <c r="AS1971" s="12"/>
      <c r="AT1971" s="12" t="s">
        <v>14644</v>
      </c>
      <c r="AU1971" s="12"/>
      <c r="AV1971" s="12"/>
      <c r="AW1971" s="12"/>
      <c r="AX1971" s="12"/>
      <c r="AY1971" s="12"/>
      <c r="AZ1971" s="12"/>
      <c r="BA1971" s="12"/>
      <c r="BB1971" s="12"/>
      <c r="BC1971" s="12"/>
      <c r="BD1971" s="12"/>
      <c r="BE1971" s="12"/>
      <c r="BF1971" s="12"/>
      <c r="BG1971" s="12"/>
      <c r="BH1971" s="12"/>
      <c r="BI1971" s="12"/>
      <c r="BJ1971" s="12"/>
      <c r="BK1971" s="12"/>
      <c r="BL1971" s="12"/>
      <c r="BM1971" s="12"/>
      <c r="BN1971" s="12"/>
      <c r="BO1971" s="12"/>
      <c r="BP1971" s="12"/>
      <c r="BQ1971" s="12"/>
      <c r="BR1971" s="12"/>
      <c r="BS1971" s="12"/>
      <c r="BT1971" s="12"/>
      <c r="BU1971" s="12"/>
      <c r="BV1971" s="12"/>
      <c r="BW1971" s="12"/>
      <c r="BX1971" s="12"/>
      <c r="BY1971" s="12"/>
      <c r="BZ1971" s="12"/>
      <c r="CA1971" s="12"/>
      <c r="CB1971" s="12"/>
      <c r="CC1971" s="12"/>
      <c r="CD1971" s="12"/>
    </row>
    <row r="1972" spans="1:82">
      <c r="A1972" s="12" t="s">
        <v>760</v>
      </c>
      <c r="B1972" s="12" t="str">
        <f t="shared" si="378"/>
        <v>VANNIEKERK</v>
      </c>
      <c r="C1972" s="12" t="str">
        <f t="shared" si="379"/>
        <v>VAN NIEKERK</v>
      </c>
      <c r="D1972" s="12" t="s">
        <v>14698</v>
      </c>
      <c r="E1972" s="12" t="str">
        <f t="shared" si="377"/>
        <v>Gulliam Lacobus Stephanus</v>
      </c>
      <c r="F1972" s="12" t="s">
        <v>8384</v>
      </c>
      <c r="G1972" s="12" t="str">
        <f t="shared" si="380"/>
        <v>a1b2c3d2e4</v>
      </c>
      <c r="H1972" s="12" t="str">
        <f t="shared" si="381"/>
        <v>VAN NIEKERKa1b2c3d2e4</v>
      </c>
      <c r="I1972" s="12"/>
      <c r="J1972" s="12"/>
      <c r="K1972" s="12" t="str">
        <f t="shared" si="382"/>
        <v/>
      </c>
      <c r="L1972" s="12"/>
      <c r="M1972" s="12"/>
      <c r="N1972" s="12" t="str">
        <f t="shared" si="375"/>
        <v/>
      </c>
      <c r="O1972" s="12" t="str">
        <f t="shared" si="376"/>
        <v/>
      </c>
      <c r="P1972" s="12"/>
      <c r="Q1972" s="12" t="str">
        <f t="shared" si="383"/>
        <v/>
      </c>
      <c r="R1972" s="12"/>
      <c r="S1972" s="12" t="str">
        <f t="shared" si="384"/>
        <v/>
      </c>
      <c r="T1972" s="12"/>
      <c r="U1972" s="12"/>
      <c r="V1972" s="12" t="str">
        <f t="shared" si="385"/>
        <v/>
      </c>
      <c r="W1972" s="12" t="s">
        <v>2644</v>
      </c>
      <c r="X1972" s="12" t="s">
        <v>662</v>
      </c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 t="s">
        <v>12677</v>
      </c>
      <c r="AI1972" s="12" t="str">
        <f t="shared" si="386"/>
        <v>1842</v>
      </c>
      <c r="AJ1972" s="12"/>
      <c r="AK1972" s="12" t="s">
        <v>551</v>
      </c>
      <c r="AL1972" s="12"/>
      <c r="AM1972" s="12"/>
      <c r="AN1972" s="12"/>
      <c r="AO1972" s="12"/>
      <c r="AP1972" s="12"/>
      <c r="AQ1972" s="12"/>
      <c r="AR1972" s="12"/>
      <c r="AS1972" s="12"/>
      <c r="AT1972" s="12"/>
      <c r="AU1972" s="12"/>
      <c r="AV1972" s="12"/>
      <c r="AW1972" s="12"/>
      <c r="AX1972" s="12"/>
      <c r="AY1972" s="12"/>
      <c r="AZ1972" s="12"/>
      <c r="BA1972" s="12"/>
      <c r="BB1972" s="12"/>
      <c r="BC1972" s="12"/>
      <c r="BD1972" s="12"/>
      <c r="BE1972" s="12"/>
      <c r="BF1972" s="12"/>
      <c r="BG1972" s="12"/>
      <c r="BH1972" s="12"/>
      <c r="BI1972" s="12"/>
      <c r="BJ1972" s="12"/>
      <c r="BK1972" s="12"/>
      <c r="BL1972" s="12"/>
      <c r="BM1972" s="12"/>
      <c r="BN1972" s="12"/>
      <c r="BO1972" s="12"/>
      <c r="BP1972" s="12"/>
      <c r="BQ1972" s="12"/>
      <c r="BR1972" s="12"/>
      <c r="BS1972" s="12"/>
      <c r="BT1972" s="12"/>
      <c r="BU1972" s="12"/>
      <c r="BV1972" s="12"/>
      <c r="BW1972" s="12"/>
      <c r="BX1972" s="12"/>
      <c r="BY1972" s="12"/>
      <c r="BZ1972" s="12"/>
      <c r="CA1972" s="12"/>
      <c r="CB1972" s="12"/>
      <c r="CC1972" s="12"/>
      <c r="CD1972" s="12"/>
    </row>
    <row r="1973" spans="1:82">
      <c r="A1973" s="12" t="s">
        <v>760</v>
      </c>
      <c r="B1973" s="12" t="str">
        <f t="shared" si="378"/>
        <v>VANNIEKERK</v>
      </c>
      <c r="C1973" s="12" t="str">
        <f t="shared" si="379"/>
        <v>VAN NIEKERK</v>
      </c>
      <c r="D1973" s="12" t="s">
        <v>4308</v>
      </c>
      <c r="E1973" s="12" t="str">
        <f t="shared" si="377"/>
        <v>Pieter Johannes</v>
      </c>
      <c r="F1973" s="12" t="s">
        <v>12296</v>
      </c>
      <c r="G1973" s="12" t="str">
        <f t="shared" si="380"/>
        <v>a1b2c3d6e2</v>
      </c>
      <c r="H1973" s="12" t="str">
        <f t="shared" si="381"/>
        <v>VAN NIEKERKa1b2c3d6e2</v>
      </c>
      <c r="I1973" s="12"/>
      <c r="J1973" s="12"/>
      <c r="K1973" s="12" t="str">
        <f t="shared" si="382"/>
        <v/>
      </c>
      <c r="L1973" s="12"/>
      <c r="M1973" s="12" t="s">
        <v>14759</v>
      </c>
      <c r="N1973" s="12" t="str">
        <f t="shared" si="375"/>
        <v/>
      </c>
      <c r="O1973" s="12" t="str">
        <f t="shared" si="376"/>
        <v>1799</v>
      </c>
      <c r="P1973" s="12"/>
      <c r="Q1973" s="12" t="str">
        <f t="shared" si="383"/>
        <v>1799</v>
      </c>
      <c r="R1973" s="12"/>
      <c r="S1973" s="12" t="str">
        <f t="shared" si="384"/>
        <v/>
      </c>
      <c r="T1973" s="12" t="s">
        <v>74</v>
      </c>
      <c r="U1973" s="12" t="s">
        <v>7219</v>
      </c>
      <c r="V1973" s="12" t="str">
        <f t="shared" si="385"/>
        <v>1818</v>
      </c>
      <c r="W1973" s="12" t="s">
        <v>14760</v>
      </c>
      <c r="X1973" s="12" t="s">
        <v>633</v>
      </c>
      <c r="Y1973" s="12"/>
      <c r="Z1973" s="12"/>
      <c r="AA1973" s="12"/>
      <c r="AB1973" s="12"/>
      <c r="AC1973" s="12"/>
      <c r="AD1973" s="12"/>
      <c r="AE1973" s="12"/>
      <c r="AF1973" s="12" t="s">
        <v>60</v>
      </c>
      <c r="AG1973" s="12" t="s">
        <v>74</v>
      </c>
      <c r="AH1973" s="12" t="s">
        <v>5021</v>
      </c>
      <c r="AI1973" s="12" t="str">
        <f t="shared" si="386"/>
        <v>1842</v>
      </c>
      <c r="AJ1973" s="12"/>
      <c r="AK1973" s="12" t="s">
        <v>90</v>
      </c>
      <c r="AL1973" s="12"/>
      <c r="AM1973" s="12"/>
      <c r="AN1973" s="12"/>
      <c r="AO1973" s="12"/>
      <c r="AP1973" s="12"/>
      <c r="AQ1973" s="12"/>
      <c r="AR1973" s="12"/>
      <c r="AS1973" s="12"/>
      <c r="AT1973" s="12"/>
      <c r="AU1973" s="12"/>
      <c r="AV1973" s="12"/>
      <c r="AW1973" s="12"/>
      <c r="AX1973" s="12"/>
      <c r="AY1973" s="12"/>
      <c r="AZ1973" s="12"/>
      <c r="BA1973" s="12"/>
      <c r="BB1973" s="12"/>
      <c r="BC1973" s="12"/>
      <c r="BD1973" s="12"/>
      <c r="BE1973" s="12"/>
      <c r="BF1973" s="12"/>
      <c r="BG1973" s="12"/>
      <c r="BH1973" s="12"/>
      <c r="BI1973" s="12"/>
      <c r="BJ1973" s="12"/>
      <c r="BK1973" s="12"/>
      <c r="BL1973" s="12"/>
      <c r="BM1973" s="12"/>
      <c r="BN1973" s="12"/>
      <c r="BO1973" s="12"/>
      <c r="BP1973" s="12"/>
      <c r="BQ1973" s="12"/>
      <c r="BR1973" s="12"/>
      <c r="BS1973" s="12"/>
      <c r="BT1973" s="12"/>
      <c r="BU1973" s="12"/>
      <c r="BV1973" s="12"/>
      <c r="BW1973" s="12"/>
      <c r="BX1973" s="12"/>
      <c r="BY1973" s="12"/>
      <c r="BZ1973" s="12"/>
      <c r="CA1973" s="12"/>
      <c r="CB1973" s="12"/>
      <c r="CC1973" s="12"/>
      <c r="CD1973" s="12"/>
    </row>
    <row r="1974" spans="1:82">
      <c r="A1974" s="12" t="s">
        <v>760</v>
      </c>
      <c r="B1974" s="12" t="str">
        <f t="shared" si="378"/>
        <v>VANNIEKERK</v>
      </c>
      <c r="C1974" s="12" t="str">
        <f t="shared" si="379"/>
        <v>VAN NIEKERK</v>
      </c>
      <c r="D1974" s="12" t="s">
        <v>14660</v>
      </c>
      <c r="E1974" s="12" t="str">
        <f t="shared" si="377"/>
        <v>Frederik Anthonie</v>
      </c>
      <c r="F1974" s="12" t="s">
        <v>14661</v>
      </c>
      <c r="G1974" s="12" t="str">
        <f t="shared" si="380"/>
        <v>a1b2c3d6e2f2</v>
      </c>
      <c r="H1974" s="12" t="str">
        <f t="shared" si="381"/>
        <v>VAN NIEKERKa1b2c3d6e2f2</v>
      </c>
      <c r="I1974" s="12"/>
      <c r="J1974" s="12" t="s">
        <v>14662</v>
      </c>
      <c r="K1974" s="12" t="str">
        <f t="shared" si="382"/>
        <v>1822</v>
      </c>
      <c r="L1974" s="12" t="s">
        <v>74</v>
      </c>
      <c r="M1974" s="12" t="s">
        <v>3203</v>
      </c>
      <c r="N1974" s="12" t="str">
        <f t="shared" si="375"/>
        <v>1822</v>
      </c>
      <c r="O1974" s="12" t="str">
        <f t="shared" si="376"/>
        <v>1823</v>
      </c>
      <c r="P1974" s="12" t="s">
        <v>160</v>
      </c>
      <c r="Q1974" s="12" t="str">
        <f t="shared" si="383"/>
        <v>1822</v>
      </c>
      <c r="R1974" s="12" t="s">
        <v>14663</v>
      </c>
      <c r="S1974" s="12" t="str">
        <f t="shared" si="384"/>
        <v>1870</v>
      </c>
      <c r="T1974" s="12" t="s">
        <v>140</v>
      </c>
      <c r="U1974" s="12" t="s">
        <v>14664</v>
      </c>
      <c r="V1974" s="12" t="str">
        <f t="shared" si="385"/>
        <v>1849</v>
      </c>
      <c r="W1974" s="12" t="s">
        <v>14665</v>
      </c>
      <c r="X1974" s="12" t="s">
        <v>781</v>
      </c>
      <c r="Y1974" s="12"/>
      <c r="Z1974" s="12"/>
      <c r="AA1974" s="12">
        <v>1831</v>
      </c>
      <c r="AB1974" s="12"/>
      <c r="AC1974" s="12"/>
      <c r="AD1974" s="12"/>
      <c r="AE1974" s="12"/>
      <c r="AF1974" s="12"/>
      <c r="AG1974" s="12"/>
      <c r="AH1974" s="12"/>
      <c r="AI1974" s="12" t="str">
        <f t="shared" si="386"/>
        <v/>
      </c>
      <c r="AJ1974" s="12"/>
      <c r="AK1974" s="12"/>
      <c r="AL1974" s="12"/>
      <c r="AM1974" s="12"/>
      <c r="AN1974" s="12"/>
      <c r="AO1974" s="12"/>
      <c r="AP1974" s="12"/>
      <c r="AQ1974" s="12"/>
      <c r="AR1974" s="12"/>
      <c r="AS1974" s="12"/>
      <c r="AT1974" s="12"/>
      <c r="AU1974" s="12"/>
      <c r="AV1974" s="12"/>
      <c r="AW1974" s="12"/>
      <c r="AX1974" s="12"/>
      <c r="AY1974" s="12"/>
      <c r="AZ1974" s="12"/>
      <c r="BA1974" s="12"/>
      <c r="BB1974" s="12"/>
      <c r="BC1974" s="12"/>
      <c r="BD1974" s="12"/>
      <c r="BE1974" s="12"/>
      <c r="BF1974" s="12"/>
      <c r="BG1974" s="12"/>
      <c r="BH1974" s="12"/>
      <c r="BI1974" s="12"/>
      <c r="BJ1974" s="12"/>
      <c r="BK1974" s="12"/>
      <c r="BL1974" s="12"/>
      <c r="BM1974" s="12"/>
      <c r="BN1974" s="12"/>
      <c r="BO1974" s="12"/>
      <c r="BP1974" s="12"/>
      <c r="BQ1974" s="12"/>
      <c r="BR1974" s="12"/>
      <c r="BS1974" s="12"/>
      <c r="BT1974" s="12"/>
      <c r="BU1974" s="12"/>
      <c r="BV1974" s="12"/>
      <c r="BW1974" s="12"/>
      <c r="BX1974" s="12"/>
      <c r="BY1974" s="12"/>
      <c r="BZ1974" s="12"/>
      <c r="CA1974" s="12"/>
      <c r="CB1974" s="12"/>
      <c r="CC1974" s="12"/>
      <c r="CD1974" s="12"/>
    </row>
    <row r="1975" spans="1:82">
      <c r="A1975" s="12" t="s">
        <v>760</v>
      </c>
      <c r="B1975" s="12" t="str">
        <f t="shared" si="378"/>
        <v>VANNIEKERK</v>
      </c>
      <c r="C1975" s="12" t="str">
        <f t="shared" si="379"/>
        <v>VAN NIEKERK</v>
      </c>
      <c r="D1975" s="12" t="s">
        <v>14752</v>
      </c>
      <c r="E1975" s="12" t="str">
        <f t="shared" si="377"/>
        <v>Ockert Tobias</v>
      </c>
      <c r="F1975" s="12" t="s">
        <v>14753</v>
      </c>
      <c r="G1975" s="12" t="str">
        <f t="shared" si="380"/>
        <v>a1b3c1d1e3f3</v>
      </c>
      <c r="H1975" s="12" t="str">
        <f t="shared" si="381"/>
        <v>VAN NIEKERKa1b3c1d1e3f3</v>
      </c>
      <c r="I1975" s="12"/>
      <c r="J1975" s="12" t="s">
        <v>14560</v>
      </c>
      <c r="K1975" s="12" t="str">
        <f t="shared" si="382"/>
        <v>1805</v>
      </c>
      <c r="L1975" s="12"/>
      <c r="M1975" s="12" t="s">
        <v>14754</v>
      </c>
      <c r="N1975" s="12" t="str">
        <f t="shared" si="375"/>
        <v>1805</v>
      </c>
      <c r="O1975" s="12" t="str">
        <f t="shared" si="376"/>
        <v>1805</v>
      </c>
      <c r="P1975" s="12"/>
      <c r="Q1975" s="12" t="str">
        <f t="shared" si="383"/>
        <v>1805</v>
      </c>
      <c r="R1975" s="12"/>
      <c r="S1975" s="12" t="str">
        <f t="shared" si="384"/>
        <v/>
      </c>
      <c r="T1975" s="12" t="s">
        <v>5738</v>
      </c>
      <c r="U1975" s="12" t="s">
        <v>2024</v>
      </c>
      <c r="V1975" s="12" t="str">
        <f t="shared" si="385"/>
        <v>1829</v>
      </c>
      <c r="W1975" s="12" t="s">
        <v>14755</v>
      </c>
      <c r="X1975" s="12" t="s">
        <v>12919</v>
      </c>
      <c r="Y1975" s="12" t="s">
        <v>14756</v>
      </c>
      <c r="Z1975" s="12"/>
      <c r="AA1975" s="12" t="s">
        <v>14757</v>
      </c>
      <c r="AB1975" s="12"/>
      <c r="AC1975" s="12"/>
      <c r="AD1975" s="12"/>
      <c r="AE1975" s="12" t="s">
        <v>14758</v>
      </c>
      <c r="AF1975" s="12"/>
      <c r="AG1975" s="12"/>
      <c r="AH1975" s="12" t="s">
        <v>5021</v>
      </c>
      <c r="AI1975" s="12" t="str">
        <f t="shared" si="386"/>
        <v>1842</v>
      </c>
      <c r="AJ1975" s="12"/>
      <c r="AK1975" s="12"/>
      <c r="AL1975" s="12"/>
      <c r="AM1975" s="12"/>
      <c r="AN1975" s="12"/>
      <c r="AO1975" s="12"/>
      <c r="AP1975" s="12"/>
      <c r="AQ1975" s="12"/>
      <c r="AR1975" s="12"/>
      <c r="AS1975" s="12"/>
      <c r="AT1975" s="12"/>
      <c r="AU1975" s="12"/>
      <c r="AV1975" s="12"/>
      <c r="AW1975" s="12"/>
      <c r="AX1975" s="12"/>
      <c r="AY1975" s="12"/>
      <c r="AZ1975" s="12"/>
      <c r="BA1975" s="12"/>
      <c r="BB1975" s="12"/>
      <c r="BC1975" s="12"/>
      <c r="BD1975" s="12"/>
      <c r="BE1975" s="12"/>
      <c r="BF1975" s="12"/>
      <c r="BG1975" s="12"/>
      <c r="BH1975" s="12"/>
      <c r="BI1975" s="12"/>
      <c r="BJ1975" s="12"/>
      <c r="BK1975" s="12"/>
      <c r="BL1975" s="12"/>
      <c r="BM1975" s="12"/>
      <c r="BN1975" s="12"/>
      <c r="BO1975" s="12"/>
      <c r="BP1975" s="12"/>
      <c r="BQ1975" s="12"/>
      <c r="BR1975" s="12"/>
      <c r="BS1975" s="12"/>
      <c r="BT1975" s="12"/>
      <c r="BU1975" s="12"/>
      <c r="BV1975" s="12"/>
      <c r="BW1975" s="12"/>
      <c r="BX1975" s="12"/>
      <c r="BY1975" s="12"/>
      <c r="BZ1975" s="12"/>
      <c r="CA1975" s="12"/>
      <c r="CB1975" s="12"/>
      <c r="CC1975" s="12"/>
      <c r="CD1975" s="12"/>
    </row>
    <row r="1976" spans="1:82">
      <c r="A1976" s="12" t="s">
        <v>760</v>
      </c>
      <c r="B1976" s="12" t="str">
        <f t="shared" si="378"/>
        <v>VANNIEKERK</v>
      </c>
      <c r="C1976" s="12" t="str">
        <f t="shared" si="379"/>
        <v>VAN NIEKERK</v>
      </c>
      <c r="D1976" s="12" t="s">
        <v>3345</v>
      </c>
      <c r="E1976" s="12" t="str">
        <f t="shared" si="377"/>
        <v>Lucas Cornelis</v>
      </c>
      <c r="F1976" s="12" t="s">
        <v>14742</v>
      </c>
      <c r="G1976" s="12" t="str">
        <f t="shared" si="380"/>
        <v>a1b3c7d10</v>
      </c>
      <c r="H1976" s="12" t="str">
        <f t="shared" si="381"/>
        <v>VAN NIEKERKa1b3c7d10</v>
      </c>
      <c r="I1976" s="12"/>
      <c r="J1976" s="12"/>
      <c r="K1976" s="12" t="str">
        <f t="shared" si="382"/>
        <v/>
      </c>
      <c r="L1976" s="12"/>
      <c r="M1976" s="12" t="s">
        <v>14743</v>
      </c>
      <c r="N1976" s="12" t="str">
        <f t="shared" si="375"/>
        <v/>
      </c>
      <c r="O1976" s="12" t="str">
        <f t="shared" si="376"/>
        <v>1795</v>
      </c>
      <c r="P1976" s="12"/>
      <c r="Q1976" s="12" t="str">
        <f t="shared" si="383"/>
        <v>1795</v>
      </c>
      <c r="R1976" s="12"/>
      <c r="S1976" s="12" t="str">
        <f t="shared" si="384"/>
        <v/>
      </c>
      <c r="T1976" s="12" t="s">
        <v>1071</v>
      </c>
      <c r="U1976" s="12" t="s">
        <v>5067</v>
      </c>
      <c r="V1976" s="12" t="str">
        <f t="shared" si="385"/>
        <v>1820</v>
      </c>
      <c r="W1976" s="12" t="s">
        <v>11511</v>
      </c>
      <c r="X1976" s="12" t="s">
        <v>782</v>
      </c>
      <c r="Y1976" s="12" t="s">
        <v>14744</v>
      </c>
      <c r="Z1976" s="12"/>
      <c r="AA1976" s="12"/>
      <c r="AB1976" s="12"/>
      <c r="AC1976" s="12" t="s">
        <v>3320</v>
      </c>
      <c r="AD1976" s="12"/>
      <c r="AE1976" s="12"/>
      <c r="AF1976" s="12" t="s">
        <v>3677</v>
      </c>
      <c r="AG1976" s="12" t="s">
        <v>53</v>
      </c>
      <c r="AH1976" s="12" t="s">
        <v>14732</v>
      </c>
      <c r="AI1976" s="12" t="str">
        <f t="shared" si="386"/>
        <v>1837</v>
      </c>
      <c r="AJ1976" s="12" t="s">
        <v>2382</v>
      </c>
      <c r="AK1976" s="12" t="s">
        <v>90</v>
      </c>
      <c r="AL1976" s="12"/>
      <c r="AM1976" s="12"/>
      <c r="AN1976" s="12"/>
      <c r="AO1976" s="12"/>
      <c r="AP1976" s="12"/>
      <c r="AQ1976" s="12"/>
      <c r="AR1976" s="12"/>
      <c r="AS1976" s="12"/>
      <c r="AT1976" s="12"/>
      <c r="AU1976" s="12"/>
      <c r="AV1976" s="12"/>
      <c r="AW1976" s="12"/>
      <c r="AX1976" s="12"/>
      <c r="AY1976" s="12"/>
      <c r="AZ1976" s="12"/>
      <c r="BA1976" s="12"/>
      <c r="BB1976" s="12"/>
      <c r="BC1976" s="12"/>
      <c r="BD1976" s="12"/>
      <c r="BE1976" s="12"/>
      <c r="BF1976" s="12"/>
      <c r="BG1976" s="12"/>
      <c r="BH1976" s="12"/>
      <c r="BI1976" s="12"/>
      <c r="BJ1976" s="12"/>
      <c r="BK1976" s="12"/>
      <c r="BL1976" s="12"/>
      <c r="BM1976" s="12"/>
      <c r="BN1976" s="12"/>
      <c r="BO1976" s="12"/>
      <c r="BP1976" s="12"/>
      <c r="BQ1976" s="12"/>
      <c r="BR1976" s="12"/>
      <c r="BS1976" s="12"/>
      <c r="BT1976" s="12"/>
      <c r="BU1976" s="12"/>
      <c r="BV1976" s="12"/>
      <c r="BW1976" s="12"/>
      <c r="BX1976" s="12"/>
      <c r="BY1976" s="12"/>
      <c r="BZ1976" s="12"/>
      <c r="CA1976" s="12"/>
      <c r="CB1976" s="12"/>
      <c r="CC1976" s="12"/>
      <c r="CD1976" s="12"/>
    </row>
    <row r="1977" spans="1:82">
      <c r="A1977" s="12" t="s">
        <v>760</v>
      </c>
      <c r="B1977" s="12" t="str">
        <f t="shared" si="378"/>
        <v>VANNIEKERK</v>
      </c>
      <c r="C1977" s="12" t="str">
        <f t="shared" si="379"/>
        <v>VAN NIEKERK</v>
      </c>
      <c r="D1977" s="12" t="s">
        <v>2929</v>
      </c>
      <c r="E1977" s="12" t="str">
        <f t="shared" si="377"/>
        <v>Gerhardus Wilhelmus</v>
      </c>
      <c r="F1977" s="12" t="s">
        <v>14695</v>
      </c>
      <c r="G1977" s="12" t="str">
        <f t="shared" si="380"/>
        <v>a1b3c7d10e1</v>
      </c>
      <c r="H1977" s="12" t="str">
        <f t="shared" si="381"/>
        <v>VAN NIEKERKa1b3c7d10e1</v>
      </c>
      <c r="I1977" s="12"/>
      <c r="J1977" s="12" t="s">
        <v>13435</v>
      </c>
      <c r="K1977" s="12" t="str">
        <f t="shared" si="382"/>
        <v>1821</v>
      </c>
      <c r="L1977" s="12"/>
      <c r="M1977" s="12"/>
      <c r="N1977" s="12" t="str">
        <f t="shared" si="375"/>
        <v>1821</v>
      </c>
      <c r="O1977" s="12" t="str">
        <f t="shared" si="376"/>
        <v/>
      </c>
      <c r="P1977" s="12"/>
      <c r="Q1977" s="12" t="str">
        <f t="shared" si="383"/>
        <v>1821</v>
      </c>
      <c r="R1977" s="12"/>
      <c r="S1977" s="12" t="str">
        <f t="shared" si="384"/>
        <v/>
      </c>
      <c r="T1977" s="12"/>
      <c r="U1977" s="12"/>
      <c r="V1977" s="12" t="str">
        <f t="shared" si="385"/>
        <v/>
      </c>
      <c r="W1977" s="12" t="s">
        <v>7450</v>
      </c>
      <c r="X1977" s="12" t="s">
        <v>2944</v>
      </c>
      <c r="Y1977" s="12" t="s">
        <v>1656</v>
      </c>
      <c r="Z1977" s="12"/>
      <c r="AA1977" s="12"/>
      <c r="AB1977" s="12"/>
      <c r="AC1977" s="12" t="s">
        <v>14696</v>
      </c>
      <c r="AD1977" s="12"/>
      <c r="AE1977" s="12"/>
      <c r="AF1977" s="12" t="s">
        <v>3677</v>
      </c>
      <c r="AG1977" s="12" t="s">
        <v>53</v>
      </c>
      <c r="AH1977" s="12" t="s">
        <v>12322</v>
      </c>
      <c r="AI1977" s="12" t="str">
        <f t="shared" si="386"/>
        <v>1837</v>
      </c>
      <c r="AJ1977" s="12" t="s">
        <v>12323</v>
      </c>
      <c r="AK1977" s="12" t="s">
        <v>14697</v>
      </c>
      <c r="AL1977" s="12"/>
      <c r="AM1977" s="12"/>
      <c r="AN1977" s="12" t="s">
        <v>9377</v>
      </c>
      <c r="AO1977" s="12" t="s">
        <v>2402</v>
      </c>
      <c r="AP1977" s="12"/>
      <c r="AQ1977" s="12"/>
      <c r="AR1977" s="12"/>
      <c r="AS1977" s="12"/>
      <c r="AT1977" s="12"/>
      <c r="AU1977" s="12"/>
      <c r="AV1977" s="12"/>
      <c r="AW1977" s="12"/>
      <c r="AX1977" s="12"/>
      <c r="AY1977" s="12"/>
      <c r="AZ1977" s="12"/>
      <c r="BA1977" s="12"/>
      <c r="BB1977" s="12"/>
      <c r="BC1977" s="12"/>
      <c r="BD1977" s="12"/>
      <c r="BE1977" s="12"/>
      <c r="BF1977" s="12"/>
      <c r="BG1977" s="12"/>
      <c r="BH1977" s="12"/>
      <c r="BI1977" s="12"/>
      <c r="BJ1977" s="12"/>
      <c r="BK1977" s="12"/>
      <c r="BL1977" s="12"/>
      <c r="BM1977" s="12"/>
      <c r="BN1977" s="12"/>
      <c r="BO1977" s="12"/>
      <c r="BP1977" s="12"/>
      <c r="BQ1977" s="12"/>
      <c r="BR1977" s="12"/>
      <c r="BS1977" s="12"/>
      <c r="BT1977" s="12"/>
      <c r="BU1977" s="12"/>
      <c r="BV1977" s="12"/>
      <c r="BW1977" s="12"/>
      <c r="BX1977" s="12"/>
      <c r="BY1977" s="12"/>
      <c r="BZ1977" s="12"/>
      <c r="CA1977" s="12"/>
      <c r="CB1977" s="12"/>
      <c r="CC1977" s="12"/>
      <c r="CD1977" s="12"/>
    </row>
    <row r="1978" spans="1:82">
      <c r="A1978" s="12" t="s">
        <v>760</v>
      </c>
      <c r="B1978" s="12" t="str">
        <f t="shared" si="378"/>
        <v>VANNIEKERK</v>
      </c>
      <c r="C1978" s="12" t="str">
        <f t="shared" si="379"/>
        <v>VAN NIEKERK</v>
      </c>
      <c r="D1978" s="12" t="s">
        <v>14699</v>
      </c>
      <c r="E1978" s="12" t="str">
        <f t="shared" si="377"/>
        <v>Hendrik Johannes Stephanus</v>
      </c>
      <c r="F1978" s="12" t="s">
        <v>14700</v>
      </c>
      <c r="G1978" s="12" t="str">
        <f t="shared" si="380"/>
        <v>a1b3c7d10e3</v>
      </c>
      <c r="H1978" s="12" t="str">
        <f t="shared" si="381"/>
        <v>VAN NIEKERKa1b3c7d10e3</v>
      </c>
      <c r="I1978" s="12"/>
      <c r="J1978" s="12" t="s">
        <v>1052</v>
      </c>
      <c r="K1978" s="12" t="str">
        <f t="shared" si="382"/>
        <v>1825</v>
      </c>
      <c r="L1978" s="12" t="s">
        <v>5738</v>
      </c>
      <c r="M1978" s="12" t="s">
        <v>5745</v>
      </c>
      <c r="N1978" s="12" t="str">
        <f t="shared" si="375"/>
        <v>1825</v>
      </c>
      <c r="O1978" s="12" t="str">
        <f t="shared" si="376"/>
        <v>1825</v>
      </c>
      <c r="P1978" s="12" t="s">
        <v>90</v>
      </c>
      <c r="Q1978" s="12" t="str">
        <f t="shared" si="383"/>
        <v>1825</v>
      </c>
      <c r="R1978" s="12" t="s">
        <v>14701</v>
      </c>
      <c r="S1978" s="12" t="str">
        <f t="shared" si="384"/>
        <v>1902</v>
      </c>
      <c r="T1978" s="12" t="s">
        <v>140</v>
      </c>
      <c r="U1978" s="12" t="s">
        <v>14702</v>
      </c>
      <c r="V1978" s="12" t="str">
        <f t="shared" si="385"/>
        <v>1848</v>
      </c>
      <c r="W1978" s="12" t="s">
        <v>2490</v>
      </c>
      <c r="X1978" s="12" t="s">
        <v>2402</v>
      </c>
      <c r="Y1978" s="12" t="s">
        <v>14703</v>
      </c>
      <c r="Z1978" s="12"/>
      <c r="AA1978" s="12"/>
      <c r="AB1978" s="12"/>
      <c r="AC1978" s="12"/>
      <c r="AD1978" s="12"/>
      <c r="AE1978" s="12"/>
      <c r="AF1978" s="12"/>
      <c r="AG1978" s="12"/>
      <c r="AH1978" s="12" t="s">
        <v>385</v>
      </c>
      <c r="AI1978" s="12" t="str">
        <f t="shared" si="386"/>
        <v>1840</v>
      </c>
      <c r="AJ1978" s="12"/>
      <c r="AK1978" s="12" t="s">
        <v>168</v>
      </c>
      <c r="AL1978" s="12"/>
      <c r="AM1978" s="12"/>
      <c r="AN1978" s="12"/>
      <c r="AO1978" s="12"/>
      <c r="AP1978" s="12"/>
      <c r="AQ1978" s="12"/>
      <c r="AR1978" s="12"/>
      <c r="AS1978" s="12"/>
      <c r="AT1978" s="12"/>
      <c r="AU1978" s="12"/>
      <c r="AV1978" s="12"/>
      <c r="AW1978" s="12"/>
      <c r="AX1978" s="12"/>
      <c r="AY1978" s="12"/>
      <c r="AZ1978" s="12"/>
      <c r="BA1978" s="12"/>
      <c r="BB1978" s="12"/>
      <c r="BC1978" s="12"/>
      <c r="BD1978" s="12"/>
      <c r="BE1978" s="12"/>
      <c r="BF1978" s="12"/>
      <c r="BG1978" s="12"/>
      <c r="BH1978" s="12"/>
      <c r="BI1978" s="12"/>
      <c r="BJ1978" s="12"/>
      <c r="BK1978" s="12"/>
      <c r="BL1978" s="12"/>
      <c r="BM1978" s="12"/>
      <c r="BN1978" s="12"/>
      <c r="BO1978" s="12"/>
      <c r="BP1978" s="12"/>
      <c r="BQ1978" s="12"/>
      <c r="BR1978" s="12"/>
      <c r="BS1978" s="12"/>
      <c r="BT1978" s="12"/>
      <c r="BU1978" s="12"/>
      <c r="BV1978" s="12"/>
      <c r="BW1978" s="12"/>
      <c r="BX1978" s="12"/>
      <c r="BY1978" s="12"/>
      <c r="BZ1978" s="12"/>
      <c r="CA1978" s="12"/>
      <c r="CB1978" s="12"/>
      <c r="CC1978" s="12"/>
      <c r="CD1978" s="12"/>
    </row>
    <row r="1979" spans="1:82">
      <c r="A1979" s="12" t="s">
        <v>760</v>
      </c>
      <c r="B1979" s="12" t="str">
        <f t="shared" si="378"/>
        <v>VANNIEKERK</v>
      </c>
      <c r="C1979" s="12" t="str">
        <f t="shared" si="379"/>
        <v>VAN NIEKERK</v>
      </c>
      <c r="D1979" s="12" t="s">
        <v>3389</v>
      </c>
      <c r="E1979" s="12" t="str">
        <f t="shared" si="377"/>
        <v>Maria Elizabeth</v>
      </c>
      <c r="F1979" s="12" t="s">
        <v>1978</v>
      </c>
      <c r="G1979" s="12" t="str">
        <f t="shared" si="380"/>
        <v>a1b3c7d2</v>
      </c>
      <c r="H1979" s="12" t="str">
        <f t="shared" si="381"/>
        <v>VAN NIEKERKa1b3c7d2</v>
      </c>
      <c r="I1979" s="12"/>
      <c r="J1979" s="12"/>
      <c r="K1979" s="12" t="str">
        <f t="shared" si="382"/>
        <v/>
      </c>
      <c r="L1979" s="12"/>
      <c r="M1979" s="12" t="s">
        <v>14745</v>
      </c>
      <c r="N1979" s="12" t="str">
        <f t="shared" si="375"/>
        <v/>
      </c>
      <c r="O1979" s="12" t="str">
        <f t="shared" si="376"/>
        <v>1777</v>
      </c>
      <c r="P1979" s="12"/>
      <c r="Q1979" s="12" t="str">
        <f t="shared" si="383"/>
        <v>1777</v>
      </c>
      <c r="R1979" s="12"/>
      <c r="S1979" s="12" t="str">
        <f t="shared" si="384"/>
        <v/>
      </c>
      <c r="T1979" s="12" t="s">
        <v>6098</v>
      </c>
      <c r="U1979" s="12" t="s">
        <v>599</v>
      </c>
      <c r="V1979" s="12" t="str">
        <f t="shared" si="385"/>
        <v>1801</v>
      </c>
      <c r="W1979" s="12" t="s">
        <v>14746</v>
      </c>
      <c r="X1979" s="12" t="s">
        <v>726</v>
      </c>
      <c r="Y1979" s="12" t="s">
        <v>14747</v>
      </c>
      <c r="Z1979" s="12"/>
      <c r="AA1979" s="12"/>
      <c r="AB1979" s="12"/>
      <c r="AC1979" s="12" t="s">
        <v>14748</v>
      </c>
      <c r="AD1979" s="12" t="s">
        <v>3677</v>
      </c>
      <c r="AE1979" s="12" t="s">
        <v>14749</v>
      </c>
      <c r="AF1979" s="12" t="s">
        <v>3677</v>
      </c>
      <c r="AG1979" s="12" t="s">
        <v>53</v>
      </c>
      <c r="AH1979" s="12" t="s">
        <v>14750</v>
      </c>
      <c r="AI1979" s="12" t="str">
        <f t="shared" si="386"/>
        <v>1837</v>
      </c>
      <c r="AJ1979" s="12" t="s">
        <v>14751</v>
      </c>
      <c r="AK1979" s="12" t="s">
        <v>90</v>
      </c>
      <c r="AL1979" s="12"/>
      <c r="AM1979" s="12"/>
      <c r="AN1979" s="12"/>
      <c r="AO1979" s="12"/>
      <c r="AP1979" s="12"/>
      <c r="AQ1979" s="12"/>
      <c r="AR1979" s="12"/>
      <c r="AS1979" s="12"/>
      <c r="AT1979" s="12"/>
      <c r="AU1979" s="12"/>
      <c r="AV1979" s="12"/>
      <c r="AW1979" s="12"/>
      <c r="AX1979" s="12"/>
      <c r="AY1979" s="12"/>
      <c r="AZ1979" s="12"/>
      <c r="BA1979" s="12"/>
      <c r="BB1979" s="12"/>
      <c r="BC1979" s="12"/>
      <c r="BD1979" s="12"/>
      <c r="BE1979" s="12"/>
      <c r="BF1979" s="12"/>
      <c r="BG1979" s="12"/>
      <c r="BH1979" s="12"/>
      <c r="BI1979" s="12"/>
      <c r="BJ1979" s="12"/>
      <c r="BK1979" s="12"/>
      <c r="BL1979" s="12"/>
      <c r="BM1979" s="12"/>
      <c r="BN1979" s="12"/>
      <c r="BO1979" s="12"/>
      <c r="BP1979" s="12"/>
      <c r="BQ1979" s="12"/>
      <c r="BR1979" s="12"/>
      <c r="BS1979" s="12"/>
      <c r="BT1979" s="12"/>
      <c r="BU1979" s="12"/>
      <c r="BV1979" s="12"/>
      <c r="BW1979" s="12"/>
      <c r="BX1979" s="12"/>
      <c r="BY1979" s="12"/>
      <c r="BZ1979" s="12"/>
      <c r="CA1979" s="12"/>
      <c r="CB1979" s="12"/>
      <c r="CC1979" s="12"/>
      <c r="CD1979" s="12"/>
    </row>
    <row r="1980" spans="1:82">
      <c r="A1980" s="12" t="s">
        <v>760</v>
      </c>
      <c r="B1980" s="12" t="str">
        <f t="shared" si="378"/>
        <v>VANNIEKERK</v>
      </c>
      <c r="C1980" s="12" t="str">
        <f t="shared" si="379"/>
        <v>VAN NIEKERK</v>
      </c>
      <c r="D1980" s="12" t="s">
        <v>2954</v>
      </c>
      <c r="E1980" s="12" t="str">
        <f t="shared" si="377"/>
        <v>Johannes Wilhelmus</v>
      </c>
      <c r="F1980" s="12" t="s">
        <v>1987</v>
      </c>
      <c r="G1980" s="12" t="str">
        <f t="shared" si="380"/>
        <v>a1b3c7d4</v>
      </c>
      <c r="H1980" s="12" t="str">
        <f t="shared" si="381"/>
        <v>VAN NIEKERKa1b3c7d4</v>
      </c>
      <c r="I1980" s="12"/>
      <c r="J1980" s="12" t="s">
        <v>14733</v>
      </c>
      <c r="K1980" s="12" t="str">
        <f t="shared" si="382"/>
        <v>1780</v>
      </c>
      <c r="L1980" s="12"/>
      <c r="M1980" s="12" t="s">
        <v>13378</v>
      </c>
      <c r="N1980" s="12" t="str">
        <f t="shared" si="375"/>
        <v>1780</v>
      </c>
      <c r="O1980" s="12" t="str">
        <f t="shared" si="376"/>
        <v>1781</v>
      </c>
      <c r="P1980" s="12" t="s">
        <v>90</v>
      </c>
      <c r="Q1980" s="12" t="str">
        <f t="shared" si="383"/>
        <v>1780</v>
      </c>
      <c r="R1980" s="12" t="s">
        <v>14734</v>
      </c>
      <c r="S1980" s="12" t="str">
        <f t="shared" si="384"/>
        <v>1863</v>
      </c>
      <c r="T1980" s="12" t="s">
        <v>32</v>
      </c>
      <c r="U1980" s="12" t="s">
        <v>14735</v>
      </c>
      <c r="V1980" s="12" t="str">
        <f t="shared" si="385"/>
        <v>1805</v>
      </c>
      <c r="W1980" s="12" t="s">
        <v>693</v>
      </c>
      <c r="X1980" s="12" t="s">
        <v>2944</v>
      </c>
      <c r="Y1980" s="12"/>
      <c r="Z1980" s="12"/>
      <c r="AA1980" s="12"/>
      <c r="AB1980" s="12"/>
      <c r="AC1980" s="12" t="s">
        <v>14736</v>
      </c>
      <c r="AD1980" s="12"/>
      <c r="AE1980" s="12"/>
      <c r="AF1980" s="12" t="s">
        <v>3677</v>
      </c>
      <c r="AG1980" s="12" t="s">
        <v>53</v>
      </c>
      <c r="AH1980" s="12" t="s">
        <v>14732</v>
      </c>
      <c r="AI1980" s="12" t="str">
        <f t="shared" si="386"/>
        <v>1837</v>
      </c>
      <c r="AJ1980" s="12" t="s">
        <v>2382</v>
      </c>
      <c r="AK1980" s="12" t="s">
        <v>2480</v>
      </c>
      <c r="AL1980" s="12"/>
      <c r="AM1980" s="12" t="s">
        <v>2377</v>
      </c>
      <c r="AN1980" s="12" t="s">
        <v>644</v>
      </c>
      <c r="AO1980" s="12" t="s">
        <v>781</v>
      </c>
      <c r="AP1980" s="12" t="s">
        <v>14737</v>
      </c>
      <c r="AQ1980" s="12"/>
      <c r="AR1980" s="12" t="s">
        <v>14738</v>
      </c>
      <c r="AS1980" s="12"/>
      <c r="AT1980" s="12" t="s">
        <v>14739</v>
      </c>
      <c r="AU1980" s="12" t="s">
        <v>14740</v>
      </c>
      <c r="AV1980" s="12" t="s">
        <v>14741</v>
      </c>
      <c r="AW1980" s="12"/>
      <c r="AX1980" s="12"/>
      <c r="AY1980" s="12"/>
      <c r="AZ1980" s="12"/>
      <c r="BA1980" s="12"/>
      <c r="BB1980" s="12"/>
      <c r="BC1980" s="12"/>
      <c r="BD1980" s="12"/>
      <c r="BE1980" s="12"/>
      <c r="BF1980" s="12"/>
      <c r="BG1980" s="12"/>
      <c r="BH1980" s="12"/>
      <c r="BI1980" s="12"/>
      <c r="BJ1980" s="12"/>
      <c r="BK1980" s="12"/>
      <c r="BL1980" s="12"/>
      <c r="BM1980" s="12"/>
      <c r="BN1980" s="12"/>
      <c r="BO1980" s="12"/>
      <c r="BP1980" s="12"/>
      <c r="BQ1980" s="12"/>
      <c r="BR1980" s="12"/>
      <c r="BS1980" s="12"/>
      <c r="BT1980" s="12"/>
      <c r="BU1980" s="12"/>
      <c r="BV1980" s="12"/>
      <c r="BW1980" s="12"/>
      <c r="BX1980" s="12"/>
      <c r="BY1980" s="12"/>
      <c r="BZ1980" s="12"/>
      <c r="CA1980" s="12"/>
      <c r="CB1980" s="12"/>
      <c r="CC1980" s="12"/>
      <c r="CD1980" s="12"/>
    </row>
    <row r="1981" spans="1:82">
      <c r="A1981" s="12" t="s">
        <v>760</v>
      </c>
      <c r="B1981" s="12" t="str">
        <f t="shared" si="378"/>
        <v>VANNIEKERK</v>
      </c>
      <c r="C1981" s="12" t="str">
        <f t="shared" si="379"/>
        <v>VAN NIEKERK</v>
      </c>
      <c r="D1981" s="12" t="s">
        <v>14672</v>
      </c>
      <c r="E1981" s="12" t="str">
        <f t="shared" si="377"/>
        <v>Gerhardus Johannes Wilhelmus</v>
      </c>
      <c r="F1981" s="12" t="s">
        <v>14673</v>
      </c>
      <c r="G1981" s="12" t="str">
        <f t="shared" si="380"/>
        <v>a1b3c7d4e10</v>
      </c>
      <c r="H1981" s="12" t="str">
        <f t="shared" si="381"/>
        <v>VAN NIEKERKa1b3c7d4e10</v>
      </c>
      <c r="I1981" s="12"/>
      <c r="J1981" s="12" t="s">
        <v>14674</v>
      </c>
      <c r="K1981" s="12" t="str">
        <f t="shared" si="382"/>
        <v>1824</v>
      </c>
      <c r="L1981" s="12"/>
      <c r="M1981" s="12"/>
      <c r="N1981" s="12" t="str">
        <f t="shared" si="375"/>
        <v>1824</v>
      </c>
      <c r="O1981" s="12" t="str">
        <f t="shared" si="376"/>
        <v/>
      </c>
      <c r="P1981" s="12" t="s">
        <v>90</v>
      </c>
      <c r="Q1981" s="12" t="str">
        <f t="shared" si="383"/>
        <v>1824</v>
      </c>
      <c r="R1981" s="12" t="s">
        <v>14675</v>
      </c>
      <c r="S1981" s="12" t="str">
        <f t="shared" si="384"/>
        <v>1897</v>
      </c>
      <c r="T1981" s="12"/>
      <c r="U1981" s="12">
        <v>1849</v>
      </c>
      <c r="V1981" s="12" t="str">
        <f t="shared" si="385"/>
        <v>1849</v>
      </c>
      <c r="W1981" s="12" t="s">
        <v>14676</v>
      </c>
      <c r="X1981" s="12" t="s">
        <v>655</v>
      </c>
      <c r="Y1981" s="12"/>
      <c r="Z1981" s="12"/>
      <c r="AA1981" s="12" t="s">
        <v>14677</v>
      </c>
      <c r="AB1981" s="12"/>
      <c r="AC1981" s="12"/>
      <c r="AD1981" s="12"/>
      <c r="AE1981" s="12" t="s">
        <v>14678</v>
      </c>
      <c r="AF1981" s="12"/>
      <c r="AG1981" s="12"/>
      <c r="AH1981" s="12"/>
      <c r="AI1981" s="12" t="str">
        <f t="shared" si="386"/>
        <v/>
      </c>
      <c r="AJ1981" s="12"/>
      <c r="AK1981" s="12" t="s">
        <v>168</v>
      </c>
      <c r="AL1981" s="12"/>
      <c r="AM1981" s="12">
        <v>1878</v>
      </c>
      <c r="AN1981" s="12" t="s">
        <v>14679</v>
      </c>
      <c r="AO1981" s="12" t="s">
        <v>14680</v>
      </c>
      <c r="AP1981" s="12" t="s">
        <v>10003</v>
      </c>
      <c r="AQ1981" s="12"/>
      <c r="AR1981" s="12"/>
      <c r="AS1981" s="12"/>
      <c r="AT1981" s="12" t="s">
        <v>14681</v>
      </c>
      <c r="AU1981" s="12"/>
      <c r="AV1981" s="12" t="s">
        <v>14682</v>
      </c>
      <c r="AW1981" s="12" t="s">
        <v>2208</v>
      </c>
      <c r="AX1981" s="12" t="s">
        <v>14683</v>
      </c>
      <c r="AY1981" s="12" t="s">
        <v>2324</v>
      </c>
      <c r="AZ1981" s="12" t="s">
        <v>14680</v>
      </c>
      <c r="BA1981" s="12" t="s">
        <v>5169</v>
      </c>
      <c r="BB1981" s="12"/>
      <c r="BC1981" s="12"/>
      <c r="BD1981" s="12"/>
      <c r="BE1981" s="12"/>
      <c r="BF1981" s="12"/>
      <c r="BG1981" s="12"/>
      <c r="BH1981" s="12"/>
      <c r="BI1981" s="12" t="s">
        <v>14684</v>
      </c>
      <c r="BJ1981" s="12" t="s">
        <v>4694</v>
      </c>
      <c r="BK1981" s="12" t="s">
        <v>14685</v>
      </c>
      <c r="BL1981" s="12"/>
      <c r="BM1981" s="12"/>
      <c r="BN1981" s="12"/>
      <c r="BO1981" s="12"/>
      <c r="BP1981" s="12"/>
      <c r="BQ1981" s="12"/>
      <c r="BR1981" s="12"/>
      <c r="BS1981" s="12"/>
      <c r="BT1981" s="12"/>
      <c r="BU1981" s="12"/>
      <c r="BV1981" s="12"/>
      <c r="BW1981" s="12"/>
      <c r="BX1981" s="12"/>
      <c r="BY1981" s="12"/>
      <c r="BZ1981" s="12"/>
      <c r="CA1981" s="12"/>
      <c r="CB1981" s="12"/>
      <c r="CC1981" s="12"/>
      <c r="CD1981" s="12"/>
    </row>
    <row r="1982" spans="1:82">
      <c r="A1982" s="12" t="s">
        <v>760</v>
      </c>
      <c r="B1982" s="12" t="str">
        <f t="shared" si="378"/>
        <v>VANNIEKERK</v>
      </c>
      <c r="C1982" s="12" t="str">
        <f t="shared" si="379"/>
        <v>VAN NIEKERK</v>
      </c>
      <c r="D1982" s="12" t="s">
        <v>2253</v>
      </c>
      <c r="E1982" s="12" t="str">
        <f t="shared" si="377"/>
        <v>Johannes Jacobus</v>
      </c>
      <c r="F1982" s="12" t="s">
        <v>14728</v>
      </c>
      <c r="G1982" s="12" t="str">
        <f t="shared" si="380"/>
        <v>a1b3c7d4e3</v>
      </c>
      <c r="H1982" s="12" t="str">
        <f t="shared" si="381"/>
        <v>VAN NIEKERKa1b3c7d4e3</v>
      </c>
      <c r="I1982" s="12"/>
      <c r="J1982" s="12" t="s">
        <v>14729</v>
      </c>
      <c r="K1982" s="12" t="str">
        <f t="shared" si="382"/>
        <v>1809</v>
      </c>
      <c r="L1982" s="12" t="s">
        <v>32</v>
      </c>
      <c r="M1982" s="12" t="s">
        <v>8848</v>
      </c>
      <c r="N1982" s="12" t="str">
        <f t="shared" si="375"/>
        <v>1809</v>
      </c>
      <c r="O1982" s="12" t="str">
        <f t="shared" si="376"/>
        <v>1809</v>
      </c>
      <c r="P1982" s="12" t="s">
        <v>160</v>
      </c>
      <c r="Q1982" s="12" t="str">
        <f t="shared" si="383"/>
        <v>1809</v>
      </c>
      <c r="R1982" s="12" t="s">
        <v>14730</v>
      </c>
      <c r="S1982" s="12" t="str">
        <f t="shared" si="384"/>
        <v>1869</v>
      </c>
      <c r="T1982" s="12"/>
      <c r="U1982" s="12"/>
      <c r="V1982" s="12" t="str">
        <f t="shared" si="385"/>
        <v/>
      </c>
      <c r="W1982" s="12" t="s">
        <v>9408</v>
      </c>
      <c r="X1982" s="12" t="s">
        <v>1425</v>
      </c>
      <c r="Y1982" s="12"/>
      <c r="Z1982" s="12"/>
      <c r="AA1982" s="12"/>
      <c r="AB1982" s="12"/>
      <c r="AC1982" s="12" t="s">
        <v>14731</v>
      </c>
      <c r="AD1982" s="12" t="s">
        <v>53</v>
      </c>
      <c r="AE1982" s="12">
        <v>1844</v>
      </c>
      <c r="AF1982" s="12" t="s">
        <v>3677</v>
      </c>
      <c r="AG1982" s="12" t="s">
        <v>53</v>
      </c>
      <c r="AH1982" s="12" t="s">
        <v>14732</v>
      </c>
      <c r="AI1982" s="12" t="str">
        <f t="shared" si="386"/>
        <v>1837</v>
      </c>
      <c r="AJ1982" s="12" t="s">
        <v>2382</v>
      </c>
      <c r="AK1982" s="12" t="s">
        <v>160</v>
      </c>
      <c r="AL1982" s="12"/>
      <c r="AM1982" s="12"/>
      <c r="AN1982" s="12"/>
      <c r="AO1982" s="12"/>
      <c r="AP1982" s="12"/>
      <c r="AQ1982" s="12"/>
      <c r="AR1982" s="12"/>
      <c r="AS1982" s="12"/>
      <c r="AT1982" s="12"/>
      <c r="AU1982" s="12"/>
      <c r="AV1982" s="12"/>
      <c r="AW1982" s="12"/>
      <c r="AX1982" s="12"/>
      <c r="AY1982" s="12"/>
      <c r="AZ1982" s="12"/>
      <c r="BA1982" s="12"/>
      <c r="BB1982" s="12"/>
      <c r="BC1982" s="12"/>
      <c r="BD1982" s="12"/>
      <c r="BE1982" s="12"/>
      <c r="BF1982" s="12"/>
      <c r="BG1982" s="12"/>
      <c r="BH1982" s="12"/>
      <c r="BI1982" s="12"/>
      <c r="BJ1982" s="12"/>
      <c r="BK1982" s="12"/>
      <c r="BL1982" s="12"/>
      <c r="BM1982" s="12"/>
      <c r="BN1982" s="12"/>
      <c r="BO1982" s="12"/>
      <c r="BP1982" s="12"/>
      <c r="BQ1982" s="12"/>
      <c r="BR1982" s="12"/>
      <c r="BS1982" s="12"/>
      <c r="BT1982" s="12"/>
      <c r="BU1982" s="12"/>
      <c r="BV1982" s="12"/>
      <c r="BW1982" s="12"/>
      <c r="BX1982" s="12"/>
      <c r="BY1982" s="12"/>
      <c r="BZ1982" s="12"/>
      <c r="CA1982" s="12"/>
      <c r="CB1982" s="12"/>
      <c r="CC1982" s="12"/>
      <c r="CD1982" s="12"/>
    </row>
    <row r="1983" spans="1:82">
      <c r="A1983" s="12" t="s">
        <v>760</v>
      </c>
      <c r="B1983" s="12" t="str">
        <f t="shared" si="378"/>
        <v>VANNIEKERK</v>
      </c>
      <c r="C1983" s="12" t="str">
        <f t="shared" si="379"/>
        <v>VAN NIEKERK</v>
      </c>
      <c r="D1983" s="12" t="s">
        <v>14712</v>
      </c>
      <c r="E1983" s="12" t="str">
        <f t="shared" si="377"/>
        <v>Izak (Isaac) Andries (Izak Leeuboud)</v>
      </c>
      <c r="F1983" s="12" t="s">
        <v>14713</v>
      </c>
      <c r="G1983" s="12" t="str">
        <f t="shared" si="380"/>
        <v>a1b3c7d4e4</v>
      </c>
      <c r="H1983" s="12" t="str">
        <f t="shared" si="381"/>
        <v>VAN NIEKERKa1b3c7d4e4</v>
      </c>
      <c r="I1983" s="12"/>
      <c r="J1983" s="12" t="s">
        <v>2323</v>
      </c>
      <c r="K1983" s="12" t="str">
        <f t="shared" si="382"/>
        <v>1811</v>
      </c>
      <c r="L1983" s="12"/>
      <c r="M1983" s="12" t="s">
        <v>4234</v>
      </c>
      <c r="N1983" s="12" t="str">
        <f t="shared" si="375"/>
        <v>1811</v>
      </c>
      <c r="O1983" s="12" t="str">
        <f t="shared" si="376"/>
        <v>1812</v>
      </c>
      <c r="P1983" s="12" t="s">
        <v>160</v>
      </c>
      <c r="Q1983" s="12" t="str">
        <f t="shared" si="383"/>
        <v>1811</v>
      </c>
      <c r="R1983" s="12" t="s">
        <v>14714</v>
      </c>
      <c r="S1983" s="12" t="str">
        <f t="shared" si="384"/>
        <v>1893</v>
      </c>
      <c r="T1983" s="12"/>
      <c r="U1983" s="12" t="s">
        <v>14715</v>
      </c>
      <c r="V1983" s="12" t="str">
        <f t="shared" si="385"/>
        <v>1838</v>
      </c>
      <c r="W1983" s="12" t="s">
        <v>14716</v>
      </c>
      <c r="X1983" s="12" t="s">
        <v>629</v>
      </c>
      <c r="Y1983" s="12" t="s">
        <v>5909</v>
      </c>
      <c r="Z1983" s="12"/>
      <c r="AA1983" s="12" t="s">
        <v>14717</v>
      </c>
      <c r="AB1983" s="12" t="s">
        <v>53</v>
      </c>
      <c r="AC1983" s="12" t="s">
        <v>14718</v>
      </c>
      <c r="AD1983" s="12" t="s">
        <v>90</v>
      </c>
      <c r="AE1983" s="12">
        <v>1852</v>
      </c>
      <c r="AF1983" s="12" t="s">
        <v>3677</v>
      </c>
      <c r="AG1983" s="12" t="s">
        <v>53</v>
      </c>
      <c r="AH1983" s="12" t="s">
        <v>12313</v>
      </c>
      <c r="AI1983" s="12" t="str">
        <f t="shared" si="386"/>
        <v>1837</v>
      </c>
      <c r="AJ1983" s="12" t="s">
        <v>2382</v>
      </c>
      <c r="AK1983" s="12" t="s">
        <v>90</v>
      </c>
      <c r="AL1983" s="12"/>
      <c r="AM1983" s="12">
        <v>1853</v>
      </c>
      <c r="AN1983" s="12" t="s">
        <v>14719</v>
      </c>
      <c r="AO1983" s="12" t="s">
        <v>3799</v>
      </c>
      <c r="AP1983" s="12" t="s">
        <v>14720</v>
      </c>
      <c r="AQ1983" s="12"/>
      <c r="AR1983" s="12"/>
      <c r="AS1983" s="12" t="s">
        <v>14721</v>
      </c>
      <c r="AT1983" s="12"/>
      <c r="AU1983" s="12" t="s">
        <v>2084</v>
      </c>
      <c r="AV1983" s="12" t="s">
        <v>14722</v>
      </c>
      <c r="AW1983" s="12"/>
      <c r="AX1983" s="12"/>
      <c r="AY1983" s="12"/>
      <c r="AZ1983" s="12"/>
      <c r="BA1983" s="12"/>
      <c r="BB1983" s="12"/>
      <c r="BC1983" s="12"/>
      <c r="BD1983" s="12"/>
      <c r="BE1983" s="12"/>
      <c r="BF1983" s="12"/>
      <c r="BG1983" s="12"/>
      <c r="BH1983" s="12"/>
      <c r="BI1983" s="12"/>
      <c r="BJ1983" s="12"/>
      <c r="BK1983" s="12"/>
      <c r="BL1983" s="12"/>
      <c r="BM1983" s="12"/>
      <c r="BN1983" s="12"/>
      <c r="BO1983" s="12"/>
      <c r="BP1983" s="12"/>
      <c r="BQ1983" s="12"/>
      <c r="BR1983" s="12"/>
      <c r="BS1983" s="12"/>
      <c r="BT1983" s="12"/>
      <c r="BU1983" s="12"/>
      <c r="BV1983" s="12"/>
      <c r="BW1983" s="12"/>
      <c r="BX1983" s="12"/>
      <c r="BY1983" s="12"/>
      <c r="BZ1983" s="12"/>
      <c r="CA1983" s="12"/>
      <c r="CB1983" s="12"/>
      <c r="CC1983" s="12"/>
      <c r="CD1983" s="12"/>
    </row>
    <row r="1984" spans="1:82">
      <c r="A1984" s="12" t="s">
        <v>760</v>
      </c>
      <c r="B1984" s="12" t="str">
        <f t="shared" si="378"/>
        <v>VANNIEKERK</v>
      </c>
      <c r="C1984" s="12" t="str">
        <f t="shared" si="379"/>
        <v>VAN NIEKERK</v>
      </c>
      <c r="D1984" s="12" t="s">
        <v>12450</v>
      </c>
      <c r="E1984" s="12" t="str">
        <f t="shared" si="377"/>
        <v>Theodorus Ernst</v>
      </c>
      <c r="F1984" s="12" t="s">
        <v>14761</v>
      </c>
      <c r="G1984" s="12" t="str">
        <f t="shared" si="380"/>
        <v>a1b3c7d4e6</v>
      </c>
      <c r="H1984" s="12" t="str">
        <f t="shared" si="381"/>
        <v>VAN NIEKERKa1b3c7d4e6</v>
      </c>
      <c r="I1984" s="12"/>
      <c r="J1984" s="12" t="s">
        <v>14762</v>
      </c>
      <c r="K1984" s="12" t="str">
        <f t="shared" si="382"/>
        <v>1815</v>
      </c>
      <c r="L1984" s="12"/>
      <c r="M1984" s="12"/>
      <c r="N1984" s="12" t="str">
        <f t="shared" si="375"/>
        <v>1815</v>
      </c>
      <c r="O1984" s="12" t="str">
        <f t="shared" si="376"/>
        <v/>
      </c>
      <c r="P1984" s="12" t="s">
        <v>160</v>
      </c>
      <c r="Q1984" s="12" t="str">
        <f t="shared" si="383"/>
        <v>1815</v>
      </c>
      <c r="R1984" s="12" t="s">
        <v>14763</v>
      </c>
      <c r="S1984" s="12" t="str">
        <f t="shared" si="384"/>
        <v>1891</v>
      </c>
      <c r="T1984" s="12" t="s">
        <v>28</v>
      </c>
      <c r="U1984" s="12" t="s">
        <v>14146</v>
      </c>
      <c r="V1984" s="12" t="str">
        <f t="shared" si="385"/>
        <v>1839</v>
      </c>
      <c r="W1984" s="12" t="s">
        <v>14764</v>
      </c>
      <c r="X1984" s="12" t="s">
        <v>1299</v>
      </c>
      <c r="Y1984" s="12" t="s">
        <v>14765</v>
      </c>
      <c r="Z1984" s="12"/>
      <c r="AA1984" s="12" t="s">
        <v>14766</v>
      </c>
      <c r="AB1984" s="12"/>
      <c r="AC1984" s="12"/>
      <c r="AD1984" s="12"/>
      <c r="AE1984" s="12"/>
      <c r="AF1984" s="12" t="s">
        <v>3677</v>
      </c>
      <c r="AG1984" s="12" t="s">
        <v>53</v>
      </c>
      <c r="AH1984" s="12" t="s">
        <v>14732</v>
      </c>
      <c r="AI1984" s="12" t="str">
        <f t="shared" si="386"/>
        <v>1837</v>
      </c>
      <c r="AJ1984" s="12" t="s">
        <v>2382</v>
      </c>
      <c r="AK1984" s="12" t="s">
        <v>90</v>
      </c>
      <c r="AL1984" s="12"/>
      <c r="AM1984" s="12"/>
      <c r="AN1984" s="12" t="s">
        <v>14767</v>
      </c>
      <c r="AO1984" s="12" t="s">
        <v>4579</v>
      </c>
      <c r="AP1984" s="12"/>
      <c r="AQ1984" s="12"/>
      <c r="AR1984" s="12" t="s">
        <v>14768</v>
      </c>
      <c r="AS1984" s="12"/>
      <c r="AT1984" s="12"/>
      <c r="AU1984" s="12" t="s">
        <v>160</v>
      </c>
      <c r="AV1984" s="12">
        <v>1921</v>
      </c>
      <c r="AW1984" s="12"/>
      <c r="AX1984" s="12"/>
      <c r="AY1984" s="12"/>
      <c r="AZ1984" s="12"/>
      <c r="BA1984" s="12"/>
      <c r="BB1984" s="12"/>
      <c r="BC1984" s="12"/>
      <c r="BD1984" s="12"/>
      <c r="BE1984" s="12"/>
      <c r="BF1984" s="12"/>
      <c r="BG1984" s="12"/>
      <c r="BH1984" s="12"/>
      <c r="BI1984" s="12"/>
      <c r="BJ1984" s="12"/>
      <c r="BK1984" s="12"/>
      <c r="BL1984" s="12"/>
      <c r="BM1984" s="12"/>
      <c r="BN1984" s="12"/>
      <c r="BO1984" s="12"/>
      <c r="BP1984" s="12"/>
      <c r="BQ1984" s="12"/>
      <c r="BR1984" s="12"/>
      <c r="BS1984" s="12"/>
      <c r="BT1984" s="12"/>
      <c r="BU1984" s="12"/>
      <c r="BV1984" s="12"/>
      <c r="BW1984" s="12"/>
      <c r="BX1984" s="12"/>
      <c r="BY1984" s="12"/>
      <c r="BZ1984" s="12"/>
      <c r="CA1984" s="12"/>
      <c r="CB1984" s="12"/>
      <c r="CC1984" s="12"/>
      <c r="CD1984" s="12"/>
    </row>
    <row r="1985" spans="1:82">
      <c r="A1985" s="12" t="s">
        <v>760</v>
      </c>
      <c r="B1985" s="12" t="str">
        <f t="shared" si="378"/>
        <v>VANNIEKERK</v>
      </c>
      <c r="C1985" s="12" t="str">
        <f t="shared" si="379"/>
        <v>VAN NIEKERK</v>
      </c>
      <c r="D1985" s="12" t="s">
        <v>14686</v>
      </c>
      <c r="E1985" s="12" t="str">
        <f t="shared" si="377"/>
        <v>Gerhardus Jozua (Gert Sr.)</v>
      </c>
      <c r="F1985" s="12" t="s">
        <v>14687</v>
      </c>
      <c r="G1985" s="12" t="str">
        <f t="shared" si="380"/>
        <v>a1b3c7d7</v>
      </c>
      <c r="H1985" s="12" t="str">
        <f t="shared" si="381"/>
        <v>VAN NIEKERKa1b3c7d7</v>
      </c>
      <c r="I1985" s="12"/>
      <c r="J1985" s="12"/>
      <c r="K1985" s="12" t="str">
        <f t="shared" si="382"/>
        <v/>
      </c>
      <c r="L1985" s="12"/>
      <c r="M1985" s="12" t="s">
        <v>14688</v>
      </c>
      <c r="N1985" s="12" t="str">
        <f t="shared" si="375"/>
        <v/>
      </c>
      <c r="O1985" s="12" t="str">
        <f t="shared" si="376"/>
        <v>1787</v>
      </c>
      <c r="P1985" s="12"/>
      <c r="Q1985" s="12" t="str">
        <f t="shared" si="383"/>
        <v>1787</v>
      </c>
      <c r="R1985" s="12"/>
      <c r="S1985" s="12" t="str">
        <f t="shared" si="384"/>
        <v/>
      </c>
      <c r="T1985" s="12" t="s">
        <v>158</v>
      </c>
      <c r="U1985" s="12" t="s">
        <v>14689</v>
      </c>
      <c r="V1985" s="12" t="str">
        <f t="shared" si="385"/>
        <v>1815</v>
      </c>
      <c r="W1985" s="12" t="s">
        <v>11511</v>
      </c>
      <c r="X1985" s="12" t="s">
        <v>2153</v>
      </c>
      <c r="Y1985" s="12" t="s">
        <v>3233</v>
      </c>
      <c r="Z1985" s="12"/>
      <c r="AA1985" s="12"/>
      <c r="AB1985" s="12"/>
      <c r="AC1985" s="12" t="s">
        <v>14690</v>
      </c>
      <c r="AD1985" s="12"/>
      <c r="AE1985" s="12"/>
      <c r="AF1985" s="12" t="s">
        <v>3677</v>
      </c>
      <c r="AG1985" s="12" t="s">
        <v>53</v>
      </c>
      <c r="AH1985" s="12" t="s">
        <v>12322</v>
      </c>
      <c r="AI1985" s="12" t="str">
        <f t="shared" si="386"/>
        <v>1837</v>
      </c>
      <c r="AJ1985" s="12" t="s">
        <v>5606</v>
      </c>
      <c r="AK1985" s="12" t="s">
        <v>90</v>
      </c>
      <c r="AL1985" s="12"/>
      <c r="AM1985" s="12"/>
      <c r="AN1985" s="12"/>
      <c r="AO1985" s="12"/>
      <c r="AP1985" s="12"/>
      <c r="AQ1985" s="12"/>
      <c r="AR1985" s="12"/>
      <c r="AS1985" s="12"/>
      <c r="AT1985" s="12"/>
      <c r="AU1985" s="12"/>
      <c r="AV1985" s="12"/>
      <c r="AW1985" s="12"/>
      <c r="AX1985" s="12"/>
      <c r="AY1985" s="12"/>
      <c r="AZ1985" s="12"/>
      <c r="BA1985" s="12"/>
      <c r="BB1985" s="12"/>
      <c r="BC1985" s="12"/>
      <c r="BD1985" s="12"/>
      <c r="BE1985" s="12"/>
      <c r="BF1985" s="12"/>
      <c r="BG1985" s="12"/>
      <c r="BH1985" s="12"/>
      <c r="BI1985" s="12"/>
      <c r="BJ1985" s="12"/>
      <c r="BK1985" s="12"/>
      <c r="BL1985" s="12"/>
      <c r="BM1985" s="12"/>
      <c r="BN1985" s="12"/>
      <c r="BO1985" s="12"/>
      <c r="BP1985" s="12"/>
      <c r="BQ1985" s="12"/>
      <c r="BR1985" s="12"/>
      <c r="BS1985" s="12"/>
      <c r="BT1985" s="12"/>
      <c r="BU1985" s="12"/>
      <c r="BV1985" s="12"/>
      <c r="BW1985" s="12"/>
      <c r="BX1985" s="12"/>
      <c r="BY1985" s="12"/>
      <c r="BZ1985" s="12"/>
      <c r="CA1985" s="12"/>
      <c r="CB1985" s="12"/>
      <c r="CC1985" s="12"/>
      <c r="CD1985" s="12"/>
    </row>
    <row r="1986" spans="1:82">
      <c r="A1986" s="12" t="s">
        <v>760</v>
      </c>
      <c r="B1986" s="12" t="str">
        <f t="shared" si="378"/>
        <v>VANNIEKERK</v>
      </c>
      <c r="C1986" s="12" t="str">
        <f t="shared" si="379"/>
        <v>VAN NIEKERK</v>
      </c>
      <c r="D1986" s="12" t="s">
        <v>14691</v>
      </c>
      <c r="E1986" s="12" t="str">
        <f t="shared" si="377"/>
        <v>Gerhardus Jozua (Gert Jr.)</v>
      </c>
      <c r="F1986" s="12" t="s">
        <v>14692</v>
      </c>
      <c r="G1986" s="12" t="str">
        <f t="shared" si="380"/>
        <v>a1b3c7d7e1</v>
      </c>
      <c r="H1986" s="12" t="str">
        <f t="shared" si="381"/>
        <v>VAN NIEKERKa1b3c7d7e1</v>
      </c>
      <c r="I1986" s="12"/>
      <c r="J1986" s="12" t="s">
        <v>9785</v>
      </c>
      <c r="K1986" s="12" t="str">
        <f t="shared" si="382"/>
        <v>1816</v>
      </c>
      <c r="L1986" s="12"/>
      <c r="M1986" s="12"/>
      <c r="N1986" s="12" t="str">
        <f t="shared" ref="N1986:N2049" si="387">RIGHT(J1986,4)</f>
        <v>1816</v>
      </c>
      <c r="O1986" s="12" t="str">
        <f t="shared" ref="O1986:O2049" si="388">RIGHT(M1986,4)</f>
        <v/>
      </c>
      <c r="P1986" s="12"/>
      <c r="Q1986" s="12" t="str">
        <f t="shared" si="383"/>
        <v>1816</v>
      </c>
      <c r="R1986" s="12"/>
      <c r="S1986" s="12" t="str">
        <f t="shared" si="384"/>
        <v/>
      </c>
      <c r="T1986" s="12"/>
      <c r="U1986" s="12" t="s">
        <v>14693</v>
      </c>
      <c r="V1986" s="12" t="str">
        <f t="shared" si="385"/>
        <v>1844</v>
      </c>
      <c r="W1986" s="12" t="s">
        <v>2472</v>
      </c>
      <c r="X1986" s="12" t="s">
        <v>2402</v>
      </c>
      <c r="Y1986" s="12" t="s">
        <v>14694</v>
      </c>
      <c r="Z1986" s="12"/>
      <c r="AA1986" s="12"/>
      <c r="AB1986" s="12"/>
      <c r="AC1986" s="12"/>
      <c r="AD1986" s="12"/>
      <c r="AE1986" s="12"/>
      <c r="AF1986" s="12" t="s">
        <v>3677</v>
      </c>
      <c r="AG1986" s="12" t="s">
        <v>53</v>
      </c>
      <c r="AH1986" s="12" t="s">
        <v>12322</v>
      </c>
      <c r="AI1986" s="12" t="str">
        <f t="shared" si="386"/>
        <v>1837</v>
      </c>
      <c r="AJ1986" s="12" t="s">
        <v>12323</v>
      </c>
      <c r="AK1986" s="12" t="s">
        <v>90</v>
      </c>
      <c r="AL1986" s="12"/>
      <c r="AM1986" s="12"/>
      <c r="AN1986" s="12"/>
      <c r="AO1986" s="12"/>
      <c r="AP1986" s="12"/>
      <c r="AQ1986" s="12"/>
      <c r="AR1986" s="12"/>
      <c r="AS1986" s="12"/>
      <c r="AT1986" s="12"/>
      <c r="AU1986" s="12"/>
      <c r="AV1986" s="12"/>
      <c r="AW1986" s="12"/>
      <c r="AX1986" s="12"/>
      <c r="AY1986" s="12"/>
      <c r="AZ1986" s="12"/>
      <c r="BA1986" s="12"/>
      <c r="BB1986" s="12"/>
      <c r="BC1986" s="12"/>
      <c r="BD1986" s="12"/>
      <c r="BE1986" s="12"/>
      <c r="BF1986" s="12"/>
      <c r="BG1986" s="12"/>
      <c r="BH1986" s="12"/>
      <c r="BI1986" s="12"/>
      <c r="BJ1986" s="12"/>
      <c r="BK1986" s="12"/>
      <c r="BL1986" s="12"/>
      <c r="BM1986" s="12"/>
      <c r="BN1986" s="12"/>
      <c r="BO1986" s="12"/>
      <c r="BP1986" s="12"/>
      <c r="BQ1986" s="12"/>
      <c r="BR1986" s="12"/>
      <c r="BS1986" s="12"/>
      <c r="BT1986" s="12"/>
      <c r="BU1986" s="12"/>
      <c r="BV1986" s="12"/>
      <c r="BW1986" s="12"/>
      <c r="BX1986" s="12"/>
      <c r="BY1986" s="12"/>
      <c r="BZ1986" s="12"/>
      <c r="CA1986" s="12"/>
      <c r="CB1986" s="12"/>
      <c r="CC1986" s="12"/>
      <c r="CD1986" s="12"/>
    </row>
    <row r="1987" spans="1:82">
      <c r="A1987" s="12" t="s">
        <v>760</v>
      </c>
      <c r="B1987" s="12" t="str">
        <f t="shared" si="378"/>
        <v>VANNIEKERK</v>
      </c>
      <c r="C1987" s="12" t="str">
        <f t="shared" si="379"/>
        <v>VAN NIEKERK</v>
      </c>
      <c r="D1987" s="12" t="s">
        <v>14657</v>
      </c>
      <c r="E1987" s="12" t="str">
        <f t="shared" ref="E1987:E2050" si="389">PROPER(D1987)</f>
        <v>Francois Johannes Josua</v>
      </c>
      <c r="F1987" s="12" t="s">
        <v>14658</v>
      </c>
      <c r="G1987" s="12" t="str">
        <f t="shared" si="380"/>
        <v>a1b3c7d9e1</v>
      </c>
      <c r="H1987" s="12" t="str">
        <f t="shared" si="381"/>
        <v>VAN NIEKERKa1b3c7d9e1</v>
      </c>
      <c r="I1987" s="12"/>
      <c r="J1987" s="12"/>
      <c r="K1987" s="12" t="str">
        <f t="shared" si="382"/>
        <v/>
      </c>
      <c r="L1987" s="12"/>
      <c r="M1987" s="12" t="s">
        <v>2504</v>
      </c>
      <c r="N1987" s="12" t="str">
        <f t="shared" si="387"/>
        <v/>
      </c>
      <c r="O1987" s="12" t="str">
        <f t="shared" si="388"/>
        <v>1813</v>
      </c>
      <c r="P1987" s="12"/>
      <c r="Q1987" s="12" t="str">
        <f t="shared" si="383"/>
        <v>1813</v>
      </c>
      <c r="R1987" s="12"/>
      <c r="S1987" s="12" t="str">
        <f t="shared" si="384"/>
        <v/>
      </c>
      <c r="T1987" s="12"/>
      <c r="U1987" s="12"/>
      <c r="V1987" s="12" t="str">
        <f t="shared" si="385"/>
        <v/>
      </c>
      <c r="W1987" s="12" t="s">
        <v>9553</v>
      </c>
      <c r="X1987" s="12" t="s">
        <v>1763</v>
      </c>
      <c r="Y1987" s="12" t="s">
        <v>14659</v>
      </c>
      <c r="Z1987" s="12"/>
      <c r="AA1987" s="12"/>
      <c r="AB1987" s="12"/>
      <c r="AC1987" s="12" t="s">
        <v>2173</v>
      </c>
      <c r="AD1987" s="12"/>
      <c r="AE1987" s="12"/>
      <c r="AF1987" s="12" t="s">
        <v>3729</v>
      </c>
      <c r="AG1987" s="12" t="s">
        <v>32</v>
      </c>
      <c r="AH1987" s="12" t="s">
        <v>2996</v>
      </c>
      <c r="AI1987" s="12" t="str">
        <f t="shared" si="386"/>
        <v>1838</v>
      </c>
      <c r="AJ1987" s="12"/>
      <c r="AK1987" s="12" t="s">
        <v>60</v>
      </c>
      <c r="AL1987" s="12"/>
      <c r="AM1987" s="12"/>
      <c r="AN1987" s="12"/>
      <c r="AO1987" s="12"/>
      <c r="AP1987" s="12"/>
      <c r="AQ1987" s="12"/>
      <c r="AR1987" s="12"/>
      <c r="AS1987" s="12"/>
      <c r="AT1987" s="12"/>
      <c r="AU1987" s="12"/>
      <c r="AV1987" s="12"/>
      <c r="AW1987" s="12"/>
      <c r="AX1987" s="12"/>
      <c r="AY1987" s="12"/>
      <c r="AZ1987" s="12"/>
      <c r="BA1987" s="12"/>
      <c r="BB1987" s="12"/>
      <c r="BC1987" s="12"/>
      <c r="BD1987" s="12"/>
      <c r="BE1987" s="12"/>
      <c r="BF1987" s="12"/>
      <c r="BG1987" s="12"/>
      <c r="BH1987" s="12"/>
      <c r="BI1987" s="12"/>
      <c r="BJ1987" s="12"/>
      <c r="BK1987" s="12"/>
      <c r="BL1987" s="12"/>
      <c r="BM1987" s="12"/>
      <c r="BN1987" s="12"/>
      <c r="BO1987" s="12"/>
      <c r="BP1987" s="12"/>
      <c r="BQ1987" s="12"/>
      <c r="BR1987" s="12"/>
      <c r="BS1987" s="12"/>
      <c r="BT1987" s="12"/>
      <c r="BU1987" s="12"/>
      <c r="BV1987" s="12"/>
      <c r="BW1987" s="12"/>
      <c r="BX1987" s="12"/>
      <c r="BY1987" s="12"/>
      <c r="BZ1987" s="12"/>
      <c r="CA1987" s="12"/>
      <c r="CB1987" s="12"/>
      <c r="CC1987" s="12"/>
      <c r="CD1987" s="12"/>
    </row>
    <row r="1988" spans="1:82">
      <c r="A1988" s="12" t="s">
        <v>760</v>
      </c>
      <c r="B1988" s="12" t="str">
        <f t="shared" si="378"/>
        <v>VANNIEKERK</v>
      </c>
      <c r="C1988" s="12" t="str">
        <f t="shared" si="379"/>
        <v>VAN NIEKERK</v>
      </c>
      <c r="D1988" s="12" t="s">
        <v>14666</v>
      </c>
      <c r="E1988" s="12" t="str">
        <f t="shared" si="389"/>
        <v>Gerhardus Albertus</v>
      </c>
      <c r="F1988" s="12" t="s">
        <v>14667</v>
      </c>
      <c r="G1988" s="12" t="str">
        <f t="shared" si="380"/>
        <v>a1b3c7d9e3</v>
      </c>
      <c r="H1988" s="12" t="str">
        <f t="shared" si="381"/>
        <v>VAN NIEKERKa1b3c7d9e3</v>
      </c>
      <c r="I1988" s="12"/>
      <c r="J1988" s="12"/>
      <c r="K1988" s="12" t="str">
        <f t="shared" si="382"/>
        <v/>
      </c>
      <c r="L1988" s="12"/>
      <c r="M1988" s="12" t="s">
        <v>1117</v>
      </c>
      <c r="N1988" s="12" t="str">
        <f t="shared" si="387"/>
        <v/>
      </c>
      <c r="O1988" s="12" t="str">
        <f t="shared" si="388"/>
        <v>1818</v>
      </c>
      <c r="P1988" s="12"/>
      <c r="Q1988" s="12" t="str">
        <f t="shared" si="383"/>
        <v>1818</v>
      </c>
      <c r="R1988" s="12"/>
      <c r="S1988" s="12" t="str">
        <f t="shared" si="384"/>
        <v/>
      </c>
      <c r="T1988" s="12" t="s">
        <v>32</v>
      </c>
      <c r="U1988" s="12" t="s">
        <v>14668</v>
      </c>
      <c r="V1988" s="12" t="str">
        <f t="shared" si="385"/>
        <v>1836</v>
      </c>
      <c r="W1988" s="12" t="s">
        <v>14669</v>
      </c>
      <c r="X1988" s="12" t="s">
        <v>1763</v>
      </c>
      <c r="Y1988" s="12" t="s">
        <v>5619</v>
      </c>
      <c r="Z1988" s="12"/>
      <c r="AA1988" s="12"/>
      <c r="AB1988" s="12"/>
      <c r="AC1988" s="12" t="s">
        <v>14670</v>
      </c>
      <c r="AD1988" s="12"/>
      <c r="AE1988" s="12"/>
      <c r="AF1988" s="12" t="s">
        <v>14671</v>
      </c>
      <c r="AG1988" s="12" t="s">
        <v>32</v>
      </c>
      <c r="AH1988" s="12" t="s">
        <v>2996</v>
      </c>
      <c r="AI1988" s="12" t="str">
        <f t="shared" si="386"/>
        <v>1838</v>
      </c>
      <c r="AJ1988" s="12" t="s">
        <v>12354</v>
      </c>
      <c r="AK1988" s="12" t="s">
        <v>168</v>
      </c>
      <c r="AL1988" s="12"/>
      <c r="AM1988" s="12"/>
      <c r="AN1988" s="12"/>
      <c r="AO1988" s="12"/>
      <c r="AP1988" s="12"/>
      <c r="AQ1988" s="12"/>
      <c r="AR1988" s="12"/>
      <c r="AS1988" s="12"/>
      <c r="AT1988" s="12"/>
      <c r="AU1988" s="12"/>
      <c r="AV1988" s="12"/>
      <c r="AW1988" s="12"/>
      <c r="AX1988" s="12"/>
      <c r="AY1988" s="12"/>
      <c r="AZ1988" s="12"/>
      <c r="BA1988" s="12"/>
      <c r="BB1988" s="12"/>
      <c r="BC1988" s="12"/>
      <c r="BD1988" s="12"/>
      <c r="BE1988" s="12"/>
      <c r="BF1988" s="12"/>
      <c r="BG1988" s="12"/>
      <c r="BH1988" s="12"/>
      <c r="BI1988" s="12"/>
      <c r="BJ1988" s="12"/>
      <c r="BK1988" s="12"/>
      <c r="BL1988" s="12"/>
      <c r="BM1988" s="12"/>
      <c r="BN1988" s="12"/>
      <c r="BO1988" s="12"/>
      <c r="BP1988" s="12"/>
      <c r="BQ1988" s="12"/>
      <c r="BR1988" s="12"/>
      <c r="BS1988" s="12"/>
      <c r="BT1988" s="12"/>
      <c r="BU1988" s="12"/>
      <c r="BV1988" s="12"/>
      <c r="BW1988" s="12"/>
      <c r="BX1988" s="12"/>
      <c r="BY1988" s="12"/>
      <c r="BZ1988" s="12"/>
      <c r="CA1988" s="12"/>
      <c r="CB1988" s="12"/>
      <c r="CC1988" s="12"/>
      <c r="CD1988" s="12"/>
    </row>
    <row r="1989" spans="1:82">
      <c r="A1989" s="12" t="s">
        <v>760</v>
      </c>
      <c r="B1989" s="12" t="str">
        <f t="shared" si="378"/>
        <v>VANNIEKERK</v>
      </c>
      <c r="C1989" s="12" t="str">
        <f t="shared" si="379"/>
        <v>VAN NIEKERK</v>
      </c>
      <c r="D1989" s="12" t="s">
        <v>14704</v>
      </c>
      <c r="E1989" s="12" t="str">
        <f t="shared" si="389"/>
        <v>Izak Abraham</v>
      </c>
      <c r="F1989" s="12" t="s">
        <v>14705</v>
      </c>
      <c r="G1989" s="12" t="str">
        <f t="shared" si="380"/>
        <v>a1b4c1d7e6</v>
      </c>
      <c r="H1989" s="12" t="str">
        <f t="shared" si="381"/>
        <v>VAN NIEKERKa1b4c1d7e6</v>
      </c>
      <c r="I1989" s="12"/>
      <c r="J1989" s="12" t="s">
        <v>14706</v>
      </c>
      <c r="K1989" s="12" t="str">
        <f t="shared" si="382"/>
        <v>1810</v>
      </c>
      <c r="L1989" s="12" t="s">
        <v>74</v>
      </c>
      <c r="M1989" s="12" t="s">
        <v>14707</v>
      </c>
      <c r="N1989" s="12" t="str">
        <f t="shared" si="387"/>
        <v>1810</v>
      </c>
      <c r="O1989" s="12" t="str">
        <f t="shared" si="388"/>
        <v>1811</v>
      </c>
      <c r="P1989" s="12"/>
      <c r="Q1989" s="12" t="str">
        <f t="shared" si="383"/>
        <v>1810</v>
      </c>
      <c r="R1989" s="12"/>
      <c r="S1989" s="12" t="str">
        <f t="shared" si="384"/>
        <v/>
      </c>
      <c r="T1989" s="12" t="s">
        <v>168</v>
      </c>
      <c r="U1989" s="12" t="s">
        <v>14708</v>
      </c>
      <c r="V1989" s="12" t="str">
        <f t="shared" si="385"/>
        <v>1839</v>
      </c>
      <c r="W1989" s="12" t="s">
        <v>14709</v>
      </c>
      <c r="X1989" s="12" t="s">
        <v>618</v>
      </c>
      <c r="Y1989" s="12" t="s">
        <v>10561</v>
      </c>
      <c r="Z1989" s="12"/>
      <c r="AA1989" s="12"/>
      <c r="AB1989" s="12"/>
      <c r="AC1989" s="12" t="s">
        <v>77</v>
      </c>
      <c r="AD1989" s="12" t="s">
        <v>14710</v>
      </c>
      <c r="AE1989" s="12" t="s">
        <v>10562</v>
      </c>
      <c r="AF1989" s="12" t="s">
        <v>9419</v>
      </c>
      <c r="AG1989" s="12" t="s">
        <v>53</v>
      </c>
      <c r="AH1989" s="12" t="s">
        <v>14711</v>
      </c>
      <c r="AI1989" s="12" t="str">
        <f t="shared" si="386"/>
        <v>1839</v>
      </c>
      <c r="AJ1989" s="12"/>
      <c r="AK1989" s="12" t="s">
        <v>90</v>
      </c>
      <c r="AL1989" s="12"/>
      <c r="AM1989" s="12"/>
      <c r="AN1989" s="12"/>
      <c r="AO1989" s="12"/>
      <c r="AP1989" s="12"/>
      <c r="AQ1989" s="12"/>
      <c r="AR1989" s="12"/>
      <c r="AS1989" s="12"/>
      <c r="AT1989" s="12"/>
      <c r="AU1989" s="12"/>
      <c r="AV1989" s="12"/>
      <c r="AW1989" s="12"/>
      <c r="AX1989" s="12"/>
      <c r="AY1989" s="12"/>
      <c r="AZ1989" s="12"/>
      <c r="BA1989" s="12"/>
      <c r="BB1989" s="12"/>
      <c r="BC1989" s="12"/>
      <c r="BD1989" s="12"/>
      <c r="BE1989" s="12"/>
      <c r="BF1989" s="12"/>
      <c r="BG1989" s="12"/>
      <c r="BH1989" s="12"/>
      <c r="BI1989" s="12"/>
      <c r="BJ1989" s="12"/>
      <c r="BK1989" s="12"/>
      <c r="BL1989" s="12"/>
      <c r="BM1989" s="12"/>
      <c r="BN1989" s="12"/>
      <c r="BO1989" s="12"/>
      <c r="BP1989" s="12"/>
      <c r="BQ1989" s="12"/>
      <c r="BR1989" s="12"/>
      <c r="BS1989" s="12"/>
      <c r="BT1989" s="12"/>
      <c r="BU1989" s="12"/>
      <c r="BV1989" s="12"/>
      <c r="BW1989" s="12"/>
      <c r="BX1989" s="12"/>
      <c r="BY1989" s="12"/>
      <c r="BZ1989" s="12"/>
      <c r="CA1989" s="12"/>
      <c r="CB1989" s="12"/>
      <c r="CC1989" s="12"/>
      <c r="CD1989" s="12"/>
    </row>
    <row r="1990" spans="1:82">
      <c r="A1990" s="12" t="s">
        <v>760</v>
      </c>
      <c r="B1990" s="12" t="str">
        <f t="shared" si="378"/>
        <v>VANNIEKERK</v>
      </c>
      <c r="C1990" s="12" t="str">
        <f t="shared" si="379"/>
        <v>VAN NIEKERK</v>
      </c>
      <c r="D1990" s="12" t="s">
        <v>1147</v>
      </c>
      <c r="E1990" s="12" t="str">
        <f t="shared" si="389"/>
        <v>Cornelis</v>
      </c>
      <c r="F1990" s="12" t="s">
        <v>11533</v>
      </c>
      <c r="G1990" s="12" t="str">
        <f t="shared" si="380"/>
        <v>a1b6c4d4e1</v>
      </c>
      <c r="H1990" s="12" t="str">
        <f t="shared" si="381"/>
        <v>VAN NIEKERKa1b6c4d4e1</v>
      </c>
      <c r="I1990" s="12"/>
      <c r="J1990" s="12" t="s">
        <v>8279</v>
      </c>
      <c r="K1990" s="12" t="str">
        <f t="shared" si="382"/>
        <v>1803</v>
      </c>
      <c r="L1990" s="12" t="s">
        <v>542</v>
      </c>
      <c r="M1990" s="12" t="s">
        <v>14654</v>
      </c>
      <c r="N1990" s="12" t="str">
        <f t="shared" si="387"/>
        <v>1803</v>
      </c>
      <c r="O1990" s="12" t="str">
        <f t="shared" si="388"/>
        <v>1803</v>
      </c>
      <c r="P1990" s="12"/>
      <c r="Q1990" s="12" t="str">
        <f t="shared" si="383"/>
        <v>1803</v>
      </c>
      <c r="R1990" s="12"/>
      <c r="S1990" s="12" t="str">
        <f t="shared" si="384"/>
        <v/>
      </c>
      <c r="T1990" s="12" t="s">
        <v>74</v>
      </c>
      <c r="U1990" s="12" t="s">
        <v>2357</v>
      </c>
      <c r="V1990" s="12" t="str">
        <f t="shared" si="385"/>
        <v>1824</v>
      </c>
      <c r="W1990" s="12" t="s">
        <v>819</v>
      </c>
      <c r="X1990" s="12" t="s">
        <v>637</v>
      </c>
      <c r="Y1990" s="12"/>
      <c r="Z1990" s="12"/>
      <c r="AA1990" s="12"/>
      <c r="AB1990" s="12"/>
      <c r="AC1990" s="12"/>
      <c r="AD1990" s="12" t="s">
        <v>74</v>
      </c>
      <c r="AE1990" s="12" t="s">
        <v>14655</v>
      </c>
      <c r="AF1990" s="12" t="s">
        <v>3677</v>
      </c>
      <c r="AG1990" s="12" t="s">
        <v>53</v>
      </c>
      <c r="AH1990" s="12" t="s">
        <v>12313</v>
      </c>
      <c r="AI1990" s="12" t="str">
        <f t="shared" si="386"/>
        <v>1837</v>
      </c>
      <c r="AJ1990" s="12" t="s">
        <v>2382</v>
      </c>
      <c r="AK1990" s="12" t="s">
        <v>90</v>
      </c>
      <c r="AL1990" s="12" t="s">
        <v>90</v>
      </c>
      <c r="AM1990" s="12" t="s">
        <v>14656</v>
      </c>
      <c r="AN1990" s="12" t="s">
        <v>10696</v>
      </c>
      <c r="AO1990" s="12" t="s">
        <v>777</v>
      </c>
      <c r="AP1990" s="12" t="s">
        <v>2449</v>
      </c>
      <c r="AQ1990" s="12"/>
      <c r="AR1990" s="12"/>
      <c r="AS1990" s="12"/>
      <c r="AT1990" s="12"/>
      <c r="AU1990" s="12"/>
      <c r="AV1990" s="12"/>
      <c r="AW1990" s="12"/>
      <c r="AX1990" s="12"/>
      <c r="AY1990" s="12"/>
      <c r="AZ1990" s="12"/>
      <c r="BA1990" s="12"/>
      <c r="BB1990" s="12"/>
      <c r="BC1990" s="12"/>
      <c r="BD1990" s="12"/>
      <c r="BE1990" s="12"/>
      <c r="BF1990" s="12"/>
      <c r="BG1990" s="12"/>
      <c r="BH1990" s="12"/>
      <c r="BI1990" s="12"/>
      <c r="BJ1990" s="12"/>
      <c r="BK1990" s="12"/>
      <c r="BL1990" s="12"/>
      <c r="BM1990" s="12"/>
      <c r="BN1990" s="12"/>
      <c r="BO1990" s="12"/>
      <c r="BP1990" s="12"/>
      <c r="BQ1990" s="12"/>
      <c r="BR1990" s="12"/>
      <c r="BS1990" s="12"/>
      <c r="BT1990" s="12"/>
      <c r="BU1990" s="12"/>
      <c r="BV1990" s="12"/>
      <c r="BW1990" s="12"/>
      <c r="BX1990" s="12"/>
      <c r="BY1990" s="12"/>
      <c r="BZ1990" s="12"/>
      <c r="CA1990" s="12"/>
      <c r="CB1990" s="12"/>
      <c r="CC1990" s="12"/>
      <c r="CD1990" s="12"/>
    </row>
    <row r="1991" spans="1:82">
      <c r="A1991" s="12" t="s">
        <v>760</v>
      </c>
      <c r="B1991" s="12" t="str">
        <f t="shared" si="378"/>
        <v>VANNIEKERK</v>
      </c>
      <c r="C1991" s="12" t="str">
        <f t="shared" si="379"/>
        <v>VAN NIEKERK</v>
      </c>
      <c r="D1991" s="12" t="s">
        <v>1111</v>
      </c>
      <c r="E1991" s="12" t="str">
        <f t="shared" si="389"/>
        <v>Christiaan</v>
      </c>
      <c r="F1991" s="12" t="s">
        <v>14648</v>
      </c>
      <c r="G1991" s="12" t="str">
        <f t="shared" si="380"/>
        <v>a1b6c4d5</v>
      </c>
      <c r="H1991" s="12" t="str">
        <f t="shared" si="381"/>
        <v>VAN NIEKERKa1b6c4d5</v>
      </c>
      <c r="I1991" s="12"/>
      <c r="J1991" s="12"/>
      <c r="K1991" s="12" t="str">
        <f t="shared" si="382"/>
        <v/>
      </c>
      <c r="L1991" s="12"/>
      <c r="M1991" s="12" t="s">
        <v>14649</v>
      </c>
      <c r="N1991" s="12" t="str">
        <f t="shared" si="387"/>
        <v/>
      </c>
      <c r="O1991" s="12" t="str">
        <f t="shared" si="388"/>
        <v>1781</v>
      </c>
      <c r="P1991" s="12"/>
      <c r="Q1991" s="12" t="str">
        <f t="shared" si="383"/>
        <v>1781</v>
      </c>
      <c r="R1991" s="12"/>
      <c r="S1991" s="12" t="str">
        <f t="shared" si="384"/>
        <v/>
      </c>
      <c r="T1991" s="12" t="s">
        <v>6098</v>
      </c>
      <c r="U1991" s="1" t="s">
        <v>14650</v>
      </c>
      <c r="V1991" s="12" t="str">
        <f t="shared" si="385"/>
        <v>1802</v>
      </c>
      <c r="W1991" s="12" t="s">
        <v>12545</v>
      </c>
      <c r="X1991" s="12" t="s">
        <v>18</v>
      </c>
      <c r="Y1991" s="12"/>
      <c r="Z1991" s="12"/>
      <c r="AA1991" s="12" t="s">
        <v>14651</v>
      </c>
      <c r="AB1991" s="12"/>
      <c r="AC1991" s="12"/>
      <c r="AD1991" s="12"/>
      <c r="AE1991" s="12"/>
      <c r="AF1991" s="12" t="s">
        <v>3699</v>
      </c>
      <c r="AG1991" s="12" t="s">
        <v>68</v>
      </c>
      <c r="AH1991" s="12" t="s">
        <v>14652</v>
      </c>
      <c r="AI1991" s="12" t="str">
        <f t="shared" si="386"/>
        <v>ATER</v>
      </c>
      <c r="AJ1991" s="12"/>
      <c r="AK1991" s="12" t="s">
        <v>140</v>
      </c>
      <c r="AL1991" s="12" t="s">
        <v>74</v>
      </c>
      <c r="AM1991" s="12" t="s">
        <v>3082</v>
      </c>
      <c r="AN1991" s="12" t="s">
        <v>14653</v>
      </c>
      <c r="AO1991" s="12" t="s">
        <v>669</v>
      </c>
      <c r="AP1991" s="12"/>
      <c r="AQ1991" s="12"/>
      <c r="AR1991" s="12"/>
      <c r="AS1991" s="12"/>
      <c r="AT1991" s="12"/>
      <c r="AU1991" s="12"/>
      <c r="AV1991" s="12"/>
      <c r="AW1991" s="12"/>
      <c r="AX1991" s="12"/>
      <c r="AY1991" s="12"/>
      <c r="AZ1991" s="12"/>
      <c r="BA1991" s="12"/>
      <c r="BB1991" s="12"/>
      <c r="BC1991" s="12"/>
      <c r="BD1991" s="12"/>
      <c r="BE1991" s="12"/>
      <c r="BF1991" s="12"/>
      <c r="BG1991" s="12"/>
      <c r="BH1991" s="12"/>
      <c r="BI1991" s="12"/>
      <c r="BJ1991" s="12"/>
      <c r="BK1991" s="12"/>
      <c r="BL1991" s="12"/>
      <c r="BM1991" s="12"/>
      <c r="BN1991" s="12"/>
      <c r="BO1991" s="12"/>
      <c r="BP1991" s="12"/>
      <c r="BQ1991" s="12"/>
      <c r="BR1991" s="12"/>
      <c r="BS1991" s="12"/>
      <c r="BT1991" s="12"/>
      <c r="BU1991" s="12"/>
      <c r="BV1991" s="12"/>
      <c r="BW1991" s="12"/>
      <c r="BX1991" s="12"/>
      <c r="BY1991" s="12"/>
      <c r="BZ1991" s="12"/>
      <c r="CA1991" s="12"/>
      <c r="CB1991" s="12"/>
      <c r="CC1991" s="12"/>
      <c r="CD1991" s="12"/>
    </row>
    <row r="1992" spans="1:82">
      <c r="A1992" s="12" t="s">
        <v>760</v>
      </c>
      <c r="B1992" s="12" t="str">
        <f t="shared" si="378"/>
        <v>VANNIEKERK</v>
      </c>
      <c r="C1992" s="12" t="str">
        <f t="shared" si="379"/>
        <v>VAN NIEKERK</v>
      </c>
      <c r="D1992" s="12" t="s">
        <v>14723</v>
      </c>
      <c r="E1992" s="12" t="str">
        <f t="shared" si="389"/>
        <v>Jacobus Gustavus</v>
      </c>
      <c r="F1992" s="12" t="s">
        <v>14724</v>
      </c>
      <c r="G1992" s="12" t="str">
        <f t="shared" si="380"/>
        <v>a1b6c4d5e2</v>
      </c>
      <c r="H1992" s="12" t="str">
        <f t="shared" si="381"/>
        <v>VAN NIEKERKa1b6c4d5e2</v>
      </c>
      <c r="I1992" s="12"/>
      <c r="J1992" s="12" t="s">
        <v>14725</v>
      </c>
      <c r="K1992" s="12" t="str">
        <f t="shared" si="382"/>
        <v>1805</v>
      </c>
      <c r="L1992" s="12" t="s">
        <v>74</v>
      </c>
      <c r="M1992" s="12" t="s">
        <v>14726</v>
      </c>
      <c r="N1992" s="12" t="str">
        <f t="shared" si="387"/>
        <v>1805</v>
      </c>
      <c r="O1992" s="12" t="str">
        <f t="shared" si="388"/>
        <v>1806</v>
      </c>
      <c r="P1992" s="12"/>
      <c r="Q1992" s="12" t="str">
        <f t="shared" si="383"/>
        <v>1805</v>
      </c>
      <c r="R1992" s="12"/>
      <c r="S1992" s="12" t="str">
        <f t="shared" si="384"/>
        <v/>
      </c>
      <c r="T1992" s="12" t="s">
        <v>28</v>
      </c>
      <c r="U1992" s="12" t="s">
        <v>2780</v>
      </c>
      <c r="V1992" s="12" t="str">
        <f t="shared" si="385"/>
        <v>1825</v>
      </c>
      <c r="W1992" s="12" t="s">
        <v>7453</v>
      </c>
      <c r="X1992" s="12" t="s">
        <v>670</v>
      </c>
      <c r="Y1992" s="12" t="s">
        <v>14727</v>
      </c>
      <c r="Z1992" s="12"/>
      <c r="AA1992" s="12"/>
      <c r="AB1992" s="12"/>
      <c r="AC1992" s="12"/>
      <c r="AD1992" s="12"/>
      <c r="AE1992" s="12"/>
      <c r="AF1992" s="12" t="s">
        <v>28</v>
      </c>
      <c r="AG1992" s="12" t="s">
        <v>68</v>
      </c>
      <c r="AH1992" s="12" t="s">
        <v>5445</v>
      </c>
      <c r="AI1992" s="12" t="str">
        <f t="shared" si="386"/>
        <v>1839</v>
      </c>
      <c r="AJ1992" s="12"/>
      <c r="AK1992" s="12" t="s">
        <v>90</v>
      </c>
      <c r="AL1992" s="12"/>
      <c r="AM1992" s="12"/>
      <c r="AN1992" s="12"/>
      <c r="AO1992" s="12"/>
      <c r="AP1992" s="12"/>
      <c r="AQ1992" s="12"/>
      <c r="AR1992" s="12"/>
      <c r="AS1992" s="12"/>
      <c r="AT1992" s="12"/>
      <c r="AU1992" s="12"/>
      <c r="AV1992" s="12"/>
      <c r="AW1992" s="12"/>
      <c r="AX1992" s="12"/>
      <c r="AY1992" s="12"/>
      <c r="AZ1992" s="12"/>
      <c r="BA1992" s="12"/>
      <c r="BB1992" s="12"/>
      <c r="BC1992" s="12"/>
      <c r="BD1992" s="12"/>
      <c r="BE1992" s="12"/>
      <c r="BF1992" s="12"/>
      <c r="BG1992" s="12"/>
      <c r="BH1992" s="12"/>
      <c r="BI1992" s="12"/>
      <c r="BJ1992" s="12"/>
      <c r="BK1992" s="12"/>
      <c r="BL1992" s="12"/>
      <c r="BM1992" s="12"/>
      <c r="BN1992" s="12"/>
      <c r="BO1992" s="12"/>
      <c r="BP1992" s="12"/>
      <c r="BQ1992" s="12"/>
      <c r="BR1992" s="12"/>
      <c r="BS1992" s="12"/>
      <c r="BT1992" s="12"/>
      <c r="BU1992" s="12"/>
      <c r="BV1992" s="12"/>
      <c r="BW1992" s="12"/>
      <c r="BX1992" s="12"/>
      <c r="BY1992" s="12"/>
      <c r="BZ1992" s="12"/>
      <c r="CA1992" s="12"/>
      <c r="CB1992" s="12"/>
      <c r="CC1992" s="12"/>
      <c r="CD1992" s="12"/>
    </row>
    <row r="1993" spans="1:82">
      <c r="A1993" s="13" t="s">
        <v>5781</v>
      </c>
      <c r="B1993" s="12" t="str">
        <f t="shared" si="378"/>
        <v>VANRENSBURG</v>
      </c>
      <c r="C1993" s="12" t="str">
        <f t="shared" si="379"/>
        <v>VAN RENSBURG</v>
      </c>
      <c r="D1993" s="13" t="s">
        <v>5872</v>
      </c>
      <c r="E1993" s="12" t="str">
        <f t="shared" si="389"/>
        <v>Stephanus Hendrik Janse</v>
      </c>
      <c r="F1993" s="13" t="s">
        <v>5873</v>
      </c>
      <c r="G1993" s="12" t="str">
        <f t="shared" si="380"/>
        <v>a1b1c1d4e13</v>
      </c>
      <c r="H1993" s="12" t="str">
        <f t="shared" si="381"/>
        <v>VAN RENSBURGa1b1c1d4e13</v>
      </c>
      <c r="I1993" s="13"/>
      <c r="J1993" s="13" t="s">
        <v>5874</v>
      </c>
      <c r="K1993" s="12" t="str">
        <f t="shared" si="382"/>
        <v>1812</v>
      </c>
      <c r="L1993" s="13" t="s">
        <v>542</v>
      </c>
      <c r="M1993" s="13" t="s">
        <v>5875</v>
      </c>
      <c r="N1993" s="12" t="str">
        <f t="shared" si="387"/>
        <v>1812</v>
      </c>
      <c r="O1993" s="12" t="str">
        <f t="shared" si="388"/>
        <v>1813</v>
      </c>
      <c r="P1993" s="13"/>
      <c r="Q1993" s="12" t="str">
        <f t="shared" si="383"/>
        <v>1812</v>
      </c>
      <c r="R1993" s="13"/>
      <c r="S1993" s="12" t="str">
        <f t="shared" si="384"/>
        <v/>
      </c>
      <c r="T1993" s="13" t="s">
        <v>68</v>
      </c>
      <c r="U1993" s="13" t="s">
        <v>14844</v>
      </c>
      <c r="V1993" s="12" t="str">
        <f t="shared" si="385"/>
        <v>1832</v>
      </c>
      <c r="W1993" s="13" t="s">
        <v>14845</v>
      </c>
      <c r="X1993" s="13" t="s">
        <v>2589</v>
      </c>
      <c r="Y1993" s="13"/>
      <c r="Z1993" s="13"/>
      <c r="AA1993" s="13"/>
      <c r="AB1993" s="13"/>
      <c r="AC1993" s="13"/>
      <c r="AD1993" s="13"/>
      <c r="AE1993" s="13"/>
      <c r="AF1993" s="13" t="s">
        <v>3705</v>
      </c>
      <c r="AG1993" s="13" t="s">
        <v>68</v>
      </c>
      <c r="AH1993" s="13" t="s">
        <v>14846</v>
      </c>
      <c r="AI1993" s="12" t="str">
        <f t="shared" si="386"/>
        <v>1842</v>
      </c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2"/>
      <c r="BI1993" s="12"/>
      <c r="BJ1993" s="12"/>
      <c r="BK1993" s="12"/>
      <c r="BL1993" s="12"/>
      <c r="BM1993" s="12"/>
      <c r="BN1993" s="12"/>
      <c r="BO1993" s="12"/>
      <c r="BP1993" s="12"/>
      <c r="BQ1993" s="12"/>
      <c r="BR1993" s="12"/>
      <c r="BS1993" s="12"/>
      <c r="BT1993" s="12"/>
      <c r="BU1993" s="12"/>
      <c r="BV1993" s="12"/>
      <c r="BW1993" s="12"/>
      <c r="BX1993" s="12"/>
      <c r="BY1993" s="12"/>
      <c r="BZ1993" s="12"/>
      <c r="CA1993" s="12"/>
      <c r="CB1993" s="12"/>
      <c r="CC1993" s="12"/>
      <c r="CD1993" s="12"/>
    </row>
    <row r="1994" spans="1:82">
      <c r="A1994" s="13" t="s">
        <v>5781</v>
      </c>
      <c r="B1994" s="12" t="str">
        <f t="shared" si="378"/>
        <v>VANRENSBURG</v>
      </c>
      <c r="C1994" s="12" t="str">
        <f t="shared" si="379"/>
        <v>VAN RENSBURG</v>
      </c>
      <c r="D1994" s="13" t="s">
        <v>5887</v>
      </c>
      <c r="E1994" s="12" t="str">
        <f t="shared" si="389"/>
        <v>Willem Cornelis Janse</v>
      </c>
      <c r="F1994" s="13" t="s">
        <v>5888</v>
      </c>
      <c r="G1994" s="12" t="str">
        <f t="shared" si="380"/>
        <v>a1b1c1d4e15</v>
      </c>
      <c r="H1994" s="12" t="str">
        <f t="shared" si="381"/>
        <v>VAN RENSBURGa1b1c1d4e15</v>
      </c>
      <c r="I1994" s="13" t="s">
        <v>53</v>
      </c>
      <c r="J1994" s="13" t="s">
        <v>5889</v>
      </c>
      <c r="K1994" s="12" t="str">
        <f t="shared" si="382"/>
        <v>1818</v>
      </c>
      <c r="L1994" s="13" t="s">
        <v>1071</v>
      </c>
      <c r="M1994" s="13" t="s">
        <v>5890</v>
      </c>
      <c r="N1994" s="12" t="str">
        <f t="shared" si="387"/>
        <v>1818</v>
      </c>
      <c r="O1994" s="12" t="str">
        <f t="shared" si="388"/>
        <v>1819</v>
      </c>
      <c r="P1994" s="13" t="s">
        <v>67</v>
      </c>
      <c r="Q1994" s="12" t="str">
        <f t="shared" si="383"/>
        <v>1818</v>
      </c>
      <c r="R1994" s="13" t="s">
        <v>14848</v>
      </c>
      <c r="S1994" s="12" t="str">
        <f t="shared" si="384"/>
        <v>1865</v>
      </c>
      <c r="T1994" s="13"/>
      <c r="U1994" s="13" t="s">
        <v>14849</v>
      </c>
      <c r="V1994" s="12" t="str">
        <f t="shared" si="385"/>
        <v>1838</v>
      </c>
      <c r="W1994" s="13" t="s">
        <v>14850</v>
      </c>
      <c r="X1994" s="13" t="s">
        <v>1453</v>
      </c>
      <c r="Y1994" s="13"/>
      <c r="Z1994" s="12"/>
      <c r="AA1994" s="13" t="s">
        <v>14851</v>
      </c>
      <c r="AB1994" s="13" t="s">
        <v>74</v>
      </c>
      <c r="AC1994" s="13" t="s">
        <v>2162</v>
      </c>
      <c r="AD1994" s="13" t="s">
        <v>1864</v>
      </c>
      <c r="AE1994" s="13" t="s">
        <v>14852</v>
      </c>
      <c r="AF1994" s="13" t="s">
        <v>3705</v>
      </c>
      <c r="AG1994" s="13" t="s">
        <v>68</v>
      </c>
      <c r="AH1994" s="13" t="s">
        <v>1706</v>
      </c>
      <c r="AI1994" s="12" t="str">
        <f t="shared" si="386"/>
        <v>1836</v>
      </c>
      <c r="AJ1994" s="13" t="s">
        <v>14853</v>
      </c>
      <c r="AK1994" s="13" t="s">
        <v>90</v>
      </c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2"/>
      <c r="BI1994" s="12"/>
      <c r="BJ1994" s="12"/>
      <c r="BK1994" s="12"/>
      <c r="BL1994" s="12"/>
      <c r="BM1994" s="12"/>
      <c r="BN1994" s="12"/>
      <c r="BO1994" s="12"/>
      <c r="BP1994" s="12"/>
      <c r="BQ1994" s="12"/>
      <c r="BR1994" s="12"/>
      <c r="BS1994" s="12"/>
      <c r="BT1994" s="12"/>
      <c r="BU1994" s="12"/>
      <c r="BV1994" s="12"/>
      <c r="BW1994" s="12"/>
      <c r="BX1994" s="12"/>
      <c r="BY1994" s="12"/>
      <c r="BZ1994" s="12"/>
      <c r="CA1994" s="12"/>
      <c r="CB1994" s="12"/>
      <c r="CC1994" s="12"/>
      <c r="CD1994" s="12"/>
    </row>
    <row r="1995" spans="1:82">
      <c r="A1995" s="13" t="s">
        <v>5781</v>
      </c>
      <c r="B1995" s="12" t="str">
        <f t="shared" si="378"/>
        <v>VANRENSBURG</v>
      </c>
      <c r="C1995" s="12" t="str">
        <f t="shared" si="379"/>
        <v>VAN RENSBURG</v>
      </c>
      <c r="D1995" s="13" t="s">
        <v>5849</v>
      </c>
      <c r="E1995" s="12" t="str">
        <f t="shared" si="389"/>
        <v>Nicolaas Janse</v>
      </c>
      <c r="F1995" s="13" t="s">
        <v>5850</v>
      </c>
      <c r="G1995" s="12" t="str">
        <f t="shared" si="380"/>
        <v>a1b1c1d4e2</v>
      </c>
      <c r="H1995" s="12" t="str">
        <f t="shared" si="381"/>
        <v>VAN RENSBURGa1b1c1d4e2</v>
      </c>
      <c r="I1995" s="13"/>
      <c r="J1995" s="13"/>
      <c r="K1995" s="12" t="str">
        <f t="shared" si="382"/>
        <v/>
      </c>
      <c r="L1995" s="13" t="s">
        <v>542</v>
      </c>
      <c r="M1995" s="13" t="s">
        <v>5851</v>
      </c>
      <c r="N1995" s="12" t="str">
        <f t="shared" si="387"/>
        <v/>
      </c>
      <c r="O1995" s="12" t="str">
        <f t="shared" si="388"/>
        <v>1786</v>
      </c>
      <c r="P1995" s="13"/>
      <c r="Q1995" s="12" t="str">
        <f t="shared" si="383"/>
        <v>1786</v>
      </c>
      <c r="R1995" s="13"/>
      <c r="S1995" s="12" t="str">
        <f t="shared" si="384"/>
        <v/>
      </c>
      <c r="T1995" s="13" t="s">
        <v>32</v>
      </c>
      <c r="U1995" s="13" t="s">
        <v>14829</v>
      </c>
      <c r="V1995" s="12" t="str">
        <f t="shared" si="385"/>
        <v>1809</v>
      </c>
      <c r="W1995" s="13" t="s">
        <v>14830</v>
      </c>
      <c r="X1995" s="13" t="s">
        <v>696</v>
      </c>
      <c r="Y1995" s="13"/>
      <c r="Z1995" s="13"/>
      <c r="AA1995" s="13"/>
      <c r="AB1995" s="13"/>
      <c r="AC1995" s="13"/>
      <c r="AD1995" s="13"/>
      <c r="AE1995" s="13"/>
      <c r="AF1995" s="13" t="s">
        <v>3728</v>
      </c>
      <c r="AG1995" s="13" t="s">
        <v>346</v>
      </c>
      <c r="AH1995" s="13" t="s">
        <v>14085</v>
      </c>
      <c r="AI1995" s="12" t="str">
        <f t="shared" si="386"/>
        <v>1837</v>
      </c>
      <c r="AJ1995" s="13" t="s">
        <v>5423</v>
      </c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2"/>
      <c r="BI1995" s="12"/>
      <c r="BJ1995" s="12"/>
      <c r="BK1995" s="12"/>
      <c r="BL1995" s="12"/>
      <c r="BM1995" s="12"/>
      <c r="BN1995" s="12"/>
      <c r="BO1995" s="12"/>
      <c r="BP1995" s="12"/>
      <c r="BQ1995" s="12"/>
      <c r="BR1995" s="12"/>
      <c r="BS1995" s="12"/>
      <c r="BT1995" s="12"/>
      <c r="BU1995" s="12"/>
      <c r="BV1995" s="12"/>
      <c r="BW1995" s="12"/>
      <c r="BX1995" s="12"/>
      <c r="BY1995" s="12"/>
      <c r="BZ1995" s="12"/>
      <c r="CA1995" s="12"/>
      <c r="CB1995" s="12"/>
      <c r="CC1995" s="12"/>
      <c r="CD1995" s="12"/>
    </row>
    <row r="1996" spans="1:82">
      <c r="A1996" s="13" t="s">
        <v>5781</v>
      </c>
      <c r="B1996" s="12" t="str">
        <f t="shared" si="378"/>
        <v>VANRENSBURG</v>
      </c>
      <c r="C1996" s="12" t="str">
        <f t="shared" si="379"/>
        <v>VAN RENSBURG</v>
      </c>
      <c r="D1996" s="13" t="s">
        <v>5794</v>
      </c>
      <c r="E1996" s="12" t="str">
        <f t="shared" si="389"/>
        <v>Hendrik Christoffel Janse</v>
      </c>
      <c r="F1996" s="13" t="s">
        <v>5803</v>
      </c>
      <c r="G1996" s="12" t="str">
        <f t="shared" si="380"/>
        <v>a1b1c1d4e2f1</v>
      </c>
      <c r="H1996" s="12" t="str">
        <f t="shared" si="381"/>
        <v>VAN RENSBURGa1b1c1d4e2f1</v>
      </c>
      <c r="I1996" s="13"/>
      <c r="J1996" s="13"/>
      <c r="K1996" s="12" t="str">
        <f t="shared" si="382"/>
        <v/>
      </c>
      <c r="L1996" s="13"/>
      <c r="M1996" s="13" t="s">
        <v>5804</v>
      </c>
      <c r="N1996" s="12" t="str">
        <f t="shared" si="387"/>
        <v/>
      </c>
      <c r="O1996" s="12" t="str">
        <f t="shared" si="388"/>
        <v>1810</v>
      </c>
      <c r="P1996" s="13"/>
      <c r="Q1996" s="12" t="str">
        <f t="shared" si="383"/>
        <v>1810</v>
      </c>
      <c r="R1996" s="13"/>
      <c r="S1996" s="12" t="str">
        <f t="shared" si="384"/>
        <v/>
      </c>
      <c r="T1996" s="13" t="s">
        <v>74</v>
      </c>
      <c r="U1996" s="13" t="s">
        <v>14790</v>
      </c>
      <c r="V1996" s="12" t="str">
        <f t="shared" si="385"/>
        <v>1835</v>
      </c>
      <c r="W1996" s="13" t="s">
        <v>1891</v>
      </c>
      <c r="X1996" s="13" t="s">
        <v>7387</v>
      </c>
      <c r="Y1996" s="13"/>
      <c r="Z1996" s="13"/>
      <c r="AA1996" s="13"/>
      <c r="AB1996" s="13"/>
      <c r="AC1996" s="13"/>
      <c r="AD1996" s="13"/>
      <c r="AE1996" s="13"/>
      <c r="AF1996" s="13" t="s">
        <v>3728</v>
      </c>
      <c r="AG1996" s="13" t="s">
        <v>346</v>
      </c>
      <c r="AH1996" s="13" t="s">
        <v>14791</v>
      </c>
      <c r="AI1996" s="12" t="str">
        <f t="shared" si="386"/>
        <v>1839</v>
      </c>
      <c r="AJ1996" s="13"/>
      <c r="AK1996" s="13"/>
      <c r="AL1996" s="13"/>
      <c r="AM1996" s="13"/>
      <c r="AN1996" s="13" t="s">
        <v>8166</v>
      </c>
      <c r="AO1996" s="13" t="s">
        <v>655</v>
      </c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2"/>
      <c r="BI1996" s="12"/>
      <c r="BJ1996" s="12"/>
      <c r="BK1996" s="12"/>
      <c r="BL1996" s="12"/>
      <c r="BM1996" s="12"/>
      <c r="BN1996" s="12"/>
      <c r="BO1996" s="12"/>
      <c r="BP1996" s="12"/>
      <c r="BQ1996" s="12"/>
      <c r="BR1996" s="12"/>
      <c r="BS1996" s="12"/>
      <c r="BT1996" s="12"/>
      <c r="BU1996" s="12"/>
      <c r="BV1996" s="12"/>
      <c r="BW1996" s="12"/>
      <c r="BX1996" s="12"/>
      <c r="BY1996" s="12"/>
      <c r="BZ1996" s="12"/>
      <c r="CA1996" s="12"/>
      <c r="CB1996" s="12"/>
      <c r="CC1996" s="12"/>
      <c r="CD1996" s="12"/>
    </row>
    <row r="1997" spans="1:82">
      <c r="A1997" s="13" t="s">
        <v>5781</v>
      </c>
      <c r="B1997" s="12" t="str">
        <f t="shared" si="378"/>
        <v>VANRENSBURG</v>
      </c>
      <c r="C1997" s="12" t="str">
        <f t="shared" si="379"/>
        <v>VAN RENSBURG</v>
      </c>
      <c r="D1997" s="13" t="s">
        <v>5879</v>
      </c>
      <c r="E1997" s="12" t="str">
        <f t="shared" si="389"/>
        <v>Stephanus Johannes Janse</v>
      </c>
      <c r="F1997" s="13" t="s">
        <v>5882</v>
      </c>
      <c r="G1997" s="12" t="str">
        <f t="shared" si="380"/>
        <v>a1b1c1d4e2f3</v>
      </c>
      <c r="H1997" s="12" t="str">
        <f t="shared" si="381"/>
        <v>VAN RENSBURGa1b1c1d4e2f3</v>
      </c>
      <c r="I1997" s="13"/>
      <c r="J1997" s="13" t="s">
        <v>5883</v>
      </c>
      <c r="K1997" s="12" t="str">
        <f t="shared" si="382"/>
        <v>1811</v>
      </c>
      <c r="L1997" s="13" t="s">
        <v>1071</v>
      </c>
      <c r="M1997" s="13" t="s">
        <v>5884</v>
      </c>
      <c r="N1997" s="12" t="str">
        <f t="shared" si="387"/>
        <v>1811</v>
      </c>
      <c r="O1997" s="12" t="str">
        <f t="shared" si="388"/>
        <v>1814</v>
      </c>
      <c r="P1997" s="13"/>
      <c r="Q1997" s="12" t="str">
        <f t="shared" si="383"/>
        <v>1811</v>
      </c>
      <c r="R1997" s="13"/>
      <c r="S1997" s="12" t="str">
        <f t="shared" si="384"/>
        <v/>
      </c>
      <c r="T1997" s="13"/>
      <c r="U1997" s="13"/>
      <c r="V1997" s="12" t="str">
        <f t="shared" si="385"/>
        <v/>
      </c>
      <c r="W1997" s="13" t="s">
        <v>7932</v>
      </c>
      <c r="X1997" s="13" t="s">
        <v>698</v>
      </c>
      <c r="Y1997" s="13"/>
      <c r="Z1997" s="13"/>
      <c r="AA1997" s="13"/>
      <c r="AB1997" s="13"/>
      <c r="AC1997" s="13"/>
      <c r="AD1997" s="13"/>
      <c r="AE1997" s="13"/>
      <c r="AF1997" s="13" t="s">
        <v>3728</v>
      </c>
      <c r="AG1997" s="13" t="s">
        <v>346</v>
      </c>
      <c r="AH1997" s="13">
        <v>1838</v>
      </c>
      <c r="AI1997" s="12" t="str">
        <f t="shared" si="386"/>
        <v>1838</v>
      </c>
      <c r="AJ1997" s="13"/>
      <c r="AK1997" s="13" t="s">
        <v>90</v>
      </c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2"/>
      <c r="BI1997" s="12"/>
      <c r="BJ1997" s="12"/>
      <c r="BK1997" s="12"/>
      <c r="BL1997" s="12"/>
      <c r="BM1997" s="12"/>
      <c r="BN1997" s="12"/>
      <c r="BO1997" s="12"/>
      <c r="BP1997" s="12"/>
      <c r="BQ1997" s="12"/>
      <c r="BR1997" s="12"/>
      <c r="BS1997" s="12"/>
      <c r="BT1997" s="12"/>
      <c r="BU1997" s="12"/>
      <c r="BV1997" s="12"/>
      <c r="BW1997" s="12"/>
      <c r="BX1997" s="12"/>
      <c r="BY1997" s="12"/>
      <c r="BZ1997" s="12"/>
      <c r="CA1997" s="12"/>
      <c r="CB1997" s="12"/>
      <c r="CC1997" s="12"/>
      <c r="CD1997" s="12"/>
    </row>
    <row r="1998" spans="1:82">
      <c r="A1998" s="13" t="s">
        <v>5781</v>
      </c>
      <c r="B1998" s="12" t="str">
        <f t="shared" si="378"/>
        <v>VANRENSBURG</v>
      </c>
      <c r="C1998" s="12" t="str">
        <f t="shared" si="379"/>
        <v>VAN RENSBURG</v>
      </c>
      <c r="D1998" s="13" t="s">
        <v>5794</v>
      </c>
      <c r="E1998" s="12" t="str">
        <f t="shared" si="389"/>
        <v>Hendrik Christoffel Janse</v>
      </c>
      <c r="F1998" s="13" t="s">
        <v>5801</v>
      </c>
      <c r="G1998" s="12" t="str">
        <f t="shared" si="380"/>
        <v>a1b1c1d4e5</v>
      </c>
      <c r="H1998" s="12" t="str">
        <f t="shared" si="381"/>
        <v>VAN RENSBURGa1b1c1d4e5</v>
      </c>
      <c r="I1998" s="13"/>
      <c r="J1998" s="13"/>
      <c r="K1998" s="12" t="str">
        <f t="shared" si="382"/>
        <v/>
      </c>
      <c r="L1998" s="13"/>
      <c r="M1998" s="13" t="s">
        <v>5802</v>
      </c>
      <c r="N1998" s="12" t="str">
        <f t="shared" si="387"/>
        <v/>
      </c>
      <c r="O1998" s="12" t="str">
        <f t="shared" si="388"/>
        <v>1792</v>
      </c>
      <c r="P1998" s="13"/>
      <c r="Q1998" s="12" t="str">
        <f t="shared" si="383"/>
        <v>1792</v>
      </c>
      <c r="R1998" s="13"/>
      <c r="S1998" s="12" t="str">
        <f t="shared" si="384"/>
        <v/>
      </c>
      <c r="T1998" s="13" t="s">
        <v>74</v>
      </c>
      <c r="U1998" s="13" t="s">
        <v>962</v>
      </c>
      <c r="V1998" s="12" t="str">
        <f t="shared" si="385"/>
        <v>1817</v>
      </c>
      <c r="W1998" s="13" t="s">
        <v>14789</v>
      </c>
      <c r="X1998" s="13" t="s">
        <v>1763</v>
      </c>
      <c r="Y1998" s="13"/>
      <c r="Z1998" s="13"/>
      <c r="AA1998" s="13"/>
      <c r="AB1998" s="13"/>
      <c r="AC1998" s="13"/>
      <c r="AD1998" s="13"/>
      <c r="AE1998" s="13"/>
      <c r="AF1998" s="13" t="s">
        <v>28</v>
      </c>
      <c r="AG1998" s="13" t="s">
        <v>68</v>
      </c>
      <c r="AH1998" s="13">
        <v>1840</v>
      </c>
      <c r="AI1998" s="12" t="str">
        <f t="shared" si="386"/>
        <v>1840</v>
      </c>
      <c r="AJ1998" s="13"/>
      <c r="AK1998" s="13" t="s">
        <v>90</v>
      </c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2"/>
      <c r="BI1998" s="12"/>
      <c r="BJ1998" s="12"/>
      <c r="BK1998" s="12"/>
      <c r="BL1998" s="12"/>
      <c r="BM1998" s="12"/>
      <c r="BN1998" s="12"/>
      <c r="BO1998" s="12"/>
      <c r="BP1998" s="12"/>
      <c r="BQ1998" s="12"/>
      <c r="BR1998" s="12"/>
      <c r="BS1998" s="12"/>
      <c r="BT1998" s="12"/>
      <c r="BU1998" s="12"/>
      <c r="BV1998" s="12"/>
      <c r="BW1998" s="12"/>
      <c r="BX1998" s="12"/>
      <c r="BY1998" s="12"/>
      <c r="BZ1998" s="12"/>
      <c r="CA1998" s="12"/>
      <c r="CB1998" s="12"/>
      <c r="CC1998" s="12"/>
      <c r="CD1998" s="12"/>
    </row>
    <row r="1999" spans="1:82">
      <c r="A1999" s="13" t="s">
        <v>5781</v>
      </c>
      <c r="B1999" s="12" t="str">
        <f t="shared" si="378"/>
        <v>VANRENSBURG</v>
      </c>
      <c r="C1999" s="12" t="str">
        <f t="shared" si="379"/>
        <v>VAN RENSBURG</v>
      </c>
      <c r="D1999" s="13" t="s">
        <v>5794</v>
      </c>
      <c r="E1999" s="12" t="str">
        <f t="shared" si="389"/>
        <v>Hendrik Christoffel Janse</v>
      </c>
      <c r="F1999" s="13" t="s">
        <v>5798</v>
      </c>
      <c r="G1999" s="12" t="str">
        <f t="shared" si="380"/>
        <v>a1b1c1d4e5f1</v>
      </c>
      <c r="H1999" s="12" t="str">
        <f t="shared" si="381"/>
        <v>VAN RENSBURGa1b1c1d4e5f1</v>
      </c>
      <c r="I1999" s="13"/>
      <c r="J1999" s="13" t="s">
        <v>5799</v>
      </c>
      <c r="K1999" s="12" t="str">
        <f t="shared" si="382"/>
        <v>1819</v>
      </c>
      <c r="L1999" s="13" t="s">
        <v>366</v>
      </c>
      <c r="M1999" s="13" t="s">
        <v>5800</v>
      </c>
      <c r="N1999" s="12" t="str">
        <f t="shared" si="387"/>
        <v>1819</v>
      </c>
      <c r="O1999" s="12" t="str">
        <f t="shared" si="388"/>
        <v>1819</v>
      </c>
      <c r="P1999" s="13" t="s">
        <v>9365</v>
      </c>
      <c r="Q1999" s="12" t="str">
        <f t="shared" si="383"/>
        <v>1819</v>
      </c>
      <c r="R1999" s="13">
        <v>1866</v>
      </c>
      <c r="S1999" s="12" t="str">
        <f t="shared" si="384"/>
        <v>1866</v>
      </c>
      <c r="T1999" s="13" t="s">
        <v>168</v>
      </c>
      <c r="U1999" s="13">
        <v>1840</v>
      </c>
      <c r="V1999" s="12" t="str">
        <f t="shared" si="385"/>
        <v>1840</v>
      </c>
      <c r="W1999" s="13" t="s">
        <v>14785</v>
      </c>
      <c r="X1999" s="13" t="s">
        <v>2306</v>
      </c>
      <c r="Y1999" s="13"/>
      <c r="Z1999" s="13"/>
      <c r="AA1999" s="13" t="s">
        <v>14786</v>
      </c>
      <c r="AB1999" s="13" t="s">
        <v>53</v>
      </c>
      <c r="AC1999" s="13" t="s">
        <v>14787</v>
      </c>
      <c r="AD1999" s="13" t="s">
        <v>67</v>
      </c>
      <c r="AE1999" s="13" t="s">
        <v>14788</v>
      </c>
      <c r="AF1999" s="13" t="s">
        <v>28</v>
      </c>
      <c r="AG1999" s="13" t="s">
        <v>68</v>
      </c>
      <c r="AH1999" s="13">
        <v>1840</v>
      </c>
      <c r="AI1999" s="12" t="str">
        <f t="shared" si="386"/>
        <v>1840</v>
      </c>
      <c r="AJ1999" s="13"/>
      <c r="AK1999" s="13" t="s">
        <v>155</v>
      </c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2"/>
      <c r="BI1999" s="12"/>
      <c r="BJ1999" s="12"/>
      <c r="BK1999" s="12"/>
      <c r="BL1999" s="12"/>
      <c r="BM1999" s="12"/>
      <c r="BN1999" s="12"/>
      <c r="BO1999" s="12"/>
      <c r="BP1999" s="12"/>
      <c r="BQ1999" s="12"/>
      <c r="BR1999" s="12"/>
      <c r="BS1999" s="12"/>
      <c r="BT1999" s="12"/>
      <c r="BU1999" s="12"/>
      <c r="BV1999" s="12"/>
      <c r="BW1999" s="12"/>
      <c r="BX1999" s="12"/>
      <c r="BY1999" s="12"/>
      <c r="BZ1999" s="12"/>
      <c r="CA1999" s="12"/>
      <c r="CB1999" s="12"/>
      <c r="CC1999" s="12"/>
      <c r="CD1999" s="12"/>
    </row>
    <row r="2000" spans="1:82">
      <c r="A2000" s="13" t="s">
        <v>5781</v>
      </c>
      <c r="B2000" s="12" t="str">
        <f t="shared" si="378"/>
        <v>VANRENSBURG</v>
      </c>
      <c r="C2000" s="12" t="str">
        <f t="shared" si="379"/>
        <v>VAN RENSBURG</v>
      </c>
      <c r="D2000" s="13" t="s">
        <v>5846</v>
      </c>
      <c r="E2000" s="12" t="str">
        <f t="shared" si="389"/>
        <v>Lucas Willem Janse</v>
      </c>
      <c r="F2000" s="13" t="s">
        <v>5847</v>
      </c>
      <c r="G2000" s="12" t="str">
        <f t="shared" si="380"/>
        <v>a1b1c1d4e6</v>
      </c>
      <c r="H2000" s="12" t="str">
        <f t="shared" si="381"/>
        <v>VAN RENSBURGa1b1c1d4e6</v>
      </c>
      <c r="I2000" s="13"/>
      <c r="J2000" s="13"/>
      <c r="K2000" s="12" t="str">
        <f t="shared" si="382"/>
        <v/>
      </c>
      <c r="L2000" s="13"/>
      <c r="M2000" s="13" t="s">
        <v>5848</v>
      </c>
      <c r="N2000" s="12" t="str">
        <f t="shared" si="387"/>
        <v/>
      </c>
      <c r="O2000" s="12" t="str">
        <f t="shared" si="388"/>
        <v>1794</v>
      </c>
      <c r="P2000" s="13"/>
      <c r="Q2000" s="12" t="str">
        <f t="shared" si="383"/>
        <v>1794</v>
      </c>
      <c r="R2000" s="13"/>
      <c r="S2000" s="12" t="str">
        <f t="shared" si="384"/>
        <v/>
      </c>
      <c r="T2000" s="13"/>
      <c r="U2000" s="13">
        <v>1813</v>
      </c>
      <c r="V2000" s="12" t="str">
        <f t="shared" si="385"/>
        <v>1813</v>
      </c>
      <c r="W2000" s="13" t="s">
        <v>7450</v>
      </c>
      <c r="X2000" s="13" t="s">
        <v>731</v>
      </c>
      <c r="Y2000" s="13"/>
      <c r="Z2000" s="13"/>
      <c r="AA2000" s="13"/>
      <c r="AB2000" s="13"/>
      <c r="AC2000" s="13" t="s">
        <v>14828</v>
      </c>
      <c r="AD2000" s="13"/>
      <c r="AE2000" s="13"/>
      <c r="AF2000" s="13" t="s">
        <v>3728</v>
      </c>
      <c r="AG2000" s="13" t="s">
        <v>346</v>
      </c>
      <c r="AH2000" s="13">
        <v>1837</v>
      </c>
      <c r="AI2000" s="12" t="str">
        <f t="shared" si="386"/>
        <v>1837</v>
      </c>
      <c r="AJ2000" s="12"/>
      <c r="AK2000" s="13" t="s">
        <v>140</v>
      </c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2"/>
      <c r="BI2000" s="12"/>
      <c r="BJ2000" s="12"/>
      <c r="BK2000" s="12"/>
      <c r="BL2000" s="12"/>
      <c r="BM2000" s="12"/>
      <c r="BN2000" s="12"/>
      <c r="BO2000" s="12"/>
      <c r="BP2000" s="12"/>
      <c r="BQ2000" s="12"/>
      <c r="BR2000" s="12"/>
      <c r="BS2000" s="12"/>
      <c r="BT2000" s="12"/>
      <c r="BU2000" s="12"/>
      <c r="BV2000" s="12"/>
      <c r="BW2000" s="12"/>
      <c r="BX2000" s="12"/>
      <c r="BY2000" s="12"/>
      <c r="BZ2000" s="12"/>
      <c r="CA2000" s="12"/>
      <c r="CB2000" s="12"/>
      <c r="CC2000" s="12"/>
      <c r="CD2000" s="12"/>
    </row>
    <row r="2001" spans="1:82">
      <c r="A2001" s="13" t="s">
        <v>5781</v>
      </c>
      <c r="B2001" s="12" t="str">
        <f t="shared" si="378"/>
        <v>VANRENSBURG</v>
      </c>
      <c r="C2001" s="12" t="str">
        <f t="shared" si="379"/>
        <v>VAN RENSBURG</v>
      </c>
      <c r="D2001" s="13" t="s">
        <v>5885</v>
      </c>
      <c r="E2001" s="12" t="str">
        <f t="shared" si="389"/>
        <v>Willem (L.Seun)</v>
      </c>
      <c r="F2001" s="13" t="s">
        <v>5886</v>
      </c>
      <c r="G2001" s="12" t="str">
        <f t="shared" si="380"/>
        <v>a1b1c1d4e6f</v>
      </c>
      <c r="H2001" s="12" t="str">
        <f t="shared" si="381"/>
        <v>VAN RENSBURGa1b1c1d4e6f</v>
      </c>
      <c r="I2001" s="13"/>
      <c r="J2001" s="13"/>
      <c r="K2001" s="12" t="str">
        <f t="shared" si="382"/>
        <v/>
      </c>
      <c r="L2001" s="13"/>
      <c r="M2001" s="13"/>
      <c r="N2001" s="12" t="str">
        <f t="shared" si="387"/>
        <v/>
      </c>
      <c r="O2001" s="12" t="str">
        <f t="shared" si="388"/>
        <v/>
      </c>
      <c r="P2001" s="13"/>
      <c r="Q2001" s="12" t="str">
        <f t="shared" si="383"/>
        <v/>
      </c>
      <c r="R2001" s="13"/>
      <c r="S2001" s="12" t="str">
        <f t="shared" si="384"/>
        <v/>
      </c>
      <c r="T2001" s="13"/>
      <c r="U2001" s="13"/>
      <c r="V2001" s="12" t="str">
        <f t="shared" si="385"/>
        <v/>
      </c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 t="s">
        <v>3728</v>
      </c>
      <c r="AG2001" s="13" t="s">
        <v>346</v>
      </c>
      <c r="AH2001" s="13" t="s">
        <v>14085</v>
      </c>
      <c r="AI2001" s="12" t="str">
        <f t="shared" si="386"/>
        <v>1837</v>
      </c>
      <c r="AJ2001" s="13" t="s">
        <v>5423</v>
      </c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2"/>
      <c r="BI2001" s="12"/>
      <c r="BJ2001" s="12"/>
      <c r="BK2001" s="12"/>
      <c r="BL2001" s="12"/>
      <c r="BM2001" s="12"/>
      <c r="BN2001" s="12"/>
      <c r="BO2001" s="12"/>
      <c r="BP2001" s="12"/>
      <c r="BQ2001" s="12"/>
      <c r="BR2001" s="12"/>
      <c r="BS2001" s="12"/>
      <c r="BT2001" s="12"/>
      <c r="BU2001" s="12"/>
      <c r="BV2001" s="12"/>
      <c r="BW2001" s="12"/>
      <c r="BX2001" s="12"/>
      <c r="BY2001" s="12"/>
      <c r="BZ2001" s="12"/>
      <c r="CA2001" s="12"/>
      <c r="CB2001" s="12"/>
      <c r="CC2001" s="12"/>
      <c r="CD2001" s="12"/>
    </row>
    <row r="2002" spans="1:82">
      <c r="A2002" s="13" t="s">
        <v>5781</v>
      </c>
      <c r="B2002" s="12" t="str">
        <f t="shared" si="378"/>
        <v>VANRENSBURG</v>
      </c>
      <c r="C2002" s="12" t="str">
        <f t="shared" si="379"/>
        <v>VAN RENSBURG</v>
      </c>
      <c r="D2002" s="13" t="s">
        <v>5808</v>
      </c>
      <c r="E2002" s="12" t="str">
        <f t="shared" si="389"/>
        <v>Hendrik Nicolaas Janse</v>
      </c>
      <c r="F2002" s="13" t="s">
        <v>5809</v>
      </c>
      <c r="G2002" s="12" t="str">
        <f t="shared" si="380"/>
        <v>a1b1c1d4e6f1</v>
      </c>
      <c r="H2002" s="12" t="str">
        <f t="shared" si="381"/>
        <v>VAN RENSBURGa1b1c1d4e6f1</v>
      </c>
      <c r="I2002" s="13"/>
      <c r="J2002" s="13" t="s">
        <v>5810</v>
      </c>
      <c r="K2002" s="12" t="str">
        <f t="shared" si="382"/>
        <v>1815</v>
      </c>
      <c r="L2002" s="13" t="s">
        <v>74</v>
      </c>
      <c r="M2002" s="13" t="s">
        <v>5811</v>
      </c>
      <c r="N2002" s="12" t="str">
        <f t="shared" si="387"/>
        <v>1815</v>
      </c>
      <c r="O2002" s="12" t="str">
        <f t="shared" si="388"/>
        <v>1816</v>
      </c>
      <c r="P2002" s="13"/>
      <c r="Q2002" s="12" t="str">
        <f t="shared" si="383"/>
        <v>1815</v>
      </c>
      <c r="R2002" s="13"/>
      <c r="S2002" s="12" t="str">
        <f t="shared" si="384"/>
        <v/>
      </c>
      <c r="T2002" s="13" t="s">
        <v>68</v>
      </c>
      <c r="U2002" s="13" t="s">
        <v>1192</v>
      </c>
      <c r="V2002" s="12" t="str">
        <f t="shared" si="385"/>
        <v>1834</v>
      </c>
      <c r="W2002" s="13" t="s">
        <v>14793</v>
      </c>
      <c r="X2002" s="13" t="s">
        <v>1453</v>
      </c>
      <c r="Y2002" s="13"/>
      <c r="Z2002" s="13"/>
      <c r="AA2002" s="13"/>
      <c r="AB2002" s="13"/>
      <c r="AC2002" s="13"/>
      <c r="AD2002" s="13"/>
      <c r="AE2002" s="13"/>
      <c r="AF2002" s="13" t="s">
        <v>3728</v>
      </c>
      <c r="AG2002" s="13" t="s">
        <v>346</v>
      </c>
      <c r="AH2002" s="13" t="s">
        <v>14794</v>
      </c>
      <c r="AI2002" s="12" t="str">
        <f t="shared" si="386"/>
        <v>1840</v>
      </c>
      <c r="AJ2002" s="13"/>
      <c r="AK2002" s="13" t="s">
        <v>90</v>
      </c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2"/>
      <c r="BI2002" s="12"/>
      <c r="BJ2002" s="12"/>
      <c r="BK2002" s="12"/>
      <c r="BL2002" s="12"/>
      <c r="BM2002" s="12"/>
      <c r="BN2002" s="12"/>
      <c r="BO2002" s="12"/>
      <c r="BP2002" s="12"/>
      <c r="BQ2002" s="12"/>
      <c r="BR2002" s="12"/>
      <c r="BS2002" s="12"/>
      <c r="BT2002" s="12"/>
      <c r="BU2002" s="12"/>
      <c r="BV2002" s="12"/>
      <c r="BW2002" s="12"/>
      <c r="BX2002" s="12"/>
      <c r="BY2002" s="12"/>
      <c r="BZ2002" s="12"/>
      <c r="CA2002" s="12"/>
      <c r="CB2002" s="12"/>
      <c r="CC2002" s="12"/>
      <c r="CD2002" s="12"/>
    </row>
    <row r="2003" spans="1:82">
      <c r="A2003" s="13" t="s">
        <v>5781</v>
      </c>
      <c r="B2003" s="12" t="str">
        <f t="shared" si="378"/>
        <v>VANRENSBURG</v>
      </c>
      <c r="C2003" s="12" t="str">
        <f t="shared" si="379"/>
        <v>VAN RENSBURG</v>
      </c>
      <c r="D2003" s="13" t="s">
        <v>5876</v>
      </c>
      <c r="E2003" s="12" t="str">
        <f t="shared" si="389"/>
        <v>Stephanus Janse (Lucas Willem Seun)</v>
      </c>
      <c r="F2003" s="13" t="s">
        <v>5877</v>
      </c>
      <c r="G2003" s="12" t="str">
        <f t="shared" si="380"/>
        <v>a1b1c1d4e6f3</v>
      </c>
      <c r="H2003" s="12" t="str">
        <f t="shared" si="381"/>
        <v>VAN RENSBURGa1b1c1d4e6f3</v>
      </c>
      <c r="I2003" s="13"/>
      <c r="J2003" s="13" t="s">
        <v>5878</v>
      </c>
      <c r="K2003" s="12" t="str">
        <f t="shared" si="382"/>
        <v>1829</v>
      </c>
      <c r="L2003" s="13"/>
      <c r="M2003" s="13"/>
      <c r="N2003" s="12" t="str">
        <f t="shared" si="387"/>
        <v>1829</v>
      </c>
      <c r="O2003" s="12" t="str">
        <f t="shared" si="388"/>
        <v/>
      </c>
      <c r="P2003" s="13"/>
      <c r="Q2003" s="12" t="str">
        <f t="shared" si="383"/>
        <v>1829</v>
      </c>
      <c r="R2003" s="13"/>
      <c r="S2003" s="12" t="str">
        <f t="shared" si="384"/>
        <v/>
      </c>
      <c r="T2003" s="13"/>
      <c r="U2003" s="13"/>
      <c r="V2003" s="12" t="str">
        <f t="shared" si="385"/>
        <v/>
      </c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 t="s">
        <v>3728</v>
      </c>
      <c r="AG2003" s="13" t="s">
        <v>346</v>
      </c>
      <c r="AH2003" s="13">
        <v>1837</v>
      </c>
      <c r="AI2003" s="12" t="str">
        <f t="shared" si="386"/>
        <v>1837</v>
      </c>
      <c r="AJ2003" s="13" t="s">
        <v>5366</v>
      </c>
      <c r="AK2003" s="13" t="s">
        <v>90</v>
      </c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2"/>
      <c r="BI2003" s="12"/>
      <c r="BJ2003" s="12"/>
      <c r="BK2003" s="12"/>
      <c r="BL2003" s="12"/>
      <c r="BM2003" s="12"/>
      <c r="BN2003" s="12"/>
      <c r="BO2003" s="12"/>
      <c r="BP2003" s="12"/>
      <c r="BQ2003" s="12"/>
      <c r="BR2003" s="12"/>
      <c r="BS2003" s="12"/>
      <c r="BT2003" s="12"/>
      <c r="BU2003" s="12"/>
      <c r="BV2003" s="12"/>
      <c r="BW2003" s="12"/>
      <c r="BX2003" s="12"/>
      <c r="BY2003" s="12"/>
      <c r="BZ2003" s="12"/>
      <c r="CA2003" s="12"/>
      <c r="CB2003" s="12"/>
      <c r="CC2003" s="12"/>
      <c r="CD2003" s="12"/>
    </row>
    <row r="2004" spans="1:82">
      <c r="A2004" s="13" t="s">
        <v>5781</v>
      </c>
      <c r="B2004" s="12" t="str">
        <f t="shared" si="378"/>
        <v>VANRENSBURG</v>
      </c>
      <c r="C2004" s="12" t="str">
        <f t="shared" si="379"/>
        <v>VAN RENSBURG</v>
      </c>
      <c r="D2004" s="13" t="s">
        <v>5836</v>
      </c>
      <c r="E2004" s="12" t="str">
        <f t="shared" si="389"/>
        <v>Josephus Cornelis Janse</v>
      </c>
      <c r="F2004" s="13" t="s">
        <v>5837</v>
      </c>
      <c r="G2004" s="12" t="str">
        <f t="shared" si="380"/>
        <v>a1b1c1d7e8</v>
      </c>
      <c r="H2004" s="12" t="str">
        <f t="shared" si="381"/>
        <v>VAN RENSBURGa1b1c1d7e8</v>
      </c>
      <c r="I2004" s="13"/>
      <c r="J2004" s="13" t="s">
        <v>5838</v>
      </c>
      <c r="K2004" s="12" t="str">
        <f t="shared" si="382"/>
        <v>1815</v>
      </c>
      <c r="L2004" s="13" t="s">
        <v>199</v>
      </c>
      <c r="M2004" s="13" t="s">
        <v>5839</v>
      </c>
      <c r="N2004" s="12" t="str">
        <f t="shared" si="387"/>
        <v>1815</v>
      </c>
      <c r="O2004" s="12" t="str">
        <f t="shared" si="388"/>
        <v>1815</v>
      </c>
      <c r="P2004" s="13"/>
      <c r="Q2004" s="12" t="str">
        <f t="shared" si="383"/>
        <v>1815</v>
      </c>
      <c r="R2004" s="13" t="s">
        <v>14813</v>
      </c>
      <c r="S2004" s="12" t="str">
        <f t="shared" si="384"/>
        <v>1870</v>
      </c>
      <c r="T2004" s="13" t="s">
        <v>32</v>
      </c>
      <c r="U2004" s="13" t="s">
        <v>14814</v>
      </c>
      <c r="V2004" s="12" t="str">
        <f t="shared" si="385"/>
        <v>1834</v>
      </c>
      <c r="W2004" s="13" t="s">
        <v>14815</v>
      </c>
      <c r="X2004" s="13" t="s">
        <v>2394</v>
      </c>
      <c r="Y2004" s="13"/>
      <c r="Z2004" s="13" t="s">
        <v>14816</v>
      </c>
      <c r="AA2004" s="13"/>
      <c r="AB2004" s="13"/>
      <c r="AC2004" s="13"/>
      <c r="AD2004" s="13"/>
      <c r="AE2004" s="13"/>
      <c r="AF2004" s="13" t="s">
        <v>3727</v>
      </c>
      <c r="AG2004" s="13" t="s">
        <v>32</v>
      </c>
      <c r="AH2004" s="13" t="s">
        <v>2405</v>
      </c>
      <c r="AI2004" s="12" t="str">
        <f t="shared" si="386"/>
        <v>1838</v>
      </c>
      <c r="AJ2004" s="13"/>
      <c r="AK2004" s="13" t="s">
        <v>90</v>
      </c>
      <c r="AL2004" s="13"/>
      <c r="AM2004" s="13">
        <v>1850</v>
      </c>
      <c r="AN2004" s="13" t="s">
        <v>14817</v>
      </c>
      <c r="AO2004" s="13" t="s">
        <v>3799</v>
      </c>
      <c r="AP2004" s="13" t="s">
        <v>14818</v>
      </c>
      <c r="AQ2004" s="13"/>
      <c r="AR2004" s="13"/>
      <c r="AS2004" s="13"/>
      <c r="AT2004" s="13" t="s">
        <v>14532</v>
      </c>
      <c r="AU2004" s="13" t="s">
        <v>2355</v>
      </c>
      <c r="AV2004" s="13" t="s">
        <v>14819</v>
      </c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2"/>
      <c r="BI2004" s="12"/>
      <c r="BJ2004" s="12"/>
      <c r="BK2004" s="12"/>
      <c r="BL2004" s="12"/>
      <c r="BM2004" s="12"/>
      <c r="BN2004" s="12"/>
      <c r="BO2004" s="12"/>
      <c r="BP2004" s="12"/>
      <c r="BQ2004" s="12"/>
      <c r="BR2004" s="12"/>
      <c r="BS2004" s="12"/>
      <c r="BT2004" s="12"/>
      <c r="BU2004" s="12"/>
      <c r="BV2004" s="12"/>
      <c r="BW2004" s="12"/>
      <c r="BX2004" s="12"/>
      <c r="BY2004" s="12"/>
      <c r="BZ2004" s="12"/>
      <c r="CA2004" s="12"/>
      <c r="CB2004" s="12"/>
      <c r="CC2004" s="12"/>
      <c r="CD2004" s="12"/>
    </row>
    <row r="2005" spans="1:82">
      <c r="A2005" s="13" t="s">
        <v>5781</v>
      </c>
      <c r="B2005" s="12" t="str">
        <f t="shared" si="378"/>
        <v>VANRENSBURG</v>
      </c>
      <c r="C2005" s="12" t="str">
        <f t="shared" si="379"/>
        <v>VAN RENSBURG</v>
      </c>
      <c r="D2005" s="13" t="s">
        <v>5825</v>
      </c>
      <c r="E2005" s="12" t="str">
        <f t="shared" si="389"/>
        <v>Johannes Lodewikus Janse</v>
      </c>
      <c r="F2005" s="13" t="s">
        <v>5826</v>
      </c>
      <c r="G2005" s="12" t="str">
        <f t="shared" si="380"/>
        <v>a1b1c1e4d5f3</v>
      </c>
      <c r="H2005" s="12" t="str">
        <f t="shared" si="381"/>
        <v>VAN RENSBURGa1b1c1e4d5f3</v>
      </c>
      <c r="I2005" s="13"/>
      <c r="J2005" s="13" t="s">
        <v>5827</v>
      </c>
      <c r="K2005" s="12" t="str">
        <f t="shared" si="382"/>
        <v>1824</v>
      </c>
      <c r="L2005" s="13" t="s">
        <v>53</v>
      </c>
      <c r="M2005" s="13" t="s">
        <v>5828</v>
      </c>
      <c r="N2005" s="12" t="str">
        <f t="shared" si="387"/>
        <v>1824</v>
      </c>
      <c r="O2005" s="12" t="str">
        <f t="shared" si="388"/>
        <v>1825</v>
      </c>
      <c r="P2005" s="13"/>
      <c r="Q2005" s="12" t="str">
        <f t="shared" si="383"/>
        <v>1824</v>
      </c>
      <c r="R2005" s="13"/>
      <c r="S2005" s="12" t="str">
        <f t="shared" si="384"/>
        <v/>
      </c>
      <c r="T2005" s="13" t="s">
        <v>140</v>
      </c>
      <c r="U2005" s="13" t="s">
        <v>12893</v>
      </c>
      <c r="V2005" s="12" t="str">
        <f t="shared" si="385"/>
        <v>1846</v>
      </c>
      <c r="W2005" s="13" t="s">
        <v>14807</v>
      </c>
      <c r="X2005" s="13" t="s">
        <v>14808</v>
      </c>
      <c r="Y2005" s="13"/>
      <c r="Z2005" s="13"/>
      <c r="AA2005" s="13"/>
      <c r="AB2005" s="13"/>
      <c r="AC2005" s="13"/>
      <c r="AD2005" s="13"/>
      <c r="AE2005" s="13"/>
      <c r="AF2005" s="13" t="s">
        <v>28</v>
      </c>
      <c r="AG2005" s="13" t="s">
        <v>68</v>
      </c>
      <c r="AH2005" s="13">
        <v>1840</v>
      </c>
      <c r="AI2005" s="12" t="str">
        <f t="shared" si="386"/>
        <v>1840</v>
      </c>
      <c r="AJ2005" s="13"/>
      <c r="AK2005" s="13" t="s">
        <v>140</v>
      </c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/>
      <c r="BA2005" s="13"/>
      <c r="BB2005" s="13"/>
      <c r="BC2005" s="13"/>
      <c r="BD2005" s="13"/>
      <c r="BE2005" s="13"/>
      <c r="BF2005" s="13"/>
      <c r="BG2005" s="13"/>
      <c r="BH2005" s="12"/>
      <c r="BI2005" s="12"/>
      <c r="BJ2005" s="12"/>
      <c r="BK2005" s="12"/>
      <c r="BL2005" s="12"/>
      <c r="BM2005" s="12"/>
      <c r="BN2005" s="12"/>
      <c r="BO2005" s="12"/>
      <c r="BP2005" s="12"/>
      <c r="BQ2005" s="12"/>
      <c r="BR2005" s="12"/>
      <c r="BS2005" s="12"/>
      <c r="BT2005" s="12"/>
      <c r="BU2005" s="12"/>
      <c r="BV2005" s="12"/>
      <c r="BW2005" s="12"/>
      <c r="BX2005" s="12"/>
      <c r="BY2005" s="12"/>
      <c r="BZ2005" s="12"/>
      <c r="CA2005" s="12"/>
      <c r="CB2005" s="12"/>
      <c r="CC2005" s="12"/>
      <c r="CD2005" s="12"/>
    </row>
    <row r="2006" spans="1:82">
      <c r="A2006" s="13" t="s">
        <v>5781</v>
      </c>
      <c r="B2006" s="12" t="str">
        <f t="shared" si="378"/>
        <v>VANRENSBURG</v>
      </c>
      <c r="C2006" s="12" t="str">
        <f t="shared" si="379"/>
        <v>VAN RENSBURG</v>
      </c>
      <c r="D2006" s="13" t="s">
        <v>5821</v>
      </c>
      <c r="E2006" s="12" t="str">
        <f t="shared" si="389"/>
        <v>Johannes Jacobus Janse (Lang Hans)</v>
      </c>
      <c r="F2006" s="13" t="s">
        <v>5822</v>
      </c>
      <c r="G2006" s="12" t="str">
        <f t="shared" si="380"/>
        <v>a1b1c2d3e1</v>
      </c>
      <c r="H2006" s="12" t="str">
        <f t="shared" si="381"/>
        <v>VAN RENSBURGa1b1c2d3e1</v>
      </c>
      <c r="I2006" s="13"/>
      <c r="J2006" s="13" t="s">
        <v>5823</v>
      </c>
      <c r="K2006" s="12" t="str">
        <f t="shared" si="382"/>
        <v>1779</v>
      </c>
      <c r="L2006" s="13"/>
      <c r="M2006" s="13" t="s">
        <v>5824</v>
      </c>
      <c r="N2006" s="12" t="str">
        <f t="shared" si="387"/>
        <v>1779</v>
      </c>
      <c r="O2006" s="12" t="str">
        <f t="shared" si="388"/>
        <v>1779</v>
      </c>
      <c r="P2006" s="13" t="s">
        <v>14778</v>
      </c>
      <c r="Q2006" s="12" t="str">
        <f t="shared" si="383"/>
        <v>1779</v>
      </c>
      <c r="R2006" s="13" t="s">
        <v>14779</v>
      </c>
      <c r="S2006" s="12" t="str">
        <f t="shared" si="384"/>
        <v>1836</v>
      </c>
      <c r="T2006" s="13" t="s">
        <v>6098</v>
      </c>
      <c r="U2006" s="13" t="s">
        <v>5336</v>
      </c>
      <c r="V2006" s="12" t="str">
        <f t="shared" si="385"/>
        <v>1802</v>
      </c>
      <c r="W2006" s="13" t="s">
        <v>12461</v>
      </c>
      <c r="X2006" s="13" t="s">
        <v>778</v>
      </c>
      <c r="Y2006" s="13"/>
      <c r="Z2006" s="13"/>
      <c r="AA2006" s="13"/>
      <c r="AB2006" s="13"/>
      <c r="AC2006" s="13" t="s">
        <v>1828</v>
      </c>
      <c r="AD2006" s="13" t="s">
        <v>14778</v>
      </c>
      <c r="AE2006" s="13" t="s">
        <v>14779</v>
      </c>
      <c r="AF2006" s="13" t="s">
        <v>16</v>
      </c>
      <c r="AG2006" s="13" t="s">
        <v>68</v>
      </c>
      <c r="AH2006" s="13">
        <v>1836</v>
      </c>
      <c r="AI2006" s="12" t="str">
        <f t="shared" si="386"/>
        <v>1836</v>
      </c>
      <c r="AJ2006" s="13"/>
      <c r="AK2006" s="13" t="s">
        <v>551</v>
      </c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2"/>
      <c r="BI2006" s="12"/>
      <c r="BJ2006" s="12"/>
      <c r="BK2006" s="12"/>
      <c r="BL2006" s="12"/>
      <c r="BM2006" s="12"/>
      <c r="BN2006" s="12"/>
      <c r="BO2006" s="12"/>
      <c r="BP2006" s="12"/>
      <c r="BQ2006" s="12"/>
      <c r="BR2006" s="12"/>
      <c r="BS2006" s="12"/>
      <c r="BT2006" s="12"/>
      <c r="BU2006" s="12"/>
      <c r="BV2006" s="12"/>
      <c r="BW2006" s="12"/>
      <c r="BX2006" s="12"/>
      <c r="BY2006" s="12"/>
      <c r="BZ2006" s="12"/>
      <c r="CA2006" s="12"/>
      <c r="CB2006" s="12"/>
      <c r="CC2006" s="12"/>
      <c r="CD2006" s="12"/>
    </row>
    <row r="2007" spans="1:82">
      <c r="A2007" s="13" t="s">
        <v>5781</v>
      </c>
      <c r="B2007" s="12" t="str">
        <f t="shared" si="378"/>
        <v>VANRENSBURG</v>
      </c>
      <c r="C2007" s="12" t="str">
        <f t="shared" si="379"/>
        <v>VAN RENSBURG</v>
      </c>
      <c r="D2007" s="13" t="s">
        <v>5790</v>
      </c>
      <c r="E2007" s="12" t="str">
        <f t="shared" si="389"/>
        <v>Gysbert Sybrand Johannes Janse</v>
      </c>
      <c r="F2007" s="13" t="s">
        <v>5791</v>
      </c>
      <c r="G2007" s="12" t="str">
        <f t="shared" si="380"/>
        <v>a1b1c2d3e1f6</v>
      </c>
      <c r="H2007" s="12" t="str">
        <f t="shared" si="381"/>
        <v>VAN RENSBURGa1b1c2d3e1f6</v>
      </c>
      <c r="I2007" s="13"/>
      <c r="J2007" s="13" t="s">
        <v>5792</v>
      </c>
      <c r="K2007" s="12" t="str">
        <f t="shared" si="382"/>
        <v>1824</v>
      </c>
      <c r="L2007" s="13" t="s">
        <v>366</v>
      </c>
      <c r="M2007" s="13" t="s">
        <v>5793</v>
      </c>
      <c r="N2007" s="12" t="str">
        <f t="shared" si="387"/>
        <v>1824</v>
      </c>
      <c r="O2007" s="12" t="str">
        <f t="shared" si="388"/>
        <v>1825</v>
      </c>
      <c r="P2007" s="13" t="s">
        <v>14778</v>
      </c>
      <c r="Q2007" s="12" t="str">
        <f t="shared" si="383"/>
        <v>1824</v>
      </c>
      <c r="R2007" s="13" t="s">
        <v>14779</v>
      </c>
      <c r="S2007" s="12" t="str">
        <f t="shared" si="384"/>
        <v>1836</v>
      </c>
      <c r="T2007" s="13"/>
      <c r="U2007" s="13"/>
      <c r="V2007" s="12" t="str">
        <f t="shared" si="385"/>
        <v/>
      </c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 t="s">
        <v>16</v>
      </c>
      <c r="AG2007" s="13" t="s">
        <v>68</v>
      </c>
      <c r="AH2007" s="13">
        <v>1836</v>
      </c>
      <c r="AI2007" s="12" t="str">
        <f t="shared" si="386"/>
        <v>1836</v>
      </c>
      <c r="AJ2007" s="13" t="s">
        <v>14780</v>
      </c>
      <c r="AK2007" s="13" t="s">
        <v>551</v>
      </c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2"/>
      <c r="BI2007" s="12"/>
      <c r="BJ2007" s="12"/>
      <c r="BK2007" s="12"/>
      <c r="BL2007" s="12"/>
      <c r="BM2007" s="12"/>
      <c r="BN2007" s="12"/>
      <c r="BO2007" s="12"/>
      <c r="BP2007" s="12"/>
      <c r="BQ2007" s="12"/>
      <c r="BR2007" s="12"/>
      <c r="BS2007" s="12"/>
      <c r="BT2007" s="12"/>
      <c r="BU2007" s="12"/>
      <c r="BV2007" s="12"/>
      <c r="BW2007" s="12"/>
      <c r="BX2007" s="12"/>
      <c r="BY2007" s="12"/>
      <c r="BZ2007" s="12"/>
      <c r="CA2007" s="12"/>
      <c r="CB2007" s="12"/>
      <c r="CC2007" s="12"/>
      <c r="CD2007" s="12"/>
    </row>
    <row r="2008" spans="1:82">
      <c r="A2008" s="13" t="s">
        <v>5781</v>
      </c>
      <c r="B2008" s="12" t="str">
        <f t="shared" si="378"/>
        <v>VANRENSBURG</v>
      </c>
      <c r="C2008" s="12" t="str">
        <f t="shared" si="379"/>
        <v>VAN RENSBURG</v>
      </c>
      <c r="D2008" s="13" t="s">
        <v>5869</v>
      </c>
      <c r="E2008" s="12" t="str">
        <f t="shared" si="389"/>
        <v>Reynier Janse</v>
      </c>
      <c r="F2008" s="12" t="s">
        <v>5870</v>
      </c>
      <c r="G2008" s="12" t="str">
        <f t="shared" si="380"/>
        <v>a1b1c3d16</v>
      </c>
      <c r="H2008" s="12" t="str">
        <f t="shared" si="381"/>
        <v>VAN RENSBURGa1b1c3d16</v>
      </c>
      <c r="I2008" s="13"/>
      <c r="J2008" s="13"/>
      <c r="K2008" s="12" t="str">
        <f t="shared" si="382"/>
        <v/>
      </c>
      <c r="L2008" s="13"/>
      <c r="M2008" s="13" t="s">
        <v>5871</v>
      </c>
      <c r="N2008" s="12" t="str">
        <f t="shared" si="387"/>
        <v/>
      </c>
      <c r="O2008" s="12" t="str">
        <f t="shared" si="388"/>
        <v>1794</v>
      </c>
      <c r="P2008" s="13"/>
      <c r="Q2008" s="12" t="str">
        <f t="shared" si="383"/>
        <v>1794</v>
      </c>
      <c r="R2008" s="13"/>
      <c r="S2008" s="12" t="str">
        <f t="shared" si="384"/>
        <v/>
      </c>
      <c r="T2008" s="13" t="s">
        <v>199</v>
      </c>
      <c r="U2008" s="13" t="s">
        <v>3844</v>
      </c>
      <c r="V2008" s="12" t="str">
        <f t="shared" si="385"/>
        <v>1815</v>
      </c>
      <c r="W2008" s="13" t="s">
        <v>2472</v>
      </c>
      <c r="X2008" s="13" t="s">
        <v>2402</v>
      </c>
      <c r="Y2008" s="13" t="s">
        <v>14841</v>
      </c>
      <c r="Z2008" s="13"/>
      <c r="AA2008" s="13"/>
      <c r="AB2008" s="13" t="s">
        <v>32</v>
      </c>
      <c r="AC2008" s="13" t="s">
        <v>12208</v>
      </c>
      <c r="AD2008" s="13" t="s">
        <v>1017</v>
      </c>
      <c r="AE2008" s="13" t="s">
        <v>14842</v>
      </c>
      <c r="AF2008" s="13" t="s">
        <v>3729</v>
      </c>
      <c r="AG2008" s="13" t="s">
        <v>32</v>
      </c>
      <c r="AH2008" s="13" t="s">
        <v>14843</v>
      </c>
      <c r="AI2008" s="12" t="str">
        <f t="shared" si="386"/>
        <v>1844</v>
      </c>
      <c r="AJ2008" s="13" t="s">
        <v>12354</v>
      </c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2"/>
      <c r="BI2008" s="12"/>
      <c r="BJ2008" s="12"/>
      <c r="BK2008" s="12"/>
      <c r="BL2008" s="12"/>
      <c r="BM2008" s="12"/>
      <c r="BN2008" s="12"/>
      <c r="BO2008" s="12"/>
      <c r="BP2008" s="12"/>
      <c r="BQ2008" s="12"/>
      <c r="BR2008" s="12"/>
      <c r="BS2008" s="12"/>
      <c r="BT2008" s="12"/>
      <c r="BU2008" s="12"/>
      <c r="BV2008" s="12"/>
      <c r="BW2008" s="12"/>
      <c r="BX2008" s="12"/>
      <c r="BY2008" s="12"/>
      <c r="BZ2008" s="12"/>
      <c r="CA2008" s="12"/>
      <c r="CB2008" s="12"/>
      <c r="CC2008" s="12"/>
      <c r="CD2008" s="12"/>
    </row>
    <row r="2009" spans="1:82">
      <c r="A2009" s="13" t="s">
        <v>5781</v>
      </c>
      <c r="B2009" s="12" t="str">
        <f t="shared" si="378"/>
        <v>VANRENSBURG</v>
      </c>
      <c r="C2009" s="12" t="str">
        <f t="shared" si="379"/>
        <v>VAN RENSBURG</v>
      </c>
      <c r="D2009" s="13" t="s">
        <v>5816</v>
      </c>
      <c r="E2009" s="12" t="str">
        <f t="shared" si="389"/>
        <v>Johannes Frederik Janse (Lang Hans)</v>
      </c>
      <c r="F2009" s="13" t="s">
        <v>5817</v>
      </c>
      <c r="G2009" s="12" t="str">
        <f t="shared" si="380"/>
        <v>a1b1c5d2e9</v>
      </c>
      <c r="H2009" s="12" t="str">
        <f t="shared" si="381"/>
        <v>VAN RENSBURGa1b1c5d2e9</v>
      </c>
      <c r="I2009" s="13" t="s">
        <v>5818</v>
      </c>
      <c r="J2009" s="13" t="s">
        <v>5819</v>
      </c>
      <c r="K2009" s="12" t="str">
        <f t="shared" si="382"/>
        <v>1810</v>
      </c>
      <c r="L2009" s="13" t="s">
        <v>32</v>
      </c>
      <c r="M2009" s="13" t="s">
        <v>5820</v>
      </c>
      <c r="N2009" s="12" t="str">
        <f t="shared" si="387"/>
        <v>1810</v>
      </c>
      <c r="O2009" s="12" t="str">
        <f t="shared" si="388"/>
        <v>1811</v>
      </c>
      <c r="P2009" s="13" t="s">
        <v>14797</v>
      </c>
      <c r="Q2009" s="12" t="str">
        <f t="shared" si="383"/>
        <v>1810</v>
      </c>
      <c r="R2009" s="13" t="s">
        <v>14798</v>
      </c>
      <c r="S2009" s="12" t="str">
        <f t="shared" si="384"/>
        <v>1880</v>
      </c>
      <c r="T2009" s="13" t="s">
        <v>199</v>
      </c>
      <c r="U2009" s="13" t="s">
        <v>14799</v>
      </c>
      <c r="V2009" s="12" t="str">
        <f t="shared" si="385"/>
        <v>1836</v>
      </c>
      <c r="W2009" s="13" t="s">
        <v>3503</v>
      </c>
      <c r="X2009" s="13" t="s">
        <v>695</v>
      </c>
      <c r="Y2009" s="13"/>
      <c r="Z2009" s="13" t="s">
        <v>14800</v>
      </c>
      <c r="AA2009" s="13"/>
      <c r="AB2009" s="13"/>
      <c r="AC2009" s="13"/>
      <c r="AD2009" s="13"/>
      <c r="AE2009" s="13" t="s">
        <v>14801</v>
      </c>
      <c r="AF2009" s="13" t="s">
        <v>11871</v>
      </c>
      <c r="AG2009" s="13" t="s">
        <v>199</v>
      </c>
      <c r="AH2009" s="13" t="s">
        <v>14802</v>
      </c>
      <c r="AI2009" s="12" t="str">
        <f t="shared" si="386"/>
        <v>1842</v>
      </c>
      <c r="AJ2009" s="13" t="s">
        <v>12354</v>
      </c>
      <c r="AK2009" s="13" t="s">
        <v>90</v>
      </c>
      <c r="AL2009" s="13" t="s">
        <v>199</v>
      </c>
      <c r="AM2009" s="13" t="s">
        <v>14803</v>
      </c>
      <c r="AN2009" s="13" t="s">
        <v>14804</v>
      </c>
      <c r="AO2009" s="13" t="s">
        <v>7575</v>
      </c>
      <c r="AP2009" s="13"/>
      <c r="AQ2009" s="13"/>
      <c r="AR2009" s="13"/>
      <c r="AS2009" s="13"/>
      <c r="AT2009" s="13"/>
      <c r="AU2009" s="13"/>
      <c r="AV2009" s="13"/>
      <c r="AW2009" s="13" t="s">
        <v>90</v>
      </c>
      <c r="AX2009" s="13" t="s">
        <v>14805</v>
      </c>
      <c r="AY2009" s="13" t="s">
        <v>14806</v>
      </c>
      <c r="AZ2009" s="13" t="s">
        <v>2757</v>
      </c>
      <c r="BA2009" s="13" t="s">
        <v>896</v>
      </c>
      <c r="BB2009" s="13"/>
      <c r="BC2009" s="13"/>
      <c r="BD2009" s="13"/>
      <c r="BE2009" s="13"/>
      <c r="BF2009" s="13"/>
      <c r="BG2009" s="13"/>
      <c r="BH2009" s="12"/>
      <c r="BI2009" s="12"/>
      <c r="BJ2009" s="12"/>
      <c r="BK2009" s="12"/>
      <c r="BL2009" s="12"/>
      <c r="BM2009" s="12"/>
      <c r="BN2009" s="12"/>
      <c r="BO2009" s="12"/>
      <c r="BP2009" s="12"/>
      <c r="BQ2009" s="12"/>
      <c r="BR2009" s="12"/>
      <c r="BS2009" s="12"/>
      <c r="BT2009" s="12"/>
      <c r="BU2009" s="12"/>
      <c r="BV2009" s="12"/>
      <c r="BW2009" s="12"/>
      <c r="BX2009" s="12"/>
      <c r="BY2009" s="12"/>
      <c r="BZ2009" s="12"/>
      <c r="CA2009" s="12"/>
      <c r="CB2009" s="12"/>
      <c r="CC2009" s="12"/>
      <c r="CD2009" s="12"/>
    </row>
    <row r="2010" spans="1:82">
      <c r="A2010" s="13" t="s">
        <v>5781</v>
      </c>
      <c r="B2010" s="12" t="str">
        <f t="shared" si="378"/>
        <v>VANRENSBURG</v>
      </c>
      <c r="C2010" s="12" t="str">
        <f t="shared" si="379"/>
        <v>VAN RENSBURG</v>
      </c>
      <c r="D2010" s="13" t="s">
        <v>5782</v>
      </c>
      <c r="E2010" s="12" t="str">
        <f t="shared" si="389"/>
        <v>Barend Daniel Theodorus Janse</v>
      </c>
      <c r="F2010" s="13" t="s">
        <v>5783</v>
      </c>
      <c r="G2010" s="12" t="str">
        <f t="shared" si="380"/>
        <v>a1b1c5d7e10</v>
      </c>
      <c r="H2010" s="12" t="str">
        <f t="shared" si="381"/>
        <v>VAN RENSBURGa1b1c5d7e10</v>
      </c>
      <c r="I2010" s="13"/>
      <c r="J2010" s="13" t="s">
        <v>5784</v>
      </c>
      <c r="K2010" s="12" t="str">
        <f t="shared" si="382"/>
        <v>1824</v>
      </c>
      <c r="L2010" s="13" t="s">
        <v>3085</v>
      </c>
      <c r="M2010" s="13" t="s">
        <v>5785</v>
      </c>
      <c r="N2010" s="12" t="str">
        <f t="shared" si="387"/>
        <v>1824</v>
      </c>
      <c r="O2010" s="12" t="str">
        <f t="shared" si="388"/>
        <v>1824</v>
      </c>
      <c r="P2010" s="13" t="s">
        <v>155</v>
      </c>
      <c r="Q2010" s="12" t="str">
        <f t="shared" si="383"/>
        <v>1824</v>
      </c>
      <c r="R2010" s="13">
        <v>1857</v>
      </c>
      <c r="S2010" s="12" t="str">
        <f t="shared" si="384"/>
        <v>1857</v>
      </c>
      <c r="T2010" s="13"/>
      <c r="U2010" s="13"/>
      <c r="V2010" s="12" t="str">
        <f t="shared" si="385"/>
        <v/>
      </c>
      <c r="W2010" s="13" t="s">
        <v>14769</v>
      </c>
      <c r="X2010" s="13" t="s">
        <v>62</v>
      </c>
      <c r="Y2010" s="13"/>
      <c r="Z2010" s="13"/>
      <c r="AA2010" s="13" t="s">
        <v>14770</v>
      </c>
      <c r="AB2010" s="13" t="s">
        <v>28</v>
      </c>
      <c r="AC2010" s="13" t="s">
        <v>14771</v>
      </c>
      <c r="AD2010" s="13" t="s">
        <v>14772</v>
      </c>
      <c r="AE2010" s="13" t="s">
        <v>14773</v>
      </c>
      <c r="AF2010" s="13" t="s">
        <v>3699</v>
      </c>
      <c r="AG2010" s="13" t="s">
        <v>68</v>
      </c>
      <c r="AH2010" s="13" t="s">
        <v>14774</v>
      </c>
      <c r="AI2010" s="12" t="str">
        <f t="shared" si="386"/>
        <v>1843</v>
      </c>
      <c r="AJ2010" s="13" t="s">
        <v>14775</v>
      </c>
      <c r="AK2010" s="13" t="s">
        <v>90</v>
      </c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2"/>
      <c r="BI2010" s="12"/>
      <c r="BJ2010" s="12"/>
      <c r="BK2010" s="12"/>
      <c r="BL2010" s="12"/>
      <c r="BM2010" s="12"/>
      <c r="BN2010" s="12"/>
      <c r="BO2010" s="12"/>
      <c r="BP2010" s="12"/>
      <c r="BQ2010" s="12"/>
      <c r="BR2010" s="12"/>
      <c r="BS2010" s="12"/>
      <c r="BT2010" s="12"/>
      <c r="BU2010" s="12"/>
      <c r="BV2010" s="12"/>
      <c r="BW2010" s="12"/>
      <c r="BX2010" s="12"/>
      <c r="BY2010" s="12"/>
      <c r="BZ2010" s="12"/>
      <c r="CA2010" s="12"/>
      <c r="CB2010" s="12"/>
      <c r="CC2010" s="12"/>
      <c r="CD2010" s="12"/>
    </row>
    <row r="2011" spans="1:82">
      <c r="A2011" s="13" t="s">
        <v>5781</v>
      </c>
      <c r="B2011" s="12" t="str">
        <f t="shared" si="378"/>
        <v>VANRENSBURG</v>
      </c>
      <c r="C2011" s="12" t="str">
        <f t="shared" si="379"/>
        <v>VAN RENSBURG</v>
      </c>
      <c r="D2011" s="13" t="s">
        <v>5786</v>
      </c>
      <c r="E2011" s="12" t="str">
        <f t="shared" si="389"/>
        <v>Frederik Rudolph Janse</v>
      </c>
      <c r="F2011" s="13" t="s">
        <v>5787</v>
      </c>
      <c r="G2011" s="12" t="str">
        <f t="shared" si="380"/>
        <v>a1b1c5d7e6</v>
      </c>
      <c r="H2011" s="12" t="str">
        <f t="shared" si="381"/>
        <v>VAN RENSBURGa1b1c5d7e6</v>
      </c>
      <c r="I2011" s="13"/>
      <c r="J2011" s="13" t="s">
        <v>5788</v>
      </c>
      <c r="K2011" s="12" t="str">
        <f t="shared" si="382"/>
        <v>1811</v>
      </c>
      <c r="L2011" s="13" t="s">
        <v>74</v>
      </c>
      <c r="M2011" s="13" t="s">
        <v>5789</v>
      </c>
      <c r="N2011" s="12" t="str">
        <f t="shared" si="387"/>
        <v>1811</v>
      </c>
      <c r="O2011" s="12" t="str">
        <f t="shared" si="388"/>
        <v>1812</v>
      </c>
      <c r="P2011" s="13" t="s">
        <v>53</v>
      </c>
      <c r="Q2011" s="12" t="str">
        <f t="shared" si="383"/>
        <v>1811</v>
      </c>
      <c r="R2011" s="13" t="s">
        <v>14776</v>
      </c>
      <c r="S2011" s="12" t="str">
        <f t="shared" si="384"/>
        <v>1832</v>
      </c>
      <c r="T2011" s="13"/>
      <c r="U2011" s="13"/>
      <c r="V2011" s="12" t="str">
        <f t="shared" si="385"/>
        <v/>
      </c>
      <c r="W2011" s="13" t="s">
        <v>14777</v>
      </c>
      <c r="X2011" s="13" t="s">
        <v>2402</v>
      </c>
      <c r="Y2011" s="13"/>
      <c r="Z2011" s="13"/>
      <c r="AA2011" s="13"/>
      <c r="AB2011" s="13"/>
      <c r="AC2011" s="13"/>
      <c r="AD2011" s="13"/>
      <c r="AE2011" s="13"/>
      <c r="AF2011" s="13" t="s">
        <v>3699</v>
      </c>
      <c r="AG2011" s="13" t="s">
        <v>68</v>
      </c>
      <c r="AH2011" s="13" t="s">
        <v>14774</v>
      </c>
      <c r="AI2011" s="12" t="str">
        <f t="shared" si="386"/>
        <v>1843</v>
      </c>
      <c r="AJ2011" s="13" t="s">
        <v>12354</v>
      </c>
      <c r="AK2011" s="13" t="s">
        <v>155</v>
      </c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2"/>
      <c r="BI2011" s="12"/>
      <c r="BJ2011" s="12"/>
      <c r="BK2011" s="12"/>
      <c r="BL2011" s="12"/>
      <c r="BM2011" s="12"/>
      <c r="BN2011" s="12"/>
      <c r="BO2011" s="12"/>
      <c r="BP2011" s="12"/>
      <c r="BQ2011" s="12"/>
      <c r="BR2011" s="12"/>
      <c r="BS2011" s="12"/>
      <c r="BT2011" s="12"/>
      <c r="BU2011" s="12"/>
      <c r="BV2011" s="12"/>
      <c r="BW2011" s="12"/>
      <c r="BX2011" s="12"/>
      <c r="BY2011" s="12"/>
      <c r="BZ2011" s="12"/>
      <c r="CA2011" s="12"/>
      <c r="CB2011" s="12"/>
      <c r="CC2011" s="12"/>
      <c r="CD2011" s="12"/>
    </row>
    <row r="2012" spans="1:82">
      <c r="A2012" s="13" t="s">
        <v>5781</v>
      </c>
      <c r="B2012" s="12" t="str">
        <f t="shared" si="378"/>
        <v>VANRENSBURG</v>
      </c>
      <c r="C2012" s="12" t="str">
        <f t="shared" si="379"/>
        <v>VAN RENSBURG</v>
      </c>
      <c r="D2012" s="13" t="s">
        <v>5852</v>
      </c>
      <c r="E2012" s="12" t="str">
        <f t="shared" si="389"/>
        <v>Nicolaas Johannes Janse</v>
      </c>
      <c r="F2012" s="13" t="s">
        <v>880</v>
      </c>
      <c r="G2012" s="12" t="str">
        <f t="shared" si="380"/>
        <v>a1b4c1d1e6</v>
      </c>
      <c r="H2012" s="12" t="str">
        <f t="shared" si="381"/>
        <v>VAN RENSBURGa1b4c1d1e6</v>
      </c>
      <c r="I2012" s="13"/>
      <c r="J2012" s="13"/>
      <c r="K2012" s="12" t="str">
        <f t="shared" si="382"/>
        <v/>
      </c>
      <c r="L2012" s="12"/>
      <c r="M2012" s="12"/>
      <c r="N2012" s="12" t="str">
        <f t="shared" si="387"/>
        <v/>
      </c>
      <c r="O2012" s="12" t="str">
        <f t="shared" si="388"/>
        <v/>
      </c>
      <c r="P2012" s="13" t="s">
        <v>366</v>
      </c>
      <c r="Q2012" s="12" t="str">
        <f t="shared" si="383"/>
        <v/>
      </c>
      <c r="R2012" s="13" t="s">
        <v>14831</v>
      </c>
      <c r="S2012" s="12" t="str">
        <f t="shared" si="384"/>
        <v>1823</v>
      </c>
      <c r="T2012" s="12"/>
      <c r="U2012" s="12"/>
      <c r="V2012" s="12" t="str">
        <f t="shared" si="385"/>
        <v/>
      </c>
      <c r="W2012" s="13" t="s">
        <v>4310</v>
      </c>
      <c r="X2012" s="13" t="s">
        <v>664</v>
      </c>
      <c r="Y2012" s="13"/>
      <c r="Z2012" s="13"/>
      <c r="AA2012" s="13"/>
      <c r="AB2012" s="13"/>
      <c r="AC2012" s="13"/>
      <c r="AD2012" s="13"/>
      <c r="AE2012" s="13"/>
      <c r="AF2012" s="13"/>
      <c r="AG2012" s="13" t="s">
        <v>68</v>
      </c>
      <c r="AH2012" s="13" t="s">
        <v>12621</v>
      </c>
      <c r="AI2012" s="12" t="str">
        <f t="shared" si="386"/>
        <v>1836</v>
      </c>
      <c r="AJ2012" s="13" t="s">
        <v>13060</v>
      </c>
      <c r="AK2012" s="13" t="s">
        <v>155</v>
      </c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2"/>
      <c r="BI2012" s="12"/>
      <c r="BJ2012" s="12"/>
      <c r="BK2012" s="12"/>
      <c r="BL2012" s="12"/>
      <c r="BM2012" s="12"/>
      <c r="BN2012" s="12"/>
      <c r="BO2012" s="12"/>
      <c r="BP2012" s="12"/>
      <c r="BQ2012" s="12"/>
      <c r="BR2012" s="12"/>
      <c r="BS2012" s="12"/>
      <c r="BT2012" s="12"/>
      <c r="BU2012" s="12"/>
      <c r="BV2012" s="12"/>
      <c r="BW2012" s="12"/>
      <c r="BX2012" s="12"/>
      <c r="BY2012" s="12"/>
      <c r="BZ2012" s="12"/>
      <c r="CA2012" s="12"/>
      <c r="CB2012" s="12"/>
      <c r="CC2012" s="12"/>
      <c r="CD2012" s="12"/>
    </row>
    <row r="2013" spans="1:82">
      <c r="A2013" s="13" t="s">
        <v>5781</v>
      </c>
      <c r="B2013" s="12" t="str">
        <f t="shared" si="378"/>
        <v>VANRENSBURG</v>
      </c>
      <c r="C2013" s="12" t="str">
        <f t="shared" si="379"/>
        <v>VAN RENSBURG</v>
      </c>
      <c r="D2013" s="13" t="s">
        <v>5855</v>
      </c>
      <c r="E2013" s="12" t="str">
        <f t="shared" si="389"/>
        <v>Nicolaas Johannes Janse Jr.</v>
      </c>
      <c r="F2013" s="13" t="s">
        <v>5856</v>
      </c>
      <c r="G2013" s="12" t="str">
        <f t="shared" si="380"/>
        <v>a1b4c1d1e6f1</v>
      </c>
      <c r="H2013" s="12" t="str">
        <f t="shared" si="381"/>
        <v>VAN RENSBURGa1b4c1d1e6f1</v>
      </c>
      <c r="I2013" s="13"/>
      <c r="J2013" s="13"/>
      <c r="K2013" s="12" t="str">
        <f t="shared" si="382"/>
        <v/>
      </c>
      <c r="L2013" s="13"/>
      <c r="M2013" s="13"/>
      <c r="N2013" s="12" t="str">
        <f t="shared" si="387"/>
        <v/>
      </c>
      <c r="O2013" s="12" t="str">
        <f t="shared" si="388"/>
        <v/>
      </c>
      <c r="P2013" s="13"/>
      <c r="Q2013" s="12" t="str">
        <f t="shared" si="383"/>
        <v/>
      </c>
      <c r="R2013" s="13"/>
      <c r="S2013" s="12" t="str">
        <f t="shared" si="384"/>
        <v/>
      </c>
      <c r="T2013" s="13" t="s">
        <v>140</v>
      </c>
      <c r="U2013" s="13" t="s">
        <v>4882</v>
      </c>
      <c r="V2013" s="12" t="str">
        <f t="shared" si="385"/>
        <v>1840</v>
      </c>
      <c r="W2013" s="13" t="s">
        <v>4625</v>
      </c>
      <c r="X2013" s="13" t="s">
        <v>2669</v>
      </c>
      <c r="Y2013" s="13"/>
      <c r="Z2013" s="13" t="s">
        <v>1713</v>
      </c>
      <c r="AA2013" s="13" t="s">
        <v>6822</v>
      </c>
      <c r="AB2013" s="13" t="s">
        <v>53</v>
      </c>
      <c r="AC2013" s="13" t="s">
        <v>14832</v>
      </c>
      <c r="AD2013" s="13"/>
      <c r="AE2013" s="13"/>
      <c r="AF2013" s="13"/>
      <c r="AG2013" s="13" t="s">
        <v>68</v>
      </c>
      <c r="AH2013" s="13" t="s">
        <v>12621</v>
      </c>
      <c r="AI2013" s="12" t="str">
        <f t="shared" si="386"/>
        <v>1836</v>
      </c>
      <c r="AJ2013" s="13" t="s">
        <v>13060</v>
      </c>
      <c r="AK2013" s="13" t="s">
        <v>14833</v>
      </c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2"/>
      <c r="BI2013" s="12"/>
      <c r="BJ2013" s="12"/>
      <c r="BK2013" s="12"/>
      <c r="BL2013" s="12"/>
      <c r="BM2013" s="12"/>
      <c r="BN2013" s="12"/>
      <c r="BO2013" s="12"/>
      <c r="BP2013" s="12"/>
      <c r="BQ2013" s="12"/>
      <c r="BR2013" s="12"/>
      <c r="BS2013" s="12"/>
      <c r="BT2013" s="12"/>
      <c r="BU2013" s="12"/>
      <c r="BV2013" s="12"/>
      <c r="BW2013" s="12"/>
      <c r="BX2013" s="12"/>
      <c r="BY2013" s="12"/>
      <c r="BZ2013" s="12"/>
      <c r="CA2013" s="12"/>
      <c r="CB2013" s="12"/>
      <c r="CC2013" s="12"/>
      <c r="CD2013" s="12"/>
    </row>
    <row r="2014" spans="1:82">
      <c r="A2014" s="13" t="s">
        <v>5781</v>
      </c>
      <c r="B2014" s="12" t="str">
        <f t="shared" si="378"/>
        <v>VANRENSBURG</v>
      </c>
      <c r="C2014" s="12" t="str">
        <f t="shared" si="379"/>
        <v>VAN RENSBURG</v>
      </c>
      <c r="D2014" s="13" t="s">
        <v>5896</v>
      </c>
      <c r="E2014" s="12" t="str">
        <f t="shared" si="389"/>
        <v>Willem Jacobus Janse</v>
      </c>
      <c r="F2014" s="13" t="s">
        <v>1276</v>
      </c>
      <c r="G2014" s="12" t="str">
        <f t="shared" si="380"/>
        <v>a1b4c1d1e6f3</v>
      </c>
      <c r="H2014" s="12" t="str">
        <f t="shared" si="381"/>
        <v>VAN RENSBURGa1b4c1d1e6f3</v>
      </c>
      <c r="I2014" s="13"/>
      <c r="J2014" s="13" t="s">
        <v>5897</v>
      </c>
      <c r="K2014" s="12" t="str">
        <f t="shared" si="382"/>
        <v>1820</v>
      </c>
      <c r="L2014" s="13" t="s">
        <v>542</v>
      </c>
      <c r="M2014" s="13" t="s">
        <v>5898</v>
      </c>
      <c r="N2014" s="12" t="str">
        <f t="shared" si="387"/>
        <v>1820</v>
      </c>
      <c r="O2014" s="12" t="str">
        <f t="shared" si="388"/>
        <v>1827</v>
      </c>
      <c r="P2014" s="13"/>
      <c r="Q2014" s="12" t="str">
        <f t="shared" si="383"/>
        <v>1820</v>
      </c>
      <c r="R2014" s="13" t="s">
        <v>14858</v>
      </c>
      <c r="S2014" s="12" t="str">
        <f t="shared" si="384"/>
        <v>1814</v>
      </c>
      <c r="T2014" s="13"/>
      <c r="U2014" s="13" t="s">
        <v>14859</v>
      </c>
      <c r="V2014" s="12" t="str">
        <f t="shared" si="385"/>
        <v>1854</v>
      </c>
      <c r="W2014" s="13" t="s">
        <v>1020</v>
      </c>
      <c r="X2014" s="13" t="s">
        <v>1763</v>
      </c>
      <c r="Y2014" s="13"/>
      <c r="Z2014" s="13"/>
      <c r="AA2014" s="13" t="s">
        <v>14860</v>
      </c>
      <c r="AB2014" s="13"/>
      <c r="AC2014" s="13"/>
      <c r="AD2014" s="13"/>
      <c r="AE2014" s="15">
        <v>4296</v>
      </c>
      <c r="AF2014" s="13"/>
      <c r="AG2014" s="13" t="s">
        <v>68</v>
      </c>
      <c r="AH2014" s="13" t="s">
        <v>12621</v>
      </c>
      <c r="AI2014" s="12" t="str">
        <f t="shared" si="386"/>
        <v>1836</v>
      </c>
      <c r="AJ2014" s="13" t="s">
        <v>13060</v>
      </c>
      <c r="AK2014" s="13" t="s">
        <v>12237</v>
      </c>
      <c r="AL2014" s="13"/>
      <c r="AM2014" s="13"/>
      <c r="AN2014" s="13"/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2"/>
      <c r="BI2014" s="12"/>
      <c r="BJ2014" s="12"/>
      <c r="BK2014" s="12"/>
      <c r="BL2014" s="12"/>
      <c r="BM2014" s="12"/>
      <c r="BN2014" s="12"/>
      <c r="BO2014" s="12"/>
      <c r="BP2014" s="12"/>
      <c r="BQ2014" s="12"/>
      <c r="BR2014" s="12"/>
      <c r="BS2014" s="12"/>
      <c r="BT2014" s="12"/>
      <c r="BU2014" s="12"/>
      <c r="BV2014" s="12"/>
      <c r="BW2014" s="12"/>
      <c r="BX2014" s="12"/>
      <c r="BY2014" s="12"/>
      <c r="BZ2014" s="12"/>
      <c r="CA2014" s="12"/>
      <c r="CB2014" s="12"/>
      <c r="CC2014" s="12"/>
      <c r="CD2014" s="12"/>
    </row>
    <row r="2015" spans="1:82">
      <c r="A2015" s="13" t="s">
        <v>5781</v>
      </c>
      <c r="B2015" s="12" t="str">
        <f t="shared" si="378"/>
        <v>VANRENSBURG</v>
      </c>
      <c r="C2015" s="12" t="str">
        <f t="shared" si="379"/>
        <v>VAN RENSBURG</v>
      </c>
      <c r="D2015" s="13" t="s">
        <v>5805</v>
      </c>
      <c r="E2015" s="12" t="str">
        <f t="shared" si="389"/>
        <v>Hendrik Johannes Janse</v>
      </c>
      <c r="F2015" s="13" t="s">
        <v>885</v>
      </c>
      <c r="G2015" s="12" t="str">
        <f t="shared" si="380"/>
        <v>a1b4c1d1e9</v>
      </c>
      <c r="H2015" s="12" t="str">
        <f t="shared" si="381"/>
        <v>VAN RENSBURGa1b4c1d1e9</v>
      </c>
      <c r="I2015" s="13"/>
      <c r="J2015" s="13" t="s">
        <v>5806</v>
      </c>
      <c r="K2015" s="12" t="str">
        <f t="shared" si="382"/>
        <v>1808</v>
      </c>
      <c r="L2015" s="13" t="s">
        <v>74</v>
      </c>
      <c r="M2015" s="13" t="s">
        <v>5807</v>
      </c>
      <c r="N2015" s="12" t="str">
        <f t="shared" si="387"/>
        <v>1808</v>
      </c>
      <c r="O2015" s="12" t="str">
        <f t="shared" si="388"/>
        <v>1809</v>
      </c>
      <c r="P2015" s="13"/>
      <c r="Q2015" s="12" t="str">
        <f t="shared" si="383"/>
        <v>1808</v>
      </c>
      <c r="R2015" s="13"/>
      <c r="S2015" s="12" t="str">
        <f t="shared" si="384"/>
        <v/>
      </c>
      <c r="T2015" s="13"/>
      <c r="U2015" s="13"/>
      <c r="V2015" s="12" t="str">
        <f t="shared" si="385"/>
        <v/>
      </c>
      <c r="W2015" s="13" t="s">
        <v>1410</v>
      </c>
      <c r="X2015" s="13" t="s">
        <v>1763</v>
      </c>
      <c r="Y2015" s="13"/>
      <c r="Z2015" s="13"/>
      <c r="AA2015" s="13"/>
      <c r="AB2015" s="13"/>
      <c r="AC2015" s="13"/>
      <c r="AD2015" s="13"/>
      <c r="AE2015" s="13"/>
      <c r="AF2015" s="13"/>
      <c r="AG2015" s="13" t="s">
        <v>366</v>
      </c>
      <c r="AH2015" s="13" t="s">
        <v>14792</v>
      </c>
      <c r="AI2015" s="12" t="str">
        <f t="shared" si="386"/>
        <v>1842</v>
      </c>
      <c r="AJ2015" s="13"/>
      <c r="AK2015" s="13" t="s">
        <v>551</v>
      </c>
      <c r="AL2015" s="13"/>
      <c r="AM2015" s="13"/>
      <c r="AN2015" s="13"/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2"/>
      <c r="BI2015" s="12"/>
      <c r="BJ2015" s="12"/>
      <c r="BK2015" s="12"/>
      <c r="BL2015" s="12"/>
      <c r="BM2015" s="12"/>
      <c r="BN2015" s="12"/>
      <c r="BO2015" s="12"/>
      <c r="BP2015" s="12"/>
      <c r="BQ2015" s="12"/>
      <c r="BR2015" s="12"/>
      <c r="BS2015" s="12"/>
      <c r="BT2015" s="12"/>
      <c r="BU2015" s="12"/>
      <c r="BV2015" s="12"/>
      <c r="BW2015" s="12"/>
      <c r="BX2015" s="12"/>
      <c r="BY2015" s="12"/>
      <c r="BZ2015" s="12"/>
      <c r="CA2015" s="12"/>
      <c r="CB2015" s="12"/>
      <c r="CC2015" s="12"/>
      <c r="CD2015" s="12"/>
    </row>
    <row r="2016" spans="1:82">
      <c r="A2016" s="13" t="s">
        <v>5781</v>
      </c>
      <c r="B2016" s="12" t="str">
        <f t="shared" si="378"/>
        <v>VANRENSBURG</v>
      </c>
      <c r="C2016" s="12" t="str">
        <f t="shared" si="379"/>
        <v>VAN RENSBURG</v>
      </c>
      <c r="D2016" s="13" t="s">
        <v>5833</v>
      </c>
      <c r="E2016" s="12" t="str">
        <f t="shared" si="389"/>
        <v>Johannes Nicolaas Janse</v>
      </c>
      <c r="F2016" s="13" t="s">
        <v>5834</v>
      </c>
      <c r="G2016" s="12" t="str">
        <f t="shared" si="380"/>
        <v>a1b5c2d2e1</v>
      </c>
      <c r="H2016" s="12" t="str">
        <f t="shared" si="381"/>
        <v>VAN RENSBURGa1b5c2d2e1</v>
      </c>
      <c r="I2016" s="13"/>
      <c r="J2016" s="13"/>
      <c r="K2016" s="12" t="str">
        <f t="shared" si="382"/>
        <v/>
      </c>
      <c r="L2016" s="13"/>
      <c r="M2016" s="13" t="s">
        <v>5835</v>
      </c>
      <c r="N2016" s="12" t="str">
        <f t="shared" si="387"/>
        <v/>
      </c>
      <c r="O2016" s="12" t="str">
        <f t="shared" si="388"/>
        <v>1793</v>
      </c>
      <c r="P2016" s="13"/>
      <c r="Q2016" s="12" t="str">
        <f t="shared" si="383"/>
        <v>1793</v>
      </c>
      <c r="R2016" s="13"/>
      <c r="S2016" s="12" t="str">
        <f t="shared" si="384"/>
        <v/>
      </c>
      <c r="T2016" s="13" t="s">
        <v>542</v>
      </c>
      <c r="U2016" s="13" t="s">
        <v>14810</v>
      </c>
      <c r="V2016" s="12" t="str">
        <f t="shared" si="385"/>
        <v>1815</v>
      </c>
      <c r="W2016" s="13" t="s">
        <v>8754</v>
      </c>
      <c r="X2016" s="13" t="s">
        <v>1330</v>
      </c>
      <c r="Y2016" s="13"/>
      <c r="Z2016" s="13"/>
      <c r="AA2016" s="13"/>
      <c r="AB2016" s="13"/>
      <c r="AC2016" s="13"/>
      <c r="AD2016" s="13"/>
      <c r="AE2016" s="13"/>
      <c r="AF2016" s="13"/>
      <c r="AG2016" s="13" t="s">
        <v>366</v>
      </c>
      <c r="AH2016" s="13" t="s">
        <v>14809</v>
      </c>
      <c r="AI2016" s="12" t="str">
        <f t="shared" si="386"/>
        <v>1840</v>
      </c>
      <c r="AJ2016" s="13"/>
      <c r="AK2016" s="13" t="s">
        <v>140</v>
      </c>
      <c r="AL2016" s="13" t="s">
        <v>366</v>
      </c>
      <c r="AM2016" s="13" t="s">
        <v>14811</v>
      </c>
      <c r="AN2016" s="13" t="s">
        <v>14812</v>
      </c>
      <c r="AO2016" s="13" t="s">
        <v>2136</v>
      </c>
      <c r="AP2016" s="13"/>
      <c r="AQ2016" s="13"/>
      <c r="AR2016" s="13"/>
      <c r="AS2016" s="13"/>
      <c r="AT2016" s="13"/>
      <c r="AU2016" s="13"/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/>
      <c r="BG2016" s="13"/>
      <c r="BH2016" s="12"/>
      <c r="BI2016" s="12"/>
      <c r="BJ2016" s="12"/>
      <c r="BK2016" s="12"/>
      <c r="BL2016" s="12"/>
      <c r="BM2016" s="12"/>
      <c r="BN2016" s="12"/>
      <c r="BO2016" s="12"/>
      <c r="BP2016" s="12"/>
      <c r="BQ2016" s="12"/>
      <c r="BR2016" s="12"/>
      <c r="BS2016" s="12"/>
      <c r="BT2016" s="12"/>
      <c r="BU2016" s="12"/>
      <c r="BV2016" s="12"/>
      <c r="BW2016" s="12"/>
      <c r="BX2016" s="12"/>
      <c r="BY2016" s="12"/>
      <c r="BZ2016" s="12"/>
      <c r="CA2016" s="12"/>
      <c r="CB2016" s="12"/>
      <c r="CC2016" s="12"/>
      <c r="CD2016" s="12"/>
    </row>
    <row r="2017" spans="1:82">
      <c r="A2017" s="13" t="s">
        <v>5781</v>
      </c>
      <c r="B2017" s="12" t="str">
        <f t="shared" si="378"/>
        <v>VANRENSBURG</v>
      </c>
      <c r="C2017" s="12" t="str">
        <f t="shared" si="379"/>
        <v>VAN RENSBURG</v>
      </c>
      <c r="D2017" s="13" t="s">
        <v>5829</v>
      </c>
      <c r="E2017" s="12" t="str">
        <f t="shared" si="389"/>
        <v>Johannes Lodewyk</v>
      </c>
      <c r="F2017" s="13" t="s">
        <v>5830</v>
      </c>
      <c r="G2017" s="12" t="str">
        <f t="shared" si="380"/>
        <v>a1b5c2d2e1f1</v>
      </c>
      <c r="H2017" s="12" t="str">
        <f t="shared" si="381"/>
        <v>VAN RENSBURGa1b5c2d2e1f1</v>
      </c>
      <c r="I2017" s="13"/>
      <c r="J2017" s="13" t="s">
        <v>5831</v>
      </c>
      <c r="K2017" s="12" t="str">
        <f t="shared" si="382"/>
        <v>1819</v>
      </c>
      <c r="L2017" s="13" t="s">
        <v>366</v>
      </c>
      <c r="M2017" s="13" t="s">
        <v>5832</v>
      </c>
      <c r="N2017" s="12" t="str">
        <f t="shared" si="387"/>
        <v>1819</v>
      </c>
      <c r="O2017" s="12" t="str">
        <f t="shared" si="388"/>
        <v>1820</v>
      </c>
      <c r="P2017" s="13"/>
      <c r="Q2017" s="12" t="str">
        <f t="shared" si="383"/>
        <v>1819</v>
      </c>
      <c r="R2017" s="13"/>
      <c r="S2017" s="12" t="str">
        <f t="shared" si="384"/>
        <v/>
      </c>
      <c r="T2017" s="13"/>
      <c r="U2017" s="13"/>
      <c r="V2017" s="12" t="str">
        <f t="shared" si="385"/>
        <v/>
      </c>
      <c r="W2017" s="13" t="s">
        <v>1475</v>
      </c>
      <c r="X2017" s="13" t="s">
        <v>2136</v>
      </c>
      <c r="Y2017" s="13"/>
      <c r="Z2017" s="13"/>
      <c r="AA2017" s="13"/>
      <c r="AB2017" s="13"/>
      <c r="AC2017" s="13"/>
      <c r="AD2017" s="13"/>
      <c r="AE2017" s="13"/>
      <c r="AF2017" s="13"/>
      <c r="AG2017" s="13" t="s">
        <v>366</v>
      </c>
      <c r="AH2017" s="13" t="s">
        <v>14809</v>
      </c>
      <c r="AI2017" s="12" t="str">
        <f t="shared" si="386"/>
        <v>1840</v>
      </c>
      <c r="AJ2017" s="13" t="s">
        <v>12354</v>
      </c>
      <c r="AK2017" s="13" t="s">
        <v>140</v>
      </c>
      <c r="AL2017" s="13"/>
      <c r="AM2017" s="13"/>
      <c r="AN2017" s="13"/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2"/>
      <c r="BI2017" s="12"/>
      <c r="BJ2017" s="12"/>
      <c r="BK2017" s="12"/>
      <c r="BL2017" s="12"/>
      <c r="BM2017" s="12"/>
      <c r="BN2017" s="12"/>
      <c r="BO2017" s="12"/>
      <c r="BP2017" s="12"/>
      <c r="BQ2017" s="12"/>
      <c r="BR2017" s="12"/>
      <c r="BS2017" s="12"/>
      <c r="BT2017" s="12"/>
      <c r="BU2017" s="12"/>
      <c r="BV2017" s="12"/>
      <c r="BW2017" s="12"/>
      <c r="BX2017" s="12"/>
      <c r="BY2017" s="12"/>
      <c r="BZ2017" s="12"/>
      <c r="CA2017" s="12"/>
      <c r="CB2017" s="12"/>
      <c r="CC2017" s="12"/>
      <c r="CD2017" s="12"/>
    </row>
    <row r="2018" spans="1:82">
      <c r="A2018" s="13" t="s">
        <v>5781</v>
      </c>
      <c r="B2018" s="12" t="str">
        <f t="shared" si="378"/>
        <v>VANRENSBURG</v>
      </c>
      <c r="C2018" s="12" t="str">
        <f t="shared" si="379"/>
        <v>VAN RENSBURG</v>
      </c>
      <c r="D2018" s="13" t="s">
        <v>5860</v>
      </c>
      <c r="E2018" s="12" t="str">
        <f t="shared" si="389"/>
        <v>Petrus Johannes Janse</v>
      </c>
      <c r="F2018" s="13" t="s">
        <v>5863</v>
      </c>
      <c r="G2018" s="12" t="str">
        <f t="shared" si="380"/>
        <v>a1b5c2d2e1f3</v>
      </c>
      <c r="H2018" s="12" t="str">
        <f t="shared" si="381"/>
        <v>VAN RENSBURGa1b5c2d2e1f3</v>
      </c>
      <c r="I2018" s="13"/>
      <c r="J2018" s="13" t="s">
        <v>5864</v>
      </c>
      <c r="K2018" s="12" t="str">
        <f t="shared" si="382"/>
        <v>1824</v>
      </c>
      <c r="L2018" s="13" t="s">
        <v>366</v>
      </c>
      <c r="M2018" s="13" t="s">
        <v>5865</v>
      </c>
      <c r="N2018" s="12" t="str">
        <f t="shared" si="387"/>
        <v>1824</v>
      </c>
      <c r="O2018" s="12" t="str">
        <f t="shared" si="388"/>
        <v>1825</v>
      </c>
      <c r="P2018" s="13"/>
      <c r="Q2018" s="12" t="str">
        <f t="shared" si="383"/>
        <v>1824</v>
      </c>
      <c r="R2018" s="13"/>
      <c r="S2018" s="12" t="str">
        <f t="shared" si="384"/>
        <v/>
      </c>
      <c r="T2018" s="13" t="s">
        <v>140</v>
      </c>
      <c r="U2018" s="13" t="s">
        <v>14838</v>
      </c>
      <c r="V2018" s="12" t="str">
        <f t="shared" si="385"/>
        <v>1848</v>
      </c>
      <c r="W2018" s="13" t="s">
        <v>14839</v>
      </c>
      <c r="X2018" s="13" t="s">
        <v>778</v>
      </c>
      <c r="Y2018" s="13"/>
      <c r="Z2018" s="13">
        <v>1830</v>
      </c>
      <c r="AA2018" s="13"/>
      <c r="AB2018" s="13"/>
      <c r="AC2018" s="13"/>
      <c r="AD2018" s="13"/>
      <c r="AE2018" s="13"/>
      <c r="AF2018" s="13"/>
      <c r="AG2018" s="13" t="s">
        <v>366</v>
      </c>
      <c r="AH2018" s="13">
        <v>1840</v>
      </c>
      <c r="AI2018" s="12" t="str">
        <f t="shared" si="386"/>
        <v>1840</v>
      </c>
      <c r="AJ2018" s="13" t="s">
        <v>12354</v>
      </c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2"/>
      <c r="BI2018" s="12"/>
      <c r="BJ2018" s="12"/>
      <c r="BK2018" s="12"/>
      <c r="BL2018" s="12"/>
      <c r="BM2018" s="12"/>
      <c r="BN2018" s="12"/>
      <c r="BO2018" s="12"/>
      <c r="BP2018" s="12"/>
      <c r="BQ2018" s="12"/>
      <c r="BR2018" s="12"/>
      <c r="BS2018" s="12"/>
      <c r="BT2018" s="12"/>
      <c r="BU2018" s="12"/>
      <c r="BV2018" s="12"/>
      <c r="BW2018" s="12"/>
      <c r="BX2018" s="12"/>
      <c r="BY2018" s="12"/>
      <c r="BZ2018" s="12"/>
      <c r="CA2018" s="12"/>
      <c r="CB2018" s="12"/>
      <c r="CC2018" s="12"/>
      <c r="CD2018" s="12"/>
    </row>
    <row r="2019" spans="1:82">
      <c r="A2019" s="13" t="s">
        <v>5781</v>
      </c>
      <c r="B2019" s="12" t="str">
        <f t="shared" si="378"/>
        <v>VANRENSBURG</v>
      </c>
      <c r="C2019" s="12" t="str">
        <f t="shared" si="379"/>
        <v>VAN RENSBURG</v>
      </c>
      <c r="D2019" s="13" t="s">
        <v>5860</v>
      </c>
      <c r="E2019" s="12" t="str">
        <f t="shared" si="389"/>
        <v>Petrus Johannes Janse</v>
      </c>
      <c r="F2019" s="13" t="s">
        <v>5861</v>
      </c>
      <c r="G2019" s="12" t="str">
        <f t="shared" si="380"/>
        <v>a1b5c2d2e4</v>
      </c>
      <c r="H2019" s="12" t="str">
        <f t="shared" si="381"/>
        <v>VAN RENSBURGa1b5c2d2e4</v>
      </c>
      <c r="I2019" s="13"/>
      <c r="J2019" s="13"/>
      <c r="K2019" s="12" t="str">
        <f t="shared" si="382"/>
        <v/>
      </c>
      <c r="L2019" s="13"/>
      <c r="M2019" s="13" t="s">
        <v>5862</v>
      </c>
      <c r="N2019" s="12" t="str">
        <f t="shared" si="387"/>
        <v/>
      </c>
      <c r="O2019" s="12" t="str">
        <f t="shared" si="388"/>
        <v>1799</v>
      </c>
      <c r="P2019" s="13"/>
      <c r="Q2019" s="12" t="str">
        <f t="shared" si="383"/>
        <v>1799</v>
      </c>
      <c r="R2019" s="13"/>
      <c r="S2019" s="12" t="str">
        <f t="shared" si="384"/>
        <v/>
      </c>
      <c r="T2019" s="13" t="s">
        <v>366</v>
      </c>
      <c r="U2019" s="13" t="s">
        <v>3101</v>
      </c>
      <c r="V2019" s="12" t="str">
        <f t="shared" si="385"/>
        <v>1820</v>
      </c>
      <c r="W2019" s="13" t="s">
        <v>5179</v>
      </c>
      <c r="X2019" s="13" t="s">
        <v>1330</v>
      </c>
      <c r="Y2019" s="12"/>
      <c r="Z2019" s="12"/>
      <c r="AA2019" s="12"/>
      <c r="AB2019" s="12"/>
      <c r="AC2019" s="12"/>
      <c r="AD2019" s="12"/>
      <c r="AE2019" s="12"/>
      <c r="AF2019" s="12"/>
      <c r="AG2019" s="13" t="s">
        <v>366</v>
      </c>
      <c r="AH2019" s="13" t="s">
        <v>5021</v>
      </c>
      <c r="AI2019" s="12" t="str">
        <f t="shared" si="386"/>
        <v>1842</v>
      </c>
      <c r="AJ2019" s="12"/>
      <c r="AK2019" s="13" t="s">
        <v>551</v>
      </c>
      <c r="AL2019" s="13" t="s">
        <v>366</v>
      </c>
      <c r="AM2019" s="13" t="s">
        <v>7421</v>
      </c>
      <c r="AN2019" s="13" t="s">
        <v>14837</v>
      </c>
      <c r="AO2019" s="13" t="s">
        <v>1763</v>
      </c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2"/>
      <c r="BI2019" s="12"/>
      <c r="BJ2019" s="12"/>
      <c r="BK2019" s="12"/>
      <c r="BL2019" s="12"/>
      <c r="BM2019" s="12"/>
      <c r="BN2019" s="12"/>
      <c r="BO2019" s="12"/>
      <c r="BP2019" s="12"/>
      <c r="BQ2019" s="12"/>
      <c r="BR2019" s="12"/>
      <c r="BS2019" s="12"/>
      <c r="BT2019" s="12"/>
      <c r="BU2019" s="12"/>
      <c r="BV2019" s="12"/>
      <c r="BW2019" s="12"/>
      <c r="BX2019" s="12"/>
      <c r="BY2019" s="12"/>
      <c r="BZ2019" s="12"/>
      <c r="CA2019" s="12"/>
      <c r="CB2019" s="12"/>
      <c r="CC2019" s="12"/>
      <c r="CD2019" s="12"/>
    </row>
    <row r="2020" spans="1:82">
      <c r="A2020" s="13" t="s">
        <v>5781</v>
      </c>
      <c r="B2020" s="12" t="str">
        <f t="shared" si="378"/>
        <v>VANRENSBURG</v>
      </c>
      <c r="C2020" s="12" t="str">
        <f t="shared" si="379"/>
        <v>VAN RENSBURG</v>
      </c>
      <c r="D2020" s="13" t="s">
        <v>5866</v>
      </c>
      <c r="E2020" s="12" t="str">
        <f t="shared" si="389"/>
        <v>Petrus Nicolaas Janse</v>
      </c>
      <c r="F2020" s="13" t="s">
        <v>5867</v>
      </c>
      <c r="G2020" s="12" t="str">
        <f t="shared" si="380"/>
        <v>a1b5c4d2e4</v>
      </c>
      <c r="H2020" s="12" t="str">
        <f t="shared" si="381"/>
        <v>VAN RENSBURGa1b5c4d2e4</v>
      </c>
      <c r="I2020" s="13"/>
      <c r="J2020" s="13"/>
      <c r="K2020" s="12" t="str">
        <f t="shared" si="382"/>
        <v/>
      </c>
      <c r="L2020" s="13"/>
      <c r="M2020" s="13" t="s">
        <v>5868</v>
      </c>
      <c r="N2020" s="12" t="str">
        <f t="shared" si="387"/>
        <v/>
      </c>
      <c r="O2020" s="12" t="str">
        <f t="shared" si="388"/>
        <v>1810</v>
      </c>
      <c r="P2020" s="13"/>
      <c r="Q2020" s="12" t="str">
        <f t="shared" si="383"/>
        <v>1810</v>
      </c>
      <c r="R2020" s="13"/>
      <c r="S2020" s="12" t="str">
        <f t="shared" si="384"/>
        <v/>
      </c>
      <c r="T2020" s="13"/>
      <c r="U2020" s="13" t="s">
        <v>8815</v>
      </c>
      <c r="V2020" s="12" t="str">
        <f t="shared" si="385"/>
        <v>1828</v>
      </c>
      <c r="W2020" s="13" t="s">
        <v>819</v>
      </c>
      <c r="X2020" s="13" t="s">
        <v>14840</v>
      </c>
      <c r="Y2020" s="13"/>
      <c r="Z2020" s="13"/>
      <c r="AA2020" s="13"/>
      <c r="AB2020" s="13"/>
      <c r="AC2020" s="13"/>
      <c r="AD2020" s="13"/>
      <c r="AE2020" s="13"/>
      <c r="AF2020" s="13" t="s">
        <v>28</v>
      </c>
      <c r="AG2020" s="13" t="s">
        <v>68</v>
      </c>
      <c r="AH2020" s="13">
        <v>1843</v>
      </c>
      <c r="AI2020" s="12" t="str">
        <f t="shared" si="386"/>
        <v>1843</v>
      </c>
      <c r="AJ2020" s="13"/>
      <c r="AK2020" s="13" t="s">
        <v>551</v>
      </c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2"/>
      <c r="BI2020" s="12"/>
      <c r="BJ2020" s="12"/>
      <c r="BK2020" s="12"/>
      <c r="BL2020" s="12"/>
      <c r="BM2020" s="12"/>
      <c r="BN2020" s="12"/>
      <c r="BO2020" s="12"/>
      <c r="BP2020" s="12"/>
      <c r="BQ2020" s="12"/>
      <c r="BR2020" s="12"/>
      <c r="BS2020" s="12"/>
      <c r="BT2020" s="12"/>
      <c r="BU2020" s="12"/>
      <c r="BV2020" s="12"/>
      <c r="BW2020" s="12"/>
      <c r="BX2020" s="12"/>
      <c r="BY2020" s="12"/>
      <c r="BZ2020" s="12"/>
      <c r="CA2020" s="12"/>
      <c r="CB2020" s="12"/>
      <c r="CC2020" s="12"/>
      <c r="CD2020" s="12"/>
    </row>
    <row r="2021" spans="1:82">
      <c r="A2021" s="13" t="s">
        <v>5781</v>
      </c>
      <c r="B2021" s="12" t="str">
        <f t="shared" si="378"/>
        <v>VANRENSBURG</v>
      </c>
      <c r="C2021" s="12" t="str">
        <f t="shared" si="379"/>
        <v>VAN RENSBURG</v>
      </c>
      <c r="D2021" s="13" t="s">
        <v>5812</v>
      </c>
      <c r="E2021" s="12" t="str">
        <f t="shared" si="389"/>
        <v>Jacobus Johannes Janse</v>
      </c>
      <c r="F2021" s="13" t="s">
        <v>5813</v>
      </c>
      <c r="G2021" s="12" t="str">
        <f t="shared" si="380"/>
        <v>a1b5c4d2e5</v>
      </c>
      <c r="H2021" s="12" t="str">
        <f t="shared" si="381"/>
        <v>VAN RENSBURGa1b5c4d2e5</v>
      </c>
      <c r="I2021" s="13"/>
      <c r="J2021" s="13" t="s">
        <v>5814</v>
      </c>
      <c r="K2021" s="12" t="str">
        <f t="shared" si="382"/>
        <v>1812</v>
      </c>
      <c r="L2021" s="13" t="s">
        <v>74</v>
      </c>
      <c r="M2021" s="13" t="s">
        <v>5815</v>
      </c>
      <c r="N2021" s="12" t="str">
        <f t="shared" si="387"/>
        <v>1812</v>
      </c>
      <c r="O2021" s="12" t="str">
        <f t="shared" si="388"/>
        <v>1812</v>
      </c>
      <c r="P2021" s="13" t="s">
        <v>24</v>
      </c>
      <c r="Q2021" s="12" t="str">
        <f t="shared" si="383"/>
        <v>1812</v>
      </c>
      <c r="R2021" s="13" t="s">
        <v>14795</v>
      </c>
      <c r="S2021" s="12" t="str">
        <f t="shared" si="384"/>
        <v>1886</v>
      </c>
      <c r="T2021" s="13" t="s">
        <v>366</v>
      </c>
      <c r="U2021" s="13" t="s">
        <v>1636</v>
      </c>
      <c r="V2021" s="12" t="str">
        <f t="shared" si="385"/>
        <v>1832</v>
      </c>
      <c r="W2021" s="13" t="s">
        <v>14796</v>
      </c>
      <c r="X2021" s="13" t="s">
        <v>2556</v>
      </c>
      <c r="Y2021" s="13"/>
      <c r="Z2021" s="13"/>
      <c r="AA2021" s="13"/>
      <c r="AB2021" s="13"/>
      <c r="AC2021" s="13"/>
      <c r="AD2021" s="13"/>
      <c r="AE2021" s="13"/>
      <c r="AF2021" s="13"/>
      <c r="AG2021" s="13" t="s">
        <v>366</v>
      </c>
      <c r="AH2021" s="13">
        <v>1843</v>
      </c>
      <c r="AI2021" s="12" t="str">
        <f t="shared" si="386"/>
        <v>1843</v>
      </c>
      <c r="AJ2021" s="13"/>
      <c r="AK2021" s="13" t="s">
        <v>24</v>
      </c>
      <c r="AL2021" s="13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3"/>
      <c r="AY2021" s="13"/>
      <c r="AZ2021" s="13"/>
      <c r="BA2021" s="13"/>
      <c r="BB2021" s="13"/>
      <c r="BC2021" s="13"/>
      <c r="BD2021" s="13"/>
      <c r="BE2021" s="13"/>
      <c r="BF2021" s="13"/>
      <c r="BG2021" s="13"/>
      <c r="BH2021" s="12"/>
      <c r="BI2021" s="12"/>
      <c r="BJ2021" s="12"/>
      <c r="BK2021" s="12"/>
      <c r="BL2021" s="12"/>
      <c r="BM2021" s="12"/>
      <c r="BN2021" s="12"/>
      <c r="BO2021" s="12"/>
      <c r="BP2021" s="12"/>
      <c r="BQ2021" s="12"/>
      <c r="BR2021" s="12"/>
      <c r="BS2021" s="12"/>
      <c r="BT2021" s="12"/>
      <c r="BU2021" s="12"/>
      <c r="BV2021" s="12"/>
      <c r="BW2021" s="12"/>
      <c r="BX2021" s="12"/>
      <c r="BY2021" s="12"/>
      <c r="BZ2021" s="12"/>
      <c r="CA2021" s="12"/>
      <c r="CB2021" s="12"/>
      <c r="CC2021" s="12"/>
      <c r="CD2021" s="12"/>
    </row>
    <row r="2022" spans="1:82">
      <c r="A2022" s="13" t="s">
        <v>5781</v>
      </c>
      <c r="B2022" s="12" t="str">
        <f t="shared" si="378"/>
        <v>VANRENSBURG</v>
      </c>
      <c r="C2022" s="12" t="str">
        <f t="shared" si="379"/>
        <v>VAN RENSBURG</v>
      </c>
      <c r="D2022" s="13" t="s">
        <v>5852</v>
      </c>
      <c r="E2022" s="12" t="str">
        <f t="shared" si="389"/>
        <v>Nicolaas Johannes Janse</v>
      </c>
      <c r="F2022" s="13" t="s">
        <v>5853</v>
      </c>
      <c r="G2022" s="12" t="str">
        <f t="shared" si="380"/>
        <v>a1b5c4d4</v>
      </c>
      <c r="H2022" s="12" t="str">
        <f t="shared" si="381"/>
        <v>VAN RENSBURGa1b5c4d4</v>
      </c>
      <c r="I2022" s="13"/>
      <c r="J2022" s="13"/>
      <c r="K2022" s="12" t="str">
        <f t="shared" si="382"/>
        <v/>
      </c>
      <c r="L2022" s="13" t="s">
        <v>542</v>
      </c>
      <c r="M2022" s="13" t="s">
        <v>5854</v>
      </c>
      <c r="N2022" s="12" t="str">
        <f t="shared" si="387"/>
        <v/>
      </c>
      <c r="O2022" s="12" t="str">
        <f t="shared" si="388"/>
        <v>1784</v>
      </c>
      <c r="P2022" s="13"/>
      <c r="Q2022" s="12" t="str">
        <f t="shared" si="383"/>
        <v>1784</v>
      </c>
      <c r="R2022" s="13"/>
      <c r="S2022" s="12" t="str">
        <f t="shared" si="384"/>
        <v/>
      </c>
      <c r="T2022" s="13"/>
      <c r="U2022" s="13"/>
      <c r="V2022" s="12" t="str">
        <f t="shared" si="385"/>
        <v/>
      </c>
      <c r="W2022" s="13" t="s">
        <v>8515</v>
      </c>
      <c r="X2022" s="13" t="s">
        <v>698</v>
      </c>
      <c r="Y2022" s="13"/>
      <c r="Z2022" s="13"/>
      <c r="AA2022" s="13"/>
      <c r="AB2022" s="13"/>
      <c r="AC2022" s="13"/>
      <c r="AD2022" s="13"/>
      <c r="AE2022" s="13"/>
      <c r="AF2022" s="13" t="s">
        <v>3698</v>
      </c>
      <c r="AG2022" s="13" t="s">
        <v>74</v>
      </c>
      <c r="AH2022" s="13" t="s">
        <v>13915</v>
      </c>
      <c r="AI2022" s="12" t="str">
        <f t="shared" si="386"/>
        <v>1836</v>
      </c>
      <c r="AJ2022" s="13" t="s">
        <v>10539</v>
      </c>
      <c r="AK2022" s="13" t="s">
        <v>551</v>
      </c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/>
      <c r="BD2022" s="13"/>
      <c r="BE2022" s="13"/>
      <c r="BF2022" s="13"/>
      <c r="BG2022" s="13"/>
      <c r="BH2022" s="12"/>
      <c r="BI2022" s="12"/>
      <c r="BJ2022" s="12"/>
      <c r="BK2022" s="12"/>
      <c r="BL2022" s="12"/>
      <c r="BM2022" s="12"/>
      <c r="BN2022" s="12"/>
      <c r="BO2022" s="12"/>
      <c r="BP2022" s="12"/>
      <c r="BQ2022" s="12"/>
      <c r="BR2022" s="12"/>
      <c r="BS2022" s="12"/>
      <c r="BT2022" s="12"/>
      <c r="BU2022" s="12"/>
      <c r="BV2022" s="12"/>
      <c r="BW2022" s="12"/>
      <c r="BX2022" s="12"/>
      <c r="BY2022" s="12"/>
      <c r="BZ2022" s="12"/>
      <c r="CA2022" s="12"/>
      <c r="CB2022" s="12"/>
      <c r="CC2022" s="12"/>
      <c r="CD2022" s="12"/>
    </row>
    <row r="2023" spans="1:82">
      <c r="A2023" s="13" t="s">
        <v>5781</v>
      </c>
      <c r="B2023" s="12" t="str">
        <f t="shared" si="378"/>
        <v>VANRENSBURG</v>
      </c>
      <c r="C2023" s="12" t="str">
        <f t="shared" si="379"/>
        <v>VAN RENSBURG</v>
      </c>
      <c r="D2023" s="13" t="s">
        <v>5891</v>
      </c>
      <c r="E2023" s="12" t="str">
        <f t="shared" si="389"/>
        <v>Willem Hendrik Janse</v>
      </c>
      <c r="F2023" s="13" t="s">
        <v>5892</v>
      </c>
      <c r="G2023" s="12" t="str">
        <f t="shared" si="380"/>
        <v>a1b5c4d4e2</v>
      </c>
      <c r="H2023" s="12" t="str">
        <f t="shared" si="381"/>
        <v>VAN RENSBURGa1b5c4d4e2</v>
      </c>
      <c r="I2023" s="13"/>
      <c r="J2023" s="13"/>
      <c r="K2023" s="12" t="str">
        <f t="shared" si="382"/>
        <v/>
      </c>
      <c r="L2023" s="13"/>
      <c r="M2023" s="13" t="s">
        <v>5893</v>
      </c>
      <c r="N2023" s="12" t="str">
        <f t="shared" si="387"/>
        <v/>
      </c>
      <c r="O2023" s="12" t="str">
        <f t="shared" si="388"/>
        <v>1811</v>
      </c>
      <c r="P2023" s="13"/>
      <c r="Q2023" s="12" t="str">
        <f t="shared" si="383"/>
        <v>1811</v>
      </c>
      <c r="R2023" s="13"/>
      <c r="S2023" s="12" t="str">
        <f t="shared" si="384"/>
        <v/>
      </c>
      <c r="T2023" s="13"/>
      <c r="U2023" s="13"/>
      <c r="V2023" s="12" t="str">
        <f t="shared" si="385"/>
        <v/>
      </c>
      <c r="W2023" s="13" t="s">
        <v>14854</v>
      </c>
      <c r="X2023" s="13" t="s">
        <v>640</v>
      </c>
      <c r="Y2023" s="13"/>
      <c r="Z2023" s="13"/>
      <c r="AA2023" s="13"/>
      <c r="AB2023" s="13"/>
      <c r="AC2023" s="13"/>
      <c r="AD2023" s="13"/>
      <c r="AE2023" s="13"/>
      <c r="AF2023" s="13" t="s">
        <v>16</v>
      </c>
      <c r="AG2023" s="13" t="s">
        <v>68</v>
      </c>
      <c r="AH2023" s="13">
        <v>1838</v>
      </c>
      <c r="AI2023" s="12" t="str">
        <f t="shared" si="386"/>
        <v>1838</v>
      </c>
      <c r="AJ2023" s="13"/>
      <c r="AK2023" s="13" t="s">
        <v>551</v>
      </c>
      <c r="AL2023" s="13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2"/>
      <c r="BI2023" s="12"/>
      <c r="BJ2023" s="12"/>
      <c r="BK2023" s="12"/>
      <c r="BL2023" s="12"/>
      <c r="BM2023" s="12"/>
      <c r="BN2023" s="12"/>
      <c r="BO2023" s="12"/>
      <c r="BP2023" s="12"/>
      <c r="BQ2023" s="12"/>
      <c r="BR2023" s="12"/>
      <c r="BS2023" s="12"/>
      <c r="BT2023" s="12"/>
      <c r="BU2023" s="12"/>
      <c r="BV2023" s="12"/>
      <c r="BW2023" s="12"/>
      <c r="BX2023" s="12"/>
      <c r="BY2023" s="12"/>
      <c r="BZ2023" s="12"/>
      <c r="CA2023" s="12"/>
      <c r="CB2023" s="12"/>
      <c r="CC2023" s="12"/>
      <c r="CD2023" s="12"/>
    </row>
    <row r="2024" spans="1:82">
      <c r="A2024" s="13" t="s">
        <v>5781</v>
      </c>
      <c r="B2024" s="12" t="str">
        <f t="shared" si="378"/>
        <v>VANRENSBURG</v>
      </c>
      <c r="C2024" s="12" t="str">
        <f t="shared" si="379"/>
        <v>VAN RENSBURG</v>
      </c>
      <c r="D2024" s="13" t="s">
        <v>5879</v>
      </c>
      <c r="E2024" s="12" t="str">
        <f t="shared" si="389"/>
        <v>Stephanus Johannes Janse</v>
      </c>
      <c r="F2024" s="13" t="s">
        <v>5880</v>
      </c>
      <c r="G2024" s="12" t="str">
        <f t="shared" si="380"/>
        <v>a1b5c4d4e3</v>
      </c>
      <c r="H2024" s="12" t="str">
        <f t="shared" si="381"/>
        <v>VAN RENSBURGa1b5c4d4e3</v>
      </c>
      <c r="I2024" s="13"/>
      <c r="J2024" s="13"/>
      <c r="K2024" s="12" t="str">
        <f t="shared" si="382"/>
        <v/>
      </c>
      <c r="L2024" s="13"/>
      <c r="M2024" s="13" t="s">
        <v>5881</v>
      </c>
      <c r="N2024" s="12" t="str">
        <f t="shared" si="387"/>
        <v/>
      </c>
      <c r="O2024" s="12" t="str">
        <f t="shared" si="388"/>
        <v>1813</v>
      </c>
      <c r="P2024" s="13"/>
      <c r="Q2024" s="12" t="str">
        <f t="shared" si="383"/>
        <v>1813</v>
      </c>
      <c r="R2024" s="13"/>
      <c r="S2024" s="12" t="str">
        <f t="shared" si="384"/>
        <v/>
      </c>
      <c r="T2024" s="13"/>
      <c r="U2024" s="13"/>
      <c r="V2024" s="12" t="str">
        <f t="shared" si="385"/>
        <v/>
      </c>
      <c r="W2024" s="13" t="s">
        <v>14847</v>
      </c>
      <c r="X2024" s="13" t="s">
        <v>698</v>
      </c>
      <c r="Y2024" s="13"/>
      <c r="Z2024" s="13"/>
      <c r="AA2024" s="13"/>
      <c r="AB2024" s="13"/>
      <c r="AC2024" s="13"/>
      <c r="AD2024" s="13"/>
      <c r="AE2024" s="13"/>
      <c r="AF2024" s="13" t="s">
        <v>16</v>
      </c>
      <c r="AG2024" s="13" t="s">
        <v>68</v>
      </c>
      <c r="AH2024" s="13">
        <v>1841</v>
      </c>
      <c r="AI2024" s="12" t="str">
        <f t="shared" si="386"/>
        <v>1841</v>
      </c>
      <c r="AJ2024" s="13"/>
      <c r="AK2024" s="13" t="s">
        <v>140</v>
      </c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2"/>
      <c r="BI2024" s="12"/>
      <c r="BJ2024" s="12"/>
      <c r="BK2024" s="12"/>
      <c r="BL2024" s="12"/>
      <c r="BM2024" s="12"/>
      <c r="BN2024" s="12"/>
      <c r="BO2024" s="12"/>
      <c r="BP2024" s="12"/>
      <c r="BQ2024" s="12"/>
      <c r="BR2024" s="12"/>
      <c r="BS2024" s="12"/>
      <c r="BT2024" s="12"/>
      <c r="BU2024" s="12"/>
      <c r="BV2024" s="12"/>
      <c r="BW2024" s="12"/>
      <c r="BX2024" s="12"/>
      <c r="BY2024" s="12"/>
      <c r="BZ2024" s="12"/>
      <c r="CA2024" s="12"/>
      <c r="CB2024" s="12"/>
      <c r="CC2024" s="12"/>
      <c r="CD2024" s="12"/>
    </row>
    <row r="2025" spans="1:82">
      <c r="A2025" s="13" t="s">
        <v>5781</v>
      </c>
      <c r="B2025" s="12" t="str">
        <f t="shared" si="378"/>
        <v>VANRENSBURG</v>
      </c>
      <c r="C2025" s="12" t="str">
        <f t="shared" si="379"/>
        <v>VAN RENSBURG</v>
      </c>
      <c r="D2025" s="13" t="s">
        <v>5891</v>
      </c>
      <c r="E2025" s="12" t="str">
        <f t="shared" si="389"/>
        <v>Willem Hendrik Janse</v>
      </c>
      <c r="F2025" s="13" t="s">
        <v>4904</v>
      </c>
      <c r="G2025" s="12" t="str">
        <f t="shared" si="380"/>
        <v>a1b5c4d5e2</v>
      </c>
      <c r="H2025" s="12" t="str">
        <f t="shared" si="381"/>
        <v>VAN RENSBURGa1b5c4d5e2</v>
      </c>
      <c r="I2025" s="13"/>
      <c r="J2025" s="13" t="s">
        <v>5894</v>
      </c>
      <c r="K2025" s="12" t="str">
        <f t="shared" si="382"/>
        <v>1809</v>
      </c>
      <c r="L2025" s="13" t="s">
        <v>542</v>
      </c>
      <c r="M2025" s="13" t="s">
        <v>5895</v>
      </c>
      <c r="N2025" s="12" t="str">
        <f t="shared" si="387"/>
        <v>1809</v>
      </c>
      <c r="O2025" s="12" t="str">
        <f t="shared" si="388"/>
        <v>1813</v>
      </c>
      <c r="P2025" s="13"/>
      <c r="Q2025" s="12" t="str">
        <f t="shared" si="383"/>
        <v>1809</v>
      </c>
      <c r="R2025" s="13"/>
      <c r="S2025" s="12" t="str">
        <f t="shared" si="384"/>
        <v/>
      </c>
      <c r="T2025" s="13" t="s">
        <v>74</v>
      </c>
      <c r="U2025" s="13" t="s">
        <v>10972</v>
      </c>
      <c r="V2025" s="12" t="str">
        <f t="shared" si="385"/>
        <v>1833</v>
      </c>
      <c r="W2025" s="13" t="s">
        <v>14855</v>
      </c>
      <c r="X2025" s="13" t="s">
        <v>3799</v>
      </c>
      <c r="Y2025" s="13" t="s">
        <v>14856</v>
      </c>
      <c r="Z2025" s="13"/>
      <c r="AA2025" s="13"/>
      <c r="AB2025" s="13"/>
      <c r="AC2025" s="13" t="s">
        <v>14857</v>
      </c>
      <c r="AD2025" s="13"/>
      <c r="AE2025" s="13"/>
      <c r="AF2025" s="13"/>
      <c r="AG2025" s="13" t="s">
        <v>74</v>
      </c>
      <c r="AH2025" s="13">
        <v>1840</v>
      </c>
      <c r="AI2025" s="12" t="str">
        <f t="shared" si="386"/>
        <v>1840</v>
      </c>
      <c r="AJ2025" s="13"/>
      <c r="AK2025" s="13" t="s">
        <v>551</v>
      </c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2"/>
      <c r="BI2025" s="12"/>
      <c r="BJ2025" s="12"/>
      <c r="BK2025" s="12"/>
      <c r="BL2025" s="12"/>
      <c r="BM2025" s="12"/>
      <c r="BN2025" s="12"/>
      <c r="BO2025" s="12"/>
      <c r="BP2025" s="12"/>
      <c r="BQ2025" s="12"/>
      <c r="BR2025" s="12"/>
      <c r="BS2025" s="12"/>
      <c r="BT2025" s="12"/>
      <c r="BU2025" s="12"/>
      <c r="BV2025" s="12"/>
      <c r="BW2025" s="12"/>
      <c r="BX2025" s="12"/>
      <c r="BY2025" s="12"/>
      <c r="BZ2025" s="12"/>
      <c r="CA2025" s="12"/>
      <c r="CB2025" s="12"/>
      <c r="CC2025" s="12"/>
      <c r="CD2025" s="12"/>
    </row>
    <row r="2026" spans="1:82">
      <c r="A2026" s="13" t="s">
        <v>5781</v>
      </c>
      <c r="B2026" s="12" t="str">
        <f t="shared" si="378"/>
        <v>VANRENSBURG</v>
      </c>
      <c r="C2026" s="12" t="str">
        <f t="shared" si="379"/>
        <v>VAN RENSBURG</v>
      </c>
      <c r="D2026" s="13" t="s">
        <v>5857</v>
      </c>
      <c r="E2026" s="12" t="str">
        <f t="shared" si="389"/>
        <v>Nicolaas Marthinus Janse</v>
      </c>
      <c r="F2026" s="13" t="s">
        <v>5858</v>
      </c>
      <c r="G2026" s="12" t="str">
        <f t="shared" si="380"/>
        <v>a1b5c5d2</v>
      </c>
      <c r="H2026" s="12" t="str">
        <f t="shared" si="381"/>
        <v>VAN RENSBURGa1b5c5d2</v>
      </c>
      <c r="I2026" s="13"/>
      <c r="J2026" s="13"/>
      <c r="K2026" s="12" t="str">
        <f t="shared" si="382"/>
        <v/>
      </c>
      <c r="L2026" s="13"/>
      <c r="M2026" s="13" t="s">
        <v>5859</v>
      </c>
      <c r="N2026" s="12" t="str">
        <f t="shared" si="387"/>
        <v/>
      </c>
      <c r="O2026" s="12" t="str">
        <f t="shared" si="388"/>
        <v>1783</v>
      </c>
      <c r="P2026" s="13" t="s">
        <v>81</v>
      </c>
      <c r="Q2026" s="12" t="str">
        <f t="shared" si="383"/>
        <v>1783</v>
      </c>
      <c r="R2026" s="13" t="s">
        <v>14834</v>
      </c>
      <c r="S2026" s="12" t="str">
        <f t="shared" si="384"/>
        <v>1868</v>
      </c>
      <c r="T2026" s="13" t="s">
        <v>74</v>
      </c>
      <c r="U2026" s="13" t="s">
        <v>2803</v>
      </c>
      <c r="V2026" s="12" t="str">
        <f t="shared" si="385"/>
        <v>1814</v>
      </c>
      <c r="W2026" s="13" t="s">
        <v>14835</v>
      </c>
      <c r="X2026" s="13" t="s">
        <v>1763</v>
      </c>
      <c r="Y2026" s="13"/>
      <c r="Z2026" s="13"/>
      <c r="AA2026" s="13"/>
      <c r="AB2026" s="13"/>
      <c r="AC2026" s="13"/>
      <c r="AD2026" s="13"/>
      <c r="AE2026" s="13"/>
      <c r="AF2026" s="13"/>
      <c r="AG2026" s="13" t="s">
        <v>74</v>
      </c>
      <c r="AH2026" s="13" t="s">
        <v>10069</v>
      </c>
      <c r="AI2026" s="12" t="str">
        <f t="shared" si="386"/>
        <v>1843</v>
      </c>
      <c r="AJ2026" s="13"/>
      <c r="AK2026" s="13" t="s">
        <v>90</v>
      </c>
      <c r="AL2026" s="13"/>
      <c r="AM2026" s="13"/>
      <c r="AN2026" s="13" t="s">
        <v>14836</v>
      </c>
      <c r="AO2026" s="13" t="s">
        <v>12693</v>
      </c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/>
      <c r="AZ2026" s="13"/>
      <c r="BA2026" s="13"/>
      <c r="BB2026" s="13"/>
      <c r="BC2026" s="13"/>
      <c r="BD2026" s="13"/>
      <c r="BE2026" s="13"/>
      <c r="BF2026" s="13"/>
      <c r="BG2026" s="13"/>
      <c r="BH2026" s="12"/>
      <c r="BI2026" s="12"/>
      <c r="BJ2026" s="12"/>
      <c r="BK2026" s="12"/>
      <c r="BL2026" s="12"/>
      <c r="BM2026" s="12"/>
      <c r="BN2026" s="12"/>
      <c r="BO2026" s="12"/>
      <c r="BP2026" s="12"/>
      <c r="BQ2026" s="12"/>
      <c r="BR2026" s="12"/>
      <c r="BS2026" s="12"/>
      <c r="BT2026" s="12"/>
      <c r="BU2026" s="12"/>
      <c r="BV2026" s="12"/>
      <c r="BW2026" s="12"/>
      <c r="BX2026" s="12"/>
      <c r="BY2026" s="12"/>
      <c r="BZ2026" s="12"/>
      <c r="CA2026" s="12"/>
      <c r="CB2026" s="12"/>
      <c r="CC2026" s="12"/>
      <c r="CD2026" s="12"/>
    </row>
    <row r="2027" spans="1:82">
      <c r="A2027" s="13" t="s">
        <v>5781</v>
      </c>
      <c r="B2027" s="12" t="str">
        <f t="shared" si="378"/>
        <v>VANRENSBURG</v>
      </c>
      <c r="C2027" s="12" t="str">
        <f t="shared" si="379"/>
        <v>VAN RENSBURG</v>
      </c>
      <c r="D2027" s="13" t="s">
        <v>5840</v>
      </c>
      <c r="E2027" s="12" t="str">
        <f t="shared" si="389"/>
        <v>Lucas Marthinus Janse</v>
      </c>
      <c r="F2027" s="13" t="s">
        <v>5841</v>
      </c>
      <c r="G2027" s="12" t="str">
        <f t="shared" si="380"/>
        <v>a1b5c5d2e2</v>
      </c>
      <c r="H2027" s="12" t="str">
        <f t="shared" si="381"/>
        <v>VAN RENSBURGa1b5c5d2e2</v>
      </c>
      <c r="I2027" s="13"/>
      <c r="J2027" s="13" t="s">
        <v>5842</v>
      </c>
      <c r="K2027" s="12" t="str">
        <f t="shared" si="382"/>
        <v>1820</v>
      </c>
      <c r="L2027" s="13" t="s">
        <v>366</v>
      </c>
      <c r="M2027" s="13" t="s">
        <v>5843</v>
      </c>
      <c r="N2027" s="12" t="str">
        <f t="shared" si="387"/>
        <v>1820</v>
      </c>
      <c r="O2027" s="12" t="str">
        <f t="shared" si="388"/>
        <v>1821</v>
      </c>
      <c r="P2027" s="13"/>
      <c r="Q2027" s="12" t="str">
        <f t="shared" si="383"/>
        <v>1820</v>
      </c>
      <c r="R2027" s="13" t="s">
        <v>14820</v>
      </c>
      <c r="S2027" s="12" t="str">
        <f t="shared" si="384"/>
        <v>1893</v>
      </c>
      <c r="T2027" s="13" t="s">
        <v>140</v>
      </c>
      <c r="U2027" s="13" t="s">
        <v>14821</v>
      </c>
      <c r="V2027" s="12" t="str">
        <f t="shared" si="385"/>
        <v>1845</v>
      </c>
      <c r="W2027" s="13" t="s">
        <v>14822</v>
      </c>
      <c r="X2027" s="13" t="s">
        <v>3799</v>
      </c>
      <c r="Y2027" s="13"/>
      <c r="Z2027" s="13"/>
      <c r="AA2027" s="13"/>
      <c r="AB2027" s="13"/>
      <c r="AC2027" s="13"/>
      <c r="AD2027" s="13"/>
      <c r="AE2027" s="13"/>
      <c r="AF2027" s="13"/>
      <c r="AG2027" s="13" t="s">
        <v>74</v>
      </c>
      <c r="AH2027" s="13">
        <v>1843</v>
      </c>
      <c r="AI2027" s="12" t="str">
        <f t="shared" si="386"/>
        <v>1843</v>
      </c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2"/>
      <c r="BI2027" s="12"/>
      <c r="BJ2027" s="12"/>
      <c r="BK2027" s="12"/>
      <c r="BL2027" s="12"/>
      <c r="BM2027" s="12"/>
      <c r="BN2027" s="12"/>
      <c r="BO2027" s="12"/>
      <c r="BP2027" s="12"/>
      <c r="BQ2027" s="12"/>
      <c r="BR2027" s="12"/>
      <c r="BS2027" s="12"/>
      <c r="BT2027" s="12"/>
      <c r="BU2027" s="12"/>
      <c r="BV2027" s="12"/>
      <c r="BW2027" s="12"/>
      <c r="BX2027" s="12"/>
      <c r="BY2027" s="12"/>
      <c r="BZ2027" s="12"/>
      <c r="CA2027" s="12"/>
      <c r="CB2027" s="12"/>
      <c r="CC2027" s="12"/>
      <c r="CD2027" s="12"/>
    </row>
    <row r="2028" spans="1:82">
      <c r="A2028" s="13" t="s">
        <v>5781</v>
      </c>
      <c r="B2028" s="12" t="str">
        <f t="shared" si="378"/>
        <v>VANRENSBURG</v>
      </c>
      <c r="C2028" s="12" t="str">
        <f t="shared" si="379"/>
        <v>VAN RENSBURG</v>
      </c>
      <c r="D2028" s="13" t="s">
        <v>5794</v>
      </c>
      <c r="E2028" s="12" t="str">
        <f t="shared" si="389"/>
        <v>Hendrik Christoffel Janse</v>
      </c>
      <c r="F2028" s="13" t="s">
        <v>5795</v>
      </c>
      <c r="G2028" s="12" t="str">
        <f t="shared" si="380"/>
        <v>a1b5c5d8</v>
      </c>
      <c r="H2028" s="12" t="str">
        <f t="shared" si="381"/>
        <v>VAN RENSBURGa1b5c5d8</v>
      </c>
      <c r="I2028" s="13"/>
      <c r="J2028" s="13" t="s">
        <v>5796</v>
      </c>
      <c r="K2028" s="12" t="str">
        <f t="shared" si="382"/>
        <v>1800</v>
      </c>
      <c r="L2028" s="13" t="s">
        <v>74</v>
      </c>
      <c r="M2028" s="13" t="s">
        <v>5797</v>
      </c>
      <c r="N2028" s="12" t="str">
        <f t="shared" si="387"/>
        <v>1800</v>
      </c>
      <c r="O2028" s="12" t="str">
        <f t="shared" si="388"/>
        <v>1800</v>
      </c>
      <c r="P2028" s="13" t="s">
        <v>81</v>
      </c>
      <c r="Q2028" s="12" t="str">
        <f t="shared" si="383"/>
        <v>1800</v>
      </c>
      <c r="R2028" s="13" t="s">
        <v>14781</v>
      </c>
      <c r="S2028" s="12" t="str">
        <f t="shared" si="384"/>
        <v>1881</v>
      </c>
      <c r="T2028" s="13" t="s">
        <v>53</v>
      </c>
      <c r="U2028" s="13" t="s">
        <v>12782</v>
      </c>
      <c r="V2028" s="12" t="str">
        <f t="shared" si="385"/>
        <v>1819</v>
      </c>
      <c r="W2028" s="13" t="s">
        <v>4694</v>
      </c>
      <c r="X2028" s="13" t="s">
        <v>1763</v>
      </c>
      <c r="Y2028" s="13" t="s">
        <v>14782</v>
      </c>
      <c r="Z2028" s="13"/>
      <c r="AA2028" s="13"/>
      <c r="AB2028" s="13"/>
      <c r="AC2028" s="13" t="s">
        <v>14783</v>
      </c>
      <c r="AD2028" s="13"/>
      <c r="AE2028" s="13"/>
      <c r="AF2028" s="13" t="s">
        <v>3698</v>
      </c>
      <c r="AG2028" s="13" t="s">
        <v>74</v>
      </c>
      <c r="AH2028" s="13" t="s">
        <v>14784</v>
      </c>
      <c r="AI2028" s="12" t="str">
        <f t="shared" si="386"/>
        <v>1845</v>
      </c>
      <c r="AJ2028" s="13" t="s">
        <v>3332</v>
      </c>
      <c r="AK2028" s="13" t="s">
        <v>168</v>
      </c>
      <c r="AL2028" s="13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2"/>
      <c r="BI2028" s="12"/>
      <c r="BJ2028" s="12"/>
      <c r="BK2028" s="12"/>
      <c r="BL2028" s="12"/>
      <c r="BM2028" s="12"/>
      <c r="BN2028" s="12"/>
      <c r="BO2028" s="12"/>
      <c r="BP2028" s="12"/>
      <c r="BQ2028" s="12"/>
      <c r="BR2028" s="12"/>
      <c r="BS2028" s="12"/>
      <c r="BT2028" s="12"/>
      <c r="BU2028" s="12"/>
      <c r="BV2028" s="12"/>
      <c r="BW2028" s="12"/>
      <c r="BX2028" s="12"/>
      <c r="BY2028" s="12"/>
      <c r="BZ2028" s="12"/>
      <c r="CA2028" s="12"/>
      <c r="CB2028" s="12"/>
      <c r="CC2028" s="12"/>
      <c r="CD2028" s="12"/>
    </row>
    <row r="2029" spans="1:82">
      <c r="A2029" s="13" t="s">
        <v>5781</v>
      </c>
      <c r="B2029" s="12" t="str">
        <f t="shared" si="378"/>
        <v>VANRENSBURG</v>
      </c>
      <c r="C2029" s="12" t="str">
        <f t="shared" si="379"/>
        <v>VAN RENSBURG</v>
      </c>
      <c r="D2029" s="13" t="s">
        <v>5840</v>
      </c>
      <c r="E2029" s="12" t="str">
        <f t="shared" si="389"/>
        <v>Lucas Marthinus Janse</v>
      </c>
      <c r="F2029" s="13" t="s">
        <v>5844</v>
      </c>
      <c r="G2029" s="12" t="str">
        <f t="shared" si="380"/>
        <v>a1b5c5d9</v>
      </c>
      <c r="H2029" s="12" t="str">
        <f t="shared" si="381"/>
        <v>VAN RENSBURGa1b5c5d9</v>
      </c>
      <c r="I2029" s="13"/>
      <c r="J2029" s="13"/>
      <c r="K2029" s="12" t="str">
        <f t="shared" si="382"/>
        <v/>
      </c>
      <c r="L2029" s="13"/>
      <c r="M2029" s="13" t="s">
        <v>5845</v>
      </c>
      <c r="N2029" s="12" t="str">
        <f t="shared" si="387"/>
        <v/>
      </c>
      <c r="O2029" s="12" t="str">
        <f t="shared" si="388"/>
        <v>1803</v>
      </c>
      <c r="P2029" s="13"/>
      <c r="Q2029" s="12" t="str">
        <f t="shared" si="383"/>
        <v>1803</v>
      </c>
      <c r="R2029" s="13"/>
      <c r="S2029" s="12" t="str">
        <f t="shared" si="384"/>
        <v/>
      </c>
      <c r="T2029" s="13" t="s">
        <v>74</v>
      </c>
      <c r="U2029" s="13" t="s">
        <v>502</v>
      </c>
      <c r="V2029" s="12" t="str">
        <f t="shared" si="385"/>
        <v>1823</v>
      </c>
      <c r="W2029" s="13" t="s">
        <v>14823</v>
      </c>
      <c r="X2029" s="13" t="s">
        <v>700</v>
      </c>
      <c r="Y2029" s="13" t="s">
        <v>14824</v>
      </c>
      <c r="Z2029" s="13"/>
      <c r="AA2029" s="13" t="s">
        <v>14825</v>
      </c>
      <c r="AB2029" s="13" t="s">
        <v>542</v>
      </c>
      <c r="AC2029" s="13" t="s">
        <v>9501</v>
      </c>
      <c r="AD2029" s="13"/>
      <c r="AE2029" s="13"/>
      <c r="AF2029" s="13" t="s">
        <v>3698</v>
      </c>
      <c r="AG2029" s="13" t="s">
        <v>74</v>
      </c>
      <c r="AH2029" s="13" t="s">
        <v>14826</v>
      </c>
      <c r="AI2029" s="12" t="str">
        <f t="shared" si="386"/>
        <v>1841</v>
      </c>
      <c r="AJ2029" s="13" t="s">
        <v>14827</v>
      </c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2"/>
      <c r="BI2029" s="12"/>
      <c r="BJ2029" s="12"/>
      <c r="BK2029" s="12"/>
      <c r="BL2029" s="12"/>
      <c r="BM2029" s="12"/>
      <c r="BN2029" s="12"/>
      <c r="BO2029" s="12"/>
      <c r="BP2029" s="12"/>
      <c r="BQ2029" s="12"/>
      <c r="BR2029" s="12"/>
      <c r="BS2029" s="12"/>
      <c r="BT2029" s="12"/>
      <c r="BU2029" s="12"/>
      <c r="BV2029" s="12"/>
      <c r="BW2029" s="12"/>
      <c r="BX2029" s="12"/>
      <c r="BY2029" s="12"/>
      <c r="BZ2029" s="12"/>
      <c r="CA2029" s="12"/>
      <c r="CB2029" s="12"/>
      <c r="CC2029" s="12"/>
      <c r="CD2029" s="12"/>
    </row>
    <row r="2030" spans="1:82">
      <c r="A2030" s="13" t="s">
        <v>697</v>
      </c>
      <c r="B2030" s="12" t="str">
        <f t="shared" si="378"/>
        <v>VANROOYEN</v>
      </c>
      <c r="C2030" s="12" t="str">
        <f t="shared" si="379"/>
        <v>VAN ROOYEN</v>
      </c>
      <c r="D2030" s="13" t="s">
        <v>1147</v>
      </c>
      <c r="E2030" s="12" t="str">
        <f t="shared" si="389"/>
        <v>Cornelis</v>
      </c>
      <c r="F2030" s="13" t="s">
        <v>5909</v>
      </c>
      <c r="G2030" s="12" t="str">
        <f t="shared" si="380"/>
        <v>a1b10c2d2</v>
      </c>
      <c r="H2030" s="12" t="str">
        <f t="shared" si="381"/>
        <v>VAN ROOYENa1b10c2d2</v>
      </c>
      <c r="I2030" s="13"/>
      <c r="J2030" s="13"/>
      <c r="K2030" s="12" t="str">
        <f t="shared" si="382"/>
        <v/>
      </c>
      <c r="L2030" s="13"/>
      <c r="M2030" s="13" t="s">
        <v>5910</v>
      </c>
      <c r="N2030" s="12" t="str">
        <f t="shared" si="387"/>
        <v/>
      </c>
      <c r="O2030" s="12" t="str">
        <f t="shared" si="388"/>
        <v>1809</v>
      </c>
      <c r="P2030" s="13"/>
      <c r="Q2030" s="12" t="str">
        <f t="shared" si="383"/>
        <v>1809</v>
      </c>
      <c r="R2030" s="13"/>
      <c r="S2030" s="12" t="str">
        <f t="shared" si="384"/>
        <v/>
      </c>
      <c r="T2030" s="13" t="s">
        <v>6098</v>
      </c>
      <c r="U2030" s="13" t="s">
        <v>14040</v>
      </c>
      <c r="V2030" s="12" t="str">
        <f t="shared" si="385"/>
        <v>1809</v>
      </c>
      <c r="W2030" s="13" t="s">
        <v>3389</v>
      </c>
      <c r="X2030" s="13" t="s">
        <v>697</v>
      </c>
      <c r="Y2030" s="13" t="s">
        <v>14872</v>
      </c>
      <c r="Z2030" s="13"/>
      <c r="AA2030" s="13"/>
      <c r="AB2030" s="13"/>
      <c r="AC2030" s="13" t="s">
        <v>2217</v>
      </c>
      <c r="AD2030" s="13"/>
      <c r="AE2030" s="13"/>
      <c r="AF2030" s="13" t="s">
        <v>9419</v>
      </c>
      <c r="AG2030" s="13" t="s">
        <v>53</v>
      </c>
      <c r="AH2030" s="13" t="s">
        <v>12307</v>
      </c>
      <c r="AI2030" s="12" t="str">
        <f t="shared" si="386"/>
        <v>1836</v>
      </c>
      <c r="AJ2030" s="13" t="s">
        <v>14873</v>
      </c>
      <c r="AK2030" s="13" t="s">
        <v>168</v>
      </c>
      <c r="AL2030" s="13"/>
      <c r="AM2030" s="13" t="s">
        <v>5343</v>
      </c>
      <c r="AN2030" s="13" t="s">
        <v>4715</v>
      </c>
      <c r="AO2030" s="13" t="s">
        <v>697</v>
      </c>
      <c r="AP2030" s="13" t="s">
        <v>14874</v>
      </c>
      <c r="AQ2030" s="13"/>
      <c r="AR2030" s="13"/>
      <c r="AS2030" s="13"/>
      <c r="AT2030" s="13" t="s">
        <v>4398</v>
      </c>
      <c r="AU2030" s="13"/>
      <c r="AV2030" s="13"/>
      <c r="AW2030" s="13"/>
      <c r="AX2030" s="13"/>
      <c r="AY2030" s="13"/>
      <c r="AZ2030" s="13"/>
      <c r="BA2030" s="13"/>
      <c r="BB2030" s="13"/>
      <c r="BC2030" s="13"/>
      <c r="BD2030" s="13"/>
      <c r="BE2030" s="13"/>
      <c r="BF2030" s="13"/>
      <c r="BG2030" s="13"/>
      <c r="BH2030" s="12"/>
      <c r="BI2030" s="12"/>
      <c r="BJ2030" s="12"/>
      <c r="BK2030" s="12"/>
      <c r="BL2030" s="12"/>
      <c r="BM2030" s="12"/>
      <c r="BN2030" s="12"/>
      <c r="BO2030" s="12"/>
      <c r="BP2030" s="12"/>
      <c r="BQ2030" s="12"/>
      <c r="BR2030" s="12"/>
      <c r="BS2030" s="12"/>
      <c r="BT2030" s="12"/>
      <c r="BU2030" s="12"/>
      <c r="BV2030" s="12"/>
      <c r="BW2030" s="12"/>
      <c r="BX2030" s="12"/>
      <c r="BY2030" s="12"/>
      <c r="BZ2030" s="12"/>
      <c r="CA2030" s="12"/>
      <c r="CB2030" s="12"/>
      <c r="CC2030" s="12"/>
      <c r="CD2030" s="12"/>
    </row>
    <row r="2031" spans="1:82">
      <c r="A2031" s="13" t="s">
        <v>697</v>
      </c>
      <c r="B2031" s="12" t="str">
        <f t="shared" si="378"/>
        <v>VANROOYEN</v>
      </c>
      <c r="C2031" s="12" t="str">
        <f t="shared" si="379"/>
        <v>VAN ROOYEN</v>
      </c>
      <c r="D2031" s="13" t="s">
        <v>398</v>
      </c>
      <c r="E2031" s="12" t="str">
        <f t="shared" si="389"/>
        <v>Cornelis Johannes</v>
      </c>
      <c r="F2031" s="13" t="s">
        <v>5919</v>
      </c>
      <c r="G2031" s="12" t="str">
        <f t="shared" si="380"/>
        <v>a1b10c2d2e1</v>
      </c>
      <c r="H2031" s="12" t="str">
        <f t="shared" si="381"/>
        <v>VAN ROOYENa1b10c2d2e1</v>
      </c>
      <c r="I2031" s="13"/>
      <c r="J2031" s="13" t="s">
        <v>5920</v>
      </c>
      <c r="K2031" s="12" t="str">
        <f t="shared" si="382"/>
        <v>1810</v>
      </c>
      <c r="L2031" s="13" t="s">
        <v>74</v>
      </c>
      <c r="M2031" s="13" t="s">
        <v>5918</v>
      </c>
      <c r="N2031" s="12" t="str">
        <f t="shared" si="387"/>
        <v>1810</v>
      </c>
      <c r="O2031" s="12" t="str">
        <f t="shared" si="388"/>
        <v>1811</v>
      </c>
      <c r="P2031" s="13"/>
      <c r="Q2031" s="12" t="str">
        <f t="shared" si="383"/>
        <v>1810</v>
      </c>
      <c r="R2031" s="13"/>
      <c r="S2031" s="12" t="str">
        <f t="shared" si="384"/>
        <v/>
      </c>
      <c r="T2031" s="13" t="s">
        <v>53</v>
      </c>
      <c r="U2031" s="13" t="s">
        <v>8231</v>
      </c>
      <c r="V2031" s="12" t="str">
        <f t="shared" si="385"/>
        <v>1829</v>
      </c>
      <c r="W2031" s="13" t="s">
        <v>14886</v>
      </c>
      <c r="X2031" s="13" t="s">
        <v>695</v>
      </c>
      <c r="Y2031" s="13" t="s">
        <v>14887</v>
      </c>
      <c r="Z2031" s="13"/>
      <c r="AA2031" s="13"/>
      <c r="AB2031" s="13"/>
      <c r="AC2031" s="13"/>
      <c r="AD2031" s="13"/>
      <c r="AE2031" s="13"/>
      <c r="AF2031" s="13" t="s">
        <v>3677</v>
      </c>
      <c r="AG2031" s="13" t="s">
        <v>53</v>
      </c>
      <c r="AH2031" s="13" t="s">
        <v>12307</v>
      </c>
      <c r="AI2031" s="12" t="str">
        <f t="shared" si="386"/>
        <v>1836</v>
      </c>
      <c r="AJ2031" s="13" t="s">
        <v>14888</v>
      </c>
      <c r="AK2031" s="13" t="s">
        <v>2355</v>
      </c>
      <c r="AL2031" s="13"/>
      <c r="AM2031" s="13"/>
      <c r="AN2031" s="13" t="s">
        <v>1943</v>
      </c>
      <c r="AO2031" s="13" t="s">
        <v>694</v>
      </c>
      <c r="AP2031" s="13"/>
      <c r="AQ2031" s="13"/>
      <c r="AR2031" s="13" t="s">
        <v>14889</v>
      </c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2"/>
      <c r="BI2031" s="12"/>
      <c r="BJ2031" s="12"/>
      <c r="BK2031" s="12"/>
      <c r="BL2031" s="12"/>
      <c r="BM2031" s="12"/>
      <c r="BN2031" s="12"/>
      <c r="BO2031" s="12"/>
      <c r="BP2031" s="12"/>
      <c r="BQ2031" s="12"/>
      <c r="BR2031" s="12"/>
      <c r="BS2031" s="12"/>
      <c r="BT2031" s="12"/>
      <c r="BU2031" s="12"/>
      <c r="BV2031" s="12"/>
      <c r="BW2031" s="12"/>
      <c r="BX2031" s="12"/>
      <c r="BY2031" s="12"/>
      <c r="BZ2031" s="12"/>
      <c r="CA2031" s="12"/>
      <c r="CB2031" s="12"/>
      <c r="CC2031" s="12"/>
      <c r="CD2031" s="12"/>
    </row>
    <row r="2032" spans="1:82">
      <c r="A2032" s="13" t="s">
        <v>697</v>
      </c>
      <c r="B2032" s="12" t="str">
        <f t="shared" si="378"/>
        <v>VANROOYEN</v>
      </c>
      <c r="C2032" s="12" t="str">
        <f t="shared" si="379"/>
        <v>VAN ROOYEN</v>
      </c>
      <c r="D2032" s="13" t="s">
        <v>5927</v>
      </c>
      <c r="E2032" s="12" t="str">
        <f t="shared" si="389"/>
        <v>Dirk Reynier</v>
      </c>
      <c r="F2032" s="13" t="s">
        <v>5928</v>
      </c>
      <c r="G2032" s="12" t="str">
        <f t="shared" si="380"/>
        <v>a1b10c2d2e4</v>
      </c>
      <c r="H2032" s="12" t="str">
        <f t="shared" si="381"/>
        <v>VAN ROOYENa1b10c2d2e4</v>
      </c>
      <c r="I2032" s="13"/>
      <c r="J2032" s="13" t="s">
        <v>5929</v>
      </c>
      <c r="K2032" s="12" t="str">
        <f t="shared" si="382"/>
        <v>1816</v>
      </c>
      <c r="L2032" s="13" t="s">
        <v>74</v>
      </c>
      <c r="M2032" s="13" t="s">
        <v>5930</v>
      </c>
      <c r="N2032" s="12" t="str">
        <f t="shared" si="387"/>
        <v>1816</v>
      </c>
      <c r="O2032" s="12" t="str">
        <f t="shared" si="388"/>
        <v>1817</v>
      </c>
      <c r="P2032" s="13"/>
      <c r="Q2032" s="12" t="str">
        <f t="shared" si="383"/>
        <v>1816</v>
      </c>
      <c r="R2032" s="13"/>
      <c r="S2032" s="12" t="str">
        <f t="shared" si="384"/>
        <v/>
      </c>
      <c r="T2032" s="13" t="s">
        <v>53</v>
      </c>
      <c r="U2032" s="13" t="s">
        <v>14892</v>
      </c>
      <c r="V2032" s="12" t="str">
        <f t="shared" si="385"/>
        <v>1836</v>
      </c>
      <c r="W2032" s="13" t="s">
        <v>1410</v>
      </c>
      <c r="X2032" s="13" t="s">
        <v>1586</v>
      </c>
      <c r="Y2032" s="13"/>
      <c r="Z2032" s="13"/>
      <c r="AA2032" s="13"/>
      <c r="AB2032" s="13"/>
      <c r="AC2032" s="13"/>
      <c r="AD2032" s="13"/>
      <c r="AE2032" s="13"/>
      <c r="AF2032" s="13" t="s">
        <v>3677</v>
      </c>
      <c r="AG2032" s="13" t="s">
        <v>53</v>
      </c>
      <c r="AH2032" s="13" t="s">
        <v>14893</v>
      </c>
      <c r="AI2032" s="12" t="str">
        <f t="shared" si="386"/>
        <v>1837</v>
      </c>
      <c r="AJ2032" s="13"/>
      <c r="AK2032" s="13" t="s">
        <v>90</v>
      </c>
      <c r="AL2032" s="13"/>
      <c r="AM2032" s="13"/>
      <c r="AN2032" s="13" t="s">
        <v>14894</v>
      </c>
      <c r="AO2032" s="13" t="s">
        <v>726</v>
      </c>
      <c r="AP2032" s="13" t="s">
        <v>14895</v>
      </c>
      <c r="AQ2032" s="13"/>
      <c r="AR2032" s="13"/>
      <c r="AS2032" s="13"/>
      <c r="AT2032" s="13"/>
      <c r="AU2032" s="13" t="s">
        <v>90</v>
      </c>
      <c r="AV2032" s="13" t="s">
        <v>14896</v>
      </c>
      <c r="AW2032" s="13"/>
      <c r="AX2032" s="13">
        <v>1852</v>
      </c>
      <c r="AY2032" s="13" t="s">
        <v>14897</v>
      </c>
      <c r="AZ2032" s="13" t="s">
        <v>2480</v>
      </c>
      <c r="BA2032" s="13" t="s">
        <v>4681</v>
      </c>
      <c r="BB2032" s="13" t="s">
        <v>14898</v>
      </c>
      <c r="BC2032" s="13"/>
      <c r="BD2032" s="13" t="s">
        <v>53</v>
      </c>
      <c r="BE2032" s="13" t="s">
        <v>14899</v>
      </c>
      <c r="BF2032" s="13"/>
      <c r="BG2032" s="13"/>
      <c r="BH2032" s="12"/>
      <c r="BI2032" s="12"/>
      <c r="BJ2032" s="12"/>
      <c r="BK2032" s="12"/>
      <c r="BL2032" s="12"/>
      <c r="BM2032" s="12"/>
      <c r="BN2032" s="12"/>
      <c r="BO2032" s="12"/>
      <c r="BP2032" s="12"/>
      <c r="BQ2032" s="12"/>
      <c r="BR2032" s="12"/>
      <c r="BS2032" s="12"/>
      <c r="BT2032" s="12"/>
      <c r="BU2032" s="12"/>
      <c r="BV2032" s="12"/>
      <c r="BW2032" s="12"/>
      <c r="BX2032" s="12"/>
      <c r="BY2032" s="12"/>
      <c r="BZ2032" s="12"/>
      <c r="CA2032" s="12"/>
      <c r="CB2032" s="12"/>
      <c r="CC2032" s="12"/>
      <c r="CD2032" s="12"/>
    </row>
    <row r="2033" spans="1:82">
      <c r="A2033" s="13" t="s">
        <v>697</v>
      </c>
      <c r="B2033" s="12" t="str">
        <f t="shared" si="378"/>
        <v>VANROOYEN</v>
      </c>
      <c r="C2033" s="12" t="str">
        <f t="shared" si="379"/>
        <v>VAN ROOYEN</v>
      </c>
      <c r="D2033" s="13" t="s">
        <v>5958</v>
      </c>
      <c r="E2033" s="12" t="str">
        <f t="shared" si="389"/>
        <v>Izak Petrus</v>
      </c>
      <c r="F2033" s="13" t="s">
        <v>5959</v>
      </c>
      <c r="G2033" s="12" t="str">
        <f t="shared" si="380"/>
        <v>a1b10c2d2e7</v>
      </c>
      <c r="H2033" s="12" t="str">
        <f t="shared" si="381"/>
        <v>VAN ROOYENa1b10c2d2e7</v>
      </c>
      <c r="I2033" s="13"/>
      <c r="J2033" s="13" t="s">
        <v>5960</v>
      </c>
      <c r="K2033" s="12" t="str">
        <f t="shared" si="382"/>
        <v>1822</v>
      </c>
      <c r="L2033" s="13"/>
      <c r="M2033" s="13" t="s">
        <v>5961</v>
      </c>
      <c r="N2033" s="12" t="str">
        <f t="shared" si="387"/>
        <v>1822</v>
      </c>
      <c r="O2033" s="12" t="str">
        <f t="shared" si="388"/>
        <v>1823</v>
      </c>
      <c r="P2033" s="13" t="s">
        <v>90</v>
      </c>
      <c r="Q2033" s="12" t="str">
        <f t="shared" si="383"/>
        <v>1822</v>
      </c>
      <c r="R2033" s="13" t="s">
        <v>14918</v>
      </c>
      <c r="S2033" s="12" t="str">
        <f t="shared" si="384"/>
        <v>1859</v>
      </c>
      <c r="T2033" s="13"/>
      <c r="U2033" s="13"/>
      <c r="V2033" s="12" t="str">
        <f t="shared" si="385"/>
        <v/>
      </c>
      <c r="W2033" s="13" t="s">
        <v>14919</v>
      </c>
      <c r="X2033" s="13" t="s">
        <v>697</v>
      </c>
      <c r="Y2033" s="13" t="s">
        <v>14920</v>
      </c>
      <c r="Z2033" s="13"/>
      <c r="AA2033" s="13"/>
      <c r="AB2033" s="13"/>
      <c r="AC2033" s="13"/>
      <c r="AD2033" s="13"/>
      <c r="AE2033" s="13"/>
      <c r="AF2033" s="13" t="s">
        <v>3677</v>
      </c>
      <c r="AG2033" s="13" t="s">
        <v>53</v>
      </c>
      <c r="AH2033" s="13" t="s">
        <v>14893</v>
      </c>
      <c r="AI2033" s="12" t="str">
        <f t="shared" si="386"/>
        <v>1837</v>
      </c>
      <c r="AJ2033" s="13"/>
      <c r="AK2033" s="13" t="s">
        <v>90</v>
      </c>
      <c r="AL2033" s="13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3"/>
      <c r="AY2033" s="13"/>
      <c r="AZ2033" s="13"/>
      <c r="BA2033" s="13"/>
      <c r="BB2033" s="13"/>
      <c r="BC2033" s="13"/>
      <c r="BD2033" s="13"/>
      <c r="BE2033" s="13"/>
      <c r="BF2033" s="13"/>
      <c r="BG2033" s="13"/>
      <c r="BH2033" s="12"/>
      <c r="BI2033" s="12"/>
      <c r="BJ2033" s="12"/>
      <c r="BK2033" s="12"/>
      <c r="BL2033" s="12"/>
      <c r="BM2033" s="12"/>
      <c r="BN2033" s="12"/>
      <c r="BO2033" s="12"/>
      <c r="BP2033" s="12"/>
      <c r="BQ2033" s="12"/>
      <c r="BR2033" s="12"/>
      <c r="BS2033" s="12"/>
      <c r="BT2033" s="12"/>
      <c r="BU2033" s="12"/>
      <c r="BV2033" s="12"/>
      <c r="BW2033" s="12"/>
      <c r="BX2033" s="12"/>
      <c r="BY2033" s="12"/>
      <c r="BZ2033" s="12"/>
      <c r="CA2033" s="12"/>
      <c r="CB2033" s="12"/>
      <c r="CC2033" s="12"/>
      <c r="CD2033" s="12"/>
    </row>
    <row r="2034" spans="1:82">
      <c r="A2034" s="13" t="s">
        <v>697</v>
      </c>
      <c r="B2034" s="12" t="str">
        <f t="shared" ref="B2034:B2097" si="390">SUBSTITUTE(A2034," ","")</f>
        <v>VANROOYEN</v>
      </c>
      <c r="C2034" s="12" t="str">
        <f t="shared" ref="C2034:C2097" si="391">TRIM(A2034)</f>
        <v>VAN ROOYEN</v>
      </c>
      <c r="D2034" s="13" t="s">
        <v>2938</v>
      </c>
      <c r="E2034" s="12" t="str">
        <f t="shared" si="389"/>
        <v>Izak</v>
      </c>
      <c r="F2034" s="13" t="s">
        <v>5956</v>
      </c>
      <c r="G2034" s="12" t="str">
        <f t="shared" ref="G2034:G2097" si="392">IF(LEFT(F2034,1)="b","a1"&amp;F2034,F2034)</f>
        <v>a1b10c2d3</v>
      </c>
      <c r="H2034" s="12" t="str">
        <f t="shared" ref="H2034:H2097" si="393">C2034&amp;G2034</f>
        <v>VAN ROOYENa1b10c2d3</v>
      </c>
      <c r="I2034" s="13"/>
      <c r="J2034" s="13"/>
      <c r="K2034" s="12" t="str">
        <f t="shared" ref="K2034:K2097" si="394">RIGHT(J2034,4)</f>
        <v/>
      </c>
      <c r="L2034" s="13"/>
      <c r="M2034" s="13" t="s">
        <v>5957</v>
      </c>
      <c r="N2034" s="12" t="str">
        <f t="shared" si="387"/>
        <v/>
      </c>
      <c r="O2034" s="12" t="str">
        <f t="shared" si="388"/>
        <v>1789</v>
      </c>
      <c r="P2034" s="13"/>
      <c r="Q2034" s="12" t="str">
        <f t="shared" ref="Q2034:Q2097" si="395">IF(N2034="",O2034,N2034)</f>
        <v>1789</v>
      </c>
      <c r="R2034" s="13"/>
      <c r="S2034" s="12" t="str">
        <f t="shared" ref="S2034:S2097" si="396">RIGHT(R2034,4)</f>
        <v/>
      </c>
      <c r="T2034" s="13" t="s">
        <v>6098</v>
      </c>
      <c r="U2034" s="13" t="s">
        <v>14040</v>
      </c>
      <c r="V2034" s="12" t="str">
        <f t="shared" ref="V2034:V2097" si="397">RIGHT(U2034,4)</f>
        <v>1809</v>
      </c>
      <c r="W2034" s="13" t="s">
        <v>2421</v>
      </c>
      <c r="X2034" s="13" t="s">
        <v>697</v>
      </c>
      <c r="Y2034" s="13"/>
      <c r="Z2034" s="13"/>
      <c r="AA2034" s="13"/>
      <c r="AB2034" s="13"/>
      <c r="AC2034" s="13"/>
      <c r="AD2034" s="13"/>
      <c r="AE2034" s="13"/>
      <c r="AF2034" s="13" t="s">
        <v>3677</v>
      </c>
      <c r="AG2034" s="13" t="s">
        <v>53</v>
      </c>
      <c r="AH2034" s="13" t="s">
        <v>12313</v>
      </c>
      <c r="AI2034" s="12" t="str">
        <f t="shared" ref="AI2034:AI2097" si="398">RIGHT(AH2034,4)</f>
        <v>1837</v>
      </c>
      <c r="AJ2034" s="13" t="s">
        <v>2382</v>
      </c>
      <c r="AK2034" s="13" t="s">
        <v>90</v>
      </c>
      <c r="AL2034" s="13"/>
      <c r="AM2034" s="13"/>
      <c r="AN2034" s="13"/>
      <c r="AO2034" s="13"/>
      <c r="AP2034" s="13"/>
      <c r="AQ2034" s="13"/>
      <c r="AR2034" s="13"/>
      <c r="AS2034" s="13"/>
      <c r="AT2034" s="13"/>
      <c r="AU2034" s="13"/>
      <c r="AV2034" s="13"/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/>
      <c r="BH2034" s="12"/>
      <c r="BI2034" s="12"/>
      <c r="BJ2034" s="12"/>
      <c r="BK2034" s="12"/>
      <c r="BL2034" s="12"/>
      <c r="BM2034" s="12"/>
      <c r="BN2034" s="12"/>
      <c r="BO2034" s="12"/>
      <c r="BP2034" s="12"/>
      <c r="BQ2034" s="12"/>
      <c r="BR2034" s="12"/>
      <c r="BS2034" s="12"/>
      <c r="BT2034" s="12"/>
      <c r="BU2034" s="12"/>
      <c r="BV2034" s="12"/>
      <c r="BW2034" s="12"/>
      <c r="BX2034" s="12"/>
      <c r="BY2034" s="12"/>
      <c r="BZ2034" s="12"/>
      <c r="CA2034" s="12"/>
      <c r="CB2034" s="12"/>
      <c r="CC2034" s="12"/>
      <c r="CD2034" s="12"/>
    </row>
    <row r="2035" spans="1:82">
      <c r="A2035" s="13" t="s">
        <v>697</v>
      </c>
      <c r="B2035" s="12" t="str">
        <f t="shared" si="390"/>
        <v>VANROOYEN</v>
      </c>
      <c r="C2035" s="12" t="str">
        <f t="shared" si="391"/>
        <v>VAN ROOYEN</v>
      </c>
      <c r="D2035" s="13" t="s">
        <v>1591</v>
      </c>
      <c r="E2035" s="12" t="str">
        <f t="shared" si="389"/>
        <v>Dirk</v>
      </c>
      <c r="F2035" s="13" t="s">
        <v>5924</v>
      </c>
      <c r="G2035" s="12" t="str">
        <f t="shared" si="392"/>
        <v>a1b10c2d3e1</v>
      </c>
      <c r="H2035" s="12" t="str">
        <f t="shared" si="393"/>
        <v>VAN ROOYENa1b10c2d3e1</v>
      </c>
      <c r="I2035" s="13"/>
      <c r="J2035" s="13" t="s">
        <v>5925</v>
      </c>
      <c r="K2035" s="12" t="str">
        <f t="shared" si="394"/>
        <v>1809</v>
      </c>
      <c r="L2035" s="13"/>
      <c r="M2035" s="13" t="s">
        <v>5926</v>
      </c>
      <c r="N2035" s="12" t="str">
        <f t="shared" si="387"/>
        <v>1809</v>
      </c>
      <c r="O2035" s="12" t="str">
        <f t="shared" si="388"/>
        <v>1809</v>
      </c>
      <c r="P2035" s="13" t="s">
        <v>90</v>
      </c>
      <c r="Q2035" s="12" t="str">
        <f t="shared" si="395"/>
        <v>1809</v>
      </c>
      <c r="R2035" s="13" t="s">
        <v>14890</v>
      </c>
      <c r="S2035" s="12" t="str">
        <f t="shared" si="396"/>
        <v>1842</v>
      </c>
      <c r="T2035" s="13" t="s">
        <v>53</v>
      </c>
      <c r="U2035" s="13" t="s">
        <v>4438</v>
      </c>
      <c r="V2035" s="12" t="str">
        <f t="shared" si="397"/>
        <v>1828</v>
      </c>
      <c r="W2035" s="13" t="s">
        <v>14891</v>
      </c>
      <c r="X2035" s="13" t="s">
        <v>3799</v>
      </c>
      <c r="Y2035" s="13" t="s">
        <v>14818</v>
      </c>
      <c r="Z2035" s="13"/>
      <c r="AA2035" s="13"/>
      <c r="AB2035" s="13"/>
      <c r="AC2035" s="13" t="s">
        <v>8230</v>
      </c>
      <c r="AD2035" s="13" t="s">
        <v>2355</v>
      </c>
      <c r="AE2035" s="13" t="s">
        <v>14819</v>
      </c>
      <c r="AF2035" s="13" t="s">
        <v>3677</v>
      </c>
      <c r="AG2035" s="13" t="s">
        <v>53</v>
      </c>
      <c r="AH2035" s="13" t="s">
        <v>12313</v>
      </c>
      <c r="AI2035" s="12" t="str">
        <f t="shared" si="398"/>
        <v>1837</v>
      </c>
      <c r="AJ2035" s="13" t="s">
        <v>2382</v>
      </c>
      <c r="AK2035" s="13" t="s">
        <v>90</v>
      </c>
      <c r="AL2035" s="13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2"/>
      <c r="BI2035" s="12"/>
      <c r="BJ2035" s="12"/>
      <c r="BK2035" s="12"/>
      <c r="BL2035" s="12"/>
      <c r="BM2035" s="12"/>
      <c r="BN2035" s="12"/>
      <c r="BO2035" s="12"/>
      <c r="BP2035" s="12"/>
      <c r="BQ2035" s="12"/>
      <c r="BR2035" s="12"/>
      <c r="BS2035" s="12"/>
      <c r="BT2035" s="12"/>
      <c r="BU2035" s="12"/>
      <c r="BV2035" s="12"/>
      <c r="BW2035" s="12"/>
      <c r="BX2035" s="12"/>
      <c r="BY2035" s="12"/>
      <c r="BZ2035" s="12"/>
      <c r="CA2035" s="12"/>
      <c r="CB2035" s="12"/>
      <c r="CC2035" s="12"/>
      <c r="CD2035" s="12"/>
    </row>
    <row r="2036" spans="1:82">
      <c r="A2036" s="13" t="s">
        <v>697</v>
      </c>
      <c r="B2036" s="12" t="str">
        <f t="shared" si="390"/>
        <v>VANROOYEN</v>
      </c>
      <c r="C2036" s="12" t="str">
        <f t="shared" si="391"/>
        <v>VAN ROOYEN</v>
      </c>
      <c r="D2036" s="13" t="s">
        <v>5899</v>
      </c>
      <c r="E2036" s="12" t="str">
        <f t="shared" si="389"/>
        <v>Andries Ignatius Marthinus</v>
      </c>
      <c r="F2036" s="13" t="s">
        <v>5900</v>
      </c>
      <c r="G2036" s="12" t="str">
        <f t="shared" si="392"/>
        <v>a1b10c2d7</v>
      </c>
      <c r="H2036" s="12" t="str">
        <f t="shared" si="393"/>
        <v>VAN ROOYENa1b10c2d7</v>
      </c>
      <c r="I2036" s="13"/>
      <c r="J2036" s="13" t="s">
        <v>5901</v>
      </c>
      <c r="K2036" s="12" t="str">
        <f t="shared" si="394"/>
        <v>1804</v>
      </c>
      <c r="L2036" s="13"/>
      <c r="M2036" s="13" t="s">
        <v>5902</v>
      </c>
      <c r="N2036" s="12" t="str">
        <f t="shared" si="387"/>
        <v>1804</v>
      </c>
      <c r="O2036" s="12" t="str">
        <f t="shared" si="388"/>
        <v>1804</v>
      </c>
      <c r="P2036" s="13" t="s">
        <v>190</v>
      </c>
      <c r="Q2036" s="12" t="str">
        <f t="shared" si="395"/>
        <v>1804</v>
      </c>
      <c r="R2036" s="13" t="s">
        <v>14861</v>
      </c>
      <c r="S2036" s="12" t="str">
        <f t="shared" si="396"/>
        <v>1862</v>
      </c>
      <c r="T2036" s="13"/>
      <c r="U2036" s="13">
        <v>1830</v>
      </c>
      <c r="V2036" s="12" t="str">
        <f t="shared" si="397"/>
        <v>1830</v>
      </c>
      <c r="W2036" s="13" t="s">
        <v>14862</v>
      </c>
      <c r="X2036" s="13" t="s">
        <v>1590</v>
      </c>
      <c r="Y2036" s="13"/>
      <c r="Z2036" s="13"/>
      <c r="AA2036" s="13" t="s">
        <v>14863</v>
      </c>
      <c r="AB2036" s="13" t="s">
        <v>74</v>
      </c>
      <c r="AC2036" s="13" t="s">
        <v>12433</v>
      </c>
      <c r="AD2036" s="13"/>
      <c r="AE2036" s="13"/>
      <c r="AF2036" s="13" t="s">
        <v>3717</v>
      </c>
      <c r="AG2036" s="13" t="s">
        <v>346</v>
      </c>
      <c r="AH2036" s="13" t="s">
        <v>2030</v>
      </c>
      <c r="AI2036" s="12" t="str">
        <f t="shared" si="398"/>
        <v>1845</v>
      </c>
      <c r="AJ2036" s="13"/>
      <c r="AK2036" s="13" t="s">
        <v>190</v>
      </c>
      <c r="AL2036" s="13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2"/>
      <c r="BI2036" s="12"/>
      <c r="BJ2036" s="12"/>
      <c r="BK2036" s="12"/>
      <c r="BL2036" s="12"/>
      <c r="BM2036" s="12"/>
      <c r="BN2036" s="12"/>
      <c r="BO2036" s="12"/>
      <c r="BP2036" s="12"/>
      <c r="BQ2036" s="12"/>
      <c r="BR2036" s="12"/>
      <c r="BS2036" s="12"/>
      <c r="BT2036" s="12"/>
      <c r="BU2036" s="12"/>
      <c r="BV2036" s="12"/>
      <c r="BW2036" s="12"/>
      <c r="BX2036" s="12"/>
      <c r="BY2036" s="12"/>
      <c r="BZ2036" s="12"/>
      <c r="CA2036" s="12"/>
      <c r="CB2036" s="12"/>
      <c r="CC2036" s="12"/>
      <c r="CD2036" s="12"/>
    </row>
    <row r="2037" spans="1:82">
      <c r="A2037" s="13" t="s">
        <v>697</v>
      </c>
      <c r="B2037" s="12" t="str">
        <f t="shared" si="390"/>
        <v>VANROOYEN</v>
      </c>
      <c r="C2037" s="12" t="str">
        <f t="shared" si="391"/>
        <v>VAN ROOYEN</v>
      </c>
      <c r="D2037" s="13" t="s">
        <v>398</v>
      </c>
      <c r="E2037" s="12" t="str">
        <f t="shared" si="389"/>
        <v>Cornelis Johannes</v>
      </c>
      <c r="F2037" s="13" t="s">
        <v>5921</v>
      </c>
      <c r="G2037" s="12" t="str">
        <f t="shared" si="392"/>
        <v>a1b4c1d2e1</v>
      </c>
      <c r="H2037" s="12" t="str">
        <f t="shared" si="393"/>
        <v>VAN ROOYENa1b4c1d2e1</v>
      </c>
      <c r="I2037" s="13"/>
      <c r="J2037" s="13" t="s">
        <v>5922</v>
      </c>
      <c r="K2037" s="12" t="str">
        <f t="shared" si="394"/>
        <v>1812</v>
      </c>
      <c r="L2037" s="13" t="s">
        <v>74</v>
      </c>
      <c r="M2037" s="13" t="s">
        <v>5923</v>
      </c>
      <c r="N2037" s="12" t="str">
        <f t="shared" si="387"/>
        <v>1812</v>
      </c>
      <c r="O2037" s="12" t="str">
        <f t="shared" si="388"/>
        <v>1812</v>
      </c>
      <c r="P2037" s="13"/>
      <c r="Q2037" s="12" t="str">
        <f t="shared" si="395"/>
        <v>1812</v>
      </c>
      <c r="R2037" s="13"/>
      <c r="S2037" s="12" t="str">
        <f t="shared" si="396"/>
        <v/>
      </c>
      <c r="T2037" s="13" t="s">
        <v>53</v>
      </c>
      <c r="U2037" s="13" t="s">
        <v>3915</v>
      </c>
      <c r="V2037" s="12" t="str">
        <f t="shared" si="397"/>
        <v>1834</v>
      </c>
      <c r="W2037" s="13" t="s">
        <v>1135</v>
      </c>
      <c r="X2037" s="13" t="s">
        <v>1136</v>
      </c>
      <c r="Y2037" s="13"/>
      <c r="Z2037" s="13"/>
      <c r="AA2037" s="13" t="s">
        <v>14883</v>
      </c>
      <c r="AB2037" s="13"/>
      <c r="AC2037" s="13"/>
      <c r="AD2037" s="13"/>
      <c r="AE2037" s="13"/>
      <c r="AF2037" s="13"/>
      <c r="AG2037" s="13" t="s">
        <v>53</v>
      </c>
      <c r="AH2037" s="13">
        <v>1838</v>
      </c>
      <c r="AI2037" s="12" t="str">
        <f t="shared" si="398"/>
        <v>1838</v>
      </c>
      <c r="AJ2037" s="13"/>
      <c r="AK2037" s="13" t="s">
        <v>90</v>
      </c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2"/>
      <c r="BI2037" s="12"/>
      <c r="BJ2037" s="12"/>
      <c r="BK2037" s="12"/>
      <c r="BL2037" s="12"/>
      <c r="BM2037" s="12"/>
      <c r="BN2037" s="12"/>
      <c r="BO2037" s="12"/>
      <c r="BP2037" s="12"/>
      <c r="BQ2037" s="12"/>
      <c r="BR2037" s="12"/>
      <c r="BS2037" s="12"/>
      <c r="BT2037" s="12"/>
      <c r="BU2037" s="12"/>
      <c r="BV2037" s="12"/>
      <c r="BW2037" s="12"/>
      <c r="BX2037" s="12"/>
      <c r="BY2037" s="12"/>
      <c r="BZ2037" s="12"/>
      <c r="CA2037" s="12"/>
      <c r="CB2037" s="12"/>
      <c r="CC2037" s="12"/>
      <c r="CD2037" s="12"/>
    </row>
    <row r="2038" spans="1:82">
      <c r="A2038" s="13" t="s">
        <v>697</v>
      </c>
      <c r="B2038" s="12" t="str">
        <f t="shared" si="390"/>
        <v>VANROOYEN</v>
      </c>
      <c r="C2038" s="12" t="str">
        <f t="shared" si="391"/>
        <v>VAN ROOYEN</v>
      </c>
      <c r="D2038" s="13" t="s">
        <v>5949</v>
      </c>
      <c r="E2038" s="12" t="str">
        <f t="shared" si="389"/>
        <v>Gysbertus</v>
      </c>
      <c r="F2038" s="13" t="s">
        <v>5950</v>
      </c>
      <c r="G2038" s="12" t="str">
        <f t="shared" si="392"/>
        <v>a1b4c1d8</v>
      </c>
      <c r="H2038" s="12" t="str">
        <f t="shared" si="393"/>
        <v>VAN ROOYENa1b4c1d8</v>
      </c>
      <c r="I2038" s="13"/>
      <c r="J2038" s="13"/>
      <c r="K2038" s="12" t="str">
        <f t="shared" si="394"/>
        <v/>
      </c>
      <c r="L2038" s="13"/>
      <c r="M2038" s="13" t="s">
        <v>5951</v>
      </c>
      <c r="N2038" s="12" t="str">
        <f t="shared" si="387"/>
        <v/>
      </c>
      <c r="O2038" s="12" t="str">
        <f t="shared" si="388"/>
        <v>1798</v>
      </c>
      <c r="P2038" s="13" t="s">
        <v>67</v>
      </c>
      <c r="Q2038" s="12" t="str">
        <f t="shared" si="395"/>
        <v>1798</v>
      </c>
      <c r="R2038" s="13" t="s">
        <v>14914</v>
      </c>
      <c r="S2038" s="12" t="str">
        <f t="shared" si="396"/>
        <v>1884</v>
      </c>
      <c r="T2038" s="13" t="s">
        <v>28</v>
      </c>
      <c r="U2038" s="13" t="s">
        <v>233</v>
      </c>
      <c r="V2038" s="12" t="str">
        <f t="shared" si="397"/>
        <v>1820</v>
      </c>
      <c r="W2038" s="13" t="s">
        <v>5349</v>
      </c>
      <c r="X2038" s="13" t="s">
        <v>822</v>
      </c>
      <c r="Y2038" s="13"/>
      <c r="Z2038" s="13"/>
      <c r="AA2038" s="13" t="s">
        <v>14915</v>
      </c>
      <c r="AB2038" s="13"/>
      <c r="AC2038" s="13" t="s">
        <v>212</v>
      </c>
      <c r="AD2038" s="13"/>
      <c r="AE2038" s="13"/>
      <c r="AF2038" s="13" t="s">
        <v>3706</v>
      </c>
      <c r="AG2038" s="13" t="s">
        <v>68</v>
      </c>
      <c r="AH2038" s="13">
        <v>1842</v>
      </c>
      <c r="AI2038" s="12" t="str">
        <f t="shared" si="398"/>
        <v>1842</v>
      </c>
      <c r="AJ2038" s="13" t="s">
        <v>13259</v>
      </c>
      <c r="AK2038" s="13" t="s">
        <v>67</v>
      </c>
      <c r="AL2038" s="13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2"/>
      <c r="BI2038" s="12"/>
      <c r="BJ2038" s="12"/>
      <c r="BK2038" s="12"/>
      <c r="BL2038" s="12"/>
      <c r="BM2038" s="12"/>
      <c r="BN2038" s="12"/>
      <c r="BO2038" s="12"/>
      <c r="BP2038" s="12"/>
      <c r="BQ2038" s="12"/>
      <c r="BR2038" s="12"/>
      <c r="BS2038" s="12"/>
      <c r="BT2038" s="12"/>
      <c r="BU2038" s="12"/>
      <c r="BV2038" s="12"/>
      <c r="BW2038" s="12"/>
      <c r="BX2038" s="12"/>
      <c r="BY2038" s="12"/>
      <c r="BZ2038" s="12"/>
      <c r="CA2038" s="12"/>
      <c r="CB2038" s="12"/>
      <c r="CC2038" s="12"/>
      <c r="CD2038" s="12"/>
    </row>
    <row r="2039" spans="1:82">
      <c r="A2039" s="13" t="s">
        <v>697</v>
      </c>
      <c r="B2039" s="12" t="str">
        <f t="shared" si="390"/>
        <v>VANROOYEN</v>
      </c>
      <c r="C2039" s="12" t="str">
        <f t="shared" si="391"/>
        <v>VAN ROOYEN</v>
      </c>
      <c r="D2039" s="13" t="s">
        <v>2231</v>
      </c>
      <c r="E2039" s="12" t="str">
        <f t="shared" si="389"/>
        <v>Gerrit</v>
      </c>
      <c r="F2039" s="13" t="s">
        <v>5935</v>
      </c>
      <c r="G2039" s="12" t="str">
        <f t="shared" si="392"/>
        <v>a1b8c1d2</v>
      </c>
      <c r="H2039" s="12" t="str">
        <f t="shared" si="393"/>
        <v>VAN ROOYENa1b8c1d2</v>
      </c>
      <c r="I2039" s="13"/>
      <c r="J2039" s="13"/>
      <c r="K2039" s="12" t="str">
        <f t="shared" si="394"/>
        <v/>
      </c>
      <c r="L2039" s="13"/>
      <c r="M2039" s="13" t="s">
        <v>5936</v>
      </c>
      <c r="N2039" s="12" t="str">
        <f t="shared" si="387"/>
        <v/>
      </c>
      <c r="O2039" s="12" t="str">
        <f t="shared" si="388"/>
        <v>1782</v>
      </c>
      <c r="P2039" s="13"/>
      <c r="Q2039" s="12" t="str">
        <f t="shared" si="395"/>
        <v>1782</v>
      </c>
      <c r="R2039" s="13"/>
      <c r="S2039" s="12" t="str">
        <f t="shared" si="396"/>
        <v/>
      </c>
      <c r="T2039" s="13" t="s">
        <v>6098</v>
      </c>
      <c r="U2039" s="13" t="s">
        <v>14905</v>
      </c>
      <c r="V2039" s="12" t="str">
        <f t="shared" si="397"/>
        <v>1803</v>
      </c>
      <c r="W2039" s="13" t="s">
        <v>11354</v>
      </c>
      <c r="X2039" s="13" t="s">
        <v>697</v>
      </c>
      <c r="Y2039" s="13"/>
      <c r="Z2039" s="13"/>
      <c r="AA2039" s="13"/>
      <c r="AB2039" s="13"/>
      <c r="AC2039" s="13"/>
      <c r="AD2039" s="13"/>
      <c r="AE2039" s="13"/>
      <c r="AF2039" s="13" t="s">
        <v>9419</v>
      </c>
      <c r="AG2039" s="13" t="s">
        <v>53</v>
      </c>
      <c r="AH2039" s="13" t="s">
        <v>14906</v>
      </c>
      <c r="AI2039" s="12" t="str">
        <f t="shared" si="398"/>
        <v>1840</v>
      </c>
      <c r="AJ2039" s="13"/>
      <c r="AK2039" s="13" t="s">
        <v>90</v>
      </c>
      <c r="AL2039" s="13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2"/>
      <c r="BI2039" s="12"/>
      <c r="BJ2039" s="12"/>
      <c r="BK2039" s="12"/>
      <c r="BL2039" s="12"/>
      <c r="BM2039" s="12"/>
      <c r="BN2039" s="12"/>
      <c r="BO2039" s="12"/>
      <c r="BP2039" s="12"/>
      <c r="BQ2039" s="12"/>
      <c r="BR2039" s="12"/>
      <c r="BS2039" s="12"/>
      <c r="BT2039" s="12"/>
      <c r="BU2039" s="12"/>
      <c r="BV2039" s="12"/>
      <c r="BW2039" s="12"/>
      <c r="BX2039" s="12"/>
      <c r="BY2039" s="12"/>
      <c r="BZ2039" s="12"/>
      <c r="CA2039" s="12"/>
      <c r="CB2039" s="12"/>
      <c r="CC2039" s="12"/>
      <c r="CD2039" s="12"/>
    </row>
    <row r="2040" spans="1:82">
      <c r="A2040" s="13" t="s">
        <v>697</v>
      </c>
      <c r="B2040" s="12" t="str">
        <f t="shared" si="390"/>
        <v>VANROOYEN</v>
      </c>
      <c r="C2040" s="12" t="str">
        <f t="shared" si="391"/>
        <v>VAN ROOYEN</v>
      </c>
      <c r="D2040" s="13" t="s">
        <v>398</v>
      </c>
      <c r="E2040" s="12" t="str">
        <f t="shared" si="389"/>
        <v>Cornelis Johannes</v>
      </c>
      <c r="F2040" s="13" t="s">
        <v>5917</v>
      </c>
      <c r="G2040" s="12" t="str">
        <f t="shared" si="392"/>
        <v>a1b8c1d3e2</v>
      </c>
      <c r="H2040" s="12" t="str">
        <f t="shared" si="393"/>
        <v>VAN ROOYENa1b8c1d3e2</v>
      </c>
      <c r="I2040" s="13"/>
      <c r="J2040" s="13" t="s">
        <v>3835</v>
      </c>
      <c r="K2040" s="12" t="str">
        <f t="shared" si="394"/>
        <v>1808</v>
      </c>
      <c r="L2040" s="13"/>
      <c r="M2040" s="13" t="s">
        <v>5918</v>
      </c>
      <c r="N2040" s="12" t="str">
        <f t="shared" si="387"/>
        <v>1808</v>
      </c>
      <c r="O2040" s="12" t="str">
        <f t="shared" si="388"/>
        <v>1811</v>
      </c>
      <c r="P2040" s="13"/>
      <c r="Q2040" s="12" t="str">
        <f t="shared" si="395"/>
        <v>1808</v>
      </c>
      <c r="R2040" s="13"/>
      <c r="S2040" s="12" t="str">
        <f t="shared" si="396"/>
        <v/>
      </c>
      <c r="T2040" s="13"/>
      <c r="U2040" s="13" t="s">
        <v>3915</v>
      </c>
      <c r="V2040" s="12" t="str">
        <f t="shared" si="397"/>
        <v>1834</v>
      </c>
      <c r="W2040" s="13" t="s">
        <v>7163</v>
      </c>
      <c r="X2040" s="13" t="s">
        <v>1136</v>
      </c>
      <c r="Y2040" s="13" t="s">
        <v>14818</v>
      </c>
      <c r="Z2040" s="13"/>
      <c r="AA2040" s="13" t="s">
        <v>14883</v>
      </c>
      <c r="AB2040" s="13"/>
      <c r="AC2040" s="13"/>
      <c r="AD2040" s="13"/>
      <c r="AE2040" s="13"/>
      <c r="AF2040" s="13"/>
      <c r="AG2040" s="13"/>
      <c r="AH2040" s="13" t="s">
        <v>14884</v>
      </c>
      <c r="AI2040" s="12" t="str">
        <f t="shared" si="398"/>
        <v>1840</v>
      </c>
      <c r="AJ2040" s="13" t="s">
        <v>14885</v>
      </c>
      <c r="AK2040" s="13" t="s">
        <v>90</v>
      </c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/>
      <c r="BD2040" s="13"/>
      <c r="BE2040" s="13"/>
      <c r="BF2040" s="13"/>
      <c r="BG2040" s="13"/>
      <c r="BH2040" s="12"/>
      <c r="BI2040" s="12"/>
      <c r="BJ2040" s="12"/>
      <c r="BK2040" s="12"/>
      <c r="BL2040" s="12"/>
      <c r="BM2040" s="12"/>
      <c r="BN2040" s="12"/>
      <c r="BO2040" s="12"/>
      <c r="BP2040" s="12"/>
      <c r="BQ2040" s="12"/>
      <c r="BR2040" s="12"/>
      <c r="BS2040" s="12"/>
      <c r="BT2040" s="12"/>
      <c r="BU2040" s="12"/>
      <c r="BV2040" s="12"/>
      <c r="BW2040" s="12"/>
      <c r="BX2040" s="12"/>
      <c r="BY2040" s="12"/>
      <c r="BZ2040" s="12"/>
      <c r="CA2040" s="12"/>
      <c r="CB2040" s="12"/>
      <c r="CC2040" s="12"/>
      <c r="CD2040" s="12"/>
    </row>
    <row r="2041" spans="1:82">
      <c r="A2041" s="13" t="s">
        <v>697</v>
      </c>
      <c r="B2041" s="12" t="str">
        <f t="shared" si="390"/>
        <v>VANROOYEN</v>
      </c>
      <c r="C2041" s="12" t="str">
        <f t="shared" si="391"/>
        <v>VAN ROOYEN</v>
      </c>
      <c r="D2041" s="13" t="s">
        <v>5962</v>
      </c>
      <c r="E2041" s="12" t="str">
        <f t="shared" si="389"/>
        <v>Lucas Marthinus</v>
      </c>
      <c r="F2041" s="13" t="s">
        <v>5963</v>
      </c>
      <c r="G2041" s="12" t="str">
        <f t="shared" si="392"/>
        <v>a1b8c1d3e3</v>
      </c>
      <c r="H2041" s="12" t="str">
        <f t="shared" si="393"/>
        <v>VAN ROOYENa1b8c1d3e3</v>
      </c>
      <c r="I2041" s="13"/>
      <c r="J2041" s="13" t="s">
        <v>5964</v>
      </c>
      <c r="K2041" s="12" t="str">
        <f t="shared" si="394"/>
        <v>1810</v>
      </c>
      <c r="L2041" s="13" t="s">
        <v>74</v>
      </c>
      <c r="M2041" s="13" t="s">
        <v>5965</v>
      </c>
      <c r="N2041" s="12" t="str">
        <f t="shared" si="387"/>
        <v>1810</v>
      </c>
      <c r="O2041" s="12" t="str">
        <f t="shared" si="388"/>
        <v>1811</v>
      </c>
      <c r="P2041" s="13" t="s">
        <v>1443</v>
      </c>
      <c r="Q2041" s="12" t="str">
        <f t="shared" si="395"/>
        <v>1810</v>
      </c>
      <c r="R2041" s="13" t="s">
        <v>14921</v>
      </c>
      <c r="S2041" s="12" t="str">
        <f t="shared" si="396"/>
        <v>1889</v>
      </c>
      <c r="T2041" s="13" t="s">
        <v>53</v>
      </c>
      <c r="U2041" s="13" t="s">
        <v>14922</v>
      </c>
      <c r="V2041" s="12" t="str">
        <f t="shared" si="397"/>
        <v>1833</v>
      </c>
      <c r="W2041" s="13" t="s">
        <v>7225</v>
      </c>
      <c r="X2041" s="13" t="s">
        <v>726</v>
      </c>
      <c r="Y2041" s="13" t="s">
        <v>14923</v>
      </c>
      <c r="Z2041" s="13"/>
      <c r="AA2041" s="13" t="s">
        <v>14924</v>
      </c>
      <c r="AB2041" s="13"/>
      <c r="AC2041" s="13"/>
      <c r="AD2041" s="13"/>
      <c r="AE2041" s="13"/>
      <c r="AF2041" s="13" t="s">
        <v>3677</v>
      </c>
      <c r="AG2041" s="13" t="s">
        <v>53</v>
      </c>
      <c r="AH2041" s="13" t="s">
        <v>14925</v>
      </c>
      <c r="AI2041" s="12" t="str">
        <f t="shared" si="398"/>
        <v>1840</v>
      </c>
      <c r="AJ2041" s="12"/>
      <c r="AK2041" s="13" t="s">
        <v>1872</v>
      </c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2"/>
      <c r="BI2041" s="12"/>
      <c r="BJ2041" s="12"/>
      <c r="BK2041" s="12"/>
      <c r="BL2041" s="12"/>
      <c r="BM2041" s="12"/>
      <c r="BN2041" s="12"/>
      <c r="BO2041" s="12"/>
      <c r="BP2041" s="12"/>
      <c r="BQ2041" s="12"/>
      <c r="BR2041" s="12"/>
      <c r="BS2041" s="12"/>
      <c r="BT2041" s="12"/>
      <c r="BU2041" s="12"/>
      <c r="BV2041" s="12"/>
      <c r="BW2041" s="12"/>
      <c r="BX2041" s="12"/>
      <c r="BY2041" s="12"/>
      <c r="BZ2041" s="12"/>
      <c r="CA2041" s="12"/>
      <c r="CB2041" s="12"/>
      <c r="CC2041" s="12"/>
      <c r="CD2041" s="12"/>
    </row>
    <row r="2042" spans="1:82">
      <c r="A2042" s="13" t="s">
        <v>697</v>
      </c>
      <c r="B2042" s="12" t="str">
        <f t="shared" si="390"/>
        <v>VANROOYEN</v>
      </c>
      <c r="C2042" s="12" t="str">
        <f t="shared" si="391"/>
        <v>VAN ROOYEN</v>
      </c>
      <c r="D2042" s="13" t="s">
        <v>5937</v>
      </c>
      <c r="E2042" s="12" t="str">
        <f t="shared" si="389"/>
        <v>Gerrit Hilgard</v>
      </c>
      <c r="F2042" s="13" t="s">
        <v>5938</v>
      </c>
      <c r="G2042" s="12" t="str">
        <f t="shared" si="392"/>
        <v>a1b8c1d3e4</v>
      </c>
      <c r="H2042" s="12" t="str">
        <f t="shared" si="393"/>
        <v>VAN ROOYENa1b8c1d3e4</v>
      </c>
      <c r="I2042" s="13"/>
      <c r="J2042" s="13" t="s">
        <v>5939</v>
      </c>
      <c r="K2042" s="12" t="str">
        <f t="shared" si="394"/>
        <v>1813</v>
      </c>
      <c r="L2042" s="13" t="s">
        <v>74</v>
      </c>
      <c r="M2042" s="13" t="s">
        <v>5940</v>
      </c>
      <c r="N2042" s="12" t="str">
        <f t="shared" si="387"/>
        <v>1813</v>
      </c>
      <c r="O2042" s="12" t="str">
        <f t="shared" si="388"/>
        <v>1814</v>
      </c>
      <c r="P2042" s="13"/>
      <c r="Q2042" s="12" t="str">
        <f t="shared" si="395"/>
        <v>1813</v>
      </c>
      <c r="R2042" s="13" t="s">
        <v>14907</v>
      </c>
      <c r="S2042" s="12" t="str">
        <f t="shared" si="396"/>
        <v>1868</v>
      </c>
      <c r="T2042" s="13" t="s">
        <v>53</v>
      </c>
      <c r="U2042" s="13" t="s">
        <v>14908</v>
      </c>
      <c r="V2042" s="12" t="str">
        <f t="shared" si="397"/>
        <v>1834</v>
      </c>
      <c r="W2042" s="13" t="s">
        <v>14909</v>
      </c>
      <c r="X2042" s="13" t="s">
        <v>697</v>
      </c>
      <c r="Y2042" s="13"/>
      <c r="Z2042" s="13"/>
      <c r="AA2042" s="13"/>
      <c r="AB2042" s="13"/>
      <c r="AC2042" s="13" t="s">
        <v>14910</v>
      </c>
      <c r="AD2042" s="13"/>
      <c r="AE2042" s="13"/>
      <c r="AF2042" s="13" t="s">
        <v>3677</v>
      </c>
      <c r="AG2042" s="13" t="s">
        <v>53</v>
      </c>
      <c r="AH2042" s="13" t="s">
        <v>13525</v>
      </c>
      <c r="AI2042" s="12" t="str">
        <f t="shared" si="398"/>
        <v>1838</v>
      </c>
      <c r="AJ2042" s="13" t="s">
        <v>9224</v>
      </c>
      <c r="AK2042" s="13"/>
      <c r="AL2042" s="13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2"/>
      <c r="BI2042" s="12"/>
      <c r="BJ2042" s="12"/>
      <c r="BK2042" s="12"/>
      <c r="BL2042" s="12"/>
      <c r="BM2042" s="12"/>
      <c r="BN2042" s="12"/>
      <c r="BO2042" s="12"/>
      <c r="BP2042" s="12"/>
      <c r="BQ2042" s="12"/>
      <c r="BR2042" s="12"/>
      <c r="BS2042" s="12"/>
      <c r="BT2042" s="12"/>
      <c r="BU2042" s="12"/>
      <c r="BV2042" s="12"/>
      <c r="BW2042" s="12"/>
      <c r="BX2042" s="12"/>
      <c r="BY2042" s="12"/>
      <c r="BZ2042" s="12"/>
      <c r="CA2042" s="12"/>
      <c r="CB2042" s="12"/>
      <c r="CC2042" s="12"/>
      <c r="CD2042" s="12"/>
    </row>
    <row r="2043" spans="1:82">
      <c r="A2043" s="13" t="s">
        <v>697</v>
      </c>
      <c r="B2043" s="12" t="str">
        <f t="shared" si="390"/>
        <v>VANROOYEN</v>
      </c>
      <c r="C2043" s="12" t="str">
        <f t="shared" si="391"/>
        <v>VAN ROOYEN</v>
      </c>
      <c r="D2043" s="13" t="s">
        <v>398</v>
      </c>
      <c r="E2043" s="12" t="str">
        <f t="shared" si="389"/>
        <v>Cornelis Johannes</v>
      </c>
      <c r="F2043" s="13" t="s">
        <v>5914</v>
      </c>
      <c r="G2043" s="12" t="str">
        <f t="shared" si="392"/>
        <v>a1b8c1d5e5</v>
      </c>
      <c r="H2043" s="12" t="str">
        <f t="shared" si="393"/>
        <v>VAN ROOYENa1b8c1d5e5</v>
      </c>
      <c r="I2043" s="13"/>
      <c r="J2043" s="13" t="s">
        <v>5915</v>
      </c>
      <c r="K2043" s="12" t="str">
        <f t="shared" si="394"/>
        <v>1818</v>
      </c>
      <c r="L2043" s="13" t="s">
        <v>53</v>
      </c>
      <c r="M2043" s="13" t="s">
        <v>5916</v>
      </c>
      <c r="N2043" s="12" t="str">
        <f t="shared" si="387"/>
        <v>1818</v>
      </c>
      <c r="O2043" s="12" t="str">
        <f t="shared" si="388"/>
        <v>1819</v>
      </c>
      <c r="P2043" s="13"/>
      <c r="Q2043" s="12" t="str">
        <f t="shared" si="395"/>
        <v>1818</v>
      </c>
      <c r="R2043" s="13"/>
      <c r="S2043" s="12" t="str">
        <f t="shared" si="396"/>
        <v/>
      </c>
      <c r="T2043" s="13" t="s">
        <v>168</v>
      </c>
      <c r="U2043" s="13" t="s">
        <v>14878</v>
      </c>
      <c r="V2043" s="12" t="str">
        <f t="shared" si="397"/>
        <v>1843</v>
      </c>
      <c r="W2043" s="13" t="s">
        <v>14879</v>
      </c>
      <c r="X2043" s="13" t="s">
        <v>14880</v>
      </c>
      <c r="Y2043" s="13" t="s">
        <v>14881</v>
      </c>
      <c r="Z2043" s="13"/>
      <c r="AA2043" s="13">
        <v>1826</v>
      </c>
      <c r="AB2043" s="13"/>
      <c r="AC2043" s="13"/>
      <c r="AD2043" s="13" t="s">
        <v>90</v>
      </c>
      <c r="AE2043" s="13" t="s">
        <v>14882</v>
      </c>
      <c r="AF2043" s="13" t="s">
        <v>3677</v>
      </c>
      <c r="AG2043" s="13" t="s">
        <v>53</v>
      </c>
      <c r="AH2043" s="13" t="s">
        <v>13525</v>
      </c>
      <c r="AI2043" s="12" t="str">
        <f t="shared" si="398"/>
        <v>1838</v>
      </c>
      <c r="AJ2043" s="13" t="s">
        <v>9224</v>
      </c>
      <c r="AK2043" s="13" t="s">
        <v>90</v>
      </c>
      <c r="AL2043" s="13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/>
      <c r="BC2043" s="13"/>
      <c r="BD2043" s="13"/>
      <c r="BE2043" s="13"/>
      <c r="BF2043" s="13"/>
      <c r="BG2043" s="13"/>
      <c r="BH2043" s="12"/>
      <c r="BI2043" s="12"/>
      <c r="BJ2043" s="12"/>
      <c r="BK2043" s="12"/>
      <c r="BL2043" s="12"/>
      <c r="BM2043" s="12"/>
      <c r="BN2043" s="12"/>
      <c r="BO2043" s="12"/>
      <c r="BP2043" s="12"/>
      <c r="BQ2043" s="12"/>
      <c r="BR2043" s="12"/>
      <c r="BS2043" s="12"/>
      <c r="BT2043" s="12"/>
      <c r="BU2043" s="12"/>
      <c r="BV2043" s="12"/>
      <c r="BW2043" s="12"/>
      <c r="BX2043" s="12"/>
      <c r="BY2043" s="12"/>
      <c r="BZ2043" s="12"/>
      <c r="CA2043" s="12"/>
      <c r="CB2043" s="12"/>
      <c r="CC2043" s="12"/>
      <c r="CD2043" s="12"/>
    </row>
    <row r="2044" spans="1:82">
      <c r="A2044" s="13" t="s">
        <v>697</v>
      </c>
      <c r="B2044" s="12" t="str">
        <f t="shared" si="390"/>
        <v>VANROOYEN</v>
      </c>
      <c r="C2044" s="12" t="str">
        <f t="shared" si="391"/>
        <v>VAN ROOYEN</v>
      </c>
      <c r="D2044" s="13" t="s">
        <v>5980</v>
      </c>
      <c r="E2044" s="12" t="str">
        <f t="shared" si="389"/>
        <v>Theodorus Cornelis</v>
      </c>
      <c r="F2044" s="13" t="s">
        <v>5981</v>
      </c>
      <c r="G2044" s="12" t="str">
        <f t="shared" si="392"/>
        <v>a1b8c3b1e2</v>
      </c>
      <c r="H2044" s="12" t="str">
        <f t="shared" si="393"/>
        <v>VAN ROOYENa1b8c3b1e2</v>
      </c>
      <c r="I2044" s="13"/>
      <c r="J2044" s="13"/>
      <c r="K2044" s="12" t="str">
        <f t="shared" si="394"/>
        <v/>
      </c>
      <c r="L2044" s="13"/>
      <c r="M2044" s="13" t="s">
        <v>5982</v>
      </c>
      <c r="N2044" s="12" t="str">
        <f t="shared" si="387"/>
        <v/>
      </c>
      <c r="O2044" s="12" t="str">
        <f t="shared" si="388"/>
        <v>1808</v>
      </c>
      <c r="P2044" s="13"/>
      <c r="Q2044" s="12" t="str">
        <f t="shared" si="395"/>
        <v>1808</v>
      </c>
      <c r="R2044" s="13" t="s">
        <v>14097</v>
      </c>
      <c r="S2044" s="12" t="str">
        <f t="shared" si="396"/>
        <v>1877</v>
      </c>
      <c r="T2044" s="13"/>
      <c r="U2044" s="13"/>
      <c r="V2044" s="12" t="str">
        <f t="shared" si="397"/>
        <v/>
      </c>
      <c r="W2044" s="13" t="s">
        <v>9408</v>
      </c>
      <c r="X2044" s="13" t="s">
        <v>655</v>
      </c>
      <c r="Y2044" s="13"/>
      <c r="Z2044" s="13"/>
      <c r="AA2044" s="13"/>
      <c r="AB2044" s="13"/>
      <c r="AC2044" s="13"/>
      <c r="AD2044" s="13"/>
      <c r="AE2044" s="13"/>
      <c r="AF2044" s="13" t="s">
        <v>3677</v>
      </c>
      <c r="AG2044" s="13" t="s">
        <v>53</v>
      </c>
      <c r="AH2044" s="13" t="s">
        <v>13525</v>
      </c>
      <c r="AI2044" s="12" t="str">
        <f t="shared" si="398"/>
        <v>1838</v>
      </c>
      <c r="AJ2044" s="13" t="s">
        <v>9224</v>
      </c>
      <c r="AK2044" s="13" t="s">
        <v>90</v>
      </c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2"/>
      <c r="BI2044" s="12"/>
      <c r="BJ2044" s="12"/>
      <c r="BK2044" s="12"/>
      <c r="BL2044" s="12"/>
      <c r="BM2044" s="12"/>
      <c r="BN2044" s="12"/>
      <c r="BO2044" s="12"/>
      <c r="BP2044" s="12"/>
      <c r="BQ2044" s="12"/>
      <c r="BR2044" s="12"/>
      <c r="BS2044" s="12"/>
      <c r="BT2044" s="12"/>
      <c r="BU2044" s="12"/>
      <c r="BV2044" s="12"/>
      <c r="BW2044" s="12"/>
      <c r="BX2044" s="12"/>
      <c r="BY2044" s="12"/>
      <c r="BZ2044" s="12"/>
      <c r="CA2044" s="12"/>
      <c r="CB2044" s="12"/>
      <c r="CC2044" s="12"/>
      <c r="CD2044" s="12"/>
    </row>
    <row r="2045" spans="1:82">
      <c r="A2045" s="13" t="s">
        <v>697</v>
      </c>
      <c r="B2045" s="12" t="str">
        <f t="shared" si="390"/>
        <v>VANROOYEN</v>
      </c>
      <c r="C2045" s="12" t="str">
        <f t="shared" si="391"/>
        <v>VAN ROOYEN</v>
      </c>
      <c r="D2045" s="13" t="s">
        <v>5944</v>
      </c>
      <c r="E2045" s="12" t="str">
        <f t="shared" si="389"/>
        <v>Gerrit Thomas</v>
      </c>
      <c r="F2045" s="13" t="s">
        <v>5947</v>
      </c>
      <c r="G2045" s="12" t="str">
        <f t="shared" si="392"/>
        <v>a1b8c3d1</v>
      </c>
      <c r="H2045" s="12" t="str">
        <f t="shared" si="393"/>
        <v>VAN ROOYENa1b8c3d1</v>
      </c>
      <c r="I2045" s="13"/>
      <c r="J2045" s="13" t="s">
        <v>5948</v>
      </c>
      <c r="K2045" s="12" t="str">
        <f t="shared" si="394"/>
        <v>1782</v>
      </c>
      <c r="L2045" s="13"/>
      <c r="M2045" s="13" t="s">
        <v>5948</v>
      </c>
      <c r="N2045" s="12" t="str">
        <f t="shared" si="387"/>
        <v>1782</v>
      </c>
      <c r="O2045" s="12" t="str">
        <f t="shared" si="388"/>
        <v>1782</v>
      </c>
      <c r="P2045" s="13"/>
      <c r="Q2045" s="12" t="str">
        <f t="shared" si="395"/>
        <v>1782</v>
      </c>
      <c r="R2045" s="13"/>
      <c r="S2045" s="12" t="str">
        <f t="shared" si="396"/>
        <v/>
      </c>
      <c r="T2045" s="13"/>
      <c r="U2045" s="13" t="s">
        <v>1635</v>
      </c>
      <c r="V2045" s="12" t="str">
        <f t="shared" si="397"/>
        <v>1804</v>
      </c>
      <c r="W2045" s="13" t="s">
        <v>2421</v>
      </c>
      <c r="X2045" s="13" t="s">
        <v>786</v>
      </c>
      <c r="Y2045" s="13" t="s">
        <v>14913</v>
      </c>
      <c r="Z2045" s="13"/>
      <c r="AA2045" s="13"/>
      <c r="AB2045" s="13"/>
      <c r="AC2045" s="13" t="s">
        <v>12357</v>
      </c>
      <c r="AD2045" s="13"/>
      <c r="AE2045" s="13"/>
      <c r="AF2045" s="13" t="s">
        <v>3677</v>
      </c>
      <c r="AG2045" s="13" t="s">
        <v>53</v>
      </c>
      <c r="AH2045" s="13" t="s">
        <v>13525</v>
      </c>
      <c r="AI2045" s="12" t="str">
        <f t="shared" si="398"/>
        <v>1838</v>
      </c>
      <c r="AJ2045" s="13" t="s">
        <v>9224</v>
      </c>
      <c r="AK2045" s="13" t="s">
        <v>90</v>
      </c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2"/>
      <c r="BI2045" s="12"/>
      <c r="BJ2045" s="12"/>
      <c r="BK2045" s="12"/>
      <c r="BL2045" s="12"/>
      <c r="BM2045" s="12"/>
      <c r="BN2045" s="12"/>
      <c r="BO2045" s="12"/>
      <c r="BP2045" s="12"/>
      <c r="BQ2045" s="12"/>
      <c r="BR2045" s="12"/>
      <c r="BS2045" s="12"/>
      <c r="BT2045" s="12"/>
      <c r="BU2045" s="12"/>
      <c r="BV2045" s="12"/>
      <c r="BW2045" s="12"/>
      <c r="BX2045" s="12"/>
      <c r="BY2045" s="12"/>
      <c r="BZ2045" s="12"/>
      <c r="CA2045" s="12"/>
      <c r="CB2045" s="12"/>
      <c r="CC2045" s="12"/>
      <c r="CD2045" s="12"/>
    </row>
    <row r="2046" spans="1:82">
      <c r="A2046" s="13" t="s">
        <v>697</v>
      </c>
      <c r="B2046" s="12" t="str">
        <f t="shared" si="390"/>
        <v>VANROOYEN</v>
      </c>
      <c r="C2046" s="12" t="str">
        <f t="shared" si="391"/>
        <v>VAN ROOYEN</v>
      </c>
      <c r="D2046" s="13" t="s">
        <v>5944</v>
      </c>
      <c r="E2046" s="12" t="str">
        <f t="shared" si="389"/>
        <v>Gerrit Thomas</v>
      </c>
      <c r="F2046" s="13" t="s">
        <v>5945</v>
      </c>
      <c r="G2046" s="12" t="str">
        <f t="shared" si="392"/>
        <v>a1b8c3d1e3</v>
      </c>
      <c r="H2046" s="12" t="str">
        <f t="shared" si="393"/>
        <v>VAN ROOYENa1b8c3d1e3</v>
      </c>
      <c r="I2046" s="13"/>
      <c r="J2046" s="13" t="s">
        <v>5946</v>
      </c>
      <c r="K2046" s="12" t="str">
        <f t="shared" si="394"/>
        <v>1809</v>
      </c>
      <c r="L2046" s="13" t="s">
        <v>32</v>
      </c>
      <c r="M2046" s="13" t="s">
        <v>5804</v>
      </c>
      <c r="N2046" s="12" t="str">
        <f t="shared" si="387"/>
        <v>1809</v>
      </c>
      <c r="O2046" s="12" t="str">
        <f t="shared" si="388"/>
        <v>1810</v>
      </c>
      <c r="P2046" s="13"/>
      <c r="Q2046" s="12" t="str">
        <f t="shared" si="395"/>
        <v>1809</v>
      </c>
      <c r="R2046" s="13"/>
      <c r="S2046" s="12" t="str">
        <f t="shared" si="396"/>
        <v/>
      </c>
      <c r="T2046" s="13" t="s">
        <v>53</v>
      </c>
      <c r="U2046" s="13" t="s">
        <v>1424</v>
      </c>
      <c r="V2046" s="12" t="str">
        <f t="shared" si="397"/>
        <v>1834</v>
      </c>
      <c r="W2046" s="13" t="s">
        <v>3389</v>
      </c>
      <c r="X2046" s="13" t="s">
        <v>697</v>
      </c>
      <c r="Y2046" s="13"/>
      <c r="Z2046" s="13"/>
      <c r="AA2046" s="13"/>
      <c r="AB2046" s="13"/>
      <c r="AC2046" s="13"/>
      <c r="AD2046" s="13"/>
      <c r="AE2046" s="13"/>
      <c r="AF2046" s="13" t="s">
        <v>3677</v>
      </c>
      <c r="AG2046" s="13" t="s">
        <v>53</v>
      </c>
      <c r="AH2046" s="13" t="s">
        <v>13525</v>
      </c>
      <c r="AI2046" s="12" t="str">
        <f t="shared" si="398"/>
        <v>1838</v>
      </c>
      <c r="AJ2046" s="13" t="s">
        <v>9224</v>
      </c>
      <c r="AK2046" s="13" t="s">
        <v>90</v>
      </c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2"/>
      <c r="BI2046" s="12"/>
      <c r="BJ2046" s="12"/>
      <c r="BK2046" s="12"/>
      <c r="BL2046" s="12"/>
      <c r="BM2046" s="12"/>
      <c r="BN2046" s="12"/>
      <c r="BO2046" s="12"/>
      <c r="BP2046" s="12"/>
      <c r="BQ2046" s="12"/>
      <c r="BR2046" s="12"/>
      <c r="BS2046" s="12"/>
      <c r="BT2046" s="12"/>
      <c r="BU2046" s="12"/>
      <c r="BV2046" s="12"/>
      <c r="BW2046" s="12"/>
      <c r="BX2046" s="12"/>
      <c r="BY2046" s="12"/>
      <c r="BZ2046" s="12"/>
      <c r="CA2046" s="12"/>
      <c r="CB2046" s="12"/>
      <c r="CC2046" s="12"/>
      <c r="CD2046" s="12"/>
    </row>
    <row r="2047" spans="1:82">
      <c r="A2047" s="13" t="s">
        <v>697</v>
      </c>
      <c r="B2047" s="12" t="str">
        <f t="shared" si="390"/>
        <v>VANROOYEN</v>
      </c>
      <c r="C2047" s="12" t="str">
        <f t="shared" si="391"/>
        <v>VAN ROOYEN</v>
      </c>
      <c r="D2047" s="13" t="s">
        <v>5966</v>
      </c>
      <c r="E2047" s="12" t="str">
        <f t="shared" si="389"/>
        <v>Petrus Hendrik</v>
      </c>
      <c r="F2047" s="13" t="s">
        <v>5970</v>
      </c>
      <c r="G2047" s="12" t="str">
        <f t="shared" si="392"/>
        <v>a1b8c3d1e4</v>
      </c>
      <c r="H2047" s="12" t="str">
        <f t="shared" si="393"/>
        <v>VAN ROOYENa1b8c3d1e4</v>
      </c>
      <c r="I2047" s="13"/>
      <c r="J2047" s="13" t="s">
        <v>5971</v>
      </c>
      <c r="K2047" s="12" t="str">
        <f t="shared" si="394"/>
        <v>1811</v>
      </c>
      <c r="L2047" s="13" t="s">
        <v>32</v>
      </c>
      <c r="M2047" s="13" t="s">
        <v>4398</v>
      </c>
      <c r="N2047" s="12" t="str">
        <f t="shared" si="387"/>
        <v>1811</v>
      </c>
      <c r="O2047" s="12" t="str">
        <f t="shared" si="388"/>
        <v>1811</v>
      </c>
      <c r="P2047" s="13" t="s">
        <v>90</v>
      </c>
      <c r="Q2047" s="12" t="str">
        <f t="shared" si="395"/>
        <v>1811</v>
      </c>
      <c r="R2047" s="13" t="s">
        <v>14930</v>
      </c>
      <c r="S2047" s="12" t="str">
        <f t="shared" si="396"/>
        <v>1873</v>
      </c>
      <c r="T2047" s="13"/>
      <c r="U2047" s="13" t="s">
        <v>14931</v>
      </c>
      <c r="V2047" s="12" t="str">
        <f t="shared" si="397"/>
        <v>1838</v>
      </c>
      <c r="W2047" s="13" t="s">
        <v>14932</v>
      </c>
      <c r="X2047" s="13" t="s">
        <v>1957</v>
      </c>
      <c r="Y2047" s="13" t="s">
        <v>3992</v>
      </c>
      <c r="Z2047" s="13"/>
      <c r="AA2047" s="13" t="s">
        <v>14933</v>
      </c>
      <c r="AB2047" s="13"/>
      <c r="AC2047" s="13"/>
      <c r="AD2047" s="13" t="s">
        <v>90</v>
      </c>
      <c r="AE2047" s="13" t="s">
        <v>14934</v>
      </c>
      <c r="AF2047" s="13" t="s">
        <v>3677</v>
      </c>
      <c r="AG2047" s="13" t="s">
        <v>53</v>
      </c>
      <c r="AH2047" s="13" t="s">
        <v>13525</v>
      </c>
      <c r="AI2047" s="12" t="str">
        <f t="shared" si="398"/>
        <v>1838</v>
      </c>
      <c r="AJ2047" s="13" t="s">
        <v>9224</v>
      </c>
      <c r="AK2047" s="13" t="s">
        <v>1872</v>
      </c>
      <c r="AL2047" s="13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2"/>
      <c r="BI2047" s="12"/>
      <c r="BJ2047" s="12"/>
      <c r="BK2047" s="12"/>
      <c r="BL2047" s="12"/>
      <c r="BM2047" s="12"/>
      <c r="BN2047" s="12"/>
      <c r="BO2047" s="12"/>
      <c r="BP2047" s="12"/>
      <c r="BQ2047" s="12"/>
      <c r="BR2047" s="12"/>
      <c r="BS2047" s="12"/>
      <c r="BT2047" s="12"/>
      <c r="BU2047" s="12"/>
      <c r="BV2047" s="12"/>
      <c r="BW2047" s="12"/>
      <c r="BX2047" s="12"/>
      <c r="BY2047" s="12"/>
      <c r="BZ2047" s="12"/>
      <c r="CA2047" s="12"/>
      <c r="CB2047" s="12"/>
      <c r="CC2047" s="12"/>
      <c r="CD2047" s="12"/>
    </row>
    <row r="2048" spans="1:82">
      <c r="A2048" s="13" t="s">
        <v>697</v>
      </c>
      <c r="B2048" s="12" t="str">
        <f t="shared" si="390"/>
        <v>VANROOYEN</v>
      </c>
      <c r="C2048" s="12" t="str">
        <f t="shared" si="391"/>
        <v>VAN ROOYEN</v>
      </c>
      <c r="D2048" s="13" t="s">
        <v>5972</v>
      </c>
      <c r="E2048" s="12" t="str">
        <f t="shared" si="389"/>
        <v>Roelof Johannes Jurgen</v>
      </c>
      <c r="F2048" s="13" t="s">
        <v>5973</v>
      </c>
      <c r="G2048" s="12" t="str">
        <f t="shared" si="392"/>
        <v>a1b8c3d1e5</v>
      </c>
      <c r="H2048" s="12" t="str">
        <f t="shared" si="393"/>
        <v>VAN ROOYENa1b8c3d1e5</v>
      </c>
      <c r="I2048" s="13"/>
      <c r="J2048" s="13"/>
      <c r="K2048" s="12" t="str">
        <f t="shared" si="394"/>
        <v/>
      </c>
      <c r="L2048" s="13" t="s">
        <v>199</v>
      </c>
      <c r="M2048" s="13" t="s">
        <v>5875</v>
      </c>
      <c r="N2048" s="12" t="str">
        <f t="shared" si="387"/>
        <v/>
      </c>
      <c r="O2048" s="12" t="str">
        <f t="shared" si="388"/>
        <v>1813</v>
      </c>
      <c r="P2048" s="13"/>
      <c r="Q2048" s="12" t="str">
        <f t="shared" si="395"/>
        <v>1813</v>
      </c>
      <c r="R2048" s="13"/>
      <c r="S2048" s="12" t="str">
        <f t="shared" si="396"/>
        <v/>
      </c>
      <c r="T2048" s="13"/>
      <c r="U2048" s="13"/>
      <c r="V2048" s="12" t="str">
        <f t="shared" si="397"/>
        <v/>
      </c>
      <c r="W2048" s="13" t="s">
        <v>14935</v>
      </c>
      <c r="X2048" s="13" t="s">
        <v>1003</v>
      </c>
      <c r="Y2048" s="13"/>
      <c r="Z2048" s="13"/>
      <c r="AA2048" s="13"/>
      <c r="AB2048" s="13"/>
      <c r="AC2048" s="13"/>
      <c r="AD2048" s="13"/>
      <c r="AE2048" s="13"/>
      <c r="AF2048" s="13" t="s">
        <v>3677</v>
      </c>
      <c r="AG2048" s="13" t="s">
        <v>53</v>
      </c>
      <c r="AH2048" s="13" t="s">
        <v>13525</v>
      </c>
      <c r="AI2048" s="12" t="str">
        <f t="shared" si="398"/>
        <v>1838</v>
      </c>
      <c r="AJ2048" s="13" t="s">
        <v>9224</v>
      </c>
      <c r="AK2048" s="13" t="s">
        <v>190</v>
      </c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  <c r="BD2048" s="13"/>
      <c r="BE2048" s="13"/>
      <c r="BF2048" s="13"/>
      <c r="BG2048" s="13"/>
      <c r="BH2048" s="12"/>
      <c r="BI2048" s="12"/>
      <c r="BJ2048" s="12"/>
      <c r="BK2048" s="12"/>
      <c r="BL2048" s="12"/>
      <c r="BM2048" s="12"/>
      <c r="BN2048" s="12"/>
      <c r="BO2048" s="12"/>
      <c r="BP2048" s="12"/>
      <c r="BQ2048" s="12"/>
      <c r="BR2048" s="12"/>
      <c r="BS2048" s="12"/>
      <c r="BT2048" s="12"/>
      <c r="BU2048" s="12"/>
      <c r="BV2048" s="12"/>
      <c r="BW2048" s="12"/>
      <c r="BX2048" s="12"/>
      <c r="BY2048" s="12"/>
      <c r="BZ2048" s="12"/>
      <c r="CA2048" s="12"/>
      <c r="CB2048" s="12"/>
      <c r="CC2048" s="12"/>
      <c r="CD2048" s="12"/>
    </row>
    <row r="2049" spans="1:82">
      <c r="A2049" s="13" t="s">
        <v>697</v>
      </c>
      <c r="B2049" s="12" t="str">
        <f t="shared" si="390"/>
        <v>VANROOYEN</v>
      </c>
      <c r="C2049" s="12" t="str">
        <f t="shared" si="391"/>
        <v>VAN ROOYEN</v>
      </c>
      <c r="D2049" s="13" t="s">
        <v>5952</v>
      </c>
      <c r="E2049" s="12" t="str">
        <f t="shared" si="389"/>
        <v>Ignatius Marthinus</v>
      </c>
      <c r="F2049" s="13" t="s">
        <v>5953</v>
      </c>
      <c r="G2049" s="12" t="str">
        <f t="shared" si="392"/>
        <v>a1b8c3d1e7</v>
      </c>
      <c r="H2049" s="12" t="str">
        <f t="shared" si="393"/>
        <v>VAN ROOYENa1b8c3d1e7</v>
      </c>
      <c r="I2049" s="13"/>
      <c r="J2049" s="13" t="s">
        <v>5954</v>
      </c>
      <c r="K2049" s="12" t="str">
        <f t="shared" si="394"/>
        <v>1817</v>
      </c>
      <c r="L2049" s="13" t="s">
        <v>53</v>
      </c>
      <c r="M2049" s="13" t="s">
        <v>5955</v>
      </c>
      <c r="N2049" s="12" t="str">
        <f t="shared" si="387"/>
        <v>1817</v>
      </c>
      <c r="O2049" s="12" t="str">
        <f t="shared" si="388"/>
        <v>1817</v>
      </c>
      <c r="P2049" s="12"/>
      <c r="Q2049" s="12" t="str">
        <f t="shared" si="395"/>
        <v>1817</v>
      </c>
      <c r="R2049" s="12"/>
      <c r="S2049" s="12" t="str">
        <f t="shared" si="396"/>
        <v/>
      </c>
      <c r="T2049" s="13" t="s">
        <v>168</v>
      </c>
      <c r="U2049" s="13" t="s">
        <v>14916</v>
      </c>
      <c r="V2049" s="12" t="str">
        <f t="shared" si="397"/>
        <v>1845</v>
      </c>
      <c r="W2049" s="13" t="s">
        <v>1891</v>
      </c>
      <c r="X2049" s="13" t="s">
        <v>669</v>
      </c>
      <c r="Y2049" s="13" t="s">
        <v>14917</v>
      </c>
      <c r="Z2049" s="13"/>
      <c r="AA2049" s="13">
        <v>1827</v>
      </c>
      <c r="AB2049" s="13"/>
      <c r="AC2049" s="13"/>
      <c r="AD2049" s="13"/>
      <c r="AE2049" s="13"/>
      <c r="AF2049" s="13" t="s">
        <v>3677</v>
      </c>
      <c r="AG2049" s="13" t="s">
        <v>53</v>
      </c>
      <c r="AH2049" s="13" t="s">
        <v>13525</v>
      </c>
      <c r="AI2049" s="12" t="str">
        <f t="shared" si="398"/>
        <v>1838</v>
      </c>
      <c r="AJ2049" s="13" t="s">
        <v>9224</v>
      </c>
      <c r="AK2049" s="13" t="s">
        <v>90</v>
      </c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2"/>
      <c r="BI2049" s="12"/>
      <c r="BJ2049" s="12"/>
      <c r="BK2049" s="12"/>
      <c r="BL2049" s="12"/>
      <c r="BM2049" s="12"/>
      <c r="BN2049" s="12"/>
      <c r="BO2049" s="12"/>
      <c r="BP2049" s="12"/>
      <c r="BQ2049" s="12"/>
      <c r="BR2049" s="12"/>
      <c r="BS2049" s="12"/>
      <c r="BT2049" s="12"/>
      <c r="BU2049" s="12"/>
      <c r="BV2049" s="12"/>
      <c r="BW2049" s="12"/>
      <c r="BX2049" s="12"/>
      <c r="BY2049" s="12"/>
      <c r="BZ2049" s="12"/>
      <c r="CA2049" s="12"/>
      <c r="CB2049" s="12"/>
      <c r="CC2049" s="12"/>
      <c r="CD2049" s="12"/>
    </row>
    <row r="2050" spans="1:82">
      <c r="A2050" s="13" t="s">
        <v>697</v>
      </c>
      <c r="B2050" s="12" t="str">
        <f t="shared" si="390"/>
        <v>VANROOYEN</v>
      </c>
      <c r="C2050" s="12" t="str">
        <f t="shared" si="391"/>
        <v>VAN ROOYEN</v>
      </c>
      <c r="D2050" s="13" t="s">
        <v>5931</v>
      </c>
      <c r="E2050" s="12" t="str">
        <f t="shared" si="389"/>
        <v>Elemans Joachim</v>
      </c>
      <c r="F2050" s="13" t="s">
        <v>5932</v>
      </c>
      <c r="G2050" s="12" t="str">
        <f t="shared" si="392"/>
        <v>a1b8c3d1e9</v>
      </c>
      <c r="H2050" s="12" t="str">
        <f t="shared" si="393"/>
        <v>VAN ROOYENa1b8c3d1e9</v>
      </c>
      <c r="I2050" s="13"/>
      <c r="J2050" s="13" t="s">
        <v>5933</v>
      </c>
      <c r="K2050" s="12" t="str">
        <f t="shared" si="394"/>
        <v>1821</v>
      </c>
      <c r="L2050" s="13" t="s">
        <v>53</v>
      </c>
      <c r="M2050" s="13" t="s">
        <v>5934</v>
      </c>
      <c r="N2050" s="12" t="str">
        <f t="shared" ref="N2050:N2113" si="399">RIGHT(J2050,4)</f>
        <v>1821</v>
      </c>
      <c r="O2050" s="12" t="str">
        <f t="shared" ref="O2050:O2113" si="400">RIGHT(M2050,4)</f>
        <v>1821</v>
      </c>
      <c r="P2050" s="13" t="s">
        <v>90</v>
      </c>
      <c r="Q2050" s="12" t="str">
        <f t="shared" si="395"/>
        <v>1821</v>
      </c>
      <c r="R2050" s="13" t="s">
        <v>14900</v>
      </c>
      <c r="S2050" s="12" t="str">
        <f t="shared" si="396"/>
        <v>1890</v>
      </c>
      <c r="T2050" s="13" t="s">
        <v>168</v>
      </c>
      <c r="U2050" s="13" t="s">
        <v>14901</v>
      </c>
      <c r="V2050" s="12" t="str">
        <f t="shared" si="397"/>
        <v>1847</v>
      </c>
      <c r="W2050" s="13" t="s">
        <v>4715</v>
      </c>
      <c r="X2050" s="13" t="s">
        <v>697</v>
      </c>
      <c r="Y2050" s="13" t="s">
        <v>14902</v>
      </c>
      <c r="Z2050" s="13"/>
      <c r="AA2050" s="13" t="s">
        <v>14903</v>
      </c>
      <c r="AB2050" s="13"/>
      <c r="AC2050" s="13"/>
      <c r="AD2050" s="13" t="s">
        <v>2355</v>
      </c>
      <c r="AE2050" s="13" t="s">
        <v>14904</v>
      </c>
      <c r="AF2050" s="13" t="s">
        <v>3677</v>
      </c>
      <c r="AG2050" s="13" t="s">
        <v>53</v>
      </c>
      <c r="AH2050" s="13" t="s">
        <v>13525</v>
      </c>
      <c r="AI2050" s="12" t="str">
        <f t="shared" si="398"/>
        <v>1838</v>
      </c>
      <c r="AJ2050" s="13" t="s">
        <v>9224</v>
      </c>
      <c r="AK2050" s="13" t="s">
        <v>2355</v>
      </c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2"/>
      <c r="BI2050" s="12"/>
      <c r="BJ2050" s="12"/>
      <c r="BK2050" s="12"/>
      <c r="BL2050" s="12"/>
      <c r="BM2050" s="12"/>
      <c r="BN2050" s="12"/>
      <c r="BO2050" s="12"/>
      <c r="BP2050" s="12"/>
      <c r="BQ2050" s="12"/>
      <c r="BR2050" s="12"/>
      <c r="BS2050" s="12"/>
      <c r="BT2050" s="12"/>
      <c r="BU2050" s="12"/>
      <c r="BV2050" s="12"/>
      <c r="BW2050" s="12"/>
      <c r="BX2050" s="12"/>
      <c r="BY2050" s="12"/>
      <c r="BZ2050" s="12"/>
      <c r="CA2050" s="12"/>
      <c r="CB2050" s="12"/>
      <c r="CC2050" s="12"/>
      <c r="CD2050" s="12"/>
    </row>
    <row r="2051" spans="1:82">
      <c r="A2051" s="13" t="s">
        <v>697</v>
      </c>
      <c r="B2051" s="12" t="str">
        <f t="shared" si="390"/>
        <v>VANROOYEN</v>
      </c>
      <c r="C2051" s="12" t="str">
        <f t="shared" si="391"/>
        <v>VAN ROOYEN</v>
      </c>
      <c r="D2051" s="13" t="s">
        <v>5941</v>
      </c>
      <c r="E2051" s="12" t="str">
        <f t="shared" ref="E2051:E2114" si="401">PROPER(D2051)</f>
        <v>Gerrit Reynier</v>
      </c>
      <c r="F2051" s="13" t="s">
        <v>5942</v>
      </c>
      <c r="G2051" s="12" t="str">
        <f t="shared" si="392"/>
        <v>a1b8c6d1</v>
      </c>
      <c r="H2051" s="12" t="str">
        <f t="shared" si="393"/>
        <v>VAN ROOYENa1b8c6d1</v>
      </c>
      <c r="I2051" s="13"/>
      <c r="J2051" s="13"/>
      <c r="K2051" s="12" t="str">
        <f t="shared" si="394"/>
        <v/>
      </c>
      <c r="L2051" s="13"/>
      <c r="M2051" s="13" t="s">
        <v>5943</v>
      </c>
      <c r="N2051" s="12" t="str">
        <f t="shared" si="399"/>
        <v/>
      </c>
      <c r="O2051" s="12" t="str">
        <f t="shared" si="400"/>
        <v>1788</v>
      </c>
      <c r="P2051" s="13"/>
      <c r="Q2051" s="12" t="str">
        <f t="shared" si="395"/>
        <v>1788</v>
      </c>
      <c r="R2051" s="13"/>
      <c r="S2051" s="12" t="str">
        <f t="shared" si="396"/>
        <v/>
      </c>
      <c r="T2051" s="13" t="s">
        <v>6098</v>
      </c>
      <c r="U2051" s="13" t="s">
        <v>5087</v>
      </c>
      <c r="V2051" s="12" t="str">
        <f t="shared" si="397"/>
        <v>1807</v>
      </c>
      <c r="W2051" s="13" t="s">
        <v>14911</v>
      </c>
      <c r="X2051" s="13" t="s">
        <v>1555</v>
      </c>
      <c r="Y2051" s="13" t="s">
        <v>4348</v>
      </c>
      <c r="Z2051" s="13"/>
      <c r="AA2051" s="13"/>
      <c r="AB2051" s="13"/>
      <c r="AC2051" s="13" t="s">
        <v>14912</v>
      </c>
      <c r="AD2051" s="13"/>
      <c r="AE2051" s="13"/>
      <c r="AF2051" s="13" t="s">
        <v>3677</v>
      </c>
      <c r="AG2051" s="13" t="s">
        <v>53</v>
      </c>
      <c r="AH2051" s="13" t="s">
        <v>1734</v>
      </c>
      <c r="AI2051" s="12" t="str">
        <f t="shared" si="398"/>
        <v>1838</v>
      </c>
      <c r="AJ2051" s="13" t="s">
        <v>9224</v>
      </c>
      <c r="AK2051" s="13" t="s">
        <v>90</v>
      </c>
      <c r="AL2051" s="13" t="s">
        <v>53</v>
      </c>
      <c r="AM2051" s="13" t="s">
        <v>1732</v>
      </c>
      <c r="AN2051" s="13" t="s">
        <v>7450</v>
      </c>
      <c r="AO2051" s="13" t="s">
        <v>1555</v>
      </c>
      <c r="AP2051" s="13" t="s">
        <v>4127</v>
      </c>
      <c r="AQ2051" s="13" t="s">
        <v>6971</v>
      </c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2"/>
      <c r="BI2051" s="12"/>
      <c r="BJ2051" s="12"/>
      <c r="BK2051" s="12"/>
      <c r="BL2051" s="12"/>
      <c r="BM2051" s="12"/>
      <c r="BN2051" s="12"/>
      <c r="BO2051" s="12"/>
      <c r="BP2051" s="12"/>
      <c r="BQ2051" s="12"/>
      <c r="BR2051" s="12"/>
      <c r="BS2051" s="12"/>
      <c r="BT2051" s="12"/>
      <c r="BU2051" s="12"/>
      <c r="BV2051" s="12"/>
      <c r="BW2051" s="12"/>
      <c r="BX2051" s="12"/>
      <c r="BY2051" s="12"/>
      <c r="BZ2051" s="12"/>
      <c r="CA2051" s="12"/>
      <c r="CB2051" s="12"/>
      <c r="CC2051" s="12"/>
      <c r="CD2051" s="12"/>
    </row>
    <row r="2052" spans="1:82">
      <c r="A2052" s="13" t="s">
        <v>697</v>
      </c>
      <c r="B2052" s="12" t="str">
        <f t="shared" si="390"/>
        <v>VANROOYEN</v>
      </c>
      <c r="C2052" s="12" t="str">
        <f t="shared" si="391"/>
        <v>VAN ROOYEN</v>
      </c>
      <c r="D2052" s="13" t="s">
        <v>5974</v>
      </c>
      <c r="E2052" s="12" t="str">
        <f t="shared" si="401"/>
        <v>Roelof Theunis Johannes</v>
      </c>
      <c r="F2052" s="13" t="s">
        <v>5975</v>
      </c>
      <c r="G2052" s="12" t="str">
        <f t="shared" si="392"/>
        <v>a1b8c6d12</v>
      </c>
      <c r="H2052" s="12" t="str">
        <f t="shared" si="393"/>
        <v>VAN ROOYENa1b8c6d12</v>
      </c>
      <c r="I2052" s="13" t="s">
        <v>199</v>
      </c>
      <c r="J2052" s="13"/>
      <c r="K2052" s="12" t="str">
        <f t="shared" si="394"/>
        <v/>
      </c>
      <c r="L2052" s="13"/>
      <c r="M2052" s="13" t="s">
        <v>5976</v>
      </c>
      <c r="N2052" s="12" t="str">
        <f t="shared" si="399"/>
        <v/>
      </c>
      <c r="O2052" s="12" t="str">
        <f t="shared" si="400"/>
        <v>1809</v>
      </c>
      <c r="P2052" s="13" t="s">
        <v>2355</v>
      </c>
      <c r="Q2052" s="12" t="str">
        <f t="shared" si="395"/>
        <v>1809</v>
      </c>
      <c r="R2052" s="13" t="s">
        <v>14936</v>
      </c>
      <c r="S2052" s="12" t="str">
        <f t="shared" si="396"/>
        <v>1877</v>
      </c>
      <c r="T2052" s="13" t="s">
        <v>53</v>
      </c>
      <c r="U2052" s="13" t="s">
        <v>14937</v>
      </c>
      <c r="V2052" s="12" t="str">
        <f t="shared" si="397"/>
        <v>1829</v>
      </c>
      <c r="W2052" s="13" t="s">
        <v>9757</v>
      </c>
      <c r="X2052" s="13" t="s">
        <v>726</v>
      </c>
      <c r="Y2052" s="13"/>
      <c r="Z2052" s="13"/>
      <c r="AA2052" s="13"/>
      <c r="AB2052" s="13"/>
      <c r="AC2052" s="13"/>
      <c r="AD2052" s="13"/>
      <c r="AE2052" s="13"/>
      <c r="AF2052" s="13" t="s">
        <v>3677</v>
      </c>
      <c r="AG2052" s="13" t="s">
        <v>53</v>
      </c>
      <c r="AH2052" s="13" t="s">
        <v>14938</v>
      </c>
      <c r="AI2052" s="12" t="str">
        <f t="shared" si="398"/>
        <v>1840</v>
      </c>
      <c r="AJ2052" s="13"/>
      <c r="AK2052" s="13" t="s">
        <v>2355</v>
      </c>
      <c r="AL2052" s="13" t="s">
        <v>53</v>
      </c>
      <c r="AM2052" s="13" t="s">
        <v>14939</v>
      </c>
      <c r="AN2052" s="13" t="s">
        <v>1757</v>
      </c>
      <c r="AO2052" s="13" t="s">
        <v>697</v>
      </c>
      <c r="AP2052" s="13" t="s">
        <v>14940</v>
      </c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2"/>
      <c r="BI2052" s="12"/>
      <c r="BJ2052" s="12"/>
      <c r="BK2052" s="12"/>
      <c r="BL2052" s="12"/>
      <c r="BM2052" s="12"/>
      <c r="BN2052" s="12"/>
      <c r="BO2052" s="12"/>
      <c r="BP2052" s="12"/>
      <c r="BQ2052" s="12"/>
      <c r="BR2052" s="12"/>
      <c r="BS2052" s="12"/>
      <c r="BT2052" s="12"/>
      <c r="BU2052" s="12"/>
      <c r="BV2052" s="12"/>
      <c r="BW2052" s="12"/>
      <c r="BX2052" s="12"/>
      <c r="BY2052" s="12"/>
      <c r="BZ2052" s="12"/>
      <c r="CA2052" s="12"/>
      <c r="CB2052" s="12"/>
      <c r="CC2052" s="12"/>
      <c r="CD2052" s="12"/>
    </row>
    <row r="2053" spans="1:82">
      <c r="A2053" s="13" t="s">
        <v>697</v>
      </c>
      <c r="B2053" s="12" t="str">
        <f t="shared" si="390"/>
        <v>VANROOYEN</v>
      </c>
      <c r="C2053" s="12" t="str">
        <f t="shared" si="391"/>
        <v>VAN ROOYEN</v>
      </c>
      <c r="D2053" s="13" t="s">
        <v>5977</v>
      </c>
      <c r="E2053" s="12" t="str">
        <f t="shared" si="401"/>
        <v>Stephanus Christiaan</v>
      </c>
      <c r="F2053" s="13" t="s">
        <v>5978</v>
      </c>
      <c r="G2053" s="12" t="str">
        <f t="shared" si="392"/>
        <v>a1b8c6d1e6</v>
      </c>
      <c r="H2053" s="12" t="str">
        <f t="shared" si="393"/>
        <v>VAN ROOYENa1b8c6d1e6</v>
      </c>
      <c r="I2053" s="13"/>
      <c r="J2053" s="13" t="s">
        <v>5979</v>
      </c>
      <c r="K2053" s="12" t="str">
        <f t="shared" si="394"/>
        <v>1819</v>
      </c>
      <c r="L2053" s="13"/>
      <c r="M2053" s="13" t="s">
        <v>5979</v>
      </c>
      <c r="N2053" s="12" t="str">
        <f t="shared" si="399"/>
        <v>1819</v>
      </c>
      <c r="O2053" s="12" t="str">
        <f t="shared" si="400"/>
        <v>1819</v>
      </c>
      <c r="P2053" s="13"/>
      <c r="Q2053" s="12" t="str">
        <f t="shared" si="395"/>
        <v>1819</v>
      </c>
      <c r="R2053" s="13" t="s">
        <v>14941</v>
      </c>
      <c r="S2053" s="12" t="str">
        <f t="shared" si="396"/>
        <v>1893</v>
      </c>
      <c r="T2053" s="13"/>
      <c r="U2053" s="13" t="s">
        <v>14942</v>
      </c>
      <c r="V2053" s="12" t="str">
        <f t="shared" si="397"/>
        <v>1845</v>
      </c>
      <c r="W2053" s="13" t="s">
        <v>5372</v>
      </c>
      <c r="X2053" s="13" t="s">
        <v>1930</v>
      </c>
      <c r="Y2053" s="13"/>
      <c r="Z2053" s="12"/>
      <c r="AA2053" s="13" t="s">
        <v>14943</v>
      </c>
      <c r="AB2053" s="13" t="s">
        <v>32</v>
      </c>
      <c r="AC2053" s="13" t="s">
        <v>7091</v>
      </c>
      <c r="AD2053" s="13"/>
      <c r="AE2053" s="13" t="s">
        <v>14944</v>
      </c>
      <c r="AF2053" s="13" t="s">
        <v>3677</v>
      </c>
      <c r="AG2053" s="13" t="s">
        <v>53</v>
      </c>
      <c r="AH2053" s="13" t="s">
        <v>13525</v>
      </c>
      <c r="AI2053" s="12" t="str">
        <f t="shared" si="398"/>
        <v>1838</v>
      </c>
      <c r="AJ2053" s="13" t="s">
        <v>9224</v>
      </c>
      <c r="AK2053" s="13" t="s">
        <v>90</v>
      </c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2"/>
      <c r="BI2053" s="12"/>
      <c r="BJ2053" s="12"/>
      <c r="BK2053" s="12"/>
      <c r="BL2053" s="12"/>
      <c r="BM2053" s="12"/>
      <c r="BN2053" s="12"/>
      <c r="BO2053" s="12"/>
      <c r="BP2053" s="12"/>
      <c r="BQ2053" s="12"/>
      <c r="BR2053" s="12"/>
      <c r="BS2053" s="12"/>
      <c r="BT2053" s="12"/>
      <c r="BU2053" s="12"/>
      <c r="BV2053" s="12"/>
      <c r="BW2053" s="12"/>
      <c r="BX2053" s="12"/>
      <c r="BY2053" s="12"/>
      <c r="BZ2053" s="12"/>
      <c r="CA2053" s="12"/>
      <c r="CB2053" s="12"/>
      <c r="CC2053" s="12"/>
      <c r="CD2053" s="12"/>
    </row>
    <row r="2054" spans="1:82">
      <c r="A2054" s="13" t="s">
        <v>697</v>
      </c>
      <c r="B2054" s="12" t="str">
        <f t="shared" si="390"/>
        <v>VANROOYEN</v>
      </c>
      <c r="C2054" s="12" t="str">
        <f t="shared" si="391"/>
        <v>VAN ROOYEN</v>
      </c>
      <c r="D2054" s="13" t="s">
        <v>398</v>
      </c>
      <c r="E2054" s="12" t="str">
        <f t="shared" si="401"/>
        <v>Cornelis Johannes</v>
      </c>
      <c r="F2054" s="13" t="s">
        <v>5911</v>
      </c>
      <c r="G2054" s="12" t="str">
        <f t="shared" si="392"/>
        <v>a1b8c6d1e7</v>
      </c>
      <c r="H2054" s="12" t="str">
        <f t="shared" si="393"/>
        <v>VAN ROOYENa1b8c6d1e7</v>
      </c>
      <c r="I2054" s="13"/>
      <c r="J2054" s="13" t="s">
        <v>5912</v>
      </c>
      <c r="K2054" s="12" t="str">
        <f t="shared" si="394"/>
        <v>1821</v>
      </c>
      <c r="L2054" s="13" t="s">
        <v>53</v>
      </c>
      <c r="M2054" s="13" t="s">
        <v>5913</v>
      </c>
      <c r="N2054" s="12" t="str">
        <f t="shared" si="399"/>
        <v>1821</v>
      </c>
      <c r="O2054" s="12" t="str">
        <f t="shared" si="400"/>
        <v>1821</v>
      </c>
      <c r="P2054" s="13" t="s">
        <v>90</v>
      </c>
      <c r="Q2054" s="12" t="str">
        <f t="shared" si="395"/>
        <v>1821</v>
      </c>
      <c r="R2054" s="13" t="s">
        <v>14875</v>
      </c>
      <c r="S2054" s="12" t="str">
        <f t="shared" si="396"/>
        <v>1904</v>
      </c>
      <c r="T2054" s="13"/>
      <c r="U2054" s="13" t="s">
        <v>14876</v>
      </c>
      <c r="V2054" s="12" t="str">
        <f t="shared" si="397"/>
        <v>1846</v>
      </c>
      <c r="W2054" s="13" t="s">
        <v>2607</v>
      </c>
      <c r="X2054" s="13" t="s">
        <v>726</v>
      </c>
      <c r="Y2054" s="13" t="s">
        <v>14877</v>
      </c>
      <c r="Z2054" s="13"/>
      <c r="AA2054" s="13"/>
      <c r="AB2054" s="13"/>
      <c r="AC2054" s="13"/>
      <c r="AD2054" s="13"/>
      <c r="AE2054" s="13"/>
      <c r="AF2054" s="13" t="s">
        <v>3677</v>
      </c>
      <c r="AG2054" s="13" t="s">
        <v>53</v>
      </c>
      <c r="AH2054" s="13" t="s">
        <v>13525</v>
      </c>
      <c r="AI2054" s="12" t="str">
        <f t="shared" si="398"/>
        <v>1838</v>
      </c>
      <c r="AJ2054" s="13" t="s">
        <v>9224</v>
      </c>
      <c r="AK2054" s="13" t="s">
        <v>90</v>
      </c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2"/>
      <c r="BI2054" s="12"/>
      <c r="BJ2054" s="12"/>
      <c r="BK2054" s="12"/>
      <c r="BL2054" s="12"/>
      <c r="BM2054" s="12"/>
      <c r="BN2054" s="12"/>
      <c r="BO2054" s="12"/>
      <c r="BP2054" s="12"/>
      <c r="BQ2054" s="12"/>
      <c r="BR2054" s="12"/>
      <c r="BS2054" s="12"/>
      <c r="BT2054" s="12"/>
      <c r="BU2054" s="12"/>
      <c r="BV2054" s="12"/>
      <c r="BW2054" s="12"/>
      <c r="BX2054" s="12"/>
      <c r="BY2054" s="12"/>
      <c r="BZ2054" s="12"/>
      <c r="CA2054" s="12"/>
      <c r="CB2054" s="12"/>
      <c r="CC2054" s="12"/>
      <c r="CD2054" s="12"/>
    </row>
    <row r="2055" spans="1:82">
      <c r="A2055" s="13" t="s">
        <v>697</v>
      </c>
      <c r="B2055" s="12" t="str">
        <f t="shared" si="390"/>
        <v>VANROOYEN</v>
      </c>
      <c r="C2055" s="12" t="str">
        <f t="shared" si="391"/>
        <v>VAN ROOYEN</v>
      </c>
      <c r="D2055" s="13" t="s">
        <v>5966</v>
      </c>
      <c r="E2055" s="12" t="str">
        <f t="shared" si="401"/>
        <v>Petrus Hendrik</v>
      </c>
      <c r="F2055" s="13" t="s">
        <v>5967</v>
      </c>
      <c r="G2055" s="12" t="str">
        <f t="shared" si="392"/>
        <v>a1b8c6d1e8</v>
      </c>
      <c r="H2055" s="12" t="str">
        <f t="shared" si="393"/>
        <v>VAN ROOYENa1b8c6d1e8</v>
      </c>
      <c r="I2055" s="13"/>
      <c r="J2055" s="13" t="s">
        <v>5968</v>
      </c>
      <c r="K2055" s="12" t="str">
        <f t="shared" si="394"/>
        <v>1824</v>
      </c>
      <c r="L2055" s="13" t="s">
        <v>53</v>
      </c>
      <c r="M2055" s="13" t="s">
        <v>5969</v>
      </c>
      <c r="N2055" s="12" t="str">
        <f t="shared" si="399"/>
        <v>1824</v>
      </c>
      <c r="O2055" s="12" t="str">
        <f t="shared" si="400"/>
        <v>1825</v>
      </c>
      <c r="P2055" s="13"/>
      <c r="Q2055" s="12" t="str">
        <f t="shared" si="395"/>
        <v>1824</v>
      </c>
      <c r="R2055" s="13" t="s">
        <v>14926</v>
      </c>
      <c r="S2055" s="12" t="str">
        <f t="shared" si="396"/>
        <v>1900</v>
      </c>
      <c r="T2055" s="13"/>
      <c r="U2055" s="13">
        <v>1848</v>
      </c>
      <c r="V2055" s="12" t="str">
        <f t="shared" si="397"/>
        <v>1848</v>
      </c>
      <c r="W2055" s="13" t="s">
        <v>14927</v>
      </c>
      <c r="X2055" s="13" t="s">
        <v>698</v>
      </c>
      <c r="Y2055" s="13" t="s">
        <v>14928</v>
      </c>
      <c r="Z2055" s="13"/>
      <c r="AA2055" s="13" t="s">
        <v>14929</v>
      </c>
      <c r="AB2055" s="13"/>
      <c r="AC2055" s="13"/>
      <c r="AD2055" s="13"/>
      <c r="AE2055" s="15">
        <v>6189</v>
      </c>
      <c r="AF2055" s="13" t="s">
        <v>3677</v>
      </c>
      <c r="AG2055" s="13" t="s">
        <v>53</v>
      </c>
      <c r="AH2055" s="13" t="s">
        <v>13525</v>
      </c>
      <c r="AI2055" s="12" t="str">
        <f t="shared" si="398"/>
        <v>1838</v>
      </c>
      <c r="AJ2055" s="13" t="s">
        <v>9224</v>
      </c>
      <c r="AK2055" s="13" t="s">
        <v>90</v>
      </c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2"/>
      <c r="BI2055" s="12"/>
      <c r="BJ2055" s="12"/>
      <c r="BK2055" s="12"/>
      <c r="BL2055" s="12"/>
      <c r="BM2055" s="12"/>
      <c r="BN2055" s="12"/>
      <c r="BO2055" s="12"/>
      <c r="BP2055" s="12"/>
      <c r="BQ2055" s="12"/>
      <c r="BR2055" s="12"/>
      <c r="BS2055" s="12"/>
      <c r="BT2055" s="12"/>
      <c r="BU2055" s="12"/>
      <c r="BV2055" s="12"/>
      <c r="BW2055" s="12"/>
      <c r="BX2055" s="12"/>
      <c r="BY2055" s="12"/>
      <c r="BZ2055" s="12"/>
      <c r="CA2055" s="12"/>
      <c r="CB2055" s="12"/>
      <c r="CC2055" s="12"/>
      <c r="CD2055" s="12"/>
    </row>
    <row r="2056" spans="1:82">
      <c r="A2056" s="13" t="s">
        <v>697</v>
      </c>
      <c r="B2056" s="12" t="str">
        <f t="shared" si="390"/>
        <v>VANROOYEN</v>
      </c>
      <c r="C2056" s="12" t="str">
        <f t="shared" si="391"/>
        <v>VAN ROOYEN</v>
      </c>
      <c r="D2056" s="13" t="s">
        <v>5903</v>
      </c>
      <c r="E2056" s="12" t="str">
        <f t="shared" si="401"/>
        <v>Christiaan Stephanus</v>
      </c>
      <c r="F2056" s="13" t="s">
        <v>5907</v>
      </c>
      <c r="G2056" s="12" t="str">
        <f t="shared" si="392"/>
        <v>a1b8c6d3</v>
      </c>
      <c r="H2056" s="12" t="str">
        <f t="shared" si="393"/>
        <v>VAN ROOYENa1b8c6d3</v>
      </c>
      <c r="I2056" s="13"/>
      <c r="J2056" s="13"/>
      <c r="K2056" s="12" t="str">
        <f t="shared" si="394"/>
        <v/>
      </c>
      <c r="L2056" s="13"/>
      <c r="M2056" s="13" t="s">
        <v>5908</v>
      </c>
      <c r="N2056" s="12" t="str">
        <f t="shared" si="399"/>
        <v/>
      </c>
      <c r="O2056" s="12" t="str">
        <f t="shared" si="400"/>
        <v>1791</v>
      </c>
      <c r="P2056" s="13"/>
      <c r="Q2056" s="12" t="str">
        <f t="shared" si="395"/>
        <v>1791</v>
      </c>
      <c r="R2056" s="13"/>
      <c r="S2056" s="12" t="str">
        <f t="shared" si="396"/>
        <v/>
      </c>
      <c r="T2056" s="13" t="s">
        <v>158</v>
      </c>
      <c r="U2056" s="13" t="s">
        <v>1164</v>
      </c>
      <c r="V2056" s="12" t="str">
        <f t="shared" si="397"/>
        <v>1811</v>
      </c>
      <c r="W2056" s="13" t="s">
        <v>14868</v>
      </c>
      <c r="X2056" s="13"/>
      <c r="Y2056" s="13"/>
      <c r="Z2056" s="13"/>
      <c r="AA2056" s="13"/>
      <c r="AB2056" s="13"/>
      <c r="AC2056" s="13" t="s">
        <v>14869</v>
      </c>
      <c r="AD2056" s="13"/>
      <c r="AE2056" s="13"/>
      <c r="AF2056" s="13"/>
      <c r="AG2056" s="13" t="s">
        <v>53</v>
      </c>
      <c r="AH2056" s="13" t="s">
        <v>14870</v>
      </c>
      <c r="AI2056" s="12" t="str">
        <f t="shared" si="398"/>
        <v>1842</v>
      </c>
      <c r="AJ2056" s="13"/>
      <c r="AK2056" s="13"/>
      <c r="AL2056" s="13" t="s">
        <v>53</v>
      </c>
      <c r="AM2056" s="13" t="s">
        <v>14871</v>
      </c>
      <c r="AN2056" s="13" t="s">
        <v>14804</v>
      </c>
      <c r="AO2056" s="13" t="s">
        <v>697</v>
      </c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2"/>
      <c r="BI2056" s="12"/>
      <c r="BJ2056" s="12"/>
      <c r="BK2056" s="12"/>
      <c r="BL2056" s="12"/>
      <c r="BM2056" s="12"/>
      <c r="BN2056" s="12"/>
      <c r="BO2056" s="12"/>
      <c r="BP2056" s="12"/>
      <c r="BQ2056" s="12"/>
      <c r="BR2056" s="12"/>
      <c r="BS2056" s="12"/>
      <c r="BT2056" s="12"/>
      <c r="BU2056" s="12"/>
      <c r="BV2056" s="12"/>
      <c r="BW2056" s="12"/>
      <c r="BX2056" s="12"/>
      <c r="BY2056" s="12"/>
      <c r="BZ2056" s="12"/>
      <c r="CA2056" s="12"/>
      <c r="CB2056" s="12"/>
      <c r="CC2056" s="12"/>
      <c r="CD2056" s="12"/>
    </row>
    <row r="2057" spans="1:82">
      <c r="A2057" s="13" t="s">
        <v>697</v>
      </c>
      <c r="B2057" s="12" t="str">
        <f t="shared" si="390"/>
        <v>VANROOYEN</v>
      </c>
      <c r="C2057" s="12" t="str">
        <f t="shared" si="391"/>
        <v>VAN ROOYEN</v>
      </c>
      <c r="D2057" s="13" t="s">
        <v>5903</v>
      </c>
      <c r="E2057" s="12" t="str">
        <f t="shared" si="401"/>
        <v>Christiaan Stephanus</v>
      </c>
      <c r="F2057" s="13" t="s">
        <v>5904</v>
      </c>
      <c r="G2057" s="12" t="str">
        <f t="shared" si="392"/>
        <v>a1b8c6d3e4</v>
      </c>
      <c r="H2057" s="12" t="str">
        <f t="shared" si="393"/>
        <v>VAN ROOYENa1b8c6d3e4</v>
      </c>
      <c r="I2057" s="13"/>
      <c r="J2057" s="13" t="s">
        <v>5905</v>
      </c>
      <c r="K2057" s="12" t="str">
        <f t="shared" si="394"/>
        <v>1817</v>
      </c>
      <c r="L2057" s="13" t="s">
        <v>199</v>
      </c>
      <c r="M2057" s="13" t="s">
        <v>5906</v>
      </c>
      <c r="N2057" s="12" t="str">
        <f t="shared" si="399"/>
        <v>1817</v>
      </c>
      <c r="O2057" s="12" t="str">
        <f t="shared" si="400"/>
        <v>1817</v>
      </c>
      <c r="P2057" s="13"/>
      <c r="Q2057" s="12" t="str">
        <f t="shared" si="395"/>
        <v>1817</v>
      </c>
      <c r="R2057" s="13"/>
      <c r="S2057" s="12" t="str">
        <f t="shared" si="396"/>
        <v/>
      </c>
      <c r="T2057" s="13" t="s">
        <v>53</v>
      </c>
      <c r="U2057" s="13" t="s">
        <v>14864</v>
      </c>
      <c r="V2057" s="12" t="str">
        <f t="shared" si="397"/>
        <v>1838</v>
      </c>
      <c r="W2057" s="13" t="s">
        <v>4811</v>
      </c>
      <c r="X2057" s="13" t="s">
        <v>697</v>
      </c>
      <c r="Y2057" s="13" t="s">
        <v>14865</v>
      </c>
      <c r="Z2057" s="13"/>
      <c r="AA2057" s="13" t="s">
        <v>14866</v>
      </c>
      <c r="AB2057" s="13"/>
      <c r="AC2057" s="13" t="s">
        <v>11782</v>
      </c>
      <c r="AD2057" s="13"/>
      <c r="AE2057" s="13"/>
      <c r="AF2057" s="13"/>
      <c r="AG2057" s="13" t="s">
        <v>53</v>
      </c>
      <c r="AH2057" s="13" t="s">
        <v>14867</v>
      </c>
      <c r="AI2057" s="12" t="str">
        <f t="shared" si="398"/>
        <v>1841</v>
      </c>
      <c r="AJ2057" s="13"/>
      <c r="AK2057" s="13" t="s">
        <v>90</v>
      </c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/>
      <c r="AZ2057" s="13"/>
      <c r="BA2057" s="13"/>
      <c r="BB2057" s="13"/>
      <c r="BC2057" s="13"/>
      <c r="BD2057" s="13"/>
      <c r="BE2057" s="13"/>
      <c r="BF2057" s="13"/>
      <c r="BG2057" s="13"/>
      <c r="BH2057" s="12"/>
      <c r="BI2057" s="12"/>
      <c r="BJ2057" s="12"/>
      <c r="BK2057" s="12"/>
      <c r="BL2057" s="12"/>
      <c r="BM2057" s="12"/>
      <c r="BN2057" s="12"/>
      <c r="BO2057" s="12"/>
      <c r="BP2057" s="12"/>
      <c r="BQ2057" s="12"/>
      <c r="BR2057" s="12"/>
      <c r="BS2057" s="12"/>
      <c r="BT2057" s="12"/>
      <c r="BU2057" s="12"/>
      <c r="BV2057" s="12"/>
      <c r="BW2057" s="12"/>
      <c r="BX2057" s="12"/>
      <c r="BY2057" s="12"/>
      <c r="BZ2057" s="12"/>
      <c r="CA2057" s="12"/>
      <c r="CB2057" s="12"/>
      <c r="CC2057" s="12"/>
      <c r="CD2057" s="12"/>
    </row>
    <row r="2058" spans="1:82">
      <c r="A2058" s="13" t="s">
        <v>1330</v>
      </c>
      <c r="B2058" s="12" t="str">
        <f t="shared" si="390"/>
        <v>VANSCHALKWYK</v>
      </c>
      <c r="C2058" s="12" t="str">
        <f t="shared" si="391"/>
        <v>VAN SCHALKWYK</v>
      </c>
      <c r="D2058" s="13" t="s">
        <v>5998</v>
      </c>
      <c r="E2058" s="12" t="str">
        <f t="shared" si="401"/>
        <v>Tobias Gerhardus</v>
      </c>
      <c r="F2058" s="13" t="s">
        <v>5999</v>
      </c>
      <c r="G2058" s="12" t="str">
        <f t="shared" si="392"/>
        <v>a1b2c3d2e1f1</v>
      </c>
      <c r="H2058" s="12" t="str">
        <f t="shared" si="393"/>
        <v>VAN SCHALKWYKa1b2c3d2e1f1</v>
      </c>
      <c r="I2058" s="13"/>
      <c r="J2058" s="13"/>
      <c r="K2058" s="12" t="str">
        <f t="shared" si="394"/>
        <v/>
      </c>
      <c r="L2058" s="13" t="s">
        <v>32</v>
      </c>
      <c r="M2058" s="13" t="s">
        <v>6000</v>
      </c>
      <c r="N2058" s="12" t="str">
        <f t="shared" si="399"/>
        <v/>
      </c>
      <c r="O2058" s="12" t="str">
        <f t="shared" si="400"/>
        <v>1799</v>
      </c>
      <c r="P2058" s="13" t="s">
        <v>90</v>
      </c>
      <c r="Q2058" s="12" t="str">
        <f t="shared" si="395"/>
        <v>1799</v>
      </c>
      <c r="R2058" s="13" t="s">
        <v>14958</v>
      </c>
      <c r="S2058" s="12" t="str">
        <f t="shared" si="396"/>
        <v>1844</v>
      </c>
      <c r="T2058" s="13"/>
      <c r="U2058" s="13"/>
      <c r="V2058" s="12" t="str">
        <f t="shared" si="397"/>
        <v/>
      </c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 t="s">
        <v>3729</v>
      </c>
      <c r="AG2058" s="13" t="s">
        <v>32</v>
      </c>
      <c r="AH2058" s="13">
        <v>1839</v>
      </c>
      <c r="AI2058" s="12" t="str">
        <f t="shared" si="398"/>
        <v>1839</v>
      </c>
      <c r="AJ2058" s="13"/>
      <c r="AK2058" s="13" t="s">
        <v>168</v>
      </c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2"/>
      <c r="BI2058" s="12"/>
      <c r="BJ2058" s="12"/>
      <c r="BK2058" s="12"/>
      <c r="BL2058" s="12"/>
      <c r="BM2058" s="12"/>
      <c r="BN2058" s="12"/>
      <c r="BO2058" s="12"/>
      <c r="BP2058" s="12"/>
      <c r="BQ2058" s="12"/>
      <c r="BR2058" s="12"/>
      <c r="BS2058" s="12"/>
      <c r="BT2058" s="12"/>
      <c r="BU2058" s="12"/>
      <c r="BV2058" s="12"/>
      <c r="BW2058" s="12"/>
      <c r="BX2058" s="12"/>
      <c r="BY2058" s="12"/>
      <c r="BZ2058" s="12"/>
      <c r="CA2058" s="12"/>
      <c r="CB2058" s="12"/>
      <c r="CC2058" s="12"/>
      <c r="CD2058" s="12"/>
    </row>
    <row r="2059" spans="1:82">
      <c r="A2059" s="13" t="s">
        <v>1330</v>
      </c>
      <c r="B2059" s="12" t="str">
        <f t="shared" si="390"/>
        <v>VANSCHALKWYK</v>
      </c>
      <c r="C2059" s="12" t="str">
        <f t="shared" si="391"/>
        <v>VAN SCHALKWYK</v>
      </c>
      <c r="D2059" s="13" t="s">
        <v>5988</v>
      </c>
      <c r="E2059" s="12" t="str">
        <f t="shared" si="401"/>
        <v>Johannes Adolph</v>
      </c>
      <c r="F2059" s="13" t="s">
        <v>5989</v>
      </c>
      <c r="G2059" s="12" t="str">
        <f t="shared" si="392"/>
        <v>a1b2c3d2e1f9</v>
      </c>
      <c r="H2059" s="12" t="str">
        <f t="shared" si="393"/>
        <v>VAN SCHALKWYKa1b2c3d2e1f9</v>
      </c>
      <c r="I2059" s="13"/>
      <c r="J2059" s="13" t="s">
        <v>5990</v>
      </c>
      <c r="K2059" s="12" t="str">
        <f t="shared" si="394"/>
        <v>1814</v>
      </c>
      <c r="L2059" s="13" t="s">
        <v>32</v>
      </c>
      <c r="M2059" s="13" t="s">
        <v>5991</v>
      </c>
      <c r="N2059" s="12" t="str">
        <f t="shared" si="399"/>
        <v>1814</v>
      </c>
      <c r="O2059" s="12" t="str">
        <f t="shared" si="400"/>
        <v>1814</v>
      </c>
      <c r="P2059" s="13" t="s">
        <v>53</v>
      </c>
      <c r="Q2059" s="12" t="str">
        <f t="shared" si="395"/>
        <v>1814</v>
      </c>
      <c r="R2059" s="13" t="s">
        <v>14949</v>
      </c>
      <c r="S2059" s="12" t="str">
        <f t="shared" si="396"/>
        <v>1862</v>
      </c>
      <c r="T2059" s="13" t="s">
        <v>32</v>
      </c>
      <c r="U2059" s="13" t="s">
        <v>13207</v>
      </c>
      <c r="V2059" s="12" t="str">
        <f t="shared" si="397"/>
        <v>1839</v>
      </c>
      <c r="W2059" s="13" t="s">
        <v>14950</v>
      </c>
      <c r="X2059" s="13" t="s">
        <v>758</v>
      </c>
      <c r="Y2059" s="13"/>
      <c r="Z2059" s="13" t="s">
        <v>32</v>
      </c>
      <c r="AA2059" s="13" t="s">
        <v>14951</v>
      </c>
      <c r="AB2059" s="13"/>
      <c r="AC2059" s="13"/>
      <c r="AD2059" s="13" t="s">
        <v>1864</v>
      </c>
      <c r="AE2059" s="13" t="s">
        <v>14952</v>
      </c>
      <c r="AF2059" s="13" t="s">
        <v>3729</v>
      </c>
      <c r="AG2059" s="13" t="s">
        <v>32</v>
      </c>
      <c r="AH2059" s="13" t="s">
        <v>14953</v>
      </c>
      <c r="AI2059" s="12" t="str">
        <f t="shared" si="398"/>
        <v>1839</v>
      </c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2"/>
      <c r="BI2059" s="12"/>
      <c r="BJ2059" s="12"/>
      <c r="BK2059" s="12"/>
      <c r="BL2059" s="12"/>
      <c r="BM2059" s="12"/>
      <c r="BN2059" s="12"/>
      <c r="BO2059" s="12"/>
      <c r="BP2059" s="12"/>
      <c r="BQ2059" s="12"/>
      <c r="BR2059" s="12"/>
      <c r="BS2059" s="12"/>
      <c r="BT2059" s="12"/>
      <c r="BU2059" s="12"/>
      <c r="BV2059" s="12"/>
      <c r="BW2059" s="12"/>
      <c r="BX2059" s="12"/>
      <c r="BY2059" s="12"/>
      <c r="BZ2059" s="12"/>
      <c r="CA2059" s="12"/>
      <c r="CB2059" s="12"/>
      <c r="CC2059" s="12"/>
      <c r="CD2059" s="12"/>
    </row>
    <row r="2060" spans="1:82">
      <c r="A2060" s="13" t="s">
        <v>1330</v>
      </c>
      <c r="B2060" s="12" t="str">
        <f t="shared" si="390"/>
        <v>VANSCHALKWYK</v>
      </c>
      <c r="C2060" s="12" t="str">
        <f t="shared" si="391"/>
        <v>VAN SCHALKWYK</v>
      </c>
      <c r="D2060" s="13" t="s">
        <v>1427</v>
      </c>
      <c r="E2060" s="12" t="str">
        <f t="shared" si="401"/>
        <v>Theunis Gerhardus</v>
      </c>
      <c r="F2060" s="13" t="s">
        <v>5996</v>
      </c>
      <c r="G2060" s="12" t="str">
        <f t="shared" si="392"/>
        <v>a1b2c3d3e2f2</v>
      </c>
      <c r="H2060" s="12" t="str">
        <f t="shared" si="393"/>
        <v>VAN SCHALKWYKa1b2c3d3e2f2</v>
      </c>
      <c r="I2060" s="13"/>
      <c r="J2060" s="13"/>
      <c r="K2060" s="12" t="str">
        <f t="shared" si="394"/>
        <v/>
      </c>
      <c r="L2060" s="13"/>
      <c r="M2060" s="13" t="s">
        <v>5997</v>
      </c>
      <c r="N2060" s="12" t="str">
        <f t="shared" si="399"/>
        <v/>
      </c>
      <c r="O2060" s="12" t="str">
        <f t="shared" si="400"/>
        <v>1798</v>
      </c>
      <c r="P2060" s="13"/>
      <c r="Q2060" s="12" t="str">
        <f t="shared" si="395"/>
        <v>1798</v>
      </c>
      <c r="R2060" s="13"/>
      <c r="S2060" s="12" t="str">
        <f t="shared" si="396"/>
        <v/>
      </c>
      <c r="T2060" s="13" t="s">
        <v>53</v>
      </c>
      <c r="U2060" s="13" t="s">
        <v>502</v>
      </c>
      <c r="V2060" s="12" t="str">
        <f t="shared" si="397"/>
        <v>1823</v>
      </c>
      <c r="W2060" s="13" t="s">
        <v>13059</v>
      </c>
      <c r="X2060" s="13" t="s">
        <v>3799</v>
      </c>
      <c r="Y2060" s="13" t="s">
        <v>12414</v>
      </c>
      <c r="Z2060" s="13"/>
      <c r="AA2060" s="13"/>
      <c r="AB2060" s="13"/>
      <c r="AC2060" s="13"/>
      <c r="AD2060" s="13"/>
      <c r="AE2060" s="13"/>
      <c r="AF2060" s="13" t="s">
        <v>3677</v>
      </c>
      <c r="AG2060" s="13" t="s">
        <v>53</v>
      </c>
      <c r="AH2060" s="13" t="s">
        <v>12307</v>
      </c>
      <c r="AI2060" s="12" t="str">
        <f t="shared" si="398"/>
        <v>1836</v>
      </c>
      <c r="AJ2060" s="13" t="s">
        <v>12308</v>
      </c>
      <c r="AK2060" s="13" t="s">
        <v>90</v>
      </c>
      <c r="AL2060" s="13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2"/>
      <c r="BI2060" s="12"/>
      <c r="BJ2060" s="12"/>
      <c r="BK2060" s="12"/>
      <c r="BL2060" s="12"/>
      <c r="BM2060" s="12"/>
      <c r="BN2060" s="12"/>
      <c r="BO2060" s="12"/>
      <c r="BP2060" s="12"/>
      <c r="BQ2060" s="12"/>
      <c r="BR2060" s="12"/>
      <c r="BS2060" s="12"/>
      <c r="BT2060" s="12"/>
      <c r="BU2060" s="12"/>
      <c r="BV2060" s="12"/>
      <c r="BW2060" s="12"/>
      <c r="BX2060" s="12"/>
      <c r="BY2060" s="12"/>
      <c r="BZ2060" s="12"/>
      <c r="CA2060" s="12"/>
      <c r="CB2060" s="12"/>
      <c r="CC2060" s="12"/>
      <c r="CD2060" s="12"/>
    </row>
    <row r="2061" spans="1:82">
      <c r="A2061" s="13" t="s">
        <v>1330</v>
      </c>
      <c r="B2061" s="12" t="str">
        <f t="shared" si="390"/>
        <v>VANSCHALKWYK</v>
      </c>
      <c r="C2061" s="12" t="str">
        <f t="shared" si="391"/>
        <v>VAN SCHALKWYK</v>
      </c>
      <c r="D2061" s="13" t="s">
        <v>537</v>
      </c>
      <c r="E2061" s="12" t="str">
        <f t="shared" si="401"/>
        <v>Johan Christiaan</v>
      </c>
      <c r="F2061" s="13" t="s">
        <v>5986</v>
      </c>
      <c r="G2061" s="12" t="str">
        <f t="shared" si="392"/>
        <v>a1b2c3d3e2f3</v>
      </c>
      <c r="H2061" s="12" t="str">
        <f t="shared" si="393"/>
        <v>VAN SCHALKWYKa1b2c3d3e2f3</v>
      </c>
      <c r="I2061" s="13"/>
      <c r="J2061" s="13"/>
      <c r="K2061" s="12" t="str">
        <f t="shared" si="394"/>
        <v/>
      </c>
      <c r="L2061" s="13" t="s">
        <v>32</v>
      </c>
      <c r="M2061" s="13" t="s">
        <v>5987</v>
      </c>
      <c r="N2061" s="12" t="str">
        <f t="shared" si="399"/>
        <v/>
      </c>
      <c r="O2061" s="12" t="str">
        <f t="shared" si="400"/>
        <v>1800</v>
      </c>
      <c r="P2061" s="13" t="s">
        <v>71</v>
      </c>
      <c r="Q2061" s="12" t="str">
        <f t="shared" si="395"/>
        <v>1800</v>
      </c>
      <c r="R2061" s="13" t="s">
        <v>72</v>
      </c>
      <c r="S2061" s="12" t="str">
        <f t="shared" si="396"/>
        <v>1838</v>
      </c>
      <c r="T2061" s="13" t="s">
        <v>53</v>
      </c>
      <c r="U2061" s="13" t="s">
        <v>1280</v>
      </c>
      <c r="V2061" s="12" t="str">
        <f t="shared" si="397"/>
        <v>1818</v>
      </c>
      <c r="W2061" s="13" t="s">
        <v>14946</v>
      </c>
      <c r="X2061" s="13" t="s">
        <v>3799</v>
      </c>
      <c r="Y2061" s="13" t="s">
        <v>14947</v>
      </c>
      <c r="Z2061" s="13"/>
      <c r="AA2061" s="13"/>
      <c r="AB2061" s="13"/>
      <c r="AC2061" s="13" t="s">
        <v>14948</v>
      </c>
      <c r="AD2061" s="13"/>
      <c r="AE2061" s="13"/>
      <c r="AF2061" s="13" t="s">
        <v>3677</v>
      </c>
      <c r="AG2061" s="13" t="s">
        <v>53</v>
      </c>
      <c r="AH2061" s="13" t="s">
        <v>12307</v>
      </c>
      <c r="AI2061" s="12" t="str">
        <f t="shared" si="398"/>
        <v>1836</v>
      </c>
      <c r="AJ2061" s="13" t="s">
        <v>12308</v>
      </c>
      <c r="AK2061" s="13" t="s">
        <v>90</v>
      </c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2"/>
      <c r="BI2061" s="12"/>
      <c r="BJ2061" s="12"/>
      <c r="BK2061" s="12"/>
      <c r="BL2061" s="12"/>
      <c r="BM2061" s="12"/>
      <c r="BN2061" s="12"/>
      <c r="BO2061" s="12"/>
      <c r="BP2061" s="12"/>
      <c r="BQ2061" s="12"/>
      <c r="BR2061" s="12"/>
      <c r="BS2061" s="12"/>
      <c r="BT2061" s="12"/>
      <c r="BU2061" s="12"/>
      <c r="BV2061" s="12"/>
      <c r="BW2061" s="12"/>
      <c r="BX2061" s="12"/>
      <c r="BY2061" s="12"/>
      <c r="BZ2061" s="12"/>
      <c r="CA2061" s="12"/>
      <c r="CB2061" s="12"/>
      <c r="CC2061" s="12"/>
      <c r="CD2061" s="12"/>
    </row>
    <row r="2062" spans="1:82">
      <c r="A2062" s="13" t="s">
        <v>1330</v>
      </c>
      <c r="B2062" s="12" t="str">
        <f t="shared" si="390"/>
        <v>VANSCHALKWYK</v>
      </c>
      <c r="C2062" s="12" t="str">
        <f t="shared" si="391"/>
        <v>VAN SCHALKWYK</v>
      </c>
      <c r="D2062" s="13" t="s">
        <v>5983</v>
      </c>
      <c r="E2062" s="12" t="str">
        <f t="shared" si="401"/>
        <v>Gerhardus Gert Coenraad (Gerrit)</v>
      </c>
      <c r="F2062" s="13" t="s">
        <v>5984</v>
      </c>
      <c r="G2062" s="12" t="str">
        <f t="shared" si="392"/>
        <v>a1b2c3d3e2f3g2</v>
      </c>
      <c r="H2062" s="12" t="str">
        <f t="shared" si="393"/>
        <v>VAN SCHALKWYKa1b2c3d3e2f3g2</v>
      </c>
      <c r="I2062" s="13"/>
      <c r="J2062" s="13" t="s">
        <v>5985</v>
      </c>
      <c r="K2062" s="12" t="str">
        <f t="shared" si="394"/>
        <v>1821</v>
      </c>
      <c r="L2062" s="13" t="s">
        <v>53</v>
      </c>
      <c r="M2062" s="13" t="s">
        <v>5843</v>
      </c>
      <c r="N2062" s="12" t="str">
        <f t="shared" si="399"/>
        <v>1821</v>
      </c>
      <c r="O2062" s="12" t="str">
        <f t="shared" si="400"/>
        <v>1821</v>
      </c>
      <c r="P2062" s="13"/>
      <c r="Q2062" s="12" t="str">
        <f t="shared" si="395"/>
        <v>1821</v>
      </c>
      <c r="R2062" s="13"/>
      <c r="S2062" s="12" t="str">
        <f t="shared" si="396"/>
        <v/>
      </c>
      <c r="T2062" s="13" t="s">
        <v>168</v>
      </c>
      <c r="U2062" s="13" t="s">
        <v>14945</v>
      </c>
      <c r="V2062" s="12" t="str">
        <f t="shared" si="397"/>
        <v>1843</v>
      </c>
      <c r="W2062" s="13" t="s">
        <v>4694</v>
      </c>
      <c r="X2062" s="13" t="s">
        <v>1151</v>
      </c>
      <c r="Y2062" s="13" t="s">
        <v>10589</v>
      </c>
      <c r="Z2062" s="13"/>
      <c r="AA2062" s="13"/>
      <c r="AB2062" s="13"/>
      <c r="AC2062" s="13"/>
      <c r="AD2062" s="13"/>
      <c r="AE2062" s="13"/>
      <c r="AF2062" s="13" t="s">
        <v>3677</v>
      </c>
      <c r="AG2062" s="13" t="s">
        <v>53</v>
      </c>
      <c r="AH2062" s="13" t="s">
        <v>12307</v>
      </c>
      <c r="AI2062" s="12" t="str">
        <f t="shared" si="398"/>
        <v>1836</v>
      </c>
      <c r="AJ2062" s="13" t="s">
        <v>12308</v>
      </c>
      <c r="AK2062" s="13" t="s">
        <v>90</v>
      </c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2"/>
      <c r="BI2062" s="12"/>
      <c r="BJ2062" s="12"/>
      <c r="BK2062" s="12"/>
      <c r="BL2062" s="12"/>
      <c r="BM2062" s="12"/>
      <c r="BN2062" s="12"/>
      <c r="BO2062" s="12"/>
      <c r="BP2062" s="12"/>
      <c r="BQ2062" s="12"/>
      <c r="BR2062" s="12"/>
      <c r="BS2062" s="12"/>
      <c r="BT2062" s="12"/>
      <c r="BU2062" s="12"/>
      <c r="BV2062" s="12"/>
      <c r="BW2062" s="12"/>
      <c r="BX2062" s="12"/>
      <c r="BY2062" s="12"/>
      <c r="BZ2062" s="12"/>
      <c r="CA2062" s="12"/>
      <c r="CB2062" s="12"/>
      <c r="CC2062" s="12"/>
      <c r="CD2062" s="12"/>
    </row>
    <row r="2063" spans="1:82">
      <c r="A2063" s="13" t="s">
        <v>1330</v>
      </c>
      <c r="B2063" s="12" t="str">
        <f t="shared" si="390"/>
        <v>VANSCHALKWYK</v>
      </c>
      <c r="C2063" s="12" t="str">
        <f t="shared" si="391"/>
        <v>VAN SCHALKWYK</v>
      </c>
      <c r="D2063" s="13" t="s">
        <v>5992</v>
      </c>
      <c r="E2063" s="12" t="str">
        <f t="shared" si="401"/>
        <v>Philippus Lodewicus</v>
      </c>
      <c r="F2063" s="13" t="s">
        <v>5993</v>
      </c>
      <c r="G2063" s="12" t="str">
        <f t="shared" si="392"/>
        <v>a1b2c3d3e2f6</v>
      </c>
      <c r="H2063" s="12" t="str">
        <f t="shared" si="393"/>
        <v>VAN SCHALKWYKa1b2c3d3e2f6</v>
      </c>
      <c r="I2063" s="13"/>
      <c r="J2063" s="13" t="s">
        <v>5994</v>
      </c>
      <c r="K2063" s="12" t="str">
        <f t="shared" si="394"/>
        <v>1807</v>
      </c>
      <c r="L2063" s="13" t="s">
        <v>32</v>
      </c>
      <c r="M2063" s="13" t="s">
        <v>5995</v>
      </c>
      <c r="N2063" s="12" t="str">
        <f t="shared" si="399"/>
        <v>1807</v>
      </c>
      <c r="O2063" s="12" t="str">
        <f t="shared" si="400"/>
        <v>1809</v>
      </c>
      <c r="P2063" s="13"/>
      <c r="Q2063" s="12" t="str">
        <f t="shared" si="395"/>
        <v>1807</v>
      </c>
      <c r="R2063" s="13"/>
      <c r="S2063" s="12" t="str">
        <f t="shared" si="396"/>
        <v/>
      </c>
      <c r="T2063" s="13" t="s">
        <v>53</v>
      </c>
      <c r="U2063" s="13" t="s">
        <v>2287</v>
      </c>
      <c r="V2063" s="12" t="str">
        <f t="shared" si="397"/>
        <v>1836</v>
      </c>
      <c r="W2063" s="13" t="s">
        <v>14954</v>
      </c>
      <c r="X2063" s="13" t="s">
        <v>731</v>
      </c>
      <c r="Y2063" s="13" t="s">
        <v>14955</v>
      </c>
      <c r="Z2063" s="13"/>
      <c r="AA2063" s="13"/>
      <c r="AB2063" s="13"/>
      <c r="AC2063" s="13" t="s">
        <v>14956</v>
      </c>
      <c r="AD2063" s="13"/>
      <c r="AE2063" s="13"/>
      <c r="AF2063" s="13" t="s">
        <v>3677</v>
      </c>
      <c r="AG2063" s="13" t="s">
        <v>53</v>
      </c>
      <c r="AH2063" s="13" t="s">
        <v>14957</v>
      </c>
      <c r="AI2063" s="12" t="str">
        <f t="shared" si="398"/>
        <v>1846</v>
      </c>
      <c r="AJ2063" s="13"/>
      <c r="AK2063" s="13" t="s">
        <v>90</v>
      </c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2"/>
      <c r="BI2063" s="12"/>
      <c r="BJ2063" s="12"/>
      <c r="BK2063" s="12"/>
      <c r="BL2063" s="12"/>
      <c r="BM2063" s="12"/>
      <c r="BN2063" s="12"/>
      <c r="BO2063" s="12"/>
      <c r="BP2063" s="12"/>
      <c r="BQ2063" s="12"/>
      <c r="BR2063" s="12"/>
      <c r="BS2063" s="12"/>
      <c r="BT2063" s="12"/>
      <c r="BU2063" s="12"/>
      <c r="BV2063" s="12"/>
      <c r="BW2063" s="12"/>
      <c r="BX2063" s="12"/>
      <c r="BY2063" s="12"/>
      <c r="BZ2063" s="12"/>
      <c r="CA2063" s="12"/>
      <c r="CB2063" s="12"/>
      <c r="CC2063" s="12"/>
      <c r="CD2063" s="12"/>
    </row>
    <row r="2064" spans="1:82">
      <c r="A2064" s="13" t="s">
        <v>636</v>
      </c>
      <c r="B2064" s="12" t="str">
        <f t="shared" si="390"/>
        <v>VANSTADEN</v>
      </c>
      <c r="C2064" s="12" t="str">
        <f t="shared" si="391"/>
        <v>VAN STADEN</v>
      </c>
      <c r="D2064" s="13" t="s">
        <v>6054</v>
      </c>
      <c r="E2064" s="12" t="str">
        <f t="shared" si="401"/>
        <v>Philippus Theunis</v>
      </c>
      <c r="F2064" s="13" t="s">
        <v>6058</v>
      </c>
      <c r="G2064" s="12" t="str">
        <f t="shared" si="392"/>
        <v>?b1c2d6e9f3?</v>
      </c>
      <c r="H2064" s="12" t="str">
        <f t="shared" si="393"/>
        <v>VAN STADEN?b1c2d6e9f3?</v>
      </c>
      <c r="I2064" s="13"/>
      <c r="J2064" s="13" t="s">
        <v>6059</v>
      </c>
      <c r="K2064" s="12" t="str">
        <f t="shared" si="394"/>
        <v>1809</v>
      </c>
      <c r="L2064" s="13"/>
      <c r="M2064" s="13" t="s">
        <v>5926</v>
      </c>
      <c r="N2064" s="12" t="str">
        <f t="shared" si="399"/>
        <v>1809</v>
      </c>
      <c r="O2064" s="12" t="str">
        <f t="shared" si="400"/>
        <v>1809</v>
      </c>
      <c r="P2064" s="13" t="s">
        <v>4129</v>
      </c>
      <c r="Q2064" s="12" t="str">
        <f t="shared" si="395"/>
        <v>1809</v>
      </c>
      <c r="R2064" s="13" t="s">
        <v>15019</v>
      </c>
      <c r="S2064" s="12" t="str">
        <f t="shared" si="396"/>
        <v>1898</v>
      </c>
      <c r="T2064" s="13" t="s">
        <v>53</v>
      </c>
      <c r="U2064" s="13" t="s">
        <v>15020</v>
      </c>
      <c r="V2064" s="12" t="str">
        <f t="shared" si="397"/>
        <v>1833</v>
      </c>
      <c r="W2064" s="13" t="s">
        <v>2936</v>
      </c>
      <c r="X2064" s="13" t="s">
        <v>758</v>
      </c>
      <c r="Y2064" s="13"/>
      <c r="Z2064" s="13"/>
      <c r="AA2064" s="13" t="s">
        <v>3525</v>
      </c>
      <c r="AB2064" s="13" t="s">
        <v>74</v>
      </c>
      <c r="AC2064" s="13" t="s">
        <v>2220</v>
      </c>
      <c r="AD2064" s="13" t="s">
        <v>4129</v>
      </c>
      <c r="AE2064" s="13" t="s">
        <v>15021</v>
      </c>
      <c r="AF2064" s="13" t="s">
        <v>3724</v>
      </c>
      <c r="AG2064" s="13" t="s">
        <v>53</v>
      </c>
      <c r="AH2064" s="13" t="s">
        <v>5021</v>
      </c>
      <c r="AI2064" s="12" t="str">
        <f t="shared" si="398"/>
        <v>1842</v>
      </c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2"/>
      <c r="BI2064" s="12"/>
      <c r="BJ2064" s="12"/>
      <c r="BK2064" s="12"/>
      <c r="BL2064" s="12"/>
      <c r="BM2064" s="12"/>
      <c r="BN2064" s="12"/>
      <c r="BO2064" s="12"/>
      <c r="BP2064" s="12"/>
      <c r="BQ2064" s="12"/>
      <c r="BR2064" s="12"/>
      <c r="BS2064" s="12"/>
      <c r="BT2064" s="12"/>
      <c r="BU2064" s="12"/>
      <c r="BV2064" s="12"/>
      <c r="BW2064" s="12"/>
      <c r="BX2064" s="12"/>
      <c r="BY2064" s="12"/>
      <c r="BZ2064" s="12"/>
      <c r="CA2064" s="12"/>
      <c r="CB2064" s="12"/>
      <c r="CC2064" s="12"/>
      <c r="CD2064" s="12"/>
    </row>
    <row r="2065" spans="1:82">
      <c r="A2065" s="13" t="s">
        <v>636</v>
      </c>
      <c r="B2065" s="12" t="str">
        <f t="shared" si="390"/>
        <v>VANSTADEN</v>
      </c>
      <c r="C2065" s="12" t="str">
        <f t="shared" si="391"/>
        <v>VAN STADEN</v>
      </c>
      <c r="D2065" s="13" t="s">
        <v>1284</v>
      </c>
      <c r="E2065" s="12" t="str">
        <f t="shared" si="401"/>
        <v>Johannes Hendrik</v>
      </c>
      <c r="F2065" s="13" t="s">
        <v>6018</v>
      </c>
      <c r="G2065" s="12" t="str">
        <f t="shared" si="392"/>
        <v>a1b1c2d64f4</v>
      </c>
      <c r="H2065" s="12" t="str">
        <f t="shared" si="393"/>
        <v>VAN STADENa1b1c2d64f4</v>
      </c>
      <c r="I2065" s="13"/>
      <c r="J2065" s="13"/>
      <c r="K2065" s="12" t="str">
        <f t="shared" si="394"/>
        <v/>
      </c>
      <c r="L2065" s="13"/>
      <c r="M2065" s="13" t="s">
        <v>5797</v>
      </c>
      <c r="N2065" s="12" t="str">
        <f t="shared" si="399"/>
        <v/>
      </c>
      <c r="O2065" s="12" t="str">
        <f t="shared" si="400"/>
        <v>1800</v>
      </c>
      <c r="P2065" s="13"/>
      <c r="Q2065" s="12" t="str">
        <f t="shared" si="395"/>
        <v>1800</v>
      </c>
      <c r="R2065" s="13"/>
      <c r="S2065" s="12" t="str">
        <f t="shared" si="396"/>
        <v/>
      </c>
      <c r="T2065" s="13" t="s">
        <v>366</v>
      </c>
      <c r="U2065" s="13" t="s">
        <v>2530</v>
      </c>
      <c r="V2065" s="12" t="str">
        <f t="shared" si="397"/>
        <v>1819</v>
      </c>
      <c r="W2065" s="13" t="s">
        <v>14986</v>
      </c>
      <c r="X2065" s="13" t="s">
        <v>2138</v>
      </c>
      <c r="Y2065" s="13" t="s">
        <v>5211</v>
      </c>
      <c r="Z2065" s="13"/>
      <c r="AA2065" s="13"/>
      <c r="AB2065" s="13"/>
      <c r="AC2065" s="13" t="s">
        <v>14987</v>
      </c>
      <c r="AD2065" s="13"/>
      <c r="AE2065" s="13"/>
      <c r="AF2065" s="13" t="s">
        <v>13825</v>
      </c>
      <c r="AG2065" s="13" t="s">
        <v>366</v>
      </c>
      <c r="AH2065" s="13" t="s">
        <v>12933</v>
      </c>
      <c r="AI2065" s="12" t="str">
        <f t="shared" si="398"/>
        <v>1837</v>
      </c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2"/>
      <c r="BI2065" s="12"/>
      <c r="BJ2065" s="12"/>
      <c r="BK2065" s="12"/>
      <c r="BL2065" s="12"/>
      <c r="BM2065" s="12"/>
      <c r="BN2065" s="12"/>
      <c r="BO2065" s="12"/>
      <c r="BP2065" s="12"/>
      <c r="BQ2065" s="12"/>
      <c r="BR2065" s="12"/>
      <c r="BS2065" s="12"/>
      <c r="BT2065" s="12"/>
      <c r="BU2065" s="12"/>
      <c r="BV2065" s="12"/>
      <c r="BW2065" s="12"/>
      <c r="BX2065" s="12"/>
      <c r="BY2065" s="12"/>
      <c r="BZ2065" s="12"/>
      <c r="CA2065" s="12"/>
      <c r="CB2065" s="12"/>
      <c r="CC2065" s="12"/>
      <c r="CD2065" s="12"/>
    </row>
    <row r="2066" spans="1:82">
      <c r="A2066" s="13" t="s">
        <v>636</v>
      </c>
      <c r="B2066" s="12" t="str">
        <f t="shared" si="390"/>
        <v>VANSTADEN</v>
      </c>
      <c r="C2066" s="12" t="str">
        <f t="shared" si="391"/>
        <v>VAN STADEN</v>
      </c>
      <c r="D2066" s="13" t="s">
        <v>1222</v>
      </c>
      <c r="E2066" s="12" t="str">
        <f t="shared" si="401"/>
        <v>Jacobus Frederik</v>
      </c>
      <c r="F2066" s="13" t="s">
        <v>6010</v>
      </c>
      <c r="G2066" s="12" t="str">
        <f t="shared" si="392"/>
        <v>a1b1c2d6e10f2</v>
      </c>
      <c r="H2066" s="12" t="str">
        <f t="shared" si="393"/>
        <v>VAN STADENa1b1c2d6e10f2</v>
      </c>
      <c r="I2066" s="13"/>
      <c r="J2066" s="13"/>
      <c r="K2066" s="12" t="str">
        <f t="shared" si="394"/>
        <v/>
      </c>
      <c r="L2066" s="13" t="s">
        <v>53</v>
      </c>
      <c r="M2066" s="13" t="s">
        <v>6011</v>
      </c>
      <c r="N2066" s="12" t="str">
        <f t="shared" si="399"/>
        <v/>
      </c>
      <c r="O2066" s="12" t="str">
        <f t="shared" si="400"/>
        <v>1802</v>
      </c>
      <c r="P2066" s="13" t="s">
        <v>120</v>
      </c>
      <c r="Q2066" s="12" t="str">
        <f t="shared" si="395"/>
        <v>1802</v>
      </c>
      <c r="R2066" s="13" t="s">
        <v>14969</v>
      </c>
      <c r="S2066" s="12" t="str">
        <f t="shared" si="396"/>
        <v>1891</v>
      </c>
      <c r="T2066" s="13" t="s">
        <v>53</v>
      </c>
      <c r="U2066" s="13" t="s">
        <v>1417</v>
      </c>
      <c r="V2066" s="12" t="str">
        <f t="shared" si="397"/>
        <v>1824</v>
      </c>
      <c r="W2066" s="13" t="s">
        <v>2503</v>
      </c>
      <c r="X2066" s="13" t="s">
        <v>1763</v>
      </c>
      <c r="Y2066" s="13" t="s">
        <v>14970</v>
      </c>
      <c r="Z2066" s="13"/>
      <c r="AA2066" s="13" t="s">
        <v>14971</v>
      </c>
      <c r="AB2066" s="13" t="s">
        <v>6098</v>
      </c>
      <c r="AC2066" s="13" t="s">
        <v>14313</v>
      </c>
      <c r="AD2066" s="13"/>
      <c r="AE2066" s="13"/>
      <c r="AF2066" s="13" t="s">
        <v>11340</v>
      </c>
      <c r="AG2066" s="13" t="s">
        <v>53</v>
      </c>
      <c r="AH2066" s="13" t="s">
        <v>14972</v>
      </c>
      <c r="AI2066" s="12" t="str">
        <f t="shared" si="398"/>
        <v>1837</v>
      </c>
      <c r="AJ2066" s="13" t="s">
        <v>1404</v>
      </c>
      <c r="AK2066" s="13" t="s">
        <v>67</v>
      </c>
      <c r="AL2066" s="13"/>
      <c r="AM2066" s="13"/>
      <c r="AN2066" s="13" t="s">
        <v>14973</v>
      </c>
      <c r="AO2066" s="13" t="s">
        <v>695</v>
      </c>
      <c r="AP2066" s="13"/>
      <c r="AQ2066" s="13"/>
      <c r="AR2066" s="13">
        <v>1825</v>
      </c>
      <c r="AS2066" s="13"/>
      <c r="AT2066" s="13"/>
      <c r="AU2066" s="13" t="s">
        <v>14330</v>
      </c>
      <c r="AV2066" s="13" t="s">
        <v>14974</v>
      </c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2"/>
      <c r="BI2066" s="12"/>
      <c r="BJ2066" s="12"/>
      <c r="BK2066" s="12"/>
      <c r="BL2066" s="12"/>
      <c r="BM2066" s="12"/>
      <c r="BN2066" s="12"/>
      <c r="BO2066" s="12"/>
      <c r="BP2066" s="12"/>
      <c r="BQ2066" s="12"/>
      <c r="BR2066" s="12"/>
      <c r="BS2066" s="12"/>
      <c r="BT2066" s="12"/>
      <c r="BU2066" s="12"/>
      <c r="BV2066" s="12"/>
      <c r="BW2066" s="12"/>
      <c r="BX2066" s="12"/>
      <c r="BY2066" s="12"/>
      <c r="BZ2066" s="12"/>
      <c r="CA2066" s="12"/>
      <c r="CB2066" s="12"/>
      <c r="CC2066" s="12"/>
      <c r="CD2066" s="12"/>
    </row>
    <row r="2067" spans="1:82">
      <c r="A2067" s="13" t="s">
        <v>636</v>
      </c>
      <c r="B2067" s="12" t="str">
        <f t="shared" si="390"/>
        <v>VANSTADEN</v>
      </c>
      <c r="C2067" s="12" t="str">
        <f t="shared" si="391"/>
        <v>VAN STADEN</v>
      </c>
      <c r="D2067" s="13" t="s">
        <v>6050</v>
      </c>
      <c r="E2067" s="12" t="str">
        <f t="shared" si="401"/>
        <v>Petrus Johannes Sr.</v>
      </c>
      <c r="F2067" s="13" t="s">
        <v>6051</v>
      </c>
      <c r="G2067" s="12" t="str">
        <f t="shared" si="392"/>
        <v>a1b1c2d6e10f3</v>
      </c>
      <c r="H2067" s="12" t="str">
        <f t="shared" si="393"/>
        <v>VAN STADENa1b1c2d6e10f3</v>
      </c>
      <c r="I2067" s="13"/>
      <c r="J2067" s="13" t="s">
        <v>6052</v>
      </c>
      <c r="K2067" s="12" t="str">
        <f t="shared" si="394"/>
        <v>1804</v>
      </c>
      <c r="L2067" s="13"/>
      <c r="M2067" s="13" t="s">
        <v>6053</v>
      </c>
      <c r="N2067" s="12" t="str">
        <f t="shared" si="399"/>
        <v>1804</v>
      </c>
      <c r="O2067" s="12" t="str">
        <f t="shared" si="400"/>
        <v>1805</v>
      </c>
      <c r="P2067" s="13" t="s">
        <v>67</v>
      </c>
      <c r="Q2067" s="12" t="str">
        <f t="shared" si="395"/>
        <v>1804</v>
      </c>
      <c r="R2067" s="13" t="s">
        <v>15016</v>
      </c>
      <c r="S2067" s="12" t="str">
        <f t="shared" si="396"/>
        <v>1892</v>
      </c>
      <c r="T2067" s="13" t="s">
        <v>53</v>
      </c>
      <c r="U2067" s="13" t="s">
        <v>2734</v>
      </c>
      <c r="V2067" s="12" t="str">
        <f t="shared" si="397"/>
        <v>1822</v>
      </c>
      <c r="W2067" s="13" t="s">
        <v>1387</v>
      </c>
      <c r="X2067" s="13" t="s">
        <v>664</v>
      </c>
      <c r="Y2067" s="13" t="s">
        <v>15017</v>
      </c>
      <c r="Z2067" s="13"/>
      <c r="AA2067" s="13"/>
      <c r="AB2067" s="13"/>
      <c r="AC2067" s="13" t="s">
        <v>2662</v>
      </c>
      <c r="AD2067" s="13" t="s">
        <v>67</v>
      </c>
      <c r="AE2067" s="13" t="s">
        <v>15018</v>
      </c>
      <c r="AF2067" s="13" t="s">
        <v>11340</v>
      </c>
      <c r="AG2067" s="13" t="s">
        <v>53</v>
      </c>
      <c r="AH2067" s="13" t="s">
        <v>14972</v>
      </c>
      <c r="AI2067" s="12" t="str">
        <f t="shared" si="398"/>
        <v>1837</v>
      </c>
      <c r="AJ2067" s="13" t="s">
        <v>12354</v>
      </c>
      <c r="AK2067" s="13" t="s">
        <v>67</v>
      </c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2"/>
      <c r="BI2067" s="12"/>
      <c r="BJ2067" s="12"/>
      <c r="BK2067" s="12"/>
      <c r="BL2067" s="12"/>
      <c r="BM2067" s="12"/>
      <c r="BN2067" s="12"/>
      <c r="BO2067" s="12"/>
      <c r="BP2067" s="12"/>
      <c r="BQ2067" s="12"/>
      <c r="BR2067" s="12"/>
      <c r="BS2067" s="12"/>
      <c r="BT2067" s="12"/>
      <c r="BU2067" s="12"/>
      <c r="BV2067" s="12"/>
      <c r="BW2067" s="12"/>
      <c r="BX2067" s="12"/>
      <c r="BY2067" s="12"/>
      <c r="BZ2067" s="12"/>
      <c r="CA2067" s="12"/>
      <c r="CB2067" s="12"/>
      <c r="CC2067" s="12"/>
      <c r="CD2067" s="12"/>
    </row>
    <row r="2068" spans="1:82">
      <c r="A2068" s="13" t="s">
        <v>636</v>
      </c>
      <c r="B2068" s="12" t="str">
        <f t="shared" si="390"/>
        <v>VANSTADEN</v>
      </c>
      <c r="C2068" s="12" t="str">
        <f t="shared" si="391"/>
        <v>VAN STADEN</v>
      </c>
      <c r="D2068" s="13" t="s">
        <v>6046</v>
      </c>
      <c r="E2068" s="12" t="str">
        <f t="shared" si="401"/>
        <v>Petrus Johannes Jr.</v>
      </c>
      <c r="F2068" s="13" t="s">
        <v>6047</v>
      </c>
      <c r="G2068" s="12" t="str">
        <f t="shared" si="392"/>
        <v>a1b1c2d6e10f3g1</v>
      </c>
      <c r="H2068" s="12" t="str">
        <f t="shared" si="393"/>
        <v>VAN STADENa1b1c2d6e10f3g1</v>
      </c>
      <c r="I2068" s="13"/>
      <c r="J2068" s="13" t="s">
        <v>6048</v>
      </c>
      <c r="K2068" s="12" t="str">
        <f t="shared" si="394"/>
        <v>1823</v>
      </c>
      <c r="L2068" s="13" t="s">
        <v>366</v>
      </c>
      <c r="M2068" s="13" t="s">
        <v>6049</v>
      </c>
      <c r="N2068" s="12" t="str">
        <f t="shared" si="399"/>
        <v>1823</v>
      </c>
      <c r="O2068" s="12" t="str">
        <f t="shared" si="400"/>
        <v>1823</v>
      </c>
      <c r="P2068" s="13" t="s">
        <v>67</v>
      </c>
      <c r="Q2068" s="12" t="str">
        <f t="shared" si="395"/>
        <v>1823</v>
      </c>
      <c r="R2068" s="15">
        <v>4513</v>
      </c>
      <c r="S2068" s="12">
        <v>1912</v>
      </c>
      <c r="T2068" s="13"/>
      <c r="U2068" s="13"/>
      <c r="V2068" s="12" t="str">
        <f t="shared" si="397"/>
        <v/>
      </c>
      <c r="W2068" s="13" t="s">
        <v>15012</v>
      </c>
      <c r="X2068" s="13" t="s">
        <v>636</v>
      </c>
      <c r="Y2068" s="13"/>
      <c r="Z2068" s="13"/>
      <c r="AA2068" s="13" t="s">
        <v>15013</v>
      </c>
      <c r="AB2068" s="13"/>
      <c r="AC2068" s="13"/>
      <c r="AD2068" s="13"/>
      <c r="AE2068" s="13" t="s">
        <v>15014</v>
      </c>
      <c r="AF2068" s="13" t="s">
        <v>15015</v>
      </c>
      <c r="AG2068" s="13" t="s">
        <v>53</v>
      </c>
      <c r="AH2068" s="13" t="s">
        <v>14972</v>
      </c>
      <c r="AI2068" s="12" t="str">
        <f t="shared" si="398"/>
        <v>1837</v>
      </c>
      <c r="AJ2068" s="13" t="s">
        <v>12354</v>
      </c>
      <c r="AK2068" s="13" t="s">
        <v>67</v>
      </c>
      <c r="AL2068" s="13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3"/>
      <c r="AY2068" s="13"/>
      <c r="AZ2068" s="13"/>
      <c r="BA2068" s="13"/>
      <c r="BB2068" s="13"/>
      <c r="BC2068" s="13"/>
      <c r="BD2068" s="13"/>
      <c r="BE2068" s="13"/>
      <c r="BF2068" s="13"/>
      <c r="BG2068" s="13"/>
      <c r="BH2068" s="12"/>
      <c r="BI2068" s="12"/>
      <c r="BJ2068" s="12"/>
      <c r="BK2068" s="12"/>
      <c r="BL2068" s="12"/>
      <c r="BM2068" s="12"/>
      <c r="BN2068" s="12"/>
      <c r="BO2068" s="12"/>
      <c r="BP2068" s="12"/>
      <c r="BQ2068" s="12"/>
      <c r="BR2068" s="12"/>
      <c r="BS2068" s="12"/>
      <c r="BT2068" s="12"/>
      <c r="BU2068" s="12"/>
      <c r="BV2068" s="12"/>
      <c r="BW2068" s="12"/>
      <c r="BX2068" s="12"/>
      <c r="BY2068" s="12"/>
      <c r="BZ2068" s="12"/>
      <c r="CA2068" s="12"/>
      <c r="CB2068" s="12"/>
      <c r="CC2068" s="12"/>
      <c r="CD2068" s="12"/>
    </row>
    <row r="2069" spans="1:82">
      <c r="A2069" s="13" t="s">
        <v>636</v>
      </c>
      <c r="B2069" s="12" t="str">
        <f t="shared" si="390"/>
        <v>VANSTADEN</v>
      </c>
      <c r="C2069" s="12" t="str">
        <f t="shared" si="391"/>
        <v>VAN STADEN</v>
      </c>
      <c r="D2069" s="13" t="s">
        <v>1222</v>
      </c>
      <c r="E2069" s="12" t="str">
        <f t="shared" si="401"/>
        <v>Jacobus Frederik</v>
      </c>
      <c r="F2069" s="13" t="s">
        <v>6015</v>
      </c>
      <c r="G2069" s="12" t="str">
        <f t="shared" si="392"/>
        <v>a1b1c2d6e11f1</v>
      </c>
      <c r="H2069" s="12" t="str">
        <f t="shared" si="393"/>
        <v>VAN STADENa1b1c2d6e11f1</v>
      </c>
      <c r="I2069" s="13"/>
      <c r="J2069" s="13"/>
      <c r="K2069" s="12" t="str">
        <f t="shared" si="394"/>
        <v/>
      </c>
      <c r="L2069" s="13"/>
      <c r="M2069" s="13" t="s">
        <v>14981</v>
      </c>
      <c r="N2069" s="12" t="str">
        <f t="shared" si="399"/>
        <v/>
      </c>
      <c r="O2069" s="12" t="str">
        <f t="shared" si="400"/>
        <v>1803</v>
      </c>
      <c r="P2069" s="13" t="s">
        <v>140</v>
      </c>
      <c r="Q2069" s="12" t="str">
        <f t="shared" si="395"/>
        <v>1803</v>
      </c>
      <c r="R2069" s="13">
        <v>1861</v>
      </c>
      <c r="S2069" s="12" t="str">
        <f t="shared" si="396"/>
        <v>1861</v>
      </c>
      <c r="T2069" s="13"/>
      <c r="U2069" s="13" t="s">
        <v>14982</v>
      </c>
      <c r="V2069" s="12" t="str">
        <f t="shared" si="397"/>
        <v>1825</v>
      </c>
      <c r="W2069" s="13" t="s">
        <v>715</v>
      </c>
      <c r="X2069" s="13" t="s">
        <v>636</v>
      </c>
      <c r="Y2069" s="13"/>
      <c r="Z2069" s="13"/>
      <c r="AA2069" s="13"/>
      <c r="AB2069" s="13"/>
      <c r="AC2069" s="13"/>
      <c r="AD2069" s="13"/>
      <c r="AE2069" s="13"/>
      <c r="AF2069" s="13" t="s">
        <v>3724</v>
      </c>
      <c r="AG2069" s="13" t="s">
        <v>53</v>
      </c>
      <c r="AH2069" s="13" t="s">
        <v>385</v>
      </c>
      <c r="AI2069" s="12" t="str">
        <f t="shared" si="398"/>
        <v>1840</v>
      </c>
      <c r="AJ2069" s="13"/>
      <c r="AK2069" s="13" t="s">
        <v>140</v>
      </c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2"/>
      <c r="BI2069" s="12"/>
      <c r="BJ2069" s="12"/>
      <c r="BK2069" s="12"/>
      <c r="BL2069" s="12"/>
      <c r="BM2069" s="12"/>
      <c r="BN2069" s="12"/>
      <c r="BO2069" s="12"/>
      <c r="BP2069" s="12"/>
      <c r="BQ2069" s="12"/>
      <c r="BR2069" s="12"/>
      <c r="BS2069" s="12"/>
      <c r="BT2069" s="12"/>
      <c r="BU2069" s="12"/>
      <c r="BV2069" s="12"/>
      <c r="BW2069" s="12"/>
      <c r="BX2069" s="12"/>
      <c r="BY2069" s="12"/>
      <c r="BZ2069" s="12"/>
      <c r="CA2069" s="12"/>
      <c r="CB2069" s="12"/>
      <c r="CC2069" s="12"/>
      <c r="CD2069" s="12"/>
    </row>
    <row r="2070" spans="1:82">
      <c r="A2070" s="13" t="s">
        <v>636</v>
      </c>
      <c r="B2070" s="12" t="str">
        <f t="shared" si="390"/>
        <v>VANSTADEN</v>
      </c>
      <c r="C2070" s="12" t="str">
        <f t="shared" si="391"/>
        <v>VAN STADEN</v>
      </c>
      <c r="D2070" s="13" t="s">
        <v>6006</v>
      </c>
      <c r="E2070" s="12" t="str">
        <f t="shared" si="401"/>
        <v>Hermanus Johannes</v>
      </c>
      <c r="F2070" s="13" t="s">
        <v>6007</v>
      </c>
      <c r="G2070" s="12" t="str">
        <f t="shared" si="392"/>
        <v>a1b1c2d6e11f5</v>
      </c>
      <c r="H2070" s="12" t="str">
        <f t="shared" si="393"/>
        <v>VAN STADENa1b1c2d6e11f5</v>
      </c>
      <c r="I2070" s="13"/>
      <c r="J2070" s="13" t="s">
        <v>6008</v>
      </c>
      <c r="K2070" s="12" t="str">
        <f t="shared" si="394"/>
        <v>1810</v>
      </c>
      <c r="L2070" s="13"/>
      <c r="M2070" s="13" t="s">
        <v>6009</v>
      </c>
      <c r="N2070" s="12" t="str">
        <f t="shared" si="399"/>
        <v>1810</v>
      </c>
      <c r="O2070" s="12" t="str">
        <f t="shared" si="400"/>
        <v>1811</v>
      </c>
      <c r="P2070" s="13" t="s">
        <v>10635</v>
      </c>
      <c r="Q2070" s="12" t="str">
        <f t="shared" si="395"/>
        <v>1810</v>
      </c>
      <c r="R2070" s="13" t="s">
        <v>14965</v>
      </c>
      <c r="S2070" s="12" t="str">
        <f t="shared" si="396"/>
        <v>1886</v>
      </c>
      <c r="T2070" s="13" t="s">
        <v>199</v>
      </c>
      <c r="U2070" s="13" t="s">
        <v>14966</v>
      </c>
      <c r="V2070" s="12" t="str">
        <f t="shared" si="397"/>
        <v>1832</v>
      </c>
      <c r="W2070" s="13" t="s">
        <v>9750</v>
      </c>
      <c r="X2070" s="13" t="s">
        <v>1335</v>
      </c>
      <c r="Y2070" s="13"/>
      <c r="Z2070" s="13"/>
      <c r="AA2070" s="13" t="s">
        <v>4398</v>
      </c>
      <c r="AB2070" s="13"/>
      <c r="AC2070" s="13"/>
      <c r="AD2070" s="13" t="s">
        <v>10635</v>
      </c>
      <c r="AE2070" s="13" t="s">
        <v>14967</v>
      </c>
      <c r="AF2070" s="13"/>
      <c r="AG2070" s="13" t="s">
        <v>366</v>
      </c>
      <c r="AH2070" s="13" t="s">
        <v>14968</v>
      </c>
      <c r="AI2070" s="12" t="str">
        <f t="shared" si="398"/>
        <v>1839</v>
      </c>
      <c r="AJ2070" s="13"/>
      <c r="AK2070" s="13" t="s">
        <v>155</v>
      </c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2"/>
      <c r="BI2070" s="12"/>
      <c r="BJ2070" s="12"/>
      <c r="BK2070" s="12"/>
      <c r="BL2070" s="12"/>
      <c r="BM2070" s="12"/>
      <c r="BN2070" s="12"/>
      <c r="BO2070" s="12"/>
      <c r="BP2070" s="12"/>
      <c r="BQ2070" s="12"/>
      <c r="BR2070" s="12"/>
      <c r="BS2070" s="12"/>
      <c r="BT2070" s="12"/>
      <c r="BU2070" s="12"/>
      <c r="BV2070" s="12"/>
      <c r="BW2070" s="12"/>
      <c r="BX2070" s="12"/>
      <c r="BY2070" s="12"/>
      <c r="BZ2070" s="12"/>
      <c r="CA2070" s="12"/>
      <c r="CB2070" s="12"/>
      <c r="CC2070" s="12"/>
      <c r="CD2070" s="12"/>
    </row>
    <row r="2071" spans="1:82">
      <c r="A2071" s="13" t="s">
        <v>636</v>
      </c>
      <c r="B2071" s="12" t="str">
        <f t="shared" si="390"/>
        <v>VANSTADEN</v>
      </c>
      <c r="C2071" s="12" t="str">
        <f t="shared" si="391"/>
        <v>VAN STADEN</v>
      </c>
      <c r="D2071" s="13" t="s">
        <v>6025</v>
      </c>
      <c r="E2071" s="12" t="str">
        <f t="shared" si="401"/>
        <v>Marthinus Jacobus</v>
      </c>
      <c r="F2071" s="13" t="s">
        <v>6026</v>
      </c>
      <c r="G2071" s="12" t="str">
        <f t="shared" si="392"/>
        <v>a1b1c2d6e4f4g2</v>
      </c>
      <c r="H2071" s="12" t="str">
        <f t="shared" si="393"/>
        <v>VAN STADENa1b1c2d6e4f4g2</v>
      </c>
      <c r="I2071" s="13"/>
      <c r="J2071" s="13" t="s">
        <v>6027</v>
      </c>
      <c r="K2071" s="12" t="str">
        <f t="shared" si="394"/>
        <v>1822</v>
      </c>
      <c r="L2071" s="13" t="s">
        <v>366</v>
      </c>
      <c r="M2071" s="13" t="s">
        <v>6028</v>
      </c>
      <c r="N2071" s="12" t="str">
        <f t="shared" si="399"/>
        <v>1822</v>
      </c>
      <c r="O2071" s="12" t="str">
        <f t="shared" si="400"/>
        <v>1822</v>
      </c>
      <c r="P2071" s="13" t="s">
        <v>667</v>
      </c>
      <c r="Q2071" s="12" t="str">
        <f t="shared" si="395"/>
        <v>1822</v>
      </c>
      <c r="R2071" s="13" t="s">
        <v>14992</v>
      </c>
      <c r="S2071" s="12" t="str">
        <f t="shared" si="396"/>
        <v>1898</v>
      </c>
      <c r="T2071" s="13"/>
      <c r="U2071" s="13"/>
      <c r="V2071" s="12" t="str">
        <f t="shared" si="397"/>
        <v/>
      </c>
      <c r="W2071" s="13" t="s">
        <v>1770</v>
      </c>
      <c r="X2071" s="13"/>
      <c r="Y2071" s="13"/>
      <c r="Z2071" s="13"/>
      <c r="AA2071" s="13"/>
      <c r="AB2071" s="13"/>
      <c r="AC2071" s="13"/>
      <c r="AD2071" s="13"/>
      <c r="AE2071" s="13"/>
      <c r="AF2071" s="13" t="s">
        <v>13825</v>
      </c>
      <c r="AG2071" s="13" t="s">
        <v>366</v>
      </c>
      <c r="AH2071" s="13" t="s">
        <v>12933</v>
      </c>
      <c r="AI2071" s="12" t="str">
        <f t="shared" si="398"/>
        <v>1837</v>
      </c>
      <c r="AJ2071" s="13" t="s">
        <v>13826</v>
      </c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2"/>
      <c r="BI2071" s="12"/>
      <c r="BJ2071" s="12"/>
      <c r="BK2071" s="12"/>
      <c r="BL2071" s="12"/>
      <c r="BM2071" s="12"/>
      <c r="BN2071" s="12"/>
      <c r="BO2071" s="12"/>
      <c r="BP2071" s="12"/>
      <c r="BQ2071" s="12"/>
      <c r="BR2071" s="12"/>
      <c r="BS2071" s="12"/>
      <c r="BT2071" s="12"/>
      <c r="BU2071" s="12"/>
      <c r="BV2071" s="12"/>
      <c r="BW2071" s="12"/>
      <c r="BX2071" s="12"/>
      <c r="BY2071" s="12"/>
      <c r="BZ2071" s="12"/>
      <c r="CA2071" s="12"/>
      <c r="CB2071" s="12"/>
      <c r="CC2071" s="12"/>
      <c r="CD2071" s="12"/>
    </row>
    <row r="2072" spans="1:82">
      <c r="A2072" s="13" t="s">
        <v>636</v>
      </c>
      <c r="B2072" s="12" t="str">
        <f t="shared" si="390"/>
        <v>VANSTADEN</v>
      </c>
      <c r="C2072" s="12" t="str">
        <f t="shared" si="391"/>
        <v>VAN STADEN</v>
      </c>
      <c r="D2072" s="13" t="s">
        <v>6035</v>
      </c>
      <c r="E2072" s="12" t="str">
        <f t="shared" si="401"/>
        <v>Nicolaas Hermanus</v>
      </c>
      <c r="F2072" s="13" t="s">
        <v>6036</v>
      </c>
      <c r="G2072" s="12" t="str">
        <f t="shared" si="392"/>
        <v>a1b1c2d6e4f8</v>
      </c>
      <c r="H2072" s="12" t="str">
        <f t="shared" si="393"/>
        <v>VAN STADENa1b1c2d6e4f8</v>
      </c>
      <c r="I2072" s="13"/>
      <c r="J2072" s="13" t="s">
        <v>6037</v>
      </c>
      <c r="K2072" s="12" t="str">
        <f t="shared" si="394"/>
        <v>1808</v>
      </c>
      <c r="L2072" s="13"/>
      <c r="M2072" s="13" t="s">
        <v>6038</v>
      </c>
      <c r="N2072" s="12" t="str">
        <f t="shared" si="399"/>
        <v>1808</v>
      </c>
      <c r="O2072" s="12" t="str">
        <f t="shared" si="400"/>
        <v>1809</v>
      </c>
      <c r="P2072" s="13" t="s">
        <v>140</v>
      </c>
      <c r="Q2072" s="12" t="str">
        <f t="shared" si="395"/>
        <v>1808</v>
      </c>
      <c r="R2072" s="13" t="s">
        <v>15000</v>
      </c>
      <c r="S2072" s="12" t="str">
        <f t="shared" si="396"/>
        <v>1872</v>
      </c>
      <c r="T2072" s="13" t="s">
        <v>366</v>
      </c>
      <c r="U2072" s="13" t="s">
        <v>14274</v>
      </c>
      <c r="V2072" s="12" t="str">
        <f t="shared" si="397"/>
        <v>1839</v>
      </c>
      <c r="W2072" s="13" t="s">
        <v>1770</v>
      </c>
      <c r="X2072" s="13" t="s">
        <v>762</v>
      </c>
      <c r="Y2072" s="13" t="s">
        <v>15001</v>
      </c>
      <c r="Z2072" s="13"/>
      <c r="AA2072" s="13"/>
      <c r="AB2072" s="13"/>
      <c r="AC2072" s="13" t="s">
        <v>1296</v>
      </c>
      <c r="AD2072" s="13"/>
      <c r="AE2072" s="13"/>
      <c r="AF2072" s="13" t="s">
        <v>13825</v>
      </c>
      <c r="AG2072" s="13" t="s">
        <v>366</v>
      </c>
      <c r="AH2072" s="13" t="s">
        <v>5021</v>
      </c>
      <c r="AI2072" s="12" t="str">
        <f t="shared" si="398"/>
        <v>1842</v>
      </c>
      <c r="AJ2072" s="13"/>
      <c r="AK2072" s="13"/>
      <c r="AL2072" s="13"/>
      <c r="AM2072" s="13"/>
      <c r="AN2072" s="13" t="s">
        <v>15002</v>
      </c>
      <c r="AO2072" s="13" t="s">
        <v>210</v>
      </c>
      <c r="AP2072" s="13"/>
      <c r="AQ2072" s="13"/>
      <c r="AR2072" s="13"/>
      <c r="AS2072" s="13"/>
      <c r="AT2072" s="13"/>
      <c r="AU2072" s="13"/>
      <c r="AV2072" s="13"/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/>
      <c r="BH2072" s="12"/>
      <c r="BI2072" s="12"/>
      <c r="BJ2072" s="12"/>
      <c r="BK2072" s="12"/>
      <c r="BL2072" s="12"/>
      <c r="BM2072" s="12"/>
      <c r="BN2072" s="12"/>
      <c r="BO2072" s="12"/>
      <c r="BP2072" s="12"/>
      <c r="BQ2072" s="12"/>
      <c r="BR2072" s="12"/>
      <c r="BS2072" s="12"/>
      <c r="BT2072" s="12"/>
      <c r="BU2072" s="12"/>
      <c r="BV2072" s="12"/>
      <c r="BW2072" s="12"/>
      <c r="BX2072" s="12"/>
      <c r="BY2072" s="12"/>
      <c r="BZ2072" s="12"/>
      <c r="CA2072" s="12"/>
      <c r="CB2072" s="12"/>
      <c r="CC2072" s="12"/>
      <c r="CD2072" s="12"/>
    </row>
    <row r="2073" spans="1:82">
      <c r="A2073" s="13" t="s">
        <v>636</v>
      </c>
      <c r="B2073" s="12" t="str">
        <f t="shared" si="390"/>
        <v>VANSTADEN</v>
      </c>
      <c r="C2073" s="12" t="str">
        <f t="shared" si="391"/>
        <v>VAN STADEN</v>
      </c>
      <c r="D2073" s="13" t="s">
        <v>6003</v>
      </c>
      <c r="E2073" s="12" t="str">
        <f t="shared" si="401"/>
        <v>Christiaan Philip</v>
      </c>
      <c r="F2073" s="13" t="s">
        <v>6004</v>
      </c>
      <c r="G2073" s="12" t="str">
        <f t="shared" si="392"/>
        <v>a1b1c2d6e5</v>
      </c>
      <c r="H2073" s="12" t="str">
        <f t="shared" si="393"/>
        <v>VAN STADENa1b1c2d6e5</v>
      </c>
      <c r="I2073" s="13"/>
      <c r="J2073" s="13"/>
      <c r="K2073" s="12" t="str">
        <f t="shared" si="394"/>
        <v/>
      </c>
      <c r="L2073" s="13"/>
      <c r="M2073" s="13" t="s">
        <v>14961</v>
      </c>
      <c r="N2073" s="12" t="str">
        <f t="shared" si="399"/>
        <v/>
      </c>
      <c r="O2073" s="12" t="str">
        <f t="shared" si="400"/>
        <v>1771</v>
      </c>
      <c r="P2073" s="13"/>
      <c r="Q2073" s="12" t="str">
        <f t="shared" si="395"/>
        <v>1771</v>
      </c>
      <c r="R2073" s="13"/>
      <c r="S2073" s="12" t="str">
        <f t="shared" si="396"/>
        <v/>
      </c>
      <c r="T2073" s="13"/>
      <c r="U2073" s="13"/>
      <c r="V2073" s="12" t="str">
        <f t="shared" si="397"/>
        <v/>
      </c>
      <c r="W2073" s="13" t="s">
        <v>5496</v>
      </c>
      <c r="X2073" s="13" t="s">
        <v>14962</v>
      </c>
      <c r="Y2073" s="13"/>
      <c r="Z2073" s="13"/>
      <c r="AA2073" s="13"/>
      <c r="AB2073" s="13"/>
      <c r="AC2073" s="13" t="s">
        <v>14963</v>
      </c>
      <c r="AD2073" s="13"/>
      <c r="AE2073" s="13"/>
      <c r="AF2073" s="13" t="s">
        <v>3728</v>
      </c>
      <c r="AG2073" s="13" t="s">
        <v>346</v>
      </c>
      <c r="AH2073" s="13" t="s">
        <v>14085</v>
      </c>
      <c r="AI2073" s="12" t="str">
        <f t="shared" si="398"/>
        <v>1837</v>
      </c>
      <c r="AJ2073" s="13" t="s">
        <v>1502</v>
      </c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2"/>
      <c r="BI2073" s="12"/>
      <c r="BJ2073" s="12"/>
      <c r="BK2073" s="12"/>
      <c r="BL2073" s="12"/>
      <c r="BM2073" s="12"/>
      <c r="BN2073" s="12"/>
      <c r="BO2073" s="12"/>
      <c r="BP2073" s="12"/>
      <c r="BQ2073" s="12"/>
      <c r="BR2073" s="12"/>
      <c r="BS2073" s="12"/>
      <c r="BT2073" s="12"/>
      <c r="BU2073" s="12"/>
      <c r="BV2073" s="12"/>
      <c r="BW2073" s="12"/>
      <c r="BX2073" s="12"/>
      <c r="BY2073" s="12"/>
      <c r="BZ2073" s="12"/>
      <c r="CA2073" s="12"/>
      <c r="CB2073" s="12"/>
      <c r="CC2073" s="12"/>
      <c r="CD2073" s="12"/>
    </row>
    <row r="2074" spans="1:82">
      <c r="A2074" s="13" t="s">
        <v>636</v>
      </c>
      <c r="B2074" s="12" t="str">
        <f t="shared" si="390"/>
        <v>VANSTADEN</v>
      </c>
      <c r="C2074" s="12" t="str">
        <f t="shared" si="391"/>
        <v>VAN STADEN</v>
      </c>
      <c r="D2074" s="13" t="s">
        <v>1222</v>
      </c>
      <c r="E2074" s="12" t="str">
        <f t="shared" si="401"/>
        <v>Jacobus Frederik</v>
      </c>
      <c r="F2074" s="13" t="s">
        <v>6016</v>
      </c>
      <c r="G2074" s="12" t="str">
        <f t="shared" si="392"/>
        <v>a1b1c2d6e5f1</v>
      </c>
      <c r="H2074" s="12" t="str">
        <f t="shared" si="393"/>
        <v>VAN STADENa1b1c2d6e5f1</v>
      </c>
      <c r="I2074" s="13"/>
      <c r="J2074" s="13"/>
      <c r="K2074" s="12" t="str">
        <f t="shared" si="394"/>
        <v/>
      </c>
      <c r="L2074" s="13"/>
      <c r="M2074" s="13" t="s">
        <v>6017</v>
      </c>
      <c r="N2074" s="12" t="str">
        <f t="shared" si="399"/>
        <v/>
      </c>
      <c r="O2074" s="12" t="str">
        <f t="shared" si="400"/>
        <v>1794</v>
      </c>
      <c r="P2074" s="13"/>
      <c r="Q2074" s="12" t="str">
        <f t="shared" si="395"/>
        <v>1794</v>
      </c>
      <c r="R2074" s="13"/>
      <c r="S2074" s="12" t="str">
        <f t="shared" si="396"/>
        <v/>
      </c>
      <c r="T2074" s="13" t="s">
        <v>74</v>
      </c>
      <c r="U2074" s="13" t="s">
        <v>3923</v>
      </c>
      <c r="V2074" s="12" t="str">
        <f t="shared" si="397"/>
        <v>1816</v>
      </c>
      <c r="W2074" s="13" t="s">
        <v>14983</v>
      </c>
      <c r="X2074" s="13" t="s">
        <v>391</v>
      </c>
      <c r="Y2074" s="13" t="s">
        <v>6659</v>
      </c>
      <c r="Z2074" s="13"/>
      <c r="AA2074" s="13"/>
      <c r="AB2074" s="13"/>
      <c r="AC2074" s="13" t="s">
        <v>14984</v>
      </c>
      <c r="AD2074" s="13"/>
      <c r="AE2074" s="13"/>
      <c r="AF2074" s="13" t="s">
        <v>13825</v>
      </c>
      <c r="AG2074" s="13" t="s">
        <v>366</v>
      </c>
      <c r="AH2074" s="13" t="s">
        <v>14985</v>
      </c>
      <c r="AI2074" s="12" t="str">
        <f t="shared" si="398"/>
        <v>1841</v>
      </c>
      <c r="AJ2074" s="13"/>
      <c r="AK2074" s="13" t="s">
        <v>155</v>
      </c>
      <c r="AL2074" s="13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2"/>
      <c r="BI2074" s="12"/>
      <c r="BJ2074" s="12"/>
      <c r="BK2074" s="12"/>
      <c r="BL2074" s="12"/>
      <c r="BM2074" s="12"/>
      <c r="BN2074" s="12"/>
      <c r="BO2074" s="12"/>
      <c r="BP2074" s="12"/>
      <c r="BQ2074" s="12"/>
      <c r="BR2074" s="12"/>
      <c r="BS2074" s="12"/>
      <c r="BT2074" s="12"/>
      <c r="BU2074" s="12"/>
      <c r="BV2074" s="12"/>
      <c r="BW2074" s="12"/>
      <c r="BX2074" s="12"/>
      <c r="BY2074" s="12"/>
      <c r="BZ2074" s="12"/>
      <c r="CA2074" s="12"/>
      <c r="CB2074" s="12"/>
      <c r="CC2074" s="12"/>
      <c r="CD2074" s="12"/>
    </row>
    <row r="2075" spans="1:82">
      <c r="A2075" s="13" t="s">
        <v>636</v>
      </c>
      <c r="B2075" s="12" t="str">
        <f t="shared" si="390"/>
        <v>VANSTADEN</v>
      </c>
      <c r="C2075" s="12" t="str">
        <f t="shared" si="391"/>
        <v>VAN STADEN</v>
      </c>
      <c r="D2075" s="13" t="s">
        <v>6001</v>
      </c>
      <c r="E2075" s="12" t="str">
        <f t="shared" si="401"/>
        <v>Christiaan Johannes</v>
      </c>
      <c r="F2075" s="13" t="s">
        <v>6002</v>
      </c>
      <c r="G2075" s="12" t="str">
        <f t="shared" si="392"/>
        <v>a1b1c2d6e5f2</v>
      </c>
      <c r="H2075" s="12" t="str">
        <f t="shared" si="393"/>
        <v>VAN STADENa1b1c2d6e5f2</v>
      </c>
      <c r="I2075" s="13"/>
      <c r="J2075" s="13"/>
      <c r="K2075" s="12" t="str">
        <f t="shared" si="394"/>
        <v/>
      </c>
      <c r="L2075" s="13"/>
      <c r="M2075" s="13" t="s">
        <v>5862</v>
      </c>
      <c r="N2075" s="12" t="str">
        <f t="shared" si="399"/>
        <v/>
      </c>
      <c r="O2075" s="12" t="str">
        <f t="shared" si="400"/>
        <v>1799</v>
      </c>
      <c r="P2075" s="13"/>
      <c r="Q2075" s="12" t="str">
        <f t="shared" si="395"/>
        <v>1799</v>
      </c>
      <c r="R2075" s="13"/>
      <c r="S2075" s="12" t="str">
        <f t="shared" si="396"/>
        <v/>
      </c>
      <c r="T2075" s="13" t="s">
        <v>331</v>
      </c>
      <c r="U2075" s="13" t="s">
        <v>14959</v>
      </c>
      <c r="V2075" s="12" t="str">
        <f t="shared" si="397"/>
        <v>1825</v>
      </c>
      <c r="W2075" s="13" t="s">
        <v>14960</v>
      </c>
      <c r="X2075" s="13" t="s">
        <v>5473</v>
      </c>
      <c r="Y2075" s="13"/>
      <c r="Z2075" s="13"/>
      <c r="AA2075" s="13"/>
      <c r="AB2075" s="13"/>
      <c r="AC2075" s="13"/>
      <c r="AD2075" s="13"/>
      <c r="AE2075" s="13"/>
      <c r="AF2075" s="13" t="s">
        <v>3728</v>
      </c>
      <c r="AG2075" s="13" t="s">
        <v>346</v>
      </c>
      <c r="AH2075" s="13" t="s">
        <v>14085</v>
      </c>
      <c r="AI2075" s="12" t="str">
        <f t="shared" si="398"/>
        <v>1837</v>
      </c>
      <c r="AJ2075" s="13" t="s">
        <v>5423</v>
      </c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2"/>
      <c r="BI2075" s="12"/>
      <c r="BJ2075" s="12"/>
      <c r="BK2075" s="12"/>
      <c r="BL2075" s="12"/>
      <c r="BM2075" s="12"/>
      <c r="BN2075" s="12"/>
      <c r="BO2075" s="12"/>
      <c r="BP2075" s="12"/>
      <c r="BQ2075" s="12"/>
      <c r="BR2075" s="12"/>
      <c r="BS2075" s="12"/>
      <c r="BT2075" s="12"/>
      <c r="BU2075" s="12"/>
      <c r="BV2075" s="12"/>
      <c r="BW2075" s="12"/>
      <c r="BX2075" s="12"/>
      <c r="BY2075" s="12"/>
      <c r="BZ2075" s="12"/>
      <c r="CA2075" s="12"/>
      <c r="CB2075" s="12"/>
      <c r="CC2075" s="12"/>
      <c r="CD2075" s="12"/>
    </row>
    <row r="2076" spans="1:82">
      <c r="A2076" s="13" t="s">
        <v>636</v>
      </c>
      <c r="B2076" s="12" t="str">
        <f t="shared" si="390"/>
        <v>VANSTADEN</v>
      </c>
      <c r="C2076" s="12" t="str">
        <f t="shared" si="391"/>
        <v>VAN STADEN</v>
      </c>
      <c r="D2076" s="13" t="s">
        <v>1285</v>
      </c>
      <c r="E2076" s="12" t="str">
        <f t="shared" si="401"/>
        <v>Johannes Jurgen</v>
      </c>
      <c r="F2076" s="13" t="s">
        <v>6019</v>
      </c>
      <c r="G2076" s="12" t="str">
        <f t="shared" si="392"/>
        <v>a1b1c2d6e5f3</v>
      </c>
      <c r="H2076" s="12" t="str">
        <f t="shared" si="393"/>
        <v>VAN STADENa1b1c2d6e5f3</v>
      </c>
      <c r="I2076" s="13"/>
      <c r="J2076" s="13" t="s">
        <v>6020</v>
      </c>
      <c r="K2076" s="12" t="str">
        <f t="shared" si="394"/>
        <v>1803</v>
      </c>
      <c r="L2076" s="13"/>
      <c r="M2076" s="13"/>
      <c r="N2076" s="12" t="str">
        <f t="shared" si="399"/>
        <v>1803</v>
      </c>
      <c r="O2076" s="12" t="str">
        <f t="shared" si="400"/>
        <v/>
      </c>
      <c r="P2076" s="13"/>
      <c r="Q2076" s="12" t="str">
        <f t="shared" si="395"/>
        <v>1803</v>
      </c>
      <c r="R2076" s="13"/>
      <c r="S2076" s="12" t="str">
        <f t="shared" si="396"/>
        <v/>
      </c>
      <c r="T2076" s="13" t="s">
        <v>331</v>
      </c>
      <c r="U2076" s="13" t="s">
        <v>14988</v>
      </c>
      <c r="V2076" s="12" t="str">
        <f t="shared" si="397"/>
        <v>1826</v>
      </c>
      <c r="W2076" s="13" t="s">
        <v>819</v>
      </c>
      <c r="X2076" s="13" t="s">
        <v>5473</v>
      </c>
      <c r="Y2076" s="13"/>
      <c r="Z2076" s="13"/>
      <c r="AA2076" s="13"/>
      <c r="AB2076" s="13"/>
      <c r="AC2076" s="13"/>
      <c r="AD2076" s="13"/>
      <c r="AE2076" s="13"/>
      <c r="AF2076" s="13" t="s">
        <v>3728</v>
      </c>
      <c r="AG2076" s="13" t="s">
        <v>346</v>
      </c>
      <c r="AH2076" s="13" t="s">
        <v>14085</v>
      </c>
      <c r="AI2076" s="12" t="str">
        <f t="shared" si="398"/>
        <v>1837</v>
      </c>
      <c r="AJ2076" s="13" t="s">
        <v>5423</v>
      </c>
      <c r="AK2076" s="13" t="s">
        <v>140</v>
      </c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2"/>
      <c r="BI2076" s="12"/>
      <c r="BJ2076" s="12"/>
      <c r="BK2076" s="12"/>
      <c r="BL2076" s="12"/>
      <c r="BM2076" s="12"/>
      <c r="BN2076" s="12"/>
      <c r="BO2076" s="12"/>
      <c r="BP2076" s="12"/>
      <c r="BQ2076" s="12"/>
      <c r="BR2076" s="12"/>
      <c r="BS2076" s="12"/>
      <c r="BT2076" s="12"/>
      <c r="BU2076" s="12"/>
      <c r="BV2076" s="12"/>
      <c r="BW2076" s="12"/>
      <c r="BX2076" s="12"/>
      <c r="BY2076" s="12"/>
      <c r="BZ2076" s="12"/>
      <c r="CA2076" s="12"/>
      <c r="CB2076" s="12"/>
      <c r="CC2076" s="12"/>
      <c r="CD2076" s="12"/>
    </row>
    <row r="2077" spans="1:82">
      <c r="A2077" s="13" t="s">
        <v>636</v>
      </c>
      <c r="B2077" s="12" t="str">
        <f t="shared" si="390"/>
        <v>VANSTADEN</v>
      </c>
      <c r="C2077" s="12" t="str">
        <f t="shared" si="391"/>
        <v>VAN STADEN</v>
      </c>
      <c r="D2077" s="13" t="s">
        <v>201</v>
      </c>
      <c r="E2077" s="12" t="str">
        <f t="shared" si="401"/>
        <v>Petrus Johannes</v>
      </c>
      <c r="F2077" s="13" t="s">
        <v>6040</v>
      </c>
      <c r="G2077" s="12" t="str">
        <f t="shared" si="392"/>
        <v>a1b1c2d6e6f1g4</v>
      </c>
      <c r="H2077" s="12" t="str">
        <f t="shared" si="393"/>
        <v>VAN STADENa1b1c2d6e6f1g4</v>
      </c>
      <c r="I2077" s="13" t="s">
        <v>74</v>
      </c>
      <c r="J2077" s="13" t="s">
        <v>6041</v>
      </c>
      <c r="K2077" s="12" t="str">
        <f t="shared" si="394"/>
        <v>1825</v>
      </c>
      <c r="L2077" s="13" t="s">
        <v>366</v>
      </c>
      <c r="M2077" s="13" t="s">
        <v>6042</v>
      </c>
      <c r="N2077" s="12" t="str">
        <f t="shared" si="399"/>
        <v>1825</v>
      </c>
      <c r="O2077" s="12" t="str">
        <f t="shared" si="400"/>
        <v>1826</v>
      </c>
      <c r="P2077" s="13" t="s">
        <v>2625</v>
      </c>
      <c r="Q2077" s="12" t="str">
        <f t="shared" si="395"/>
        <v>1825</v>
      </c>
      <c r="R2077" s="13" t="s">
        <v>9197</v>
      </c>
      <c r="S2077" s="12" t="str">
        <f t="shared" si="396"/>
        <v>1886</v>
      </c>
      <c r="T2077" s="13" t="s">
        <v>140</v>
      </c>
      <c r="U2077" s="13" t="s">
        <v>2643</v>
      </c>
      <c r="V2077" s="12" t="str">
        <f t="shared" si="397"/>
        <v>1845</v>
      </c>
      <c r="W2077" s="13" t="s">
        <v>3389</v>
      </c>
      <c r="X2077" s="13" t="s">
        <v>636</v>
      </c>
      <c r="Y2077" s="13"/>
      <c r="Z2077" s="13"/>
      <c r="AA2077" s="13">
        <v>1829</v>
      </c>
      <c r="AB2077" s="13"/>
      <c r="AC2077" s="13"/>
      <c r="AD2077" s="13"/>
      <c r="AE2077" s="13"/>
      <c r="AF2077" s="13" t="s">
        <v>3703</v>
      </c>
      <c r="AG2077" s="13" t="s">
        <v>366</v>
      </c>
      <c r="AH2077" s="13"/>
      <c r="AI2077" s="12" t="str">
        <f t="shared" si="398"/>
        <v/>
      </c>
      <c r="AJ2077" s="13"/>
      <c r="AK2077" s="13"/>
      <c r="AL2077" s="13"/>
      <c r="AM2077" s="13"/>
      <c r="AN2077" s="13" t="s">
        <v>2472</v>
      </c>
      <c r="AO2077" s="13" t="s">
        <v>669</v>
      </c>
      <c r="AP2077" s="13"/>
      <c r="AQ2077" s="13"/>
      <c r="AR2077" s="13">
        <v>1843</v>
      </c>
      <c r="AS2077" s="13"/>
      <c r="AT2077" s="13"/>
      <c r="AU2077" s="13" t="s">
        <v>2625</v>
      </c>
      <c r="AV2077" s="13" t="s">
        <v>15005</v>
      </c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2"/>
      <c r="BI2077" s="12"/>
      <c r="BJ2077" s="12"/>
      <c r="BK2077" s="12"/>
      <c r="BL2077" s="12"/>
      <c r="BM2077" s="12"/>
      <c r="BN2077" s="12"/>
      <c r="BO2077" s="12"/>
      <c r="BP2077" s="12"/>
      <c r="BQ2077" s="12"/>
      <c r="BR2077" s="12"/>
      <c r="BS2077" s="12"/>
      <c r="BT2077" s="12"/>
      <c r="BU2077" s="12"/>
      <c r="BV2077" s="12"/>
      <c r="BW2077" s="12"/>
      <c r="BX2077" s="12"/>
      <c r="BY2077" s="12"/>
      <c r="BZ2077" s="12"/>
      <c r="CA2077" s="12"/>
      <c r="CB2077" s="12"/>
      <c r="CC2077" s="12"/>
      <c r="CD2077" s="12"/>
    </row>
    <row r="2078" spans="1:82">
      <c r="A2078" s="13" t="s">
        <v>636</v>
      </c>
      <c r="B2078" s="12" t="str">
        <f t="shared" si="390"/>
        <v>VANSTADEN</v>
      </c>
      <c r="C2078" s="12" t="str">
        <f t="shared" si="391"/>
        <v>VAN STADEN</v>
      </c>
      <c r="D2078" s="13" t="s">
        <v>6021</v>
      </c>
      <c r="E2078" s="12" t="str">
        <f t="shared" si="401"/>
        <v>Johannes Jurie</v>
      </c>
      <c r="F2078" s="13" t="s">
        <v>6022</v>
      </c>
      <c r="G2078" s="12" t="str">
        <f t="shared" si="392"/>
        <v>a1b1c2d6e8f3</v>
      </c>
      <c r="H2078" s="12" t="str">
        <f t="shared" si="393"/>
        <v>VAN STADENa1b1c2d6e8f3</v>
      </c>
      <c r="I2078" s="13"/>
      <c r="J2078" s="13" t="s">
        <v>6023</v>
      </c>
      <c r="K2078" s="12" t="str">
        <f t="shared" si="394"/>
        <v>1806</v>
      </c>
      <c r="L2078" s="13"/>
      <c r="M2078" s="13" t="s">
        <v>6024</v>
      </c>
      <c r="N2078" s="12" t="str">
        <f t="shared" si="399"/>
        <v>1806</v>
      </c>
      <c r="O2078" s="12" t="str">
        <f t="shared" si="400"/>
        <v>1807</v>
      </c>
      <c r="P2078" s="13" t="s">
        <v>14989</v>
      </c>
      <c r="Q2078" s="12" t="str">
        <f t="shared" si="395"/>
        <v>1806</v>
      </c>
      <c r="R2078" s="13" t="s">
        <v>14990</v>
      </c>
      <c r="S2078" s="12" t="str">
        <f t="shared" si="396"/>
        <v>1898</v>
      </c>
      <c r="T2078" s="13" t="s">
        <v>53</v>
      </c>
      <c r="U2078" s="13" t="s">
        <v>8057</v>
      </c>
      <c r="V2078" s="12" t="str">
        <f t="shared" si="397"/>
        <v>1826</v>
      </c>
      <c r="W2078" s="13" t="s">
        <v>4779</v>
      </c>
      <c r="X2078" s="13" t="s">
        <v>662</v>
      </c>
      <c r="Y2078" s="13" t="s">
        <v>6623</v>
      </c>
      <c r="Z2078" s="13"/>
      <c r="AA2078" s="13"/>
      <c r="AB2078" s="13"/>
      <c r="AC2078" s="13" t="s">
        <v>3398</v>
      </c>
      <c r="AD2078" s="13" t="s">
        <v>14989</v>
      </c>
      <c r="AE2078" s="13" t="s">
        <v>14991</v>
      </c>
      <c r="AF2078" s="13"/>
      <c r="AG2078" s="13" t="s">
        <v>53</v>
      </c>
      <c r="AH2078" s="13" t="s">
        <v>8716</v>
      </c>
      <c r="AI2078" s="12" t="str">
        <f t="shared" si="398"/>
        <v>1842</v>
      </c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2"/>
      <c r="BI2078" s="12"/>
      <c r="BJ2078" s="12"/>
      <c r="BK2078" s="12"/>
      <c r="BL2078" s="12"/>
      <c r="BM2078" s="12"/>
      <c r="BN2078" s="12"/>
      <c r="BO2078" s="12"/>
      <c r="BP2078" s="12"/>
      <c r="BQ2078" s="12"/>
      <c r="BR2078" s="12"/>
      <c r="BS2078" s="12"/>
      <c r="BT2078" s="12"/>
      <c r="BU2078" s="12"/>
      <c r="BV2078" s="12"/>
      <c r="BW2078" s="12"/>
      <c r="BX2078" s="12"/>
      <c r="BY2078" s="12"/>
      <c r="BZ2078" s="12"/>
      <c r="CA2078" s="12"/>
      <c r="CB2078" s="12"/>
      <c r="CC2078" s="12"/>
      <c r="CD2078" s="12"/>
    </row>
    <row r="2079" spans="1:82">
      <c r="A2079" s="13" t="s">
        <v>636</v>
      </c>
      <c r="B2079" s="12" t="str">
        <f t="shared" si="390"/>
        <v>VANSTADEN</v>
      </c>
      <c r="C2079" s="12" t="str">
        <f t="shared" si="391"/>
        <v>VAN STADEN</v>
      </c>
      <c r="D2079" s="13" t="s">
        <v>6054</v>
      </c>
      <c r="E2079" s="12" t="str">
        <f t="shared" si="401"/>
        <v>Philippus Theunis</v>
      </c>
      <c r="F2079" s="13" t="s">
        <v>6060</v>
      </c>
      <c r="G2079" s="12" t="str">
        <f t="shared" si="392"/>
        <v>a1b1c2d6e9</v>
      </c>
      <c r="H2079" s="12" t="str">
        <f t="shared" si="393"/>
        <v>VAN STADENa1b1c2d6e9</v>
      </c>
      <c r="I2079" s="13"/>
      <c r="J2079" s="13"/>
      <c r="K2079" s="12" t="str">
        <f t="shared" si="394"/>
        <v/>
      </c>
      <c r="L2079" s="13"/>
      <c r="M2079" s="13" t="s">
        <v>6061</v>
      </c>
      <c r="N2079" s="12" t="str">
        <f t="shared" si="399"/>
        <v/>
      </c>
      <c r="O2079" s="12" t="str">
        <f t="shared" si="400"/>
        <v>1778</v>
      </c>
      <c r="P2079" s="13"/>
      <c r="Q2079" s="12" t="str">
        <f t="shared" si="395"/>
        <v>1778</v>
      </c>
      <c r="R2079" s="13"/>
      <c r="S2079" s="12" t="str">
        <f t="shared" si="396"/>
        <v/>
      </c>
      <c r="T2079" s="13" t="s">
        <v>6098</v>
      </c>
      <c r="U2079" s="13" t="s">
        <v>12984</v>
      </c>
      <c r="V2079" s="12" t="str">
        <f t="shared" si="397"/>
        <v>1804</v>
      </c>
      <c r="W2079" s="13" t="s">
        <v>9483</v>
      </c>
      <c r="X2079" s="13" t="s">
        <v>3799</v>
      </c>
      <c r="Y2079" s="13"/>
      <c r="Z2079" s="13"/>
      <c r="AA2079" s="13"/>
      <c r="AB2079" s="13"/>
      <c r="AC2079" s="13"/>
      <c r="AD2079" s="13"/>
      <c r="AE2079" s="13"/>
      <c r="AF2079" s="13" t="s">
        <v>3724</v>
      </c>
      <c r="AG2079" s="13" t="s">
        <v>53</v>
      </c>
      <c r="AH2079" s="13">
        <v>1838</v>
      </c>
      <c r="AI2079" s="12" t="str">
        <f t="shared" si="398"/>
        <v>1838</v>
      </c>
      <c r="AJ2079" s="13"/>
      <c r="AK2079" s="13" t="s">
        <v>90</v>
      </c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2"/>
      <c r="BI2079" s="12"/>
      <c r="BJ2079" s="12"/>
      <c r="BK2079" s="12"/>
      <c r="BL2079" s="12"/>
      <c r="BM2079" s="12"/>
      <c r="BN2079" s="12"/>
      <c r="BO2079" s="12"/>
      <c r="BP2079" s="12"/>
      <c r="BQ2079" s="12"/>
      <c r="BR2079" s="12"/>
      <c r="BS2079" s="12"/>
      <c r="BT2079" s="12"/>
      <c r="BU2079" s="12"/>
      <c r="BV2079" s="12"/>
      <c r="BW2079" s="12"/>
      <c r="BX2079" s="12"/>
      <c r="BY2079" s="12"/>
      <c r="BZ2079" s="12"/>
      <c r="CA2079" s="12"/>
      <c r="CB2079" s="12"/>
      <c r="CC2079" s="12"/>
      <c r="CD2079" s="12"/>
    </row>
    <row r="2080" spans="1:82">
      <c r="A2080" s="13" t="s">
        <v>636</v>
      </c>
      <c r="B2080" s="12" t="str">
        <f t="shared" si="390"/>
        <v>VANSTADEN</v>
      </c>
      <c r="C2080" s="12" t="str">
        <f t="shared" si="391"/>
        <v>VAN STADEN</v>
      </c>
      <c r="D2080" s="13" t="s">
        <v>1222</v>
      </c>
      <c r="E2080" s="12" t="str">
        <f t="shared" si="401"/>
        <v>Jacobus Frederik</v>
      </c>
      <c r="F2080" s="13" t="s">
        <v>6012</v>
      </c>
      <c r="G2080" s="12" t="str">
        <f t="shared" si="392"/>
        <v>a1b1c2d6e9f1</v>
      </c>
      <c r="H2080" s="12" t="str">
        <f t="shared" si="393"/>
        <v>VAN STADENa1b1c2d6e9f1</v>
      </c>
      <c r="I2080" s="13"/>
      <c r="J2080" s="13" t="s">
        <v>6013</v>
      </c>
      <c r="K2080" s="12" t="str">
        <f t="shared" si="394"/>
        <v>1805</v>
      </c>
      <c r="L2080" s="13"/>
      <c r="M2080" s="13" t="s">
        <v>6014</v>
      </c>
      <c r="N2080" s="12" t="str">
        <f t="shared" si="399"/>
        <v>1805</v>
      </c>
      <c r="O2080" s="12" t="str">
        <f t="shared" si="400"/>
        <v>1806</v>
      </c>
      <c r="P2080" s="13" t="s">
        <v>11991</v>
      </c>
      <c r="Q2080" s="12" t="str">
        <f t="shared" si="395"/>
        <v>1805</v>
      </c>
      <c r="R2080" s="15" t="s">
        <v>15771</v>
      </c>
      <c r="S2080" s="12">
        <v>1901</v>
      </c>
      <c r="T2080" s="13" t="s">
        <v>53</v>
      </c>
      <c r="U2080" s="13" t="s">
        <v>14975</v>
      </c>
      <c r="V2080" s="12" t="str">
        <f t="shared" si="397"/>
        <v>1825</v>
      </c>
      <c r="W2080" s="13" t="s">
        <v>644</v>
      </c>
      <c r="X2080" s="13" t="s">
        <v>2547</v>
      </c>
      <c r="Y2080" s="13" t="s">
        <v>14976</v>
      </c>
      <c r="Z2080" s="13"/>
      <c r="AA2080" s="13"/>
      <c r="AB2080" s="13"/>
      <c r="AC2080" s="13" t="s">
        <v>14977</v>
      </c>
      <c r="AD2080" s="13" t="s">
        <v>1872</v>
      </c>
      <c r="AE2080" s="13">
        <v>1857</v>
      </c>
      <c r="AF2080" s="13" t="s">
        <v>3724</v>
      </c>
      <c r="AG2080" s="13" t="s">
        <v>53</v>
      </c>
      <c r="AH2080" s="13"/>
      <c r="AI2080" s="12" t="str">
        <f t="shared" si="398"/>
        <v/>
      </c>
      <c r="AJ2080" s="13"/>
      <c r="AK2080" s="13" t="s">
        <v>90</v>
      </c>
      <c r="AL2080" s="13"/>
      <c r="AM2080" s="13" t="s">
        <v>14978</v>
      </c>
      <c r="AN2080" s="13" t="s">
        <v>2958</v>
      </c>
      <c r="AO2080" s="13" t="s">
        <v>726</v>
      </c>
      <c r="AP2080" s="13"/>
      <c r="AQ2080" s="13"/>
      <c r="AR2080" s="13" t="s">
        <v>14979</v>
      </c>
      <c r="AS2080" s="13" t="s">
        <v>168</v>
      </c>
      <c r="AT2080" s="13" t="s">
        <v>14980</v>
      </c>
      <c r="AU2080" s="13"/>
      <c r="AV2080" s="15">
        <v>920</v>
      </c>
      <c r="AW2080" s="13"/>
      <c r="AX2080" s="13"/>
      <c r="AY2080" s="13"/>
      <c r="AZ2080" s="13"/>
      <c r="BA2080" s="13"/>
      <c r="BB2080" s="13"/>
      <c r="BC2080" s="13"/>
      <c r="BD2080" s="13"/>
      <c r="BE2080" s="13"/>
      <c r="BF2080" s="13"/>
      <c r="BG2080" s="13"/>
      <c r="BH2080" s="12"/>
      <c r="BI2080" s="12"/>
      <c r="BJ2080" s="12"/>
      <c r="BK2080" s="12"/>
      <c r="BL2080" s="12"/>
      <c r="BM2080" s="12"/>
      <c r="BN2080" s="12"/>
      <c r="BO2080" s="12"/>
      <c r="BP2080" s="12"/>
      <c r="BQ2080" s="12"/>
      <c r="BR2080" s="12"/>
      <c r="BS2080" s="12"/>
      <c r="BT2080" s="12"/>
      <c r="BU2080" s="12"/>
      <c r="BV2080" s="12"/>
      <c r="BW2080" s="12"/>
      <c r="BX2080" s="12"/>
      <c r="BY2080" s="12"/>
      <c r="BZ2080" s="12"/>
      <c r="CA2080" s="12"/>
      <c r="CB2080" s="12"/>
      <c r="CC2080" s="12"/>
      <c r="CD2080" s="12"/>
    </row>
    <row r="2081" spans="1:82">
      <c r="A2081" s="13" t="s">
        <v>636</v>
      </c>
      <c r="B2081" s="12" t="str">
        <f t="shared" si="390"/>
        <v>VANSTADEN</v>
      </c>
      <c r="C2081" s="12" t="str">
        <f t="shared" si="391"/>
        <v>VAN STADEN</v>
      </c>
      <c r="D2081" s="13" t="s">
        <v>6054</v>
      </c>
      <c r="E2081" s="12" t="str">
        <f t="shared" si="401"/>
        <v>Philippus Theunis</v>
      </c>
      <c r="F2081" s="13" t="s">
        <v>6055</v>
      </c>
      <c r="G2081" s="12" t="str">
        <f t="shared" si="392"/>
        <v>a1b1c2d6e9f1g1</v>
      </c>
      <c r="H2081" s="12" t="str">
        <f t="shared" si="393"/>
        <v>VAN STADENa1b1c2d6e9f1g1</v>
      </c>
      <c r="I2081" s="13"/>
      <c r="J2081" s="13" t="s">
        <v>6056</v>
      </c>
      <c r="K2081" s="12" t="str">
        <f t="shared" si="394"/>
        <v>1825</v>
      </c>
      <c r="L2081" s="13"/>
      <c r="M2081" s="13" t="s">
        <v>6057</v>
      </c>
      <c r="N2081" s="12" t="str">
        <f t="shared" si="399"/>
        <v>1825</v>
      </c>
      <c r="O2081" s="12" t="str">
        <f t="shared" si="400"/>
        <v>1825</v>
      </c>
      <c r="P2081" s="13" t="s">
        <v>2625</v>
      </c>
      <c r="Q2081" s="12" t="str">
        <f t="shared" si="395"/>
        <v>1825</v>
      </c>
      <c r="R2081" s="13">
        <v>1884</v>
      </c>
      <c r="S2081" s="12" t="str">
        <f t="shared" si="396"/>
        <v>1884</v>
      </c>
      <c r="T2081" s="13" t="s">
        <v>1185</v>
      </c>
      <c r="U2081" s="13" t="s">
        <v>8721</v>
      </c>
      <c r="V2081" s="12" t="str">
        <f t="shared" si="397"/>
        <v>1848</v>
      </c>
      <c r="W2081" s="13" t="s">
        <v>3499</v>
      </c>
      <c r="X2081" s="13" t="s">
        <v>661</v>
      </c>
      <c r="Y2081" s="13"/>
      <c r="Z2081" s="13"/>
      <c r="AA2081" s="13"/>
      <c r="AB2081" s="13"/>
      <c r="AC2081" s="13"/>
      <c r="AD2081" s="13"/>
      <c r="AE2081" s="13"/>
      <c r="AF2081" s="13" t="s">
        <v>3724</v>
      </c>
      <c r="AG2081" s="13" t="s">
        <v>53</v>
      </c>
      <c r="AH2081" s="13"/>
      <c r="AI2081" s="12" t="str">
        <f t="shared" si="398"/>
        <v/>
      </c>
      <c r="AJ2081" s="13"/>
      <c r="AK2081" s="13" t="s">
        <v>90</v>
      </c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2"/>
      <c r="BI2081" s="12"/>
      <c r="BJ2081" s="12"/>
      <c r="BK2081" s="12"/>
      <c r="BL2081" s="12"/>
      <c r="BM2081" s="12"/>
      <c r="BN2081" s="12"/>
      <c r="BO2081" s="12"/>
      <c r="BP2081" s="12"/>
      <c r="BQ2081" s="12"/>
      <c r="BR2081" s="12"/>
      <c r="BS2081" s="12"/>
      <c r="BT2081" s="12"/>
      <c r="BU2081" s="12"/>
      <c r="BV2081" s="12"/>
      <c r="BW2081" s="12"/>
      <c r="BX2081" s="12"/>
      <c r="BY2081" s="12"/>
      <c r="BZ2081" s="12"/>
      <c r="CA2081" s="12"/>
      <c r="CB2081" s="12"/>
      <c r="CC2081" s="12"/>
      <c r="CD2081" s="12"/>
    </row>
    <row r="2082" spans="1:82">
      <c r="A2082" s="13" t="s">
        <v>636</v>
      </c>
      <c r="B2082" s="12" t="str">
        <f t="shared" si="390"/>
        <v>VANSTADEN</v>
      </c>
      <c r="C2082" s="12" t="str">
        <f t="shared" si="391"/>
        <v>VAN STADEN</v>
      </c>
      <c r="D2082" s="13" t="s">
        <v>2782</v>
      </c>
      <c r="E2082" s="12" t="str">
        <f t="shared" si="401"/>
        <v>Gerhardus Stephanus</v>
      </c>
      <c r="F2082" s="13" t="s">
        <v>6005</v>
      </c>
      <c r="G2082" s="12" t="str">
        <f t="shared" si="392"/>
        <v>a1b1c2d6e9f2</v>
      </c>
      <c r="H2082" s="12" t="str">
        <f t="shared" si="393"/>
        <v>VAN STADENa1b1c2d6e9f2</v>
      </c>
      <c r="I2082" s="13"/>
      <c r="J2082" s="13"/>
      <c r="K2082" s="12" t="str">
        <f t="shared" si="394"/>
        <v/>
      </c>
      <c r="L2082" s="13"/>
      <c r="M2082" s="13" t="s">
        <v>3835</v>
      </c>
      <c r="N2082" s="12" t="str">
        <f t="shared" si="399"/>
        <v/>
      </c>
      <c r="O2082" s="12" t="str">
        <f t="shared" si="400"/>
        <v>1808</v>
      </c>
      <c r="P2082" s="13" t="s">
        <v>90</v>
      </c>
      <c r="Q2082" s="12" t="str">
        <f t="shared" si="395"/>
        <v>1808</v>
      </c>
      <c r="R2082" s="13" t="s">
        <v>2765</v>
      </c>
      <c r="S2082" s="12" t="str">
        <f t="shared" si="396"/>
        <v>1838</v>
      </c>
      <c r="T2082" s="13" t="s">
        <v>53</v>
      </c>
      <c r="U2082" s="13" t="s">
        <v>2135</v>
      </c>
      <c r="V2082" s="12" t="str">
        <f t="shared" si="397"/>
        <v>1828</v>
      </c>
      <c r="W2082" s="13" t="s">
        <v>644</v>
      </c>
      <c r="X2082" s="13" t="s">
        <v>696</v>
      </c>
      <c r="Y2082" s="13" t="s">
        <v>14964</v>
      </c>
      <c r="Z2082" s="13"/>
      <c r="AA2082" s="13"/>
      <c r="AB2082" s="13"/>
      <c r="AC2082" s="13" t="s">
        <v>3478</v>
      </c>
      <c r="AD2082" s="13"/>
      <c r="AE2082" s="13"/>
      <c r="AF2082" s="13" t="s">
        <v>3728</v>
      </c>
      <c r="AG2082" s="13" t="s">
        <v>346</v>
      </c>
      <c r="AH2082" s="13" t="s">
        <v>14085</v>
      </c>
      <c r="AI2082" s="12" t="str">
        <f t="shared" si="398"/>
        <v>1837</v>
      </c>
      <c r="AJ2082" s="13" t="s">
        <v>1502</v>
      </c>
      <c r="AK2082" s="13"/>
      <c r="AL2082" s="13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/>
      <c r="BF2082" s="13"/>
      <c r="BG2082" s="13"/>
      <c r="BH2082" s="12"/>
      <c r="BI2082" s="12"/>
      <c r="BJ2082" s="12"/>
      <c r="BK2082" s="12"/>
      <c r="BL2082" s="12"/>
      <c r="BM2082" s="12"/>
      <c r="BN2082" s="12"/>
      <c r="BO2082" s="12"/>
      <c r="BP2082" s="12"/>
      <c r="BQ2082" s="12"/>
      <c r="BR2082" s="12"/>
      <c r="BS2082" s="12"/>
      <c r="BT2082" s="12"/>
      <c r="BU2082" s="12"/>
      <c r="BV2082" s="12"/>
      <c r="BW2082" s="12"/>
      <c r="BX2082" s="12"/>
      <c r="BY2082" s="12"/>
      <c r="BZ2082" s="12"/>
      <c r="CA2082" s="12"/>
      <c r="CB2082" s="12"/>
      <c r="CC2082" s="12"/>
      <c r="CD2082" s="12"/>
    </row>
    <row r="2083" spans="1:82">
      <c r="A2083" s="13" t="s">
        <v>636</v>
      </c>
      <c r="B2083" s="12" t="str">
        <f t="shared" si="390"/>
        <v>VANSTADEN</v>
      </c>
      <c r="C2083" s="12" t="str">
        <f t="shared" si="391"/>
        <v>VAN STADEN</v>
      </c>
      <c r="D2083" s="13" t="s">
        <v>6032</v>
      </c>
      <c r="E2083" s="12" t="str">
        <f t="shared" si="401"/>
        <v>Marthinus Petrus</v>
      </c>
      <c r="F2083" s="13" t="s">
        <v>6033</v>
      </c>
      <c r="G2083" s="12" t="str">
        <f t="shared" si="392"/>
        <v>a1b1c2d7e1</v>
      </c>
      <c r="H2083" s="12" t="str">
        <f t="shared" si="393"/>
        <v>VAN STADENa1b1c2d7e1</v>
      </c>
      <c r="I2083" s="13"/>
      <c r="J2083" s="13"/>
      <c r="K2083" s="12" t="str">
        <f t="shared" si="394"/>
        <v/>
      </c>
      <c r="L2083" s="13"/>
      <c r="M2083" s="13" t="s">
        <v>6034</v>
      </c>
      <c r="N2083" s="12" t="str">
        <f t="shared" si="399"/>
        <v/>
      </c>
      <c r="O2083" s="12" t="str">
        <f t="shared" si="400"/>
        <v>1775</v>
      </c>
      <c r="P2083" s="13"/>
      <c r="Q2083" s="12" t="str">
        <f t="shared" si="395"/>
        <v>1775</v>
      </c>
      <c r="R2083" s="13"/>
      <c r="S2083" s="12" t="str">
        <f t="shared" si="396"/>
        <v/>
      </c>
      <c r="T2083" s="13"/>
      <c r="U2083" s="13" t="s">
        <v>14999</v>
      </c>
      <c r="V2083" s="12" t="str">
        <f t="shared" si="397"/>
        <v>1798</v>
      </c>
      <c r="W2083" s="13" t="s">
        <v>2421</v>
      </c>
      <c r="X2083" s="13" t="s">
        <v>662</v>
      </c>
      <c r="Y2083" s="13" t="s">
        <v>886</v>
      </c>
      <c r="Z2083" s="13"/>
      <c r="AA2083" s="13"/>
      <c r="AB2083" s="13"/>
      <c r="AC2083" s="13">
        <v>1777</v>
      </c>
      <c r="AD2083" s="13"/>
      <c r="AE2083" s="13"/>
      <c r="AF2083" s="13" t="s">
        <v>570</v>
      </c>
      <c r="AG2083" s="13" t="s">
        <v>53</v>
      </c>
      <c r="AH2083" s="13" t="s">
        <v>14085</v>
      </c>
      <c r="AI2083" s="12" t="str">
        <f t="shared" si="398"/>
        <v>1837</v>
      </c>
      <c r="AJ2083" s="13" t="s">
        <v>1502</v>
      </c>
      <c r="AK2083" s="13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2"/>
      <c r="BI2083" s="12"/>
      <c r="BJ2083" s="12"/>
      <c r="BK2083" s="12"/>
      <c r="BL2083" s="12"/>
      <c r="BM2083" s="12"/>
      <c r="BN2083" s="12"/>
      <c r="BO2083" s="12"/>
      <c r="BP2083" s="12"/>
      <c r="BQ2083" s="12"/>
      <c r="BR2083" s="12"/>
      <c r="BS2083" s="12"/>
      <c r="BT2083" s="12"/>
      <c r="BU2083" s="12"/>
      <c r="BV2083" s="12"/>
      <c r="BW2083" s="12"/>
      <c r="BX2083" s="12"/>
      <c r="BY2083" s="12"/>
      <c r="BZ2083" s="12"/>
      <c r="CA2083" s="12"/>
      <c r="CB2083" s="12"/>
      <c r="CC2083" s="12"/>
      <c r="CD2083" s="12"/>
    </row>
    <row r="2084" spans="1:82">
      <c r="A2084" s="13" t="s">
        <v>636</v>
      </c>
      <c r="B2084" s="12" t="str">
        <f t="shared" si="390"/>
        <v>VANSTADEN</v>
      </c>
      <c r="C2084" s="12" t="str">
        <f t="shared" si="391"/>
        <v>VAN STADEN</v>
      </c>
      <c r="D2084" s="13" t="s">
        <v>6025</v>
      </c>
      <c r="E2084" s="12" t="str">
        <f t="shared" si="401"/>
        <v>Marthinus Jacobus</v>
      </c>
      <c r="F2084" s="13" t="s">
        <v>6029</v>
      </c>
      <c r="G2084" s="12" t="str">
        <f t="shared" si="392"/>
        <v>a1b1c2d7e1f2</v>
      </c>
      <c r="H2084" s="12" t="str">
        <f t="shared" si="393"/>
        <v>VAN STADENa1b1c2d7e1f2</v>
      </c>
      <c r="I2084" s="13"/>
      <c r="J2084" s="13"/>
      <c r="K2084" s="12" t="str">
        <f t="shared" si="394"/>
        <v/>
      </c>
      <c r="L2084" s="13"/>
      <c r="M2084" s="13" t="s">
        <v>3470</v>
      </c>
      <c r="N2084" s="12" t="str">
        <f t="shared" si="399"/>
        <v/>
      </c>
      <c r="O2084" s="12" t="str">
        <f t="shared" si="400"/>
        <v>1804</v>
      </c>
      <c r="P2084" s="13" t="s">
        <v>14993</v>
      </c>
      <c r="Q2084" s="12" t="str">
        <f t="shared" si="395"/>
        <v>1804</v>
      </c>
      <c r="R2084" s="13" t="s">
        <v>14994</v>
      </c>
      <c r="S2084" s="12" t="str">
        <f t="shared" si="396"/>
        <v>1863</v>
      </c>
      <c r="T2084" s="13"/>
      <c r="U2084" s="13"/>
      <c r="V2084" s="12" t="str">
        <f t="shared" si="397"/>
        <v/>
      </c>
      <c r="W2084" s="13" t="s">
        <v>747</v>
      </c>
      <c r="X2084" s="13" t="s">
        <v>1136</v>
      </c>
      <c r="Y2084" s="13"/>
      <c r="Z2084" s="13"/>
      <c r="AA2084" s="13"/>
      <c r="AB2084" s="13"/>
      <c r="AC2084" s="13"/>
      <c r="AD2084" s="13"/>
      <c r="AE2084" s="13"/>
      <c r="AF2084" s="13" t="s">
        <v>570</v>
      </c>
      <c r="AG2084" s="13" t="s">
        <v>53</v>
      </c>
      <c r="AH2084" s="13" t="s">
        <v>14085</v>
      </c>
      <c r="AI2084" s="12" t="str">
        <f t="shared" si="398"/>
        <v>1837</v>
      </c>
      <c r="AJ2084" s="13" t="s">
        <v>5423</v>
      </c>
      <c r="AK2084" s="13"/>
      <c r="AL2084" s="13" t="s">
        <v>140</v>
      </c>
      <c r="AM2084" s="13" t="s">
        <v>5735</v>
      </c>
      <c r="AN2084" s="13" t="s">
        <v>14995</v>
      </c>
      <c r="AO2084" s="13" t="s">
        <v>236</v>
      </c>
      <c r="AP2084" s="13" t="s">
        <v>3010</v>
      </c>
      <c r="AQ2084" s="13"/>
      <c r="AR2084" s="13" t="s">
        <v>14996</v>
      </c>
      <c r="AS2084" s="13"/>
      <c r="AT2084" s="13"/>
      <c r="AU2084" s="13" t="s">
        <v>1317</v>
      </c>
      <c r="AV2084" s="13" t="s">
        <v>14997</v>
      </c>
      <c r="AW2084" s="13"/>
      <c r="AX2084" s="13"/>
      <c r="AY2084" s="13" t="s">
        <v>3581</v>
      </c>
      <c r="AZ2084" s="13" t="s">
        <v>3573</v>
      </c>
      <c r="BA2084" s="13"/>
      <c r="BB2084" s="13">
        <v>1864</v>
      </c>
      <c r="BC2084" s="13"/>
      <c r="BD2084" s="13"/>
      <c r="BE2084" s="13"/>
      <c r="BF2084" s="13"/>
      <c r="BG2084" s="13"/>
      <c r="BH2084" s="12"/>
      <c r="BI2084" s="12"/>
      <c r="BJ2084" s="12"/>
      <c r="BK2084" s="12"/>
      <c r="BL2084" s="12"/>
      <c r="BM2084" s="12"/>
      <c r="BN2084" s="12"/>
      <c r="BO2084" s="12"/>
      <c r="BP2084" s="12"/>
      <c r="BQ2084" s="12"/>
      <c r="BR2084" s="12"/>
      <c r="BS2084" s="12"/>
      <c r="BT2084" s="12"/>
      <c r="BU2084" s="12"/>
      <c r="BV2084" s="12"/>
      <c r="BW2084" s="12"/>
      <c r="BX2084" s="12"/>
      <c r="BY2084" s="12"/>
      <c r="BZ2084" s="12"/>
      <c r="CA2084" s="12"/>
      <c r="CB2084" s="12"/>
      <c r="CC2084" s="12"/>
      <c r="CD2084" s="12"/>
    </row>
    <row r="2085" spans="1:82">
      <c r="A2085" s="13" t="s">
        <v>636</v>
      </c>
      <c r="B2085" s="12" t="str">
        <f t="shared" si="390"/>
        <v>VANSTADEN</v>
      </c>
      <c r="C2085" s="12" t="str">
        <f t="shared" si="391"/>
        <v>VAN STADEN</v>
      </c>
      <c r="D2085" s="13" t="s">
        <v>201</v>
      </c>
      <c r="E2085" s="12" t="str">
        <f t="shared" si="401"/>
        <v>Petrus Johannes</v>
      </c>
      <c r="F2085" s="13" t="s">
        <v>6043</v>
      </c>
      <c r="G2085" s="12" t="str">
        <f t="shared" si="392"/>
        <v>a1b1c2d7e1f8</v>
      </c>
      <c r="H2085" s="12" t="str">
        <f t="shared" si="393"/>
        <v>VAN STADENa1b1c2d7e1f8</v>
      </c>
      <c r="I2085" s="13"/>
      <c r="J2085" s="13" t="s">
        <v>6044</v>
      </c>
      <c r="K2085" s="12" t="str">
        <f t="shared" si="394"/>
        <v>1823</v>
      </c>
      <c r="L2085" s="13" t="s">
        <v>53</v>
      </c>
      <c r="M2085" s="13" t="s">
        <v>6045</v>
      </c>
      <c r="N2085" s="12" t="str">
        <f t="shared" si="399"/>
        <v>1823</v>
      </c>
      <c r="O2085" s="12" t="str">
        <f t="shared" si="400"/>
        <v>1824</v>
      </c>
      <c r="P2085" s="13" t="s">
        <v>5307</v>
      </c>
      <c r="Q2085" s="12" t="str">
        <f t="shared" si="395"/>
        <v>1823</v>
      </c>
      <c r="R2085" s="13" t="s">
        <v>5375</v>
      </c>
      <c r="S2085" s="12" t="str">
        <f t="shared" si="396"/>
        <v>1897</v>
      </c>
      <c r="T2085" s="13"/>
      <c r="U2085" s="13"/>
      <c r="V2085" s="12" t="str">
        <f t="shared" si="397"/>
        <v/>
      </c>
      <c r="W2085" s="13" t="s">
        <v>15006</v>
      </c>
      <c r="X2085" s="13" t="s">
        <v>15007</v>
      </c>
      <c r="Y2085" s="13"/>
      <c r="Z2085" s="13"/>
      <c r="AA2085" s="13" t="s">
        <v>15008</v>
      </c>
      <c r="AB2085" s="13" t="s">
        <v>32</v>
      </c>
      <c r="AC2085" s="13" t="s">
        <v>4249</v>
      </c>
      <c r="AD2085" s="13" t="s">
        <v>1317</v>
      </c>
      <c r="AE2085" s="13" t="s">
        <v>15009</v>
      </c>
      <c r="AF2085" s="13" t="s">
        <v>570</v>
      </c>
      <c r="AG2085" s="13" t="s">
        <v>53</v>
      </c>
      <c r="AH2085" s="13"/>
      <c r="AI2085" s="12" t="str">
        <f t="shared" si="398"/>
        <v/>
      </c>
      <c r="AJ2085" s="13"/>
      <c r="AK2085" s="13"/>
      <c r="AL2085" s="13"/>
      <c r="AM2085" s="13"/>
      <c r="AN2085" s="13" t="s">
        <v>15010</v>
      </c>
      <c r="AO2085" s="13" t="s">
        <v>13592</v>
      </c>
      <c r="AP2085" s="13"/>
      <c r="AQ2085" s="13"/>
      <c r="AR2085" s="13">
        <v>1846</v>
      </c>
      <c r="AS2085" s="13"/>
      <c r="AT2085" s="13"/>
      <c r="AU2085" s="13"/>
      <c r="AV2085" s="13" t="s">
        <v>15011</v>
      </c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2"/>
      <c r="BI2085" s="12"/>
      <c r="BJ2085" s="12"/>
      <c r="BK2085" s="12"/>
      <c r="BL2085" s="12"/>
      <c r="BM2085" s="12"/>
      <c r="BN2085" s="12"/>
      <c r="BO2085" s="12"/>
      <c r="BP2085" s="12"/>
      <c r="BQ2085" s="12"/>
      <c r="BR2085" s="12"/>
      <c r="BS2085" s="12"/>
      <c r="BT2085" s="12"/>
      <c r="BU2085" s="12"/>
      <c r="BV2085" s="12"/>
      <c r="BW2085" s="12"/>
      <c r="BX2085" s="12"/>
      <c r="BY2085" s="12"/>
      <c r="BZ2085" s="12"/>
      <c r="CA2085" s="12"/>
      <c r="CB2085" s="12"/>
      <c r="CC2085" s="12"/>
      <c r="CD2085" s="12"/>
    </row>
    <row r="2086" spans="1:82">
      <c r="A2086" s="13" t="s">
        <v>636</v>
      </c>
      <c r="B2086" s="12" t="str">
        <f t="shared" si="390"/>
        <v>VANSTADEN</v>
      </c>
      <c r="C2086" s="12" t="str">
        <f t="shared" si="391"/>
        <v>VAN STADEN</v>
      </c>
      <c r="D2086" s="13" t="s">
        <v>1660</v>
      </c>
      <c r="E2086" s="12" t="str">
        <f t="shared" si="401"/>
        <v>Petrus</v>
      </c>
      <c r="F2086" s="13" t="s">
        <v>5134</v>
      </c>
      <c r="G2086" s="12" t="str">
        <f t="shared" si="392"/>
        <v>a1b6c2d8</v>
      </c>
      <c r="H2086" s="12" t="str">
        <f t="shared" si="393"/>
        <v>VAN STADENa1b6c2d8</v>
      </c>
      <c r="I2086" s="13"/>
      <c r="J2086" s="13"/>
      <c r="K2086" s="12" t="str">
        <f t="shared" si="394"/>
        <v/>
      </c>
      <c r="L2086" s="13"/>
      <c r="M2086" s="13" t="s">
        <v>6039</v>
      </c>
      <c r="N2086" s="12" t="str">
        <f t="shared" si="399"/>
        <v/>
      </c>
      <c r="O2086" s="12" t="str">
        <f t="shared" si="400"/>
        <v>1772</v>
      </c>
      <c r="P2086" s="13"/>
      <c r="Q2086" s="12" t="str">
        <f t="shared" si="395"/>
        <v>1772</v>
      </c>
      <c r="R2086" s="13"/>
      <c r="S2086" s="12" t="str">
        <f t="shared" si="396"/>
        <v/>
      </c>
      <c r="T2086" s="13" t="s">
        <v>32</v>
      </c>
      <c r="U2086" s="13" t="s">
        <v>15003</v>
      </c>
      <c r="V2086" s="12" t="str">
        <f t="shared" si="397"/>
        <v>1796</v>
      </c>
      <c r="W2086" s="13" t="s">
        <v>15004</v>
      </c>
      <c r="X2086" s="13" t="s">
        <v>3799</v>
      </c>
      <c r="Y2086" s="13"/>
      <c r="Z2086" s="13"/>
      <c r="AA2086" s="13"/>
      <c r="AB2086" s="13"/>
      <c r="AC2086" s="13"/>
      <c r="AD2086" s="13"/>
      <c r="AE2086" s="13"/>
      <c r="AF2086" s="13" t="s">
        <v>3677</v>
      </c>
      <c r="AG2086" s="13" t="s">
        <v>53</v>
      </c>
      <c r="AH2086" s="13" t="s">
        <v>13525</v>
      </c>
      <c r="AI2086" s="12" t="str">
        <f t="shared" si="398"/>
        <v>1838</v>
      </c>
      <c r="AJ2086" s="13" t="s">
        <v>9224</v>
      </c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2"/>
      <c r="BI2086" s="12"/>
      <c r="BJ2086" s="12"/>
      <c r="BK2086" s="12"/>
      <c r="BL2086" s="12"/>
      <c r="BM2086" s="12"/>
      <c r="BN2086" s="12"/>
      <c r="BO2086" s="12"/>
      <c r="BP2086" s="12"/>
      <c r="BQ2086" s="12"/>
      <c r="BR2086" s="12"/>
      <c r="BS2086" s="12"/>
      <c r="BT2086" s="12"/>
      <c r="BU2086" s="12"/>
      <c r="BV2086" s="12"/>
      <c r="BW2086" s="12"/>
      <c r="BX2086" s="12"/>
      <c r="BY2086" s="12"/>
      <c r="BZ2086" s="12"/>
      <c r="CA2086" s="12"/>
      <c r="CB2086" s="12"/>
      <c r="CC2086" s="12"/>
      <c r="CD2086" s="12"/>
    </row>
    <row r="2087" spans="1:82">
      <c r="A2087" s="13" t="s">
        <v>636</v>
      </c>
      <c r="B2087" s="12" t="str">
        <f t="shared" si="390"/>
        <v>VANSTADEN</v>
      </c>
      <c r="C2087" s="12" t="str">
        <f t="shared" si="391"/>
        <v>VAN STADEN</v>
      </c>
      <c r="D2087" s="13" t="s">
        <v>278</v>
      </c>
      <c r="E2087" s="12" t="str">
        <f t="shared" si="401"/>
        <v>Marthinus Johannes</v>
      </c>
      <c r="F2087" s="13" t="s">
        <v>6030</v>
      </c>
      <c r="G2087" s="12" t="str">
        <f t="shared" si="392"/>
        <v>a1b6c2d8e5</v>
      </c>
      <c r="H2087" s="12" t="str">
        <f t="shared" si="393"/>
        <v>VAN STADENa1b6c2d8e5</v>
      </c>
      <c r="I2087" s="13"/>
      <c r="J2087" s="13"/>
      <c r="K2087" s="12" t="str">
        <f t="shared" si="394"/>
        <v/>
      </c>
      <c r="L2087" s="13"/>
      <c r="M2087" s="13" t="s">
        <v>6031</v>
      </c>
      <c r="N2087" s="12" t="str">
        <f t="shared" si="399"/>
        <v/>
      </c>
      <c r="O2087" s="12" t="str">
        <f t="shared" si="400"/>
        <v>1807</v>
      </c>
      <c r="P2087" s="13" t="s">
        <v>140</v>
      </c>
      <c r="Q2087" s="12" t="str">
        <f t="shared" si="395"/>
        <v>1807</v>
      </c>
      <c r="R2087" s="13">
        <v>1875</v>
      </c>
      <c r="S2087" s="12" t="str">
        <f t="shared" si="396"/>
        <v>1875</v>
      </c>
      <c r="T2087" s="13" t="s">
        <v>53</v>
      </c>
      <c r="U2087" s="13" t="s">
        <v>10645</v>
      </c>
      <c r="V2087" s="12" t="str">
        <f t="shared" si="397"/>
        <v>1827</v>
      </c>
      <c r="W2087" s="13" t="s">
        <v>3343</v>
      </c>
      <c r="X2087" s="13" t="s">
        <v>697</v>
      </c>
      <c r="Y2087" s="13"/>
      <c r="Z2087" s="13"/>
      <c r="AA2087" s="13" t="s">
        <v>14998</v>
      </c>
      <c r="AB2087" s="13"/>
      <c r="AC2087" s="13"/>
      <c r="AD2087" s="13" t="s">
        <v>140</v>
      </c>
      <c r="AE2087" s="13" t="s">
        <v>2399</v>
      </c>
      <c r="AF2087" s="13" t="s">
        <v>3677</v>
      </c>
      <c r="AG2087" s="13" t="s">
        <v>53</v>
      </c>
      <c r="AH2087" s="13" t="s">
        <v>13525</v>
      </c>
      <c r="AI2087" s="12" t="str">
        <f t="shared" si="398"/>
        <v>1838</v>
      </c>
      <c r="AJ2087" s="13" t="s">
        <v>9224</v>
      </c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2"/>
      <c r="BI2087" s="12"/>
      <c r="BJ2087" s="12"/>
      <c r="BK2087" s="12"/>
      <c r="BL2087" s="12"/>
      <c r="BM2087" s="12"/>
      <c r="BN2087" s="12"/>
      <c r="BO2087" s="12"/>
      <c r="BP2087" s="12"/>
      <c r="BQ2087" s="12"/>
      <c r="BR2087" s="12"/>
      <c r="BS2087" s="12"/>
      <c r="BT2087" s="12"/>
      <c r="BU2087" s="12"/>
      <c r="BV2087" s="12"/>
      <c r="BW2087" s="12"/>
      <c r="BX2087" s="12"/>
      <c r="BY2087" s="12"/>
      <c r="BZ2087" s="12"/>
      <c r="CA2087" s="12"/>
      <c r="CB2087" s="12"/>
      <c r="CC2087" s="12"/>
      <c r="CD2087" s="12"/>
    </row>
    <row r="2088" spans="1:82">
      <c r="A2088" s="13" t="s">
        <v>4253</v>
      </c>
      <c r="B2088" s="12" t="str">
        <f t="shared" si="390"/>
        <v>VANSTRATEN</v>
      </c>
      <c r="C2088" s="12" t="str">
        <f t="shared" si="391"/>
        <v>VAN STRATEN</v>
      </c>
      <c r="D2088" s="13" t="s">
        <v>6068</v>
      </c>
      <c r="E2088" s="12" t="str">
        <f t="shared" si="401"/>
        <v>Jacob Abraham</v>
      </c>
      <c r="F2088" s="13" t="s">
        <v>3992</v>
      </c>
      <c r="G2088" s="12" t="str">
        <f t="shared" si="392"/>
        <v>a1b1c1</v>
      </c>
      <c r="H2088" s="12" t="str">
        <f t="shared" si="393"/>
        <v>VAN STRATENa1b1c1</v>
      </c>
      <c r="I2088" s="13"/>
      <c r="J2088" s="13"/>
      <c r="K2088" s="12" t="str">
        <f t="shared" si="394"/>
        <v/>
      </c>
      <c r="L2088" s="13"/>
      <c r="M2088" s="13" t="s">
        <v>6069</v>
      </c>
      <c r="N2088" s="12" t="str">
        <f t="shared" si="399"/>
        <v/>
      </c>
      <c r="O2088" s="12" t="str">
        <f t="shared" si="400"/>
        <v>1787</v>
      </c>
      <c r="P2088" s="13"/>
      <c r="Q2088" s="12" t="str">
        <f t="shared" si="395"/>
        <v>1787</v>
      </c>
      <c r="R2088" s="13"/>
      <c r="S2088" s="12" t="str">
        <f t="shared" si="396"/>
        <v/>
      </c>
      <c r="T2088" s="13"/>
      <c r="U2088" s="13"/>
      <c r="V2088" s="12" t="str">
        <f t="shared" si="397"/>
        <v/>
      </c>
      <c r="W2088" s="13" t="s">
        <v>15028</v>
      </c>
      <c r="X2088" s="13" t="s">
        <v>696</v>
      </c>
      <c r="Y2088" s="13"/>
      <c r="Z2088" s="13"/>
      <c r="AA2088" s="13"/>
      <c r="AB2088" s="13"/>
      <c r="AC2088" s="13"/>
      <c r="AD2088" s="13"/>
      <c r="AE2088" s="13"/>
      <c r="AF2088" s="13" t="s">
        <v>3709</v>
      </c>
      <c r="AG2088" s="13" t="s">
        <v>68</v>
      </c>
      <c r="AH2088" s="13" t="s">
        <v>1357</v>
      </c>
      <c r="AI2088" s="12" t="str">
        <f t="shared" si="398"/>
        <v>1837</v>
      </c>
      <c r="AJ2088" s="13"/>
      <c r="AK2088" s="13" t="s">
        <v>3706</v>
      </c>
      <c r="AL2088" s="13" t="s">
        <v>1185</v>
      </c>
      <c r="AM2088" s="13" t="s">
        <v>15029</v>
      </c>
      <c r="AN2088" s="13" t="s">
        <v>1481</v>
      </c>
      <c r="AO2088" s="13" t="s">
        <v>696</v>
      </c>
      <c r="AP2088" s="13"/>
      <c r="AQ2088" s="13"/>
      <c r="AR2088" s="13" t="s">
        <v>15030</v>
      </c>
      <c r="AS2088" s="13" t="s">
        <v>28</v>
      </c>
      <c r="AT2088" s="13" t="s">
        <v>5322</v>
      </c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2"/>
      <c r="BI2088" s="12"/>
      <c r="BJ2088" s="12"/>
      <c r="BK2088" s="12"/>
      <c r="BL2088" s="12"/>
      <c r="BM2088" s="12"/>
      <c r="BN2088" s="12"/>
      <c r="BO2088" s="12"/>
      <c r="BP2088" s="12"/>
      <c r="BQ2088" s="12"/>
      <c r="BR2088" s="12"/>
      <c r="BS2088" s="12"/>
      <c r="BT2088" s="12"/>
      <c r="BU2088" s="12"/>
      <c r="BV2088" s="12"/>
      <c r="BW2088" s="12"/>
      <c r="BX2088" s="12"/>
      <c r="BY2088" s="12"/>
      <c r="BZ2088" s="12"/>
      <c r="CA2088" s="12"/>
      <c r="CB2088" s="12"/>
      <c r="CC2088" s="12"/>
      <c r="CD2088" s="12"/>
    </row>
    <row r="2089" spans="1:82">
      <c r="A2089" s="13" t="s">
        <v>4253</v>
      </c>
      <c r="B2089" s="12" t="str">
        <f t="shared" si="390"/>
        <v>VANSTRATEN</v>
      </c>
      <c r="C2089" s="12" t="str">
        <f t="shared" si="391"/>
        <v>VAN STRATEN</v>
      </c>
      <c r="D2089" s="13" t="s">
        <v>348</v>
      </c>
      <c r="E2089" s="12" t="str">
        <f t="shared" si="401"/>
        <v>Theunis Christiaan</v>
      </c>
      <c r="F2089" s="13" t="s">
        <v>6070</v>
      </c>
      <c r="G2089" s="12" t="str">
        <f t="shared" si="392"/>
        <v>a1b1c11</v>
      </c>
      <c r="H2089" s="12" t="str">
        <f t="shared" si="393"/>
        <v>VAN STRATENa1b1c11</v>
      </c>
      <c r="I2089" s="13"/>
      <c r="J2089" s="13"/>
      <c r="K2089" s="12" t="str">
        <f t="shared" si="394"/>
        <v/>
      </c>
      <c r="L2089" s="13"/>
      <c r="M2089" s="13" t="s">
        <v>6071</v>
      </c>
      <c r="N2089" s="12" t="str">
        <f t="shared" si="399"/>
        <v/>
      </c>
      <c r="O2089" s="12" t="str">
        <f t="shared" si="400"/>
        <v>1810</v>
      </c>
      <c r="P2089" s="13"/>
      <c r="Q2089" s="12" t="str">
        <f t="shared" si="395"/>
        <v>1810</v>
      </c>
      <c r="R2089" s="13"/>
      <c r="S2089" s="12" t="str">
        <f t="shared" si="396"/>
        <v/>
      </c>
      <c r="T2089" s="13"/>
      <c r="U2089" s="13"/>
      <c r="V2089" s="12" t="str">
        <f t="shared" si="397"/>
        <v/>
      </c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 t="s">
        <v>15027</v>
      </c>
      <c r="AG2089" s="13" t="s">
        <v>74</v>
      </c>
      <c r="AH2089" s="13" t="s">
        <v>15031</v>
      </c>
      <c r="AI2089" s="12" t="str">
        <f t="shared" si="398"/>
        <v>1839</v>
      </c>
      <c r="AJ2089" s="13"/>
      <c r="AK2089" s="13" t="s">
        <v>90</v>
      </c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2"/>
      <c r="BI2089" s="12"/>
      <c r="BJ2089" s="12"/>
      <c r="BK2089" s="12"/>
      <c r="BL2089" s="12"/>
      <c r="BM2089" s="12"/>
      <c r="BN2089" s="12"/>
      <c r="BO2089" s="12"/>
      <c r="BP2089" s="12"/>
      <c r="BQ2089" s="12"/>
      <c r="BR2089" s="12"/>
      <c r="BS2089" s="12"/>
      <c r="BT2089" s="12"/>
      <c r="BU2089" s="12"/>
      <c r="BV2089" s="12"/>
      <c r="BW2089" s="12"/>
      <c r="BX2089" s="12"/>
      <c r="BY2089" s="12"/>
      <c r="BZ2089" s="12"/>
      <c r="CA2089" s="12"/>
      <c r="CB2089" s="12"/>
      <c r="CC2089" s="12"/>
      <c r="CD2089" s="12"/>
    </row>
    <row r="2090" spans="1:82">
      <c r="A2090" s="13" t="s">
        <v>4253</v>
      </c>
      <c r="B2090" s="12" t="str">
        <f t="shared" si="390"/>
        <v>VANSTRATEN</v>
      </c>
      <c r="C2090" s="12" t="str">
        <f t="shared" si="391"/>
        <v>VAN STRATEN</v>
      </c>
      <c r="D2090" s="13" t="s">
        <v>4131</v>
      </c>
      <c r="E2090" s="12" t="str">
        <f t="shared" si="401"/>
        <v>Abraham Stephanus</v>
      </c>
      <c r="F2090" s="13" t="s">
        <v>6062</v>
      </c>
      <c r="G2090" s="12" t="str">
        <f t="shared" si="392"/>
        <v>a1b1c2d6</v>
      </c>
      <c r="H2090" s="12" t="str">
        <f t="shared" si="393"/>
        <v>VAN STRATENa1b1c2d6</v>
      </c>
      <c r="I2090" s="13"/>
      <c r="J2090" s="13" t="s">
        <v>6063</v>
      </c>
      <c r="K2090" s="12" t="str">
        <f t="shared" si="394"/>
        <v>1820</v>
      </c>
      <c r="L2090" s="13" t="s">
        <v>74</v>
      </c>
      <c r="M2090" s="13" t="s">
        <v>6064</v>
      </c>
      <c r="N2090" s="12" t="str">
        <f t="shared" si="399"/>
        <v>1820</v>
      </c>
      <c r="O2090" s="12" t="str">
        <f t="shared" si="400"/>
        <v>1820</v>
      </c>
      <c r="P2090" s="13"/>
      <c r="Q2090" s="12" t="str">
        <f t="shared" si="395"/>
        <v>1820</v>
      </c>
      <c r="R2090" s="13"/>
      <c r="S2090" s="12" t="str">
        <f t="shared" si="396"/>
        <v/>
      </c>
      <c r="T2090" s="13" t="s">
        <v>28</v>
      </c>
      <c r="U2090" s="13" t="s">
        <v>15022</v>
      </c>
      <c r="V2090" s="12" t="str">
        <f t="shared" si="397"/>
        <v>1834</v>
      </c>
      <c r="W2090" s="13" t="s">
        <v>15023</v>
      </c>
      <c r="X2090" s="13" t="s">
        <v>658</v>
      </c>
      <c r="Y2090" s="13" t="s">
        <v>15024</v>
      </c>
      <c r="Z2090" s="13"/>
      <c r="AA2090" s="13" t="s">
        <v>15025</v>
      </c>
      <c r="AB2090" s="13" t="s">
        <v>15026</v>
      </c>
      <c r="AC2090" s="13" t="s">
        <v>1536</v>
      </c>
      <c r="AD2090" s="13"/>
      <c r="AE2090" s="13"/>
      <c r="AF2090" s="13" t="s">
        <v>3709</v>
      </c>
      <c r="AG2090" s="13" t="s">
        <v>68</v>
      </c>
      <c r="AH2090" s="13" t="s">
        <v>1357</v>
      </c>
      <c r="AI2090" s="12" t="str">
        <f t="shared" si="398"/>
        <v>1837</v>
      </c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2"/>
      <c r="BI2090" s="12"/>
      <c r="BJ2090" s="12"/>
      <c r="BK2090" s="12"/>
      <c r="BL2090" s="12"/>
      <c r="BM2090" s="12"/>
      <c r="BN2090" s="12"/>
      <c r="BO2090" s="12"/>
      <c r="BP2090" s="12"/>
      <c r="BQ2090" s="12"/>
      <c r="BR2090" s="12"/>
      <c r="BS2090" s="12"/>
      <c r="BT2090" s="12"/>
      <c r="BU2090" s="12"/>
      <c r="BV2090" s="12"/>
      <c r="BW2090" s="12"/>
      <c r="BX2090" s="12"/>
      <c r="BY2090" s="12"/>
      <c r="BZ2090" s="12"/>
      <c r="CA2090" s="12"/>
      <c r="CB2090" s="12"/>
      <c r="CC2090" s="12"/>
      <c r="CD2090" s="12"/>
    </row>
    <row r="2091" spans="1:82">
      <c r="A2091" s="13" t="s">
        <v>4253</v>
      </c>
      <c r="B2091" s="12" t="str">
        <f t="shared" si="390"/>
        <v>VANSTRATEN</v>
      </c>
      <c r="C2091" s="12" t="str">
        <f t="shared" si="391"/>
        <v>VAN STRATEN</v>
      </c>
      <c r="D2091" s="13" t="s">
        <v>6065</v>
      </c>
      <c r="E2091" s="12" t="str">
        <f t="shared" si="401"/>
        <v>Francois Cornelius</v>
      </c>
      <c r="F2091" s="13" t="s">
        <v>6066</v>
      </c>
      <c r="G2091" s="12" t="str">
        <f t="shared" si="392"/>
        <v>a1b1c8</v>
      </c>
      <c r="H2091" s="12" t="str">
        <f t="shared" si="393"/>
        <v>VAN STRATENa1b1c8</v>
      </c>
      <c r="I2091" s="13"/>
      <c r="J2091" s="13"/>
      <c r="K2091" s="12" t="str">
        <f t="shared" si="394"/>
        <v/>
      </c>
      <c r="L2091" s="13"/>
      <c r="M2091" s="13" t="s">
        <v>6067</v>
      </c>
      <c r="N2091" s="12" t="str">
        <f t="shared" si="399"/>
        <v/>
      </c>
      <c r="O2091" s="12" t="str">
        <f t="shared" si="400"/>
        <v>1804</v>
      </c>
      <c r="P2091" s="13"/>
      <c r="Q2091" s="12" t="str">
        <f t="shared" si="395"/>
        <v>1804</v>
      </c>
      <c r="R2091" s="13"/>
      <c r="S2091" s="12" t="str">
        <f t="shared" si="396"/>
        <v/>
      </c>
      <c r="T2091" s="13" t="s">
        <v>74</v>
      </c>
      <c r="U2091" s="13" t="s">
        <v>3949</v>
      </c>
      <c r="V2091" s="12" t="str">
        <f t="shared" si="397"/>
        <v>1832</v>
      </c>
      <c r="W2091" s="13" t="s">
        <v>14815</v>
      </c>
      <c r="X2091" s="13" t="s">
        <v>788</v>
      </c>
      <c r="Y2091" s="13"/>
      <c r="Z2091" s="13"/>
      <c r="AA2091" s="13"/>
      <c r="AB2091" s="13"/>
      <c r="AC2091" s="13"/>
      <c r="AD2091" s="13"/>
      <c r="AE2091" s="13"/>
      <c r="AF2091" s="13" t="s">
        <v>15027</v>
      </c>
      <c r="AG2091" s="13" t="s">
        <v>74</v>
      </c>
      <c r="AH2091" s="13" t="s">
        <v>13465</v>
      </c>
      <c r="AI2091" s="12" t="str">
        <f t="shared" si="398"/>
        <v>1842</v>
      </c>
      <c r="AJ2091" s="13"/>
      <c r="AK2091" s="13" t="s">
        <v>140</v>
      </c>
      <c r="AL2091" s="13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2"/>
      <c r="BI2091" s="12"/>
      <c r="BJ2091" s="12"/>
      <c r="BK2091" s="12"/>
      <c r="BL2091" s="12"/>
      <c r="BM2091" s="12"/>
      <c r="BN2091" s="12"/>
      <c r="BO2091" s="12"/>
      <c r="BP2091" s="12"/>
      <c r="BQ2091" s="12"/>
      <c r="BR2091" s="12"/>
      <c r="BS2091" s="12"/>
      <c r="BT2091" s="12"/>
      <c r="BU2091" s="12"/>
      <c r="BV2091" s="12"/>
      <c r="BW2091" s="12"/>
      <c r="BX2091" s="12"/>
      <c r="BY2091" s="12"/>
      <c r="BZ2091" s="12"/>
      <c r="CA2091" s="12"/>
      <c r="CB2091" s="12"/>
      <c r="CC2091" s="12"/>
      <c r="CD2091" s="12"/>
    </row>
    <row r="2092" spans="1:82">
      <c r="A2092" s="13" t="s">
        <v>6072</v>
      </c>
      <c r="B2092" s="12" t="str">
        <f t="shared" si="390"/>
        <v>VANTONDER</v>
      </c>
      <c r="C2092" s="12" t="str">
        <f t="shared" si="391"/>
        <v>VAN TONDER</v>
      </c>
      <c r="D2092" s="13" t="s">
        <v>6107</v>
      </c>
      <c r="E2092" s="12" t="str">
        <f t="shared" si="401"/>
        <v>Willem Marthinus</v>
      </c>
      <c r="F2092" s="13" t="s">
        <v>6108</v>
      </c>
      <c r="G2092" s="12" t="str">
        <f t="shared" si="392"/>
        <v>a1b3c1d2e4</v>
      </c>
      <c r="H2092" s="12" t="str">
        <f t="shared" si="393"/>
        <v>VAN TONDERa1b3c1d2e4</v>
      </c>
      <c r="I2092" s="13"/>
      <c r="J2092" s="13" t="s">
        <v>6109</v>
      </c>
      <c r="K2092" s="12" t="str">
        <f t="shared" si="394"/>
        <v>1793</v>
      </c>
      <c r="L2092" s="13"/>
      <c r="M2092" s="13" t="s">
        <v>6110</v>
      </c>
      <c r="N2092" s="12" t="str">
        <f t="shared" si="399"/>
        <v>1793</v>
      </c>
      <c r="O2092" s="12" t="str">
        <f t="shared" si="400"/>
        <v>1793</v>
      </c>
      <c r="P2092" s="11"/>
      <c r="Q2092" s="12" t="str">
        <f t="shared" si="395"/>
        <v>1793</v>
      </c>
      <c r="R2092" s="13" t="s">
        <v>15066</v>
      </c>
      <c r="S2092" s="12" t="str">
        <f t="shared" si="396"/>
        <v>1870</v>
      </c>
      <c r="T2092" s="13" t="s">
        <v>74</v>
      </c>
      <c r="U2092" s="13" t="s">
        <v>1850</v>
      </c>
      <c r="V2092" s="12" t="str">
        <f t="shared" si="397"/>
        <v>1816</v>
      </c>
      <c r="W2092" s="13" t="s">
        <v>15067</v>
      </c>
      <c r="X2092" s="13" t="s">
        <v>15068</v>
      </c>
      <c r="Y2092" s="13"/>
      <c r="Z2092" s="13"/>
      <c r="AA2092" s="13"/>
      <c r="AB2092" s="13" t="s">
        <v>32</v>
      </c>
      <c r="AC2092" s="13" t="s">
        <v>12595</v>
      </c>
      <c r="AD2092" s="13"/>
      <c r="AE2092" s="13"/>
      <c r="AF2092" s="13" t="s">
        <v>3699</v>
      </c>
      <c r="AG2092" s="13" t="s">
        <v>68</v>
      </c>
      <c r="AH2092" s="13">
        <v>1841</v>
      </c>
      <c r="AI2092" s="12" t="str">
        <f t="shared" si="398"/>
        <v>1841</v>
      </c>
      <c r="AJ2092" s="13"/>
      <c r="AK2092" s="13" t="s">
        <v>3821</v>
      </c>
      <c r="AL2092" s="13" t="s">
        <v>28</v>
      </c>
      <c r="AM2092" s="13" t="s">
        <v>3404</v>
      </c>
      <c r="AN2092" s="13" t="s">
        <v>15069</v>
      </c>
      <c r="AO2092" s="13" t="s">
        <v>704</v>
      </c>
      <c r="AP2092" s="13"/>
      <c r="AQ2092" s="13"/>
      <c r="AR2092" s="13"/>
      <c r="AS2092" s="13"/>
      <c r="AT2092" s="13" t="s">
        <v>7206</v>
      </c>
      <c r="AU2092" s="13" t="s">
        <v>3821</v>
      </c>
      <c r="AV2092" s="13" t="s">
        <v>15070</v>
      </c>
      <c r="AW2092" s="13"/>
      <c r="AX2092" s="13"/>
      <c r="AY2092" s="13"/>
      <c r="AZ2092" s="13"/>
      <c r="BA2092" s="13"/>
      <c r="BB2092" s="13"/>
      <c r="BC2092" s="13"/>
      <c r="BD2092" s="13"/>
      <c r="BE2092" s="13"/>
      <c r="BF2092" s="13"/>
      <c r="BG2092" s="13"/>
      <c r="BH2092" s="12"/>
      <c r="BI2092" s="12"/>
      <c r="BJ2092" s="12"/>
      <c r="BK2092" s="12"/>
      <c r="BL2092" s="12"/>
      <c r="BM2092" s="12"/>
      <c r="BN2092" s="12"/>
      <c r="BO2092" s="12"/>
      <c r="BP2092" s="12"/>
      <c r="BQ2092" s="12"/>
      <c r="BR2092" s="12"/>
      <c r="BS2092" s="12"/>
      <c r="BT2092" s="12"/>
      <c r="BU2092" s="12"/>
      <c r="BV2092" s="12"/>
      <c r="BW2092" s="12"/>
      <c r="BX2092" s="12"/>
      <c r="BY2092" s="12"/>
      <c r="BZ2092" s="12"/>
      <c r="CA2092" s="12"/>
      <c r="CB2092" s="12"/>
      <c r="CC2092" s="12"/>
      <c r="CD2092" s="12"/>
    </row>
    <row r="2093" spans="1:82">
      <c r="A2093" s="13" t="s">
        <v>6072</v>
      </c>
      <c r="B2093" s="12" t="str">
        <f t="shared" si="390"/>
        <v>VANTONDER</v>
      </c>
      <c r="C2093" s="12" t="str">
        <f t="shared" si="391"/>
        <v>VAN TONDER</v>
      </c>
      <c r="D2093" s="13" t="s">
        <v>6085</v>
      </c>
      <c r="E2093" s="12" t="str">
        <f t="shared" si="401"/>
        <v>Cornelis Johannes Petrus</v>
      </c>
      <c r="F2093" s="13" t="s">
        <v>6086</v>
      </c>
      <c r="G2093" s="12" t="str">
        <f t="shared" si="392"/>
        <v>a1b3c1d2e5f3</v>
      </c>
      <c r="H2093" s="12" t="str">
        <f t="shared" si="393"/>
        <v>VAN TONDERa1b3c1d2e5f3</v>
      </c>
      <c r="I2093" s="13"/>
      <c r="J2093" s="13"/>
      <c r="K2093" s="12" t="str">
        <f t="shared" si="394"/>
        <v/>
      </c>
      <c r="L2093" s="13"/>
      <c r="M2093" s="13" t="s">
        <v>1258</v>
      </c>
      <c r="N2093" s="12" t="str">
        <f t="shared" si="399"/>
        <v/>
      </c>
      <c r="O2093" s="12" t="str">
        <f t="shared" si="400"/>
        <v>1823</v>
      </c>
      <c r="P2093" s="13" t="s">
        <v>15049</v>
      </c>
      <c r="Q2093" s="12" t="str">
        <f t="shared" si="395"/>
        <v>1823</v>
      </c>
      <c r="R2093" s="13" t="s">
        <v>6087</v>
      </c>
      <c r="S2093" s="12" t="str">
        <f t="shared" si="396"/>
        <v>1876</v>
      </c>
      <c r="T2093" s="13"/>
      <c r="U2093" s="13"/>
      <c r="V2093" s="12" t="str">
        <f t="shared" si="397"/>
        <v/>
      </c>
      <c r="W2093" s="13" t="s">
        <v>3503</v>
      </c>
      <c r="X2093" s="13" t="s">
        <v>731</v>
      </c>
      <c r="Y2093" s="13"/>
      <c r="Z2093" s="13"/>
      <c r="AA2093" s="13"/>
      <c r="AB2093" s="13"/>
      <c r="AC2093" s="13"/>
      <c r="AD2093" s="13"/>
      <c r="AE2093" s="13" t="s">
        <v>15050</v>
      </c>
      <c r="AF2093" s="13"/>
      <c r="AG2093" s="13" t="s">
        <v>28</v>
      </c>
      <c r="AH2093" s="13">
        <v>1842</v>
      </c>
      <c r="AI2093" s="12" t="str">
        <f t="shared" si="398"/>
        <v>1842</v>
      </c>
      <c r="AJ2093" s="13"/>
      <c r="AK2093" s="13" t="s">
        <v>67</v>
      </c>
      <c r="AL2093" s="13"/>
      <c r="AM2093" s="13"/>
      <c r="AN2093" s="13" t="s">
        <v>642</v>
      </c>
      <c r="AO2093" s="13" t="s">
        <v>757</v>
      </c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2"/>
      <c r="BI2093" s="12"/>
      <c r="BJ2093" s="12"/>
      <c r="BK2093" s="12"/>
      <c r="BL2093" s="12"/>
      <c r="BM2093" s="12"/>
      <c r="BN2093" s="12"/>
      <c r="BO2093" s="12"/>
      <c r="BP2093" s="12"/>
      <c r="BQ2093" s="12"/>
      <c r="BR2093" s="12"/>
      <c r="BS2093" s="12"/>
      <c r="BT2093" s="12"/>
      <c r="BU2093" s="12"/>
      <c r="BV2093" s="12"/>
      <c r="BW2093" s="12"/>
      <c r="BX2093" s="12"/>
      <c r="BY2093" s="12"/>
      <c r="BZ2093" s="12"/>
      <c r="CA2093" s="12"/>
      <c r="CB2093" s="12"/>
      <c r="CC2093" s="12"/>
      <c r="CD2093" s="12"/>
    </row>
    <row r="2094" spans="1:82">
      <c r="A2094" s="13" t="s">
        <v>6072</v>
      </c>
      <c r="B2094" s="12" t="str">
        <f t="shared" si="390"/>
        <v>VANTONDER</v>
      </c>
      <c r="C2094" s="12" t="str">
        <f t="shared" si="391"/>
        <v>VAN TONDER</v>
      </c>
      <c r="D2094" s="13" t="s">
        <v>4469</v>
      </c>
      <c r="E2094" s="12" t="str">
        <f t="shared" si="401"/>
        <v>Susanna Geertruyda</v>
      </c>
      <c r="F2094" s="13" t="s">
        <v>6105</v>
      </c>
      <c r="G2094" s="12" t="str">
        <f t="shared" si="392"/>
        <v>a1b3c2d2</v>
      </c>
      <c r="H2094" s="12" t="str">
        <f t="shared" si="393"/>
        <v>VAN TONDERa1b3c2d2</v>
      </c>
      <c r="I2094" s="13"/>
      <c r="J2094" s="13"/>
      <c r="K2094" s="12" t="str">
        <f t="shared" si="394"/>
        <v/>
      </c>
      <c r="L2094" s="13" t="s">
        <v>1071</v>
      </c>
      <c r="M2094" s="13" t="s">
        <v>15063</v>
      </c>
      <c r="N2094" s="12" t="str">
        <f t="shared" si="399"/>
        <v/>
      </c>
      <c r="O2094" s="12" t="str">
        <f t="shared" si="400"/>
        <v>1874</v>
      </c>
      <c r="P2094" s="13"/>
      <c r="Q2094" s="12" t="str">
        <f t="shared" si="395"/>
        <v>1874</v>
      </c>
      <c r="R2094" s="13"/>
      <c r="S2094" s="12" t="str">
        <f t="shared" si="396"/>
        <v/>
      </c>
      <c r="T2094" s="13" t="s">
        <v>6098</v>
      </c>
      <c r="U2094" s="13" t="s">
        <v>15064</v>
      </c>
      <c r="V2094" s="12" t="str">
        <f t="shared" si="397"/>
        <v>1802</v>
      </c>
      <c r="W2094" s="13" t="s">
        <v>3333</v>
      </c>
      <c r="X2094" s="13" t="s">
        <v>2139</v>
      </c>
      <c r="Y2094" s="13" t="s">
        <v>15065</v>
      </c>
      <c r="Z2094" s="13"/>
      <c r="AA2094" s="13"/>
      <c r="AB2094" s="13"/>
      <c r="AC2094" s="13" t="s">
        <v>6106</v>
      </c>
      <c r="AD2094" s="13"/>
      <c r="AE2094" s="13"/>
      <c r="AF2094" s="13" t="s">
        <v>3707</v>
      </c>
      <c r="AG2094" s="13" t="s">
        <v>32</v>
      </c>
      <c r="AH2094" s="13" t="s">
        <v>2119</v>
      </c>
      <c r="AI2094" s="12" t="str">
        <f t="shared" si="398"/>
        <v>1837</v>
      </c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2"/>
      <c r="BI2094" s="12"/>
      <c r="BJ2094" s="12"/>
      <c r="BK2094" s="12"/>
      <c r="BL2094" s="12"/>
      <c r="BM2094" s="12"/>
      <c r="BN2094" s="12"/>
      <c r="BO2094" s="12"/>
      <c r="BP2094" s="12"/>
      <c r="BQ2094" s="12"/>
      <c r="BR2094" s="12"/>
      <c r="BS2094" s="12"/>
      <c r="BT2094" s="12"/>
      <c r="BU2094" s="12"/>
      <c r="BV2094" s="12"/>
      <c r="BW2094" s="12"/>
      <c r="BX2094" s="12"/>
      <c r="BY2094" s="12"/>
      <c r="BZ2094" s="12"/>
      <c r="CA2094" s="12"/>
      <c r="CB2094" s="12"/>
      <c r="CC2094" s="12"/>
      <c r="CD2094" s="12"/>
    </row>
    <row r="2095" spans="1:82">
      <c r="A2095" s="13" t="s">
        <v>6072</v>
      </c>
      <c r="B2095" s="12" t="str">
        <f t="shared" si="390"/>
        <v>VANTONDER</v>
      </c>
      <c r="C2095" s="12" t="str">
        <f t="shared" si="391"/>
        <v>VAN TONDER</v>
      </c>
      <c r="D2095" s="13" t="s">
        <v>30</v>
      </c>
      <c r="E2095" s="12" t="str">
        <f t="shared" si="401"/>
        <v>Johannes</v>
      </c>
      <c r="F2095" s="13" t="s">
        <v>1236</v>
      </c>
      <c r="G2095" s="12" t="str">
        <f t="shared" si="392"/>
        <v>a1b3c2d3</v>
      </c>
      <c r="H2095" s="12" t="str">
        <f t="shared" si="393"/>
        <v>VAN TONDERa1b3c2d3</v>
      </c>
      <c r="I2095" s="13"/>
      <c r="J2095" s="13"/>
      <c r="K2095" s="12" t="str">
        <f t="shared" si="394"/>
        <v/>
      </c>
      <c r="L2095" s="13" t="s">
        <v>6098</v>
      </c>
      <c r="M2095" s="13" t="s">
        <v>6099</v>
      </c>
      <c r="N2095" s="12" t="str">
        <f t="shared" si="399"/>
        <v/>
      </c>
      <c r="O2095" s="12" t="str">
        <f t="shared" si="400"/>
        <v>1788</v>
      </c>
      <c r="P2095" s="13" t="s">
        <v>90</v>
      </c>
      <c r="Q2095" s="12" t="str">
        <f t="shared" si="395"/>
        <v>1788</v>
      </c>
      <c r="R2095" s="13" t="s">
        <v>6100</v>
      </c>
      <c r="S2095" s="12" t="str">
        <f t="shared" si="396"/>
        <v>1855</v>
      </c>
      <c r="T2095" s="13" t="s">
        <v>32</v>
      </c>
      <c r="U2095" s="13" t="s">
        <v>7445</v>
      </c>
      <c r="V2095" s="12" t="str">
        <f t="shared" si="397"/>
        <v>1806</v>
      </c>
      <c r="W2095" s="13" t="s">
        <v>15057</v>
      </c>
      <c r="X2095" s="13" t="s">
        <v>762</v>
      </c>
      <c r="Y2095" s="13" t="s">
        <v>15058</v>
      </c>
      <c r="Z2095" s="13"/>
      <c r="AA2095" s="13"/>
      <c r="AB2095" s="13" t="s">
        <v>1071</v>
      </c>
      <c r="AC2095" s="13" t="s">
        <v>15059</v>
      </c>
      <c r="AD2095" s="13"/>
      <c r="AE2095" s="13"/>
      <c r="AF2095" s="13" t="s">
        <v>3677</v>
      </c>
      <c r="AG2095" s="13" t="s">
        <v>53</v>
      </c>
      <c r="AH2095" s="13" t="s">
        <v>12313</v>
      </c>
      <c r="AI2095" s="12" t="str">
        <f t="shared" si="398"/>
        <v>1837</v>
      </c>
      <c r="AJ2095" s="13" t="s">
        <v>2382</v>
      </c>
      <c r="AK2095" s="13" t="s">
        <v>90</v>
      </c>
      <c r="AL2095" s="13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/>
      <c r="BH2095" s="12"/>
      <c r="BI2095" s="12"/>
      <c r="BJ2095" s="12"/>
      <c r="BK2095" s="12"/>
      <c r="BL2095" s="12"/>
      <c r="BM2095" s="12"/>
      <c r="BN2095" s="12"/>
      <c r="BO2095" s="12"/>
      <c r="BP2095" s="12"/>
      <c r="BQ2095" s="12"/>
      <c r="BR2095" s="12"/>
      <c r="BS2095" s="12"/>
      <c r="BT2095" s="12"/>
      <c r="BU2095" s="12"/>
      <c r="BV2095" s="12"/>
      <c r="BW2095" s="12"/>
      <c r="BX2095" s="12"/>
      <c r="BY2095" s="12"/>
      <c r="BZ2095" s="12"/>
      <c r="CA2095" s="12"/>
      <c r="CB2095" s="12"/>
      <c r="CC2095" s="12"/>
      <c r="CD2095" s="12"/>
    </row>
    <row r="2096" spans="1:82">
      <c r="A2096" s="13" t="s">
        <v>6072</v>
      </c>
      <c r="B2096" s="12" t="str">
        <f t="shared" si="390"/>
        <v>VANTONDER</v>
      </c>
      <c r="C2096" s="12" t="str">
        <f t="shared" si="391"/>
        <v>VAN TONDER</v>
      </c>
      <c r="D2096" s="13" t="s">
        <v>6078</v>
      </c>
      <c r="E2096" s="12" t="str">
        <f t="shared" si="401"/>
        <v xml:space="preserve">Andries Johannes </v>
      </c>
      <c r="F2096" s="13" t="s">
        <v>6079</v>
      </c>
      <c r="G2096" s="12" t="str">
        <f t="shared" si="392"/>
        <v>a1b3c2d3e1</v>
      </c>
      <c r="H2096" s="12" t="str">
        <f t="shared" si="393"/>
        <v>VAN TONDERa1b3c2d3e1</v>
      </c>
      <c r="I2096" s="13"/>
      <c r="J2096" s="13" t="s">
        <v>6080</v>
      </c>
      <c r="K2096" s="12" t="str">
        <f t="shared" si="394"/>
        <v>1807</v>
      </c>
      <c r="L2096" s="13" t="s">
        <v>32</v>
      </c>
      <c r="M2096" s="13" t="s">
        <v>6081</v>
      </c>
      <c r="N2096" s="12" t="str">
        <f t="shared" si="399"/>
        <v>1807</v>
      </c>
      <c r="O2096" s="12" t="str">
        <f t="shared" si="400"/>
        <v>1808</v>
      </c>
      <c r="P2096" s="13" t="s">
        <v>90</v>
      </c>
      <c r="Q2096" s="12" t="str">
        <f t="shared" si="395"/>
        <v>1807</v>
      </c>
      <c r="R2096" s="13" t="s">
        <v>15040</v>
      </c>
      <c r="S2096" s="12" t="str">
        <f t="shared" si="396"/>
        <v>1886</v>
      </c>
      <c r="T2096" s="13" t="s">
        <v>28</v>
      </c>
      <c r="U2096" s="13" t="s">
        <v>2562</v>
      </c>
      <c r="V2096" s="12" t="str">
        <f t="shared" si="397"/>
        <v>1838</v>
      </c>
      <c r="W2096" s="13" t="s">
        <v>14806</v>
      </c>
      <c r="X2096" s="13" t="s">
        <v>1900</v>
      </c>
      <c r="Y2096" s="13" t="s">
        <v>15041</v>
      </c>
      <c r="Z2096" s="13"/>
      <c r="AA2096" s="13"/>
      <c r="AB2096" s="13"/>
      <c r="AC2096" s="13" t="s">
        <v>15042</v>
      </c>
      <c r="AD2096" s="13"/>
      <c r="AE2096" s="13" t="s">
        <v>15043</v>
      </c>
      <c r="AF2096" s="13" t="s">
        <v>3677</v>
      </c>
      <c r="AG2096" s="13" t="s">
        <v>53</v>
      </c>
      <c r="AH2096" s="13">
        <v>1839</v>
      </c>
      <c r="AI2096" s="12" t="str">
        <f t="shared" si="398"/>
        <v>1839</v>
      </c>
      <c r="AJ2096" s="13"/>
      <c r="AK2096" s="13" t="s">
        <v>90</v>
      </c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2"/>
      <c r="BI2096" s="12"/>
      <c r="BJ2096" s="12"/>
      <c r="BK2096" s="12"/>
      <c r="BL2096" s="12"/>
      <c r="BM2096" s="12"/>
      <c r="BN2096" s="12"/>
      <c r="BO2096" s="12"/>
      <c r="BP2096" s="12"/>
      <c r="BQ2096" s="12"/>
      <c r="BR2096" s="12"/>
      <c r="BS2096" s="12"/>
      <c r="BT2096" s="12"/>
      <c r="BU2096" s="12"/>
      <c r="BV2096" s="12"/>
      <c r="BW2096" s="12"/>
      <c r="BX2096" s="12"/>
      <c r="BY2096" s="12"/>
      <c r="BZ2096" s="12"/>
      <c r="CA2096" s="12"/>
      <c r="CB2096" s="12"/>
      <c r="CC2096" s="12"/>
      <c r="CD2096" s="12"/>
    </row>
    <row r="2097" spans="1:82">
      <c r="A2097" s="13" t="s">
        <v>6072</v>
      </c>
      <c r="B2097" s="12" t="str">
        <f t="shared" si="390"/>
        <v>VANTONDER</v>
      </c>
      <c r="C2097" s="12" t="str">
        <f t="shared" si="391"/>
        <v>VAN TONDER</v>
      </c>
      <c r="D2097" s="13" t="s">
        <v>6094</v>
      </c>
      <c r="E2097" s="12" t="str">
        <f t="shared" si="401"/>
        <v>Jacob Johannes Petrus</v>
      </c>
      <c r="F2097" s="13" t="s">
        <v>6095</v>
      </c>
      <c r="G2097" s="12" t="str">
        <f t="shared" si="392"/>
        <v>a1b3c2d3e4</v>
      </c>
      <c r="H2097" s="12" t="str">
        <f t="shared" si="393"/>
        <v>VAN TONDERa1b3c2d3e4</v>
      </c>
      <c r="I2097" s="13"/>
      <c r="J2097" s="13"/>
      <c r="K2097" s="12" t="str">
        <f t="shared" si="394"/>
        <v/>
      </c>
      <c r="L2097" s="13" t="s">
        <v>32</v>
      </c>
      <c r="M2097" s="13" t="s">
        <v>6096</v>
      </c>
      <c r="N2097" s="12" t="str">
        <f t="shared" si="399"/>
        <v/>
      </c>
      <c r="O2097" s="12" t="str">
        <f t="shared" si="400"/>
        <v>1811</v>
      </c>
      <c r="P2097" s="13"/>
      <c r="Q2097" s="12" t="str">
        <f t="shared" si="395"/>
        <v>1811</v>
      </c>
      <c r="R2097" s="13" t="s">
        <v>6097</v>
      </c>
      <c r="S2097" s="12" t="str">
        <f t="shared" si="396"/>
        <v>1857</v>
      </c>
      <c r="T2097" s="13"/>
      <c r="U2097" s="13"/>
      <c r="V2097" s="12" t="str">
        <f t="shared" si="397"/>
        <v/>
      </c>
      <c r="W2097" s="13" t="s">
        <v>15054</v>
      </c>
      <c r="X2097" s="13" t="s">
        <v>15055</v>
      </c>
      <c r="Y2097" s="13" t="s">
        <v>957</v>
      </c>
      <c r="Z2097" s="13"/>
      <c r="AA2097" s="13"/>
      <c r="AB2097" s="13"/>
      <c r="AC2097" s="13" t="s">
        <v>15056</v>
      </c>
      <c r="AD2097" s="13" t="s">
        <v>90</v>
      </c>
      <c r="AE2097" s="13" t="s">
        <v>6097</v>
      </c>
      <c r="AF2097" s="13" t="s">
        <v>3677</v>
      </c>
      <c r="AG2097" s="13" t="s">
        <v>53</v>
      </c>
      <c r="AH2097" s="13" t="s">
        <v>12313</v>
      </c>
      <c r="AI2097" s="12" t="str">
        <f t="shared" si="398"/>
        <v>1837</v>
      </c>
      <c r="AJ2097" s="13" t="s">
        <v>2382</v>
      </c>
      <c r="AK2097" s="13" t="s">
        <v>90</v>
      </c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2"/>
      <c r="BI2097" s="12"/>
      <c r="BJ2097" s="12"/>
      <c r="BK2097" s="12"/>
      <c r="BL2097" s="12"/>
      <c r="BM2097" s="12"/>
      <c r="BN2097" s="12"/>
      <c r="BO2097" s="12"/>
      <c r="BP2097" s="12"/>
      <c r="BQ2097" s="12"/>
      <c r="BR2097" s="12"/>
      <c r="BS2097" s="12"/>
      <c r="BT2097" s="12"/>
      <c r="BU2097" s="12"/>
      <c r="BV2097" s="12"/>
      <c r="BW2097" s="12"/>
      <c r="BX2097" s="12"/>
      <c r="BY2097" s="12"/>
      <c r="BZ2097" s="12"/>
      <c r="CA2097" s="12"/>
      <c r="CB2097" s="12"/>
      <c r="CC2097" s="12"/>
      <c r="CD2097" s="12"/>
    </row>
    <row r="2098" spans="1:82">
      <c r="A2098" s="13" t="s">
        <v>6072</v>
      </c>
      <c r="B2098" s="12" t="str">
        <f t="shared" ref="B2098:B2161" si="402">SUBSTITUTE(A2098," ","")</f>
        <v>VANTONDER</v>
      </c>
      <c r="C2098" s="12" t="str">
        <f t="shared" ref="C2098:C2161" si="403">TRIM(A2098)</f>
        <v>VAN TONDER</v>
      </c>
      <c r="D2098" s="13" t="s">
        <v>6088</v>
      </c>
      <c r="E2098" s="12" t="str">
        <f t="shared" si="401"/>
        <v>Cornelis Wynand</v>
      </c>
      <c r="F2098" s="13" t="s">
        <v>6089</v>
      </c>
      <c r="G2098" s="12" t="str">
        <f t="shared" ref="G2098:G2161" si="404">IF(LEFT(F2098,1)="b","a1"&amp;F2098,F2098)</f>
        <v>a1b3c2d3e6</v>
      </c>
      <c r="H2098" s="12" t="str">
        <f t="shared" ref="H2098:H2161" si="405">C2098&amp;G2098</f>
        <v>VAN TONDERa1b3c2d3e6</v>
      </c>
      <c r="I2098" s="13"/>
      <c r="J2098" s="13" t="s">
        <v>6090</v>
      </c>
      <c r="K2098" s="12" t="str">
        <f t="shared" ref="K2098:K2161" si="406">RIGHT(J2098,4)</f>
        <v>1818</v>
      </c>
      <c r="L2098" s="13" t="s">
        <v>199</v>
      </c>
      <c r="M2098" s="13" t="s">
        <v>6091</v>
      </c>
      <c r="N2098" s="12" t="str">
        <f t="shared" si="399"/>
        <v>1818</v>
      </c>
      <c r="O2098" s="12" t="str">
        <f t="shared" si="400"/>
        <v>1819</v>
      </c>
      <c r="P2098" s="13"/>
      <c r="Q2098" s="12" t="str">
        <f t="shared" ref="Q2098:Q2161" si="407">IF(N2098="",O2098,N2098)</f>
        <v>1818</v>
      </c>
      <c r="R2098" s="13"/>
      <c r="S2098" s="12" t="str">
        <f t="shared" ref="S2098:S2161" si="408">RIGHT(R2098,4)</f>
        <v/>
      </c>
      <c r="T2098" s="13"/>
      <c r="U2098" s="13"/>
      <c r="V2098" s="12" t="str">
        <f t="shared" ref="V2098:V2161" si="409">RIGHT(U2098,4)</f>
        <v/>
      </c>
      <c r="W2098" s="13" t="s">
        <v>13036</v>
      </c>
      <c r="X2098" s="13" t="s">
        <v>662</v>
      </c>
      <c r="Y2098" s="13" t="s">
        <v>15051</v>
      </c>
      <c r="Z2098" s="13"/>
      <c r="AA2098" s="13" t="s">
        <v>15052</v>
      </c>
      <c r="AB2098" s="13"/>
      <c r="AC2098" s="13"/>
      <c r="AD2098" s="13"/>
      <c r="AE2098" s="13"/>
      <c r="AF2098" s="13" t="s">
        <v>3677</v>
      </c>
      <c r="AG2098" s="13" t="s">
        <v>53</v>
      </c>
      <c r="AH2098" s="13" t="s">
        <v>12313</v>
      </c>
      <c r="AI2098" s="12" t="str">
        <f t="shared" ref="AI2098:AI2161" si="410">RIGHT(AH2098,4)</f>
        <v>1837</v>
      </c>
      <c r="AJ2098" s="13" t="s">
        <v>2382</v>
      </c>
      <c r="AK2098" s="13" t="s">
        <v>90</v>
      </c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2"/>
      <c r="BI2098" s="12"/>
      <c r="BJ2098" s="12"/>
      <c r="BK2098" s="12"/>
      <c r="BL2098" s="12"/>
      <c r="BM2098" s="12"/>
      <c r="BN2098" s="12"/>
      <c r="BO2098" s="12"/>
      <c r="BP2098" s="12"/>
      <c r="BQ2098" s="12"/>
      <c r="BR2098" s="12"/>
      <c r="BS2098" s="12"/>
      <c r="BT2098" s="12"/>
      <c r="BU2098" s="12"/>
      <c r="BV2098" s="12"/>
      <c r="BW2098" s="12"/>
      <c r="BX2098" s="12"/>
      <c r="BY2098" s="12"/>
      <c r="BZ2098" s="12"/>
      <c r="CA2098" s="12"/>
      <c r="CB2098" s="12"/>
      <c r="CC2098" s="12"/>
      <c r="CD2098" s="12"/>
    </row>
    <row r="2099" spans="1:82">
      <c r="A2099" s="13" t="s">
        <v>6072</v>
      </c>
      <c r="B2099" s="12" t="str">
        <f t="shared" si="402"/>
        <v>VANTONDER</v>
      </c>
      <c r="C2099" s="12" t="str">
        <f t="shared" si="403"/>
        <v>VAN TONDER</v>
      </c>
      <c r="D2099" s="13" t="s">
        <v>3098</v>
      </c>
      <c r="E2099" s="12" t="str">
        <f t="shared" si="401"/>
        <v>Adriaan Jacobus</v>
      </c>
      <c r="F2099" s="13" t="s">
        <v>6073</v>
      </c>
      <c r="G2099" s="12" t="str">
        <f t="shared" si="404"/>
        <v>a1b3c3d2e1</v>
      </c>
      <c r="H2099" s="12" t="str">
        <f t="shared" si="405"/>
        <v>VAN TONDERa1b3c3d2e1</v>
      </c>
      <c r="I2099" s="13"/>
      <c r="J2099" s="13" t="s">
        <v>6074</v>
      </c>
      <c r="K2099" s="12" t="str">
        <f t="shared" si="406"/>
        <v>1809</v>
      </c>
      <c r="L2099" s="13" t="s">
        <v>961</v>
      </c>
      <c r="M2099" s="13" t="s">
        <v>6075</v>
      </c>
      <c r="N2099" s="12" t="str">
        <f t="shared" si="399"/>
        <v>1809</v>
      </c>
      <c r="O2099" s="12" t="str">
        <f t="shared" si="400"/>
        <v>1809</v>
      </c>
      <c r="P2099" s="13" t="s">
        <v>120</v>
      </c>
      <c r="Q2099" s="12" t="str">
        <f t="shared" si="407"/>
        <v>1809</v>
      </c>
      <c r="R2099" s="13" t="s">
        <v>15032</v>
      </c>
      <c r="S2099" s="12" t="str">
        <f t="shared" si="408"/>
        <v>1896</v>
      </c>
      <c r="T2099" s="13" t="s">
        <v>168</v>
      </c>
      <c r="U2099" s="13" t="s">
        <v>15033</v>
      </c>
      <c r="V2099" s="12" t="str">
        <f t="shared" si="409"/>
        <v>1840</v>
      </c>
      <c r="W2099" s="13" t="s">
        <v>3265</v>
      </c>
      <c r="X2099" s="13" t="s">
        <v>13334</v>
      </c>
      <c r="Y2099" s="13"/>
      <c r="Z2099" s="13"/>
      <c r="AA2099" s="13">
        <v>1822</v>
      </c>
      <c r="AB2099" s="13"/>
      <c r="AC2099" s="13"/>
      <c r="AD2099" s="13"/>
      <c r="AE2099" s="13"/>
      <c r="AF2099" s="13" t="s">
        <v>3720</v>
      </c>
      <c r="AG2099" s="13" t="s">
        <v>68</v>
      </c>
      <c r="AH2099" s="13" t="s">
        <v>15034</v>
      </c>
      <c r="AI2099" s="12" t="str">
        <f t="shared" si="410"/>
        <v>1840</v>
      </c>
      <c r="AJ2099" s="13"/>
      <c r="AK2099" s="13" t="s">
        <v>90</v>
      </c>
      <c r="AL2099" s="13"/>
      <c r="AM2099" s="13"/>
      <c r="AN2099" s="13" t="s">
        <v>14012</v>
      </c>
      <c r="AO2099" s="13" t="s">
        <v>636</v>
      </c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2"/>
      <c r="BI2099" s="12"/>
      <c r="BJ2099" s="12"/>
      <c r="BK2099" s="12"/>
      <c r="BL2099" s="12"/>
      <c r="BM2099" s="12"/>
      <c r="BN2099" s="12"/>
      <c r="BO2099" s="12"/>
      <c r="BP2099" s="12"/>
      <c r="BQ2099" s="12"/>
      <c r="BR2099" s="12"/>
      <c r="BS2099" s="12"/>
      <c r="BT2099" s="12"/>
      <c r="BU2099" s="12"/>
      <c r="BV2099" s="12"/>
      <c r="BW2099" s="12"/>
      <c r="BX2099" s="12"/>
      <c r="BY2099" s="12"/>
      <c r="BZ2099" s="12"/>
      <c r="CA2099" s="12"/>
      <c r="CB2099" s="12"/>
      <c r="CC2099" s="12"/>
      <c r="CD2099" s="12"/>
    </row>
    <row r="2100" spans="1:82">
      <c r="A2100" s="13" t="s">
        <v>6072</v>
      </c>
      <c r="B2100" s="12" t="str">
        <f t="shared" si="402"/>
        <v>VANTONDER</v>
      </c>
      <c r="C2100" s="12" t="str">
        <f t="shared" si="403"/>
        <v>VAN TONDER</v>
      </c>
      <c r="D2100" s="13" t="s">
        <v>6101</v>
      </c>
      <c r="E2100" s="12" t="str">
        <f t="shared" si="401"/>
        <v>Roelof Christoffel</v>
      </c>
      <c r="F2100" s="13" t="s">
        <v>6102</v>
      </c>
      <c r="G2100" s="12" t="str">
        <f t="shared" si="404"/>
        <v>a1b3c8d6</v>
      </c>
      <c r="H2100" s="12" t="str">
        <f t="shared" si="405"/>
        <v>VAN TONDERa1b3c8d6</v>
      </c>
      <c r="I2100" s="13"/>
      <c r="J2100" s="13"/>
      <c r="K2100" s="12" t="str">
        <f t="shared" si="406"/>
        <v/>
      </c>
      <c r="L2100" s="13" t="s">
        <v>32</v>
      </c>
      <c r="M2100" s="13" t="s">
        <v>6103</v>
      </c>
      <c r="N2100" s="12" t="str">
        <f t="shared" si="399"/>
        <v/>
      </c>
      <c r="O2100" s="12" t="str">
        <f t="shared" si="400"/>
        <v>1807</v>
      </c>
      <c r="P2100" s="13"/>
      <c r="Q2100" s="12" t="str">
        <f t="shared" si="407"/>
        <v>1807</v>
      </c>
      <c r="R2100" s="13" t="s">
        <v>6104</v>
      </c>
      <c r="S2100" s="12" t="str">
        <f t="shared" si="408"/>
        <v>1888</v>
      </c>
      <c r="T2100" s="13" t="s">
        <v>32</v>
      </c>
      <c r="U2100" s="13" t="s">
        <v>7379</v>
      </c>
      <c r="V2100" s="12" t="str">
        <f t="shared" si="409"/>
        <v>1832</v>
      </c>
      <c r="W2100" s="13" t="s">
        <v>15060</v>
      </c>
      <c r="X2100" s="13" t="s">
        <v>698</v>
      </c>
      <c r="Y2100" s="13"/>
      <c r="Z2100" s="13"/>
      <c r="AA2100" s="13" t="s">
        <v>8206</v>
      </c>
      <c r="AB2100" s="13" t="s">
        <v>1071</v>
      </c>
      <c r="AC2100" s="13" t="s">
        <v>15061</v>
      </c>
      <c r="AD2100" s="13"/>
      <c r="AE2100" s="13" t="s">
        <v>15062</v>
      </c>
      <c r="AF2100" s="13"/>
      <c r="AG2100" s="13"/>
      <c r="AH2100" s="13" t="s">
        <v>14375</v>
      </c>
      <c r="AI2100" s="12" t="str">
        <f t="shared" si="410"/>
        <v>1842</v>
      </c>
      <c r="AJ2100" s="13"/>
      <c r="AK2100" s="13" t="s">
        <v>551</v>
      </c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3"/>
      <c r="BD2100" s="13"/>
      <c r="BE2100" s="13"/>
      <c r="BF2100" s="13"/>
      <c r="BG2100" s="13"/>
      <c r="BH2100" s="12"/>
      <c r="BI2100" s="12"/>
      <c r="BJ2100" s="12"/>
      <c r="BK2100" s="12"/>
      <c r="BL2100" s="12"/>
      <c r="BM2100" s="12"/>
      <c r="BN2100" s="12"/>
      <c r="BO2100" s="12"/>
      <c r="BP2100" s="12"/>
      <c r="BQ2100" s="12"/>
      <c r="BR2100" s="12"/>
      <c r="BS2100" s="12"/>
      <c r="BT2100" s="12"/>
      <c r="BU2100" s="12"/>
      <c r="BV2100" s="12"/>
      <c r="BW2100" s="12"/>
      <c r="BX2100" s="12"/>
      <c r="BY2100" s="12"/>
      <c r="BZ2100" s="12"/>
      <c r="CA2100" s="12"/>
      <c r="CB2100" s="12"/>
      <c r="CC2100" s="12"/>
      <c r="CD2100" s="12"/>
    </row>
    <row r="2101" spans="1:82">
      <c r="A2101" s="13" t="s">
        <v>6072</v>
      </c>
      <c r="B2101" s="12" t="str">
        <f t="shared" si="402"/>
        <v>VANTONDER</v>
      </c>
      <c r="C2101" s="12" t="str">
        <f t="shared" si="403"/>
        <v>VAN TONDER</v>
      </c>
      <c r="D2101" s="13" t="s">
        <v>4339</v>
      </c>
      <c r="E2101" s="12" t="str">
        <f t="shared" si="401"/>
        <v>Andries Johannes</v>
      </c>
      <c r="F2101" s="13" t="s">
        <v>6076</v>
      </c>
      <c r="G2101" s="12" t="str">
        <f t="shared" si="404"/>
        <v>a1b7c1d4</v>
      </c>
      <c r="H2101" s="12" t="str">
        <f t="shared" si="405"/>
        <v>VAN TONDERa1b7c1d4</v>
      </c>
      <c r="I2101" s="13"/>
      <c r="J2101" s="13"/>
      <c r="K2101" s="12" t="str">
        <f t="shared" si="406"/>
        <v/>
      </c>
      <c r="L2101" s="13" t="s">
        <v>961</v>
      </c>
      <c r="M2101" s="13" t="s">
        <v>6077</v>
      </c>
      <c r="N2101" s="12" t="str">
        <f t="shared" si="399"/>
        <v/>
      </c>
      <c r="O2101" s="12" t="str">
        <f t="shared" si="400"/>
        <v>1792</v>
      </c>
      <c r="P2101" s="13" t="s">
        <v>15035</v>
      </c>
      <c r="Q2101" s="12" t="str">
        <f t="shared" si="407"/>
        <v>1792</v>
      </c>
      <c r="R2101" s="13" t="s">
        <v>15036</v>
      </c>
      <c r="S2101" s="12" t="str">
        <f t="shared" si="408"/>
        <v>1881</v>
      </c>
      <c r="T2101" s="13" t="s">
        <v>32</v>
      </c>
      <c r="U2101" s="13" t="s">
        <v>7127</v>
      </c>
      <c r="V2101" s="12" t="str">
        <f t="shared" si="409"/>
        <v>1810</v>
      </c>
      <c r="W2101" s="13" t="s">
        <v>15037</v>
      </c>
      <c r="X2101" s="13" t="s">
        <v>633</v>
      </c>
      <c r="Y2101" s="13"/>
      <c r="Z2101" s="13"/>
      <c r="AA2101" s="13" t="s">
        <v>15038</v>
      </c>
      <c r="AB2101" s="13" t="s">
        <v>74</v>
      </c>
      <c r="AC2101" s="13"/>
      <c r="AD2101" s="13"/>
      <c r="AE2101" s="13"/>
      <c r="AF2101" s="13" t="s">
        <v>3697</v>
      </c>
      <c r="AG2101" s="13" t="s">
        <v>32</v>
      </c>
      <c r="AH2101" s="13">
        <v>1837</v>
      </c>
      <c r="AI2101" s="12" t="str">
        <f t="shared" si="410"/>
        <v>1837</v>
      </c>
      <c r="AJ2101" s="13"/>
      <c r="AK2101" s="13" t="s">
        <v>551</v>
      </c>
      <c r="AL2101" s="13"/>
      <c r="AM2101" s="13"/>
      <c r="AN2101" s="13" t="s">
        <v>642</v>
      </c>
      <c r="AO2101" s="13" t="s">
        <v>758</v>
      </c>
      <c r="AP2101" s="13"/>
      <c r="AQ2101" s="13"/>
      <c r="AR2101" s="13" t="s">
        <v>13791</v>
      </c>
      <c r="AS2101" s="13"/>
      <c r="AT2101" s="13"/>
      <c r="AU2101" s="13"/>
      <c r="AV2101" s="13" t="s">
        <v>15039</v>
      </c>
      <c r="AW2101" s="13"/>
      <c r="AX2101" s="13"/>
      <c r="AY2101" s="13" t="s">
        <v>10691</v>
      </c>
      <c r="AZ2101" s="13" t="s">
        <v>760</v>
      </c>
      <c r="BA2101" s="13"/>
      <c r="BB2101" s="13"/>
      <c r="BC2101" s="13"/>
      <c r="BD2101" s="13"/>
      <c r="BE2101" s="13"/>
      <c r="BF2101" s="13"/>
      <c r="BG2101" s="13"/>
      <c r="BH2101" s="12"/>
      <c r="BI2101" s="12"/>
      <c r="BJ2101" s="12"/>
      <c r="BK2101" s="12"/>
      <c r="BL2101" s="12"/>
      <c r="BM2101" s="12"/>
      <c r="BN2101" s="12"/>
      <c r="BO2101" s="12"/>
      <c r="BP2101" s="12"/>
      <c r="BQ2101" s="12"/>
      <c r="BR2101" s="12"/>
      <c r="BS2101" s="12"/>
      <c r="BT2101" s="12"/>
      <c r="BU2101" s="12"/>
      <c r="BV2101" s="12"/>
      <c r="BW2101" s="12"/>
      <c r="BX2101" s="12"/>
      <c r="BY2101" s="12"/>
      <c r="BZ2101" s="12"/>
      <c r="CA2101" s="12"/>
      <c r="CB2101" s="12"/>
      <c r="CC2101" s="12"/>
      <c r="CD2101" s="12"/>
    </row>
    <row r="2102" spans="1:82">
      <c r="A2102" s="13" t="s">
        <v>6072</v>
      </c>
      <c r="B2102" s="12" t="str">
        <f t="shared" si="402"/>
        <v>VANTONDER</v>
      </c>
      <c r="C2102" s="12" t="str">
        <f t="shared" si="403"/>
        <v>VAN TONDER</v>
      </c>
      <c r="D2102" s="13" t="s">
        <v>6082</v>
      </c>
      <c r="E2102" s="12" t="str">
        <f t="shared" si="401"/>
        <v>Andries Johannes Jacobus</v>
      </c>
      <c r="F2102" s="13" t="s">
        <v>6083</v>
      </c>
      <c r="G2102" s="12" t="str">
        <f t="shared" si="404"/>
        <v>a1b7c1d4e1</v>
      </c>
      <c r="H2102" s="12" t="str">
        <f t="shared" si="405"/>
        <v>VAN TONDERa1b7c1d4e1</v>
      </c>
      <c r="I2102" s="13"/>
      <c r="J2102" s="13"/>
      <c r="K2102" s="12" t="str">
        <f t="shared" si="406"/>
        <v/>
      </c>
      <c r="L2102" s="13" t="s">
        <v>32</v>
      </c>
      <c r="M2102" s="13" t="s">
        <v>6084</v>
      </c>
      <c r="N2102" s="12" t="str">
        <f t="shared" si="399"/>
        <v/>
      </c>
      <c r="O2102" s="12" t="str">
        <f t="shared" si="400"/>
        <v>1811</v>
      </c>
      <c r="P2102" s="13" t="s">
        <v>160</v>
      </c>
      <c r="Q2102" s="12" t="str">
        <f t="shared" si="407"/>
        <v>1811</v>
      </c>
      <c r="R2102" s="13" t="s">
        <v>15044</v>
      </c>
      <c r="S2102" s="12" t="str">
        <f t="shared" si="408"/>
        <v>1887</v>
      </c>
      <c r="T2102" s="13" t="s">
        <v>32</v>
      </c>
      <c r="U2102" s="13" t="s">
        <v>15045</v>
      </c>
      <c r="V2102" s="12" t="str">
        <f t="shared" si="409"/>
        <v>1831</v>
      </c>
      <c r="W2102" s="13" t="s">
        <v>15046</v>
      </c>
      <c r="X2102" s="13" t="s">
        <v>20</v>
      </c>
      <c r="Y2102" s="13" t="s">
        <v>844</v>
      </c>
      <c r="Z2102" s="13" t="s">
        <v>32</v>
      </c>
      <c r="AA2102" s="13" t="s">
        <v>7353</v>
      </c>
      <c r="AB2102" s="13"/>
      <c r="AC2102" s="13" t="s">
        <v>15047</v>
      </c>
      <c r="AD2102" s="13" t="s">
        <v>31</v>
      </c>
      <c r="AE2102" s="13" t="s">
        <v>15048</v>
      </c>
      <c r="AF2102" s="13" t="s">
        <v>3697</v>
      </c>
      <c r="AG2102" s="13" t="s">
        <v>32</v>
      </c>
      <c r="AH2102" s="13"/>
      <c r="AI2102" s="12" t="str">
        <f t="shared" si="410"/>
        <v/>
      </c>
      <c r="AJ2102" s="13"/>
      <c r="AK2102" s="13" t="s">
        <v>31</v>
      </c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2"/>
      <c r="BI2102" s="12"/>
      <c r="BJ2102" s="12"/>
      <c r="BK2102" s="12"/>
      <c r="BL2102" s="12"/>
      <c r="BM2102" s="12"/>
      <c r="BN2102" s="12"/>
      <c r="BO2102" s="12"/>
      <c r="BP2102" s="12"/>
      <c r="BQ2102" s="12"/>
      <c r="BR2102" s="12"/>
      <c r="BS2102" s="12"/>
      <c r="BT2102" s="12"/>
      <c r="BU2102" s="12"/>
      <c r="BV2102" s="12"/>
      <c r="BW2102" s="12"/>
      <c r="BX2102" s="12"/>
      <c r="BY2102" s="12"/>
      <c r="BZ2102" s="12"/>
      <c r="CA2102" s="12"/>
      <c r="CB2102" s="12"/>
      <c r="CC2102" s="12"/>
      <c r="CD2102" s="12"/>
    </row>
    <row r="2103" spans="1:82">
      <c r="A2103" s="13" t="s">
        <v>6072</v>
      </c>
      <c r="B2103" s="12" t="str">
        <f t="shared" si="402"/>
        <v>VANTONDER</v>
      </c>
      <c r="C2103" s="12" t="str">
        <f t="shared" si="403"/>
        <v>VAN TONDER</v>
      </c>
      <c r="D2103" s="13" t="s">
        <v>2307</v>
      </c>
      <c r="E2103" s="12" t="str">
        <f t="shared" si="401"/>
        <v>Frederik Johannes</v>
      </c>
      <c r="F2103" s="13" t="s">
        <v>6092</v>
      </c>
      <c r="G2103" s="12" t="str">
        <f t="shared" si="404"/>
        <v>a1b7c5d3</v>
      </c>
      <c r="H2103" s="12" t="str">
        <f t="shared" si="405"/>
        <v>VAN TONDERa1b7c5d3</v>
      </c>
      <c r="I2103" s="13"/>
      <c r="J2103" s="13"/>
      <c r="K2103" s="12" t="str">
        <f t="shared" si="406"/>
        <v/>
      </c>
      <c r="L2103" s="13"/>
      <c r="M2103" s="13" t="s">
        <v>6093</v>
      </c>
      <c r="N2103" s="12" t="str">
        <f t="shared" si="399"/>
        <v/>
      </c>
      <c r="O2103" s="12" t="str">
        <f t="shared" si="400"/>
        <v>1797</v>
      </c>
      <c r="P2103" s="13"/>
      <c r="Q2103" s="12" t="str">
        <f t="shared" si="407"/>
        <v>1797</v>
      </c>
      <c r="R2103" s="13"/>
      <c r="S2103" s="12" t="str">
        <f t="shared" si="408"/>
        <v/>
      </c>
      <c r="T2103" s="13" t="s">
        <v>32</v>
      </c>
      <c r="U2103" s="13" t="s">
        <v>1646</v>
      </c>
      <c r="V2103" s="12" t="str">
        <f t="shared" si="409"/>
        <v>1816</v>
      </c>
      <c r="W2103" s="13" t="s">
        <v>754</v>
      </c>
      <c r="X2103" s="13" t="s">
        <v>731</v>
      </c>
      <c r="Y2103" s="13"/>
      <c r="Z2103" s="13"/>
      <c r="AA2103" s="13" t="s">
        <v>3981</v>
      </c>
      <c r="AB2103" s="13"/>
      <c r="AC2103" s="13"/>
      <c r="AD2103" s="13"/>
      <c r="AE2103" s="13"/>
      <c r="AF2103" s="13" t="s">
        <v>3707</v>
      </c>
      <c r="AG2103" s="13" t="s">
        <v>32</v>
      </c>
      <c r="AH2103" s="13" t="s">
        <v>15053</v>
      </c>
      <c r="AI2103" s="12" t="str">
        <f t="shared" si="410"/>
        <v>1839</v>
      </c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2"/>
      <c r="BI2103" s="12"/>
      <c r="BJ2103" s="12"/>
      <c r="BK2103" s="12"/>
      <c r="BL2103" s="12"/>
      <c r="BM2103" s="12"/>
      <c r="BN2103" s="12"/>
      <c r="BO2103" s="12"/>
      <c r="BP2103" s="12"/>
      <c r="BQ2103" s="12"/>
      <c r="BR2103" s="12"/>
      <c r="BS2103" s="12"/>
      <c r="BT2103" s="12"/>
      <c r="BU2103" s="12"/>
      <c r="BV2103" s="12"/>
      <c r="BW2103" s="12"/>
      <c r="BX2103" s="12"/>
      <c r="BY2103" s="12"/>
      <c r="BZ2103" s="12"/>
      <c r="CA2103" s="12"/>
      <c r="CB2103" s="12"/>
      <c r="CC2103" s="12"/>
      <c r="CD2103" s="12"/>
    </row>
    <row r="2104" spans="1:82">
      <c r="A2104" s="13" t="s">
        <v>6111</v>
      </c>
      <c r="B2104" s="12" t="str">
        <f t="shared" si="402"/>
        <v>VANVUUREN</v>
      </c>
      <c r="C2104" s="12" t="str">
        <f t="shared" si="403"/>
        <v>VAN VUUREN</v>
      </c>
      <c r="D2104" s="13" t="s">
        <v>6186</v>
      </c>
      <c r="E2104" s="12" t="str">
        <f t="shared" si="401"/>
        <v>Lourens Janse</v>
      </c>
      <c r="F2104" s="13" t="s">
        <v>6187</v>
      </c>
      <c r="G2104" s="12" t="str">
        <f t="shared" si="404"/>
        <v>a1b2c3d10</v>
      </c>
      <c r="H2104" s="12" t="str">
        <f t="shared" si="405"/>
        <v>VAN VUURENa1b2c3d10</v>
      </c>
      <c r="I2104" s="13"/>
      <c r="J2104" s="13"/>
      <c r="K2104" s="12" t="str">
        <f t="shared" si="406"/>
        <v/>
      </c>
      <c r="L2104" s="13" t="s">
        <v>6098</v>
      </c>
      <c r="M2104" s="13" t="s">
        <v>6188</v>
      </c>
      <c r="N2104" s="12" t="str">
        <f t="shared" si="399"/>
        <v/>
      </c>
      <c r="O2104" s="12" t="str">
        <f t="shared" si="400"/>
        <v>1770</v>
      </c>
      <c r="P2104" s="13"/>
      <c r="Q2104" s="12" t="str">
        <f t="shared" si="407"/>
        <v>1770</v>
      </c>
      <c r="R2104" s="13"/>
      <c r="S2104" s="12" t="str">
        <f t="shared" si="408"/>
        <v/>
      </c>
      <c r="T2104" s="13"/>
      <c r="U2104" s="13"/>
      <c r="V2104" s="12" t="str">
        <f t="shared" si="409"/>
        <v/>
      </c>
      <c r="W2104" s="13" t="s">
        <v>13240</v>
      </c>
      <c r="X2104" s="13" t="s">
        <v>6111</v>
      </c>
      <c r="Y2104" s="13"/>
      <c r="Z2104" s="13"/>
      <c r="AA2104" s="13"/>
      <c r="AB2104" s="13" t="s">
        <v>6098</v>
      </c>
      <c r="AC2104" s="13" t="s">
        <v>15108</v>
      </c>
      <c r="AD2104" s="13"/>
      <c r="AE2104" s="13"/>
      <c r="AF2104" s="13" t="s">
        <v>15101</v>
      </c>
      <c r="AG2104" s="13" t="s">
        <v>74</v>
      </c>
      <c r="AH2104" s="13">
        <v>1836</v>
      </c>
      <c r="AI2104" s="12" t="str">
        <f t="shared" si="410"/>
        <v>1836</v>
      </c>
      <c r="AJ2104" s="13" t="s">
        <v>13060</v>
      </c>
      <c r="AK2104" s="13" t="s">
        <v>255</v>
      </c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2"/>
      <c r="BI2104" s="12"/>
      <c r="BJ2104" s="12"/>
      <c r="BK2104" s="12"/>
      <c r="BL2104" s="12"/>
      <c r="BM2104" s="12"/>
      <c r="BN2104" s="12"/>
      <c r="BO2104" s="12"/>
      <c r="BP2104" s="12"/>
      <c r="BQ2104" s="12"/>
      <c r="BR2104" s="12"/>
      <c r="BS2104" s="12"/>
      <c r="BT2104" s="12"/>
      <c r="BU2104" s="12"/>
      <c r="BV2104" s="12"/>
      <c r="BW2104" s="12"/>
      <c r="BX2104" s="12"/>
      <c r="BY2104" s="12"/>
      <c r="BZ2104" s="12"/>
      <c r="CA2104" s="12"/>
      <c r="CB2104" s="12"/>
      <c r="CC2104" s="12"/>
      <c r="CD2104" s="12"/>
    </row>
    <row r="2105" spans="1:82">
      <c r="A2105" s="13" t="s">
        <v>6111</v>
      </c>
      <c r="B2105" s="12" t="str">
        <f t="shared" si="402"/>
        <v>VANVUUREN</v>
      </c>
      <c r="C2105" s="12" t="str">
        <f t="shared" si="403"/>
        <v>VAN VUUREN</v>
      </c>
      <c r="D2105" s="13" t="s">
        <v>6162</v>
      </c>
      <c r="E2105" s="12" t="str">
        <f t="shared" si="401"/>
        <v>Johannes Gerhardus Janse</v>
      </c>
      <c r="F2105" s="13" t="s">
        <v>6163</v>
      </c>
      <c r="G2105" s="12" t="str">
        <f t="shared" si="404"/>
        <v>a1b2c3d10e6</v>
      </c>
      <c r="H2105" s="12" t="str">
        <f t="shared" si="405"/>
        <v>VAN VUURENa1b2c3d10e6</v>
      </c>
      <c r="I2105" s="13"/>
      <c r="J2105" s="13" t="s">
        <v>6164</v>
      </c>
      <c r="K2105" s="12" t="str">
        <f t="shared" si="406"/>
        <v>1812</v>
      </c>
      <c r="L2105" s="13"/>
      <c r="M2105" s="13"/>
      <c r="N2105" s="12" t="str">
        <f t="shared" si="399"/>
        <v>1812</v>
      </c>
      <c r="O2105" s="12" t="str">
        <f t="shared" si="400"/>
        <v/>
      </c>
      <c r="P2105" s="13" t="s">
        <v>6165</v>
      </c>
      <c r="Q2105" s="12" t="str">
        <f t="shared" si="407"/>
        <v>1812</v>
      </c>
      <c r="R2105" s="13" t="s">
        <v>6166</v>
      </c>
      <c r="S2105" s="12" t="str">
        <f t="shared" si="408"/>
        <v>1888</v>
      </c>
      <c r="T2105" s="13"/>
      <c r="U2105" s="13" t="s">
        <v>1275</v>
      </c>
      <c r="V2105" s="12" t="str">
        <f t="shared" si="409"/>
        <v>1837</v>
      </c>
      <c r="W2105" s="13" t="s">
        <v>4789</v>
      </c>
      <c r="X2105" s="13" t="s">
        <v>725</v>
      </c>
      <c r="Y2105" s="13"/>
      <c r="Z2105" s="13" t="s">
        <v>366</v>
      </c>
      <c r="AA2105" s="13">
        <v>1820</v>
      </c>
      <c r="AB2105" s="13"/>
      <c r="AC2105" s="13"/>
      <c r="AD2105" s="13" t="s">
        <v>255</v>
      </c>
      <c r="AE2105" s="13" t="s">
        <v>15100</v>
      </c>
      <c r="AF2105" s="13" t="s">
        <v>15101</v>
      </c>
      <c r="AG2105" s="13" t="s">
        <v>74</v>
      </c>
      <c r="AH2105" s="13">
        <v>1836</v>
      </c>
      <c r="AI2105" s="12" t="str">
        <f t="shared" si="410"/>
        <v>1836</v>
      </c>
      <c r="AJ2105" s="13" t="s">
        <v>13060</v>
      </c>
      <c r="AK2105" s="13" t="s">
        <v>255</v>
      </c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2"/>
      <c r="BI2105" s="12"/>
      <c r="BJ2105" s="12"/>
      <c r="BK2105" s="12"/>
      <c r="BL2105" s="12"/>
      <c r="BM2105" s="12"/>
      <c r="BN2105" s="12"/>
      <c r="BO2105" s="12"/>
      <c r="BP2105" s="12"/>
      <c r="BQ2105" s="12"/>
      <c r="BR2105" s="12"/>
      <c r="BS2105" s="12"/>
      <c r="BT2105" s="12"/>
      <c r="BU2105" s="12"/>
      <c r="BV2105" s="12"/>
      <c r="BW2105" s="12"/>
      <c r="BX2105" s="12"/>
      <c r="BY2105" s="12"/>
      <c r="BZ2105" s="12"/>
      <c r="CA2105" s="12"/>
      <c r="CB2105" s="12"/>
      <c r="CC2105" s="12"/>
      <c r="CD2105" s="12"/>
    </row>
    <row r="2106" spans="1:82">
      <c r="A2106" s="13" t="s">
        <v>6111</v>
      </c>
      <c r="B2106" s="12" t="str">
        <f t="shared" si="402"/>
        <v>VANVUUREN</v>
      </c>
      <c r="C2106" s="12" t="str">
        <f t="shared" si="403"/>
        <v>VAN VUUREN</v>
      </c>
      <c r="D2106" s="13" t="s">
        <v>6207</v>
      </c>
      <c r="E2106" s="12" t="str">
        <f t="shared" si="401"/>
        <v>Lucas Rudolph Janse</v>
      </c>
      <c r="F2106" s="13" t="s">
        <v>6208</v>
      </c>
      <c r="G2106" s="12" t="str">
        <f t="shared" si="404"/>
        <v>a1b2c3d10e7</v>
      </c>
      <c r="H2106" s="12" t="str">
        <f t="shared" si="405"/>
        <v>VAN VUURENa1b2c3d10e7</v>
      </c>
      <c r="I2106" s="13"/>
      <c r="J2106" s="13" t="s">
        <v>6209</v>
      </c>
      <c r="K2106" s="12" t="str">
        <f t="shared" si="406"/>
        <v>1821</v>
      </c>
      <c r="L2106" s="13"/>
      <c r="M2106" s="13"/>
      <c r="N2106" s="12" t="str">
        <f t="shared" si="399"/>
        <v>1821</v>
      </c>
      <c r="O2106" s="12" t="str">
        <f t="shared" si="400"/>
        <v/>
      </c>
      <c r="P2106" s="13" t="s">
        <v>6210</v>
      </c>
      <c r="Q2106" s="12" t="str">
        <f t="shared" si="407"/>
        <v>1821</v>
      </c>
      <c r="R2106" s="13" t="s">
        <v>6211</v>
      </c>
      <c r="S2106" s="12" t="str">
        <f t="shared" si="408"/>
        <v>1912</v>
      </c>
      <c r="T2106" s="13"/>
      <c r="U2106" s="13"/>
      <c r="V2106" s="12" t="str">
        <f t="shared" si="409"/>
        <v/>
      </c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2" t="str">
        <f t="shared" si="410"/>
        <v/>
      </c>
      <c r="AJ2106" s="13"/>
      <c r="AK2106" s="13"/>
      <c r="AL2106" s="13"/>
      <c r="AM2106" s="13"/>
      <c r="AN2106" s="13" t="s">
        <v>13553</v>
      </c>
      <c r="AO2106" s="13" t="s">
        <v>15115</v>
      </c>
      <c r="AP2106" s="13"/>
      <c r="AQ2106" s="13" t="s">
        <v>31</v>
      </c>
      <c r="AR2106" s="13">
        <v>1851</v>
      </c>
      <c r="AS2106" s="13"/>
      <c r="AT2106" s="13"/>
      <c r="AU2106" s="13" t="s">
        <v>140</v>
      </c>
      <c r="AV2106" s="13" t="s">
        <v>15116</v>
      </c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2"/>
      <c r="BI2106" s="12"/>
      <c r="BJ2106" s="12"/>
      <c r="BK2106" s="12"/>
      <c r="BL2106" s="12"/>
      <c r="BM2106" s="12"/>
      <c r="BN2106" s="12"/>
      <c r="BO2106" s="12"/>
      <c r="BP2106" s="12"/>
      <c r="BQ2106" s="12"/>
      <c r="BR2106" s="12"/>
      <c r="BS2106" s="12"/>
      <c r="BT2106" s="12"/>
      <c r="BU2106" s="12"/>
      <c r="BV2106" s="12"/>
      <c r="BW2106" s="12"/>
      <c r="BX2106" s="12"/>
      <c r="BY2106" s="12"/>
      <c r="BZ2106" s="12"/>
      <c r="CA2106" s="12"/>
      <c r="CB2106" s="12"/>
      <c r="CC2106" s="12"/>
      <c r="CD2106" s="12"/>
    </row>
    <row r="2107" spans="1:82">
      <c r="A2107" s="13" t="s">
        <v>6111</v>
      </c>
      <c r="B2107" s="12" t="str">
        <f t="shared" si="402"/>
        <v>VANVUUREN</v>
      </c>
      <c r="C2107" s="12" t="str">
        <f t="shared" si="403"/>
        <v>VAN VUUREN</v>
      </c>
      <c r="D2107" s="13" t="s">
        <v>6167</v>
      </c>
      <c r="E2107" s="12" t="str">
        <f t="shared" si="401"/>
        <v>Johannes Janse</v>
      </c>
      <c r="F2107" s="13" t="s">
        <v>6168</v>
      </c>
      <c r="G2107" s="12" t="str">
        <f t="shared" si="404"/>
        <v>a1b2c3d1e4</v>
      </c>
      <c r="H2107" s="12" t="str">
        <f t="shared" si="405"/>
        <v>VAN VUURENa1b2c3d1e4</v>
      </c>
      <c r="I2107" s="13"/>
      <c r="J2107" s="13"/>
      <c r="K2107" s="12" t="str">
        <f t="shared" si="406"/>
        <v/>
      </c>
      <c r="L2107" s="13" t="s">
        <v>6098</v>
      </c>
      <c r="M2107" s="13" t="s">
        <v>6169</v>
      </c>
      <c r="N2107" s="12" t="str">
        <f t="shared" si="399"/>
        <v/>
      </c>
      <c r="O2107" s="12" t="str">
        <f t="shared" si="400"/>
        <v>1783</v>
      </c>
      <c r="P2107" s="13" t="s">
        <v>6170</v>
      </c>
      <c r="Q2107" s="12" t="str">
        <f t="shared" si="407"/>
        <v>1783</v>
      </c>
      <c r="R2107" s="13" t="s">
        <v>6171</v>
      </c>
      <c r="S2107" s="12" t="str">
        <f t="shared" si="408"/>
        <v>1865</v>
      </c>
      <c r="T2107" s="13"/>
      <c r="U2107" s="13"/>
      <c r="V2107" s="12" t="str">
        <f t="shared" si="409"/>
        <v/>
      </c>
      <c r="W2107" s="13" t="s">
        <v>14056</v>
      </c>
      <c r="X2107" s="13" t="s">
        <v>725</v>
      </c>
      <c r="Y2107" s="13"/>
      <c r="Z2107" s="13"/>
      <c r="AA2107" s="13"/>
      <c r="AB2107" s="13"/>
      <c r="AC2107" s="13" t="s">
        <v>15102</v>
      </c>
      <c r="AD2107" s="13"/>
      <c r="AE2107" s="13"/>
      <c r="AF2107" s="13" t="s">
        <v>8582</v>
      </c>
      <c r="AG2107" s="13" t="s">
        <v>199</v>
      </c>
      <c r="AH2107" s="13">
        <v>1836</v>
      </c>
      <c r="AI2107" s="12" t="str">
        <f t="shared" si="410"/>
        <v>1836</v>
      </c>
      <c r="AJ2107" s="13" t="s">
        <v>13060</v>
      </c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2"/>
      <c r="BI2107" s="12"/>
      <c r="BJ2107" s="12"/>
      <c r="BK2107" s="12"/>
      <c r="BL2107" s="12"/>
      <c r="BM2107" s="12"/>
      <c r="BN2107" s="12"/>
      <c r="BO2107" s="12"/>
      <c r="BP2107" s="12"/>
      <c r="BQ2107" s="12"/>
      <c r="BR2107" s="12"/>
      <c r="BS2107" s="12"/>
      <c r="BT2107" s="12"/>
      <c r="BU2107" s="12"/>
      <c r="BV2107" s="12"/>
      <c r="BW2107" s="12"/>
      <c r="BX2107" s="12"/>
      <c r="BY2107" s="12"/>
      <c r="BZ2107" s="12"/>
      <c r="CA2107" s="12"/>
      <c r="CB2107" s="12"/>
      <c r="CC2107" s="12"/>
      <c r="CD2107" s="12"/>
    </row>
    <row r="2108" spans="1:82">
      <c r="A2108" s="13" t="s">
        <v>6111</v>
      </c>
      <c r="B2108" s="12" t="str">
        <f t="shared" si="402"/>
        <v>VANVUUREN</v>
      </c>
      <c r="C2108" s="12" t="str">
        <f t="shared" si="403"/>
        <v>VAN VUUREN</v>
      </c>
      <c r="D2108" s="13" t="s">
        <v>6223</v>
      </c>
      <c r="E2108" s="12" t="str">
        <f t="shared" si="401"/>
        <v>Roelof Johannes Janse</v>
      </c>
      <c r="F2108" s="13" t="s">
        <v>6224</v>
      </c>
      <c r="G2108" s="12" t="str">
        <f t="shared" si="404"/>
        <v>a1b2c3d1e4f1</v>
      </c>
      <c r="H2108" s="12" t="str">
        <f t="shared" si="405"/>
        <v>VAN VUURENa1b2c3d1e4f1</v>
      </c>
      <c r="I2108" s="13" t="s">
        <v>6225</v>
      </c>
      <c r="J2108" s="13" t="s">
        <v>6226</v>
      </c>
      <c r="K2108" s="12" t="str">
        <f t="shared" si="406"/>
        <v>1814</v>
      </c>
      <c r="L2108" s="13"/>
      <c r="M2108" s="13"/>
      <c r="N2108" s="12" t="str">
        <f t="shared" si="399"/>
        <v>1814</v>
      </c>
      <c r="O2108" s="12" t="str">
        <f t="shared" si="400"/>
        <v/>
      </c>
      <c r="P2108" s="13" t="s">
        <v>6227</v>
      </c>
      <c r="Q2108" s="12" t="str">
        <f t="shared" si="407"/>
        <v>1814</v>
      </c>
      <c r="R2108" s="13" t="s">
        <v>6228</v>
      </c>
      <c r="S2108" s="12" t="str">
        <f t="shared" si="408"/>
        <v>1881</v>
      </c>
      <c r="T2108" s="13"/>
      <c r="U2108" s="13"/>
      <c r="V2108" s="12" t="str">
        <f t="shared" si="409"/>
        <v/>
      </c>
      <c r="W2108" s="13" t="s">
        <v>15132</v>
      </c>
      <c r="X2108" s="13" t="s">
        <v>698</v>
      </c>
      <c r="Y2108" s="13"/>
      <c r="Z2108" s="13" t="s">
        <v>53</v>
      </c>
      <c r="AA2108" s="13">
        <v>1815</v>
      </c>
      <c r="AB2108" s="13"/>
      <c r="AC2108" s="13"/>
      <c r="AD2108" s="13" t="s">
        <v>4932</v>
      </c>
      <c r="AE2108" s="13" t="s">
        <v>15133</v>
      </c>
      <c r="AF2108" s="13"/>
      <c r="AG2108" s="13" t="s">
        <v>366</v>
      </c>
      <c r="AH2108" s="13">
        <v>1836</v>
      </c>
      <c r="AI2108" s="12" t="str">
        <f t="shared" si="410"/>
        <v>1836</v>
      </c>
      <c r="AJ2108" s="13" t="s">
        <v>13060</v>
      </c>
      <c r="AK2108" s="13" t="s">
        <v>120</v>
      </c>
      <c r="AL2108" s="13"/>
      <c r="AM2108" s="13"/>
      <c r="AN2108" s="13" t="s">
        <v>5120</v>
      </c>
      <c r="AO2108" s="13" t="s">
        <v>6798</v>
      </c>
      <c r="AP2108" s="13"/>
      <c r="AQ2108" s="13"/>
      <c r="AR2108" s="13"/>
      <c r="AS2108" s="13"/>
      <c r="AT2108" s="13"/>
      <c r="AU2108" s="13" t="s">
        <v>81</v>
      </c>
      <c r="AV2108" s="13" t="s">
        <v>5122</v>
      </c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2"/>
      <c r="BI2108" s="12"/>
      <c r="BJ2108" s="12"/>
      <c r="BK2108" s="12"/>
      <c r="BL2108" s="12"/>
      <c r="BM2108" s="12"/>
      <c r="BN2108" s="12"/>
      <c r="BO2108" s="12"/>
      <c r="BP2108" s="12"/>
      <c r="BQ2108" s="12"/>
      <c r="BR2108" s="12"/>
      <c r="BS2108" s="12"/>
      <c r="BT2108" s="12"/>
      <c r="BU2108" s="12"/>
      <c r="BV2108" s="12"/>
      <c r="BW2108" s="12"/>
      <c r="BX2108" s="12"/>
      <c r="BY2108" s="12"/>
      <c r="BZ2108" s="12"/>
      <c r="CA2108" s="12"/>
      <c r="CB2108" s="12"/>
      <c r="CC2108" s="12"/>
      <c r="CD2108" s="12"/>
    </row>
    <row r="2109" spans="1:82">
      <c r="A2109" s="13" t="s">
        <v>6111</v>
      </c>
      <c r="B2109" s="12" t="str">
        <f t="shared" si="402"/>
        <v>VANVUUREN</v>
      </c>
      <c r="C2109" s="12" t="str">
        <f t="shared" si="403"/>
        <v>VAN VUUREN</v>
      </c>
      <c r="D2109" s="13" t="s">
        <v>6218</v>
      </c>
      <c r="E2109" s="12" t="str">
        <f t="shared" si="401"/>
        <v>Petrus Lourens Janse</v>
      </c>
      <c r="F2109" s="13" t="s">
        <v>6219</v>
      </c>
      <c r="G2109" s="12" t="str">
        <f t="shared" si="404"/>
        <v>a1b2c3d3e5</v>
      </c>
      <c r="H2109" s="12" t="str">
        <f t="shared" si="405"/>
        <v>VAN VUURENa1b2c3d3e5</v>
      </c>
      <c r="I2109" s="13"/>
      <c r="J2109" s="13" t="s">
        <v>6220</v>
      </c>
      <c r="K2109" s="12" t="str">
        <f t="shared" si="406"/>
        <v>1812</v>
      </c>
      <c r="L2109" s="13"/>
      <c r="M2109" s="13"/>
      <c r="N2109" s="12" t="str">
        <f t="shared" si="399"/>
        <v>1812</v>
      </c>
      <c r="O2109" s="12" t="str">
        <f t="shared" si="400"/>
        <v/>
      </c>
      <c r="P2109" s="13" t="s">
        <v>6221</v>
      </c>
      <c r="Q2109" s="12" t="str">
        <f t="shared" si="407"/>
        <v>1812</v>
      </c>
      <c r="R2109" s="13" t="s">
        <v>6222</v>
      </c>
      <c r="S2109" s="12" t="str">
        <f t="shared" si="408"/>
        <v>1889</v>
      </c>
      <c r="T2109" s="13"/>
      <c r="U2109" s="13"/>
      <c r="V2109" s="12" t="str">
        <f t="shared" si="409"/>
        <v/>
      </c>
      <c r="W2109" s="13" t="s">
        <v>15124</v>
      </c>
      <c r="X2109" s="13" t="s">
        <v>210</v>
      </c>
      <c r="Y2109" s="13"/>
      <c r="Z2109" s="13"/>
      <c r="AA2109" s="13"/>
      <c r="AB2109" s="13"/>
      <c r="AC2109" s="13"/>
      <c r="AD2109" s="13"/>
      <c r="AE2109" s="13"/>
      <c r="AF2109" s="13" t="s">
        <v>15027</v>
      </c>
      <c r="AG2109" s="13" t="s">
        <v>74</v>
      </c>
      <c r="AH2109" s="13" t="s">
        <v>15125</v>
      </c>
      <c r="AI2109" s="12" t="str">
        <f t="shared" si="410"/>
        <v>1837</v>
      </c>
      <c r="AJ2109" s="13"/>
      <c r="AK2109" s="13" t="s">
        <v>140</v>
      </c>
      <c r="AL2109" s="13"/>
      <c r="AM2109" s="13"/>
      <c r="AN2109" s="13" t="s">
        <v>15126</v>
      </c>
      <c r="AO2109" s="13" t="s">
        <v>1136</v>
      </c>
      <c r="AP2109" s="13"/>
      <c r="AQ2109" s="13"/>
      <c r="AR2109" s="13" t="s">
        <v>15127</v>
      </c>
      <c r="AS2109" s="13"/>
      <c r="AT2109" s="13"/>
      <c r="AU2109" s="13" t="s">
        <v>140</v>
      </c>
      <c r="AV2109" s="13" t="s">
        <v>15128</v>
      </c>
      <c r="AW2109" s="13"/>
      <c r="AX2109" s="13"/>
      <c r="AY2109" s="13" t="s">
        <v>15129</v>
      </c>
      <c r="AZ2109" s="13" t="s">
        <v>633</v>
      </c>
      <c r="BA2109" s="13"/>
      <c r="BB2109" s="13">
        <v>1835</v>
      </c>
      <c r="BC2109" s="13"/>
      <c r="BD2109" s="13"/>
      <c r="BE2109" s="13"/>
      <c r="BF2109" s="13" t="s">
        <v>140</v>
      </c>
      <c r="BG2109" s="13" t="s">
        <v>15130</v>
      </c>
      <c r="BH2109" s="12"/>
      <c r="BI2109" s="12"/>
      <c r="BJ2109" s="12" t="s">
        <v>712</v>
      </c>
      <c r="BK2109" s="12" t="s">
        <v>731</v>
      </c>
      <c r="BL2109" s="12"/>
      <c r="BM2109" s="12">
        <v>1830</v>
      </c>
      <c r="BN2109" s="12"/>
      <c r="BO2109" s="12"/>
      <c r="BP2109" s="12" t="s">
        <v>140</v>
      </c>
      <c r="BQ2109" s="12" t="s">
        <v>15131</v>
      </c>
      <c r="BR2109" s="12"/>
      <c r="BS2109" s="12"/>
      <c r="BT2109" s="12"/>
      <c r="BU2109" s="12"/>
      <c r="BV2109" s="12"/>
      <c r="BW2109" s="12"/>
      <c r="BX2109" s="12"/>
      <c r="BY2109" s="12"/>
      <c r="BZ2109" s="12"/>
      <c r="CA2109" s="12"/>
      <c r="CB2109" s="12"/>
      <c r="CC2109" s="12"/>
      <c r="CD2109" s="12"/>
    </row>
    <row r="2110" spans="1:82">
      <c r="A2110" s="13" t="s">
        <v>6111</v>
      </c>
      <c r="B2110" s="12" t="str">
        <f t="shared" si="402"/>
        <v>VANVUUREN</v>
      </c>
      <c r="C2110" s="12" t="str">
        <f t="shared" si="403"/>
        <v>VAN VUUREN</v>
      </c>
      <c r="D2110" s="13" t="s">
        <v>6117</v>
      </c>
      <c r="E2110" s="12" t="str">
        <f t="shared" si="401"/>
        <v>Daniel Janse</v>
      </c>
      <c r="F2110" s="13" t="s">
        <v>6118</v>
      </c>
      <c r="G2110" s="12" t="str">
        <f t="shared" si="404"/>
        <v>a1b2c3d8</v>
      </c>
      <c r="H2110" s="12" t="str">
        <f t="shared" si="405"/>
        <v>VAN VUURENa1b2c3d8</v>
      </c>
      <c r="I2110" s="13"/>
      <c r="J2110" s="13"/>
      <c r="K2110" s="12" t="str">
        <f t="shared" si="406"/>
        <v/>
      </c>
      <c r="L2110" s="13" t="s">
        <v>961</v>
      </c>
      <c r="M2110" s="13" t="s">
        <v>6119</v>
      </c>
      <c r="N2110" s="12" t="str">
        <f t="shared" si="399"/>
        <v/>
      </c>
      <c r="O2110" s="12" t="str">
        <f t="shared" si="400"/>
        <v>1767</v>
      </c>
      <c r="P2110" s="13"/>
      <c r="Q2110" s="12" t="str">
        <f t="shared" si="407"/>
        <v>1767</v>
      </c>
      <c r="R2110" s="12"/>
      <c r="S2110" s="12" t="str">
        <f t="shared" si="408"/>
        <v/>
      </c>
      <c r="T2110" s="13"/>
      <c r="U2110" s="13" t="s">
        <v>4259</v>
      </c>
      <c r="V2110" s="12" t="str">
        <f t="shared" si="409"/>
        <v>1789</v>
      </c>
      <c r="W2110" s="13" t="s">
        <v>3389</v>
      </c>
      <c r="X2110" s="13" t="s">
        <v>636</v>
      </c>
      <c r="Y2110" s="13"/>
      <c r="Z2110" s="13"/>
      <c r="AA2110" s="13"/>
      <c r="AB2110" s="13"/>
      <c r="AC2110" s="13" t="s">
        <v>15074</v>
      </c>
      <c r="AD2110" s="13"/>
      <c r="AE2110" s="13"/>
      <c r="AF2110" s="13" t="s">
        <v>3677</v>
      </c>
      <c r="AG2110" s="13" t="s">
        <v>53</v>
      </c>
      <c r="AH2110" s="13" t="s">
        <v>13525</v>
      </c>
      <c r="AI2110" s="12" t="str">
        <f t="shared" si="410"/>
        <v>1838</v>
      </c>
      <c r="AJ2110" s="13" t="s">
        <v>9224</v>
      </c>
      <c r="AK2110" s="13" t="s">
        <v>15075</v>
      </c>
      <c r="AL2110" s="13"/>
      <c r="AM2110" s="13" t="s">
        <v>5311</v>
      </c>
      <c r="AN2110" s="13" t="s">
        <v>15076</v>
      </c>
      <c r="AO2110" s="13" t="s">
        <v>662</v>
      </c>
      <c r="AP2110" s="13"/>
      <c r="AQ2110" s="13"/>
      <c r="AR2110" s="13"/>
      <c r="AS2110" s="13" t="s">
        <v>32</v>
      </c>
      <c r="AT2110" s="13" t="s">
        <v>15077</v>
      </c>
      <c r="AU2110" s="13"/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2"/>
      <c r="BI2110" s="12"/>
      <c r="BJ2110" s="12"/>
      <c r="BK2110" s="12"/>
      <c r="BL2110" s="12"/>
      <c r="BM2110" s="12"/>
      <c r="BN2110" s="12"/>
      <c r="BO2110" s="12"/>
      <c r="BP2110" s="12"/>
      <c r="BQ2110" s="12"/>
      <c r="BR2110" s="12"/>
      <c r="BS2110" s="12"/>
      <c r="BT2110" s="12"/>
      <c r="BU2110" s="12"/>
      <c r="BV2110" s="12"/>
      <c r="BW2110" s="12"/>
      <c r="BX2110" s="12"/>
      <c r="BY2110" s="12"/>
      <c r="BZ2110" s="12"/>
      <c r="CA2110" s="12"/>
      <c r="CB2110" s="12"/>
      <c r="CC2110" s="12"/>
      <c r="CD2110" s="12"/>
    </row>
    <row r="2111" spans="1:82">
      <c r="A2111" s="13" t="s">
        <v>6111</v>
      </c>
      <c r="B2111" s="12" t="str">
        <f t="shared" si="402"/>
        <v>VANVUUREN</v>
      </c>
      <c r="C2111" s="12" t="str">
        <f t="shared" si="403"/>
        <v>VAN VUUREN</v>
      </c>
      <c r="D2111" s="13" t="s">
        <v>6182</v>
      </c>
      <c r="E2111" s="12" t="str">
        <f t="shared" si="401"/>
        <v>Johannus Janse</v>
      </c>
      <c r="F2111" s="13" t="s">
        <v>6183</v>
      </c>
      <c r="G2111" s="12" t="str">
        <f t="shared" si="404"/>
        <v>a1b2c3d8e1</v>
      </c>
      <c r="H2111" s="12" t="str">
        <f t="shared" si="405"/>
        <v>VAN VUURENa1b2c3d8e1</v>
      </c>
      <c r="I2111" s="13"/>
      <c r="J2111" s="13"/>
      <c r="K2111" s="12" t="str">
        <f t="shared" si="406"/>
        <v/>
      </c>
      <c r="L2111" s="13" t="s">
        <v>74</v>
      </c>
      <c r="M2111" s="13" t="s">
        <v>6184</v>
      </c>
      <c r="N2111" s="12" t="str">
        <f t="shared" si="399"/>
        <v/>
      </c>
      <c r="O2111" s="12" t="str">
        <f t="shared" si="400"/>
        <v>1794</v>
      </c>
      <c r="P2111" s="13"/>
      <c r="Q2111" s="12" t="str">
        <f t="shared" si="407"/>
        <v>1794</v>
      </c>
      <c r="R2111" s="13" t="s">
        <v>6185</v>
      </c>
      <c r="S2111" s="12" t="str">
        <f t="shared" si="408"/>
        <v>1875</v>
      </c>
      <c r="T2111" s="13"/>
      <c r="U2111" s="13"/>
      <c r="V2111" s="12" t="str">
        <f t="shared" si="409"/>
        <v/>
      </c>
      <c r="W2111" s="13" t="s">
        <v>1334</v>
      </c>
      <c r="X2111" s="13" t="s">
        <v>1136</v>
      </c>
      <c r="Y2111" s="13" t="s">
        <v>15105</v>
      </c>
      <c r="Z2111" s="13"/>
      <c r="AA2111" s="13" t="s">
        <v>15106</v>
      </c>
      <c r="AB2111" s="13" t="s">
        <v>74</v>
      </c>
      <c r="AC2111" s="13" t="s">
        <v>349</v>
      </c>
      <c r="AD2111" s="13" t="s">
        <v>140</v>
      </c>
      <c r="AE2111" s="13" t="s">
        <v>15107</v>
      </c>
      <c r="AF2111" s="13" t="s">
        <v>3677</v>
      </c>
      <c r="AG2111" s="13" t="s">
        <v>53</v>
      </c>
      <c r="AH2111" s="13" t="s">
        <v>13525</v>
      </c>
      <c r="AI2111" s="12" t="str">
        <f t="shared" si="410"/>
        <v>1838</v>
      </c>
      <c r="AJ2111" s="13" t="s">
        <v>7807</v>
      </c>
      <c r="AK2111" s="13" t="s">
        <v>3387</v>
      </c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2"/>
      <c r="BI2111" s="12"/>
      <c r="BJ2111" s="12"/>
      <c r="BK2111" s="12"/>
      <c r="BL2111" s="12"/>
      <c r="BM2111" s="12"/>
      <c r="BN2111" s="12"/>
      <c r="BO2111" s="12"/>
      <c r="BP2111" s="12"/>
      <c r="BQ2111" s="12"/>
      <c r="BR2111" s="12"/>
      <c r="BS2111" s="12"/>
      <c r="BT2111" s="12"/>
      <c r="BU2111" s="12"/>
      <c r="BV2111" s="12"/>
      <c r="BW2111" s="12"/>
      <c r="BX2111" s="12"/>
      <c r="BY2111" s="12"/>
      <c r="BZ2111" s="12"/>
      <c r="CA2111" s="12"/>
      <c r="CB2111" s="12"/>
      <c r="CC2111" s="12"/>
      <c r="CD2111" s="12"/>
    </row>
    <row r="2112" spans="1:82">
      <c r="A2112" s="13" t="s">
        <v>6111</v>
      </c>
      <c r="B2112" s="12" t="str">
        <f t="shared" si="402"/>
        <v>VANVUUREN</v>
      </c>
      <c r="C2112" s="12" t="str">
        <f t="shared" si="403"/>
        <v>VAN VUUREN</v>
      </c>
      <c r="D2112" s="13" t="s">
        <v>6202</v>
      </c>
      <c r="E2112" s="12" t="str">
        <f t="shared" si="401"/>
        <v>Lucas Gerhardus Janse</v>
      </c>
      <c r="F2112" s="13" t="s">
        <v>6203</v>
      </c>
      <c r="G2112" s="12" t="str">
        <f t="shared" si="404"/>
        <v>a1b2c3d8e7</v>
      </c>
      <c r="H2112" s="12" t="str">
        <f t="shared" si="405"/>
        <v>VAN VUURENa1b2c3d8e7</v>
      </c>
      <c r="I2112" s="13"/>
      <c r="J2112" s="13" t="s">
        <v>6204</v>
      </c>
      <c r="K2112" s="12" t="str">
        <f t="shared" si="406"/>
        <v>1819</v>
      </c>
      <c r="L2112" s="13"/>
      <c r="M2112" s="13"/>
      <c r="N2112" s="12" t="str">
        <f t="shared" si="399"/>
        <v>1819</v>
      </c>
      <c r="O2112" s="12" t="str">
        <f t="shared" si="400"/>
        <v/>
      </c>
      <c r="P2112" s="13" t="s">
        <v>6205</v>
      </c>
      <c r="Q2112" s="12" t="str">
        <f t="shared" si="407"/>
        <v>1819</v>
      </c>
      <c r="R2112" s="13" t="s">
        <v>6206</v>
      </c>
      <c r="S2112" s="12" t="str">
        <f t="shared" si="408"/>
        <v>1912</v>
      </c>
      <c r="T2112" s="13"/>
      <c r="U2112" s="13"/>
      <c r="V2112" s="12" t="str">
        <f t="shared" si="409"/>
        <v/>
      </c>
      <c r="W2112" s="13" t="s">
        <v>622</v>
      </c>
      <c r="X2112" s="13" t="s">
        <v>4393</v>
      </c>
      <c r="Y2112" s="13"/>
      <c r="Z2112" s="13" t="s">
        <v>53</v>
      </c>
      <c r="AA2112" s="13">
        <v>1831</v>
      </c>
      <c r="AB2112" s="13"/>
      <c r="AC2112" s="13"/>
      <c r="AD2112" s="13" t="s">
        <v>140</v>
      </c>
      <c r="AE2112" s="13" t="s">
        <v>15114</v>
      </c>
      <c r="AF2112" s="13" t="s">
        <v>3677</v>
      </c>
      <c r="AG2112" s="13" t="s">
        <v>53</v>
      </c>
      <c r="AH2112" s="13" t="s">
        <v>13525</v>
      </c>
      <c r="AI2112" s="12" t="str">
        <f t="shared" si="410"/>
        <v>1838</v>
      </c>
      <c r="AJ2112" s="13" t="s">
        <v>7807</v>
      </c>
      <c r="AK2112" s="13" t="s">
        <v>140</v>
      </c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2"/>
      <c r="BI2112" s="12"/>
      <c r="BJ2112" s="12"/>
      <c r="BK2112" s="12"/>
      <c r="BL2112" s="12"/>
      <c r="BM2112" s="12"/>
      <c r="BN2112" s="12"/>
      <c r="BO2112" s="12"/>
      <c r="BP2112" s="12"/>
      <c r="BQ2112" s="12"/>
      <c r="BR2112" s="12"/>
      <c r="BS2112" s="12"/>
      <c r="BT2112" s="12"/>
      <c r="BU2112" s="12"/>
      <c r="BV2112" s="12"/>
      <c r="BW2112" s="12"/>
      <c r="BX2112" s="12"/>
      <c r="BY2112" s="12"/>
      <c r="BZ2112" s="12"/>
      <c r="CA2112" s="12"/>
      <c r="CB2112" s="12"/>
      <c r="CC2112" s="12"/>
      <c r="CD2112" s="12"/>
    </row>
    <row r="2113" spans="1:82">
      <c r="A2113" s="13" t="s">
        <v>6111</v>
      </c>
      <c r="B2113" s="12" t="str">
        <f t="shared" si="402"/>
        <v>VANVUUREN</v>
      </c>
      <c r="C2113" s="12" t="str">
        <f t="shared" si="403"/>
        <v>VAN VUUREN</v>
      </c>
      <c r="D2113" s="13" t="s">
        <v>6229</v>
      </c>
      <c r="E2113" s="12" t="str">
        <f t="shared" si="401"/>
        <v>Roelof Petrus Janse</v>
      </c>
      <c r="F2113" s="13" t="s">
        <v>6230</v>
      </c>
      <c r="G2113" s="12" t="str">
        <f t="shared" si="404"/>
        <v>a1b2c3d8e8</v>
      </c>
      <c r="H2113" s="12" t="str">
        <f t="shared" si="405"/>
        <v>VAN VUURENa1b2c3d8e8</v>
      </c>
      <c r="I2113" s="13"/>
      <c r="J2113" s="13" t="s">
        <v>6231</v>
      </c>
      <c r="K2113" s="12" t="str">
        <f t="shared" si="406"/>
        <v>1821</v>
      </c>
      <c r="L2113" s="13" t="s">
        <v>53</v>
      </c>
      <c r="M2113" s="13"/>
      <c r="N2113" s="12" t="str">
        <f t="shared" si="399"/>
        <v>1821</v>
      </c>
      <c r="O2113" s="12" t="str">
        <f t="shared" si="400"/>
        <v/>
      </c>
      <c r="P2113" s="13" t="s">
        <v>6232</v>
      </c>
      <c r="Q2113" s="12" t="str">
        <f t="shared" si="407"/>
        <v>1821</v>
      </c>
      <c r="R2113" s="13">
        <v>1886</v>
      </c>
      <c r="S2113" s="12" t="str">
        <f t="shared" si="408"/>
        <v>1886</v>
      </c>
      <c r="T2113" s="13"/>
      <c r="U2113" s="13"/>
      <c r="V2113" s="12" t="str">
        <f t="shared" si="409"/>
        <v/>
      </c>
      <c r="W2113" s="13" t="s">
        <v>4694</v>
      </c>
      <c r="X2113" s="13" t="s">
        <v>662</v>
      </c>
      <c r="Y2113" s="13"/>
      <c r="Z2113" s="13" t="s">
        <v>53</v>
      </c>
      <c r="AA2113" s="13">
        <v>1827</v>
      </c>
      <c r="AB2113" s="13"/>
      <c r="AC2113" s="13"/>
      <c r="AD2113" s="13" t="s">
        <v>140</v>
      </c>
      <c r="AE2113" s="13" t="s">
        <v>15134</v>
      </c>
      <c r="AF2113" s="13" t="s">
        <v>3677</v>
      </c>
      <c r="AG2113" s="13" t="s">
        <v>53</v>
      </c>
      <c r="AH2113" s="13" t="s">
        <v>13525</v>
      </c>
      <c r="AI2113" s="12" t="str">
        <f t="shared" si="410"/>
        <v>1838</v>
      </c>
      <c r="AJ2113" s="13" t="s">
        <v>7807</v>
      </c>
      <c r="AK2113" s="13" t="s">
        <v>140</v>
      </c>
      <c r="AL2113" s="13"/>
      <c r="AM2113" s="13"/>
      <c r="AN2113" s="13" t="s">
        <v>15135</v>
      </c>
      <c r="AO2113" s="13" t="s">
        <v>2136</v>
      </c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2"/>
      <c r="BI2113" s="12"/>
      <c r="BJ2113" s="12"/>
      <c r="BK2113" s="12"/>
      <c r="BL2113" s="12"/>
      <c r="BM2113" s="12"/>
      <c r="BN2113" s="12"/>
      <c r="BO2113" s="12"/>
      <c r="BP2113" s="12"/>
      <c r="BQ2113" s="12"/>
      <c r="BR2113" s="12"/>
      <c r="BS2113" s="12"/>
      <c r="BT2113" s="12"/>
      <c r="BU2113" s="12"/>
      <c r="BV2113" s="12"/>
      <c r="BW2113" s="12"/>
      <c r="BX2113" s="12"/>
      <c r="BY2113" s="12"/>
      <c r="BZ2113" s="12"/>
      <c r="CA2113" s="12"/>
      <c r="CB2113" s="12"/>
      <c r="CC2113" s="12"/>
      <c r="CD2113" s="12"/>
    </row>
    <row r="2114" spans="1:82">
      <c r="A2114" s="13" t="s">
        <v>6111</v>
      </c>
      <c r="B2114" s="12" t="str">
        <f t="shared" si="402"/>
        <v>VANVUUREN</v>
      </c>
      <c r="C2114" s="12" t="str">
        <f t="shared" si="403"/>
        <v>VAN VUUREN</v>
      </c>
      <c r="D2114" s="13" t="s">
        <v>6189</v>
      </c>
      <c r="E2114" s="12" t="str">
        <f t="shared" si="401"/>
        <v>Lourens Petrus Janse</v>
      </c>
      <c r="F2114" s="13" t="s">
        <v>6190</v>
      </c>
      <c r="G2114" s="12" t="str">
        <f t="shared" si="404"/>
        <v>a1b2c4d10e4</v>
      </c>
      <c r="H2114" s="12" t="str">
        <f t="shared" si="405"/>
        <v>VAN VUURENa1b2c4d10e4</v>
      </c>
      <c r="I2114" s="13"/>
      <c r="J2114" s="13" t="s">
        <v>6191</v>
      </c>
      <c r="K2114" s="12" t="str">
        <f t="shared" si="406"/>
        <v>1804</v>
      </c>
      <c r="L2114" s="13" t="s">
        <v>32</v>
      </c>
      <c r="M2114" s="13" t="s">
        <v>6192</v>
      </c>
      <c r="N2114" s="12" t="str">
        <f t="shared" ref="N2114:N2177" si="411">RIGHT(J2114,4)</f>
        <v>1804</v>
      </c>
      <c r="O2114" s="12" t="str">
        <f t="shared" ref="O2114:O2177" si="412">RIGHT(M2114,4)</f>
        <v xml:space="preserve"> (?)</v>
      </c>
      <c r="P2114" s="13" t="s">
        <v>6193</v>
      </c>
      <c r="Q2114" s="12" t="str">
        <f t="shared" si="407"/>
        <v>1804</v>
      </c>
      <c r="R2114" s="13" t="s">
        <v>6194</v>
      </c>
      <c r="S2114" s="12" t="str">
        <f t="shared" si="408"/>
        <v>1872</v>
      </c>
      <c r="T2114" s="13"/>
      <c r="U2114" s="13"/>
      <c r="V2114" s="12" t="str">
        <f t="shared" si="409"/>
        <v/>
      </c>
      <c r="W2114" s="13" t="s">
        <v>15109</v>
      </c>
      <c r="X2114" s="13" t="s">
        <v>7118</v>
      </c>
      <c r="Y2114" s="13"/>
      <c r="Z2114" s="13"/>
      <c r="AA2114" s="13"/>
      <c r="AB2114" s="13"/>
      <c r="AC2114" s="13"/>
      <c r="AD2114" s="13"/>
      <c r="AE2114" s="13"/>
      <c r="AF2114" s="13" t="s">
        <v>15101</v>
      </c>
      <c r="AG2114" s="13" t="s">
        <v>74</v>
      </c>
      <c r="AH2114" s="13">
        <v>1836</v>
      </c>
      <c r="AI2114" s="12" t="str">
        <f t="shared" si="410"/>
        <v>1836</v>
      </c>
      <c r="AJ2114" s="13" t="s">
        <v>13060</v>
      </c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2"/>
      <c r="BI2114" s="12"/>
      <c r="BJ2114" s="12"/>
      <c r="BK2114" s="12"/>
      <c r="BL2114" s="12"/>
      <c r="BM2114" s="12"/>
      <c r="BN2114" s="12"/>
      <c r="BO2114" s="12"/>
      <c r="BP2114" s="12"/>
      <c r="BQ2114" s="12"/>
      <c r="BR2114" s="12"/>
      <c r="BS2114" s="12"/>
      <c r="BT2114" s="12"/>
      <c r="BU2114" s="12"/>
      <c r="BV2114" s="12"/>
      <c r="BW2114" s="12"/>
      <c r="BX2114" s="12"/>
      <c r="BY2114" s="12"/>
      <c r="BZ2114" s="12"/>
      <c r="CA2114" s="12"/>
      <c r="CB2114" s="12"/>
      <c r="CC2114" s="12"/>
      <c r="CD2114" s="12"/>
    </row>
    <row r="2115" spans="1:82">
      <c r="A2115" s="13" t="s">
        <v>6111</v>
      </c>
      <c r="B2115" s="12" t="str">
        <f t="shared" si="402"/>
        <v>VANVUUREN</v>
      </c>
      <c r="C2115" s="12" t="str">
        <f t="shared" si="403"/>
        <v>VAN VUUREN</v>
      </c>
      <c r="D2115" s="13" t="s">
        <v>6155</v>
      </c>
      <c r="E2115" s="12" t="str">
        <f t="shared" ref="E2115:E2178" si="413">PROPER(D2115)</f>
        <v>Hester Janse (Weduwee Rudolph J.Bronkhorst)</v>
      </c>
      <c r="F2115" s="13" t="s">
        <v>2761</v>
      </c>
      <c r="G2115" s="12" t="str">
        <f t="shared" si="404"/>
        <v>a1b2c4d11</v>
      </c>
      <c r="H2115" s="12" t="str">
        <f t="shared" si="405"/>
        <v>VAN VUURENa1b2c4d11</v>
      </c>
      <c r="I2115" s="13"/>
      <c r="J2115" s="13"/>
      <c r="K2115" s="12" t="str">
        <f t="shared" si="406"/>
        <v/>
      </c>
      <c r="L2115" s="13" t="s">
        <v>6098</v>
      </c>
      <c r="M2115" s="13" t="s">
        <v>6156</v>
      </c>
      <c r="N2115" s="12" t="str">
        <f t="shared" si="411"/>
        <v/>
      </c>
      <c r="O2115" s="12" t="str">
        <f t="shared" si="412"/>
        <v>1773</v>
      </c>
      <c r="P2115" s="13"/>
      <c r="Q2115" s="12" t="str">
        <f t="shared" si="407"/>
        <v>1773</v>
      </c>
      <c r="R2115" s="13"/>
      <c r="S2115" s="12" t="str">
        <f t="shared" si="408"/>
        <v/>
      </c>
      <c r="T2115" s="13"/>
      <c r="U2115" s="13" t="s">
        <v>15096</v>
      </c>
      <c r="V2115" s="12" t="str">
        <f t="shared" si="409"/>
        <v>1787</v>
      </c>
      <c r="W2115" s="13" t="s">
        <v>1882</v>
      </c>
      <c r="X2115" s="13" t="s">
        <v>778</v>
      </c>
      <c r="Y2115" s="13" t="s">
        <v>4348</v>
      </c>
      <c r="Z2115" s="13"/>
      <c r="AA2115" s="13"/>
      <c r="AB2115" s="13"/>
      <c r="AC2115" s="13" t="s">
        <v>15097</v>
      </c>
      <c r="AD2115" s="13"/>
      <c r="AE2115" s="13"/>
      <c r="AF2115" s="13"/>
      <c r="AG2115" s="13" t="s">
        <v>366</v>
      </c>
      <c r="AH2115" s="13">
        <v>1836</v>
      </c>
      <c r="AI2115" s="12" t="str">
        <f t="shared" si="410"/>
        <v>1836</v>
      </c>
      <c r="AJ2115" s="13" t="s">
        <v>13060</v>
      </c>
      <c r="AK2115" s="13" t="s">
        <v>155</v>
      </c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2"/>
      <c r="BI2115" s="12"/>
      <c r="BJ2115" s="12"/>
      <c r="BK2115" s="12"/>
      <c r="BL2115" s="12"/>
      <c r="BM2115" s="12"/>
      <c r="BN2115" s="12"/>
      <c r="BO2115" s="12"/>
      <c r="BP2115" s="12"/>
      <c r="BQ2115" s="12"/>
      <c r="BR2115" s="12"/>
      <c r="BS2115" s="12"/>
      <c r="BT2115" s="12"/>
      <c r="BU2115" s="12"/>
      <c r="BV2115" s="12"/>
      <c r="BW2115" s="12"/>
      <c r="BX2115" s="12"/>
      <c r="BY2115" s="12"/>
      <c r="BZ2115" s="12"/>
      <c r="CA2115" s="12"/>
      <c r="CB2115" s="12"/>
      <c r="CC2115" s="12"/>
      <c r="CD2115" s="12"/>
    </row>
    <row r="2116" spans="1:82">
      <c r="A2116" s="13" t="s">
        <v>6111</v>
      </c>
      <c r="B2116" s="12" t="str">
        <f t="shared" si="402"/>
        <v>VANVUUREN</v>
      </c>
      <c r="C2116" s="12" t="str">
        <f t="shared" si="403"/>
        <v>VAN VUUREN</v>
      </c>
      <c r="D2116" s="13" t="s">
        <v>6149</v>
      </c>
      <c r="E2116" s="12" t="str">
        <f t="shared" si="413"/>
        <v>Hendrik Lourens Janse</v>
      </c>
      <c r="F2116" s="13" t="s">
        <v>6150</v>
      </c>
      <c r="G2116" s="12" t="str">
        <f t="shared" si="404"/>
        <v>a1b2c4d3e3f2</v>
      </c>
      <c r="H2116" s="12" t="str">
        <f t="shared" si="405"/>
        <v>VAN VUURENa1b2c4d3e3f2</v>
      </c>
      <c r="I2116" s="13"/>
      <c r="J2116" s="13" t="s">
        <v>6151</v>
      </c>
      <c r="K2116" s="12" t="str">
        <f t="shared" si="406"/>
        <v>1806</v>
      </c>
      <c r="L2116" s="13" t="s">
        <v>32</v>
      </c>
      <c r="M2116" s="13" t="s">
        <v>6152</v>
      </c>
      <c r="N2116" s="12" t="str">
        <f t="shared" si="411"/>
        <v>1806</v>
      </c>
      <c r="O2116" s="12" t="str">
        <f t="shared" si="412"/>
        <v>1806</v>
      </c>
      <c r="P2116" s="13" t="s">
        <v>6153</v>
      </c>
      <c r="Q2116" s="12" t="str">
        <f t="shared" si="407"/>
        <v>1806</v>
      </c>
      <c r="R2116" s="13" t="s">
        <v>6154</v>
      </c>
      <c r="S2116" s="12" t="str">
        <f t="shared" si="408"/>
        <v>1860</v>
      </c>
      <c r="T2116" s="13"/>
      <c r="U2116" s="13"/>
      <c r="V2116" s="12" t="str">
        <f t="shared" si="409"/>
        <v/>
      </c>
      <c r="W2116" s="13" t="s">
        <v>15095</v>
      </c>
      <c r="X2116" s="13" t="s">
        <v>2111</v>
      </c>
      <c r="Y2116" s="13"/>
      <c r="Z2116" s="13"/>
      <c r="AA2116" s="13"/>
      <c r="AB2116" s="13"/>
      <c r="AC2116" s="13"/>
      <c r="AD2116" s="13"/>
      <c r="AE2116" s="13"/>
      <c r="AF2116" s="13" t="s">
        <v>28</v>
      </c>
      <c r="AG2116" s="13" t="s">
        <v>68</v>
      </c>
      <c r="AH2116" s="13" t="s">
        <v>7135</v>
      </c>
      <c r="AI2116" s="12" t="str">
        <f t="shared" si="410"/>
        <v>1837</v>
      </c>
      <c r="AJ2116" s="13"/>
      <c r="AK2116" s="13" t="s">
        <v>551</v>
      </c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2"/>
      <c r="BI2116" s="12"/>
      <c r="BJ2116" s="12"/>
      <c r="BK2116" s="12"/>
      <c r="BL2116" s="12"/>
      <c r="BM2116" s="12"/>
      <c r="BN2116" s="12"/>
      <c r="BO2116" s="12"/>
      <c r="BP2116" s="12"/>
      <c r="BQ2116" s="12"/>
      <c r="BR2116" s="12"/>
      <c r="BS2116" s="12"/>
      <c r="BT2116" s="12"/>
      <c r="BU2116" s="12"/>
      <c r="BV2116" s="12"/>
      <c r="BW2116" s="12"/>
      <c r="BX2116" s="12"/>
      <c r="BY2116" s="12"/>
      <c r="BZ2116" s="12"/>
      <c r="CA2116" s="12"/>
      <c r="CB2116" s="12"/>
      <c r="CC2116" s="12"/>
      <c r="CD2116" s="12"/>
    </row>
    <row r="2117" spans="1:82">
      <c r="A2117" s="13" t="s">
        <v>6111</v>
      </c>
      <c r="B2117" s="12" t="str">
        <f t="shared" si="402"/>
        <v>VANVUUREN</v>
      </c>
      <c r="C2117" s="12" t="str">
        <f t="shared" si="403"/>
        <v>VAN VUUREN</v>
      </c>
      <c r="D2117" s="13" t="s">
        <v>6139</v>
      </c>
      <c r="E2117" s="12" t="str">
        <f t="shared" si="413"/>
        <v>Gerhardus Johannes Janse</v>
      </c>
      <c r="F2117" s="13" t="s">
        <v>6140</v>
      </c>
      <c r="G2117" s="12" t="str">
        <f t="shared" si="404"/>
        <v>a1b2c4d3e3f5</v>
      </c>
      <c r="H2117" s="12" t="str">
        <f t="shared" si="405"/>
        <v>VAN VUURENa1b2c4d3e3f5</v>
      </c>
      <c r="I2117" s="13"/>
      <c r="J2117" s="13" t="s">
        <v>6141</v>
      </c>
      <c r="K2117" s="12" t="str">
        <f t="shared" si="406"/>
        <v>1814</v>
      </c>
      <c r="L2117" s="13"/>
      <c r="M2117" s="13"/>
      <c r="N2117" s="12" t="str">
        <f t="shared" si="411"/>
        <v>1814</v>
      </c>
      <c r="O2117" s="12" t="str">
        <f t="shared" si="412"/>
        <v/>
      </c>
      <c r="P2117" s="13" t="s">
        <v>6142</v>
      </c>
      <c r="Q2117" s="12" t="str">
        <f t="shared" si="407"/>
        <v>1814</v>
      </c>
      <c r="R2117" s="13" t="s">
        <v>6143</v>
      </c>
      <c r="S2117" s="12" t="str">
        <f t="shared" si="408"/>
        <v>1863</v>
      </c>
      <c r="T2117" s="13" t="s">
        <v>28</v>
      </c>
      <c r="U2117" s="13" t="s">
        <v>15088</v>
      </c>
      <c r="V2117" s="12" t="str">
        <f t="shared" si="409"/>
        <v>1835</v>
      </c>
      <c r="W2117" s="13" t="s">
        <v>15089</v>
      </c>
      <c r="X2117" s="13" t="s">
        <v>669</v>
      </c>
      <c r="Y2117" s="13" t="s">
        <v>15090</v>
      </c>
      <c r="Z2117" s="13" t="s">
        <v>28</v>
      </c>
      <c r="AA2117" s="13" t="s">
        <v>15091</v>
      </c>
      <c r="AB2117" s="13"/>
      <c r="AC2117" s="13"/>
      <c r="AD2117" s="13" t="s">
        <v>24</v>
      </c>
      <c r="AE2117" s="13" t="s">
        <v>15092</v>
      </c>
      <c r="AF2117" s="13" t="s">
        <v>28</v>
      </c>
      <c r="AG2117" s="13" t="s">
        <v>68</v>
      </c>
      <c r="AH2117" s="13" t="s">
        <v>15093</v>
      </c>
      <c r="AI2117" s="12" t="str">
        <f t="shared" si="410"/>
        <v>1837</v>
      </c>
      <c r="AJ2117" s="13"/>
      <c r="AK2117" s="13" t="s">
        <v>140</v>
      </c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2"/>
      <c r="BI2117" s="12"/>
      <c r="BJ2117" s="12"/>
      <c r="BK2117" s="12"/>
      <c r="BL2117" s="12"/>
      <c r="BM2117" s="12"/>
      <c r="BN2117" s="12"/>
      <c r="BO2117" s="12"/>
      <c r="BP2117" s="12"/>
      <c r="BQ2117" s="12"/>
      <c r="BR2117" s="12"/>
      <c r="BS2117" s="12"/>
      <c r="BT2117" s="12"/>
      <c r="BU2117" s="12"/>
      <c r="BV2117" s="12"/>
      <c r="BW2117" s="12"/>
      <c r="BX2117" s="12"/>
      <c r="BY2117" s="12"/>
      <c r="BZ2117" s="12"/>
      <c r="CA2117" s="12"/>
      <c r="CB2117" s="12"/>
      <c r="CC2117" s="12"/>
      <c r="CD2117" s="12"/>
    </row>
    <row r="2118" spans="1:82">
      <c r="A2118" s="13" t="s">
        <v>6111</v>
      </c>
      <c r="B2118" s="12" t="str">
        <f t="shared" si="402"/>
        <v>VANVUUREN</v>
      </c>
      <c r="C2118" s="12" t="str">
        <f t="shared" si="403"/>
        <v>VAN VUUREN</v>
      </c>
      <c r="D2118" s="13" t="s">
        <v>6212</v>
      </c>
      <c r="E2118" s="12" t="str">
        <f t="shared" si="413"/>
        <v>Petrus Jacobus Janse</v>
      </c>
      <c r="F2118" s="13" t="s">
        <v>6213</v>
      </c>
      <c r="G2118" s="12" t="str">
        <f t="shared" si="404"/>
        <v>a1b2c4d3e3f6</v>
      </c>
      <c r="H2118" s="12" t="str">
        <f t="shared" si="405"/>
        <v>VAN VUURENa1b2c4d3e3f6</v>
      </c>
      <c r="I2118" s="13"/>
      <c r="J2118" s="13" t="s">
        <v>6214</v>
      </c>
      <c r="K2118" s="12" t="str">
        <f t="shared" si="406"/>
        <v>1817</v>
      </c>
      <c r="L2118" s="13"/>
      <c r="M2118" s="13"/>
      <c r="N2118" s="12" t="str">
        <f t="shared" si="411"/>
        <v>1817</v>
      </c>
      <c r="O2118" s="12" t="str">
        <f t="shared" si="412"/>
        <v/>
      </c>
      <c r="P2118" s="13" t="s">
        <v>6215</v>
      </c>
      <c r="Q2118" s="12" t="str">
        <f t="shared" si="407"/>
        <v>1817</v>
      </c>
      <c r="R2118" s="13" t="s">
        <v>6216</v>
      </c>
      <c r="S2118" s="12" t="str">
        <f t="shared" si="408"/>
        <v>1901</v>
      </c>
      <c r="T2118" s="13" t="s">
        <v>90</v>
      </c>
      <c r="U2118" s="13" t="s">
        <v>1871</v>
      </c>
      <c r="V2118" s="12" t="str">
        <f t="shared" si="409"/>
        <v>1838</v>
      </c>
      <c r="W2118" s="13" t="s">
        <v>3343</v>
      </c>
      <c r="X2118" s="13" t="s">
        <v>636</v>
      </c>
      <c r="Y2118" s="13" t="s">
        <v>7130</v>
      </c>
      <c r="Z2118" s="13"/>
      <c r="AA2118" s="13"/>
      <c r="AB2118" s="13" t="s">
        <v>32</v>
      </c>
      <c r="AC2118" s="13" t="s">
        <v>5015</v>
      </c>
      <c r="AD2118" s="13" t="s">
        <v>2520</v>
      </c>
      <c r="AE2118" s="13" t="s">
        <v>15117</v>
      </c>
      <c r="AF2118" s="13" t="s">
        <v>3709</v>
      </c>
      <c r="AG2118" s="13" t="s">
        <v>68</v>
      </c>
      <c r="AH2118" s="13" t="s">
        <v>15118</v>
      </c>
      <c r="AI2118" s="12" t="str">
        <f t="shared" si="410"/>
        <v>1838</v>
      </c>
      <c r="AJ2118" s="13"/>
      <c r="AK2118" s="13" t="s">
        <v>90</v>
      </c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2"/>
      <c r="BI2118" s="12"/>
      <c r="BJ2118" s="12"/>
      <c r="BK2118" s="12"/>
      <c r="BL2118" s="12"/>
      <c r="BM2118" s="12"/>
      <c r="BN2118" s="12"/>
      <c r="BO2118" s="12"/>
      <c r="BP2118" s="12"/>
      <c r="BQ2118" s="12"/>
      <c r="BR2118" s="12"/>
      <c r="BS2118" s="12"/>
      <c r="BT2118" s="12"/>
      <c r="BU2118" s="12"/>
      <c r="BV2118" s="12"/>
      <c r="BW2118" s="12"/>
      <c r="BX2118" s="12"/>
      <c r="BY2118" s="12"/>
      <c r="BZ2118" s="12"/>
      <c r="CA2118" s="12"/>
      <c r="CB2118" s="12"/>
      <c r="CC2118" s="12"/>
      <c r="CD2118" s="12"/>
    </row>
    <row r="2119" spans="1:82">
      <c r="A2119" s="13" t="s">
        <v>6111</v>
      </c>
      <c r="B2119" s="12" t="str">
        <f t="shared" si="402"/>
        <v>VANVUUREN</v>
      </c>
      <c r="C2119" s="12" t="str">
        <f t="shared" si="403"/>
        <v>VAN VUUREN</v>
      </c>
      <c r="D2119" s="13" t="s">
        <v>6195</v>
      </c>
      <c r="E2119" s="12" t="str">
        <f t="shared" si="413"/>
        <v>Lucas Cornelis Janse</v>
      </c>
      <c r="F2119" s="13" t="s">
        <v>6196</v>
      </c>
      <c r="G2119" s="12" t="str">
        <f t="shared" si="404"/>
        <v>a1b2c4d4e1f10</v>
      </c>
      <c r="H2119" s="12" t="str">
        <f t="shared" si="405"/>
        <v>VAN VUURENa1b2c4d4e1f10</v>
      </c>
      <c r="I2119" s="13"/>
      <c r="J2119" s="13" t="s">
        <v>6197</v>
      </c>
      <c r="K2119" s="12" t="str">
        <f t="shared" si="406"/>
        <v>1824</v>
      </c>
      <c r="L2119" s="13"/>
      <c r="M2119" s="13"/>
      <c r="N2119" s="12" t="str">
        <f t="shared" si="411"/>
        <v>1824</v>
      </c>
      <c r="O2119" s="12" t="str">
        <f t="shared" si="412"/>
        <v/>
      </c>
      <c r="P2119" s="13"/>
      <c r="Q2119" s="12" t="str">
        <f t="shared" si="407"/>
        <v>1824</v>
      </c>
      <c r="R2119" s="13"/>
      <c r="S2119" s="12" t="str">
        <f t="shared" si="408"/>
        <v/>
      </c>
      <c r="T2119" s="13"/>
      <c r="U2119" s="13" t="s">
        <v>8055</v>
      </c>
      <c r="V2119" s="12" t="str">
        <f t="shared" si="409"/>
        <v>1845</v>
      </c>
      <c r="W2119" s="13" t="s">
        <v>15110</v>
      </c>
      <c r="X2119" s="13" t="s">
        <v>1136</v>
      </c>
      <c r="Y2119" s="13" t="s">
        <v>14326</v>
      </c>
      <c r="Z2119" s="13" t="s">
        <v>15111</v>
      </c>
      <c r="AA2119" s="13" t="s">
        <v>15112</v>
      </c>
      <c r="AB2119" s="13"/>
      <c r="AC2119" s="13"/>
      <c r="AD2119" s="13" t="s">
        <v>2890</v>
      </c>
      <c r="AE2119" s="13" t="s">
        <v>15113</v>
      </c>
      <c r="AF2119" s="13"/>
      <c r="AG2119" s="13" t="s">
        <v>53</v>
      </c>
      <c r="AH2119" s="13" t="s">
        <v>2030</v>
      </c>
      <c r="AI2119" s="12" t="str">
        <f t="shared" si="410"/>
        <v>1845</v>
      </c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2"/>
      <c r="BI2119" s="12"/>
      <c r="BJ2119" s="12"/>
      <c r="BK2119" s="12"/>
      <c r="BL2119" s="12"/>
      <c r="BM2119" s="12"/>
      <c r="BN2119" s="12"/>
      <c r="BO2119" s="12"/>
      <c r="BP2119" s="12"/>
      <c r="BQ2119" s="12"/>
      <c r="BR2119" s="12"/>
      <c r="BS2119" s="12"/>
      <c r="BT2119" s="12"/>
      <c r="BU2119" s="12"/>
      <c r="BV2119" s="12"/>
      <c r="BW2119" s="12"/>
      <c r="BX2119" s="12"/>
      <c r="BY2119" s="12"/>
      <c r="BZ2119" s="12"/>
      <c r="CA2119" s="12"/>
      <c r="CB2119" s="12"/>
      <c r="CC2119" s="12"/>
      <c r="CD2119" s="12"/>
    </row>
    <row r="2120" spans="1:82">
      <c r="A2120" s="13" t="s">
        <v>6111</v>
      </c>
      <c r="B2120" s="12" t="str">
        <f t="shared" si="402"/>
        <v>VANVUUREN</v>
      </c>
      <c r="C2120" s="12" t="str">
        <f t="shared" si="403"/>
        <v>VAN VUUREN</v>
      </c>
      <c r="D2120" s="13" t="s">
        <v>6237</v>
      </c>
      <c r="E2120" s="12" t="str">
        <f t="shared" si="413"/>
        <v>Stephanus Johannes Janse Sr.</v>
      </c>
      <c r="F2120" s="13" t="s">
        <v>6238</v>
      </c>
      <c r="G2120" s="12" t="str">
        <f t="shared" si="404"/>
        <v>a1b2c4d5e2</v>
      </c>
      <c r="H2120" s="12" t="str">
        <f t="shared" si="405"/>
        <v>VAN VUURENa1b2c4d5e2</v>
      </c>
      <c r="I2120" s="13"/>
      <c r="J2120" s="13"/>
      <c r="K2120" s="12" t="str">
        <f t="shared" si="406"/>
        <v/>
      </c>
      <c r="L2120" s="13" t="s">
        <v>542</v>
      </c>
      <c r="M2120" s="13" t="s">
        <v>6239</v>
      </c>
      <c r="N2120" s="12" t="str">
        <f t="shared" si="411"/>
        <v/>
      </c>
      <c r="O2120" s="12" t="str">
        <f t="shared" si="412"/>
        <v>1781</v>
      </c>
      <c r="P2120" s="13" t="s">
        <v>6240</v>
      </c>
      <c r="Q2120" s="12" t="str">
        <f t="shared" si="407"/>
        <v>1781</v>
      </c>
      <c r="R2120" s="13" t="s">
        <v>6241</v>
      </c>
      <c r="S2120" s="12" t="str">
        <f t="shared" si="408"/>
        <v>1865</v>
      </c>
      <c r="T2120" s="13"/>
      <c r="U2120" s="13" t="s">
        <v>14650</v>
      </c>
      <c r="V2120" s="12" t="str">
        <f t="shared" si="409"/>
        <v>1802</v>
      </c>
      <c r="W2120" s="13" t="s">
        <v>644</v>
      </c>
      <c r="X2120" s="13" t="s">
        <v>1136</v>
      </c>
      <c r="Y2120" s="13"/>
      <c r="Z2120" s="13"/>
      <c r="AA2120" s="13"/>
      <c r="AB2120" s="13" t="s">
        <v>6098</v>
      </c>
      <c r="AC2120" s="13" t="s">
        <v>15139</v>
      </c>
      <c r="AD2120" s="13"/>
      <c r="AE2120" s="13"/>
      <c r="AF2120" s="13" t="s">
        <v>3705</v>
      </c>
      <c r="AG2120" s="13" t="s">
        <v>68</v>
      </c>
      <c r="AH2120" s="13" t="s">
        <v>12322</v>
      </c>
      <c r="AI2120" s="12" t="str">
        <f t="shared" si="410"/>
        <v>1837</v>
      </c>
      <c r="AJ2120" s="13"/>
      <c r="AK2120" s="13" t="s">
        <v>168</v>
      </c>
      <c r="AL2120" s="13"/>
      <c r="AM2120" s="13"/>
      <c r="AN2120" s="13" t="s">
        <v>15140</v>
      </c>
      <c r="AO2120" s="13" t="s">
        <v>662</v>
      </c>
      <c r="AP2120" s="13" t="s">
        <v>15141</v>
      </c>
      <c r="AQ2120" s="13"/>
      <c r="AR2120" s="13"/>
      <c r="AS2120" s="13"/>
      <c r="AT2120" s="13" t="s">
        <v>15142</v>
      </c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2"/>
      <c r="BI2120" s="12"/>
      <c r="BJ2120" s="12"/>
      <c r="BK2120" s="12"/>
      <c r="BL2120" s="12"/>
      <c r="BM2120" s="12"/>
      <c r="BN2120" s="12"/>
      <c r="BO2120" s="12"/>
      <c r="BP2120" s="12"/>
      <c r="BQ2120" s="12"/>
      <c r="BR2120" s="12"/>
      <c r="BS2120" s="12"/>
      <c r="BT2120" s="12"/>
      <c r="BU2120" s="12"/>
      <c r="BV2120" s="12"/>
      <c r="BW2120" s="12"/>
      <c r="BX2120" s="12"/>
      <c r="BY2120" s="12"/>
      <c r="BZ2120" s="12"/>
      <c r="CA2120" s="12"/>
      <c r="CB2120" s="12"/>
      <c r="CC2120" s="12"/>
      <c r="CD2120" s="12"/>
    </row>
    <row r="2121" spans="1:82">
      <c r="A2121" s="13" t="s">
        <v>6111</v>
      </c>
      <c r="B2121" s="12" t="str">
        <f t="shared" si="402"/>
        <v>VANVUUREN</v>
      </c>
      <c r="C2121" s="12" t="str">
        <f t="shared" si="403"/>
        <v>VAN VUUREN</v>
      </c>
      <c r="D2121" s="13" t="s">
        <v>6233</v>
      </c>
      <c r="E2121" s="12" t="str">
        <f t="shared" si="413"/>
        <v>Stephanus Johannes Janse Jr.</v>
      </c>
      <c r="F2121" s="13" t="s">
        <v>6234</v>
      </c>
      <c r="G2121" s="12" t="str">
        <f t="shared" si="404"/>
        <v>a1b2c4d5e2f5</v>
      </c>
      <c r="H2121" s="12" t="str">
        <f t="shared" si="405"/>
        <v>VAN VUURENa1b2c4d5e2f5</v>
      </c>
      <c r="I2121" s="13"/>
      <c r="J2121" s="13" t="s">
        <v>5811</v>
      </c>
      <c r="K2121" s="12" t="str">
        <f t="shared" si="406"/>
        <v>1816</v>
      </c>
      <c r="L2121" s="11"/>
      <c r="M2121" s="11"/>
      <c r="N2121" s="12" t="str">
        <f t="shared" si="411"/>
        <v>1816</v>
      </c>
      <c r="O2121" s="12" t="str">
        <f t="shared" si="412"/>
        <v/>
      </c>
      <c r="P2121" s="13" t="s">
        <v>6235</v>
      </c>
      <c r="Q2121" s="12" t="str">
        <f t="shared" si="407"/>
        <v>1816</v>
      </c>
      <c r="R2121" s="13" t="s">
        <v>6236</v>
      </c>
      <c r="S2121" s="12" t="str">
        <f t="shared" si="408"/>
        <v>1890</v>
      </c>
      <c r="T2121" s="13" t="s">
        <v>90</v>
      </c>
      <c r="U2121" s="13" t="s">
        <v>1439</v>
      </c>
      <c r="V2121" s="12" t="str">
        <f t="shared" si="409"/>
        <v>1842</v>
      </c>
      <c r="W2121" s="13" t="s">
        <v>15136</v>
      </c>
      <c r="X2121" s="13" t="s">
        <v>1136</v>
      </c>
      <c r="Y2121" s="13" t="s">
        <v>15137</v>
      </c>
      <c r="Z2121" s="13"/>
      <c r="AA2121" s="13" t="s">
        <v>15138</v>
      </c>
      <c r="AB2121" s="13"/>
      <c r="AC2121" s="13"/>
      <c r="AD2121" s="13"/>
      <c r="AE2121" s="15">
        <v>1318</v>
      </c>
      <c r="AF2121" s="13" t="s">
        <v>3718</v>
      </c>
      <c r="AG2121" s="13" t="s">
        <v>68</v>
      </c>
      <c r="AH2121" s="13">
        <v>1837</v>
      </c>
      <c r="AI2121" s="12" t="str">
        <f t="shared" si="410"/>
        <v>1837</v>
      </c>
      <c r="AJ2121" s="13"/>
      <c r="AK2121" s="13" t="s">
        <v>90</v>
      </c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2"/>
      <c r="BI2121" s="12"/>
      <c r="BJ2121" s="12"/>
      <c r="BK2121" s="12"/>
      <c r="BL2121" s="12"/>
      <c r="BM2121" s="12"/>
      <c r="BN2121" s="12"/>
      <c r="BO2121" s="12"/>
      <c r="BP2121" s="12"/>
      <c r="BQ2121" s="12"/>
      <c r="BR2121" s="12"/>
      <c r="BS2121" s="12"/>
      <c r="BT2121" s="12"/>
      <c r="BU2121" s="12"/>
      <c r="BV2121" s="12"/>
      <c r="BW2121" s="12"/>
      <c r="BX2121" s="12"/>
      <c r="BY2121" s="12"/>
      <c r="BZ2121" s="12"/>
      <c r="CA2121" s="12"/>
      <c r="CB2121" s="12"/>
      <c r="CC2121" s="12"/>
      <c r="CD2121" s="12"/>
    </row>
    <row r="2122" spans="1:82">
      <c r="A2122" s="13" t="s">
        <v>6111</v>
      </c>
      <c r="B2122" s="12" t="str">
        <f t="shared" si="402"/>
        <v>VANVUUREN</v>
      </c>
      <c r="C2122" s="12" t="str">
        <f t="shared" si="403"/>
        <v>VAN VUUREN</v>
      </c>
      <c r="D2122" s="13" t="s">
        <v>6125</v>
      </c>
      <c r="E2122" s="12" t="str">
        <f t="shared" si="413"/>
        <v>Daniel Rudoplh Janse</v>
      </c>
      <c r="F2122" s="13" t="s">
        <v>6130</v>
      </c>
      <c r="G2122" s="12" t="str">
        <f t="shared" si="404"/>
        <v>a1b2c4d5e6</v>
      </c>
      <c r="H2122" s="12" t="str">
        <f t="shared" si="405"/>
        <v>VAN VUURENa1b2c4d5e6</v>
      </c>
      <c r="I2122" s="13"/>
      <c r="J2122" s="13"/>
      <c r="K2122" s="12" t="str">
        <f t="shared" si="406"/>
        <v/>
      </c>
      <c r="L2122" s="13" t="s">
        <v>542</v>
      </c>
      <c r="M2122" s="13" t="s">
        <v>6131</v>
      </c>
      <c r="N2122" s="12" t="str">
        <f t="shared" si="411"/>
        <v/>
      </c>
      <c r="O2122" s="12" t="str">
        <f t="shared" si="412"/>
        <v>1790</v>
      </c>
      <c r="P2122" s="13" t="s">
        <v>6132</v>
      </c>
      <c r="Q2122" s="12" t="str">
        <f t="shared" si="407"/>
        <v>1790</v>
      </c>
      <c r="R2122" s="13" t="s">
        <v>6133</v>
      </c>
      <c r="S2122" s="12" t="str">
        <f t="shared" si="408"/>
        <v>1869</v>
      </c>
      <c r="T2122" s="13"/>
      <c r="U2122" s="13"/>
      <c r="V2122" s="12" t="str">
        <f t="shared" si="409"/>
        <v/>
      </c>
      <c r="W2122" s="13" t="s">
        <v>15083</v>
      </c>
      <c r="X2122" s="13" t="s">
        <v>391</v>
      </c>
      <c r="Y2122" s="13"/>
      <c r="Z2122" s="13"/>
      <c r="AA2122" s="13"/>
      <c r="AB2122" s="13"/>
      <c r="AC2122" s="13"/>
      <c r="AD2122" s="13"/>
      <c r="AE2122" s="13"/>
      <c r="AF2122" s="13" t="s">
        <v>11752</v>
      </c>
      <c r="AG2122" s="13" t="s">
        <v>366</v>
      </c>
      <c r="AH2122" s="13" t="s">
        <v>12836</v>
      </c>
      <c r="AI2122" s="12" t="str">
        <f t="shared" si="410"/>
        <v>1838</v>
      </c>
      <c r="AJ2122" s="13" t="s">
        <v>13442</v>
      </c>
      <c r="AK2122" s="13" t="s">
        <v>4129</v>
      </c>
      <c r="AL2122" s="13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/>
      <c r="BF2122" s="13"/>
      <c r="BG2122" s="13"/>
      <c r="BH2122" s="12"/>
      <c r="BI2122" s="12"/>
      <c r="BJ2122" s="12"/>
      <c r="BK2122" s="12"/>
      <c r="BL2122" s="12"/>
      <c r="BM2122" s="12"/>
      <c r="BN2122" s="12"/>
      <c r="BO2122" s="12"/>
      <c r="BP2122" s="12"/>
      <c r="BQ2122" s="12"/>
      <c r="BR2122" s="12"/>
      <c r="BS2122" s="12"/>
      <c r="BT2122" s="12"/>
      <c r="BU2122" s="12"/>
      <c r="BV2122" s="12"/>
      <c r="BW2122" s="12"/>
      <c r="BX2122" s="12"/>
      <c r="BY2122" s="12"/>
      <c r="BZ2122" s="12"/>
      <c r="CA2122" s="12"/>
      <c r="CB2122" s="12"/>
      <c r="CC2122" s="12"/>
      <c r="CD2122" s="12"/>
    </row>
    <row r="2123" spans="1:82">
      <c r="A2123" s="13" t="s">
        <v>6111</v>
      </c>
      <c r="B2123" s="12" t="str">
        <f t="shared" si="402"/>
        <v>VANVUUREN</v>
      </c>
      <c r="C2123" s="12" t="str">
        <f t="shared" si="403"/>
        <v>VAN VUUREN</v>
      </c>
      <c r="D2123" s="13" t="s">
        <v>6177</v>
      </c>
      <c r="E2123" s="12" t="str">
        <f t="shared" si="413"/>
        <v>Johannes Martinus Janse</v>
      </c>
      <c r="F2123" s="13" t="s">
        <v>6178</v>
      </c>
      <c r="G2123" s="12" t="str">
        <f t="shared" si="404"/>
        <v>a1b2c4d5e6f1</v>
      </c>
      <c r="H2123" s="12" t="str">
        <f t="shared" si="405"/>
        <v>VAN VUURENa1b2c4d5e6f1</v>
      </c>
      <c r="I2123" s="13" t="s">
        <v>3697</v>
      </c>
      <c r="J2123" s="13" t="s">
        <v>6179</v>
      </c>
      <c r="K2123" s="12" t="str">
        <f t="shared" si="406"/>
        <v>1817</v>
      </c>
      <c r="L2123" s="13"/>
      <c r="M2123" s="13"/>
      <c r="N2123" s="12" t="str">
        <f t="shared" si="411"/>
        <v>1817</v>
      </c>
      <c r="O2123" s="12" t="str">
        <f t="shared" si="412"/>
        <v/>
      </c>
      <c r="P2123" s="13" t="s">
        <v>6180</v>
      </c>
      <c r="Q2123" s="12" t="str">
        <f t="shared" si="407"/>
        <v>1817</v>
      </c>
      <c r="R2123" s="13" t="s">
        <v>6181</v>
      </c>
      <c r="S2123" s="12" t="str">
        <f t="shared" si="408"/>
        <v>1883</v>
      </c>
      <c r="T2123" s="13"/>
      <c r="U2123" s="13"/>
      <c r="V2123" s="12" t="str">
        <f t="shared" si="409"/>
        <v/>
      </c>
      <c r="W2123" s="13" t="s">
        <v>753</v>
      </c>
      <c r="X2123" s="13" t="s">
        <v>784</v>
      </c>
      <c r="Y2123" s="13"/>
      <c r="Z2123" s="13"/>
      <c r="AA2123" s="13"/>
      <c r="AB2123" s="13"/>
      <c r="AC2123" s="13"/>
      <c r="AD2123" s="13"/>
      <c r="AE2123" s="13"/>
      <c r="AF2123" s="13" t="s">
        <v>11752</v>
      </c>
      <c r="AG2123" s="13" t="s">
        <v>366</v>
      </c>
      <c r="AH2123" s="13" t="s">
        <v>12836</v>
      </c>
      <c r="AI2123" s="12" t="str">
        <f t="shared" si="410"/>
        <v>1838</v>
      </c>
      <c r="AJ2123" s="13" t="s">
        <v>13442</v>
      </c>
      <c r="AK2123" s="13" t="s">
        <v>4129</v>
      </c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2"/>
      <c r="BI2123" s="12"/>
      <c r="BJ2123" s="12"/>
      <c r="BK2123" s="12"/>
      <c r="BL2123" s="12"/>
      <c r="BM2123" s="12"/>
      <c r="BN2123" s="12"/>
      <c r="BO2123" s="12"/>
      <c r="BP2123" s="12"/>
      <c r="BQ2123" s="12"/>
      <c r="BR2123" s="12"/>
      <c r="BS2123" s="12"/>
      <c r="BT2123" s="12"/>
      <c r="BU2123" s="12"/>
      <c r="BV2123" s="12"/>
      <c r="BW2123" s="12"/>
      <c r="BX2123" s="12"/>
      <c r="BY2123" s="12"/>
      <c r="BZ2123" s="12"/>
      <c r="CA2123" s="12"/>
      <c r="CB2123" s="12"/>
      <c r="CC2123" s="12"/>
      <c r="CD2123" s="12"/>
    </row>
    <row r="2124" spans="1:82">
      <c r="A2124" s="13" t="s">
        <v>6111</v>
      </c>
      <c r="B2124" s="12" t="str">
        <f t="shared" si="402"/>
        <v>VANVUUREN</v>
      </c>
      <c r="C2124" s="12" t="str">
        <f t="shared" si="403"/>
        <v>VAN VUUREN</v>
      </c>
      <c r="D2124" s="13" t="s">
        <v>6125</v>
      </c>
      <c r="E2124" s="12" t="str">
        <f t="shared" si="413"/>
        <v>Daniel Rudoplh Janse</v>
      </c>
      <c r="F2124" s="13" t="s">
        <v>6126</v>
      </c>
      <c r="G2124" s="12" t="str">
        <f t="shared" si="404"/>
        <v>a1b2c4d5e6f2</v>
      </c>
      <c r="H2124" s="12" t="str">
        <f t="shared" si="405"/>
        <v>VAN VUURENa1b2c4d5e6f2</v>
      </c>
      <c r="I2124" s="13"/>
      <c r="J2124" s="13" t="s">
        <v>6127</v>
      </c>
      <c r="K2124" s="12" t="str">
        <f t="shared" si="406"/>
        <v>1819</v>
      </c>
      <c r="L2124" s="13"/>
      <c r="M2124" s="13"/>
      <c r="N2124" s="12" t="str">
        <f t="shared" si="411"/>
        <v>1819</v>
      </c>
      <c r="O2124" s="12" t="str">
        <f t="shared" si="412"/>
        <v/>
      </c>
      <c r="P2124" s="13" t="s">
        <v>6128</v>
      </c>
      <c r="Q2124" s="12" t="str">
        <f t="shared" si="407"/>
        <v>1819</v>
      </c>
      <c r="R2124" s="13" t="s">
        <v>6129</v>
      </c>
      <c r="S2124" s="12" t="str">
        <f t="shared" si="408"/>
        <v>1902</v>
      </c>
      <c r="T2124" s="13"/>
      <c r="U2124" s="13"/>
      <c r="V2124" s="12" t="str">
        <f t="shared" si="409"/>
        <v/>
      </c>
      <c r="W2124" s="13" t="s">
        <v>11325</v>
      </c>
      <c r="X2124" s="13" t="s">
        <v>6111</v>
      </c>
      <c r="Y2124" s="12"/>
      <c r="Z2124" s="13" t="s">
        <v>199</v>
      </c>
      <c r="AA2124" s="13" t="s">
        <v>15081</v>
      </c>
      <c r="AB2124" s="13"/>
      <c r="AC2124" s="13"/>
      <c r="AD2124" s="13" t="s">
        <v>120</v>
      </c>
      <c r="AE2124" s="13" t="s">
        <v>15082</v>
      </c>
      <c r="AF2124" s="13" t="s">
        <v>11752</v>
      </c>
      <c r="AG2124" s="13" t="s">
        <v>366</v>
      </c>
      <c r="AH2124" s="13" t="s">
        <v>12836</v>
      </c>
      <c r="AI2124" s="12" t="str">
        <f t="shared" si="410"/>
        <v>1838</v>
      </c>
      <c r="AJ2124" s="13" t="s">
        <v>13442</v>
      </c>
      <c r="AK2124" s="13" t="s">
        <v>4129</v>
      </c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2"/>
      <c r="BI2124" s="12"/>
      <c r="BJ2124" s="12"/>
      <c r="BK2124" s="12"/>
      <c r="BL2124" s="12"/>
      <c r="BM2124" s="12"/>
      <c r="BN2124" s="12"/>
      <c r="BO2124" s="12"/>
      <c r="BP2124" s="12"/>
      <c r="BQ2124" s="12"/>
      <c r="BR2124" s="12"/>
      <c r="BS2124" s="12"/>
      <c r="BT2124" s="12"/>
      <c r="BU2124" s="12"/>
      <c r="BV2124" s="12"/>
      <c r="BW2124" s="12"/>
      <c r="BX2124" s="12"/>
      <c r="BY2124" s="12"/>
      <c r="BZ2124" s="12"/>
      <c r="CA2124" s="12"/>
      <c r="CB2124" s="12"/>
      <c r="CC2124" s="12"/>
      <c r="CD2124" s="12"/>
    </row>
    <row r="2125" spans="1:82">
      <c r="A2125" s="13" t="s">
        <v>6111</v>
      </c>
      <c r="B2125" s="12" t="str">
        <f t="shared" si="402"/>
        <v>VANVUUREN</v>
      </c>
      <c r="C2125" s="12" t="str">
        <f t="shared" si="403"/>
        <v>VAN VUUREN</v>
      </c>
      <c r="D2125" s="13" t="s">
        <v>6172</v>
      </c>
      <c r="E2125" s="12" t="str">
        <f t="shared" si="413"/>
        <v>Johannes Marthinus Janse</v>
      </c>
      <c r="F2125" s="13" t="s">
        <v>6173</v>
      </c>
      <c r="G2125" s="12" t="str">
        <f t="shared" si="404"/>
        <v>a1b2c4d5e7</v>
      </c>
      <c r="H2125" s="12" t="str">
        <f t="shared" si="405"/>
        <v>VAN VUURENa1b2c4d5e7</v>
      </c>
      <c r="I2125" s="13" t="s">
        <v>6174</v>
      </c>
      <c r="J2125" s="13" t="s">
        <v>3477</v>
      </c>
      <c r="K2125" s="12" t="str">
        <f t="shared" si="406"/>
        <v>1792</v>
      </c>
      <c r="L2125" s="13" t="s">
        <v>74</v>
      </c>
      <c r="M2125" s="13"/>
      <c r="N2125" s="12" t="str">
        <f t="shared" si="411"/>
        <v>1792</v>
      </c>
      <c r="O2125" s="12" t="str">
        <f t="shared" si="412"/>
        <v/>
      </c>
      <c r="P2125" s="13" t="s">
        <v>6175</v>
      </c>
      <c r="Q2125" s="12" t="str">
        <f t="shared" si="407"/>
        <v>1792</v>
      </c>
      <c r="R2125" s="13" t="s">
        <v>6176</v>
      </c>
      <c r="S2125" s="12" t="str">
        <f t="shared" si="408"/>
        <v>1877</v>
      </c>
      <c r="T2125" s="13"/>
      <c r="U2125" s="13"/>
      <c r="V2125" s="12" t="str">
        <f t="shared" si="409"/>
        <v/>
      </c>
      <c r="W2125" s="13" t="s">
        <v>15103</v>
      </c>
      <c r="X2125" s="13" t="s">
        <v>15104</v>
      </c>
      <c r="Y2125" s="13"/>
      <c r="Z2125" s="13"/>
      <c r="AA2125" s="13"/>
      <c r="AB2125" s="13"/>
      <c r="AC2125" s="13"/>
      <c r="AD2125" s="13"/>
      <c r="AE2125" s="13"/>
      <c r="AF2125" s="13" t="s">
        <v>6174</v>
      </c>
      <c r="AG2125" s="13" t="s">
        <v>366</v>
      </c>
      <c r="AH2125" s="13" t="s">
        <v>12836</v>
      </c>
      <c r="AI2125" s="12" t="str">
        <f t="shared" si="410"/>
        <v>1838</v>
      </c>
      <c r="AJ2125" s="13" t="s">
        <v>13442</v>
      </c>
      <c r="AK2125" s="13" t="s">
        <v>15073</v>
      </c>
      <c r="AL2125" s="13"/>
      <c r="AM2125" s="13"/>
      <c r="AN2125" s="13" t="s">
        <v>806</v>
      </c>
      <c r="AO2125" s="13" t="s">
        <v>5129</v>
      </c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3"/>
      <c r="BD2125" s="13"/>
      <c r="BE2125" s="13"/>
      <c r="BF2125" s="13"/>
      <c r="BG2125" s="13"/>
      <c r="BH2125" s="12"/>
      <c r="BI2125" s="12"/>
      <c r="BJ2125" s="12"/>
      <c r="BK2125" s="12"/>
      <c r="BL2125" s="12"/>
      <c r="BM2125" s="12"/>
      <c r="BN2125" s="12"/>
      <c r="BO2125" s="12"/>
      <c r="BP2125" s="12"/>
      <c r="BQ2125" s="12"/>
      <c r="BR2125" s="12"/>
      <c r="BS2125" s="12"/>
      <c r="BT2125" s="12"/>
      <c r="BU2125" s="12"/>
      <c r="BV2125" s="12"/>
      <c r="BW2125" s="12"/>
      <c r="BX2125" s="12"/>
      <c r="BY2125" s="12"/>
      <c r="BZ2125" s="12"/>
      <c r="CA2125" s="12"/>
      <c r="CB2125" s="12"/>
      <c r="CC2125" s="12"/>
      <c r="CD2125" s="12"/>
    </row>
    <row r="2126" spans="1:82">
      <c r="A2126" s="13" t="s">
        <v>6111</v>
      </c>
      <c r="B2126" s="12" t="str">
        <f t="shared" si="402"/>
        <v>VANVUUREN</v>
      </c>
      <c r="C2126" s="12" t="str">
        <f t="shared" si="403"/>
        <v>VAN VUUREN</v>
      </c>
      <c r="D2126" s="13" t="s">
        <v>6120</v>
      </c>
      <c r="E2126" s="12" t="str">
        <f t="shared" si="413"/>
        <v>Daniel Johannes Marthinus Janse</v>
      </c>
      <c r="F2126" s="13" t="s">
        <v>6121</v>
      </c>
      <c r="G2126" s="12" t="str">
        <f t="shared" si="404"/>
        <v>a1b2c4d5e7f2</v>
      </c>
      <c r="H2126" s="12" t="str">
        <f t="shared" si="405"/>
        <v>VAN VUURENa1b2c4d5e7f2</v>
      </c>
      <c r="I2126" s="13" t="s">
        <v>74</v>
      </c>
      <c r="J2126" s="13" t="s">
        <v>6122</v>
      </c>
      <c r="K2126" s="12" t="str">
        <f t="shared" si="406"/>
        <v>1820</v>
      </c>
      <c r="L2126" s="13"/>
      <c r="M2126" s="13"/>
      <c r="N2126" s="12" t="str">
        <f t="shared" si="411"/>
        <v>1820</v>
      </c>
      <c r="O2126" s="12" t="str">
        <f t="shared" si="412"/>
        <v/>
      </c>
      <c r="P2126" s="13" t="s">
        <v>6123</v>
      </c>
      <c r="Q2126" s="12" t="str">
        <f t="shared" si="407"/>
        <v>1820</v>
      </c>
      <c r="R2126" s="13" t="s">
        <v>6124</v>
      </c>
      <c r="S2126" s="12" t="str">
        <f t="shared" si="408"/>
        <v>1901</v>
      </c>
      <c r="T2126" s="13"/>
      <c r="U2126" s="13"/>
      <c r="V2126" s="12" t="str">
        <f t="shared" si="409"/>
        <v/>
      </c>
      <c r="W2126" s="13" t="s">
        <v>15078</v>
      </c>
      <c r="X2126" s="13" t="s">
        <v>1136</v>
      </c>
      <c r="Y2126" s="13"/>
      <c r="Z2126" s="13"/>
      <c r="AA2126" s="13" t="s">
        <v>15079</v>
      </c>
      <c r="AB2126" s="13"/>
      <c r="AC2126" s="13"/>
      <c r="AD2126" s="13" t="s">
        <v>4129</v>
      </c>
      <c r="AE2126" s="13" t="s">
        <v>15080</v>
      </c>
      <c r="AF2126" s="13" t="s">
        <v>6174</v>
      </c>
      <c r="AG2126" s="13" t="s">
        <v>366</v>
      </c>
      <c r="AH2126" s="13" t="s">
        <v>12836</v>
      </c>
      <c r="AI2126" s="12" t="str">
        <f t="shared" si="410"/>
        <v>1838</v>
      </c>
      <c r="AJ2126" s="13" t="s">
        <v>13442</v>
      </c>
      <c r="AK2126" s="13" t="s">
        <v>551</v>
      </c>
      <c r="AL2126" s="13"/>
      <c r="AM2126" s="13"/>
      <c r="AN2126" s="13" t="s">
        <v>7314</v>
      </c>
      <c r="AO2126" s="13" t="s">
        <v>1067</v>
      </c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2"/>
      <c r="BI2126" s="12"/>
      <c r="BJ2126" s="12"/>
      <c r="BK2126" s="12"/>
      <c r="BL2126" s="12"/>
      <c r="BM2126" s="12"/>
      <c r="BN2126" s="12"/>
      <c r="BO2126" s="12"/>
      <c r="BP2126" s="12"/>
      <c r="BQ2126" s="12"/>
      <c r="BR2126" s="12"/>
      <c r="BS2126" s="12"/>
      <c r="BT2126" s="12"/>
      <c r="BU2126" s="12"/>
      <c r="BV2126" s="12"/>
      <c r="BW2126" s="12"/>
      <c r="BX2126" s="12"/>
      <c r="BY2126" s="12"/>
      <c r="BZ2126" s="12"/>
      <c r="CA2126" s="12"/>
      <c r="CB2126" s="12"/>
      <c r="CC2126" s="12"/>
      <c r="CD2126" s="12"/>
    </row>
    <row r="2127" spans="1:82">
      <c r="A2127" s="13" t="s">
        <v>6111</v>
      </c>
      <c r="B2127" s="12" t="str">
        <f t="shared" si="402"/>
        <v>VANVUUREN</v>
      </c>
      <c r="C2127" s="12" t="str">
        <f t="shared" si="403"/>
        <v>VAN VUUREN</v>
      </c>
      <c r="D2127" s="13" t="s">
        <v>5860</v>
      </c>
      <c r="E2127" s="12" t="str">
        <f t="shared" si="413"/>
        <v>Petrus Johannes Janse</v>
      </c>
      <c r="F2127" s="13" t="s">
        <v>6217</v>
      </c>
      <c r="G2127" s="12" t="str">
        <f t="shared" si="404"/>
        <v>a1b2c4d5e7f4</v>
      </c>
      <c r="H2127" s="12" t="str">
        <f t="shared" si="405"/>
        <v>VAN VUURENa1b2c4d5e7f4</v>
      </c>
      <c r="I2127" s="13"/>
      <c r="J2127" s="13" t="s">
        <v>5698</v>
      </c>
      <c r="K2127" s="12" t="str">
        <f t="shared" si="406"/>
        <v>1824</v>
      </c>
      <c r="L2127" s="13"/>
      <c r="M2127" s="13"/>
      <c r="N2127" s="12" t="str">
        <f t="shared" si="411"/>
        <v>1824</v>
      </c>
      <c r="O2127" s="12" t="str">
        <f t="shared" si="412"/>
        <v/>
      </c>
      <c r="P2127" s="13"/>
      <c r="Q2127" s="12" t="str">
        <f t="shared" si="407"/>
        <v>1824</v>
      </c>
      <c r="R2127" s="13"/>
      <c r="S2127" s="12" t="str">
        <f t="shared" si="408"/>
        <v/>
      </c>
      <c r="T2127" s="13"/>
      <c r="U2127" s="13"/>
      <c r="V2127" s="12" t="str">
        <f t="shared" si="409"/>
        <v/>
      </c>
      <c r="W2127" s="13" t="s">
        <v>15119</v>
      </c>
      <c r="X2127" s="13" t="s">
        <v>664</v>
      </c>
      <c r="Y2127" s="13"/>
      <c r="Z2127" s="13"/>
      <c r="AA2127" s="13" t="s">
        <v>14267</v>
      </c>
      <c r="AB2127" s="13"/>
      <c r="AC2127" s="13"/>
      <c r="AD2127" s="13" t="s">
        <v>15120</v>
      </c>
      <c r="AE2127" s="13" t="s">
        <v>15121</v>
      </c>
      <c r="AF2127" s="13" t="s">
        <v>6174</v>
      </c>
      <c r="AG2127" s="13" t="s">
        <v>366</v>
      </c>
      <c r="AH2127" s="13" t="s">
        <v>12836</v>
      </c>
      <c r="AI2127" s="12" t="str">
        <f t="shared" si="410"/>
        <v>1838</v>
      </c>
      <c r="AJ2127" s="13" t="s">
        <v>13442</v>
      </c>
      <c r="AK2127" s="13" t="s">
        <v>4129</v>
      </c>
      <c r="AL2127" s="13"/>
      <c r="AM2127" s="13"/>
      <c r="AN2127" s="13" t="s">
        <v>15122</v>
      </c>
      <c r="AO2127" s="13" t="s">
        <v>15123</v>
      </c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2"/>
      <c r="BI2127" s="12"/>
      <c r="BJ2127" s="12"/>
      <c r="BK2127" s="12"/>
      <c r="BL2127" s="12"/>
      <c r="BM2127" s="12"/>
      <c r="BN2127" s="12"/>
      <c r="BO2127" s="12"/>
      <c r="BP2127" s="12"/>
      <c r="BQ2127" s="12"/>
      <c r="BR2127" s="12"/>
      <c r="BS2127" s="12"/>
      <c r="BT2127" s="12"/>
      <c r="BU2127" s="12"/>
      <c r="BV2127" s="12"/>
      <c r="BW2127" s="12"/>
      <c r="BX2127" s="12"/>
      <c r="BY2127" s="12"/>
      <c r="BZ2127" s="12"/>
      <c r="CA2127" s="12"/>
      <c r="CB2127" s="12"/>
      <c r="CC2127" s="12"/>
      <c r="CD2127" s="12"/>
    </row>
    <row r="2128" spans="1:82">
      <c r="A2128" s="13" t="s">
        <v>6111</v>
      </c>
      <c r="B2128" s="12" t="str">
        <f t="shared" si="402"/>
        <v>VANVUUREN</v>
      </c>
      <c r="C2128" s="12" t="str">
        <f t="shared" si="403"/>
        <v>VAN VUUREN</v>
      </c>
      <c r="D2128" s="13" t="s">
        <v>6112</v>
      </c>
      <c r="E2128" s="12" t="str">
        <f t="shared" si="413"/>
        <v>Christoffel Johannes Janse</v>
      </c>
      <c r="F2128" s="13" t="s">
        <v>6113</v>
      </c>
      <c r="G2128" s="12" t="str">
        <f t="shared" si="404"/>
        <v>a1b2c4d83f7</v>
      </c>
      <c r="H2128" s="12" t="str">
        <f t="shared" si="405"/>
        <v>VAN VUURENa1b2c4d83f7</v>
      </c>
      <c r="I2128" s="13" t="s">
        <v>74</v>
      </c>
      <c r="J2128" s="13" t="s">
        <v>6114</v>
      </c>
      <c r="K2128" s="12" t="str">
        <f t="shared" si="406"/>
        <v>1825</v>
      </c>
      <c r="L2128" s="13"/>
      <c r="M2128" s="13"/>
      <c r="N2128" s="12" t="str">
        <f t="shared" si="411"/>
        <v>1825</v>
      </c>
      <c r="O2128" s="12" t="str">
        <f t="shared" si="412"/>
        <v/>
      </c>
      <c r="P2128" s="13" t="s">
        <v>6115</v>
      </c>
      <c r="Q2128" s="12" t="str">
        <f t="shared" si="407"/>
        <v>1825</v>
      </c>
      <c r="R2128" s="13" t="s">
        <v>6116</v>
      </c>
      <c r="S2128" s="12" t="str">
        <f t="shared" si="408"/>
        <v>1903</v>
      </c>
      <c r="T2128" s="13"/>
      <c r="U2128" s="13"/>
      <c r="V2128" s="12" t="str">
        <f t="shared" si="409"/>
        <v/>
      </c>
      <c r="W2128" s="13" t="s">
        <v>15071</v>
      </c>
      <c r="X2128" s="13" t="s">
        <v>1453</v>
      </c>
      <c r="Y2128" s="13"/>
      <c r="Z2128" s="13" t="s">
        <v>74</v>
      </c>
      <c r="AA2128" s="13">
        <v>1825</v>
      </c>
      <c r="AB2128" s="13"/>
      <c r="AC2128" s="13"/>
      <c r="AD2128" s="13" t="s">
        <v>140</v>
      </c>
      <c r="AE2128" s="15">
        <v>225</v>
      </c>
      <c r="AF2128" s="13" t="s">
        <v>15072</v>
      </c>
      <c r="AG2128" s="13" t="s">
        <v>74</v>
      </c>
      <c r="AH2128" s="13">
        <v>1836</v>
      </c>
      <c r="AI2128" s="12" t="str">
        <f t="shared" si="410"/>
        <v>1836</v>
      </c>
      <c r="AJ2128" s="13" t="s">
        <v>13060</v>
      </c>
      <c r="AK2128" s="13" t="s">
        <v>140</v>
      </c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3"/>
      <c r="BD2128" s="13"/>
      <c r="BE2128" s="13"/>
      <c r="BF2128" s="13"/>
      <c r="BG2128" s="13"/>
      <c r="BH2128" s="12"/>
      <c r="BI2128" s="12"/>
      <c r="BJ2128" s="12"/>
      <c r="BK2128" s="12"/>
      <c r="BL2128" s="12"/>
      <c r="BM2128" s="12"/>
      <c r="BN2128" s="12"/>
      <c r="BO2128" s="12"/>
      <c r="BP2128" s="12"/>
      <c r="BQ2128" s="12"/>
      <c r="BR2128" s="12"/>
      <c r="BS2128" s="12"/>
      <c r="BT2128" s="12"/>
      <c r="BU2128" s="12"/>
      <c r="BV2128" s="12"/>
      <c r="BW2128" s="12"/>
      <c r="BX2128" s="12"/>
      <c r="BY2128" s="12"/>
      <c r="BZ2128" s="12"/>
      <c r="CA2128" s="12"/>
      <c r="CB2128" s="12"/>
      <c r="CC2128" s="12"/>
      <c r="CD2128" s="12"/>
    </row>
    <row r="2129" spans="1:82">
      <c r="A2129" s="13" t="s">
        <v>6111</v>
      </c>
      <c r="B2129" s="12" t="str">
        <f t="shared" si="402"/>
        <v>VANVUUREN</v>
      </c>
      <c r="C2129" s="12" t="str">
        <f t="shared" si="403"/>
        <v>VAN VUUREN</v>
      </c>
      <c r="D2129" s="13" t="s">
        <v>6247</v>
      </c>
      <c r="E2129" s="12" t="str">
        <f t="shared" si="413"/>
        <v>Stephanus Petrus Janse Sr.</v>
      </c>
      <c r="F2129" s="13" t="s">
        <v>6248</v>
      </c>
      <c r="G2129" s="12" t="str">
        <f t="shared" si="404"/>
        <v>a1b2c4d8e3</v>
      </c>
      <c r="H2129" s="12" t="str">
        <f t="shared" si="405"/>
        <v>VAN VUURENa1b2c4d8e3</v>
      </c>
      <c r="I2129" s="13"/>
      <c r="J2129" s="13" t="s">
        <v>6249</v>
      </c>
      <c r="K2129" s="12" t="str">
        <f t="shared" si="406"/>
        <v>1792</v>
      </c>
      <c r="L2129" s="13" t="s">
        <v>74</v>
      </c>
      <c r="M2129" s="13" t="s">
        <v>6250</v>
      </c>
      <c r="N2129" s="12" t="str">
        <f t="shared" si="411"/>
        <v>1792</v>
      </c>
      <c r="O2129" s="12" t="str">
        <f t="shared" si="412"/>
        <v>1793</v>
      </c>
      <c r="P2129" s="13" t="s">
        <v>6251</v>
      </c>
      <c r="Q2129" s="12" t="str">
        <f t="shared" si="407"/>
        <v>1792</v>
      </c>
      <c r="R2129" s="13"/>
      <c r="S2129" s="12" t="str">
        <f t="shared" si="408"/>
        <v/>
      </c>
      <c r="T2129" s="13"/>
      <c r="U2129" s="13" t="s">
        <v>3525</v>
      </c>
      <c r="V2129" s="12" t="str">
        <f t="shared" si="409"/>
        <v>1813</v>
      </c>
      <c r="W2129" s="13" t="s">
        <v>6958</v>
      </c>
      <c r="X2129" s="13" t="s">
        <v>700</v>
      </c>
      <c r="Y2129" s="13"/>
      <c r="Z2129" s="13"/>
      <c r="AA2129" s="13" t="s">
        <v>15144</v>
      </c>
      <c r="AB2129" s="13"/>
      <c r="AC2129" s="13" t="s">
        <v>13992</v>
      </c>
      <c r="AD2129" s="13"/>
      <c r="AE2129" s="13">
        <v>1836</v>
      </c>
      <c r="AF2129" s="13" t="s">
        <v>15072</v>
      </c>
      <c r="AG2129" s="13" t="s">
        <v>74</v>
      </c>
      <c r="AH2129" s="13">
        <v>1836</v>
      </c>
      <c r="AI2129" s="12" t="str">
        <f t="shared" si="410"/>
        <v>1836</v>
      </c>
      <c r="AJ2129" s="13" t="s">
        <v>13060</v>
      </c>
      <c r="AK2129" s="13" t="s">
        <v>140</v>
      </c>
      <c r="AL2129" s="13"/>
      <c r="AM2129" s="13"/>
      <c r="AN2129" s="13" t="s">
        <v>15145</v>
      </c>
      <c r="AO2129" s="13" t="s">
        <v>757</v>
      </c>
      <c r="AP2129" s="13"/>
      <c r="AQ2129" s="13" t="s">
        <v>199</v>
      </c>
      <c r="AR2129" s="13" t="s">
        <v>15146</v>
      </c>
      <c r="AS2129" s="13"/>
      <c r="AT2129" s="13"/>
      <c r="AU2129" s="13" t="s">
        <v>551</v>
      </c>
      <c r="AV2129" s="13" t="s">
        <v>4260</v>
      </c>
      <c r="AW2129" s="13" t="s">
        <v>74</v>
      </c>
      <c r="AX2129" s="13" t="s">
        <v>2400</v>
      </c>
      <c r="AY2129" s="13" t="s">
        <v>2421</v>
      </c>
      <c r="AZ2129" s="13" t="s">
        <v>636</v>
      </c>
      <c r="BA2129" s="13"/>
      <c r="BB2129" s="13" t="s">
        <v>13813</v>
      </c>
      <c r="BC2129" s="13"/>
      <c r="BD2129" s="13"/>
      <c r="BE2129" s="13"/>
      <c r="BF2129" s="13" t="s">
        <v>140</v>
      </c>
      <c r="BG2129" s="13" t="s">
        <v>15147</v>
      </c>
      <c r="BH2129" s="12"/>
      <c r="BI2129" s="12"/>
      <c r="BJ2129" s="12"/>
      <c r="BK2129" s="12"/>
      <c r="BL2129" s="12"/>
      <c r="BM2129" s="12"/>
      <c r="BN2129" s="12"/>
      <c r="BO2129" s="12"/>
      <c r="BP2129" s="12"/>
      <c r="BQ2129" s="12"/>
      <c r="BR2129" s="12"/>
      <c r="BS2129" s="12"/>
      <c r="BT2129" s="12"/>
      <c r="BU2129" s="12"/>
      <c r="BV2129" s="12"/>
      <c r="BW2129" s="12"/>
      <c r="BX2129" s="12"/>
      <c r="BY2129" s="12"/>
      <c r="BZ2129" s="12"/>
      <c r="CA2129" s="12"/>
      <c r="CB2129" s="12"/>
      <c r="CC2129" s="12"/>
      <c r="CD2129" s="12"/>
    </row>
    <row r="2130" spans="1:82">
      <c r="A2130" s="13" t="s">
        <v>6111</v>
      </c>
      <c r="B2130" s="12" t="str">
        <f t="shared" si="402"/>
        <v>VANVUUREN</v>
      </c>
      <c r="C2130" s="12" t="str">
        <f t="shared" si="403"/>
        <v>VAN VUUREN</v>
      </c>
      <c r="D2130" s="13" t="s">
        <v>6242</v>
      </c>
      <c r="E2130" s="12" t="str">
        <f t="shared" si="413"/>
        <v>Stephanus Petrus Janse Jr.</v>
      </c>
      <c r="F2130" s="13" t="s">
        <v>6243</v>
      </c>
      <c r="G2130" s="12" t="str">
        <f t="shared" si="404"/>
        <v>a1b2c4d8e3f1</v>
      </c>
      <c r="H2130" s="12" t="str">
        <f t="shared" si="405"/>
        <v>VAN VUURENa1b2c4d8e3f1</v>
      </c>
      <c r="I2130" s="13" t="s">
        <v>74</v>
      </c>
      <c r="J2130" s="13" t="s">
        <v>6244</v>
      </c>
      <c r="K2130" s="12" t="str">
        <f t="shared" si="406"/>
        <v>1814</v>
      </c>
      <c r="L2130" s="11"/>
      <c r="M2130" s="11"/>
      <c r="N2130" s="12" t="str">
        <f t="shared" si="411"/>
        <v>1814</v>
      </c>
      <c r="O2130" s="12" t="str">
        <f t="shared" si="412"/>
        <v/>
      </c>
      <c r="P2130" s="13" t="s">
        <v>6245</v>
      </c>
      <c r="Q2130" s="12" t="str">
        <f t="shared" si="407"/>
        <v>1814</v>
      </c>
      <c r="R2130" s="13" t="s">
        <v>6246</v>
      </c>
      <c r="S2130" s="12" t="str">
        <f t="shared" si="408"/>
        <v>1882</v>
      </c>
      <c r="T2130" s="13"/>
      <c r="U2130" s="13"/>
      <c r="V2130" s="12" t="str">
        <f t="shared" si="409"/>
        <v/>
      </c>
      <c r="W2130" s="13" t="s">
        <v>12403</v>
      </c>
      <c r="X2130" s="13" t="s">
        <v>669</v>
      </c>
      <c r="Y2130" s="13"/>
      <c r="Z2130" s="13" t="s">
        <v>74</v>
      </c>
      <c r="AA2130" s="13">
        <v>1814</v>
      </c>
      <c r="AB2130" s="13"/>
      <c r="AC2130" s="13"/>
      <c r="AD2130" s="13" t="s">
        <v>140</v>
      </c>
      <c r="AE2130" s="13" t="s">
        <v>15143</v>
      </c>
      <c r="AF2130" s="13" t="s">
        <v>15072</v>
      </c>
      <c r="AG2130" s="13" t="s">
        <v>74</v>
      </c>
      <c r="AH2130" s="13"/>
      <c r="AI2130" s="12" t="str">
        <f t="shared" si="410"/>
        <v/>
      </c>
      <c r="AJ2130" s="13" t="s">
        <v>13060</v>
      </c>
      <c r="AK2130" s="13" t="s">
        <v>140</v>
      </c>
      <c r="AL2130" s="13"/>
      <c r="AM2130" s="13"/>
      <c r="AN2130" s="13" t="s">
        <v>5712</v>
      </c>
      <c r="AO2130" s="13" t="s">
        <v>636</v>
      </c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/>
      <c r="BA2130" s="13"/>
      <c r="BB2130" s="13"/>
      <c r="BC2130" s="13"/>
      <c r="BD2130" s="13"/>
      <c r="BE2130" s="13"/>
      <c r="BF2130" s="13"/>
      <c r="BG2130" s="13"/>
      <c r="BH2130" s="12"/>
      <c r="BI2130" s="12"/>
      <c r="BJ2130" s="12"/>
      <c r="BK2130" s="12"/>
      <c r="BL2130" s="12"/>
      <c r="BM2130" s="12"/>
      <c r="BN2130" s="12"/>
      <c r="BO2130" s="12"/>
      <c r="BP2130" s="12"/>
      <c r="BQ2130" s="12"/>
      <c r="BR2130" s="12"/>
      <c r="BS2130" s="12"/>
      <c r="BT2130" s="12"/>
      <c r="BU2130" s="12"/>
      <c r="BV2130" s="12"/>
      <c r="BW2130" s="12"/>
      <c r="BX2130" s="12"/>
      <c r="BY2130" s="12"/>
      <c r="BZ2130" s="12"/>
      <c r="CA2130" s="12"/>
      <c r="CB2130" s="12"/>
      <c r="CC2130" s="12"/>
      <c r="CD2130" s="12"/>
    </row>
    <row r="2131" spans="1:82">
      <c r="A2131" s="13" t="s">
        <v>6111</v>
      </c>
      <c r="B2131" s="12" t="str">
        <f t="shared" si="402"/>
        <v>VANVUUREN</v>
      </c>
      <c r="C2131" s="12" t="str">
        <f t="shared" si="403"/>
        <v>VAN VUUREN</v>
      </c>
      <c r="D2131" s="13" t="s">
        <v>6157</v>
      </c>
      <c r="E2131" s="12" t="str">
        <f t="shared" si="413"/>
        <v>Jacobus Jeremias Janse</v>
      </c>
      <c r="F2131" s="13" t="s">
        <v>6158</v>
      </c>
      <c r="G2131" s="12" t="str">
        <f t="shared" si="404"/>
        <v>a1b2c4d8e3f2</v>
      </c>
      <c r="H2131" s="12" t="str">
        <f t="shared" si="405"/>
        <v>VAN VUURENa1b2c4d8e3f2</v>
      </c>
      <c r="I2131" s="13" t="s">
        <v>74</v>
      </c>
      <c r="J2131" s="13" t="s">
        <v>6159</v>
      </c>
      <c r="K2131" s="12" t="str">
        <f t="shared" si="406"/>
        <v>1816</v>
      </c>
      <c r="L2131" s="13"/>
      <c r="M2131" s="13"/>
      <c r="N2131" s="12" t="str">
        <f t="shared" si="411"/>
        <v>1816</v>
      </c>
      <c r="O2131" s="12" t="str">
        <f t="shared" si="412"/>
        <v/>
      </c>
      <c r="P2131" s="13" t="s">
        <v>6160</v>
      </c>
      <c r="Q2131" s="12" t="str">
        <f t="shared" si="407"/>
        <v>1816</v>
      </c>
      <c r="R2131" s="13" t="s">
        <v>6161</v>
      </c>
      <c r="S2131" s="12" t="str">
        <f t="shared" si="408"/>
        <v>1872</v>
      </c>
      <c r="T2131" s="13"/>
      <c r="U2131" s="13"/>
      <c r="V2131" s="12" t="str">
        <f t="shared" si="409"/>
        <v/>
      </c>
      <c r="W2131" s="13" t="s">
        <v>15098</v>
      </c>
      <c r="X2131" s="13" t="s">
        <v>729</v>
      </c>
      <c r="Y2131" s="13"/>
      <c r="Z2131" s="13"/>
      <c r="AA2131" s="13"/>
      <c r="AB2131" s="13"/>
      <c r="AC2131" s="13"/>
      <c r="AD2131" s="13"/>
      <c r="AE2131" s="13"/>
      <c r="AF2131" s="13" t="s">
        <v>15072</v>
      </c>
      <c r="AG2131" s="13" t="s">
        <v>74</v>
      </c>
      <c r="AH2131" s="13" t="s">
        <v>1036</v>
      </c>
      <c r="AI2131" s="12" t="str">
        <f t="shared" si="410"/>
        <v>1838</v>
      </c>
      <c r="AJ2131" s="13"/>
      <c r="AK2131" s="13"/>
      <c r="AL2131" s="13"/>
      <c r="AM2131" s="13"/>
      <c r="AN2131" s="13" t="s">
        <v>6958</v>
      </c>
      <c r="AO2131" s="13" t="s">
        <v>729</v>
      </c>
      <c r="AP2131" s="13"/>
      <c r="AQ2131" s="13"/>
      <c r="AR2131" s="13">
        <v>1824</v>
      </c>
      <c r="AS2131" s="13"/>
      <c r="AT2131" s="13"/>
      <c r="AU2131" s="13" t="s">
        <v>8354</v>
      </c>
      <c r="AV2131" s="13" t="s">
        <v>15099</v>
      </c>
      <c r="AW2131" s="13"/>
      <c r="AX2131" s="13"/>
      <c r="AY2131" s="13"/>
      <c r="AZ2131" s="13"/>
      <c r="BA2131" s="13"/>
      <c r="BB2131" s="13"/>
      <c r="BC2131" s="13"/>
      <c r="BD2131" s="13"/>
      <c r="BE2131" s="13"/>
      <c r="BF2131" s="13"/>
      <c r="BG2131" s="13"/>
      <c r="BH2131" s="12"/>
      <c r="BI2131" s="12"/>
      <c r="BJ2131" s="12"/>
      <c r="BK2131" s="12"/>
      <c r="BL2131" s="12"/>
      <c r="BM2131" s="12"/>
      <c r="BN2131" s="12"/>
      <c r="BO2131" s="12"/>
      <c r="BP2131" s="12"/>
      <c r="BQ2131" s="12"/>
      <c r="BR2131" s="12"/>
      <c r="BS2131" s="12"/>
      <c r="BT2131" s="12"/>
      <c r="BU2131" s="12"/>
      <c r="BV2131" s="12"/>
      <c r="BW2131" s="12"/>
      <c r="BX2131" s="12"/>
      <c r="BY2131" s="12"/>
      <c r="BZ2131" s="12"/>
      <c r="CA2131" s="12"/>
      <c r="CB2131" s="12"/>
      <c r="CC2131" s="12"/>
      <c r="CD2131" s="12"/>
    </row>
    <row r="2132" spans="1:82">
      <c r="A2132" s="13" t="s">
        <v>6111</v>
      </c>
      <c r="B2132" s="12" t="str">
        <f t="shared" si="402"/>
        <v>VANVUUREN</v>
      </c>
      <c r="C2132" s="12" t="str">
        <f t="shared" si="403"/>
        <v>VAN VUUREN</v>
      </c>
      <c r="D2132" s="13" t="s">
        <v>6144</v>
      </c>
      <c r="E2132" s="12" t="str">
        <f t="shared" si="413"/>
        <v>Gerrit (Gert) Johannes Janse</v>
      </c>
      <c r="F2132" s="13" t="s">
        <v>6145</v>
      </c>
      <c r="G2132" s="12" t="str">
        <f t="shared" si="404"/>
        <v>a1b2c4d8e3f4</v>
      </c>
      <c r="H2132" s="12" t="str">
        <f t="shared" si="405"/>
        <v>VAN VUURENa1b2c4d8e3f4</v>
      </c>
      <c r="I2132" s="13"/>
      <c r="J2132" s="13" t="s">
        <v>6146</v>
      </c>
      <c r="K2132" s="12" t="str">
        <f t="shared" si="406"/>
        <v>1820</v>
      </c>
      <c r="L2132" s="13"/>
      <c r="M2132" s="13"/>
      <c r="N2132" s="12" t="str">
        <f t="shared" si="411"/>
        <v>1820</v>
      </c>
      <c r="O2132" s="12" t="str">
        <f t="shared" si="412"/>
        <v/>
      </c>
      <c r="P2132" s="13" t="s">
        <v>6147</v>
      </c>
      <c r="Q2132" s="12" t="str">
        <f t="shared" si="407"/>
        <v>1820</v>
      </c>
      <c r="R2132" s="13" t="s">
        <v>6148</v>
      </c>
      <c r="S2132" s="12" t="str">
        <f t="shared" si="408"/>
        <v>1886</v>
      </c>
      <c r="T2132" s="13" t="s">
        <v>140</v>
      </c>
      <c r="U2132" s="13" t="s">
        <v>3449</v>
      </c>
      <c r="V2132" s="12" t="str">
        <f t="shared" si="409"/>
        <v>1840</v>
      </c>
      <c r="W2132" s="13" t="s">
        <v>3389</v>
      </c>
      <c r="X2132" s="13" t="s">
        <v>1136</v>
      </c>
      <c r="Y2132" s="13"/>
      <c r="Z2132" s="13"/>
      <c r="AA2132" s="13" t="s">
        <v>15094</v>
      </c>
      <c r="AB2132" s="13"/>
      <c r="AC2132" s="13"/>
      <c r="AD2132" s="13" t="s">
        <v>140</v>
      </c>
      <c r="AE2132" s="13" t="s">
        <v>2784</v>
      </c>
      <c r="AF2132" s="13" t="s">
        <v>15072</v>
      </c>
      <c r="AG2132" s="13" t="s">
        <v>74</v>
      </c>
      <c r="AH2132" s="13">
        <v>1836</v>
      </c>
      <c r="AI2132" s="12" t="str">
        <f t="shared" si="410"/>
        <v>1836</v>
      </c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2"/>
      <c r="BI2132" s="12"/>
      <c r="BJ2132" s="12"/>
      <c r="BK2132" s="12"/>
      <c r="BL2132" s="12"/>
      <c r="BM2132" s="12"/>
      <c r="BN2132" s="12"/>
      <c r="BO2132" s="12"/>
      <c r="BP2132" s="12"/>
      <c r="BQ2132" s="12"/>
      <c r="BR2132" s="12"/>
      <c r="BS2132" s="12"/>
      <c r="BT2132" s="12"/>
      <c r="BU2132" s="12"/>
      <c r="BV2132" s="12"/>
      <c r="BW2132" s="12"/>
      <c r="BX2132" s="12"/>
      <c r="BY2132" s="12"/>
      <c r="BZ2132" s="12"/>
      <c r="CA2132" s="12"/>
      <c r="CB2132" s="12"/>
      <c r="CC2132" s="12"/>
      <c r="CD2132" s="12"/>
    </row>
    <row r="2133" spans="1:82">
      <c r="A2133" s="13" t="s">
        <v>6111</v>
      </c>
      <c r="B2133" s="12" t="str">
        <f t="shared" si="402"/>
        <v>VANVUUREN</v>
      </c>
      <c r="C2133" s="12" t="str">
        <f t="shared" si="403"/>
        <v>VAN VUUREN</v>
      </c>
      <c r="D2133" s="13" t="s">
        <v>6134</v>
      </c>
      <c r="E2133" s="12" t="str">
        <f t="shared" si="413"/>
        <v>David Schalk Janse</v>
      </c>
      <c r="F2133" s="13" t="s">
        <v>6135</v>
      </c>
      <c r="G2133" s="12" t="str">
        <f t="shared" si="404"/>
        <v>a1b2c4d8e3f5</v>
      </c>
      <c r="H2133" s="12" t="str">
        <f t="shared" si="405"/>
        <v>VAN VUURENa1b2c4d8e3f5</v>
      </c>
      <c r="I2133" s="13"/>
      <c r="J2133" s="13" t="s">
        <v>6136</v>
      </c>
      <c r="K2133" s="12" t="str">
        <f t="shared" si="406"/>
        <v>1822</v>
      </c>
      <c r="L2133" s="13"/>
      <c r="M2133" s="13"/>
      <c r="N2133" s="12" t="str">
        <f t="shared" si="411"/>
        <v>1822</v>
      </c>
      <c r="O2133" s="12" t="str">
        <f t="shared" si="412"/>
        <v/>
      </c>
      <c r="P2133" s="13" t="s">
        <v>6137</v>
      </c>
      <c r="Q2133" s="12" t="str">
        <f t="shared" si="407"/>
        <v>1822</v>
      </c>
      <c r="R2133" s="13" t="s">
        <v>6138</v>
      </c>
      <c r="S2133" s="12" t="str">
        <f t="shared" si="408"/>
        <v>1889</v>
      </c>
      <c r="T2133" s="13"/>
      <c r="U2133" s="13"/>
      <c r="V2133" s="12" t="str">
        <f t="shared" si="409"/>
        <v/>
      </c>
      <c r="W2133" s="13" t="s">
        <v>15084</v>
      </c>
      <c r="X2133" s="13" t="s">
        <v>1453</v>
      </c>
      <c r="Y2133" s="13"/>
      <c r="Z2133" s="13"/>
      <c r="AA2133" s="13">
        <v>1823</v>
      </c>
      <c r="AB2133" s="13"/>
      <c r="AC2133" s="13"/>
      <c r="AD2133" s="13" t="s">
        <v>140</v>
      </c>
      <c r="AE2133" s="13" t="s">
        <v>15085</v>
      </c>
      <c r="AF2133" s="13" t="s">
        <v>15072</v>
      </c>
      <c r="AG2133" s="13" t="s">
        <v>74</v>
      </c>
      <c r="AH2133" s="13">
        <v>1836</v>
      </c>
      <c r="AI2133" s="12" t="str">
        <f t="shared" si="410"/>
        <v>1836</v>
      </c>
      <c r="AJ2133" s="13" t="s">
        <v>13060</v>
      </c>
      <c r="AK2133" s="13" t="s">
        <v>140</v>
      </c>
      <c r="AL2133" s="13"/>
      <c r="AM2133" s="13"/>
      <c r="AN2133" s="13" t="s">
        <v>15086</v>
      </c>
      <c r="AO2133" s="13" t="s">
        <v>731</v>
      </c>
      <c r="AP2133" s="13"/>
      <c r="AQ2133" s="13"/>
      <c r="AR2133" s="13">
        <v>1826</v>
      </c>
      <c r="AS2133" s="13"/>
      <c r="AT2133" s="13"/>
      <c r="AU2133" s="13" t="s">
        <v>140</v>
      </c>
      <c r="AV2133" s="13" t="s">
        <v>15087</v>
      </c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2"/>
      <c r="BI2133" s="12"/>
      <c r="BJ2133" s="12"/>
      <c r="BK2133" s="12"/>
      <c r="BL2133" s="12"/>
      <c r="BM2133" s="12"/>
      <c r="BN2133" s="12"/>
      <c r="BO2133" s="12"/>
      <c r="BP2133" s="12"/>
      <c r="BQ2133" s="12"/>
      <c r="BR2133" s="12"/>
      <c r="BS2133" s="12"/>
      <c r="BT2133" s="12"/>
      <c r="BU2133" s="12"/>
      <c r="BV2133" s="12"/>
      <c r="BW2133" s="12"/>
      <c r="BX2133" s="12"/>
      <c r="BY2133" s="12"/>
      <c r="BZ2133" s="12"/>
      <c r="CA2133" s="12"/>
      <c r="CB2133" s="12"/>
      <c r="CC2133" s="12"/>
      <c r="CD2133" s="12"/>
    </row>
    <row r="2134" spans="1:82">
      <c r="A2134" s="13" t="s">
        <v>6111</v>
      </c>
      <c r="B2134" s="12" t="str">
        <f t="shared" si="402"/>
        <v>VANVUUREN</v>
      </c>
      <c r="C2134" s="12" t="str">
        <f t="shared" si="403"/>
        <v>VAN VUUREN</v>
      </c>
      <c r="D2134" s="13" t="s">
        <v>6195</v>
      </c>
      <c r="E2134" s="12" t="str">
        <f t="shared" si="413"/>
        <v>Lucas Cornelis Janse</v>
      </c>
      <c r="F2134" s="13" t="s">
        <v>6198</v>
      </c>
      <c r="G2134" s="12" t="str">
        <f t="shared" si="404"/>
        <v>a1b2c4d8e3f6</v>
      </c>
      <c r="H2134" s="12" t="str">
        <f t="shared" si="405"/>
        <v>VAN VUURENa1b2c4d8e3f6</v>
      </c>
      <c r="I2134" s="13" t="s">
        <v>74</v>
      </c>
      <c r="J2134" s="13" t="s">
        <v>6199</v>
      </c>
      <c r="K2134" s="12" t="str">
        <f t="shared" si="406"/>
        <v>1823</v>
      </c>
      <c r="L2134" s="13"/>
      <c r="M2134" s="13"/>
      <c r="N2134" s="12" t="str">
        <f t="shared" si="411"/>
        <v>1823</v>
      </c>
      <c r="O2134" s="12" t="str">
        <f t="shared" si="412"/>
        <v/>
      </c>
      <c r="P2134" s="13" t="s">
        <v>6200</v>
      </c>
      <c r="Q2134" s="12" t="str">
        <f t="shared" si="407"/>
        <v>1823</v>
      </c>
      <c r="R2134" s="13" t="s">
        <v>6201</v>
      </c>
      <c r="S2134" s="12" t="str">
        <f t="shared" si="408"/>
        <v>1895</v>
      </c>
      <c r="T2134" s="13"/>
      <c r="U2134" s="13"/>
      <c r="V2134" s="12" t="str">
        <f t="shared" si="409"/>
        <v/>
      </c>
      <c r="W2134" s="13" t="s">
        <v>9483</v>
      </c>
      <c r="X2134" s="13" t="s">
        <v>700</v>
      </c>
      <c r="Y2134" s="13"/>
      <c r="Z2134" s="13"/>
      <c r="AA2134" s="13"/>
      <c r="AB2134" s="13"/>
      <c r="AC2134" s="13"/>
      <c r="AD2134" s="13"/>
      <c r="AE2134" s="13"/>
      <c r="AF2134" s="13" t="s">
        <v>15072</v>
      </c>
      <c r="AG2134" s="13" t="s">
        <v>74</v>
      </c>
      <c r="AH2134" s="13">
        <v>1836</v>
      </c>
      <c r="AI2134" s="12" t="str">
        <f t="shared" si="410"/>
        <v>1836</v>
      </c>
      <c r="AJ2134" s="13" t="s">
        <v>13060</v>
      </c>
      <c r="AK2134" s="13" t="s">
        <v>81</v>
      </c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2"/>
      <c r="BI2134" s="12"/>
      <c r="BJ2134" s="12"/>
      <c r="BK2134" s="12"/>
      <c r="BL2134" s="12"/>
      <c r="BM2134" s="12"/>
      <c r="BN2134" s="12"/>
      <c r="BO2134" s="12"/>
      <c r="BP2134" s="12"/>
      <c r="BQ2134" s="12"/>
      <c r="BR2134" s="12"/>
      <c r="BS2134" s="12"/>
      <c r="BT2134" s="12"/>
      <c r="BU2134" s="12"/>
      <c r="BV2134" s="12"/>
      <c r="BW2134" s="12"/>
      <c r="BX2134" s="12"/>
      <c r="BY2134" s="12"/>
      <c r="BZ2134" s="12"/>
      <c r="CA2134" s="12"/>
      <c r="CB2134" s="12"/>
      <c r="CC2134" s="12"/>
      <c r="CD2134" s="12"/>
    </row>
    <row r="2135" spans="1:82">
      <c r="A2135" s="13" t="s">
        <v>781</v>
      </c>
      <c r="B2135" s="12" t="str">
        <f t="shared" si="402"/>
        <v>VANWYK</v>
      </c>
      <c r="C2135" s="12" t="str">
        <f t="shared" si="403"/>
        <v>VAN WYK</v>
      </c>
      <c r="D2135" s="13" t="s">
        <v>6281</v>
      </c>
      <c r="E2135" s="12" t="str">
        <f t="shared" si="413"/>
        <v>Hendrik Johannes Jacobus Rudolph</v>
      </c>
      <c r="F2135" s="13" t="s">
        <v>6282</v>
      </c>
      <c r="G2135" s="12" t="str">
        <f t="shared" si="404"/>
        <v>a1b1c3d9e6f4</v>
      </c>
      <c r="H2135" s="12" t="str">
        <f t="shared" si="405"/>
        <v>VAN WYKa1b1c3d9e6f4</v>
      </c>
      <c r="I2135" s="13"/>
      <c r="J2135" s="13" t="s">
        <v>6283</v>
      </c>
      <c r="K2135" s="12" t="str">
        <f t="shared" si="406"/>
        <v>1810</v>
      </c>
      <c r="L2135" s="13"/>
      <c r="M2135" s="13" t="s">
        <v>5730</v>
      </c>
      <c r="N2135" s="12" t="str">
        <f t="shared" si="411"/>
        <v>1810</v>
      </c>
      <c r="O2135" s="12" t="str">
        <f t="shared" si="412"/>
        <v>1812</v>
      </c>
      <c r="P2135" s="13" t="s">
        <v>1547</v>
      </c>
      <c r="Q2135" s="12" t="str">
        <f t="shared" si="407"/>
        <v>1810</v>
      </c>
      <c r="R2135" s="13" t="s">
        <v>6284</v>
      </c>
      <c r="S2135" s="12" t="str">
        <f t="shared" si="408"/>
        <v>1876</v>
      </c>
      <c r="T2135" s="13" t="s">
        <v>68</v>
      </c>
      <c r="U2135" s="13" t="s">
        <v>1263</v>
      </c>
      <c r="V2135" s="12" t="str">
        <f t="shared" si="409"/>
        <v>1832</v>
      </c>
      <c r="W2135" s="13" t="s">
        <v>15175</v>
      </c>
      <c r="X2135" s="13" t="s">
        <v>786</v>
      </c>
      <c r="Y2135" s="13"/>
      <c r="Z2135" s="13"/>
      <c r="AA2135" s="13" t="s">
        <v>15176</v>
      </c>
      <c r="AB2135" s="13"/>
      <c r="AC2135" s="13"/>
      <c r="AD2135" s="13"/>
      <c r="AE2135" s="13"/>
      <c r="AF2135" s="13"/>
      <c r="AG2135" s="13" t="s">
        <v>28</v>
      </c>
      <c r="AH2135" s="13">
        <v>1844</v>
      </c>
      <c r="AI2135" s="12" t="str">
        <f t="shared" si="410"/>
        <v>1844</v>
      </c>
      <c r="AJ2135" s="13"/>
      <c r="AK2135" s="13"/>
      <c r="AL2135" s="13"/>
      <c r="AM2135" s="13"/>
      <c r="AN2135" s="13" t="s">
        <v>15177</v>
      </c>
      <c r="AO2135" s="13" t="s">
        <v>2086</v>
      </c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2"/>
      <c r="BI2135" s="12"/>
      <c r="BJ2135" s="12"/>
      <c r="BK2135" s="12"/>
      <c r="BL2135" s="12"/>
      <c r="BM2135" s="12"/>
      <c r="BN2135" s="12"/>
      <c r="BO2135" s="12"/>
      <c r="BP2135" s="12"/>
      <c r="BQ2135" s="12"/>
      <c r="BR2135" s="12"/>
      <c r="BS2135" s="12"/>
      <c r="BT2135" s="12"/>
      <c r="BU2135" s="12"/>
      <c r="BV2135" s="12"/>
      <c r="BW2135" s="12"/>
      <c r="BX2135" s="12"/>
      <c r="BY2135" s="12"/>
      <c r="BZ2135" s="12"/>
      <c r="CA2135" s="12"/>
      <c r="CB2135" s="12"/>
      <c r="CC2135" s="12"/>
      <c r="CD2135" s="12"/>
    </row>
    <row r="2136" spans="1:82">
      <c r="A2136" s="13" t="s">
        <v>781</v>
      </c>
      <c r="B2136" s="12" t="str">
        <f t="shared" si="402"/>
        <v>VANWYK</v>
      </c>
      <c r="C2136" s="12" t="str">
        <f t="shared" si="403"/>
        <v>VAN WYK</v>
      </c>
      <c r="D2136" s="13" t="s">
        <v>6292</v>
      </c>
      <c r="E2136" s="12" t="str">
        <f t="shared" si="413"/>
        <v>Jacob Pieter</v>
      </c>
      <c r="F2136" s="13" t="s">
        <v>6293</v>
      </c>
      <c r="G2136" s="12" t="str">
        <f t="shared" si="404"/>
        <v>a1b1c5d1e2f3</v>
      </c>
      <c r="H2136" s="12" t="str">
        <f t="shared" si="405"/>
        <v>VAN WYKa1b1c5d1e2f3</v>
      </c>
      <c r="I2136" s="13" t="s">
        <v>3732</v>
      </c>
      <c r="J2136" s="13" t="s">
        <v>6294</v>
      </c>
      <c r="K2136" s="12" t="str">
        <f t="shared" si="406"/>
        <v>1804</v>
      </c>
      <c r="L2136" s="13" t="s">
        <v>542</v>
      </c>
      <c r="M2136" s="13" t="s">
        <v>6295</v>
      </c>
      <c r="N2136" s="12" t="str">
        <f t="shared" si="411"/>
        <v>1804</v>
      </c>
      <c r="O2136" s="12" t="str">
        <f t="shared" si="412"/>
        <v>1805</v>
      </c>
      <c r="P2136" s="13" t="s">
        <v>6296</v>
      </c>
      <c r="Q2136" s="12" t="str">
        <f t="shared" si="407"/>
        <v>1804</v>
      </c>
      <c r="R2136" s="13" t="s">
        <v>6297</v>
      </c>
      <c r="S2136" s="12" t="str">
        <f t="shared" si="408"/>
        <v>1863</v>
      </c>
      <c r="T2136" s="13" t="s">
        <v>74</v>
      </c>
      <c r="U2136" s="13" t="s">
        <v>3572</v>
      </c>
      <c r="V2136" s="12" t="str">
        <f t="shared" si="409"/>
        <v>1824</v>
      </c>
      <c r="W2136" s="13" t="s">
        <v>15183</v>
      </c>
      <c r="X2136" s="13" t="s">
        <v>784</v>
      </c>
      <c r="Y2136" s="13" t="s">
        <v>845</v>
      </c>
      <c r="Z2136" s="13"/>
      <c r="AA2136" s="13"/>
      <c r="AB2136" s="13"/>
      <c r="AC2136" s="13" t="s">
        <v>15184</v>
      </c>
      <c r="AD2136" s="13" t="s">
        <v>24</v>
      </c>
      <c r="AE2136" s="13" t="s">
        <v>15185</v>
      </c>
      <c r="AF2136" s="13"/>
      <c r="AG2136" s="13" t="s">
        <v>60</v>
      </c>
      <c r="AH2136" s="13" t="s">
        <v>14375</v>
      </c>
      <c r="AI2136" s="12" t="str">
        <f t="shared" si="410"/>
        <v>1842</v>
      </c>
      <c r="AJ2136" s="13"/>
      <c r="AK2136" s="13" t="s">
        <v>12790</v>
      </c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/>
      <c r="BC2136" s="13"/>
      <c r="BD2136" s="13"/>
      <c r="BE2136" s="13"/>
      <c r="BF2136" s="13"/>
      <c r="BG2136" s="13"/>
      <c r="BH2136" s="12"/>
      <c r="BI2136" s="12"/>
      <c r="BJ2136" s="12"/>
      <c r="BK2136" s="12"/>
      <c r="BL2136" s="12"/>
      <c r="BM2136" s="12"/>
      <c r="BN2136" s="12"/>
      <c r="BO2136" s="12"/>
      <c r="BP2136" s="12"/>
      <c r="BQ2136" s="12"/>
      <c r="BR2136" s="12"/>
      <c r="BS2136" s="12"/>
      <c r="BT2136" s="12"/>
      <c r="BU2136" s="12"/>
      <c r="BV2136" s="12"/>
      <c r="BW2136" s="12"/>
      <c r="BX2136" s="12"/>
      <c r="BY2136" s="12"/>
      <c r="BZ2136" s="12"/>
      <c r="CA2136" s="12"/>
      <c r="CB2136" s="12"/>
      <c r="CC2136" s="12"/>
      <c r="CD2136" s="12"/>
    </row>
    <row r="2137" spans="1:82">
      <c r="A2137" s="13" t="s">
        <v>781</v>
      </c>
      <c r="B2137" s="12" t="str">
        <f t="shared" si="402"/>
        <v>VANWYK</v>
      </c>
      <c r="C2137" s="12" t="str">
        <f t="shared" si="403"/>
        <v>VAN WYK</v>
      </c>
      <c r="D2137" s="13" t="s">
        <v>6257</v>
      </c>
      <c r="E2137" s="12" t="str">
        <f t="shared" si="413"/>
        <v>Adriaan Pieter</v>
      </c>
      <c r="F2137" s="13" t="s">
        <v>6258</v>
      </c>
      <c r="G2137" s="12" t="str">
        <f t="shared" si="404"/>
        <v>a1b1c5d1e4f3</v>
      </c>
      <c r="H2137" s="12" t="str">
        <f t="shared" si="405"/>
        <v>VAN WYKa1b1c5d1e4f3</v>
      </c>
      <c r="I2137" s="13"/>
      <c r="J2137" s="13" t="s">
        <v>6259</v>
      </c>
      <c r="K2137" s="12" t="str">
        <f t="shared" si="406"/>
        <v>1804</v>
      </c>
      <c r="L2137" s="13" t="s">
        <v>542</v>
      </c>
      <c r="M2137" s="13" t="s">
        <v>6260</v>
      </c>
      <c r="N2137" s="12" t="str">
        <f t="shared" si="411"/>
        <v>1804</v>
      </c>
      <c r="O2137" s="12" t="str">
        <f t="shared" si="412"/>
        <v>1805</v>
      </c>
      <c r="P2137" s="13"/>
      <c r="Q2137" s="12" t="str">
        <f t="shared" si="407"/>
        <v>1804</v>
      </c>
      <c r="R2137" s="13"/>
      <c r="S2137" s="12" t="str">
        <f t="shared" si="408"/>
        <v/>
      </c>
      <c r="T2137" s="13"/>
      <c r="U2137" s="13"/>
      <c r="V2137" s="12" t="str">
        <f t="shared" si="409"/>
        <v/>
      </c>
      <c r="W2137" s="13" t="s">
        <v>15158</v>
      </c>
      <c r="X2137" s="13" t="s">
        <v>2026</v>
      </c>
      <c r="Y2137" s="13"/>
      <c r="Z2137" s="13"/>
      <c r="AA2137" s="13"/>
      <c r="AB2137" s="13"/>
      <c r="AC2137" s="13"/>
      <c r="AD2137" s="13"/>
      <c r="AE2137" s="13"/>
      <c r="AF2137" s="13" t="s">
        <v>3714</v>
      </c>
      <c r="AG2137" s="13" t="s">
        <v>68</v>
      </c>
      <c r="AH2137" s="13" t="s">
        <v>15159</v>
      </c>
      <c r="AI2137" s="12" t="str">
        <f t="shared" si="410"/>
        <v>1837</v>
      </c>
      <c r="AJ2137" s="13"/>
      <c r="AK2137" s="13" t="s">
        <v>190</v>
      </c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3"/>
      <c r="AY2137" s="13"/>
      <c r="AZ2137" s="13"/>
      <c r="BA2137" s="13"/>
      <c r="BB2137" s="13"/>
      <c r="BC2137" s="13"/>
      <c r="BD2137" s="13"/>
      <c r="BE2137" s="13"/>
      <c r="BF2137" s="13"/>
      <c r="BG2137" s="13"/>
      <c r="BH2137" s="12"/>
      <c r="BI2137" s="12"/>
      <c r="BJ2137" s="12"/>
      <c r="BK2137" s="12"/>
      <c r="BL2137" s="12"/>
      <c r="BM2137" s="12"/>
      <c r="BN2137" s="12"/>
      <c r="BO2137" s="12"/>
      <c r="BP2137" s="12"/>
      <c r="BQ2137" s="12"/>
      <c r="BR2137" s="12"/>
      <c r="BS2137" s="12"/>
      <c r="BT2137" s="12"/>
      <c r="BU2137" s="12"/>
      <c r="BV2137" s="12"/>
      <c r="BW2137" s="12"/>
      <c r="BX2137" s="12"/>
      <c r="BY2137" s="12"/>
      <c r="BZ2137" s="12"/>
      <c r="CA2137" s="12"/>
      <c r="CB2137" s="12"/>
      <c r="CC2137" s="12"/>
      <c r="CD2137" s="12"/>
    </row>
    <row r="2138" spans="1:82">
      <c r="A2138" s="13" t="s">
        <v>781</v>
      </c>
      <c r="B2138" s="12" t="str">
        <f t="shared" si="402"/>
        <v>VANWYK</v>
      </c>
      <c r="C2138" s="12" t="str">
        <f t="shared" si="403"/>
        <v>VAN WYK</v>
      </c>
      <c r="D2138" s="13" t="s">
        <v>6261</v>
      </c>
      <c r="E2138" s="12" t="str">
        <f t="shared" si="413"/>
        <v>Casper Jan Hendrik</v>
      </c>
      <c r="F2138" s="13" t="s">
        <v>6262</v>
      </c>
      <c r="G2138" s="12" t="str">
        <f t="shared" si="404"/>
        <v>a1b1c5d3e1f4g2</v>
      </c>
      <c r="H2138" s="12" t="str">
        <f t="shared" si="405"/>
        <v>VAN WYKa1b1c5d3e1f4g2</v>
      </c>
      <c r="I2138" s="13"/>
      <c r="J2138" s="13" t="s">
        <v>6263</v>
      </c>
      <c r="K2138" s="12" t="str">
        <f t="shared" si="406"/>
        <v>1806</v>
      </c>
      <c r="L2138" s="13" t="s">
        <v>74</v>
      </c>
      <c r="M2138" s="13" t="s">
        <v>6014</v>
      </c>
      <c r="N2138" s="12" t="str">
        <f t="shared" si="411"/>
        <v>1806</v>
      </c>
      <c r="O2138" s="12" t="str">
        <f t="shared" si="412"/>
        <v>1806</v>
      </c>
      <c r="P2138" s="13" t="s">
        <v>6264</v>
      </c>
      <c r="Q2138" s="12" t="str">
        <f t="shared" si="407"/>
        <v>1806</v>
      </c>
      <c r="R2138" s="13" t="s">
        <v>6265</v>
      </c>
      <c r="S2138" s="12" t="str">
        <f t="shared" si="408"/>
        <v>1878</v>
      </c>
      <c r="T2138" s="13" t="s">
        <v>28</v>
      </c>
      <c r="U2138" s="13" t="s">
        <v>2539</v>
      </c>
      <c r="V2138" s="12" t="str">
        <f t="shared" si="409"/>
        <v>1825</v>
      </c>
      <c r="W2138" s="13" t="s">
        <v>15160</v>
      </c>
      <c r="X2138" s="13" t="s">
        <v>2589</v>
      </c>
      <c r="Y2138" s="13"/>
      <c r="Z2138" s="13"/>
      <c r="AA2138" s="13" t="s">
        <v>15161</v>
      </c>
      <c r="AB2138" s="13" t="s">
        <v>74</v>
      </c>
      <c r="AC2138" s="13" t="s">
        <v>7594</v>
      </c>
      <c r="AD2138" s="13" t="s">
        <v>60</v>
      </c>
      <c r="AE2138" s="13" t="s">
        <v>15162</v>
      </c>
      <c r="AF2138" s="13" t="s">
        <v>60</v>
      </c>
      <c r="AG2138" s="13"/>
      <c r="AH2138" s="13"/>
      <c r="AI2138" s="12" t="str">
        <f t="shared" si="410"/>
        <v/>
      </c>
      <c r="AJ2138" s="13"/>
      <c r="AK2138" s="13" t="s">
        <v>155</v>
      </c>
      <c r="AL2138" s="13" t="s">
        <v>60</v>
      </c>
      <c r="AM2138" s="13" t="s">
        <v>15163</v>
      </c>
      <c r="AN2138" s="13" t="s">
        <v>15164</v>
      </c>
      <c r="AO2138" s="13" t="s">
        <v>759</v>
      </c>
      <c r="AP2138" s="13"/>
      <c r="AQ2138" s="13"/>
      <c r="AR2138" s="13">
        <v>1808</v>
      </c>
      <c r="AS2138" s="13"/>
      <c r="AT2138" s="13"/>
      <c r="AU2138" s="13" t="s">
        <v>158</v>
      </c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2"/>
      <c r="BI2138" s="12"/>
      <c r="BJ2138" s="12"/>
      <c r="BK2138" s="12"/>
      <c r="BL2138" s="12"/>
      <c r="BM2138" s="12"/>
      <c r="BN2138" s="12"/>
      <c r="BO2138" s="12"/>
      <c r="BP2138" s="12"/>
      <c r="BQ2138" s="12"/>
      <c r="BR2138" s="12"/>
      <c r="BS2138" s="12"/>
      <c r="BT2138" s="12"/>
      <c r="BU2138" s="12"/>
      <c r="BV2138" s="12"/>
      <c r="BW2138" s="12"/>
      <c r="BX2138" s="12"/>
      <c r="BY2138" s="12"/>
      <c r="BZ2138" s="12"/>
      <c r="CA2138" s="12"/>
      <c r="CB2138" s="12"/>
      <c r="CC2138" s="12"/>
      <c r="CD2138" s="12"/>
    </row>
    <row r="2139" spans="1:82">
      <c r="A2139" s="13" t="s">
        <v>781</v>
      </c>
      <c r="B2139" s="12" t="str">
        <f t="shared" si="402"/>
        <v>VANWYK</v>
      </c>
      <c r="C2139" s="12" t="str">
        <f t="shared" si="403"/>
        <v>VAN WYK</v>
      </c>
      <c r="D2139" s="13" t="s">
        <v>6252</v>
      </c>
      <c r="E2139" s="12" t="str">
        <f t="shared" si="413"/>
        <v>Adriaan Jacobus Adolph</v>
      </c>
      <c r="F2139" s="13" t="s">
        <v>6253</v>
      </c>
      <c r="G2139" s="12" t="str">
        <f t="shared" si="404"/>
        <v>a1b1c5d4e6f1</v>
      </c>
      <c r="H2139" s="12" t="str">
        <f t="shared" si="405"/>
        <v>VAN WYKa1b1c5d4e6f1</v>
      </c>
      <c r="I2139" s="13"/>
      <c r="J2139" s="13"/>
      <c r="K2139" s="12" t="str">
        <f t="shared" si="406"/>
        <v/>
      </c>
      <c r="L2139" s="13" t="s">
        <v>32</v>
      </c>
      <c r="M2139" s="13" t="s">
        <v>6254</v>
      </c>
      <c r="N2139" s="12" t="str">
        <f t="shared" si="411"/>
        <v/>
      </c>
      <c r="O2139" s="12" t="str">
        <f t="shared" si="412"/>
        <v>1799</v>
      </c>
      <c r="P2139" s="13" t="s">
        <v>6255</v>
      </c>
      <c r="Q2139" s="12" t="str">
        <f t="shared" si="407"/>
        <v>1799</v>
      </c>
      <c r="R2139" s="13" t="s">
        <v>6256</v>
      </c>
      <c r="S2139" s="12" t="str">
        <f t="shared" si="408"/>
        <v>1869</v>
      </c>
      <c r="T2139" s="13" t="s">
        <v>366</v>
      </c>
      <c r="U2139" s="13" t="s">
        <v>508</v>
      </c>
      <c r="V2139" s="12" t="str">
        <f t="shared" si="409"/>
        <v>1821</v>
      </c>
      <c r="W2139" s="13" t="s">
        <v>15148</v>
      </c>
      <c r="X2139" s="13" t="s">
        <v>636</v>
      </c>
      <c r="Y2139" s="13"/>
      <c r="Z2139" s="13"/>
      <c r="AA2139" s="13"/>
      <c r="AB2139" s="13"/>
      <c r="AC2139" s="13" t="s">
        <v>22</v>
      </c>
      <c r="AD2139" s="13" t="s">
        <v>15149</v>
      </c>
      <c r="AE2139" s="13" t="s">
        <v>15150</v>
      </c>
      <c r="AF2139" s="13" t="s">
        <v>3716</v>
      </c>
      <c r="AG2139" s="13" t="s">
        <v>366</v>
      </c>
      <c r="AH2139" s="13" t="s">
        <v>385</v>
      </c>
      <c r="AI2139" s="12" t="str">
        <f t="shared" si="410"/>
        <v>1840</v>
      </c>
      <c r="AJ2139" s="13"/>
      <c r="AK2139" s="13"/>
      <c r="AL2139" s="13" t="s">
        <v>31</v>
      </c>
      <c r="AM2139" s="13" t="s">
        <v>15151</v>
      </c>
      <c r="AN2139" s="13" t="s">
        <v>15152</v>
      </c>
      <c r="AO2139" s="13" t="s">
        <v>3187</v>
      </c>
      <c r="AP2139" s="13"/>
      <c r="AQ2139" s="13"/>
      <c r="AR2139" s="13" t="s">
        <v>15153</v>
      </c>
      <c r="AS2139" s="13" t="s">
        <v>1955</v>
      </c>
      <c r="AT2139" s="13" t="s">
        <v>252</v>
      </c>
      <c r="AU2139" s="13" t="s">
        <v>1071</v>
      </c>
      <c r="AV2139" s="13" t="s">
        <v>15154</v>
      </c>
      <c r="AW2139" s="13" t="s">
        <v>2877</v>
      </c>
      <c r="AX2139" s="13" t="s">
        <v>15155</v>
      </c>
      <c r="AY2139" s="13" t="s">
        <v>15156</v>
      </c>
      <c r="AZ2139" s="13" t="s">
        <v>15157</v>
      </c>
      <c r="BA2139" s="13"/>
      <c r="BB2139" s="13"/>
      <c r="BC2139" s="13"/>
      <c r="BD2139" s="13"/>
      <c r="BE2139" s="13"/>
      <c r="BF2139" s="13"/>
      <c r="BG2139" s="13"/>
      <c r="BH2139" s="12"/>
      <c r="BI2139" s="12"/>
      <c r="BJ2139" s="12"/>
      <c r="BK2139" s="12"/>
      <c r="BL2139" s="12"/>
      <c r="BM2139" s="12"/>
      <c r="BN2139" s="12"/>
      <c r="BO2139" s="12"/>
      <c r="BP2139" s="12"/>
      <c r="BQ2139" s="12"/>
      <c r="BR2139" s="12"/>
      <c r="BS2139" s="12"/>
      <c r="BT2139" s="12"/>
      <c r="BU2139" s="12"/>
      <c r="BV2139" s="12"/>
      <c r="BW2139" s="12"/>
      <c r="BX2139" s="12"/>
      <c r="BY2139" s="12"/>
      <c r="BZ2139" s="12"/>
      <c r="CA2139" s="12"/>
      <c r="CB2139" s="12"/>
      <c r="CC2139" s="12"/>
      <c r="CD2139" s="12"/>
    </row>
    <row r="2140" spans="1:82">
      <c r="A2140" s="13" t="s">
        <v>781</v>
      </c>
      <c r="B2140" s="12" t="str">
        <f t="shared" si="402"/>
        <v>VANWYK</v>
      </c>
      <c r="C2140" s="12" t="str">
        <f t="shared" si="403"/>
        <v>VAN WYK</v>
      </c>
      <c r="D2140" s="13" t="s">
        <v>2140</v>
      </c>
      <c r="E2140" s="12" t="str">
        <f t="shared" si="413"/>
        <v>Jacobus Johannes</v>
      </c>
      <c r="F2140" s="13" t="s">
        <v>6298</v>
      </c>
      <c r="G2140" s="12" t="str">
        <f t="shared" si="404"/>
        <v>a1b1c5d7e8f4</v>
      </c>
      <c r="H2140" s="12" t="str">
        <f t="shared" si="405"/>
        <v>VAN WYKa1b1c5d7e8f4</v>
      </c>
      <c r="I2140" s="13" t="s">
        <v>6299</v>
      </c>
      <c r="J2140" s="13" t="s">
        <v>6300</v>
      </c>
      <c r="K2140" s="12" t="str">
        <f t="shared" si="406"/>
        <v>1815</v>
      </c>
      <c r="L2140" s="13" t="s">
        <v>199</v>
      </c>
      <c r="M2140" s="13" t="s">
        <v>6301</v>
      </c>
      <c r="N2140" s="12" t="str">
        <f t="shared" si="411"/>
        <v>1815</v>
      </c>
      <c r="O2140" s="12" t="str">
        <f t="shared" si="412"/>
        <v>1816</v>
      </c>
      <c r="P2140" s="13" t="s">
        <v>3821</v>
      </c>
      <c r="Q2140" s="12" t="str">
        <f t="shared" si="407"/>
        <v>1815</v>
      </c>
      <c r="R2140" s="13" t="s">
        <v>6302</v>
      </c>
      <c r="S2140" s="12" t="str">
        <f t="shared" si="408"/>
        <v>1874</v>
      </c>
      <c r="T2140" s="13" t="s">
        <v>60</v>
      </c>
      <c r="U2140" s="13" t="s">
        <v>15186</v>
      </c>
      <c r="V2140" s="12" t="str">
        <f t="shared" si="409"/>
        <v>1841</v>
      </c>
      <c r="W2140" s="13" t="s">
        <v>13431</v>
      </c>
      <c r="X2140" s="13" t="s">
        <v>2614</v>
      </c>
      <c r="Y2140" s="13"/>
      <c r="Z2140" s="13" t="s">
        <v>15187</v>
      </c>
      <c r="AA2140" s="13" t="s">
        <v>15188</v>
      </c>
      <c r="AB2140" s="13" t="s">
        <v>5738</v>
      </c>
      <c r="AC2140" s="13" t="s">
        <v>15189</v>
      </c>
      <c r="AD2140" s="13" t="s">
        <v>15190</v>
      </c>
      <c r="AE2140" s="15">
        <v>705</v>
      </c>
      <c r="AF2140" s="13" t="s">
        <v>10648</v>
      </c>
      <c r="AG2140" s="13" t="s">
        <v>32</v>
      </c>
      <c r="AH2140" s="13" t="s">
        <v>2405</v>
      </c>
      <c r="AI2140" s="12" t="str">
        <f t="shared" si="410"/>
        <v>1838</v>
      </c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/>
      <c r="AX2140" s="13"/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2"/>
      <c r="BI2140" s="12"/>
      <c r="BJ2140" s="12"/>
      <c r="BK2140" s="12"/>
      <c r="BL2140" s="12"/>
      <c r="BM2140" s="12"/>
      <c r="BN2140" s="12"/>
      <c r="BO2140" s="12"/>
      <c r="BP2140" s="12"/>
      <c r="BQ2140" s="12"/>
      <c r="BR2140" s="12"/>
      <c r="BS2140" s="12"/>
      <c r="BT2140" s="12"/>
      <c r="BU2140" s="12"/>
      <c r="BV2140" s="12"/>
      <c r="BW2140" s="12"/>
      <c r="BX2140" s="12"/>
      <c r="BY2140" s="12"/>
      <c r="BZ2140" s="12"/>
      <c r="CA2140" s="12"/>
      <c r="CB2140" s="12"/>
      <c r="CC2140" s="12"/>
      <c r="CD2140" s="12"/>
    </row>
    <row r="2141" spans="1:82">
      <c r="A2141" s="13" t="s">
        <v>781</v>
      </c>
      <c r="B2141" s="12" t="str">
        <f t="shared" si="402"/>
        <v>VANWYK</v>
      </c>
      <c r="C2141" s="12" t="str">
        <f t="shared" si="403"/>
        <v>VAN WYK</v>
      </c>
      <c r="D2141" s="13" t="s">
        <v>6314</v>
      </c>
      <c r="E2141" s="12" t="str">
        <f t="shared" si="413"/>
        <v>Roelof Daniel Sr.</v>
      </c>
      <c r="F2141" s="13" t="s">
        <v>6315</v>
      </c>
      <c r="G2141" s="12" t="str">
        <f t="shared" si="404"/>
        <v>a1b1c5d7e9</v>
      </c>
      <c r="H2141" s="12" t="str">
        <f t="shared" si="405"/>
        <v>VAN WYKa1b1c5d7e9</v>
      </c>
      <c r="I2141" s="13"/>
      <c r="J2141" s="13"/>
      <c r="K2141" s="12" t="str">
        <f t="shared" si="406"/>
        <v/>
      </c>
      <c r="L2141" s="13"/>
      <c r="M2141" s="13" t="s">
        <v>6316</v>
      </c>
      <c r="N2141" s="12" t="str">
        <f t="shared" si="411"/>
        <v/>
      </c>
      <c r="O2141" s="12" t="str">
        <f t="shared" si="412"/>
        <v>1783</v>
      </c>
      <c r="P2141" s="13" t="s">
        <v>6317</v>
      </c>
      <c r="Q2141" s="12" t="str">
        <f t="shared" si="407"/>
        <v>1783</v>
      </c>
      <c r="R2141" s="13" t="s">
        <v>6318</v>
      </c>
      <c r="S2141" s="12" t="str">
        <f t="shared" si="408"/>
        <v>1854</v>
      </c>
      <c r="T2141" s="13" t="s">
        <v>32</v>
      </c>
      <c r="U2141" s="13" t="s">
        <v>14735</v>
      </c>
      <c r="V2141" s="12" t="str">
        <f t="shared" si="409"/>
        <v>1805</v>
      </c>
      <c r="W2141" s="13" t="s">
        <v>715</v>
      </c>
      <c r="X2141" s="13" t="s">
        <v>2402</v>
      </c>
      <c r="Y2141" s="13"/>
      <c r="Z2141" s="13"/>
      <c r="AA2141" s="13"/>
      <c r="AB2141" s="13"/>
      <c r="AC2141" s="13" t="s">
        <v>12357</v>
      </c>
      <c r="AD2141" s="13"/>
      <c r="AE2141" s="13"/>
      <c r="AF2141" s="13" t="s">
        <v>10648</v>
      </c>
      <c r="AG2141" s="13" t="s">
        <v>32</v>
      </c>
      <c r="AH2141" s="13" t="s">
        <v>2405</v>
      </c>
      <c r="AI2141" s="12" t="str">
        <f t="shared" si="410"/>
        <v>1838</v>
      </c>
      <c r="AJ2141" s="13"/>
      <c r="AK2141" s="13"/>
      <c r="AL2141" s="13"/>
      <c r="AM2141" s="13"/>
      <c r="AN2141" s="13"/>
      <c r="AO2141" s="13"/>
      <c r="AP2141" s="13"/>
      <c r="AQ2141" s="13"/>
      <c r="AR2141" s="13"/>
      <c r="AS2141" s="13"/>
      <c r="AT2141" s="13"/>
      <c r="AU2141" s="13"/>
      <c r="AV2141" s="13"/>
      <c r="AW2141" s="13"/>
      <c r="AX2141" s="13"/>
      <c r="AY2141" s="13"/>
      <c r="AZ2141" s="13"/>
      <c r="BA2141" s="13"/>
      <c r="BB2141" s="13"/>
      <c r="BC2141" s="13"/>
      <c r="BD2141" s="13"/>
      <c r="BE2141" s="13"/>
      <c r="BF2141" s="13"/>
      <c r="BG2141" s="13"/>
      <c r="BH2141" s="12"/>
      <c r="BI2141" s="12"/>
      <c r="BJ2141" s="12"/>
      <c r="BK2141" s="12"/>
      <c r="BL2141" s="12"/>
      <c r="BM2141" s="12"/>
      <c r="BN2141" s="12"/>
      <c r="BO2141" s="12"/>
      <c r="BP2141" s="12"/>
      <c r="BQ2141" s="12"/>
      <c r="BR2141" s="12"/>
      <c r="BS2141" s="12"/>
      <c r="BT2141" s="12"/>
      <c r="BU2141" s="12"/>
      <c r="BV2141" s="12"/>
      <c r="BW2141" s="12"/>
      <c r="BX2141" s="12"/>
      <c r="BY2141" s="12"/>
      <c r="BZ2141" s="12"/>
      <c r="CA2141" s="12"/>
      <c r="CB2141" s="12"/>
      <c r="CC2141" s="12"/>
      <c r="CD2141" s="12"/>
    </row>
    <row r="2142" spans="1:82">
      <c r="A2142" s="13" t="s">
        <v>781</v>
      </c>
      <c r="B2142" s="12" t="str">
        <f t="shared" si="402"/>
        <v>VANWYK</v>
      </c>
      <c r="C2142" s="12" t="str">
        <f t="shared" si="403"/>
        <v>VAN WYK</v>
      </c>
      <c r="D2142" s="13" t="s">
        <v>6308</v>
      </c>
      <c r="E2142" s="12" t="str">
        <f t="shared" si="413"/>
        <v>Roelof Daniel Jr.</v>
      </c>
      <c r="F2142" s="13" t="s">
        <v>6309</v>
      </c>
      <c r="G2142" s="12" t="str">
        <f t="shared" si="404"/>
        <v>a1b1c5d7e9f6</v>
      </c>
      <c r="H2142" s="12" t="str">
        <f t="shared" si="405"/>
        <v>VAN WYKa1b1c5d7e9f6</v>
      </c>
      <c r="I2142" s="13"/>
      <c r="J2142" s="13" t="s">
        <v>6310</v>
      </c>
      <c r="K2142" s="12" t="str">
        <f t="shared" si="406"/>
        <v>1818</v>
      </c>
      <c r="L2142" s="13" t="s">
        <v>32</v>
      </c>
      <c r="M2142" s="13" t="s">
        <v>6311</v>
      </c>
      <c r="N2142" s="12" t="str">
        <f t="shared" si="411"/>
        <v>1818</v>
      </c>
      <c r="O2142" s="12" t="str">
        <f t="shared" si="412"/>
        <v>1819</v>
      </c>
      <c r="P2142" s="13" t="s">
        <v>6312</v>
      </c>
      <c r="Q2142" s="12" t="str">
        <f t="shared" si="407"/>
        <v>1818</v>
      </c>
      <c r="R2142" s="13" t="s">
        <v>6313</v>
      </c>
      <c r="S2142" s="12" t="str">
        <f t="shared" si="408"/>
        <v>1886</v>
      </c>
      <c r="T2142" s="13" t="s">
        <v>60</v>
      </c>
      <c r="U2142" s="13" t="s">
        <v>15195</v>
      </c>
      <c r="V2142" s="12" t="str">
        <f t="shared" si="409"/>
        <v>1843</v>
      </c>
      <c r="W2142" s="13" t="s">
        <v>14845</v>
      </c>
      <c r="X2142" s="13" t="s">
        <v>266</v>
      </c>
      <c r="Y2142" s="13"/>
      <c r="Z2142" s="13"/>
      <c r="AA2142" s="13" t="s">
        <v>1658</v>
      </c>
      <c r="AB2142" s="13" t="s">
        <v>53</v>
      </c>
      <c r="AC2142" s="13" t="s">
        <v>15196</v>
      </c>
      <c r="AD2142" s="13"/>
      <c r="AE2142" s="13"/>
      <c r="AF2142" s="13" t="s">
        <v>10648</v>
      </c>
      <c r="AG2142" s="13" t="s">
        <v>32</v>
      </c>
      <c r="AH2142" s="13">
        <v>1840</v>
      </c>
      <c r="AI2142" s="12" t="str">
        <f t="shared" si="410"/>
        <v>1840</v>
      </c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2"/>
      <c r="BI2142" s="12"/>
      <c r="BJ2142" s="12"/>
      <c r="BK2142" s="12"/>
      <c r="BL2142" s="12"/>
      <c r="BM2142" s="12"/>
      <c r="BN2142" s="12"/>
      <c r="BO2142" s="12"/>
      <c r="BP2142" s="12"/>
      <c r="BQ2142" s="12"/>
      <c r="BR2142" s="12"/>
      <c r="BS2142" s="12"/>
      <c r="BT2142" s="12"/>
      <c r="BU2142" s="12"/>
      <c r="BV2142" s="12"/>
      <c r="BW2142" s="12"/>
      <c r="BX2142" s="12"/>
      <c r="BY2142" s="12"/>
      <c r="BZ2142" s="12"/>
      <c r="CA2142" s="12"/>
      <c r="CB2142" s="12"/>
      <c r="CC2142" s="12"/>
      <c r="CD2142" s="12"/>
    </row>
    <row r="2143" spans="1:82">
      <c r="A2143" s="13" t="s">
        <v>781</v>
      </c>
      <c r="B2143" s="12" t="str">
        <f t="shared" si="402"/>
        <v>VANWYK</v>
      </c>
      <c r="C2143" s="12" t="str">
        <f t="shared" si="403"/>
        <v>VAN WYK</v>
      </c>
      <c r="D2143" s="13" t="s">
        <v>6303</v>
      </c>
      <c r="E2143" s="12" t="str">
        <f t="shared" si="413"/>
        <v>Johannes Fredericus</v>
      </c>
      <c r="F2143" s="13" t="s">
        <v>6304</v>
      </c>
      <c r="G2143" s="12" t="str">
        <f t="shared" si="404"/>
        <v>a1b3c1d1e1f5</v>
      </c>
      <c r="H2143" s="12" t="str">
        <f t="shared" si="405"/>
        <v>VAN WYKa1b3c1d1e1f5</v>
      </c>
      <c r="I2143" s="13"/>
      <c r="J2143" s="13" t="s">
        <v>6305</v>
      </c>
      <c r="K2143" s="12" t="str">
        <f t="shared" si="406"/>
        <v>1814</v>
      </c>
      <c r="L2143" s="13" t="s">
        <v>6098</v>
      </c>
      <c r="M2143" s="13" t="s">
        <v>6306</v>
      </c>
      <c r="N2143" s="12" t="str">
        <f t="shared" si="411"/>
        <v>1814</v>
      </c>
      <c r="O2143" s="12" t="str">
        <f t="shared" si="412"/>
        <v>1815</v>
      </c>
      <c r="P2143" s="13" t="s">
        <v>146</v>
      </c>
      <c r="Q2143" s="12" t="str">
        <f t="shared" si="407"/>
        <v>1814</v>
      </c>
      <c r="R2143" s="13" t="s">
        <v>6307</v>
      </c>
      <c r="S2143" s="12" t="str">
        <f t="shared" si="408"/>
        <v>1889</v>
      </c>
      <c r="T2143" s="13"/>
      <c r="U2143" s="13"/>
      <c r="V2143" s="12" t="str">
        <f t="shared" si="409"/>
        <v/>
      </c>
      <c r="W2143" s="13" t="s">
        <v>4835</v>
      </c>
      <c r="X2143" s="13" t="s">
        <v>664</v>
      </c>
      <c r="Y2143" s="13"/>
      <c r="Z2143" s="13" t="s">
        <v>395</v>
      </c>
      <c r="AA2143" s="13" t="s">
        <v>13304</v>
      </c>
      <c r="AB2143" s="13"/>
      <c r="AC2143" s="13"/>
      <c r="AD2143" s="13" t="s">
        <v>140</v>
      </c>
      <c r="AE2143" s="13" t="s">
        <v>15191</v>
      </c>
      <c r="AF2143" s="13"/>
      <c r="AG2143" s="13" t="s">
        <v>366</v>
      </c>
      <c r="AH2143" s="13">
        <v>1840</v>
      </c>
      <c r="AI2143" s="12" t="str">
        <f t="shared" si="410"/>
        <v>1840</v>
      </c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2"/>
      <c r="BI2143" s="12"/>
      <c r="BJ2143" s="12"/>
      <c r="BK2143" s="12"/>
      <c r="BL2143" s="12"/>
      <c r="BM2143" s="12"/>
      <c r="BN2143" s="12"/>
      <c r="BO2143" s="12"/>
      <c r="BP2143" s="12"/>
      <c r="BQ2143" s="12"/>
      <c r="BR2143" s="12"/>
      <c r="BS2143" s="12"/>
      <c r="BT2143" s="12"/>
      <c r="BU2143" s="12"/>
      <c r="BV2143" s="12"/>
      <c r="BW2143" s="12"/>
      <c r="BX2143" s="12"/>
      <c r="BY2143" s="12"/>
      <c r="BZ2143" s="12"/>
      <c r="CA2143" s="12"/>
      <c r="CB2143" s="12"/>
      <c r="CC2143" s="12"/>
      <c r="CD2143" s="12"/>
    </row>
    <row r="2144" spans="1:82">
      <c r="A2144" s="13" t="s">
        <v>781</v>
      </c>
      <c r="B2144" s="12" t="str">
        <f t="shared" si="402"/>
        <v>VANWYK</v>
      </c>
      <c r="C2144" s="12" t="str">
        <f t="shared" si="403"/>
        <v>VAN WYK</v>
      </c>
      <c r="D2144" s="13" t="s">
        <v>3760</v>
      </c>
      <c r="E2144" s="12" t="str">
        <f t="shared" si="413"/>
        <v>Johannes Lodewicus</v>
      </c>
      <c r="F2144" s="13" t="s">
        <v>4723</v>
      </c>
      <c r="G2144" s="12" t="str">
        <f t="shared" si="404"/>
        <v>a1b3c2d11e8</v>
      </c>
      <c r="H2144" s="12" t="str">
        <f t="shared" si="405"/>
        <v>VAN WYKa1b3c2d11e8</v>
      </c>
      <c r="I2144" s="13"/>
      <c r="J2144" s="13">
        <v>1817</v>
      </c>
      <c r="K2144" s="12" t="str">
        <f t="shared" si="406"/>
        <v>1817</v>
      </c>
      <c r="L2144" s="13"/>
      <c r="M2144" s="13"/>
      <c r="N2144" s="12" t="str">
        <f t="shared" si="411"/>
        <v>1817</v>
      </c>
      <c r="O2144" s="12" t="str">
        <f t="shared" si="412"/>
        <v/>
      </c>
      <c r="P2144" s="13"/>
      <c r="Q2144" s="12" t="str">
        <f t="shared" si="407"/>
        <v>1817</v>
      </c>
      <c r="R2144" s="13"/>
      <c r="S2144" s="12" t="str">
        <f t="shared" si="408"/>
        <v/>
      </c>
      <c r="T2144" s="13"/>
      <c r="U2144" s="13">
        <v>1845</v>
      </c>
      <c r="V2144" s="12" t="str">
        <f t="shared" si="409"/>
        <v>1845</v>
      </c>
      <c r="W2144" s="13" t="s">
        <v>2499</v>
      </c>
      <c r="X2144" s="13" t="s">
        <v>822</v>
      </c>
      <c r="Y2144" s="13" t="s">
        <v>15192</v>
      </c>
      <c r="Z2144" s="13"/>
      <c r="AA2144" s="13" t="s">
        <v>15193</v>
      </c>
      <c r="AB2144" s="13"/>
      <c r="AC2144" s="13" t="s">
        <v>7180</v>
      </c>
      <c r="AD2144" s="13"/>
      <c r="AE2144" s="13" t="s">
        <v>15194</v>
      </c>
      <c r="AF2144" s="13"/>
      <c r="AG2144" s="13" t="s">
        <v>366</v>
      </c>
      <c r="AH2144" s="13"/>
      <c r="AI2144" s="12" t="str">
        <f t="shared" si="410"/>
        <v/>
      </c>
      <c r="AJ2144" s="13"/>
      <c r="AK2144" s="13"/>
      <c r="AL2144" s="13"/>
      <c r="AM2144" s="13"/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/>
      <c r="AX2144" s="13"/>
      <c r="AY2144" s="13"/>
      <c r="AZ2144" s="13"/>
      <c r="BA2144" s="13"/>
      <c r="BB2144" s="13"/>
      <c r="BC2144" s="13"/>
      <c r="BD2144" s="13"/>
      <c r="BE2144" s="13"/>
      <c r="BF2144" s="13"/>
      <c r="BG2144" s="13"/>
      <c r="BH2144" s="12"/>
      <c r="BI2144" s="12"/>
      <c r="BJ2144" s="12"/>
      <c r="BK2144" s="12"/>
      <c r="BL2144" s="12"/>
      <c r="BM2144" s="12"/>
      <c r="BN2144" s="12"/>
      <c r="BO2144" s="12"/>
      <c r="BP2144" s="12"/>
      <c r="BQ2144" s="12"/>
      <c r="BR2144" s="12"/>
      <c r="BS2144" s="12"/>
      <c r="BT2144" s="12"/>
      <c r="BU2144" s="12"/>
      <c r="BV2144" s="12"/>
      <c r="BW2144" s="12"/>
      <c r="BX2144" s="12"/>
      <c r="BY2144" s="12"/>
      <c r="BZ2144" s="12"/>
      <c r="CA2144" s="12"/>
      <c r="CB2144" s="12"/>
      <c r="CC2144" s="12"/>
      <c r="CD2144" s="12"/>
    </row>
    <row r="2145" spans="1:82">
      <c r="A2145" s="13" t="s">
        <v>781</v>
      </c>
      <c r="B2145" s="12" t="str">
        <f t="shared" si="402"/>
        <v>VANWYK</v>
      </c>
      <c r="C2145" s="12" t="str">
        <f t="shared" si="403"/>
        <v>VAN WYK</v>
      </c>
      <c r="D2145" s="13" t="s">
        <v>6271</v>
      </c>
      <c r="E2145" s="12" t="str">
        <f t="shared" si="413"/>
        <v>Gerrit Jacobus</v>
      </c>
      <c r="F2145" s="13" t="s">
        <v>4371</v>
      </c>
      <c r="G2145" s="12" t="str">
        <f t="shared" si="404"/>
        <v>a1b3c2d6e3f1</v>
      </c>
      <c r="H2145" s="12" t="str">
        <f t="shared" si="405"/>
        <v>VAN WYKa1b3c2d6e3f1</v>
      </c>
      <c r="I2145" s="13"/>
      <c r="J2145" s="13" t="s">
        <v>6272</v>
      </c>
      <c r="K2145" s="12" t="str">
        <f t="shared" si="406"/>
        <v>1818</v>
      </c>
      <c r="L2145" s="13" t="s">
        <v>542</v>
      </c>
      <c r="M2145" s="13" t="s">
        <v>6273</v>
      </c>
      <c r="N2145" s="12" t="str">
        <f t="shared" si="411"/>
        <v>1818</v>
      </c>
      <c r="O2145" s="12" t="str">
        <f t="shared" si="412"/>
        <v>1818</v>
      </c>
      <c r="P2145" s="13" t="s">
        <v>6274</v>
      </c>
      <c r="Q2145" s="12" t="str">
        <f t="shared" si="407"/>
        <v>1818</v>
      </c>
      <c r="R2145" s="13">
        <v>1881</v>
      </c>
      <c r="S2145" s="12" t="str">
        <f t="shared" si="408"/>
        <v>1881</v>
      </c>
      <c r="T2145" s="13"/>
      <c r="U2145" s="13" t="s">
        <v>15166</v>
      </c>
      <c r="V2145" s="12" t="str">
        <f t="shared" si="409"/>
        <v>1840</v>
      </c>
      <c r="W2145" s="13" t="s">
        <v>15167</v>
      </c>
      <c r="X2145" s="13" t="s">
        <v>700</v>
      </c>
      <c r="Y2145" s="13" t="s">
        <v>15168</v>
      </c>
      <c r="Z2145" s="13"/>
      <c r="AA2145" s="13"/>
      <c r="AB2145" s="13"/>
      <c r="AC2145" s="13" t="s">
        <v>3173</v>
      </c>
      <c r="AD2145" s="13" t="s">
        <v>15169</v>
      </c>
      <c r="AE2145" s="13" t="s">
        <v>15170</v>
      </c>
      <c r="AF2145" s="13"/>
      <c r="AG2145" s="13"/>
      <c r="AH2145" s="13" t="s">
        <v>15171</v>
      </c>
      <c r="AI2145" s="12" t="str">
        <f t="shared" si="410"/>
        <v>1841</v>
      </c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2"/>
      <c r="BI2145" s="12"/>
      <c r="BJ2145" s="12"/>
      <c r="BK2145" s="12"/>
      <c r="BL2145" s="12"/>
      <c r="BM2145" s="12"/>
      <c r="BN2145" s="12"/>
      <c r="BO2145" s="12"/>
      <c r="BP2145" s="12"/>
      <c r="BQ2145" s="12"/>
      <c r="BR2145" s="12"/>
      <c r="BS2145" s="12"/>
      <c r="BT2145" s="12"/>
      <c r="BU2145" s="12"/>
      <c r="BV2145" s="12"/>
      <c r="BW2145" s="12"/>
      <c r="BX2145" s="12"/>
      <c r="BY2145" s="12"/>
      <c r="BZ2145" s="12"/>
      <c r="CA2145" s="12"/>
      <c r="CB2145" s="12"/>
      <c r="CC2145" s="12"/>
      <c r="CD2145" s="12"/>
    </row>
    <row r="2146" spans="1:82">
      <c r="A2146" s="13" t="s">
        <v>781</v>
      </c>
      <c r="B2146" s="12" t="str">
        <f t="shared" si="402"/>
        <v>VANWYK</v>
      </c>
      <c r="C2146" s="12" t="str">
        <f t="shared" si="403"/>
        <v>VAN WYK</v>
      </c>
      <c r="D2146" s="13" t="s">
        <v>6285</v>
      </c>
      <c r="E2146" s="12" t="str">
        <f t="shared" si="413"/>
        <v>Henning Jacobus</v>
      </c>
      <c r="F2146" s="13" t="s">
        <v>6286</v>
      </c>
      <c r="G2146" s="12" t="str">
        <f t="shared" si="404"/>
        <v>a1b3c8d6e3</v>
      </c>
      <c r="H2146" s="12" t="str">
        <f t="shared" si="405"/>
        <v>VAN WYKa1b3c8d6e3</v>
      </c>
      <c r="I2146" s="13" t="s">
        <v>6287</v>
      </c>
      <c r="J2146" s="13" t="s">
        <v>6288</v>
      </c>
      <c r="K2146" s="12" t="str">
        <f t="shared" si="406"/>
        <v>1802</v>
      </c>
      <c r="L2146" s="13" t="s">
        <v>542</v>
      </c>
      <c r="M2146" s="13" t="s">
        <v>6289</v>
      </c>
      <c r="N2146" s="12" t="str">
        <f t="shared" si="411"/>
        <v>1802</v>
      </c>
      <c r="O2146" s="12" t="str">
        <f t="shared" si="412"/>
        <v>1803</v>
      </c>
      <c r="P2146" s="13" t="s">
        <v>6290</v>
      </c>
      <c r="Q2146" s="12" t="str">
        <f t="shared" si="407"/>
        <v>1802</v>
      </c>
      <c r="R2146" s="13" t="s">
        <v>6291</v>
      </c>
      <c r="S2146" s="12" t="str">
        <f t="shared" si="408"/>
        <v>1875</v>
      </c>
      <c r="T2146" s="13" t="s">
        <v>542</v>
      </c>
      <c r="U2146" s="13" t="s">
        <v>15178</v>
      </c>
      <c r="V2146" s="12" t="str">
        <f t="shared" si="409"/>
        <v>1830</v>
      </c>
      <c r="W2146" s="13" t="s">
        <v>2842</v>
      </c>
      <c r="X2146" s="13" t="s">
        <v>15179</v>
      </c>
      <c r="Y2146" s="13" t="s">
        <v>4652</v>
      </c>
      <c r="Z2146" s="13"/>
      <c r="AA2146" s="13" t="s">
        <v>10958</v>
      </c>
      <c r="AB2146" s="13" t="s">
        <v>542</v>
      </c>
      <c r="AC2146" s="13" t="s">
        <v>15180</v>
      </c>
      <c r="AD2146" s="13" t="s">
        <v>15181</v>
      </c>
      <c r="AE2146" s="13" t="s">
        <v>15182</v>
      </c>
      <c r="AF2146" s="13" t="s">
        <v>15174</v>
      </c>
      <c r="AG2146" s="13" t="s">
        <v>3587</v>
      </c>
      <c r="AH2146" s="13">
        <v>1842</v>
      </c>
      <c r="AI2146" s="12" t="str">
        <f t="shared" si="410"/>
        <v>1842</v>
      </c>
      <c r="AJ2146" s="13"/>
      <c r="AK2146" s="13" t="s">
        <v>90</v>
      </c>
      <c r="AL2146" s="13"/>
      <c r="AM2146" s="13"/>
      <c r="AN2146" s="13"/>
      <c r="AO2146" s="13"/>
      <c r="AP2146" s="13"/>
      <c r="AQ2146" s="13"/>
      <c r="AR2146" s="13"/>
      <c r="AS2146" s="13"/>
      <c r="AT2146" s="13"/>
      <c r="AU2146" s="13"/>
      <c r="AV2146" s="13"/>
      <c r="AW2146" s="13"/>
      <c r="AX2146" s="13"/>
      <c r="AY2146" s="13"/>
      <c r="AZ2146" s="13"/>
      <c r="BA2146" s="13"/>
      <c r="BB2146" s="13"/>
      <c r="BC2146" s="13"/>
      <c r="BD2146" s="13"/>
      <c r="BE2146" s="13"/>
      <c r="BF2146" s="13"/>
      <c r="BG2146" s="13"/>
      <c r="BH2146" s="12"/>
      <c r="BI2146" s="12"/>
      <c r="BJ2146" s="12"/>
      <c r="BK2146" s="12"/>
      <c r="BL2146" s="12"/>
      <c r="BM2146" s="12"/>
      <c r="BN2146" s="12"/>
      <c r="BO2146" s="12"/>
      <c r="BP2146" s="12"/>
      <c r="BQ2146" s="12"/>
      <c r="BR2146" s="12"/>
      <c r="BS2146" s="12"/>
      <c r="BT2146" s="12"/>
      <c r="BU2146" s="12"/>
      <c r="BV2146" s="12"/>
      <c r="BW2146" s="12"/>
      <c r="BX2146" s="12"/>
      <c r="BY2146" s="12"/>
      <c r="BZ2146" s="12"/>
      <c r="CA2146" s="12"/>
      <c r="CB2146" s="12"/>
      <c r="CC2146" s="12"/>
      <c r="CD2146" s="12"/>
    </row>
    <row r="2147" spans="1:82">
      <c r="A2147" s="13" t="s">
        <v>781</v>
      </c>
      <c r="B2147" s="12" t="str">
        <f t="shared" si="402"/>
        <v>VANWYK</v>
      </c>
      <c r="C2147" s="12" t="str">
        <f t="shared" si="403"/>
        <v>VAN WYK</v>
      </c>
      <c r="D2147" s="13" t="s">
        <v>6275</v>
      </c>
      <c r="E2147" s="12" t="str">
        <f t="shared" si="413"/>
        <v>Gerrit Matthys</v>
      </c>
      <c r="F2147" s="13" t="s">
        <v>6276</v>
      </c>
      <c r="G2147" s="12" t="str">
        <f t="shared" si="404"/>
        <v>a1b3c8d6e4</v>
      </c>
      <c r="H2147" s="12" t="str">
        <f t="shared" si="405"/>
        <v>VAN WYKa1b3c8d6e4</v>
      </c>
      <c r="I2147" s="13"/>
      <c r="J2147" s="13" t="s">
        <v>6277</v>
      </c>
      <c r="K2147" s="12" t="str">
        <f t="shared" si="406"/>
        <v>1804</v>
      </c>
      <c r="L2147" s="13" t="s">
        <v>542</v>
      </c>
      <c r="M2147" s="13" t="s">
        <v>6278</v>
      </c>
      <c r="N2147" s="12" t="str">
        <f t="shared" si="411"/>
        <v>1804</v>
      </c>
      <c r="O2147" s="12" t="str">
        <f t="shared" si="412"/>
        <v>1805</v>
      </c>
      <c r="P2147" s="13" t="s">
        <v>6279</v>
      </c>
      <c r="Q2147" s="12" t="str">
        <f t="shared" si="407"/>
        <v>1804</v>
      </c>
      <c r="R2147" s="13" t="s">
        <v>6280</v>
      </c>
      <c r="S2147" s="12" t="str">
        <f t="shared" si="408"/>
        <v>1859</v>
      </c>
      <c r="T2147" s="13"/>
      <c r="U2147" s="13"/>
      <c r="V2147" s="12" t="str">
        <f t="shared" si="409"/>
        <v/>
      </c>
      <c r="W2147" s="13" t="s">
        <v>15172</v>
      </c>
      <c r="X2147" s="13" t="s">
        <v>15173</v>
      </c>
      <c r="Y2147" s="13"/>
      <c r="Z2147" s="13"/>
      <c r="AA2147" s="13"/>
      <c r="AB2147" s="13"/>
      <c r="AC2147" s="13"/>
      <c r="AD2147" s="13"/>
      <c r="AE2147" s="13"/>
      <c r="AF2147" s="13" t="s">
        <v>15174</v>
      </c>
      <c r="AG2147" s="13" t="s">
        <v>3587</v>
      </c>
      <c r="AH2147" s="13">
        <v>1842</v>
      </c>
      <c r="AI2147" s="12" t="str">
        <f t="shared" si="410"/>
        <v>1842</v>
      </c>
      <c r="AJ2147" s="13"/>
      <c r="AK2147" s="13" t="s">
        <v>14568</v>
      </c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2"/>
      <c r="BI2147" s="12"/>
      <c r="BJ2147" s="12"/>
      <c r="BK2147" s="12"/>
      <c r="BL2147" s="12"/>
      <c r="BM2147" s="12"/>
      <c r="BN2147" s="12"/>
      <c r="BO2147" s="12"/>
      <c r="BP2147" s="12"/>
      <c r="BQ2147" s="12"/>
      <c r="BR2147" s="12"/>
      <c r="BS2147" s="12"/>
      <c r="BT2147" s="12"/>
      <c r="BU2147" s="12"/>
      <c r="BV2147" s="12"/>
      <c r="BW2147" s="12"/>
      <c r="BX2147" s="12"/>
      <c r="BY2147" s="12"/>
      <c r="BZ2147" s="12"/>
      <c r="CA2147" s="12"/>
      <c r="CB2147" s="12"/>
      <c r="CC2147" s="12"/>
      <c r="CD2147" s="12"/>
    </row>
    <row r="2148" spans="1:82">
      <c r="A2148" s="13" t="s">
        <v>781</v>
      </c>
      <c r="B2148" s="12" t="str">
        <f t="shared" si="402"/>
        <v>VANWYK</v>
      </c>
      <c r="C2148" s="12" t="str">
        <f t="shared" si="403"/>
        <v>VAN WYK</v>
      </c>
      <c r="D2148" s="13" t="s">
        <v>6266</v>
      </c>
      <c r="E2148" s="12" t="str">
        <f t="shared" si="413"/>
        <v>Cornelis Johannes Abraham</v>
      </c>
      <c r="F2148" s="13" t="s">
        <v>6267</v>
      </c>
      <c r="G2148" s="12" t="str">
        <f t="shared" si="404"/>
        <v>a1b6c8d3e1</v>
      </c>
      <c r="H2148" s="12" t="str">
        <f t="shared" si="405"/>
        <v>VAN WYKa1b6c8d3e1</v>
      </c>
      <c r="I2148" s="13"/>
      <c r="J2148" s="13">
        <v>1798</v>
      </c>
      <c r="K2148" s="12" t="str">
        <f t="shared" si="406"/>
        <v>1798</v>
      </c>
      <c r="L2148" s="13" t="s">
        <v>74</v>
      </c>
      <c r="M2148" s="13" t="s">
        <v>6268</v>
      </c>
      <c r="N2148" s="12" t="str">
        <f t="shared" si="411"/>
        <v>1798</v>
      </c>
      <c r="O2148" s="12" t="str">
        <f t="shared" si="412"/>
        <v>1798</v>
      </c>
      <c r="P2148" s="13"/>
      <c r="Q2148" s="12" t="str">
        <f t="shared" si="407"/>
        <v>1798</v>
      </c>
      <c r="R2148" s="13" t="s">
        <v>6269</v>
      </c>
      <c r="S2148" s="12" t="str">
        <f t="shared" si="408"/>
        <v>1852</v>
      </c>
      <c r="T2148" s="13"/>
      <c r="U2148" s="13"/>
      <c r="V2148" s="12" t="str">
        <f t="shared" si="409"/>
        <v/>
      </c>
      <c r="W2148" s="13" t="s">
        <v>15165</v>
      </c>
      <c r="X2148" s="13" t="s">
        <v>2023</v>
      </c>
      <c r="Y2148" s="13"/>
      <c r="Z2148" s="13"/>
      <c r="AA2148" s="13"/>
      <c r="AB2148" s="13"/>
      <c r="AC2148" s="13" t="s">
        <v>1199</v>
      </c>
      <c r="AD2148" s="13"/>
      <c r="AE2148" s="13">
        <v>1843</v>
      </c>
      <c r="AF2148" s="13" t="s">
        <v>60</v>
      </c>
      <c r="AG2148" s="13"/>
      <c r="AH2148" s="13">
        <v>1840</v>
      </c>
      <c r="AI2148" s="12" t="str">
        <f t="shared" si="410"/>
        <v>1840</v>
      </c>
      <c r="AJ2148" s="13"/>
      <c r="AK2148" s="13"/>
      <c r="AL2148" s="13"/>
      <c r="AM2148" s="13"/>
      <c r="AN2148" s="13" t="s">
        <v>12132</v>
      </c>
      <c r="AO2148" s="13" t="s">
        <v>822</v>
      </c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2"/>
      <c r="BI2148" s="12"/>
      <c r="BJ2148" s="12"/>
      <c r="BK2148" s="12"/>
      <c r="BL2148" s="12"/>
      <c r="BM2148" s="12"/>
      <c r="BN2148" s="12"/>
      <c r="BO2148" s="12"/>
      <c r="BP2148" s="12"/>
      <c r="BQ2148" s="12"/>
      <c r="BR2148" s="12"/>
      <c r="BS2148" s="12"/>
      <c r="BT2148" s="12"/>
      <c r="BU2148" s="12"/>
      <c r="BV2148" s="12"/>
      <c r="BW2148" s="12"/>
      <c r="BX2148" s="12"/>
      <c r="BY2148" s="12"/>
      <c r="BZ2148" s="12"/>
      <c r="CA2148" s="12"/>
      <c r="CB2148" s="12"/>
      <c r="CC2148" s="12"/>
      <c r="CD2148" s="12"/>
    </row>
    <row r="2149" spans="1:82">
      <c r="A2149" s="13" t="s">
        <v>637</v>
      </c>
      <c r="B2149" s="12" t="str">
        <f t="shared" si="402"/>
        <v>VANZYL</v>
      </c>
      <c r="C2149" s="12" t="str">
        <f t="shared" si="403"/>
        <v>VAN ZYL</v>
      </c>
      <c r="D2149" s="13" t="s">
        <v>1203</v>
      </c>
      <c r="E2149" s="12" t="str">
        <f t="shared" si="413"/>
        <v>Jacobus</v>
      </c>
      <c r="F2149" s="13" t="s">
        <v>6327</v>
      </c>
      <c r="G2149" s="12" t="str">
        <f t="shared" si="404"/>
        <v>a1b3c2d11e3</v>
      </c>
      <c r="H2149" s="12" t="str">
        <f t="shared" si="405"/>
        <v>VAN ZYLa1b3c2d11e3</v>
      </c>
      <c r="I2149" s="13"/>
      <c r="J2149" s="13" t="s">
        <v>6328</v>
      </c>
      <c r="K2149" s="12" t="str">
        <f t="shared" si="406"/>
        <v>1809</v>
      </c>
      <c r="L2149" s="13" t="s">
        <v>32</v>
      </c>
      <c r="M2149" s="13" t="s">
        <v>6329</v>
      </c>
      <c r="N2149" s="12" t="str">
        <f t="shared" si="411"/>
        <v>1809</v>
      </c>
      <c r="O2149" s="12" t="str">
        <f t="shared" si="412"/>
        <v>1809</v>
      </c>
      <c r="P2149" s="13" t="s">
        <v>6330</v>
      </c>
      <c r="Q2149" s="12" t="str">
        <f t="shared" si="407"/>
        <v>1809</v>
      </c>
      <c r="R2149" s="13" t="s">
        <v>6331</v>
      </c>
      <c r="S2149" s="12" t="str">
        <f t="shared" si="408"/>
        <v>1906</v>
      </c>
      <c r="T2149" s="13" t="s">
        <v>366</v>
      </c>
      <c r="U2149" s="13" t="s">
        <v>15203</v>
      </c>
      <c r="V2149" s="12" t="str">
        <f t="shared" si="409"/>
        <v>1830</v>
      </c>
      <c r="W2149" s="13" t="s">
        <v>622</v>
      </c>
      <c r="X2149" s="13" t="s">
        <v>15204</v>
      </c>
      <c r="Y2149" s="13"/>
      <c r="Z2149" s="13"/>
      <c r="AA2149" s="13"/>
      <c r="AB2149" s="13"/>
      <c r="AC2149" s="13"/>
      <c r="AD2149" s="13"/>
      <c r="AE2149" s="13"/>
      <c r="AF2149" s="13"/>
      <c r="AG2149" s="13" t="s">
        <v>366</v>
      </c>
      <c r="AH2149" s="13" t="s">
        <v>12836</v>
      </c>
      <c r="AI2149" s="12" t="str">
        <f t="shared" si="410"/>
        <v>1838</v>
      </c>
      <c r="AJ2149" s="13" t="s">
        <v>13442</v>
      </c>
      <c r="AK2149" s="13" t="s">
        <v>31</v>
      </c>
      <c r="AL2149" s="13" t="s">
        <v>140</v>
      </c>
      <c r="AM2149" s="13" t="s">
        <v>15205</v>
      </c>
      <c r="AN2149" s="13" t="s">
        <v>15206</v>
      </c>
      <c r="AO2149" s="13" t="s">
        <v>1167</v>
      </c>
      <c r="AP2149" s="13" t="s">
        <v>15207</v>
      </c>
      <c r="AQ2149" s="13"/>
      <c r="AR2149" s="13" t="s">
        <v>15208</v>
      </c>
      <c r="AS2149" s="13" t="s">
        <v>74</v>
      </c>
      <c r="AT2149" s="13" t="s">
        <v>15209</v>
      </c>
      <c r="AU2149" s="13"/>
      <c r="AV2149" s="13"/>
      <c r="AW2149" s="13"/>
      <c r="AX2149" s="13"/>
      <c r="AY2149" s="13" t="s">
        <v>15210</v>
      </c>
      <c r="AZ2149" s="13" t="s">
        <v>1944</v>
      </c>
      <c r="BA2149" s="13"/>
      <c r="BB2149" s="13"/>
      <c r="BC2149" s="13"/>
      <c r="BD2149" s="13"/>
      <c r="BE2149" s="13"/>
      <c r="BF2149" s="13"/>
      <c r="BG2149" s="13">
        <v>1888</v>
      </c>
      <c r="BH2149" s="12"/>
      <c r="BI2149" s="12"/>
      <c r="BJ2149" s="12" t="s">
        <v>15211</v>
      </c>
      <c r="BK2149" s="12" t="s">
        <v>2901</v>
      </c>
      <c r="BL2149" s="12"/>
      <c r="BM2149" s="12"/>
      <c r="BN2149" s="12"/>
      <c r="BO2149" s="12"/>
      <c r="BP2149" s="12"/>
      <c r="BQ2149" s="12"/>
      <c r="BR2149" s="12"/>
      <c r="BS2149" s="12"/>
      <c r="BT2149" s="12"/>
      <c r="BU2149" s="12"/>
      <c r="BV2149" s="12"/>
      <c r="BW2149" s="12"/>
      <c r="BX2149" s="12"/>
      <c r="BY2149" s="12"/>
      <c r="BZ2149" s="12"/>
      <c r="CA2149" s="12"/>
      <c r="CB2149" s="12"/>
      <c r="CC2149" s="12"/>
      <c r="CD2149" s="12"/>
    </row>
    <row r="2150" spans="1:82">
      <c r="A2150" s="13" t="s">
        <v>637</v>
      </c>
      <c r="B2150" s="12" t="str">
        <f t="shared" si="402"/>
        <v>VANZYL</v>
      </c>
      <c r="C2150" s="12" t="str">
        <f t="shared" si="403"/>
        <v>VAN ZYL</v>
      </c>
      <c r="D2150" s="13" t="s">
        <v>6319</v>
      </c>
      <c r="E2150" s="12" t="str">
        <f t="shared" si="413"/>
        <v>Caspar Johannes Jacobus Gert</v>
      </c>
      <c r="F2150" s="13" t="s">
        <v>6320</v>
      </c>
      <c r="G2150" s="12" t="str">
        <f t="shared" si="404"/>
        <v>a1b3c2d11e5</v>
      </c>
      <c r="H2150" s="12" t="str">
        <f t="shared" si="405"/>
        <v>VAN ZYLa1b3c2d11e5</v>
      </c>
      <c r="I2150" s="13" t="s">
        <v>6321</v>
      </c>
      <c r="J2150" s="13" t="s">
        <v>6322</v>
      </c>
      <c r="K2150" s="12" t="str">
        <f t="shared" si="406"/>
        <v>1813</v>
      </c>
      <c r="L2150" s="13" t="s">
        <v>199</v>
      </c>
      <c r="M2150" s="13" t="s">
        <v>6323</v>
      </c>
      <c r="N2150" s="12" t="str">
        <f t="shared" si="411"/>
        <v>1813</v>
      </c>
      <c r="O2150" s="12" t="str">
        <f t="shared" si="412"/>
        <v>1814</v>
      </c>
      <c r="P2150" s="13"/>
      <c r="Q2150" s="12" t="str">
        <f t="shared" si="407"/>
        <v>1813</v>
      </c>
      <c r="R2150" s="13"/>
      <c r="S2150" s="12" t="str">
        <f t="shared" si="408"/>
        <v/>
      </c>
      <c r="T2150" s="13" t="s">
        <v>366</v>
      </c>
      <c r="U2150" s="13" t="s">
        <v>1723</v>
      </c>
      <c r="V2150" s="12" t="str">
        <f t="shared" si="409"/>
        <v>1836</v>
      </c>
      <c r="W2150" s="13" t="s">
        <v>15012</v>
      </c>
      <c r="X2150" s="13" t="s">
        <v>15197</v>
      </c>
      <c r="Y2150" s="13"/>
      <c r="Z2150" s="13"/>
      <c r="AA2150" s="13" t="s">
        <v>15198</v>
      </c>
      <c r="AB2150" s="13" t="s">
        <v>1071</v>
      </c>
      <c r="AC2150" s="13" t="s">
        <v>15199</v>
      </c>
      <c r="AD2150" s="13"/>
      <c r="AE2150" s="13"/>
      <c r="AF2150" s="13"/>
      <c r="AG2150" s="13" t="s">
        <v>366</v>
      </c>
      <c r="AH2150" s="13" t="s">
        <v>15200</v>
      </c>
      <c r="AI2150" s="12" t="str">
        <f t="shared" si="410"/>
        <v>1842</v>
      </c>
      <c r="AJ2150" s="13" t="s">
        <v>12354</v>
      </c>
      <c r="AK2150" s="13" t="s">
        <v>551</v>
      </c>
      <c r="AL2150" s="13"/>
      <c r="AM2150" s="13"/>
      <c r="AN2150" s="13" t="s">
        <v>14804</v>
      </c>
      <c r="AO2150" s="13" t="s">
        <v>5232</v>
      </c>
      <c r="AP2150" s="13"/>
      <c r="AQ2150" s="13"/>
      <c r="AR2150" s="13"/>
      <c r="AS2150" s="13"/>
      <c r="AT2150" s="13"/>
      <c r="AU2150" s="13"/>
      <c r="AV2150" s="13"/>
      <c r="AW2150" s="13" t="s">
        <v>140</v>
      </c>
      <c r="AX2150" s="13" t="s">
        <v>15201</v>
      </c>
      <c r="AY2150" s="13" t="s">
        <v>5496</v>
      </c>
      <c r="AZ2150" s="13" t="s">
        <v>669</v>
      </c>
      <c r="BA2150" s="13"/>
      <c r="BB2150" s="13">
        <v>1833</v>
      </c>
      <c r="BC2150" s="13"/>
      <c r="BD2150" s="13"/>
      <c r="BE2150" s="13"/>
      <c r="BF2150" s="13"/>
      <c r="BG2150" s="13"/>
      <c r="BH2150" s="12"/>
      <c r="BI2150" s="12"/>
      <c r="BJ2150" s="12"/>
      <c r="BK2150" s="12"/>
      <c r="BL2150" s="12"/>
      <c r="BM2150" s="12"/>
      <c r="BN2150" s="12"/>
      <c r="BO2150" s="12"/>
      <c r="BP2150" s="12"/>
      <c r="BQ2150" s="12"/>
      <c r="BR2150" s="12"/>
      <c r="BS2150" s="12"/>
      <c r="BT2150" s="12"/>
      <c r="BU2150" s="12"/>
      <c r="BV2150" s="12"/>
      <c r="BW2150" s="12"/>
      <c r="BX2150" s="12"/>
      <c r="BY2150" s="12"/>
      <c r="BZ2150" s="12"/>
      <c r="CA2150" s="12"/>
      <c r="CB2150" s="12"/>
      <c r="CC2150" s="12"/>
      <c r="CD2150" s="12"/>
    </row>
    <row r="2151" spans="1:82">
      <c r="A2151" s="13" t="s">
        <v>637</v>
      </c>
      <c r="B2151" s="12" t="str">
        <f t="shared" si="402"/>
        <v>VANZYL</v>
      </c>
      <c r="C2151" s="12" t="str">
        <f t="shared" si="403"/>
        <v>VAN ZYL</v>
      </c>
      <c r="D2151" s="13" t="s">
        <v>398</v>
      </c>
      <c r="E2151" s="12" t="str">
        <f t="shared" si="413"/>
        <v>Cornelis Johannes</v>
      </c>
      <c r="F2151" s="13" t="s">
        <v>6324</v>
      </c>
      <c r="G2151" s="12" t="str">
        <f t="shared" si="404"/>
        <v>a1b5c1d4e1</v>
      </c>
      <c r="H2151" s="12" t="str">
        <f t="shared" si="405"/>
        <v>VAN ZYLa1b5c1d4e1</v>
      </c>
      <c r="I2151" s="13"/>
      <c r="J2151" s="13"/>
      <c r="K2151" s="12" t="str">
        <f t="shared" si="406"/>
        <v/>
      </c>
      <c r="L2151" s="13" t="s">
        <v>6098</v>
      </c>
      <c r="M2151" s="13" t="s">
        <v>6325</v>
      </c>
      <c r="N2151" s="12" t="str">
        <f t="shared" si="411"/>
        <v/>
      </c>
      <c r="O2151" s="12" t="str">
        <f t="shared" si="412"/>
        <v>1800</v>
      </c>
      <c r="P2151" s="13" t="s">
        <v>90</v>
      </c>
      <c r="Q2151" s="12" t="str">
        <f t="shared" si="407"/>
        <v>1800</v>
      </c>
      <c r="R2151" s="13" t="s">
        <v>6326</v>
      </c>
      <c r="S2151" s="12" t="str">
        <f t="shared" si="408"/>
        <v>1838</v>
      </c>
      <c r="T2151" s="13" t="s">
        <v>28</v>
      </c>
      <c r="U2151" s="13" t="s">
        <v>14010</v>
      </c>
      <c r="V2151" s="12" t="str">
        <f t="shared" si="409"/>
        <v>1824</v>
      </c>
      <c r="W2151" s="13" t="s">
        <v>15202</v>
      </c>
      <c r="X2151" s="13" t="s">
        <v>2621</v>
      </c>
      <c r="Y2151" s="13"/>
      <c r="Z2151" s="13"/>
      <c r="AA2151" s="13"/>
      <c r="AB2151" s="13"/>
      <c r="AC2151" s="13"/>
      <c r="AD2151" s="13"/>
      <c r="AE2151" s="13"/>
      <c r="AF2151" s="13" t="s">
        <v>16</v>
      </c>
      <c r="AG2151" s="13" t="s">
        <v>68</v>
      </c>
      <c r="AH2151" s="13" t="s">
        <v>12900</v>
      </c>
      <c r="AI2151" s="12" t="str">
        <f t="shared" si="410"/>
        <v>1836</v>
      </c>
      <c r="AJ2151" s="13" t="s">
        <v>14090</v>
      </c>
      <c r="AK2151" s="13" t="s">
        <v>90</v>
      </c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2"/>
      <c r="BI2151" s="12"/>
      <c r="BJ2151" s="12"/>
      <c r="BK2151" s="12"/>
      <c r="BL2151" s="12"/>
      <c r="BM2151" s="12"/>
      <c r="BN2151" s="12"/>
      <c r="BO2151" s="12"/>
      <c r="BP2151" s="12"/>
      <c r="BQ2151" s="12"/>
      <c r="BR2151" s="12"/>
      <c r="BS2151" s="12"/>
      <c r="BT2151" s="12"/>
      <c r="BU2151" s="12"/>
      <c r="BV2151" s="12"/>
      <c r="BW2151" s="12"/>
      <c r="BX2151" s="12"/>
      <c r="BY2151" s="12"/>
      <c r="BZ2151" s="12"/>
      <c r="CA2151" s="12"/>
      <c r="CB2151" s="12"/>
      <c r="CC2151" s="12"/>
      <c r="CD2151" s="12"/>
    </row>
    <row r="2152" spans="1:82">
      <c r="A2152" s="13" t="s">
        <v>637</v>
      </c>
      <c r="B2152" s="12" t="str">
        <f t="shared" si="402"/>
        <v>VANZYL</v>
      </c>
      <c r="C2152" s="12" t="str">
        <f t="shared" si="403"/>
        <v>VAN ZYL</v>
      </c>
      <c r="D2152" s="13" t="s">
        <v>1484</v>
      </c>
      <c r="E2152" s="12" t="str">
        <f t="shared" si="413"/>
        <v>Willem Jacobus</v>
      </c>
      <c r="F2152" s="13" t="s">
        <v>6332</v>
      </c>
      <c r="G2152" s="12" t="str">
        <f t="shared" si="404"/>
        <v>a1b5c2d2e7</v>
      </c>
      <c r="H2152" s="12" t="str">
        <f t="shared" si="405"/>
        <v>VAN ZYLa1b5c2d2e7</v>
      </c>
      <c r="I2152" s="13"/>
      <c r="J2152" s="13" t="s">
        <v>6333</v>
      </c>
      <c r="K2152" s="12" t="str">
        <f t="shared" si="406"/>
        <v>1796</v>
      </c>
      <c r="L2152" s="13" t="s">
        <v>5738</v>
      </c>
      <c r="M2152" s="13" t="s">
        <v>6334</v>
      </c>
      <c r="N2152" s="12" t="str">
        <f t="shared" si="411"/>
        <v>1796</v>
      </c>
      <c r="O2152" s="12" t="str">
        <f t="shared" si="412"/>
        <v>1797</v>
      </c>
      <c r="P2152" s="13"/>
      <c r="Q2152" s="12" t="str">
        <f t="shared" si="407"/>
        <v>1796</v>
      </c>
      <c r="R2152" s="13"/>
      <c r="S2152" s="12" t="str">
        <f t="shared" si="408"/>
        <v/>
      </c>
      <c r="T2152" s="13" t="s">
        <v>542</v>
      </c>
      <c r="U2152" s="13" t="s">
        <v>10086</v>
      </c>
      <c r="V2152" s="12" t="str">
        <f t="shared" si="409"/>
        <v>1819</v>
      </c>
      <c r="W2152" s="13" t="s">
        <v>1663</v>
      </c>
      <c r="X2152" s="13" t="s">
        <v>11925</v>
      </c>
      <c r="Y2152" s="13" t="s">
        <v>15212</v>
      </c>
      <c r="Z2152" s="13"/>
      <c r="AA2152" s="13"/>
      <c r="AB2152" s="13"/>
      <c r="AC2152" s="13" t="s">
        <v>101</v>
      </c>
      <c r="AD2152" s="13"/>
      <c r="AE2152" s="13"/>
      <c r="AF2152" s="13" t="s">
        <v>11931</v>
      </c>
      <c r="AG2152" s="13" t="s">
        <v>3587</v>
      </c>
      <c r="AH2152" s="13" t="s">
        <v>12996</v>
      </c>
      <c r="AI2152" s="12" t="str">
        <f t="shared" si="410"/>
        <v>1838</v>
      </c>
      <c r="AJ2152" s="13" t="s">
        <v>15213</v>
      </c>
      <c r="AK2152" s="13" t="s">
        <v>15169</v>
      </c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2"/>
      <c r="BI2152" s="12"/>
      <c r="BJ2152" s="12"/>
      <c r="BK2152" s="12"/>
      <c r="BL2152" s="12"/>
      <c r="BM2152" s="12"/>
      <c r="BN2152" s="12"/>
      <c r="BO2152" s="12"/>
      <c r="BP2152" s="12"/>
      <c r="BQ2152" s="12"/>
      <c r="BR2152" s="12"/>
      <c r="BS2152" s="12"/>
      <c r="BT2152" s="12"/>
      <c r="BU2152" s="12"/>
      <c r="BV2152" s="12"/>
      <c r="BW2152" s="12"/>
      <c r="BX2152" s="12"/>
      <c r="BY2152" s="12"/>
      <c r="BZ2152" s="12"/>
      <c r="CA2152" s="12"/>
      <c r="CB2152" s="12"/>
      <c r="CC2152" s="12"/>
      <c r="CD2152" s="12"/>
    </row>
    <row r="2153" spans="1:82">
      <c r="A2153" s="13" t="s">
        <v>729</v>
      </c>
      <c r="B2153" s="12" t="str">
        <f t="shared" si="402"/>
        <v>VENTER</v>
      </c>
      <c r="C2153" s="12" t="str">
        <f t="shared" si="403"/>
        <v>VENTER</v>
      </c>
      <c r="D2153" s="13" t="s">
        <v>6370</v>
      </c>
      <c r="E2153" s="12" t="str">
        <f t="shared" si="413"/>
        <v>Hercules Frederik</v>
      </c>
      <c r="F2153" s="13" t="s">
        <v>6371</v>
      </c>
      <c r="G2153" s="12" t="str">
        <f t="shared" si="404"/>
        <v>a1b5c11d9e5</v>
      </c>
      <c r="H2153" s="12" t="str">
        <f t="shared" si="405"/>
        <v>VENTERa1b5c11d9e5</v>
      </c>
      <c r="I2153" s="13"/>
      <c r="J2153" s="13" t="s">
        <v>6372</v>
      </c>
      <c r="K2153" s="12" t="str">
        <f t="shared" si="406"/>
        <v>1819</v>
      </c>
      <c r="L2153" s="13" t="s">
        <v>366</v>
      </c>
      <c r="M2153" s="13" t="s">
        <v>6373</v>
      </c>
      <c r="N2153" s="12" t="str">
        <f t="shared" si="411"/>
        <v>1819</v>
      </c>
      <c r="O2153" s="12" t="str">
        <f t="shared" si="412"/>
        <v>1820</v>
      </c>
      <c r="P2153" s="13" t="s">
        <v>6374</v>
      </c>
      <c r="Q2153" s="12" t="str">
        <f t="shared" si="407"/>
        <v>1819</v>
      </c>
      <c r="R2153" s="13" t="s">
        <v>6375</v>
      </c>
      <c r="S2153" s="12" t="str">
        <f t="shared" si="408"/>
        <v>1890</v>
      </c>
      <c r="T2153" s="13" t="s">
        <v>60</v>
      </c>
      <c r="U2153" s="13" t="s">
        <v>2143</v>
      </c>
      <c r="V2153" s="12" t="str">
        <f t="shared" si="409"/>
        <v>1837</v>
      </c>
      <c r="W2153" s="13" t="s">
        <v>4235</v>
      </c>
      <c r="X2153" s="13" t="s">
        <v>1453</v>
      </c>
      <c r="Y2153" s="13"/>
      <c r="Z2153" s="13"/>
      <c r="AA2153" s="13" t="s">
        <v>15243</v>
      </c>
      <c r="AB2153" s="13"/>
      <c r="AC2153" s="13"/>
      <c r="AD2153" s="13" t="s">
        <v>31</v>
      </c>
      <c r="AE2153" s="13" t="s">
        <v>15244</v>
      </c>
      <c r="AF2153" s="13"/>
      <c r="AG2153" s="13" t="s">
        <v>60</v>
      </c>
      <c r="AH2153" s="13">
        <v>1841</v>
      </c>
      <c r="AI2153" s="12" t="str">
        <f t="shared" si="410"/>
        <v>1841</v>
      </c>
      <c r="AJ2153" s="13"/>
      <c r="AK2153" s="13" t="s">
        <v>31</v>
      </c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2"/>
      <c r="BI2153" s="12"/>
      <c r="BJ2153" s="12"/>
      <c r="BK2153" s="12"/>
      <c r="BL2153" s="12"/>
      <c r="BM2153" s="12"/>
      <c r="BN2153" s="12"/>
      <c r="BO2153" s="12"/>
      <c r="BP2153" s="12"/>
      <c r="BQ2153" s="12"/>
      <c r="BR2153" s="12"/>
      <c r="BS2153" s="12"/>
      <c r="BT2153" s="12"/>
      <c r="BU2153" s="12"/>
      <c r="BV2153" s="12"/>
      <c r="BW2153" s="12"/>
      <c r="BX2153" s="12"/>
      <c r="BY2153" s="12"/>
      <c r="BZ2153" s="12"/>
      <c r="CA2153" s="12"/>
      <c r="CB2153" s="12"/>
      <c r="CC2153" s="12"/>
      <c r="CD2153" s="12"/>
    </row>
    <row r="2154" spans="1:82">
      <c r="A2154" s="13" t="s">
        <v>729</v>
      </c>
      <c r="B2154" s="12" t="str">
        <f t="shared" si="402"/>
        <v>VENTER</v>
      </c>
      <c r="C2154" s="12" t="str">
        <f t="shared" si="403"/>
        <v>VENTER</v>
      </c>
      <c r="D2154" s="13" t="s">
        <v>6078</v>
      </c>
      <c r="E2154" s="12" t="str">
        <f t="shared" si="413"/>
        <v xml:space="preserve">Andries Johannes </v>
      </c>
      <c r="F2154" s="13" t="s">
        <v>6346</v>
      </c>
      <c r="G2154" s="12" t="str">
        <f t="shared" si="404"/>
        <v>a1b5c11d9e7</v>
      </c>
      <c r="H2154" s="12" t="str">
        <f t="shared" si="405"/>
        <v>VENTERa1b5c11d9e7</v>
      </c>
      <c r="I2154" s="13"/>
      <c r="J2154" s="13" t="s">
        <v>6347</v>
      </c>
      <c r="K2154" s="12" t="str">
        <f t="shared" si="406"/>
        <v>1823</v>
      </c>
      <c r="L2154" s="13" t="s">
        <v>74</v>
      </c>
      <c r="M2154" s="13" t="s">
        <v>6348</v>
      </c>
      <c r="N2154" s="12" t="str">
        <f t="shared" si="411"/>
        <v>1823</v>
      </c>
      <c r="O2154" s="12" t="str">
        <f t="shared" si="412"/>
        <v>1823</v>
      </c>
      <c r="P2154" s="13" t="s">
        <v>6349</v>
      </c>
      <c r="Q2154" s="12" t="str">
        <f t="shared" si="407"/>
        <v>1823</v>
      </c>
      <c r="R2154" s="13" t="s">
        <v>6350</v>
      </c>
      <c r="S2154" s="12" t="str">
        <f t="shared" si="408"/>
        <v>1898</v>
      </c>
      <c r="T2154" s="13" t="s">
        <v>60</v>
      </c>
      <c r="U2154" s="13" t="s">
        <v>15219</v>
      </c>
      <c r="V2154" s="12" t="str">
        <f t="shared" si="409"/>
        <v>1842</v>
      </c>
      <c r="W2154" s="13" t="s">
        <v>15220</v>
      </c>
      <c r="X2154" s="13" t="s">
        <v>2427</v>
      </c>
      <c r="Y2154" s="13"/>
      <c r="Z2154" s="13"/>
      <c r="AA2154" s="13" t="s">
        <v>15221</v>
      </c>
      <c r="AB2154" s="13" t="s">
        <v>68</v>
      </c>
      <c r="AC2154" s="13" t="s">
        <v>15222</v>
      </c>
      <c r="AD2154" s="13" t="s">
        <v>15223</v>
      </c>
      <c r="AE2154" s="13" t="s">
        <v>15224</v>
      </c>
      <c r="AF2154" s="13"/>
      <c r="AG2154" s="13" t="s">
        <v>60</v>
      </c>
      <c r="AH2154" s="13" t="s">
        <v>11903</v>
      </c>
      <c r="AI2154" s="12" t="str">
        <f t="shared" si="410"/>
        <v>1844</v>
      </c>
      <c r="AJ2154" s="13"/>
      <c r="AK2154" s="13" t="s">
        <v>9326</v>
      </c>
      <c r="AL2154" s="13" t="s">
        <v>12911</v>
      </c>
      <c r="AM2154" s="13" t="s">
        <v>15225</v>
      </c>
      <c r="AN2154" s="13" t="s">
        <v>15226</v>
      </c>
      <c r="AO2154" s="13" t="s">
        <v>3431</v>
      </c>
      <c r="AP2154" s="13"/>
      <c r="AQ2154" s="13"/>
      <c r="AR2154" s="13" t="s">
        <v>15227</v>
      </c>
      <c r="AS2154" s="13" t="s">
        <v>74</v>
      </c>
      <c r="AT2154" s="13" t="s">
        <v>3956</v>
      </c>
      <c r="AU2154" s="13" t="s">
        <v>9326</v>
      </c>
      <c r="AV2154" s="13" t="s">
        <v>15228</v>
      </c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2"/>
      <c r="BI2154" s="12"/>
      <c r="BJ2154" s="12"/>
      <c r="BK2154" s="12"/>
      <c r="BL2154" s="12"/>
      <c r="BM2154" s="12"/>
      <c r="BN2154" s="12"/>
      <c r="BO2154" s="12"/>
      <c r="BP2154" s="12"/>
      <c r="BQ2154" s="12"/>
      <c r="BR2154" s="12"/>
      <c r="BS2154" s="12"/>
      <c r="BT2154" s="12"/>
      <c r="BU2154" s="12"/>
      <c r="BV2154" s="12"/>
      <c r="BW2154" s="12"/>
      <c r="BX2154" s="12"/>
      <c r="BY2154" s="12"/>
      <c r="BZ2154" s="12"/>
      <c r="CA2154" s="12"/>
      <c r="CB2154" s="12"/>
      <c r="CC2154" s="12"/>
      <c r="CD2154" s="12"/>
    </row>
    <row r="2155" spans="1:82">
      <c r="A2155" s="13" t="s">
        <v>729</v>
      </c>
      <c r="B2155" s="12" t="str">
        <f t="shared" si="402"/>
        <v>VENTER</v>
      </c>
      <c r="C2155" s="12" t="str">
        <f t="shared" si="403"/>
        <v>VENTER</v>
      </c>
      <c r="D2155" s="13" t="s">
        <v>6423</v>
      </c>
      <c r="E2155" s="12" t="str">
        <f t="shared" si="413"/>
        <v>Johannes Albertus</v>
      </c>
      <c r="F2155" s="13" t="s">
        <v>6424</v>
      </c>
      <c r="G2155" s="12" t="str">
        <f t="shared" si="404"/>
        <v>a1b5c12d14e2</v>
      </c>
      <c r="H2155" s="12" t="str">
        <f t="shared" si="405"/>
        <v>VENTERa1b5c12d14e2</v>
      </c>
      <c r="I2155" s="13" t="s">
        <v>6425</v>
      </c>
      <c r="J2155" s="13" t="s">
        <v>6426</v>
      </c>
      <c r="K2155" s="12" t="str">
        <f t="shared" si="406"/>
        <v>1818</v>
      </c>
      <c r="L2155" s="13" t="s">
        <v>28</v>
      </c>
      <c r="M2155" s="13" t="s">
        <v>6343</v>
      </c>
      <c r="N2155" s="12" t="str">
        <f t="shared" si="411"/>
        <v>1818</v>
      </c>
      <c r="O2155" s="12" t="str">
        <f t="shared" si="412"/>
        <v>1818</v>
      </c>
      <c r="P2155" s="11"/>
      <c r="Q2155" s="12" t="str">
        <f t="shared" si="407"/>
        <v>1818</v>
      </c>
      <c r="R2155" s="13" t="s">
        <v>6427</v>
      </c>
      <c r="S2155" s="12" t="str">
        <f t="shared" si="408"/>
        <v>1883</v>
      </c>
      <c r="T2155" s="13" t="s">
        <v>28</v>
      </c>
      <c r="U2155" s="13" t="s">
        <v>12331</v>
      </c>
      <c r="V2155" s="12" t="str">
        <f t="shared" si="409"/>
        <v>1837</v>
      </c>
      <c r="W2155" s="13" t="s">
        <v>15275</v>
      </c>
      <c r="X2155" s="13" t="s">
        <v>2589</v>
      </c>
      <c r="Y2155" s="13"/>
      <c r="Z2155" s="13"/>
      <c r="AA2155" s="13">
        <v>1818</v>
      </c>
      <c r="AB2155" s="13"/>
      <c r="AC2155" s="13"/>
      <c r="AD2155" s="13" t="s">
        <v>551</v>
      </c>
      <c r="AE2155" s="13" t="s">
        <v>15276</v>
      </c>
      <c r="AF2155" s="13" t="s">
        <v>16</v>
      </c>
      <c r="AG2155" s="13" t="s">
        <v>68</v>
      </c>
      <c r="AH2155" s="13">
        <v>1839</v>
      </c>
      <c r="AI2155" s="12" t="str">
        <f t="shared" si="410"/>
        <v>1839</v>
      </c>
      <c r="AJ2155" s="13"/>
      <c r="AK2155" s="13" t="s">
        <v>15277</v>
      </c>
      <c r="AL2155" s="13"/>
      <c r="AM2155" s="13"/>
      <c r="AN2155" s="13" t="s">
        <v>15278</v>
      </c>
      <c r="AO2155" s="13" t="s">
        <v>700</v>
      </c>
      <c r="AP2155" s="13"/>
      <c r="AQ2155" s="13"/>
      <c r="AR2155" s="13" t="s">
        <v>15279</v>
      </c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2"/>
      <c r="BI2155" s="12"/>
      <c r="BJ2155" s="12"/>
      <c r="BK2155" s="12"/>
      <c r="BL2155" s="12"/>
      <c r="BM2155" s="12"/>
      <c r="BN2155" s="12"/>
      <c r="BO2155" s="12"/>
      <c r="BP2155" s="12"/>
      <c r="BQ2155" s="12"/>
      <c r="BR2155" s="12"/>
      <c r="BS2155" s="12"/>
      <c r="BT2155" s="12"/>
      <c r="BU2155" s="12"/>
      <c r="BV2155" s="12"/>
      <c r="BW2155" s="12"/>
      <c r="BX2155" s="12"/>
      <c r="BY2155" s="12"/>
      <c r="BZ2155" s="12"/>
      <c r="CA2155" s="12"/>
      <c r="CB2155" s="12"/>
      <c r="CC2155" s="12"/>
      <c r="CD2155" s="12"/>
    </row>
    <row r="2156" spans="1:82">
      <c r="A2156" s="13" t="s">
        <v>729</v>
      </c>
      <c r="B2156" s="12" t="str">
        <f t="shared" si="402"/>
        <v>VENTER</v>
      </c>
      <c r="C2156" s="12" t="str">
        <f t="shared" si="403"/>
        <v>VENTER</v>
      </c>
      <c r="D2156" s="13" t="s">
        <v>891</v>
      </c>
      <c r="E2156" s="12" t="str">
        <f t="shared" si="413"/>
        <v>Andries</v>
      </c>
      <c r="F2156" s="13" t="s">
        <v>6341</v>
      </c>
      <c r="G2156" s="12" t="str">
        <f t="shared" si="404"/>
        <v>a1b5c12d2e2f2</v>
      </c>
      <c r="H2156" s="12" t="str">
        <f t="shared" si="405"/>
        <v>VENTERa1b5c12d2e2f2</v>
      </c>
      <c r="I2156" s="13" t="s">
        <v>28</v>
      </c>
      <c r="J2156" s="13" t="s">
        <v>6342</v>
      </c>
      <c r="K2156" s="12" t="str">
        <f t="shared" si="406"/>
        <v>1818</v>
      </c>
      <c r="L2156" s="13" t="s">
        <v>28</v>
      </c>
      <c r="M2156" s="13" t="s">
        <v>6343</v>
      </c>
      <c r="N2156" s="12" t="str">
        <f t="shared" si="411"/>
        <v>1818</v>
      </c>
      <c r="O2156" s="12" t="str">
        <f t="shared" si="412"/>
        <v>1818</v>
      </c>
      <c r="P2156" s="13" t="s">
        <v>6344</v>
      </c>
      <c r="Q2156" s="12" t="str">
        <f t="shared" si="407"/>
        <v>1818</v>
      </c>
      <c r="R2156" s="13" t="s">
        <v>6345</v>
      </c>
      <c r="S2156" s="12" t="str">
        <f t="shared" si="408"/>
        <v>1865</v>
      </c>
      <c r="T2156" s="13"/>
      <c r="U2156" s="13"/>
      <c r="V2156" s="12" t="str">
        <f t="shared" si="409"/>
        <v/>
      </c>
      <c r="W2156" s="13" t="s">
        <v>15217</v>
      </c>
      <c r="X2156" s="13" t="s">
        <v>1771</v>
      </c>
      <c r="Y2156" s="13"/>
      <c r="Z2156" s="13" t="s">
        <v>74</v>
      </c>
      <c r="AA2156" s="13">
        <v>1823</v>
      </c>
      <c r="AB2156" s="13"/>
      <c r="AC2156" s="13"/>
      <c r="AD2156" s="13" t="s">
        <v>2063</v>
      </c>
      <c r="AE2156" s="13" t="s">
        <v>15218</v>
      </c>
      <c r="AF2156" s="13" t="s">
        <v>16</v>
      </c>
      <c r="AG2156" s="13" t="s">
        <v>68</v>
      </c>
      <c r="AH2156" s="13">
        <v>1840</v>
      </c>
      <c r="AI2156" s="12" t="str">
        <f t="shared" si="410"/>
        <v>1840</v>
      </c>
      <c r="AJ2156" s="13"/>
      <c r="AK2156" s="13" t="s">
        <v>6358</v>
      </c>
      <c r="AL2156" s="13"/>
      <c r="AM2156" s="13"/>
      <c r="AN2156" s="13"/>
      <c r="AO2156" s="13"/>
      <c r="AP2156" s="13"/>
      <c r="AQ2156" s="13"/>
      <c r="AR2156" s="13"/>
      <c r="AS2156" s="13"/>
      <c r="AT2156" s="13"/>
      <c r="AU2156" s="13"/>
      <c r="AV2156" s="13"/>
      <c r="AW2156" s="13"/>
      <c r="AX2156" s="13"/>
      <c r="AY2156" s="13"/>
      <c r="AZ2156" s="13"/>
      <c r="BA2156" s="13"/>
      <c r="BB2156" s="13"/>
      <c r="BC2156" s="13"/>
      <c r="BD2156" s="13"/>
      <c r="BE2156" s="13"/>
      <c r="BF2156" s="13"/>
      <c r="BG2156" s="13"/>
      <c r="BH2156" s="12"/>
      <c r="BI2156" s="12"/>
      <c r="BJ2156" s="12"/>
      <c r="BK2156" s="12"/>
      <c r="BL2156" s="12"/>
      <c r="BM2156" s="12"/>
      <c r="BN2156" s="12"/>
      <c r="BO2156" s="12"/>
      <c r="BP2156" s="12"/>
      <c r="BQ2156" s="12"/>
      <c r="BR2156" s="12"/>
      <c r="BS2156" s="12"/>
      <c r="BT2156" s="12"/>
      <c r="BU2156" s="12"/>
      <c r="BV2156" s="12"/>
      <c r="BW2156" s="12"/>
      <c r="BX2156" s="12"/>
      <c r="BY2156" s="12"/>
      <c r="BZ2156" s="12"/>
      <c r="CA2156" s="12"/>
      <c r="CB2156" s="12"/>
      <c r="CC2156" s="12"/>
      <c r="CD2156" s="12"/>
    </row>
    <row r="2157" spans="1:82">
      <c r="A2157" s="13" t="s">
        <v>729</v>
      </c>
      <c r="B2157" s="12" t="str">
        <f t="shared" si="402"/>
        <v>VENTER</v>
      </c>
      <c r="C2157" s="12" t="str">
        <f t="shared" si="403"/>
        <v>VENTER</v>
      </c>
      <c r="D2157" s="13" t="s">
        <v>122</v>
      </c>
      <c r="E2157" s="12" t="str">
        <f t="shared" si="413"/>
        <v>Hendrik</v>
      </c>
      <c r="F2157" s="13" t="s">
        <v>6363</v>
      </c>
      <c r="G2157" s="12" t="str">
        <f t="shared" si="404"/>
        <v>a1b5c12d4e10</v>
      </c>
      <c r="H2157" s="12" t="str">
        <f t="shared" si="405"/>
        <v>VENTERa1b5c12d4e10</v>
      </c>
      <c r="I2157" s="13"/>
      <c r="J2157" s="13" t="s">
        <v>6364</v>
      </c>
      <c r="K2157" s="12" t="str">
        <f t="shared" si="406"/>
        <v>1813</v>
      </c>
      <c r="L2157" s="13" t="s">
        <v>74</v>
      </c>
      <c r="M2157" s="13" t="s">
        <v>5884</v>
      </c>
      <c r="N2157" s="12" t="str">
        <f t="shared" si="411"/>
        <v>1813</v>
      </c>
      <c r="O2157" s="12" t="str">
        <f t="shared" si="412"/>
        <v>1814</v>
      </c>
      <c r="P2157" s="13" t="s">
        <v>6365</v>
      </c>
      <c r="Q2157" s="12" t="str">
        <f t="shared" si="407"/>
        <v>1813</v>
      </c>
      <c r="R2157" s="13" t="s">
        <v>6366</v>
      </c>
      <c r="S2157" s="12" t="str">
        <f t="shared" si="408"/>
        <v>1899</v>
      </c>
      <c r="T2157" s="13" t="s">
        <v>28</v>
      </c>
      <c r="U2157" s="13" t="s">
        <v>3519</v>
      </c>
      <c r="V2157" s="12" t="str">
        <f t="shared" si="409"/>
        <v>1831</v>
      </c>
      <c r="W2157" s="13" t="s">
        <v>15234</v>
      </c>
      <c r="X2157" s="13" t="s">
        <v>1985</v>
      </c>
      <c r="Y2157" s="13"/>
      <c r="Z2157" s="13" t="s">
        <v>28</v>
      </c>
      <c r="AA2157" s="13" t="s">
        <v>15235</v>
      </c>
      <c r="AB2157" s="13"/>
      <c r="AC2157" s="13"/>
      <c r="AD2157" s="13" t="s">
        <v>1774</v>
      </c>
      <c r="AE2157" s="13" t="s">
        <v>15236</v>
      </c>
      <c r="AF2157" s="13" t="s">
        <v>16</v>
      </c>
      <c r="AG2157" s="13" t="s">
        <v>68</v>
      </c>
      <c r="AH2157" s="13" t="s">
        <v>8735</v>
      </c>
      <c r="AI2157" s="12" t="str">
        <f t="shared" si="410"/>
        <v>1840</v>
      </c>
      <c r="AJ2157" s="12"/>
      <c r="AK2157" s="13" t="s">
        <v>1092</v>
      </c>
      <c r="AL2157" s="13" t="s">
        <v>31</v>
      </c>
      <c r="AM2157" s="13" t="s">
        <v>15237</v>
      </c>
      <c r="AN2157" s="13" t="s">
        <v>5241</v>
      </c>
      <c r="AO2157" s="13" t="s">
        <v>2016</v>
      </c>
      <c r="AP2157" s="13"/>
      <c r="AQ2157" s="13"/>
      <c r="AR2157" s="13" t="s">
        <v>15238</v>
      </c>
      <c r="AS2157" s="13" t="s">
        <v>74</v>
      </c>
      <c r="AT2157" s="13" t="s">
        <v>428</v>
      </c>
      <c r="AU2157" s="13" t="s">
        <v>15239</v>
      </c>
      <c r="AV2157" s="15">
        <v>552</v>
      </c>
      <c r="AW2157" s="13"/>
      <c r="AX2157" s="13"/>
      <c r="AY2157" s="13"/>
      <c r="AZ2157" s="13"/>
      <c r="BA2157" s="13"/>
      <c r="BB2157" s="13"/>
      <c r="BC2157" s="13"/>
      <c r="BD2157" s="13"/>
      <c r="BE2157" s="13"/>
      <c r="BF2157" s="13"/>
      <c r="BG2157" s="13"/>
      <c r="BH2157" s="12"/>
      <c r="BI2157" s="12"/>
      <c r="BJ2157" s="12"/>
      <c r="BK2157" s="12"/>
      <c r="BL2157" s="12"/>
      <c r="BM2157" s="12"/>
      <c r="BN2157" s="12"/>
      <c r="BO2157" s="12"/>
      <c r="BP2157" s="12"/>
      <c r="BQ2157" s="12"/>
      <c r="BR2157" s="12"/>
      <c r="BS2157" s="12"/>
      <c r="BT2157" s="12"/>
      <c r="BU2157" s="12"/>
      <c r="BV2157" s="12"/>
      <c r="BW2157" s="12"/>
      <c r="BX2157" s="12"/>
      <c r="BY2157" s="12"/>
      <c r="BZ2157" s="12"/>
      <c r="CA2157" s="12"/>
      <c r="CB2157" s="12"/>
      <c r="CC2157" s="12"/>
      <c r="CD2157" s="12"/>
    </row>
    <row r="2158" spans="1:82">
      <c r="A2158" s="13" t="s">
        <v>729</v>
      </c>
      <c r="B2158" s="12" t="str">
        <f t="shared" si="402"/>
        <v>VENTER</v>
      </c>
      <c r="C2158" s="12" t="str">
        <f t="shared" si="403"/>
        <v>VENTER</v>
      </c>
      <c r="D2158" s="13" t="s">
        <v>6474</v>
      </c>
      <c r="E2158" s="12" t="str">
        <f t="shared" si="413"/>
        <v>Petrus Jan Hendrik</v>
      </c>
      <c r="F2158" s="13" t="s">
        <v>6475</v>
      </c>
      <c r="G2158" s="12" t="str">
        <f t="shared" si="404"/>
        <v>a1b5c12d4e2</v>
      </c>
      <c r="H2158" s="12" t="str">
        <f t="shared" si="405"/>
        <v>VENTERa1b5c12d4e2</v>
      </c>
      <c r="I2158" s="13"/>
      <c r="J2158" s="13"/>
      <c r="K2158" s="12" t="str">
        <f t="shared" si="406"/>
        <v/>
      </c>
      <c r="L2158" s="13" t="s">
        <v>74</v>
      </c>
      <c r="M2158" s="13" t="s">
        <v>6476</v>
      </c>
      <c r="N2158" s="12" t="str">
        <f t="shared" si="411"/>
        <v/>
      </c>
      <c r="O2158" s="12" t="str">
        <f t="shared" si="412"/>
        <v>1799</v>
      </c>
      <c r="P2158" s="13"/>
      <c r="Q2158" s="12" t="str">
        <f t="shared" si="407"/>
        <v>1799</v>
      </c>
      <c r="R2158" s="13"/>
      <c r="S2158" s="12" t="str">
        <f t="shared" si="408"/>
        <v/>
      </c>
      <c r="T2158" s="13" t="s">
        <v>28</v>
      </c>
      <c r="U2158" s="13" t="s">
        <v>7544</v>
      </c>
      <c r="V2158" s="12" t="str">
        <f t="shared" si="409"/>
        <v>1820</v>
      </c>
      <c r="W2158" s="13" t="s">
        <v>15305</v>
      </c>
      <c r="X2158" s="13" t="s">
        <v>729</v>
      </c>
      <c r="Y2158" s="13"/>
      <c r="Z2158" s="13"/>
      <c r="AA2158" s="13" t="s">
        <v>15306</v>
      </c>
      <c r="AB2158" s="13" t="s">
        <v>74</v>
      </c>
      <c r="AC2158" s="13" t="s">
        <v>1288</v>
      </c>
      <c r="AD2158" s="13"/>
      <c r="AE2158" s="13"/>
      <c r="AF2158" s="13" t="s">
        <v>16</v>
      </c>
      <c r="AG2158" s="13" t="s">
        <v>68</v>
      </c>
      <c r="AH2158" s="13" t="s">
        <v>15307</v>
      </c>
      <c r="AI2158" s="12" t="str">
        <f t="shared" si="410"/>
        <v>1844</v>
      </c>
      <c r="AJ2158" s="13"/>
      <c r="AK2158" s="13"/>
      <c r="AL2158" s="13" t="s">
        <v>28</v>
      </c>
      <c r="AM2158" s="13" t="s">
        <v>2166</v>
      </c>
      <c r="AN2158" s="13" t="s">
        <v>4026</v>
      </c>
      <c r="AO2158" s="13" t="s">
        <v>3431</v>
      </c>
      <c r="AP2158" s="13"/>
      <c r="AQ2158" s="13"/>
      <c r="AR2158" s="13" t="s">
        <v>8069</v>
      </c>
      <c r="AS2158" s="13" t="s">
        <v>74</v>
      </c>
      <c r="AT2158" s="13" t="s">
        <v>12433</v>
      </c>
      <c r="AU2158" s="13"/>
      <c r="AV2158" s="13"/>
      <c r="AW2158" s="13"/>
      <c r="AX2158" s="13"/>
      <c r="AY2158" s="13"/>
      <c r="AZ2158" s="13"/>
      <c r="BA2158" s="13"/>
      <c r="BB2158" s="13"/>
      <c r="BC2158" s="13"/>
      <c r="BD2158" s="13"/>
      <c r="BE2158" s="13"/>
      <c r="BF2158" s="13"/>
      <c r="BG2158" s="13"/>
      <c r="BH2158" s="12"/>
      <c r="BI2158" s="12"/>
      <c r="BJ2158" s="12"/>
      <c r="BK2158" s="12"/>
      <c r="BL2158" s="12"/>
      <c r="BM2158" s="12"/>
      <c r="BN2158" s="12"/>
      <c r="BO2158" s="12"/>
      <c r="BP2158" s="12"/>
      <c r="BQ2158" s="12"/>
      <c r="BR2158" s="12"/>
      <c r="BS2158" s="12"/>
      <c r="BT2158" s="12"/>
      <c r="BU2158" s="12"/>
      <c r="BV2158" s="12"/>
      <c r="BW2158" s="12"/>
      <c r="BX2158" s="12"/>
      <c r="BY2158" s="12"/>
      <c r="BZ2158" s="12"/>
      <c r="CA2158" s="12"/>
      <c r="CB2158" s="12"/>
      <c r="CC2158" s="12"/>
      <c r="CD2158" s="12"/>
    </row>
    <row r="2159" spans="1:82">
      <c r="A2159" s="13" t="s">
        <v>729</v>
      </c>
      <c r="B2159" s="12" t="str">
        <f t="shared" si="402"/>
        <v>VENTER</v>
      </c>
      <c r="C2159" s="12" t="str">
        <f t="shared" si="403"/>
        <v>VENTER</v>
      </c>
      <c r="D2159" s="13" t="s">
        <v>6354</v>
      </c>
      <c r="E2159" s="12" t="str">
        <f t="shared" si="413"/>
        <v>Christiaan Willem</v>
      </c>
      <c r="F2159" s="13" t="s">
        <v>6355</v>
      </c>
      <c r="G2159" s="12" t="str">
        <f t="shared" si="404"/>
        <v>a1b5c13d11</v>
      </c>
      <c r="H2159" s="12" t="str">
        <f t="shared" si="405"/>
        <v>VENTERa1b5c13d11</v>
      </c>
      <c r="I2159" s="13" t="s">
        <v>3697</v>
      </c>
      <c r="J2159" s="13" t="s">
        <v>6356</v>
      </c>
      <c r="K2159" s="12" t="str">
        <f t="shared" si="406"/>
        <v>1801</v>
      </c>
      <c r="L2159" s="13" t="s">
        <v>542</v>
      </c>
      <c r="M2159" s="13" t="s">
        <v>6357</v>
      </c>
      <c r="N2159" s="12" t="str">
        <f t="shared" si="411"/>
        <v>1801</v>
      </c>
      <c r="O2159" s="12" t="str">
        <f t="shared" si="412"/>
        <v>1803</v>
      </c>
      <c r="P2159" s="13" t="s">
        <v>6358</v>
      </c>
      <c r="Q2159" s="12" t="str">
        <f t="shared" si="407"/>
        <v>1801</v>
      </c>
      <c r="R2159" s="13" t="s">
        <v>6359</v>
      </c>
      <c r="S2159" s="12" t="str">
        <f t="shared" si="408"/>
        <v>1875</v>
      </c>
      <c r="T2159" s="13" t="s">
        <v>28</v>
      </c>
      <c r="U2159" s="13" t="s">
        <v>12990</v>
      </c>
      <c r="V2159" s="12" t="str">
        <f t="shared" si="409"/>
        <v>1820</v>
      </c>
      <c r="W2159" s="13" t="s">
        <v>4835</v>
      </c>
      <c r="X2159" s="13" t="s">
        <v>729</v>
      </c>
      <c r="Y2159" s="13"/>
      <c r="Z2159" s="13"/>
      <c r="AA2159" s="13" t="s">
        <v>15231</v>
      </c>
      <c r="AB2159" s="13"/>
      <c r="AC2159" s="13"/>
      <c r="AD2159" s="13" t="s">
        <v>190</v>
      </c>
      <c r="AE2159" s="13" t="s">
        <v>15232</v>
      </c>
      <c r="AF2159" s="13" t="s">
        <v>16</v>
      </c>
      <c r="AG2159" s="13" t="s">
        <v>68</v>
      </c>
      <c r="AH2159" s="13" t="s">
        <v>15233</v>
      </c>
      <c r="AI2159" s="12" t="str">
        <f t="shared" si="410"/>
        <v>1839</v>
      </c>
      <c r="AJ2159" s="13"/>
      <c r="AK2159" s="13" t="s">
        <v>551</v>
      </c>
      <c r="AL2159" s="13"/>
      <c r="AM2159" s="13"/>
      <c r="AN2159" s="13"/>
      <c r="AO2159" s="13"/>
      <c r="AP2159" s="13"/>
      <c r="AQ2159" s="13"/>
      <c r="AR2159" s="13"/>
      <c r="AS2159" s="13"/>
      <c r="AT2159" s="13"/>
      <c r="AU2159" s="13"/>
      <c r="AV2159" s="13"/>
      <c r="AW2159" s="13"/>
      <c r="AX2159" s="13"/>
      <c r="AY2159" s="13"/>
      <c r="AZ2159" s="13"/>
      <c r="BA2159" s="13"/>
      <c r="BB2159" s="13"/>
      <c r="BC2159" s="13"/>
      <c r="BD2159" s="13"/>
      <c r="BE2159" s="13"/>
      <c r="BF2159" s="13"/>
      <c r="BG2159" s="13"/>
      <c r="BH2159" s="12"/>
      <c r="BI2159" s="12"/>
      <c r="BJ2159" s="12"/>
      <c r="BK2159" s="12"/>
      <c r="BL2159" s="12"/>
      <c r="BM2159" s="12"/>
      <c r="BN2159" s="12"/>
      <c r="BO2159" s="12"/>
      <c r="BP2159" s="12"/>
      <c r="BQ2159" s="12"/>
      <c r="BR2159" s="12"/>
      <c r="BS2159" s="12"/>
      <c r="BT2159" s="12"/>
      <c r="BU2159" s="12"/>
      <c r="BV2159" s="12"/>
      <c r="BW2159" s="12"/>
      <c r="BX2159" s="12"/>
      <c r="BY2159" s="12"/>
      <c r="BZ2159" s="12"/>
      <c r="CA2159" s="12"/>
      <c r="CB2159" s="12"/>
      <c r="CC2159" s="12"/>
      <c r="CD2159" s="12"/>
    </row>
    <row r="2160" spans="1:82">
      <c r="A2160" s="13" t="s">
        <v>729</v>
      </c>
      <c r="B2160" s="12" t="str">
        <f t="shared" si="402"/>
        <v>VENTER</v>
      </c>
      <c r="C2160" s="12" t="str">
        <f t="shared" si="403"/>
        <v>VENTER</v>
      </c>
      <c r="D2160" s="13" t="s">
        <v>3283</v>
      </c>
      <c r="E2160" s="12" t="str">
        <f t="shared" si="413"/>
        <v>Jan Hendrik</v>
      </c>
      <c r="F2160" s="13" t="s">
        <v>6406</v>
      </c>
      <c r="G2160" s="12" t="str">
        <f t="shared" si="404"/>
        <v>a1b5c13d11e1</v>
      </c>
      <c r="H2160" s="12" t="str">
        <f t="shared" si="405"/>
        <v>VENTERa1b5c13d11e1</v>
      </c>
      <c r="I2160" s="13"/>
      <c r="J2160" s="13" t="s">
        <v>6407</v>
      </c>
      <c r="K2160" s="12" t="str">
        <f t="shared" si="406"/>
        <v>1821</v>
      </c>
      <c r="L2160" s="13" t="s">
        <v>28</v>
      </c>
      <c r="M2160" s="13" t="s">
        <v>6408</v>
      </c>
      <c r="N2160" s="12" t="str">
        <f t="shared" si="411"/>
        <v>1821</v>
      </c>
      <c r="O2160" s="12" t="str">
        <f t="shared" si="412"/>
        <v>1822</v>
      </c>
      <c r="P2160" s="11"/>
      <c r="Q2160" s="12" t="str">
        <f t="shared" si="407"/>
        <v>1821</v>
      </c>
      <c r="R2160" s="11"/>
      <c r="S2160" s="12" t="str">
        <f t="shared" si="408"/>
        <v/>
      </c>
      <c r="T2160" s="13" t="s">
        <v>60</v>
      </c>
      <c r="U2160" s="13" t="s">
        <v>5735</v>
      </c>
      <c r="V2160" s="12" t="str">
        <f t="shared" si="409"/>
        <v>1839</v>
      </c>
      <c r="W2160" s="13" t="s">
        <v>15263</v>
      </c>
      <c r="X2160" s="13" t="s">
        <v>659</v>
      </c>
      <c r="Y2160" s="13"/>
      <c r="Z2160" s="13"/>
      <c r="AA2160" s="13" t="s">
        <v>9738</v>
      </c>
      <c r="AB2160" s="13" t="s">
        <v>74</v>
      </c>
      <c r="AC2160" s="13" t="s">
        <v>3156</v>
      </c>
      <c r="AD2160" s="13"/>
      <c r="AE2160" s="13"/>
      <c r="AF2160" s="13" t="s">
        <v>16</v>
      </c>
      <c r="AG2160" s="13" t="s">
        <v>68</v>
      </c>
      <c r="AH2160" s="13" t="s">
        <v>15233</v>
      </c>
      <c r="AI2160" s="12" t="str">
        <f t="shared" si="410"/>
        <v>1839</v>
      </c>
      <c r="AJ2160" s="13"/>
      <c r="AK2160" s="13" t="s">
        <v>551</v>
      </c>
      <c r="AL2160" s="13"/>
      <c r="AM2160" s="13"/>
      <c r="AN2160" s="13"/>
      <c r="AO2160" s="13"/>
      <c r="AP2160" s="13"/>
      <c r="AQ2160" s="13"/>
      <c r="AR2160" s="13"/>
      <c r="AS2160" s="13"/>
      <c r="AT2160" s="13"/>
      <c r="AU2160" s="13"/>
      <c r="AV2160" s="13"/>
      <c r="AW2160" s="13"/>
      <c r="AX2160" s="13"/>
      <c r="AY2160" s="13"/>
      <c r="AZ2160" s="13"/>
      <c r="BA2160" s="13"/>
      <c r="BB2160" s="13"/>
      <c r="BC2160" s="13"/>
      <c r="BD2160" s="13"/>
      <c r="BE2160" s="13"/>
      <c r="BF2160" s="13"/>
      <c r="BG2160" s="13"/>
      <c r="BH2160" s="12"/>
      <c r="BI2160" s="12"/>
      <c r="BJ2160" s="12"/>
      <c r="BK2160" s="12"/>
      <c r="BL2160" s="12"/>
      <c r="BM2160" s="12"/>
      <c r="BN2160" s="12"/>
      <c r="BO2160" s="12"/>
      <c r="BP2160" s="12"/>
      <c r="BQ2160" s="12"/>
      <c r="BR2160" s="12"/>
      <c r="BS2160" s="12"/>
      <c r="BT2160" s="12"/>
      <c r="BU2160" s="12"/>
      <c r="BV2160" s="12"/>
      <c r="BW2160" s="12"/>
      <c r="BX2160" s="12"/>
      <c r="BY2160" s="12"/>
      <c r="BZ2160" s="12"/>
      <c r="CA2160" s="12"/>
      <c r="CB2160" s="12"/>
      <c r="CC2160" s="12"/>
      <c r="CD2160" s="12"/>
    </row>
    <row r="2161" spans="1:82">
      <c r="A2161" s="13" t="s">
        <v>729</v>
      </c>
      <c r="B2161" s="12" t="str">
        <f t="shared" si="402"/>
        <v>VENTER</v>
      </c>
      <c r="C2161" s="12" t="str">
        <f t="shared" si="403"/>
        <v>VENTER</v>
      </c>
      <c r="D2161" s="13" t="s">
        <v>6464</v>
      </c>
      <c r="E2161" s="12" t="str">
        <f t="shared" si="413"/>
        <v>Petrus Albertus</v>
      </c>
      <c r="F2161" s="13" t="s">
        <v>6465</v>
      </c>
      <c r="G2161" s="12" t="str">
        <f t="shared" si="404"/>
        <v>a1b5c13d5</v>
      </c>
      <c r="H2161" s="12" t="str">
        <f t="shared" si="405"/>
        <v>VENTERa1b5c13d5</v>
      </c>
      <c r="I2161" s="13" t="s">
        <v>6411</v>
      </c>
      <c r="J2161" s="13" t="s">
        <v>6466</v>
      </c>
      <c r="K2161" s="12" t="str">
        <f t="shared" si="406"/>
        <v>1790</v>
      </c>
      <c r="L2161" s="13"/>
      <c r="M2161" s="13" t="s">
        <v>6467</v>
      </c>
      <c r="N2161" s="12" t="str">
        <f t="shared" si="411"/>
        <v>1790</v>
      </c>
      <c r="O2161" s="12" t="str">
        <f t="shared" si="412"/>
        <v>1792</v>
      </c>
      <c r="P2161" s="13" t="s">
        <v>190</v>
      </c>
      <c r="Q2161" s="12" t="str">
        <f t="shared" si="407"/>
        <v>1790</v>
      </c>
      <c r="R2161" s="13" t="s">
        <v>6468</v>
      </c>
      <c r="S2161" s="12" t="str">
        <f t="shared" si="408"/>
        <v>1858</v>
      </c>
      <c r="T2161" s="13" t="s">
        <v>74</v>
      </c>
      <c r="U2161" s="13" t="s">
        <v>15301</v>
      </c>
      <c r="V2161" s="12" t="str">
        <f t="shared" si="409"/>
        <v>1812</v>
      </c>
      <c r="W2161" s="13" t="s">
        <v>13322</v>
      </c>
      <c r="X2161" s="13" t="s">
        <v>729</v>
      </c>
      <c r="Y2161" s="13"/>
      <c r="Z2161" s="13"/>
      <c r="AA2161" s="13"/>
      <c r="AB2161" s="13"/>
      <c r="AC2161" s="13" t="s">
        <v>15153</v>
      </c>
      <c r="AD2161" s="13" t="s">
        <v>190</v>
      </c>
      <c r="AE2161" s="13" t="s">
        <v>15302</v>
      </c>
      <c r="AF2161" s="13" t="s">
        <v>120</v>
      </c>
      <c r="AG2161" s="13" t="s">
        <v>74</v>
      </c>
      <c r="AH2161" s="13">
        <v>18391840</v>
      </c>
      <c r="AI2161" s="12" t="str">
        <f t="shared" si="410"/>
        <v>1840</v>
      </c>
      <c r="AJ2161" s="13" t="s">
        <v>12354</v>
      </c>
      <c r="AK2161" s="13" t="s">
        <v>6358</v>
      </c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2"/>
      <c r="BI2161" s="12"/>
      <c r="BJ2161" s="12"/>
      <c r="BK2161" s="12"/>
      <c r="BL2161" s="12"/>
      <c r="BM2161" s="12"/>
      <c r="BN2161" s="12"/>
      <c r="BO2161" s="12"/>
      <c r="BP2161" s="12"/>
      <c r="BQ2161" s="12"/>
      <c r="BR2161" s="12"/>
      <c r="BS2161" s="12"/>
      <c r="BT2161" s="12"/>
      <c r="BU2161" s="12"/>
      <c r="BV2161" s="12"/>
      <c r="BW2161" s="12"/>
      <c r="BX2161" s="12"/>
      <c r="BY2161" s="12"/>
      <c r="BZ2161" s="12"/>
      <c r="CA2161" s="12"/>
      <c r="CB2161" s="12"/>
      <c r="CC2161" s="12"/>
      <c r="CD2161" s="12"/>
    </row>
    <row r="2162" spans="1:82">
      <c r="A2162" s="13" t="s">
        <v>729</v>
      </c>
      <c r="B2162" s="12" t="str">
        <f t="shared" ref="B2162:B2222" si="414">SUBSTITUTE(A2162," ","")</f>
        <v>VENTER</v>
      </c>
      <c r="C2162" s="12" t="str">
        <f t="shared" ref="C2162:C2222" si="415">TRIM(A2162)</f>
        <v>VENTER</v>
      </c>
      <c r="D2162" s="13" t="s">
        <v>6409</v>
      </c>
      <c r="E2162" s="12" t="str">
        <f t="shared" si="413"/>
        <v>Jan Hercules</v>
      </c>
      <c r="F2162" s="13" t="s">
        <v>6410</v>
      </c>
      <c r="G2162" s="12" t="str">
        <f t="shared" ref="G2162:G2222" si="416">IF(LEFT(F2162,1)="b","a1"&amp;F2162,F2162)</f>
        <v>a1b5c13d5e2</v>
      </c>
      <c r="H2162" s="12" t="str">
        <f t="shared" ref="H2162:H2193" si="417">C2162&amp;G2162</f>
        <v>VENTERa1b5c13d5e2</v>
      </c>
      <c r="I2162" s="13" t="s">
        <v>6411</v>
      </c>
      <c r="J2162" s="13" t="s">
        <v>6412</v>
      </c>
      <c r="K2162" s="12" t="str">
        <f t="shared" ref="K2162:K2222" si="418">RIGHT(J2162,4)</f>
        <v>1817</v>
      </c>
      <c r="L2162" s="13" t="s">
        <v>28</v>
      </c>
      <c r="M2162" s="13" t="s">
        <v>6413</v>
      </c>
      <c r="N2162" s="12" t="str">
        <f t="shared" si="411"/>
        <v>1817</v>
      </c>
      <c r="O2162" s="12" t="str">
        <f t="shared" si="412"/>
        <v>1817</v>
      </c>
      <c r="P2162" s="13" t="s">
        <v>6414</v>
      </c>
      <c r="Q2162" s="12" t="str">
        <f t="shared" ref="Q2162:Q2222" si="419">IF(N2162="",O2162,N2162)</f>
        <v>1817</v>
      </c>
      <c r="R2162" s="13" t="s">
        <v>6415</v>
      </c>
      <c r="S2162" s="12" t="str">
        <f t="shared" ref="S2162:S2222" si="420">RIGHT(R2162,4)</f>
        <v>1890</v>
      </c>
      <c r="T2162" s="13" t="s">
        <v>28</v>
      </c>
      <c r="U2162" s="13" t="s">
        <v>15264</v>
      </c>
      <c r="V2162" s="12" t="str">
        <f t="shared" ref="V2162:V2222" si="421">RIGHT(U2162,4)</f>
        <v>1837</v>
      </c>
      <c r="W2162" s="13" t="s">
        <v>15265</v>
      </c>
      <c r="X2162" s="13" t="s">
        <v>729</v>
      </c>
      <c r="Y2162" s="13"/>
      <c r="Z2162" s="13" t="s">
        <v>74</v>
      </c>
      <c r="AA2162" s="13" t="s">
        <v>15266</v>
      </c>
      <c r="AB2162" s="13" t="s">
        <v>28</v>
      </c>
      <c r="AC2162" s="13" t="s">
        <v>15267</v>
      </c>
      <c r="AD2162" s="13" t="s">
        <v>190</v>
      </c>
      <c r="AE2162" s="13" t="s">
        <v>15268</v>
      </c>
      <c r="AF2162" s="13" t="s">
        <v>120</v>
      </c>
      <c r="AG2162" s="13" t="s">
        <v>74</v>
      </c>
      <c r="AH2162" s="13" t="s">
        <v>15269</v>
      </c>
      <c r="AI2162" s="12" t="str">
        <f t="shared" ref="AI2162:AI2222" si="422">RIGHT(AH2162,4)</f>
        <v>1840</v>
      </c>
      <c r="AJ2162" s="13" t="s">
        <v>12354</v>
      </c>
      <c r="AK2162" s="13"/>
      <c r="AL2162" s="13"/>
      <c r="AM2162" s="13"/>
      <c r="AN2162" s="13"/>
      <c r="AO2162" s="13"/>
      <c r="AP2162" s="13"/>
      <c r="AQ2162" s="13"/>
      <c r="AR2162" s="13"/>
      <c r="AS2162" s="13"/>
      <c r="AT2162" s="13"/>
      <c r="AU2162" s="13"/>
      <c r="AV2162" s="13"/>
      <c r="AW2162" s="13"/>
      <c r="AX2162" s="13"/>
      <c r="AY2162" s="13"/>
      <c r="AZ2162" s="13"/>
      <c r="BA2162" s="13"/>
      <c r="BB2162" s="13"/>
      <c r="BC2162" s="13"/>
      <c r="BD2162" s="13"/>
      <c r="BE2162" s="13"/>
      <c r="BF2162" s="13"/>
      <c r="BG2162" s="13"/>
      <c r="BH2162" s="12"/>
      <c r="BI2162" s="12"/>
      <c r="BJ2162" s="12"/>
      <c r="BK2162" s="12"/>
      <c r="BL2162" s="12"/>
      <c r="BM2162" s="12"/>
      <c r="BN2162" s="12"/>
      <c r="BO2162" s="12"/>
      <c r="BP2162" s="12"/>
      <c r="BQ2162" s="12"/>
      <c r="BR2162" s="12"/>
      <c r="BS2162" s="12"/>
      <c r="BT2162" s="12"/>
      <c r="BU2162" s="12"/>
      <c r="BV2162" s="12"/>
      <c r="BW2162" s="12"/>
      <c r="BX2162" s="12"/>
      <c r="BY2162" s="12"/>
      <c r="BZ2162" s="12"/>
      <c r="CA2162" s="12"/>
      <c r="CB2162" s="12"/>
      <c r="CC2162" s="12"/>
      <c r="CD2162" s="12"/>
    </row>
    <row r="2163" spans="1:82">
      <c r="A2163" s="13" t="s">
        <v>729</v>
      </c>
      <c r="B2163" s="12" t="str">
        <f t="shared" si="414"/>
        <v>VENTER</v>
      </c>
      <c r="C2163" s="12" t="str">
        <f t="shared" si="415"/>
        <v>VENTER</v>
      </c>
      <c r="D2163" s="13" t="s">
        <v>1472</v>
      </c>
      <c r="E2163" s="12" t="str">
        <f t="shared" si="413"/>
        <v>Willem Adriaan</v>
      </c>
      <c r="F2163" s="13" t="s">
        <v>6505</v>
      </c>
      <c r="G2163" s="12" t="str">
        <f t="shared" si="416"/>
        <v>a1b5c13d5e3</v>
      </c>
      <c r="H2163" s="12" t="str">
        <f t="shared" si="417"/>
        <v>VENTERa1b5c13d5e3</v>
      </c>
      <c r="I2163" s="13" t="s">
        <v>6506</v>
      </c>
      <c r="J2163" s="13" t="s">
        <v>6507</v>
      </c>
      <c r="K2163" s="12" t="str">
        <f t="shared" si="418"/>
        <v>1820</v>
      </c>
      <c r="L2163" s="13" t="s">
        <v>28</v>
      </c>
      <c r="M2163" s="13" t="s">
        <v>6064</v>
      </c>
      <c r="N2163" s="12" t="str">
        <f t="shared" si="411"/>
        <v>1820</v>
      </c>
      <c r="O2163" s="12" t="str">
        <f t="shared" si="412"/>
        <v>1820</v>
      </c>
      <c r="P2163" s="13" t="s">
        <v>6508</v>
      </c>
      <c r="Q2163" s="12" t="str">
        <f t="shared" si="419"/>
        <v>1820</v>
      </c>
      <c r="R2163" s="13" t="s">
        <v>6509</v>
      </c>
      <c r="S2163" s="12" t="str">
        <f t="shared" si="420"/>
        <v>1891</v>
      </c>
      <c r="T2163" s="13" t="s">
        <v>28</v>
      </c>
      <c r="U2163" s="13" t="s">
        <v>4719</v>
      </c>
      <c r="V2163" s="12" t="str">
        <f t="shared" si="421"/>
        <v>1837</v>
      </c>
      <c r="W2163" s="13" t="s">
        <v>15253</v>
      </c>
      <c r="X2163" s="13" t="s">
        <v>729</v>
      </c>
      <c r="Y2163" s="13"/>
      <c r="Z2163" s="13"/>
      <c r="AA2163" s="13" t="s">
        <v>1271</v>
      </c>
      <c r="AB2163" s="13" t="s">
        <v>28</v>
      </c>
      <c r="AC2163" s="13" t="s">
        <v>4075</v>
      </c>
      <c r="AD2163" s="13"/>
      <c r="AE2163" s="13"/>
      <c r="AF2163" s="13" t="s">
        <v>120</v>
      </c>
      <c r="AG2163" s="13" t="s">
        <v>74</v>
      </c>
      <c r="AH2163" s="13" t="s">
        <v>15269</v>
      </c>
      <c r="AI2163" s="12" t="str">
        <f t="shared" si="422"/>
        <v>1840</v>
      </c>
      <c r="AJ2163" s="13" t="s">
        <v>12354</v>
      </c>
      <c r="AK2163" s="13"/>
      <c r="AL2163" s="13" t="s">
        <v>190</v>
      </c>
      <c r="AM2163" s="13" t="s">
        <v>8721</v>
      </c>
      <c r="AN2163" s="13" t="s">
        <v>15324</v>
      </c>
      <c r="AO2163" s="13" t="s">
        <v>757</v>
      </c>
      <c r="AP2163" s="13"/>
      <c r="AQ2163" s="13"/>
      <c r="AR2163" s="13" t="s">
        <v>15325</v>
      </c>
      <c r="AS2163" s="13" t="s">
        <v>199</v>
      </c>
      <c r="AT2163" s="13" t="s">
        <v>529</v>
      </c>
      <c r="AU2163" s="13" t="s">
        <v>190</v>
      </c>
      <c r="AV2163" s="15">
        <v>3572</v>
      </c>
      <c r="AW2163" s="13"/>
      <c r="AX2163" s="13"/>
      <c r="AY2163" s="13"/>
      <c r="AZ2163" s="13"/>
      <c r="BA2163" s="13"/>
      <c r="BB2163" s="13"/>
      <c r="BC2163" s="13"/>
      <c r="BD2163" s="13"/>
      <c r="BE2163" s="13"/>
      <c r="BF2163" s="13"/>
      <c r="BG2163" s="13"/>
      <c r="BH2163" s="12"/>
      <c r="BI2163" s="12"/>
      <c r="BJ2163" s="12"/>
      <c r="BK2163" s="12"/>
      <c r="BL2163" s="12"/>
      <c r="BM2163" s="12"/>
      <c r="BN2163" s="12"/>
      <c r="BO2163" s="12"/>
      <c r="BP2163" s="12"/>
      <c r="BQ2163" s="12"/>
      <c r="BR2163" s="12"/>
      <c r="BS2163" s="12"/>
      <c r="BT2163" s="12"/>
      <c r="BU2163" s="12"/>
      <c r="BV2163" s="12"/>
      <c r="BW2163" s="12"/>
      <c r="BX2163" s="12"/>
      <c r="BY2163" s="12"/>
      <c r="BZ2163" s="12"/>
      <c r="CA2163" s="12"/>
      <c r="CB2163" s="12"/>
      <c r="CC2163" s="12"/>
      <c r="CD2163" s="12"/>
    </row>
    <row r="2164" spans="1:82">
      <c r="A2164" s="13" t="s">
        <v>729</v>
      </c>
      <c r="B2164" s="12" t="str">
        <f t="shared" si="414"/>
        <v>VENTER</v>
      </c>
      <c r="C2164" s="12" t="str">
        <f t="shared" si="415"/>
        <v>VENTER</v>
      </c>
      <c r="D2164" s="13" t="s">
        <v>6458</v>
      </c>
      <c r="E2164" s="12" t="str">
        <f t="shared" si="413"/>
        <v>Petrus (Pieter) Albertus</v>
      </c>
      <c r="F2164" s="13" t="s">
        <v>6459</v>
      </c>
      <c r="G2164" s="12" t="str">
        <f t="shared" si="416"/>
        <v>a1b5c13d5e4</v>
      </c>
      <c r="H2164" s="12" t="str">
        <f t="shared" si="417"/>
        <v>VENTERa1b5c13d5e4</v>
      </c>
      <c r="I2164" s="13"/>
      <c r="J2164" s="13" t="s">
        <v>6460</v>
      </c>
      <c r="K2164" s="12" t="str">
        <f t="shared" si="418"/>
        <v>1823</v>
      </c>
      <c r="L2164" s="13" t="s">
        <v>74</v>
      </c>
      <c r="M2164" s="13" t="s">
        <v>6461</v>
      </c>
      <c r="N2164" s="12" t="str">
        <f t="shared" si="411"/>
        <v>1823</v>
      </c>
      <c r="O2164" s="12" t="str">
        <f t="shared" si="412"/>
        <v>1823</v>
      </c>
      <c r="P2164" s="13" t="s">
        <v>6462</v>
      </c>
      <c r="Q2164" s="12" t="str">
        <f t="shared" si="419"/>
        <v>1823</v>
      </c>
      <c r="R2164" s="13" t="s">
        <v>6463</v>
      </c>
      <c r="S2164" s="12" t="str">
        <f t="shared" si="420"/>
        <v>1879</v>
      </c>
      <c r="T2164" s="13" t="s">
        <v>190</v>
      </c>
      <c r="U2164" s="13" t="s">
        <v>15298</v>
      </c>
      <c r="V2164" s="12" t="str">
        <f t="shared" si="421"/>
        <v>1843</v>
      </c>
      <c r="W2164" s="13" t="s">
        <v>15299</v>
      </c>
      <c r="X2164" s="13" t="s">
        <v>729</v>
      </c>
      <c r="Y2164" s="13"/>
      <c r="Z2164" s="13"/>
      <c r="AA2164" s="13" t="s">
        <v>15300</v>
      </c>
      <c r="AB2164" s="13" t="s">
        <v>28</v>
      </c>
      <c r="AC2164" s="13" t="s">
        <v>3243</v>
      </c>
      <c r="AD2164" s="13"/>
      <c r="AE2164" s="13"/>
      <c r="AF2164" s="13" t="s">
        <v>120</v>
      </c>
      <c r="AG2164" s="13" t="s">
        <v>74</v>
      </c>
      <c r="AH2164" s="13" t="s">
        <v>15269</v>
      </c>
      <c r="AI2164" s="12" t="str">
        <f t="shared" si="422"/>
        <v>1840</v>
      </c>
      <c r="AJ2164" s="13" t="s">
        <v>12354</v>
      </c>
      <c r="AK2164" s="13"/>
      <c r="AL2164" s="13"/>
      <c r="AM2164" s="13"/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  <c r="AX2164" s="13"/>
      <c r="AY2164" s="13"/>
      <c r="AZ2164" s="13"/>
      <c r="BA2164" s="13"/>
      <c r="BB2164" s="13"/>
      <c r="BC2164" s="13"/>
      <c r="BD2164" s="13"/>
      <c r="BE2164" s="13"/>
      <c r="BF2164" s="13"/>
      <c r="BG2164" s="13"/>
      <c r="BH2164" s="12"/>
      <c r="BI2164" s="12"/>
      <c r="BJ2164" s="12"/>
      <c r="BK2164" s="12"/>
      <c r="BL2164" s="12"/>
      <c r="BM2164" s="12"/>
      <c r="BN2164" s="12"/>
      <c r="BO2164" s="12"/>
      <c r="BP2164" s="12"/>
      <c r="BQ2164" s="12"/>
      <c r="BR2164" s="12"/>
      <c r="BS2164" s="12"/>
      <c r="BT2164" s="12"/>
      <c r="BU2164" s="12"/>
      <c r="BV2164" s="12"/>
      <c r="BW2164" s="12"/>
      <c r="BX2164" s="12"/>
      <c r="BY2164" s="12"/>
      <c r="BZ2164" s="12"/>
      <c r="CA2164" s="12"/>
      <c r="CB2164" s="12"/>
      <c r="CC2164" s="12"/>
      <c r="CD2164" s="12"/>
    </row>
    <row r="2165" spans="1:82">
      <c r="A2165" s="13" t="s">
        <v>729</v>
      </c>
      <c r="B2165" s="12" t="str">
        <f t="shared" si="414"/>
        <v>VENTER</v>
      </c>
      <c r="C2165" s="12" t="str">
        <f t="shared" si="415"/>
        <v>VENTER</v>
      </c>
      <c r="D2165" s="13" t="s">
        <v>6351</v>
      </c>
      <c r="E2165" s="12" t="str">
        <f t="shared" si="413"/>
        <v>Bernhardus (Barnard) Gerhardus</v>
      </c>
      <c r="F2165" s="13" t="s">
        <v>6352</v>
      </c>
      <c r="G2165" s="12" t="str">
        <f t="shared" si="416"/>
        <v>a1b5c13d7</v>
      </c>
      <c r="H2165" s="12" t="str">
        <f t="shared" si="417"/>
        <v>VENTERa1b5c13d7</v>
      </c>
      <c r="I2165" s="13"/>
      <c r="J2165" s="13"/>
      <c r="K2165" s="12" t="str">
        <f t="shared" si="418"/>
        <v/>
      </c>
      <c r="L2165" s="13" t="s">
        <v>74</v>
      </c>
      <c r="M2165" s="13" t="s">
        <v>6353</v>
      </c>
      <c r="N2165" s="12" t="str">
        <f t="shared" si="411"/>
        <v/>
      </c>
      <c r="O2165" s="12" t="str">
        <f t="shared" si="412"/>
        <v>1794</v>
      </c>
      <c r="P2165" s="13"/>
      <c r="Q2165" s="12" t="str">
        <f t="shared" si="419"/>
        <v>1794</v>
      </c>
      <c r="R2165" s="13"/>
      <c r="S2165" s="12" t="str">
        <f t="shared" si="420"/>
        <v/>
      </c>
      <c r="T2165" s="13" t="s">
        <v>74</v>
      </c>
      <c r="U2165" s="13" t="s">
        <v>2682</v>
      </c>
      <c r="V2165" s="12" t="str">
        <f t="shared" si="421"/>
        <v>1816</v>
      </c>
      <c r="W2165" s="13" t="s">
        <v>15229</v>
      </c>
      <c r="X2165" s="13" t="s">
        <v>618</v>
      </c>
      <c r="Y2165" s="13"/>
      <c r="Z2165" s="13"/>
      <c r="AA2165" s="13" t="s">
        <v>15230</v>
      </c>
      <c r="AB2165" s="13" t="s">
        <v>74</v>
      </c>
      <c r="AC2165" s="13" t="s">
        <v>2068</v>
      </c>
      <c r="AD2165" s="13"/>
      <c r="AE2165" s="13"/>
      <c r="AF2165" s="13" t="s">
        <v>7862</v>
      </c>
      <c r="AG2165" s="13" t="s">
        <v>74</v>
      </c>
      <c r="AH2165" s="13" t="s">
        <v>13895</v>
      </c>
      <c r="AI2165" s="12" t="str">
        <f t="shared" si="422"/>
        <v>1838</v>
      </c>
      <c r="AJ2165" s="13"/>
      <c r="AK2165" s="13" t="s">
        <v>12525</v>
      </c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/>
      <c r="AX2165" s="13"/>
      <c r="AY2165" s="13"/>
      <c r="AZ2165" s="13"/>
      <c r="BA2165" s="13"/>
      <c r="BB2165" s="13"/>
      <c r="BC2165" s="13"/>
      <c r="BD2165" s="13"/>
      <c r="BE2165" s="13"/>
      <c r="BF2165" s="13"/>
      <c r="BG2165" s="13"/>
      <c r="BH2165" s="12"/>
      <c r="BI2165" s="12"/>
      <c r="BJ2165" s="12"/>
      <c r="BK2165" s="12"/>
      <c r="BL2165" s="12"/>
      <c r="BM2165" s="12"/>
      <c r="BN2165" s="12"/>
      <c r="BO2165" s="12"/>
      <c r="BP2165" s="12"/>
      <c r="BQ2165" s="12"/>
      <c r="BR2165" s="12"/>
      <c r="BS2165" s="12"/>
      <c r="BT2165" s="12"/>
      <c r="BU2165" s="12"/>
      <c r="BV2165" s="12"/>
      <c r="BW2165" s="12"/>
      <c r="BX2165" s="12"/>
      <c r="BY2165" s="12"/>
      <c r="BZ2165" s="12"/>
      <c r="CA2165" s="12"/>
      <c r="CB2165" s="12"/>
      <c r="CC2165" s="12"/>
      <c r="CD2165" s="12"/>
    </row>
    <row r="2166" spans="1:82">
      <c r="A2166" s="13" t="s">
        <v>729</v>
      </c>
      <c r="B2166" s="12" t="str">
        <f t="shared" si="414"/>
        <v>VENTER</v>
      </c>
      <c r="C2166" s="12" t="str">
        <f t="shared" si="415"/>
        <v>VENTER</v>
      </c>
      <c r="D2166" s="13" t="s">
        <v>6367</v>
      </c>
      <c r="E2166" s="12" t="str">
        <f t="shared" si="413"/>
        <v>Herculaas Petrus</v>
      </c>
      <c r="F2166" s="13" t="s">
        <v>6368</v>
      </c>
      <c r="G2166" s="12" t="str">
        <f t="shared" si="416"/>
        <v>a1b5c13d7e5</v>
      </c>
      <c r="H2166" s="12" t="str">
        <f t="shared" si="417"/>
        <v>VENTERa1b5c13d7e5</v>
      </c>
      <c r="I2166" s="13"/>
      <c r="J2166" s="13" t="s">
        <v>6369</v>
      </c>
      <c r="K2166" s="12" t="str">
        <f t="shared" si="418"/>
        <v>1825</v>
      </c>
      <c r="L2166" s="13" t="s">
        <v>28</v>
      </c>
      <c r="M2166" s="13" t="s">
        <v>2850</v>
      </c>
      <c r="N2166" s="12" t="str">
        <f t="shared" si="411"/>
        <v>1825</v>
      </c>
      <c r="O2166" s="12" t="str">
        <f t="shared" si="412"/>
        <v>1825</v>
      </c>
      <c r="P2166" s="13"/>
      <c r="Q2166" s="12" t="str">
        <f t="shared" si="419"/>
        <v>1825</v>
      </c>
      <c r="R2166" s="13"/>
      <c r="S2166" s="12" t="str">
        <f t="shared" si="420"/>
        <v/>
      </c>
      <c r="T2166" s="13" t="s">
        <v>28</v>
      </c>
      <c r="U2166" s="13" t="s">
        <v>8122</v>
      </c>
      <c r="V2166" s="12" t="str">
        <f t="shared" si="421"/>
        <v>1845</v>
      </c>
      <c r="W2166" s="13" t="s">
        <v>15240</v>
      </c>
      <c r="X2166" s="13" t="s">
        <v>726</v>
      </c>
      <c r="Y2166" s="13"/>
      <c r="Z2166" s="13"/>
      <c r="AA2166" s="13" t="s">
        <v>15241</v>
      </c>
      <c r="AB2166" s="13" t="s">
        <v>28</v>
      </c>
      <c r="AC2166" s="13" t="s">
        <v>7964</v>
      </c>
      <c r="AD2166" s="13" t="s">
        <v>140</v>
      </c>
      <c r="AE2166" s="13" t="s">
        <v>15242</v>
      </c>
      <c r="AF2166" s="13" t="s">
        <v>7862</v>
      </c>
      <c r="AG2166" s="13" t="s">
        <v>74</v>
      </c>
      <c r="AH2166" s="13" t="s">
        <v>13895</v>
      </c>
      <c r="AI2166" s="12" t="str">
        <f t="shared" si="422"/>
        <v>1838</v>
      </c>
      <c r="AJ2166" s="13"/>
      <c r="AK2166" s="13" t="s">
        <v>140</v>
      </c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2"/>
      <c r="BI2166" s="12"/>
      <c r="BJ2166" s="12"/>
      <c r="BK2166" s="12"/>
      <c r="BL2166" s="12"/>
      <c r="BM2166" s="12"/>
      <c r="BN2166" s="12"/>
      <c r="BO2166" s="12"/>
      <c r="BP2166" s="12"/>
      <c r="BQ2166" s="12"/>
      <c r="BR2166" s="12"/>
      <c r="BS2166" s="12"/>
      <c r="BT2166" s="12"/>
      <c r="BU2166" s="12"/>
      <c r="BV2166" s="12"/>
      <c r="BW2166" s="12"/>
      <c r="BX2166" s="12"/>
      <c r="BY2166" s="12"/>
      <c r="BZ2166" s="12"/>
      <c r="CA2166" s="12"/>
      <c r="CB2166" s="12"/>
      <c r="CC2166" s="12"/>
      <c r="CD2166" s="12"/>
    </row>
    <row r="2167" spans="1:82">
      <c r="A2167" s="13" t="s">
        <v>729</v>
      </c>
      <c r="B2167" s="12" t="str">
        <f t="shared" si="414"/>
        <v>VENTER</v>
      </c>
      <c r="C2167" s="12" t="str">
        <f t="shared" si="415"/>
        <v>VENTER</v>
      </c>
      <c r="D2167" s="13" t="s">
        <v>6383</v>
      </c>
      <c r="E2167" s="12" t="str">
        <f t="shared" si="413"/>
        <v>Jacobus Daniel Sr.</v>
      </c>
      <c r="F2167" s="13" t="s">
        <v>6384</v>
      </c>
      <c r="G2167" s="12" t="str">
        <f t="shared" si="416"/>
        <v>a1b5c2d1e5</v>
      </c>
      <c r="H2167" s="12" t="str">
        <f t="shared" si="417"/>
        <v>VENTERa1b5c2d1e5</v>
      </c>
      <c r="I2167" s="13"/>
      <c r="J2167" s="13"/>
      <c r="K2167" s="12" t="str">
        <f t="shared" si="418"/>
        <v/>
      </c>
      <c r="L2167" s="13"/>
      <c r="M2167" s="13" t="s">
        <v>6385</v>
      </c>
      <c r="N2167" s="12" t="str">
        <f t="shared" si="411"/>
        <v/>
      </c>
      <c r="O2167" s="12" t="str">
        <f t="shared" si="412"/>
        <v>1788</v>
      </c>
      <c r="P2167" s="11"/>
      <c r="Q2167" s="12" t="str">
        <f t="shared" si="419"/>
        <v>1788</v>
      </c>
      <c r="R2167" s="13"/>
      <c r="S2167" s="12" t="str">
        <f t="shared" si="420"/>
        <v/>
      </c>
      <c r="T2167" s="13" t="s">
        <v>542</v>
      </c>
      <c r="U2167" s="13" t="s">
        <v>1267</v>
      </c>
      <c r="V2167" s="12" t="str">
        <f t="shared" si="421"/>
        <v>1807</v>
      </c>
      <c r="W2167" s="13" t="s">
        <v>820</v>
      </c>
      <c r="X2167" s="13" t="s">
        <v>391</v>
      </c>
      <c r="Y2167" s="13" t="s">
        <v>6728</v>
      </c>
      <c r="Z2167" s="13"/>
      <c r="AA2167" s="13"/>
      <c r="AB2167" s="13"/>
      <c r="AC2167" s="13" t="s">
        <v>15246</v>
      </c>
      <c r="AD2167" s="13"/>
      <c r="AE2167" s="13">
        <v>1833</v>
      </c>
      <c r="AF2167" s="13" t="s">
        <v>11752</v>
      </c>
      <c r="AG2167" s="13" t="s">
        <v>366</v>
      </c>
      <c r="AH2167" s="13" t="s">
        <v>12836</v>
      </c>
      <c r="AI2167" s="12" t="str">
        <f t="shared" si="422"/>
        <v>1838</v>
      </c>
      <c r="AJ2167" s="13" t="s">
        <v>13442</v>
      </c>
      <c r="AK2167" s="13" t="s">
        <v>155</v>
      </c>
      <c r="AL2167" s="13" t="s">
        <v>140</v>
      </c>
      <c r="AM2167" s="13" t="s">
        <v>14618</v>
      </c>
      <c r="AN2167" s="13" t="s">
        <v>1387</v>
      </c>
      <c r="AO2167" s="13" t="s">
        <v>778</v>
      </c>
      <c r="AP2167" s="13" t="s">
        <v>15247</v>
      </c>
      <c r="AQ2167" s="13"/>
      <c r="AR2167" s="13" t="s">
        <v>8592</v>
      </c>
      <c r="AS2167" s="13" t="s">
        <v>199</v>
      </c>
      <c r="AT2167" s="13" t="s">
        <v>336</v>
      </c>
      <c r="AU2167" s="13"/>
      <c r="AV2167" s="13"/>
      <c r="AW2167" s="13"/>
      <c r="AX2167" s="13"/>
      <c r="AY2167" s="13"/>
      <c r="AZ2167" s="13"/>
      <c r="BA2167" s="13"/>
      <c r="BB2167" s="13"/>
      <c r="BC2167" s="13"/>
      <c r="BD2167" s="13"/>
      <c r="BE2167" s="13"/>
      <c r="BF2167" s="13"/>
      <c r="BG2167" s="13"/>
      <c r="BH2167" s="12"/>
      <c r="BI2167" s="12"/>
      <c r="BJ2167" s="12"/>
      <c r="BK2167" s="12"/>
      <c r="BL2167" s="12"/>
      <c r="BM2167" s="12"/>
      <c r="BN2167" s="12"/>
      <c r="BO2167" s="12"/>
      <c r="BP2167" s="12"/>
      <c r="BQ2167" s="12"/>
      <c r="BR2167" s="12"/>
      <c r="BS2167" s="12"/>
      <c r="BT2167" s="12"/>
      <c r="BU2167" s="12"/>
      <c r="BV2167" s="12"/>
      <c r="BW2167" s="12"/>
      <c r="BX2167" s="12"/>
      <c r="BY2167" s="12"/>
      <c r="BZ2167" s="12"/>
      <c r="CA2167" s="12"/>
      <c r="CB2167" s="12"/>
      <c r="CC2167" s="12"/>
      <c r="CD2167" s="12"/>
    </row>
    <row r="2168" spans="1:82">
      <c r="A2168" s="13" t="s">
        <v>729</v>
      </c>
      <c r="B2168" s="12" t="str">
        <f t="shared" si="414"/>
        <v>VENTER</v>
      </c>
      <c r="C2168" s="12" t="str">
        <f t="shared" si="415"/>
        <v>VENTER</v>
      </c>
      <c r="D2168" s="13" t="s">
        <v>6416</v>
      </c>
      <c r="E2168" s="12" t="str">
        <f t="shared" si="413"/>
        <v>Jan Louis</v>
      </c>
      <c r="F2168" s="13" t="s">
        <v>6417</v>
      </c>
      <c r="G2168" s="12" t="str">
        <f t="shared" si="416"/>
        <v>a1b5c2d1e5f1</v>
      </c>
      <c r="H2168" s="12" t="str">
        <f t="shared" si="417"/>
        <v>VENTERa1b5c2d1e5f1</v>
      </c>
      <c r="I2168" s="13"/>
      <c r="J2168" s="13" t="s">
        <v>6418</v>
      </c>
      <c r="K2168" s="12" t="str">
        <f t="shared" si="418"/>
        <v>1809</v>
      </c>
      <c r="L2168" s="13" t="s">
        <v>32</v>
      </c>
      <c r="M2168" s="13" t="s">
        <v>3868</v>
      </c>
      <c r="N2168" s="12" t="str">
        <f t="shared" si="411"/>
        <v>1809</v>
      </c>
      <c r="O2168" s="12" t="str">
        <f t="shared" si="412"/>
        <v>1809</v>
      </c>
      <c r="P2168" s="13" t="s">
        <v>6419</v>
      </c>
      <c r="Q2168" s="12" t="str">
        <f t="shared" si="419"/>
        <v>1809</v>
      </c>
      <c r="R2168" s="13" t="s">
        <v>6420</v>
      </c>
      <c r="S2168" s="12" t="str">
        <f t="shared" si="420"/>
        <v>1890</v>
      </c>
      <c r="T2168" s="13" t="s">
        <v>366</v>
      </c>
      <c r="U2168" s="13" t="s">
        <v>14394</v>
      </c>
      <c r="V2168" s="12" t="str">
        <f t="shared" si="421"/>
        <v>1831</v>
      </c>
      <c r="W2168" s="13" t="s">
        <v>15270</v>
      </c>
      <c r="X2168" s="13" t="s">
        <v>729</v>
      </c>
      <c r="Y2168" s="13"/>
      <c r="Z2168" s="13"/>
      <c r="AA2168" s="13" t="s">
        <v>15271</v>
      </c>
      <c r="AB2168" s="13" t="s">
        <v>74</v>
      </c>
      <c r="AC2168" s="13" t="s">
        <v>15272</v>
      </c>
      <c r="AD2168" s="13" t="s">
        <v>93</v>
      </c>
      <c r="AE2168" s="13" t="s">
        <v>15273</v>
      </c>
      <c r="AF2168" s="13" t="s">
        <v>11752</v>
      </c>
      <c r="AG2168" s="13" t="s">
        <v>366</v>
      </c>
      <c r="AH2168" s="13" t="s">
        <v>12836</v>
      </c>
      <c r="AI2168" s="12" t="str">
        <f t="shared" si="422"/>
        <v>1838</v>
      </c>
      <c r="AJ2168" s="13" t="s">
        <v>13442</v>
      </c>
      <c r="AK2168" s="13" t="s">
        <v>155</v>
      </c>
      <c r="AL2168" s="13"/>
      <c r="AM2168" s="13"/>
      <c r="AN2168" s="13"/>
      <c r="AO2168" s="13"/>
      <c r="AP2168" s="13"/>
      <c r="AQ2168" s="13"/>
      <c r="AR2168" s="13"/>
      <c r="AS2168" s="13"/>
      <c r="AT2168" s="13"/>
      <c r="AU2168" s="13"/>
      <c r="AV2168" s="13"/>
      <c r="AW2168" s="13"/>
      <c r="AX2168" s="13"/>
      <c r="AY2168" s="13"/>
      <c r="AZ2168" s="13"/>
      <c r="BA2168" s="13"/>
      <c r="BB2168" s="13"/>
      <c r="BC2168" s="13"/>
      <c r="BD2168" s="13"/>
      <c r="BE2168" s="13"/>
      <c r="BF2168" s="13"/>
      <c r="BG2168" s="13"/>
      <c r="BH2168" s="12"/>
      <c r="BI2168" s="12"/>
      <c r="BJ2168" s="12"/>
      <c r="BK2168" s="12"/>
      <c r="BL2168" s="12"/>
      <c r="BM2168" s="12"/>
      <c r="BN2168" s="12"/>
      <c r="BO2168" s="12"/>
      <c r="BP2168" s="12"/>
      <c r="BQ2168" s="12"/>
      <c r="BR2168" s="12"/>
      <c r="BS2168" s="12"/>
      <c r="BT2168" s="12"/>
      <c r="BU2168" s="12"/>
      <c r="BV2168" s="12"/>
      <c r="BW2168" s="12"/>
      <c r="BX2168" s="12"/>
      <c r="BY2168" s="12"/>
      <c r="BZ2168" s="12"/>
      <c r="CA2168" s="12"/>
      <c r="CB2168" s="12"/>
      <c r="CC2168" s="12"/>
      <c r="CD2168" s="12"/>
    </row>
    <row r="2169" spans="1:82">
      <c r="A2169" s="13" t="s">
        <v>729</v>
      </c>
      <c r="B2169" s="12" t="str">
        <f t="shared" si="414"/>
        <v>VENTER</v>
      </c>
      <c r="C2169" s="12" t="str">
        <f t="shared" si="415"/>
        <v>VENTER</v>
      </c>
      <c r="D2169" s="13" t="s">
        <v>6487</v>
      </c>
      <c r="E2169" s="12" t="str">
        <f t="shared" si="413"/>
        <v>Pieter Johannes Lodewyk</v>
      </c>
      <c r="F2169" s="13" t="s">
        <v>6488</v>
      </c>
      <c r="G2169" s="12" t="str">
        <f t="shared" si="416"/>
        <v>a1b5c2d1e5f2</v>
      </c>
      <c r="H2169" s="12" t="str">
        <f t="shared" si="417"/>
        <v>VENTERa1b5c2d1e5f2</v>
      </c>
      <c r="I2169" s="13" t="s">
        <v>53</v>
      </c>
      <c r="J2169" s="13" t="s">
        <v>6489</v>
      </c>
      <c r="K2169" s="12" t="str">
        <f t="shared" si="418"/>
        <v>1811</v>
      </c>
      <c r="L2169" s="13" t="s">
        <v>1071</v>
      </c>
      <c r="M2169" s="13" t="s">
        <v>6490</v>
      </c>
      <c r="N2169" s="12" t="str">
        <f t="shared" si="411"/>
        <v>1811</v>
      </c>
      <c r="O2169" s="12" t="str">
        <f t="shared" si="412"/>
        <v>1812</v>
      </c>
      <c r="P2169" s="13" t="s">
        <v>6491</v>
      </c>
      <c r="Q2169" s="12" t="str">
        <f t="shared" si="419"/>
        <v>1811</v>
      </c>
      <c r="R2169" s="13" t="s">
        <v>6492</v>
      </c>
      <c r="S2169" s="12" t="str">
        <f t="shared" si="420"/>
        <v>1894</v>
      </c>
      <c r="T2169" s="13" t="s">
        <v>53</v>
      </c>
      <c r="U2169" s="13" t="s">
        <v>9467</v>
      </c>
      <c r="V2169" s="12" t="str">
        <f t="shared" si="421"/>
        <v>1831</v>
      </c>
      <c r="W2169" s="13" t="s">
        <v>3389</v>
      </c>
      <c r="X2169" s="13" t="s">
        <v>2306</v>
      </c>
      <c r="Y2169" s="13"/>
      <c r="Z2169" s="13"/>
      <c r="AA2169" s="13" t="s">
        <v>15313</v>
      </c>
      <c r="AB2169" s="13" t="s">
        <v>74</v>
      </c>
      <c r="AC2169" s="13" t="s">
        <v>3746</v>
      </c>
      <c r="AD2169" s="13"/>
      <c r="AE2169" s="13">
        <v>1883</v>
      </c>
      <c r="AF2169" s="13" t="s">
        <v>11752</v>
      </c>
      <c r="AG2169" s="13" t="s">
        <v>366</v>
      </c>
      <c r="AH2169" s="13" t="s">
        <v>12836</v>
      </c>
      <c r="AI2169" s="12" t="str">
        <f t="shared" si="422"/>
        <v>1838</v>
      </c>
      <c r="AJ2169" s="13" t="s">
        <v>13442</v>
      </c>
      <c r="AK2169" s="13" t="s">
        <v>120</v>
      </c>
      <c r="AL2169" s="13"/>
      <c r="AM2169" s="13"/>
      <c r="AN2169" s="13" t="s">
        <v>673</v>
      </c>
      <c r="AO2169" s="13" t="s">
        <v>778</v>
      </c>
      <c r="AP2169" s="13"/>
      <c r="AQ2169" s="13"/>
      <c r="AR2169" s="13"/>
      <c r="AS2169" s="13"/>
      <c r="AT2169" s="13"/>
      <c r="AU2169" s="13"/>
      <c r="AV2169" s="13"/>
      <c r="AW2169" s="13"/>
      <c r="AX2169" s="13"/>
      <c r="AY2169" s="13" t="s">
        <v>14511</v>
      </c>
      <c r="AZ2169" s="13" t="s">
        <v>700</v>
      </c>
      <c r="BA2169" s="13"/>
      <c r="BB2169" s="13"/>
      <c r="BC2169" s="13"/>
      <c r="BD2169" s="13"/>
      <c r="BE2169" s="13"/>
      <c r="BF2169" s="13"/>
      <c r="BG2169" s="13"/>
      <c r="BH2169" s="12"/>
      <c r="BI2169" s="12"/>
      <c r="BJ2169" s="12" t="s">
        <v>4789</v>
      </c>
      <c r="BK2169" s="12" t="s">
        <v>776</v>
      </c>
      <c r="BL2169" s="12"/>
      <c r="BM2169" s="12"/>
      <c r="BN2169" s="12"/>
      <c r="BO2169" s="12"/>
      <c r="BP2169" s="12"/>
      <c r="BQ2169" s="12"/>
      <c r="BR2169" s="12"/>
      <c r="BS2169" s="12"/>
      <c r="BT2169" s="12" t="s">
        <v>14954</v>
      </c>
      <c r="BU2169" s="12" t="s">
        <v>731</v>
      </c>
      <c r="BV2169" s="12"/>
      <c r="BW2169" s="12"/>
      <c r="BX2169" s="12" t="s">
        <v>2530</v>
      </c>
      <c r="BY2169" s="12" t="s">
        <v>199</v>
      </c>
      <c r="BZ2169" s="12" t="s">
        <v>14956</v>
      </c>
      <c r="CA2169" s="12" t="s">
        <v>406</v>
      </c>
      <c r="CB2169" s="12" t="s">
        <v>15314</v>
      </c>
      <c r="CC2169" s="12"/>
      <c r="CD2169" s="12"/>
    </row>
    <row r="2170" spans="1:82">
      <c r="A2170" s="13" t="s">
        <v>729</v>
      </c>
      <c r="B2170" s="12" t="str">
        <f t="shared" si="414"/>
        <v>VENTER</v>
      </c>
      <c r="C2170" s="12" t="str">
        <f t="shared" si="415"/>
        <v>VENTER</v>
      </c>
      <c r="D2170" s="13" t="s">
        <v>6376</v>
      </c>
      <c r="E2170" s="12" t="str">
        <f t="shared" si="413"/>
        <v>Jacobus Daniel Jr.</v>
      </c>
      <c r="F2170" s="13" t="s">
        <v>6377</v>
      </c>
      <c r="G2170" s="12" t="str">
        <f t="shared" si="416"/>
        <v>a1b5c2d1e5f3</v>
      </c>
      <c r="H2170" s="12" t="str">
        <f t="shared" si="417"/>
        <v>VENTERa1b5c2d1e5f3</v>
      </c>
      <c r="I2170" s="13" t="s">
        <v>6378</v>
      </c>
      <c r="J2170" s="13" t="s">
        <v>6379</v>
      </c>
      <c r="K2170" s="12" t="str">
        <f t="shared" si="418"/>
        <v>1814</v>
      </c>
      <c r="L2170" s="13" t="s">
        <v>1071</v>
      </c>
      <c r="M2170" s="13" t="s">
        <v>6380</v>
      </c>
      <c r="N2170" s="12" t="str">
        <f t="shared" si="411"/>
        <v>1814</v>
      </c>
      <c r="O2170" s="12" t="str">
        <f t="shared" si="412"/>
        <v>1814</v>
      </c>
      <c r="P2170" s="13" t="s">
        <v>6381</v>
      </c>
      <c r="Q2170" s="12" t="str">
        <f t="shared" si="419"/>
        <v>1814</v>
      </c>
      <c r="R2170" s="13" t="s">
        <v>6382</v>
      </c>
      <c r="S2170" s="12" t="str">
        <f t="shared" si="420"/>
        <v>1892</v>
      </c>
      <c r="T2170" s="13" t="s">
        <v>140</v>
      </c>
      <c r="U2170" s="13" t="s">
        <v>4475</v>
      </c>
      <c r="V2170" s="12" t="str">
        <f t="shared" si="421"/>
        <v>1840</v>
      </c>
      <c r="W2170" s="13" t="s">
        <v>716</v>
      </c>
      <c r="X2170" s="13" t="s">
        <v>2363</v>
      </c>
      <c r="Y2170" s="13"/>
      <c r="Z2170" s="13"/>
      <c r="AA2170" s="13"/>
      <c r="AB2170" s="13"/>
      <c r="AC2170" s="13" t="s">
        <v>15245</v>
      </c>
      <c r="AD2170" s="13" t="s">
        <v>4103</v>
      </c>
      <c r="AE2170" s="13" t="s">
        <v>2848</v>
      </c>
      <c r="AF2170" s="13" t="s">
        <v>11752</v>
      </c>
      <c r="AG2170" s="13" t="s">
        <v>366</v>
      </c>
      <c r="AH2170" s="13" t="s">
        <v>12836</v>
      </c>
      <c r="AI2170" s="12" t="str">
        <f t="shared" si="422"/>
        <v>1838</v>
      </c>
      <c r="AJ2170" s="13" t="s">
        <v>13442</v>
      </c>
      <c r="AK2170" s="13" t="s">
        <v>9365</v>
      </c>
      <c r="AL2170" s="13"/>
      <c r="AM2170" s="13"/>
      <c r="AN2170" s="13"/>
      <c r="AO2170" s="13"/>
      <c r="AP2170" s="13"/>
      <c r="AQ2170" s="13"/>
      <c r="AR2170" s="13"/>
      <c r="AS2170" s="13"/>
      <c r="AT2170" s="13"/>
      <c r="AU2170" s="13"/>
      <c r="AV2170" s="13"/>
      <c r="AW2170" s="13"/>
      <c r="AX2170" s="13"/>
      <c r="AY2170" s="13"/>
      <c r="AZ2170" s="13"/>
      <c r="BA2170" s="13"/>
      <c r="BB2170" s="13"/>
      <c r="BC2170" s="13"/>
      <c r="BD2170" s="13"/>
      <c r="BE2170" s="13"/>
      <c r="BF2170" s="13"/>
      <c r="BG2170" s="13"/>
      <c r="BH2170" s="12"/>
      <c r="BI2170" s="12"/>
      <c r="BJ2170" s="12"/>
      <c r="BK2170" s="12"/>
      <c r="BL2170" s="12"/>
      <c r="BM2170" s="12"/>
      <c r="BN2170" s="12"/>
      <c r="BO2170" s="12"/>
      <c r="BP2170" s="12"/>
      <c r="BQ2170" s="12"/>
      <c r="BR2170" s="12"/>
      <c r="BS2170" s="12"/>
      <c r="BT2170" s="12"/>
      <c r="BU2170" s="12"/>
      <c r="BV2170" s="12"/>
      <c r="BW2170" s="12"/>
      <c r="BX2170" s="12"/>
      <c r="BY2170" s="12"/>
      <c r="BZ2170" s="12"/>
      <c r="CA2170" s="12"/>
      <c r="CB2170" s="12"/>
      <c r="CC2170" s="12"/>
      <c r="CD2170" s="12"/>
    </row>
    <row r="2171" spans="1:82">
      <c r="A2171" s="13" t="s">
        <v>729</v>
      </c>
      <c r="B2171" s="12" t="str">
        <f t="shared" si="414"/>
        <v>VENTER</v>
      </c>
      <c r="C2171" s="12" t="str">
        <f t="shared" si="415"/>
        <v>VENTER</v>
      </c>
      <c r="D2171" s="13" t="s">
        <v>466</v>
      </c>
      <c r="E2171" s="12" t="str">
        <f t="shared" si="413"/>
        <v>Stephanus Marthinus</v>
      </c>
      <c r="F2171" s="13" t="s">
        <v>6501</v>
      </c>
      <c r="G2171" s="12" t="str">
        <f t="shared" si="416"/>
        <v>a1b5c2d1e5f5</v>
      </c>
      <c r="H2171" s="12" t="str">
        <f t="shared" si="417"/>
        <v>VENTERa1b5c2d1e5f5</v>
      </c>
      <c r="I2171" s="13" t="s">
        <v>6502</v>
      </c>
      <c r="J2171" s="13" t="s">
        <v>6503</v>
      </c>
      <c r="K2171" s="12" t="str">
        <f t="shared" si="418"/>
        <v>1821</v>
      </c>
      <c r="L2171" s="13" t="s">
        <v>366</v>
      </c>
      <c r="M2171" s="13" t="s">
        <v>6504</v>
      </c>
      <c r="N2171" s="12" t="str">
        <f t="shared" si="411"/>
        <v>1821</v>
      </c>
      <c r="O2171" s="12" t="str">
        <f t="shared" si="412"/>
        <v>1821</v>
      </c>
      <c r="P2171" s="13"/>
      <c r="Q2171" s="12" t="str">
        <f t="shared" si="419"/>
        <v>1821</v>
      </c>
      <c r="R2171" s="13"/>
      <c r="S2171" s="12" t="str">
        <f t="shared" si="420"/>
        <v/>
      </c>
      <c r="T2171" s="13"/>
      <c r="U2171" s="13"/>
      <c r="V2171" s="12" t="str">
        <f t="shared" si="421"/>
        <v/>
      </c>
      <c r="W2171" s="13" t="s">
        <v>687</v>
      </c>
      <c r="X2171" s="13" t="s">
        <v>15323</v>
      </c>
      <c r="Y2171" s="13"/>
      <c r="Z2171" s="13"/>
      <c r="AA2171" s="13"/>
      <c r="AB2171" s="13"/>
      <c r="AC2171" s="13"/>
      <c r="AD2171" s="13"/>
      <c r="AE2171" s="13"/>
      <c r="AF2171" s="13" t="s">
        <v>11752</v>
      </c>
      <c r="AG2171" s="13" t="s">
        <v>366</v>
      </c>
      <c r="AH2171" s="13" t="s">
        <v>12836</v>
      </c>
      <c r="AI2171" s="12" t="str">
        <f t="shared" si="422"/>
        <v>1838</v>
      </c>
      <c r="AJ2171" s="13" t="s">
        <v>13442</v>
      </c>
      <c r="AK2171" s="13" t="s">
        <v>140</v>
      </c>
      <c r="AL2171" s="13"/>
      <c r="AM2171" s="13"/>
      <c r="AN2171" s="13"/>
      <c r="AO2171" s="13"/>
      <c r="AP2171" s="13"/>
      <c r="AQ2171" s="13"/>
      <c r="AR2171" s="13"/>
      <c r="AS2171" s="13"/>
      <c r="AT2171" s="13"/>
      <c r="AU2171" s="13"/>
      <c r="AV2171" s="13"/>
      <c r="AW2171" s="13"/>
      <c r="AX2171" s="13"/>
      <c r="AY2171" s="13"/>
      <c r="AZ2171" s="13"/>
      <c r="BA2171" s="13"/>
      <c r="BB2171" s="13"/>
      <c r="BC2171" s="13"/>
      <c r="BD2171" s="13"/>
      <c r="BE2171" s="13"/>
      <c r="BF2171" s="13"/>
      <c r="BG2171" s="13"/>
      <c r="BH2171" s="12"/>
      <c r="BI2171" s="12"/>
      <c r="BJ2171" s="12"/>
      <c r="BK2171" s="12"/>
      <c r="BL2171" s="12"/>
      <c r="BM2171" s="12"/>
      <c r="BN2171" s="12"/>
      <c r="BO2171" s="12"/>
      <c r="BP2171" s="12"/>
      <c r="BQ2171" s="12"/>
      <c r="BR2171" s="12"/>
      <c r="BS2171" s="12"/>
      <c r="BT2171" s="12"/>
      <c r="BU2171" s="12"/>
      <c r="BV2171" s="12"/>
      <c r="BW2171" s="12"/>
      <c r="BX2171" s="12"/>
      <c r="BY2171" s="12"/>
      <c r="BZ2171" s="12"/>
      <c r="CA2171" s="12"/>
      <c r="CB2171" s="12"/>
      <c r="CC2171" s="12"/>
      <c r="CD2171" s="12"/>
    </row>
    <row r="2172" spans="1:82">
      <c r="A2172" s="13" t="s">
        <v>729</v>
      </c>
      <c r="B2172" s="12" t="str">
        <f t="shared" si="414"/>
        <v>VENTER</v>
      </c>
      <c r="C2172" s="12" t="str">
        <f t="shared" si="415"/>
        <v>VENTER</v>
      </c>
      <c r="D2172" s="13" t="s">
        <v>6416</v>
      </c>
      <c r="E2172" s="12" t="str">
        <f t="shared" si="413"/>
        <v>Jan Louis</v>
      </c>
      <c r="F2172" s="13" t="s">
        <v>6421</v>
      </c>
      <c r="G2172" s="12" t="str">
        <f t="shared" si="416"/>
        <v>a1b5c2d1e8f1</v>
      </c>
      <c r="H2172" s="12" t="str">
        <f t="shared" si="417"/>
        <v>VENTERa1b5c2d1e8f1</v>
      </c>
      <c r="I2172" s="13"/>
      <c r="J2172" s="13" t="s">
        <v>6422</v>
      </c>
      <c r="K2172" s="12" t="str">
        <f t="shared" si="418"/>
        <v>1812</v>
      </c>
      <c r="L2172" s="13" t="s">
        <v>74</v>
      </c>
      <c r="M2172" s="13" t="s">
        <v>5815</v>
      </c>
      <c r="N2172" s="12" t="str">
        <f t="shared" si="411"/>
        <v>1812</v>
      </c>
      <c r="O2172" s="12" t="str">
        <f t="shared" si="412"/>
        <v>1812</v>
      </c>
      <c r="P2172" s="13"/>
      <c r="Q2172" s="12" t="str">
        <f t="shared" si="419"/>
        <v>1812</v>
      </c>
      <c r="R2172" s="13"/>
      <c r="S2172" s="12" t="str">
        <f t="shared" si="420"/>
        <v/>
      </c>
      <c r="T2172" s="13" t="s">
        <v>366</v>
      </c>
      <c r="U2172" s="13" t="s">
        <v>7151</v>
      </c>
      <c r="V2172" s="12" t="str">
        <f t="shared" si="421"/>
        <v>1837</v>
      </c>
      <c r="W2172" s="13" t="s">
        <v>1757</v>
      </c>
      <c r="X2172" s="13" t="s">
        <v>2153</v>
      </c>
      <c r="Y2172" s="13"/>
      <c r="Z2172" s="13" t="s">
        <v>366</v>
      </c>
      <c r="AA2172" s="13" t="s">
        <v>15274</v>
      </c>
      <c r="AB2172" s="13"/>
      <c r="AC2172" s="13"/>
      <c r="AD2172" s="13"/>
      <c r="AE2172" s="13"/>
      <c r="AF2172" s="13" t="s">
        <v>11752</v>
      </c>
      <c r="AG2172" s="13" t="s">
        <v>366</v>
      </c>
      <c r="AH2172" s="13" t="s">
        <v>12836</v>
      </c>
      <c r="AI2172" s="12" t="str">
        <f t="shared" si="422"/>
        <v>1838</v>
      </c>
      <c r="AJ2172" s="13" t="s">
        <v>13442</v>
      </c>
      <c r="AK2172" s="13" t="s">
        <v>90</v>
      </c>
      <c r="AL2172" s="13"/>
      <c r="AM2172" s="13"/>
      <c r="AN2172" s="13"/>
      <c r="AO2172" s="13"/>
      <c r="AP2172" s="13"/>
      <c r="AQ2172" s="13"/>
      <c r="AR2172" s="13"/>
      <c r="AS2172" s="13"/>
      <c r="AT2172" s="13"/>
      <c r="AU2172" s="13"/>
      <c r="AV2172" s="13"/>
      <c r="AW2172" s="13"/>
      <c r="AX2172" s="13"/>
      <c r="AY2172" s="13"/>
      <c r="AZ2172" s="13"/>
      <c r="BA2172" s="13"/>
      <c r="BB2172" s="13"/>
      <c r="BC2172" s="13"/>
      <c r="BD2172" s="13"/>
      <c r="BE2172" s="13"/>
      <c r="BF2172" s="13"/>
      <c r="BG2172" s="13"/>
      <c r="BH2172" s="12"/>
      <c r="BI2172" s="12"/>
      <c r="BJ2172" s="12"/>
      <c r="BK2172" s="12"/>
      <c r="BL2172" s="12"/>
      <c r="BM2172" s="12"/>
      <c r="BN2172" s="12"/>
      <c r="BO2172" s="12"/>
      <c r="BP2172" s="12"/>
      <c r="BQ2172" s="12"/>
      <c r="BR2172" s="12"/>
      <c r="BS2172" s="12"/>
      <c r="BT2172" s="12"/>
      <c r="BU2172" s="12"/>
      <c r="BV2172" s="12"/>
      <c r="BW2172" s="12"/>
      <c r="BX2172" s="12"/>
      <c r="BY2172" s="12"/>
      <c r="BZ2172" s="12"/>
      <c r="CA2172" s="12"/>
      <c r="CB2172" s="12"/>
      <c r="CC2172" s="12"/>
      <c r="CD2172" s="12"/>
    </row>
    <row r="2173" spans="1:82">
      <c r="A2173" s="13" t="s">
        <v>729</v>
      </c>
      <c r="B2173" s="12" t="str">
        <f t="shared" si="414"/>
        <v>VENTER</v>
      </c>
      <c r="C2173" s="12" t="str">
        <f t="shared" si="415"/>
        <v>VENTER</v>
      </c>
      <c r="D2173" s="13" t="s">
        <v>1244</v>
      </c>
      <c r="E2173" s="12" t="str">
        <f t="shared" si="413"/>
        <v>Jan Adriaan</v>
      </c>
      <c r="F2173" s="13" t="s">
        <v>6394</v>
      </c>
      <c r="G2173" s="12" t="str">
        <f t="shared" si="416"/>
        <v>a1b5c4d11e4</v>
      </c>
      <c r="H2173" s="12" t="str">
        <f t="shared" si="417"/>
        <v>VENTERa1b5c4d11e4</v>
      </c>
      <c r="I2173" s="13"/>
      <c r="J2173" s="13" t="s">
        <v>6395</v>
      </c>
      <c r="K2173" s="12" t="str">
        <f t="shared" si="418"/>
        <v>1803</v>
      </c>
      <c r="L2173" s="13" t="s">
        <v>74</v>
      </c>
      <c r="M2173" s="13" t="s">
        <v>6396</v>
      </c>
      <c r="N2173" s="12" t="str">
        <f t="shared" si="411"/>
        <v>1803</v>
      </c>
      <c r="O2173" s="12" t="str">
        <f t="shared" si="412"/>
        <v>1804</v>
      </c>
      <c r="P2173" s="11"/>
      <c r="Q2173" s="12" t="str">
        <f t="shared" si="419"/>
        <v>1803</v>
      </c>
      <c r="R2173" s="11"/>
      <c r="S2173" s="12" t="str">
        <f t="shared" si="420"/>
        <v/>
      </c>
      <c r="T2173" s="13" t="s">
        <v>74</v>
      </c>
      <c r="U2173" s="13" t="s">
        <v>1349</v>
      </c>
      <c r="V2173" s="12" t="str">
        <f t="shared" si="421"/>
        <v>1822</v>
      </c>
      <c r="W2173" s="13" t="s">
        <v>15145</v>
      </c>
      <c r="X2173" s="13" t="s">
        <v>700</v>
      </c>
      <c r="Y2173" s="13"/>
      <c r="Z2173" s="13"/>
      <c r="AA2173" s="13" t="s">
        <v>4654</v>
      </c>
      <c r="AB2173" s="13"/>
      <c r="AC2173" s="13" t="s">
        <v>7409</v>
      </c>
      <c r="AD2173" s="13"/>
      <c r="AE2173" s="13" t="s">
        <v>15254</v>
      </c>
      <c r="AF2173" s="13" t="s">
        <v>3723</v>
      </c>
      <c r="AG2173" s="13" t="s">
        <v>60</v>
      </c>
      <c r="AH2173" s="13">
        <v>1843</v>
      </c>
      <c r="AI2173" s="12" t="str">
        <f t="shared" si="422"/>
        <v>1843</v>
      </c>
      <c r="AJ2173" s="13"/>
      <c r="AK2173" s="13"/>
      <c r="AL2173" s="13"/>
      <c r="AM2173" s="13"/>
      <c r="AN2173" s="13" t="s">
        <v>15255</v>
      </c>
      <c r="AO2173" s="13" t="s">
        <v>8666</v>
      </c>
      <c r="AP2173" s="13"/>
      <c r="AQ2173" s="13"/>
      <c r="AR2173" s="13" t="s">
        <v>15256</v>
      </c>
      <c r="AS2173" s="13"/>
      <c r="AT2173" s="13"/>
      <c r="AU2173" s="13" t="s">
        <v>2890</v>
      </c>
      <c r="AV2173" s="13" t="s">
        <v>337</v>
      </c>
      <c r="AW2173" s="13"/>
      <c r="AX2173" s="13"/>
      <c r="AY2173" s="13"/>
      <c r="AZ2173" s="13"/>
      <c r="BA2173" s="13"/>
      <c r="BB2173" s="13"/>
      <c r="BC2173" s="13"/>
      <c r="BD2173" s="13"/>
      <c r="BE2173" s="13"/>
      <c r="BF2173" s="13"/>
      <c r="BG2173" s="13"/>
      <c r="BH2173" s="12"/>
      <c r="BI2173" s="12"/>
      <c r="BJ2173" s="12"/>
      <c r="BK2173" s="12"/>
      <c r="BL2173" s="12"/>
      <c r="BM2173" s="12"/>
      <c r="BN2173" s="12"/>
      <c r="BO2173" s="12"/>
      <c r="BP2173" s="12"/>
      <c r="BQ2173" s="12"/>
      <c r="BR2173" s="12"/>
      <c r="BS2173" s="12"/>
      <c r="BT2173" s="12"/>
      <c r="BU2173" s="12"/>
      <c r="BV2173" s="12"/>
      <c r="BW2173" s="12"/>
      <c r="BX2173" s="12"/>
      <c r="BY2173" s="12"/>
      <c r="BZ2173" s="12"/>
      <c r="CA2173" s="12"/>
      <c r="CB2173" s="12"/>
      <c r="CC2173" s="12"/>
      <c r="CD2173" s="12"/>
    </row>
    <row r="2174" spans="1:82">
      <c r="A2174" s="13" t="s">
        <v>729</v>
      </c>
      <c r="B2174" s="12" t="str">
        <f t="shared" si="414"/>
        <v>VENTER</v>
      </c>
      <c r="C2174" s="12" t="str">
        <f t="shared" si="415"/>
        <v>VENTER</v>
      </c>
      <c r="D2174" s="13" t="s">
        <v>6453</v>
      </c>
      <c r="E2174" s="12" t="str">
        <f t="shared" si="413"/>
        <v xml:space="preserve">Paulus Christoffel </v>
      </c>
      <c r="F2174" s="13" t="s">
        <v>6454</v>
      </c>
      <c r="G2174" s="12" t="str">
        <f t="shared" si="416"/>
        <v>a1b5c4d1e10</v>
      </c>
      <c r="H2174" s="12" t="str">
        <f t="shared" si="417"/>
        <v>VENTERa1b5c4d1e10</v>
      </c>
      <c r="I2174" s="13" t="s">
        <v>6455</v>
      </c>
      <c r="J2174" s="13"/>
      <c r="K2174" s="12" t="str">
        <f t="shared" si="418"/>
        <v/>
      </c>
      <c r="L2174" s="13" t="s">
        <v>74</v>
      </c>
      <c r="M2174" s="13" t="s">
        <v>6456</v>
      </c>
      <c r="N2174" s="12" t="str">
        <f t="shared" si="411"/>
        <v/>
      </c>
      <c r="O2174" s="12" t="str">
        <f t="shared" si="412"/>
        <v>1808</v>
      </c>
      <c r="P2174" s="13" t="s">
        <v>90</v>
      </c>
      <c r="Q2174" s="12" t="str">
        <f t="shared" si="419"/>
        <v>1808</v>
      </c>
      <c r="R2174" s="13">
        <v>1844</v>
      </c>
      <c r="S2174" s="12" t="str">
        <f t="shared" si="420"/>
        <v>1844</v>
      </c>
      <c r="T2174" s="13" t="s">
        <v>28</v>
      </c>
      <c r="U2174" s="13" t="s">
        <v>1994</v>
      </c>
      <c r="V2174" s="12" t="str">
        <f t="shared" si="421"/>
        <v>1827</v>
      </c>
      <c r="W2174" s="13" t="s">
        <v>15293</v>
      </c>
      <c r="X2174" s="13" t="s">
        <v>2901</v>
      </c>
      <c r="Y2174" s="13" t="s">
        <v>4333</v>
      </c>
      <c r="Z2174" s="13"/>
      <c r="AA2174" s="13" t="s">
        <v>8229</v>
      </c>
      <c r="AB2174" s="13"/>
      <c r="AC2174" s="13" t="s">
        <v>1296</v>
      </c>
      <c r="AD2174" s="13" t="s">
        <v>4129</v>
      </c>
      <c r="AE2174" s="13">
        <v>1892</v>
      </c>
      <c r="AF2174" s="13" t="s">
        <v>3699</v>
      </c>
      <c r="AG2174" s="13" t="s">
        <v>68</v>
      </c>
      <c r="AH2174" s="13" t="s">
        <v>15294</v>
      </c>
      <c r="AI2174" s="12" t="str">
        <f t="shared" si="422"/>
        <v>1841</v>
      </c>
      <c r="AJ2174" s="13"/>
      <c r="AK2174" s="13" t="s">
        <v>90</v>
      </c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2"/>
      <c r="BI2174" s="12"/>
      <c r="BJ2174" s="12"/>
      <c r="BK2174" s="12"/>
      <c r="BL2174" s="12"/>
      <c r="BM2174" s="12"/>
      <c r="BN2174" s="12"/>
      <c r="BO2174" s="12"/>
      <c r="BP2174" s="12"/>
      <c r="BQ2174" s="12"/>
      <c r="BR2174" s="12"/>
      <c r="BS2174" s="12"/>
      <c r="BT2174" s="12"/>
      <c r="BU2174" s="12"/>
      <c r="BV2174" s="12"/>
      <c r="BW2174" s="12"/>
      <c r="BX2174" s="12"/>
      <c r="BY2174" s="12"/>
      <c r="BZ2174" s="12"/>
      <c r="CA2174" s="12"/>
      <c r="CB2174" s="12"/>
      <c r="CC2174" s="12"/>
      <c r="CD2174" s="12"/>
    </row>
    <row r="2175" spans="1:82">
      <c r="A2175" s="13" t="s">
        <v>729</v>
      </c>
      <c r="B2175" s="12" t="str">
        <f t="shared" si="414"/>
        <v>VENTER</v>
      </c>
      <c r="C2175" s="12" t="str">
        <f t="shared" si="415"/>
        <v>VENTER</v>
      </c>
      <c r="D2175" s="13" t="s">
        <v>5586</v>
      </c>
      <c r="E2175" s="12" t="str">
        <f t="shared" si="413"/>
        <v>Francois Philippus</v>
      </c>
      <c r="F2175" s="13" t="s">
        <v>6360</v>
      </c>
      <c r="G2175" s="12" t="str">
        <f t="shared" si="416"/>
        <v>a1b5c4d1e11</v>
      </c>
      <c r="H2175" s="12" t="str">
        <f t="shared" si="417"/>
        <v>VENTERa1b5c4d1e11</v>
      </c>
      <c r="I2175" s="13"/>
      <c r="J2175" s="13" t="s">
        <v>6361</v>
      </c>
      <c r="K2175" s="12" t="str">
        <f t="shared" si="418"/>
        <v>1810</v>
      </c>
      <c r="L2175" s="13" t="s">
        <v>74</v>
      </c>
      <c r="M2175" s="13" t="s">
        <v>6362</v>
      </c>
      <c r="N2175" s="12" t="str">
        <f t="shared" si="411"/>
        <v>1810</v>
      </c>
      <c r="O2175" s="12" t="str">
        <f t="shared" si="412"/>
        <v>1811</v>
      </c>
      <c r="P2175" s="13"/>
      <c r="Q2175" s="12" t="str">
        <f t="shared" si="419"/>
        <v>1810</v>
      </c>
      <c r="R2175" s="13"/>
      <c r="S2175" s="12" t="str">
        <f t="shared" si="420"/>
        <v/>
      </c>
      <c r="T2175" s="13" t="s">
        <v>28</v>
      </c>
      <c r="U2175" s="13" t="s">
        <v>13776</v>
      </c>
      <c r="V2175" s="12" t="str">
        <f t="shared" si="421"/>
        <v>1835</v>
      </c>
      <c r="W2175" s="13" t="s">
        <v>1297</v>
      </c>
      <c r="X2175" s="13" t="s">
        <v>700</v>
      </c>
      <c r="Y2175" s="13"/>
      <c r="Z2175" s="13"/>
      <c r="AA2175" s="13">
        <v>1815</v>
      </c>
      <c r="AB2175" s="13"/>
      <c r="AC2175" s="13"/>
      <c r="AD2175" s="13"/>
      <c r="AE2175" s="13"/>
      <c r="AF2175" s="13" t="s">
        <v>3699</v>
      </c>
      <c r="AG2175" s="13" t="s">
        <v>68</v>
      </c>
      <c r="AH2175" s="13">
        <v>1840</v>
      </c>
      <c r="AI2175" s="12" t="str">
        <f t="shared" si="422"/>
        <v>1840</v>
      </c>
      <c r="AJ2175" s="13"/>
      <c r="AK2175" s="13" t="s">
        <v>90</v>
      </c>
      <c r="AL2175" s="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/>
      <c r="AX2175" s="13"/>
      <c r="AY2175" s="13"/>
      <c r="AZ2175" s="13"/>
      <c r="BA2175" s="13"/>
      <c r="BB2175" s="13"/>
      <c r="BC2175" s="13"/>
      <c r="BD2175" s="13"/>
      <c r="BE2175" s="13"/>
      <c r="BF2175" s="13"/>
      <c r="BG2175" s="13"/>
      <c r="BH2175" s="12"/>
      <c r="BI2175" s="12"/>
      <c r="BJ2175" s="12"/>
      <c r="BK2175" s="12"/>
      <c r="BL2175" s="12"/>
      <c r="BM2175" s="12"/>
      <c r="BN2175" s="12"/>
      <c r="BO2175" s="12"/>
      <c r="BP2175" s="12"/>
      <c r="BQ2175" s="12"/>
      <c r="BR2175" s="12"/>
      <c r="BS2175" s="12"/>
      <c r="BT2175" s="12"/>
      <c r="BU2175" s="12"/>
      <c r="BV2175" s="12"/>
      <c r="BW2175" s="12"/>
      <c r="BX2175" s="12"/>
      <c r="BY2175" s="12"/>
      <c r="BZ2175" s="12"/>
      <c r="CA2175" s="12"/>
      <c r="CB2175" s="12"/>
      <c r="CC2175" s="12"/>
      <c r="CD2175" s="12"/>
    </row>
    <row r="2176" spans="1:82">
      <c r="A2176" s="13" t="s">
        <v>729</v>
      </c>
      <c r="B2176" s="12" t="str">
        <f t="shared" si="414"/>
        <v>VENTER</v>
      </c>
      <c r="C2176" s="12" t="str">
        <f t="shared" si="415"/>
        <v>VENTER</v>
      </c>
      <c r="D2176" s="13" t="s">
        <v>6335</v>
      </c>
      <c r="E2176" s="12" t="str">
        <f t="shared" si="413"/>
        <v>Albertus Johannes</v>
      </c>
      <c r="F2176" s="13" t="s">
        <v>6336</v>
      </c>
      <c r="G2176" s="12" t="str">
        <f t="shared" si="416"/>
        <v>a1b5c4d1e3f3</v>
      </c>
      <c r="H2176" s="12" t="str">
        <f t="shared" si="417"/>
        <v>VENTERa1b5c4d1e3f3</v>
      </c>
      <c r="I2176" s="13" t="s">
        <v>6337</v>
      </c>
      <c r="J2176" s="13" t="s">
        <v>6338</v>
      </c>
      <c r="K2176" s="12" t="str">
        <f t="shared" si="418"/>
        <v>1807</v>
      </c>
      <c r="L2176" s="13"/>
      <c r="M2176" s="13" t="s">
        <v>6339</v>
      </c>
      <c r="N2176" s="12" t="str">
        <f t="shared" si="411"/>
        <v>1807</v>
      </c>
      <c r="O2176" s="12" t="str">
        <f t="shared" si="412"/>
        <v>1807</v>
      </c>
      <c r="P2176" s="13"/>
      <c r="Q2176" s="12" t="str">
        <f t="shared" si="419"/>
        <v>1807</v>
      </c>
      <c r="R2176" s="13" t="s">
        <v>6340</v>
      </c>
      <c r="S2176" s="12" t="str">
        <f t="shared" si="420"/>
        <v>1881</v>
      </c>
      <c r="T2176" s="13" t="s">
        <v>28</v>
      </c>
      <c r="U2176" s="13" t="s">
        <v>13116</v>
      </c>
      <c r="V2176" s="12" t="str">
        <f t="shared" si="421"/>
        <v>1827</v>
      </c>
      <c r="W2176" s="13" t="s">
        <v>15214</v>
      </c>
      <c r="X2176" s="13" t="s">
        <v>5585</v>
      </c>
      <c r="Y2176" s="13"/>
      <c r="Z2176" s="13"/>
      <c r="AA2176" s="13" t="s">
        <v>15215</v>
      </c>
      <c r="AB2176" s="13" t="s">
        <v>74</v>
      </c>
      <c r="AC2176" s="13" t="s">
        <v>10958</v>
      </c>
      <c r="AD2176" s="13"/>
      <c r="AE2176" s="13"/>
      <c r="AF2176" s="13" t="s">
        <v>11195</v>
      </c>
      <c r="AG2176" s="13" t="s">
        <v>74</v>
      </c>
      <c r="AH2176" s="13" t="s">
        <v>12900</v>
      </c>
      <c r="AI2176" s="12" t="str">
        <f t="shared" si="422"/>
        <v>1836</v>
      </c>
      <c r="AJ2176" s="13" t="s">
        <v>12354</v>
      </c>
      <c r="AK2176" s="13" t="s">
        <v>15216</v>
      </c>
      <c r="AL2176" s="13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/>
      <c r="AX2176" s="13"/>
      <c r="AY2176" s="13"/>
      <c r="AZ2176" s="13"/>
      <c r="BA2176" s="13"/>
      <c r="BB2176" s="13"/>
      <c r="BC2176" s="13"/>
      <c r="BD2176" s="13"/>
      <c r="BE2176" s="13"/>
      <c r="BF2176" s="13"/>
      <c r="BG2176" s="13"/>
      <c r="BH2176" s="12"/>
      <c r="BI2176" s="12"/>
      <c r="BJ2176" s="12"/>
      <c r="BK2176" s="12"/>
      <c r="BL2176" s="12"/>
      <c r="BM2176" s="12"/>
      <c r="BN2176" s="12"/>
      <c r="BO2176" s="12"/>
      <c r="BP2176" s="12"/>
      <c r="BQ2176" s="12"/>
      <c r="BR2176" s="12"/>
      <c r="BS2176" s="12"/>
      <c r="BT2176" s="12"/>
      <c r="BU2176" s="12"/>
      <c r="BV2176" s="12"/>
      <c r="BW2176" s="12"/>
      <c r="BX2176" s="12"/>
      <c r="BY2176" s="12"/>
      <c r="BZ2176" s="12"/>
      <c r="CA2176" s="12"/>
      <c r="CB2176" s="12"/>
      <c r="CC2176" s="12"/>
      <c r="CD2176" s="12"/>
    </row>
    <row r="2177" spans="1:82">
      <c r="A2177" s="13" t="s">
        <v>729</v>
      </c>
      <c r="B2177" s="12" t="str">
        <f t="shared" si="414"/>
        <v>VENTER</v>
      </c>
      <c r="C2177" s="12" t="str">
        <f t="shared" si="415"/>
        <v>VENTER</v>
      </c>
      <c r="D2177" s="13" t="s">
        <v>6481</v>
      </c>
      <c r="E2177" s="12" t="str">
        <f t="shared" si="413"/>
        <v>Philippus Abraham</v>
      </c>
      <c r="F2177" s="13" t="s">
        <v>6482</v>
      </c>
      <c r="G2177" s="12" t="str">
        <f t="shared" si="416"/>
        <v>a1b5c4d1e3f6</v>
      </c>
      <c r="H2177" s="12" t="str">
        <f t="shared" si="417"/>
        <v>VENTERa1b5c4d1e3f6</v>
      </c>
      <c r="I2177" s="13"/>
      <c r="J2177" s="13" t="s">
        <v>6483</v>
      </c>
      <c r="K2177" s="12" t="str">
        <f t="shared" si="418"/>
        <v>1811</v>
      </c>
      <c r="L2177" s="13" t="s">
        <v>74</v>
      </c>
      <c r="M2177" s="13" t="s">
        <v>6484</v>
      </c>
      <c r="N2177" s="12" t="str">
        <f t="shared" si="411"/>
        <v>1811</v>
      </c>
      <c r="O2177" s="12" t="str">
        <f t="shared" si="412"/>
        <v>1811</v>
      </c>
      <c r="P2177" s="13" t="s">
        <v>6485</v>
      </c>
      <c r="Q2177" s="12" t="str">
        <f t="shared" si="419"/>
        <v>1811</v>
      </c>
      <c r="R2177" s="13" t="s">
        <v>6486</v>
      </c>
      <c r="S2177" s="12" t="str">
        <f t="shared" si="420"/>
        <v>1861</v>
      </c>
      <c r="T2177" s="13" t="s">
        <v>28</v>
      </c>
      <c r="U2177" s="13" t="s">
        <v>9916</v>
      </c>
      <c r="V2177" s="12" t="str">
        <f t="shared" si="421"/>
        <v>1831</v>
      </c>
      <c r="W2177" s="13" t="s">
        <v>15309</v>
      </c>
      <c r="X2177" s="13" t="s">
        <v>2106</v>
      </c>
      <c r="Y2177" s="13" t="s">
        <v>15310</v>
      </c>
      <c r="Z2177" s="13"/>
      <c r="AA2177" s="13" t="s">
        <v>15311</v>
      </c>
      <c r="AB2177" s="13"/>
      <c r="AC2177" s="13"/>
      <c r="AD2177" s="13" t="s">
        <v>190</v>
      </c>
      <c r="AE2177" s="13" t="s">
        <v>15312</v>
      </c>
      <c r="AF2177" s="13" t="s">
        <v>3718</v>
      </c>
      <c r="AG2177" s="13" t="s">
        <v>68</v>
      </c>
      <c r="AH2177" s="13" t="s">
        <v>15171</v>
      </c>
      <c r="AI2177" s="12" t="str">
        <f t="shared" si="422"/>
        <v>1841</v>
      </c>
      <c r="AJ2177" s="13"/>
      <c r="AK2177" s="13" t="s">
        <v>551</v>
      </c>
      <c r="AL2177" s="13"/>
      <c r="AM2177" s="13"/>
      <c r="AN2177" s="13"/>
      <c r="AO2177" s="13"/>
      <c r="AP2177" s="13"/>
      <c r="AQ2177" s="13"/>
      <c r="AR2177" s="13"/>
      <c r="AS2177" s="13"/>
      <c r="AT2177" s="13"/>
      <c r="AU2177" s="13"/>
      <c r="AV2177" s="13"/>
      <c r="AW2177" s="13"/>
      <c r="AX2177" s="13"/>
      <c r="AY2177" s="13"/>
      <c r="AZ2177" s="13"/>
      <c r="BA2177" s="13"/>
      <c r="BB2177" s="13"/>
      <c r="BC2177" s="13"/>
      <c r="BD2177" s="13"/>
      <c r="BE2177" s="13"/>
      <c r="BF2177" s="13"/>
      <c r="BG2177" s="13"/>
      <c r="BH2177" s="12"/>
      <c r="BI2177" s="12"/>
      <c r="BJ2177" s="12"/>
      <c r="BK2177" s="12"/>
      <c r="BL2177" s="12"/>
      <c r="BM2177" s="12"/>
      <c r="BN2177" s="12"/>
      <c r="BO2177" s="12"/>
      <c r="BP2177" s="12"/>
      <c r="BQ2177" s="12"/>
      <c r="BR2177" s="12"/>
      <c r="BS2177" s="12"/>
      <c r="BT2177" s="12"/>
      <c r="BU2177" s="12"/>
      <c r="BV2177" s="12"/>
      <c r="BW2177" s="12"/>
      <c r="BX2177" s="12"/>
      <c r="BY2177" s="12"/>
      <c r="BZ2177" s="12"/>
      <c r="CA2177" s="12"/>
      <c r="CB2177" s="12"/>
      <c r="CC2177" s="12"/>
      <c r="CD2177" s="12"/>
    </row>
    <row r="2178" spans="1:82">
      <c r="A2178" s="13" t="s">
        <v>729</v>
      </c>
      <c r="B2178" s="12" t="str">
        <f t="shared" si="414"/>
        <v>VENTER</v>
      </c>
      <c r="C2178" s="12" t="str">
        <f t="shared" si="415"/>
        <v>VENTER</v>
      </c>
      <c r="D2178" s="13" t="s">
        <v>644</v>
      </c>
      <c r="E2178" s="12" t="str">
        <f t="shared" si="413"/>
        <v>Maria Catharina</v>
      </c>
      <c r="F2178" s="13" t="s">
        <v>6445</v>
      </c>
      <c r="G2178" s="12" t="str">
        <f t="shared" si="416"/>
        <v>a1b5c4d2e1</v>
      </c>
      <c r="H2178" s="12" t="str">
        <f t="shared" si="417"/>
        <v>VENTERa1b5c4d2e1</v>
      </c>
      <c r="I2178" s="13"/>
      <c r="J2178" s="13"/>
      <c r="K2178" s="12" t="str">
        <f t="shared" si="418"/>
        <v/>
      </c>
      <c r="L2178" s="13"/>
      <c r="M2178" s="13" t="s">
        <v>6446</v>
      </c>
      <c r="N2178" s="12" t="str">
        <f t="shared" ref="N2178:N2241" si="423">RIGHT(J2178,4)</f>
        <v/>
      </c>
      <c r="O2178" s="12" t="str">
        <f t="shared" ref="O2178:O2241" si="424">RIGHT(M2178,4)</f>
        <v>1782</v>
      </c>
      <c r="P2178" s="13"/>
      <c r="Q2178" s="12" t="str">
        <f t="shared" si="419"/>
        <v>1782</v>
      </c>
      <c r="R2178" s="13"/>
      <c r="S2178" s="12" t="str">
        <f t="shared" si="420"/>
        <v/>
      </c>
      <c r="T2178" s="13"/>
      <c r="U2178" s="13"/>
      <c r="V2178" s="12" t="str">
        <f t="shared" si="421"/>
        <v/>
      </c>
      <c r="W2178" s="13" t="s">
        <v>15287</v>
      </c>
      <c r="X2178" s="13" t="s">
        <v>2901</v>
      </c>
      <c r="Y2178" s="13" t="s">
        <v>15288</v>
      </c>
      <c r="Z2178" s="13"/>
      <c r="AA2178" s="13"/>
      <c r="AB2178" s="13"/>
      <c r="AC2178" s="13" t="s">
        <v>15289</v>
      </c>
      <c r="AD2178" s="13"/>
      <c r="AE2178" s="13"/>
      <c r="AF2178" s="13" t="s">
        <v>3699</v>
      </c>
      <c r="AG2178" s="13" t="s">
        <v>68</v>
      </c>
      <c r="AH2178" s="13" t="s">
        <v>12933</v>
      </c>
      <c r="AI2178" s="12" t="str">
        <f t="shared" si="422"/>
        <v>1837</v>
      </c>
      <c r="AJ2178" s="13" t="s">
        <v>4953</v>
      </c>
      <c r="AK2178" s="13" t="s">
        <v>90</v>
      </c>
      <c r="AL2178" s="13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2"/>
      <c r="BI2178" s="12"/>
      <c r="BJ2178" s="12"/>
      <c r="BK2178" s="12"/>
      <c r="BL2178" s="12"/>
      <c r="BM2178" s="12"/>
      <c r="BN2178" s="12"/>
      <c r="BO2178" s="12"/>
      <c r="BP2178" s="12"/>
      <c r="BQ2178" s="12"/>
      <c r="BR2178" s="12"/>
      <c r="BS2178" s="12"/>
      <c r="BT2178" s="12"/>
      <c r="BU2178" s="12"/>
      <c r="BV2178" s="12"/>
      <c r="BW2178" s="12"/>
      <c r="BX2178" s="12"/>
      <c r="BY2178" s="12"/>
      <c r="BZ2178" s="12"/>
      <c r="CA2178" s="12"/>
      <c r="CB2178" s="12"/>
      <c r="CC2178" s="12"/>
      <c r="CD2178" s="12"/>
    </row>
    <row r="2179" spans="1:82">
      <c r="A2179" s="13" t="s">
        <v>729</v>
      </c>
      <c r="B2179" s="12" t="str">
        <f t="shared" si="414"/>
        <v>VENTER</v>
      </c>
      <c r="C2179" s="12" t="str">
        <f t="shared" si="415"/>
        <v>VENTER</v>
      </c>
      <c r="D2179" s="13" t="s">
        <v>6437</v>
      </c>
      <c r="E2179" s="12" t="str">
        <f t="shared" ref="E2179:E2242" si="425">PROPER(D2179)</f>
        <v>Marcus Albertus</v>
      </c>
      <c r="F2179" s="13" t="s">
        <v>6438</v>
      </c>
      <c r="G2179" s="12" t="str">
        <f t="shared" si="416"/>
        <v>a1b5c4d2e2</v>
      </c>
      <c r="H2179" s="12" t="str">
        <f t="shared" si="417"/>
        <v>VENTERa1b5c4d2e2</v>
      </c>
      <c r="I2179" s="13"/>
      <c r="J2179" s="13"/>
      <c r="K2179" s="12" t="str">
        <f t="shared" si="418"/>
        <v/>
      </c>
      <c r="L2179" s="13"/>
      <c r="M2179" s="13" t="s">
        <v>6439</v>
      </c>
      <c r="N2179" s="12" t="str">
        <f t="shared" si="423"/>
        <v/>
      </c>
      <c r="O2179" s="12" t="str">
        <f t="shared" si="424"/>
        <v>1784</v>
      </c>
      <c r="P2179" s="13"/>
      <c r="Q2179" s="12" t="str">
        <f t="shared" si="419"/>
        <v>1784</v>
      </c>
      <c r="R2179" s="13"/>
      <c r="S2179" s="12" t="str">
        <f t="shared" si="420"/>
        <v/>
      </c>
      <c r="T2179" s="13" t="s">
        <v>6098</v>
      </c>
      <c r="U2179" s="13" t="s">
        <v>15284</v>
      </c>
      <c r="V2179" s="12" t="str">
        <f t="shared" si="421"/>
        <v>1804</v>
      </c>
      <c r="W2179" s="13" t="s">
        <v>1307</v>
      </c>
      <c r="X2179" s="13" t="s">
        <v>655</v>
      </c>
      <c r="Y2179" s="13" t="s">
        <v>15285</v>
      </c>
      <c r="Z2179" s="13"/>
      <c r="AA2179" s="13"/>
      <c r="AB2179" s="13"/>
      <c r="AC2179" s="13" t="s">
        <v>15286</v>
      </c>
      <c r="AD2179" s="13"/>
      <c r="AE2179" s="13"/>
      <c r="AF2179" s="13" t="s">
        <v>11195</v>
      </c>
      <c r="AG2179" s="13" t="s">
        <v>74</v>
      </c>
      <c r="AH2179" s="13" t="s">
        <v>13180</v>
      </c>
      <c r="AI2179" s="12" t="str">
        <f t="shared" si="422"/>
        <v>1838</v>
      </c>
      <c r="AJ2179" s="13" t="s">
        <v>14827</v>
      </c>
      <c r="AK2179" s="13" t="s">
        <v>155</v>
      </c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/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2"/>
      <c r="BI2179" s="12"/>
      <c r="BJ2179" s="12"/>
      <c r="BK2179" s="12"/>
      <c r="BL2179" s="12"/>
      <c r="BM2179" s="12"/>
      <c r="BN2179" s="12"/>
      <c r="BO2179" s="12"/>
      <c r="BP2179" s="12"/>
      <c r="BQ2179" s="12"/>
      <c r="BR2179" s="12"/>
      <c r="BS2179" s="12"/>
      <c r="BT2179" s="12"/>
      <c r="BU2179" s="12"/>
      <c r="BV2179" s="12"/>
      <c r="BW2179" s="12"/>
      <c r="BX2179" s="12"/>
      <c r="BY2179" s="12"/>
      <c r="BZ2179" s="12"/>
      <c r="CA2179" s="12"/>
      <c r="CB2179" s="12"/>
      <c r="CC2179" s="12"/>
      <c r="CD2179" s="12"/>
    </row>
    <row r="2180" spans="1:82">
      <c r="A2180" s="13" t="s">
        <v>729</v>
      </c>
      <c r="B2180" s="12" t="str">
        <f t="shared" si="414"/>
        <v>VENTER</v>
      </c>
      <c r="C2180" s="12" t="str">
        <f t="shared" si="415"/>
        <v>VENTER</v>
      </c>
      <c r="D2180" s="13" t="s">
        <v>6433</v>
      </c>
      <c r="E2180" s="12" t="str">
        <f t="shared" si="425"/>
        <v>Johannes Petrus Adriaan</v>
      </c>
      <c r="F2180" s="13" t="s">
        <v>6434</v>
      </c>
      <c r="G2180" s="12" t="str">
        <f t="shared" si="416"/>
        <v>a1b5c4d2e2f6</v>
      </c>
      <c r="H2180" s="12" t="str">
        <f t="shared" si="417"/>
        <v>VENTERa1b5c4d2e2f6</v>
      </c>
      <c r="I2180" s="13"/>
      <c r="J2180" s="13" t="s">
        <v>6435</v>
      </c>
      <c r="K2180" s="12" t="str">
        <f t="shared" si="418"/>
        <v>1818</v>
      </c>
      <c r="L2180" s="13"/>
      <c r="M2180" s="13" t="s">
        <v>6436</v>
      </c>
      <c r="N2180" s="12" t="str">
        <f t="shared" si="423"/>
        <v>1818</v>
      </c>
      <c r="O2180" s="12" t="str">
        <f t="shared" si="424"/>
        <v>1819</v>
      </c>
      <c r="P2180" s="13"/>
      <c r="Q2180" s="12" t="str">
        <f t="shared" si="419"/>
        <v>1818</v>
      </c>
      <c r="R2180" s="13"/>
      <c r="S2180" s="12" t="str">
        <f t="shared" si="420"/>
        <v/>
      </c>
      <c r="T2180" s="13"/>
      <c r="U2180" s="13"/>
      <c r="V2180" s="12" t="str">
        <f t="shared" si="421"/>
        <v/>
      </c>
      <c r="W2180" s="13" t="s">
        <v>13200</v>
      </c>
      <c r="X2180" s="13" t="s">
        <v>1292</v>
      </c>
      <c r="Y2180" s="13" t="s">
        <v>12306</v>
      </c>
      <c r="Z2180" s="13"/>
      <c r="AA2180" s="13"/>
      <c r="AB2180" s="13"/>
      <c r="AC2180" s="13"/>
      <c r="AD2180" s="13"/>
      <c r="AE2180" s="13"/>
      <c r="AF2180" s="13" t="s">
        <v>11195</v>
      </c>
      <c r="AG2180" s="13" t="s">
        <v>74</v>
      </c>
      <c r="AH2180" s="13" t="s">
        <v>15283</v>
      </c>
      <c r="AI2180" s="12" t="str">
        <f t="shared" si="422"/>
        <v>1841</v>
      </c>
      <c r="AJ2180" s="13" t="s">
        <v>14827</v>
      </c>
      <c r="AK2180" s="13" t="s">
        <v>190</v>
      </c>
      <c r="AL2180" s="13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2"/>
      <c r="BI2180" s="12"/>
      <c r="BJ2180" s="12"/>
      <c r="BK2180" s="12"/>
      <c r="BL2180" s="12"/>
      <c r="BM2180" s="12"/>
      <c r="BN2180" s="12"/>
      <c r="BO2180" s="12"/>
      <c r="BP2180" s="12"/>
      <c r="BQ2180" s="12"/>
      <c r="BR2180" s="12"/>
      <c r="BS2180" s="12"/>
      <c r="BT2180" s="12"/>
      <c r="BU2180" s="12"/>
      <c r="BV2180" s="12"/>
      <c r="BW2180" s="12"/>
      <c r="BX2180" s="12"/>
      <c r="BY2180" s="12"/>
      <c r="BZ2180" s="12"/>
      <c r="CA2180" s="12"/>
      <c r="CB2180" s="12"/>
      <c r="CC2180" s="12"/>
      <c r="CD2180" s="12"/>
    </row>
    <row r="2181" spans="1:82">
      <c r="A2181" s="13" t="s">
        <v>729</v>
      </c>
      <c r="B2181" s="12" t="str">
        <f t="shared" si="414"/>
        <v>VENTER</v>
      </c>
      <c r="C2181" s="12" t="str">
        <f t="shared" si="415"/>
        <v>VENTER</v>
      </c>
      <c r="D2181" s="13" t="s">
        <v>6402</v>
      </c>
      <c r="E2181" s="12" t="str">
        <f t="shared" si="425"/>
        <v>Jan Adriaan Sr.</v>
      </c>
      <c r="F2181" s="13" t="s">
        <v>5867</v>
      </c>
      <c r="G2181" s="12" t="str">
        <f t="shared" si="416"/>
        <v>a1b5c4d2e4</v>
      </c>
      <c r="H2181" s="12" t="str">
        <f t="shared" si="417"/>
        <v>VENTERa1b5c4d2e4</v>
      </c>
      <c r="I2181" s="13"/>
      <c r="J2181" s="13"/>
      <c r="K2181" s="12" t="str">
        <f t="shared" si="418"/>
        <v/>
      </c>
      <c r="L2181" s="13" t="s">
        <v>74</v>
      </c>
      <c r="M2181" s="13" t="s">
        <v>6403</v>
      </c>
      <c r="N2181" s="12" t="str">
        <f t="shared" si="423"/>
        <v/>
      </c>
      <c r="O2181" s="12" t="str">
        <f t="shared" si="424"/>
        <v>1790</v>
      </c>
      <c r="P2181" s="13" t="s">
        <v>6404</v>
      </c>
      <c r="Q2181" s="12" t="str">
        <f t="shared" si="419"/>
        <v>1790</v>
      </c>
      <c r="R2181" s="13" t="s">
        <v>6405</v>
      </c>
      <c r="S2181" s="12" t="str">
        <f t="shared" si="420"/>
        <v>1862</v>
      </c>
      <c r="T2181" s="13" t="s">
        <v>74</v>
      </c>
      <c r="U2181" s="13" t="s">
        <v>15260</v>
      </c>
      <c r="V2181" s="12" t="str">
        <f t="shared" si="421"/>
        <v>1810</v>
      </c>
      <c r="W2181" s="13" t="s">
        <v>4694</v>
      </c>
      <c r="X2181" s="13" t="s">
        <v>2589</v>
      </c>
      <c r="Y2181" s="13" t="s">
        <v>15261</v>
      </c>
      <c r="Z2181" s="13"/>
      <c r="AA2181" s="13" t="s">
        <v>15262</v>
      </c>
      <c r="AB2181" s="13" t="s">
        <v>74</v>
      </c>
      <c r="AC2181" s="13" t="s">
        <v>3060</v>
      </c>
      <c r="AD2181" s="13" t="s">
        <v>4876</v>
      </c>
      <c r="AE2181" s="13">
        <v>1869</v>
      </c>
      <c r="AF2181" s="13" t="s">
        <v>11195</v>
      </c>
      <c r="AG2181" s="13" t="s">
        <v>74</v>
      </c>
      <c r="AH2181" s="13" t="s">
        <v>12900</v>
      </c>
      <c r="AI2181" s="12" t="str">
        <f t="shared" si="422"/>
        <v>1836</v>
      </c>
      <c r="AJ2181" s="13" t="s">
        <v>14090</v>
      </c>
      <c r="AK2181" s="13" t="s">
        <v>4876</v>
      </c>
      <c r="AL2181" s="13"/>
      <c r="AM2181" s="13"/>
      <c r="AN2181" s="13"/>
      <c r="AO2181" s="13"/>
      <c r="AP2181" s="13"/>
      <c r="AQ2181" s="13"/>
      <c r="AR2181" s="13"/>
      <c r="AS2181" s="13"/>
      <c r="AT2181" s="13"/>
      <c r="AU2181" s="13"/>
      <c r="AV2181" s="13"/>
      <c r="AW2181" s="13"/>
      <c r="AX2181" s="13"/>
      <c r="AY2181" s="13"/>
      <c r="AZ2181" s="13"/>
      <c r="BA2181" s="13"/>
      <c r="BB2181" s="13"/>
      <c r="BC2181" s="13"/>
      <c r="BD2181" s="13"/>
      <c r="BE2181" s="13"/>
      <c r="BF2181" s="13"/>
      <c r="BG2181" s="13"/>
      <c r="BH2181" s="12"/>
      <c r="BI2181" s="12"/>
      <c r="BJ2181" s="12"/>
      <c r="BK2181" s="12"/>
      <c r="BL2181" s="12"/>
      <c r="BM2181" s="12"/>
      <c r="BN2181" s="12"/>
      <c r="BO2181" s="12"/>
      <c r="BP2181" s="12"/>
      <c r="BQ2181" s="12"/>
      <c r="BR2181" s="12"/>
      <c r="BS2181" s="12"/>
      <c r="BT2181" s="12"/>
      <c r="BU2181" s="12"/>
      <c r="BV2181" s="12"/>
      <c r="BW2181" s="12"/>
      <c r="BX2181" s="12"/>
      <c r="BY2181" s="12"/>
      <c r="BZ2181" s="12"/>
      <c r="CA2181" s="12"/>
      <c r="CB2181" s="12"/>
      <c r="CC2181" s="12"/>
      <c r="CD2181" s="12"/>
    </row>
    <row r="2182" spans="1:82">
      <c r="A2182" s="13" t="s">
        <v>729</v>
      </c>
      <c r="B2182" s="12" t="str">
        <f t="shared" si="414"/>
        <v>VENTER</v>
      </c>
      <c r="C2182" s="12" t="str">
        <f t="shared" si="415"/>
        <v>VENTER</v>
      </c>
      <c r="D2182" s="13" t="s">
        <v>6397</v>
      </c>
      <c r="E2182" s="12" t="str">
        <f t="shared" si="425"/>
        <v>Jan Adriaan Jr.</v>
      </c>
      <c r="F2182" s="13" t="s">
        <v>6398</v>
      </c>
      <c r="G2182" s="12" t="str">
        <f t="shared" si="416"/>
        <v>a1b5c4d2e4f2</v>
      </c>
      <c r="H2182" s="12" t="str">
        <f t="shared" si="417"/>
        <v>VENTERa1b5c4d2e4f2</v>
      </c>
      <c r="I2182" s="13"/>
      <c r="J2182" s="13" t="s">
        <v>6399</v>
      </c>
      <c r="K2182" s="12" t="str">
        <f t="shared" si="418"/>
        <v>1812</v>
      </c>
      <c r="L2182" s="13" t="s">
        <v>74</v>
      </c>
      <c r="M2182" s="13" t="s">
        <v>5923</v>
      </c>
      <c r="N2182" s="12" t="str">
        <f t="shared" si="423"/>
        <v>1812</v>
      </c>
      <c r="O2182" s="12" t="str">
        <f t="shared" si="424"/>
        <v>1812</v>
      </c>
      <c r="P2182" s="13" t="s">
        <v>6400</v>
      </c>
      <c r="Q2182" s="12" t="str">
        <f t="shared" si="419"/>
        <v>1812</v>
      </c>
      <c r="R2182" s="13" t="s">
        <v>6401</v>
      </c>
      <c r="S2182" s="12" t="str">
        <f t="shared" si="420"/>
        <v>1892</v>
      </c>
      <c r="T2182" s="13" t="s">
        <v>74</v>
      </c>
      <c r="U2182" s="13" t="s">
        <v>407</v>
      </c>
      <c r="V2182" s="12" t="str">
        <f t="shared" si="421"/>
        <v>1835</v>
      </c>
      <c r="W2182" s="13" t="s">
        <v>5365</v>
      </c>
      <c r="X2182" s="13" t="s">
        <v>4449</v>
      </c>
      <c r="Y2182" s="13"/>
      <c r="Z2182" s="13" t="s">
        <v>74</v>
      </c>
      <c r="AA2182" s="13" t="s">
        <v>15257</v>
      </c>
      <c r="AB2182" s="13" t="s">
        <v>74</v>
      </c>
      <c r="AC2182" s="13" t="s">
        <v>15258</v>
      </c>
      <c r="AD2182" s="13"/>
      <c r="AE2182" s="13" t="s">
        <v>15259</v>
      </c>
      <c r="AF2182" s="13" t="s">
        <v>11195</v>
      </c>
      <c r="AG2182" s="13" t="s">
        <v>74</v>
      </c>
      <c r="AH2182" s="13">
        <v>1841</v>
      </c>
      <c r="AI2182" s="12" t="str">
        <f t="shared" si="422"/>
        <v>1841</v>
      </c>
      <c r="AJ2182" s="13" t="s">
        <v>12354</v>
      </c>
      <c r="AK2182" s="13" t="s">
        <v>160</v>
      </c>
      <c r="AL2182" s="13"/>
      <c r="AM2182" s="13"/>
      <c r="AN2182" s="13" t="s">
        <v>3428</v>
      </c>
      <c r="AO2182" s="13" t="s">
        <v>1369</v>
      </c>
      <c r="AP2182" s="13"/>
      <c r="AQ2182" s="13"/>
      <c r="AR2182" s="13"/>
      <c r="AS2182" s="13"/>
      <c r="AT2182" s="13"/>
      <c r="AU2182" s="13"/>
      <c r="AV2182" s="13"/>
      <c r="AW2182" s="13"/>
      <c r="AX2182" s="13"/>
      <c r="AY2182" s="13"/>
      <c r="AZ2182" s="13"/>
      <c r="BA2182" s="13"/>
      <c r="BB2182" s="13"/>
      <c r="BC2182" s="13"/>
      <c r="BD2182" s="13"/>
      <c r="BE2182" s="13"/>
      <c r="BF2182" s="13"/>
      <c r="BG2182" s="13"/>
      <c r="BH2182" s="12"/>
      <c r="BI2182" s="12"/>
      <c r="BJ2182" s="12"/>
      <c r="BK2182" s="12"/>
      <c r="BL2182" s="12"/>
      <c r="BM2182" s="12"/>
      <c r="BN2182" s="12"/>
      <c r="BO2182" s="12"/>
      <c r="BP2182" s="12"/>
      <c r="BQ2182" s="12"/>
      <c r="BR2182" s="12"/>
      <c r="BS2182" s="12"/>
      <c r="BT2182" s="12"/>
      <c r="BU2182" s="12"/>
      <c r="BV2182" s="12"/>
      <c r="BW2182" s="12"/>
      <c r="BX2182" s="12"/>
      <c r="BY2182" s="12"/>
      <c r="BZ2182" s="12"/>
      <c r="CA2182" s="12"/>
      <c r="CB2182" s="12"/>
      <c r="CC2182" s="12"/>
      <c r="CD2182" s="12"/>
    </row>
    <row r="2183" spans="1:82">
      <c r="A2183" s="13" t="s">
        <v>729</v>
      </c>
      <c r="B2183" s="12" t="str">
        <f t="shared" si="414"/>
        <v>VENTER</v>
      </c>
      <c r="C2183" s="12" t="str">
        <f t="shared" si="415"/>
        <v>VENTER</v>
      </c>
      <c r="D2183" s="13" t="s">
        <v>1268</v>
      </c>
      <c r="E2183" s="12" t="str">
        <f t="shared" si="425"/>
        <v>Johannes Christiaan</v>
      </c>
      <c r="F2183" s="13" t="s">
        <v>6428</v>
      </c>
      <c r="G2183" s="12" t="str">
        <f t="shared" si="416"/>
        <v>a1b5c4d2e4f3</v>
      </c>
      <c r="H2183" s="12" t="str">
        <f t="shared" si="417"/>
        <v>VENTERa1b5c4d2e4f3</v>
      </c>
      <c r="I2183" s="13"/>
      <c r="J2183" s="13" t="s">
        <v>6429</v>
      </c>
      <c r="K2183" s="12" t="str">
        <f t="shared" si="418"/>
        <v>1815</v>
      </c>
      <c r="L2183" s="13" t="s">
        <v>74</v>
      </c>
      <c r="M2183" s="13" t="s">
        <v>6430</v>
      </c>
      <c r="N2183" s="12" t="str">
        <f t="shared" si="423"/>
        <v>1815</v>
      </c>
      <c r="O2183" s="12" t="str">
        <f t="shared" si="424"/>
        <v>1815</v>
      </c>
      <c r="P2183" s="13" t="s">
        <v>6431</v>
      </c>
      <c r="Q2183" s="12" t="str">
        <f t="shared" si="419"/>
        <v>1815</v>
      </c>
      <c r="R2183" s="13" t="s">
        <v>6432</v>
      </c>
      <c r="S2183" s="12" t="str">
        <f t="shared" si="420"/>
        <v>1881</v>
      </c>
      <c r="T2183" s="13" t="s">
        <v>60</v>
      </c>
      <c r="U2183" s="13" t="s">
        <v>15280</v>
      </c>
      <c r="V2183" s="12" t="str">
        <f t="shared" si="421"/>
        <v>1839</v>
      </c>
      <c r="W2183" s="13" t="s">
        <v>3389</v>
      </c>
      <c r="X2183" s="13" t="s">
        <v>2589</v>
      </c>
      <c r="Y2183" s="13"/>
      <c r="Z2183" s="13" t="s">
        <v>60</v>
      </c>
      <c r="AA2183" s="13" t="s">
        <v>15281</v>
      </c>
      <c r="AB2183" s="13" t="s">
        <v>74</v>
      </c>
      <c r="AC2183" s="13" t="s">
        <v>5507</v>
      </c>
      <c r="AD2183" s="13" t="s">
        <v>1017</v>
      </c>
      <c r="AE2183" s="13" t="s">
        <v>15282</v>
      </c>
      <c r="AF2183" s="13" t="s">
        <v>11195</v>
      </c>
      <c r="AG2183" s="13" t="s">
        <v>74</v>
      </c>
      <c r="AH2183" s="13">
        <v>1841</v>
      </c>
      <c r="AI2183" s="12" t="str">
        <f t="shared" si="422"/>
        <v>1841</v>
      </c>
      <c r="AJ2183" s="13" t="s">
        <v>12354</v>
      </c>
      <c r="AK2183" s="13"/>
      <c r="AL2183" s="13"/>
      <c r="AM2183" s="13"/>
      <c r="AN2183" s="13"/>
      <c r="AO2183" s="13"/>
      <c r="AP2183" s="13"/>
      <c r="AQ2183" s="13"/>
      <c r="AR2183" s="13"/>
      <c r="AS2183" s="13"/>
      <c r="AT2183" s="13"/>
      <c r="AU2183" s="13"/>
      <c r="AV2183" s="13"/>
      <c r="AW2183" s="13"/>
      <c r="AX2183" s="13"/>
      <c r="AY2183" s="13"/>
      <c r="AZ2183" s="13"/>
      <c r="BA2183" s="13"/>
      <c r="BB2183" s="13"/>
      <c r="BC2183" s="13"/>
      <c r="BD2183" s="13"/>
      <c r="BE2183" s="13"/>
      <c r="BF2183" s="13"/>
      <c r="BG2183" s="13"/>
      <c r="BH2183" s="12"/>
      <c r="BI2183" s="12"/>
      <c r="BJ2183" s="12"/>
      <c r="BK2183" s="12"/>
      <c r="BL2183" s="12"/>
      <c r="BM2183" s="12"/>
      <c r="BN2183" s="12"/>
      <c r="BO2183" s="12"/>
      <c r="BP2183" s="12"/>
      <c r="BQ2183" s="12"/>
      <c r="BR2183" s="12"/>
      <c r="BS2183" s="12"/>
      <c r="BT2183" s="12"/>
      <c r="BU2183" s="12"/>
      <c r="BV2183" s="12"/>
      <c r="BW2183" s="12"/>
      <c r="BX2183" s="12"/>
      <c r="BY2183" s="12"/>
      <c r="BZ2183" s="12"/>
      <c r="CA2183" s="12"/>
      <c r="CB2183" s="12"/>
      <c r="CC2183" s="12"/>
      <c r="CD2183" s="12"/>
    </row>
    <row r="2184" spans="1:82">
      <c r="A2184" s="13" t="s">
        <v>729</v>
      </c>
      <c r="B2184" s="12" t="str">
        <f t="shared" si="414"/>
        <v>VENTER</v>
      </c>
      <c r="C2184" s="12" t="str">
        <f t="shared" si="415"/>
        <v>VENTER</v>
      </c>
      <c r="D2184" s="13" t="s">
        <v>6477</v>
      </c>
      <c r="E2184" s="12" t="str">
        <f t="shared" si="425"/>
        <v>Petrus Wilhelmus</v>
      </c>
      <c r="F2184" s="13" t="s">
        <v>6478</v>
      </c>
      <c r="G2184" s="12" t="str">
        <f t="shared" si="416"/>
        <v>a1b5c4d2e4f4</v>
      </c>
      <c r="H2184" s="12" t="str">
        <f t="shared" si="417"/>
        <v>VENTERa1b5c4d2e4f4</v>
      </c>
      <c r="I2184" s="13"/>
      <c r="J2184" s="13" t="s">
        <v>3987</v>
      </c>
      <c r="K2184" s="12" t="str">
        <f t="shared" si="418"/>
        <v>1816</v>
      </c>
      <c r="L2184" s="13" t="s">
        <v>74</v>
      </c>
      <c r="M2184" s="13" t="s">
        <v>6479</v>
      </c>
      <c r="N2184" s="12" t="str">
        <f t="shared" si="423"/>
        <v>1816</v>
      </c>
      <c r="O2184" s="12" t="str">
        <f t="shared" si="424"/>
        <v>1817</v>
      </c>
      <c r="P2184" s="13"/>
      <c r="Q2184" s="12" t="str">
        <f t="shared" si="419"/>
        <v>1816</v>
      </c>
      <c r="R2184" s="13">
        <v>1889</v>
      </c>
      <c r="S2184" s="12" t="str">
        <f t="shared" si="420"/>
        <v>1889</v>
      </c>
      <c r="T2184" s="13" t="s">
        <v>74</v>
      </c>
      <c r="U2184" s="13" t="s">
        <v>560</v>
      </c>
      <c r="V2184" s="12" t="str">
        <f t="shared" si="421"/>
        <v>1836</v>
      </c>
      <c r="W2184" s="13" t="s">
        <v>4694</v>
      </c>
      <c r="X2184" s="13" t="s">
        <v>729</v>
      </c>
      <c r="Y2184" s="13"/>
      <c r="Z2184" s="13"/>
      <c r="AA2184" s="13" t="s">
        <v>15308</v>
      </c>
      <c r="AB2184" s="13" t="s">
        <v>74</v>
      </c>
      <c r="AC2184" s="13" t="s">
        <v>1403</v>
      </c>
      <c r="AD2184" s="13"/>
      <c r="AE2184" s="13"/>
      <c r="AF2184" s="13" t="s">
        <v>11195</v>
      </c>
      <c r="AG2184" s="13" t="s">
        <v>74</v>
      </c>
      <c r="AH2184" s="13">
        <v>1838</v>
      </c>
      <c r="AI2184" s="12" t="str">
        <f t="shared" si="422"/>
        <v>1838</v>
      </c>
      <c r="AJ2184" s="13"/>
      <c r="AK2184" s="13" t="s">
        <v>67</v>
      </c>
      <c r="AL2184" s="13"/>
      <c r="AM2184" s="13"/>
      <c r="AN2184" s="13"/>
      <c r="AO2184" s="13"/>
      <c r="AP2184" s="13"/>
      <c r="AQ2184" s="13"/>
      <c r="AR2184" s="13"/>
      <c r="AS2184" s="13"/>
      <c r="AT2184" s="13"/>
      <c r="AU2184" s="13"/>
      <c r="AV2184" s="13"/>
      <c r="AW2184" s="13"/>
      <c r="AX2184" s="13"/>
      <c r="AY2184" s="13"/>
      <c r="AZ2184" s="13"/>
      <c r="BA2184" s="13"/>
      <c r="BB2184" s="13"/>
      <c r="BC2184" s="13"/>
      <c r="BD2184" s="13"/>
      <c r="BE2184" s="13"/>
      <c r="BF2184" s="13"/>
      <c r="BG2184" s="13"/>
      <c r="BH2184" s="12"/>
      <c r="BI2184" s="12"/>
      <c r="BJ2184" s="12"/>
      <c r="BK2184" s="12"/>
      <c r="BL2184" s="12"/>
      <c r="BM2184" s="12"/>
      <c r="BN2184" s="12"/>
      <c r="BO2184" s="12"/>
      <c r="BP2184" s="12"/>
      <c r="BQ2184" s="12"/>
      <c r="BR2184" s="12"/>
      <c r="BS2184" s="12"/>
      <c r="BT2184" s="12"/>
      <c r="BU2184" s="12"/>
      <c r="BV2184" s="12"/>
      <c r="BW2184" s="12"/>
      <c r="BX2184" s="12"/>
      <c r="BY2184" s="12"/>
      <c r="BZ2184" s="12"/>
      <c r="CA2184" s="12"/>
      <c r="CB2184" s="12"/>
      <c r="CC2184" s="12"/>
      <c r="CD2184" s="12"/>
    </row>
    <row r="2185" spans="1:82">
      <c r="A2185" s="13" t="s">
        <v>729</v>
      </c>
      <c r="B2185" s="12" t="str">
        <f t="shared" si="414"/>
        <v>VENTER</v>
      </c>
      <c r="C2185" s="12" t="str">
        <f t="shared" si="415"/>
        <v>VENTER</v>
      </c>
      <c r="D2185" s="13" t="s">
        <v>6495</v>
      </c>
      <c r="E2185" s="12" t="str">
        <f t="shared" si="425"/>
        <v>Stephanus Albertus</v>
      </c>
      <c r="F2185" s="13" t="s">
        <v>6496</v>
      </c>
      <c r="G2185" s="12" t="str">
        <f t="shared" si="416"/>
        <v>a1b5c4d2e4f6</v>
      </c>
      <c r="H2185" s="12" t="str">
        <f t="shared" si="417"/>
        <v>VENTERa1b5c4d2e4f6</v>
      </c>
      <c r="I2185" s="13"/>
      <c r="J2185" s="13" t="s">
        <v>6497</v>
      </c>
      <c r="K2185" s="12" t="str">
        <f t="shared" si="418"/>
        <v>1820</v>
      </c>
      <c r="L2185" s="13" t="s">
        <v>74</v>
      </c>
      <c r="M2185" s="13" t="s">
        <v>6498</v>
      </c>
      <c r="N2185" s="12" t="str">
        <f t="shared" si="423"/>
        <v>1820</v>
      </c>
      <c r="O2185" s="12" t="str">
        <f t="shared" si="424"/>
        <v>1820</v>
      </c>
      <c r="P2185" s="13" t="s">
        <v>6499</v>
      </c>
      <c r="Q2185" s="12" t="str">
        <f t="shared" si="419"/>
        <v>1820</v>
      </c>
      <c r="R2185" s="13" t="s">
        <v>6500</v>
      </c>
      <c r="S2185" s="12" t="str">
        <f t="shared" si="420"/>
        <v>1896</v>
      </c>
      <c r="T2185" s="13" t="s">
        <v>190</v>
      </c>
      <c r="U2185" s="13" t="s">
        <v>15318</v>
      </c>
      <c r="V2185" s="12" t="str">
        <f t="shared" si="421"/>
        <v>1844</v>
      </c>
      <c r="W2185" s="13" t="s">
        <v>15319</v>
      </c>
      <c r="X2185" s="13" t="s">
        <v>668</v>
      </c>
      <c r="Y2185" s="13"/>
      <c r="Z2185" s="13"/>
      <c r="AA2185" s="13" t="s">
        <v>15320</v>
      </c>
      <c r="AB2185" s="13" t="s">
        <v>28</v>
      </c>
      <c r="AC2185" s="13" t="s">
        <v>8632</v>
      </c>
      <c r="AD2185" s="13" t="s">
        <v>134</v>
      </c>
      <c r="AE2185" s="13" t="s">
        <v>15321</v>
      </c>
      <c r="AF2185" s="13" t="s">
        <v>11195</v>
      </c>
      <c r="AG2185" s="13" t="s">
        <v>74</v>
      </c>
      <c r="AH2185" s="13">
        <v>1844</v>
      </c>
      <c r="AI2185" s="12" t="str">
        <f t="shared" si="422"/>
        <v>1844</v>
      </c>
      <c r="AJ2185" s="13" t="s">
        <v>12354</v>
      </c>
      <c r="AK2185" s="13" t="s">
        <v>15322</v>
      </c>
      <c r="AL2185" s="13"/>
      <c r="AM2185" s="13"/>
      <c r="AN2185" s="13" t="s">
        <v>13773</v>
      </c>
      <c r="AO2185" s="13" t="s">
        <v>10986</v>
      </c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2"/>
      <c r="BI2185" s="12"/>
      <c r="BJ2185" s="12"/>
      <c r="BK2185" s="12"/>
      <c r="BL2185" s="12"/>
      <c r="BM2185" s="12"/>
      <c r="BN2185" s="12"/>
      <c r="BO2185" s="12"/>
      <c r="BP2185" s="12"/>
      <c r="BQ2185" s="12"/>
      <c r="BR2185" s="12"/>
      <c r="BS2185" s="12"/>
      <c r="BT2185" s="12"/>
      <c r="BU2185" s="12"/>
      <c r="BV2185" s="12"/>
      <c r="BW2185" s="12"/>
      <c r="BX2185" s="12"/>
      <c r="BY2185" s="12"/>
      <c r="BZ2185" s="12"/>
      <c r="CA2185" s="12"/>
      <c r="CB2185" s="12"/>
      <c r="CC2185" s="12"/>
      <c r="CD2185" s="12"/>
    </row>
    <row r="2186" spans="1:82">
      <c r="A2186" s="13" t="s">
        <v>729</v>
      </c>
      <c r="B2186" s="12" t="str">
        <f t="shared" si="414"/>
        <v>VENTER</v>
      </c>
      <c r="C2186" s="12" t="str">
        <f t="shared" si="415"/>
        <v>VENTER</v>
      </c>
      <c r="D2186" s="13" t="s">
        <v>6440</v>
      </c>
      <c r="E2186" s="12" t="str">
        <f t="shared" si="425"/>
        <v>Marcus Wynand</v>
      </c>
      <c r="F2186" s="13" t="s">
        <v>6441</v>
      </c>
      <c r="G2186" s="12" t="str">
        <f t="shared" si="416"/>
        <v>a1b5c4d2e4f7</v>
      </c>
      <c r="H2186" s="12" t="str">
        <f t="shared" si="417"/>
        <v>VENTERa1b5c4d2e4f7</v>
      </c>
      <c r="I2186" s="13"/>
      <c r="J2186" s="13" t="s">
        <v>6442</v>
      </c>
      <c r="K2186" s="12" t="str">
        <f t="shared" si="418"/>
        <v>1822</v>
      </c>
      <c r="L2186" s="13" t="s">
        <v>74</v>
      </c>
      <c r="M2186" s="13" t="s">
        <v>6443</v>
      </c>
      <c r="N2186" s="12" t="str">
        <f t="shared" si="423"/>
        <v>1822</v>
      </c>
      <c r="O2186" s="12" t="str">
        <f t="shared" si="424"/>
        <v>1822</v>
      </c>
      <c r="P2186" s="13" t="s">
        <v>1017</v>
      </c>
      <c r="Q2186" s="12" t="str">
        <f t="shared" si="419"/>
        <v>1822</v>
      </c>
      <c r="R2186" s="13" t="s">
        <v>6444</v>
      </c>
      <c r="S2186" s="12" t="str">
        <f t="shared" si="420"/>
        <v>1857</v>
      </c>
      <c r="T2186" s="13"/>
      <c r="U2186" s="13"/>
      <c r="V2186" s="12" t="str">
        <f t="shared" si="421"/>
        <v/>
      </c>
      <c r="W2186" s="13" t="s">
        <v>1387</v>
      </c>
      <c r="X2186" s="13" t="s">
        <v>701</v>
      </c>
      <c r="Y2186" s="13"/>
      <c r="Z2186" s="13"/>
      <c r="AA2186" s="13">
        <v>1916</v>
      </c>
      <c r="AB2186" s="13"/>
      <c r="AC2186" s="13"/>
      <c r="AD2186" s="13"/>
      <c r="AE2186" s="13"/>
      <c r="AF2186" s="13" t="s">
        <v>11195</v>
      </c>
      <c r="AG2186" s="13" t="s">
        <v>74</v>
      </c>
      <c r="AH2186" s="13">
        <v>1838</v>
      </c>
      <c r="AI2186" s="12" t="str">
        <f t="shared" si="422"/>
        <v>1838</v>
      </c>
      <c r="AJ2186" s="13"/>
      <c r="AK2186" s="13" t="s">
        <v>1017</v>
      </c>
      <c r="AL2186" s="13"/>
      <c r="AM2186" s="13"/>
      <c r="AN2186" s="13"/>
      <c r="AO2186" s="13"/>
      <c r="AP2186" s="13"/>
      <c r="AQ2186" s="13"/>
      <c r="AR2186" s="13"/>
      <c r="AS2186" s="13"/>
      <c r="AT2186" s="13"/>
      <c r="AU2186" s="13"/>
      <c r="AV2186" s="13"/>
      <c r="AW2186" s="13"/>
      <c r="AX2186" s="13"/>
      <c r="AY2186" s="13"/>
      <c r="AZ2186" s="13"/>
      <c r="BA2186" s="13"/>
      <c r="BB2186" s="13"/>
      <c r="BC2186" s="13"/>
      <c r="BD2186" s="13"/>
      <c r="BE2186" s="13"/>
      <c r="BF2186" s="13"/>
      <c r="BG2186" s="13"/>
      <c r="BH2186" s="12"/>
      <c r="BI2186" s="12"/>
      <c r="BJ2186" s="12"/>
      <c r="BK2186" s="12"/>
      <c r="BL2186" s="12"/>
      <c r="BM2186" s="12"/>
      <c r="BN2186" s="12"/>
      <c r="BO2186" s="12"/>
      <c r="BP2186" s="12"/>
      <c r="BQ2186" s="12"/>
      <c r="BR2186" s="12"/>
      <c r="BS2186" s="12"/>
      <c r="BT2186" s="12"/>
      <c r="BU2186" s="12"/>
      <c r="BV2186" s="12"/>
      <c r="BW2186" s="12"/>
      <c r="BX2186" s="12"/>
      <c r="BY2186" s="12"/>
      <c r="BZ2186" s="12"/>
      <c r="CA2186" s="12"/>
      <c r="CB2186" s="12"/>
      <c r="CC2186" s="12"/>
      <c r="CD2186" s="12"/>
    </row>
    <row r="2187" spans="1:82">
      <c r="A2187" s="13" t="s">
        <v>729</v>
      </c>
      <c r="B2187" s="12" t="str">
        <f t="shared" si="414"/>
        <v>VENTER</v>
      </c>
      <c r="C2187" s="12" t="str">
        <f t="shared" si="415"/>
        <v>VENTER</v>
      </c>
      <c r="D2187" s="13" t="s">
        <v>6457</v>
      </c>
      <c r="E2187" s="12" t="str">
        <f t="shared" si="425"/>
        <v>Paulus Stephanus Sr.</v>
      </c>
      <c r="F2187" s="13" t="s">
        <v>5813</v>
      </c>
      <c r="G2187" s="12" t="str">
        <f t="shared" si="416"/>
        <v>a1b5c4d2e5</v>
      </c>
      <c r="H2187" s="12" t="str">
        <f t="shared" si="417"/>
        <v>VENTERa1b5c4d2e5</v>
      </c>
      <c r="I2187" s="13"/>
      <c r="J2187" s="13"/>
      <c r="K2187" s="12" t="str">
        <f t="shared" si="418"/>
        <v/>
      </c>
      <c r="L2187" s="13" t="s">
        <v>74</v>
      </c>
      <c r="M2187" s="13" t="s">
        <v>3477</v>
      </c>
      <c r="N2187" s="12" t="str">
        <f t="shared" si="423"/>
        <v/>
      </c>
      <c r="O2187" s="12" t="str">
        <f t="shared" si="424"/>
        <v>1792</v>
      </c>
      <c r="P2187" s="13"/>
      <c r="Q2187" s="12" t="str">
        <f t="shared" si="419"/>
        <v>1792</v>
      </c>
      <c r="R2187" s="13"/>
      <c r="S2187" s="12" t="str">
        <f t="shared" si="420"/>
        <v/>
      </c>
      <c r="T2187" s="13" t="s">
        <v>74</v>
      </c>
      <c r="U2187" s="13" t="s">
        <v>9606</v>
      </c>
      <c r="V2187" s="12" t="str">
        <f t="shared" si="421"/>
        <v>1813</v>
      </c>
      <c r="W2187" s="13" t="s">
        <v>15295</v>
      </c>
      <c r="X2187" s="13" t="s">
        <v>664</v>
      </c>
      <c r="Y2187" s="13" t="s">
        <v>15296</v>
      </c>
      <c r="Z2187" s="13"/>
      <c r="AA2187" s="13"/>
      <c r="AB2187" s="13"/>
      <c r="AC2187" s="13" t="s">
        <v>15297</v>
      </c>
      <c r="AD2187" s="13"/>
      <c r="AE2187" s="13"/>
      <c r="AF2187" s="13" t="s">
        <v>11195</v>
      </c>
      <c r="AG2187" s="13" t="s">
        <v>74</v>
      </c>
      <c r="AH2187" s="13" t="s">
        <v>12900</v>
      </c>
      <c r="AI2187" s="12" t="str">
        <f t="shared" si="422"/>
        <v>1836</v>
      </c>
      <c r="AJ2187" s="13" t="s">
        <v>14090</v>
      </c>
      <c r="AK2187" s="13" t="s">
        <v>551</v>
      </c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/>
      <c r="AX2187" s="13"/>
      <c r="AY2187" s="13"/>
      <c r="AZ2187" s="13"/>
      <c r="BA2187" s="13"/>
      <c r="BB2187" s="13"/>
      <c r="BC2187" s="13"/>
      <c r="BD2187" s="13"/>
      <c r="BE2187" s="13"/>
      <c r="BF2187" s="13"/>
      <c r="BG2187" s="13"/>
      <c r="BH2187" s="12"/>
      <c r="BI2187" s="12"/>
      <c r="BJ2187" s="12"/>
      <c r="BK2187" s="12"/>
      <c r="BL2187" s="12"/>
      <c r="BM2187" s="12"/>
      <c r="BN2187" s="12"/>
      <c r="BO2187" s="12"/>
      <c r="BP2187" s="12"/>
      <c r="BQ2187" s="12"/>
      <c r="BR2187" s="12"/>
      <c r="BS2187" s="12"/>
      <c r="BT2187" s="12"/>
      <c r="BU2187" s="12"/>
      <c r="BV2187" s="12"/>
      <c r="BW2187" s="12"/>
      <c r="BX2187" s="12"/>
      <c r="BY2187" s="12"/>
      <c r="BZ2187" s="12"/>
      <c r="CA2187" s="12"/>
      <c r="CB2187" s="12"/>
      <c r="CC2187" s="12"/>
      <c r="CD2187" s="12"/>
    </row>
    <row r="2188" spans="1:82">
      <c r="A2188" s="13" t="s">
        <v>729</v>
      </c>
      <c r="B2188" s="12" t="str">
        <f t="shared" si="414"/>
        <v>VENTER</v>
      </c>
      <c r="C2188" s="12" t="str">
        <f t="shared" si="415"/>
        <v>VENTER</v>
      </c>
      <c r="D2188" s="13" t="s">
        <v>6447</v>
      </c>
      <c r="E2188" s="12" t="str">
        <f t="shared" si="425"/>
        <v>Paul(Us) Stephanus Jr.</v>
      </c>
      <c r="F2188" s="13" t="s">
        <v>6448</v>
      </c>
      <c r="G2188" s="12" t="str">
        <f t="shared" si="416"/>
        <v>a1b5c4d2e5f2</v>
      </c>
      <c r="H2188" s="12" t="str">
        <f t="shared" si="417"/>
        <v>VENTERa1b5c4d2e5f2</v>
      </c>
      <c r="I2188" s="13"/>
      <c r="J2188" s="13" t="s">
        <v>6449</v>
      </c>
      <c r="K2188" s="12" t="str">
        <f t="shared" si="418"/>
        <v>1816</v>
      </c>
      <c r="L2188" s="13" t="s">
        <v>74</v>
      </c>
      <c r="M2188" s="13" t="s">
        <v>6450</v>
      </c>
      <c r="N2188" s="12" t="str">
        <f t="shared" si="423"/>
        <v>1816</v>
      </c>
      <c r="O2188" s="12" t="str">
        <f t="shared" si="424"/>
        <v>1816</v>
      </c>
      <c r="P2188" s="13" t="s">
        <v>6451</v>
      </c>
      <c r="Q2188" s="12" t="str">
        <f t="shared" si="419"/>
        <v>1816</v>
      </c>
      <c r="R2188" s="13" t="s">
        <v>6452</v>
      </c>
      <c r="S2188" s="12" t="str">
        <f t="shared" si="420"/>
        <v>1895</v>
      </c>
      <c r="T2188" s="13"/>
      <c r="U2188" s="13" t="s">
        <v>436</v>
      </c>
      <c r="V2188" s="12" t="str">
        <f t="shared" si="421"/>
        <v>1839</v>
      </c>
      <c r="W2188" s="13" t="s">
        <v>819</v>
      </c>
      <c r="X2188" s="13" t="s">
        <v>729</v>
      </c>
      <c r="Y2188" s="13" t="s">
        <v>15290</v>
      </c>
      <c r="Z2188" s="13"/>
      <c r="AA2188" s="13" t="s">
        <v>15291</v>
      </c>
      <c r="AB2188" s="13" t="s">
        <v>15026</v>
      </c>
      <c r="AC2188" s="13" t="s">
        <v>2800</v>
      </c>
      <c r="AD2188" s="13" t="s">
        <v>3214</v>
      </c>
      <c r="AE2188" s="13" t="s">
        <v>15292</v>
      </c>
      <c r="AF2188" s="13" t="s">
        <v>11195</v>
      </c>
      <c r="AG2188" s="13" t="s">
        <v>74</v>
      </c>
      <c r="AH2188" s="13" t="s">
        <v>12900</v>
      </c>
      <c r="AI2188" s="12" t="str">
        <f t="shared" si="422"/>
        <v>1836</v>
      </c>
      <c r="AJ2188" s="13" t="s">
        <v>14090</v>
      </c>
      <c r="AK2188" s="13" t="s">
        <v>551</v>
      </c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/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2"/>
      <c r="BI2188" s="12"/>
      <c r="BJ2188" s="12"/>
      <c r="BK2188" s="12"/>
      <c r="BL2188" s="12"/>
      <c r="BM2188" s="12"/>
      <c r="BN2188" s="12"/>
      <c r="BO2188" s="12"/>
      <c r="BP2188" s="12"/>
      <c r="BQ2188" s="12"/>
      <c r="BR2188" s="12"/>
      <c r="BS2188" s="12"/>
      <c r="BT2188" s="12"/>
      <c r="BU2188" s="12"/>
      <c r="BV2188" s="12"/>
      <c r="BW2188" s="12"/>
      <c r="BX2188" s="12"/>
      <c r="BY2188" s="12"/>
      <c r="BZ2188" s="12"/>
      <c r="CA2188" s="12"/>
      <c r="CB2188" s="12"/>
      <c r="CC2188" s="12"/>
      <c r="CD2188" s="12"/>
    </row>
    <row r="2189" spans="1:82">
      <c r="A2189" s="13" t="s">
        <v>729</v>
      </c>
      <c r="B2189" s="12" t="str">
        <f t="shared" si="414"/>
        <v>VENTER</v>
      </c>
      <c r="C2189" s="12" t="str">
        <f t="shared" si="415"/>
        <v>VENTER</v>
      </c>
      <c r="D2189" s="13" t="s">
        <v>285</v>
      </c>
      <c r="E2189" s="12" t="str">
        <f t="shared" si="425"/>
        <v>Roelof Hendrik</v>
      </c>
      <c r="F2189" s="13" t="s">
        <v>6493</v>
      </c>
      <c r="G2189" s="12" t="str">
        <f t="shared" si="416"/>
        <v>a1b5c4d5e4</v>
      </c>
      <c r="H2189" s="12" t="str">
        <f t="shared" si="417"/>
        <v>VENTERa1b5c4d5e4</v>
      </c>
      <c r="I2189" s="13"/>
      <c r="J2189" s="13"/>
      <c r="K2189" s="12" t="str">
        <f t="shared" si="418"/>
        <v/>
      </c>
      <c r="L2189" s="13" t="s">
        <v>542</v>
      </c>
      <c r="M2189" s="13" t="s">
        <v>6494</v>
      </c>
      <c r="N2189" s="12" t="str">
        <f t="shared" si="423"/>
        <v/>
      </c>
      <c r="O2189" s="12" t="str">
        <f t="shared" si="424"/>
        <v>1792</v>
      </c>
      <c r="P2189" s="13"/>
      <c r="Q2189" s="12" t="str">
        <f t="shared" si="419"/>
        <v>1792</v>
      </c>
      <c r="R2189" s="13"/>
      <c r="S2189" s="12" t="str">
        <f t="shared" si="420"/>
        <v/>
      </c>
      <c r="T2189" s="13" t="s">
        <v>32</v>
      </c>
      <c r="U2189" s="13" t="s">
        <v>15315</v>
      </c>
      <c r="V2189" s="12" t="str">
        <f t="shared" si="421"/>
        <v>1811</v>
      </c>
      <c r="W2189" s="13" t="s">
        <v>1709</v>
      </c>
      <c r="X2189" s="13" t="s">
        <v>758</v>
      </c>
      <c r="Y2189" s="13" t="s">
        <v>15316</v>
      </c>
      <c r="Z2189" s="13"/>
      <c r="AA2189" s="13"/>
      <c r="AB2189" s="13" t="s">
        <v>542</v>
      </c>
      <c r="AC2189" s="13" t="s">
        <v>15317</v>
      </c>
      <c r="AD2189" s="13"/>
      <c r="AE2189" s="13"/>
      <c r="AF2189" s="13"/>
      <c r="AG2189" s="13"/>
      <c r="AH2189" s="13" t="s">
        <v>13582</v>
      </c>
      <c r="AI2189" s="12" t="str">
        <f t="shared" si="422"/>
        <v>1839</v>
      </c>
      <c r="AJ2189" s="13"/>
      <c r="AK2189" s="13" t="s">
        <v>90</v>
      </c>
      <c r="AL2189" s="13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/>
      <c r="BG2189" s="13"/>
      <c r="BH2189" s="12"/>
      <c r="BI2189" s="12"/>
      <c r="BJ2189" s="12"/>
      <c r="BK2189" s="12"/>
      <c r="BL2189" s="12"/>
      <c r="BM2189" s="12"/>
      <c r="BN2189" s="12"/>
      <c r="BO2189" s="12"/>
      <c r="BP2189" s="12"/>
      <c r="BQ2189" s="12"/>
      <c r="BR2189" s="12"/>
      <c r="BS2189" s="12"/>
      <c r="BT2189" s="12"/>
      <c r="BU2189" s="12"/>
      <c r="BV2189" s="12"/>
      <c r="BW2189" s="12"/>
      <c r="BX2189" s="12"/>
      <c r="BY2189" s="12"/>
      <c r="BZ2189" s="12"/>
      <c r="CA2189" s="12"/>
      <c r="CB2189" s="12"/>
      <c r="CC2189" s="12"/>
      <c r="CD2189" s="12"/>
    </row>
    <row r="2190" spans="1:82">
      <c r="A2190" s="13" t="s">
        <v>729</v>
      </c>
      <c r="B2190" s="12" t="str">
        <f t="shared" si="414"/>
        <v>VENTER</v>
      </c>
      <c r="C2190" s="12" t="str">
        <f t="shared" si="415"/>
        <v>VENTER</v>
      </c>
      <c r="D2190" s="13" t="s">
        <v>5655</v>
      </c>
      <c r="E2190" s="12" t="str">
        <f t="shared" si="425"/>
        <v>Willem Daniel</v>
      </c>
      <c r="F2190" s="13" t="s">
        <v>6510</v>
      </c>
      <c r="G2190" s="12" t="str">
        <f t="shared" si="416"/>
        <v>a1b5c4d5e4f1</v>
      </c>
      <c r="H2190" s="12" t="str">
        <f t="shared" si="417"/>
        <v>VENTERa1b5c4d5e4f1</v>
      </c>
      <c r="I2190" s="13"/>
      <c r="J2190" s="13" t="s">
        <v>5929</v>
      </c>
      <c r="K2190" s="12" t="str">
        <f t="shared" si="418"/>
        <v>1816</v>
      </c>
      <c r="L2190" s="13" t="s">
        <v>74</v>
      </c>
      <c r="M2190" s="13" t="s">
        <v>6511</v>
      </c>
      <c r="N2190" s="12" t="str">
        <f t="shared" si="423"/>
        <v>1816</v>
      </c>
      <c r="O2190" s="12" t="str">
        <f t="shared" si="424"/>
        <v>1816</v>
      </c>
      <c r="P2190" s="13" t="s">
        <v>6512</v>
      </c>
      <c r="Q2190" s="12" t="str">
        <f t="shared" si="419"/>
        <v>1816</v>
      </c>
      <c r="R2190" s="13" t="s">
        <v>6513</v>
      </c>
      <c r="S2190" s="12" t="str">
        <f t="shared" si="420"/>
        <v>1892</v>
      </c>
      <c r="T2190" s="13"/>
      <c r="U2190" s="13" t="s">
        <v>3921</v>
      </c>
      <c r="V2190" s="12" t="str">
        <f t="shared" si="421"/>
        <v>1837</v>
      </c>
      <c r="W2190" s="13" t="s">
        <v>1307</v>
      </c>
      <c r="X2190" s="13" t="s">
        <v>669</v>
      </c>
      <c r="Y2190" s="13" t="s">
        <v>9058</v>
      </c>
      <c r="Z2190" s="13"/>
      <c r="AA2190" s="13" t="s">
        <v>7590</v>
      </c>
      <c r="AB2190" s="13"/>
      <c r="AC2190" s="13"/>
      <c r="AD2190" s="13" t="s">
        <v>2084</v>
      </c>
      <c r="AE2190" s="13" t="s">
        <v>15326</v>
      </c>
      <c r="AF2190" s="13" t="s">
        <v>15327</v>
      </c>
      <c r="AG2190" s="13" t="s">
        <v>68</v>
      </c>
      <c r="AH2190" s="13" t="s">
        <v>13180</v>
      </c>
      <c r="AI2190" s="12" t="str">
        <f t="shared" si="422"/>
        <v>1838</v>
      </c>
      <c r="AJ2190" s="13" t="s">
        <v>14827</v>
      </c>
      <c r="AK2190" s="13" t="s">
        <v>551</v>
      </c>
      <c r="AL2190" s="13" t="s">
        <v>190</v>
      </c>
      <c r="AM2190" s="13" t="s">
        <v>2376</v>
      </c>
      <c r="AN2190" s="13" t="s">
        <v>15328</v>
      </c>
      <c r="AO2190" s="13" t="s">
        <v>1330</v>
      </c>
      <c r="AP2190" s="13"/>
      <c r="AQ2190" s="13"/>
      <c r="AR2190" s="13" t="s">
        <v>3243</v>
      </c>
      <c r="AS2190" s="13"/>
      <c r="AT2190" s="13"/>
      <c r="AU2190" s="13" t="s">
        <v>2084</v>
      </c>
      <c r="AV2190" s="13" t="s">
        <v>15329</v>
      </c>
      <c r="AW2190" s="13" t="s">
        <v>1017</v>
      </c>
      <c r="AX2190" s="13" t="s">
        <v>15330</v>
      </c>
      <c r="AY2190" s="13" t="s">
        <v>15331</v>
      </c>
      <c r="AZ2190" s="13" t="s">
        <v>1763</v>
      </c>
      <c r="BA2190" s="13"/>
      <c r="BB2190" s="13"/>
      <c r="BC2190" s="13"/>
      <c r="BD2190" s="13"/>
      <c r="BE2190" s="13"/>
      <c r="BF2190" s="13"/>
      <c r="BG2190" s="13"/>
      <c r="BH2190" s="12"/>
      <c r="BI2190" s="12"/>
      <c r="BJ2190" s="12"/>
      <c r="BK2190" s="12"/>
      <c r="BL2190" s="12"/>
      <c r="BM2190" s="12"/>
      <c r="BN2190" s="12"/>
      <c r="BO2190" s="12"/>
      <c r="BP2190" s="12"/>
      <c r="BQ2190" s="12"/>
      <c r="BR2190" s="12"/>
      <c r="BS2190" s="12"/>
      <c r="BT2190" s="12"/>
      <c r="BU2190" s="12"/>
      <c r="BV2190" s="12"/>
      <c r="BW2190" s="12"/>
      <c r="BX2190" s="12"/>
      <c r="BY2190" s="12"/>
      <c r="BZ2190" s="12"/>
      <c r="CA2190" s="12"/>
      <c r="CB2190" s="12"/>
      <c r="CC2190" s="12"/>
      <c r="CD2190" s="12"/>
    </row>
    <row r="2191" spans="1:82">
      <c r="A2191" s="13" t="s">
        <v>729</v>
      </c>
      <c r="B2191" s="12" t="str">
        <f t="shared" si="414"/>
        <v>VENTER</v>
      </c>
      <c r="C2191" s="12" t="str">
        <f t="shared" si="415"/>
        <v>VENTER</v>
      </c>
      <c r="D2191" s="13" t="s">
        <v>1244</v>
      </c>
      <c r="E2191" s="12" t="str">
        <f t="shared" si="425"/>
        <v>Jan Adriaan</v>
      </c>
      <c r="F2191" s="13" t="s">
        <v>6391</v>
      </c>
      <c r="G2191" s="12" t="str">
        <f t="shared" si="416"/>
        <v>a1b5c4d9e4</v>
      </c>
      <c r="H2191" s="12" t="str">
        <f t="shared" si="417"/>
        <v>VENTERa1b5c4d9e4</v>
      </c>
      <c r="I2191" s="13"/>
      <c r="J2191" s="13"/>
      <c r="K2191" s="12" t="str">
        <f t="shared" si="418"/>
        <v/>
      </c>
      <c r="L2191" s="13" t="s">
        <v>74</v>
      </c>
      <c r="M2191" s="13" t="s">
        <v>6392</v>
      </c>
      <c r="N2191" s="12" t="str">
        <f t="shared" si="423"/>
        <v/>
      </c>
      <c r="O2191" s="12" t="str">
        <f t="shared" si="424"/>
        <v>1795</v>
      </c>
      <c r="P2191" s="13" t="s">
        <v>6393</v>
      </c>
      <c r="Q2191" s="12" t="str">
        <f t="shared" si="419"/>
        <v>1795</v>
      </c>
      <c r="R2191" s="13"/>
      <c r="S2191" s="12" t="str">
        <f t="shared" si="420"/>
        <v/>
      </c>
      <c r="T2191" s="13" t="s">
        <v>74</v>
      </c>
      <c r="U2191" s="13" t="s">
        <v>2667</v>
      </c>
      <c r="V2191" s="12" t="str">
        <f t="shared" si="421"/>
        <v>1816</v>
      </c>
      <c r="W2191" s="13" t="s">
        <v>15250</v>
      </c>
      <c r="X2191" s="13" t="s">
        <v>729</v>
      </c>
      <c r="Y2191" s="13"/>
      <c r="Z2191" s="13" t="s">
        <v>74</v>
      </c>
      <c r="AA2191" s="13" t="s">
        <v>15251</v>
      </c>
      <c r="AB2191" s="13"/>
      <c r="AC2191" s="13" t="s">
        <v>15252</v>
      </c>
      <c r="AD2191" s="13" t="s">
        <v>74</v>
      </c>
      <c r="AE2191" s="13" t="s">
        <v>7645</v>
      </c>
      <c r="AF2191" s="13" t="s">
        <v>15249</v>
      </c>
      <c r="AG2191" s="13" t="s">
        <v>74</v>
      </c>
      <c r="AH2191" s="13">
        <v>1836</v>
      </c>
      <c r="AI2191" s="12" t="str">
        <f t="shared" si="422"/>
        <v>1836</v>
      </c>
      <c r="AJ2191" s="13"/>
      <c r="AK2191" s="13" t="s">
        <v>8354</v>
      </c>
      <c r="AL2191" s="13" t="s">
        <v>74</v>
      </c>
      <c r="AM2191" s="13" t="s">
        <v>4137</v>
      </c>
      <c r="AN2191" s="13" t="s">
        <v>15253</v>
      </c>
      <c r="AO2191" s="13" t="s">
        <v>669</v>
      </c>
      <c r="AP2191" s="13"/>
      <c r="AQ2191" s="13"/>
      <c r="AR2191" s="13" t="s">
        <v>12695</v>
      </c>
      <c r="AS2191" s="13" t="s">
        <v>74</v>
      </c>
      <c r="AT2191" s="13" t="s">
        <v>14857</v>
      </c>
      <c r="AU2191" s="13" t="s">
        <v>8354</v>
      </c>
      <c r="AV2191" s="13"/>
      <c r="AW2191" s="13"/>
      <c r="AX2191" s="13"/>
      <c r="AY2191" s="13"/>
      <c r="AZ2191" s="13"/>
      <c r="BA2191" s="13"/>
      <c r="BB2191" s="13"/>
      <c r="BC2191" s="13"/>
      <c r="BD2191" s="13"/>
      <c r="BE2191" s="13"/>
      <c r="BF2191" s="13"/>
      <c r="BG2191" s="13"/>
      <c r="BH2191" s="12"/>
      <c r="BI2191" s="12"/>
      <c r="BJ2191" s="12"/>
      <c r="BK2191" s="12"/>
      <c r="BL2191" s="12"/>
      <c r="BM2191" s="12"/>
      <c r="BN2191" s="12"/>
      <c r="BO2191" s="12"/>
      <c r="BP2191" s="12"/>
      <c r="BQ2191" s="12"/>
      <c r="BR2191" s="12"/>
      <c r="BS2191" s="12"/>
      <c r="BT2191" s="12"/>
      <c r="BU2191" s="12"/>
      <c r="BV2191" s="12"/>
      <c r="BW2191" s="12"/>
      <c r="BX2191" s="12"/>
      <c r="BY2191" s="12"/>
      <c r="BZ2191" s="12"/>
      <c r="CA2191" s="12"/>
      <c r="CB2191" s="12"/>
      <c r="CC2191" s="12"/>
      <c r="CD2191" s="12"/>
    </row>
    <row r="2192" spans="1:82">
      <c r="A2192" s="13" t="s">
        <v>729</v>
      </c>
      <c r="B2192" s="12" t="str">
        <f t="shared" si="414"/>
        <v>VENTER</v>
      </c>
      <c r="C2192" s="12" t="str">
        <f t="shared" si="415"/>
        <v>VENTER</v>
      </c>
      <c r="D2192" s="13" t="s">
        <v>1244</v>
      </c>
      <c r="E2192" s="12" t="str">
        <f t="shared" si="425"/>
        <v>Jan Adriaan</v>
      </c>
      <c r="F2192" s="13" t="s">
        <v>6386</v>
      </c>
      <c r="G2192" s="12" t="str">
        <f t="shared" si="416"/>
        <v>a1b5c4d9e4f2</v>
      </c>
      <c r="H2192" s="12" t="str">
        <f t="shared" si="417"/>
        <v>VENTERa1b5c4d9e4f2</v>
      </c>
      <c r="I2192" s="13"/>
      <c r="J2192" s="13" t="s">
        <v>6387</v>
      </c>
      <c r="K2192" s="12" t="str">
        <f t="shared" si="418"/>
        <v>1820</v>
      </c>
      <c r="L2192" s="13" t="s">
        <v>28</v>
      </c>
      <c r="M2192" s="13" t="s">
        <v>6388</v>
      </c>
      <c r="N2192" s="12" t="str">
        <f t="shared" si="423"/>
        <v>1820</v>
      </c>
      <c r="O2192" s="12" t="str">
        <f t="shared" si="424"/>
        <v>1820</v>
      </c>
      <c r="P2192" s="13" t="s">
        <v>6389</v>
      </c>
      <c r="Q2192" s="12" t="str">
        <f t="shared" si="419"/>
        <v>1820</v>
      </c>
      <c r="R2192" s="13" t="s">
        <v>6390</v>
      </c>
      <c r="S2192" s="12" t="str">
        <f t="shared" si="420"/>
        <v>1874</v>
      </c>
      <c r="T2192" s="13" t="s">
        <v>60</v>
      </c>
      <c r="U2192" s="13" t="s">
        <v>15248</v>
      </c>
      <c r="V2192" s="12" t="str">
        <f t="shared" si="421"/>
        <v>1839</v>
      </c>
      <c r="W2192" s="13" t="s">
        <v>3589</v>
      </c>
      <c r="X2192" s="13" t="s">
        <v>2016</v>
      </c>
      <c r="Y2192" s="13"/>
      <c r="Z2192" s="13"/>
      <c r="AA2192" s="13" t="s">
        <v>15238</v>
      </c>
      <c r="AB2192" s="13" t="s">
        <v>74</v>
      </c>
      <c r="AC2192" s="13" t="s">
        <v>428</v>
      </c>
      <c r="AD2192" s="13" t="s">
        <v>15239</v>
      </c>
      <c r="AE2192" s="15">
        <v>552</v>
      </c>
      <c r="AF2192" s="13" t="s">
        <v>15249</v>
      </c>
      <c r="AG2192" s="13" t="s">
        <v>74</v>
      </c>
      <c r="AH2192" s="13">
        <v>1840</v>
      </c>
      <c r="AI2192" s="12" t="str">
        <f t="shared" si="422"/>
        <v>1840</v>
      </c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2"/>
      <c r="BI2192" s="12"/>
      <c r="BJ2192" s="12"/>
      <c r="BK2192" s="12"/>
      <c r="BL2192" s="12"/>
      <c r="BM2192" s="12"/>
      <c r="BN2192" s="12"/>
      <c r="BO2192" s="12"/>
      <c r="BP2192" s="12"/>
      <c r="BQ2192" s="12"/>
      <c r="BR2192" s="12"/>
      <c r="BS2192" s="12"/>
      <c r="BT2192" s="12"/>
      <c r="BU2192" s="12"/>
      <c r="BV2192" s="12"/>
      <c r="BW2192" s="12"/>
      <c r="BX2192" s="12"/>
      <c r="BY2192" s="12"/>
      <c r="BZ2192" s="12"/>
      <c r="CA2192" s="12"/>
      <c r="CB2192" s="12"/>
      <c r="CC2192" s="12"/>
      <c r="CD2192" s="12"/>
    </row>
    <row r="2193" spans="1:82">
      <c r="A2193" s="13" t="s">
        <v>729</v>
      </c>
      <c r="B2193" s="12" t="str">
        <f t="shared" si="414"/>
        <v>VENTER</v>
      </c>
      <c r="C2193" s="12" t="str">
        <f t="shared" si="415"/>
        <v>VENTER</v>
      </c>
      <c r="D2193" s="13" t="s">
        <v>6464</v>
      </c>
      <c r="E2193" s="12" t="str">
        <f t="shared" si="425"/>
        <v>Petrus Albertus</v>
      </c>
      <c r="F2193" s="13" t="s">
        <v>6469</v>
      </c>
      <c r="G2193" s="12" t="str">
        <f t="shared" si="416"/>
        <v>a1b5c4d9e4f3</v>
      </c>
      <c r="H2193" s="12" t="str">
        <f t="shared" si="417"/>
        <v>VENTERa1b5c4d9e4f3</v>
      </c>
      <c r="I2193" s="13"/>
      <c r="J2193" s="13" t="s">
        <v>6470</v>
      </c>
      <c r="K2193" s="12" t="str">
        <f t="shared" si="418"/>
        <v>1822</v>
      </c>
      <c r="L2193" s="13" t="s">
        <v>74</v>
      </c>
      <c r="M2193" s="13" t="s">
        <v>6471</v>
      </c>
      <c r="N2193" s="12" t="str">
        <f t="shared" si="423"/>
        <v>1822</v>
      </c>
      <c r="O2193" s="12" t="str">
        <f t="shared" si="424"/>
        <v>1823</v>
      </c>
      <c r="P2193" s="13" t="s">
        <v>6472</v>
      </c>
      <c r="Q2193" s="12" t="str">
        <f t="shared" si="419"/>
        <v>1822</v>
      </c>
      <c r="R2193" s="13" t="s">
        <v>6473</v>
      </c>
      <c r="S2193" s="12" t="str">
        <f t="shared" si="420"/>
        <v>1876</v>
      </c>
      <c r="T2193" s="13"/>
      <c r="U2193" s="13"/>
      <c r="V2193" s="12" t="str">
        <f t="shared" si="421"/>
        <v/>
      </c>
      <c r="W2193" s="13" t="s">
        <v>15303</v>
      </c>
      <c r="X2193" s="13" t="s">
        <v>729</v>
      </c>
      <c r="Y2193" s="13"/>
      <c r="Z2193" s="13"/>
      <c r="AA2193" s="13" t="s">
        <v>15304</v>
      </c>
      <c r="AB2193" s="13" t="s">
        <v>366</v>
      </c>
      <c r="AC2193" s="13" t="s">
        <v>13870</v>
      </c>
      <c r="AD2193" s="13" t="s">
        <v>1864</v>
      </c>
      <c r="AE2193" s="13" t="s">
        <v>13436</v>
      </c>
      <c r="AF2193" s="13" t="s">
        <v>15249</v>
      </c>
      <c r="AG2193" s="13" t="s">
        <v>74</v>
      </c>
      <c r="AH2193" s="13">
        <v>1840</v>
      </c>
      <c r="AI2193" s="12" t="str">
        <f t="shared" si="422"/>
        <v>1840</v>
      </c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2"/>
      <c r="BI2193" s="12"/>
      <c r="BJ2193" s="12"/>
      <c r="BK2193" s="12"/>
      <c r="BL2193" s="12"/>
      <c r="BM2193" s="12"/>
      <c r="BN2193" s="12"/>
      <c r="BO2193" s="12"/>
      <c r="BP2193" s="12"/>
      <c r="BQ2193" s="12"/>
      <c r="BR2193" s="12"/>
      <c r="BS2193" s="12"/>
      <c r="BT2193" s="12"/>
      <c r="BU2193" s="12"/>
      <c r="BV2193" s="12"/>
      <c r="BW2193" s="12"/>
      <c r="BX2193" s="12"/>
      <c r="BY2193" s="12"/>
      <c r="BZ2193" s="12"/>
      <c r="CA2193" s="12"/>
      <c r="CB2193" s="12"/>
      <c r="CC2193" s="12"/>
      <c r="CD2193" s="12"/>
    </row>
    <row r="2194" spans="1:82">
      <c r="A2194" s="13" t="s">
        <v>1586</v>
      </c>
      <c r="B2194" s="12" t="str">
        <f t="shared" si="414"/>
        <v>VERMAAK</v>
      </c>
      <c r="C2194" s="12" t="str">
        <f t="shared" si="415"/>
        <v>VERMAAK</v>
      </c>
      <c r="D2194" s="13" t="s">
        <v>398</v>
      </c>
      <c r="E2194" s="12" t="str">
        <f t="shared" si="425"/>
        <v>Cornelis Johannes</v>
      </c>
      <c r="F2194" s="13" t="s">
        <v>1656</v>
      </c>
      <c r="G2194" s="12" t="str">
        <f t="shared" si="416"/>
        <v>a1b2c6d1</v>
      </c>
      <c r="H2194" s="12" t="str">
        <f t="shared" ref="H2194:H2222" si="426">C2194&amp;G2194</f>
        <v>VERMAAKa1b2c6d1</v>
      </c>
      <c r="I2194" s="13"/>
      <c r="J2194" s="13"/>
      <c r="K2194" s="12" t="str">
        <f t="shared" si="418"/>
        <v/>
      </c>
      <c r="L2194" s="13" t="s">
        <v>6098</v>
      </c>
      <c r="M2194" s="13" t="s">
        <v>6528</v>
      </c>
      <c r="N2194" s="12" t="str">
        <f t="shared" si="423"/>
        <v/>
      </c>
      <c r="O2194" s="12" t="str">
        <f t="shared" si="424"/>
        <v>1779</v>
      </c>
      <c r="P2194" s="13"/>
      <c r="Q2194" s="12" t="str">
        <f t="shared" si="419"/>
        <v>1779</v>
      </c>
      <c r="R2194" s="13"/>
      <c r="S2194" s="12" t="str">
        <f t="shared" si="420"/>
        <v/>
      </c>
      <c r="T2194" s="13" t="s">
        <v>6098</v>
      </c>
      <c r="U2194" s="13" t="s">
        <v>15342</v>
      </c>
      <c r="V2194" s="12" t="str">
        <f t="shared" si="421"/>
        <v>1800</v>
      </c>
      <c r="W2194" s="13" t="s">
        <v>13509</v>
      </c>
      <c r="X2194" s="13" t="s">
        <v>695</v>
      </c>
      <c r="Y2194" s="13" t="s">
        <v>15343</v>
      </c>
      <c r="Z2194" s="13"/>
      <c r="AA2194" s="13"/>
      <c r="AB2194" s="13"/>
      <c r="AC2194" s="13" t="s">
        <v>15344</v>
      </c>
      <c r="AD2194" s="13"/>
      <c r="AE2194" s="13"/>
      <c r="AF2194" s="13" t="s">
        <v>3677</v>
      </c>
      <c r="AG2194" s="13" t="s">
        <v>53</v>
      </c>
      <c r="AH2194" s="13" t="s">
        <v>12313</v>
      </c>
      <c r="AI2194" s="12" t="str">
        <f t="shared" si="422"/>
        <v>1837</v>
      </c>
      <c r="AJ2194" s="13" t="s">
        <v>12314</v>
      </c>
      <c r="AK2194" s="13" t="s">
        <v>90</v>
      </c>
      <c r="AL2194" s="13"/>
      <c r="AM2194" s="13"/>
      <c r="AN2194" s="13"/>
      <c r="AO2194" s="13"/>
      <c r="AP2194" s="13"/>
      <c r="AQ2194" s="13"/>
      <c r="AR2194" s="13"/>
      <c r="AS2194" s="13"/>
      <c r="AT2194" s="13"/>
      <c r="AU2194" s="13"/>
      <c r="AV2194" s="13"/>
      <c r="AW2194" s="13"/>
      <c r="AX2194" s="13"/>
      <c r="AY2194" s="13"/>
      <c r="AZ2194" s="13"/>
      <c r="BA2194" s="13"/>
      <c r="BB2194" s="13"/>
      <c r="BC2194" s="13"/>
      <c r="BD2194" s="13"/>
      <c r="BE2194" s="13"/>
      <c r="BF2194" s="13"/>
      <c r="BG2194" s="13"/>
      <c r="BH2194" s="12"/>
      <c r="BI2194" s="12"/>
      <c r="BJ2194" s="12"/>
      <c r="BK2194" s="12"/>
      <c r="BL2194" s="12"/>
      <c r="BM2194" s="12"/>
      <c r="BN2194" s="12"/>
      <c r="BO2194" s="12"/>
      <c r="BP2194" s="12"/>
      <c r="BQ2194" s="12"/>
      <c r="BR2194" s="12"/>
      <c r="BS2194" s="12"/>
      <c r="BT2194" s="12"/>
      <c r="BU2194" s="12"/>
      <c r="BV2194" s="12"/>
      <c r="BW2194" s="12"/>
      <c r="BX2194" s="12"/>
      <c r="BY2194" s="12"/>
      <c r="BZ2194" s="12"/>
      <c r="CA2194" s="12"/>
      <c r="CB2194" s="12"/>
      <c r="CC2194" s="12"/>
      <c r="CD2194" s="12"/>
    </row>
    <row r="2195" spans="1:82">
      <c r="A2195" s="13" t="s">
        <v>1586</v>
      </c>
      <c r="B2195" s="12" t="str">
        <f t="shared" si="414"/>
        <v>VERMAAK</v>
      </c>
      <c r="C2195" s="12" t="str">
        <f t="shared" si="415"/>
        <v>VERMAAK</v>
      </c>
      <c r="D2195" s="13" t="s">
        <v>6549</v>
      </c>
      <c r="E2195" s="12" t="str">
        <f t="shared" si="425"/>
        <v>Jacobus Stephanus</v>
      </c>
      <c r="F2195" s="13" t="s">
        <v>6550</v>
      </c>
      <c r="G2195" s="12" t="str">
        <f t="shared" si="416"/>
        <v>a1b2c6d1e1</v>
      </c>
      <c r="H2195" s="12" t="str">
        <f t="shared" si="426"/>
        <v>VERMAAKa1b2c6d1e1</v>
      </c>
      <c r="I2195" s="13"/>
      <c r="J2195" s="13"/>
      <c r="K2195" s="12" t="str">
        <f t="shared" si="418"/>
        <v/>
      </c>
      <c r="L2195" s="13" t="s">
        <v>32</v>
      </c>
      <c r="M2195" s="13" t="s">
        <v>6551</v>
      </c>
      <c r="N2195" s="12" t="str">
        <f t="shared" si="423"/>
        <v/>
      </c>
      <c r="O2195" s="12" t="str">
        <f t="shared" si="424"/>
        <v>1803</v>
      </c>
      <c r="P2195" s="13"/>
      <c r="Q2195" s="12" t="str">
        <f t="shared" si="419"/>
        <v>1803</v>
      </c>
      <c r="R2195" s="13"/>
      <c r="S2195" s="12" t="str">
        <f t="shared" si="420"/>
        <v/>
      </c>
      <c r="T2195" s="13" t="s">
        <v>53</v>
      </c>
      <c r="U2195" s="13" t="s">
        <v>15360</v>
      </c>
      <c r="V2195" s="12" t="str">
        <f t="shared" si="421"/>
        <v>1822</v>
      </c>
      <c r="W2195" s="13" t="s">
        <v>15361</v>
      </c>
      <c r="X2195" s="13" t="s">
        <v>1425</v>
      </c>
      <c r="Y2195" s="13" t="s">
        <v>15362</v>
      </c>
      <c r="Z2195" s="13"/>
      <c r="AA2195" s="13"/>
      <c r="AB2195" s="13"/>
      <c r="AC2195" s="13" t="s">
        <v>12976</v>
      </c>
      <c r="AD2195" s="13"/>
      <c r="AE2195" s="13"/>
      <c r="AF2195" s="13" t="s">
        <v>3677</v>
      </c>
      <c r="AG2195" s="13" t="s">
        <v>53</v>
      </c>
      <c r="AH2195" s="13" t="s">
        <v>1734</v>
      </c>
      <c r="AI2195" s="12" t="str">
        <f t="shared" si="422"/>
        <v>1838</v>
      </c>
      <c r="AJ2195" s="13" t="s">
        <v>7807</v>
      </c>
      <c r="AK2195" s="13" t="s">
        <v>90</v>
      </c>
      <c r="AL2195" s="13"/>
      <c r="AM2195" s="13"/>
      <c r="AN2195" s="13"/>
      <c r="AO2195" s="13"/>
      <c r="AP2195" s="13"/>
      <c r="AQ2195" s="13"/>
      <c r="AR2195" s="13"/>
      <c r="AS2195" s="13"/>
      <c r="AT2195" s="13"/>
      <c r="AU2195" s="13"/>
      <c r="AV2195" s="13"/>
      <c r="AW2195" s="13"/>
      <c r="AX2195" s="13"/>
      <c r="AY2195" s="13"/>
      <c r="AZ2195" s="13"/>
      <c r="BA2195" s="13"/>
      <c r="BB2195" s="13"/>
      <c r="BC2195" s="13"/>
      <c r="BD2195" s="13"/>
      <c r="BE2195" s="13"/>
      <c r="BF2195" s="13"/>
      <c r="BG2195" s="13"/>
      <c r="BH2195" s="12"/>
      <c r="BI2195" s="12"/>
      <c r="BJ2195" s="12"/>
      <c r="BK2195" s="12"/>
      <c r="BL2195" s="12"/>
      <c r="BM2195" s="12"/>
      <c r="BN2195" s="12"/>
      <c r="BO2195" s="12"/>
      <c r="BP2195" s="12"/>
      <c r="BQ2195" s="12"/>
      <c r="BR2195" s="12"/>
      <c r="BS2195" s="12"/>
      <c r="BT2195" s="12"/>
      <c r="BU2195" s="12"/>
      <c r="BV2195" s="12"/>
      <c r="BW2195" s="12"/>
      <c r="BX2195" s="12"/>
      <c r="BY2195" s="12"/>
      <c r="BZ2195" s="12"/>
      <c r="CA2195" s="12"/>
      <c r="CB2195" s="12"/>
      <c r="CC2195" s="12"/>
      <c r="CD2195" s="12"/>
    </row>
    <row r="2196" spans="1:82">
      <c r="A2196" s="13" t="s">
        <v>1586</v>
      </c>
      <c r="B2196" s="12" t="str">
        <f t="shared" si="414"/>
        <v>VERMAAK</v>
      </c>
      <c r="C2196" s="12" t="str">
        <f t="shared" si="415"/>
        <v>VERMAAK</v>
      </c>
      <c r="D2196" s="13" t="s">
        <v>6557</v>
      </c>
      <c r="E2196" s="12" t="str">
        <f t="shared" si="425"/>
        <v>Johannes Cornelis</v>
      </c>
      <c r="F2196" s="13" t="s">
        <v>6558</v>
      </c>
      <c r="G2196" s="12" t="str">
        <f t="shared" si="416"/>
        <v>a1b2c6d1e2</v>
      </c>
      <c r="H2196" s="12" t="str">
        <f t="shared" si="426"/>
        <v>VERMAAKa1b2c6d1e2</v>
      </c>
      <c r="I2196" s="13" t="s">
        <v>6559</v>
      </c>
      <c r="J2196" s="13" t="s">
        <v>6560</v>
      </c>
      <c r="K2196" s="12" t="str">
        <f t="shared" si="418"/>
        <v>1804</v>
      </c>
      <c r="L2196" s="13" t="s">
        <v>32</v>
      </c>
      <c r="M2196" s="13" t="s">
        <v>6561</v>
      </c>
      <c r="N2196" s="12" t="str">
        <f t="shared" si="423"/>
        <v>1804</v>
      </c>
      <c r="O2196" s="12" t="str">
        <f t="shared" si="424"/>
        <v>1805</v>
      </c>
      <c r="P2196" s="13"/>
      <c r="Q2196" s="12" t="str">
        <f t="shared" si="419"/>
        <v>1804</v>
      </c>
      <c r="R2196" s="13"/>
      <c r="S2196" s="12" t="str">
        <f t="shared" si="420"/>
        <v/>
      </c>
      <c r="T2196" s="13"/>
      <c r="U2196" s="13" t="s">
        <v>15366</v>
      </c>
      <c r="V2196" s="12" t="str">
        <f t="shared" si="421"/>
        <v>1832</v>
      </c>
      <c r="W2196" s="13" t="s">
        <v>15367</v>
      </c>
      <c r="X2196" s="13" t="s">
        <v>2176</v>
      </c>
      <c r="Y2196" s="13" t="s">
        <v>7120</v>
      </c>
      <c r="Z2196" s="13"/>
      <c r="AA2196" s="13" t="s">
        <v>2695</v>
      </c>
      <c r="AB2196" s="13" t="s">
        <v>199</v>
      </c>
      <c r="AC2196" s="13" t="s">
        <v>5629</v>
      </c>
      <c r="AD2196" s="13"/>
      <c r="AE2196" s="13"/>
      <c r="AF2196" s="13" t="s">
        <v>3677</v>
      </c>
      <c r="AG2196" s="13" t="s">
        <v>53</v>
      </c>
      <c r="AH2196" s="13" t="s">
        <v>12313</v>
      </c>
      <c r="AI2196" s="12" t="str">
        <f t="shared" si="422"/>
        <v>1837</v>
      </c>
      <c r="AJ2196" s="13" t="s">
        <v>12314</v>
      </c>
      <c r="AK2196" s="13" t="s">
        <v>90</v>
      </c>
      <c r="AL2196" s="13"/>
      <c r="AM2196" s="13"/>
      <c r="AN2196" s="13"/>
      <c r="AO2196" s="13"/>
      <c r="AP2196" s="13"/>
      <c r="AQ2196" s="13"/>
      <c r="AR2196" s="13"/>
      <c r="AS2196" s="13"/>
      <c r="AT2196" s="13"/>
      <c r="AU2196" s="13"/>
      <c r="AV2196" s="13"/>
      <c r="AW2196" s="13"/>
      <c r="AX2196" s="13"/>
      <c r="AY2196" s="13"/>
      <c r="AZ2196" s="13"/>
      <c r="BA2196" s="13"/>
      <c r="BB2196" s="13"/>
      <c r="BC2196" s="13"/>
      <c r="BD2196" s="13"/>
      <c r="BE2196" s="13"/>
      <c r="BF2196" s="13"/>
      <c r="BG2196" s="13"/>
      <c r="BH2196" s="12"/>
      <c r="BI2196" s="12"/>
      <c r="BJ2196" s="12"/>
      <c r="BK2196" s="12"/>
      <c r="BL2196" s="12"/>
      <c r="BM2196" s="12"/>
      <c r="BN2196" s="12"/>
      <c r="BO2196" s="12"/>
      <c r="BP2196" s="12"/>
      <c r="BQ2196" s="12"/>
      <c r="BR2196" s="12"/>
      <c r="BS2196" s="12"/>
      <c r="BT2196" s="12"/>
      <c r="BU2196" s="12"/>
      <c r="BV2196" s="12"/>
      <c r="BW2196" s="12"/>
      <c r="BX2196" s="12"/>
      <c r="BY2196" s="12"/>
      <c r="BZ2196" s="12"/>
      <c r="CA2196" s="12"/>
      <c r="CB2196" s="12"/>
      <c r="CC2196" s="12"/>
      <c r="CD2196" s="12"/>
    </row>
    <row r="2197" spans="1:82">
      <c r="A2197" s="13" t="s">
        <v>1586</v>
      </c>
      <c r="B2197" s="12" t="str">
        <f t="shared" si="414"/>
        <v>VERMAAK</v>
      </c>
      <c r="C2197" s="12" t="str">
        <f t="shared" si="415"/>
        <v>VERMAAK</v>
      </c>
      <c r="D2197" s="13" t="s">
        <v>6545</v>
      </c>
      <c r="E2197" s="12" t="str">
        <f t="shared" si="425"/>
        <v>Izaak Cornelis Johannes</v>
      </c>
      <c r="F2197" s="13" t="s">
        <v>6546</v>
      </c>
      <c r="G2197" s="12" t="str">
        <f t="shared" si="416"/>
        <v>a1b2c6d1e4</v>
      </c>
      <c r="H2197" s="12" t="str">
        <f t="shared" si="426"/>
        <v>VERMAAKa1b2c6d1e4</v>
      </c>
      <c r="I2197" s="13"/>
      <c r="J2197" s="13" t="s">
        <v>6547</v>
      </c>
      <c r="K2197" s="12" t="str">
        <f t="shared" si="418"/>
        <v>1809</v>
      </c>
      <c r="L2197" s="13" t="s">
        <v>32</v>
      </c>
      <c r="M2197" s="13" t="s">
        <v>6548</v>
      </c>
      <c r="N2197" s="12" t="str">
        <f t="shared" si="423"/>
        <v>1809</v>
      </c>
      <c r="O2197" s="12" t="str">
        <f t="shared" si="424"/>
        <v>1809</v>
      </c>
      <c r="P2197" s="13"/>
      <c r="Q2197" s="12" t="str">
        <f t="shared" si="419"/>
        <v>1809</v>
      </c>
      <c r="R2197" s="13"/>
      <c r="S2197" s="12" t="str">
        <f t="shared" si="420"/>
        <v/>
      </c>
      <c r="T2197" s="13" t="s">
        <v>53</v>
      </c>
      <c r="U2197" s="13" t="s">
        <v>15358</v>
      </c>
      <c r="V2197" s="12" t="str">
        <f t="shared" si="421"/>
        <v>1828</v>
      </c>
      <c r="W2197" s="13" t="s">
        <v>15359</v>
      </c>
      <c r="X2197" s="13" t="s">
        <v>2381</v>
      </c>
      <c r="Y2197" s="13" t="s">
        <v>4348</v>
      </c>
      <c r="Z2197" s="13"/>
      <c r="AA2197" s="13"/>
      <c r="AB2197" s="13"/>
      <c r="AC2197" s="13"/>
      <c r="AD2197" s="13"/>
      <c r="AE2197" s="13"/>
      <c r="AF2197" s="13" t="s">
        <v>3677</v>
      </c>
      <c r="AG2197" s="13" t="s">
        <v>53</v>
      </c>
      <c r="AH2197" s="13" t="s">
        <v>12313</v>
      </c>
      <c r="AI2197" s="12" t="str">
        <f t="shared" si="422"/>
        <v>1837</v>
      </c>
      <c r="AJ2197" s="13" t="s">
        <v>12314</v>
      </c>
      <c r="AK2197" s="13" t="s">
        <v>90</v>
      </c>
      <c r="AL2197" s="13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/>
      <c r="AX2197" s="13"/>
      <c r="AY2197" s="13"/>
      <c r="AZ2197" s="13"/>
      <c r="BA2197" s="13"/>
      <c r="BB2197" s="13"/>
      <c r="BC2197" s="13"/>
      <c r="BD2197" s="13"/>
      <c r="BE2197" s="13"/>
      <c r="BF2197" s="13"/>
      <c r="BG2197" s="13"/>
      <c r="BH2197" s="12"/>
      <c r="BI2197" s="12"/>
      <c r="BJ2197" s="12"/>
      <c r="BK2197" s="12"/>
      <c r="BL2197" s="12"/>
      <c r="BM2197" s="12"/>
      <c r="BN2197" s="12"/>
      <c r="BO2197" s="12"/>
      <c r="BP2197" s="12"/>
      <c r="BQ2197" s="12"/>
      <c r="BR2197" s="12"/>
      <c r="BS2197" s="12"/>
      <c r="BT2197" s="12"/>
      <c r="BU2197" s="12"/>
      <c r="BV2197" s="12"/>
      <c r="BW2197" s="12"/>
      <c r="BX2197" s="12"/>
      <c r="BY2197" s="12"/>
      <c r="BZ2197" s="12"/>
      <c r="CA2197" s="12"/>
      <c r="CB2197" s="12"/>
      <c r="CC2197" s="12"/>
      <c r="CD2197" s="12"/>
    </row>
    <row r="2198" spans="1:82">
      <c r="A2198" s="13" t="s">
        <v>1586</v>
      </c>
      <c r="B2198" s="12" t="str">
        <f t="shared" si="414"/>
        <v>VERMAAK</v>
      </c>
      <c r="C2198" s="12" t="str">
        <f t="shared" si="415"/>
        <v>VERMAAK</v>
      </c>
      <c r="D2198" s="13" t="s">
        <v>6529</v>
      </c>
      <c r="E2198" s="12" t="str">
        <f t="shared" si="425"/>
        <v>Cornelis Johannes Gerhardus</v>
      </c>
      <c r="F2198" s="13" t="s">
        <v>6530</v>
      </c>
      <c r="G2198" s="12" t="str">
        <f t="shared" si="416"/>
        <v>a1b2c6d1e5</v>
      </c>
      <c r="H2198" s="12" t="str">
        <f t="shared" si="426"/>
        <v>VERMAAKa1b2c6d1e5</v>
      </c>
      <c r="I2198" s="13"/>
      <c r="J2198" s="13" t="s">
        <v>6531</v>
      </c>
      <c r="K2198" s="12" t="str">
        <f t="shared" si="418"/>
        <v>1812</v>
      </c>
      <c r="L2198" s="13" t="s">
        <v>32</v>
      </c>
      <c r="M2198" s="13" t="s">
        <v>6532</v>
      </c>
      <c r="N2198" s="12" t="str">
        <f t="shared" si="423"/>
        <v>1812</v>
      </c>
      <c r="O2198" s="12" t="str">
        <f t="shared" si="424"/>
        <v>1812</v>
      </c>
      <c r="P2198" s="13"/>
      <c r="Q2198" s="12" t="str">
        <f t="shared" si="419"/>
        <v>1812</v>
      </c>
      <c r="R2198" s="13"/>
      <c r="S2198" s="12" t="str">
        <f t="shared" si="420"/>
        <v/>
      </c>
      <c r="T2198" s="13" t="s">
        <v>53</v>
      </c>
      <c r="U2198" s="13" t="s">
        <v>3014</v>
      </c>
      <c r="V2198" s="12" t="str">
        <f t="shared" si="421"/>
        <v>1830</v>
      </c>
      <c r="W2198" s="13" t="s">
        <v>714</v>
      </c>
      <c r="X2198" s="13" t="s">
        <v>1900</v>
      </c>
      <c r="Y2198" s="13" t="s">
        <v>15345</v>
      </c>
      <c r="Z2198" s="13"/>
      <c r="AA2198" s="13"/>
      <c r="AB2198" s="13"/>
      <c r="AC2198" s="13" t="s">
        <v>7516</v>
      </c>
      <c r="AD2198" s="13"/>
      <c r="AE2198" s="13"/>
      <c r="AF2198" s="13" t="s">
        <v>3677</v>
      </c>
      <c r="AG2198" s="13" t="s">
        <v>53</v>
      </c>
      <c r="AH2198" s="13" t="s">
        <v>12313</v>
      </c>
      <c r="AI2198" s="12" t="str">
        <f t="shared" si="422"/>
        <v>1837</v>
      </c>
      <c r="AJ2198" s="13" t="s">
        <v>12314</v>
      </c>
      <c r="AK2198" s="13" t="s">
        <v>90</v>
      </c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2"/>
      <c r="BI2198" s="12"/>
      <c r="BJ2198" s="12"/>
      <c r="BK2198" s="12"/>
      <c r="BL2198" s="12"/>
      <c r="BM2198" s="12"/>
      <c r="BN2198" s="12"/>
      <c r="BO2198" s="12"/>
      <c r="BP2198" s="12"/>
      <c r="BQ2198" s="12"/>
      <c r="BR2198" s="12"/>
      <c r="BS2198" s="12"/>
      <c r="BT2198" s="12"/>
      <c r="BU2198" s="12"/>
      <c r="BV2198" s="12"/>
      <c r="BW2198" s="12"/>
      <c r="BX2198" s="12"/>
      <c r="BY2198" s="12"/>
      <c r="BZ2198" s="12"/>
      <c r="CA2198" s="12"/>
      <c r="CB2198" s="12"/>
      <c r="CC2198" s="12"/>
      <c r="CD2198" s="12"/>
    </row>
    <row r="2199" spans="1:82">
      <c r="A2199" s="13" t="s">
        <v>1586</v>
      </c>
      <c r="B2199" s="12" t="str">
        <f t="shared" si="414"/>
        <v>VERMAAK</v>
      </c>
      <c r="C2199" s="12" t="str">
        <f t="shared" si="415"/>
        <v>VERMAAK</v>
      </c>
      <c r="D2199" s="13" t="s">
        <v>6573</v>
      </c>
      <c r="E2199" s="12" t="str">
        <f t="shared" si="425"/>
        <v>Salomon</v>
      </c>
      <c r="F2199" s="13" t="s">
        <v>980</v>
      </c>
      <c r="G2199" s="12" t="str">
        <f t="shared" si="416"/>
        <v>a1b2c6d2</v>
      </c>
      <c r="H2199" s="12" t="str">
        <f t="shared" si="426"/>
        <v>VERMAAKa1b2c6d2</v>
      </c>
      <c r="I2199" s="13"/>
      <c r="J2199" s="13"/>
      <c r="K2199" s="12" t="str">
        <f t="shared" si="418"/>
        <v/>
      </c>
      <c r="L2199" s="13" t="s">
        <v>6098</v>
      </c>
      <c r="M2199" s="13" t="s">
        <v>6574</v>
      </c>
      <c r="N2199" s="12" t="str">
        <f t="shared" si="423"/>
        <v/>
      </c>
      <c r="O2199" s="12" t="str">
        <f t="shared" si="424"/>
        <v>1782</v>
      </c>
      <c r="P2199" s="13"/>
      <c r="Q2199" s="12" t="str">
        <f t="shared" si="419"/>
        <v>1782</v>
      </c>
      <c r="R2199" s="13"/>
      <c r="S2199" s="12" t="str">
        <f t="shared" si="420"/>
        <v/>
      </c>
      <c r="T2199" s="13"/>
      <c r="U2199" s="13"/>
      <c r="V2199" s="12" t="str">
        <f t="shared" si="421"/>
        <v/>
      </c>
      <c r="W2199" s="13" t="s">
        <v>15375</v>
      </c>
      <c r="X2199" s="13" t="s">
        <v>2394</v>
      </c>
      <c r="Y2199" s="13"/>
      <c r="Z2199" s="13"/>
      <c r="AA2199" s="13"/>
      <c r="AB2199" s="13"/>
      <c r="AC2199" s="13"/>
      <c r="AD2199" s="13"/>
      <c r="AE2199" s="13"/>
      <c r="AF2199" s="13" t="s">
        <v>3677</v>
      </c>
      <c r="AG2199" s="13" t="s">
        <v>53</v>
      </c>
      <c r="AH2199" s="13" t="s">
        <v>15376</v>
      </c>
      <c r="AI2199" s="12" t="str">
        <f t="shared" si="422"/>
        <v>1836</v>
      </c>
      <c r="AJ2199" s="13" t="s">
        <v>12314</v>
      </c>
      <c r="AK2199" s="13"/>
      <c r="AL2199" s="13" t="s">
        <v>6098</v>
      </c>
      <c r="AM2199" s="13" t="s">
        <v>3103</v>
      </c>
      <c r="AN2199" s="13" t="s">
        <v>5303</v>
      </c>
      <c r="AO2199" s="13" t="s">
        <v>1136</v>
      </c>
      <c r="AP2199" s="13" t="s">
        <v>15377</v>
      </c>
      <c r="AQ2199" s="13"/>
      <c r="AR2199" s="13"/>
      <c r="AS2199" s="13"/>
      <c r="AT2199" s="13" t="s">
        <v>4097</v>
      </c>
      <c r="AU2199" s="13" t="s">
        <v>134</v>
      </c>
      <c r="AV2199" s="13" t="s">
        <v>15378</v>
      </c>
      <c r="AW2199" s="13" t="s">
        <v>134</v>
      </c>
      <c r="AX2199" s="13" t="s">
        <v>15379</v>
      </c>
      <c r="AY2199" s="13" t="s">
        <v>2915</v>
      </c>
      <c r="AZ2199" s="13" t="s">
        <v>3803</v>
      </c>
      <c r="BA2199" s="13"/>
      <c r="BB2199" s="13" t="s">
        <v>32</v>
      </c>
      <c r="BC2199" s="13" t="s">
        <v>15380</v>
      </c>
      <c r="BD2199" s="12"/>
      <c r="BE2199" s="13"/>
      <c r="BF2199" s="13"/>
      <c r="BG2199" s="13"/>
      <c r="BH2199" s="12"/>
      <c r="BI2199" s="12"/>
      <c r="BJ2199" s="12"/>
      <c r="BK2199" s="12"/>
      <c r="BL2199" s="12"/>
      <c r="BM2199" s="12"/>
      <c r="BN2199" s="12"/>
      <c r="BO2199" s="12"/>
      <c r="BP2199" s="12"/>
      <c r="BQ2199" s="12"/>
      <c r="BR2199" s="12"/>
      <c r="BS2199" s="12"/>
      <c r="BT2199" s="12"/>
      <c r="BU2199" s="12"/>
      <c r="BV2199" s="12"/>
      <c r="BW2199" s="12"/>
      <c r="BX2199" s="12"/>
      <c r="BY2199" s="12"/>
      <c r="BZ2199" s="12"/>
      <c r="CA2199" s="12"/>
      <c r="CB2199" s="12"/>
      <c r="CC2199" s="12"/>
      <c r="CD2199" s="12"/>
    </row>
    <row r="2200" spans="1:82">
      <c r="A2200" s="13" t="s">
        <v>1586</v>
      </c>
      <c r="B2200" s="12" t="str">
        <f t="shared" si="414"/>
        <v>VERMAAK</v>
      </c>
      <c r="C2200" s="12" t="str">
        <f t="shared" si="415"/>
        <v>VERMAAK</v>
      </c>
      <c r="D2200" s="13" t="s">
        <v>6549</v>
      </c>
      <c r="E2200" s="12" t="str">
        <f t="shared" si="425"/>
        <v>Jacobus Stephanus</v>
      </c>
      <c r="F2200" s="13" t="s">
        <v>6552</v>
      </c>
      <c r="G2200" s="12" t="str">
        <f t="shared" si="416"/>
        <v>a1b2c6d2e1</v>
      </c>
      <c r="H2200" s="12" t="str">
        <f t="shared" si="426"/>
        <v>VERMAAKa1b2c6d2e1</v>
      </c>
      <c r="I2200" s="13" t="s">
        <v>6553</v>
      </c>
      <c r="J2200" s="13" t="s">
        <v>6554</v>
      </c>
      <c r="K2200" s="12" t="str">
        <f t="shared" si="418"/>
        <v>1805</v>
      </c>
      <c r="L2200" s="13" t="s">
        <v>32</v>
      </c>
      <c r="M2200" s="13" t="s">
        <v>6555</v>
      </c>
      <c r="N2200" s="12" t="str">
        <f t="shared" si="423"/>
        <v>1805</v>
      </c>
      <c r="O2200" s="12" t="str">
        <f t="shared" si="424"/>
        <v>1806</v>
      </c>
      <c r="P2200" s="13" t="s">
        <v>6556</v>
      </c>
      <c r="Q2200" s="12" t="str">
        <f t="shared" si="419"/>
        <v>1805</v>
      </c>
      <c r="R2200" s="13" t="s">
        <v>15363</v>
      </c>
      <c r="S2200" s="12" t="str">
        <f t="shared" si="420"/>
        <v>1841</v>
      </c>
      <c r="T2200" s="13" t="s">
        <v>53</v>
      </c>
      <c r="U2200" s="13" t="s">
        <v>3876</v>
      </c>
      <c r="V2200" s="12" t="str">
        <f t="shared" si="421"/>
        <v>1826</v>
      </c>
      <c r="W2200" s="13" t="s">
        <v>15364</v>
      </c>
      <c r="X2200" s="13" t="s">
        <v>697</v>
      </c>
      <c r="Y2200" s="13" t="s">
        <v>15365</v>
      </c>
      <c r="Z2200" s="13"/>
      <c r="AA2200" s="13"/>
      <c r="AB2200" s="13"/>
      <c r="AC2200" s="13" t="s">
        <v>8230</v>
      </c>
      <c r="AD2200" s="13"/>
      <c r="AE2200" s="13"/>
      <c r="AF2200" s="13" t="s">
        <v>3677</v>
      </c>
      <c r="AG2200" s="13" t="s">
        <v>53</v>
      </c>
      <c r="AH2200" s="13" t="s">
        <v>12313</v>
      </c>
      <c r="AI2200" s="12" t="str">
        <f t="shared" si="422"/>
        <v>1837</v>
      </c>
      <c r="AJ2200" s="13" t="s">
        <v>12314</v>
      </c>
      <c r="AK2200" s="13" t="s">
        <v>90</v>
      </c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2"/>
      <c r="BI2200" s="12"/>
      <c r="BJ2200" s="12"/>
      <c r="BK2200" s="12"/>
      <c r="BL2200" s="12"/>
      <c r="BM2200" s="12"/>
      <c r="BN2200" s="12"/>
      <c r="BO2200" s="12"/>
      <c r="BP2200" s="12"/>
      <c r="BQ2200" s="12"/>
      <c r="BR2200" s="12"/>
      <c r="BS2200" s="12"/>
      <c r="BT2200" s="12"/>
      <c r="BU2200" s="12"/>
      <c r="BV2200" s="12"/>
      <c r="BW2200" s="12"/>
      <c r="BX2200" s="12"/>
      <c r="BY2200" s="12"/>
      <c r="BZ2200" s="12"/>
      <c r="CA2200" s="12"/>
      <c r="CB2200" s="12"/>
      <c r="CC2200" s="12"/>
      <c r="CD2200" s="12"/>
    </row>
    <row r="2201" spans="1:82">
      <c r="A2201" s="13" t="s">
        <v>1586</v>
      </c>
      <c r="B2201" s="12" t="str">
        <f t="shared" si="414"/>
        <v>VERMAAK</v>
      </c>
      <c r="C2201" s="12" t="str">
        <f t="shared" si="415"/>
        <v>VERMAAK</v>
      </c>
      <c r="D2201" s="13" t="s">
        <v>6562</v>
      </c>
      <c r="E2201" s="12" t="str">
        <f t="shared" si="425"/>
        <v>Johannes Gerhardus</v>
      </c>
      <c r="F2201" s="13" t="s">
        <v>6563</v>
      </c>
      <c r="G2201" s="12" t="str">
        <f t="shared" si="416"/>
        <v>a1b2c6d2e2</v>
      </c>
      <c r="H2201" s="12" t="str">
        <f t="shared" si="426"/>
        <v>VERMAAKa1b2c6d2e2</v>
      </c>
      <c r="I2201" s="13"/>
      <c r="J2201" s="13" t="s">
        <v>6564</v>
      </c>
      <c r="K2201" s="12" t="str">
        <f t="shared" si="418"/>
        <v>1807</v>
      </c>
      <c r="L2201" s="13" t="s">
        <v>32</v>
      </c>
      <c r="M2201" s="13" t="s">
        <v>6565</v>
      </c>
      <c r="N2201" s="12" t="str">
        <f t="shared" si="423"/>
        <v>1807</v>
      </c>
      <c r="O2201" s="12" t="str">
        <f t="shared" si="424"/>
        <v>1808</v>
      </c>
      <c r="P2201" s="13" t="s">
        <v>6566</v>
      </c>
      <c r="Q2201" s="12" t="str">
        <f t="shared" si="419"/>
        <v>1807</v>
      </c>
      <c r="R2201" s="13" t="s">
        <v>6567</v>
      </c>
      <c r="S2201" s="12" t="str">
        <f t="shared" si="420"/>
        <v>1881</v>
      </c>
      <c r="T2201" s="13"/>
      <c r="U2201" s="13"/>
      <c r="V2201" s="12" t="str">
        <f t="shared" si="421"/>
        <v/>
      </c>
      <c r="W2201" s="13" t="s">
        <v>9408</v>
      </c>
      <c r="X2201" s="13" t="s">
        <v>3799</v>
      </c>
      <c r="Y2201" s="13" t="s">
        <v>6183</v>
      </c>
      <c r="Z2201" s="13"/>
      <c r="AA2201" s="13"/>
      <c r="AB2201" s="13"/>
      <c r="AC2201" s="13" t="s">
        <v>1474</v>
      </c>
      <c r="AD2201" s="13"/>
      <c r="AE2201" s="13"/>
      <c r="AF2201" s="13" t="s">
        <v>3677</v>
      </c>
      <c r="AG2201" s="13" t="s">
        <v>53</v>
      </c>
      <c r="AH2201" s="13" t="s">
        <v>12313</v>
      </c>
      <c r="AI2201" s="12" t="str">
        <f t="shared" si="422"/>
        <v>1837</v>
      </c>
      <c r="AJ2201" s="13" t="s">
        <v>12314</v>
      </c>
      <c r="AK2201" s="13" t="s">
        <v>14330</v>
      </c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2"/>
      <c r="BI2201" s="12"/>
      <c r="BJ2201" s="12"/>
      <c r="BK2201" s="12"/>
      <c r="BL2201" s="12"/>
      <c r="BM2201" s="12"/>
      <c r="BN2201" s="12"/>
      <c r="BO2201" s="12"/>
      <c r="BP2201" s="12"/>
      <c r="BQ2201" s="12"/>
      <c r="BR2201" s="12"/>
      <c r="BS2201" s="12"/>
      <c r="BT2201" s="12"/>
      <c r="BU2201" s="12"/>
      <c r="BV2201" s="12"/>
      <c r="BW2201" s="12"/>
      <c r="BX2201" s="12"/>
      <c r="BY2201" s="12"/>
      <c r="BZ2201" s="12"/>
      <c r="CA2201" s="12"/>
      <c r="CB2201" s="12"/>
      <c r="CC2201" s="12"/>
      <c r="CD2201" s="12"/>
    </row>
    <row r="2202" spans="1:82">
      <c r="A2202" s="13" t="s">
        <v>1586</v>
      </c>
      <c r="B2202" s="12" t="str">
        <f t="shared" si="414"/>
        <v>VERMAAK</v>
      </c>
      <c r="C2202" s="12" t="str">
        <f t="shared" si="415"/>
        <v>VERMAAK</v>
      </c>
      <c r="D2202" s="13" t="s">
        <v>6575</v>
      </c>
      <c r="E2202" s="12" t="str">
        <f t="shared" si="425"/>
        <v>Salomon Cornelis Johannes</v>
      </c>
      <c r="F2202" s="13" t="s">
        <v>6576</v>
      </c>
      <c r="G2202" s="12" t="str">
        <f t="shared" si="416"/>
        <v>a1b2c6d2e3</v>
      </c>
      <c r="H2202" s="12" t="str">
        <f t="shared" si="426"/>
        <v>VERMAAKa1b2c6d2e3</v>
      </c>
      <c r="I2202" s="13"/>
      <c r="J2202" s="13" t="s">
        <v>6577</v>
      </c>
      <c r="K2202" s="12" t="str">
        <f t="shared" si="418"/>
        <v>1809</v>
      </c>
      <c r="L2202" s="13" t="s">
        <v>74</v>
      </c>
      <c r="M2202" s="13" t="s">
        <v>5926</v>
      </c>
      <c r="N2202" s="12" t="str">
        <f t="shared" si="423"/>
        <v>1809</v>
      </c>
      <c r="O2202" s="12" t="str">
        <f t="shared" si="424"/>
        <v>1809</v>
      </c>
      <c r="P2202" s="13" t="s">
        <v>6578</v>
      </c>
      <c r="Q2202" s="12" t="str">
        <f t="shared" si="419"/>
        <v>1809</v>
      </c>
      <c r="R2202" s="13" t="s">
        <v>6579</v>
      </c>
      <c r="S2202" s="12" t="str">
        <f t="shared" si="420"/>
        <v>1883</v>
      </c>
      <c r="T2202" s="13"/>
      <c r="U2202" s="13" t="s">
        <v>15381</v>
      </c>
      <c r="V2202" s="12" t="str">
        <f t="shared" si="421"/>
        <v>1829</v>
      </c>
      <c r="W2202" s="13" t="s">
        <v>15382</v>
      </c>
      <c r="X2202" s="13" t="s">
        <v>12376</v>
      </c>
      <c r="Y2202" s="13"/>
      <c r="Z2202" s="13"/>
      <c r="AA2202" s="13" t="s">
        <v>189</v>
      </c>
      <c r="AB2202" s="13"/>
      <c r="AC2202" s="13"/>
      <c r="AD2202" s="13" t="s">
        <v>120</v>
      </c>
      <c r="AE2202" s="13">
        <v>1883</v>
      </c>
      <c r="AF2202" s="13" t="s">
        <v>3677</v>
      </c>
      <c r="AG2202" s="13" t="s">
        <v>53</v>
      </c>
      <c r="AH2202" s="13" t="s">
        <v>15383</v>
      </c>
      <c r="AI2202" s="12" t="str">
        <f t="shared" si="422"/>
        <v>1837</v>
      </c>
      <c r="AJ2202" s="13" t="s">
        <v>15384</v>
      </c>
      <c r="AK2202" s="13" t="s">
        <v>120</v>
      </c>
      <c r="AL2202" s="13"/>
      <c r="AM2202" s="13"/>
      <c r="AN2202" s="13"/>
      <c r="AO2202" s="13"/>
      <c r="AP2202" s="13"/>
      <c r="AQ2202" s="13"/>
      <c r="AR2202" s="13"/>
      <c r="AS2202" s="13"/>
      <c r="AT2202" s="13"/>
      <c r="AU2202" s="13"/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2"/>
      <c r="BI2202" s="12"/>
      <c r="BJ2202" s="12"/>
      <c r="BK2202" s="12"/>
      <c r="BL2202" s="12"/>
      <c r="BM2202" s="12"/>
      <c r="BN2202" s="12"/>
      <c r="BO2202" s="12"/>
      <c r="BP2202" s="12"/>
      <c r="BQ2202" s="12"/>
      <c r="BR2202" s="12"/>
      <c r="BS2202" s="12"/>
      <c r="BT2202" s="12"/>
      <c r="BU2202" s="12"/>
      <c r="BV2202" s="12"/>
      <c r="BW2202" s="12"/>
      <c r="BX2202" s="12"/>
      <c r="BY2202" s="12"/>
      <c r="BZ2202" s="12"/>
      <c r="CA2202" s="12"/>
      <c r="CB2202" s="12"/>
      <c r="CC2202" s="12"/>
      <c r="CD2202" s="12"/>
    </row>
    <row r="2203" spans="1:82">
      <c r="A2203" s="13" t="s">
        <v>1586</v>
      </c>
      <c r="B2203" s="12" t="str">
        <f t="shared" si="414"/>
        <v>VERMAAK</v>
      </c>
      <c r="C2203" s="12" t="str">
        <f t="shared" si="415"/>
        <v>VERMAAK</v>
      </c>
      <c r="D2203" s="13" t="s">
        <v>398</v>
      </c>
      <c r="E2203" s="12" t="str">
        <f t="shared" si="425"/>
        <v>Cornelis Johannes</v>
      </c>
      <c r="F2203" s="13" t="s">
        <v>6524</v>
      </c>
      <c r="G2203" s="12" t="str">
        <f t="shared" si="416"/>
        <v>a1b2c6d2e8</v>
      </c>
      <c r="H2203" s="12" t="str">
        <f t="shared" si="426"/>
        <v>VERMAAKa1b2c6d2e8</v>
      </c>
      <c r="I2203" s="13"/>
      <c r="J2203" s="13" t="s">
        <v>6525</v>
      </c>
      <c r="K2203" s="12" t="str">
        <f t="shared" si="418"/>
        <v>1821</v>
      </c>
      <c r="L2203" s="13" t="s">
        <v>53</v>
      </c>
      <c r="M2203" s="13" t="s">
        <v>6526</v>
      </c>
      <c r="N2203" s="12" t="str">
        <f t="shared" si="423"/>
        <v>1821</v>
      </c>
      <c r="O2203" s="12" t="str">
        <f t="shared" si="424"/>
        <v>1821</v>
      </c>
      <c r="P2203" s="13" t="s">
        <v>6527</v>
      </c>
      <c r="Q2203" s="12" t="str">
        <f t="shared" si="419"/>
        <v>1821</v>
      </c>
      <c r="R2203" s="13"/>
      <c r="S2203" s="12" t="str">
        <f t="shared" si="420"/>
        <v/>
      </c>
      <c r="T2203" s="13" t="s">
        <v>168</v>
      </c>
      <c r="U2203" s="13" t="s">
        <v>15340</v>
      </c>
      <c r="V2203" s="12" t="str">
        <f t="shared" si="421"/>
        <v>1841</v>
      </c>
      <c r="W2203" s="13" t="s">
        <v>4275</v>
      </c>
      <c r="X2203" s="13" t="s">
        <v>2589</v>
      </c>
      <c r="Y2203" s="13" t="s">
        <v>15341</v>
      </c>
      <c r="Z2203" s="13"/>
      <c r="AA2203" s="13">
        <v>1821</v>
      </c>
      <c r="AB2203" s="13"/>
      <c r="AC2203" s="13"/>
      <c r="AD2203" s="13"/>
      <c r="AE2203" s="13"/>
      <c r="AF2203" s="13" t="s">
        <v>3677</v>
      </c>
      <c r="AG2203" s="13" t="s">
        <v>53</v>
      </c>
      <c r="AH2203" s="13" t="s">
        <v>12313</v>
      </c>
      <c r="AI2203" s="12" t="str">
        <f t="shared" si="422"/>
        <v>1837</v>
      </c>
      <c r="AJ2203" s="13" t="s">
        <v>12314</v>
      </c>
      <c r="AK2203" s="13" t="s">
        <v>120</v>
      </c>
      <c r="AL2203" s="13"/>
      <c r="AM2203" s="13"/>
      <c r="AN2203" s="13"/>
      <c r="AO2203" s="13"/>
      <c r="AP2203" s="13"/>
      <c r="AQ2203" s="13"/>
      <c r="AR2203" s="13"/>
      <c r="AS2203" s="13"/>
      <c r="AT2203" s="13"/>
      <c r="AU2203" s="13"/>
      <c r="AV2203" s="13"/>
      <c r="AW2203" s="13"/>
      <c r="AX2203" s="13"/>
      <c r="AY2203" s="13"/>
      <c r="AZ2203" s="13"/>
      <c r="BA2203" s="13"/>
      <c r="BB2203" s="13"/>
      <c r="BC2203" s="13"/>
      <c r="BD2203" s="13"/>
      <c r="BE2203" s="13"/>
      <c r="BF2203" s="13"/>
      <c r="BG2203" s="13"/>
      <c r="BH2203" s="12"/>
      <c r="BI2203" s="12"/>
      <c r="BJ2203" s="12"/>
      <c r="BK2203" s="12"/>
      <c r="BL2203" s="12"/>
      <c r="BM2203" s="12"/>
      <c r="BN2203" s="12"/>
      <c r="BO2203" s="12"/>
      <c r="BP2203" s="12"/>
      <c r="BQ2203" s="12"/>
      <c r="BR2203" s="12"/>
      <c r="BS2203" s="12"/>
      <c r="BT2203" s="12"/>
      <c r="BU2203" s="12"/>
      <c r="BV2203" s="12"/>
      <c r="BW2203" s="12"/>
      <c r="BX2203" s="12"/>
      <c r="BY2203" s="12"/>
      <c r="BZ2203" s="12"/>
      <c r="CA2203" s="12"/>
      <c r="CB2203" s="12"/>
      <c r="CC2203" s="12"/>
      <c r="CD2203" s="12"/>
    </row>
    <row r="2204" spans="1:82">
      <c r="A2204" s="13" t="s">
        <v>1586</v>
      </c>
      <c r="B2204" s="12" t="str">
        <f t="shared" si="414"/>
        <v>VERMAAK</v>
      </c>
      <c r="C2204" s="12" t="str">
        <f t="shared" si="415"/>
        <v>VERMAAK</v>
      </c>
      <c r="D2204" s="13" t="s">
        <v>6570</v>
      </c>
      <c r="E2204" s="12" t="str">
        <f t="shared" si="425"/>
        <v>Petrus Theodorus</v>
      </c>
      <c r="F2204" s="13" t="s">
        <v>6571</v>
      </c>
      <c r="G2204" s="12" t="str">
        <f t="shared" si="416"/>
        <v>a1b2c6d7</v>
      </c>
      <c r="H2204" s="12" t="str">
        <f t="shared" si="426"/>
        <v>VERMAAKa1b2c6d7</v>
      </c>
      <c r="I2204" s="13"/>
      <c r="J2204" s="13"/>
      <c r="K2204" s="12" t="str">
        <f t="shared" si="418"/>
        <v/>
      </c>
      <c r="L2204" s="13"/>
      <c r="M2204" s="13" t="s">
        <v>6572</v>
      </c>
      <c r="N2204" s="12" t="str">
        <f t="shared" si="423"/>
        <v/>
      </c>
      <c r="O2204" s="12" t="str">
        <f t="shared" si="424"/>
        <v>1795</v>
      </c>
      <c r="P2204" s="13"/>
      <c r="Q2204" s="12" t="str">
        <f t="shared" si="419"/>
        <v>1795</v>
      </c>
      <c r="R2204" s="13"/>
      <c r="S2204" s="12" t="str">
        <f t="shared" si="420"/>
        <v/>
      </c>
      <c r="T2204" s="13" t="s">
        <v>53</v>
      </c>
      <c r="U2204" s="13" t="s">
        <v>2956</v>
      </c>
      <c r="V2204" s="12" t="str">
        <f t="shared" si="421"/>
        <v>1818</v>
      </c>
      <c r="W2204" s="13" t="s">
        <v>15371</v>
      </c>
      <c r="X2204" s="13"/>
      <c r="Y2204" s="13"/>
      <c r="Z2204" s="13"/>
      <c r="AA2204" s="13"/>
      <c r="AB2204" s="13"/>
      <c r="AC2204" s="13" t="s">
        <v>15372</v>
      </c>
      <c r="AD2204" s="13"/>
      <c r="AE2204" s="13"/>
      <c r="AF2204" s="13" t="s">
        <v>6553</v>
      </c>
      <c r="AG2204" s="13" t="s">
        <v>53</v>
      </c>
      <c r="AH2204" s="13" t="s">
        <v>12301</v>
      </c>
      <c r="AI2204" s="12" t="str">
        <f t="shared" si="422"/>
        <v>1837</v>
      </c>
      <c r="AJ2204" s="13" t="s">
        <v>5606</v>
      </c>
      <c r="AK2204" s="13" t="s">
        <v>90</v>
      </c>
      <c r="AL2204" s="13" t="s">
        <v>53</v>
      </c>
      <c r="AM2204" s="13" t="s">
        <v>2899</v>
      </c>
      <c r="AN2204" s="13" t="s">
        <v>5306</v>
      </c>
      <c r="AO2204" s="13" t="s">
        <v>2153</v>
      </c>
      <c r="AP2204" s="13" t="s">
        <v>15373</v>
      </c>
      <c r="AQ2204" s="13"/>
      <c r="AR2204" s="13"/>
      <c r="AS2204" s="13"/>
      <c r="AT2204" s="13" t="s">
        <v>15374</v>
      </c>
      <c r="AU2204" s="13"/>
      <c r="AV2204" s="13"/>
      <c r="AW2204" s="13"/>
      <c r="AX2204" s="13"/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2"/>
      <c r="BI2204" s="12"/>
      <c r="BJ2204" s="12"/>
      <c r="BK2204" s="12"/>
      <c r="BL2204" s="12"/>
      <c r="BM2204" s="12"/>
      <c r="BN2204" s="12"/>
      <c r="BO2204" s="12"/>
      <c r="BP2204" s="12"/>
      <c r="BQ2204" s="12"/>
      <c r="BR2204" s="12"/>
      <c r="BS2204" s="12"/>
      <c r="BT2204" s="12"/>
      <c r="BU2204" s="12"/>
      <c r="BV2204" s="12"/>
      <c r="BW2204" s="12"/>
      <c r="BX2204" s="12"/>
      <c r="BY2204" s="12"/>
      <c r="BZ2204" s="12"/>
      <c r="CA2204" s="12"/>
      <c r="CB2204" s="12"/>
      <c r="CC2204" s="12"/>
      <c r="CD2204" s="12"/>
    </row>
    <row r="2205" spans="1:82">
      <c r="A2205" s="13" t="s">
        <v>1586</v>
      </c>
      <c r="B2205" s="12" t="str">
        <f t="shared" si="414"/>
        <v>VERMAAK</v>
      </c>
      <c r="C2205" s="12" t="str">
        <f t="shared" si="415"/>
        <v>VERMAAK</v>
      </c>
      <c r="D2205" s="13" t="s">
        <v>6533</v>
      </c>
      <c r="E2205" s="12" t="str">
        <f t="shared" si="425"/>
        <v>Cornelis Tobias</v>
      </c>
      <c r="F2205" s="13" t="s">
        <v>6534</v>
      </c>
      <c r="G2205" s="12" t="str">
        <f t="shared" si="416"/>
        <v>a1b2c8d2</v>
      </c>
      <c r="H2205" s="12" t="str">
        <f t="shared" si="426"/>
        <v>VERMAAKa1b2c8d2</v>
      </c>
      <c r="I2205" s="13"/>
      <c r="J2205" s="13" t="s">
        <v>6535</v>
      </c>
      <c r="K2205" s="12" t="str">
        <f t="shared" si="418"/>
        <v>1787</v>
      </c>
      <c r="L2205" s="13" t="s">
        <v>32</v>
      </c>
      <c r="M2205" s="13" t="s">
        <v>6536</v>
      </c>
      <c r="N2205" s="12" t="str">
        <f t="shared" si="423"/>
        <v>1787</v>
      </c>
      <c r="O2205" s="12" t="str">
        <f t="shared" si="424"/>
        <v>1788</v>
      </c>
      <c r="P2205" s="13" t="s">
        <v>6537</v>
      </c>
      <c r="Q2205" s="12" t="str">
        <f t="shared" si="419"/>
        <v>1787</v>
      </c>
      <c r="R2205" s="13" t="s">
        <v>6538</v>
      </c>
      <c r="S2205" s="12" t="str">
        <f t="shared" si="420"/>
        <v>1854</v>
      </c>
      <c r="T2205" s="13" t="s">
        <v>961</v>
      </c>
      <c r="U2205" s="13" t="s">
        <v>15346</v>
      </c>
      <c r="V2205" s="12" t="str">
        <f t="shared" si="421"/>
        <v>1808</v>
      </c>
      <c r="W2205" s="13" t="s">
        <v>1124</v>
      </c>
      <c r="X2205" s="13" t="s">
        <v>3799</v>
      </c>
      <c r="Y2205" s="13" t="s">
        <v>14613</v>
      </c>
      <c r="Z2205" s="13"/>
      <c r="AA2205" s="13"/>
      <c r="AB2205" s="13"/>
      <c r="AC2205" s="13" t="s">
        <v>15347</v>
      </c>
      <c r="AD2205" s="13"/>
      <c r="AE2205" s="13"/>
      <c r="AF2205" s="13" t="s">
        <v>3677</v>
      </c>
      <c r="AG2205" s="13" t="s">
        <v>53</v>
      </c>
      <c r="AH2205" s="13" t="s">
        <v>12313</v>
      </c>
      <c r="AI2205" s="12" t="str">
        <f t="shared" si="422"/>
        <v>1837</v>
      </c>
      <c r="AJ2205" s="13" t="s">
        <v>12314</v>
      </c>
      <c r="AK2205" s="13" t="s">
        <v>90</v>
      </c>
      <c r="AL2205" s="13" t="s">
        <v>53</v>
      </c>
      <c r="AM2205" s="13" t="s">
        <v>3876</v>
      </c>
      <c r="AN2205" s="13" t="s">
        <v>15348</v>
      </c>
      <c r="AO2205" s="13" t="s">
        <v>631</v>
      </c>
      <c r="AP2205" s="13" t="s">
        <v>15349</v>
      </c>
      <c r="AQ2205" s="13"/>
      <c r="AR2205" s="13"/>
      <c r="AS2205" s="13"/>
      <c r="AT2205" s="13" t="s">
        <v>8230</v>
      </c>
      <c r="AU2205" s="13" t="s">
        <v>90</v>
      </c>
      <c r="AV2205" s="13" t="s">
        <v>15350</v>
      </c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2"/>
      <c r="BI2205" s="12"/>
      <c r="BJ2205" s="12"/>
      <c r="BK2205" s="12"/>
      <c r="BL2205" s="12"/>
      <c r="BM2205" s="12"/>
      <c r="BN2205" s="12"/>
      <c r="BO2205" s="12"/>
      <c r="BP2205" s="12"/>
      <c r="BQ2205" s="12"/>
      <c r="BR2205" s="12"/>
      <c r="BS2205" s="12"/>
      <c r="BT2205" s="12"/>
      <c r="BU2205" s="12"/>
      <c r="BV2205" s="12"/>
      <c r="BW2205" s="12"/>
      <c r="BX2205" s="12"/>
      <c r="BY2205" s="12"/>
      <c r="BZ2205" s="12"/>
      <c r="CA2205" s="12"/>
      <c r="CB2205" s="12"/>
      <c r="CC2205" s="12"/>
      <c r="CD2205" s="12"/>
    </row>
    <row r="2206" spans="1:82">
      <c r="A2206" s="13" t="s">
        <v>1586</v>
      </c>
      <c r="B2206" s="12" t="str">
        <f t="shared" si="414"/>
        <v>VERMAAK</v>
      </c>
      <c r="C2206" s="12" t="str">
        <f t="shared" si="415"/>
        <v>VERMAAK</v>
      </c>
      <c r="D2206" s="13" t="s">
        <v>1877</v>
      </c>
      <c r="E2206" s="12" t="str">
        <f t="shared" si="425"/>
        <v>Nicolaas Jacobus</v>
      </c>
      <c r="F2206" s="13" t="s">
        <v>6568</v>
      </c>
      <c r="G2206" s="12" t="str">
        <f t="shared" si="416"/>
        <v>a1b2c8d5</v>
      </c>
      <c r="H2206" s="12" t="str">
        <f t="shared" si="426"/>
        <v>VERMAAKa1b2c8d5</v>
      </c>
      <c r="I2206" s="13"/>
      <c r="J2206" s="13"/>
      <c r="K2206" s="12" t="str">
        <f t="shared" si="418"/>
        <v/>
      </c>
      <c r="L2206" s="13" t="s">
        <v>961</v>
      </c>
      <c r="M2206" s="13" t="s">
        <v>6569</v>
      </c>
      <c r="N2206" s="12" t="str">
        <f t="shared" si="423"/>
        <v/>
      </c>
      <c r="O2206" s="12" t="str">
        <f t="shared" si="424"/>
        <v>1795</v>
      </c>
      <c r="P2206" s="13"/>
      <c r="Q2206" s="12" t="str">
        <f t="shared" si="419"/>
        <v>1795</v>
      </c>
      <c r="R2206" s="13"/>
      <c r="S2206" s="12" t="str">
        <f t="shared" si="420"/>
        <v/>
      </c>
      <c r="T2206" s="13" t="s">
        <v>53</v>
      </c>
      <c r="U2206" s="13" t="s">
        <v>1431</v>
      </c>
      <c r="V2206" s="12" t="str">
        <f t="shared" si="421"/>
        <v>1821</v>
      </c>
      <c r="W2206" s="13" t="s">
        <v>15368</v>
      </c>
      <c r="X2206" s="13" t="s">
        <v>15369</v>
      </c>
      <c r="Y2206" s="13" t="s">
        <v>930</v>
      </c>
      <c r="Z2206" s="13"/>
      <c r="AA2206" s="13"/>
      <c r="AB2206" s="13"/>
      <c r="AC2206" s="13" t="s">
        <v>15370</v>
      </c>
      <c r="AD2206" s="13"/>
      <c r="AE2206" s="13"/>
      <c r="AF2206" s="13" t="s">
        <v>3677</v>
      </c>
      <c r="AG2206" s="13" t="s">
        <v>53</v>
      </c>
      <c r="AH2206" s="13" t="s">
        <v>12307</v>
      </c>
      <c r="AI2206" s="12" t="str">
        <f t="shared" si="422"/>
        <v>1836</v>
      </c>
      <c r="AJ2206" s="13" t="s">
        <v>12308</v>
      </c>
      <c r="AK2206" s="13"/>
      <c r="AL2206" s="13"/>
      <c r="AM2206" s="13"/>
      <c r="AN2206" s="13"/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2"/>
      <c r="BI2206" s="12"/>
      <c r="BJ2206" s="12"/>
      <c r="BK2206" s="12"/>
      <c r="BL2206" s="12"/>
      <c r="BM2206" s="12"/>
      <c r="BN2206" s="12"/>
      <c r="BO2206" s="12"/>
      <c r="BP2206" s="12"/>
      <c r="BQ2206" s="12"/>
      <c r="BR2206" s="12"/>
      <c r="BS2206" s="12"/>
      <c r="BT2206" s="12"/>
      <c r="BU2206" s="12"/>
      <c r="BV2206" s="12"/>
      <c r="BW2206" s="12"/>
      <c r="BX2206" s="12"/>
      <c r="BY2206" s="12"/>
      <c r="BZ2206" s="12"/>
      <c r="CA2206" s="12"/>
      <c r="CB2206" s="12"/>
      <c r="CC2206" s="12"/>
      <c r="CD2206" s="12"/>
    </row>
    <row r="2207" spans="1:82">
      <c r="A2207" s="13" t="s">
        <v>1586</v>
      </c>
      <c r="B2207" s="12" t="str">
        <f t="shared" si="414"/>
        <v>VERMAAK</v>
      </c>
      <c r="C2207" s="12" t="str">
        <f t="shared" si="415"/>
        <v>VERMAAK</v>
      </c>
      <c r="D2207" s="13" t="s">
        <v>6514</v>
      </c>
      <c r="E2207" s="12" t="str">
        <f t="shared" si="425"/>
        <v>Coenraad Johannes</v>
      </c>
      <c r="F2207" s="13" t="s">
        <v>6515</v>
      </c>
      <c r="G2207" s="12" t="str">
        <f t="shared" si="416"/>
        <v>a1b2c8d5e1</v>
      </c>
      <c r="H2207" s="12" t="str">
        <f t="shared" si="426"/>
        <v>VERMAAKa1b2c8d5e1</v>
      </c>
      <c r="I2207" s="13" t="s">
        <v>6516</v>
      </c>
      <c r="J2207" s="13" t="s">
        <v>6517</v>
      </c>
      <c r="K2207" s="12" t="str">
        <f t="shared" si="418"/>
        <v>1822</v>
      </c>
      <c r="L2207" s="13" t="s">
        <v>53</v>
      </c>
      <c r="M2207" s="13" t="s">
        <v>6518</v>
      </c>
      <c r="N2207" s="12" t="str">
        <f t="shared" si="423"/>
        <v>1822</v>
      </c>
      <c r="O2207" s="12" t="str">
        <f t="shared" si="424"/>
        <v>1822</v>
      </c>
      <c r="P2207" s="13" t="s">
        <v>6519</v>
      </c>
      <c r="Q2207" s="12" t="str">
        <f t="shared" si="419"/>
        <v>1822</v>
      </c>
      <c r="R2207" s="13" t="s">
        <v>6520</v>
      </c>
      <c r="S2207" s="12" t="str">
        <f t="shared" si="420"/>
        <v>1889</v>
      </c>
      <c r="T2207" s="13" t="s">
        <v>168</v>
      </c>
      <c r="U2207" s="13" t="s">
        <v>15332</v>
      </c>
      <c r="V2207" s="12" t="str">
        <f t="shared" si="421"/>
        <v>1843</v>
      </c>
      <c r="W2207" s="13" t="s">
        <v>8075</v>
      </c>
      <c r="X2207" s="13" t="s">
        <v>636</v>
      </c>
      <c r="Y2207" s="13" t="s">
        <v>15333</v>
      </c>
      <c r="Z2207" s="13"/>
      <c r="AA2207" s="13"/>
      <c r="AB2207" s="13"/>
      <c r="AC2207" s="13" t="s">
        <v>15334</v>
      </c>
      <c r="AD2207" s="13"/>
      <c r="AE2207" s="13"/>
      <c r="AF2207" s="13" t="s">
        <v>3677</v>
      </c>
      <c r="AG2207" s="13" t="s">
        <v>53</v>
      </c>
      <c r="AH2207" s="13" t="s">
        <v>12313</v>
      </c>
      <c r="AI2207" s="12" t="str">
        <f t="shared" si="422"/>
        <v>1837</v>
      </c>
      <c r="AJ2207" s="13" t="s">
        <v>12314</v>
      </c>
      <c r="AK2207" s="13" t="s">
        <v>2355</v>
      </c>
      <c r="AL2207" s="13"/>
      <c r="AM2207" s="13"/>
      <c r="AN2207" s="13" t="s">
        <v>714</v>
      </c>
      <c r="AO2207" s="13" t="s">
        <v>15335</v>
      </c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 t="s">
        <v>15336</v>
      </c>
      <c r="AZ2207" s="13" t="s">
        <v>1003</v>
      </c>
      <c r="BA2207" s="13"/>
      <c r="BB2207" s="13"/>
      <c r="BC2207" s="13"/>
      <c r="BD2207" s="13"/>
      <c r="BE2207" s="13"/>
      <c r="BF2207" s="13"/>
      <c r="BG2207" s="13"/>
      <c r="BH2207" s="12"/>
      <c r="BI2207" s="12"/>
      <c r="BJ2207" s="12"/>
      <c r="BK2207" s="12"/>
      <c r="BL2207" s="12"/>
      <c r="BM2207" s="12"/>
      <c r="BN2207" s="12"/>
      <c r="BO2207" s="12"/>
      <c r="BP2207" s="12"/>
      <c r="BQ2207" s="12"/>
      <c r="BR2207" s="12"/>
      <c r="BS2207" s="12"/>
      <c r="BT2207" s="12"/>
      <c r="BU2207" s="12"/>
      <c r="BV2207" s="12"/>
      <c r="BW2207" s="12"/>
      <c r="BX2207" s="12"/>
      <c r="BY2207" s="12"/>
      <c r="BZ2207" s="12"/>
      <c r="CA2207" s="12"/>
      <c r="CB2207" s="12"/>
      <c r="CC2207" s="12"/>
      <c r="CD2207" s="12"/>
    </row>
    <row r="2208" spans="1:82">
      <c r="A2208" s="13" t="s">
        <v>1586</v>
      </c>
      <c r="B2208" s="12" t="str">
        <f t="shared" si="414"/>
        <v>VERMAAK</v>
      </c>
      <c r="C2208" s="12" t="str">
        <f t="shared" si="415"/>
        <v>VERMAAK</v>
      </c>
      <c r="D2208" s="13" t="s">
        <v>6539</v>
      </c>
      <c r="E2208" s="12" t="str">
        <f t="shared" si="425"/>
        <v>Frans Nicolaas</v>
      </c>
      <c r="F2208" s="13" t="s">
        <v>6540</v>
      </c>
      <c r="G2208" s="12" t="str">
        <f t="shared" si="416"/>
        <v>a1b2c8d5e2</v>
      </c>
      <c r="H2208" s="12" t="str">
        <f t="shared" si="426"/>
        <v>VERMAAKa1b2c8d5e2</v>
      </c>
      <c r="I2208" s="13"/>
      <c r="J2208" s="13" t="s">
        <v>6541</v>
      </c>
      <c r="K2208" s="12" t="str">
        <f t="shared" si="418"/>
        <v>1824</v>
      </c>
      <c r="L2208" s="13" t="s">
        <v>53</v>
      </c>
      <c r="M2208" s="13" t="s">
        <v>6542</v>
      </c>
      <c r="N2208" s="12" t="str">
        <f t="shared" si="423"/>
        <v>1824</v>
      </c>
      <c r="O2208" s="12" t="str">
        <f t="shared" si="424"/>
        <v>1824</v>
      </c>
      <c r="P2208" s="13" t="s">
        <v>6543</v>
      </c>
      <c r="Q2208" s="12" t="str">
        <f t="shared" si="419"/>
        <v>1824</v>
      </c>
      <c r="R2208" s="13" t="s">
        <v>6544</v>
      </c>
      <c r="S2208" s="12" t="str">
        <f t="shared" si="420"/>
        <v>1908</v>
      </c>
      <c r="T2208" s="13" t="s">
        <v>168</v>
      </c>
      <c r="U2208" s="13" t="s">
        <v>15351</v>
      </c>
      <c r="V2208" s="12" t="str">
        <f t="shared" si="421"/>
        <v>1845</v>
      </c>
      <c r="W2208" s="13" t="s">
        <v>15352</v>
      </c>
      <c r="X2208" s="13" t="s">
        <v>1586</v>
      </c>
      <c r="Y2208" s="13" t="s">
        <v>15353</v>
      </c>
      <c r="Z2208" s="13"/>
      <c r="AA2208" s="13" t="s">
        <v>15354</v>
      </c>
      <c r="AB2208" s="13" t="s">
        <v>53</v>
      </c>
      <c r="AC2208" s="13" t="s">
        <v>15355</v>
      </c>
      <c r="AD2208" s="13"/>
      <c r="AE2208" s="13"/>
      <c r="AF2208" s="13" t="s">
        <v>3677</v>
      </c>
      <c r="AG2208" s="13" t="s">
        <v>53</v>
      </c>
      <c r="AH2208" s="13" t="s">
        <v>12313</v>
      </c>
      <c r="AI2208" s="12" t="str">
        <f t="shared" si="422"/>
        <v>1837</v>
      </c>
      <c r="AJ2208" s="13" t="s">
        <v>12314</v>
      </c>
      <c r="AK2208" s="13" t="s">
        <v>15356</v>
      </c>
      <c r="AL2208" s="13"/>
      <c r="AM2208" s="13"/>
      <c r="AN2208" s="13" t="s">
        <v>15357</v>
      </c>
      <c r="AO2208" s="13" t="s">
        <v>13025</v>
      </c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2"/>
      <c r="BI2208" s="12"/>
      <c r="BJ2208" s="12"/>
      <c r="BK2208" s="12"/>
      <c r="BL2208" s="12"/>
      <c r="BM2208" s="12"/>
      <c r="BN2208" s="12"/>
      <c r="BO2208" s="12"/>
      <c r="BP2208" s="12"/>
      <c r="BQ2208" s="12"/>
      <c r="BR2208" s="12"/>
      <c r="BS2208" s="12"/>
      <c r="BT2208" s="12"/>
      <c r="BU2208" s="12"/>
      <c r="BV2208" s="12"/>
      <c r="BW2208" s="12"/>
      <c r="BX2208" s="12"/>
      <c r="BY2208" s="12"/>
      <c r="BZ2208" s="12"/>
      <c r="CA2208" s="12"/>
      <c r="CB2208" s="12"/>
      <c r="CC2208" s="12"/>
      <c r="CD2208" s="12"/>
    </row>
    <row r="2209" spans="1:82">
      <c r="A2209" s="13" t="s">
        <v>1586</v>
      </c>
      <c r="B2209" s="12" t="str">
        <f t="shared" si="414"/>
        <v>VERMAAK</v>
      </c>
      <c r="C2209" s="12" t="str">
        <f t="shared" si="415"/>
        <v>VERMAAK</v>
      </c>
      <c r="D2209" s="13" t="s">
        <v>6521</v>
      </c>
      <c r="E2209" s="12" t="str">
        <f t="shared" si="425"/>
        <v>Coenraad Marthinus</v>
      </c>
      <c r="F2209" s="13" t="s">
        <v>6522</v>
      </c>
      <c r="G2209" s="12" t="str">
        <f t="shared" si="416"/>
        <v>a1b2c8d6</v>
      </c>
      <c r="H2209" s="12" t="str">
        <f t="shared" si="426"/>
        <v>VERMAAKa1b2c8d6</v>
      </c>
      <c r="I2209" s="13"/>
      <c r="J2209" s="13"/>
      <c r="K2209" s="12" t="str">
        <f t="shared" si="418"/>
        <v/>
      </c>
      <c r="L2209" s="13" t="s">
        <v>32</v>
      </c>
      <c r="M2209" s="13" t="s">
        <v>6523</v>
      </c>
      <c r="N2209" s="12" t="str">
        <f t="shared" si="423"/>
        <v/>
      </c>
      <c r="O2209" s="12" t="str">
        <f t="shared" si="424"/>
        <v>1799</v>
      </c>
      <c r="P2209" s="13"/>
      <c r="Q2209" s="12" t="str">
        <f t="shared" si="419"/>
        <v>1799</v>
      </c>
      <c r="R2209" s="13"/>
      <c r="S2209" s="12" t="str">
        <f t="shared" si="420"/>
        <v/>
      </c>
      <c r="T2209" s="13" t="s">
        <v>199</v>
      </c>
      <c r="U2209" s="13" t="s">
        <v>515</v>
      </c>
      <c r="V2209" s="12" t="str">
        <f t="shared" si="421"/>
        <v>1815</v>
      </c>
      <c r="W2209" s="13" t="s">
        <v>15337</v>
      </c>
      <c r="X2209" s="13" t="s">
        <v>695</v>
      </c>
      <c r="Y2209" s="13"/>
      <c r="Z2209" s="13"/>
      <c r="AA2209" s="13"/>
      <c r="AB2209" s="13"/>
      <c r="AC2209" s="13"/>
      <c r="AD2209" s="13"/>
      <c r="AE2209" s="13"/>
      <c r="AF2209" s="13" t="s">
        <v>3677</v>
      </c>
      <c r="AG2209" s="13" t="s">
        <v>53</v>
      </c>
      <c r="AH2209" s="13" t="s">
        <v>12313</v>
      </c>
      <c r="AI2209" s="12" t="str">
        <f t="shared" si="422"/>
        <v>1837</v>
      </c>
      <c r="AJ2209" s="13" t="s">
        <v>12314</v>
      </c>
      <c r="AK2209" s="13" t="s">
        <v>90</v>
      </c>
      <c r="AL2209" s="13" t="s">
        <v>53</v>
      </c>
      <c r="AM2209" s="13" t="s">
        <v>502</v>
      </c>
      <c r="AN2209" s="13" t="s">
        <v>15338</v>
      </c>
      <c r="AO2209" s="13" t="s">
        <v>1685</v>
      </c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 t="s">
        <v>10110</v>
      </c>
      <c r="AZ2209" s="13" t="s">
        <v>631</v>
      </c>
      <c r="BA2209" s="13"/>
      <c r="BB2209" s="13"/>
      <c r="BC2209" s="13"/>
      <c r="BD2209" s="13"/>
      <c r="BE2209" s="13"/>
      <c r="BF2209" s="13" t="s">
        <v>90</v>
      </c>
      <c r="BG2209" s="13" t="s">
        <v>15339</v>
      </c>
      <c r="BH2209" s="12" t="s">
        <v>168</v>
      </c>
      <c r="BI2209" s="13" t="s">
        <v>12953</v>
      </c>
      <c r="BJ2209" s="13" t="s">
        <v>3581</v>
      </c>
      <c r="BK2209" s="13" t="s">
        <v>696</v>
      </c>
      <c r="BL2209" s="13" t="s">
        <v>14964</v>
      </c>
      <c r="BM2209" s="12"/>
      <c r="BN2209" s="12"/>
      <c r="BO2209" s="12"/>
      <c r="BP2209" s="12" t="s">
        <v>5065</v>
      </c>
      <c r="BQ2209" s="12" t="s">
        <v>9305</v>
      </c>
      <c r="BR2209" s="12"/>
      <c r="BS2209" s="12"/>
      <c r="BT2209" s="12"/>
      <c r="BU2209" s="12"/>
      <c r="BV2209" s="12"/>
      <c r="BW2209" s="12"/>
      <c r="BX2209" s="12"/>
      <c r="BY2209" s="12"/>
      <c r="BZ2209" s="12"/>
      <c r="CA2209" s="12"/>
      <c r="CB2209" s="12"/>
      <c r="CC2209" s="12"/>
      <c r="CD2209" s="12"/>
    </row>
    <row r="2210" spans="1:82">
      <c r="A2210" s="13" t="s">
        <v>5519</v>
      </c>
      <c r="B2210" s="12" t="str">
        <f t="shared" si="414"/>
        <v>VERMAAS</v>
      </c>
      <c r="C2210" s="12" t="str">
        <f t="shared" si="415"/>
        <v>VERMAAS</v>
      </c>
      <c r="D2210" s="13" t="s">
        <v>6580</v>
      </c>
      <c r="E2210" s="12" t="str">
        <f t="shared" si="425"/>
        <v>Hendrik Cornelis Whilhelmus</v>
      </c>
      <c r="F2210" s="13" t="s">
        <v>837</v>
      </c>
      <c r="G2210" s="12" t="str">
        <f t="shared" si="416"/>
        <v>a1b1</v>
      </c>
      <c r="H2210" s="12" t="str">
        <f t="shared" si="426"/>
        <v>VERMAASa1b1</v>
      </c>
      <c r="I2210" s="13"/>
      <c r="J2210" s="13">
        <v>1803</v>
      </c>
      <c r="K2210" s="12" t="str">
        <f t="shared" si="418"/>
        <v>1803</v>
      </c>
      <c r="L2210" s="13"/>
      <c r="M2210" s="13" t="s">
        <v>6581</v>
      </c>
      <c r="N2210" s="12" t="str">
        <f t="shared" si="423"/>
        <v>1803</v>
      </c>
      <c r="O2210" s="12" t="str">
        <f t="shared" si="424"/>
        <v>1804</v>
      </c>
      <c r="P2210" s="13" t="s">
        <v>6582</v>
      </c>
      <c r="Q2210" s="12" t="str">
        <f t="shared" si="419"/>
        <v>1803</v>
      </c>
      <c r="R2210" s="13" t="s">
        <v>6583</v>
      </c>
      <c r="S2210" s="12" t="str">
        <f t="shared" si="420"/>
        <v>1873</v>
      </c>
      <c r="T2210" s="13" t="s">
        <v>32</v>
      </c>
      <c r="U2210" s="13" t="s">
        <v>5352</v>
      </c>
      <c r="V2210" s="12" t="str">
        <f t="shared" si="421"/>
        <v>1826</v>
      </c>
      <c r="W2210" s="13" t="s">
        <v>2090</v>
      </c>
      <c r="X2210" s="13" t="s">
        <v>78</v>
      </c>
      <c r="Y2210" s="13" t="s">
        <v>15385</v>
      </c>
      <c r="Z2210" s="13"/>
      <c r="AA2210" s="13"/>
      <c r="AB2210" s="13"/>
      <c r="AC2210" s="13" t="s">
        <v>5775</v>
      </c>
      <c r="AD2210" s="13"/>
      <c r="AE2210" s="13"/>
      <c r="AF2210" s="13"/>
      <c r="AG2210" s="13" t="s">
        <v>15386</v>
      </c>
      <c r="AH2210" s="13">
        <v>1842</v>
      </c>
      <c r="AI2210" s="12" t="str">
        <f t="shared" si="422"/>
        <v>1842</v>
      </c>
      <c r="AJ2210" s="13"/>
      <c r="AK2210" s="13" t="s">
        <v>140</v>
      </c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2"/>
      <c r="BI2210" s="12"/>
      <c r="BJ2210" s="12"/>
      <c r="BK2210" s="12"/>
      <c r="BL2210" s="12"/>
      <c r="BM2210" s="12"/>
      <c r="BN2210" s="12"/>
      <c r="BO2210" s="12"/>
      <c r="BP2210" s="12"/>
      <c r="BQ2210" s="12"/>
      <c r="BR2210" s="12"/>
      <c r="BS2210" s="12"/>
      <c r="BT2210" s="12"/>
      <c r="BU2210" s="12"/>
      <c r="BV2210" s="12"/>
      <c r="BW2210" s="12"/>
      <c r="BX2210" s="12"/>
      <c r="BY2210" s="12"/>
      <c r="BZ2210" s="12"/>
      <c r="CA2210" s="12"/>
      <c r="CB2210" s="12"/>
      <c r="CC2210" s="12"/>
      <c r="CD2210" s="12"/>
    </row>
    <row r="2211" spans="1:82">
      <c r="A2211" s="13" t="s">
        <v>1983</v>
      </c>
      <c r="B2211" s="12" t="str">
        <f t="shared" si="414"/>
        <v>VERMEULEN</v>
      </c>
      <c r="C2211" s="12" t="str">
        <f t="shared" si="415"/>
        <v>VERMEULEN</v>
      </c>
      <c r="D2211" s="13" t="s">
        <v>6587</v>
      </c>
      <c r="E2211" s="12" t="str">
        <f t="shared" si="425"/>
        <v>Sarel (Carel) Johannes</v>
      </c>
      <c r="F2211" s="13" t="s">
        <v>6588</v>
      </c>
      <c r="G2211" s="12" t="str">
        <f t="shared" si="416"/>
        <v>a1b3c2d2e3</v>
      </c>
      <c r="H2211" s="12" t="str">
        <f t="shared" si="426"/>
        <v>VERMEULENa1b3c2d2e3</v>
      </c>
      <c r="I2211" s="13"/>
      <c r="J2211" s="13" t="s">
        <v>6589</v>
      </c>
      <c r="K2211" s="12" t="str">
        <f t="shared" si="418"/>
        <v>1801</v>
      </c>
      <c r="L2211" s="13" t="s">
        <v>542</v>
      </c>
      <c r="M2211" s="13" t="s">
        <v>6590</v>
      </c>
      <c r="N2211" s="12" t="str">
        <f t="shared" si="423"/>
        <v>1801</v>
      </c>
      <c r="O2211" s="12" t="str">
        <f t="shared" si="424"/>
        <v>1801</v>
      </c>
      <c r="P2211" s="13" t="s">
        <v>6591</v>
      </c>
      <c r="Q2211" s="12" t="str">
        <f t="shared" si="419"/>
        <v>1801</v>
      </c>
      <c r="R2211" s="13" t="s">
        <v>6592</v>
      </c>
      <c r="S2211" s="12" t="str">
        <f t="shared" si="420"/>
        <v>1878</v>
      </c>
      <c r="T2211" s="13" t="s">
        <v>74</v>
      </c>
      <c r="U2211" s="13" t="s">
        <v>3876</v>
      </c>
      <c r="V2211" s="12" t="str">
        <f t="shared" si="421"/>
        <v>1826</v>
      </c>
      <c r="W2211" s="13" t="s">
        <v>2756</v>
      </c>
      <c r="X2211" s="13" t="s">
        <v>633</v>
      </c>
      <c r="Y2211" s="13"/>
      <c r="Z2211" s="13"/>
      <c r="AA2211" s="13" t="s">
        <v>14226</v>
      </c>
      <c r="AB2211" s="13"/>
      <c r="AC2211" s="13" t="s">
        <v>15396</v>
      </c>
      <c r="AD2211" s="13" t="s">
        <v>566</v>
      </c>
      <c r="AE2211" s="13" t="s">
        <v>15397</v>
      </c>
      <c r="AF2211" s="13"/>
      <c r="AG2211" s="13" t="s">
        <v>60</v>
      </c>
      <c r="AH2211" s="13">
        <v>1839</v>
      </c>
      <c r="AI2211" s="12" t="str">
        <f t="shared" si="422"/>
        <v>1839</v>
      </c>
      <c r="AJ2211" s="13" t="s">
        <v>12354</v>
      </c>
      <c r="AK2211" s="13" t="s">
        <v>566</v>
      </c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2"/>
      <c r="BI2211" s="12"/>
      <c r="BJ2211" s="12"/>
      <c r="BK2211" s="12"/>
      <c r="BL2211" s="12"/>
      <c r="BM2211" s="12"/>
      <c r="BN2211" s="12"/>
      <c r="BO2211" s="12"/>
      <c r="BP2211" s="12"/>
      <c r="BQ2211" s="12"/>
      <c r="BR2211" s="12"/>
      <c r="BS2211" s="12"/>
      <c r="BT2211" s="12"/>
      <c r="BU2211" s="12"/>
      <c r="BV2211" s="12"/>
      <c r="BW2211" s="12"/>
      <c r="BX2211" s="12"/>
      <c r="BY2211" s="12"/>
      <c r="BZ2211" s="12"/>
      <c r="CA2211" s="12"/>
      <c r="CB2211" s="12"/>
      <c r="CC2211" s="12"/>
      <c r="CD2211" s="12"/>
    </row>
    <row r="2212" spans="1:82">
      <c r="A2212" s="13" t="s">
        <v>1983</v>
      </c>
      <c r="B2212" s="12" t="str">
        <f t="shared" si="414"/>
        <v>VERMEULEN</v>
      </c>
      <c r="C2212" s="12" t="str">
        <f t="shared" si="415"/>
        <v>VERMEULEN</v>
      </c>
      <c r="D2212" s="13" t="s">
        <v>2087</v>
      </c>
      <c r="E2212" s="12" t="str">
        <f t="shared" si="425"/>
        <v>Jan Gabriel</v>
      </c>
      <c r="F2212" s="13" t="s">
        <v>6584</v>
      </c>
      <c r="G2212" s="12" t="str">
        <f t="shared" si="416"/>
        <v>a1b3c2d2e4</v>
      </c>
      <c r="H2212" s="12" t="str">
        <f t="shared" si="426"/>
        <v>VERMEULENa1b3c2d2e4</v>
      </c>
      <c r="I2212" s="13" t="s">
        <v>74</v>
      </c>
      <c r="J2212" s="13" t="s">
        <v>6585</v>
      </c>
      <c r="K2212" s="12" t="str">
        <f t="shared" si="418"/>
        <v>1803</v>
      </c>
      <c r="L2212" s="13" t="s">
        <v>74</v>
      </c>
      <c r="M2212" s="13" t="s">
        <v>6586</v>
      </c>
      <c r="N2212" s="12" t="str">
        <f t="shared" si="423"/>
        <v>1803</v>
      </c>
      <c r="O2212" s="12" t="str">
        <f t="shared" si="424"/>
        <v>1803</v>
      </c>
      <c r="P2212" s="13"/>
      <c r="Q2212" s="12" t="str">
        <f t="shared" si="419"/>
        <v>1803</v>
      </c>
      <c r="R2212" s="13"/>
      <c r="S2212" s="12" t="str">
        <f t="shared" si="420"/>
        <v/>
      </c>
      <c r="T2212" s="13" t="s">
        <v>74</v>
      </c>
      <c r="U2212" s="13" t="s">
        <v>15387</v>
      </c>
      <c r="V2212" s="12" t="str">
        <f t="shared" si="421"/>
        <v>1824</v>
      </c>
      <c r="W2212" s="13" t="s">
        <v>15388</v>
      </c>
      <c r="X2212" s="13" t="s">
        <v>669</v>
      </c>
      <c r="Y2212" s="13" t="s">
        <v>15389</v>
      </c>
      <c r="Z2212" s="13"/>
      <c r="AA2212" s="13" t="s">
        <v>15390</v>
      </c>
      <c r="AB2212" s="13" t="s">
        <v>74</v>
      </c>
      <c r="AC2212" s="13" t="s">
        <v>1429</v>
      </c>
      <c r="AD2212" s="13" t="s">
        <v>190</v>
      </c>
      <c r="AE2212" s="13" t="s">
        <v>15391</v>
      </c>
      <c r="AF2212" s="13"/>
      <c r="AG2212" s="13" t="s">
        <v>74</v>
      </c>
      <c r="AH2212" s="13">
        <v>1840</v>
      </c>
      <c r="AI2212" s="12" t="str">
        <f t="shared" si="422"/>
        <v>1840</v>
      </c>
      <c r="AJ2212" s="13"/>
      <c r="AK2212" s="13" t="s">
        <v>190</v>
      </c>
      <c r="AL2212" s="13" t="s">
        <v>190</v>
      </c>
      <c r="AM2212" s="13" t="s">
        <v>15392</v>
      </c>
      <c r="AN2212" s="13" t="s">
        <v>8080</v>
      </c>
      <c r="AO2212" s="13" t="s">
        <v>2026</v>
      </c>
      <c r="AP2212" s="13"/>
      <c r="AQ2212" s="13" t="s">
        <v>15393</v>
      </c>
      <c r="AR2212" s="13" t="s">
        <v>15394</v>
      </c>
      <c r="AS2212" s="13"/>
      <c r="AT2212" s="13" t="s">
        <v>15395</v>
      </c>
      <c r="AU2212" s="13"/>
      <c r="AV2212" s="13"/>
      <c r="AW2212" s="13"/>
      <c r="AX2212" s="13"/>
      <c r="AY2212" s="13"/>
      <c r="AZ2212" s="13"/>
      <c r="BA2212" s="13"/>
      <c r="BB2212" s="13"/>
      <c r="BC2212" s="13"/>
      <c r="BD2212" s="13"/>
      <c r="BE2212" s="13"/>
      <c r="BF2212" s="13"/>
      <c r="BG2212" s="13"/>
      <c r="BH2212" s="12"/>
      <c r="BI2212" s="12"/>
      <c r="BJ2212" s="12"/>
      <c r="BK2212" s="12"/>
      <c r="BL2212" s="12"/>
      <c r="BM2212" s="12"/>
      <c r="BN2212" s="12"/>
      <c r="BO2212" s="12"/>
      <c r="BP2212" s="12"/>
      <c r="BQ2212" s="12"/>
      <c r="BR2212" s="12"/>
      <c r="BS2212" s="12"/>
      <c r="BT2212" s="12"/>
      <c r="BU2212" s="12"/>
      <c r="BV2212" s="12"/>
      <c r="BW2212" s="12"/>
      <c r="BX2212" s="12"/>
      <c r="BY2212" s="12"/>
      <c r="BZ2212" s="12"/>
      <c r="CA2212" s="12"/>
      <c r="CB2212" s="12"/>
      <c r="CC2212" s="12"/>
      <c r="CD2212" s="12"/>
    </row>
    <row r="2213" spans="1:82">
      <c r="A2213" s="13" t="s">
        <v>6593</v>
      </c>
      <c r="B2213" s="12" t="str">
        <f t="shared" si="414"/>
        <v>VERSFELD</v>
      </c>
      <c r="C2213" s="12" t="str">
        <f t="shared" si="415"/>
        <v>VERSFELD</v>
      </c>
      <c r="D2213" s="13" t="s">
        <v>273</v>
      </c>
      <c r="E2213" s="12" t="str">
        <f t="shared" si="425"/>
        <v>Marthinus</v>
      </c>
      <c r="F2213" s="13" t="s">
        <v>4055</v>
      </c>
      <c r="G2213" s="12" t="str">
        <f t="shared" si="416"/>
        <v>a1b5</v>
      </c>
      <c r="H2213" s="12" t="str">
        <f t="shared" si="426"/>
        <v>VERSFELDa1b5</v>
      </c>
      <c r="I2213" s="13"/>
      <c r="J2213" s="13"/>
      <c r="K2213" s="12" t="str">
        <f t="shared" si="418"/>
        <v/>
      </c>
      <c r="L2213" s="13"/>
      <c r="M2213" s="13" t="s">
        <v>6594</v>
      </c>
      <c r="N2213" s="12" t="str">
        <f t="shared" si="423"/>
        <v/>
      </c>
      <c r="O2213" s="12" t="str">
        <f t="shared" si="424"/>
        <v>1784</v>
      </c>
      <c r="P2213" s="13" t="s">
        <v>134</v>
      </c>
      <c r="Q2213" s="12" t="str">
        <f t="shared" si="419"/>
        <v>1784</v>
      </c>
      <c r="R2213" s="13" t="s">
        <v>6595</v>
      </c>
      <c r="S2213" s="12" t="str">
        <f t="shared" si="420"/>
        <v>1859</v>
      </c>
      <c r="T2213" s="13"/>
      <c r="U2213" s="13" t="s">
        <v>15398</v>
      </c>
      <c r="V2213" s="12" t="str">
        <f t="shared" si="421"/>
        <v>1809</v>
      </c>
      <c r="W2213" s="13" t="s">
        <v>692</v>
      </c>
      <c r="X2213" s="13" t="s">
        <v>15399</v>
      </c>
      <c r="Y2213" s="13"/>
      <c r="Z2213" s="13"/>
      <c r="AA2213" s="13"/>
      <c r="AB2213" s="13"/>
      <c r="AC2213" s="13"/>
      <c r="AD2213" s="13"/>
      <c r="AE2213" s="13"/>
      <c r="AF2213" s="13" t="s">
        <v>6098</v>
      </c>
      <c r="AG2213" s="13"/>
      <c r="AH2213" s="13">
        <v>1848</v>
      </c>
      <c r="AI2213" s="12" t="str">
        <f t="shared" si="422"/>
        <v>1848</v>
      </c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2"/>
      <c r="BI2213" s="12"/>
      <c r="BJ2213" s="12"/>
      <c r="BK2213" s="12"/>
      <c r="BL2213" s="12"/>
      <c r="BM2213" s="12"/>
      <c r="BN2213" s="12"/>
      <c r="BO2213" s="12"/>
      <c r="BP2213" s="12"/>
      <c r="BQ2213" s="12"/>
      <c r="BR2213" s="12"/>
      <c r="BS2213" s="12"/>
      <c r="BT2213" s="12"/>
      <c r="BU2213" s="12"/>
      <c r="BV2213" s="12"/>
      <c r="BW2213" s="12"/>
      <c r="BX2213" s="12"/>
      <c r="BY2213" s="12"/>
      <c r="BZ2213" s="12"/>
      <c r="CA2213" s="12"/>
      <c r="CB2213" s="12"/>
      <c r="CC2213" s="12"/>
      <c r="CD2213" s="12"/>
    </row>
    <row r="2214" spans="1:82">
      <c r="A2214" s="13" t="s">
        <v>6593</v>
      </c>
      <c r="B2214" s="12" t="str">
        <f t="shared" si="414"/>
        <v>VERSFELD</v>
      </c>
      <c r="C2214" s="12" t="str">
        <f t="shared" si="415"/>
        <v>VERSFELD</v>
      </c>
      <c r="D2214" s="13" t="s">
        <v>6596</v>
      </c>
      <c r="E2214" s="12" t="str">
        <f t="shared" si="425"/>
        <v>Willem Ferdinand</v>
      </c>
      <c r="F2214" s="13" t="s">
        <v>939</v>
      </c>
      <c r="G2214" s="12" t="str">
        <f t="shared" si="416"/>
        <v>a1b5c2</v>
      </c>
      <c r="H2214" s="12" t="str">
        <f t="shared" si="426"/>
        <v>VERSFELDa1b5c2</v>
      </c>
      <c r="I2214" s="13"/>
      <c r="J2214" s="13" t="s">
        <v>6597</v>
      </c>
      <c r="K2214" s="12" t="str">
        <f t="shared" si="418"/>
        <v>1811</v>
      </c>
      <c r="L2214" s="13"/>
      <c r="M2214" s="13"/>
      <c r="N2214" s="12" t="str">
        <f t="shared" si="423"/>
        <v>1811</v>
      </c>
      <c r="O2214" s="12" t="str">
        <f t="shared" si="424"/>
        <v/>
      </c>
      <c r="P2214" s="13"/>
      <c r="Q2214" s="12" t="str">
        <f t="shared" si="419"/>
        <v>1811</v>
      </c>
      <c r="R2214" s="13"/>
      <c r="S2214" s="12" t="str">
        <f t="shared" si="420"/>
        <v/>
      </c>
      <c r="T2214" s="13" t="s">
        <v>134</v>
      </c>
      <c r="U2214" s="13" t="s">
        <v>15400</v>
      </c>
      <c r="V2214" s="12" t="str">
        <f t="shared" si="421"/>
        <v>1848</v>
      </c>
      <c r="W2214" s="13" t="s">
        <v>4835</v>
      </c>
      <c r="X2214" s="13" t="s">
        <v>2880</v>
      </c>
      <c r="Y2214" s="13" t="s">
        <v>15401</v>
      </c>
      <c r="Z2214" s="13"/>
      <c r="AA2214" s="13" t="s">
        <v>11380</v>
      </c>
      <c r="AB2214" s="13" t="s">
        <v>395</v>
      </c>
      <c r="AC2214" s="13"/>
      <c r="AD2214" s="13"/>
      <c r="AE2214" s="13"/>
      <c r="AF2214" s="13" t="s">
        <v>6098</v>
      </c>
      <c r="AG2214" s="13"/>
      <c r="AH2214" s="13">
        <v>1848</v>
      </c>
      <c r="AI2214" s="12" t="str">
        <f t="shared" si="422"/>
        <v>1848</v>
      </c>
      <c r="AJ2214" s="13"/>
      <c r="AK2214" s="13" t="s">
        <v>134</v>
      </c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2"/>
      <c r="BI2214" s="12"/>
      <c r="BJ2214" s="12"/>
      <c r="BK2214" s="12"/>
      <c r="BL2214" s="12"/>
      <c r="BM2214" s="12"/>
      <c r="BN2214" s="12"/>
      <c r="BO2214" s="12"/>
      <c r="BP2214" s="12"/>
      <c r="BQ2214" s="12"/>
      <c r="BR2214" s="12"/>
      <c r="BS2214" s="12"/>
      <c r="BT2214" s="12"/>
      <c r="BU2214" s="12"/>
      <c r="BV2214" s="12"/>
      <c r="BW2214" s="12"/>
      <c r="BX2214" s="12"/>
      <c r="BY2214" s="12"/>
      <c r="BZ2214" s="12"/>
      <c r="CA2214" s="12"/>
      <c r="CB2214" s="12"/>
      <c r="CC2214" s="12"/>
      <c r="CD2214" s="12"/>
    </row>
    <row r="2215" spans="1:82">
      <c r="A2215" s="13" t="s">
        <v>662</v>
      </c>
      <c r="B2215" s="12" t="str">
        <f t="shared" si="414"/>
        <v>VILJOEN</v>
      </c>
      <c r="C2215" s="12" t="str">
        <f t="shared" si="415"/>
        <v>VILJOEN</v>
      </c>
      <c r="D2215" s="13" t="s">
        <v>6739</v>
      </c>
      <c r="E2215" s="12" t="str">
        <f t="shared" si="425"/>
        <v>Willem Hercules</v>
      </c>
      <c r="F2215" s="13" t="s">
        <v>6740</v>
      </c>
      <c r="G2215" s="12" t="str">
        <f t="shared" si="416"/>
        <v>a1b3c2d2e1f12</v>
      </c>
      <c r="H2215" s="12" t="str">
        <f t="shared" si="426"/>
        <v>VILJOENa1b3c2d2e1f12</v>
      </c>
      <c r="I2215" s="13"/>
      <c r="J2215" s="13" t="s">
        <v>6741</v>
      </c>
      <c r="K2215" s="12" t="str">
        <f t="shared" si="418"/>
        <v>1816</v>
      </c>
      <c r="L2215" s="13"/>
      <c r="M2215" s="13" t="s">
        <v>5930</v>
      </c>
      <c r="N2215" s="12" t="str">
        <f t="shared" si="423"/>
        <v>1816</v>
      </c>
      <c r="O2215" s="12" t="str">
        <f t="shared" si="424"/>
        <v>1817</v>
      </c>
      <c r="P2215" s="13"/>
      <c r="Q2215" s="12" t="str">
        <f t="shared" si="419"/>
        <v>1816</v>
      </c>
      <c r="R2215" s="13" t="s">
        <v>15774</v>
      </c>
      <c r="S2215" s="12" t="str">
        <f t="shared" si="420"/>
        <v>1887</v>
      </c>
      <c r="T2215" s="13" t="s">
        <v>53</v>
      </c>
      <c r="U2215" s="13" t="s">
        <v>15502</v>
      </c>
      <c r="V2215" s="12" t="str">
        <f t="shared" si="421"/>
        <v>1835</v>
      </c>
      <c r="W2215" s="13" t="s">
        <v>15503</v>
      </c>
      <c r="X2215" s="13" t="s">
        <v>636</v>
      </c>
      <c r="Y2215" s="13"/>
      <c r="Z2215" s="13"/>
      <c r="AA2215" s="13" t="s">
        <v>15504</v>
      </c>
      <c r="AB2215" s="13"/>
      <c r="AC2215" s="13"/>
      <c r="AD2215" s="13" t="s">
        <v>4103</v>
      </c>
      <c r="AE2215" s="13" t="s">
        <v>15505</v>
      </c>
      <c r="AF2215" s="13"/>
      <c r="AG2215" s="13" t="s">
        <v>53</v>
      </c>
      <c r="AH2215" s="13"/>
      <c r="AI2215" s="12" t="str">
        <f t="shared" si="422"/>
        <v/>
      </c>
      <c r="AJ2215" s="13"/>
      <c r="AK2215" s="13" t="s">
        <v>4103</v>
      </c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2"/>
      <c r="BI2215" s="12"/>
      <c r="BJ2215" s="12"/>
      <c r="BK2215" s="12"/>
      <c r="BL2215" s="12"/>
      <c r="BM2215" s="12"/>
      <c r="BN2215" s="12"/>
      <c r="BO2215" s="12"/>
      <c r="BP2215" s="12"/>
      <c r="BQ2215" s="12"/>
      <c r="BR2215" s="12"/>
      <c r="BS2215" s="12"/>
      <c r="BT2215" s="12"/>
      <c r="BU2215" s="12"/>
      <c r="BV2215" s="12"/>
      <c r="BW2215" s="12"/>
      <c r="BX2215" s="12"/>
      <c r="BY2215" s="12"/>
      <c r="BZ2215" s="12"/>
      <c r="CA2215" s="12"/>
      <c r="CB2215" s="12"/>
      <c r="CC2215" s="12"/>
      <c r="CD2215" s="12"/>
    </row>
    <row r="2216" spans="1:82">
      <c r="A2216" s="13" t="s">
        <v>662</v>
      </c>
      <c r="B2216" s="12" t="str">
        <f t="shared" si="414"/>
        <v>VILJOEN</v>
      </c>
      <c r="C2216" s="12" t="str">
        <f t="shared" si="415"/>
        <v>VILJOEN</v>
      </c>
      <c r="D2216" s="13" t="s">
        <v>193</v>
      </c>
      <c r="E2216" s="12" t="str">
        <f t="shared" si="425"/>
        <v>Marthinus Christoffel</v>
      </c>
      <c r="F2216" s="13" t="s">
        <v>6707</v>
      </c>
      <c r="G2216" s="12" t="str">
        <f t="shared" si="416"/>
        <v>a1b3c4d10e2f2</v>
      </c>
      <c r="H2216" s="12" t="str">
        <f t="shared" si="426"/>
        <v>VILJOENa1b3c4d10e2f2</v>
      </c>
      <c r="I2216" s="13"/>
      <c r="J2216" s="13" t="s">
        <v>6708</v>
      </c>
      <c r="K2216" s="12" t="str">
        <f t="shared" si="418"/>
        <v>1808</v>
      </c>
      <c r="L2216" s="11"/>
      <c r="M2216" s="13" t="s">
        <v>6709</v>
      </c>
      <c r="N2216" s="12" t="str">
        <f t="shared" si="423"/>
        <v>1808</v>
      </c>
      <c r="O2216" s="12" t="str">
        <f t="shared" si="424"/>
        <v>1809</v>
      </c>
      <c r="P2216" s="13" t="s">
        <v>6710</v>
      </c>
      <c r="Q2216" s="12" t="str">
        <f t="shared" si="419"/>
        <v>1808</v>
      </c>
      <c r="R2216" s="13" t="s">
        <v>6711</v>
      </c>
      <c r="S2216" s="12" t="str">
        <f t="shared" si="420"/>
        <v>1854</v>
      </c>
      <c r="T2216" s="13"/>
      <c r="U2216" s="13"/>
      <c r="V2216" s="12" t="str">
        <f t="shared" si="421"/>
        <v/>
      </c>
      <c r="W2216" s="13" t="s">
        <v>15484</v>
      </c>
      <c r="X2216" s="13" t="s">
        <v>10737</v>
      </c>
      <c r="Y2216" s="13"/>
      <c r="Z2216" s="13"/>
      <c r="AA2216" s="13"/>
      <c r="AB2216" s="13"/>
      <c r="AC2216" s="13"/>
      <c r="AD2216" s="13"/>
      <c r="AE2216" s="13"/>
      <c r="AF2216" s="13" t="s">
        <v>16</v>
      </c>
      <c r="AG2216" s="13" t="s">
        <v>68</v>
      </c>
      <c r="AH2216" s="13" t="s">
        <v>15485</v>
      </c>
      <c r="AI2216" s="12" t="str">
        <f t="shared" si="422"/>
        <v>1846</v>
      </c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/>
      <c r="BC2216" s="13"/>
      <c r="BD2216" s="13"/>
      <c r="BE2216" s="13"/>
      <c r="BF2216" s="13"/>
      <c r="BG2216" s="13"/>
      <c r="BH2216" s="12"/>
      <c r="BI2216" s="12"/>
      <c r="BJ2216" s="12"/>
      <c r="BK2216" s="12"/>
      <c r="BL2216" s="12"/>
      <c r="BM2216" s="12"/>
      <c r="BN2216" s="12"/>
      <c r="BO2216" s="12"/>
      <c r="BP2216" s="12"/>
      <c r="BQ2216" s="12"/>
      <c r="BR2216" s="12"/>
      <c r="BS2216" s="12"/>
      <c r="BT2216" s="12"/>
      <c r="BU2216" s="12"/>
      <c r="BV2216" s="12"/>
      <c r="BW2216" s="12"/>
      <c r="BX2216" s="12"/>
      <c r="BY2216" s="12"/>
      <c r="BZ2216" s="12"/>
      <c r="CA2216" s="12"/>
      <c r="CB2216" s="12"/>
      <c r="CC2216" s="12"/>
      <c r="CD2216" s="12"/>
    </row>
    <row r="2217" spans="1:82">
      <c r="A2217" s="13" t="s">
        <v>662</v>
      </c>
      <c r="B2217" s="12" t="str">
        <f t="shared" si="414"/>
        <v>VILJOEN</v>
      </c>
      <c r="C2217" s="12" t="str">
        <f t="shared" si="415"/>
        <v>VILJOEN</v>
      </c>
      <c r="D2217" s="13" t="s">
        <v>3026</v>
      </c>
      <c r="E2217" s="12" t="str">
        <f t="shared" si="425"/>
        <v>Abraham Johannes</v>
      </c>
      <c r="F2217" s="13" t="s">
        <v>6601</v>
      </c>
      <c r="G2217" s="12" t="str">
        <f t="shared" si="416"/>
        <v>a1b3c4d10e2f4</v>
      </c>
      <c r="H2217" s="12" t="str">
        <f t="shared" si="426"/>
        <v>VILJOENa1b3c4d10e2f4</v>
      </c>
      <c r="I2217" s="13"/>
      <c r="J2217" s="13" t="s">
        <v>6602</v>
      </c>
      <c r="K2217" s="12" t="str">
        <f t="shared" si="418"/>
        <v>1813</v>
      </c>
      <c r="L2217" s="13" t="s">
        <v>74</v>
      </c>
      <c r="M2217" s="13" t="s">
        <v>6603</v>
      </c>
      <c r="N2217" s="12" t="str">
        <f t="shared" si="423"/>
        <v>1813</v>
      </c>
      <c r="O2217" s="12" t="str">
        <f t="shared" si="424"/>
        <v>1814</v>
      </c>
      <c r="P2217" s="13"/>
      <c r="Q2217" s="12" t="str">
        <f t="shared" si="419"/>
        <v>1813</v>
      </c>
      <c r="R2217" s="13"/>
      <c r="S2217" s="12" t="str">
        <f t="shared" si="420"/>
        <v/>
      </c>
      <c r="T2217" s="13" t="s">
        <v>28</v>
      </c>
      <c r="U2217" s="13" t="s">
        <v>15409</v>
      </c>
      <c r="V2217" s="12" t="str">
        <f t="shared" si="421"/>
        <v>1835</v>
      </c>
      <c r="W2217" s="13" t="s">
        <v>3069</v>
      </c>
      <c r="X2217" s="13" t="s">
        <v>10705</v>
      </c>
      <c r="Y2217" s="13"/>
      <c r="Z2217" s="13"/>
      <c r="AA2217" s="13" t="s">
        <v>15410</v>
      </c>
      <c r="AB2217" s="13"/>
      <c r="AC2217" s="13"/>
      <c r="AD2217" s="13" t="s">
        <v>24</v>
      </c>
      <c r="AE2217" s="13" t="s">
        <v>15411</v>
      </c>
      <c r="AF2217" s="13" t="s">
        <v>3699</v>
      </c>
      <c r="AG2217" s="13" t="s">
        <v>68</v>
      </c>
      <c r="AH2217" s="13" t="s">
        <v>2998</v>
      </c>
      <c r="AI2217" s="12" t="str">
        <f t="shared" si="422"/>
        <v>1838</v>
      </c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3"/>
      <c r="AY2217" s="13"/>
      <c r="AZ2217" s="13"/>
      <c r="BA2217" s="13"/>
      <c r="BB2217" s="13"/>
      <c r="BC2217" s="13"/>
      <c r="BD2217" s="13"/>
      <c r="BE2217" s="13"/>
      <c r="BF2217" s="13"/>
      <c r="BG2217" s="13"/>
      <c r="BH2217" s="12"/>
      <c r="BI2217" s="12"/>
      <c r="BJ2217" s="12"/>
      <c r="BK2217" s="12"/>
      <c r="BL2217" s="12"/>
      <c r="BM2217" s="12"/>
      <c r="BN2217" s="12"/>
      <c r="BO2217" s="12"/>
      <c r="BP2217" s="12"/>
      <c r="BQ2217" s="12"/>
      <c r="BR2217" s="12"/>
      <c r="BS2217" s="12"/>
      <c r="BT2217" s="12"/>
      <c r="BU2217" s="12"/>
      <c r="BV2217" s="12"/>
      <c r="BW2217" s="12"/>
      <c r="BX2217" s="12"/>
      <c r="BY2217" s="12"/>
      <c r="BZ2217" s="12"/>
      <c r="CA2217" s="12"/>
      <c r="CB2217" s="12"/>
      <c r="CC2217" s="12"/>
      <c r="CD2217" s="12"/>
    </row>
    <row r="2218" spans="1:82" s="19" customFormat="1">
      <c r="A2218" s="20" t="s">
        <v>662</v>
      </c>
      <c r="B2218" s="19" t="str">
        <f t="shared" si="414"/>
        <v>VILJOEN</v>
      </c>
      <c r="C2218" s="19" t="str">
        <f t="shared" si="415"/>
        <v>VILJOEN</v>
      </c>
      <c r="D2218" s="20" t="s">
        <v>6682</v>
      </c>
      <c r="E2218" s="12" t="str">
        <f t="shared" si="425"/>
        <v>Johannes Hercules</v>
      </c>
      <c r="F2218" s="20" t="s">
        <v>6683</v>
      </c>
      <c r="G2218" s="19" t="str">
        <f t="shared" si="416"/>
        <v>a1b3c4d10e6</v>
      </c>
      <c r="H2218" s="19" t="str">
        <f t="shared" si="426"/>
        <v>VILJOENa1b3c4d10e6</v>
      </c>
      <c r="I2218" s="20"/>
      <c r="J2218" s="20"/>
      <c r="K2218" s="19" t="str">
        <f t="shared" si="418"/>
        <v/>
      </c>
      <c r="L2218" s="21"/>
      <c r="M2218" s="20" t="s">
        <v>6684</v>
      </c>
      <c r="N2218" s="19" t="str">
        <f t="shared" si="423"/>
        <v/>
      </c>
      <c r="O2218" s="19" t="str">
        <f t="shared" si="424"/>
        <v>1793</v>
      </c>
      <c r="P2218" s="20"/>
      <c r="Q2218" s="19" t="str">
        <f t="shared" si="419"/>
        <v>1793</v>
      </c>
      <c r="R2218" s="20"/>
      <c r="S2218" s="19" t="str">
        <f t="shared" si="420"/>
        <v/>
      </c>
      <c r="T2218" s="20"/>
      <c r="U2218" s="20" t="s">
        <v>15473</v>
      </c>
      <c r="V2218" s="19" t="str">
        <f t="shared" si="421"/>
        <v>1818</v>
      </c>
      <c r="W2218" s="20" t="s">
        <v>4715</v>
      </c>
      <c r="X2218" s="20" t="s">
        <v>2589</v>
      </c>
      <c r="Y2218" s="20"/>
      <c r="Z2218" s="20"/>
      <c r="AA2218" s="20"/>
      <c r="AB2218" s="20"/>
      <c r="AC2218" s="20" t="s">
        <v>15474</v>
      </c>
      <c r="AD2218" s="20"/>
      <c r="AE2218" s="20"/>
      <c r="AF2218" s="20"/>
      <c r="AG2218" s="20" t="s">
        <v>74</v>
      </c>
      <c r="AH2218" s="20" t="s">
        <v>15475</v>
      </c>
      <c r="AI2218" s="19" t="str">
        <f t="shared" si="422"/>
        <v>1842</v>
      </c>
      <c r="AJ2218" s="20"/>
      <c r="AK2218" s="20" t="s">
        <v>551</v>
      </c>
      <c r="AL2218" s="20"/>
      <c r="AM2218" s="20"/>
      <c r="AN2218" s="20"/>
      <c r="AO2218" s="20"/>
      <c r="AP2218" s="20"/>
      <c r="AQ2218" s="20"/>
      <c r="AR2218" s="20"/>
      <c r="AS2218" s="20"/>
      <c r="AT2218" s="20"/>
      <c r="AU2218" s="20"/>
      <c r="AV2218" s="20"/>
      <c r="AW2218" s="20"/>
      <c r="AX2218" s="20"/>
      <c r="AY2218" s="20"/>
      <c r="AZ2218" s="20"/>
      <c r="BA2218" s="20"/>
      <c r="BB2218" s="20"/>
      <c r="BC2218" s="20"/>
      <c r="BD2218" s="20"/>
      <c r="BE2218" s="20"/>
      <c r="BF2218" s="20"/>
      <c r="BG2218" s="20"/>
    </row>
    <row r="2219" spans="1:82">
      <c r="A2219" s="13" t="s">
        <v>662</v>
      </c>
      <c r="B2219" s="12" t="str">
        <f t="shared" si="414"/>
        <v>VILJOEN</v>
      </c>
      <c r="C2219" s="12" t="str">
        <f t="shared" si="415"/>
        <v>VILJOEN</v>
      </c>
      <c r="D2219" s="13" t="s">
        <v>6605</v>
      </c>
      <c r="E2219" s="12" t="str">
        <f t="shared" si="425"/>
        <v>Albertus Johannes (Bart)</v>
      </c>
      <c r="F2219" s="13" t="s">
        <v>6606</v>
      </c>
      <c r="G2219" s="12" t="str">
        <f t="shared" si="416"/>
        <v>a1b3c4d11e1f4</v>
      </c>
      <c r="H2219" s="12" t="str">
        <f t="shared" si="426"/>
        <v>VILJOENa1b3c4d11e1f4</v>
      </c>
      <c r="I2219" s="13"/>
      <c r="J2219" s="13" t="s">
        <v>6607</v>
      </c>
      <c r="K2219" s="12" t="str">
        <f t="shared" si="418"/>
        <v>1806</v>
      </c>
      <c r="L2219" s="13" t="s">
        <v>74</v>
      </c>
      <c r="M2219" s="13" t="s">
        <v>6608</v>
      </c>
      <c r="N2219" s="12" t="str">
        <f t="shared" si="423"/>
        <v>1806</v>
      </c>
      <c r="O2219" s="12" t="str">
        <f t="shared" si="424"/>
        <v>1807</v>
      </c>
      <c r="P2219" s="13"/>
      <c r="Q2219" s="12" t="str">
        <f t="shared" si="419"/>
        <v>1806</v>
      </c>
      <c r="R2219" s="13"/>
      <c r="S2219" s="12" t="str">
        <f t="shared" si="420"/>
        <v/>
      </c>
      <c r="T2219" s="13"/>
      <c r="U2219" s="13" t="s">
        <v>2318</v>
      </c>
      <c r="V2219" s="12" t="str">
        <f t="shared" si="421"/>
        <v>1827</v>
      </c>
      <c r="W2219" s="13" t="s">
        <v>15414</v>
      </c>
      <c r="X2219" s="13" t="s">
        <v>15415</v>
      </c>
      <c r="Y2219" s="13"/>
      <c r="Z2219" s="13"/>
      <c r="AA2219" s="13" t="s">
        <v>12605</v>
      </c>
      <c r="AB2219" s="13"/>
      <c r="AC2219" s="13"/>
      <c r="AD2219" s="13"/>
      <c r="AE2219" s="13"/>
      <c r="AF2219" s="13"/>
      <c r="AG2219" s="13" t="s">
        <v>60</v>
      </c>
      <c r="AH2219" s="13" t="s">
        <v>15416</v>
      </c>
      <c r="AI2219" s="12" t="str">
        <f t="shared" si="422"/>
        <v>1846</v>
      </c>
      <c r="AJ2219" s="13" t="s">
        <v>12354</v>
      </c>
      <c r="AK2219" s="13" t="s">
        <v>551</v>
      </c>
      <c r="AL2219" s="13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2"/>
      <c r="BI2219" s="12"/>
      <c r="BJ2219" s="12"/>
      <c r="BK2219" s="12"/>
      <c r="BL2219" s="12"/>
      <c r="BM2219" s="12"/>
      <c r="BN2219" s="12"/>
      <c r="BO2219" s="12"/>
      <c r="BP2219" s="12"/>
      <c r="BQ2219" s="12"/>
      <c r="BR2219" s="12"/>
      <c r="BS2219" s="12"/>
      <c r="BT2219" s="12"/>
      <c r="BU2219" s="12"/>
      <c r="BV2219" s="12"/>
      <c r="BW2219" s="12"/>
      <c r="BX2219" s="12"/>
      <c r="BY2219" s="12"/>
      <c r="BZ2219" s="12"/>
      <c r="CA2219" s="12"/>
      <c r="CB2219" s="12"/>
      <c r="CC2219" s="12"/>
      <c r="CD2219" s="12"/>
    </row>
    <row r="2220" spans="1:82">
      <c r="A2220" s="13" t="s">
        <v>662</v>
      </c>
      <c r="B2220" s="12" t="str">
        <f t="shared" si="414"/>
        <v>VILJOEN</v>
      </c>
      <c r="C2220" s="12" t="str">
        <f t="shared" si="415"/>
        <v>VILJOEN</v>
      </c>
      <c r="D2220" s="13" t="s">
        <v>6335</v>
      </c>
      <c r="E2220" s="12" t="str">
        <f t="shared" si="425"/>
        <v>Albertus Johannes</v>
      </c>
      <c r="F2220" s="13" t="s">
        <v>6604</v>
      </c>
      <c r="G2220" s="12" t="str">
        <f t="shared" si="416"/>
        <v>a1b3c4d11e2f5</v>
      </c>
      <c r="H2220" s="12" t="str">
        <f t="shared" si="426"/>
        <v>VILJOENa1b3c4d11e2f5</v>
      </c>
      <c r="I2220" s="13"/>
      <c r="J2220" s="13"/>
      <c r="K2220" s="12" t="str">
        <f t="shared" si="418"/>
        <v/>
      </c>
      <c r="L2220" s="13" t="s">
        <v>74</v>
      </c>
      <c r="M2220" s="13" t="s">
        <v>77</v>
      </c>
      <c r="N2220" s="12" t="str">
        <f t="shared" si="423"/>
        <v/>
      </c>
      <c r="O2220" s="12" t="str">
        <f t="shared" si="424"/>
        <v>1805</v>
      </c>
      <c r="P2220" s="13"/>
      <c r="Q2220" s="12" t="str">
        <f t="shared" si="419"/>
        <v>1805</v>
      </c>
      <c r="R2220" s="13"/>
      <c r="S2220" s="12" t="str">
        <f t="shared" si="420"/>
        <v/>
      </c>
      <c r="T2220" s="13" t="s">
        <v>74</v>
      </c>
      <c r="U2220" s="13" t="s">
        <v>3133</v>
      </c>
      <c r="V2220" s="12" t="str">
        <f t="shared" si="421"/>
        <v>1826</v>
      </c>
      <c r="W2220" s="13" t="s">
        <v>15412</v>
      </c>
      <c r="X2220" s="13" t="s">
        <v>2436</v>
      </c>
      <c r="Y2220" s="13"/>
      <c r="Z2220" s="13"/>
      <c r="AA2220" s="13" t="s">
        <v>15413</v>
      </c>
      <c r="AB2220" s="13"/>
      <c r="AC2220" s="13"/>
      <c r="AD2220" s="13"/>
      <c r="AE2220" s="13"/>
      <c r="AF2220" s="13"/>
      <c r="AG2220" s="13" t="s">
        <v>60</v>
      </c>
      <c r="AH2220" s="13">
        <v>1840</v>
      </c>
      <c r="AI2220" s="12" t="str">
        <f t="shared" si="422"/>
        <v>1840</v>
      </c>
      <c r="AJ2220" s="13" t="s">
        <v>12354</v>
      </c>
      <c r="AK2220" s="13" t="s">
        <v>551</v>
      </c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2"/>
      <c r="BI2220" s="12"/>
      <c r="BJ2220" s="12"/>
      <c r="BK2220" s="12"/>
      <c r="BL2220" s="12"/>
      <c r="BM2220" s="12"/>
      <c r="BN2220" s="12"/>
      <c r="BO2220" s="12"/>
      <c r="BP2220" s="12"/>
      <c r="BQ2220" s="12"/>
      <c r="BR2220" s="12"/>
      <c r="BS2220" s="12"/>
      <c r="BT2220" s="12"/>
      <c r="BU2220" s="12"/>
      <c r="BV2220" s="12"/>
      <c r="BW2220" s="12"/>
      <c r="BX2220" s="12"/>
      <c r="BY2220" s="12"/>
      <c r="BZ2220" s="12"/>
      <c r="CA2220" s="12"/>
      <c r="CB2220" s="12"/>
      <c r="CC2220" s="12"/>
      <c r="CD2220" s="12"/>
    </row>
    <row r="2221" spans="1:82">
      <c r="A2221" s="13" t="s">
        <v>662</v>
      </c>
      <c r="B2221" s="12" t="str">
        <f t="shared" si="414"/>
        <v>VILJOEN</v>
      </c>
      <c r="C2221" s="12" t="str">
        <f t="shared" si="415"/>
        <v>VILJOEN</v>
      </c>
      <c r="D2221" s="13" t="s">
        <v>6690</v>
      </c>
      <c r="E2221" s="12" t="str">
        <f t="shared" si="425"/>
        <v>Johannes Jacobus (Jan)</v>
      </c>
      <c r="F2221" s="13" t="s">
        <v>6691</v>
      </c>
      <c r="G2221" s="12" t="str">
        <f t="shared" si="416"/>
        <v>a1b3c4d11e4f4</v>
      </c>
      <c r="H2221" s="12" t="str">
        <f t="shared" si="426"/>
        <v>VILJOENa1b3c4d11e4f4</v>
      </c>
      <c r="I2221" s="13"/>
      <c r="J2221" s="13" t="s">
        <v>6692</v>
      </c>
      <c r="K2221" s="12" t="str">
        <f t="shared" si="418"/>
        <v>1813</v>
      </c>
      <c r="L2221" s="13"/>
      <c r="M2221" s="11"/>
      <c r="N2221" s="12" t="str">
        <f t="shared" si="423"/>
        <v>1813</v>
      </c>
      <c r="O2221" s="12" t="str">
        <f t="shared" si="424"/>
        <v/>
      </c>
      <c r="P2221" s="13" t="s">
        <v>6693</v>
      </c>
      <c r="Q2221" s="12" t="str">
        <f t="shared" si="419"/>
        <v>1813</v>
      </c>
      <c r="R2221" s="13" t="s">
        <v>6694</v>
      </c>
      <c r="S2221" s="12" t="str">
        <f t="shared" si="420"/>
        <v>1862</v>
      </c>
      <c r="T2221" s="13"/>
      <c r="U2221" s="13"/>
      <c r="V2221" s="12" t="str">
        <f t="shared" si="421"/>
        <v/>
      </c>
      <c r="W2221" s="13" t="s">
        <v>1020</v>
      </c>
      <c r="X2221" s="13" t="s">
        <v>636</v>
      </c>
      <c r="Y2221" s="13"/>
      <c r="Z2221" s="13"/>
      <c r="AA2221" s="13"/>
      <c r="AB2221" s="13"/>
      <c r="AC2221" s="13"/>
      <c r="AD2221" s="13"/>
      <c r="AE2221" s="13"/>
      <c r="AF2221" s="13" t="s">
        <v>3712</v>
      </c>
      <c r="AG2221" s="13" t="s">
        <v>74</v>
      </c>
      <c r="AH2221" s="13" t="s">
        <v>12776</v>
      </c>
      <c r="AI2221" s="12" t="str">
        <f t="shared" si="422"/>
        <v>1842</v>
      </c>
      <c r="AJ2221" s="13"/>
      <c r="AK2221" s="13" t="s">
        <v>140</v>
      </c>
      <c r="AL2221" s="13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2"/>
      <c r="BI2221" s="12"/>
      <c r="BJ2221" s="12"/>
      <c r="BK2221" s="12"/>
      <c r="BL2221" s="12"/>
      <c r="BM2221" s="12"/>
      <c r="BN2221" s="12"/>
      <c r="BO2221" s="12"/>
      <c r="BP2221" s="12"/>
      <c r="BQ2221" s="12"/>
      <c r="BR2221" s="12"/>
      <c r="BS2221" s="12"/>
      <c r="BT2221" s="12"/>
      <c r="BU2221" s="12"/>
      <c r="BV2221" s="12"/>
      <c r="BW2221" s="12"/>
      <c r="BX2221" s="12"/>
      <c r="BY2221" s="12"/>
      <c r="BZ2221" s="12"/>
      <c r="CA2221" s="12"/>
      <c r="CB2221" s="12"/>
      <c r="CC2221" s="12"/>
      <c r="CD2221" s="12"/>
    </row>
    <row r="2222" spans="1:82">
      <c r="A2222" s="13" t="s">
        <v>662</v>
      </c>
      <c r="B2222" s="12" t="str">
        <f t="shared" si="414"/>
        <v>VILJOEN</v>
      </c>
      <c r="C2222" s="12" t="str">
        <f t="shared" si="415"/>
        <v>VILJOEN</v>
      </c>
      <c r="D2222" s="13" t="s">
        <v>6644</v>
      </c>
      <c r="E2222" s="12" t="str">
        <f t="shared" si="425"/>
        <v>David Schalk</v>
      </c>
      <c r="F2222" s="13" t="s">
        <v>6645</v>
      </c>
      <c r="G2222" s="12" t="str">
        <f t="shared" si="416"/>
        <v>a1b3c4d2e10f2</v>
      </c>
      <c r="H2222" s="12" t="str">
        <f t="shared" si="426"/>
        <v>VILJOENa1b3c4d2e10f2</v>
      </c>
      <c r="I2222" s="13"/>
      <c r="J2222" s="13" t="s">
        <v>6646</v>
      </c>
      <c r="K2222" s="12" t="str">
        <f t="shared" si="418"/>
        <v>1805</v>
      </c>
      <c r="L2222" s="13"/>
      <c r="M2222" s="13" t="s">
        <v>6647</v>
      </c>
      <c r="N2222" s="12" t="str">
        <f t="shared" si="423"/>
        <v>1805</v>
      </c>
      <c r="O2222" s="12" t="str">
        <f t="shared" si="424"/>
        <v>1805</v>
      </c>
      <c r="P2222" s="13" t="s">
        <v>6648</v>
      </c>
      <c r="Q2222" s="12" t="str">
        <f t="shared" si="419"/>
        <v>1805</v>
      </c>
      <c r="R2222" s="13" t="s">
        <v>6649</v>
      </c>
      <c r="S2222" s="12" t="str">
        <f t="shared" si="420"/>
        <v>1838</v>
      </c>
      <c r="T2222" s="13"/>
      <c r="U2222" s="13"/>
      <c r="V2222" s="12" t="str">
        <f t="shared" si="421"/>
        <v/>
      </c>
      <c r="W2222" s="13" t="s">
        <v>15444</v>
      </c>
      <c r="X2222" s="13" t="s">
        <v>1495</v>
      </c>
      <c r="Y2222" s="13"/>
      <c r="Z2222" s="13"/>
      <c r="AA2222" s="13"/>
      <c r="AB2222" s="13"/>
      <c r="AC2222" s="13"/>
      <c r="AD2222" s="13" t="s">
        <v>90</v>
      </c>
      <c r="AE2222" s="13" t="s">
        <v>301</v>
      </c>
      <c r="AF2222" s="13" t="s">
        <v>3709</v>
      </c>
      <c r="AG2222" s="13" t="s">
        <v>68</v>
      </c>
      <c r="AH2222" s="13" t="s">
        <v>14085</v>
      </c>
      <c r="AI2222" s="12" t="str">
        <f t="shared" si="422"/>
        <v>1837</v>
      </c>
      <c r="AJ2222" s="13" t="s">
        <v>5423</v>
      </c>
      <c r="AK2222" s="13"/>
      <c r="AL2222" s="13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2"/>
      <c r="BI2222" s="12"/>
      <c r="BJ2222" s="12"/>
      <c r="BK2222" s="12"/>
      <c r="BL2222" s="12"/>
      <c r="BM2222" s="12"/>
      <c r="BN2222" s="12"/>
      <c r="BO2222" s="12"/>
      <c r="BP2222" s="12"/>
      <c r="BQ2222" s="12"/>
      <c r="BR2222" s="12"/>
      <c r="BS2222" s="12"/>
      <c r="BT2222" s="12"/>
      <c r="BU2222" s="12"/>
      <c r="BV2222" s="12"/>
      <c r="BW2222" s="12"/>
      <c r="BX2222" s="12"/>
      <c r="BY2222" s="12"/>
      <c r="BZ2222" s="12"/>
      <c r="CA2222" s="12"/>
      <c r="CB2222" s="12"/>
      <c r="CC2222" s="12"/>
      <c r="CD2222" s="12"/>
    </row>
    <row r="2223" spans="1:82">
      <c r="A2223" s="13" t="s">
        <v>662</v>
      </c>
      <c r="B2223" s="12" t="str">
        <f t="shared" ref="B2223:B2286" si="427">SUBSTITUTE(A2223," ","")</f>
        <v>VILJOEN</v>
      </c>
      <c r="C2223" s="12" t="str">
        <f t="shared" ref="C2223:C2286" si="428">TRIM(A2223)</f>
        <v>VILJOEN</v>
      </c>
      <c r="D2223" s="13" t="s">
        <v>6718</v>
      </c>
      <c r="E2223" s="12" t="str">
        <f t="shared" si="425"/>
        <v>Pieter Nicolaas</v>
      </c>
      <c r="F2223" s="13" t="s">
        <v>6719</v>
      </c>
      <c r="G2223" s="12" t="str">
        <f t="shared" ref="G2223:G2286" si="429">IF(LEFT(F2223,1)="b","a1"&amp;F2223,F2223)</f>
        <v>a1b3c4d2e10f4</v>
      </c>
      <c r="H2223" s="12" t="str">
        <f t="shared" ref="H2223:H2286" si="430">C2223&amp;G2223</f>
        <v>VILJOENa1b3c4d2e10f4</v>
      </c>
      <c r="I2223" s="13"/>
      <c r="J2223" s="13" t="s">
        <v>6720</v>
      </c>
      <c r="K2223" s="12" t="str">
        <f t="shared" ref="K2223:K2286" si="431">RIGHT(J2223,4)</f>
        <v>1812</v>
      </c>
      <c r="L2223" s="13" t="s">
        <v>74</v>
      </c>
      <c r="M2223" s="13" t="s">
        <v>6721</v>
      </c>
      <c r="N2223" s="12" t="str">
        <f t="shared" si="423"/>
        <v>1812</v>
      </c>
      <c r="O2223" s="12" t="str">
        <f t="shared" si="424"/>
        <v>1812</v>
      </c>
      <c r="P2223" s="13" t="s">
        <v>6722</v>
      </c>
      <c r="Q2223" s="12" t="str">
        <f t="shared" ref="Q2223:Q2286" si="432">IF(N2223="",O2223,N2223)</f>
        <v>1812</v>
      </c>
      <c r="R2223" s="13" t="s">
        <v>6649</v>
      </c>
      <c r="S2223" s="12" t="str">
        <f t="shared" ref="S2223:S2286" si="433">RIGHT(R2223,4)</f>
        <v>1838</v>
      </c>
      <c r="T2223" s="13"/>
      <c r="U2223" s="13"/>
      <c r="V2223" s="12" t="str">
        <f t="shared" ref="V2223:V2286" si="434">RIGHT(U2223,4)</f>
        <v/>
      </c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 t="s">
        <v>3709</v>
      </c>
      <c r="AG2223" s="13" t="s">
        <v>68</v>
      </c>
      <c r="AH2223" s="13" t="s">
        <v>14085</v>
      </c>
      <c r="AI2223" s="12" t="str">
        <f t="shared" ref="AI2223:AI2286" si="435">RIGHT(AH2223,4)</f>
        <v>1837</v>
      </c>
      <c r="AJ2223" s="13" t="s">
        <v>5423</v>
      </c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/>
      <c r="BD2223" s="13"/>
      <c r="BE2223" s="13"/>
      <c r="BF2223" s="13"/>
      <c r="BG2223" s="13"/>
      <c r="BH2223" s="12"/>
      <c r="BI2223" s="12"/>
      <c r="BJ2223" s="12"/>
      <c r="BK2223" s="12"/>
      <c r="BL2223" s="12"/>
      <c r="BM2223" s="12"/>
      <c r="BN2223" s="12"/>
      <c r="BO2223" s="12"/>
      <c r="BP2223" s="12"/>
      <c r="BQ2223" s="12"/>
      <c r="BR2223" s="12"/>
      <c r="BS2223" s="12"/>
      <c r="BT2223" s="12"/>
      <c r="BU2223" s="12"/>
      <c r="BV2223" s="12"/>
      <c r="BW2223" s="12"/>
      <c r="BX2223" s="12"/>
      <c r="BY2223" s="12"/>
      <c r="BZ2223" s="12"/>
      <c r="CA2223" s="12"/>
      <c r="CB2223" s="12"/>
      <c r="CC2223" s="12"/>
      <c r="CD2223" s="12"/>
    </row>
    <row r="2224" spans="1:82">
      <c r="A2224" s="13" t="s">
        <v>662</v>
      </c>
      <c r="B2224" s="12" t="str">
        <f t="shared" si="427"/>
        <v>VILJOEN</v>
      </c>
      <c r="C2224" s="12" t="str">
        <f t="shared" si="428"/>
        <v>VILJOEN</v>
      </c>
      <c r="D2224" s="13" t="s">
        <v>6735</v>
      </c>
      <c r="E2224" s="12" t="str">
        <f t="shared" si="425"/>
        <v>Willem Albertus</v>
      </c>
      <c r="F2224" s="13" t="s">
        <v>6736</v>
      </c>
      <c r="G2224" s="12" t="str">
        <f t="shared" si="429"/>
        <v>a1b3c4d2e10f5</v>
      </c>
      <c r="H2224" s="12" t="str">
        <f t="shared" si="430"/>
        <v>VILJOENa1b3c4d2e10f5</v>
      </c>
      <c r="I2224" s="13"/>
      <c r="J2224" s="13" t="s">
        <v>6737</v>
      </c>
      <c r="K2224" s="12" t="str">
        <f t="shared" si="431"/>
        <v>1815</v>
      </c>
      <c r="L2224" s="13" t="s">
        <v>74</v>
      </c>
      <c r="M2224" s="13" t="s">
        <v>6430</v>
      </c>
      <c r="N2224" s="12" t="str">
        <f t="shared" si="423"/>
        <v>1815</v>
      </c>
      <c r="O2224" s="12" t="str">
        <f t="shared" si="424"/>
        <v>1815</v>
      </c>
      <c r="P2224" s="11"/>
      <c r="Q2224" s="12" t="str">
        <f t="shared" si="432"/>
        <v>1815</v>
      </c>
      <c r="R2224" s="13" t="s">
        <v>6738</v>
      </c>
      <c r="S2224" s="12" t="str">
        <f t="shared" si="433"/>
        <v>1891</v>
      </c>
      <c r="T2224" s="13" t="s">
        <v>68</v>
      </c>
      <c r="U2224" s="13" t="s">
        <v>1192</v>
      </c>
      <c r="V2224" s="12" t="str">
        <f t="shared" si="434"/>
        <v>1834</v>
      </c>
      <c r="W2224" s="13" t="s">
        <v>14807</v>
      </c>
      <c r="X2224" s="13" t="s">
        <v>15500</v>
      </c>
      <c r="Y2224" s="13"/>
      <c r="Z2224" s="13"/>
      <c r="AA2224" s="13"/>
      <c r="AB2224" s="13"/>
      <c r="AC2224" s="13" t="s">
        <v>3681</v>
      </c>
      <c r="AD2224" s="13"/>
      <c r="AE2224" s="13" t="s">
        <v>15501</v>
      </c>
      <c r="AF2224" s="13" t="s">
        <v>3709</v>
      </c>
      <c r="AG2224" s="13" t="s">
        <v>68</v>
      </c>
      <c r="AH2224" s="13" t="s">
        <v>14085</v>
      </c>
      <c r="AI2224" s="12" t="str">
        <f t="shared" si="435"/>
        <v>1837</v>
      </c>
      <c r="AJ2224" s="13" t="s">
        <v>5423</v>
      </c>
      <c r="AK2224" s="13" t="s">
        <v>1864</v>
      </c>
      <c r="AL2224" s="13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2"/>
      <c r="BI2224" s="12"/>
      <c r="BJ2224" s="12"/>
      <c r="BK2224" s="12"/>
      <c r="BL2224" s="12"/>
      <c r="BM2224" s="12"/>
      <c r="BN2224" s="12"/>
      <c r="BO2224" s="12"/>
      <c r="BP2224" s="12"/>
      <c r="BQ2224" s="12"/>
      <c r="BR2224" s="12"/>
      <c r="BS2224" s="12"/>
      <c r="BT2224" s="12"/>
      <c r="BU2224" s="12"/>
      <c r="BV2224" s="12"/>
      <c r="BW2224" s="12"/>
      <c r="BX2224" s="12"/>
      <c r="BY2224" s="12"/>
      <c r="BZ2224" s="12"/>
      <c r="CA2224" s="12"/>
      <c r="CB2224" s="12"/>
      <c r="CC2224" s="12"/>
      <c r="CD2224" s="12"/>
    </row>
    <row r="2225" spans="1:82">
      <c r="A2225" s="13" t="s">
        <v>662</v>
      </c>
      <c r="B2225" s="12" t="str">
        <f t="shared" si="427"/>
        <v>VILJOEN</v>
      </c>
      <c r="C2225" s="12" t="str">
        <f t="shared" si="428"/>
        <v>VILJOEN</v>
      </c>
      <c r="D2225" s="13" t="s">
        <v>6025</v>
      </c>
      <c r="E2225" s="12" t="str">
        <f t="shared" si="425"/>
        <v>Marthinus Jacobus</v>
      </c>
      <c r="F2225" s="13" t="s">
        <v>6712</v>
      </c>
      <c r="G2225" s="12" t="str">
        <f t="shared" si="429"/>
        <v>a1b3c4d2e10f6</v>
      </c>
      <c r="H2225" s="12" t="str">
        <f t="shared" si="430"/>
        <v>VILJOENa1b3c4d2e10f6</v>
      </c>
      <c r="I2225" s="13"/>
      <c r="J2225" s="13" t="s">
        <v>6713</v>
      </c>
      <c r="K2225" s="12" t="str">
        <f t="shared" si="431"/>
        <v>1817</v>
      </c>
      <c r="L2225" s="13" t="s">
        <v>74</v>
      </c>
      <c r="M2225" s="13" t="s">
        <v>6713</v>
      </c>
      <c r="N2225" s="12" t="str">
        <f t="shared" si="423"/>
        <v>1817</v>
      </c>
      <c r="O2225" s="12" t="str">
        <f t="shared" si="424"/>
        <v>1817</v>
      </c>
      <c r="P2225" s="13" t="s">
        <v>6472</v>
      </c>
      <c r="Q2225" s="12" t="str">
        <f t="shared" si="432"/>
        <v>1817</v>
      </c>
      <c r="R2225" s="13" t="s">
        <v>6714</v>
      </c>
      <c r="S2225" s="12" t="str">
        <f t="shared" si="433"/>
        <v>1889</v>
      </c>
      <c r="T2225" s="13"/>
      <c r="U2225" s="13" t="s">
        <v>15486</v>
      </c>
      <c r="V2225" s="12" t="str">
        <f t="shared" si="434"/>
        <v>1836</v>
      </c>
      <c r="W2225" s="13" t="s">
        <v>15487</v>
      </c>
      <c r="X2225" s="13" t="s">
        <v>5366</v>
      </c>
      <c r="Y2225" s="13" t="s">
        <v>15488</v>
      </c>
      <c r="Z2225" s="13" t="s">
        <v>346</v>
      </c>
      <c r="AA2225" s="13" t="s">
        <v>7616</v>
      </c>
      <c r="AB2225" s="13" t="s">
        <v>53</v>
      </c>
      <c r="AC2225" s="15">
        <v>7561</v>
      </c>
      <c r="AD2225" s="13" t="s">
        <v>1864</v>
      </c>
      <c r="AE2225" s="13" t="s">
        <v>15489</v>
      </c>
      <c r="AF2225" s="13" t="s">
        <v>3728</v>
      </c>
      <c r="AG2225" s="13" t="s">
        <v>346</v>
      </c>
      <c r="AH2225" s="13" t="s">
        <v>14085</v>
      </c>
      <c r="AI2225" s="12" t="str">
        <f t="shared" si="435"/>
        <v>1837</v>
      </c>
      <c r="AJ2225" s="13" t="s">
        <v>5423</v>
      </c>
      <c r="AK2225" s="13" t="s">
        <v>1864</v>
      </c>
      <c r="AL2225" s="13" t="s">
        <v>1864</v>
      </c>
      <c r="AM2225" s="13" t="s">
        <v>15490</v>
      </c>
      <c r="AN2225" s="13" t="s">
        <v>1629</v>
      </c>
      <c r="AO2225" s="13" t="s">
        <v>660</v>
      </c>
      <c r="AP2225" s="13"/>
      <c r="AQ2225" s="13" t="s">
        <v>199</v>
      </c>
      <c r="AR2225" s="13" t="s">
        <v>15426</v>
      </c>
      <c r="AS2225" s="13"/>
      <c r="AT2225" s="13"/>
      <c r="AU2225" s="13" t="s">
        <v>1864</v>
      </c>
      <c r="AV2225" s="13" t="s">
        <v>13288</v>
      </c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2"/>
      <c r="BI2225" s="12"/>
      <c r="BJ2225" s="12"/>
      <c r="BK2225" s="12"/>
      <c r="BL2225" s="12"/>
      <c r="BM2225" s="12"/>
      <c r="BN2225" s="12"/>
      <c r="BO2225" s="12"/>
      <c r="BP2225" s="12"/>
      <c r="BQ2225" s="12"/>
      <c r="BR2225" s="12"/>
      <c r="BS2225" s="12"/>
      <c r="BT2225" s="12"/>
      <c r="BU2225" s="12"/>
      <c r="BV2225" s="12"/>
      <c r="BW2225" s="12"/>
      <c r="BX2225" s="12"/>
      <c r="BY2225" s="12"/>
      <c r="BZ2225" s="12"/>
      <c r="CA2225" s="12"/>
      <c r="CB2225" s="12"/>
      <c r="CC2225" s="12"/>
      <c r="CD2225" s="12"/>
    </row>
    <row r="2226" spans="1:82">
      <c r="A2226" s="13" t="s">
        <v>662</v>
      </c>
      <c r="B2226" s="12" t="str">
        <f t="shared" si="427"/>
        <v>VILJOEN</v>
      </c>
      <c r="C2226" s="12" t="str">
        <f t="shared" si="428"/>
        <v>VILJOEN</v>
      </c>
      <c r="D2226" s="13" t="s">
        <v>6744</v>
      </c>
      <c r="E2226" s="12" t="str">
        <f t="shared" si="425"/>
        <v>Willem Wouter</v>
      </c>
      <c r="F2226" s="13" t="s">
        <v>6747</v>
      </c>
      <c r="G2226" s="12" t="str">
        <f t="shared" si="429"/>
        <v>a1b3c4d2e11</v>
      </c>
      <c r="H2226" s="12" t="str">
        <f t="shared" si="430"/>
        <v>VILJOENa1b3c4d2e11</v>
      </c>
      <c r="I2226" s="13"/>
      <c r="J2226" s="13"/>
      <c r="K2226" s="12" t="str">
        <f t="shared" si="431"/>
        <v/>
      </c>
      <c r="L2226" s="13"/>
      <c r="M2226" s="13" t="s">
        <v>6748</v>
      </c>
      <c r="N2226" s="12" t="str">
        <f t="shared" si="423"/>
        <v/>
      </c>
      <c r="O2226" s="12" t="str">
        <f t="shared" si="424"/>
        <v>1797</v>
      </c>
      <c r="P2226" s="13"/>
      <c r="Q2226" s="12" t="str">
        <f t="shared" si="432"/>
        <v>1797</v>
      </c>
      <c r="R2226" s="13"/>
      <c r="S2226" s="12" t="str">
        <f t="shared" si="433"/>
        <v/>
      </c>
      <c r="T2226" s="13"/>
      <c r="U2226" s="13" t="s">
        <v>15513</v>
      </c>
      <c r="V2226" s="12" t="str">
        <f t="shared" si="434"/>
        <v>1797</v>
      </c>
      <c r="W2226" s="13" t="s">
        <v>746</v>
      </c>
      <c r="X2226" s="13" t="s">
        <v>730</v>
      </c>
      <c r="Y2226" s="13"/>
      <c r="Z2226" s="13"/>
      <c r="AA2226" s="13" t="s">
        <v>15514</v>
      </c>
      <c r="AB2226" s="13"/>
      <c r="AC2226" s="13"/>
      <c r="AD2226" s="13"/>
      <c r="AE2226" s="13"/>
      <c r="AF2226" s="13" t="s">
        <v>3706</v>
      </c>
      <c r="AG2226" s="13" t="s">
        <v>68</v>
      </c>
      <c r="AH2226" s="13" t="s">
        <v>13241</v>
      </c>
      <c r="AI2226" s="12" t="str">
        <f t="shared" si="435"/>
        <v>1837</v>
      </c>
      <c r="AJ2226" s="13" t="s">
        <v>10763</v>
      </c>
      <c r="AK2226" s="13" t="s">
        <v>93</v>
      </c>
      <c r="AL2226" s="13"/>
      <c r="AM2226" s="13"/>
      <c r="AN2226" s="13" t="s">
        <v>15515</v>
      </c>
      <c r="AO2226" s="13" t="s">
        <v>2073</v>
      </c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/>
      <c r="BF2226" s="13"/>
      <c r="BG2226" s="13"/>
      <c r="BH2226" s="12"/>
      <c r="BI2226" s="12"/>
      <c r="BJ2226" s="12"/>
      <c r="BK2226" s="12"/>
      <c r="BL2226" s="12"/>
      <c r="BM2226" s="12"/>
      <c r="BN2226" s="12"/>
      <c r="BO2226" s="12"/>
      <c r="BP2226" s="12"/>
      <c r="BQ2226" s="12"/>
      <c r="BR2226" s="12"/>
      <c r="BS2226" s="12"/>
      <c r="BT2226" s="12"/>
      <c r="BU2226" s="12"/>
      <c r="BV2226" s="12"/>
      <c r="BW2226" s="12"/>
      <c r="BX2226" s="12"/>
      <c r="BY2226" s="12"/>
      <c r="BZ2226" s="12"/>
      <c r="CA2226" s="12"/>
      <c r="CB2226" s="12"/>
      <c r="CC2226" s="12"/>
      <c r="CD2226" s="12"/>
    </row>
    <row r="2227" spans="1:82">
      <c r="A2227" s="13" t="s">
        <v>662</v>
      </c>
      <c r="B2227" s="12" t="str">
        <f t="shared" si="427"/>
        <v>VILJOEN</v>
      </c>
      <c r="C2227" s="12" t="str">
        <f t="shared" si="428"/>
        <v>VILJOEN</v>
      </c>
      <c r="D2227" s="13" t="s">
        <v>6679</v>
      </c>
      <c r="E2227" s="12" t="str">
        <f t="shared" si="425"/>
        <v>Jan Albertus</v>
      </c>
      <c r="F2227" s="13" t="s">
        <v>6680</v>
      </c>
      <c r="G2227" s="12" t="str">
        <f t="shared" si="429"/>
        <v>a1b3c4d2e11f1</v>
      </c>
      <c r="H2227" s="12" t="str">
        <f t="shared" si="430"/>
        <v>VILJOENa1b3c4d2e11f1</v>
      </c>
      <c r="I2227" s="13"/>
      <c r="J2227" s="13"/>
      <c r="K2227" s="12" t="str">
        <f t="shared" si="431"/>
        <v/>
      </c>
      <c r="L2227" s="13"/>
      <c r="M2227" s="13" t="s">
        <v>6681</v>
      </c>
      <c r="N2227" s="12" t="str">
        <f t="shared" si="423"/>
        <v/>
      </c>
      <c r="O2227" s="12" t="str">
        <f t="shared" si="424"/>
        <v>1798</v>
      </c>
      <c r="P2227" s="13"/>
      <c r="Q2227" s="12" t="str">
        <f t="shared" si="432"/>
        <v>1798</v>
      </c>
      <c r="R2227" s="13"/>
      <c r="S2227" s="12" t="str">
        <f t="shared" si="433"/>
        <v/>
      </c>
      <c r="T2227" s="13"/>
      <c r="U2227" s="13" t="s">
        <v>15471</v>
      </c>
      <c r="V2227" s="12" t="str">
        <f t="shared" si="434"/>
        <v>1820</v>
      </c>
      <c r="W2227" s="13" t="s">
        <v>15472</v>
      </c>
      <c r="X2227" s="13" t="s">
        <v>658</v>
      </c>
      <c r="Y2227" s="13"/>
      <c r="Z2227" s="13"/>
      <c r="AA2227" s="13"/>
      <c r="AB2227" s="13"/>
      <c r="AC2227" s="13" t="s">
        <v>7443</v>
      </c>
      <c r="AD2227" s="13"/>
      <c r="AE2227" s="13"/>
      <c r="AF2227" s="13" t="s">
        <v>3706</v>
      </c>
      <c r="AG2227" s="13" t="s">
        <v>68</v>
      </c>
      <c r="AH2227" s="13">
        <v>1842</v>
      </c>
      <c r="AI2227" s="12" t="str">
        <f t="shared" si="435"/>
        <v>1842</v>
      </c>
      <c r="AJ2227" s="13"/>
      <c r="AK2227" s="13"/>
      <c r="AL2227" s="13"/>
      <c r="AM2227" s="13">
        <v>1837</v>
      </c>
      <c r="AN2227" s="13" t="s">
        <v>11827</v>
      </c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2"/>
      <c r="BI2227" s="12"/>
      <c r="BJ2227" s="12"/>
      <c r="BK2227" s="12"/>
      <c r="BL2227" s="12"/>
      <c r="BM2227" s="12"/>
      <c r="BN2227" s="12"/>
      <c r="BO2227" s="12"/>
      <c r="BP2227" s="12"/>
      <c r="BQ2227" s="12"/>
      <c r="BR2227" s="12"/>
      <c r="BS2227" s="12"/>
      <c r="BT2227" s="12"/>
      <c r="BU2227" s="12"/>
      <c r="BV2227" s="12"/>
      <c r="BW2227" s="12"/>
      <c r="BX2227" s="12"/>
      <c r="BY2227" s="12"/>
      <c r="BZ2227" s="12"/>
      <c r="CA2227" s="12"/>
      <c r="CB2227" s="12"/>
      <c r="CC2227" s="12"/>
      <c r="CD2227" s="12"/>
    </row>
    <row r="2228" spans="1:82">
      <c r="A2228" s="13" t="s">
        <v>662</v>
      </c>
      <c r="B2228" s="12" t="str">
        <f t="shared" si="427"/>
        <v>VILJOEN</v>
      </c>
      <c r="C2228" s="12" t="str">
        <f t="shared" si="428"/>
        <v>VILJOEN</v>
      </c>
      <c r="D2228" s="13" t="s">
        <v>1496</v>
      </c>
      <c r="E2228" s="12" t="str">
        <f t="shared" si="425"/>
        <v>Abraham Carel</v>
      </c>
      <c r="F2228" s="13" t="s">
        <v>6598</v>
      </c>
      <c r="G2228" s="12" t="str">
        <f t="shared" si="429"/>
        <v>a1b3c4d2e11f13</v>
      </c>
      <c r="H2228" s="12" t="str">
        <f t="shared" si="430"/>
        <v>VILJOENa1b3c4d2e11f13</v>
      </c>
      <c r="I2228" s="13"/>
      <c r="J2228" s="13" t="s">
        <v>6599</v>
      </c>
      <c r="K2228" s="12" t="str">
        <f t="shared" si="431"/>
        <v>1817</v>
      </c>
      <c r="L2228" s="13" t="s">
        <v>74</v>
      </c>
      <c r="M2228" s="13" t="s">
        <v>1219</v>
      </c>
      <c r="N2228" s="12" t="str">
        <f t="shared" si="423"/>
        <v>1817</v>
      </c>
      <c r="O2228" s="12" t="str">
        <f t="shared" si="424"/>
        <v>1817</v>
      </c>
      <c r="P2228" s="13"/>
      <c r="Q2228" s="12" t="str">
        <f t="shared" si="432"/>
        <v>1817</v>
      </c>
      <c r="R2228" s="13" t="s">
        <v>6600</v>
      </c>
      <c r="S2228" s="12" t="str">
        <f t="shared" si="433"/>
        <v>1894</v>
      </c>
      <c r="T2228" s="13" t="s">
        <v>68</v>
      </c>
      <c r="U2228" s="13" t="s">
        <v>15402</v>
      </c>
      <c r="V2228" s="12" t="str">
        <f t="shared" si="434"/>
        <v>1837</v>
      </c>
      <c r="W2228" s="13" t="s">
        <v>14576</v>
      </c>
      <c r="X2228" s="13" t="s">
        <v>4126</v>
      </c>
      <c r="Y2228" s="13"/>
      <c r="Z2228" s="13"/>
      <c r="AA2228" s="13" t="s">
        <v>15403</v>
      </c>
      <c r="AB2228" s="13"/>
      <c r="AC2228" s="13"/>
      <c r="AD2228" s="13"/>
      <c r="AE2228" s="13"/>
      <c r="AF2228" s="13" t="s">
        <v>3706</v>
      </c>
      <c r="AG2228" s="13" t="s">
        <v>68</v>
      </c>
      <c r="AH2228" s="13">
        <v>1841</v>
      </c>
      <c r="AI2228" s="12" t="str">
        <f t="shared" si="435"/>
        <v>1841</v>
      </c>
      <c r="AJ2228" s="13"/>
      <c r="AK2228" s="13" t="s">
        <v>155</v>
      </c>
      <c r="AL2228" s="13"/>
      <c r="AM2228" s="13">
        <v>1842</v>
      </c>
      <c r="AN2228" s="13" t="s">
        <v>15404</v>
      </c>
      <c r="AO2228" s="13" t="s">
        <v>655</v>
      </c>
      <c r="AP2228" s="13"/>
      <c r="AQ2228" s="13"/>
      <c r="AR2228" s="13" t="s">
        <v>12449</v>
      </c>
      <c r="AS2228" s="13"/>
      <c r="AT2228" s="13"/>
      <c r="AU2228" s="13"/>
      <c r="AV2228" s="13"/>
      <c r="AW2228" s="13"/>
      <c r="AX2228" s="13">
        <v>1859</v>
      </c>
      <c r="AY2228" s="13" t="s">
        <v>15405</v>
      </c>
      <c r="AZ2228" s="13" t="s">
        <v>5026</v>
      </c>
      <c r="BA2228" s="13"/>
      <c r="BB2228" s="13"/>
      <c r="BC2228" s="13" t="s">
        <v>15406</v>
      </c>
      <c r="BD2228" s="13" t="s">
        <v>74</v>
      </c>
      <c r="BE2228" s="13" t="s">
        <v>14088</v>
      </c>
      <c r="BF2228" s="13" t="s">
        <v>15407</v>
      </c>
      <c r="BG2228" s="13" t="s">
        <v>15408</v>
      </c>
      <c r="BH2228" s="12"/>
      <c r="BI2228" s="12"/>
      <c r="BJ2228" s="12"/>
      <c r="BK2228" s="12"/>
      <c r="BL2228" s="12"/>
      <c r="BM2228" s="12"/>
      <c r="BN2228" s="12"/>
      <c r="BO2228" s="12"/>
      <c r="BP2228" s="12"/>
      <c r="BQ2228" s="12"/>
      <c r="BR2228" s="12"/>
      <c r="BS2228" s="12"/>
      <c r="BT2228" s="12"/>
      <c r="BU2228" s="12"/>
      <c r="BV2228" s="12"/>
      <c r="BW2228" s="12"/>
      <c r="BX2228" s="12"/>
      <c r="BY2228" s="12"/>
      <c r="BZ2228" s="12"/>
      <c r="CA2228" s="12"/>
      <c r="CB2228" s="12"/>
      <c r="CC2228" s="12"/>
      <c r="CD2228" s="12"/>
    </row>
    <row r="2229" spans="1:82">
      <c r="A2229" s="13" t="s">
        <v>662</v>
      </c>
      <c r="B2229" s="12" t="str">
        <f t="shared" si="427"/>
        <v>VILJOEN</v>
      </c>
      <c r="C2229" s="12" t="str">
        <f t="shared" si="428"/>
        <v>VILJOEN</v>
      </c>
      <c r="D2229" s="13" t="s">
        <v>6673</v>
      </c>
      <c r="E2229" s="12" t="str">
        <f t="shared" si="425"/>
        <v>Henning Johannes</v>
      </c>
      <c r="F2229" s="13" t="s">
        <v>6674</v>
      </c>
      <c r="G2229" s="12" t="str">
        <f t="shared" si="429"/>
        <v>a1b3c4d2e11f15</v>
      </c>
      <c r="H2229" s="12" t="str">
        <f t="shared" si="430"/>
        <v>VILJOENa1b3c4d2e11f15</v>
      </c>
      <c r="I2229" s="13"/>
      <c r="J2229" s="13" t="s">
        <v>6675</v>
      </c>
      <c r="K2229" s="12" t="str">
        <f t="shared" si="431"/>
        <v>1820</v>
      </c>
      <c r="L2229" s="13" t="s">
        <v>53</v>
      </c>
      <c r="M2229" s="13" t="s">
        <v>6507</v>
      </c>
      <c r="N2229" s="12" t="str">
        <f t="shared" si="423"/>
        <v>1820</v>
      </c>
      <c r="O2229" s="12" t="str">
        <f t="shared" si="424"/>
        <v>1820</v>
      </c>
      <c r="P2229" s="11"/>
      <c r="Q2229" s="12" t="str">
        <f t="shared" si="432"/>
        <v>1820</v>
      </c>
      <c r="R2229" s="13" t="s">
        <v>6676</v>
      </c>
      <c r="S2229" s="12" t="str">
        <f t="shared" si="433"/>
        <v>1881</v>
      </c>
      <c r="T2229" s="13"/>
      <c r="U2229" s="13"/>
      <c r="V2229" s="12" t="str">
        <f t="shared" si="434"/>
        <v/>
      </c>
      <c r="W2229" s="13" t="s">
        <v>673</v>
      </c>
      <c r="X2229" s="13" t="s">
        <v>7387</v>
      </c>
      <c r="Y2229" s="13"/>
      <c r="Z2229" s="13"/>
      <c r="AA2229" s="13" t="s">
        <v>15460</v>
      </c>
      <c r="AB2229" s="13"/>
      <c r="AC2229" s="13"/>
      <c r="AD2229" s="13"/>
      <c r="AE2229" s="13" t="s">
        <v>15461</v>
      </c>
      <c r="AF2229" s="13" t="s">
        <v>3706</v>
      </c>
      <c r="AG2229" s="13" t="s">
        <v>68</v>
      </c>
      <c r="AH2229" s="13">
        <v>1841</v>
      </c>
      <c r="AI2229" s="12" t="str">
        <f t="shared" si="435"/>
        <v>1841</v>
      </c>
      <c r="AJ2229" s="13"/>
      <c r="AK2229" s="13" t="s">
        <v>15462</v>
      </c>
      <c r="AL2229" s="13"/>
      <c r="AM2229" s="13"/>
      <c r="AN2229" s="13" t="s">
        <v>15463</v>
      </c>
      <c r="AO2229" s="13" t="s">
        <v>15464</v>
      </c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 t="s">
        <v>11827</v>
      </c>
      <c r="AZ2229" s="13" t="s">
        <v>15465</v>
      </c>
      <c r="BA2229" s="13"/>
      <c r="BB2229" s="13"/>
      <c r="BC2229" s="13"/>
      <c r="BD2229" s="13"/>
      <c r="BE2229" s="13"/>
      <c r="BF2229" s="13"/>
      <c r="BG2229" s="13"/>
      <c r="BH2229" s="12"/>
      <c r="BI2229" s="12"/>
      <c r="BJ2229" s="12"/>
      <c r="BK2229" s="12"/>
      <c r="BL2229" s="12"/>
      <c r="BM2229" s="12"/>
      <c r="BN2229" s="12"/>
      <c r="BO2229" s="12"/>
      <c r="BP2229" s="12"/>
      <c r="BQ2229" s="12"/>
      <c r="BR2229" s="12"/>
      <c r="BS2229" s="12"/>
      <c r="BT2229" s="12"/>
      <c r="BU2229" s="12"/>
      <c r="BV2229" s="12"/>
      <c r="BW2229" s="12"/>
      <c r="BX2229" s="12"/>
      <c r="BY2229" s="12"/>
      <c r="BZ2229" s="12"/>
      <c r="CA2229" s="12"/>
      <c r="CB2229" s="12"/>
      <c r="CC2229" s="12"/>
      <c r="CD2229" s="12"/>
    </row>
    <row r="2230" spans="1:82">
      <c r="A2230" s="13" t="s">
        <v>662</v>
      </c>
      <c r="B2230" s="12" t="str">
        <f t="shared" si="427"/>
        <v>VILJOEN</v>
      </c>
      <c r="C2230" s="12" t="str">
        <f t="shared" si="428"/>
        <v>VILJOEN</v>
      </c>
      <c r="D2230" s="13" t="s">
        <v>6718</v>
      </c>
      <c r="E2230" s="12" t="str">
        <f t="shared" si="425"/>
        <v>Pieter Nicolaas</v>
      </c>
      <c r="F2230" s="13" t="s">
        <v>6723</v>
      </c>
      <c r="G2230" s="12" t="str">
        <f t="shared" si="429"/>
        <v>a1b3c4d2e11f16</v>
      </c>
      <c r="H2230" s="12" t="str">
        <f t="shared" si="430"/>
        <v>VILJOENa1b3c4d2e11f16</v>
      </c>
      <c r="I2230" s="13"/>
      <c r="J2230" s="13" t="s">
        <v>6724</v>
      </c>
      <c r="K2230" s="12" t="str">
        <f t="shared" si="431"/>
        <v>1822</v>
      </c>
      <c r="L2230" s="13" t="s">
        <v>542</v>
      </c>
      <c r="M2230" s="13" t="s">
        <v>6725</v>
      </c>
      <c r="N2230" s="12" t="str">
        <f t="shared" si="423"/>
        <v>1822</v>
      </c>
      <c r="O2230" s="12" t="str">
        <f t="shared" si="424"/>
        <v>1802</v>
      </c>
      <c r="P2230" s="13" t="s">
        <v>6726</v>
      </c>
      <c r="Q2230" s="12" t="str">
        <f t="shared" si="432"/>
        <v>1822</v>
      </c>
      <c r="R2230" s="13" t="s">
        <v>6727</v>
      </c>
      <c r="S2230" s="12" t="str">
        <f t="shared" si="433"/>
        <v>1901</v>
      </c>
      <c r="T2230" s="13"/>
      <c r="U2230" s="13"/>
      <c r="V2230" s="12" t="str">
        <f t="shared" si="434"/>
        <v/>
      </c>
      <c r="W2230" s="13" t="s">
        <v>6958</v>
      </c>
      <c r="X2230" s="13" t="s">
        <v>2153</v>
      </c>
      <c r="Y2230" s="13"/>
      <c r="Z2230" s="13"/>
      <c r="AA2230" s="13" t="s">
        <v>15493</v>
      </c>
      <c r="AB2230" s="13"/>
      <c r="AC2230" s="13"/>
      <c r="AD2230" s="13" t="s">
        <v>93</v>
      </c>
      <c r="AE2230" s="13" t="s">
        <v>15494</v>
      </c>
      <c r="AF2230" s="13" t="s">
        <v>3706</v>
      </c>
      <c r="AG2230" s="13" t="s">
        <v>68</v>
      </c>
      <c r="AH2230" s="13" t="s">
        <v>13241</v>
      </c>
      <c r="AI2230" s="12" t="str">
        <f t="shared" si="435"/>
        <v>1837</v>
      </c>
      <c r="AJ2230" s="13" t="s">
        <v>10763</v>
      </c>
      <c r="AK2230" s="13" t="s">
        <v>93</v>
      </c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2"/>
      <c r="BI2230" s="12"/>
      <c r="BJ2230" s="12"/>
      <c r="BK2230" s="12"/>
      <c r="BL2230" s="12"/>
      <c r="BM2230" s="12"/>
      <c r="BN2230" s="12"/>
      <c r="BO2230" s="12"/>
      <c r="BP2230" s="12"/>
      <c r="BQ2230" s="12"/>
      <c r="BR2230" s="12"/>
      <c r="BS2230" s="12"/>
      <c r="BT2230" s="12"/>
      <c r="BU2230" s="12"/>
      <c r="BV2230" s="12"/>
      <c r="BW2230" s="12"/>
      <c r="BX2230" s="12"/>
      <c r="BY2230" s="12"/>
      <c r="BZ2230" s="12"/>
      <c r="CA2230" s="12"/>
      <c r="CB2230" s="12"/>
      <c r="CC2230" s="12"/>
      <c r="CD2230" s="12"/>
    </row>
    <row r="2231" spans="1:82">
      <c r="A2231" s="13" t="s">
        <v>662</v>
      </c>
      <c r="B2231" s="12" t="str">
        <f t="shared" si="427"/>
        <v>VILJOEN</v>
      </c>
      <c r="C2231" s="12" t="str">
        <f t="shared" si="428"/>
        <v>VILJOEN</v>
      </c>
      <c r="D2231" s="13" t="s">
        <v>6654</v>
      </c>
      <c r="E2231" s="12" t="str">
        <f t="shared" si="425"/>
        <v>Frederik Jacobus Zacharias</v>
      </c>
      <c r="F2231" s="13" t="s">
        <v>6655</v>
      </c>
      <c r="G2231" s="12" t="str">
        <f t="shared" si="429"/>
        <v>a1b3c4d2e11f18</v>
      </c>
      <c r="H2231" s="12" t="str">
        <f t="shared" si="430"/>
        <v>VILJOENa1b3c4d2e11f18</v>
      </c>
      <c r="I2231" s="13"/>
      <c r="J2231" s="13" t="s">
        <v>6656</v>
      </c>
      <c r="K2231" s="12" t="str">
        <f t="shared" si="431"/>
        <v>1824</v>
      </c>
      <c r="L2231" s="13"/>
      <c r="M2231" s="13"/>
      <c r="N2231" s="12" t="str">
        <f t="shared" si="423"/>
        <v>1824</v>
      </c>
      <c r="O2231" s="12" t="str">
        <f t="shared" si="424"/>
        <v/>
      </c>
      <c r="P2231" s="13"/>
      <c r="Q2231" s="12" t="str">
        <f t="shared" si="432"/>
        <v>1824</v>
      </c>
      <c r="R2231" s="13" t="s">
        <v>6657</v>
      </c>
      <c r="S2231" s="12" t="str">
        <f t="shared" si="433"/>
        <v>1885</v>
      </c>
      <c r="T2231" s="13"/>
      <c r="U2231" s="13"/>
      <c r="V2231" s="12" t="str">
        <f t="shared" si="434"/>
        <v/>
      </c>
      <c r="W2231" s="13" t="s">
        <v>15448</v>
      </c>
      <c r="X2231" s="13" t="s">
        <v>698</v>
      </c>
      <c r="Y2231" s="13"/>
      <c r="Z2231" s="13"/>
      <c r="AA2231" s="13" t="s">
        <v>15449</v>
      </c>
      <c r="AB2231" s="13"/>
      <c r="AC2231" s="13"/>
      <c r="AD2231" s="13"/>
      <c r="AE2231" s="13" t="s">
        <v>15450</v>
      </c>
      <c r="AF2231" s="13" t="s">
        <v>3706</v>
      </c>
      <c r="AG2231" s="13" t="s">
        <v>68</v>
      </c>
      <c r="AH2231" s="13" t="s">
        <v>13241</v>
      </c>
      <c r="AI2231" s="12" t="str">
        <f t="shared" si="435"/>
        <v>1837</v>
      </c>
      <c r="AJ2231" s="13" t="s">
        <v>10763</v>
      </c>
      <c r="AK2231" s="13" t="s">
        <v>4103</v>
      </c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2"/>
      <c r="BI2231" s="12"/>
      <c r="BJ2231" s="12"/>
      <c r="BK2231" s="12"/>
      <c r="BL2231" s="12"/>
      <c r="BM2231" s="12"/>
      <c r="BN2231" s="12"/>
      <c r="BO2231" s="12"/>
      <c r="BP2231" s="12"/>
      <c r="BQ2231" s="12"/>
      <c r="BR2231" s="12"/>
      <c r="BS2231" s="12"/>
      <c r="BT2231" s="12"/>
      <c r="BU2231" s="12"/>
      <c r="BV2231" s="12"/>
      <c r="BW2231" s="12"/>
      <c r="BX2231" s="12"/>
      <c r="BY2231" s="12"/>
      <c r="BZ2231" s="12"/>
      <c r="CA2231" s="12"/>
      <c r="CB2231" s="12"/>
      <c r="CC2231" s="12"/>
      <c r="CD2231" s="12"/>
    </row>
    <row r="2232" spans="1:82">
      <c r="A2232" s="13" t="s">
        <v>662</v>
      </c>
      <c r="B2232" s="12" t="str">
        <f t="shared" si="427"/>
        <v>VILJOEN</v>
      </c>
      <c r="C2232" s="12" t="str">
        <f t="shared" si="428"/>
        <v>VILJOEN</v>
      </c>
      <c r="D2232" s="13" t="s">
        <v>6744</v>
      </c>
      <c r="E2232" s="12" t="str">
        <f t="shared" si="425"/>
        <v>Willem Wouter</v>
      </c>
      <c r="F2232" s="13" t="s">
        <v>6745</v>
      </c>
      <c r="G2232" s="12" t="str">
        <f t="shared" si="429"/>
        <v>a1b3c4d2e11f1g1</v>
      </c>
      <c r="H2232" s="12" t="str">
        <f t="shared" si="430"/>
        <v>VILJOENa1b3c4d2e11f1g1</v>
      </c>
      <c r="I2232" s="13"/>
      <c r="J2232" s="13" t="s">
        <v>6746</v>
      </c>
      <c r="K2232" s="12" t="str">
        <f t="shared" si="431"/>
        <v>1822</v>
      </c>
      <c r="L2232" s="11"/>
      <c r="M2232" s="11"/>
      <c r="N2232" s="12" t="str">
        <f t="shared" si="423"/>
        <v>1822</v>
      </c>
      <c r="O2232" s="12" t="str">
        <f t="shared" si="424"/>
        <v/>
      </c>
      <c r="P2232" s="13"/>
      <c r="Q2232" s="12" t="str">
        <f t="shared" si="432"/>
        <v>1822</v>
      </c>
      <c r="R2232" s="13"/>
      <c r="S2232" s="12" t="str">
        <f t="shared" si="433"/>
        <v/>
      </c>
      <c r="T2232" s="13"/>
      <c r="U2232" s="13"/>
      <c r="V2232" s="12" t="str">
        <f t="shared" si="434"/>
        <v/>
      </c>
      <c r="W2232" s="13" t="s">
        <v>15510</v>
      </c>
      <c r="X2232" s="13" t="s">
        <v>697</v>
      </c>
      <c r="Y2232" s="13"/>
      <c r="Z2232" s="13"/>
      <c r="AA2232" s="13"/>
      <c r="AB2232" s="13"/>
      <c r="AC2232" s="13"/>
      <c r="AD2232" s="13"/>
      <c r="AE2232" s="13"/>
      <c r="AF2232" s="13" t="s">
        <v>3706</v>
      </c>
      <c r="AG2232" s="13" t="s">
        <v>68</v>
      </c>
      <c r="AH2232" s="13">
        <v>1842</v>
      </c>
      <c r="AI2232" s="12" t="str">
        <f t="shared" si="435"/>
        <v>1842</v>
      </c>
      <c r="AJ2232" s="13" t="s">
        <v>15511</v>
      </c>
      <c r="AK2232" s="13"/>
      <c r="AL2232" s="12"/>
      <c r="AM2232" s="12"/>
      <c r="AN2232" s="13" t="s">
        <v>2490</v>
      </c>
      <c r="AO2232" s="13" t="s">
        <v>15512</v>
      </c>
      <c r="AP2232" s="13"/>
      <c r="AQ2232" s="13"/>
      <c r="AR2232" s="13">
        <v>1815</v>
      </c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2"/>
      <c r="BI2232" s="12"/>
      <c r="BJ2232" s="12"/>
      <c r="BK2232" s="12"/>
      <c r="BL2232" s="12"/>
      <c r="BM2232" s="12"/>
      <c r="BN2232" s="12"/>
      <c r="BO2232" s="12"/>
      <c r="BP2232" s="12"/>
      <c r="BQ2232" s="12"/>
      <c r="BR2232" s="12"/>
      <c r="BS2232" s="12"/>
      <c r="BT2232" s="12"/>
      <c r="BU2232" s="12"/>
      <c r="BV2232" s="12"/>
      <c r="BW2232" s="12"/>
      <c r="BX2232" s="12"/>
      <c r="BY2232" s="12"/>
      <c r="BZ2232" s="12"/>
      <c r="CA2232" s="12"/>
      <c r="CB2232" s="12"/>
      <c r="CC2232" s="12"/>
      <c r="CD2232" s="12"/>
    </row>
    <row r="2233" spans="1:82">
      <c r="A2233" s="13" t="s">
        <v>662</v>
      </c>
      <c r="B2233" s="12" t="str">
        <f t="shared" si="427"/>
        <v>VILJOEN</v>
      </c>
      <c r="C2233" s="12" t="str">
        <f t="shared" si="428"/>
        <v>VILJOEN</v>
      </c>
      <c r="D2233" s="13" t="s">
        <v>6609</v>
      </c>
      <c r="E2233" s="12" t="str">
        <f t="shared" si="425"/>
        <v>Barend Christiaan</v>
      </c>
      <c r="F2233" s="13" t="s">
        <v>6610</v>
      </c>
      <c r="G2233" s="12" t="str">
        <f t="shared" si="429"/>
        <v>a1b3c4d2e11f7</v>
      </c>
      <c r="H2233" s="12" t="str">
        <f t="shared" si="430"/>
        <v>VILJOENa1b3c4d2e11f7</v>
      </c>
      <c r="I2233" s="13"/>
      <c r="J2233" s="13" t="s">
        <v>6611</v>
      </c>
      <c r="K2233" s="12" t="str">
        <f t="shared" si="431"/>
        <v>1807</v>
      </c>
      <c r="L2233" s="13" t="s">
        <v>74</v>
      </c>
      <c r="M2233" s="13" t="s">
        <v>6339</v>
      </c>
      <c r="N2233" s="12" t="str">
        <f t="shared" si="423"/>
        <v>1807</v>
      </c>
      <c r="O2233" s="12" t="str">
        <f t="shared" si="424"/>
        <v>1807</v>
      </c>
      <c r="P2233" s="13"/>
      <c r="Q2233" s="12" t="str">
        <f t="shared" si="432"/>
        <v>1807</v>
      </c>
      <c r="R2233" s="13" t="s">
        <v>6612</v>
      </c>
      <c r="S2233" s="12" t="str">
        <f t="shared" si="433"/>
        <v>1859</v>
      </c>
      <c r="T2233" s="13" t="s">
        <v>68</v>
      </c>
      <c r="U2233" s="13" t="s">
        <v>2183</v>
      </c>
      <c r="V2233" s="12" t="str">
        <f t="shared" si="434"/>
        <v>1829</v>
      </c>
      <c r="W2233" s="13" t="s">
        <v>15417</v>
      </c>
      <c r="X2233" s="13" t="s">
        <v>493</v>
      </c>
      <c r="Y2233" s="13"/>
      <c r="Z2233" s="13"/>
      <c r="AA2233" s="13" t="s">
        <v>15418</v>
      </c>
      <c r="AB2233" s="13"/>
      <c r="AC2233" s="13"/>
      <c r="AD2233" s="13"/>
      <c r="AE2233" s="13" t="s">
        <v>15419</v>
      </c>
      <c r="AF2233" s="13" t="s">
        <v>3706</v>
      </c>
      <c r="AG2233" s="13" t="s">
        <v>68</v>
      </c>
      <c r="AH2233" s="13">
        <v>1838</v>
      </c>
      <c r="AI2233" s="12" t="str">
        <f t="shared" si="435"/>
        <v>1838</v>
      </c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2"/>
      <c r="BI2233" s="12"/>
      <c r="BJ2233" s="12"/>
      <c r="BK2233" s="12"/>
      <c r="BL2233" s="12"/>
      <c r="BM2233" s="12"/>
      <c r="BN2233" s="12"/>
      <c r="BO2233" s="12"/>
      <c r="BP2233" s="12"/>
      <c r="BQ2233" s="12"/>
      <c r="BR2233" s="12"/>
      <c r="BS2233" s="12"/>
      <c r="BT2233" s="12"/>
      <c r="BU2233" s="12"/>
      <c r="BV2233" s="12"/>
      <c r="BW2233" s="12"/>
      <c r="BX2233" s="12"/>
      <c r="BY2233" s="12"/>
      <c r="BZ2233" s="12"/>
      <c r="CA2233" s="12"/>
      <c r="CB2233" s="12"/>
      <c r="CC2233" s="12"/>
      <c r="CD2233" s="12"/>
    </row>
    <row r="2234" spans="1:82">
      <c r="A2234" s="13" t="s">
        <v>662</v>
      </c>
      <c r="B2234" s="12" t="str">
        <f t="shared" si="427"/>
        <v>VILJOEN</v>
      </c>
      <c r="C2234" s="12" t="str">
        <f t="shared" si="428"/>
        <v>VILJOEN</v>
      </c>
      <c r="D2234" s="13" t="s">
        <v>1484</v>
      </c>
      <c r="E2234" s="12" t="str">
        <f t="shared" si="425"/>
        <v>Willem Jacobus</v>
      </c>
      <c r="F2234" s="13" t="s">
        <v>6742</v>
      </c>
      <c r="G2234" s="12" t="str">
        <f t="shared" si="429"/>
        <v>a1b3c4d2e11f8</v>
      </c>
      <c r="H2234" s="12" t="str">
        <f t="shared" si="430"/>
        <v>VILJOENa1b3c4d2e11f8</v>
      </c>
      <c r="I2234" s="13"/>
      <c r="J2234" s="13" t="s">
        <v>6743</v>
      </c>
      <c r="K2234" s="12" t="str">
        <f t="shared" si="431"/>
        <v>1808</v>
      </c>
      <c r="L2234" s="13" t="s">
        <v>74</v>
      </c>
      <c r="M2234" s="13" t="s">
        <v>3114</v>
      </c>
      <c r="N2234" s="12" t="str">
        <f t="shared" si="423"/>
        <v>1808</v>
      </c>
      <c r="O2234" s="12" t="str">
        <f t="shared" si="424"/>
        <v>1808</v>
      </c>
      <c r="P2234" s="13"/>
      <c r="Q2234" s="12" t="str">
        <f t="shared" si="432"/>
        <v>1808</v>
      </c>
      <c r="R2234" s="13"/>
      <c r="S2234" s="12" t="str">
        <f t="shared" si="433"/>
        <v/>
      </c>
      <c r="T2234" s="13" t="s">
        <v>68</v>
      </c>
      <c r="U2234" s="13" t="s">
        <v>2183</v>
      </c>
      <c r="V2234" s="12" t="str">
        <f t="shared" si="434"/>
        <v>1829</v>
      </c>
      <c r="W2234" s="13" t="s">
        <v>15506</v>
      </c>
      <c r="X2234" s="13" t="s">
        <v>2901</v>
      </c>
      <c r="Y2234" s="13"/>
      <c r="Z2234" s="13"/>
      <c r="AA2234" s="13"/>
      <c r="AB2234" s="13"/>
      <c r="AC2234" s="13"/>
      <c r="AD2234" s="13"/>
      <c r="AE2234" s="13"/>
      <c r="AF2234" s="13" t="s">
        <v>3706</v>
      </c>
      <c r="AG2234" s="13" t="s">
        <v>68</v>
      </c>
      <c r="AH2234" s="13">
        <v>1838</v>
      </c>
      <c r="AI2234" s="12" t="str">
        <f t="shared" si="435"/>
        <v>1838</v>
      </c>
      <c r="AJ2234" s="13"/>
      <c r="AK2234" s="13" t="s">
        <v>15507</v>
      </c>
      <c r="AL2234" s="13"/>
      <c r="AM2234" s="13">
        <v>1840</v>
      </c>
      <c r="AN2234" s="13" t="s">
        <v>15508</v>
      </c>
      <c r="AO2234" s="13" t="s">
        <v>730</v>
      </c>
      <c r="AP2234" s="13"/>
      <c r="AQ2234" s="13"/>
      <c r="AR2234" s="13" t="s">
        <v>15509</v>
      </c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2"/>
      <c r="BI2234" s="12"/>
      <c r="BJ2234" s="12"/>
      <c r="BK2234" s="12"/>
      <c r="BL2234" s="12"/>
      <c r="BM2234" s="12"/>
      <c r="BN2234" s="12"/>
      <c r="BO2234" s="12"/>
      <c r="BP2234" s="12"/>
      <c r="BQ2234" s="12"/>
      <c r="BR2234" s="12"/>
      <c r="BS2234" s="12"/>
      <c r="BT2234" s="12"/>
      <c r="BU2234" s="12"/>
      <c r="BV2234" s="12"/>
      <c r="BW2234" s="12"/>
      <c r="BX2234" s="12"/>
      <c r="BY2234" s="12"/>
      <c r="BZ2234" s="12"/>
      <c r="CA2234" s="12"/>
      <c r="CB2234" s="12"/>
      <c r="CC2234" s="12"/>
      <c r="CD2234" s="12"/>
    </row>
    <row r="2235" spans="1:82">
      <c r="A2235" s="13" t="s">
        <v>662</v>
      </c>
      <c r="B2235" s="12" t="str">
        <f t="shared" si="427"/>
        <v>VILJOEN</v>
      </c>
      <c r="C2235" s="12" t="str">
        <f t="shared" si="428"/>
        <v>VILJOEN</v>
      </c>
      <c r="D2235" s="13" t="s">
        <v>6625</v>
      </c>
      <c r="E2235" s="12" t="str">
        <f t="shared" si="425"/>
        <v>Charl Johannes (Sarel)</v>
      </c>
      <c r="F2235" s="13" t="s">
        <v>6626</v>
      </c>
      <c r="G2235" s="12" t="str">
        <f t="shared" si="429"/>
        <v>a1b3c4d2e11f9</v>
      </c>
      <c r="H2235" s="12" t="str">
        <f t="shared" si="430"/>
        <v>VILJOENa1b3c4d2e11f9</v>
      </c>
      <c r="I2235" s="13"/>
      <c r="J2235" s="13" t="s">
        <v>6627</v>
      </c>
      <c r="K2235" s="12" t="str">
        <f t="shared" si="431"/>
        <v>1810</v>
      </c>
      <c r="L2235" s="13" t="s">
        <v>74</v>
      </c>
      <c r="M2235" s="13" t="s">
        <v>6628</v>
      </c>
      <c r="N2235" s="12" t="str">
        <f t="shared" si="423"/>
        <v>1810</v>
      </c>
      <c r="O2235" s="12" t="str">
        <f t="shared" si="424"/>
        <v>1810</v>
      </c>
      <c r="P2235" s="13"/>
      <c r="Q2235" s="12" t="str">
        <f t="shared" si="432"/>
        <v>1810</v>
      </c>
      <c r="R2235" s="13"/>
      <c r="S2235" s="12" t="str">
        <f t="shared" si="433"/>
        <v/>
      </c>
      <c r="T2235" s="13"/>
      <c r="U2235" s="13"/>
      <c r="V2235" s="12" t="str">
        <f t="shared" si="434"/>
        <v/>
      </c>
      <c r="W2235" s="13" t="s">
        <v>14815</v>
      </c>
      <c r="X2235" s="13" t="s">
        <v>2222</v>
      </c>
      <c r="Y2235" s="13"/>
      <c r="Z2235" s="13"/>
      <c r="AA2235" s="13"/>
      <c r="AB2235" s="13"/>
      <c r="AC2235" s="13"/>
      <c r="AD2235" s="13"/>
      <c r="AE2235" s="13"/>
      <c r="AF2235" s="13" t="s">
        <v>3706</v>
      </c>
      <c r="AG2235" s="13" t="s">
        <v>68</v>
      </c>
      <c r="AH2235" s="13">
        <v>1837</v>
      </c>
      <c r="AI2235" s="12" t="str">
        <f t="shared" si="435"/>
        <v>1837</v>
      </c>
      <c r="AJ2235" s="13" t="s">
        <v>10763</v>
      </c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2"/>
      <c r="BI2235" s="12"/>
      <c r="BJ2235" s="12"/>
      <c r="BK2235" s="12"/>
      <c r="BL2235" s="12"/>
      <c r="BM2235" s="12"/>
      <c r="BN2235" s="12"/>
      <c r="BO2235" s="12"/>
      <c r="BP2235" s="12"/>
      <c r="BQ2235" s="12"/>
      <c r="BR2235" s="12"/>
      <c r="BS2235" s="12"/>
      <c r="BT2235" s="12"/>
      <c r="BU2235" s="12"/>
      <c r="BV2235" s="12"/>
      <c r="BW2235" s="12"/>
      <c r="BX2235" s="12"/>
      <c r="BY2235" s="12"/>
      <c r="BZ2235" s="12"/>
      <c r="CA2235" s="12"/>
      <c r="CB2235" s="12"/>
      <c r="CC2235" s="12"/>
      <c r="CD2235" s="12"/>
    </row>
    <row r="2236" spans="1:82">
      <c r="A2236" s="13" t="s">
        <v>662</v>
      </c>
      <c r="B2236" s="12" t="str">
        <f t="shared" si="427"/>
        <v>VILJOEN</v>
      </c>
      <c r="C2236" s="12" t="str">
        <f t="shared" si="428"/>
        <v>VILJOEN</v>
      </c>
      <c r="D2236" s="13" t="s">
        <v>1764</v>
      </c>
      <c r="E2236" s="12" t="str">
        <f t="shared" si="425"/>
        <v>Jan</v>
      </c>
      <c r="F2236" s="13" t="s">
        <v>6677</v>
      </c>
      <c r="G2236" s="12" t="str">
        <f t="shared" si="429"/>
        <v>a1b3c4d2e13f1</v>
      </c>
      <c r="H2236" s="12" t="str">
        <f t="shared" si="430"/>
        <v>VILJOENa1b3c4d2e13f1</v>
      </c>
      <c r="I2236" s="13"/>
      <c r="J2236" s="13" t="s">
        <v>6678</v>
      </c>
      <c r="K2236" s="12" t="str">
        <f t="shared" si="431"/>
        <v>1806</v>
      </c>
      <c r="L2236" s="13"/>
      <c r="M2236" s="13"/>
      <c r="N2236" s="12" t="str">
        <f t="shared" si="423"/>
        <v>1806</v>
      </c>
      <c r="O2236" s="12" t="str">
        <f t="shared" si="424"/>
        <v/>
      </c>
      <c r="P2236" s="13"/>
      <c r="Q2236" s="12" t="str">
        <f t="shared" si="432"/>
        <v>1806</v>
      </c>
      <c r="R2236" s="13"/>
      <c r="S2236" s="12" t="str">
        <f t="shared" si="433"/>
        <v/>
      </c>
      <c r="T2236" s="13" t="s">
        <v>74</v>
      </c>
      <c r="U2236" s="13" t="s">
        <v>1088</v>
      </c>
      <c r="V2236" s="12" t="str">
        <f t="shared" si="434"/>
        <v>1826</v>
      </c>
      <c r="W2236" s="13" t="s">
        <v>1550</v>
      </c>
      <c r="X2236" s="13" t="s">
        <v>2136</v>
      </c>
      <c r="Y2236" s="13" t="s">
        <v>15466</v>
      </c>
      <c r="Z2236" s="13"/>
      <c r="AA2236" s="13"/>
      <c r="AB2236" s="13"/>
      <c r="AC2236" s="13"/>
      <c r="AD2236" s="13" t="s">
        <v>90</v>
      </c>
      <c r="AE2236" s="13" t="s">
        <v>15467</v>
      </c>
      <c r="AF2236" s="13" t="s">
        <v>3713</v>
      </c>
      <c r="AG2236" s="13" t="s">
        <v>74</v>
      </c>
      <c r="AH2236" s="13" t="s">
        <v>15468</v>
      </c>
      <c r="AI2236" s="12" t="str">
        <f t="shared" si="435"/>
        <v>1839</v>
      </c>
      <c r="AJ2236" s="13"/>
      <c r="AK2236" s="13" t="s">
        <v>90</v>
      </c>
      <c r="AL2236" s="13"/>
      <c r="AM2236" s="13" t="s">
        <v>15469</v>
      </c>
      <c r="AN2236" s="13" t="s">
        <v>804</v>
      </c>
      <c r="AO2236" s="13" t="s">
        <v>732</v>
      </c>
      <c r="AP2236" s="13"/>
      <c r="AQ2236" s="13"/>
      <c r="AR2236" s="13" t="s">
        <v>15470</v>
      </c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2"/>
      <c r="BI2236" s="12"/>
      <c r="BJ2236" s="12"/>
      <c r="BK2236" s="12"/>
      <c r="BL2236" s="12"/>
      <c r="BM2236" s="12"/>
      <c r="BN2236" s="12"/>
      <c r="BO2236" s="12"/>
      <c r="BP2236" s="12"/>
      <c r="BQ2236" s="12"/>
      <c r="BR2236" s="12"/>
      <c r="BS2236" s="12"/>
      <c r="BT2236" s="12"/>
      <c r="BU2236" s="12"/>
      <c r="BV2236" s="12"/>
      <c r="BW2236" s="12"/>
      <c r="BX2236" s="12"/>
      <c r="BY2236" s="12"/>
      <c r="BZ2236" s="12"/>
      <c r="CA2236" s="12"/>
      <c r="CB2236" s="12"/>
      <c r="CC2236" s="12"/>
      <c r="CD2236" s="12"/>
    </row>
    <row r="2237" spans="1:82">
      <c r="A2237" s="13" t="s">
        <v>662</v>
      </c>
      <c r="B2237" s="12" t="str">
        <f t="shared" si="427"/>
        <v>VILJOEN</v>
      </c>
      <c r="C2237" s="12" t="str">
        <f t="shared" si="428"/>
        <v>VILJOEN</v>
      </c>
      <c r="D2237" s="13" t="s">
        <v>201</v>
      </c>
      <c r="E2237" s="12" t="str">
        <f t="shared" si="425"/>
        <v>Petrus Johannes</v>
      </c>
      <c r="F2237" s="13" t="s">
        <v>6715</v>
      </c>
      <c r="G2237" s="12" t="str">
        <f t="shared" si="429"/>
        <v>a1b3c4d2e3f7</v>
      </c>
      <c r="H2237" s="12" t="str">
        <f t="shared" si="430"/>
        <v>VILJOENa1b3c4d2e3f7</v>
      </c>
      <c r="I2237" s="13"/>
      <c r="J2237" s="13" t="s">
        <v>6716</v>
      </c>
      <c r="K2237" s="12" t="str">
        <f t="shared" si="431"/>
        <v>1802</v>
      </c>
      <c r="L2237" s="11"/>
      <c r="M2237" s="11"/>
      <c r="N2237" s="12" t="str">
        <f t="shared" si="423"/>
        <v>1802</v>
      </c>
      <c r="O2237" s="12" t="str">
        <f t="shared" si="424"/>
        <v/>
      </c>
      <c r="P2237" s="13" t="s">
        <v>6717</v>
      </c>
      <c r="Q2237" s="12" t="str">
        <f t="shared" si="432"/>
        <v>1802</v>
      </c>
      <c r="R2237" s="13" t="s">
        <v>6270</v>
      </c>
      <c r="S2237" s="12" t="str">
        <f t="shared" si="433"/>
        <v>1836</v>
      </c>
      <c r="T2237" s="13" t="s">
        <v>366</v>
      </c>
      <c r="U2237" s="13" t="s">
        <v>401</v>
      </c>
      <c r="V2237" s="12" t="str">
        <f t="shared" si="434"/>
        <v>1824</v>
      </c>
      <c r="W2237" s="13" t="s">
        <v>15491</v>
      </c>
      <c r="X2237" s="13" t="s">
        <v>1763</v>
      </c>
      <c r="Y2237" s="13"/>
      <c r="Z2237" s="13"/>
      <c r="AA2237" s="13" t="s">
        <v>3242</v>
      </c>
      <c r="AB2237" s="13"/>
      <c r="AC2237" s="13" t="s">
        <v>2553</v>
      </c>
      <c r="AD2237" s="13" t="s">
        <v>14778</v>
      </c>
      <c r="AE2237" s="13" t="s">
        <v>15492</v>
      </c>
      <c r="AF2237" s="13" t="s">
        <v>16</v>
      </c>
      <c r="AG2237" s="13" t="s">
        <v>68</v>
      </c>
      <c r="AH2237" s="13">
        <v>1835</v>
      </c>
      <c r="AI2237" s="12" t="str">
        <f t="shared" si="435"/>
        <v>1835</v>
      </c>
      <c r="AJ2237" s="13" t="s">
        <v>13911</v>
      </c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2"/>
      <c r="BI2237" s="12"/>
      <c r="BJ2237" s="12"/>
      <c r="BK2237" s="12"/>
      <c r="BL2237" s="12"/>
      <c r="BM2237" s="12"/>
      <c r="BN2237" s="12"/>
      <c r="BO2237" s="12"/>
      <c r="BP2237" s="12"/>
      <c r="BQ2237" s="12"/>
      <c r="BR2237" s="12"/>
      <c r="BS2237" s="12"/>
      <c r="BT2237" s="12"/>
      <c r="BU2237" s="12"/>
      <c r="BV2237" s="12"/>
      <c r="BW2237" s="12"/>
      <c r="BX2237" s="12"/>
      <c r="BY2237" s="12"/>
      <c r="BZ2237" s="12"/>
      <c r="CA2237" s="12"/>
      <c r="CB2237" s="12"/>
      <c r="CC2237" s="12"/>
      <c r="CD2237" s="12"/>
    </row>
    <row r="2238" spans="1:82">
      <c r="A2238" s="13" t="s">
        <v>662</v>
      </c>
      <c r="B2238" s="12" t="str">
        <f t="shared" si="427"/>
        <v>VILJOEN</v>
      </c>
      <c r="C2238" s="12" t="str">
        <f t="shared" si="428"/>
        <v>VILJOEN</v>
      </c>
      <c r="D2238" s="13" t="s">
        <v>2421</v>
      </c>
      <c r="E2238" s="12" t="str">
        <f t="shared" si="425"/>
        <v>Susanna Elizabeth</v>
      </c>
      <c r="F2238" s="13" t="s">
        <v>6731</v>
      </c>
      <c r="G2238" s="12" t="str">
        <f t="shared" si="429"/>
        <v>a1b3c4d2e5</v>
      </c>
      <c r="H2238" s="12" t="str">
        <f t="shared" si="430"/>
        <v>VILJOENa1b3c4d2e5</v>
      </c>
      <c r="I2238" s="13"/>
      <c r="J2238" s="13"/>
      <c r="K2238" s="12" t="str">
        <f t="shared" si="431"/>
        <v/>
      </c>
      <c r="L2238" s="13"/>
      <c r="M2238" s="13" t="s">
        <v>6732</v>
      </c>
      <c r="N2238" s="12" t="str">
        <f t="shared" si="423"/>
        <v/>
      </c>
      <c r="O2238" s="12" t="str">
        <f t="shared" si="424"/>
        <v>1767</v>
      </c>
      <c r="P2238" s="13" t="s">
        <v>6733</v>
      </c>
      <c r="Q2238" s="12" t="str">
        <f t="shared" si="432"/>
        <v>1767</v>
      </c>
      <c r="R2238" s="13" t="s">
        <v>6734</v>
      </c>
      <c r="S2238" s="12" t="str">
        <f t="shared" si="433"/>
        <v>1844</v>
      </c>
      <c r="T2238" s="13"/>
      <c r="U2238" s="13" t="s">
        <v>15498</v>
      </c>
      <c r="V2238" s="12" t="str">
        <f t="shared" si="434"/>
        <v>1783</v>
      </c>
      <c r="W2238" s="13" t="s">
        <v>15499</v>
      </c>
      <c r="X2238" s="13" t="s">
        <v>822</v>
      </c>
      <c r="Y2238" s="13"/>
      <c r="Z2238" s="13"/>
      <c r="AA2238" s="13"/>
      <c r="AB2238" s="13"/>
      <c r="AC2238" s="13"/>
      <c r="AD2238" s="13"/>
      <c r="AE2238" s="13"/>
      <c r="AF2238" s="13" t="s">
        <v>3714</v>
      </c>
      <c r="AG2238" s="13" t="s">
        <v>28</v>
      </c>
      <c r="AH2238" s="13">
        <v>1843</v>
      </c>
      <c r="AI2238" s="12" t="str">
        <f t="shared" si="435"/>
        <v>1843</v>
      </c>
      <c r="AJ2238" s="13"/>
      <c r="AK2238" s="13" t="s">
        <v>90</v>
      </c>
      <c r="AL2238" s="13"/>
      <c r="AM2238" s="13" t="s">
        <v>238</v>
      </c>
      <c r="AN2238" s="13" t="s">
        <v>1777</v>
      </c>
      <c r="AO2238" s="13" t="s">
        <v>669</v>
      </c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2"/>
      <c r="BI2238" s="12"/>
      <c r="BJ2238" s="12"/>
      <c r="BK2238" s="12"/>
      <c r="BL2238" s="12"/>
      <c r="BM2238" s="12"/>
      <c r="BN2238" s="12"/>
      <c r="BO2238" s="12"/>
      <c r="BP2238" s="12"/>
      <c r="BQ2238" s="12"/>
      <c r="BR2238" s="12"/>
      <c r="BS2238" s="12"/>
      <c r="BT2238" s="12"/>
      <c r="BU2238" s="12"/>
      <c r="BV2238" s="12"/>
      <c r="BW2238" s="12"/>
      <c r="BX2238" s="12"/>
      <c r="BY2238" s="12"/>
      <c r="BZ2238" s="12"/>
      <c r="CA2238" s="12"/>
      <c r="CB2238" s="12"/>
      <c r="CC2238" s="12"/>
      <c r="CD2238" s="12"/>
    </row>
    <row r="2239" spans="1:82">
      <c r="A2239" s="13" t="s">
        <v>662</v>
      </c>
      <c r="B2239" s="12" t="str">
        <f t="shared" si="427"/>
        <v>VILJOEN</v>
      </c>
      <c r="C2239" s="12" t="str">
        <f t="shared" si="428"/>
        <v>VILJOEN</v>
      </c>
      <c r="D2239" s="13" t="s">
        <v>6650</v>
      </c>
      <c r="E2239" s="12" t="str">
        <f t="shared" si="425"/>
        <v>Diederik Arnoldus</v>
      </c>
      <c r="F2239" s="13" t="s">
        <v>6651</v>
      </c>
      <c r="G2239" s="12" t="str">
        <f t="shared" si="429"/>
        <v>a1b4c2d1e10f2</v>
      </c>
      <c r="H2239" s="12" t="str">
        <f t="shared" si="430"/>
        <v>VILJOENa1b4c2d1e10f2</v>
      </c>
      <c r="I2239" s="13"/>
      <c r="J2239" s="13" t="s">
        <v>6652</v>
      </c>
      <c r="K2239" s="12" t="str">
        <f t="shared" si="431"/>
        <v>1813</v>
      </c>
      <c r="L2239" s="13"/>
      <c r="M2239" s="13"/>
      <c r="N2239" s="12" t="str">
        <f t="shared" si="423"/>
        <v>1813</v>
      </c>
      <c r="O2239" s="12" t="str">
        <f t="shared" si="424"/>
        <v/>
      </c>
      <c r="P2239" s="13" t="s">
        <v>566</v>
      </c>
      <c r="Q2239" s="12" t="str">
        <f t="shared" si="432"/>
        <v>1813</v>
      </c>
      <c r="R2239" s="13" t="s">
        <v>6653</v>
      </c>
      <c r="S2239" s="12" t="str">
        <f t="shared" si="433"/>
        <v>1879</v>
      </c>
      <c r="T2239" s="13" t="s">
        <v>74</v>
      </c>
      <c r="U2239" s="13" t="s">
        <v>15445</v>
      </c>
      <c r="V2239" s="12" t="str">
        <f t="shared" si="434"/>
        <v>1833</v>
      </c>
      <c r="W2239" s="13" t="s">
        <v>15446</v>
      </c>
      <c r="X2239" s="13" t="s">
        <v>633</v>
      </c>
      <c r="Y2239" s="13"/>
      <c r="Z2239" s="13"/>
      <c r="AA2239" s="13" t="s">
        <v>15447</v>
      </c>
      <c r="AB2239" s="13"/>
      <c r="AC2239" s="13"/>
      <c r="AD2239" s="13"/>
      <c r="AE2239" s="13"/>
      <c r="AF2239" s="13"/>
      <c r="AG2239" s="13" t="s">
        <v>60</v>
      </c>
      <c r="AH2239" s="13">
        <v>1844</v>
      </c>
      <c r="AI2239" s="12" t="str">
        <f t="shared" si="435"/>
        <v>1844</v>
      </c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2"/>
      <c r="BI2239" s="12"/>
      <c r="BJ2239" s="12"/>
      <c r="BK2239" s="12"/>
      <c r="BL2239" s="12"/>
      <c r="BM2239" s="12"/>
      <c r="BN2239" s="12"/>
      <c r="BO2239" s="12"/>
      <c r="BP2239" s="12"/>
      <c r="BQ2239" s="12"/>
      <c r="BR2239" s="12"/>
      <c r="BS2239" s="12"/>
      <c r="BT2239" s="12"/>
      <c r="BU2239" s="12"/>
      <c r="BV2239" s="12"/>
      <c r="BW2239" s="12"/>
      <c r="BX2239" s="12"/>
      <c r="BY2239" s="12"/>
      <c r="BZ2239" s="12"/>
      <c r="CA2239" s="12"/>
      <c r="CB2239" s="12"/>
      <c r="CC2239" s="12"/>
      <c r="CD2239" s="12"/>
    </row>
    <row r="2240" spans="1:82">
      <c r="A2240" s="13" t="s">
        <v>662</v>
      </c>
      <c r="B2240" s="12" t="str">
        <f t="shared" si="427"/>
        <v>VILJOEN</v>
      </c>
      <c r="C2240" s="12" t="str">
        <f t="shared" si="428"/>
        <v>VILJOEN</v>
      </c>
      <c r="D2240" s="13" t="s">
        <v>6629</v>
      </c>
      <c r="E2240" s="12" t="str">
        <f t="shared" si="425"/>
        <v>Christiaan Rudolph</v>
      </c>
      <c r="F2240" s="13" t="s">
        <v>6630</v>
      </c>
      <c r="G2240" s="12" t="str">
        <f t="shared" si="429"/>
        <v>a1b4c2d1e3f5</v>
      </c>
      <c r="H2240" s="12" t="str">
        <f t="shared" si="430"/>
        <v>VILJOENa1b4c2d1e3f5</v>
      </c>
      <c r="I2240" s="13"/>
      <c r="J2240" s="13"/>
      <c r="K2240" s="12" t="str">
        <f t="shared" si="431"/>
        <v/>
      </c>
      <c r="L2240" s="13" t="s">
        <v>74</v>
      </c>
      <c r="M2240" s="13" t="s">
        <v>2068</v>
      </c>
      <c r="N2240" s="12" t="str">
        <f t="shared" si="423"/>
        <v/>
      </c>
      <c r="O2240" s="12" t="str">
        <f t="shared" si="424"/>
        <v>1801</v>
      </c>
      <c r="P2240" s="13"/>
      <c r="Q2240" s="12" t="str">
        <f t="shared" si="432"/>
        <v>1801</v>
      </c>
      <c r="R2240" s="13"/>
      <c r="S2240" s="12" t="str">
        <f t="shared" si="433"/>
        <v/>
      </c>
      <c r="T2240" s="13" t="s">
        <v>74</v>
      </c>
      <c r="U2240" s="13" t="s">
        <v>4209</v>
      </c>
      <c r="V2240" s="12" t="str">
        <f t="shared" si="434"/>
        <v>1821</v>
      </c>
      <c r="W2240" s="13" t="s">
        <v>1135</v>
      </c>
      <c r="X2240" s="13" t="s">
        <v>662</v>
      </c>
      <c r="Y2240" s="13"/>
      <c r="Z2240" s="13"/>
      <c r="AA2240" s="13" t="s">
        <v>15427</v>
      </c>
      <c r="AB2240" s="13"/>
      <c r="AC2240" s="13" t="s">
        <v>15428</v>
      </c>
      <c r="AD2240" s="13"/>
      <c r="AE2240" s="13"/>
      <c r="AF2240" s="13"/>
      <c r="AG2240" s="13" t="s">
        <v>60</v>
      </c>
      <c r="AH2240" s="13">
        <v>1840</v>
      </c>
      <c r="AI2240" s="12" t="str">
        <f t="shared" si="435"/>
        <v>1840</v>
      </c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2"/>
      <c r="BI2240" s="12"/>
      <c r="BJ2240" s="12"/>
      <c r="BK2240" s="12"/>
      <c r="BL2240" s="12"/>
      <c r="BM2240" s="12"/>
      <c r="BN2240" s="12"/>
      <c r="BO2240" s="12"/>
      <c r="BP2240" s="12"/>
      <c r="BQ2240" s="12"/>
      <c r="BR2240" s="12"/>
      <c r="BS2240" s="12"/>
      <c r="BT2240" s="12"/>
      <c r="BU2240" s="12"/>
      <c r="BV2240" s="12"/>
      <c r="BW2240" s="12"/>
      <c r="BX2240" s="12"/>
      <c r="BY2240" s="12"/>
      <c r="BZ2240" s="12"/>
      <c r="CA2240" s="12"/>
      <c r="CB2240" s="12"/>
      <c r="CC2240" s="12"/>
      <c r="CD2240" s="12"/>
    </row>
    <row r="2241" spans="1:82">
      <c r="A2241" s="13" t="s">
        <v>662</v>
      </c>
      <c r="B2241" s="12" t="str">
        <f t="shared" si="427"/>
        <v>VILJOEN</v>
      </c>
      <c r="C2241" s="12" t="str">
        <f t="shared" si="428"/>
        <v>VILJOEN</v>
      </c>
      <c r="D2241" s="13" t="s">
        <v>3598</v>
      </c>
      <c r="E2241" s="12" t="str">
        <f t="shared" si="425"/>
        <v>Christoffel Cornelis</v>
      </c>
      <c r="F2241" s="13" t="s">
        <v>6631</v>
      </c>
      <c r="G2241" s="12" t="str">
        <f t="shared" si="429"/>
        <v>a1b4c2d2e10f1</v>
      </c>
      <c r="H2241" s="12" t="str">
        <f t="shared" si="430"/>
        <v>VILJOENa1b4c2d2e10f1</v>
      </c>
      <c r="I2241" s="13"/>
      <c r="J2241" s="13" t="s">
        <v>6632</v>
      </c>
      <c r="K2241" s="12" t="str">
        <f t="shared" si="431"/>
        <v>1815</v>
      </c>
      <c r="L2241" s="13" t="s">
        <v>199</v>
      </c>
      <c r="M2241" s="13" t="s">
        <v>515</v>
      </c>
      <c r="N2241" s="12" t="str">
        <f t="shared" si="423"/>
        <v>1815</v>
      </c>
      <c r="O2241" s="12" t="str">
        <f t="shared" si="424"/>
        <v>1815</v>
      </c>
      <c r="P2241" s="13"/>
      <c r="Q2241" s="12" t="str">
        <f t="shared" si="432"/>
        <v>1815</v>
      </c>
      <c r="R2241" s="13"/>
      <c r="S2241" s="12" t="str">
        <f t="shared" si="433"/>
        <v/>
      </c>
      <c r="T2241" s="13" t="s">
        <v>28</v>
      </c>
      <c r="U2241" s="13" t="s">
        <v>15429</v>
      </c>
      <c r="V2241" s="12" t="str">
        <f t="shared" si="434"/>
        <v>1838</v>
      </c>
      <c r="W2241" s="13" t="s">
        <v>15430</v>
      </c>
      <c r="X2241" s="13" t="s">
        <v>4393</v>
      </c>
      <c r="Y2241" s="13" t="s">
        <v>15431</v>
      </c>
      <c r="Z2241" s="13"/>
      <c r="AA2241" s="13" t="s">
        <v>12611</v>
      </c>
      <c r="AB2241" s="13"/>
      <c r="AC2241" s="13"/>
      <c r="AD2241" s="13"/>
      <c r="AE2241" s="13"/>
      <c r="AF2241" s="13"/>
      <c r="AG2241" s="13" t="s">
        <v>28</v>
      </c>
      <c r="AH2241" s="13" t="s">
        <v>15432</v>
      </c>
      <c r="AI2241" s="12" t="str">
        <f t="shared" si="435"/>
        <v>1840</v>
      </c>
      <c r="AJ2241" s="13"/>
      <c r="AK2241" s="13" t="s">
        <v>1864</v>
      </c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2"/>
      <c r="BI2241" s="12"/>
      <c r="BJ2241" s="12"/>
      <c r="BK2241" s="12"/>
      <c r="BL2241" s="12"/>
      <c r="BM2241" s="12"/>
      <c r="BN2241" s="12"/>
      <c r="BO2241" s="12"/>
      <c r="BP2241" s="12"/>
      <c r="BQ2241" s="12"/>
      <c r="BR2241" s="12"/>
      <c r="BS2241" s="12"/>
      <c r="BT2241" s="12"/>
      <c r="BU2241" s="12"/>
      <c r="BV2241" s="12"/>
      <c r="BW2241" s="12"/>
      <c r="BX2241" s="12"/>
      <c r="BY2241" s="12"/>
      <c r="BZ2241" s="12"/>
      <c r="CA2241" s="12"/>
      <c r="CB2241" s="12"/>
      <c r="CC2241" s="12"/>
      <c r="CD2241" s="12"/>
    </row>
    <row r="2242" spans="1:82">
      <c r="A2242" s="13" t="s">
        <v>662</v>
      </c>
      <c r="B2242" s="12" t="str">
        <f t="shared" si="427"/>
        <v>VILJOEN</v>
      </c>
      <c r="C2242" s="12" t="str">
        <f t="shared" si="428"/>
        <v>VILJOEN</v>
      </c>
      <c r="D2242" s="13" t="s">
        <v>6641</v>
      </c>
      <c r="E2242" s="12" t="str">
        <f t="shared" si="425"/>
        <v>Cornelis Hendricus</v>
      </c>
      <c r="F2242" s="13" t="s">
        <v>6642</v>
      </c>
      <c r="G2242" s="12" t="str">
        <f t="shared" si="429"/>
        <v>a1b4c2d2e13</v>
      </c>
      <c r="H2242" s="12" t="str">
        <f t="shared" si="430"/>
        <v>VILJOENa1b4c2d2e13</v>
      </c>
      <c r="I2242" s="13"/>
      <c r="J2242" s="13"/>
      <c r="K2242" s="12" t="str">
        <f t="shared" si="431"/>
        <v/>
      </c>
      <c r="L2242" s="13"/>
      <c r="M2242" s="13" t="s">
        <v>6250</v>
      </c>
      <c r="N2242" s="12" t="str">
        <f t="shared" ref="N2242:N2305" si="436">RIGHT(J2242,4)</f>
        <v/>
      </c>
      <c r="O2242" s="12" t="str">
        <f t="shared" ref="O2242:O2305" si="437">RIGHT(M2242,4)</f>
        <v>1793</v>
      </c>
      <c r="P2242" s="13"/>
      <c r="Q2242" s="12" t="str">
        <f t="shared" si="432"/>
        <v>1793</v>
      </c>
      <c r="R2242" s="13" t="s">
        <v>6643</v>
      </c>
      <c r="S2242" s="12" t="str">
        <f t="shared" si="433"/>
        <v>1878</v>
      </c>
      <c r="T2242" s="13"/>
      <c r="U2242" s="13"/>
      <c r="V2242" s="12" t="str">
        <f t="shared" si="434"/>
        <v/>
      </c>
      <c r="W2242" s="13" t="s">
        <v>4694</v>
      </c>
      <c r="X2242" s="13" t="s">
        <v>2153</v>
      </c>
      <c r="Y2242" s="13" t="s">
        <v>15441</v>
      </c>
      <c r="Z2242" s="13"/>
      <c r="AA2242" s="13" t="s">
        <v>15442</v>
      </c>
      <c r="AB2242" s="13"/>
      <c r="AC2242" s="13"/>
      <c r="AD2242" s="13"/>
      <c r="AE2242" s="13" t="s">
        <v>15443</v>
      </c>
      <c r="AF2242" s="13" t="s">
        <v>3724</v>
      </c>
      <c r="AG2242" s="13" t="s">
        <v>53</v>
      </c>
      <c r="AH2242" s="13" t="s">
        <v>12301</v>
      </c>
      <c r="AI2242" s="12" t="str">
        <f t="shared" si="435"/>
        <v>1837</v>
      </c>
      <c r="AJ2242" s="13" t="s">
        <v>5606</v>
      </c>
      <c r="AK2242" s="13" t="s">
        <v>93</v>
      </c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2"/>
      <c r="BI2242" s="12"/>
      <c r="BJ2242" s="12"/>
      <c r="BK2242" s="12"/>
      <c r="BL2242" s="12"/>
      <c r="BM2242" s="12"/>
      <c r="BN2242" s="12"/>
      <c r="BO2242" s="12"/>
      <c r="BP2242" s="12"/>
      <c r="BQ2242" s="12"/>
      <c r="BR2242" s="12"/>
      <c r="BS2242" s="12"/>
      <c r="BT2242" s="12"/>
      <c r="BU2242" s="12"/>
      <c r="BV2242" s="12"/>
      <c r="BW2242" s="12"/>
      <c r="BX2242" s="12"/>
      <c r="BY2242" s="12"/>
      <c r="BZ2242" s="12"/>
      <c r="CA2242" s="12"/>
      <c r="CB2242" s="12"/>
      <c r="CC2242" s="12"/>
      <c r="CD2242" s="12"/>
    </row>
    <row r="2243" spans="1:82">
      <c r="A2243" s="13" t="s">
        <v>662</v>
      </c>
      <c r="B2243" s="12" t="str">
        <f t="shared" si="427"/>
        <v>VILJOEN</v>
      </c>
      <c r="C2243" s="12" t="str">
        <f t="shared" si="428"/>
        <v>VILJOEN</v>
      </c>
      <c r="D2243" s="13" t="s">
        <v>4707</v>
      </c>
      <c r="E2243" s="12" t="str">
        <f t="shared" ref="E2243:E2306" si="438">PROPER(D2243)</f>
        <v>Hendrik Josephus</v>
      </c>
      <c r="F2243" s="13" t="s">
        <v>6668</v>
      </c>
      <c r="G2243" s="12" t="str">
        <f t="shared" si="429"/>
        <v>a1b4c2d2e13f2</v>
      </c>
      <c r="H2243" s="12" t="str">
        <f t="shared" si="430"/>
        <v>VILJOENa1b4c2d2e13f2</v>
      </c>
      <c r="I2243" s="13"/>
      <c r="J2243" s="13" t="s">
        <v>6669</v>
      </c>
      <c r="K2243" s="12" t="str">
        <f t="shared" si="431"/>
        <v>1822</v>
      </c>
      <c r="L2243" s="13" t="s">
        <v>53</v>
      </c>
      <c r="M2243" s="13" t="s">
        <v>6670</v>
      </c>
      <c r="N2243" s="12" t="str">
        <f t="shared" si="436"/>
        <v>1822</v>
      </c>
      <c r="O2243" s="12" t="str">
        <f t="shared" si="437"/>
        <v>1822</v>
      </c>
      <c r="P2243" s="13" t="s">
        <v>6671</v>
      </c>
      <c r="Q2243" s="12" t="str">
        <f t="shared" si="432"/>
        <v>1822</v>
      </c>
      <c r="R2243" s="13" t="s">
        <v>6672</v>
      </c>
      <c r="S2243" s="12" t="str">
        <f t="shared" si="433"/>
        <v>1907</v>
      </c>
      <c r="T2243" s="13" t="s">
        <v>168</v>
      </c>
      <c r="U2243" s="13" t="s">
        <v>1701</v>
      </c>
      <c r="V2243" s="12" t="str">
        <f t="shared" si="434"/>
        <v>1843</v>
      </c>
      <c r="W2243" s="13" t="s">
        <v>15459</v>
      </c>
      <c r="X2243" s="13" t="s">
        <v>1685</v>
      </c>
      <c r="Y2243" s="13" t="s">
        <v>2343</v>
      </c>
      <c r="Z2243" s="13"/>
      <c r="AA2243" s="13" t="s">
        <v>2344</v>
      </c>
      <c r="AB2243" s="13"/>
      <c r="AC2243" s="13"/>
      <c r="AD2243" s="13"/>
      <c r="AE2243" s="13" t="s">
        <v>2345</v>
      </c>
      <c r="AF2243" s="13" t="s">
        <v>3724</v>
      </c>
      <c r="AG2243" s="13" t="s">
        <v>53</v>
      </c>
      <c r="AH2243" s="13" t="s">
        <v>12301</v>
      </c>
      <c r="AI2243" s="12" t="str">
        <f t="shared" si="435"/>
        <v>1837</v>
      </c>
      <c r="AJ2243" s="13" t="s">
        <v>5606</v>
      </c>
      <c r="AK2243" s="13" t="s">
        <v>134</v>
      </c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/>
      <c r="BB2243" s="13"/>
      <c r="BC2243" s="13"/>
      <c r="BD2243" s="13"/>
      <c r="BE2243" s="13"/>
      <c r="BF2243" s="13"/>
      <c r="BG2243" s="13"/>
      <c r="BH2243" s="12"/>
      <c r="BI2243" s="12"/>
      <c r="BJ2243" s="12"/>
      <c r="BK2243" s="12"/>
      <c r="BL2243" s="12"/>
      <c r="BM2243" s="12"/>
      <c r="BN2243" s="12"/>
      <c r="BO2243" s="12"/>
      <c r="BP2243" s="12"/>
      <c r="BQ2243" s="12"/>
      <c r="BR2243" s="12"/>
      <c r="BS2243" s="12"/>
      <c r="BT2243" s="12"/>
      <c r="BU2243" s="12"/>
      <c r="BV2243" s="12"/>
      <c r="BW2243" s="12"/>
      <c r="BX2243" s="12"/>
      <c r="BY2243" s="12"/>
      <c r="BZ2243" s="12"/>
      <c r="CA2243" s="12"/>
      <c r="CB2243" s="12"/>
      <c r="CC2243" s="12"/>
      <c r="CD2243" s="12"/>
    </row>
    <row r="2244" spans="1:82">
      <c r="A2244" s="13" t="s">
        <v>662</v>
      </c>
      <c r="B2244" s="12" t="str">
        <f t="shared" si="427"/>
        <v>VILJOEN</v>
      </c>
      <c r="C2244" s="12" t="str">
        <f t="shared" si="428"/>
        <v>VILJOEN</v>
      </c>
      <c r="D2244" s="13" t="s">
        <v>6638</v>
      </c>
      <c r="E2244" s="12" t="str">
        <f t="shared" si="438"/>
        <v>Christoffel Sr.</v>
      </c>
      <c r="F2244" s="13" t="s">
        <v>6639</v>
      </c>
      <c r="G2244" s="12" t="str">
        <f t="shared" si="429"/>
        <v>a1b4c2d2e1f1</v>
      </c>
      <c r="H2244" s="12" t="str">
        <f t="shared" si="430"/>
        <v>VILJOENa1b4c2d2e1f1</v>
      </c>
      <c r="I2244" s="13"/>
      <c r="J2244" s="13"/>
      <c r="K2244" s="12" t="str">
        <f t="shared" si="431"/>
        <v/>
      </c>
      <c r="L2244" s="13" t="s">
        <v>542</v>
      </c>
      <c r="M2244" s="13" t="s">
        <v>6640</v>
      </c>
      <c r="N2244" s="12" t="str">
        <f t="shared" si="436"/>
        <v/>
      </c>
      <c r="O2244" s="12" t="str">
        <f t="shared" si="437"/>
        <v>1792</v>
      </c>
      <c r="P2244" s="13"/>
      <c r="Q2244" s="12" t="str">
        <f t="shared" si="432"/>
        <v>1792</v>
      </c>
      <c r="R2244" s="13"/>
      <c r="S2244" s="12" t="str">
        <f t="shared" si="433"/>
        <v/>
      </c>
      <c r="T2244" s="13"/>
      <c r="U2244" s="13" t="s">
        <v>15437</v>
      </c>
      <c r="V2244" s="12" t="str">
        <f t="shared" si="434"/>
        <v>1810</v>
      </c>
      <c r="W2244" s="13" t="s">
        <v>7433</v>
      </c>
      <c r="X2244" s="13" t="s">
        <v>1136</v>
      </c>
      <c r="Y2244" s="13"/>
      <c r="Z2244" s="13"/>
      <c r="AA2244" s="13" t="s">
        <v>15438</v>
      </c>
      <c r="AB2244" s="13"/>
      <c r="AC2244" s="13" t="s">
        <v>15439</v>
      </c>
      <c r="AD2244" s="13"/>
      <c r="AE2244" s="13"/>
      <c r="AF2244" s="13"/>
      <c r="AG2244" s="13" t="s">
        <v>74</v>
      </c>
      <c r="AH2244" s="13" t="s">
        <v>12621</v>
      </c>
      <c r="AI2244" s="12" t="str">
        <f t="shared" si="435"/>
        <v>1836</v>
      </c>
      <c r="AJ2244" s="13" t="s">
        <v>15440</v>
      </c>
      <c r="AK2244" s="13" t="s">
        <v>134</v>
      </c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2"/>
      <c r="BI2244" s="12"/>
      <c r="BJ2244" s="12"/>
      <c r="BK2244" s="12"/>
      <c r="BL2244" s="12"/>
      <c r="BM2244" s="12"/>
      <c r="BN2244" s="12"/>
      <c r="BO2244" s="12"/>
      <c r="BP2244" s="12"/>
      <c r="BQ2244" s="12"/>
      <c r="BR2244" s="12"/>
      <c r="BS2244" s="12"/>
      <c r="BT2244" s="12"/>
      <c r="BU2244" s="12"/>
      <c r="BV2244" s="12"/>
      <c r="BW2244" s="12"/>
      <c r="BX2244" s="12"/>
      <c r="BY2244" s="12"/>
      <c r="BZ2244" s="12"/>
      <c r="CA2244" s="12"/>
      <c r="CB2244" s="12"/>
      <c r="CC2244" s="12"/>
      <c r="CD2244" s="12"/>
    </row>
    <row r="2245" spans="1:82">
      <c r="A2245" s="13" t="s">
        <v>662</v>
      </c>
      <c r="B2245" s="12" t="str">
        <f t="shared" si="427"/>
        <v>VILJOEN</v>
      </c>
      <c r="C2245" s="12" t="str">
        <f t="shared" si="428"/>
        <v>VILJOEN</v>
      </c>
      <c r="D2245" s="13" t="s">
        <v>3345</v>
      </c>
      <c r="E2245" s="12" t="str">
        <f t="shared" si="438"/>
        <v>Lucas Cornelis</v>
      </c>
      <c r="F2245" s="13" t="s">
        <v>6702</v>
      </c>
      <c r="G2245" s="12" t="str">
        <f t="shared" si="429"/>
        <v>a1b4c2d2e1f11</v>
      </c>
      <c r="H2245" s="12" t="str">
        <f t="shared" si="430"/>
        <v>VILJOENa1b4c2d2e1f11</v>
      </c>
      <c r="I2245" s="13"/>
      <c r="J2245" s="13" t="s">
        <v>6703</v>
      </c>
      <c r="K2245" s="12" t="str">
        <f t="shared" si="431"/>
        <v>1813</v>
      </c>
      <c r="L2245" s="13" t="s">
        <v>74</v>
      </c>
      <c r="M2245" s="13" t="s">
        <v>6704</v>
      </c>
      <c r="N2245" s="12" t="str">
        <f t="shared" si="436"/>
        <v>1813</v>
      </c>
      <c r="O2245" s="12" t="str">
        <f t="shared" si="437"/>
        <v>1813</v>
      </c>
      <c r="P2245" s="13" t="s">
        <v>6705</v>
      </c>
      <c r="Q2245" s="12" t="str">
        <f t="shared" si="432"/>
        <v>1813</v>
      </c>
      <c r="R2245" s="13" t="s">
        <v>6706</v>
      </c>
      <c r="S2245" s="12" t="str">
        <f t="shared" si="433"/>
        <v>1860</v>
      </c>
      <c r="T2245" s="13"/>
      <c r="U2245" s="13" t="s">
        <v>15482</v>
      </c>
      <c r="V2245" s="12" t="str">
        <f t="shared" si="434"/>
        <v>1831</v>
      </c>
      <c r="W2245" s="13" t="s">
        <v>14302</v>
      </c>
      <c r="X2245" s="13" t="s">
        <v>660</v>
      </c>
      <c r="Y2245" s="13"/>
      <c r="Z2245" s="13"/>
      <c r="AA2245" s="13" t="s">
        <v>5018</v>
      </c>
      <c r="AB2245" s="13"/>
      <c r="AC2245" s="13"/>
      <c r="AD2245" s="13" t="s">
        <v>120</v>
      </c>
      <c r="AE2245" s="13" t="s">
        <v>15483</v>
      </c>
      <c r="AF2245" s="13"/>
      <c r="AG2245" s="13" t="s">
        <v>74</v>
      </c>
      <c r="AH2245" s="13" t="s">
        <v>15307</v>
      </c>
      <c r="AI2245" s="12" t="str">
        <f t="shared" si="435"/>
        <v>1844</v>
      </c>
      <c r="AJ2245" s="13"/>
      <c r="AK2245" s="13" t="s">
        <v>155</v>
      </c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2"/>
      <c r="BI2245" s="12"/>
      <c r="BJ2245" s="12"/>
      <c r="BK2245" s="12"/>
      <c r="BL2245" s="12"/>
      <c r="BM2245" s="12"/>
      <c r="BN2245" s="12"/>
      <c r="BO2245" s="12"/>
      <c r="BP2245" s="12"/>
      <c r="BQ2245" s="12"/>
      <c r="BR2245" s="12"/>
      <c r="BS2245" s="12"/>
      <c r="BT2245" s="12"/>
      <c r="BU2245" s="12"/>
      <c r="BV2245" s="12"/>
      <c r="BW2245" s="12"/>
      <c r="BX2245" s="12"/>
      <c r="BY2245" s="12"/>
      <c r="BZ2245" s="12"/>
      <c r="CA2245" s="12"/>
      <c r="CB2245" s="12"/>
      <c r="CC2245" s="12"/>
      <c r="CD2245" s="12"/>
    </row>
    <row r="2246" spans="1:82">
      <c r="A2246" s="13" t="s">
        <v>662</v>
      </c>
      <c r="B2246" s="12" t="str">
        <f t="shared" si="427"/>
        <v>VILJOEN</v>
      </c>
      <c r="C2246" s="12" t="str">
        <f t="shared" si="428"/>
        <v>VILJOEN</v>
      </c>
      <c r="D2246" s="13" t="s">
        <v>2253</v>
      </c>
      <c r="E2246" s="12" t="str">
        <f t="shared" si="438"/>
        <v>Johannes Jacobus</v>
      </c>
      <c r="F2246" s="13" t="s">
        <v>6687</v>
      </c>
      <c r="G2246" s="12" t="str">
        <f t="shared" si="429"/>
        <v>a1b4c2d2e1f1g1</v>
      </c>
      <c r="H2246" s="12" t="str">
        <f t="shared" si="430"/>
        <v>VILJOENa1b4c2d2e1f1g1</v>
      </c>
      <c r="I2246" s="13"/>
      <c r="J2246" s="13" t="s">
        <v>6688</v>
      </c>
      <c r="K2246" s="12" t="str">
        <f t="shared" si="431"/>
        <v>1811</v>
      </c>
      <c r="L2246" s="13" t="s">
        <v>74</v>
      </c>
      <c r="M2246" s="13" t="s">
        <v>5923</v>
      </c>
      <c r="N2246" s="12" t="str">
        <f t="shared" si="436"/>
        <v>1811</v>
      </c>
      <c r="O2246" s="12" t="str">
        <f t="shared" si="437"/>
        <v>1812</v>
      </c>
      <c r="P2246" s="11"/>
      <c r="Q2246" s="12" t="str">
        <f t="shared" si="432"/>
        <v>1811</v>
      </c>
      <c r="R2246" s="13" t="s">
        <v>6689</v>
      </c>
      <c r="S2246" s="12" t="str">
        <f t="shared" si="433"/>
        <v>1889</v>
      </c>
      <c r="T2246" s="13"/>
      <c r="U2246" s="13"/>
      <c r="V2246" s="12" t="str">
        <f t="shared" si="434"/>
        <v/>
      </c>
      <c r="W2246" s="13" t="s">
        <v>8515</v>
      </c>
      <c r="X2246" s="13" t="s">
        <v>15476</v>
      </c>
      <c r="Y2246" s="13"/>
      <c r="Z2246" s="13"/>
      <c r="AA2246" s="13"/>
      <c r="AB2246" s="13"/>
      <c r="AC2246" s="13"/>
      <c r="AD2246" s="13"/>
      <c r="AE2246" s="13"/>
      <c r="AF2246" s="13"/>
      <c r="AG2246" s="13" t="s">
        <v>74</v>
      </c>
      <c r="AH2246" s="13">
        <v>1836</v>
      </c>
      <c r="AI2246" s="12" t="str">
        <f t="shared" si="435"/>
        <v>1836</v>
      </c>
      <c r="AJ2246" s="13" t="s">
        <v>13060</v>
      </c>
      <c r="AK2246" s="13" t="s">
        <v>140</v>
      </c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2"/>
      <c r="BI2246" s="12"/>
      <c r="BJ2246" s="12"/>
      <c r="BK2246" s="12"/>
      <c r="BL2246" s="12"/>
      <c r="BM2246" s="12"/>
      <c r="BN2246" s="12"/>
      <c r="BO2246" s="12"/>
      <c r="BP2246" s="12"/>
      <c r="BQ2246" s="12"/>
      <c r="BR2246" s="12"/>
      <c r="BS2246" s="12"/>
      <c r="BT2246" s="12"/>
      <c r="BU2246" s="12"/>
      <c r="BV2246" s="12"/>
      <c r="BW2246" s="12"/>
      <c r="BX2246" s="12"/>
      <c r="BY2246" s="12"/>
      <c r="BZ2246" s="12"/>
      <c r="CA2246" s="12"/>
      <c r="CB2246" s="12"/>
      <c r="CC2246" s="12"/>
      <c r="CD2246" s="12"/>
    </row>
    <row r="2247" spans="1:82">
      <c r="A2247" s="13" t="s">
        <v>662</v>
      </c>
      <c r="B2247" s="12" t="str">
        <f t="shared" si="427"/>
        <v>VILJOEN</v>
      </c>
      <c r="C2247" s="12" t="str">
        <f t="shared" si="428"/>
        <v>VILJOEN</v>
      </c>
      <c r="D2247" s="13" t="s">
        <v>6633</v>
      </c>
      <c r="E2247" s="12" t="str">
        <f t="shared" si="438"/>
        <v>Christoffel Jr.</v>
      </c>
      <c r="F2247" s="13" t="s">
        <v>6634</v>
      </c>
      <c r="G2247" s="12" t="str">
        <f t="shared" si="429"/>
        <v>a1b4c2d2e1f1g3</v>
      </c>
      <c r="H2247" s="12" t="str">
        <f t="shared" si="430"/>
        <v>VILJOENa1b4c2d2e1f1g3</v>
      </c>
      <c r="I2247" s="13"/>
      <c r="J2247" s="13" t="s">
        <v>6635</v>
      </c>
      <c r="K2247" s="12" t="str">
        <f t="shared" si="431"/>
        <v>1818</v>
      </c>
      <c r="L2247" s="13" t="s">
        <v>53</v>
      </c>
      <c r="M2247" s="13" t="s">
        <v>6636</v>
      </c>
      <c r="N2247" s="12" t="str">
        <f t="shared" si="436"/>
        <v>1818</v>
      </c>
      <c r="O2247" s="12" t="str">
        <f t="shared" si="437"/>
        <v>1818</v>
      </c>
      <c r="P2247" s="13"/>
      <c r="Q2247" s="12" t="str">
        <f t="shared" si="432"/>
        <v>1818</v>
      </c>
      <c r="R2247" s="13" t="s">
        <v>6637</v>
      </c>
      <c r="S2247" s="12" t="str">
        <f t="shared" si="433"/>
        <v>1890</v>
      </c>
      <c r="T2247" s="13" t="s">
        <v>28</v>
      </c>
      <c r="U2247" s="13" t="s">
        <v>1723</v>
      </c>
      <c r="V2247" s="12" t="str">
        <f t="shared" si="434"/>
        <v>1836</v>
      </c>
      <c r="W2247" s="13" t="s">
        <v>15433</v>
      </c>
      <c r="X2247" s="13" t="s">
        <v>1685</v>
      </c>
      <c r="Y2247" s="13"/>
      <c r="Z2247" s="13"/>
      <c r="AA2247" s="13" t="s">
        <v>15434</v>
      </c>
      <c r="AB2247" s="13"/>
      <c r="AC2247" s="13"/>
      <c r="AD2247" s="13"/>
      <c r="AE2247" s="13" t="s">
        <v>15435</v>
      </c>
      <c r="AF2247" s="13"/>
      <c r="AG2247" s="13" t="s">
        <v>28</v>
      </c>
      <c r="AH2247" s="13" t="s">
        <v>15436</v>
      </c>
      <c r="AI2247" s="12" t="str">
        <f t="shared" si="435"/>
        <v>1836</v>
      </c>
      <c r="AJ2247" s="13" t="s">
        <v>13060</v>
      </c>
      <c r="AK2247" s="13" t="s">
        <v>134</v>
      </c>
      <c r="AL2247" s="12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2"/>
      <c r="BI2247" s="12"/>
      <c r="BJ2247" s="12"/>
      <c r="BK2247" s="12"/>
      <c r="BL2247" s="12"/>
      <c r="BM2247" s="12"/>
      <c r="BN2247" s="12"/>
      <c r="BO2247" s="12"/>
      <c r="BP2247" s="12"/>
      <c r="BQ2247" s="12"/>
      <c r="BR2247" s="12"/>
      <c r="BS2247" s="12"/>
      <c r="BT2247" s="12"/>
      <c r="BU2247" s="12"/>
      <c r="BV2247" s="12"/>
      <c r="BW2247" s="12"/>
      <c r="BX2247" s="12"/>
      <c r="BY2247" s="12"/>
      <c r="BZ2247" s="12"/>
      <c r="CA2247" s="12"/>
      <c r="CB2247" s="12"/>
      <c r="CC2247" s="12"/>
      <c r="CD2247" s="12"/>
    </row>
    <row r="2248" spans="1:82">
      <c r="A2248" s="13" t="s">
        <v>662</v>
      </c>
      <c r="B2248" s="12" t="str">
        <f t="shared" si="427"/>
        <v>VILJOEN</v>
      </c>
      <c r="C2248" s="12" t="str">
        <f t="shared" si="428"/>
        <v>VILJOEN</v>
      </c>
      <c r="D2248" s="13" t="s">
        <v>4327</v>
      </c>
      <c r="E2248" s="12" t="str">
        <f t="shared" si="438"/>
        <v>Stephanus Petrus</v>
      </c>
      <c r="F2248" s="13" t="s">
        <v>6728</v>
      </c>
      <c r="G2248" s="12" t="str">
        <f t="shared" si="429"/>
        <v>a1b4c2d2e1f2</v>
      </c>
      <c r="H2248" s="12" t="str">
        <f t="shared" si="430"/>
        <v>VILJOENa1b4c2d2e1f2</v>
      </c>
      <c r="I2248" s="13"/>
      <c r="J2248" s="13"/>
      <c r="K2248" s="12" t="str">
        <f t="shared" si="431"/>
        <v/>
      </c>
      <c r="L2248" s="13" t="s">
        <v>542</v>
      </c>
      <c r="M2248" s="13" t="s">
        <v>6184</v>
      </c>
      <c r="N2248" s="12" t="str">
        <f t="shared" si="436"/>
        <v/>
      </c>
      <c r="O2248" s="12" t="str">
        <f t="shared" si="437"/>
        <v>1794</v>
      </c>
      <c r="P2248" s="13" t="s">
        <v>6729</v>
      </c>
      <c r="Q2248" s="12" t="str">
        <f t="shared" si="432"/>
        <v>1794</v>
      </c>
      <c r="R2248" s="13" t="s">
        <v>6730</v>
      </c>
      <c r="S2248" s="12" t="str">
        <f t="shared" si="433"/>
        <v>1873</v>
      </c>
      <c r="T2248" s="13"/>
      <c r="U2248" s="13" t="s">
        <v>15495</v>
      </c>
      <c r="V2248" s="12" t="str">
        <f t="shared" si="434"/>
        <v>1814</v>
      </c>
      <c r="W2248" s="13" t="s">
        <v>15496</v>
      </c>
      <c r="X2248" s="13" t="s">
        <v>636</v>
      </c>
      <c r="Y2248" s="13"/>
      <c r="Z2248" s="13"/>
      <c r="AA2248" s="13"/>
      <c r="AB2248" s="13"/>
      <c r="AC2248" s="13" t="s">
        <v>3029</v>
      </c>
      <c r="AD2248" s="13" t="s">
        <v>140</v>
      </c>
      <c r="AE2248" s="13" t="s">
        <v>15497</v>
      </c>
      <c r="AF2248" s="13"/>
      <c r="AG2248" s="13" t="s">
        <v>53</v>
      </c>
      <c r="AH2248" s="13"/>
      <c r="AI2248" s="12" t="str">
        <f t="shared" si="435"/>
        <v/>
      </c>
      <c r="AJ2248" s="13"/>
      <c r="AK2248" s="13" t="s">
        <v>140</v>
      </c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2"/>
      <c r="BI2248" s="12"/>
      <c r="BJ2248" s="12"/>
      <c r="BK2248" s="12"/>
      <c r="BL2248" s="12"/>
      <c r="BM2248" s="12"/>
      <c r="BN2248" s="12"/>
      <c r="BO2248" s="12"/>
      <c r="BP2248" s="12"/>
      <c r="BQ2248" s="12"/>
      <c r="BR2248" s="12"/>
      <c r="BS2248" s="12"/>
      <c r="BT2248" s="12"/>
      <c r="BU2248" s="12"/>
      <c r="BV2248" s="12"/>
      <c r="BW2248" s="12"/>
      <c r="BX2248" s="12"/>
      <c r="BY2248" s="12"/>
      <c r="BZ2248" s="12"/>
      <c r="CA2248" s="12"/>
      <c r="CB2248" s="12"/>
      <c r="CC2248" s="12"/>
      <c r="CD2248" s="12"/>
    </row>
    <row r="2249" spans="1:82">
      <c r="A2249" s="13" t="s">
        <v>662</v>
      </c>
      <c r="B2249" s="12" t="str">
        <f t="shared" si="427"/>
        <v>VILJOEN</v>
      </c>
      <c r="C2249" s="12" t="str">
        <f t="shared" si="428"/>
        <v>VILJOEN</v>
      </c>
      <c r="D2249" s="13" t="s">
        <v>2253</v>
      </c>
      <c r="E2249" s="12" t="str">
        <f t="shared" si="438"/>
        <v>Johannes Jacobus</v>
      </c>
      <c r="F2249" s="13" t="s">
        <v>6685</v>
      </c>
      <c r="G2249" s="12" t="str">
        <f t="shared" si="429"/>
        <v>a1b4c2d2e1f2g1</v>
      </c>
      <c r="H2249" s="12" t="str">
        <f t="shared" si="430"/>
        <v>VILJOENa1b4c2d2e1f2g1</v>
      </c>
      <c r="I2249" s="13"/>
      <c r="J2249" s="13" t="s">
        <v>6686</v>
      </c>
      <c r="K2249" s="12" t="str">
        <f t="shared" si="431"/>
        <v>1819</v>
      </c>
      <c r="L2249" s="11"/>
      <c r="M2249" s="11"/>
      <c r="N2249" s="12" t="str">
        <f t="shared" si="436"/>
        <v>1819</v>
      </c>
      <c r="O2249" s="12" t="str">
        <f t="shared" si="437"/>
        <v/>
      </c>
      <c r="P2249" s="13"/>
      <c r="Q2249" s="12" t="str">
        <f t="shared" si="432"/>
        <v>1819</v>
      </c>
      <c r="R2249" s="13"/>
      <c r="S2249" s="12" t="str">
        <f t="shared" si="433"/>
        <v/>
      </c>
      <c r="T2249" s="13"/>
      <c r="U2249" s="13"/>
      <c r="V2249" s="12" t="str">
        <f t="shared" si="434"/>
        <v/>
      </c>
      <c r="W2249" s="13" t="s">
        <v>1020</v>
      </c>
      <c r="X2249" s="13" t="s">
        <v>636</v>
      </c>
      <c r="Y2249" s="13"/>
      <c r="Z2249" s="13"/>
      <c r="AA2249" s="13"/>
      <c r="AB2249" s="13"/>
      <c r="AC2249" s="13"/>
      <c r="AD2249" s="13"/>
      <c r="AE2249" s="13"/>
      <c r="AF2249" s="13"/>
      <c r="AG2249" s="13" t="s">
        <v>53</v>
      </c>
      <c r="AH2249" s="13" t="s">
        <v>10069</v>
      </c>
      <c r="AI2249" s="12" t="str">
        <f t="shared" si="435"/>
        <v>1843</v>
      </c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2"/>
      <c r="BI2249" s="12"/>
      <c r="BJ2249" s="12"/>
      <c r="BK2249" s="12"/>
      <c r="BL2249" s="12"/>
      <c r="BM2249" s="12"/>
      <c r="BN2249" s="12"/>
      <c r="BO2249" s="12"/>
      <c r="BP2249" s="12"/>
      <c r="BQ2249" s="12"/>
      <c r="BR2249" s="12"/>
      <c r="BS2249" s="12"/>
      <c r="BT2249" s="12"/>
      <c r="BU2249" s="12"/>
      <c r="BV2249" s="12"/>
      <c r="BW2249" s="12"/>
      <c r="BX2249" s="12"/>
      <c r="BY2249" s="12"/>
      <c r="BZ2249" s="12"/>
      <c r="CA2249" s="12"/>
      <c r="CB2249" s="12"/>
      <c r="CC2249" s="12"/>
      <c r="CD2249" s="12"/>
    </row>
    <row r="2250" spans="1:82">
      <c r="A2250" s="13" t="s">
        <v>662</v>
      </c>
      <c r="B2250" s="12" t="str">
        <f t="shared" si="427"/>
        <v>VILJOEN</v>
      </c>
      <c r="C2250" s="12" t="str">
        <f t="shared" si="428"/>
        <v>VILJOEN</v>
      </c>
      <c r="D2250" s="13" t="s">
        <v>6658</v>
      </c>
      <c r="E2250" s="12" t="str">
        <f t="shared" si="438"/>
        <v>Gerhardus Coenradus</v>
      </c>
      <c r="F2250" s="13" t="s">
        <v>6659</v>
      </c>
      <c r="G2250" s="12" t="str">
        <f t="shared" si="429"/>
        <v>a1b4c2d2e1f7</v>
      </c>
      <c r="H2250" s="12" t="str">
        <f t="shared" si="430"/>
        <v>VILJOENa1b4c2d2e1f7</v>
      </c>
      <c r="I2250" s="13"/>
      <c r="J2250" s="13" t="s">
        <v>6660</v>
      </c>
      <c r="K2250" s="12" t="str">
        <f t="shared" si="431"/>
        <v>1804</v>
      </c>
      <c r="L2250" s="13" t="s">
        <v>542</v>
      </c>
      <c r="M2250" s="13" t="s">
        <v>6661</v>
      </c>
      <c r="N2250" s="12" t="str">
        <f t="shared" si="436"/>
        <v>1804</v>
      </c>
      <c r="O2250" s="12" t="str">
        <f t="shared" si="437"/>
        <v>1804</v>
      </c>
      <c r="P2250" s="13" t="s">
        <v>6662</v>
      </c>
      <c r="Q2250" s="12" t="str">
        <f t="shared" si="432"/>
        <v>1804</v>
      </c>
      <c r="R2250" s="13" t="s">
        <v>6663</v>
      </c>
      <c r="S2250" s="12" t="str">
        <f t="shared" si="433"/>
        <v>1883</v>
      </c>
      <c r="T2250" s="13"/>
      <c r="U2250" s="13" t="s">
        <v>283</v>
      </c>
      <c r="V2250" s="12" t="str">
        <f t="shared" si="434"/>
        <v>1823</v>
      </c>
      <c r="W2250" s="13" t="s">
        <v>4828</v>
      </c>
      <c r="X2250" s="13" t="s">
        <v>655</v>
      </c>
      <c r="Y2250" s="13" t="s">
        <v>15451</v>
      </c>
      <c r="Z2250" s="13"/>
      <c r="AA2250" s="13"/>
      <c r="AB2250" s="13"/>
      <c r="AC2250" s="13" t="s">
        <v>15452</v>
      </c>
      <c r="AD2250" s="13"/>
      <c r="AE2250" s="13"/>
      <c r="AF2250" s="13" t="s">
        <v>3709</v>
      </c>
      <c r="AG2250" s="13" t="s">
        <v>68</v>
      </c>
      <c r="AH2250" s="13" t="s">
        <v>14085</v>
      </c>
      <c r="AI2250" s="12" t="str">
        <f t="shared" si="435"/>
        <v>1837</v>
      </c>
      <c r="AJ2250" s="13" t="s">
        <v>5423</v>
      </c>
      <c r="AK2250" s="13" t="s">
        <v>2355</v>
      </c>
      <c r="AL2250" s="13"/>
      <c r="AM2250" s="13" t="s">
        <v>15453</v>
      </c>
      <c r="AN2250" s="13" t="s">
        <v>15454</v>
      </c>
      <c r="AO2250" s="13" t="s">
        <v>698</v>
      </c>
      <c r="AP2250" s="13"/>
      <c r="AQ2250" s="13"/>
      <c r="AR2250" s="13" t="s">
        <v>15455</v>
      </c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2"/>
      <c r="BI2250" s="12"/>
      <c r="BJ2250" s="12"/>
      <c r="BK2250" s="12"/>
      <c r="BL2250" s="12"/>
      <c r="BM2250" s="12"/>
      <c r="BN2250" s="12"/>
      <c r="BO2250" s="12"/>
      <c r="BP2250" s="12"/>
      <c r="BQ2250" s="12"/>
      <c r="BR2250" s="12"/>
      <c r="BS2250" s="12"/>
      <c r="BT2250" s="12"/>
      <c r="BU2250" s="12"/>
      <c r="BV2250" s="12"/>
      <c r="BW2250" s="12"/>
      <c r="BX2250" s="12"/>
      <c r="BY2250" s="12"/>
      <c r="BZ2250" s="12"/>
      <c r="CA2250" s="12"/>
      <c r="CB2250" s="12"/>
      <c r="CC2250" s="12"/>
      <c r="CD2250" s="12"/>
    </row>
    <row r="2251" spans="1:82">
      <c r="A2251" s="13" t="s">
        <v>662</v>
      </c>
      <c r="B2251" s="12" t="str">
        <f t="shared" si="427"/>
        <v>VILJOEN</v>
      </c>
      <c r="C2251" s="12" t="str">
        <f t="shared" si="428"/>
        <v>VILJOEN</v>
      </c>
      <c r="D2251" s="13" t="s">
        <v>6622</v>
      </c>
      <c r="E2251" s="12" t="str">
        <f t="shared" si="438"/>
        <v>Carel Marthinus</v>
      </c>
      <c r="F2251" s="13" t="s">
        <v>6623</v>
      </c>
      <c r="G2251" s="12" t="str">
        <f t="shared" si="429"/>
        <v>a1b4c2d2e1f8</v>
      </c>
      <c r="H2251" s="12" t="str">
        <f t="shared" si="430"/>
        <v>VILJOENa1b4c2d2e1f8</v>
      </c>
      <c r="I2251" s="13"/>
      <c r="J2251" s="13" t="s">
        <v>6624</v>
      </c>
      <c r="K2251" s="12" t="str">
        <f t="shared" si="431"/>
        <v>1806</v>
      </c>
      <c r="L2251" s="13" t="s">
        <v>74</v>
      </c>
      <c r="M2251" s="13" t="s">
        <v>268</v>
      </c>
      <c r="N2251" s="12" t="str">
        <f t="shared" si="436"/>
        <v>1806</v>
      </c>
      <c r="O2251" s="12" t="str">
        <f t="shared" si="437"/>
        <v>1806</v>
      </c>
      <c r="P2251" s="13"/>
      <c r="Q2251" s="12" t="str">
        <f t="shared" si="432"/>
        <v>1806</v>
      </c>
      <c r="R2251" s="13">
        <v>1889</v>
      </c>
      <c r="S2251" s="12" t="str">
        <f t="shared" si="433"/>
        <v>1889</v>
      </c>
      <c r="T2251" s="13" t="s">
        <v>53</v>
      </c>
      <c r="U2251" s="13" t="s">
        <v>15421</v>
      </c>
      <c r="V2251" s="12" t="str">
        <f t="shared" si="434"/>
        <v>1825</v>
      </c>
      <c r="W2251" s="13" t="s">
        <v>15422</v>
      </c>
      <c r="X2251" s="13" t="s">
        <v>655</v>
      </c>
      <c r="Y2251" s="13" t="s">
        <v>15423</v>
      </c>
      <c r="Z2251" s="13"/>
      <c r="AA2251" s="13"/>
      <c r="AB2251" s="13"/>
      <c r="AC2251" s="13" t="s">
        <v>15424</v>
      </c>
      <c r="AD2251" s="13"/>
      <c r="AE2251" s="13">
        <v>1863</v>
      </c>
      <c r="AF2251" s="13" t="s">
        <v>3699</v>
      </c>
      <c r="AG2251" s="13" t="s">
        <v>68</v>
      </c>
      <c r="AH2251" s="13" t="s">
        <v>12406</v>
      </c>
      <c r="AI2251" s="12" t="str">
        <f t="shared" si="435"/>
        <v>1837</v>
      </c>
      <c r="AJ2251" s="13" t="s">
        <v>14477</v>
      </c>
      <c r="AK2251" s="13" t="s">
        <v>90</v>
      </c>
      <c r="AL2251" s="13" t="s">
        <v>134</v>
      </c>
      <c r="AM2251" s="13" t="s">
        <v>15425</v>
      </c>
      <c r="AN2251" s="13" t="s">
        <v>1629</v>
      </c>
      <c r="AO2251" s="13" t="s">
        <v>660</v>
      </c>
      <c r="AP2251" s="13"/>
      <c r="AQ2251" s="13"/>
      <c r="AR2251" s="13" t="s">
        <v>15426</v>
      </c>
      <c r="AS2251" s="13"/>
      <c r="AT2251" s="13"/>
      <c r="AU2251" s="13" t="s">
        <v>120</v>
      </c>
      <c r="AV2251" s="13" t="s">
        <v>13288</v>
      </c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2"/>
      <c r="BI2251" s="12"/>
      <c r="BJ2251" s="12"/>
      <c r="BK2251" s="12"/>
      <c r="BL2251" s="12"/>
      <c r="BM2251" s="12"/>
      <c r="BN2251" s="12"/>
      <c r="BO2251" s="12"/>
      <c r="BP2251" s="12"/>
      <c r="BQ2251" s="12"/>
      <c r="BR2251" s="12"/>
      <c r="BS2251" s="12"/>
      <c r="BT2251" s="12"/>
      <c r="BU2251" s="12"/>
      <c r="BV2251" s="12"/>
      <c r="BW2251" s="12"/>
      <c r="BX2251" s="12"/>
      <c r="BY2251" s="12"/>
      <c r="BZ2251" s="12"/>
      <c r="CA2251" s="12"/>
      <c r="CB2251" s="12"/>
      <c r="CC2251" s="12"/>
      <c r="CD2251" s="12"/>
    </row>
    <row r="2252" spans="1:82">
      <c r="A2252" s="13" t="s">
        <v>662</v>
      </c>
      <c r="B2252" s="12" t="str">
        <f t="shared" si="427"/>
        <v>VILJOEN</v>
      </c>
      <c r="C2252" s="12" t="str">
        <f t="shared" si="428"/>
        <v>VILJOEN</v>
      </c>
      <c r="D2252" s="13" t="s">
        <v>6664</v>
      </c>
      <c r="E2252" s="12" t="str">
        <f t="shared" si="438"/>
        <v>Gideon Petrus</v>
      </c>
      <c r="F2252" s="13" t="s">
        <v>6665</v>
      </c>
      <c r="G2252" s="12" t="str">
        <f t="shared" si="429"/>
        <v>a1b4c2d2e3f6</v>
      </c>
      <c r="H2252" s="12" t="str">
        <f t="shared" si="430"/>
        <v>VILJOENa1b4c2d2e3f6</v>
      </c>
      <c r="I2252" s="13"/>
      <c r="J2252" s="13" t="s">
        <v>6619</v>
      </c>
      <c r="K2252" s="12" t="str">
        <f t="shared" si="431"/>
        <v>1803</v>
      </c>
      <c r="L2252" s="13"/>
      <c r="M2252" s="13" t="s">
        <v>6620</v>
      </c>
      <c r="N2252" s="12" t="str">
        <f t="shared" si="436"/>
        <v>1803</v>
      </c>
      <c r="O2252" s="12" t="str">
        <f t="shared" si="437"/>
        <v>1803</v>
      </c>
      <c r="P2252" s="13" t="s">
        <v>6666</v>
      </c>
      <c r="Q2252" s="12" t="str">
        <f t="shared" si="432"/>
        <v>1803</v>
      </c>
      <c r="R2252" s="13" t="s">
        <v>6667</v>
      </c>
      <c r="S2252" s="12" t="str">
        <f t="shared" si="433"/>
        <v>1893</v>
      </c>
      <c r="T2252" s="13" t="s">
        <v>331</v>
      </c>
      <c r="U2252" s="13" t="s">
        <v>1416</v>
      </c>
      <c r="V2252" s="12" t="str">
        <f t="shared" si="434"/>
        <v>1823</v>
      </c>
      <c r="W2252" s="13" t="s">
        <v>6981</v>
      </c>
      <c r="X2252" s="13" t="s">
        <v>266</v>
      </c>
      <c r="Y2252" s="13" t="s">
        <v>15456</v>
      </c>
      <c r="Z2252" s="13"/>
      <c r="AA2252" s="13" t="s">
        <v>15457</v>
      </c>
      <c r="AB2252" s="13" t="s">
        <v>542</v>
      </c>
      <c r="AC2252" s="13" t="s">
        <v>2679</v>
      </c>
      <c r="AD2252" s="13"/>
      <c r="AE2252" s="13" t="s">
        <v>15458</v>
      </c>
      <c r="AF2252" s="13" t="s">
        <v>3699</v>
      </c>
      <c r="AG2252" s="13" t="s">
        <v>68</v>
      </c>
      <c r="AH2252" s="13">
        <v>1836</v>
      </c>
      <c r="AI2252" s="12" t="str">
        <f t="shared" si="435"/>
        <v>1836</v>
      </c>
      <c r="AJ2252" s="13" t="s">
        <v>13060</v>
      </c>
      <c r="AK2252" s="13" t="s">
        <v>134</v>
      </c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2"/>
      <c r="BI2252" s="12"/>
      <c r="BJ2252" s="12"/>
      <c r="BK2252" s="12"/>
      <c r="BL2252" s="12"/>
      <c r="BM2252" s="12"/>
      <c r="BN2252" s="12"/>
      <c r="BO2252" s="12"/>
      <c r="BP2252" s="12"/>
      <c r="BQ2252" s="12"/>
      <c r="BR2252" s="12"/>
      <c r="BS2252" s="12"/>
      <c r="BT2252" s="12"/>
      <c r="BU2252" s="12"/>
      <c r="BV2252" s="12"/>
      <c r="BW2252" s="12"/>
      <c r="BX2252" s="12"/>
      <c r="BY2252" s="12"/>
      <c r="BZ2252" s="12"/>
      <c r="CA2252" s="12"/>
      <c r="CB2252" s="12"/>
      <c r="CC2252" s="12"/>
      <c r="CD2252" s="12"/>
    </row>
    <row r="2253" spans="1:82">
      <c r="A2253" s="13" t="s">
        <v>662</v>
      </c>
      <c r="B2253" s="12" t="str">
        <f t="shared" si="427"/>
        <v>VILJOEN</v>
      </c>
      <c r="C2253" s="12" t="str">
        <f t="shared" si="428"/>
        <v>VILJOEN</v>
      </c>
      <c r="D2253" s="13" t="s">
        <v>6613</v>
      </c>
      <c r="E2253" s="12" t="str">
        <f t="shared" si="438"/>
        <v>Carel Christoffel</v>
      </c>
      <c r="F2253" s="13" t="s">
        <v>6614</v>
      </c>
      <c r="G2253" s="12" t="str">
        <f t="shared" si="429"/>
        <v>a1b4c2d2e3f6g1</v>
      </c>
      <c r="H2253" s="12" t="str">
        <f t="shared" si="430"/>
        <v>VILJOENa1b4c2d2e3f6g1</v>
      </c>
      <c r="I2253" s="13"/>
      <c r="J2253" s="13" t="s">
        <v>6615</v>
      </c>
      <c r="K2253" s="12" t="str">
        <f t="shared" si="431"/>
        <v>1825</v>
      </c>
      <c r="L2253" s="13" t="s">
        <v>53</v>
      </c>
      <c r="M2253" s="13" t="s">
        <v>6616</v>
      </c>
      <c r="N2253" s="12" t="str">
        <f t="shared" si="436"/>
        <v>1825</v>
      </c>
      <c r="O2253" s="12" t="str">
        <f t="shared" si="437"/>
        <v>1825</v>
      </c>
      <c r="P2253" s="13"/>
      <c r="Q2253" s="12" t="str">
        <f t="shared" si="432"/>
        <v>1825</v>
      </c>
      <c r="R2253" s="13" t="s">
        <v>6617</v>
      </c>
      <c r="S2253" s="12" t="str">
        <f t="shared" si="433"/>
        <v>1865</v>
      </c>
      <c r="T2253" s="13"/>
      <c r="U2253" s="13">
        <v>1846</v>
      </c>
      <c r="V2253" s="12" t="str">
        <f t="shared" si="434"/>
        <v>1846</v>
      </c>
      <c r="W2253" s="13" t="s">
        <v>1881</v>
      </c>
      <c r="X2253" s="13" t="s">
        <v>776</v>
      </c>
      <c r="Y2253" s="13"/>
      <c r="Z2253" s="13"/>
      <c r="AA2253" s="13"/>
      <c r="AB2253" s="13"/>
      <c r="AC2253" s="13"/>
      <c r="AD2253" s="13"/>
      <c r="AE2253" s="13"/>
      <c r="AF2253" s="13" t="s">
        <v>3699</v>
      </c>
      <c r="AG2253" s="13" t="s">
        <v>68</v>
      </c>
      <c r="AH2253" s="13" t="s">
        <v>385</v>
      </c>
      <c r="AI2253" s="12" t="str">
        <f t="shared" si="435"/>
        <v>1840</v>
      </c>
      <c r="AJ2253" s="13"/>
      <c r="AK2253" s="13" t="s">
        <v>134</v>
      </c>
      <c r="AL2253" s="13" t="s">
        <v>155</v>
      </c>
      <c r="AM2253" s="13">
        <v>1852</v>
      </c>
      <c r="AN2253" s="13" t="s">
        <v>2249</v>
      </c>
      <c r="AO2253" s="13" t="s">
        <v>2589</v>
      </c>
      <c r="AP2253" s="13"/>
      <c r="AQ2253" s="13" t="s">
        <v>28</v>
      </c>
      <c r="AR2253" s="13" t="s">
        <v>12593</v>
      </c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2"/>
      <c r="BI2253" s="12"/>
      <c r="BJ2253" s="12"/>
      <c r="BK2253" s="12"/>
      <c r="BL2253" s="12"/>
      <c r="BM2253" s="12"/>
      <c r="BN2253" s="12"/>
      <c r="BO2253" s="12"/>
      <c r="BP2253" s="12"/>
      <c r="BQ2253" s="12"/>
      <c r="BR2253" s="12"/>
      <c r="BS2253" s="12"/>
      <c r="BT2253" s="12"/>
      <c r="BU2253" s="12"/>
      <c r="BV2253" s="12"/>
      <c r="BW2253" s="12"/>
      <c r="BX2253" s="12"/>
      <c r="BY2253" s="12"/>
      <c r="BZ2253" s="12"/>
      <c r="CA2253" s="12"/>
      <c r="CB2253" s="12"/>
      <c r="CC2253" s="12"/>
      <c r="CD2253" s="12"/>
    </row>
    <row r="2254" spans="1:82">
      <c r="A2254" s="13" t="s">
        <v>662</v>
      </c>
      <c r="B2254" s="12" t="str">
        <f t="shared" si="427"/>
        <v>VILJOEN</v>
      </c>
      <c r="C2254" s="12" t="str">
        <f t="shared" si="428"/>
        <v>VILJOEN</v>
      </c>
      <c r="D2254" s="13" t="s">
        <v>2798</v>
      </c>
      <c r="E2254" s="12" t="str">
        <f t="shared" si="438"/>
        <v>Carel Johannes</v>
      </c>
      <c r="F2254" s="13" t="s">
        <v>6618</v>
      </c>
      <c r="G2254" s="12" t="str">
        <f t="shared" si="429"/>
        <v>a1b4c2d2e3f7</v>
      </c>
      <c r="H2254" s="12" t="str">
        <f t="shared" si="430"/>
        <v>VILJOENa1b4c2d2e3f7</v>
      </c>
      <c r="I2254" s="13"/>
      <c r="J2254" s="13" t="s">
        <v>6619</v>
      </c>
      <c r="K2254" s="12" t="str">
        <f t="shared" si="431"/>
        <v>1803</v>
      </c>
      <c r="L2254" s="13" t="s">
        <v>74</v>
      </c>
      <c r="M2254" s="13" t="s">
        <v>6620</v>
      </c>
      <c r="N2254" s="12" t="str">
        <f t="shared" si="436"/>
        <v>1803</v>
      </c>
      <c r="O2254" s="12" t="str">
        <f t="shared" si="437"/>
        <v>1803</v>
      </c>
      <c r="P2254" s="13"/>
      <c r="Q2254" s="12" t="str">
        <f t="shared" si="432"/>
        <v>1803</v>
      </c>
      <c r="R2254" s="13" t="s">
        <v>6621</v>
      </c>
      <c r="S2254" s="12" t="str">
        <f t="shared" si="433"/>
        <v>1885</v>
      </c>
      <c r="T2254" s="13" t="s">
        <v>53</v>
      </c>
      <c r="U2254" s="13" t="s">
        <v>283</v>
      </c>
      <c r="V2254" s="12" t="str">
        <f t="shared" si="434"/>
        <v>1823</v>
      </c>
      <c r="W2254" s="13" t="s">
        <v>819</v>
      </c>
      <c r="X2254" s="13" t="s">
        <v>662</v>
      </c>
      <c r="Y2254" s="13"/>
      <c r="Z2254" s="13"/>
      <c r="AA2254" s="13"/>
      <c r="AB2254" s="13"/>
      <c r="AC2254" s="13"/>
      <c r="AD2254" s="13"/>
      <c r="AE2254" s="13"/>
      <c r="AF2254" s="13" t="s">
        <v>4307</v>
      </c>
      <c r="AG2254" s="13" t="s">
        <v>68</v>
      </c>
      <c r="AH2254" s="13" t="s">
        <v>12301</v>
      </c>
      <c r="AI2254" s="12" t="str">
        <f t="shared" si="435"/>
        <v>1837</v>
      </c>
      <c r="AJ2254" s="13" t="s">
        <v>15420</v>
      </c>
      <c r="AK2254" s="13" t="s">
        <v>134</v>
      </c>
      <c r="AL2254" s="13"/>
      <c r="AM2254" s="13"/>
      <c r="AN2254" s="13" t="s">
        <v>1419</v>
      </c>
      <c r="AO2254" s="13" t="s">
        <v>3187</v>
      </c>
      <c r="AP2254" s="13"/>
      <c r="AQ2254" s="13"/>
      <c r="AR2254" s="13" t="s">
        <v>3194</v>
      </c>
      <c r="AS2254" s="13"/>
      <c r="AT2254" s="13"/>
      <c r="AU2254" s="13" t="s">
        <v>155</v>
      </c>
      <c r="AV2254" s="13" t="s">
        <v>3195</v>
      </c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2"/>
      <c r="BI2254" s="12"/>
      <c r="BJ2254" s="12"/>
      <c r="BK2254" s="12"/>
      <c r="BL2254" s="12"/>
      <c r="BM2254" s="12"/>
      <c r="BN2254" s="12"/>
      <c r="BO2254" s="12"/>
      <c r="BP2254" s="12"/>
      <c r="BQ2254" s="12"/>
      <c r="BR2254" s="12"/>
      <c r="BS2254" s="12"/>
      <c r="BT2254" s="12"/>
      <c r="BU2254" s="12"/>
      <c r="BV2254" s="12"/>
      <c r="BW2254" s="12"/>
      <c r="BX2254" s="12"/>
      <c r="BY2254" s="12"/>
      <c r="BZ2254" s="12"/>
      <c r="CA2254" s="12"/>
      <c r="CB2254" s="12"/>
      <c r="CC2254" s="12"/>
      <c r="CD2254" s="12"/>
    </row>
    <row r="2255" spans="1:82">
      <c r="A2255" s="13" t="s">
        <v>662</v>
      </c>
      <c r="B2255" s="12" t="str">
        <f t="shared" si="427"/>
        <v>VILJOEN</v>
      </c>
      <c r="C2255" s="12" t="str">
        <f t="shared" si="428"/>
        <v>VILJOEN</v>
      </c>
      <c r="D2255" s="13" t="s">
        <v>6695</v>
      </c>
      <c r="E2255" s="12" t="str">
        <f t="shared" si="438"/>
        <v>Johannes Willem (Jan)</v>
      </c>
      <c r="F2255" s="13" t="s">
        <v>6696</v>
      </c>
      <c r="G2255" s="12" t="str">
        <f t="shared" si="429"/>
        <v>a1b4c2d2e9f2</v>
      </c>
      <c r="H2255" s="12" t="str">
        <f t="shared" si="430"/>
        <v>VILJOENa1b4c2d2e9f2</v>
      </c>
      <c r="I2255" s="13" t="s">
        <v>6697</v>
      </c>
      <c r="J2255" s="13" t="s">
        <v>6698</v>
      </c>
      <c r="K2255" s="12" t="str">
        <f t="shared" si="431"/>
        <v>1812</v>
      </c>
      <c r="L2255" s="13" t="s">
        <v>74</v>
      </c>
      <c r="M2255" s="13" t="s">
        <v>6699</v>
      </c>
      <c r="N2255" s="12" t="str">
        <f t="shared" si="436"/>
        <v>1812</v>
      </c>
      <c r="O2255" s="12" t="str">
        <f t="shared" si="437"/>
        <v>1812</v>
      </c>
      <c r="P2255" s="13" t="s">
        <v>6700</v>
      </c>
      <c r="Q2255" s="12" t="str">
        <f t="shared" si="432"/>
        <v>1812</v>
      </c>
      <c r="R2255" s="13" t="s">
        <v>6701</v>
      </c>
      <c r="S2255" s="12" t="str">
        <f t="shared" si="433"/>
        <v>1893</v>
      </c>
      <c r="T2255" s="13" t="s">
        <v>53</v>
      </c>
      <c r="U2255" s="13" t="s">
        <v>15477</v>
      </c>
      <c r="V2255" s="12" t="str">
        <f t="shared" si="434"/>
        <v>1833</v>
      </c>
      <c r="W2255" s="13" t="s">
        <v>15478</v>
      </c>
      <c r="X2255" s="13" t="s">
        <v>15479</v>
      </c>
      <c r="Y2255" s="13"/>
      <c r="Z2255" s="13"/>
      <c r="AA2255" s="13" t="s">
        <v>15480</v>
      </c>
      <c r="AB2255" s="13"/>
      <c r="AC2255" s="13"/>
      <c r="AD2255" s="13"/>
      <c r="AE2255" s="15">
        <v>65</v>
      </c>
      <c r="AF2255" s="13" t="s">
        <v>15481</v>
      </c>
      <c r="AG2255" s="13" t="s">
        <v>199</v>
      </c>
      <c r="AH2255" s="13">
        <v>1843</v>
      </c>
      <c r="AI2255" s="12" t="str">
        <f t="shared" si="435"/>
        <v>1843</v>
      </c>
      <c r="AJ2255" s="13" t="s">
        <v>12354</v>
      </c>
      <c r="AK2255" s="13" t="s">
        <v>551</v>
      </c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2"/>
      <c r="BI2255" s="12"/>
      <c r="BJ2255" s="12"/>
      <c r="BK2255" s="12"/>
      <c r="BL2255" s="12"/>
      <c r="BM2255" s="12"/>
      <c r="BN2255" s="12"/>
      <c r="BO2255" s="12"/>
      <c r="BP2255" s="12"/>
      <c r="BQ2255" s="12"/>
      <c r="BR2255" s="12"/>
      <c r="BS2255" s="12"/>
      <c r="BT2255" s="12"/>
      <c r="BU2255" s="12"/>
      <c r="BV2255" s="12"/>
      <c r="BW2255" s="12"/>
      <c r="BX2255" s="12"/>
      <c r="BY2255" s="12"/>
      <c r="BZ2255" s="12"/>
      <c r="CA2255" s="12"/>
      <c r="CB2255" s="12"/>
      <c r="CC2255" s="12"/>
      <c r="CD2255" s="12"/>
    </row>
    <row r="2256" spans="1:82">
      <c r="A2256" s="13" t="s">
        <v>6749</v>
      </c>
      <c r="B2256" s="12" t="str">
        <f t="shared" si="427"/>
        <v>VISAG(I)E</v>
      </c>
      <c r="C2256" s="12" t="str">
        <f t="shared" si="428"/>
        <v>VISAG(I)E</v>
      </c>
      <c r="D2256" s="13" t="s">
        <v>6750</v>
      </c>
      <c r="E2256" s="12" t="str">
        <f t="shared" si="438"/>
        <v>Arie Zacharias</v>
      </c>
      <c r="F2256" s="13" t="s">
        <v>6751</v>
      </c>
      <c r="G2256" s="12" t="str">
        <f t="shared" si="429"/>
        <v>a1b1c4d5e2</v>
      </c>
      <c r="H2256" s="12" t="str">
        <f t="shared" si="430"/>
        <v>VISAG(I)Ea1b1c4d5e2</v>
      </c>
      <c r="I2256" s="13"/>
      <c r="J2256" s="13"/>
      <c r="K2256" s="12" t="str">
        <f t="shared" si="431"/>
        <v/>
      </c>
      <c r="L2256" s="13"/>
      <c r="M2256" s="13" t="s">
        <v>6752</v>
      </c>
      <c r="N2256" s="12" t="str">
        <f t="shared" si="436"/>
        <v/>
      </c>
      <c r="O2256" s="12" t="str">
        <f t="shared" si="437"/>
        <v>1788</v>
      </c>
      <c r="P2256" s="13" t="s">
        <v>6753</v>
      </c>
      <c r="Q2256" s="12" t="str">
        <f t="shared" si="432"/>
        <v>1788</v>
      </c>
      <c r="R2256" s="13">
        <v>1858</v>
      </c>
      <c r="S2256" s="12" t="str">
        <f t="shared" si="433"/>
        <v>1858</v>
      </c>
      <c r="T2256" s="13" t="s">
        <v>542</v>
      </c>
      <c r="U2256" s="13" t="s">
        <v>15516</v>
      </c>
      <c r="V2256" s="12" t="str">
        <f t="shared" si="434"/>
        <v>1812</v>
      </c>
      <c r="W2256" s="13" t="s">
        <v>4715</v>
      </c>
      <c r="X2256" s="13" t="s">
        <v>4449</v>
      </c>
      <c r="Y2256" s="13"/>
      <c r="Z2256" s="13"/>
      <c r="AA2256" s="13"/>
      <c r="AB2256" s="13"/>
      <c r="AC2256" s="13"/>
      <c r="AD2256" s="13"/>
      <c r="AE2256" s="13"/>
      <c r="AF2256" s="13" t="s">
        <v>8582</v>
      </c>
      <c r="AG2256" s="13" t="s">
        <v>395</v>
      </c>
      <c r="AH2256" s="13">
        <v>1836</v>
      </c>
      <c r="AI2256" s="12" t="str">
        <f t="shared" si="435"/>
        <v>1836</v>
      </c>
      <c r="AJ2256" s="13" t="s">
        <v>1991</v>
      </c>
      <c r="AK2256" s="13" t="s">
        <v>90</v>
      </c>
      <c r="AL2256" s="13" t="s">
        <v>3587</v>
      </c>
      <c r="AM2256" s="13" t="s">
        <v>15517</v>
      </c>
      <c r="AN2256" s="13" t="s">
        <v>15518</v>
      </c>
      <c r="AO2256" s="13" t="s">
        <v>2023</v>
      </c>
      <c r="AP2256" s="13" t="s">
        <v>15519</v>
      </c>
      <c r="AQ2256" s="13"/>
      <c r="AR2256" s="13">
        <v>1820</v>
      </c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2"/>
      <c r="BI2256" s="12"/>
      <c r="BJ2256" s="12"/>
      <c r="BK2256" s="12"/>
      <c r="BL2256" s="12"/>
      <c r="BM2256" s="12"/>
      <c r="BN2256" s="12"/>
      <c r="BO2256" s="12"/>
      <c r="BP2256" s="12"/>
      <c r="BQ2256" s="12"/>
      <c r="BR2256" s="12"/>
      <c r="BS2256" s="12"/>
      <c r="BT2256" s="12"/>
      <c r="BU2256" s="12"/>
      <c r="BV2256" s="12"/>
      <c r="BW2256" s="12"/>
      <c r="BX2256" s="12"/>
      <c r="BY2256" s="12"/>
      <c r="BZ2256" s="12"/>
      <c r="CA2256" s="12"/>
      <c r="CB2256" s="12"/>
      <c r="CC2256" s="12"/>
      <c r="CD2256" s="12"/>
    </row>
    <row r="2257" spans="1:82">
      <c r="A2257" s="13" t="s">
        <v>1675</v>
      </c>
      <c r="B2257" s="12" t="str">
        <f t="shared" si="427"/>
        <v>VISAGIE</v>
      </c>
      <c r="C2257" s="12" t="str">
        <f t="shared" si="428"/>
        <v>VISAGIE</v>
      </c>
      <c r="D2257" s="13" t="s">
        <v>6783</v>
      </c>
      <c r="E2257" s="12" t="str">
        <f t="shared" si="438"/>
        <v>Marthinus David</v>
      </c>
      <c r="F2257" s="13" t="s">
        <v>6784</v>
      </c>
      <c r="G2257" s="12" t="str">
        <f t="shared" si="429"/>
        <v>a1b1c11d13e1</v>
      </c>
      <c r="H2257" s="12" t="str">
        <f t="shared" si="430"/>
        <v>VISAGIEa1b1c11d13e1</v>
      </c>
      <c r="I2257" s="13"/>
      <c r="J2257" s="13" t="s">
        <v>6785</v>
      </c>
      <c r="K2257" s="12" t="str">
        <f t="shared" si="431"/>
        <v>1794</v>
      </c>
      <c r="L2257" s="13" t="s">
        <v>5738</v>
      </c>
      <c r="M2257" s="13" t="s">
        <v>6786</v>
      </c>
      <c r="N2257" s="12" t="str">
        <f t="shared" si="436"/>
        <v>1794</v>
      </c>
      <c r="O2257" s="12" t="str">
        <f t="shared" si="437"/>
        <v>1795</v>
      </c>
      <c r="P2257" s="13"/>
      <c r="Q2257" s="12" t="str">
        <f t="shared" si="432"/>
        <v>1794</v>
      </c>
      <c r="R2257" s="13"/>
      <c r="S2257" s="12" t="str">
        <f t="shared" si="433"/>
        <v/>
      </c>
      <c r="T2257" s="13" t="s">
        <v>5738</v>
      </c>
      <c r="U2257" s="13" t="s">
        <v>4844</v>
      </c>
      <c r="V2257" s="12" t="str">
        <f t="shared" si="434"/>
        <v>1821</v>
      </c>
      <c r="W2257" s="13" t="s">
        <v>15525</v>
      </c>
      <c r="X2257" s="13" t="s">
        <v>11925</v>
      </c>
      <c r="Y2257" s="13" t="s">
        <v>15526</v>
      </c>
      <c r="Z2257" s="13"/>
      <c r="AA2257" s="13"/>
      <c r="AB2257" s="13"/>
      <c r="AC2257" s="13" t="s">
        <v>7248</v>
      </c>
      <c r="AD2257" s="13"/>
      <c r="AE2257" s="13"/>
      <c r="AF2257" s="13" t="s">
        <v>3951</v>
      </c>
      <c r="AG2257" s="13" t="s">
        <v>395</v>
      </c>
      <c r="AH2257" s="13">
        <v>1842</v>
      </c>
      <c r="AI2257" s="12" t="str">
        <f t="shared" si="435"/>
        <v>1842</v>
      </c>
      <c r="AJ2257" s="13"/>
      <c r="AK2257" s="13" t="s">
        <v>90</v>
      </c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2"/>
      <c r="BI2257" s="12"/>
      <c r="BJ2257" s="12"/>
      <c r="BK2257" s="12"/>
      <c r="BL2257" s="12"/>
      <c r="BM2257" s="12"/>
      <c r="BN2257" s="12"/>
      <c r="BO2257" s="12"/>
      <c r="BP2257" s="12"/>
      <c r="BQ2257" s="12"/>
      <c r="BR2257" s="12"/>
      <c r="BS2257" s="12"/>
      <c r="BT2257" s="12"/>
      <c r="BU2257" s="12"/>
      <c r="BV2257" s="12"/>
      <c r="BW2257" s="12"/>
      <c r="BX2257" s="12"/>
      <c r="BY2257" s="12"/>
      <c r="BZ2257" s="12"/>
      <c r="CA2257" s="12"/>
      <c r="CB2257" s="12"/>
      <c r="CC2257" s="12"/>
      <c r="CD2257" s="12"/>
    </row>
    <row r="2258" spans="1:82">
      <c r="A2258" s="13" t="s">
        <v>1675</v>
      </c>
      <c r="B2258" s="12" t="str">
        <f t="shared" si="427"/>
        <v>VISAGIE</v>
      </c>
      <c r="C2258" s="12" t="str">
        <f t="shared" si="428"/>
        <v>VISAGIE</v>
      </c>
      <c r="D2258" s="13" t="s">
        <v>6787</v>
      </c>
      <c r="E2258" s="12" t="str">
        <f t="shared" si="438"/>
        <v>Rudolphus Gerhardus</v>
      </c>
      <c r="F2258" s="13" t="s">
        <v>6788</v>
      </c>
      <c r="G2258" s="12" t="str">
        <f t="shared" si="429"/>
        <v>a1b1c11d14e3</v>
      </c>
      <c r="H2258" s="12" t="str">
        <f t="shared" si="430"/>
        <v>VISAGIEa1b1c11d14e3</v>
      </c>
      <c r="I2258" s="13"/>
      <c r="J2258" s="13" t="s">
        <v>6789</v>
      </c>
      <c r="K2258" s="12" t="str">
        <f t="shared" si="431"/>
        <v>1795</v>
      </c>
      <c r="L2258" s="13"/>
      <c r="M2258" s="13" t="s">
        <v>6681</v>
      </c>
      <c r="N2258" s="12" t="str">
        <f t="shared" si="436"/>
        <v>1795</v>
      </c>
      <c r="O2258" s="12" t="str">
        <f t="shared" si="437"/>
        <v>1798</v>
      </c>
      <c r="P2258" s="13" t="s">
        <v>6790</v>
      </c>
      <c r="Q2258" s="12" t="str">
        <f t="shared" si="432"/>
        <v>1795</v>
      </c>
      <c r="R2258" s="13">
        <v>1880</v>
      </c>
      <c r="S2258" s="12" t="str">
        <f t="shared" si="433"/>
        <v>1880</v>
      </c>
      <c r="T2258" s="13" t="s">
        <v>74</v>
      </c>
      <c r="U2258" s="13" t="s">
        <v>1646</v>
      </c>
      <c r="V2258" s="12" t="str">
        <f t="shared" si="434"/>
        <v>1816</v>
      </c>
      <c r="W2258" s="13" t="s">
        <v>3741</v>
      </c>
      <c r="X2258" s="13" t="s">
        <v>15527</v>
      </c>
      <c r="Y2258" s="13" t="s">
        <v>15528</v>
      </c>
      <c r="Z2258" s="13"/>
      <c r="AA2258" s="13"/>
      <c r="AB2258" s="13"/>
      <c r="AC2258" s="13" t="s">
        <v>2732</v>
      </c>
      <c r="AD2258" s="13"/>
      <c r="AE2258" s="13"/>
      <c r="AF2258" s="13" t="s">
        <v>16</v>
      </c>
      <c r="AG2258" s="13" t="s">
        <v>68</v>
      </c>
      <c r="AH2258" s="13" t="s">
        <v>385</v>
      </c>
      <c r="AI2258" s="12" t="str">
        <f t="shared" si="435"/>
        <v>1840</v>
      </c>
      <c r="AJ2258" s="13"/>
      <c r="AK2258" s="13" t="s">
        <v>90</v>
      </c>
      <c r="AL2258" s="13" t="s">
        <v>2702</v>
      </c>
      <c r="AM2258" s="13" t="s">
        <v>15529</v>
      </c>
      <c r="AN2258" s="13" t="s">
        <v>15530</v>
      </c>
      <c r="AO2258" s="13" t="s">
        <v>777</v>
      </c>
      <c r="AP2258" s="13" t="s">
        <v>5293</v>
      </c>
      <c r="AQ2258" s="13"/>
      <c r="AR2258" s="13"/>
      <c r="AS2258" s="13"/>
      <c r="AT2258" s="13" t="s">
        <v>15531</v>
      </c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2"/>
      <c r="BI2258" s="12"/>
      <c r="BJ2258" s="12"/>
      <c r="BK2258" s="12"/>
      <c r="BL2258" s="12"/>
      <c r="BM2258" s="12"/>
      <c r="BN2258" s="12"/>
      <c r="BO2258" s="12"/>
      <c r="BP2258" s="12"/>
      <c r="BQ2258" s="12"/>
      <c r="BR2258" s="12"/>
      <c r="BS2258" s="12"/>
      <c r="BT2258" s="12"/>
      <c r="BU2258" s="12"/>
      <c r="BV2258" s="12"/>
      <c r="BW2258" s="12"/>
      <c r="BX2258" s="12"/>
      <c r="BY2258" s="12"/>
      <c r="BZ2258" s="12"/>
      <c r="CA2258" s="12"/>
      <c r="CB2258" s="12"/>
      <c r="CC2258" s="12"/>
      <c r="CD2258" s="12"/>
    </row>
    <row r="2259" spans="1:82">
      <c r="A2259" s="13" t="s">
        <v>1675</v>
      </c>
      <c r="B2259" s="12" t="str">
        <f t="shared" si="427"/>
        <v>VISAGIE</v>
      </c>
      <c r="C2259" s="12" t="str">
        <f t="shared" si="428"/>
        <v>VISAGIE</v>
      </c>
      <c r="D2259" s="13" t="s">
        <v>6765</v>
      </c>
      <c r="E2259" s="12" t="str">
        <f t="shared" si="438"/>
        <v>Gideon Jacobus (Johannes)</v>
      </c>
      <c r="F2259" s="13" t="s">
        <v>6766</v>
      </c>
      <c r="G2259" s="12" t="str">
        <f t="shared" si="429"/>
        <v>a1b1c11d14e3f3</v>
      </c>
      <c r="H2259" s="12" t="str">
        <f t="shared" si="430"/>
        <v>VISAGIEa1b1c11d14e3f3</v>
      </c>
      <c r="I2259" s="13"/>
      <c r="J2259" s="13" t="s">
        <v>6767</v>
      </c>
      <c r="K2259" s="12" t="str">
        <f t="shared" si="431"/>
        <v>1823</v>
      </c>
      <c r="L2259" s="13" t="s">
        <v>74</v>
      </c>
      <c r="M2259" s="13" t="s">
        <v>6768</v>
      </c>
      <c r="N2259" s="12" t="str">
        <f t="shared" si="436"/>
        <v>1823</v>
      </c>
      <c r="O2259" s="12" t="str">
        <f t="shared" si="437"/>
        <v>1824</v>
      </c>
      <c r="P2259" s="13"/>
      <c r="Q2259" s="12" t="str">
        <f t="shared" si="432"/>
        <v>1823</v>
      </c>
      <c r="R2259" s="13"/>
      <c r="S2259" s="12" t="str">
        <f t="shared" si="433"/>
        <v/>
      </c>
      <c r="T2259" s="12"/>
      <c r="U2259" s="13"/>
      <c r="V2259" s="12" t="str">
        <f t="shared" si="434"/>
        <v/>
      </c>
      <c r="W2259" s="13" t="s">
        <v>804</v>
      </c>
      <c r="X2259" s="13" t="s">
        <v>669</v>
      </c>
      <c r="Y2259" s="13"/>
      <c r="Z2259" s="13"/>
      <c r="AA2259" s="13"/>
      <c r="AB2259" s="13"/>
      <c r="AC2259" s="13"/>
      <c r="AD2259" s="13"/>
      <c r="AE2259" s="13"/>
      <c r="AF2259" s="13" t="s">
        <v>16</v>
      </c>
      <c r="AG2259" s="13" t="s">
        <v>68</v>
      </c>
      <c r="AH2259" s="13">
        <v>1840</v>
      </c>
      <c r="AI2259" s="12" t="str">
        <f t="shared" si="435"/>
        <v>1840</v>
      </c>
      <c r="AJ2259" s="13"/>
      <c r="AK2259" s="13" t="s">
        <v>90</v>
      </c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2"/>
      <c r="BI2259" s="12"/>
      <c r="BJ2259" s="12"/>
      <c r="BK2259" s="12"/>
      <c r="BL2259" s="12"/>
      <c r="BM2259" s="12"/>
      <c r="BN2259" s="12"/>
      <c r="BO2259" s="12"/>
      <c r="BP2259" s="12"/>
      <c r="BQ2259" s="12"/>
      <c r="BR2259" s="12"/>
      <c r="BS2259" s="12"/>
      <c r="BT2259" s="12"/>
      <c r="BU2259" s="12"/>
      <c r="BV2259" s="12"/>
      <c r="BW2259" s="12"/>
      <c r="BX2259" s="12"/>
      <c r="BY2259" s="12"/>
      <c r="BZ2259" s="12"/>
      <c r="CA2259" s="12"/>
      <c r="CB2259" s="12"/>
      <c r="CC2259" s="12"/>
      <c r="CD2259" s="12"/>
    </row>
    <row r="2260" spans="1:82">
      <c r="A2260" s="13" t="s">
        <v>1675</v>
      </c>
      <c r="B2260" s="12" t="str">
        <f t="shared" si="427"/>
        <v>VISAGIE</v>
      </c>
      <c r="C2260" s="12" t="str">
        <f t="shared" si="428"/>
        <v>VISAGIE</v>
      </c>
      <c r="D2260" s="13" t="s">
        <v>1284</v>
      </c>
      <c r="E2260" s="12" t="str">
        <f t="shared" si="438"/>
        <v>Johannes Hendrik</v>
      </c>
      <c r="F2260" s="13" t="s">
        <v>6778</v>
      </c>
      <c r="G2260" s="12" t="str">
        <f t="shared" si="429"/>
        <v>a1b1c4d5e2f1</v>
      </c>
      <c r="H2260" s="12" t="str">
        <f t="shared" si="430"/>
        <v>VISAGIEa1b1c4d5e2f1</v>
      </c>
      <c r="I2260" s="13"/>
      <c r="J2260" s="13" t="s">
        <v>6779</v>
      </c>
      <c r="K2260" s="12" t="str">
        <f t="shared" si="431"/>
        <v>1815</v>
      </c>
      <c r="L2260" s="13" t="s">
        <v>5738</v>
      </c>
      <c r="M2260" s="13" t="s">
        <v>6780</v>
      </c>
      <c r="N2260" s="12" t="str">
        <f t="shared" si="436"/>
        <v>1815</v>
      </c>
      <c r="O2260" s="12" t="str">
        <f t="shared" si="437"/>
        <v>1815</v>
      </c>
      <c r="P2260" s="13" t="s">
        <v>6781</v>
      </c>
      <c r="Q2260" s="12" t="str">
        <f t="shared" si="432"/>
        <v>1815</v>
      </c>
      <c r="R2260" s="13" t="s">
        <v>6782</v>
      </c>
      <c r="S2260" s="12" t="str">
        <f t="shared" si="433"/>
        <v>1884</v>
      </c>
      <c r="T2260" s="13" t="s">
        <v>3587</v>
      </c>
      <c r="U2260" s="13" t="s">
        <v>4938</v>
      </c>
      <c r="V2260" s="12" t="str">
        <f t="shared" si="434"/>
        <v>1834</v>
      </c>
      <c r="W2260" s="13" t="s">
        <v>4026</v>
      </c>
      <c r="X2260" s="13" t="s">
        <v>1997</v>
      </c>
      <c r="Y2260" s="13"/>
      <c r="Z2260" s="13"/>
      <c r="AA2260" s="13"/>
      <c r="AB2260" s="13"/>
      <c r="AC2260" s="13"/>
      <c r="AD2260" s="13"/>
      <c r="AE2260" s="13"/>
      <c r="AF2260" s="13" t="s">
        <v>8582</v>
      </c>
      <c r="AG2260" s="13" t="s">
        <v>395</v>
      </c>
      <c r="AH2260" s="13">
        <v>1836</v>
      </c>
      <c r="AI2260" s="12" t="str">
        <f t="shared" si="435"/>
        <v>1836</v>
      </c>
      <c r="AJ2260" s="13" t="s">
        <v>15213</v>
      </c>
      <c r="AK2260" s="13" t="s">
        <v>1864</v>
      </c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2"/>
      <c r="BI2260" s="12"/>
      <c r="BJ2260" s="12"/>
      <c r="BK2260" s="12"/>
      <c r="BL2260" s="12"/>
      <c r="BM2260" s="12"/>
      <c r="BN2260" s="12"/>
      <c r="BO2260" s="12"/>
      <c r="BP2260" s="12"/>
      <c r="BQ2260" s="12"/>
      <c r="BR2260" s="12"/>
      <c r="BS2260" s="12"/>
      <c r="BT2260" s="12"/>
      <c r="BU2260" s="12"/>
      <c r="BV2260" s="12"/>
      <c r="BW2260" s="12"/>
      <c r="BX2260" s="12"/>
      <c r="BY2260" s="12"/>
      <c r="BZ2260" s="12"/>
      <c r="CA2260" s="12"/>
      <c r="CB2260" s="12"/>
      <c r="CC2260" s="12"/>
      <c r="CD2260" s="12"/>
    </row>
    <row r="2261" spans="1:82">
      <c r="A2261" s="13" t="s">
        <v>1675</v>
      </c>
      <c r="B2261" s="12" t="str">
        <f t="shared" si="427"/>
        <v>VISAGIE</v>
      </c>
      <c r="C2261" s="12" t="str">
        <f t="shared" si="428"/>
        <v>VISAGIE</v>
      </c>
      <c r="D2261" s="13" t="s">
        <v>6760</v>
      </c>
      <c r="E2261" s="12" t="str">
        <f t="shared" si="438"/>
        <v>Gerrit Willem</v>
      </c>
      <c r="F2261" s="13" t="s">
        <v>6761</v>
      </c>
      <c r="G2261" s="12" t="str">
        <f t="shared" si="429"/>
        <v>a1b1c4d5e2f2</v>
      </c>
      <c r="H2261" s="12" t="str">
        <f t="shared" si="430"/>
        <v>VISAGIEa1b1c4d5e2f2</v>
      </c>
      <c r="I2261" s="13"/>
      <c r="J2261" s="13" t="s">
        <v>3930</v>
      </c>
      <c r="K2261" s="12" t="str">
        <f t="shared" si="431"/>
        <v>1817</v>
      </c>
      <c r="L2261" s="13"/>
      <c r="M2261" s="13" t="s">
        <v>6762</v>
      </c>
      <c r="N2261" s="12" t="str">
        <f t="shared" si="436"/>
        <v>1817</v>
      </c>
      <c r="O2261" s="12" t="str">
        <f t="shared" si="437"/>
        <v>1818</v>
      </c>
      <c r="P2261" s="13" t="s">
        <v>6763</v>
      </c>
      <c r="Q2261" s="12" t="str">
        <f t="shared" si="432"/>
        <v>1817</v>
      </c>
      <c r="R2261" s="13" t="s">
        <v>6764</v>
      </c>
      <c r="S2261" s="12" t="str">
        <f t="shared" si="433"/>
        <v>1838</v>
      </c>
      <c r="T2261" s="13"/>
      <c r="U2261" s="13"/>
      <c r="V2261" s="12" t="str">
        <f t="shared" si="434"/>
        <v/>
      </c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 t="s">
        <v>8582</v>
      </c>
      <c r="AG2261" s="13" t="s">
        <v>395</v>
      </c>
      <c r="AH2261" s="13">
        <v>1836</v>
      </c>
      <c r="AI2261" s="12" t="str">
        <f t="shared" si="435"/>
        <v>1836</v>
      </c>
      <c r="AJ2261" s="13" t="s">
        <v>15213</v>
      </c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2"/>
      <c r="BI2261" s="12"/>
      <c r="BJ2261" s="12"/>
      <c r="BK2261" s="12"/>
      <c r="BL2261" s="12"/>
      <c r="BM2261" s="12"/>
      <c r="BN2261" s="12"/>
      <c r="BO2261" s="12"/>
      <c r="BP2261" s="12"/>
      <c r="BQ2261" s="12"/>
      <c r="BR2261" s="12"/>
      <c r="BS2261" s="12"/>
      <c r="BT2261" s="12"/>
      <c r="BU2261" s="12"/>
      <c r="BV2261" s="12"/>
      <c r="BW2261" s="12"/>
      <c r="BX2261" s="12"/>
      <c r="BY2261" s="12"/>
      <c r="BZ2261" s="12"/>
      <c r="CA2261" s="12"/>
      <c r="CB2261" s="12"/>
      <c r="CC2261" s="12"/>
      <c r="CD2261" s="12"/>
    </row>
    <row r="2262" spans="1:82">
      <c r="A2262" s="13" t="s">
        <v>1675</v>
      </c>
      <c r="B2262" s="12" t="str">
        <f t="shared" si="427"/>
        <v>VISAGIE</v>
      </c>
      <c r="C2262" s="12" t="str">
        <f t="shared" si="428"/>
        <v>VISAGIE</v>
      </c>
      <c r="D2262" s="13" t="s">
        <v>6769</v>
      </c>
      <c r="E2262" s="12" t="str">
        <f t="shared" si="438"/>
        <v>Izaak Heremias</v>
      </c>
      <c r="F2262" s="13" t="s">
        <v>6772</v>
      </c>
      <c r="G2262" s="12" t="str">
        <f t="shared" si="429"/>
        <v>a1b1c5d4e5</v>
      </c>
      <c r="H2262" s="12" t="str">
        <f t="shared" si="430"/>
        <v>VISAGIEa1b1c5d4e5</v>
      </c>
      <c r="I2262" s="13" t="s">
        <v>6773</v>
      </c>
      <c r="J2262" s="13" t="s">
        <v>6774</v>
      </c>
      <c r="K2262" s="12" t="str">
        <f t="shared" si="431"/>
        <v>1792</v>
      </c>
      <c r="L2262" s="13" t="s">
        <v>5738</v>
      </c>
      <c r="M2262" s="13" t="s">
        <v>6775</v>
      </c>
      <c r="N2262" s="12" t="str">
        <f t="shared" si="436"/>
        <v>1792</v>
      </c>
      <c r="O2262" s="12" t="str">
        <f t="shared" si="437"/>
        <v>1792</v>
      </c>
      <c r="P2262" s="13" t="s">
        <v>6776</v>
      </c>
      <c r="Q2262" s="12" t="str">
        <f t="shared" si="432"/>
        <v>1792</v>
      </c>
      <c r="R2262" s="13" t="s">
        <v>6777</v>
      </c>
      <c r="S2262" s="12" t="str">
        <f t="shared" si="433"/>
        <v>1867</v>
      </c>
      <c r="T2262" s="13" t="s">
        <v>542</v>
      </c>
      <c r="U2262" s="13" t="s">
        <v>15522</v>
      </c>
      <c r="V2262" s="12" t="str">
        <f t="shared" si="434"/>
        <v>1812</v>
      </c>
      <c r="W2262" s="13" t="s">
        <v>1413</v>
      </c>
      <c r="X2262" s="13" t="s">
        <v>700</v>
      </c>
      <c r="Y2262" s="13"/>
      <c r="Z2262" s="13"/>
      <c r="AA2262" s="13" t="s">
        <v>15523</v>
      </c>
      <c r="AB2262" s="13"/>
      <c r="AC2262" s="13" t="s">
        <v>5369</v>
      </c>
      <c r="AD2262" s="13" t="s">
        <v>15169</v>
      </c>
      <c r="AE2262" s="13" t="s">
        <v>15524</v>
      </c>
      <c r="AF2262" s="13" t="s">
        <v>3951</v>
      </c>
      <c r="AG2262" s="13" t="s">
        <v>395</v>
      </c>
      <c r="AH2262" s="13">
        <v>1840</v>
      </c>
      <c r="AI2262" s="12" t="str">
        <f t="shared" si="435"/>
        <v>1840</v>
      </c>
      <c r="AJ2262" s="13"/>
      <c r="AK2262" s="13" t="s">
        <v>90</v>
      </c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2"/>
      <c r="BI2262" s="12"/>
      <c r="BJ2262" s="12"/>
      <c r="BK2262" s="12"/>
      <c r="BL2262" s="12"/>
      <c r="BM2262" s="12"/>
      <c r="BN2262" s="12"/>
      <c r="BO2262" s="12"/>
      <c r="BP2262" s="12"/>
      <c r="BQ2262" s="12"/>
      <c r="BR2262" s="12"/>
      <c r="BS2262" s="12"/>
      <c r="BT2262" s="12"/>
      <c r="BU2262" s="12"/>
      <c r="BV2262" s="12"/>
      <c r="BW2262" s="12"/>
      <c r="BX2262" s="12"/>
      <c r="BY2262" s="12"/>
      <c r="BZ2262" s="12"/>
      <c r="CA2262" s="12"/>
      <c r="CB2262" s="12"/>
      <c r="CC2262" s="12"/>
      <c r="CD2262" s="12"/>
    </row>
    <row r="2263" spans="1:82">
      <c r="A2263" s="13" t="s">
        <v>1675</v>
      </c>
      <c r="B2263" s="12" t="str">
        <f t="shared" si="427"/>
        <v>VISAGIE</v>
      </c>
      <c r="C2263" s="12" t="str">
        <f t="shared" si="428"/>
        <v>VISAGIE</v>
      </c>
      <c r="D2263" s="13" t="s">
        <v>6758</v>
      </c>
      <c r="E2263" s="12" t="str">
        <f t="shared" si="438"/>
        <v>Gerrit Johannes</v>
      </c>
      <c r="F2263" s="13" t="s">
        <v>6759</v>
      </c>
      <c r="G2263" s="12" t="str">
        <f t="shared" si="429"/>
        <v>a1b1c5d4e5f1</v>
      </c>
      <c r="H2263" s="12" t="str">
        <f t="shared" si="430"/>
        <v>VISAGIEa1b1c5d4e5f1</v>
      </c>
      <c r="I2263" s="13"/>
      <c r="J2263" s="13">
        <v>1812</v>
      </c>
      <c r="K2263" s="12" t="str">
        <f t="shared" si="431"/>
        <v>1812</v>
      </c>
      <c r="L2263" s="13"/>
      <c r="M2263" s="13"/>
      <c r="N2263" s="12" t="str">
        <f t="shared" si="436"/>
        <v>1812</v>
      </c>
      <c r="O2263" s="12" t="str">
        <f t="shared" si="437"/>
        <v/>
      </c>
      <c r="P2263" s="13"/>
      <c r="Q2263" s="12" t="str">
        <f t="shared" si="432"/>
        <v>1812</v>
      </c>
      <c r="R2263" s="13"/>
      <c r="S2263" s="12" t="str">
        <f t="shared" si="433"/>
        <v/>
      </c>
      <c r="T2263" s="13"/>
      <c r="U2263" s="13"/>
      <c r="V2263" s="12" t="str">
        <f t="shared" si="434"/>
        <v/>
      </c>
      <c r="W2263" s="13" t="s">
        <v>15520</v>
      </c>
      <c r="X2263" s="13" t="s">
        <v>8373</v>
      </c>
      <c r="Y2263" s="13"/>
      <c r="Z2263" s="13"/>
      <c r="AA2263" s="13"/>
      <c r="AB2263" s="13"/>
      <c r="AC2263" s="13"/>
      <c r="AD2263" s="13"/>
      <c r="AE2263" s="13"/>
      <c r="AF2263" s="13" t="s">
        <v>3951</v>
      </c>
      <c r="AG2263" s="13" t="s">
        <v>395</v>
      </c>
      <c r="AH2263" s="13" t="s">
        <v>12776</v>
      </c>
      <c r="AI2263" s="12" t="str">
        <f t="shared" si="435"/>
        <v>1842</v>
      </c>
      <c r="AJ2263" s="13"/>
      <c r="AK2263" s="13" t="s">
        <v>90</v>
      </c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/>
      <c r="BC2263" s="13"/>
      <c r="BD2263" s="13"/>
      <c r="BE2263" s="13"/>
      <c r="BF2263" s="13"/>
      <c r="BG2263" s="13"/>
      <c r="BH2263" s="12"/>
      <c r="BI2263" s="12"/>
      <c r="BJ2263" s="12"/>
      <c r="BK2263" s="12"/>
      <c r="BL2263" s="12"/>
      <c r="BM2263" s="12"/>
      <c r="BN2263" s="12"/>
      <c r="BO2263" s="12"/>
      <c r="BP2263" s="12"/>
      <c r="BQ2263" s="12"/>
      <c r="BR2263" s="12"/>
      <c r="BS2263" s="12"/>
      <c r="BT2263" s="12"/>
      <c r="BU2263" s="12"/>
      <c r="BV2263" s="12"/>
      <c r="BW2263" s="12"/>
      <c r="BX2263" s="12"/>
      <c r="BY2263" s="12"/>
      <c r="BZ2263" s="12"/>
      <c r="CA2263" s="12"/>
      <c r="CB2263" s="12"/>
      <c r="CC2263" s="12"/>
      <c r="CD2263" s="12"/>
    </row>
    <row r="2264" spans="1:82">
      <c r="A2264" s="13" t="s">
        <v>1675</v>
      </c>
      <c r="B2264" s="12" t="str">
        <f t="shared" si="427"/>
        <v>VISAGIE</v>
      </c>
      <c r="C2264" s="12" t="str">
        <f t="shared" si="428"/>
        <v>VISAGIE</v>
      </c>
      <c r="D2264" s="13" t="s">
        <v>6754</v>
      </c>
      <c r="E2264" s="12" t="str">
        <f t="shared" si="438"/>
        <v>Carel Aron</v>
      </c>
      <c r="F2264" s="13" t="s">
        <v>6755</v>
      </c>
      <c r="G2264" s="12" t="str">
        <f t="shared" si="429"/>
        <v>a1b1c5d4e5f3</v>
      </c>
      <c r="H2264" s="12" t="str">
        <f t="shared" si="430"/>
        <v>VISAGIEa1b1c5d4e5f3</v>
      </c>
      <c r="I2264" s="13" t="s">
        <v>542</v>
      </c>
      <c r="J2264" s="13" t="s">
        <v>6756</v>
      </c>
      <c r="K2264" s="12" t="str">
        <f t="shared" si="431"/>
        <v>1817</v>
      </c>
      <c r="L2264" s="13" t="s">
        <v>5738</v>
      </c>
      <c r="M2264" s="13" t="s">
        <v>6757</v>
      </c>
      <c r="N2264" s="12" t="str">
        <f t="shared" si="436"/>
        <v>1817</v>
      </c>
      <c r="O2264" s="12" t="str">
        <f t="shared" si="437"/>
        <v>1817</v>
      </c>
      <c r="P2264" s="13"/>
      <c r="Q2264" s="12" t="str">
        <f t="shared" si="432"/>
        <v>1817</v>
      </c>
      <c r="R2264" s="13"/>
      <c r="S2264" s="12" t="str">
        <f t="shared" si="433"/>
        <v/>
      </c>
      <c r="T2264" s="13" t="s">
        <v>3587</v>
      </c>
      <c r="U2264" s="13" t="s">
        <v>2510</v>
      </c>
      <c r="V2264" s="12" t="str">
        <f t="shared" si="434"/>
        <v>1834</v>
      </c>
      <c r="W2264" s="13" t="s">
        <v>714</v>
      </c>
      <c r="X2264" s="13" t="s">
        <v>821</v>
      </c>
      <c r="Y2264" s="13"/>
      <c r="Z2264" s="13"/>
      <c r="AA2264" s="13"/>
      <c r="AB2264" s="13"/>
      <c r="AC2264" s="13"/>
      <c r="AD2264" s="13"/>
      <c r="AE2264" s="13"/>
      <c r="AF2264" s="13" t="s">
        <v>3951</v>
      </c>
      <c r="AG2264" s="13" t="s">
        <v>395</v>
      </c>
      <c r="AH2264" s="13" t="s">
        <v>12776</v>
      </c>
      <c r="AI2264" s="12" t="str">
        <f t="shared" si="435"/>
        <v>1842</v>
      </c>
      <c r="AJ2264" s="13"/>
      <c r="AK2264" s="13" t="s">
        <v>90</v>
      </c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2"/>
      <c r="BI2264" s="12"/>
      <c r="BJ2264" s="12"/>
      <c r="BK2264" s="12"/>
      <c r="BL2264" s="12"/>
      <c r="BM2264" s="12"/>
      <c r="BN2264" s="12"/>
      <c r="BO2264" s="12"/>
      <c r="BP2264" s="12"/>
      <c r="BQ2264" s="12"/>
      <c r="BR2264" s="12"/>
      <c r="BS2264" s="12"/>
      <c r="BT2264" s="12"/>
      <c r="BU2264" s="12"/>
      <c r="BV2264" s="12"/>
      <c r="BW2264" s="12"/>
      <c r="BX2264" s="12"/>
      <c r="BY2264" s="12"/>
      <c r="BZ2264" s="12"/>
      <c r="CA2264" s="12"/>
      <c r="CB2264" s="12"/>
      <c r="CC2264" s="12"/>
      <c r="CD2264" s="12"/>
    </row>
    <row r="2265" spans="1:82">
      <c r="A2265" s="13" t="s">
        <v>1675</v>
      </c>
      <c r="B2265" s="12" t="str">
        <f t="shared" si="427"/>
        <v>VISAGIE</v>
      </c>
      <c r="C2265" s="12" t="str">
        <f t="shared" si="428"/>
        <v>VISAGIE</v>
      </c>
      <c r="D2265" s="13" t="s">
        <v>6769</v>
      </c>
      <c r="E2265" s="12" t="str">
        <f t="shared" si="438"/>
        <v>Izaak Heremias</v>
      </c>
      <c r="F2265" s="13" t="s">
        <v>6770</v>
      </c>
      <c r="G2265" s="12" t="str">
        <f t="shared" si="429"/>
        <v>a1b1c5d4e5f4</v>
      </c>
      <c r="H2265" s="12" t="str">
        <f t="shared" si="430"/>
        <v>VISAGIEa1b1c5d4e5f4</v>
      </c>
      <c r="I2265" s="13" t="s">
        <v>542</v>
      </c>
      <c r="J2265" s="13" t="s">
        <v>6091</v>
      </c>
      <c r="K2265" s="12" t="str">
        <f t="shared" si="431"/>
        <v>1819</v>
      </c>
      <c r="L2265" s="13"/>
      <c r="M2265" s="13" t="s">
        <v>6771</v>
      </c>
      <c r="N2265" s="12" t="str">
        <f t="shared" si="436"/>
        <v>1819</v>
      </c>
      <c r="O2265" s="12" t="str">
        <f t="shared" si="437"/>
        <v>1819</v>
      </c>
      <c r="P2265" s="13"/>
      <c r="Q2265" s="12" t="str">
        <f t="shared" si="432"/>
        <v>1819</v>
      </c>
      <c r="R2265" s="13"/>
      <c r="S2265" s="12" t="str">
        <f t="shared" si="433"/>
        <v/>
      </c>
      <c r="T2265" s="13" t="s">
        <v>3587</v>
      </c>
      <c r="U2265" s="13" t="s">
        <v>5533</v>
      </c>
      <c r="V2265" s="12" t="str">
        <f t="shared" si="434"/>
        <v>1839</v>
      </c>
      <c r="W2265" s="13" t="s">
        <v>13400</v>
      </c>
      <c r="X2265" s="13" t="s">
        <v>700</v>
      </c>
      <c r="Y2265" s="13" t="s">
        <v>15521</v>
      </c>
      <c r="Z2265" s="13"/>
      <c r="AA2265" s="13"/>
      <c r="AB2265" s="13"/>
      <c r="AC2265" s="13"/>
      <c r="AD2265" s="13"/>
      <c r="AE2265" s="13"/>
      <c r="AF2265" s="13" t="s">
        <v>3951</v>
      </c>
      <c r="AG2265" s="13" t="s">
        <v>395</v>
      </c>
      <c r="AH2265" s="13">
        <v>1840</v>
      </c>
      <c r="AI2265" s="12" t="str">
        <f t="shared" si="435"/>
        <v>1840</v>
      </c>
      <c r="AJ2265" s="13"/>
      <c r="AK2265" s="13" t="s">
        <v>90</v>
      </c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2"/>
      <c r="BI2265" s="12"/>
      <c r="BJ2265" s="12"/>
      <c r="BK2265" s="12"/>
      <c r="BL2265" s="12"/>
      <c r="BM2265" s="12"/>
      <c r="BN2265" s="12"/>
      <c r="BO2265" s="12"/>
      <c r="BP2265" s="12"/>
      <c r="BQ2265" s="12"/>
      <c r="BR2265" s="12"/>
      <c r="BS2265" s="12"/>
      <c r="BT2265" s="12"/>
      <c r="BU2265" s="12"/>
      <c r="BV2265" s="12"/>
      <c r="BW2265" s="12"/>
      <c r="BX2265" s="12"/>
      <c r="BY2265" s="12"/>
      <c r="BZ2265" s="12"/>
      <c r="CA2265" s="12"/>
      <c r="CB2265" s="12"/>
      <c r="CC2265" s="12"/>
      <c r="CD2265" s="12"/>
    </row>
    <row r="2266" spans="1:82">
      <c r="A2266" s="13" t="s">
        <v>1675</v>
      </c>
      <c r="B2266" s="12" t="str">
        <f t="shared" si="427"/>
        <v>VISAGIE</v>
      </c>
      <c r="C2266" s="12" t="str">
        <f t="shared" si="428"/>
        <v>VISAGIE</v>
      </c>
      <c r="D2266" s="13" t="s">
        <v>1948</v>
      </c>
      <c r="E2266" s="12" t="str">
        <f t="shared" si="438"/>
        <v>Schalk Willem</v>
      </c>
      <c r="F2266" s="13" t="s">
        <v>6791</v>
      </c>
      <c r="G2266" s="12" t="str">
        <f t="shared" si="429"/>
        <v>a1b1c5d4e5f5</v>
      </c>
      <c r="H2266" s="12" t="str">
        <f t="shared" si="430"/>
        <v>VISAGIEa1b1c5d4e5f5</v>
      </c>
      <c r="I2266" s="13"/>
      <c r="J2266" s="13" t="s">
        <v>6792</v>
      </c>
      <c r="K2266" s="12" t="str">
        <f t="shared" si="431"/>
        <v>1820</v>
      </c>
      <c r="L2266" s="13" t="s">
        <v>5738</v>
      </c>
      <c r="M2266" s="13" t="s">
        <v>6793</v>
      </c>
      <c r="N2266" s="12" t="str">
        <f t="shared" si="436"/>
        <v>1820</v>
      </c>
      <c r="O2266" s="12" t="str">
        <f t="shared" si="437"/>
        <v>1821</v>
      </c>
      <c r="P2266" s="13"/>
      <c r="Q2266" s="12" t="str">
        <f t="shared" si="432"/>
        <v>1820</v>
      </c>
      <c r="R2266" s="13"/>
      <c r="S2266" s="12" t="str">
        <f t="shared" si="433"/>
        <v/>
      </c>
      <c r="T2266" s="12"/>
      <c r="U2266" s="13"/>
      <c r="V2266" s="12" t="str">
        <f t="shared" si="434"/>
        <v/>
      </c>
      <c r="W2266" s="13" t="s">
        <v>15532</v>
      </c>
      <c r="X2266" s="13" t="s">
        <v>637</v>
      </c>
      <c r="Y2266" s="13"/>
      <c r="Z2266" s="13"/>
      <c r="AA2266" s="13"/>
      <c r="AB2266" s="13"/>
      <c r="AC2266" s="13"/>
      <c r="AD2266" s="13"/>
      <c r="AE2266" s="13"/>
      <c r="AF2266" s="13" t="s">
        <v>3951</v>
      </c>
      <c r="AG2266" s="13" t="s">
        <v>395</v>
      </c>
      <c r="AH2266" s="13" t="s">
        <v>5021</v>
      </c>
      <c r="AI2266" s="12" t="str">
        <f t="shared" si="435"/>
        <v>1842</v>
      </c>
      <c r="AJ2266" s="13"/>
      <c r="AK2266" s="13" t="s">
        <v>90</v>
      </c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2"/>
      <c r="BI2266" s="12"/>
      <c r="BJ2266" s="12"/>
      <c r="BK2266" s="12"/>
      <c r="BL2266" s="12"/>
      <c r="BM2266" s="12"/>
      <c r="BN2266" s="12"/>
      <c r="BO2266" s="12"/>
      <c r="BP2266" s="12"/>
      <c r="BQ2266" s="12"/>
      <c r="BR2266" s="12"/>
      <c r="BS2266" s="12"/>
      <c r="BT2266" s="12"/>
      <c r="BU2266" s="12"/>
      <c r="BV2266" s="12"/>
      <c r="BW2266" s="12"/>
      <c r="BX2266" s="12"/>
      <c r="BY2266" s="12"/>
      <c r="BZ2266" s="12"/>
      <c r="CA2266" s="12"/>
      <c r="CB2266" s="12"/>
      <c r="CC2266" s="12"/>
      <c r="CD2266" s="12"/>
    </row>
    <row r="2267" spans="1:82">
      <c r="A2267" s="13" t="s">
        <v>1675</v>
      </c>
      <c r="B2267" s="12" t="str">
        <f t="shared" si="427"/>
        <v>VISAGIE</v>
      </c>
      <c r="C2267" s="12" t="str">
        <f t="shared" si="428"/>
        <v>VISAGIE</v>
      </c>
      <c r="D2267" s="13" t="s">
        <v>231</v>
      </c>
      <c r="E2267" s="12" t="str">
        <f t="shared" si="438"/>
        <v>Willem Johannes</v>
      </c>
      <c r="F2267" s="13" t="s">
        <v>6794</v>
      </c>
      <c r="G2267" s="12" t="str">
        <f t="shared" si="429"/>
        <v>a1b1c5d4e5f6</v>
      </c>
      <c r="H2267" s="12" t="str">
        <f t="shared" si="430"/>
        <v>VISAGIEa1b1c5d4e5f6</v>
      </c>
      <c r="I2267" s="13"/>
      <c r="J2267" s="13" t="s">
        <v>6795</v>
      </c>
      <c r="K2267" s="12" t="str">
        <f t="shared" si="431"/>
        <v>1823</v>
      </c>
      <c r="L2267" s="13" t="s">
        <v>5738</v>
      </c>
      <c r="M2267" s="13" t="s">
        <v>6796</v>
      </c>
      <c r="N2267" s="12" t="str">
        <f t="shared" si="436"/>
        <v>1823</v>
      </c>
      <c r="O2267" s="12" t="str">
        <f t="shared" si="437"/>
        <v>1824</v>
      </c>
      <c r="P2267" s="13" t="s">
        <v>160</v>
      </c>
      <c r="Q2267" s="12" t="str">
        <f t="shared" si="432"/>
        <v>1823</v>
      </c>
      <c r="R2267" s="13" t="s">
        <v>6797</v>
      </c>
      <c r="S2267" s="12" t="str">
        <f t="shared" si="433"/>
        <v>1857</v>
      </c>
      <c r="T2267" s="13" t="s">
        <v>168</v>
      </c>
      <c r="U2267" s="13" t="s">
        <v>15533</v>
      </c>
      <c r="V2267" s="12" t="str">
        <f t="shared" si="434"/>
        <v>1842</v>
      </c>
      <c r="W2267" s="13" t="s">
        <v>15534</v>
      </c>
      <c r="X2267" s="13" t="s">
        <v>618</v>
      </c>
      <c r="Y2267" s="13" t="s">
        <v>15535</v>
      </c>
      <c r="Z2267" s="13"/>
      <c r="AA2267" s="13"/>
      <c r="AB2267" s="13"/>
      <c r="AC2267" s="13"/>
      <c r="AD2267" s="13"/>
      <c r="AE2267" s="13"/>
      <c r="AF2267" s="13" t="s">
        <v>3951</v>
      </c>
      <c r="AG2267" s="13" t="s">
        <v>395</v>
      </c>
      <c r="AH2267" s="13" t="s">
        <v>5021</v>
      </c>
      <c r="AI2267" s="12" t="str">
        <f t="shared" si="435"/>
        <v>1842</v>
      </c>
      <c r="AJ2267" s="13"/>
      <c r="AK2267" s="13" t="s">
        <v>14568</v>
      </c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2"/>
      <c r="BI2267" s="12"/>
      <c r="BJ2267" s="12"/>
      <c r="BK2267" s="12"/>
      <c r="BL2267" s="12"/>
      <c r="BM2267" s="12"/>
      <c r="BN2267" s="12"/>
      <c r="BO2267" s="12"/>
      <c r="BP2267" s="12"/>
      <c r="BQ2267" s="12"/>
      <c r="BR2267" s="12"/>
      <c r="BS2267" s="12"/>
      <c r="BT2267" s="12"/>
      <c r="BU2267" s="12"/>
      <c r="BV2267" s="12"/>
      <c r="BW2267" s="12"/>
      <c r="BX2267" s="12"/>
      <c r="BY2267" s="12"/>
      <c r="BZ2267" s="12"/>
      <c r="CA2267" s="12"/>
      <c r="CB2267" s="12"/>
      <c r="CC2267" s="12"/>
      <c r="CD2267" s="12"/>
    </row>
    <row r="2268" spans="1:82">
      <c r="A2268" s="13" t="s">
        <v>6798</v>
      </c>
      <c r="B2268" s="12" t="str">
        <f t="shared" si="427"/>
        <v>VISSER</v>
      </c>
      <c r="C2268" s="12" t="str">
        <f t="shared" si="428"/>
        <v>VISSER</v>
      </c>
      <c r="D2268" s="13" t="s">
        <v>1132</v>
      </c>
      <c r="E2268" s="12" t="str">
        <f t="shared" si="438"/>
        <v>Christoffel Jacobus</v>
      </c>
      <c r="F2268" s="13" t="s">
        <v>6799</v>
      </c>
      <c r="G2268" s="12" t="str">
        <f t="shared" si="429"/>
        <v>a1b2c12d1e4f4g2</v>
      </c>
      <c r="H2268" s="12" t="str">
        <f t="shared" si="430"/>
        <v>VISSERa1b2c12d1e4f4g2</v>
      </c>
      <c r="I2268" s="13"/>
      <c r="J2268" s="13" t="s">
        <v>6800</v>
      </c>
      <c r="K2268" s="12" t="str">
        <f t="shared" si="431"/>
        <v>1807</v>
      </c>
      <c r="L2268" s="13" t="s">
        <v>74</v>
      </c>
      <c r="M2268" s="13" t="s">
        <v>6801</v>
      </c>
      <c r="N2268" s="12" t="str">
        <f t="shared" si="436"/>
        <v>1807</v>
      </c>
      <c r="O2268" s="12" t="str">
        <f t="shared" si="437"/>
        <v>1807</v>
      </c>
      <c r="P2268" s="13" t="s">
        <v>6802</v>
      </c>
      <c r="Q2268" s="12" t="str">
        <f t="shared" si="432"/>
        <v>1807</v>
      </c>
      <c r="R2268" s="13" t="s">
        <v>3122</v>
      </c>
      <c r="S2268" s="12" t="str">
        <f t="shared" si="433"/>
        <v>1874</v>
      </c>
      <c r="T2268" s="13" t="s">
        <v>74</v>
      </c>
      <c r="U2268" s="13" t="s">
        <v>7964</v>
      </c>
      <c r="V2268" s="12" t="str">
        <f t="shared" si="434"/>
        <v>1827</v>
      </c>
      <c r="W2268" s="13" t="s">
        <v>7427</v>
      </c>
      <c r="X2268" s="13" t="s">
        <v>1997</v>
      </c>
      <c r="Y2268" s="13"/>
      <c r="Z2268" s="13" t="s">
        <v>15536</v>
      </c>
      <c r="AA2268" s="13">
        <v>1811</v>
      </c>
      <c r="AB2268" s="13"/>
      <c r="AC2268" s="13"/>
      <c r="AD2268" s="12" t="s">
        <v>566</v>
      </c>
      <c r="AE2268" s="12" t="s">
        <v>15537</v>
      </c>
      <c r="AF2268" s="13" t="s">
        <v>15249</v>
      </c>
      <c r="AG2268" s="13" t="s">
        <v>74</v>
      </c>
      <c r="AH2268" s="13">
        <v>1839</v>
      </c>
      <c r="AI2268" s="12" t="str">
        <f t="shared" si="435"/>
        <v>1839</v>
      </c>
      <c r="AJ2268" s="13"/>
      <c r="AK2268" s="13" t="s">
        <v>551</v>
      </c>
      <c r="AL2268" s="13" t="s">
        <v>566</v>
      </c>
      <c r="AM2268" s="13" t="s">
        <v>15538</v>
      </c>
      <c r="AN2268" s="13" t="s">
        <v>15539</v>
      </c>
      <c r="AO2268" s="13" t="s">
        <v>2547</v>
      </c>
      <c r="AP2268" s="13"/>
      <c r="AQ2268" s="13" t="s">
        <v>3702</v>
      </c>
      <c r="AR2268" s="13" t="s">
        <v>15540</v>
      </c>
      <c r="AS2268" s="13"/>
      <c r="AT2268" s="13"/>
      <c r="AU2268" s="13" t="s">
        <v>566</v>
      </c>
      <c r="AV2268" s="13" t="s">
        <v>15541</v>
      </c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2"/>
      <c r="BI2268" s="12"/>
      <c r="BJ2268" s="12"/>
      <c r="BK2268" s="12"/>
      <c r="BL2268" s="12"/>
      <c r="BM2268" s="12"/>
      <c r="BN2268" s="12"/>
      <c r="BO2268" s="12"/>
      <c r="BP2268" s="12"/>
      <c r="BQ2268" s="12"/>
      <c r="BR2268" s="12"/>
      <c r="BS2268" s="12"/>
      <c r="BT2268" s="12"/>
      <c r="BU2268" s="12"/>
      <c r="BV2268" s="12"/>
      <c r="BW2268" s="12"/>
      <c r="BX2268" s="12"/>
      <c r="BY2268" s="12"/>
      <c r="BZ2268" s="12"/>
      <c r="CA2268" s="12"/>
      <c r="CB2268" s="12"/>
      <c r="CC2268" s="12"/>
      <c r="CD2268" s="12"/>
    </row>
    <row r="2269" spans="1:82">
      <c r="A2269" s="13" t="s">
        <v>6798</v>
      </c>
      <c r="B2269" s="12" t="str">
        <f t="shared" si="427"/>
        <v>VISSER</v>
      </c>
      <c r="C2269" s="12" t="str">
        <f t="shared" si="428"/>
        <v>VISSER</v>
      </c>
      <c r="D2269" s="13" t="s">
        <v>398</v>
      </c>
      <c r="E2269" s="12" t="str">
        <f t="shared" si="438"/>
        <v>Cornelis Johannes</v>
      </c>
      <c r="F2269" s="13" t="s">
        <v>6803</v>
      </c>
      <c r="G2269" s="12" t="str">
        <f t="shared" si="429"/>
        <v>a1b2c12d1e4f4g6</v>
      </c>
      <c r="H2269" s="12" t="str">
        <f t="shared" si="430"/>
        <v>VISSERa1b2c12d1e4f4g6</v>
      </c>
      <c r="I2269" s="13" t="s">
        <v>6804</v>
      </c>
      <c r="J2269" s="13" t="s">
        <v>6805</v>
      </c>
      <c r="K2269" s="12" t="str">
        <f t="shared" si="431"/>
        <v>1815</v>
      </c>
      <c r="L2269" s="13" t="s">
        <v>74</v>
      </c>
      <c r="M2269" s="13" t="s">
        <v>1980</v>
      </c>
      <c r="N2269" s="12" t="str">
        <f t="shared" si="436"/>
        <v>1815</v>
      </c>
      <c r="O2269" s="12" t="str">
        <f t="shared" si="437"/>
        <v>1815</v>
      </c>
      <c r="P2269" s="13" t="s">
        <v>6806</v>
      </c>
      <c r="Q2269" s="12" t="str">
        <f t="shared" si="432"/>
        <v>1815</v>
      </c>
      <c r="R2269" s="13" t="s">
        <v>6807</v>
      </c>
      <c r="S2269" s="12" t="str">
        <f t="shared" si="433"/>
        <v>1867</v>
      </c>
      <c r="T2269" s="13" t="s">
        <v>74</v>
      </c>
      <c r="U2269" s="13" t="s">
        <v>1781</v>
      </c>
      <c r="V2269" s="12" t="str">
        <f t="shared" si="434"/>
        <v>1835</v>
      </c>
      <c r="W2269" s="13" t="s">
        <v>3910</v>
      </c>
      <c r="X2269" s="13" t="s">
        <v>1997</v>
      </c>
      <c r="Y2269" s="13"/>
      <c r="Z2269" s="13"/>
      <c r="AA2269" s="13" t="s">
        <v>15542</v>
      </c>
      <c r="AB2269" s="13" t="s">
        <v>74</v>
      </c>
      <c r="AC2269" s="13" t="s">
        <v>3919</v>
      </c>
      <c r="AD2269" s="13"/>
      <c r="AE2269" s="13" t="s">
        <v>5445</v>
      </c>
      <c r="AF2269" s="13" t="s">
        <v>15249</v>
      </c>
      <c r="AG2269" s="13" t="s">
        <v>74</v>
      </c>
      <c r="AH2269" s="13">
        <v>1839</v>
      </c>
      <c r="AI2269" s="12" t="str">
        <f t="shared" si="435"/>
        <v>1839</v>
      </c>
      <c r="AJ2269" s="13" t="s">
        <v>12354</v>
      </c>
      <c r="AK2269" s="13" t="s">
        <v>566</v>
      </c>
      <c r="AL2269" s="13"/>
      <c r="AM2269" s="13">
        <v>1839</v>
      </c>
      <c r="AN2269" s="13" t="s">
        <v>15543</v>
      </c>
      <c r="AO2269" s="13" t="s">
        <v>636</v>
      </c>
      <c r="AP2269" s="13"/>
      <c r="AQ2269" s="13" t="s">
        <v>15544</v>
      </c>
      <c r="AR2269" s="13" t="s">
        <v>9978</v>
      </c>
      <c r="AS2269" s="13" t="s">
        <v>366</v>
      </c>
      <c r="AT2269" s="13" t="s">
        <v>10242</v>
      </c>
      <c r="AU2269" s="13" t="s">
        <v>566</v>
      </c>
      <c r="AV2269" s="13" t="s">
        <v>15545</v>
      </c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2"/>
      <c r="BI2269" s="12"/>
      <c r="BJ2269" s="12"/>
      <c r="BK2269" s="12"/>
      <c r="BL2269" s="12"/>
      <c r="BM2269" s="12"/>
      <c r="BN2269" s="12"/>
      <c r="BO2269" s="12"/>
      <c r="BP2269" s="12"/>
      <c r="BQ2269" s="12"/>
      <c r="BR2269" s="12"/>
      <c r="BS2269" s="12"/>
      <c r="BT2269" s="12"/>
      <c r="BU2269" s="12"/>
      <c r="BV2269" s="12"/>
      <c r="BW2269" s="12"/>
      <c r="BX2269" s="12"/>
      <c r="BY2269" s="12"/>
      <c r="BZ2269" s="12"/>
      <c r="CA2269" s="12"/>
      <c r="CB2269" s="12"/>
      <c r="CC2269" s="12"/>
      <c r="CD2269" s="12"/>
    </row>
    <row r="2270" spans="1:82">
      <c r="A2270" s="13" t="s">
        <v>6798</v>
      </c>
      <c r="B2270" s="12" t="str">
        <f t="shared" si="427"/>
        <v>VISSER</v>
      </c>
      <c r="C2270" s="12" t="str">
        <f t="shared" si="428"/>
        <v>VISSER</v>
      </c>
      <c r="D2270" s="13" t="s">
        <v>6819</v>
      </c>
      <c r="E2270" s="12" t="str">
        <f t="shared" si="438"/>
        <v>Gerrit Petrus</v>
      </c>
      <c r="F2270" s="13" t="s">
        <v>6820</v>
      </c>
      <c r="G2270" s="12" t="str">
        <f t="shared" si="429"/>
        <v>a1b2c12d1e4f4g8</v>
      </c>
      <c r="H2270" s="12" t="str">
        <f t="shared" si="430"/>
        <v>VISSERa1b2c12d1e4f4g8</v>
      </c>
      <c r="I2270" s="13" t="s">
        <v>6821</v>
      </c>
      <c r="J2270" s="13" t="s">
        <v>6822</v>
      </c>
      <c r="K2270" s="12" t="str">
        <f t="shared" si="431"/>
        <v>1819</v>
      </c>
      <c r="L2270" s="13" t="s">
        <v>74</v>
      </c>
      <c r="M2270" s="13" t="s">
        <v>6823</v>
      </c>
      <c r="N2270" s="12" t="str">
        <f t="shared" si="436"/>
        <v>1819</v>
      </c>
      <c r="O2270" s="12" t="str">
        <f t="shared" si="437"/>
        <v>1820</v>
      </c>
      <c r="P2270" s="13" t="s">
        <v>6824</v>
      </c>
      <c r="Q2270" s="12" t="str">
        <f t="shared" si="432"/>
        <v>1819</v>
      </c>
      <c r="R2270" s="13" t="s">
        <v>6825</v>
      </c>
      <c r="S2270" s="12" t="str">
        <f t="shared" si="433"/>
        <v>1879</v>
      </c>
      <c r="T2270" s="13"/>
      <c r="U2270" s="13">
        <v>1839</v>
      </c>
      <c r="V2270" s="12" t="str">
        <f t="shared" si="434"/>
        <v>1839</v>
      </c>
      <c r="W2270" s="13" t="s">
        <v>12132</v>
      </c>
      <c r="X2270" s="13" t="s">
        <v>8373</v>
      </c>
      <c r="Y2270" s="13"/>
      <c r="Z2270" s="13" t="s">
        <v>60</v>
      </c>
      <c r="AA2270" s="13">
        <v>1820</v>
      </c>
      <c r="AB2270" s="13"/>
      <c r="AC2270" s="13"/>
      <c r="AD2270" s="13" t="s">
        <v>551</v>
      </c>
      <c r="AE2270" s="13" t="s">
        <v>15557</v>
      </c>
      <c r="AF2270" s="13" t="s">
        <v>15249</v>
      </c>
      <c r="AG2270" s="13" t="s">
        <v>60</v>
      </c>
      <c r="AH2270" s="13">
        <v>1840</v>
      </c>
      <c r="AI2270" s="12" t="str">
        <f t="shared" si="435"/>
        <v>1840</v>
      </c>
      <c r="AJ2270" s="13" t="s">
        <v>12354</v>
      </c>
      <c r="AK2270" s="13"/>
      <c r="AL2270" s="13" t="s">
        <v>60</v>
      </c>
      <c r="AM2270" s="13" t="s">
        <v>15558</v>
      </c>
      <c r="AN2270" s="13" t="s">
        <v>8578</v>
      </c>
      <c r="AO2270" s="13" t="s">
        <v>700</v>
      </c>
      <c r="AP2270" s="13"/>
      <c r="AQ2270" s="13" t="s">
        <v>3875</v>
      </c>
      <c r="AR2270" s="13" t="s">
        <v>15559</v>
      </c>
      <c r="AS2270" s="13" t="s">
        <v>74</v>
      </c>
      <c r="AT2270" s="13" t="s">
        <v>15560</v>
      </c>
      <c r="AU2270" s="13" t="s">
        <v>566</v>
      </c>
      <c r="AV2270" s="13" t="s">
        <v>15561</v>
      </c>
      <c r="AW2270" s="13" t="s">
        <v>566</v>
      </c>
      <c r="AX2270" s="13" t="s">
        <v>15562</v>
      </c>
      <c r="AY2270" s="13" t="s">
        <v>15563</v>
      </c>
      <c r="AZ2270" s="13" t="s">
        <v>15564</v>
      </c>
      <c r="BA2270" s="13"/>
      <c r="BB2270" s="13" t="s">
        <v>60</v>
      </c>
      <c r="BC2270" s="13" t="s">
        <v>15565</v>
      </c>
      <c r="BD2270" s="13"/>
      <c r="BE2270" s="13"/>
      <c r="BF2270" s="13" t="s">
        <v>566</v>
      </c>
      <c r="BG2270" s="13" t="s">
        <v>15566</v>
      </c>
      <c r="BH2270" s="12"/>
      <c r="BI2270" s="12"/>
      <c r="BJ2270" s="12"/>
      <c r="BK2270" s="12"/>
      <c r="BL2270" s="12"/>
      <c r="BM2270" s="12"/>
      <c r="BN2270" s="12"/>
      <c r="BO2270" s="12"/>
      <c r="BP2270" s="12"/>
      <c r="BQ2270" s="12"/>
      <c r="BR2270" s="12"/>
      <c r="BS2270" s="12"/>
      <c r="BT2270" s="12"/>
      <c r="BU2270" s="12"/>
      <c r="BV2270" s="12"/>
      <c r="BW2270" s="12"/>
      <c r="BX2270" s="12"/>
      <c r="BY2270" s="12"/>
      <c r="BZ2270" s="12"/>
      <c r="CA2270" s="12"/>
      <c r="CB2270" s="12"/>
      <c r="CC2270" s="12"/>
      <c r="CD2270" s="12"/>
    </row>
    <row r="2271" spans="1:82">
      <c r="A2271" s="13" t="s">
        <v>6798</v>
      </c>
      <c r="B2271" s="12" t="str">
        <f t="shared" si="427"/>
        <v>VISSER</v>
      </c>
      <c r="C2271" s="12" t="str">
        <f t="shared" si="428"/>
        <v>VISSER</v>
      </c>
      <c r="D2271" s="13" t="s">
        <v>6828</v>
      </c>
      <c r="E2271" s="12" t="str">
        <f t="shared" si="438"/>
        <v>Johannes Hendrik (Jan Boomplaats)</v>
      </c>
      <c r="F2271" s="13" t="s">
        <v>6829</v>
      </c>
      <c r="G2271" s="12" t="str">
        <f t="shared" si="429"/>
        <v>a1b2c12d1e4f6g1</v>
      </c>
      <c r="H2271" s="12" t="str">
        <f t="shared" si="430"/>
        <v>VISSERa1b2c12d1e4f6g1</v>
      </c>
      <c r="I2271" s="13" t="s">
        <v>542</v>
      </c>
      <c r="J2271" s="13" t="s">
        <v>6830</v>
      </c>
      <c r="K2271" s="12" t="str">
        <f t="shared" si="431"/>
        <v>1813</v>
      </c>
      <c r="L2271" s="13" t="s">
        <v>542</v>
      </c>
      <c r="M2271" s="13" t="s">
        <v>6831</v>
      </c>
      <c r="N2271" s="12" t="str">
        <f t="shared" si="436"/>
        <v>1813</v>
      </c>
      <c r="O2271" s="12" t="str">
        <f t="shared" si="437"/>
        <v>1813</v>
      </c>
      <c r="P2271" s="13" t="s">
        <v>6832</v>
      </c>
      <c r="Q2271" s="12" t="str">
        <f t="shared" si="432"/>
        <v>1813</v>
      </c>
      <c r="R2271" s="13" t="s">
        <v>6833</v>
      </c>
      <c r="S2271" s="12" t="str">
        <f t="shared" si="433"/>
        <v>1901</v>
      </c>
      <c r="T2271" s="13" t="s">
        <v>60</v>
      </c>
      <c r="U2271" s="13">
        <v>1831</v>
      </c>
      <c r="V2271" s="12" t="str">
        <f t="shared" si="434"/>
        <v>1831</v>
      </c>
      <c r="W2271" s="13" t="s">
        <v>15568</v>
      </c>
      <c r="X2271" s="13" t="s">
        <v>637</v>
      </c>
      <c r="Y2271" s="13"/>
      <c r="Z2271" s="13"/>
      <c r="AA2271" s="13"/>
      <c r="AB2271" s="13"/>
      <c r="AC2271" s="13"/>
      <c r="AD2271" s="13"/>
      <c r="AE2271" s="13">
        <v>1832</v>
      </c>
      <c r="AF2271" s="13"/>
      <c r="AG2271" s="13" t="s">
        <v>74</v>
      </c>
      <c r="AH2271" s="13" t="s">
        <v>13180</v>
      </c>
      <c r="AI2271" s="12" t="str">
        <f t="shared" si="435"/>
        <v>1838</v>
      </c>
      <c r="AJ2271" s="13" t="s">
        <v>14827</v>
      </c>
      <c r="AK2271" s="13" t="s">
        <v>140</v>
      </c>
      <c r="AL2271" s="13"/>
      <c r="AM2271" s="13"/>
      <c r="AN2271" s="13" t="s">
        <v>15569</v>
      </c>
      <c r="AO2271" s="13" t="s">
        <v>3663</v>
      </c>
      <c r="AP2271" s="13"/>
      <c r="AQ2271" s="13"/>
      <c r="AR2271" s="13" t="s">
        <v>3952</v>
      </c>
      <c r="AS2271" s="13" t="s">
        <v>74</v>
      </c>
      <c r="AT2271" s="13" t="s">
        <v>486</v>
      </c>
      <c r="AU2271" s="13"/>
      <c r="AV2271" s="13">
        <v>1870</v>
      </c>
      <c r="AW2271" s="13"/>
      <c r="AX2271" s="13"/>
      <c r="AY2271" s="13" t="s">
        <v>15570</v>
      </c>
      <c r="AZ2271" s="13"/>
      <c r="BA2271" s="13"/>
      <c r="BB2271" s="13"/>
      <c r="BC2271" s="13"/>
      <c r="BD2271" s="13"/>
      <c r="BE2271" s="13"/>
      <c r="BF2271" s="13"/>
      <c r="BG2271" s="13"/>
      <c r="BH2271" s="12"/>
      <c r="BI2271" s="12"/>
      <c r="BJ2271" s="12"/>
      <c r="BK2271" s="12"/>
      <c r="BL2271" s="12"/>
      <c r="BM2271" s="12"/>
      <c r="BN2271" s="12"/>
      <c r="BO2271" s="12"/>
      <c r="BP2271" s="12"/>
      <c r="BQ2271" s="12"/>
      <c r="BR2271" s="12"/>
      <c r="BS2271" s="12"/>
      <c r="BT2271" s="12"/>
      <c r="BU2271" s="12"/>
      <c r="BV2271" s="12"/>
      <c r="BW2271" s="12"/>
      <c r="BX2271" s="12"/>
      <c r="BY2271" s="12"/>
      <c r="BZ2271" s="12"/>
      <c r="CA2271" s="12"/>
      <c r="CB2271" s="12"/>
      <c r="CC2271" s="12"/>
      <c r="CD2271" s="12"/>
    </row>
    <row r="2272" spans="1:82">
      <c r="A2272" s="13" t="s">
        <v>6798</v>
      </c>
      <c r="B2272" s="12" t="str">
        <f t="shared" si="427"/>
        <v>VISSER</v>
      </c>
      <c r="C2272" s="12" t="str">
        <f t="shared" si="428"/>
        <v>VISSER</v>
      </c>
      <c r="D2272" s="13" t="s">
        <v>6808</v>
      </c>
      <c r="E2272" s="12" t="str">
        <f t="shared" si="438"/>
        <v>Ernestus Jacobus</v>
      </c>
      <c r="F2272" s="13" t="s">
        <v>6809</v>
      </c>
      <c r="G2272" s="12" t="str">
        <f t="shared" si="429"/>
        <v>a1b2c12d1e5f5</v>
      </c>
      <c r="H2272" s="12" t="str">
        <f t="shared" si="430"/>
        <v>VISSERa1b2c12d1e5f5</v>
      </c>
      <c r="I2272" s="13"/>
      <c r="J2272" s="13"/>
      <c r="K2272" s="12" t="str">
        <f t="shared" si="431"/>
        <v/>
      </c>
      <c r="L2272" s="13" t="s">
        <v>542</v>
      </c>
      <c r="M2272" s="13" t="s">
        <v>6810</v>
      </c>
      <c r="N2272" s="12" t="str">
        <f t="shared" si="436"/>
        <v/>
      </c>
      <c r="O2272" s="12" t="str">
        <f t="shared" si="437"/>
        <v>1793</v>
      </c>
      <c r="P2272" s="13"/>
      <c r="Q2272" s="12" t="str">
        <f t="shared" si="432"/>
        <v>1793</v>
      </c>
      <c r="R2272" s="13"/>
      <c r="S2272" s="12" t="str">
        <f t="shared" si="433"/>
        <v/>
      </c>
      <c r="T2272" s="13" t="s">
        <v>542</v>
      </c>
      <c r="U2272" s="13" t="s">
        <v>5299</v>
      </c>
      <c r="V2272" s="12" t="str">
        <f t="shared" si="434"/>
        <v>1814</v>
      </c>
      <c r="W2272" s="13" t="s">
        <v>15546</v>
      </c>
      <c r="X2272" s="13" t="s">
        <v>2016</v>
      </c>
      <c r="Y2272" s="13"/>
      <c r="Z2272" s="13"/>
      <c r="AA2272" s="13" t="s">
        <v>15547</v>
      </c>
      <c r="AB2272" s="13"/>
      <c r="AC2272" s="13"/>
      <c r="AD2272" s="13"/>
      <c r="AE2272" s="13"/>
      <c r="AF2272" s="13" t="s">
        <v>12918</v>
      </c>
      <c r="AG2272" s="13" t="s">
        <v>395</v>
      </c>
      <c r="AH2272" s="13" t="s">
        <v>2489</v>
      </c>
      <c r="AI2272" s="12" t="str">
        <f t="shared" si="435"/>
        <v>1841</v>
      </c>
      <c r="AJ2272" s="13"/>
      <c r="AK2272" s="13" t="s">
        <v>551</v>
      </c>
      <c r="AL2272" s="13"/>
      <c r="AM2272" s="13"/>
      <c r="AN2272" s="13" t="s">
        <v>15548</v>
      </c>
      <c r="AO2272" s="13" t="s">
        <v>637</v>
      </c>
      <c r="AP2272" s="13"/>
      <c r="AQ2272" s="13" t="s">
        <v>13703</v>
      </c>
      <c r="AR2272" s="13" t="s">
        <v>15549</v>
      </c>
      <c r="AS2272" s="13" t="s">
        <v>32</v>
      </c>
      <c r="AT2272" s="13" t="s">
        <v>15550</v>
      </c>
      <c r="AU2272" s="13"/>
      <c r="AV2272" s="13"/>
      <c r="AW2272" s="13"/>
      <c r="AX2272" s="13"/>
      <c r="AY2272" s="13"/>
      <c r="AZ2272" s="13"/>
      <c r="BA2272" s="13"/>
      <c r="BB2272" s="13"/>
      <c r="BC2272" s="13"/>
      <c r="BD2272" s="13"/>
      <c r="BE2272" s="13"/>
      <c r="BF2272" s="13"/>
      <c r="BG2272" s="13"/>
      <c r="BH2272" s="12"/>
      <c r="BI2272" s="12"/>
      <c r="BJ2272" s="12"/>
      <c r="BK2272" s="12"/>
      <c r="BL2272" s="12"/>
      <c r="BM2272" s="12"/>
      <c r="BN2272" s="12"/>
      <c r="BO2272" s="12"/>
      <c r="BP2272" s="12"/>
      <c r="BQ2272" s="12"/>
      <c r="BR2272" s="12"/>
      <c r="BS2272" s="12"/>
      <c r="BT2272" s="12"/>
      <c r="BU2272" s="12"/>
      <c r="BV2272" s="12"/>
      <c r="BW2272" s="12"/>
      <c r="BX2272" s="12"/>
      <c r="BY2272" s="12"/>
      <c r="BZ2272" s="12"/>
      <c r="CA2272" s="12"/>
      <c r="CB2272" s="12"/>
      <c r="CC2272" s="12"/>
      <c r="CD2272" s="12"/>
    </row>
    <row r="2273" spans="1:82">
      <c r="A2273" s="13" t="s">
        <v>6798</v>
      </c>
      <c r="B2273" s="12" t="str">
        <f t="shared" si="427"/>
        <v>VISSER</v>
      </c>
      <c r="C2273" s="12" t="str">
        <f t="shared" si="428"/>
        <v>VISSER</v>
      </c>
      <c r="D2273" s="13" t="s">
        <v>6815</v>
      </c>
      <c r="E2273" s="12" t="str">
        <f t="shared" si="438"/>
        <v>Floris Sr.</v>
      </c>
      <c r="F2273" s="13" t="s">
        <v>6816</v>
      </c>
      <c r="G2273" s="12" t="str">
        <f t="shared" si="429"/>
        <v>a1b2c12d1e5f6</v>
      </c>
      <c r="H2273" s="12" t="str">
        <f t="shared" si="430"/>
        <v>VISSERa1b2c12d1e5f6</v>
      </c>
      <c r="I2273" s="13"/>
      <c r="J2273" s="13" t="s">
        <v>6817</v>
      </c>
      <c r="K2273" s="12" t="str">
        <f t="shared" si="431"/>
        <v>1795</v>
      </c>
      <c r="L2273" s="13" t="s">
        <v>542</v>
      </c>
      <c r="M2273" s="13" t="s">
        <v>6818</v>
      </c>
      <c r="N2273" s="12" t="str">
        <f t="shared" si="436"/>
        <v>1795</v>
      </c>
      <c r="O2273" s="12" t="str">
        <f t="shared" si="437"/>
        <v>1795</v>
      </c>
      <c r="P2273" s="13"/>
      <c r="Q2273" s="12" t="str">
        <f t="shared" si="432"/>
        <v>1795</v>
      </c>
      <c r="R2273" s="13"/>
      <c r="S2273" s="12" t="str">
        <f t="shared" si="433"/>
        <v/>
      </c>
      <c r="T2273" s="13" t="s">
        <v>542</v>
      </c>
      <c r="U2273" s="13" t="s">
        <v>5299</v>
      </c>
      <c r="V2273" s="12" t="str">
        <f t="shared" si="434"/>
        <v>1814</v>
      </c>
      <c r="W2273" s="13" t="s">
        <v>9829</v>
      </c>
      <c r="X2273" s="13" t="s">
        <v>662</v>
      </c>
      <c r="Y2273" s="13"/>
      <c r="Z2273" s="13"/>
      <c r="AA2273" s="13" t="s">
        <v>1836</v>
      </c>
      <c r="AB2273" s="13"/>
      <c r="AC2273" s="13"/>
      <c r="AD2273" s="13" t="s">
        <v>15555</v>
      </c>
      <c r="AE2273" s="13"/>
      <c r="AF2273" s="13"/>
      <c r="AG2273" s="13" t="s">
        <v>28</v>
      </c>
      <c r="AH2273" s="13">
        <v>1836</v>
      </c>
      <c r="AI2273" s="12" t="str">
        <f t="shared" si="435"/>
        <v>1836</v>
      </c>
      <c r="AJ2273" s="13" t="s">
        <v>13060</v>
      </c>
      <c r="AK2273" s="13"/>
      <c r="AL2273" s="13" t="s">
        <v>60</v>
      </c>
      <c r="AM2273" s="13" t="s">
        <v>14860</v>
      </c>
      <c r="AN2273" s="13" t="s">
        <v>15556</v>
      </c>
      <c r="AO2273" s="13" t="s">
        <v>786</v>
      </c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2"/>
      <c r="BI2273" s="12"/>
      <c r="BJ2273" s="12"/>
      <c r="BK2273" s="12"/>
      <c r="BL2273" s="12"/>
      <c r="BM2273" s="12"/>
      <c r="BN2273" s="12"/>
      <c r="BO2273" s="12"/>
      <c r="BP2273" s="12"/>
      <c r="BQ2273" s="12"/>
      <c r="BR2273" s="12"/>
      <c r="BS2273" s="12"/>
      <c r="BT2273" s="12"/>
      <c r="BU2273" s="12"/>
      <c r="BV2273" s="12"/>
      <c r="BW2273" s="12"/>
      <c r="BX2273" s="12"/>
      <c r="BY2273" s="12"/>
      <c r="BZ2273" s="12"/>
      <c r="CA2273" s="12"/>
      <c r="CB2273" s="12"/>
      <c r="CC2273" s="12"/>
      <c r="CD2273" s="12"/>
    </row>
    <row r="2274" spans="1:82">
      <c r="A2274" s="13" t="s">
        <v>6798</v>
      </c>
      <c r="B2274" s="12" t="str">
        <f t="shared" si="427"/>
        <v>VISSER</v>
      </c>
      <c r="C2274" s="12" t="str">
        <f t="shared" si="428"/>
        <v>VISSER</v>
      </c>
      <c r="D2274" s="13" t="s">
        <v>6811</v>
      </c>
      <c r="E2274" s="12" t="str">
        <f t="shared" si="438"/>
        <v>Floris Jr.</v>
      </c>
      <c r="F2274" s="13" t="s">
        <v>6812</v>
      </c>
      <c r="G2274" s="12" t="str">
        <f t="shared" si="429"/>
        <v>a1b2c12d1e5f6g1</v>
      </c>
      <c r="H2274" s="12" t="str">
        <f t="shared" si="430"/>
        <v>VISSERa1b2c12d1e5f6g1</v>
      </c>
      <c r="I2274" s="13"/>
      <c r="J2274" s="13" t="s">
        <v>6813</v>
      </c>
      <c r="K2274" s="12" t="str">
        <f t="shared" si="431"/>
        <v>1816</v>
      </c>
      <c r="L2274" s="13" t="s">
        <v>542</v>
      </c>
      <c r="M2274" s="13" t="s">
        <v>6814</v>
      </c>
      <c r="N2274" s="12" t="str">
        <f t="shared" si="436"/>
        <v>1816</v>
      </c>
      <c r="O2274" s="12" t="str">
        <f t="shared" si="437"/>
        <v>1818</v>
      </c>
      <c r="P2274" s="13"/>
      <c r="Q2274" s="12" t="str">
        <f t="shared" si="432"/>
        <v>1816</v>
      </c>
      <c r="R2274" s="13"/>
      <c r="S2274" s="12" t="str">
        <f t="shared" si="433"/>
        <v/>
      </c>
      <c r="T2274" s="13" t="s">
        <v>28</v>
      </c>
      <c r="U2274" s="13" t="s">
        <v>15551</v>
      </c>
      <c r="V2274" s="12" t="str">
        <f t="shared" si="434"/>
        <v>1836</v>
      </c>
      <c r="W2274" s="13" t="s">
        <v>15552</v>
      </c>
      <c r="X2274" s="13" t="s">
        <v>5232</v>
      </c>
      <c r="Y2274" s="13"/>
      <c r="Z2274" s="13"/>
      <c r="AA2274" s="13" t="s">
        <v>4170</v>
      </c>
      <c r="AB2274" s="13" t="s">
        <v>1071</v>
      </c>
      <c r="AC2274" s="13" t="s">
        <v>15553</v>
      </c>
      <c r="AD2274" s="13"/>
      <c r="AE2274" s="13"/>
      <c r="AF2274" s="13"/>
      <c r="AG2274" s="13" t="s">
        <v>28</v>
      </c>
      <c r="AH2274" s="13" t="s">
        <v>15554</v>
      </c>
      <c r="AI2274" s="12" t="str">
        <f t="shared" si="435"/>
        <v>1836</v>
      </c>
      <c r="AJ2274" s="13" t="s">
        <v>13060</v>
      </c>
      <c r="AK2274" s="13" t="s">
        <v>140</v>
      </c>
      <c r="AL2274" s="13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2"/>
      <c r="BI2274" s="12"/>
      <c r="BJ2274" s="12"/>
      <c r="BK2274" s="12"/>
      <c r="BL2274" s="12"/>
      <c r="BM2274" s="12"/>
      <c r="BN2274" s="12"/>
      <c r="BO2274" s="12"/>
      <c r="BP2274" s="12"/>
      <c r="BQ2274" s="12"/>
      <c r="BR2274" s="12"/>
      <c r="BS2274" s="12"/>
      <c r="BT2274" s="12"/>
      <c r="BU2274" s="12"/>
      <c r="BV2274" s="12"/>
      <c r="BW2274" s="12"/>
      <c r="BX2274" s="12"/>
      <c r="BY2274" s="12"/>
      <c r="BZ2274" s="12"/>
      <c r="CA2274" s="12"/>
      <c r="CB2274" s="12"/>
      <c r="CC2274" s="12"/>
      <c r="CD2274" s="12"/>
    </row>
    <row r="2275" spans="1:82">
      <c r="A2275" s="13" t="s">
        <v>6798</v>
      </c>
      <c r="B2275" s="12" t="str">
        <f t="shared" si="427"/>
        <v>VISSER</v>
      </c>
      <c r="C2275" s="12" t="str">
        <f t="shared" si="428"/>
        <v>VISSER</v>
      </c>
      <c r="D2275" s="13" t="s">
        <v>6673</v>
      </c>
      <c r="E2275" s="12" t="str">
        <f t="shared" si="438"/>
        <v>Henning Johannes</v>
      </c>
      <c r="F2275" s="13" t="s">
        <v>6826</v>
      </c>
      <c r="G2275" s="12" t="str">
        <f t="shared" si="429"/>
        <v>a1b2c12d1e5f6g2</v>
      </c>
      <c r="H2275" s="12" t="str">
        <f t="shared" si="430"/>
        <v>VISSERa1b2c12d1e5f6g2</v>
      </c>
      <c r="I2275" s="13"/>
      <c r="J2275" s="13" t="s">
        <v>6827</v>
      </c>
      <c r="K2275" s="12" t="str">
        <f t="shared" si="431"/>
        <v>1817</v>
      </c>
      <c r="L2275" s="13" t="s">
        <v>542</v>
      </c>
      <c r="M2275" s="13" t="s">
        <v>6814</v>
      </c>
      <c r="N2275" s="12" t="str">
        <f t="shared" si="436"/>
        <v>1817</v>
      </c>
      <c r="O2275" s="12" t="str">
        <f t="shared" si="437"/>
        <v>1818</v>
      </c>
      <c r="P2275" s="13"/>
      <c r="Q2275" s="12" t="str">
        <f t="shared" si="432"/>
        <v>1817</v>
      </c>
      <c r="R2275" s="13"/>
      <c r="S2275" s="12" t="str">
        <f t="shared" si="433"/>
        <v/>
      </c>
      <c r="T2275" s="13" t="s">
        <v>168</v>
      </c>
      <c r="U2275" s="13" t="s">
        <v>15567</v>
      </c>
      <c r="V2275" s="12" t="str">
        <f t="shared" si="434"/>
        <v>1839</v>
      </c>
      <c r="W2275" s="13" t="s">
        <v>4181</v>
      </c>
      <c r="X2275" s="13" t="s">
        <v>1109</v>
      </c>
      <c r="Y2275" s="13" t="s">
        <v>8308</v>
      </c>
      <c r="Z2275" s="13"/>
      <c r="AA2275" s="13">
        <v>1818</v>
      </c>
      <c r="AB2275" s="13"/>
      <c r="AC2275" s="13"/>
      <c r="AD2275" s="13"/>
      <c r="AE2275" s="13"/>
      <c r="AF2275" s="13" t="s">
        <v>3713</v>
      </c>
      <c r="AG2275" s="13" t="s">
        <v>74</v>
      </c>
      <c r="AH2275" s="13">
        <v>1839</v>
      </c>
      <c r="AI2275" s="12" t="str">
        <f t="shared" si="435"/>
        <v>1839</v>
      </c>
      <c r="AJ2275" s="13" t="s">
        <v>13060</v>
      </c>
      <c r="AK2275" s="13" t="s">
        <v>90</v>
      </c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/>
      <c r="AX2275" s="13"/>
      <c r="AY2275" s="13"/>
      <c r="AZ2275" s="13"/>
      <c r="BA2275" s="13"/>
      <c r="BB2275" s="13"/>
      <c r="BC2275" s="13"/>
      <c r="BD2275" s="13"/>
      <c r="BE2275" s="13"/>
      <c r="BF2275" s="13"/>
      <c r="BG2275" s="13"/>
      <c r="BH2275" s="12"/>
      <c r="BI2275" s="12"/>
      <c r="BJ2275" s="12"/>
      <c r="BK2275" s="12"/>
      <c r="BL2275" s="12"/>
      <c r="BM2275" s="12"/>
      <c r="BN2275" s="12"/>
      <c r="BO2275" s="12"/>
      <c r="BP2275" s="12"/>
      <c r="BQ2275" s="12"/>
      <c r="BR2275" s="12"/>
      <c r="BS2275" s="12"/>
      <c r="BT2275" s="12"/>
      <c r="BU2275" s="12"/>
      <c r="BV2275" s="12"/>
      <c r="BW2275" s="12"/>
      <c r="BX2275" s="12"/>
      <c r="BY2275" s="12"/>
      <c r="BZ2275" s="12"/>
      <c r="CA2275" s="12"/>
      <c r="CB2275" s="12"/>
      <c r="CC2275" s="12"/>
      <c r="CD2275" s="12"/>
    </row>
    <row r="2276" spans="1:82">
      <c r="A2276" s="13" t="s">
        <v>6798</v>
      </c>
      <c r="B2276" s="12" t="str">
        <f t="shared" si="427"/>
        <v>VISSER</v>
      </c>
      <c r="C2276" s="12" t="str">
        <f t="shared" si="428"/>
        <v>VISSER</v>
      </c>
      <c r="D2276" s="13" t="s">
        <v>201</v>
      </c>
      <c r="E2276" s="12" t="str">
        <f t="shared" si="438"/>
        <v>Petrus Johannes</v>
      </c>
      <c r="F2276" s="13" t="s">
        <v>6834</v>
      </c>
      <c r="G2276" s="12" t="str">
        <f t="shared" si="429"/>
        <v>a1b2c12d1e5f6g4</v>
      </c>
      <c r="H2276" s="12" t="str">
        <f t="shared" si="430"/>
        <v>VISSERa1b2c12d1e5f6g4</v>
      </c>
      <c r="I2276" s="13"/>
      <c r="J2276" s="13" t="s">
        <v>6835</v>
      </c>
      <c r="K2276" s="12" t="str">
        <f t="shared" si="431"/>
        <v>1821</v>
      </c>
      <c r="L2276" s="13" t="s">
        <v>542</v>
      </c>
      <c r="M2276" s="13" t="s">
        <v>6836</v>
      </c>
      <c r="N2276" s="12" t="str">
        <f t="shared" si="436"/>
        <v>1821</v>
      </c>
      <c r="O2276" s="12" t="str">
        <f t="shared" si="437"/>
        <v>1822</v>
      </c>
      <c r="P2276" s="13"/>
      <c r="Q2276" s="12" t="str">
        <f t="shared" si="432"/>
        <v>1821</v>
      </c>
      <c r="R2276" s="13"/>
      <c r="S2276" s="12" t="str">
        <f t="shared" si="433"/>
        <v/>
      </c>
      <c r="T2276" s="13"/>
      <c r="U2276" s="13">
        <v>1842</v>
      </c>
      <c r="V2276" s="12" t="str">
        <f t="shared" si="434"/>
        <v>1842</v>
      </c>
      <c r="W2276" s="13" t="s">
        <v>15571</v>
      </c>
      <c r="X2276" s="13" t="s">
        <v>700</v>
      </c>
      <c r="Y2276" s="13"/>
      <c r="Z2276" s="13" t="s">
        <v>28</v>
      </c>
      <c r="AA2276" s="13" t="s">
        <v>13772</v>
      </c>
      <c r="AB2276" s="13"/>
      <c r="AC2276" s="13"/>
      <c r="AD2276" s="13"/>
      <c r="AE2276" s="13"/>
      <c r="AF2276" s="13"/>
      <c r="AG2276" s="13" t="s">
        <v>28</v>
      </c>
      <c r="AH2276" s="13" t="s">
        <v>13253</v>
      </c>
      <c r="AI2276" s="12" t="str">
        <f t="shared" si="435"/>
        <v>1844</v>
      </c>
      <c r="AJ2276" s="13"/>
      <c r="AK2276" s="13" t="s">
        <v>140</v>
      </c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2"/>
      <c r="BI2276" s="12"/>
      <c r="BJ2276" s="12"/>
      <c r="BK2276" s="12"/>
      <c r="BL2276" s="12"/>
      <c r="BM2276" s="12"/>
      <c r="BN2276" s="12"/>
      <c r="BO2276" s="12"/>
      <c r="BP2276" s="12"/>
      <c r="BQ2276" s="12"/>
      <c r="BR2276" s="12"/>
      <c r="BS2276" s="12"/>
      <c r="BT2276" s="12"/>
      <c r="BU2276" s="12"/>
      <c r="BV2276" s="12"/>
      <c r="BW2276" s="12"/>
      <c r="BX2276" s="12"/>
      <c r="BY2276" s="12"/>
      <c r="BZ2276" s="12"/>
      <c r="CA2276" s="12"/>
      <c r="CB2276" s="12"/>
      <c r="CC2276" s="12"/>
      <c r="CD2276" s="12"/>
    </row>
    <row r="2277" spans="1:82">
      <c r="A2277" s="13" t="s">
        <v>6837</v>
      </c>
      <c r="B2277" s="12" t="str">
        <f t="shared" si="427"/>
        <v>VLOT(H)MAN</v>
      </c>
      <c r="C2277" s="12" t="str">
        <f t="shared" si="428"/>
        <v>VLOT(H)MAN</v>
      </c>
      <c r="D2277" s="13" t="s">
        <v>6838</v>
      </c>
      <c r="E2277" s="12" t="str">
        <f t="shared" si="438"/>
        <v>Barend Johannes</v>
      </c>
      <c r="F2277" s="13" t="s">
        <v>912</v>
      </c>
      <c r="G2277" s="12" t="str">
        <f t="shared" si="429"/>
        <v>a1b1c2d2</v>
      </c>
      <c r="H2277" s="12" t="str">
        <f t="shared" si="430"/>
        <v>VLOT(H)MANa1b1c2d2</v>
      </c>
      <c r="I2277" s="13"/>
      <c r="J2277" s="13"/>
      <c r="K2277" s="12" t="str">
        <f t="shared" si="431"/>
        <v/>
      </c>
      <c r="L2277" s="13"/>
      <c r="M2277" s="13" t="s">
        <v>6839</v>
      </c>
      <c r="N2277" s="12" t="str">
        <f t="shared" si="436"/>
        <v/>
      </c>
      <c r="O2277" s="12" t="str">
        <f t="shared" si="437"/>
        <v>1768</v>
      </c>
      <c r="P2277" s="13"/>
      <c r="Q2277" s="12" t="str">
        <f t="shared" si="432"/>
        <v>1768</v>
      </c>
      <c r="R2277" s="13"/>
      <c r="S2277" s="12" t="str">
        <f t="shared" si="433"/>
        <v/>
      </c>
      <c r="T2277" s="13"/>
      <c r="U2277" s="13"/>
      <c r="V2277" s="12" t="str">
        <f t="shared" si="434"/>
        <v/>
      </c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 t="s">
        <v>3698</v>
      </c>
      <c r="AG2277" s="13" t="s">
        <v>74</v>
      </c>
      <c r="AH2277" s="13" t="s">
        <v>12900</v>
      </c>
      <c r="AI2277" s="12" t="str">
        <f t="shared" si="435"/>
        <v>1836</v>
      </c>
      <c r="AJ2277" s="13" t="s">
        <v>10539</v>
      </c>
      <c r="AK2277" s="13"/>
      <c r="AL2277" s="13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2"/>
      <c r="BI2277" s="12"/>
      <c r="BJ2277" s="12"/>
      <c r="BK2277" s="12"/>
      <c r="BL2277" s="12"/>
      <c r="BM2277" s="12"/>
      <c r="BN2277" s="12"/>
      <c r="BO2277" s="12"/>
      <c r="BP2277" s="12"/>
      <c r="BQ2277" s="12"/>
      <c r="BR2277" s="12"/>
      <c r="BS2277" s="12"/>
      <c r="BT2277" s="12"/>
      <c r="BU2277" s="12"/>
      <c r="BV2277" s="12"/>
      <c r="BW2277" s="12"/>
      <c r="BX2277" s="12"/>
      <c r="BY2277" s="12"/>
      <c r="BZ2277" s="12"/>
      <c r="CA2277" s="12"/>
      <c r="CB2277" s="12"/>
      <c r="CC2277" s="12"/>
      <c r="CD2277" s="12"/>
    </row>
    <row r="2278" spans="1:82">
      <c r="A2278" s="13" t="s">
        <v>4449</v>
      </c>
      <c r="B2278" s="12" t="str">
        <f t="shared" si="427"/>
        <v>VORSTER</v>
      </c>
      <c r="C2278" s="12" t="str">
        <f t="shared" si="428"/>
        <v>VORSTER</v>
      </c>
      <c r="D2278" s="13" t="s">
        <v>193</v>
      </c>
      <c r="E2278" s="12" t="str">
        <f t="shared" si="438"/>
        <v>Marthinus Christoffel</v>
      </c>
      <c r="F2278" s="13" t="s">
        <v>6840</v>
      </c>
      <c r="G2278" s="12" t="str">
        <f t="shared" si="429"/>
        <v>a1b3c12d5</v>
      </c>
      <c r="H2278" s="12" t="str">
        <f t="shared" si="430"/>
        <v>VORSTERa1b3c12d5</v>
      </c>
      <c r="I2278" s="13"/>
      <c r="J2278" s="13" t="s">
        <v>6841</v>
      </c>
      <c r="K2278" s="12" t="str">
        <f t="shared" si="431"/>
        <v>1796</v>
      </c>
      <c r="L2278" s="13" t="s">
        <v>74</v>
      </c>
      <c r="M2278" s="13" t="s">
        <v>6842</v>
      </c>
      <c r="N2278" s="12" t="str">
        <f t="shared" si="436"/>
        <v>1796</v>
      </c>
      <c r="O2278" s="12" t="str">
        <f t="shared" si="437"/>
        <v>1797</v>
      </c>
      <c r="P2278" s="13"/>
      <c r="Q2278" s="12" t="str">
        <f t="shared" si="432"/>
        <v>1796</v>
      </c>
      <c r="R2278" s="13"/>
      <c r="S2278" s="12" t="str">
        <f t="shared" si="433"/>
        <v/>
      </c>
      <c r="T2278" s="12"/>
      <c r="U2278" s="12"/>
      <c r="V2278" s="12" t="str">
        <f t="shared" si="434"/>
        <v/>
      </c>
      <c r="W2278" s="13" t="s">
        <v>15572</v>
      </c>
      <c r="X2278" s="13" t="s">
        <v>5276</v>
      </c>
      <c r="Y2278" s="12" t="s">
        <v>943</v>
      </c>
      <c r="Z2278" s="12"/>
      <c r="AA2278" s="12"/>
      <c r="AB2278" s="12"/>
      <c r="AC2278" s="12" t="s">
        <v>5602</v>
      </c>
      <c r="AD2278" s="12"/>
      <c r="AE2278" s="12"/>
      <c r="AF2278" s="12"/>
      <c r="AG2278" s="13" t="s">
        <v>74</v>
      </c>
      <c r="AH2278" s="13" t="s">
        <v>12677</v>
      </c>
      <c r="AI2278" s="12" t="str">
        <f t="shared" si="435"/>
        <v>1842</v>
      </c>
      <c r="AJ2278" s="12"/>
      <c r="AK2278" s="13" t="s">
        <v>551</v>
      </c>
      <c r="AL2278" s="13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/>
      <c r="BB2278" s="13"/>
      <c r="BC2278" s="13"/>
      <c r="BD2278" s="13"/>
      <c r="BE2278" s="13"/>
      <c r="BF2278" s="13"/>
      <c r="BG2278" s="13"/>
      <c r="BH2278" s="12"/>
      <c r="BI2278" s="12"/>
      <c r="BJ2278" s="12"/>
      <c r="BK2278" s="12"/>
      <c r="BL2278" s="12"/>
      <c r="BM2278" s="12"/>
      <c r="BN2278" s="12"/>
      <c r="BO2278" s="12"/>
      <c r="BP2278" s="12"/>
      <c r="BQ2278" s="12"/>
      <c r="BR2278" s="12"/>
      <c r="BS2278" s="12"/>
      <c r="BT2278" s="12"/>
      <c r="BU2278" s="12"/>
      <c r="BV2278" s="12"/>
      <c r="BW2278" s="12"/>
      <c r="BX2278" s="12"/>
      <c r="BY2278" s="12"/>
      <c r="BZ2278" s="12"/>
      <c r="CA2278" s="12"/>
      <c r="CB2278" s="12"/>
      <c r="CC2278" s="12"/>
      <c r="CD2278" s="12"/>
    </row>
    <row r="2279" spans="1:82">
      <c r="A2279" s="13" t="s">
        <v>668</v>
      </c>
      <c r="B2279" s="12" t="str">
        <f t="shared" si="427"/>
        <v>VOSLOO</v>
      </c>
      <c r="C2279" s="12" t="str">
        <f t="shared" si="428"/>
        <v>VOSLOO</v>
      </c>
      <c r="D2279" s="13" t="s">
        <v>2231</v>
      </c>
      <c r="E2279" s="12" t="str">
        <f t="shared" si="438"/>
        <v>Gerrit</v>
      </c>
      <c r="F2279" s="13" t="s">
        <v>1080</v>
      </c>
      <c r="G2279" s="12" t="str">
        <f t="shared" si="429"/>
        <v>a1b2c6d4</v>
      </c>
      <c r="H2279" s="12" t="str">
        <f t="shared" si="430"/>
        <v>VOSLOOa1b2c6d4</v>
      </c>
      <c r="I2279" s="13"/>
      <c r="J2279" s="13"/>
      <c r="K2279" s="12" t="str">
        <f t="shared" si="431"/>
        <v/>
      </c>
      <c r="L2279" s="13" t="s">
        <v>6098</v>
      </c>
      <c r="M2279" s="13" t="s">
        <v>6846</v>
      </c>
      <c r="N2279" s="12" t="str">
        <f t="shared" si="436"/>
        <v/>
      </c>
      <c r="O2279" s="12" t="str">
        <f t="shared" si="437"/>
        <v>1768</v>
      </c>
      <c r="P2279" s="13" t="s">
        <v>6847</v>
      </c>
      <c r="Q2279" s="12" t="str">
        <f t="shared" si="432"/>
        <v>1768</v>
      </c>
      <c r="R2279" s="13">
        <v>1860</v>
      </c>
      <c r="S2279" s="12" t="str">
        <f t="shared" si="433"/>
        <v>1860</v>
      </c>
      <c r="T2279" s="13"/>
      <c r="U2279" s="13"/>
      <c r="V2279" s="12" t="str">
        <f t="shared" si="434"/>
        <v/>
      </c>
      <c r="W2279" s="13" t="s">
        <v>7926</v>
      </c>
      <c r="X2279" s="13" t="s">
        <v>776</v>
      </c>
      <c r="Y2279" s="13" t="s">
        <v>15577</v>
      </c>
      <c r="Z2279" s="13"/>
      <c r="AA2279" s="13"/>
      <c r="AB2279" s="13" t="s">
        <v>5738</v>
      </c>
      <c r="AC2279" s="13" t="s">
        <v>15578</v>
      </c>
      <c r="AD2279" s="13"/>
      <c r="AE2279" s="13"/>
      <c r="AF2279" s="13" t="s">
        <v>3719</v>
      </c>
      <c r="AG2279" s="13" t="s">
        <v>68</v>
      </c>
      <c r="AH2279" s="13" t="s">
        <v>12406</v>
      </c>
      <c r="AI2279" s="12" t="str">
        <f t="shared" si="435"/>
        <v>1837</v>
      </c>
      <c r="AJ2279" s="13" t="s">
        <v>12470</v>
      </c>
      <c r="AK2279" s="13"/>
      <c r="AL2279" s="13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2"/>
      <c r="BI2279" s="12"/>
      <c r="BJ2279" s="12"/>
      <c r="BK2279" s="12"/>
      <c r="BL2279" s="12"/>
      <c r="BM2279" s="12"/>
      <c r="BN2279" s="12"/>
      <c r="BO2279" s="12"/>
      <c r="BP2279" s="12"/>
      <c r="BQ2279" s="12"/>
      <c r="BR2279" s="12"/>
      <c r="BS2279" s="12"/>
      <c r="BT2279" s="12"/>
      <c r="BU2279" s="12"/>
      <c r="BV2279" s="12"/>
      <c r="BW2279" s="12"/>
      <c r="BX2279" s="12"/>
      <c r="BY2279" s="12"/>
      <c r="BZ2279" s="12"/>
      <c r="CA2279" s="12"/>
      <c r="CB2279" s="12"/>
      <c r="CC2279" s="12"/>
      <c r="CD2279" s="12"/>
    </row>
    <row r="2280" spans="1:82">
      <c r="A2280" s="13" t="s">
        <v>668</v>
      </c>
      <c r="B2280" s="12" t="str">
        <f t="shared" si="427"/>
        <v>VOSLOO</v>
      </c>
      <c r="C2280" s="12" t="str">
        <f t="shared" si="428"/>
        <v>VOSLOO</v>
      </c>
      <c r="D2280" s="13" t="s">
        <v>3884</v>
      </c>
      <c r="E2280" s="12" t="str">
        <f t="shared" si="438"/>
        <v>Gerhardus Johannes</v>
      </c>
      <c r="F2280" s="13" t="s">
        <v>6843</v>
      </c>
      <c r="G2280" s="12" t="str">
        <f t="shared" si="429"/>
        <v>a1b2c6d4e4</v>
      </c>
      <c r="H2280" s="12" t="str">
        <f t="shared" si="430"/>
        <v>VOSLOOa1b2c6d4e4</v>
      </c>
      <c r="I2280" s="13"/>
      <c r="J2280" s="13" t="s">
        <v>6844</v>
      </c>
      <c r="K2280" s="12" t="str">
        <f t="shared" si="431"/>
        <v>1797</v>
      </c>
      <c r="L2280" s="13"/>
      <c r="M2280" s="13" t="s">
        <v>1529</v>
      </c>
      <c r="N2280" s="12" t="str">
        <f t="shared" si="436"/>
        <v>1797</v>
      </c>
      <c r="O2280" s="12" t="str">
        <f t="shared" si="437"/>
        <v>1797</v>
      </c>
      <c r="P2280" s="13"/>
      <c r="Q2280" s="12" t="str">
        <f t="shared" si="432"/>
        <v>1797</v>
      </c>
      <c r="R2280" s="13" t="s">
        <v>6845</v>
      </c>
      <c r="S2280" s="12" t="str">
        <f t="shared" si="433"/>
        <v>1826</v>
      </c>
      <c r="T2280" s="13" t="s">
        <v>28</v>
      </c>
      <c r="U2280" s="13" t="s">
        <v>15573</v>
      </c>
      <c r="V2280" s="12" t="str">
        <f t="shared" si="434"/>
        <v>1821</v>
      </c>
      <c r="W2280" s="13" t="s">
        <v>3168</v>
      </c>
      <c r="X2280" s="13" t="s">
        <v>655</v>
      </c>
      <c r="Y2280" s="13"/>
      <c r="Z2280" s="13"/>
      <c r="AA2280" s="13"/>
      <c r="AB2280" s="13"/>
      <c r="AC2280" s="13" t="s">
        <v>212</v>
      </c>
      <c r="AD2280" s="13"/>
      <c r="AE2280" s="13" t="s">
        <v>974</v>
      </c>
      <c r="AF2280" s="13" t="s">
        <v>3706</v>
      </c>
      <c r="AG2280" s="13" t="s">
        <v>68</v>
      </c>
      <c r="AH2280" s="13" t="s">
        <v>15574</v>
      </c>
      <c r="AI2280" s="12" t="str">
        <f t="shared" si="435"/>
        <v>1837</v>
      </c>
      <c r="AJ2280" s="13" t="s">
        <v>12470</v>
      </c>
      <c r="AK2280" s="13" t="s">
        <v>551</v>
      </c>
      <c r="AL2280" s="13" t="s">
        <v>68</v>
      </c>
      <c r="AM2280" s="13" t="s">
        <v>15575</v>
      </c>
      <c r="AN2280" s="13" t="s">
        <v>12954</v>
      </c>
      <c r="AO2280" s="13" t="s">
        <v>4126</v>
      </c>
      <c r="AP2280" s="13"/>
      <c r="AQ2280" s="13"/>
      <c r="AR2280" s="13">
        <v>1801</v>
      </c>
      <c r="AS2280" s="13"/>
      <c r="AT2280" s="13"/>
      <c r="AU2280" s="13" t="s">
        <v>24</v>
      </c>
      <c r="AV2280" s="13" t="s">
        <v>15576</v>
      </c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2"/>
      <c r="BI2280" s="12"/>
      <c r="BJ2280" s="12"/>
      <c r="BK2280" s="12"/>
      <c r="BL2280" s="12"/>
      <c r="BM2280" s="12"/>
      <c r="BN2280" s="12"/>
      <c r="BO2280" s="12"/>
      <c r="BP2280" s="12"/>
      <c r="BQ2280" s="12"/>
      <c r="BR2280" s="12"/>
      <c r="BS2280" s="12"/>
      <c r="BT2280" s="12"/>
      <c r="BU2280" s="12"/>
      <c r="BV2280" s="12"/>
      <c r="BW2280" s="12"/>
      <c r="BX2280" s="12"/>
      <c r="BY2280" s="12"/>
      <c r="BZ2280" s="12"/>
      <c r="CA2280" s="12"/>
      <c r="CB2280" s="12"/>
      <c r="CC2280" s="12"/>
      <c r="CD2280" s="12"/>
    </row>
    <row r="2281" spans="1:82">
      <c r="A2281" s="13" t="s">
        <v>6848</v>
      </c>
      <c r="B2281" s="12" t="str">
        <f t="shared" si="427"/>
        <v>WAHL</v>
      </c>
      <c r="C2281" s="12" t="str">
        <f t="shared" si="428"/>
        <v>WAHL</v>
      </c>
      <c r="D2281" s="13" t="s">
        <v>6596</v>
      </c>
      <c r="E2281" s="12" t="str">
        <f t="shared" si="438"/>
        <v>Willem Ferdinand</v>
      </c>
      <c r="F2281" s="13" t="s">
        <v>1726</v>
      </c>
      <c r="G2281" s="12" t="str">
        <f t="shared" si="429"/>
        <v>a1b4c3</v>
      </c>
      <c r="H2281" s="12" t="str">
        <f t="shared" si="430"/>
        <v>WAHLa1b4c3</v>
      </c>
      <c r="I2281" s="13"/>
      <c r="J2281" s="13" t="s">
        <v>6849</v>
      </c>
      <c r="K2281" s="12" t="str">
        <f t="shared" si="431"/>
        <v>1814</v>
      </c>
      <c r="L2281" s="13" t="s">
        <v>6850</v>
      </c>
      <c r="M2281" s="13" t="s">
        <v>6851</v>
      </c>
      <c r="N2281" s="12" t="str">
        <f t="shared" si="436"/>
        <v>1814</v>
      </c>
      <c r="O2281" s="12" t="str">
        <f t="shared" si="437"/>
        <v>1814</v>
      </c>
      <c r="P2281" s="13" t="s">
        <v>6753</v>
      </c>
      <c r="Q2281" s="12" t="str">
        <f t="shared" si="432"/>
        <v>1814</v>
      </c>
      <c r="R2281" s="13" t="s">
        <v>6852</v>
      </c>
      <c r="S2281" s="12" t="str">
        <f t="shared" si="433"/>
        <v>1868</v>
      </c>
      <c r="T2281" s="13"/>
      <c r="U2281" s="13"/>
      <c r="V2281" s="12" t="str">
        <f t="shared" si="434"/>
        <v/>
      </c>
      <c r="W2281" s="13" t="s">
        <v>15579</v>
      </c>
      <c r="X2281" s="13" t="s">
        <v>14036</v>
      </c>
      <c r="Y2281" s="13" t="s">
        <v>15580</v>
      </c>
      <c r="Z2281" s="13" t="s">
        <v>6098</v>
      </c>
      <c r="AA2281" s="13"/>
      <c r="AB2281" s="13"/>
      <c r="AC2281" s="13"/>
      <c r="AD2281" s="13" t="s">
        <v>155</v>
      </c>
      <c r="AE2281" s="13" t="s">
        <v>15581</v>
      </c>
      <c r="AF2281" s="13" t="s">
        <v>14045</v>
      </c>
      <c r="AG2281" s="13" t="s">
        <v>199</v>
      </c>
      <c r="AH2281" s="13" t="s">
        <v>15582</v>
      </c>
      <c r="AI2281" s="12" t="str">
        <f t="shared" si="435"/>
        <v>1845</v>
      </c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2"/>
      <c r="BI2281" s="12"/>
      <c r="BJ2281" s="12"/>
      <c r="BK2281" s="12"/>
      <c r="BL2281" s="12"/>
      <c r="BM2281" s="12"/>
      <c r="BN2281" s="12"/>
      <c r="BO2281" s="12"/>
      <c r="BP2281" s="12"/>
      <c r="BQ2281" s="12"/>
      <c r="BR2281" s="12"/>
      <c r="BS2281" s="12"/>
      <c r="BT2281" s="12"/>
      <c r="BU2281" s="12"/>
      <c r="BV2281" s="12"/>
      <c r="BW2281" s="12"/>
      <c r="BX2281" s="12"/>
      <c r="BY2281" s="12"/>
      <c r="BZ2281" s="12"/>
      <c r="CA2281" s="12"/>
      <c r="CB2281" s="12"/>
      <c r="CC2281" s="12"/>
      <c r="CD2281" s="12"/>
    </row>
    <row r="2282" spans="1:82">
      <c r="A2282" s="13" t="s">
        <v>6853</v>
      </c>
      <c r="B2282" s="12" t="str">
        <f t="shared" si="427"/>
        <v>WAHLSTRAND</v>
      </c>
      <c r="C2282" s="12" t="str">
        <f t="shared" si="428"/>
        <v>WAHLSTRAND</v>
      </c>
      <c r="D2282" s="13" t="s">
        <v>6854</v>
      </c>
      <c r="E2282" s="12" t="str">
        <f t="shared" si="438"/>
        <v>Pieter Ernst (Of Ernustus)</v>
      </c>
      <c r="F2282" s="13" t="s">
        <v>3992</v>
      </c>
      <c r="G2282" s="12" t="str">
        <f t="shared" si="429"/>
        <v>a1b1c1</v>
      </c>
      <c r="H2282" s="12" t="str">
        <f t="shared" si="430"/>
        <v>WAHLSTRANDa1b1c1</v>
      </c>
      <c r="I2282" s="13"/>
      <c r="J2282" s="13" t="s">
        <v>6855</v>
      </c>
      <c r="K2282" s="12" t="str">
        <f t="shared" si="431"/>
        <v>1822</v>
      </c>
      <c r="L2282" s="13" t="s">
        <v>74</v>
      </c>
      <c r="M2282" s="13" t="s">
        <v>6856</v>
      </c>
      <c r="N2282" s="12" t="str">
        <f t="shared" si="436"/>
        <v>1822</v>
      </c>
      <c r="O2282" s="12" t="str">
        <f t="shared" si="437"/>
        <v>1822</v>
      </c>
      <c r="P2282" s="13"/>
      <c r="Q2282" s="12" t="str">
        <f t="shared" si="432"/>
        <v>1822</v>
      </c>
      <c r="R2282" s="13"/>
      <c r="S2282" s="12" t="str">
        <f t="shared" si="433"/>
        <v/>
      </c>
      <c r="T2282" s="13"/>
      <c r="U2282" s="13"/>
      <c r="V2282" s="12" t="str">
        <f t="shared" si="434"/>
        <v/>
      </c>
      <c r="W2282" s="13" t="s">
        <v>3087</v>
      </c>
      <c r="X2282" s="13" t="s">
        <v>776</v>
      </c>
      <c r="Y2282" s="13" t="s">
        <v>15583</v>
      </c>
      <c r="Z2282" s="13"/>
      <c r="AA2282" s="13" t="s">
        <v>13899</v>
      </c>
      <c r="AB2282" s="13" t="s">
        <v>366</v>
      </c>
      <c r="AC2282" s="13" t="s">
        <v>5507</v>
      </c>
      <c r="AD2282" s="13"/>
      <c r="AE2282" s="13"/>
      <c r="AF2282" s="13"/>
      <c r="AG2282" s="13" t="s">
        <v>74</v>
      </c>
      <c r="AH2282" s="13">
        <v>1838</v>
      </c>
      <c r="AI2282" s="12" t="str">
        <f t="shared" si="435"/>
        <v>1838</v>
      </c>
      <c r="AJ2282" s="13" t="s">
        <v>14827</v>
      </c>
      <c r="AK2282" s="13" t="s">
        <v>190</v>
      </c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2"/>
      <c r="BI2282" s="12"/>
      <c r="BJ2282" s="12"/>
      <c r="BK2282" s="12"/>
      <c r="BL2282" s="12"/>
      <c r="BM2282" s="12"/>
      <c r="BN2282" s="12"/>
      <c r="BO2282" s="12"/>
      <c r="BP2282" s="12"/>
      <c r="BQ2282" s="12"/>
      <c r="BR2282" s="12"/>
      <c r="BS2282" s="12"/>
      <c r="BT2282" s="12"/>
      <c r="BU2282" s="12"/>
      <c r="BV2282" s="12"/>
      <c r="BW2282" s="12"/>
      <c r="BX2282" s="12"/>
      <c r="BY2282" s="12"/>
      <c r="BZ2282" s="12"/>
      <c r="CA2282" s="12"/>
      <c r="CB2282" s="12"/>
      <c r="CC2282" s="12"/>
      <c r="CD2282" s="12"/>
    </row>
    <row r="2283" spans="1:82">
      <c r="A2283" s="13" t="s">
        <v>4594</v>
      </c>
      <c r="B2283" s="12" t="str">
        <f t="shared" si="427"/>
        <v>WEIDEMAN</v>
      </c>
      <c r="C2283" s="12" t="str">
        <f t="shared" si="428"/>
        <v>WEIDEMAN</v>
      </c>
      <c r="D2283" s="13" t="s">
        <v>6857</v>
      </c>
      <c r="E2283" s="12" t="str">
        <f t="shared" si="438"/>
        <v>Roelof</v>
      </c>
      <c r="F2283" s="13" t="s">
        <v>6858</v>
      </c>
      <c r="G2283" s="12" t="str">
        <f t="shared" si="429"/>
        <v>a1b10c2</v>
      </c>
      <c r="H2283" s="12" t="str">
        <f t="shared" si="430"/>
        <v>WEIDEMANa1b10c2</v>
      </c>
      <c r="I2283" s="13" t="s">
        <v>6859</v>
      </c>
      <c r="J2283" s="13"/>
      <c r="K2283" s="12" t="str">
        <f t="shared" si="431"/>
        <v/>
      </c>
      <c r="L2283" s="13"/>
      <c r="M2283" s="13" t="s">
        <v>1529</v>
      </c>
      <c r="N2283" s="12" t="str">
        <f t="shared" si="436"/>
        <v/>
      </c>
      <c r="O2283" s="12" t="str">
        <f t="shared" si="437"/>
        <v>1797</v>
      </c>
      <c r="P2283" s="13" t="s">
        <v>6860</v>
      </c>
      <c r="Q2283" s="12" t="str">
        <f t="shared" si="432"/>
        <v>1797</v>
      </c>
      <c r="R2283" s="13" t="s">
        <v>6861</v>
      </c>
      <c r="S2283" s="12" t="str">
        <f t="shared" si="433"/>
        <v>1878</v>
      </c>
      <c r="T2283" s="13" t="s">
        <v>366</v>
      </c>
      <c r="U2283" s="13" t="s">
        <v>508</v>
      </c>
      <c r="V2283" s="12" t="str">
        <f t="shared" si="434"/>
        <v>1821</v>
      </c>
      <c r="W2283" s="13" t="s">
        <v>15584</v>
      </c>
      <c r="X2283" s="13" t="s">
        <v>2136</v>
      </c>
      <c r="Y2283" s="13"/>
      <c r="Z2283" s="13" t="s">
        <v>395</v>
      </c>
      <c r="AA2283" s="13" t="s">
        <v>15585</v>
      </c>
      <c r="AB2283" s="13" t="s">
        <v>542</v>
      </c>
      <c r="AC2283" s="13" t="s">
        <v>13848</v>
      </c>
      <c r="AD2283" s="13" t="s">
        <v>566</v>
      </c>
      <c r="AE2283" s="13" t="s">
        <v>14431</v>
      </c>
      <c r="AF2283" s="13"/>
      <c r="AG2283" s="13" t="s">
        <v>366</v>
      </c>
      <c r="AH2283" s="13">
        <v>1835</v>
      </c>
      <c r="AI2283" s="12" t="str">
        <f t="shared" si="435"/>
        <v>1835</v>
      </c>
      <c r="AJ2283" s="13"/>
      <c r="AK2283" s="13" t="s">
        <v>551</v>
      </c>
      <c r="AL2283" s="13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/>
      <c r="AX2283" s="13"/>
      <c r="AY2283" s="13"/>
      <c r="AZ2283" s="13"/>
      <c r="BA2283" s="13"/>
      <c r="BB2283" s="13"/>
      <c r="BC2283" s="13"/>
      <c r="BD2283" s="13"/>
      <c r="BE2283" s="13"/>
      <c r="BF2283" s="13"/>
      <c r="BG2283" s="13"/>
      <c r="BH2283" s="12"/>
      <c r="BI2283" s="12"/>
      <c r="BJ2283" s="12"/>
      <c r="BK2283" s="12"/>
      <c r="BL2283" s="12"/>
      <c r="BM2283" s="12"/>
      <c r="BN2283" s="12"/>
      <c r="BO2283" s="12"/>
      <c r="BP2283" s="12"/>
      <c r="BQ2283" s="12"/>
      <c r="BR2283" s="12"/>
      <c r="BS2283" s="12"/>
      <c r="BT2283" s="12"/>
      <c r="BU2283" s="12"/>
      <c r="BV2283" s="12"/>
      <c r="BW2283" s="12"/>
      <c r="BX2283" s="12"/>
      <c r="BY2283" s="12"/>
      <c r="BZ2283" s="12"/>
      <c r="CA2283" s="12"/>
      <c r="CB2283" s="12"/>
      <c r="CC2283" s="12"/>
      <c r="CD2283" s="12"/>
    </row>
    <row r="2284" spans="1:82">
      <c r="A2284" s="13" t="s">
        <v>6862</v>
      </c>
      <c r="B2284" s="12" t="str">
        <f t="shared" si="427"/>
        <v>WENTZEL</v>
      </c>
      <c r="C2284" s="12" t="str">
        <f t="shared" si="428"/>
        <v>WENTZEL</v>
      </c>
      <c r="D2284" s="13" t="s">
        <v>6863</v>
      </c>
      <c r="E2284" s="12" t="str">
        <f t="shared" si="438"/>
        <v>Johan David</v>
      </c>
      <c r="F2284" s="13" t="s">
        <v>6864</v>
      </c>
      <c r="G2284" s="12" t="str">
        <f t="shared" si="429"/>
        <v>a1b3c10</v>
      </c>
      <c r="H2284" s="12" t="str">
        <f t="shared" si="430"/>
        <v>WENTZELa1b3c10</v>
      </c>
      <c r="I2284" s="13"/>
      <c r="J2284" s="13"/>
      <c r="K2284" s="12" t="str">
        <f t="shared" si="431"/>
        <v/>
      </c>
      <c r="L2284" s="13"/>
      <c r="M2284" s="13" t="s">
        <v>6865</v>
      </c>
      <c r="N2284" s="12" t="str">
        <f t="shared" si="436"/>
        <v/>
      </c>
      <c r="O2284" s="12" t="str">
        <f t="shared" si="437"/>
        <v>1793</v>
      </c>
      <c r="P2284" s="13"/>
      <c r="Q2284" s="12" t="str">
        <f t="shared" si="432"/>
        <v>1793</v>
      </c>
      <c r="R2284" s="13"/>
      <c r="S2284" s="12" t="str">
        <f t="shared" si="433"/>
        <v/>
      </c>
      <c r="T2284" s="13" t="s">
        <v>32</v>
      </c>
      <c r="U2284" s="13" t="s">
        <v>15586</v>
      </c>
      <c r="V2284" s="12" t="str">
        <f t="shared" si="434"/>
        <v>1817</v>
      </c>
      <c r="W2284" s="13" t="s">
        <v>10696</v>
      </c>
      <c r="X2284" s="13" t="s">
        <v>5187</v>
      </c>
      <c r="Y2284" s="13"/>
      <c r="Z2284" s="13"/>
      <c r="AA2284" s="13"/>
      <c r="AB2284" s="13"/>
      <c r="AC2284" s="13"/>
      <c r="AD2284" s="13"/>
      <c r="AE2284" s="13"/>
      <c r="AF2284" s="13" t="s">
        <v>3709</v>
      </c>
      <c r="AG2284" s="13" t="s">
        <v>68</v>
      </c>
      <c r="AH2284" s="13" t="s">
        <v>13525</v>
      </c>
      <c r="AI2284" s="12" t="str">
        <f t="shared" si="435"/>
        <v>1838</v>
      </c>
      <c r="AJ2284" s="13" t="s">
        <v>7807</v>
      </c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/>
      <c r="AX2284" s="13"/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2"/>
      <c r="BI2284" s="12"/>
      <c r="BJ2284" s="12"/>
      <c r="BK2284" s="12"/>
      <c r="BL2284" s="12"/>
      <c r="BM2284" s="12"/>
      <c r="BN2284" s="12"/>
      <c r="BO2284" s="12"/>
      <c r="BP2284" s="12"/>
      <c r="BQ2284" s="12"/>
      <c r="BR2284" s="12"/>
      <c r="BS2284" s="12"/>
      <c r="BT2284" s="12"/>
      <c r="BU2284" s="12"/>
      <c r="BV2284" s="12"/>
      <c r="BW2284" s="12"/>
      <c r="BX2284" s="12"/>
      <c r="BY2284" s="12"/>
      <c r="BZ2284" s="12"/>
      <c r="CA2284" s="12"/>
      <c r="CB2284" s="12"/>
      <c r="CC2284" s="12"/>
      <c r="CD2284" s="12"/>
    </row>
    <row r="2285" spans="1:82">
      <c r="A2285" s="13" t="s">
        <v>6866</v>
      </c>
      <c r="B2285" s="12" t="str">
        <f t="shared" si="427"/>
        <v>WERNER</v>
      </c>
      <c r="C2285" s="12" t="str">
        <f t="shared" si="428"/>
        <v>WERNER</v>
      </c>
      <c r="D2285" s="13" t="s">
        <v>6867</v>
      </c>
      <c r="E2285" s="12" t="str">
        <f t="shared" si="438"/>
        <v>Carel Godlieb Benjamin</v>
      </c>
      <c r="F2285" s="13" t="s">
        <v>2482</v>
      </c>
      <c r="G2285" s="12" t="str">
        <f t="shared" si="429"/>
        <v>a1b6</v>
      </c>
      <c r="H2285" s="12" t="str">
        <f t="shared" si="430"/>
        <v>WERNERa1b6</v>
      </c>
      <c r="I2285" s="13"/>
      <c r="J2285" s="13" t="s">
        <v>6868</v>
      </c>
      <c r="K2285" s="12" t="str">
        <f t="shared" si="431"/>
        <v>1817</v>
      </c>
      <c r="L2285" s="13" t="s">
        <v>74</v>
      </c>
      <c r="M2285" s="13" t="s">
        <v>6869</v>
      </c>
      <c r="N2285" s="12" t="str">
        <f t="shared" si="436"/>
        <v>1817</v>
      </c>
      <c r="O2285" s="12" t="str">
        <f t="shared" si="437"/>
        <v>1817</v>
      </c>
      <c r="P2285" s="13"/>
      <c r="Q2285" s="12" t="str">
        <f t="shared" si="432"/>
        <v>1817</v>
      </c>
      <c r="R2285" s="13"/>
      <c r="S2285" s="12" t="str">
        <f t="shared" si="433"/>
        <v/>
      </c>
      <c r="T2285" s="13" t="s">
        <v>60</v>
      </c>
      <c r="U2285" s="13" t="s">
        <v>15587</v>
      </c>
      <c r="V2285" s="12" t="str">
        <f t="shared" si="434"/>
        <v>1838</v>
      </c>
      <c r="W2285" s="13" t="s">
        <v>4275</v>
      </c>
      <c r="X2285" s="13" t="s">
        <v>15588</v>
      </c>
      <c r="Y2285" s="13"/>
      <c r="Z2285" s="13"/>
      <c r="AA2285" s="13"/>
      <c r="AB2285" s="13"/>
      <c r="AC2285" s="13"/>
      <c r="AD2285" s="13"/>
      <c r="AE2285" s="13"/>
      <c r="AF2285" s="13"/>
      <c r="AG2285" s="13" t="s">
        <v>74</v>
      </c>
      <c r="AH2285" s="13" t="s">
        <v>12307</v>
      </c>
      <c r="AI2285" s="12" t="str">
        <f t="shared" si="435"/>
        <v>1836</v>
      </c>
      <c r="AJ2285" s="13" t="s">
        <v>10539</v>
      </c>
      <c r="AK2285" s="13"/>
      <c r="AL2285" s="13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2"/>
      <c r="BI2285" s="12"/>
      <c r="BJ2285" s="12"/>
      <c r="BK2285" s="12"/>
      <c r="BL2285" s="12"/>
      <c r="BM2285" s="12"/>
      <c r="BN2285" s="12"/>
      <c r="BO2285" s="12"/>
      <c r="BP2285" s="12"/>
      <c r="BQ2285" s="12"/>
      <c r="BR2285" s="12"/>
      <c r="BS2285" s="12"/>
      <c r="BT2285" s="12"/>
      <c r="BU2285" s="12"/>
      <c r="BV2285" s="12"/>
      <c r="BW2285" s="12"/>
      <c r="BX2285" s="12"/>
      <c r="BY2285" s="12"/>
      <c r="BZ2285" s="12"/>
      <c r="CA2285" s="12"/>
      <c r="CB2285" s="12"/>
      <c r="CC2285" s="12"/>
      <c r="CD2285" s="12"/>
    </row>
    <row r="2286" spans="1:82">
      <c r="A2286" s="13" t="s">
        <v>6870</v>
      </c>
      <c r="B2286" s="12" t="str">
        <f t="shared" si="427"/>
        <v>WESSELS</v>
      </c>
      <c r="C2286" s="12" t="str">
        <f t="shared" si="428"/>
        <v>WESSELS</v>
      </c>
      <c r="D2286" s="13" t="s">
        <v>4636</v>
      </c>
      <c r="E2286" s="12" t="str">
        <f t="shared" si="438"/>
        <v>Philippus Rudolph</v>
      </c>
      <c r="F2286" s="13" t="s">
        <v>6918</v>
      </c>
      <c r="G2286" s="12" t="str">
        <f t="shared" si="429"/>
        <v>a1b2c21e4f1g2</v>
      </c>
      <c r="H2286" s="12" t="str">
        <f t="shared" si="430"/>
        <v>WESSELSa1b2c21e4f1g2</v>
      </c>
      <c r="I2286" s="13" t="s">
        <v>6919</v>
      </c>
      <c r="J2286" s="13" t="s">
        <v>6920</v>
      </c>
      <c r="K2286" s="12" t="str">
        <f t="shared" si="431"/>
        <v>1819</v>
      </c>
      <c r="L2286" s="13" t="s">
        <v>53</v>
      </c>
      <c r="M2286" s="13" t="s">
        <v>6921</v>
      </c>
      <c r="N2286" s="12" t="str">
        <f t="shared" si="436"/>
        <v>1819</v>
      </c>
      <c r="O2286" s="12" t="str">
        <f t="shared" si="437"/>
        <v>1819</v>
      </c>
      <c r="P2286" s="13" t="s">
        <v>6922</v>
      </c>
      <c r="Q2286" s="12" t="str">
        <f t="shared" si="432"/>
        <v>1819</v>
      </c>
      <c r="R2286" s="13" t="s">
        <v>6923</v>
      </c>
      <c r="S2286" s="12" t="str">
        <f t="shared" si="433"/>
        <v>1905</v>
      </c>
      <c r="T2286" s="13" t="s">
        <v>168</v>
      </c>
      <c r="U2286" s="13" t="s">
        <v>15621</v>
      </c>
      <c r="V2286" s="12" t="str">
        <f t="shared" si="434"/>
        <v>1843</v>
      </c>
      <c r="W2286" s="13" t="s">
        <v>8080</v>
      </c>
      <c r="X2286" s="13" t="s">
        <v>2394</v>
      </c>
      <c r="Y2286" s="13"/>
      <c r="Z2286" s="13"/>
      <c r="AA2286" s="13"/>
      <c r="AB2286" s="13"/>
      <c r="AC2286" s="13"/>
      <c r="AD2286" s="13"/>
      <c r="AE2286" s="13"/>
      <c r="AF2286" s="13" t="s">
        <v>12848</v>
      </c>
      <c r="AG2286" s="13" t="s">
        <v>32</v>
      </c>
      <c r="AH2286" s="13" t="s">
        <v>15594</v>
      </c>
      <c r="AI2286" s="12" t="str">
        <f t="shared" si="435"/>
        <v>1839</v>
      </c>
      <c r="AJ2286" s="13" t="s">
        <v>12354</v>
      </c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2"/>
      <c r="BI2286" s="12"/>
      <c r="BJ2286" s="12"/>
      <c r="BK2286" s="12"/>
      <c r="BL2286" s="12"/>
      <c r="BM2286" s="12"/>
      <c r="BN2286" s="12"/>
      <c r="BO2286" s="12"/>
      <c r="BP2286" s="12"/>
      <c r="BQ2286" s="12"/>
      <c r="BR2286" s="12"/>
      <c r="BS2286" s="12"/>
      <c r="BT2286" s="12"/>
      <c r="BU2286" s="12"/>
      <c r="BV2286" s="12"/>
      <c r="BW2286" s="12"/>
      <c r="BX2286" s="12"/>
      <c r="BY2286" s="12"/>
      <c r="BZ2286" s="12"/>
      <c r="CA2286" s="12"/>
      <c r="CB2286" s="12"/>
      <c r="CC2286" s="12"/>
      <c r="CD2286" s="12"/>
    </row>
    <row r="2287" spans="1:82">
      <c r="A2287" s="13" t="s">
        <v>6870</v>
      </c>
      <c r="B2287" s="12" t="str">
        <f t="shared" ref="B2287:B2314" si="439">SUBSTITUTE(A2287," ","")</f>
        <v>WESSELS</v>
      </c>
      <c r="C2287" s="12" t="str">
        <f t="shared" ref="C2287:C2314" si="440">TRIM(A2287)</f>
        <v>WESSELS</v>
      </c>
      <c r="D2287" s="13" t="s">
        <v>6006</v>
      </c>
      <c r="E2287" s="12" t="str">
        <f t="shared" si="438"/>
        <v>Hermanus Johannes</v>
      </c>
      <c r="F2287" s="13" t="s">
        <v>6871</v>
      </c>
      <c r="G2287" s="12" t="str">
        <f t="shared" ref="G2287:G2314" si="441">IF(LEFT(F2287,1)="b","a1"&amp;F2287,F2287)</f>
        <v>a1b2c2d1e2f5</v>
      </c>
      <c r="H2287" s="12" t="str">
        <f t="shared" ref="H2287:H2314" si="442">C2287&amp;G2287</f>
        <v>WESSELSa1b2c2d1e2f5</v>
      </c>
      <c r="I2287" s="13"/>
      <c r="J2287" s="13"/>
      <c r="K2287" s="12" t="str">
        <f t="shared" ref="K2287:K2350" si="443">RIGHT(J2287,4)</f>
        <v/>
      </c>
      <c r="L2287" s="13"/>
      <c r="M2287" s="13" t="s">
        <v>6872</v>
      </c>
      <c r="N2287" s="12" t="str">
        <f t="shared" si="436"/>
        <v/>
      </c>
      <c r="O2287" s="12" t="str">
        <f t="shared" si="437"/>
        <v>1803</v>
      </c>
      <c r="P2287" s="13" t="s">
        <v>6873</v>
      </c>
      <c r="Q2287" s="12" t="str">
        <f t="shared" ref="Q2287:Q2314" si="444">IF(N2287="",O2287,N2287)</f>
        <v>1803</v>
      </c>
      <c r="R2287" s="13" t="s">
        <v>6874</v>
      </c>
      <c r="S2287" s="12" t="str">
        <f t="shared" ref="S2287:S2350" si="445">RIGHT(R2287,4)</f>
        <v>1859</v>
      </c>
      <c r="T2287" s="13" t="s">
        <v>53</v>
      </c>
      <c r="U2287" s="13" t="s">
        <v>2357</v>
      </c>
      <c r="V2287" s="12" t="str">
        <f t="shared" ref="V2287:V2350" si="446">RIGHT(U2287,4)</f>
        <v>1824</v>
      </c>
      <c r="W2287" s="13" t="s">
        <v>2756</v>
      </c>
      <c r="X2287" s="13" t="s">
        <v>4342</v>
      </c>
      <c r="Y2287" s="13"/>
      <c r="Z2287" s="13"/>
      <c r="AA2287" s="13"/>
      <c r="AB2287" s="13"/>
      <c r="AC2287" s="13"/>
      <c r="AD2287" s="13"/>
      <c r="AE2287" s="13"/>
      <c r="AF2287" s="13" t="s">
        <v>4785</v>
      </c>
      <c r="AG2287" s="13" t="s">
        <v>53</v>
      </c>
      <c r="AH2287" s="13" t="s">
        <v>12301</v>
      </c>
      <c r="AI2287" s="12" t="str">
        <f t="shared" ref="AI2287:AI2350" si="447">RIGHT(AH2287,4)</f>
        <v>1837</v>
      </c>
      <c r="AJ2287" s="13" t="s">
        <v>15589</v>
      </c>
      <c r="AK2287" s="13" t="s">
        <v>551</v>
      </c>
      <c r="AL2287" s="13" t="s">
        <v>53</v>
      </c>
      <c r="AM2287" s="13" t="s">
        <v>15590</v>
      </c>
      <c r="AN2287" s="13" t="s">
        <v>14911</v>
      </c>
      <c r="AO2287" s="13" t="s">
        <v>697</v>
      </c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/>
      <c r="BF2287" s="13"/>
      <c r="BG2287" s="13"/>
      <c r="BH2287" s="12"/>
      <c r="BI2287" s="12"/>
      <c r="BJ2287" s="12"/>
      <c r="BK2287" s="12"/>
      <c r="BL2287" s="12"/>
      <c r="BM2287" s="12"/>
      <c r="BN2287" s="12"/>
      <c r="BO2287" s="12"/>
      <c r="BP2287" s="12"/>
      <c r="BQ2287" s="12"/>
      <c r="BR2287" s="12"/>
      <c r="BS2287" s="12"/>
      <c r="BT2287" s="12"/>
      <c r="BU2287" s="12"/>
      <c r="BV2287" s="12"/>
      <c r="BW2287" s="12"/>
      <c r="BX2287" s="12"/>
      <c r="BY2287" s="12"/>
      <c r="BZ2287" s="12"/>
      <c r="CA2287" s="12"/>
      <c r="CB2287" s="12"/>
      <c r="CC2287" s="12"/>
      <c r="CD2287" s="12"/>
    </row>
    <row r="2288" spans="1:82">
      <c r="A2288" s="13" t="s">
        <v>6870</v>
      </c>
      <c r="B2288" s="12" t="str">
        <f t="shared" si="439"/>
        <v>WESSELS</v>
      </c>
      <c r="C2288" s="12" t="str">
        <f t="shared" si="440"/>
        <v>WESSELS</v>
      </c>
      <c r="D2288" s="13" t="s">
        <v>6924</v>
      </c>
      <c r="E2288" s="12" t="str">
        <f t="shared" si="438"/>
        <v>Wessel Hendrik</v>
      </c>
      <c r="F2288" s="13" t="s">
        <v>6925</v>
      </c>
      <c r="G2288" s="12" t="str">
        <f t="shared" si="441"/>
        <v>a1b2c2d1e2f6</v>
      </c>
      <c r="H2288" s="12" t="str">
        <f t="shared" si="442"/>
        <v>WESSELSa1b2c2d1e2f6</v>
      </c>
      <c r="I2288" s="13"/>
      <c r="J2288" s="13"/>
      <c r="K2288" s="12" t="str">
        <f t="shared" si="443"/>
        <v/>
      </c>
      <c r="L2288" s="13"/>
      <c r="M2288" s="13" t="s">
        <v>6926</v>
      </c>
      <c r="N2288" s="12" t="str">
        <f t="shared" si="436"/>
        <v/>
      </c>
      <c r="O2288" s="12" t="str">
        <f t="shared" si="437"/>
        <v>1805</v>
      </c>
      <c r="P2288" s="13"/>
      <c r="Q2288" s="12" t="str">
        <f t="shared" si="444"/>
        <v>1805</v>
      </c>
      <c r="R2288" s="13"/>
      <c r="S2288" s="12" t="str">
        <f t="shared" si="445"/>
        <v/>
      </c>
      <c r="T2288" s="13" t="s">
        <v>53</v>
      </c>
      <c r="U2288" s="13" t="s">
        <v>15622</v>
      </c>
      <c r="V2288" s="12" t="str">
        <f t="shared" si="446"/>
        <v>1825</v>
      </c>
      <c r="W2288" s="13" t="s">
        <v>8242</v>
      </c>
      <c r="X2288" s="13" t="s">
        <v>791</v>
      </c>
      <c r="Y2288" s="13"/>
      <c r="Z2288" s="13"/>
      <c r="AA2288" s="13"/>
      <c r="AB2288" s="13"/>
      <c r="AC2288" s="13"/>
      <c r="AD2288" s="13"/>
      <c r="AE2288" s="13"/>
      <c r="AF2288" s="13" t="s">
        <v>4785</v>
      </c>
      <c r="AG2288" s="13" t="s">
        <v>53</v>
      </c>
      <c r="AH2288" s="13" t="s">
        <v>12301</v>
      </c>
      <c r="AI2288" s="12" t="str">
        <f t="shared" si="447"/>
        <v>1837</v>
      </c>
      <c r="AJ2288" s="13" t="s">
        <v>15589</v>
      </c>
      <c r="AK2288" s="13" t="s">
        <v>160</v>
      </c>
      <c r="AL2288" s="13" t="s">
        <v>53</v>
      </c>
      <c r="AM2288" s="13" t="s">
        <v>15623</v>
      </c>
      <c r="AN2288" s="13" t="s">
        <v>15624</v>
      </c>
      <c r="AO2288" s="13" t="s">
        <v>775</v>
      </c>
      <c r="AP2288" s="13"/>
      <c r="AQ2288" s="13"/>
      <c r="AR2288" s="13"/>
      <c r="AS2288" s="13"/>
      <c r="AT2288" s="13" t="s">
        <v>8070</v>
      </c>
      <c r="AU2288" s="13"/>
      <c r="AV2288" s="13"/>
      <c r="AW2288" s="13"/>
      <c r="AX2288" s="13"/>
      <c r="AY2288" s="13"/>
      <c r="AZ2288" s="13"/>
      <c r="BA2288" s="13"/>
      <c r="BB2288" s="13"/>
      <c r="BC2288" s="13"/>
      <c r="BD2288" s="13"/>
      <c r="BE2288" s="13"/>
      <c r="BF2288" s="13"/>
      <c r="BG2288" s="13"/>
      <c r="BH2288" s="12"/>
      <c r="BI2288" s="12"/>
      <c r="BJ2288" s="12"/>
      <c r="BK2288" s="12"/>
      <c r="BL2288" s="12"/>
      <c r="BM2288" s="12"/>
      <c r="BN2288" s="12"/>
      <c r="BO2288" s="12"/>
      <c r="BP2288" s="12"/>
      <c r="BQ2288" s="12"/>
      <c r="BR2288" s="12"/>
      <c r="BS2288" s="12"/>
      <c r="BT2288" s="12"/>
      <c r="BU2288" s="12"/>
      <c r="BV2288" s="12"/>
      <c r="BW2288" s="12"/>
      <c r="BX2288" s="12"/>
      <c r="BY2288" s="12"/>
      <c r="BZ2288" s="12"/>
      <c r="CA2288" s="12"/>
      <c r="CB2288" s="12"/>
      <c r="CC2288" s="12"/>
      <c r="CD2288" s="12"/>
    </row>
    <row r="2289" spans="1:82">
      <c r="A2289" s="13" t="s">
        <v>6870</v>
      </c>
      <c r="B2289" s="12" t="str">
        <f t="shared" si="439"/>
        <v>WESSELS</v>
      </c>
      <c r="C2289" s="12" t="str">
        <f t="shared" si="440"/>
        <v>WESSELS</v>
      </c>
      <c r="D2289" s="13" t="s">
        <v>6887</v>
      </c>
      <c r="E2289" s="12" t="str">
        <f t="shared" si="438"/>
        <v>Johannes Bernardus</v>
      </c>
      <c r="F2289" s="13" t="s">
        <v>6888</v>
      </c>
      <c r="G2289" s="12" t="str">
        <f t="shared" si="441"/>
        <v>a1b2c2d1e4f1</v>
      </c>
      <c r="H2289" s="12" t="str">
        <f t="shared" si="442"/>
        <v>WESSELSa1b2c2d1e4f1</v>
      </c>
      <c r="I2289" s="13"/>
      <c r="J2289" s="13"/>
      <c r="K2289" s="12" t="str">
        <f t="shared" si="443"/>
        <v/>
      </c>
      <c r="L2289" s="13" t="s">
        <v>158</v>
      </c>
      <c r="M2289" s="13" t="s">
        <v>6889</v>
      </c>
      <c r="N2289" s="12" t="str">
        <f t="shared" si="436"/>
        <v/>
      </c>
      <c r="O2289" s="12" t="str">
        <f t="shared" si="437"/>
        <v>1796</v>
      </c>
      <c r="P2289" s="13" t="s">
        <v>6890</v>
      </c>
      <c r="Q2289" s="12" t="str">
        <f t="shared" si="444"/>
        <v>1796</v>
      </c>
      <c r="R2289" s="13" t="s">
        <v>6891</v>
      </c>
      <c r="S2289" s="12" t="str">
        <f t="shared" si="445"/>
        <v>1843</v>
      </c>
      <c r="T2289" s="13"/>
      <c r="U2289" s="13" t="s">
        <v>12957</v>
      </c>
      <c r="V2289" s="12" t="str">
        <f t="shared" si="446"/>
        <v>1817</v>
      </c>
      <c r="W2289" s="13" t="s">
        <v>14633</v>
      </c>
      <c r="X2289" s="13" t="s">
        <v>655</v>
      </c>
      <c r="Y2289" s="13"/>
      <c r="Z2289" s="13"/>
      <c r="AA2289" s="13" t="s">
        <v>15599</v>
      </c>
      <c r="AB2289" s="13"/>
      <c r="AC2289" s="13" t="s">
        <v>4834</v>
      </c>
      <c r="AD2289" s="13" t="s">
        <v>5174</v>
      </c>
      <c r="AE2289" s="13" t="s">
        <v>15600</v>
      </c>
      <c r="AF2289" s="13" t="s">
        <v>12848</v>
      </c>
      <c r="AG2289" s="13" t="s">
        <v>32</v>
      </c>
      <c r="AH2289" s="13" t="s">
        <v>15594</v>
      </c>
      <c r="AI2289" s="12" t="str">
        <f t="shared" si="447"/>
        <v>1839</v>
      </c>
      <c r="AJ2289" s="13" t="s">
        <v>12354</v>
      </c>
      <c r="AK2289" s="13" t="s">
        <v>190</v>
      </c>
      <c r="AL2289" s="13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2"/>
      <c r="BI2289" s="12"/>
      <c r="BJ2289" s="12"/>
      <c r="BK2289" s="12"/>
      <c r="BL2289" s="12"/>
      <c r="BM2289" s="12"/>
      <c r="BN2289" s="12"/>
      <c r="BO2289" s="12"/>
      <c r="BP2289" s="12"/>
      <c r="BQ2289" s="12"/>
      <c r="BR2289" s="12"/>
      <c r="BS2289" s="12"/>
      <c r="BT2289" s="12"/>
      <c r="BU2289" s="12"/>
      <c r="BV2289" s="12"/>
      <c r="BW2289" s="12"/>
      <c r="BX2289" s="12"/>
      <c r="BY2289" s="12"/>
      <c r="BZ2289" s="12"/>
      <c r="CA2289" s="12"/>
      <c r="CB2289" s="12"/>
      <c r="CC2289" s="12"/>
      <c r="CD2289" s="12"/>
    </row>
    <row r="2290" spans="1:82">
      <c r="A2290" s="13" t="s">
        <v>6870</v>
      </c>
      <c r="B2290" s="12" t="str">
        <f t="shared" si="439"/>
        <v>WESSELS</v>
      </c>
      <c r="C2290" s="12" t="str">
        <f t="shared" si="440"/>
        <v>WESSELS</v>
      </c>
      <c r="D2290" s="13" t="s">
        <v>6902</v>
      </c>
      <c r="E2290" s="12" t="str">
        <f t="shared" si="438"/>
        <v>Johannes Wilhelmus Wessel</v>
      </c>
      <c r="F2290" s="13" t="s">
        <v>6903</v>
      </c>
      <c r="G2290" s="12" t="str">
        <f t="shared" si="441"/>
        <v>a1b2c2d1e4f1g1</v>
      </c>
      <c r="H2290" s="12" t="str">
        <f t="shared" si="442"/>
        <v>WESSELSa1b2c2d1e4f1g1</v>
      </c>
      <c r="I2290" s="13"/>
      <c r="J2290" s="13" t="s">
        <v>6904</v>
      </c>
      <c r="K2290" s="12" t="str">
        <f t="shared" si="443"/>
        <v>1818</v>
      </c>
      <c r="L2290" s="13" t="s">
        <v>158</v>
      </c>
      <c r="M2290" s="13" t="s">
        <v>6905</v>
      </c>
      <c r="N2290" s="12" t="str">
        <f t="shared" si="436"/>
        <v>1818</v>
      </c>
      <c r="O2290" s="12" t="str">
        <f t="shared" si="437"/>
        <v>1818</v>
      </c>
      <c r="P2290" s="13" t="s">
        <v>6906</v>
      </c>
      <c r="Q2290" s="12" t="str">
        <f t="shared" si="444"/>
        <v>1818</v>
      </c>
      <c r="R2290" s="13" t="s">
        <v>6907</v>
      </c>
      <c r="S2290" s="12" t="str">
        <f t="shared" si="445"/>
        <v>1856</v>
      </c>
      <c r="T2290" s="13" t="s">
        <v>68</v>
      </c>
      <c r="U2290" s="13" t="s">
        <v>15606</v>
      </c>
      <c r="V2290" s="12" t="str">
        <f t="shared" si="446"/>
        <v>1840</v>
      </c>
      <c r="W2290" s="13" t="s">
        <v>15607</v>
      </c>
      <c r="X2290" s="13" t="s">
        <v>8501</v>
      </c>
      <c r="Y2290" s="13" t="s">
        <v>15608</v>
      </c>
      <c r="Z2290" s="13"/>
      <c r="AA2290" s="13"/>
      <c r="AB2290" s="13"/>
      <c r="AC2290" s="13"/>
      <c r="AD2290" s="13"/>
      <c r="AE2290" s="13"/>
      <c r="AF2290" s="13" t="s">
        <v>12848</v>
      </c>
      <c r="AG2290" s="13" t="s">
        <v>32</v>
      </c>
      <c r="AH2290" s="13" t="s">
        <v>15609</v>
      </c>
      <c r="AI2290" s="12" t="str">
        <f t="shared" si="447"/>
        <v>1839</v>
      </c>
      <c r="AJ2290" s="13"/>
      <c r="AK2290" s="13" t="s">
        <v>190</v>
      </c>
      <c r="AL2290" s="13" t="s">
        <v>190</v>
      </c>
      <c r="AM2290" s="13" t="s">
        <v>8721</v>
      </c>
      <c r="AN2290" s="13" t="s">
        <v>15610</v>
      </c>
      <c r="AO2290" s="13" t="s">
        <v>6870</v>
      </c>
      <c r="AP2290" s="13"/>
      <c r="AQ2290" s="13"/>
      <c r="AR2290" s="13" t="s">
        <v>15611</v>
      </c>
      <c r="AS2290" s="13"/>
      <c r="AT2290" s="13"/>
      <c r="AU2290" s="13" t="s">
        <v>190</v>
      </c>
      <c r="AV2290" s="13" t="s">
        <v>15612</v>
      </c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2"/>
      <c r="BI2290" s="12"/>
      <c r="BJ2290" s="12"/>
      <c r="BK2290" s="12"/>
      <c r="BL2290" s="12"/>
      <c r="BM2290" s="12"/>
      <c r="BN2290" s="12"/>
      <c r="BO2290" s="12"/>
      <c r="BP2290" s="12"/>
      <c r="BQ2290" s="12"/>
      <c r="BR2290" s="12"/>
      <c r="BS2290" s="12"/>
      <c r="BT2290" s="12"/>
      <c r="BU2290" s="12"/>
      <c r="BV2290" s="12"/>
      <c r="BW2290" s="12"/>
      <c r="BX2290" s="12"/>
      <c r="BY2290" s="12"/>
      <c r="BZ2290" s="12"/>
      <c r="CA2290" s="12"/>
      <c r="CB2290" s="12"/>
      <c r="CC2290" s="12"/>
      <c r="CD2290" s="12"/>
    </row>
    <row r="2291" spans="1:82">
      <c r="A2291" s="13" t="s">
        <v>6870</v>
      </c>
      <c r="B2291" s="12" t="str">
        <f t="shared" si="439"/>
        <v>WESSELS</v>
      </c>
      <c r="C2291" s="12" t="str">
        <f t="shared" si="440"/>
        <v>WESSELS</v>
      </c>
      <c r="D2291" s="13" t="s">
        <v>6908</v>
      </c>
      <c r="E2291" s="12" t="str">
        <f t="shared" si="438"/>
        <v>Mattheus Hendricus</v>
      </c>
      <c r="F2291" s="13" t="s">
        <v>6909</v>
      </c>
      <c r="G2291" s="12" t="str">
        <f t="shared" si="441"/>
        <v>a1b2c2d1e4f1g3</v>
      </c>
      <c r="H2291" s="12" t="str">
        <f t="shared" si="442"/>
        <v>WESSELSa1b2c2d1e4f1g3</v>
      </c>
      <c r="I2291" s="13"/>
      <c r="J2291" s="13" t="s">
        <v>6910</v>
      </c>
      <c r="K2291" s="12" t="str">
        <f t="shared" si="443"/>
        <v>1822</v>
      </c>
      <c r="L2291" s="13" t="s">
        <v>53</v>
      </c>
      <c r="M2291" s="13" t="s">
        <v>6911</v>
      </c>
      <c r="N2291" s="12" t="str">
        <f t="shared" si="436"/>
        <v>1822</v>
      </c>
      <c r="O2291" s="12" t="str">
        <f t="shared" si="437"/>
        <v>1822</v>
      </c>
      <c r="P2291" s="13" t="s">
        <v>566</v>
      </c>
      <c r="Q2291" s="12" t="str">
        <f t="shared" si="444"/>
        <v>1822</v>
      </c>
      <c r="R2291" s="13" t="s">
        <v>6912</v>
      </c>
      <c r="S2291" s="12" t="str">
        <f t="shared" si="445"/>
        <v>1893</v>
      </c>
      <c r="T2291" s="13"/>
      <c r="U2291" s="13"/>
      <c r="V2291" s="12" t="str">
        <f t="shared" si="446"/>
        <v/>
      </c>
      <c r="W2291" s="13" t="s">
        <v>15613</v>
      </c>
      <c r="X2291" s="13" t="s">
        <v>6870</v>
      </c>
      <c r="Y2291" s="13"/>
      <c r="Z2291" s="13" t="s">
        <v>331</v>
      </c>
      <c r="AA2291" s="13">
        <v>1832</v>
      </c>
      <c r="AB2291" s="13"/>
      <c r="AC2291" s="13"/>
      <c r="AD2291" s="13" t="s">
        <v>31</v>
      </c>
      <c r="AE2291" s="13" t="s">
        <v>15614</v>
      </c>
      <c r="AF2291" s="13" t="s">
        <v>12848</v>
      </c>
      <c r="AG2291" s="13" t="s">
        <v>32</v>
      </c>
      <c r="AH2291" s="13" t="s">
        <v>15594</v>
      </c>
      <c r="AI2291" s="12" t="str">
        <f t="shared" si="447"/>
        <v>1839</v>
      </c>
      <c r="AJ2291" s="13" t="s">
        <v>12354</v>
      </c>
      <c r="AK2291" s="13"/>
      <c r="AL2291" s="13"/>
      <c r="AM2291" s="13" t="s">
        <v>15615</v>
      </c>
      <c r="AN2291" s="13" t="s">
        <v>15616</v>
      </c>
      <c r="AO2291" s="13" t="s">
        <v>1151</v>
      </c>
      <c r="AP2291" s="13"/>
      <c r="AQ2291" s="13"/>
      <c r="AR2291" s="13" t="s">
        <v>15617</v>
      </c>
      <c r="AS2291" s="13"/>
      <c r="AT2291" s="13"/>
      <c r="AU2291" s="13"/>
      <c r="AV2291" s="13" t="s">
        <v>15618</v>
      </c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2"/>
      <c r="BI2291" s="12"/>
      <c r="BJ2291" s="12"/>
      <c r="BK2291" s="12"/>
      <c r="BL2291" s="12"/>
      <c r="BM2291" s="12"/>
      <c r="BN2291" s="12"/>
      <c r="BO2291" s="12"/>
      <c r="BP2291" s="12"/>
      <c r="BQ2291" s="12"/>
      <c r="BR2291" s="12"/>
      <c r="BS2291" s="12"/>
      <c r="BT2291" s="12"/>
      <c r="BU2291" s="12"/>
      <c r="BV2291" s="12"/>
      <c r="BW2291" s="12"/>
      <c r="BX2291" s="12"/>
      <c r="BY2291" s="12"/>
      <c r="BZ2291" s="12"/>
      <c r="CA2291" s="12"/>
      <c r="CB2291" s="12"/>
      <c r="CC2291" s="12"/>
      <c r="CD2291" s="12"/>
    </row>
    <row r="2292" spans="1:82">
      <c r="A2292" s="13" t="s">
        <v>6870</v>
      </c>
      <c r="B2292" s="12" t="str">
        <f t="shared" si="439"/>
        <v>WESSELS</v>
      </c>
      <c r="C2292" s="12" t="str">
        <f t="shared" si="440"/>
        <v>WESSELS</v>
      </c>
      <c r="D2292" s="13" t="s">
        <v>6908</v>
      </c>
      <c r="E2292" s="12" t="str">
        <f t="shared" si="438"/>
        <v>Mattheus Hendricus</v>
      </c>
      <c r="F2292" s="13" t="s">
        <v>6913</v>
      </c>
      <c r="G2292" s="12" t="str">
        <f t="shared" si="441"/>
        <v>a1b2c2d1e4f3</v>
      </c>
      <c r="H2292" s="12" t="str">
        <f t="shared" si="442"/>
        <v>WESSELSa1b2c2d1e4f3</v>
      </c>
      <c r="I2292" s="13" t="s">
        <v>6914</v>
      </c>
      <c r="J2292" s="13" t="s">
        <v>6915</v>
      </c>
      <c r="K2292" s="12" t="str">
        <f t="shared" si="443"/>
        <v>1799</v>
      </c>
      <c r="L2292" s="13" t="s">
        <v>32</v>
      </c>
      <c r="M2292" s="13" t="s">
        <v>6916</v>
      </c>
      <c r="N2292" s="12" t="str">
        <f t="shared" si="436"/>
        <v>1799</v>
      </c>
      <c r="O2292" s="12" t="str">
        <f t="shared" si="437"/>
        <v>1799</v>
      </c>
      <c r="P2292" s="13" t="s">
        <v>190</v>
      </c>
      <c r="Q2292" s="12" t="str">
        <f t="shared" si="444"/>
        <v>1799</v>
      </c>
      <c r="R2292" s="13" t="s">
        <v>6917</v>
      </c>
      <c r="S2292" s="12" t="str">
        <f t="shared" si="445"/>
        <v>1857</v>
      </c>
      <c r="T2292" s="13" t="s">
        <v>199</v>
      </c>
      <c r="U2292" s="13" t="s">
        <v>10210</v>
      </c>
      <c r="V2292" s="12" t="str">
        <f t="shared" si="446"/>
        <v>1818</v>
      </c>
      <c r="W2292" s="13" t="s">
        <v>4828</v>
      </c>
      <c r="X2292" s="13" t="s">
        <v>3138</v>
      </c>
      <c r="Y2292" s="13"/>
      <c r="Z2292" s="13"/>
      <c r="AA2292" s="13" t="s">
        <v>15619</v>
      </c>
      <c r="AB2292" s="13"/>
      <c r="AC2292" s="13"/>
      <c r="AD2292" s="13" t="s">
        <v>31</v>
      </c>
      <c r="AE2292" s="13" t="s">
        <v>15620</v>
      </c>
      <c r="AF2292" s="13" t="s">
        <v>12848</v>
      </c>
      <c r="AG2292" s="13" t="s">
        <v>32</v>
      </c>
      <c r="AH2292" s="13" t="s">
        <v>15594</v>
      </c>
      <c r="AI2292" s="12" t="str">
        <f t="shared" si="447"/>
        <v>1839</v>
      </c>
      <c r="AJ2292" s="13" t="s">
        <v>12354</v>
      </c>
      <c r="AK2292" s="13" t="s">
        <v>190</v>
      </c>
      <c r="AL2292" s="13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2"/>
      <c r="BI2292" s="12"/>
      <c r="BJ2292" s="12"/>
      <c r="BK2292" s="12"/>
      <c r="BL2292" s="12"/>
      <c r="BM2292" s="12"/>
      <c r="BN2292" s="12"/>
      <c r="BO2292" s="12"/>
      <c r="BP2292" s="12"/>
      <c r="BQ2292" s="12"/>
      <c r="BR2292" s="12"/>
      <c r="BS2292" s="12"/>
      <c r="BT2292" s="12"/>
      <c r="BU2292" s="12"/>
      <c r="BV2292" s="12"/>
      <c r="BW2292" s="12"/>
      <c r="BX2292" s="12"/>
      <c r="BY2292" s="12"/>
      <c r="BZ2292" s="12"/>
      <c r="CA2292" s="12"/>
      <c r="CB2292" s="12"/>
      <c r="CC2292" s="12"/>
      <c r="CD2292" s="12"/>
    </row>
    <row r="2293" spans="1:82">
      <c r="A2293" s="13" t="s">
        <v>6870</v>
      </c>
      <c r="B2293" s="12" t="str">
        <f t="shared" si="439"/>
        <v>WESSELS</v>
      </c>
      <c r="C2293" s="12" t="str">
        <f t="shared" si="440"/>
        <v>WESSELS</v>
      </c>
      <c r="D2293" s="13" t="s">
        <v>2954</v>
      </c>
      <c r="E2293" s="12" t="str">
        <f t="shared" si="438"/>
        <v>Johannes Wilhelmus</v>
      </c>
      <c r="F2293" s="13" t="s">
        <v>6897</v>
      </c>
      <c r="G2293" s="12" t="str">
        <f t="shared" si="441"/>
        <v>a1b2c2d1e4f3g1</v>
      </c>
      <c r="H2293" s="12" t="str">
        <f t="shared" si="442"/>
        <v>WESSELSa1b2c2d1e4f3g1</v>
      </c>
      <c r="I2293" s="13"/>
      <c r="J2293" s="13" t="s">
        <v>6898</v>
      </c>
      <c r="K2293" s="12" t="str">
        <f t="shared" si="443"/>
        <v>1819</v>
      </c>
      <c r="L2293" s="13" t="s">
        <v>199</v>
      </c>
      <c r="M2293" s="13" t="s">
        <v>6899</v>
      </c>
      <c r="N2293" s="12" t="str">
        <f t="shared" si="436"/>
        <v>1819</v>
      </c>
      <c r="O2293" s="12" t="str">
        <f t="shared" si="437"/>
        <v>1820</v>
      </c>
      <c r="P2293" s="13" t="s">
        <v>6900</v>
      </c>
      <c r="Q2293" s="12" t="str">
        <f t="shared" si="444"/>
        <v>1819</v>
      </c>
      <c r="R2293" s="13" t="s">
        <v>6901</v>
      </c>
      <c r="S2293" s="12" t="str">
        <f t="shared" si="445"/>
        <v>1873</v>
      </c>
      <c r="T2293" s="13" t="s">
        <v>190</v>
      </c>
      <c r="U2293" s="13" t="s">
        <v>15603</v>
      </c>
      <c r="V2293" s="12" t="str">
        <f t="shared" si="446"/>
        <v>1849</v>
      </c>
      <c r="W2293" s="13" t="s">
        <v>15604</v>
      </c>
      <c r="X2293" s="13" t="s">
        <v>730</v>
      </c>
      <c r="Y2293" s="13"/>
      <c r="Z2293" s="13"/>
      <c r="AA2293" s="13"/>
      <c r="AB2293" s="13" t="s">
        <v>68</v>
      </c>
      <c r="AC2293" s="13" t="s">
        <v>15605</v>
      </c>
      <c r="AD2293" s="13"/>
      <c r="AE2293" s="13"/>
      <c r="AF2293" s="13" t="s">
        <v>12848</v>
      </c>
      <c r="AG2293" s="13" t="s">
        <v>32</v>
      </c>
      <c r="AH2293" s="13" t="s">
        <v>15594</v>
      </c>
      <c r="AI2293" s="12" t="str">
        <f t="shared" si="447"/>
        <v>1839</v>
      </c>
      <c r="AJ2293" s="13" t="s">
        <v>12354</v>
      </c>
      <c r="AK2293" s="13" t="s">
        <v>190</v>
      </c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2"/>
      <c r="BI2293" s="12"/>
      <c r="BJ2293" s="12"/>
      <c r="BK2293" s="12"/>
      <c r="BL2293" s="12"/>
      <c r="BM2293" s="12"/>
      <c r="BN2293" s="12"/>
      <c r="BO2293" s="12"/>
      <c r="BP2293" s="12"/>
      <c r="BQ2293" s="12"/>
      <c r="BR2293" s="12"/>
      <c r="BS2293" s="12"/>
      <c r="BT2293" s="12"/>
      <c r="BU2293" s="12"/>
      <c r="BV2293" s="12"/>
      <c r="BW2293" s="12"/>
      <c r="BX2293" s="12"/>
      <c r="BY2293" s="12"/>
      <c r="BZ2293" s="12"/>
      <c r="CA2293" s="12"/>
      <c r="CB2293" s="12"/>
      <c r="CC2293" s="12"/>
      <c r="CD2293" s="12"/>
    </row>
    <row r="2294" spans="1:82">
      <c r="A2294" s="13" t="s">
        <v>6870</v>
      </c>
      <c r="B2294" s="12" t="str">
        <f t="shared" si="439"/>
        <v>WESSELS</v>
      </c>
      <c r="C2294" s="12" t="str">
        <f t="shared" si="440"/>
        <v>WESSELS</v>
      </c>
      <c r="D2294" s="13" t="s">
        <v>6927</v>
      </c>
      <c r="E2294" s="12" t="str">
        <f t="shared" si="438"/>
        <v>Wessel Jacobus</v>
      </c>
      <c r="F2294" s="13" t="s">
        <v>6928</v>
      </c>
      <c r="G2294" s="12" t="str">
        <f t="shared" si="441"/>
        <v>a1b2c2d1e4f5</v>
      </c>
      <c r="H2294" s="12" t="str">
        <f t="shared" si="442"/>
        <v>WESSELSa1b2c2d1e4f5</v>
      </c>
      <c r="I2294" s="13"/>
      <c r="J2294" s="13"/>
      <c r="K2294" s="12" t="str">
        <f t="shared" si="443"/>
        <v/>
      </c>
      <c r="L2294" s="13"/>
      <c r="M2294" s="13" t="s">
        <v>4582</v>
      </c>
      <c r="N2294" s="12" t="str">
        <f t="shared" si="436"/>
        <v/>
      </c>
      <c r="O2294" s="12" t="str">
        <f t="shared" si="437"/>
        <v>1802</v>
      </c>
      <c r="P2294" s="13" t="s">
        <v>6929</v>
      </c>
      <c r="Q2294" s="12" t="str">
        <f t="shared" si="444"/>
        <v>1802</v>
      </c>
      <c r="R2294" s="13" t="s">
        <v>6930</v>
      </c>
      <c r="S2294" s="12" t="str">
        <f t="shared" si="445"/>
        <v>1872</v>
      </c>
      <c r="T2294" s="13" t="s">
        <v>158</v>
      </c>
      <c r="U2294" s="13" t="s">
        <v>4773</v>
      </c>
      <c r="V2294" s="12" t="str">
        <f t="shared" si="446"/>
        <v>1820</v>
      </c>
      <c r="W2294" s="13" t="s">
        <v>15625</v>
      </c>
      <c r="X2294" s="13" t="s">
        <v>640</v>
      </c>
      <c r="Y2294" s="13"/>
      <c r="Z2294" s="13"/>
      <c r="AA2294" s="13" t="s">
        <v>15626</v>
      </c>
      <c r="AB2294" s="13"/>
      <c r="AC2294" s="13"/>
      <c r="AD2294" s="13"/>
      <c r="AE2294" s="13"/>
      <c r="AF2294" s="13" t="s">
        <v>12848</v>
      </c>
      <c r="AG2294" s="13" t="s">
        <v>32</v>
      </c>
      <c r="AH2294" s="13" t="s">
        <v>15594</v>
      </c>
      <c r="AI2294" s="12" t="str">
        <f t="shared" si="447"/>
        <v>1839</v>
      </c>
      <c r="AJ2294" s="13"/>
      <c r="AK2294" s="13" t="s">
        <v>190</v>
      </c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2"/>
      <c r="BI2294" s="12"/>
      <c r="BJ2294" s="12"/>
      <c r="BK2294" s="12"/>
      <c r="BL2294" s="12"/>
      <c r="BM2294" s="12"/>
      <c r="BN2294" s="12"/>
      <c r="BO2294" s="12"/>
      <c r="BP2294" s="12"/>
      <c r="BQ2294" s="12"/>
      <c r="BR2294" s="12"/>
      <c r="BS2294" s="12"/>
      <c r="BT2294" s="12"/>
      <c r="BU2294" s="12"/>
      <c r="BV2294" s="12"/>
      <c r="BW2294" s="12"/>
      <c r="BX2294" s="12"/>
      <c r="BY2294" s="12"/>
      <c r="BZ2294" s="12"/>
      <c r="CA2294" s="12"/>
      <c r="CB2294" s="12"/>
      <c r="CC2294" s="12"/>
      <c r="CD2294" s="12"/>
    </row>
    <row r="2295" spans="1:82">
      <c r="A2295" s="13" t="s">
        <v>6870</v>
      </c>
      <c r="B2295" s="12" t="str">
        <f t="shared" si="439"/>
        <v>WESSELS</v>
      </c>
      <c r="C2295" s="12" t="str">
        <f t="shared" si="440"/>
        <v>WESSELS</v>
      </c>
      <c r="D2295" s="13" t="s">
        <v>6881</v>
      </c>
      <c r="E2295" s="12" t="str">
        <f t="shared" si="438"/>
        <v>Jan Wilhelmus Wessel</v>
      </c>
      <c r="F2295" s="13" t="s">
        <v>6882</v>
      </c>
      <c r="G2295" s="12" t="str">
        <f t="shared" si="441"/>
        <v>a1b2c2d1e4f5g3</v>
      </c>
      <c r="H2295" s="12" t="str">
        <f t="shared" si="442"/>
        <v>WESSELSa1b2c2d1e4f5g3</v>
      </c>
      <c r="I2295" s="13"/>
      <c r="J2295" s="13" t="s">
        <v>6883</v>
      </c>
      <c r="K2295" s="12" t="str">
        <f t="shared" si="443"/>
        <v>1824</v>
      </c>
      <c r="L2295" s="13" t="s">
        <v>158</v>
      </c>
      <c r="M2295" s="13" t="s">
        <v>6884</v>
      </c>
      <c r="N2295" s="12" t="str">
        <f t="shared" si="436"/>
        <v>1824</v>
      </c>
      <c r="O2295" s="12" t="str">
        <f t="shared" si="437"/>
        <v>1824</v>
      </c>
      <c r="P2295" s="13" t="s">
        <v>6885</v>
      </c>
      <c r="Q2295" s="12" t="str">
        <f t="shared" si="444"/>
        <v>1824</v>
      </c>
      <c r="R2295" s="13" t="s">
        <v>6886</v>
      </c>
      <c r="S2295" s="12" t="str">
        <f t="shared" si="445"/>
        <v>1903</v>
      </c>
      <c r="T2295" s="13" t="s">
        <v>190</v>
      </c>
      <c r="U2295" s="13" t="s">
        <v>15595</v>
      </c>
      <c r="V2295" s="12" t="str">
        <f t="shared" si="446"/>
        <v>1850</v>
      </c>
      <c r="W2295" s="13" t="s">
        <v>15596</v>
      </c>
      <c r="X2295" s="13" t="s">
        <v>730</v>
      </c>
      <c r="Y2295" s="13"/>
      <c r="Z2295" s="13" t="s">
        <v>68</v>
      </c>
      <c r="AA2295" s="13" t="s">
        <v>15597</v>
      </c>
      <c r="AB2295" s="13"/>
      <c r="AC2295" s="13"/>
      <c r="AD2295" s="13" t="s">
        <v>190</v>
      </c>
      <c r="AE2295" s="13" t="s">
        <v>15598</v>
      </c>
      <c r="AF2295" s="13" t="s">
        <v>12848</v>
      </c>
      <c r="AG2295" s="13" t="s">
        <v>32</v>
      </c>
      <c r="AH2295" s="13" t="s">
        <v>15594</v>
      </c>
      <c r="AI2295" s="12" t="str">
        <f t="shared" si="447"/>
        <v>1839</v>
      </c>
      <c r="AJ2295" s="13" t="s">
        <v>12354</v>
      </c>
      <c r="AK2295" s="13" t="s">
        <v>190</v>
      </c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/>
      <c r="BD2295" s="13"/>
      <c r="BE2295" s="13"/>
      <c r="BF2295" s="13"/>
      <c r="BG2295" s="13"/>
      <c r="BH2295" s="12"/>
      <c r="BI2295" s="12"/>
      <c r="BJ2295" s="12"/>
      <c r="BK2295" s="12"/>
      <c r="BL2295" s="12"/>
      <c r="BM2295" s="12"/>
      <c r="BN2295" s="12"/>
      <c r="BO2295" s="12"/>
      <c r="BP2295" s="12"/>
      <c r="BQ2295" s="12"/>
      <c r="BR2295" s="12"/>
      <c r="BS2295" s="12"/>
      <c r="BT2295" s="12"/>
      <c r="BU2295" s="12"/>
      <c r="BV2295" s="12"/>
      <c r="BW2295" s="12"/>
      <c r="BX2295" s="12"/>
      <c r="BY2295" s="12"/>
      <c r="BZ2295" s="12"/>
      <c r="CA2295" s="12"/>
      <c r="CB2295" s="12"/>
      <c r="CC2295" s="12"/>
      <c r="CD2295" s="12"/>
    </row>
    <row r="2296" spans="1:82">
      <c r="A2296" s="13" t="s">
        <v>6870</v>
      </c>
      <c r="B2296" s="12" t="str">
        <f t="shared" si="439"/>
        <v>WESSELS</v>
      </c>
      <c r="C2296" s="12" t="str">
        <f t="shared" si="440"/>
        <v>WESSELS</v>
      </c>
      <c r="D2296" s="13" t="s">
        <v>6875</v>
      </c>
      <c r="E2296" s="12" t="str">
        <f t="shared" si="438"/>
        <v>Hermanus Wilhelmus</v>
      </c>
      <c r="F2296" s="13" t="s">
        <v>6876</v>
      </c>
      <c r="G2296" s="12" t="str">
        <f t="shared" si="441"/>
        <v>a1b2c2d1e4f7</v>
      </c>
      <c r="H2296" s="12" t="str">
        <f t="shared" si="442"/>
        <v>WESSELSa1b2c2d1e4f7</v>
      </c>
      <c r="I2296" s="13" t="s">
        <v>158</v>
      </c>
      <c r="J2296" s="13" t="s">
        <v>6877</v>
      </c>
      <c r="K2296" s="12" t="str">
        <f t="shared" si="443"/>
        <v>1805</v>
      </c>
      <c r="L2296" s="13" t="s">
        <v>74</v>
      </c>
      <c r="M2296" s="13" t="s">
        <v>6878</v>
      </c>
      <c r="N2296" s="12" t="str">
        <f t="shared" si="436"/>
        <v>1805</v>
      </c>
      <c r="O2296" s="12" t="str">
        <f t="shared" si="437"/>
        <v>1806</v>
      </c>
      <c r="P2296" s="13" t="s">
        <v>6879</v>
      </c>
      <c r="Q2296" s="12" t="str">
        <f t="shared" si="444"/>
        <v>1805</v>
      </c>
      <c r="R2296" s="13" t="s">
        <v>6880</v>
      </c>
      <c r="S2296" s="12" t="str">
        <f t="shared" si="445"/>
        <v>1864</v>
      </c>
      <c r="T2296" s="13" t="s">
        <v>158</v>
      </c>
      <c r="U2296" s="13" t="s">
        <v>4032</v>
      </c>
      <c r="V2296" s="12" t="str">
        <f t="shared" si="446"/>
        <v>1825</v>
      </c>
      <c r="W2296" s="13" t="s">
        <v>15591</v>
      </c>
      <c r="X2296" s="13" t="s">
        <v>4871</v>
      </c>
      <c r="Y2296" s="13"/>
      <c r="Z2296" s="13"/>
      <c r="AA2296" s="13"/>
      <c r="AB2296" s="13"/>
      <c r="AC2296" s="13"/>
      <c r="AD2296" s="13" t="s">
        <v>15592</v>
      </c>
      <c r="AE2296" s="13" t="s">
        <v>15593</v>
      </c>
      <c r="AF2296" s="13" t="s">
        <v>12848</v>
      </c>
      <c r="AG2296" s="13" t="s">
        <v>32</v>
      </c>
      <c r="AH2296" s="13" t="s">
        <v>15594</v>
      </c>
      <c r="AI2296" s="12" t="str">
        <f t="shared" si="447"/>
        <v>1839</v>
      </c>
      <c r="AJ2296" s="13" t="s">
        <v>12354</v>
      </c>
      <c r="AK2296" s="13" t="s">
        <v>190</v>
      </c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2"/>
      <c r="BI2296" s="12"/>
      <c r="BJ2296" s="12"/>
      <c r="BK2296" s="12"/>
      <c r="BL2296" s="12"/>
      <c r="BM2296" s="12"/>
      <c r="BN2296" s="12"/>
      <c r="BO2296" s="12"/>
      <c r="BP2296" s="12"/>
      <c r="BQ2296" s="12"/>
      <c r="BR2296" s="12"/>
      <c r="BS2296" s="12"/>
      <c r="BT2296" s="12"/>
      <c r="BU2296" s="12"/>
      <c r="BV2296" s="12"/>
      <c r="BW2296" s="12"/>
      <c r="BX2296" s="12"/>
      <c r="BY2296" s="12"/>
      <c r="BZ2296" s="12"/>
      <c r="CA2296" s="12"/>
      <c r="CB2296" s="12"/>
      <c r="CC2296" s="12"/>
      <c r="CD2296" s="12"/>
    </row>
    <row r="2297" spans="1:82">
      <c r="A2297" s="13" t="s">
        <v>6870</v>
      </c>
      <c r="B2297" s="12" t="str">
        <f t="shared" si="439"/>
        <v>WESSELS</v>
      </c>
      <c r="C2297" s="12" t="str">
        <f t="shared" si="440"/>
        <v>WESSELS</v>
      </c>
      <c r="D2297" s="13" t="s">
        <v>2954</v>
      </c>
      <c r="E2297" s="12" t="str">
        <f t="shared" si="438"/>
        <v>Johannes Wilhelmus</v>
      </c>
      <c r="F2297" s="13" t="s">
        <v>6892</v>
      </c>
      <c r="G2297" s="12" t="str">
        <f t="shared" si="441"/>
        <v>a1b2c2d1e4f7g1</v>
      </c>
      <c r="H2297" s="12" t="str">
        <f t="shared" si="442"/>
        <v>WESSELSa1b2c2d1e4f7g1</v>
      </c>
      <c r="I2297" s="13"/>
      <c r="J2297" s="13" t="s">
        <v>6893</v>
      </c>
      <c r="K2297" s="12" t="str">
        <f t="shared" si="443"/>
        <v>1825</v>
      </c>
      <c r="L2297" s="13" t="s">
        <v>68</v>
      </c>
      <c r="M2297" s="13" t="s">
        <v>6894</v>
      </c>
      <c r="N2297" s="12" t="str">
        <f t="shared" si="436"/>
        <v>1825</v>
      </c>
      <c r="O2297" s="12" t="str">
        <f t="shared" si="437"/>
        <v>1826</v>
      </c>
      <c r="P2297" s="13" t="s">
        <v>6895</v>
      </c>
      <c r="Q2297" s="12" t="str">
        <f t="shared" si="444"/>
        <v>1825</v>
      </c>
      <c r="R2297" s="13" t="s">
        <v>6896</v>
      </c>
      <c r="S2297" s="12" t="str">
        <f t="shared" si="445"/>
        <v>1901</v>
      </c>
      <c r="T2297" s="13"/>
      <c r="U2297" s="13"/>
      <c r="V2297" s="12" t="str">
        <f t="shared" si="446"/>
        <v/>
      </c>
      <c r="W2297" s="13" t="s">
        <v>15601</v>
      </c>
      <c r="X2297" s="13" t="s">
        <v>695</v>
      </c>
      <c r="Y2297" s="13"/>
      <c r="Z2297" s="13"/>
      <c r="AA2297" s="13" t="s">
        <v>8721</v>
      </c>
      <c r="AB2297" s="13"/>
      <c r="AC2297" s="13"/>
      <c r="AD2297" s="13" t="s">
        <v>31</v>
      </c>
      <c r="AE2297" s="13" t="s">
        <v>15602</v>
      </c>
      <c r="AF2297" s="13" t="s">
        <v>12848</v>
      </c>
      <c r="AG2297" s="13" t="s">
        <v>32</v>
      </c>
      <c r="AH2297" s="13" t="s">
        <v>15594</v>
      </c>
      <c r="AI2297" s="12" t="str">
        <f t="shared" si="447"/>
        <v>1839</v>
      </c>
      <c r="AJ2297" s="13" t="s">
        <v>12354</v>
      </c>
      <c r="AK2297" s="13" t="s">
        <v>190</v>
      </c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2"/>
      <c r="BI2297" s="12"/>
      <c r="BJ2297" s="12"/>
      <c r="BK2297" s="12"/>
      <c r="BL2297" s="12"/>
      <c r="BM2297" s="12"/>
      <c r="BN2297" s="12"/>
      <c r="BO2297" s="12"/>
      <c r="BP2297" s="12"/>
      <c r="BQ2297" s="12"/>
      <c r="BR2297" s="12"/>
      <c r="BS2297" s="12"/>
      <c r="BT2297" s="12"/>
      <c r="BU2297" s="12"/>
      <c r="BV2297" s="12"/>
      <c r="BW2297" s="12"/>
      <c r="BX2297" s="12"/>
      <c r="BY2297" s="12"/>
      <c r="BZ2297" s="12"/>
      <c r="CA2297" s="12"/>
      <c r="CB2297" s="12"/>
      <c r="CC2297" s="12"/>
      <c r="CD2297" s="12"/>
    </row>
    <row r="2298" spans="1:82">
      <c r="A2298" s="18" t="s">
        <v>15792</v>
      </c>
      <c r="B2298" s="12" t="str">
        <f t="shared" si="439"/>
        <v>WEYER</v>
      </c>
      <c r="C2298" s="12" t="str">
        <f t="shared" si="440"/>
        <v>WEYER</v>
      </c>
      <c r="D2298" s="13" t="s">
        <v>6931</v>
      </c>
      <c r="E2298" s="12" t="str">
        <f t="shared" si="438"/>
        <v>Frederik Wilhelm Christiaan</v>
      </c>
      <c r="F2298" s="13" t="s">
        <v>3010</v>
      </c>
      <c r="G2298" s="12" t="str">
        <f t="shared" si="441"/>
        <v>a1b3</v>
      </c>
      <c r="H2298" s="12" t="str">
        <f t="shared" si="442"/>
        <v>WEYERa1b3</v>
      </c>
      <c r="I2298" s="13"/>
      <c r="J2298" s="13" t="s">
        <v>6932</v>
      </c>
      <c r="K2298" s="12" t="str">
        <f t="shared" si="443"/>
        <v>1822</v>
      </c>
      <c r="L2298" s="13" t="s">
        <v>74</v>
      </c>
      <c r="M2298" s="13" t="s">
        <v>6933</v>
      </c>
      <c r="N2298" s="12" t="str">
        <f t="shared" si="436"/>
        <v>1822</v>
      </c>
      <c r="O2298" s="12" t="str">
        <f t="shared" si="437"/>
        <v>1822</v>
      </c>
      <c r="P2298" s="13"/>
      <c r="Q2298" s="12" t="str">
        <f t="shared" si="444"/>
        <v>1822</v>
      </c>
      <c r="R2298" s="13"/>
      <c r="S2298" s="12" t="str">
        <f t="shared" si="445"/>
        <v/>
      </c>
      <c r="T2298" s="13" t="s">
        <v>168</v>
      </c>
      <c r="U2298" s="13" t="s">
        <v>15627</v>
      </c>
      <c r="V2298" s="12" t="str">
        <f t="shared" si="446"/>
        <v>1845</v>
      </c>
      <c r="W2298" s="13" t="s">
        <v>3857</v>
      </c>
      <c r="X2298" s="13" t="s">
        <v>15628</v>
      </c>
      <c r="Y2298" s="13" t="s">
        <v>15629</v>
      </c>
      <c r="Z2298" s="13"/>
      <c r="AA2298" s="13"/>
      <c r="AB2298" s="13"/>
      <c r="AC2298" s="13"/>
      <c r="AD2298" s="13"/>
      <c r="AE2298" s="13"/>
      <c r="AF2298" s="13"/>
      <c r="AG2298" s="13" t="s">
        <v>74</v>
      </c>
      <c r="AH2298" s="13" t="s">
        <v>2030</v>
      </c>
      <c r="AI2298" s="12" t="str">
        <f t="shared" si="447"/>
        <v>1845</v>
      </c>
      <c r="AJ2298" s="13"/>
      <c r="AK2298" s="13"/>
      <c r="AL2298" s="13" t="s">
        <v>168</v>
      </c>
      <c r="AM2298" s="13" t="s">
        <v>15630</v>
      </c>
      <c r="AN2298" s="13" t="s">
        <v>15631</v>
      </c>
      <c r="AO2298" s="13" t="s">
        <v>2026</v>
      </c>
      <c r="AP2298" s="13" t="s">
        <v>13740</v>
      </c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2"/>
      <c r="BI2298" s="12"/>
      <c r="BJ2298" s="12"/>
      <c r="BK2298" s="12"/>
      <c r="BL2298" s="12"/>
      <c r="BM2298" s="12"/>
      <c r="BN2298" s="12"/>
      <c r="BO2298" s="12"/>
      <c r="BP2298" s="12"/>
      <c r="BQ2298" s="12"/>
      <c r="BR2298" s="12"/>
      <c r="BS2298" s="12"/>
      <c r="BT2298" s="12"/>
      <c r="BU2298" s="12"/>
      <c r="BV2298" s="12"/>
      <c r="BW2298" s="12"/>
      <c r="BX2298" s="12"/>
      <c r="BY2298" s="12"/>
      <c r="BZ2298" s="12"/>
      <c r="CA2298" s="12"/>
      <c r="CB2298" s="12"/>
      <c r="CC2298" s="12"/>
      <c r="CD2298" s="12"/>
    </row>
    <row r="2299" spans="1:82">
      <c r="A2299" s="13" t="s">
        <v>3454</v>
      </c>
      <c r="B2299" s="12" t="str">
        <f t="shared" si="439"/>
        <v>WILKEN</v>
      </c>
      <c r="C2299" s="12" t="str">
        <f t="shared" si="440"/>
        <v>WILKEN</v>
      </c>
      <c r="D2299" s="13" t="s">
        <v>6934</v>
      </c>
      <c r="E2299" s="12" t="str">
        <f t="shared" si="438"/>
        <v>Johannes Adam</v>
      </c>
      <c r="F2299" s="13" t="s">
        <v>6935</v>
      </c>
      <c r="G2299" s="12" t="str">
        <f t="shared" si="441"/>
        <v>a1b6c8</v>
      </c>
      <c r="H2299" s="12" t="str">
        <f t="shared" si="442"/>
        <v>WILKENa1b6c8</v>
      </c>
      <c r="I2299" s="13"/>
      <c r="J2299" s="13" t="s">
        <v>6936</v>
      </c>
      <c r="K2299" s="12" t="str">
        <f t="shared" si="443"/>
        <v>1810</v>
      </c>
      <c r="L2299" s="13"/>
      <c r="M2299" s="13"/>
      <c r="N2299" s="12" t="str">
        <f t="shared" si="436"/>
        <v>1810</v>
      </c>
      <c r="O2299" s="12" t="str">
        <f t="shared" si="437"/>
        <v/>
      </c>
      <c r="P2299" s="13" t="s">
        <v>6879</v>
      </c>
      <c r="Q2299" s="12" t="str">
        <f t="shared" si="444"/>
        <v>1810</v>
      </c>
      <c r="R2299" s="13" t="s">
        <v>6937</v>
      </c>
      <c r="S2299" s="12" t="str">
        <f t="shared" si="445"/>
        <v>1866</v>
      </c>
      <c r="T2299" s="12"/>
      <c r="U2299" s="12"/>
      <c r="V2299" s="12" t="str">
        <f t="shared" si="446"/>
        <v/>
      </c>
      <c r="W2299" s="13" t="s">
        <v>15632</v>
      </c>
      <c r="X2299" s="13" t="s">
        <v>696</v>
      </c>
      <c r="Y2299" s="13" t="s">
        <v>15633</v>
      </c>
      <c r="Z2299" s="13"/>
      <c r="AA2299" s="13"/>
      <c r="AB2299" s="13"/>
      <c r="AC2299" s="13" t="s">
        <v>4085</v>
      </c>
      <c r="AD2299" s="13"/>
      <c r="AE2299" s="13"/>
      <c r="AF2299" s="13" t="s">
        <v>3698</v>
      </c>
      <c r="AG2299" s="13" t="s">
        <v>53</v>
      </c>
      <c r="AH2299" s="13" t="s">
        <v>12776</v>
      </c>
      <c r="AI2299" s="12" t="str">
        <f t="shared" si="447"/>
        <v>1842</v>
      </c>
      <c r="AJ2299" s="13"/>
      <c r="AK2299" s="13" t="s">
        <v>90</v>
      </c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/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2"/>
      <c r="BI2299" s="12"/>
      <c r="BJ2299" s="12"/>
      <c r="BK2299" s="12"/>
      <c r="BL2299" s="12"/>
      <c r="BM2299" s="12"/>
      <c r="BN2299" s="12"/>
      <c r="BO2299" s="12"/>
      <c r="BP2299" s="12"/>
      <c r="BQ2299" s="12"/>
      <c r="BR2299" s="12"/>
      <c r="BS2299" s="12"/>
      <c r="BT2299" s="12"/>
      <c r="BU2299" s="12"/>
      <c r="BV2299" s="12"/>
      <c r="BW2299" s="12"/>
      <c r="BX2299" s="12"/>
      <c r="BY2299" s="12"/>
      <c r="BZ2299" s="12"/>
      <c r="CA2299" s="12"/>
      <c r="CB2299" s="12"/>
      <c r="CC2299" s="12"/>
      <c r="CD2299" s="12"/>
    </row>
    <row r="2300" spans="1:82">
      <c r="A2300" s="13" t="s">
        <v>3454</v>
      </c>
      <c r="B2300" s="12" t="str">
        <f t="shared" si="439"/>
        <v>WILKEN</v>
      </c>
      <c r="C2300" s="12" t="str">
        <f t="shared" si="440"/>
        <v>WILKEN</v>
      </c>
      <c r="D2300" s="13" t="s">
        <v>6934</v>
      </c>
      <c r="E2300" s="12" t="str">
        <f t="shared" si="438"/>
        <v>Johannes Adam</v>
      </c>
      <c r="F2300" s="13" t="s">
        <v>4661</v>
      </c>
      <c r="G2300" s="12" t="str">
        <f t="shared" si="441"/>
        <v>a1b8</v>
      </c>
      <c r="H2300" s="12" t="str">
        <f t="shared" si="442"/>
        <v>WILKENa1b8</v>
      </c>
      <c r="I2300" s="13"/>
      <c r="J2300" s="13"/>
      <c r="K2300" s="12" t="str">
        <f t="shared" si="443"/>
        <v/>
      </c>
      <c r="L2300" s="13"/>
      <c r="M2300" s="13" t="s">
        <v>6938</v>
      </c>
      <c r="N2300" s="12" t="str">
        <f t="shared" si="436"/>
        <v/>
      </c>
      <c r="O2300" s="12" t="str">
        <f t="shared" si="437"/>
        <v>1772</v>
      </c>
      <c r="P2300" s="13" t="s">
        <v>6939</v>
      </c>
      <c r="Q2300" s="12" t="str">
        <f t="shared" si="444"/>
        <v>1772</v>
      </c>
      <c r="R2300" s="13" t="s">
        <v>6940</v>
      </c>
      <c r="S2300" s="12" t="str">
        <f t="shared" si="445"/>
        <v>1861</v>
      </c>
      <c r="T2300" s="13"/>
      <c r="U2300" s="13"/>
      <c r="V2300" s="12" t="str">
        <f t="shared" si="446"/>
        <v/>
      </c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 t="s">
        <v>3698</v>
      </c>
      <c r="AG2300" s="13" t="s">
        <v>53</v>
      </c>
      <c r="AH2300" s="13" t="s">
        <v>13180</v>
      </c>
      <c r="AI2300" s="12" t="str">
        <f t="shared" si="447"/>
        <v>1838</v>
      </c>
      <c r="AJ2300" s="13" t="s">
        <v>14827</v>
      </c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/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2"/>
      <c r="BI2300" s="12"/>
      <c r="BJ2300" s="12"/>
      <c r="BK2300" s="12"/>
      <c r="BL2300" s="12"/>
      <c r="BM2300" s="12"/>
      <c r="BN2300" s="12"/>
      <c r="BO2300" s="12"/>
      <c r="BP2300" s="12"/>
      <c r="BQ2300" s="12"/>
      <c r="BR2300" s="12"/>
      <c r="BS2300" s="12"/>
      <c r="BT2300" s="12"/>
      <c r="BU2300" s="12"/>
      <c r="BV2300" s="12"/>
      <c r="BW2300" s="12"/>
      <c r="BX2300" s="12"/>
      <c r="BY2300" s="12"/>
      <c r="BZ2300" s="12"/>
      <c r="CA2300" s="12"/>
      <c r="CB2300" s="12"/>
      <c r="CC2300" s="12"/>
      <c r="CD2300" s="12"/>
    </row>
    <row r="2301" spans="1:82">
      <c r="A2301" s="18" t="s">
        <v>6941</v>
      </c>
      <c r="B2301" s="12" t="str">
        <f t="shared" si="439"/>
        <v>WILMAN(S)</v>
      </c>
      <c r="C2301" s="12" t="str">
        <f t="shared" si="440"/>
        <v>WILMAN(S)</v>
      </c>
      <c r="D2301" s="13" t="s">
        <v>537</v>
      </c>
      <c r="E2301" s="12" t="str">
        <f t="shared" si="438"/>
        <v>Johan Christiaan</v>
      </c>
      <c r="F2301" s="13" t="s">
        <v>933</v>
      </c>
      <c r="G2301" s="12" t="str">
        <f t="shared" si="441"/>
        <v>a1b2c1</v>
      </c>
      <c r="H2301" s="12" t="str">
        <f t="shared" si="442"/>
        <v>WILMAN(S)a1b2c1</v>
      </c>
      <c r="I2301" s="13"/>
      <c r="J2301" s="13" t="s">
        <v>6942</v>
      </c>
      <c r="K2301" s="12" t="str">
        <f t="shared" si="443"/>
        <v>1813</v>
      </c>
      <c r="L2301" s="13" t="s">
        <v>74</v>
      </c>
      <c r="M2301" s="13" t="s">
        <v>6943</v>
      </c>
      <c r="N2301" s="12" t="str">
        <f t="shared" si="436"/>
        <v>1813</v>
      </c>
      <c r="O2301" s="12" t="str">
        <f t="shared" si="437"/>
        <v>1813</v>
      </c>
      <c r="P2301" s="13"/>
      <c r="Q2301" s="12" t="str">
        <f t="shared" si="444"/>
        <v>1813</v>
      </c>
      <c r="R2301" s="13"/>
      <c r="S2301" s="12" t="str">
        <f t="shared" si="445"/>
        <v/>
      </c>
      <c r="T2301" s="13" t="s">
        <v>74</v>
      </c>
      <c r="U2301" s="13" t="s">
        <v>5397</v>
      </c>
      <c r="V2301" s="12" t="str">
        <f t="shared" si="446"/>
        <v>1832</v>
      </c>
      <c r="W2301" s="13" t="s">
        <v>7163</v>
      </c>
      <c r="X2301" s="13" t="s">
        <v>15634</v>
      </c>
      <c r="Y2301" s="13"/>
      <c r="Z2301" s="13"/>
      <c r="AA2301" s="13"/>
      <c r="AB2301" s="13"/>
      <c r="AC2301" s="13"/>
      <c r="AD2301" s="13"/>
      <c r="AE2301" s="13"/>
      <c r="AF2301" s="13"/>
      <c r="AG2301" s="13" t="s">
        <v>74</v>
      </c>
      <c r="AH2301" s="13" t="s">
        <v>12677</v>
      </c>
      <c r="AI2301" s="12" t="str">
        <f t="shared" si="447"/>
        <v>1842</v>
      </c>
      <c r="AJ2301" s="13"/>
      <c r="AK2301" s="13" t="s">
        <v>551</v>
      </c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2"/>
      <c r="BI2301" s="12"/>
      <c r="BJ2301" s="12"/>
      <c r="BK2301" s="12"/>
      <c r="BL2301" s="12"/>
      <c r="BM2301" s="12"/>
      <c r="BN2301" s="12"/>
      <c r="BO2301" s="12"/>
      <c r="BP2301" s="12"/>
      <c r="BQ2301" s="12"/>
      <c r="BR2301" s="12"/>
      <c r="BS2301" s="12"/>
      <c r="BT2301" s="12"/>
      <c r="BU2301" s="12"/>
      <c r="BV2301" s="12"/>
      <c r="BW2301" s="12"/>
      <c r="BX2301" s="12"/>
      <c r="BY2301" s="12"/>
      <c r="BZ2301" s="12"/>
      <c r="CA2301" s="12"/>
      <c r="CB2301" s="12"/>
      <c r="CC2301" s="12"/>
      <c r="CD2301" s="12"/>
    </row>
    <row r="2302" spans="1:82">
      <c r="A2302" s="13" t="s">
        <v>6944</v>
      </c>
      <c r="B2302" s="12" t="str">
        <f t="shared" si="439"/>
        <v>WOLHUTER</v>
      </c>
      <c r="C2302" s="12" t="str">
        <f t="shared" si="440"/>
        <v>WOLHUTER</v>
      </c>
      <c r="D2302" s="13" t="s">
        <v>6951</v>
      </c>
      <c r="E2302" s="12" t="str">
        <f t="shared" si="438"/>
        <v>George Christoffel</v>
      </c>
      <c r="F2302" s="13" t="s">
        <v>3992</v>
      </c>
      <c r="G2302" s="12" t="str">
        <f t="shared" si="441"/>
        <v>a1b1c1</v>
      </c>
      <c r="H2302" s="12" t="str">
        <f t="shared" si="442"/>
        <v>WOLHUTERa1b1c1</v>
      </c>
      <c r="I2302" s="13"/>
      <c r="J2302" s="13"/>
      <c r="K2302" s="12" t="str">
        <f t="shared" si="443"/>
        <v/>
      </c>
      <c r="L2302" s="13"/>
      <c r="M2302" s="13" t="s">
        <v>6952</v>
      </c>
      <c r="N2302" s="12" t="str">
        <f t="shared" si="436"/>
        <v/>
      </c>
      <c r="O2302" s="12" t="str">
        <f t="shared" si="437"/>
        <v>1798</v>
      </c>
      <c r="P2302" s="13"/>
      <c r="Q2302" s="12" t="str">
        <f t="shared" si="444"/>
        <v>1798</v>
      </c>
      <c r="R2302" s="13"/>
      <c r="S2302" s="12" t="str">
        <f t="shared" si="445"/>
        <v/>
      </c>
      <c r="T2302" s="13" t="s">
        <v>53</v>
      </c>
      <c r="U2302" s="13" t="s">
        <v>3404</v>
      </c>
      <c r="V2302" s="12" t="str">
        <f t="shared" si="446"/>
        <v>1831</v>
      </c>
      <c r="W2302" s="13" t="s">
        <v>15641</v>
      </c>
      <c r="X2302" s="13" t="s">
        <v>636</v>
      </c>
      <c r="Y2302" s="13"/>
      <c r="Z2302" s="13"/>
      <c r="AA2302" s="13" t="s">
        <v>15642</v>
      </c>
      <c r="AB2302" s="13" t="s">
        <v>74</v>
      </c>
      <c r="AC2302" s="13" t="s">
        <v>2220</v>
      </c>
      <c r="AD2302" s="13"/>
      <c r="AE2302" s="13"/>
      <c r="AF2302" s="13" t="s">
        <v>3699</v>
      </c>
      <c r="AG2302" s="13" t="s">
        <v>68</v>
      </c>
      <c r="AH2302" s="13" t="s">
        <v>14085</v>
      </c>
      <c r="AI2302" s="12" t="str">
        <f t="shared" si="447"/>
        <v>1837</v>
      </c>
      <c r="AJ2302" s="13" t="s">
        <v>5423</v>
      </c>
      <c r="AK2302" s="13" t="s">
        <v>1654</v>
      </c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2"/>
      <c r="BI2302" s="12"/>
      <c r="BJ2302" s="12"/>
      <c r="BK2302" s="12"/>
      <c r="BL2302" s="12"/>
      <c r="BM2302" s="12"/>
      <c r="BN2302" s="12"/>
      <c r="BO2302" s="12"/>
      <c r="BP2302" s="12"/>
      <c r="BQ2302" s="12"/>
      <c r="BR2302" s="12"/>
      <c r="BS2302" s="12"/>
      <c r="BT2302" s="12"/>
      <c r="BU2302" s="12"/>
      <c r="BV2302" s="12"/>
      <c r="BW2302" s="12"/>
      <c r="BX2302" s="12"/>
      <c r="BY2302" s="12"/>
      <c r="BZ2302" s="12"/>
      <c r="CA2302" s="12"/>
      <c r="CB2302" s="12"/>
      <c r="CC2302" s="12"/>
      <c r="CD2302" s="12"/>
    </row>
    <row r="2303" spans="1:82">
      <c r="A2303" s="13" t="s">
        <v>6944</v>
      </c>
      <c r="B2303" s="12" t="str">
        <f t="shared" si="439"/>
        <v>WOLHUTER</v>
      </c>
      <c r="C2303" s="12" t="str">
        <f t="shared" si="440"/>
        <v>WOLHUTER</v>
      </c>
      <c r="D2303" s="13" t="s">
        <v>6945</v>
      </c>
      <c r="E2303" s="12" t="str">
        <f t="shared" si="438"/>
        <v>Frans Matthys</v>
      </c>
      <c r="F2303" s="13" t="s">
        <v>6946</v>
      </c>
      <c r="G2303" s="12" t="str">
        <f t="shared" si="441"/>
        <v>a1b4c5</v>
      </c>
      <c r="H2303" s="12" t="str">
        <f t="shared" si="442"/>
        <v>WOLHUTERa1b4c5</v>
      </c>
      <c r="I2303" s="13" t="s">
        <v>6098</v>
      </c>
      <c r="J2303" s="13" t="s">
        <v>6947</v>
      </c>
      <c r="K2303" s="12" t="str">
        <f t="shared" si="443"/>
        <v>1815</v>
      </c>
      <c r="L2303" s="13" t="s">
        <v>6948</v>
      </c>
      <c r="M2303" s="13" t="s">
        <v>6949</v>
      </c>
      <c r="N2303" s="12" t="str">
        <f t="shared" si="436"/>
        <v>1815</v>
      </c>
      <c r="O2303" s="12" t="str">
        <f t="shared" si="437"/>
        <v>1815</v>
      </c>
      <c r="P2303" s="13" t="s">
        <v>5376</v>
      </c>
      <c r="Q2303" s="12" t="str">
        <f t="shared" si="444"/>
        <v>1815</v>
      </c>
      <c r="R2303" s="13" t="s">
        <v>6950</v>
      </c>
      <c r="S2303" s="12" t="str">
        <f t="shared" si="445"/>
        <v>1899</v>
      </c>
      <c r="T2303" s="13" t="s">
        <v>168</v>
      </c>
      <c r="U2303" s="13" t="s">
        <v>15635</v>
      </c>
      <c r="V2303" s="12" t="str">
        <f t="shared" si="446"/>
        <v>1841</v>
      </c>
      <c r="W2303" s="13" t="s">
        <v>15636</v>
      </c>
      <c r="X2303" s="13" t="s">
        <v>295</v>
      </c>
      <c r="Y2303" s="13" t="s">
        <v>15637</v>
      </c>
      <c r="Z2303" s="13"/>
      <c r="AA2303" s="13" t="s">
        <v>15638</v>
      </c>
      <c r="AB2303" s="13"/>
      <c r="AC2303" s="13" t="s">
        <v>15639</v>
      </c>
      <c r="AD2303" s="13" t="s">
        <v>168</v>
      </c>
      <c r="AE2303" s="13" t="s">
        <v>15640</v>
      </c>
      <c r="AF2303" s="13" t="s">
        <v>6098</v>
      </c>
      <c r="AG2303" s="13"/>
      <c r="AH2303" s="13">
        <v>1840</v>
      </c>
      <c r="AI2303" s="12" t="str">
        <f t="shared" si="447"/>
        <v>1840</v>
      </c>
      <c r="AJ2303" s="13"/>
      <c r="AK2303" s="13" t="s">
        <v>90</v>
      </c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2"/>
      <c r="BI2303" s="12"/>
      <c r="BJ2303" s="12"/>
      <c r="BK2303" s="12"/>
      <c r="BL2303" s="12"/>
      <c r="BM2303" s="12"/>
      <c r="BN2303" s="12"/>
      <c r="BO2303" s="12"/>
      <c r="BP2303" s="12"/>
      <c r="BQ2303" s="12"/>
      <c r="BR2303" s="12"/>
      <c r="BS2303" s="12"/>
      <c r="BT2303" s="12"/>
      <c r="BU2303" s="12"/>
      <c r="BV2303" s="12"/>
      <c r="BW2303" s="12"/>
      <c r="BX2303" s="12"/>
      <c r="BY2303" s="12"/>
      <c r="BZ2303" s="12"/>
      <c r="CA2303" s="12"/>
      <c r="CB2303" s="12"/>
      <c r="CC2303" s="12"/>
      <c r="CD2303" s="12"/>
    </row>
    <row r="2304" spans="1:82">
      <c r="A2304" s="13" t="s">
        <v>6953</v>
      </c>
      <c r="B2304" s="12" t="str">
        <f t="shared" si="439"/>
        <v>WOLMARANS</v>
      </c>
      <c r="C2304" s="12" t="str">
        <f t="shared" si="440"/>
        <v>WOLMARANS</v>
      </c>
      <c r="D2304" s="13" t="s">
        <v>6967</v>
      </c>
      <c r="E2304" s="12" t="str">
        <f t="shared" si="438"/>
        <v>Frederik Gerhardus</v>
      </c>
      <c r="F2304" s="13" t="s">
        <v>6968</v>
      </c>
      <c r="G2304" s="12" t="str">
        <f t="shared" si="441"/>
        <v>a1b12c2</v>
      </c>
      <c r="H2304" s="12" t="str">
        <f t="shared" si="442"/>
        <v>WOLMARANSa1b12c2</v>
      </c>
      <c r="I2304" s="13" t="s">
        <v>6969</v>
      </c>
      <c r="J2304" s="13" t="s">
        <v>6970</v>
      </c>
      <c r="K2304" s="12" t="str">
        <f t="shared" si="443"/>
        <v>1788</v>
      </c>
      <c r="L2304" s="13"/>
      <c r="M2304" s="13" t="s">
        <v>6971</v>
      </c>
      <c r="N2304" s="12" t="str">
        <f t="shared" si="436"/>
        <v>1788</v>
      </c>
      <c r="O2304" s="12" t="str">
        <f t="shared" si="437"/>
        <v>1788</v>
      </c>
      <c r="P2304" s="13" t="s">
        <v>6972</v>
      </c>
      <c r="Q2304" s="12" t="str">
        <f t="shared" si="444"/>
        <v>1788</v>
      </c>
      <c r="R2304" s="13" t="s">
        <v>6973</v>
      </c>
      <c r="S2304" s="12" t="str">
        <f t="shared" si="445"/>
        <v>1872</v>
      </c>
      <c r="T2304" s="13" t="s">
        <v>32</v>
      </c>
      <c r="U2304" s="13" t="s">
        <v>15643</v>
      </c>
      <c r="V2304" s="12" t="str">
        <f t="shared" si="446"/>
        <v>1810</v>
      </c>
      <c r="W2304" s="13" t="s">
        <v>692</v>
      </c>
      <c r="X2304" s="13" t="s">
        <v>1003</v>
      </c>
      <c r="Y2304" s="13"/>
      <c r="Z2304" s="13"/>
      <c r="AA2304" s="13" t="s">
        <v>15644</v>
      </c>
      <c r="AB2304" s="13"/>
      <c r="AC2304" s="13" t="s">
        <v>13299</v>
      </c>
      <c r="AD2304" s="13" t="s">
        <v>140</v>
      </c>
      <c r="AE2304" s="13" t="s">
        <v>15645</v>
      </c>
      <c r="AF2304" s="13"/>
      <c r="AG2304" s="13" t="s">
        <v>199</v>
      </c>
      <c r="AH2304" s="13">
        <v>1840</v>
      </c>
      <c r="AI2304" s="12" t="str">
        <f t="shared" si="447"/>
        <v>1840</v>
      </c>
      <c r="AJ2304" s="13" t="s">
        <v>13060</v>
      </c>
      <c r="AK2304" s="13" t="s">
        <v>155</v>
      </c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2"/>
      <c r="BI2304" s="12"/>
      <c r="BJ2304" s="12"/>
      <c r="BK2304" s="12"/>
      <c r="BL2304" s="12"/>
      <c r="BM2304" s="12"/>
      <c r="BN2304" s="12"/>
      <c r="BO2304" s="12"/>
      <c r="BP2304" s="12"/>
      <c r="BQ2304" s="12"/>
      <c r="BR2304" s="12"/>
      <c r="BS2304" s="12"/>
      <c r="BT2304" s="12"/>
      <c r="BU2304" s="12"/>
      <c r="BV2304" s="12"/>
      <c r="BW2304" s="12"/>
      <c r="BX2304" s="12"/>
      <c r="BY2304" s="12"/>
      <c r="BZ2304" s="12"/>
      <c r="CA2304" s="12"/>
      <c r="CB2304" s="12"/>
      <c r="CC2304" s="12"/>
      <c r="CD2304" s="12"/>
    </row>
    <row r="2305" spans="1:82">
      <c r="A2305" s="13" t="s">
        <v>6953</v>
      </c>
      <c r="B2305" s="12" t="str">
        <f t="shared" si="439"/>
        <v>WOLMARANS</v>
      </c>
      <c r="C2305" s="12" t="str">
        <f t="shared" si="440"/>
        <v>WOLMARANS</v>
      </c>
      <c r="D2305" s="13" t="s">
        <v>6994</v>
      </c>
      <c r="E2305" s="12" t="str">
        <f t="shared" si="438"/>
        <v>Josephus Johannes (Hermanus)</v>
      </c>
      <c r="F2305" s="13" t="s">
        <v>6995</v>
      </c>
      <c r="G2305" s="12" t="str">
        <f t="shared" si="441"/>
        <v>a1b12c2d1</v>
      </c>
      <c r="H2305" s="12" t="str">
        <f t="shared" si="442"/>
        <v>WOLMARANSa1b12c2d1</v>
      </c>
      <c r="I2305" s="13"/>
      <c r="J2305" s="13"/>
      <c r="K2305" s="12" t="str">
        <f t="shared" si="443"/>
        <v/>
      </c>
      <c r="L2305" s="13"/>
      <c r="M2305" s="13" t="s">
        <v>1821</v>
      </c>
      <c r="N2305" s="12" t="str">
        <f t="shared" si="436"/>
        <v/>
      </c>
      <c r="O2305" s="12" t="str">
        <f t="shared" si="437"/>
        <v>1811</v>
      </c>
      <c r="P2305" s="13"/>
      <c r="Q2305" s="12" t="str">
        <f t="shared" si="444"/>
        <v>1811</v>
      </c>
      <c r="R2305" s="13"/>
      <c r="S2305" s="12" t="str">
        <f t="shared" si="445"/>
        <v/>
      </c>
      <c r="T2305" s="13" t="s">
        <v>199</v>
      </c>
      <c r="U2305" s="13" t="s">
        <v>6996</v>
      </c>
      <c r="V2305" s="12" t="str">
        <f t="shared" si="446"/>
        <v>1831</v>
      </c>
      <c r="W2305" s="13" t="s">
        <v>6997</v>
      </c>
      <c r="X2305" s="13" t="s">
        <v>660</v>
      </c>
      <c r="Y2305" s="13"/>
      <c r="Z2305" s="13"/>
      <c r="AA2305" s="13" t="s">
        <v>6943</v>
      </c>
      <c r="AB2305" s="13" t="s">
        <v>199</v>
      </c>
      <c r="AC2305" s="13" t="s">
        <v>6998</v>
      </c>
      <c r="AD2305" s="13" t="s">
        <v>1864</v>
      </c>
      <c r="AE2305" s="13" t="s">
        <v>6999</v>
      </c>
      <c r="AF2305" s="13"/>
      <c r="AG2305" s="13" t="s">
        <v>199</v>
      </c>
      <c r="AH2305" s="13">
        <v>1840</v>
      </c>
      <c r="AI2305" s="12" t="str">
        <f t="shared" si="447"/>
        <v>1840</v>
      </c>
      <c r="AJ2305" s="13" t="s">
        <v>13060</v>
      </c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2"/>
      <c r="BI2305" s="12"/>
      <c r="BJ2305" s="12"/>
      <c r="BK2305" s="12"/>
      <c r="BL2305" s="12"/>
      <c r="BM2305" s="12"/>
      <c r="BN2305" s="12"/>
      <c r="BO2305" s="12"/>
      <c r="BP2305" s="12"/>
      <c r="BQ2305" s="12"/>
      <c r="BR2305" s="12"/>
      <c r="BS2305" s="12"/>
      <c r="BT2305" s="12"/>
      <c r="BU2305" s="12"/>
      <c r="BV2305" s="12"/>
      <c r="BW2305" s="12"/>
      <c r="BX2305" s="12"/>
      <c r="BY2305" s="12"/>
      <c r="BZ2305" s="12"/>
      <c r="CA2305" s="12"/>
      <c r="CB2305" s="12"/>
      <c r="CC2305" s="12"/>
      <c r="CD2305" s="12"/>
    </row>
    <row r="2306" spans="1:82">
      <c r="A2306" s="13" t="s">
        <v>6953</v>
      </c>
      <c r="B2306" s="12" t="str">
        <f t="shared" si="439"/>
        <v>WOLMARANS</v>
      </c>
      <c r="C2306" s="12" t="str">
        <f t="shared" si="440"/>
        <v>WOLMARANS</v>
      </c>
      <c r="D2306" s="13" t="s">
        <v>6954</v>
      </c>
      <c r="E2306" s="12" t="str">
        <f t="shared" si="438"/>
        <v>Frederik Gehardus Andreas</v>
      </c>
      <c r="F2306" s="13" t="s">
        <v>6955</v>
      </c>
      <c r="G2306" s="12" t="str">
        <f t="shared" si="441"/>
        <v>a1b12c2d2</v>
      </c>
      <c r="H2306" s="12" t="str">
        <f t="shared" si="442"/>
        <v>WOLMARANSa1b12c2d2</v>
      </c>
      <c r="I2306" s="13"/>
      <c r="J2306" s="13" t="s">
        <v>6956</v>
      </c>
      <c r="K2306" s="12" t="str">
        <f t="shared" si="443"/>
        <v>1812</v>
      </c>
      <c r="L2306" s="13"/>
      <c r="M2306" s="13" t="s">
        <v>6490</v>
      </c>
      <c r="N2306" s="12" t="str">
        <f t="shared" ref="N2306:N2314" si="448">RIGHT(J2306,4)</f>
        <v>1812</v>
      </c>
      <c r="O2306" s="12" t="str">
        <f t="shared" ref="O2306:O2314" si="449">RIGHT(M2306,4)</f>
        <v>1812</v>
      </c>
      <c r="P2306" s="13"/>
      <c r="Q2306" s="12" t="str">
        <f t="shared" si="444"/>
        <v>1812</v>
      </c>
      <c r="R2306" s="13" t="s">
        <v>6957</v>
      </c>
      <c r="S2306" s="12" t="str">
        <f t="shared" si="445"/>
        <v>1884</v>
      </c>
      <c r="T2306" s="13"/>
      <c r="U2306" s="13">
        <v>1843</v>
      </c>
      <c r="V2306" s="12" t="str">
        <f t="shared" si="446"/>
        <v>1843</v>
      </c>
      <c r="W2306" s="13" t="s">
        <v>6958</v>
      </c>
      <c r="X2306" s="13" t="s">
        <v>3299</v>
      </c>
      <c r="Y2306" s="13"/>
      <c r="Z2306" s="13"/>
      <c r="AA2306" s="13" t="s">
        <v>6959</v>
      </c>
      <c r="AB2306" s="13" t="s">
        <v>28</v>
      </c>
      <c r="AC2306" s="13" t="s">
        <v>5898</v>
      </c>
      <c r="AD2306" s="13"/>
      <c r="AE2306" s="13" t="s">
        <v>6960</v>
      </c>
      <c r="AF2306" s="13"/>
      <c r="AG2306" s="13" t="s">
        <v>199</v>
      </c>
      <c r="AH2306" s="13">
        <v>1840</v>
      </c>
      <c r="AI2306" s="12" t="str">
        <f t="shared" si="447"/>
        <v>1840</v>
      </c>
      <c r="AJ2306" s="13" t="s">
        <v>13060</v>
      </c>
      <c r="AK2306" s="13"/>
      <c r="AL2306" s="13" t="s">
        <v>140</v>
      </c>
      <c r="AM2306" s="13" t="s">
        <v>6961</v>
      </c>
      <c r="AN2306" s="13" t="s">
        <v>1831</v>
      </c>
      <c r="AO2306" s="13" t="s">
        <v>2995</v>
      </c>
      <c r="AP2306" s="13"/>
      <c r="AQ2306" s="13"/>
      <c r="AR2306" s="13" t="s">
        <v>6962</v>
      </c>
      <c r="AS2306" s="13" t="s">
        <v>199</v>
      </c>
      <c r="AT2306" s="13" t="s">
        <v>6963</v>
      </c>
      <c r="AU2306" s="13" t="s">
        <v>6964</v>
      </c>
      <c r="AV2306" s="13"/>
      <c r="AW2306" s="13"/>
      <c r="AX2306" s="13"/>
      <c r="AY2306" s="13" t="s">
        <v>2296</v>
      </c>
      <c r="AZ2306" s="13" t="s">
        <v>655</v>
      </c>
      <c r="BA2306" s="13"/>
      <c r="BB2306" s="13" t="s">
        <v>6965</v>
      </c>
      <c r="BC2306" s="13"/>
      <c r="BD2306" s="13"/>
      <c r="BE2306" s="13"/>
      <c r="BF2306" s="13"/>
      <c r="BG2306" s="13" t="s">
        <v>6966</v>
      </c>
      <c r="BH2306" s="12"/>
      <c r="BI2306" s="12"/>
      <c r="BJ2306" s="12"/>
      <c r="BK2306" s="12"/>
      <c r="BL2306" s="12"/>
      <c r="BM2306" s="12"/>
      <c r="BN2306" s="12"/>
      <c r="BO2306" s="12"/>
      <c r="BP2306" s="12"/>
      <c r="BQ2306" s="12"/>
      <c r="BR2306" s="12"/>
      <c r="BS2306" s="12"/>
      <c r="BT2306" s="12"/>
      <c r="BU2306" s="12"/>
      <c r="BV2306" s="12"/>
      <c r="BW2306" s="12"/>
      <c r="BX2306" s="12"/>
      <c r="BY2306" s="12"/>
      <c r="BZ2306" s="12"/>
      <c r="CA2306" s="12"/>
      <c r="CB2306" s="12"/>
      <c r="CC2306" s="12"/>
      <c r="CD2306" s="12"/>
    </row>
    <row r="2307" spans="1:82">
      <c r="A2307" s="13" t="s">
        <v>6953</v>
      </c>
      <c r="B2307" s="12" t="str">
        <f t="shared" si="439"/>
        <v>WOLMARANS</v>
      </c>
      <c r="C2307" s="12" t="str">
        <f t="shared" si="440"/>
        <v>WOLMARANS</v>
      </c>
      <c r="D2307" s="13" t="s">
        <v>6974</v>
      </c>
      <c r="E2307" s="12" t="str">
        <f t="shared" ref="E2307:E2314" si="450">PROPER(D2307)</f>
        <v>Gabriel Matthys</v>
      </c>
      <c r="F2307" s="13" t="s">
        <v>6975</v>
      </c>
      <c r="G2307" s="12" t="str">
        <f t="shared" si="441"/>
        <v>a1b12c2d4</v>
      </c>
      <c r="H2307" s="12" t="str">
        <f t="shared" si="442"/>
        <v>WOLMARANSa1b12c2d4</v>
      </c>
      <c r="I2307" s="13"/>
      <c r="J2307" s="13" t="s">
        <v>6976</v>
      </c>
      <c r="K2307" s="12" t="str">
        <f t="shared" si="443"/>
        <v>1816</v>
      </c>
      <c r="L2307" s="13" t="s">
        <v>199</v>
      </c>
      <c r="M2307" s="13" t="s">
        <v>6977</v>
      </c>
      <c r="N2307" s="12" t="str">
        <f t="shared" si="448"/>
        <v>1816</v>
      </c>
      <c r="O2307" s="12" t="str">
        <f t="shared" si="449"/>
        <v>1817</v>
      </c>
      <c r="P2307" s="13" t="s">
        <v>6978</v>
      </c>
      <c r="Q2307" s="12" t="str">
        <f t="shared" si="444"/>
        <v>1816</v>
      </c>
      <c r="R2307" s="13" t="s">
        <v>6979</v>
      </c>
      <c r="S2307" s="12" t="str">
        <f t="shared" si="445"/>
        <v>1852</v>
      </c>
      <c r="T2307" s="13" t="s">
        <v>199</v>
      </c>
      <c r="U2307" s="13" t="s">
        <v>6980</v>
      </c>
      <c r="V2307" s="12" t="str">
        <f t="shared" si="446"/>
        <v>1837</v>
      </c>
      <c r="W2307" s="13" t="s">
        <v>6981</v>
      </c>
      <c r="X2307" s="13" t="s">
        <v>660</v>
      </c>
      <c r="Y2307" s="13"/>
      <c r="Z2307" s="13"/>
      <c r="AA2307" s="13" t="s">
        <v>6982</v>
      </c>
      <c r="AB2307" s="13" t="s">
        <v>74</v>
      </c>
      <c r="AC2307" s="13" t="s">
        <v>6983</v>
      </c>
      <c r="AD2307" s="13" t="s">
        <v>6480</v>
      </c>
      <c r="AE2307" s="13">
        <v>1878</v>
      </c>
      <c r="AF2307" s="13"/>
      <c r="AG2307" s="13" t="s">
        <v>199</v>
      </c>
      <c r="AH2307" s="13">
        <v>1840</v>
      </c>
      <c r="AI2307" s="12" t="str">
        <f t="shared" si="447"/>
        <v>1840</v>
      </c>
      <c r="AJ2307" s="13" t="s">
        <v>13060</v>
      </c>
      <c r="AK2307" s="13" t="s">
        <v>155</v>
      </c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2"/>
      <c r="BI2307" s="12"/>
      <c r="BJ2307" s="12"/>
      <c r="BK2307" s="12"/>
      <c r="BL2307" s="12"/>
      <c r="BM2307" s="12"/>
      <c r="BN2307" s="12"/>
      <c r="BO2307" s="12"/>
      <c r="BP2307" s="12"/>
      <c r="BQ2307" s="12"/>
      <c r="BR2307" s="12"/>
      <c r="BS2307" s="12"/>
      <c r="BT2307" s="12"/>
      <c r="BU2307" s="12"/>
      <c r="BV2307" s="12"/>
      <c r="BW2307" s="12"/>
      <c r="BX2307" s="12"/>
      <c r="BY2307" s="12"/>
      <c r="BZ2307" s="12"/>
      <c r="CA2307" s="12"/>
      <c r="CB2307" s="12"/>
      <c r="CC2307" s="12"/>
      <c r="CD2307" s="12"/>
    </row>
    <row r="2308" spans="1:82">
      <c r="A2308" s="13" t="s">
        <v>6953</v>
      </c>
      <c r="B2308" s="12" t="str">
        <f t="shared" si="439"/>
        <v>WOLMARANS</v>
      </c>
      <c r="C2308" s="12" t="str">
        <f t="shared" si="440"/>
        <v>WOLMARANS</v>
      </c>
      <c r="D2308" s="13" t="s">
        <v>6984</v>
      </c>
      <c r="E2308" s="12" t="str">
        <f t="shared" si="450"/>
        <v>Johannes Barend</v>
      </c>
      <c r="F2308" s="13" t="s">
        <v>6985</v>
      </c>
      <c r="G2308" s="12" t="str">
        <f t="shared" si="441"/>
        <v>a1b12c2d5</v>
      </c>
      <c r="H2308" s="12" t="str">
        <f t="shared" si="442"/>
        <v>WOLMARANSa1b12c2d5</v>
      </c>
      <c r="I2308" s="13" t="s">
        <v>199</v>
      </c>
      <c r="J2308" s="13" t="s">
        <v>6986</v>
      </c>
      <c r="K2308" s="12" t="str">
        <f t="shared" si="443"/>
        <v>1820</v>
      </c>
      <c r="L2308" s="13" t="s">
        <v>199</v>
      </c>
      <c r="M2308" s="13" t="s">
        <v>6986</v>
      </c>
      <c r="N2308" s="12" t="str">
        <f t="shared" si="448"/>
        <v>1820</v>
      </c>
      <c r="O2308" s="12" t="str">
        <f t="shared" si="449"/>
        <v>1820</v>
      </c>
      <c r="P2308" s="13" t="s">
        <v>6987</v>
      </c>
      <c r="Q2308" s="12" t="str">
        <f t="shared" si="444"/>
        <v>1820</v>
      </c>
      <c r="R2308" s="13" t="s">
        <v>6988</v>
      </c>
      <c r="S2308" s="12" t="str">
        <f t="shared" si="445"/>
        <v>1898</v>
      </c>
      <c r="T2308" s="13"/>
      <c r="U2308" s="13"/>
      <c r="V2308" s="12" t="str">
        <f t="shared" si="446"/>
        <v/>
      </c>
      <c r="W2308" s="13" t="s">
        <v>6989</v>
      </c>
      <c r="X2308" s="13" t="s">
        <v>1292</v>
      </c>
      <c r="Y2308" s="13"/>
      <c r="Z2308" s="13"/>
      <c r="AA2308" s="13" t="s">
        <v>6990</v>
      </c>
      <c r="AB2308" s="13" t="s">
        <v>60</v>
      </c>
      <c r="AC2308" s="13" t="s">
        <v>6992</v>
      </c>
      <c r="AD2308" s="13" t="s">
        <v>1864</v>
      </c>
      <c r="AE2308" s="13" t="s">
        <v>6993</v>
      </c>
      <c r="AF2308" s="13"/>
      <c r="AG2308" s="13" t="s">
        <v>199</v>
      </c>
      <c r="AH2308" s="13">
        <v>1840</v>
      </c>
      <c r="AI2308" s="12" t="str">
        <f t="shared" si="447"/>
        <v>1840</v>
      </c>
      <c r="AJ2308" s="13" t="s">
        <v>13060</v>
      </c>
      <c r="AK2308" s="13" t="s">
        <v>155</v>
      </c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2"/>
      <c r="BI2308" s="12"/>
      <c r="BJ2308" s="12"/>
      <c r="BK2308" s="12"/>
      <c r="BL2308" s="12"/>
      <c r="BM2308" s="12"/>
      <c r="BN2308" s="12"/>
      <c r="BO2308" s="12"/>
      <c r="BP2308" s="12"/>
      <c r="BQ2308" s="12"/>
      <c r="BR2308" s="12"/>
      <c r="BS2308" s="12"/>
      <c r="BT2308" s="12"/>
      <c r="BU2308" s="12"/>
      <c r="BV2308" s="12"/>
      <c r="BW2308" s="12"/>
      <c r="BX2308" s="12"/>
      <c r="BY2308" s="12"/>
      <c r="BZ2308" s="12"/>
      <c r="CA2308" s="12"/>
      <c r="CB2308" s="12"/>
      <c r="CC2308" s="12"/>
      <c r="CD2308" s="12"/>
    </row>
    <row r="2309" spans="1:82">
      <c r="A2309" s="13" t="s">
        <v>6953</v>
      </c>
      <c r="B2309" s="12" t="str">
        <f t="shared" si="439"/>
        <v>WOLMARANS</v>
      </c>
      <c r="C2309" s="12" t="str">
        <f t="shared" si="440"/>
        <v>WOLMARANS</v>
      </c>
      <c r="D2309" s="13" t="s">
        <v>7006</v>
      </c>
      <c r="E2309" s="12" t="str">
        <f t="shared" si="450"/>
        <v>Michiel Josias De Kock</v>
      </c>
      <c r="F2309" s="13" t="s">
        <v>7007</v>
      </c>
      <c r="G2309" s="12" t="str">
        <f t="shared" si="441"/>
        <v>a1b12c2d7</v>
      </c>
      <c r="H2309" s="12" t="str">
        <f t="shared" si="442"/>
        <v>WOLMARANSa1b12c2d7</v>
      </c>
      <c r="I2309" s="13"/>
      <c r="J2309" s="13" t="s">
        <v>7008</v>
      </c>
      <c r="K2309" s="12" t="str">
        <f t="shared" si="443"/>
        <v>1824</v>
      </c>
      <c r="L2309" s="13" t="s">
        <v>199</v>
      </c>
      <c r="M2309" s="13" t="s">
        <v>7009</v>
      </c>
      <c r="N2309" s="12" t="str">
        <f t="shared" si="448"/>
        <v>1824</v>
      </c>
      <c r="O2309" s="12" t="str">
        <f t="shared" si="449"/>
        <v>1825</v>
      </c>
      <c r="P2309" s="11"/>
      <c r="Q2309" s="12" t="str">
        <f t="shared" si="444"/>
        <v>1824</v>
      </c>
      <c r="R2309" s="13"/>
      <c r="S2309" s="12" t="str">
        <f t="shared" si="445"/>
        <v/>
      </c>
      <c r="T2309" s="13" t="s">
        <v>7010</v>
      </c>
      <c r="U2309" s="13" t="s">
        <v>7011</v>
      </c>
      <c r="V2309" s="12" t="str">
        <f t="shared" si="446"/>
        <v>1850</v>
      </c>
      <c r="W2309" s="13" t="s">
        <v>7012</v>
      </c>
      <c r="X2309" s="13" t="s">
        <v>6953</v>
      </c>
      <c r="Y2309" s="13"/>
      <c r="Z2309" s="11"/>
      <c r="AA2309" s="13" t="s">
        <v>7013</v>
      </c>
      <c r="AB2309" s="13" t="s">
        <v>199</v>
      </c>
      <c r="AC2309" s="13" t="s">
        <v>7014</v>
      </c>
      <c r="AD2309" s="13"/>
      <c r="AE2309" s="13"/>
      <c r="AF2309" s="13"/>
      <c r="AG2309" s="13" t="s">
        <v>199</v>
      </c>
      <c r="AH2309" s="13">
        <v>1840</v>
      </c>
      <c r="AI2309" s="12" t="str">
        <f t="shared" si="447"/>
        <v>1840</v>
      </c>
      <c r="AJ2309" s="13" t="s">
        <v>13060</v>
      </c>
      <c r="AK2309" s="13" t="s">
        <v>140</v>
      </c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2"/>
      <c r="BI2309" s="12"/>
      <c r="BJ2309" s="12"/>
      <c r="BK2309" s="12"/>
      <c r="BL2309" s="12"/>
      <c r="BM2309" s="12"/>
      <c r="BN2309" s="12"/>
      <c r="BO2309" s="12"/>
      <c r="BP2309" s="12"/>
      <c r="BQ2309" s="12"/>
      <c r="BR2309" s="12"/>
      <c r="BS2309" s="12"/>
      <c r="BT2309" s="12"/>
      <c r="BU2309" s="12"/>
      <c r="BV2309" s="12"/>
      <c r="BW2309" s="12"/>
      <c r="BX2309" s="12"/>
      <c r="BY2309" s="12"/>
      <c r="BZ2309" s="12"/>
      <c r="CA2309" s="12"/>
      <c r="CB2309" s="12"/>
      <c r="CC2309" s="12"/>
      <c r="CD2309" s="12"/>
    </row>
    <row r="2310" spans="1:82">
      <c r="A2310" s="13" t="s">
        <v>6953</v>
      </c>
      <c r="B2310" s="12" t="str">
        <f t="shared" si="439"/>
        <v>WOLMARANS</v>
      </c>
      <c r="C2310" s="12" t="str">
        <f t="shared" si="440"/>
        <v>WOLMARANS</v>
      </c>
      <c r="D2310" s="13" t="s">
        <v>7000</v>
      </c>
      <c r="E2310" s="12" t="str">
        <f t="shared" si="450"/>
        <v>Josephus Theodorus Johannes</v>
      </c>
      <c r="F2310" s="13" t="s">
        <v>7001</v>
      </c>
      <c r="G2310" s="12" t="str">
        <f t="shared" si="441"/>
        <v>a1b12c8d2</v>
      </c>
      <c r="H2310" s="12" t="str">
        <f t="shared" si="442"/>
        <v>WOLMARANSa1b12c8d2</v>
      </c>
      <c r="I2310" s="13"/>
      <c r="J2310" s="13" t="s">
        <v>7002</v>
      </c>
      <c r="K2310" s="12" t="str">
        <f t="shared" si="443"/>
        <v>1822</v>
      </c>
      <c r="L2310" s="13"/>
      <c r="M2310" s="13"/>
      <c r="N2310" s="12" t="str">
        <f t="shared" si="448"/>
        <v>1822</v>
      </c>
      <c r="O2310" s="12" t="str">
        <f t="shared" si="449"/>
        <v/>
      </c>
      <c r="P2310" s="13" t="s">
        <v>7003</v>
      </c>
      <c r="Q2310" s="12" t="str">
        <f t="shared" si="444"/>
        <v>1822</v>
      </c>
      <c r="R2310" s="13" t="s">
        <v>7004</v>
      </c>
      <c r="S2310" s="12" t="str">
        <f t="shared" si="445"/>
        <v>1901</v>
      </c>
      <c r="T2310" s="13"/>
      <c r="U2310" s="13"/>
      <c r="V2310" s="12" t="str">
        <f t="shared" si="446"/>
        <v/>
      </c>
      <c r="W2310" s="13" t="s">
        <v>7005</v>
      </c>
      <c r="X2310" s="13" t="s">
        <v>1771</v>
      </c>
      <c r="Y2310" s="13"/>
      <c r="Z2310" s="13"/>
      <c r="AA2310" s="13"/>
      <c r="AB2310" s="13"/>
      <c r="AC2310" s="13"/>
      <c r="AD2310" s="13"/>
      <c r="AE2310" s="13"/>
      <c r="AF2310" s="13"/>
      <c r="AG2310" s="13"/>
      <c r="AH2310" s="13"/>
      <c r="AI2310" s="12" t="str">
        <f t="shared" si="447"/>
        <v/>
      </c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2"/>
      <c r="BI2310" s="12"/>
      <c r="BJ2310" s="12"/>
      <c r="BK2310" s="12"/>
      <c r="BL2310" s="12"/>
      <c r="BM2310" s="12"/>
      <c r="BN2310" s="12"/>
      <c r="BO2310" s="12"/>
      <c r="BP2310" s="12"/>
      <c r="BQ2310" s="12"/>
      <c r="BR2310" s="12"/>
      <c r="BS2310" s="12"/>
      <c r="BT2310" s="12"/>
      <c r="BU2310" s="12"/>
      <c r="BV2310" s="12"/>
      <c r="BW2310" s="12"/>
      <c r="BX2310" s="12"/>
      <c r="BY2310" s="12"/>
      <c r="BZ2310" s="12"/>
      <c r="CA2310" s="12"/>
      <c r="CB2310" s="12"/>
      <c r="CC2310" s="12"/>
      <c r="CD2310" s="12"/>
    </row>
    <row r="2311" spans="1:82">
      <c r="A2311" s="13" t="s">
        <v>7015</v>
      </c>
      <c r="B2311" s="12" t="str">
        <f t="shared" si="439"/>
        <v>ZIETSMAN</v>
      </c>
      <c r="C2311" s="12" t="str">
        <f t="shared" si="440"/>
        <v>ZIETSMAN</v>
      </c>
      <c r="D2311" s="13" t="s">
        <v>7016</v>
      </c>
      <c r="E2311" s="12" t="str">
        <f t="shared" si="450"/>
        <v>Hermanus Lambertus</v>
      </c>
      <c r="F2311" s="13" t="s">
        <v>4001</v>
      </c>
      <c r="G2311" s="12" t="str">
        <f t="shared" si="441"/>
        <v>a1b1c3</v>
      </c>
      <c r="H2311" s="12" t="str">
        <f t="shared" si="442"/>
        <v>ZIETSMANa1b1c3</v>
      </c>
      <c r="I2311" s="13"/>
      <c r="J2311" s="13" t="s">
        <v>7017</v>
      </c>
      <c r="K2311" s="12" t="str">
        <f t="shared" si="443"/>
        <v>1819</v>
      </c>
      <c r="L2311" s="13" t="s">
        <v>53</v>
      </c>
      <c r="M2311" s="13" t="s">
        <v>7018</v>
      </c>
      <c r="N2311" s="12" t="str">
        <f t="shared" si="448"/>
        <v>1819</v>
      </c>
      <c r="O2311" s="12" t="str">
        <f t="shared" si="449"/>
        <v>1820</v>
      </c>
      <c r="P2311" s="13" t="s">
        <v>7019</v>
      </c>
      <c r="Q2311" s="12" t="str">
        <f t="shared" si="444"/>
        <v>1819</v>
      </c>
      <c r="R2311" s="13" t="s">
        <v>7020</v>
      </c>
      <c r="S2311" s="12" t="str">
        <f t="shared" si="445"/>
        <v>1903</v>
      </c>
      <c r="T2311" s="13" t="s">
        <v>5376</v>
      </c>
      <c r="U2311" s="13" t="s">
        <v>7021</v>
      </c>
      <c r="V2311" s="12" t="str">
        <f t="shared" si="446"/>
        <v>1840</v>
      </c>
      <c r="W2311" s="13" t="s">
        <v>644</v>
      </c>
      <c r="X2311" s="13" t="s">
        <v>695</v>
      </c>
      <c r="Y2311" s="13" t="s">
        <v>7022</v>
      </c>
      <c r="Z2311" s="13"/>
      <c r="AA2311" s="13">
        <v>1823</v>
      </c>
      <c r="AB2311" s="13"/>
      <c r="AC2311" s="13"/>
      <c r="AD2311" s="13" t="s">
        <v>7019</v>
      </c>
      <c r="AE2311" s="13" t="s">
        <v>7023</v>
      </c>
      <c r="AF2311" s="13"/>
      <c r="AG2311" s="13"/>
      <c r="AH2311" s="13">
        <v>1840</v>
      </c>
      <c r="AI2311" s="12" t="str">
        <f t="shared" si="447"/>
        <v>1840</v>
      </c>
      <c r="AJ2311" s="13" t="s">
        <v>2382</v>
      </c>
      <c r="AK2311" s="13" t="s">
        <v>90</v>
      </c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2"/>
      <c r="BI2311" s="12"/>
      <c r="BJ2311" s="12"/>
      <c r="BK2311" s="12"/>
      <c r="BL2311" s="12"/>
      <c r="BM2311" s="12"/>
      <c r="BN2311" s="12"/>
      <c r="BO2311" s="12"/>
      <c r="BP2311" s="12"/>
      <c r="BQ2311" s="12"/>
      <c r="BR2311" s="12"/>
      <c r="BS2311" s="12"/>
      <c r="BT2311" s="12"/>
      <c r="BU2311" s="12"/>
      <c r="BV2311" s="12"/>
      <c r="BW2311" s="12"/>
      <c r="BX2311" s="12"/>
      <c r="BY2311" s="12"/>
      <c r="BZ2311" s="12"/>
      <c r="CA2311" s="12"/>
      <c r="CB2311" s="12"/>
      <c r="CC2311" s="12"/>
      <c r="CD2311" s="12"/>
    </row>
    <row r="2312" spans="1:82">
      <c r="A2312" s="13" t="s">
        <v>7015</v>
      </c>
      <c r="B2312" s="12" t="str">
        <f t="shared" si="439"/>
        <v>ZIETSMAN</v>
      </c>
      <c r="C2312" s="12" t="str">
        <f t="shared" si="440"/>
        <v>ZIETSMAN</v>
      </c>
      <c r="D2312" s="13" t="s">
        <v>7024</v>
      </c>
      <c r="E2312" s="12" t="str">
        <f t="shared" si="450"/>
        <v>Johannes Philip</v>
      </c>
      <c r="F2312" s="13" t="s">
        <v>2482</v>
      </c>
      <c r="G2312" s="12" t="str">
        <f t="shared" si="441"/>
        <v>a1b6</v>
      </c>
      <c r="H2312" s="12" t="str">
        <f t="shared" si="442"/>
        <v>ZIETSMANa1b6</v>
      </c>
      <c r="I2312" s="13"/>
      <c r="J2312" s="13">
        <v>1794</v>
      </c>
      <c r="K2312" s="12" t="str">
        <f t="shared" si="443"/>
        <v>1794</v>
      </c>
      <c r="L2312" s="13"/>
      <c r="M2312" s="13"/>
      <c r="N2312" s="12" t="str">
        <f t="shared" si="448"/>
        <v>1794</v>
      </c>
      <c r="O2312" s="12" t="str">
        <f t="shared" si="449"/>
        <v/>
      </c>
      <c r="P2312" s="13"/>
      <c r="Q2312" s="12" t="str">
        <f t="shared" si="444"/>
        <v>1794</v>
      </c>
      <c r="R2312" s="13"/>
      <c r="S2312" s="12" t="str">
        <f t="shared" si="445"/>
        <v/>
      </c>
      <c r="T2312" s="13" t="s">
        <v>158</v>
      </c>
      <c r="U2312" s="13" t="s">
        <v>7025</v>
      </c>
      <c r="V2312" s="12" t="str">
        <f t="shared" si="446"/>
        <v>1813</v>
      </c>
      <c r="W2312" s="13" t="s">
        <v>7026</v>
      </c>
      <c r="X2312" s="13" t="s">
        <v>5151</v>
      </c>
      <c r="Y2312" s="13" t="s">
        <v>7027</v>
      </c>
      <c r="Z2312" s="13"/>
      <c r="AA2312" s="13" t="s">
        <v>7028</v>
      </c>
      <c r="AB2312" s="13"/>
      <c r="AC2312" s="13"/>
      <c r="AD2312" s="13"/>
      <c r="AE2312" s="13"/>
      <c r="AF2312" s="13"/>
      <c r="AG2312" s="13" t="s">
        <v>53</v>
      </c>
      <c r="AH2312" s="13" t="s">
        <v>12313</v>
      </c>
      <c r="AI2312" s="12" t="str">
        <f t="shared" si="447"/>
        <v>1837</v>
      </c>
      <c r="AJ2312" s="13" t="s">
        <v>2382</v>
      </c>
      <c r="AK2312" s="13" t="s">
        <v>15356</v>
      </c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2"/>
      <c r="BI2312" s="12"/>
      <c r="BJ2312" s="12"/>
      <c r="BK2312" s="12"/>
      <c r="BL2312" s="12"/>
      <c r="BM2312" s="12"/>
      <c r="BN2312" s="12"/>
      <c r="BO2312" s="12"/>
      <c r="BP2312" s="12"/>
      <c r="BQ2312" s="12"/>
      <c r="BR2312" s="12"/>
      <c r="BS2312" s="12"/>
      <c r="BT2312" s="12"/>
      <c r="BU2312" s="12"/>
      <c r="BV2312" s="12"/>
      <c r="BW2312" s="12"/>
      <c r="BX2312" s="12"/>
      <c r="BY2312" s="12"/>
      <c r="BZ2312" s="12"/>
      <c r="CA2312" s="12"/>
      <c r="CB2312" s="12"/>
      <c r="CC2312" s="12"/>
      <c r="CD2312" s="12"/>
    </row>
    <row r="2313" spans="1:82">
      <c r="A2313" s="13" t="s">
        <v>7015</v>
      </c>
      <c r="B2313" s="12" t="str">
        <f t="shared" si="439"/>
        <v>ZIETSMAN</v>
      </c>
      <c r="C2313" s="12" t="str">
        <f t="shared" si="440"/>
        <v>ZIETSMAN</v>
      </c>
      <c r="D2313" s="13" t="s">
        <v>7037</v>
      </c>
      <c r="E2313" s="12" t="str">
        <f t="shared" si="450"/>
        <v>Paul Hermanus</v>
      </c>
      <c r="F2313" s="13" t="s">
        <v>4348</v>
      </c>
      <c r="G2313" s="12" t="str">
        <f t="shared" si="441"/>
        <v>a1b6c1</v>
      </c>
      <c r="H2313" s="12" t="str">
        <f t="shared" si="442"/>
        <v>ZIETSMANa1b6c1</v>
      </c>
      <c r="I2313" s="11"/>
      <c r="J2313" s="13" t="s">
        <v>7038</v>
      </c>
      <c r="K2313" s="12" t="str">
        <f t="shared" si="443"/>
        <v>1814</v>
      </c>
      <c r="L2313" s="13" t="s">
        <v>158</v>
      </c>
      <c r="M2313" s="13" t="s">
        <v>7039</v>
      </c>
      <c r="N2313" s="12" t="str">
        <f t="shared" si="448"/>
        <v>1814</v>
      </c>
      <c r="O2313" s="12" t="str">
        <f t="shared" si="449"/>
        <v>1814</v>
      </c>
      <c r="P2313" s="13" t="s">
        <v>7040</v>
      </c>
      <c r="Q2313" s="12" t="str">
        <f t="shared" si="444"/>
        <v>1814</v>
      </c>
      <c r="R2313" s="13" t="s">
        <v>7041</v>
      </c>
      <c r="S2313" s="12" t="str">
        <f t="shared" si="445"/>
        <v>1892</v>
      </c>
      <c r="T2313" s="13" t="s">
        <v>53</v>
      </c>
      <c r="U2313" s="13" t="s">
        <v>7042</v>
      </c>
      <c r="V2313" s="12" t="str">
        <f t="shared" si="446"/>
        <v>1835</v>
      </c>
      <c r="W2313" s="13" t="s">
        <v>3883</v>
      </c>
      <c r="X2313" s="13" t="s">
        <v>4871</v>
      </c>
      <c r="Y2313" s="13" t="s">
        <v>7043</v>
      </c>
      <c r="Z2313" s="13"/>
      <c r="AA2313" s="13" t="s">
        <v>7044</v>
      </c>
      <c r="AB2313" s="13"/>
      <c r="AC2313" s="13"/>
      <c r="AD2313" s="13"/>
      <c r="AE2313" s="13" t="s">
        <v>7045</v>
      </c>
      <c r="AF2313" s="13" t="s">
        <v>3677</v>
      </c>
      <c r="AG2313" s="13" t="s">
        <v>53</v>
      </c>
      <c r="AH2313" s="13" t="s">
        <v>12313</v>
      </c>
      <c r="AI2313" s="12" t="str">
        <f t="shared" si="447"/>
        <v>1837</v>
      </c>
      <c r="AJ2313" s="13" t="s">
        <v>2382</v>
      </c>
      <c r="AK2313" s="13" t="s">
        <v>15647</v>
      </c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2"/>
      <c r="BI2313" s="12"/>
      <c r="BJ2313" s="12"/>
      <c r="BK2313" s="12"/>
      <c r="BL2313" s="12"/>
      <c r="BM2313" s="12"/>
      <c r="BN2313" s="12"/>
      <c r="BO2313" s="12"/>
      <c r="BP2313" s="12"/>
      <c r="BQ2313" s="12"/>
      <c r="BR2313" s="12"/>
      <c r="BS2313" s="12"/>
      <c r="BT2313" s="12"/>
      <c r="BU2313" s="12"/>
      <c r="BV2313" s="12"/>
      <c r="BW2313" s="12"/>
      <c r="BX2313" s="12"/>
      <c r="BY2313" s="12"/>
      <c r="BZ2313" s="12"/>
      <c r="CA2313" s="12"/>
      <c r="CB2313" s="12"/>
      <c r="CC2313" s="12"/>
      <c r="CD2313" s="12"/>
    </row>
    <row r="2314" spans="1:82" s="5" customFormat="1">
      <c r="A2314" s="33" t="s">
        <v>7015</v>
      </c>
      <c r="B2314" s="5" t="str">
        <f t="shared" si="439"/>
        <v>ZIETSMAN</v>
      </c>
      <c r="C2314" s="5" t="str">
        <f t="shared" si="440"/>
        <v>ZIETSMAN</v>
      </c>
      <c r="D2314" s="33" t="s">
        <v>7029</v>
      </c>
      <c r="E2314" s="5" t="str">
        <f t="shared" si="450"/>
        <v>Johannes Sigismundus</v>
      </c>
      <c r="F2314" s="33" t="s">
        <v>1787</v>
      </c>
      <c r="G2314" s="5" t="str">
        <f t="shared" si="441"/>
        <v>a1b6c4</v>
      </c>
      <c r="H2314" s="5" t="str">
        <f t="shared" si="442"/>
        <v>ZIETSMANa1b6c4</v>
      </c>
      <c r="I2314" s="33"/>
      <c r="J2314" s="33" t="s">
        <v>7030</v>
      </c>
      <c r="K2314" s="5" t="str">
        <f t="shared" si="443"/>
        <v>1822</v>
      </c>
      <c r="L2314" s="34"/>
      <c r="M2314" s="33" t="s">
        <v>7031</v>
      </c>
      <c r="N2314" s="5" t="str">
        <f t="shared" si="448"/>
        <v>1822</v>
      </c>
      <c r="O2314" s="5" t="str">
        <f t="shared" si="449"/>
        <v>1822</v>
      </c>
      <c r="P2314" s="33" t="s">
        <v>7032</v>
      </c>
      <c r="Q2314" s="5" t="str">
        <f t="shared" si="444"/>
        <v>1822</v>
      </c>
      <c r="R2314" s="33" t="s">
        <v>7033</v>
      </c>
      <c r="S2314" s="5" t="str">
        <f t="shared" si="445"/>
        <v>1902</v>
      </c>
      <c r="T2314" s="33"/>
      <c r="U2314" s="33"/>
      <c r="V2314" s="5" t="str">
        <f t="shared" si="446"/>
        <v/>
      </c>
      <c r="W2314" s="33" t="s">
        <v>7034</v>
      </c>
      <c r="X2314" s="33" t="s">
        <v>4342</v>
      </c>
      <c r="Y2314" s="33" t="s">
        <v>7035</v>
      </c>
      <c r="Z2314" s="33" t="s">
        <v>53</v>
      </c>
      <c r="AA2314" s="33" t="s">
        <v>7036</v>
      </c>
      <c r="AB2314" s="33"/>
      <c r="AC2314" s="33"/>
      <c r="AD2314" s="33"/>
      <c r="AE2314" s="33"/>
      <c r="AF2314" s="33"/>
      <c r="AG2314" s="33" t="s">
        <v>53</v>
      </c>
      <c r="AH2314" s="33" t="s">
        <v>12313</v>
      </c>
      <c r="AI2314" s="5" t="str">
        <f t="shared" si="447"/>
        <v>1837</v>
      </c>
      <c r="AJ2314" s="33" t="s">
        <v>2382</v>
      </c>
      <c r="AK2314" s="33" t="s">
        <v>15646</v>
      </c>
      <c r="AL2314" s="33"/>
      <c r="AM2314" s="33"/>
      <c r="AN2314" s="33"/>
      <c r="AO2314" s="33"/>
      <c r="AP2314" s="33"/>
      <c r="AQ2314" s="33"/>
      <c r="AR2314" s="33"/>
      <c r="AS2314" s="33"/>
      <c r="AT2314" s="33"/>
      <c r="AU2314" s="33"/>
      <c r="AV2314" s="33"/>
      <c r="AW2314" s="33"/>
      <c r="AX2314" s="33"/>
      <c r="AY2314" s="33"/>
      <c r="AZ2314" s="33"/>
      <c r="BA2314" s="33"/>
      <c r="BB2314" s="33"/>
      <c r="BC2314" s="33"/>
      <c r="BD2314" s="33"/>
      <c r="BE2314" s="33"/>
      <c r="BF2314" s="33"/>
      <c r="BG2314" s="33"/>
    </row>
    <row r="2315" spans="1:82">
      <c r="K2315" s="12" t="str">
        <f t="shared" si="443"/>
        <v/>
      </c>
      <c r="S2315" s="12" t="str">
        <f t="shared" si="445"/>
        <v/>
      </c>
      <c r="V2315" s="12" t="str">
        <f t="shared" si="446"/>
        <v/>
      </c>
      <c r="AI2315" s="12" t="str">
        <f t="shared" si="447"/>
        <v/>
      </c>
    </row>
    <row r="2316" spans="1:82">
      <c r="K2316" s="12" t="str">
        <f t="shared" si="443"/>
        <v/>
      </c>
      <c r="S2316" s="12" t="str">
        <f t="shared" si="445"/>
        <v/>
      </c>
      <c r="V2316" s="12" t="str">
        <f t="shared" si="446"/>
        <v/>
      </c>
      <c r="AI2316" s="12" t="str">
        <f t="shared" si="447"/>
        <v/>
      </c>
    </row>
    <row r="2317" spans="1:82">
      <c r="K2317" s="12" t="str">
        <f t="shared" si="443"/>
        <v/>
      </c>
      <c r="S2317" s="12" t="str">
        <f t="shared" si="445"/>
        <v/>
      </c>
      <c r="V2317" s="12" t="str">
        <f t="shared" si="446"/>
        <v/>
      </c>
      <c r="AI2317" s="12" t="str">
        <f t="shared" si="447"/>
        <v/>
      </c>
    </row>
    <row r="2318" spans="1:82">
      <c r="K2318" s="12" t="str">
        <f t="shared" si="443"/>
        <v/>
      </c>
      <c r="S2318" s="12" t="str">
        <f t="shared" si="445"/>
        <v/>
      </c>
      <c r="V2318" s="12" t="str">
        <f t="shared" si="446"/>
        <v/>
      </c>
      <c r="AI2318" s="12" t="str">
        <f t="shared" si="447"/>
        <v/>
      </c>
    </row>
    <row r="2319" spans="1:82">
      <c r="K2319" s="12" t="str">
        <f t="shared" si="443"/>
        <v/>
      </c>
      <c r="S2319" s="12" t="str">
        <f t="shared" si="445"/>
        <v/>
      </c>
      <c r="V2319" s="12" t="str">
        <f t="shared" si="446"/>
        <v/>
      </c>
      <c r="AI2319" s="12" t="str">
        <f t="shared" si="447"/>
        <v/>
      </c>
    </row>
    <row r="2320" spans="1:82">
      <c r="K2320" s="12" t="str">
        <f t="shared" si="443"/>
        <v/>
      </c>
      <c r="S2320" s="12" t="str">
        <f t="shared" si="445"/>
        <v/>
      </c>
      <c r="V2320" s="12" t="str">
        <f t="shared" si="446"/>
        <v/>
      </c>
      <c r="AI2320" s="12" t="str">
        <f t="shared" si="447"/>
        <v/>
      </c>
    </row>
    <row r="2321" spans="11:35">
      <c r="K2321" s="12" t="str">
        <f t="shared" si="443"/>
        <v/>
      </c>
      <c r="S2321" s="12" t="str">
        <f t="shared" si="445"/>
        <v/>
      </c>
      <c r="V2321" s="12" t="str">
        <f t="shared" si="446"/>
        <v/>
      </c>
      <c r="AI2321" s="12" t="str">
        <f t="shared" si="447"/>
        <v/>
      </c>
    </row>
    <row r="2322" spans="11:35">
      <c r="K2322" s="12" t="str">
        <f t="shared" si="443"/>
        <v/>
      </c>
      <c r="S2322" s="12" t="str">
        <f t="shared" si="445"/>
        <v/>
      </c>
      <c r="V2322" s="12" t="str">
        <f t="shared" si="446"/>
        <v/>
      </c>
      <c r="AI2322" s="12" t="str">
        <f t="shared" si="447"/>
        <v/>
      </c>
    </row>
    <row r="2323" spans="11:35">
      <c r="K2323" s="12" t="str">
        <f t="shared" si="443"/>
        <v/>
      </c>
      <c r="S2323" s="12" t="str">
        <f t="shared" si="445"/>
        <v/>
      </c>
      <c r="V2323" s="12" t="str">
        <f t="shared" si="446"/>
        <v/>
      </c>
      <c r="AI2323" s="12" t="str">
        <f t="shared" si="447"/>
        <v/>
      </c>
    </row>
    <row r="2324" spans="11:35">
      <c r="K2324" s="12" t="str">
        <f t="shared" si="443"/>
        <v/>
      </c>
      <c r="S2324" s="12" t="str">
        <f t="shared" si="445"/>
        <v/>
      </c>
      <c r="V2324" s="12" t="str">
        <f t="shared" si="446"/>
        <v/>
      </c>
      <c r="AI2324" s="12" t="str">
        <f t="shared" si="447"/>
        <v/>
      </c>
    </row>
    <row r="2325" spans="11:35">
      <c r="K2325" s="12" t="str">
        <f t="shared" si="443"/>
        <v/>
      </c>
      <c r="S2325" s="12" t="str">
        <f t="shared" si="445"/>
        <v/>
      </c>
      <c r="V2325" s="12" t="str">
        <f t="shared" si="446"/>
        <v/>
      </c>
      <c r="AI2325" s="12" t="str">
        <f t="shared" si="447"/>
        <v/>
      </c>
    </row>
    <row r="2326" spans="11:35">
      <c r="K2326" s="12" t="str">
        <f t="shared" si="443"/>
        <v/>
      </c>
      <c r="S2326" s="12" t="str">
        <f t="shared" si="445"/>
        <v/>
      </c>
      <c r="V2326" s="12" t="str">
        <f t="shared" si="446"/>
        <v/>
      </c>
      <c r="AI2326" s="12" t="str">
        <f t="shared" si="447"/>
        <v/>
      </c>
    </row>
    <row r="2327" spans="11:35">
      <c r="K2327" s="12" t="str">
        <f t="shared" si="443"/>
        <v/>
      </c>
      <c r="S2327" s="12" t="str">
        <f t="shared" si="445"/>
        <v/>
      </c>
      <c r="V2327" s="12" t="str">
        <f t="shared" si="446"/>
        <v/>
      </c>
      <c r="AI2327" s="12" t="str">
        <f t="shared" si="447"/>
        <v/>
      </c>
    </row>
    <row r="2328" spans="11:35">
      <c r="K2328" s="12" t="str">
        <f t="shared" si="443"/>
        <v/>
      </c>
      <c r="S2328" s="12" t="str">
        <f t="shared" si="445"/>
        <v/>
      </c>
      <c r="V2328" s="12" t="str">
        <f t="shared" si="446"/>
        <v/>
      </c>
      <c r="AI2328" s="12" t="str">
        <f t="shared" si="447"/>
        <v/>
      </c>
    </row>
    <row r="2329" spans="11:35">
      <c r="K2329" s="12" t="str">
        <f t="shared" si="443"/>
        <v/>
      </c>
      <c r="S2329" s="12" t="str">
        <f t="shared" si="445"/>
        <v/>
      </c>
      <c r="V2329" s="12" t="str">
        <f t="shared" si="446"/>
        <v/>
      </c>
      <c r="AI2329" s="12" t="str">
        <f t="shared" si="447"/>
        <v/>
      </c>
    </row>
    <row r="2330" spans="11:35">
      <c r="K2330" s="12" t="str">
        <f t="shared" si="443"/>
        <v/>
      </c>
      <c r="S2330" s="12" t="str">
        <f t="shared" si="445"/>
        <v/>
      </c>
      <c r="V2330" s="12" t="str">
        <f t="shared" si="446"/>
        <v/>
      </c>
      <c r="AI2330" s="12" t="str">
        <f t="shared" si="447"/>
        <v/>
      </c>
    </row>
    <row r="2331" spans="11:35">
      <c r="K2331" s="12" t="str">
        <f t="shared" si="443"/>
        <v/>
      </c>
      <c r="S2331" s="12" t="str">
        <f t="shared" si="445"/>
        <v/>
      </c>
      <c r="V2331" s="12" t="str">
        <f t="shared" si="446"/>
        <v/>
      </c>
      <c r="AI2331" s="12" t="str">
        <f t="shared" si="447"/>
        <v/>
      </c>
    </row>
    <row r="2332" spans="11:35">
      <c r="K2332" s="12" t="str">
        <f t="shared" si="443"/>
        <v/>
      </c>
      <c r="S2332" s="12" t="str">
        <f t="shared" si="445"/>
        <v/>
      </c>
      <c r="V2332" s="12" t="str">
        <f t="shared" si="446"/>
        <v/>
      </c>
      <c r="AI2332" s="12" t="str">
        <f t="shared" si="447"/>
        <v/>
      </c>
    </row>
    <row r="2333" spans="11:35">
      <c r="K2333" s="12" t="str">
        <f t="shared" si="443"/>
        <v/>
      </c>
      <c r="S2333" s="12" t="str">
        <f t="shared" si="445"/>
        <v/>
      </c>
      <c r="V2333" s="12" t="str">
        <f t="shared" si="446"/>
        <v/>
      </c>
      <c r="AI2333" s="12" t="str">
        <f t="shared" si="447"/>
        <v/>
      </c>
    </row>
    <row r="2334" spans="11:35">
      <c r="K2334" s="12" t="str">
        <f t="shared" si="443"/>
        <v/>
      </c>
      <c r="S2334" s="12" t="str">
        <f t="shared" si="445"/>
        <v/>
      </c>
      <c r="V2334" s="12" t="str">
        <f t="shared" si="446"/>
        <v/>
      </c>
      <c r="AI2334" s="12" t="str">
        <f t="shared" si="447"/>
        <v/>
      </c>
    </row>
    <row r="2335" spans="11:35">
      <c r="K2335" s="12" t="str">
        <f t="shared" si="443"/>
        <v/>
      </c>
      <c r="S2335" s="12" t="str">
        <f t="shared" si="445"/>
        <v/>
      </c>
      <c r="V2335" s="12" t="str">
        <f t="shared" si="446"/>
        <v/>
      </c>
      <c r="AI2335" s="12" t="str">
        <f t="shared" si="447"/>
        <v/>
      </c>
    </row>
    <row r="2336" spans="11:35">
      <c r="K2336" s="12" t="str">
        <f t="shared" si="443"/>
        <v/>
      </c>
      <c r="S2336" s="12" t="str">
        <f t="shared" si="445"/>
        <v/>
      </c>
      <c r="V2336" s="12" t="str">
        <f t="shared" si="446"/>
        <v/>
      </c>
      <c r="AI2336" s="12" t="str">
        <f t="shared" si="447"/>
        <v/>
      </c>
    </row>
    <row r="2337" spans="11:35">
      <c r="K2337" s="12" t="str">
        <f t="shared" si="443"/>
        <v/>
      </c>
      <c r="S2337" s="12" t="str">
        <f t="shared" si="445"/>
        <v/>
      </c>
      <c r="V2337" s="12" t="str">
        <f t="shared" si="446"/>
        <v/>
      </c>
      <c r="AI2337" s="12" t="str">
        <f t="shared" si="447"/>
        <v/>
      </c>
    </row>
    <row r="2338" spans="11:35">
      <c r="K2338" s="12" t="str">
        <f t="shared" si="443"/>
        <v/>
      </c>
      <c r="S2338" s="12" t="str">
        <f t="shared" si="445"/>
        <v/>
      </c>
      <c r="V2338" s="12" t="str">
        <f t="shared" si="446"/>
        <v/>
      </c>
      <c r="AI2338" s="12" t="str">
        <f t="shared" si="447"/>
        <v/>
      </c>
    </row>
    <row r="2339" spans="11:35">
      <c r="K2339" s="12" t="str">
        <f t="shared" si="443"/>
        <v/>
      </c>
      <c r="S2339" s="12" t="str">
        <f t="shared" si="445"/>
        <v/>
      </c>
      <c r="V2339" s="12" t="str">
        <f t="shared" si="446"/>
        <v/>
      </c>
      <c r="AI2339" s="12" t="str">
        <f t="shared" si="447"/>
        <v/>
      </c>
    </row>
    <row r="2340" spans="11:35">
      <c r="K2340" s="12" t="str">
        <f t="shared" si="443"/>
        <v/>
      </c>
      <c r="S2340" s="12" t="str">
        <f t="shared" si="445"/>
        <v/>
      </c>
      <c r="V2340" s="12" t="str">
        <f t="shared" si="446"/>
        <v/>
      </c>
      <c r="AI2340" s="12" t="str">
        <f t="shared" si="447"/>
        <v/>
      </c>
    </row>
    <row r="2341" spans="11:35">
      <c r="K2341" s="12" t="str">
        <f t="shared" si="443"/>
        <v/>
      </c>
      <c r="S2341" s="12" t="str">
        <f t="shared" si="445"/>
        <v/>
      </c>
      <c r="V2341" s="12" t="str">
        <f t="shared" si="446"/>
        <v/>
      </c>
      <c r="AI2341" s="12" t="str">
        <f t="shared" si="447"/>
        <v/>
      </c>
    </row>
    <row r="2342" spans="11:35">
      <c r="K2342" s="12" t="str">
        <f t="shared" si="443"/>
        <v/>
      </c>
      <c r="S2342" s="12" t="str">
        <f t="shared" si="445"/>
        <v/>
      </c>
      <c r="V2342" s="12" t="str">
        <f t="shared" si="446"/>
        <v/>
      </c>
      <c r="AI2342" s="12" t="str">
        <f t="shared" si="447"/>
        <v/>
      </c>
    </row>
    <row r="2343" spans="11:35">
      <c r="K2343" s="12" t="str">
        <f t="shared" si="443"/>
        <v/>
      </c>
      <c r="S2343" s="12" t="str">
        <f t="shared" si="445"/>
        <v/>
      </c>
      <c r="V2343" s="12" t="str">
        <f t="shared" si="446"/>
        <v/>
      </c>
      <c r="AI2343" s="12" t="str">
        <f t="shared" si="447"/>
        <v/>
      </c>
    </row>
    <row r="2344" spans="11:35">
      <c r="K2344" s="12" t="str">
        <f t="shared" si="443"/>
        <v/>
      </c>
      <c r="S2344" s="12" t="str">
        <f t="shared" si="445"/>
        <v/>
      </c>
      <c r="V2344" s="12" t="str">
        <f t="shared" si="446"/>
        <v/>
      </c>
      <c r="AI2344" s="12" t="str">
        <f t="shared" si="447"/>
        <v/>
      </c>
    </row>
    <row r="2345" spans="11:35">
      <c r="K2345" s="12" t="str">
        <f t="shared" si="443"/>
        <v/>
      </c>
      <c r="S2345" s="12" t="str">
        <f t="shared" si="445"/>
        <v/>
      </c>
      <c r="V2345" s="12" t="str">
        <f t="shared" si="446"/>
        <v/>
      </c>
      <c r="AI2345" s="12" t="str">
        <f t="shared" si="447"/>
        <v/>
      </c>
    </row>
    <row r="2346" spans="11:35">
      <c r="K2346" s="12" t="str">
        <f t="shared" si="443"/>
        <v/>
      </c>
      <c r="S2346" s="12" t="str">
        <f t="shared" si="445"/>
        <v/>
      </c>
      <c r="V2346" s="12" t="str">
        <f t="shared" si="446"/>
        <v/>
      </c>
      <c r="AI2346" s="12" t="str">
        <f t="shared" si="447"/>
        <v/>
      </c>
    </row>
    <row r="2347" spans="11:35">
      <c r="K2347" s="12" t="str">
        <f t="shared" si="443"/>
        <v/>
      </c>
      <c r="S2347" s="12" t="str">
        <f t="shared" si="445"/>
        <v/>
      </c>
      <c r="V2347" s="12" t="str">
        <f t="shared" si="446"/>
        <v/>
      </c>
      <c r="AI2347" s="12" t="str">
        <f t="shared" si="447"/>
        <v/>
      </c>
    </row>
    <row r="2348" spans="11:35">
      <c r="K2348" s="12" t="str">
        <f t="shared" si="443"/>
        <v/>
      </c>
      <c r="S2348" s="12" t="str">
        <f t="shared" si="445"/>
        <v/>
      </c>
      <c r="V2348" s="12" t="str">
        <f t="shared" si="446"/>
        <v/>
      </c>
      <c r="AI2348" s="12" t="str">
        <f t="shared" si="447"/>
        <v/>
      </c>
    </row>
    <row r="2349" spans="11:35">
      <c r="K2349" s="12" t="str">
        <f t="shared" si="443"/>
        <v/>
      </c>
      <c r="S2349" s="12" t="str">
        <f t="shared" si="445"/>
        <v/>
      </c>
      <c r="V2349" s="12" t="str">
        <f t="shared" si="446"/>
        <v/>
      </c>
      <c r="AI2349" s="12" t="str">
        <f t="shared" si="447"/>
        <v/>
      </c>
    </row>
    <row r="2350" spans="11:35">
      <c r="K2350" s="12" t="str">
        <f t="shared" si="443"/>
        <v/>
      </c>
      <c r="S2350" s="12" t="str">
        <f t="shared" si="445"/>
        <v/>
      </c>
      <c r="V2350" s="12" t="str">
        <f t="shared" si="446"/>
        <v/>
      </c>
      <c r="AI2350" s="12" t="str">
        <f t="shared" si="447"/>
        <v/>
      </c>
    </row>
    <row r="2351" spans="11:35">
      <c r="K2351" s="12" t="str">
        <f t="shared" ref="K2351:K2414" si="451">RIGHT(J2351,4)</f>
        <v/>
      </c>
      <c r="S2351" s="12" t="str">
        <f t="shared" ref="S2351:S2414" si="452">RIGHT(R2351,4)</f>
        <v/>
      </c>
      <c r="V2351" s="12" t="str">
        <f t="shared" ref="V2351:V2414" si="453">RIGHT(U2351,4)</f>
        <v/>
      </c>
      <c r="AI2351" s="12" t="str">
        <f t="shared" ref="AI2351:AI2414" si="454">RIGHT(AH2351,4)</f>
        <v/>
      </c>
    </row>
    <row r="2352" spans="11:35">
      <c r="K2352" s="12" t="str">
        <f t="shared" si="451"/>
        <v/>
      </c>
      <c r="S2352" s="12" t="str">
        <f t="shared" si="452"/>
        <v/>
      </c>
      <c r="V2352" s="12" t="str">
        <f t="shared" si="453"/>
        <v/>
      </c>
      <c r="AI2352" s="12" t="str">
        <f t="shared" si="454"/>
        <v/>
      </c>
    </row>
    <row r="2353" spans="11:35">
      <c r="K2353" s="12" t="str">
        <f t="shared" si="451"/>
        <v/>
      </c>
      <c r="S2353" s="12" t="str">
        <f t="shared" si="452"/>
        <v/>
      </c>
      <c r="V2353" s="12" t="str">
        <f t="shared" si="453"/>
        <v/>
      </c>
      <c r="AI2353" s="12" t="str">
        <f t="shared" si="454"/>
        <v/>
      </c>
    </row>
    <row r="2354" spans="11:35">
      <c r="K2354" s="12" t="str">
        <f t="shared" si="451"/>
        <v/>
      </c>
      <c r="S2354" s="12" t="str">
        <f t="shared" si="452"/>
        <v/>
      </c>
      <c r="V2354" s="12" t="str">
        <f t="shared" si="453"/>
        <v/>
      </c>
      <c r="AI2354" s="12" t="str">
        <f t="shared" si="454"/>
        <v/>
      </c>
    </row>
    <row r="2355" spans="11:35">
      <c r="K2355" s="12" t="str">
        <f t="shared" si="451"/>
        <v/>
      </c>
      <c r="S2355" s="12" t="str">
        <f t="shared" si="452"/>
        <v/>
      </c>
      <c r="V2355" s="12" t="str">
        <f t="shared" si="453"/>
        <v/>
      </c>
      <c r="AI2355" s="12" t="str">
        <f t="shared" si="454"/>
        <v/>
      </c>
    </row>
    <row r="2356" spans="11:35">
      <c r="K2356" s="12" t="str">
        <f t="shared" si="451"/>
        <v/>
      </c>
      <c r="S2356" s="12" t="str">
        <f t="shared" si="452"/>
        <v/>
      </c>
      <c r="V2356" s="12" t="str">
        <f t="shared" si="453"/>
        <v/>
      </c>
      <c r="AI2356" s="12" t="str">
        <f t="shared" si="454"/>
        <v/>
      </c>
    </row>
    <row r="2357" spans="11:35">
      <c r="K2357" s="12" t="str">
        <f t="shared" si="451"/>
        <v/>
      </c>
      <c r="S2357" s="12" t="str">
        <f t="shared" si="452"/>
        <v/>
      </c>
      <c r="V2357" s="12" t="str">
        <f t="shared" si="453"/>
        <v/>
      </c>
      <c r="AI2357" s="12" t="str">
        <f t="shared" si="454"/>
        <v/>
      </c>
    </row>
    <row r="2358" spans="11:35">
      <c r="K2358" s="12" t="str">
        <f t="shared" si="451"/>
        <v/>
      </c>
      <c r="S2358" s="12" t="str">
        <f t="shared" si="452"/>
        <v/>
      </c>
      <c r="V2358" s="12" t="str">
        <f t="shared" si="453"/>
        <v/>
      </c>
      <c r="AI2358" s="12" t="str">
        <f t="shared" si="454"/>
        <v/>
      </c>
    </row>
    <row r="2359" spans="11:35">
      <c r="K2359" s="12" t="str">
        <f t="shared" si="451"/>
        <v/>
      </c>
      <c r="S2359" s="12" t="str">
        <f t="shared" si="452"/>
        <v/>
      </c>
      <c r="V2359" s="12" t="str">
        <f t="shared" si="453"/>
        <v/>
      </c>
      <c r="AI2359" s="12" t="str">
        <f t="shared" si="454"/>
        <v/>
      </c>
    </row>
    <row r="2360" spans="11:35">
      <c r="K2360" s="12" t="str">
        <f t="shared" si="451"/>
        <v/>
      </c>
      <c r="S2360" s="12" t="str">
        <f t="shared" si="452"/>
        <v/>
      </c>
      <c r="V2360" s="12" t="str">
        <f t="shared" si="453"/>
        <v/>
      </c>
      <c r="AI2360" s="12" t="str">
        <f t="shared" si="454"/>
        <v/>
      </c>
    </row>
    <row r="2361" spans="11:35">
      <c r="K2361" s="12" t="str">
        <f t="shared" si="451"/>
        <v/>
      </c>
      <c r="S2361" s="12" t="str">
        <f t="shared" si="452"/>
        <v/>
      </c>
      <c r="V2361" s="12" t="str">
        <f t="shared" si="453"/>
        <v/>
      </c>
      <c r="AI2361" s="12" t="str">
        <f t="shared" si="454"/>
        <v/>
      </c>
    </row>
    <row r="2362" spans="11:35">
      <c r="K2362" s="12" t="str">
        <f t="shared" si="451"/>
        <v/>
      </c>
      <c r="S2362" s="12" t="str">
        <f t="shared" si="452"/>
        <v/>
      </c>
      <c r="V2362" s="12" t="str">
        <f t="shared" si="453"/>
        <v/>
      </c>
      <c r="AI2362" s="12" t="str">
        <f t="shared" si="454"/>
        <v/>
      </c>
    </row>
    <row r="2363" spans="11:35">
      <c r="K2363" s="12" t="str">
        <f t="shared" si="451"/>
        <v/>
      </c>
      <c r="S2363" s="12" t="str">
        <f t="shared" si="452"/>
        <v/>
      </c>
      <c r="V2363" s="12" t="str">
        <f t="shared" si="453"/>
        <v/>
      </c>
      <c r="AI2363" s="12" t="str">
        <f t="shared" si="454"/>
        <v/>
      </c>
    </row>
    <row r="2364" spans="11:35">
      <c r="K2364" s="12" t="str">
        <f t="shared" si="451"/>
        <v/>
      </c>
      <c r="S2364" s="12" t="str">
        <f t="shared" si="452"/>
        <v/>
      </c>
      <c r="V2364" s="12" t="str">
        <f t="shared" si="453"/>
        <v/>
      </c>
      <c r="AI2364" s="12" t="str">
        <f t="shared" si="454"/>
        <v/>
      </c>
    </row>
    <row r="2365" spans="11:35">
      <c r="K2365" s="12" t="str">
        <f t="shared" si="451"/>
        <v/>
      </c>
      <c r="S2365" s="12" t="str">
        <f t="shared" si="452"/>
        <v/>
      </c>
      <c r="V2365" s="12" t="str">
        <f t="shared" si="453"/>
        <v/>
      </c>
      <c r="AI2365" s="12" t="str">
        <f t="shared" si="454"/>
        <v/>
      </c>
    </row>
    <row r="2366" spans="11:35">
      <c r="K2366" s="12" t="str">
        <f t="shared" si="451"/>
        <v/>
      </c>
      <c r="S2366" s="12" t="str">
        <f t="shared" si="452"/>
        <v/>
      </c>
      <c r="V2366" s="12" t="str">
        <f t="shared" si="453"/>
        <v/>
      </c>
      <c r="AI2366" s="12" t="str">
        <f t="shared" si="454"/>
        <v/>
      </c>
    </row>
    <row r="2367" spans="11:35">
      <c r="K2367" s="12" t="str">
        <f t="shared" si="451"/>
        <v/>
      </c>
      <c r="S2367" s="12" t="str">
        <f t="shared" si="452"/>
        <v/>
      </c>
      <c r="V2367" s="12" t="str">
        <f t="shared" si="453"/>
        <v/>
      </c>
      <c r="AI2367" s="12" t="str">
        <f t="shared" si="454"/>
        <v/>
      </c>
    </row>
    <row r="2368" spans="11:35">
      <c r="K2368" s="12" t="str">
        <f t="shared" si="451"/>
        <v/>
      </c>
      <c r="S2368" s="12" t="str">
        <f t="shared" si="452"/>
        <v/>
      </c>
      <c r="V2368" s="12" t="str">
        <f t="shared" si="453"/>
        <v/>
      </c>
      <c r="AI2368" s="12" t="str">
        <f t="shared" si="454"/>
        <v/>
      </c>
    </row>
    <row r="2369" spans="1:69">
      <c r="K2369" s="12" t="str">
        <f t="shared" si="451"/>
        <v/>
      </c>
      <c r="S2369" s="12" t="str">
        <f t="shared" si="452"/>
        <v/>
      </c>
      <c r="V2369" s="12" t="str">
        <f t="shared" si="453"/>
        <v/>
      </c>
      <c r="AI2369" s="12" t="str">
        <f t="shared" si="454"/>
        <v/>
      </c>
    </row>
    <row r="2370" spans="1:69">
      <c r="K2370" s="12" t="str">
        <f t="shared" si="451"/>
        <v/>
      </c>
      <c r="S2370" s="12" t="str">
        <f t="shared" si="452"/>
        <v/>
      </c>
      <c r="V2370" s="12" t="str">
        <f t="shared" si="453"/>
        <v/>
      </c>
      <c r="AI2370" s="12" t="str">
        <f t="shared" si="454"/>
        <v/>
      </c>
    </row>
    <row r="2371" spans="1:69">
      <c r="K2371" s="12" t="str">
        <f t="shared" si="451"/>
        <v/>
      </c>
      <c r="S2371" s="12" t="str">
        <f t="shared" si="452"/>
        <v/>
      </c>
      <c r="V2371" s="12" t="str">
        <f t="shared" si="453"/>
        <v/>
      </c>
      <c r="AI2371" s="12" t="str">
        <f t="shared" si="454"/>
        <v/>
      </c>
    </row>
    <row r="2372" spans="1:69">
      <c r="K2372" s="12" t="str">
        <f t="shared" si="451"/>
        <v/>
      </c>
      <c r="S2372" s="12" t="str">
        <f t="shared" si="452"/>
        <v/>
      </c>
      <c r="V2372" s="12" t="str">
        <f t="shared" si="453"/>
        <v/>
      </c>
      <c r="AI2372" s="12" t="str">
        <f t="shared" si="454"/>
        <v/>
      </c>
    </row>
    <row r="2373" spans="1:69">
      <c r="K2373" s="12" t="str">
        <f t="shared" si="451"/>
        <v/>
      </c>
      <c r="S2373" s="12" t="str">
        <f t="shared" si="452"/>
        <v/>
      </c>
      <c r="V2373" s="12" t="str">
        <f t="shared" si="453"/>
        <v/>
      </c>
      <c r="AI2373" s="12" t="str">
        <f t="shared" si="454"/>
        <v/>
      </c>
    </row>
    <row r="2374" spans="1:69">
      <c r="K2374" s="12" t="str">
        <f t="shared" si="451"/>
        <v/>
      </c>
      <c r="S2374" s="12" t="str">
        <f t="shared" si="452"/>
        <v/>
      </c>
      <c r="V2374" s="12" t="str">
        <f t="shared" si="453"/>
        <v/>
      </c>
      <c r="AI2374" s="12" t="str">
        <f t="shared" si="454"/>
        <v/>
      </c>
    </row>
    <row r="2375" spans="1:69">
      <c r="K2375" s="12" t="str">
        <f t="shared" si="451"/>
        <v/>
      </c>
      <c r="S2375" s="12" t="str">
        <f t="shared" si="452"/>
        <v/>
      </c>
      <c r="V2375" s="12" t="str">
        <f t="shared" si="453"/>
        <v/>
      </c>
      <c r="AI2375" s="12" t="str">
        <f t="shared" si="454"/>
        <v/>
      </c>
    </row>
    <row r="2376" spans="1:69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2" t="str">
        <f t="shared" si="451"/>
        <v/>
      </c>
      <c r="L2376" s="13"/>
      <c r="M2376" s="13"/>
      <c r="N2376" s="13"/>
      <c r="O2376" s="13"/>
      <c r="P2376" s="13"/>
      <c r="R2376" s="13"/>
      <c r="S2376" s="12" t="str">
        <f t="shared" si="452"/>
        <v/>
      </c>
      <c r="T2376" s="13"/>
      <c r="U2376" s="13"/>
      <c r="V2376" s="12" t="str">
        <f t="shared" si="453"/>
        <v/>
      </c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/>
      <c r="AH2376" s="13"/>
      <c r="AI2376" s="12" t="str">
        <f t="shared" si="454"/>
        <v/>
      </c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</row>
    <row r="2377" spans="1:69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2" t="str">
        <f t="shared" si="451"/>
        <v/>
      </c>
      <c r="L2377" s="13"/>
      <c r="M2377" s="13"/>
      <c r="N2377" s="13"/>
      <c r="O2377" s="13"/>
      <c r="P2377" s="13"/>
      <c r="R2377" s="13"/>
      <c r="S2377" s="12" t="str">
        <f t="shared" si="452"/>
        <v/>
      </c>
      <c r="T2377" s="13"/>
      <c r="U2377" s="13"/>
      <c r="V2377" s="12" t="str">
        <f t="shared" si="453"/>
        <v/>
      </c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/>
      <c r="AH2377" s="13"/>
      <c r="AI2377" s="12" t="str">
        <f t="shared" si="454"/>
        <v/>
      </c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/>
      <c r="AY2377" s="13"/>
      <c r="AZ2377" s="13"/>
      <c r="BA2377" s="13"/>
      <c r="BB2377" s="13"/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</row>
    <row r="2378" spans="1:69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2" t="str">
        <f t="shared" si="451"/>
        <v/>
      </c>
      <c r="L2378" s="13"/>
      <c r="M2378" s="13"/>
      <c r="N2378" s="13"/>
      <c r="O2378" s="13"/>
      <c r="P2378" s="13"/>
      <c r="R2378" s="13"/>
      <c r="S2378" s="12" t="str">
        <f t="shared" si="452"/>
        <v/>
      </c>
      <c r="T2378" s="13"/>
      <c r="U2378" s="13"/>
      <c r="V2378" s="12" t="str">
        <f t="shared" si="453"/>
        <v/>
      </c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/>
      <c r="AH2378" s="13"/>
      <c r="AI2378" s="12" t="str">
        <f t="shared" si="454"/>
        <v/>
      </c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/>
      <c r="AY2378" s="13"/>
      <c r="AZ2378" s="13"/>
      <c r="BA2378" s="13"/>
      <c r="BB2378" s="13"/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</row>
    <row r="2379" spans="1:69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2" t="str">
        <f t="shared" si="451"/>
        <v/>
      </c>
      <c r="L2379" s="13"/>
      <c r="M2379" s="13"/>
      <c r="N2379" s="13"/>
      <c r="O2379" s="13"/>
      <c r="P2379" s="13"/>
      <c r="R2379" s="13"/>
      <c r="S2379" s="12" t="str">
        <f t="shared" si="452"/>
        <v/>
      </c>
      <c r="T2379" s="13"/>
      <c r="U2379" s="13"/>
      <c r="V2379" s="12" t="str">
        <f t="shared" si="453"/>
        <v/>
      </c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  <c r="AH2379" s="13"/>
      <c r="AI2379" s="12" t="str">
        <f t="shared" si="454"/>
        <v/>
      </c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</row>
    <row r="2380" spans="1:69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2" t="str">
        <f t="shared" si="451"/>
        <v/>
      </c>
      <c r="L2380" s="13"/>
      <c r="M2380" s="13"/>
      <c r="N2380" s="13"/>
      <c r="O2380" s="13"/>
      <c r="P2380" s="13"/>
      <c r="R2380" s="13"/>
      <c r="S2380" s="12" t="str">
        <f t="shared" si="452"/>
        <v/>
      </c>
      <c r="T2380" s="13"/>
      <c r="U2380" s="13"/>
      <c r="V2380" s="12" t="str">
        <f t="shared" si="453"/>
        <v/>
      </c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/>
      <c r="AH2380" s="13"/>
      <c r="AI2380" s="12" t="str">
        <f t="shared" si="454"/>
        <v/>
      </c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</row>
    <row r="2381" spans="1:69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2" t="str">
        <f t="shared" si="451"/>
        <v/>
      </c>
      <c r="L2381" s="13"/>
      <c r="M2381" s="13"/>
      <c r="N2381" s="13"/>
      <c r="O2381" s="13"/>
      <c r="P2381" s="13"/>
      <c r="R2381" s="13"/>
      <c r="S2381" s="12" t="str">
        <f t="shared" si="452"/>
        <v/>
      </c>
      <c r="T2381" s="13"/>
      <c r="U2381" s="13"/>
      <c r="V2381" s="12" t="str">
        <f t="shared" si="453"/>
        <v/>
      </c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/>
      <c r="AH2381" s="13"/>
      <c r="AI2381" s="12" t="str">
        <f t="shared" si="454"/>
        <v/>
      </c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/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</row>
    <row r="2382" spans="1:69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2" t="str">
        <f t="shared" si="451"/>
        <v/>
      </c>
      <c r="L2382" s="13"/>
      <c r="M2382" s="13"/>
      <c r="N2382" s="13"/>
      <c r="O2382" s="13"/>
      <c r="P2382" s="13"/>
      <c r="R2382" s="13"/>
      <c r="S2382" s="12" t="str">
        <f t="shared" si="452"/>
        <v/>
      </c>
      <c r="T2382" s="13"/>
      <c r="U2382" s="13"/>
      <c r="V2382" s="12" t="str">
        <f t="shared" si="453"/>
        <v/>
      </c>
      <c r="W2382" s="13"/>
      <c r="X2382" s="13"/>
      <c r="Y2382" s="13"/>
      <c r="Z2382" s="13"/>
      <c r="AA2382" s="13"/>
      <c r="AB2382" s="13"/>
      <c r="AC2382" s="13"/>
      <c r="AD2382" s="13"/>
      <c r="AE2382" s="13"/>
      <c r="AF2382" s="13"/>
      <c r="AG2382" s="13"/>
      <c r="AH2382" s="13"/>
      <c r="AI2382" s="12" t="str">
        <f t="shared" si="454"/>
        <v/>
      </c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</row>
    <row r="2383" spans="1:69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2" t="str">
        <f t="shared" si="451"/>
        <v/>
      </c>
      <c r="L2383" s="13"/>
      <c r="M2383" s="13"/>
      <c r="N2383" s="13"/>
      <c r="O2383" s="13"/>
      <c r="P2383" s="13"/>
      <c r="R2383" s="13"/>
      <c r="S2383" s="12" t="str">
        <f t="shared" si="452"/>
        <v/>
      </c>
      <c r="T2383" s="13"/>
      <c r="U2383" s="13"/>
      <c r="V2383" s="12" t="str">
        <f t="shared" si="453"/>
        <v/>
      </c>
      <c r="W2383" s="13"/>
      <c r="X2383" s="13"/>
      <c r="Y2383" s="13"/>
      <c r="Z2383" s="13"/>
      <c r="AA2383" s="13"/>
      <c r="AB2383" s="13"/>
      <c r="AC2383" s="13"/>
      <c r="AD2383" s="13"/>
      <c r="AE2383" s="13"/>
      <c r="AF2383" s="13"/>
      <c r="AG2383" s="13"/>
      <c r="AH2383" s="13"/>
      <c r="AI2383" s="12" t="str">
        <f t="shared" si="454"/>
        <v/>
      </c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O2383" s="13"/>
      <c r="BP2383" s="13"/>
      <c r="BQ2383" s="13"/>
    </row>
    <row r="2384" spans="1:69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2" t="str">
        <f t="shared" si="451"/>
        <v/>
      </c>
      <c r="L2384" s="13"/>
      <c r="M2384" s="13"/>
      <c r="N2384" s="13"/>
      <c r="O2384" s="13"/>
      <c r="P2384" s="13"/>
      <c r="R2384" s="13"/>
      <c r="S2384" s="12" t="str">
        <f t="shared" si="452"/>
        <v/>
      </c>
      <c r="T2384" s="13"/>
      <c r="U2384" s="13"/>
      <c r="V2384" s="12" t="str">
        <f t="shared" si="453"/>
        <v/>
      </c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/>
      <c r="AH2384" s="13"/>
      <c r="AI2384" s="12" t="str">
        <f t="shared" si="454"/>
        <v/>
      </c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</row>
    <row r="2385" spans="1:69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2" t="str">
        <f t="shared" si="451"/>
        <v/>
      </c>
      <c r="L2385" s="13"/>
      <c r="M2385" s="13"/>
      <c r="N2385" s="13"/>
      <c r="O2385" s="13"/>
      <c r="P2385" s="13"/>
      <c r="R2385" s="13"/>
      <c r="S2385" s="12" t="str">
        <f t="shared" si="452"/>
        <v/>
      </c>
      <c r="T2385" s="13"/>
      <c r="U2385" s="13"/>
      <c r="V2385" s="12" t="str">
        <f t="shared" si="453"/>
        <v/>
      </c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/>
      <c r="AH2385" s="13"/>
      <c r="AI2385" s="12" t="str">
        <f t="shared" si="454"/>
        <v/>
      </c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/>
      <c r="BB2385" s="13"/>
      <c r="BC2385" s="13"/>
      <c r="BD2385" s="13"/>
      <c r="BE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</row>
    <row r="2386" spans="1:69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2" t="str">
        <f t="shared" si="451"/>
        <v/>
      </c>
      <c r="L2386" s="13"/>
      <c r="M2386" s="13"/>
      <c r="N2386" s="13"/>
      <c r="O2386" s="13"/>
      <c r="P2386" s="13"/>
      <c r="R2386" s="13"/>
      <c r="S2386" s="12" t="str">
        <f t="shared" si="452"/>
        <v/>
      </c>
      <c r="T2386" s="13"/>
      <c r="U2386" s="13"/>
      <c r="V2386" s="12" t="str">
        <f t="shared" si="453"/>
        <v/>
      </c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/>
      <c r="AH2386" s="13"/>
      <c r="AI2386" s="12" t="str">
        <f t="shared" si="454"/>
        <v/>
      </c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</row>
    <row r="2387" spans="1:69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2" t="str">
        <f t="shared" si="451"/>
        <v/>
      </c>
      <c r="L2387" s="13"/>
      <c r="M2387" s="13"/>
      <c r="N2387" s="13"/>
      <c r="O2387" s="13"/>
      <c r="P2387" s="13"/>
      <c r="R2387" s="13"/>
      <c r="S2387" s="12" t="str">
        <f t="shared" si="452"/>
        <v/>
      </c>
      <c r="T2387" s="13"/>
      <c r="U2387" s="13"/>
      <c r="V2387" s="12" t="str">
        <f t="shared" si="453"/>
        <v/>
      </c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/>
      <c r="AH2387" s="13"/>
      <c r="AI2387" s="12" t="str">
        <f t="shared" si="454"/>
        <v/>
      </c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</row>
    <row r="2388" spans="1:69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2" t="str">
        <f t="shared" si="451"/>
        <v/>
      </c>
      <c r="L2388" s="13"/>
      <c r="M2388" s="13"/>
      <c r="N2388" s="13"/>
      <c r="O2388" s="13"/>
      <c r="P2388" s="13"/>
      <c r="R2388" s="13"/>
      <c r="S2388" s="12" t="str">
        <f t="shared" si="452"/>
        <v/>
      </c>
      <c r="T2388" s="13"/>
      <c r="U2388" s="13"/>
      <c r="V2388" s="12" t="str">
        <f t="shared" si="453"/>
        <v/>
      </c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/>
      <c r="AH2388" s="13"/>
      <c r="AI2388" s="12" t="str">
        <f t="shared" si="454"/>
        <v/>
      </c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/>
      <c r="AY2388" s="13"/>
      <c r="AZ2388" s="13"/>
      <c r="BA2388" s="13"/>
      <c r="BB2388" s="13"/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</row>
    <row r="2389" spans="1:69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2" t="str">
        <f t="shared" si="451"/>
        <v/>
      </c>
      <c r="L2389" s="13"/>
      <c r="M2389" s="13"/>
      <c r="N2389" s="13"/>
      <c r="O2389" s="13"/>
      <c r="P2389" s="13"/>
      <c r="R2389" s="13"/>
      <c r="S2389" s="12" t="str">
        <f t="shared" si="452"/>
        <v/>
      </c>
      <c r="T2389" s="13"/>
      <c r="U2389" s="13"/>
      <c r="V2389" s="12" t="str">
        <f t="shared" si="453"/>
        <v/>
      </c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/>
      <c r="AH2389" s="13"/>
      <c r="AI2389" s="12" t="str">
        <f t="shared" si="454"/>
        <v/>
      </c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/>
      <c r="AX2389" s="13"/>
      <c r="AY2389" s="13"/>
      <c r="AZ2389" s="13"/>
      <c r="BA2389" s="13"/>
      <c r="BB2389" s="13"/>
      <c r="BC2389" s="13"/>
      <c r="BD2389" s="13"/>
      <c r="BE2389" s="13"/>
      <c r="BF2389" s="13"/>
      <c r="BG2389" s="13"/>
      <c r="BH2389" s="13"/>
      <c r="BI2389" s="13"/>
      <c r="BJ2389" s="13"/>
      <c r="BK2389" s="13"/>
      <c r="BL2389" s="13"/>
      <c r="BM2389" s="13"/>
      <c r="BN2389" s="13"/>
      <c r="BO2389" s="13"/>
      <c r="BP2389" s="13"/>
      <c r="BQ2389" s="13"/>
    </row>
    <row r="2390" spans="1:69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2" t="str">
        <f t="shared" si="451"/>
        <v/>
      </c>
      <c r="L2390" s="13"/>
      <c r="M2390" s="13"/>
      <c r="N2390" s="13"/>
      <c r="O2390" s="13"/>
      <c r="P2390" s="13"/>
      <c r="R2390" s="13"/>
      <c r="S2390" s="12" t="str">
        <f t="shared" si="452"/>
        <v/>
      </c>
      <c r="T2390" s="13"/>
      <c r="U2390" s="13"/>
      <c r="V2390" s="12" t="str">
        <f t="shared" si="453"/>
        <v/>
      </c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/>
      <c r="AH2390" s="13"/>
      <c r="AI2390" s="12" t="str">
        <f t="shared" si="454"/>
        <v/>
      </c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</row>
    <row r="2391" spans="1:69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2" t="str">
        <f t="shared" si="451"/>
        <v/>
      </c>
      <c r="L2391" s="13"/>
      <c r="M2391" s="13"/>
      <c r="N2391" s="13"/>
      <c r="O2391" s="13"/>
      <c r="P2391" s="13"/>
      <c r="R2391" s="13"/>
      <c r="S2391" s="12" t="str">
        <f t="shared" si="452"/>
        <v/>
      </c>
      <c r="T2391" s="13"/>
      <c r="U2391" s="13"/>
      <c r="V2391" s="12" t="str">
        <f t="shared" si="453"/>
        <v/>
      </c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  <c r="AH2391" s="13"/>
      <c r="AI2391" s="12" t="str">
        <f t="shared" si="454"/>
        <v/>
      </c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/>
      <c r="BB2391" s="13"/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</row>
    <row r="2392" spans="1:69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2" t="str">
        <f t="shared" si="451"/>
        <v/>
      </c>
      <c r="L2392" s="13"/>
      <c r="M2392" s="13"/>
      <c r="N2392" s="13"/>
      <c r="O2392" s="13"/>
      <c r="P2392" s="13"/>
      <c r="R2392" s="13"/>
      <c r="S2392" s="12" t="str">
        <f t="shared" si="452"/>
        <v/>
      </c>
      <c r="T2392" s="13"/>
      <c r="U2392" s="13"/>
      <c r="V2392" s="12" t="str">
        <f t="shared" si="453"/>
        <v/>
      </c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/>
      <c r="AH2392" s="13"/>
      <c r="AI2392" s="12" t="str">
        <f t="shared" si="454"/>
        <v/>
      </c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/>
      <c r="AY2392" s="13"/>
      <c r="AZ2392" s="13"/>
      <c r="BA2392" s="13"/>
      <c r="BB2392" s="13"/>
      <c r="BC2392" s="13"/>
      <c r="BD2392" s="13"/>
      <c r="BE2392" s="13"/>
      <c r="BF2392" s="13"/>
      <c r="BG2392" s="13"/>
      <c r="BH2392" s="13"/>
      <c r="BI2392" s="13"/>
      <c r="BJ2392" s="13"/>
      <c r="BK2392" s="13"/>
      <c r="BL2392" s="13"/>
      <c r="BM2392" s="13"/>
      <c r="BN2392" s="13"/>
      <c r="BO2392" s="13"/>
      <c r="BP2392" s="13"/>
      <c r="BQ2392" s="13"/>
    </row>
    <row r="2393" spans="1:69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2" t="str">
        <f t="shared" si="451"/>
        <v/>
      </c>
      <c r="L2393" s="13"/>
      <c r="M2393" s="13"/>
      <c r="N2393" s="13"/>
      <c r="O2393" s="13"/>
      <c r="P2393" s="13"/>
      <c r="R2393" s="13"/>
      <c r="S2393" s="12" t="str">
        <f t="shared" si="452"/>
        <v/>
      </c>
      <c r="T2393" s="13"/>
      <c r="U2393" s="13"/>
      <c r="V2393" s="12" t="str">
        <f t="shared" si="453"/>
        <v/>
      </c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2" t="str">
        <f t="shared" si="454"/>
        <v/>
      </c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</row>
    <row r="2394" spans="1:69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2" t="str">
        <f t="shared" si="451"/>
        <v/>
      </c>
      <c r="L2394" s="13"/>
      <c r="M2394" s="13"/>
      <c r="N2394" s="13"/>
      <c r="O2394" s="13"/>
      <c r="P2394" s="13"/>
      <c r="R2394" s="13"/>
      <c r="S2394" s="12" t="str">
        <f t="shared" si="452"/>
        <v/>
      </c>
      <c r="T2394" s="13"/>
      <c r="U2394" s="13"/>
      <c r="V2394" s="12" t="str">
        <f t="shared" si="453"/>
        <v/>
      </c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/>
      <c r="AH2394" s="13"/>
      <c r="AI2394" s="12" t="str">
        <f t="shared" si="454"/>
        <v/>
      </c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/>
      <c r="AY2394" s="13"/>
      <c r="AZ2394" s="13"/>
      <c r="BA2394" s="13"/>
      <c r="BB2394" s="13"/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</row>
    <row r="2395" spans="1:69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2" t="str">
        <f t="shared" si="451"/>
        <v/>
      </c>
      <c r="L2395" s="13"/>
      <c r="M2395" s="13"/>
      <c r="N2395" s="13"/>
      <c r="O2395" s="13"/>
      <c r="P2395" s="13"/>
      <c r="R2395" s="13"/>
      <c r="S2395" s="12" t="str">
        <f t="shared" si="452"/>
        <v/>
      </c>
      <c r="T2395" s="13"/>
      <c r="U2395" s="13"/>
      <c r="V2395" s="12" t="str">
        <f t="shared" si="453"/>
        <v/>
      </c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/>
      <c r="AH2395" s="13"/>
      <c r="AI2395" s="12" t="str">
        <f t="shared" si="454"/>
        <v/>
      </c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</row>
    <row r="2396" spans="1:69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2" t="str">
        <f t="shared" si="451"/>
        <v/>
      </c>
      <c r="L2396" s="13"/>
      <c r="M2396" s="13"/>
      <c r="N2396" s="13"/>
      <c r="O2396" s="13"/>
      <c r="P2396" s="13"/>
      <c r="R2396" s="13"/>
      <c r="S2396" s="12" t="str">
        <f t="shared" si="452"/>
        <v/>
      </c>
      <c r="T2396" s="13"/>
      <c r="U2396" s="13"/>
      <c r="V2396" s="12" t="str">
        <f t="shared" si="453"/>
        <v/>
      </c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  <c r="AG2396" s="13"/>
      <c r="AH2396" s="13"/>
      <c r="AI2396" s="12" t="str">
        <f t="shared" si="454"/>
        <v/>
      </c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</row>
    <row r="2397" spans="1:69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2" t="str">
        <f t="shared" si="451"/>
        <v/>
      </c>
      <c r="L2397" s="13"/>
      <c r="M2397" s="13"/>
      <c r="N2397" s="13"/>
      <c r="O2397" s="13"/>
      <c r="P2397" s="13"/>
      <c r="R2397" s="13"/>
      <c r="S2397" s="12" t="str">
        <f t="shared" si="452"/>
        <v/>
      </c>
      <c r="T2397" s="13"/>
      <c r="U2397" s="13"/>
      <c r="V2397" s="12" t="str">
        <f t="shared" si="453"/>
        <v/>
      </c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  <c r="AG2397" s="13"/>
      <c r="AH2397" s="13"/>
      <c r="AI2397" s="12" t="str">
        <f t="shared" si="454"/>
        <v/>
      </c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</row>
    <row r="2398" spans="1:69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2" t="str">
        <f t="shared" si="451"/>
        <v/>
      </c>
      <c r="L2398" s="13"/>
      <c r="M2398" s="13"/>
      <c r="N2398" s="13"/>
      <c r="O2398" s="13"/>
      <c r="P2398" s="13"/>
      <c r="R2398" s="13"/>
      <c r="S2398" s="12" t="str">
        <f t="shared" si="452"/>
        <v/>
      </c>
      <c r="T2398" s="13"/>
      <c r="U2398" s="13"/>
      <c r="V2398" s="12" t="str">
        <f t="shared" si="453"/>
        <v/>
      </c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2" t="str">
        <f t="shared" si="454"/>
        <v/>
      </c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</row>
    <row r="2399" spans="1:69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2" t="str">
        <f t="shared" si="451"/>
        <v/>
      </c>
      <c r="L2399" s="13"/>
      <c r="M2399" s="13"/>
      <c r="N2399" s="13"/>
      <c r="O2399" s="13"/>
      <c r="P2399" s="13"/>
      <c r="R2399" s="13"/>
      <c r="S2399" s="12" t="str">
        <f t="shared" si="452"/>
        <v/>
      </c>
      <c r="T2399" s="13"/>
      <c r="U2399" s="13"/>
      <c r="V2399" s="12" t="str">
        <f t="shared" si="453"/>
        <v/>
      </c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/>
      <c r="AH2399" s="13"/>
      <c r="AI2399" s="12" t="str">
        <f t="shared" si="454"/>
        <v/>
      </c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</row>
    <row r="2400" spans="1:69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2" t="str">
        <f t="shared" si="451"/>
        <v/>
      </c>
      <c r="L2400" s="13"/>
      <c r="M2400" s="13"/>
      <c r="N2400" s="13"/>
      <c r="O2400" s="13"/>
      <c r="P2400" s="13"/>
      <c r="R2400" s="13"/>
      <c r="S2400" s="12" t="str">
        <f t="shared" si="452"/>
        <v/>
      </c>
      <c r="T2400" s="13"/>
      <c r="U2400" s="13"/>
      <c r="V2400" s="12" t="str">
        <f t="shared" si="453"/>
        <v/>
      </c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/>
      <c r="AH2400" s="13"/>
      <c r="AI2400" s="12" t="str">
        <f t="shared" si="454"/>
        <v/>
      </c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</row>
    <row r="2401" spans="1:69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2" t="str">
        <f t="shared" si="451"/>
        <v/>
      </c>
      <c r="L2401" s="13"/>
      <c r="M2401" s="13"/>
      <c r="N2401" s="13"/>
      <c r="O2401" s="13"/>
      <c r="P2401" s="13"/>
      <c r="R2401" s="13"/>
      <c r="S2401" s="12" t="str">
        <f t="shared" si="452"/>
        <v/>
      </c>
      <c r="T2401" s="13"/>
      <c r="U2401" s="13"/>
      <c r="V2401" s="12" t="str">
        <f t="shared" si="453"/>
        <v/>
      </c>
      <c r="W2401" s="13"/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/>
      <c r="AH2401" s="13"/>
      <c r="AI2401" s="12" t="str">
        <f t="shared" si="454"/>
        <v/>
      </c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/>
      <c r="BC2401" s="13"/>
      <c r="BD2401" s="13"/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</row>
    <row r="2402" spans="1:69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2" t="str">
        <f t="shared" si="451"/>
        <v/>
      </c>
      <c r="L2402" s="13"/>
      <c r="M2402" s="13"/>
      <c r="N2402" s="13"/>
      <c r="O2402" s="13"/>
      <c r="P2402" s="13"/>
      <c r="R2402" s="13"/>
      <c r="S2402" s="12" t="str">
        <f t="shared" si="452"/>
        <v/>
      </c>
      <c r="T2402" s="13"/>
      <c r="U2402" s="13"/>
      <c r="V2402" s="12" t="str">
        <f t="shared" si="453"/>
        <v/>
      </c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/>
      <c r="AH2402" s="13"/>
      <c r="AI2402" s="12" t="str">
        <f t="shared" si="454"/>
        <v/>
      </c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</row>
    <row r="2403" spans="1:69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2" t="str">
        <f t="shared" si="451"/>
        <v/>
      </c>
      <c r="L2403" s="13"/>
      <c r="M2403" s="13"/>
      <c r="N2403" s="13"/>
      <c r="O2403" s="13"/>
      <c r="P2403" s="13"/>
      <c r="R2403" s="13"/>
      <c r="S2403" s="12" t="str">
        <f t="shared" si="452"/>
        <v/>
      </c>
      <c r="T2403" s="13"/>
      <c r="U2403" s="13"/>
      <c r="V2403" s="12" t="str">
        <f t="shared" si="453"/>
        <v/>
      </c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/>
      <c r="AH2403" s="13"/>
      <c r="AI2403" s="12" t="str">
        <f t="shared" si="454"/>
        <v/>
      </c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/>
      <c r="BB2403" s="13"/>
      <c r="BC2403" s="13"/>
      <c r="BD2403" s="13"/>
      <c r="BE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</row>
    <row r="2404" spans="1:69">
      <c r="A2404" s="13"/>
      <c r="B2404" s="13"/>
      <c r="C2404" s="13"/>
      <c r="D2404" s="13"/>
      <c r="E2404" s="13"/>
      <c r="F2404" s="12"/>
      <c r="I2404" s="13"/>
      <c r="J2404" s="13"/>
      <c r="K2404" s="12" t="str">
        <f t="shared" si="451"/>
        <v/>
      </c>
      <c r="L2404" s="13"/>
      <c r="M2404" s="13"/>
      <c r="N2404" s="13"/>
      <c r="O2404" s="13"/>
      <c r="P2404" s="13"/>
      <c r="R2404" s="13"/>
      <c r="S2404" s="12" t="str">
        <f t="shared" si="452"/>
        <v/>
      </c>
      <c r="T2404" s="13"/>
      <c r="U2404" s="13"/>
      <c r="V2404" s="12" t="str">
        <f t="shared" si="453"/>
        <v/>
      </c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/>
      <c r="AH2404" s="13"/>
      <c r="AI2404" s="12" t="str">
        <f t="shared" si="454"/>
        <v/>
      </c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</row>
    <row r="2405" spans="1:69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2" t="str">
        <f t="shared" si="451"/>
        <v/>
      </c>
      <c r="L2405" s="13"/>
      <c r="M2405" s="13"/>
      <c r="N2405" s="13"/>
      <c r="O2405" s="13"/>
      <c r="P2405" s="13"/>
      <c r="R2405" s="13"/>
      <c r="S2405" s="12" t="str">
        <f t="shared" si="452"/>
        <v/>
      </c>
      <c r="T2405" s="13"/>
      <c r="U2405" s="13"/>
      <c r="V2405" s="12" t="str">
        <f t="shared" si="453"/>
        <v/>
      </c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/>
      <c r="AH2405" s="13"/>
      <c r="AI2405" s="12" t="str">
        <f t="shared" si="454"/>
        <v/>
      </c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/>
      <c r="BC2405" s="13"/>
      <c r="BD2405" s="13"/>
      <c r="BE2405" s="13"/>
      <c r="BF2405" s="13"/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</row>
    <row r="2406" spans="1:69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2" t="str">
        <f t="shared" si="451"/>
        <v/>
      </c>
      <c r="L2406" s="13"/>
      <c r="M2406" s="13"/>
      <c r="N2406" s="13"/>
      <c r="O2406" s="13"/>
      <c r="P2406" s="13"/>
      <c r="R2406" s="13"/>
      <c r="S2406" s="12" t="str">
        <f t="shared" si="452"/>
        <v/>
      </c>
      <c r="T2406" s="13"/>
      <c r="U2406" s="13"/>
      <c r="V2406" s="12" t="str">
        <f t="shared" si="453"/>
        <v/>
      </c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/>
      <c r="AH2406" s="13"/>
      <c r="AI2406" s="12" t="str">
        <f t="shared" si="454"/>
        <v/>
      </c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</row>
    <row r="2407" spans="1:69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2" t="str">
        <f t="shared" si="451"/>
        <v/>
      </c>
      <c r="L2407" s="13"/>
      <c r="M2407" s="13"/>
      <c r="N2407" s="13"/>
      <c r="O2407" s="13"/>
      <c r="P2407" s="13"/>
      <c r="R2407" s="13"/>
      <c r="S2407" s="12" t="str">
        <f t="shared" si="452"/>
        <v/>
      </c>
      <c r="T2407" s="13"/>
      <c r="U2407" s="13"/>
      <c r="V2407" s="12" t="str">
        <f t="shared" si="453"/>
        <v/>
      </c>
      <c r="W2407" s="13"/>
      <c r="X2407" s="13"/>
      <c r="Y2407" s="13"/>
      <c r="Z2407" s="13"/>
      <c r="AA2407" s="13"/>
      <c r="AB2407" s="13"/>
      <c r="AC2407" s="13"/>
      <c r="AD2407" s="13"/>
      <c r="AE2407" s="13"/>
      <c r="AF2407" s="13"/>
      <c r="AG2407" s="13"/>
      <c r="AH2407" s="13"/>
      <c r="AI2407" s="12" t="str">
        <f t="shared" si="454"/>
        <v/>
      </c>
      <c r="AJ2407" s="13"/>
      <c r="AK2407" s="13"/>
      <c r="AL2407" s="13"/>
      <c r="AM2407" s="13"/>
      <c r="AN2407" s="13"/>
      <c r="AO2407" s="13"/>
      <c r="AP2407" s="13"/>
      <c r="AQ2407" s="13"/>
      <c r="AR2407" s="13"/>
      <c r="AS2407" s="13"/>
      <c r="AT2407" s="13"/>
      <c r="AU2407" s="13"/>
      <c r="AV2407" s="13"/>
      <c r="AW2407" s="13"/>
      <c r="AX2407" s="13"/>
      <c r="AY2407" s="13"/>
      <c r="AZ2407" s="13"/>
      <c r="BA2407" s="13"/>
      <c r="BB2407" s="13"/>
      <c r="BC2407" s="13"/>
      <c r="BD2407" s="13"/>
      <c r="BE2407" s="13"/>
      <c r="BF2407" s="13"/>
      <c r="BG2407" s="13"/>
      <c r="BH2407" s="13"/>
      <c r="BI2407" s="13"/>
      <c r="BJ2407" s="13"/>
      <c r="BK2407" s="13"/>
      <c r="BL2407" s="13"/>
      <c r="BM2407" s="13"/>
      <c r="BN2407" s="13"/>
      <c r="BO2407" s="13"/>
      <c r="BP2407" s="13"/>
      <c r="BQ2407" s="13"/>
    </row>
    <row r="2408" spans="1:69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2" t="str">
        <f t="shared" si="451"/>
        <v/>
      </c>
      <c r="L2408" s="13"/>
      <c r="M2408" s="13"/>
      <c r="N2408" s="13"/>
      <c r="O2408" s="13"/>
      <c r="P2408" s="13"/>
      <c r="R2408" s="13"/>
      <c r="S2408" s="12" t="str">
        <f t="shared" si="452"/>
        <v/>
      </c>
      <c r="T2408" s="13"/>
      <c r="U2408" s="13"/>
      <c r="V2408" s="12" t="str">
        <f t="shared" si="453"/>
        <v/>
      </c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  <c r="AG2408" s="13"/>
      <c r="AH2408" s="13"/>
      <c r="AI2408" s="12" t="str">
        <f t="shared" si="454"/>
        <v/>
      </c>
      <c r="AJ2408" s="13"/>
      <c r="AK2408" s="13"/>
      <c r="AL2408" s="13"/>
      <c r="AM2408" s="13"/>
      <c r="AN2408" s="13"/>
      <c r="AO2408" s="13"/>
      <c r="AP2408" s="13"/>
      <c r="AQ2408" s="13"/>
      <c r="AR2408" s="13"/>
      <c r="AS2408" s="13"/>
      <c r="AT2408" s="13"/>
      <c r="AU2408" s="13"/>
      <c r="AV2408" s="13"/>
      <c r="AW2408" s="13"/>
      <c r="AX2408" s="13"/>
      <c r="AY2408" s="13"/>
      <c r="AZ2408" s="13"/>
      <c r="BA2408" s="13"/>
      <c r="BB2408" s="13"/>
      <c r="BC2408" s="13"/>
      <c r="BD2408" s="13"/>
      <c r="BE2408" s="13"/>
      <c r="BF2408" s="13"/>
      <c r="BG2408" s="13"/>
      <c r="BH2408" s="13"/>
      <c r="BI2408" s="13"/>
      <c r="BJ2408" s="13"/>
      <c r="BK2408" s="13"/>
      <c r="BL2408" s="13"/>
      <c r="BM2408" s="13"/>
      <c r="BN2408" s="13"/>
      <c r="BO2408" s="13"/>
      <c r="BP2408" s="13"/>
      <c r="BQ2408" s="13"/>
    </row>
    <row r="2409" spans="1:69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2" t="str">
        <f t="shared" si="451"/>
        <v/>
      </c>
      <c r="L2409" s="13"/>
      <c r="M2409" s="13"/>
      <c r="N2409" s="13"/>
      <c r="O2409" s="13"/>
      <c r="P2409" s="13"/>
      <c r="R2409" s="13"/>
      <c r="S2409" s="12" t="str">
        <f t="shared" si="452"/>
        <v/>
      </c>
      <c r="T2409" s="13"/>
      <c r="U2409" s="13"/>
      <c r="V2409" s="12" t="str">
        <f t="shared" si="453"/>
        <v/>
      </c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2" t="str">
        <f t="shared" si="454"/>
        <v/>
      </c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/>
      <c r="BC2409" s="13"/>
      <c r="BD2409" s="13"/>
      <c r="BE2409" s="13"/>
      <c r="BF2409" s="13"/>
      <c r="BG2409" s="13"/>
      <c r="BH2409" s="13"/>
      <c r="BI2409" s="13"/>
      <c r="BJ2409" s="13"/>
      <c r="BK2409" s="13"/>
      <c r="BL2409" s="13"/>
      <c r="BM2409" s="13"/>
      <c r="BN2409" s="13"/>
      <c r="BO2409" s="13"/>
      <c r="BP2409" s="13"/>
      <c r="BQ2409" s="13"/>
    </row>
    <row r="2410" spans="1:69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2" t="str">
        <f t="shared" si="451"/>
        <v/>
      </c>
      <c r="L2410" s="13"/>
      <c r="M2410" s="13"/>
      <c r="N2410" s="13"/>
      <c r="O2410" s="13"/>
      <c r="P2410" s="13"/>
      <c r="R2410" s="13"/>
      <c r="S2410" s="12" t="str">
        <f t="shared" si="452"/>
        <v/>
      </c>
      <c r="T2410" s="13"/>
      <c r="U2410" s="13"/>
      <c r="V2410" s="12" t="str">
        <f t="shared" si="453"/>
        <v/>
      </c>
      <c r="W2410" s="13"/>
      <c r="X2410" s="13"/>
      <c r="Y2410" s="13"/>
      <c r="Z2410" s="13"/>
      <c r="AA2410" s="13"/>
      <c r="AB2410" s="13"/>
      <c r="AC2410" s="13"/>
      <c r="AD2410" s="13"/>
      <c r="AE2410" s="13"/>
      <c r="AF2410" s="13"/>
      <c r="AG2410" s="13"/>
      <c r="AH2410" s="13"/>
      <c r="AI2410" s="12" t="str">
        <f t="shared" si="454"/>
        <v/>
      </c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/>
      <c r="AY2410" s="13"/>
      <c r="AZ2410" s="13"/>
      <c r="BA2410" s="13"/>
      <c r="BB2410" s="13"/>
      <c r="BC2410" s="13"/>
      <c r="BD2410" s="13"/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</row>
    <row r="2411" spans="1:69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2" t="str">
        <f t="shared" si="451"/>
        <v/>
      </c>
      <c r="L2411" s="13"/>
      <c r="M2411" s="13"/>
      <c r="N2411" s="13"/>
      <c r="O2411" s="13"/>
      <c r="P2411" s="13"/>
      <c r="R2411" s="13"/>
      <c r="S2411" s="12" t="str">
        <f t="shared" si="452"/>
        <v/>
      </c>
      <c r="T2411" s="13"/>
      <c r="U2411" s="13"/>
      <c r="V2411" s="12" t="str">
        <f t="shared" si="453"/>
        <v/>
      </c>
      <c r="W2411" s="13"/>
      <c r="X2411" s="13"/>
      <c r="Y2411" s="13"/>
      <c r="Z2411" s="13"/>
      <c r="AA2411" s="13"/>
      <c r="AB2411" s="13"/>
      <c r="AC2411" s="13"/>
      <c r="AD2411" s="13"/>
      <c r="AE2411" s="13"/>
      <c r="AF2411" s="13"/>
      <c r="AG2411" s="13"/>
      <c r="AH2411" s="13"/>
      <c r="AI2411" s="12" t="str">
        <f t="shared" si="454"/>
        <v/>
      </c>
      <c r="AJ2411" s="13"/>
      <c r="AK2411" s="13"/>
      <c r="AL2411" s="13"/>
      <c r="AM2411" s="13"/>
      <c r="AN2411" s="13"/>
      <c r="AO2411" s="13"/>
      <c r="AP2411" s="13"/>
      <c r="AQ2411" s="13"/>
      <c r="AR2411" s="13"/>
      <c r="AS2411" s="13"/>
      <c r="AT2411" s="13"/>
      <c r="AU2411" s="13"/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O2411" s="13"/>
      <c r="BP2411" s="13"/>
      <c r="BQ2411" s="13"/>
    </row>
    <row r="2412" spans="1:69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2" t="str">
        <f t="shared" si="451"/>
        <v/>
      </c>
      <c r="L2412" s="13"/>
      <c r="M2412" s="13"/>
      <c r="N2412" s="13"/>
      <c r="O2412" s="13"/>
      <c r="P2412" s="13"/>
      <c r="R2412" s="13"/>
      <c r="S2412" s="12" t="str">
        <f t="shared" si="452"/>
        <v/>
      </c>
      <c r="T2412" s="13"/>
      <c r="U2412" s="13"/>
      <c r="V2412" s="12" t="str">
        <f t="shared" si="453"/>
        <v/>
      </c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  <c r="AG2412" s="13"/>
      <c r="AH2412" s="13"/>
      <c r="AI2412" s="12" t="str">
        <f t="shared" si="454"/>
        <v/>
      </c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</row>
    <row r="2413" spans="1:69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2" t="str">
        <f t="shared" si="451"/>
        <v/>
      </c>
      <c r="L2413" s="13"/>
      <c r="M2413" s="13"/>
      <c r="N2413" s="13"/>
      <c r="O2413" s="13"/>
      <c r="P2413" s="13"/>
      <c r="R2413" s="13"/>
      <c r="S2413" s="12" t="str">
        <f t="shared" si="452"/>
        <v/>
      </c>
      <c r="T2413" s="13"/>
      <c r="U2413" s="13"/>
      <c r="V2413" s="12" t="str">
        <f t="shared" si="453"/>
        <v/>
      </c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/>
      <c r="AH2413" s="13"/>
      <c r="AI2413" s="12" t="str">
        <f t="shared" si="454"/>
        <v/>
      </c>
      <c r="AJ2413" s="13"/>
      <c r="AK2413" s="13"/>
      <c r="AL2413" s="13"/>
      <c r="AM2413" s="13"/>
      <c r="AN2413" s="13"/>
      <c r="AO2413" s="13"/>
      <c r="AP2413" s="13"/>
      <c r="AQ2413" s="13"/>
      <c r="AR2413" s="13"/>
      <c r="AS2413" s="13"/>
      <c r="AT2413" s="13"/>
      <c r="AU2413" s="13"/>
      <c r="AV2413" s="13"/>
      <c r="AW2413" s="13"/>
      <c r="AX2413" s="13"/>
      <c r="AY2413" s="13"/>
      <c r="AZ2413" s="13"/>
      <c r="BA2413" s="13"/>
      <c r="BB2413" s="13"/>
      <c r="BC2413" s="13"/>
      <c r="BD2413" s="13"/>
      <c r="BE2413" s="13"/>
      <c r="BF2413" s="13"/>
      <c r="BG2413" s="13"/>
      <c r="BH2413" s="13"/>
      <c r="BI2413" s="13"/>
      <c r="BJ2413" s="13"/>
      <c r="BK2413" s="13"/>
      <c r="BL2413" s="13"/>
      <c r="BM2413" s="13"/>
      <c r="BN2413" s="13"/>
      <c r="BO2413" s="13"/>
      <c r="BP2413" s="13"/>
      <c r="BQ2413" s="13"/>
    </row>
    <row r="2414" spans="1:69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2" t="str">
        <f t="shared" si="451"/>
        <v/>
      </c>
      <c r="L2414" s="13"/>
      <c r="M2414" s="13"/>
      <c r="N2414" s="13"/>
      <c r="O2414" s="13"/>
      <c r="P2414" s="13"/>
      <c r="R2414" s="13"/>
      <c r="S2414" s="12" t="str">
        <f t="shared" si="452"/>
        <v/>
      </c>
      <c r="T2414" s="13"/>
      <c r="U2414" s="13"/>
      <c r="V2414" s="12" t="str">
        <f t="shared" si="453"/>
        <v/>
      </c>
      <c r="W2414" s="13"/>
      <c r="X2414" s="13"/>
      <c r="Y2414" s="13"/>
      <c r="Z2414" s="13"/>
      <c r="AA2414" s="13"/>
      <c r="AB2414" s="13"/>
      <c r="AC2414" s="13"/>
      <c r="AD2414" s="13"/>
      <c r="AE2414" s="13"/>
      <c r="AF2414" s="13"/>
      <c r="AG2414" s="13"/>
      <c r="AH2414" s="13"/>
      <c r="AI2414" s="12" t="str">
        <f t="shared" si="454"/>
        <v/>
      </c>
      <c r="AJ2414" s="13"/>
      <c r="AK2414" s="13"/>
      <c r="AL2414" s="13"/>
      <c r="AM2414" s="13"/>
      <c r="AN2414" s="13"/>
      <c r="AO2414" s="13"/>
      <c r="AP2414" s="13"/>
      <c r="AQ2414" s="13"/>
      <c r="AR2414" s="13"/>
      <c r="AS2414" s="13"/>
      <c r="AT2414" s="13"/>
      <c r="AU2414" s="13"/>
      <c r="AV2414" s="13"/>
      <c r="AW2414" s="13"/>
      <c r="AX2414" s="13"/>
      <c r="AY2414" s="13"/>
      <c r="AZ2414" s="13"/>
      <c r="BA2414" s="13"/>
      <c r="BB2414" s="13"/>
      <c r="BC2414" s="13"/>
      <c r="BD2414" s="13"/>
      <c r="BE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O2414" s="13"/>
      <c r="BP2414" s="13"/>
      <c r="BQ2414" s="13"/>
    </row>
    <row r="2415" spans="1:69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2" t="str">
        <f t="shared" ref="K2415:K2478" si="455">RIGHT(J2415,4)</f>
        <v/>
      </c>
      <c r="L2415" s="13"/>
      <c r="M2415" s="13"/>
      <c r="N2415" s="13"/>
      <c r="O2415" s="13"/>
      <c r="P2415" s="13"/>
      <c r="R2415" s="13"/>
      <c r="S2415" s="12" t="str">
        <f t="shared" ref="S2415:S2475" si="456">RIGHT(R2415,4)</f>
        <v/>
      </c>
      <c r="T2415" s="13"/>
      <c r="U2415" s="13"/>
      <c r="V2415" s="12" t="str">
        <f t="shared" ref="V2415:V2473" si="457">RIGHT(U2415,4)</f>
        <v/>
      </c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/>
      <c r="AH2415" s="13"/>
      <c r="AI2415" s="12" t="str">
        <f t="shared" ref="AI2415:AI2473" si="458">RIGHT(AH2415,4)</f>
        <v/>
      </c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</row>
    <row r="2416" spans="1:69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2" t="str">
        <f t="shared" si="455"/>
        <v/>
      </c>
      <c r="L2416" s="13"/>
      <c r="M2416" s="13"/>
      <c r="N2416" s="13"/>
      <c r="O2416" s="13"/>
      <c r="P2416" s="13"/>
      <c r="R2416" s="13"/>
      <c r="S2416" s="12" t="str">
        <f t="shared" si="456"/>
        <v/>
      </c>
      <c r="T2416" s="13"/>
      <c r="U2416" s="13"/>
      <c r="V2416" s="12" t="str">
        <f t="shared" si="457"/>
        <v/>
      </c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/>
      <c r="AH2416" s="13"/>
      <c r="AI2416" s="12" t="str">
        <f t="shared" si="458"/>
        <v/>
      </c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</row>
    <row r="2417" spans="1:69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2" t="str">
        <f t="shared" si="455"/>
        <v/>
      </c>
      <c r="L2417" s="13"/>
      <c r="M2417" s="13"/>
      <c r="N2417" s="13"/>
      <c r="O2417" s="13"/>
      <c r="P2417" s="13"/>
      <c r="R2417" s="13"/>
      <c r="S2417" s="12" t="str">
        <f t="shared" si="456"/>
        <v/>
      </c>
      <c r="T2417" s="13"/>
      <c r="U2417" s="13"/>
      <c r="V2417" s="12" t="str">
        <f t="shared" si="457"/>
        <v/>
      </c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  <c r="AG2417" s="13"/>
      <c r="AH2417" s="13"/>
      <c r="AI2417" s="12" t="str">
        <f t="shared" si="458"/>
        <v/>
      </c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</row>
    <row r="2418" spans="1:69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2" t="str">
        <f t="shared" si="455"/>
        <v/>
      </c>
      <c r="L2418" s="13"/>
      <c r="M2418" s="13"/>
      <c r="N2418" s="13"/>
      <c r="O2418" s="13"/>
      <c r="P2418" s="13"/>
      <c r="R2418" s="13"/>
      <c r="S2418" s="12" t="str">
        <f t="shared" si="456"/>
        <v/>
      </c>
      <c r="T2418" s="13"/>
      <c r="U2418" s="13"/>
      <c r="V2418" s="12" t="str">
        <f t="shared" si="457"/>
        <v/>
      </c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/>
      <c r="AH2418" s="13"/>
      <c r="AI2418" s="12" t="str">
        <f t="shared" si="458"/>
        <v/>
      </c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</row>
    <row r="2419" spans="1:69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2" t="str">
        <f t="shared" si="455"/>
        <v/>
      </c>
      <c r="L2419" s="13"/>
      <c r="M2419" s="13"/>
      <c r="N2419" s="13"/>
      <c r="O2419" s="13"/>
      <c r="P2419" s="13"/>
      <c r="R2419" s="13"/>
      <c r="S2419" s="12" t="str">
        <f t="shared" si="456"/>
        <v/>
      </c>
      <c r="T2419" s="13"/>
      <c r="U2419" s="13"/>
      <c r="V2419" s="12" t="str">
        <f t="shared" si="457"/>
        <v/>
      </c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/>
      <c r="AH2419" s="13"/>
      <c r="AI2419" s="12" t="str">
        <f t="shared" si="458"/>
        <v/>
      </c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</row>
    <row r="2420" spans="1:69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2" t="str">
        <f t="shared" si="455"/>
        <v/>
      </c>
      <c r="L2420" s="13"/>
      <c r="M2420" s="13"/>
      <c r="N2420" s="13"/>
      <c r="O2420" s="13"/>
      <c r="P2420" s="13"/>
      <c r="R2420" s="13"/>
      <c r="S2420" s="12" t="str">
        <f t="shared" si="456"/>
        <v/>
      </c>
      <c r="T2420" s="13"/>
      <c r="U2420" s="13"/>
      <c r="V2420" s="12" t="str">
        <f t="shared" si="457"/>
        <v/>
      </c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/>
      <c r="AH2420" s="13"/>
      <c r="AI2420" s="12" t="str">
        <f t="shared" si="458"/>
        <v/>
      </c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</row>
    <row r="2421" spans="1:69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2" t="str">
        <f t="shared" si="455"/>
        <v/>
      </c>
      <c r="L2421" s="13"/>
      <c r="M2421" s="13"/>
      <c r="N2421" s="13"/>
      <c r="O2421" s="13"/>
      <c r="P2421" s="13"/>
      <c r="R2421" s="13"/>
      <c r="S2421" s="12" t="str">
        <f t="shared" si="456"/>
        <v/>
      </c>
      <c r="T2421" s="13"/>
      <c r="U2421" s="13"/>
      <c r="V2421" s="12" t="str">
        <f t="shared" si="457"/>
        <v/>
      </c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/>
      <c r="AH2421" s="13"/>
      <c r="AI2421" s="12" t="str">
        <f t="shared" si="458"/>
        <v/>
      </c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</row>
    <row r="2422" spans="1:69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2" t="str">
        <f t="shared" si="455"/>
        <v/>
      </c>
      <c r="L2422" s="13"/>
      <c r="M2422" s="13"/>
      <c r="N2422" s="13"/>
      <c r="O2422" s="13"/>
      <c r="P2422" s="13"/>
      <c r="R2422" s="13"/>
      <c r="S2422" s="12" t="str">
        <f t="shared" si="456"/>
        <v/>
      </c>
      <c r="T2422" s="13"/>
      <c r="U2422" s="13"/>
      <c r="V2422" s="12" t="str">
        <f t="shared" si="457"/>
        <v/>
      </c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/>
      <c r="AH2422" s="13"/>
      <c r="AI2422" s="12" t="str">
        <f t="shared" si="458"/>
        <v/>
      </c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/>
      <c r="BB2422" s="13"/>
      <c r="BC2422" s="13"/>
      <c r="BD2422" s="13"/>
      <c r="BE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</row>
    <row r="2423" spans="1:69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2" t="str">
        <f t="shared" si="455"/>
        <v/>
      </c>
      <c r="L2423" s="13"/>
      <c r="M2423" s="13"/>
      <c r="N2423" s="13"/>
      <c r="O2423" s="13"/>
      <c r="P2423" s="13"/>
      <c r="R2423" s="13"/>
      <c r="S2423" s="12" t="str">
        <f t="shared" si="456"/>
        <v/>
      </c>
      <c r="T2423" s="13"/>
      <c r="U2423" s="13"/>
      <c r="V2423" s="12" t="str">
        <f t="shared" si="457"/>
        <v/>
      </c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/>
      <c r="AH2423" s="13"/>
      <c r="AI2423" s="12" t="str">
        <f t="shared" si="458"/>
        <v/>
      </c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</row>
    <row r="2424" spans="1:69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2" t="str">
        <f t="shared" si="455"/>
        <v/>
      </c>
      <c r="L2424" s="13"/>
      <c r="M2424" s="13"/>
      <c r="N2424" s="13"/>
      <c r="O2424" s="13"/>
      <c r="P2424" s="13"/>
      <c r="R2424" s="13"/>
      <c r="S2424" s="12" t="str">
        <f t="shared" si="456"/>
        <v/>
      </c>
      <c r="T2424" s="13"/>
      <c r="U2424" s="13"/>
      <c r="V2424" s="12" t="str">
        <f t="shared" si="457"/>
        <v/>
      </c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  <c r="AG2424" s="13"/>
      <c r="AH2424" s="13"/>
      <c r="AI2424" s="12" t="str">
        <f t="shared" si="458"/>
        <v/>
      </c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/>
      <c r="AX2424" s="13"/>
      <c r="AY2424" s="13"/>
      <c r="AZ2424" s="13"/>
      <c r="BA2424" s="13"/>
      <c r="BB2424" s="13"/>
      <c r="BC2424" s="13"/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/>
      <c r="BN2424" s="13"/>
      <c r="BO2424" s="13"/>
      <c r="BP2424" s="13"/>
      <c r="BQ2424" s="13"/>
    </row>
    <row r="2425" spans="1:69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2" t="str">
        <f t="shared" si="455"/>
        <v/>
      </c>
      <c r="L2425" s="13"/>
      <c r="M2425" s="13"/>
      <c r="N2425" s="13"/>
      <c r="O2425" s="13"/>
      <c r="P2425" s="13"/>
      <c r="R2425" s="13"/>
      <c r="S2425" s="12" t="str">
        <f t="shared" si="456"/>
        <v/>
      </c>
      <c r="T2425" s="13"/>
      <c r="U2425" s="13"/>
      <c r="V2425" s="12" t="str">
        <f t="shared" si="457"/>
        <v/>
      </c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/>
      <c r="AH2425" s="13"/>
      <c r="AI2425" s="12" t="str">
        <f t="shared" si="458"/>
        <v/>
      </c>
      <c r="AJ2425" s="13"/>
      <c r="AK2425" s="13"/>
      <c r="AL2425" s="13"/>
      <c r="AM2425" s="13"/>
      <c r="AN2425" s="13"/>
      <c r="AO2425" s="13"/>
      <c r="AP2425" s="13"/>
      <c r="AQ2425" s="13"/>
      <c r="AR2425" s="13"/>
      <c r="AS2425" s="13"/>
      <c r="AT2425" s="13"/>
      <c r="AU2425" s="13"/>
      <c r="AV2425" s="13"/>
      <c r="AW2425" s="13"/>
      <c r="AX2425" s="13"/>
      <c r="AY2425" s="13"/>
      <c r="AZ2425" s="13"/>
      <c r="BA2425" s="13"/>
      <c r="BB2425" s="13"/>
      <c r="BC2425" s="13"/>
      <c r="BD2425" s="13"/>
      <c r="BE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O2425" s="13"/>
      <c r="BP2425" s="13"/>
      <c r="BQ2425" s="13"/>
    </row>
    <row r="2426" spans="1:69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2" t="str">
        <f t="shared" si="455"/>
        <v/>
      </c>
      <c r="L2426" s="13"/>
      <c r="M2426" s="13"/>
      <c r="N2426" s="13"/>
      <c r="O2426" s="13"/>
      <c r="P2426" s="13"/>
      <c r="R2426" s="13"/>
      <c r="S2426" s="12" t="str">
        <f t="shared" si="456"/>
        <v/>
      </c>
      <c r="T2426" s="13"/>
      <c r="U2426" s="13"/>
      <c r="V2426" s="12" t="str">
        <f t="shared" si="457"/>
        <v/>
      </c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  <c r="AG2426" s="13"/>
      <c r="AH2426" s="13"/>
      <c r="AI2426" s="12" t="str">
        <f t="shared" si="458"/>
        <v/>
      </c>
      <c r="AJ2426" s="13"/>
      <c r="AK2426" s="13"/>
      <c r="AL2426" s="13"/>
      <c r="AM2426" s="13"/>
      <c r="AN2426" s="13"/>
      <c r="AO2426" s="13"/>
      <c r="AP2426" s="13"/>
      <c r="AQ2426" s="13"/>
      <c r="AR2426" s="13"/>
      <c r="AS2426" s="13"/>
      <c r="AT2426" s="13"/>
      <c r="AU2426" s="13"/>
      <c r="AV2426" s="13"/>
      <c r="AW2426" s="13"/>
      <c r="AX2426" s="13"/>
      <c r="AY2426" s="13"/>
      <c r="AZ2426" s="13"/>
      <c r="BA2426" s="13"/>
      <c r="BB2426" s="13"/>
      <c r="BC2426" s="13"/>
      <c r="BD2426" s="13"/>
      <c r="BE2426" s="13"/>
      <c r="BF2426" s="13"/>
      <c r="BG2426" s="13"/>
      <c r="BH2426" s="13"/>
      <c r="BI2426" s="13"/>
      <c r="BJ2426" s="13"/>
      <c r="BK2426" s="13"/>
      <c r="BL2426" s="13"/>
      <c r="BM2426" s="13"/>
      <c r="BN2426" s="13"/>
      <c r="BO2426" s="13"/>
      <c r="BP2426" s="13"/>
      <c r="BQ2426" s="13"/>
    </row>
    <row r="2427" spans="1:69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2" t="str">
        <f t="shared" si="455"/>
        <v/>
      </c>
      <c r="L2427" s="13"/>
      <c r="M2427" s="13"/>
      <c r="N2427" s="13"/>
      <c r="O2427" s="13"/>
      <c r="P2427" s="13"/>
      <c r="R2427" s="13"/>
      <c r="S2427" s="12" t="str">
        <f t="shared" si="456"/>
        <v/>
      </c>
      <c r="T2427" s="13"/>
      <c r="U2427" s="13"/>
      <c r="V2427" s="12" t="str">
        <f t="shared" si="457"/>
        <v/>
      </c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  <c r="AG2427" s="13"/>
      <c r="AH2427" s="13"/>
      <c r="AI2427" s="12" t="str">
        <f t="shared" si="458"/>
        <v/>
      </c>
      <c r="AJ2427" s="13"/>
      <c r="AK2427" s="13"/>
      <c r="AL2427" s="13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/>
      <c r="BA2427" s="13"/>
      <c r="BB2427" s="13"/>
      <c r="BC2427" s="13"/>
      <c r="BD2427" s="13"/>
      <c r="BE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O2427" s="13"/>
      <c r="BP2427" s="13"/>
      <c r="BQ2427" s="13"/>
    </row>
    <row r="2428" spans="1:69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2" t="str">
        <f t="shared" si="455"/>
        <v/>
      </c>
      <c r="L2428" s="13"/>
      <c r="M2428" s="13"/>
      <c r="N2428" s="13"/>
      <c r="O2428" s="13"/>
      <c r="P2428" s="13"/>
      <c r="R2428" s="13"/>
      <c r="S2428" s="12" t="str">
        <f t="shared" si="456"/>
        <v/>
      </c>
      <c r="T2428" s="13"/>
      <c r="U2428" s="13"/>
      <c r="V2428" s="12" t="str">
        <f t="shared" si="457"/>
        <v/>
      </c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/>
      <c r="AH2428" s="13"/>
      <c r="AI2428" s="12" t="str">
        <f t="shared" si="458"/>
        <v/>
      </c>
      <c r="AJ2428" s="13"/>
      <c r="AK2428" s="13"/>
      <c r="AL2428" s="13"/>
      <c r="AM2428" s="13"/>
      <c r="AN2428" s="13"/>
      <c r="AO2428" s="13"/>
      <c r="AP2428" s="13"/>
      <c r="AQ2428" s="13"/>
      <c r="AR2428" s="13"/>
      <c r="AS2428" s="13"/>
      <c r="AT2428" s="13"/>
      <c r="AU2428" s="13"/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</row>
    <row r="2429" spans="1:69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2" t="str">
        <f t="shared" si="455"/>
        <v/>
      </c>
      <c r="L2429" s="13"/>
      <c r="M2429" s="13"/>
      <c r="N2429" s="13"/>
      <c r="O2429" s="13"/>
      <c r="P2429" s="13"/>
      <c r="R2429" s="13"/>
      <c r="S2429" s="12" t="str">
        <f t="shared" si="456"/>
        <v/>
      </c>
      <c r="T2429" s="13"/>
      <c r="U2429" s="13"/>
      <c r="V2429" s="12" t="str">
        <f t="shared" si="457"/>
        <v/>
      </c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/>
      <c r="AH2429" s="13"/>
      <c r="AI2429" s="12" t="str">
        <f t="shared" si="458"/>
        <v/>
      </c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O2429" s="13"/>
      <c r="BP2429" s="13"/>
      <c r="BQ2429" s="13"/>
    </row>
    <row r="2430" spans="1:69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2" t="str">
        <f t="shared" si="455"/>
        <v/>
      </c>
      <c r="L2430" s="13"/>
      <c r="M2430" s="13"/>
      <c r="N2430" s="13"/>
      <c r="O2430" s="13"/>
      <c r="P2430" s="13"/>
      <c r="R2430" s="13"/>
      <c r="S2430" s="12" t="str">
        <f t="shared" si="456"/>
        <v/>
      </c>
      <c r="T2430" s="13"/>
      <c r="U2430" s="13"/>
      <c r="V2430" s="12" t="str">
        <f t="shared" si="457"/>
        <v/>
      </c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/>
      <c r="AH2430" s="13"/>
      <c r="AI2430" s="12" t="str">
        <f t="shared" si="458"/>
        <v/>
      </c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/>
      <c r="AX2430" s="13"/>
      <c r="AY2430" s="13"/>
      <c r="AZ2430" s="13"/>
      <c r="BA2430" s="13"/>
      <c r="BB2430" s="13"/>
      <c r="BC2430" s="13"/>
      <c r="BD2430" s="13"/>
      <c r="BE2430" s="13"/>
      <c r="BF2430" s="13"/>
      <c r="BG2430" s="13"/>
      <c r="BH2430" s="13"/>
      <c r="BI2430" s="13"/>
      <c r="BJ2430" s="13"/>
      <c r="BK2430" s="13"/>
      <c r="BL2430" s="13"/>
      <c r="BM2430" s="13"/>
      <c r="BN2430" s="13"/>
      <c r="BO2430" s="13"/>
      <c r="BP2430" s="13"/>
      <c r="BQ2430" s="13"/>
    </row>
    <row r="2431" spans="1:69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2" t="str">
        <f t="shared" si="455"/>
        <v/>
      </c>
      <c r="L2431" s="13"/>
      <c r="M2431" s="13"/>
      <c r="N2431" s="13"/>
      <c r="O2431" s="13"/>
      <c r="P2431" s="13"/>
      <c r="R2431" s="13"/>
      <c r="S2431" s="12" t="str">
        <f t="shared" si="456"/>
        <v/>
      </c>
      <c r="T2431" s="13"/>
      <c r="U2431" s="13"/>
      <c r="V2431" s="12" t="str">
        <f t="shared" si="457"/>
        <v/>
      </c>
      <c r="W2431" s="13"/>
      <c r="X2431" s="13"/>
      <c r="Y2431" s="13"/>
      <c r="Z2431" s="13"/>
      <c r="AA2431" s="13"/>
      <c r="AB2431" s="13"/>
      <c r="AC2431" s="13"/>
      <c r="AD2431" s="13"/>
      <c r="AE2431" s="13"/>
      <c r="AF2431" s="13"/>
      <c r="AG2431" s="13"/>
      <c r="AH2431" s="13"/>
      <c r="AI2431" s="12" t="str">
        <f t="shared" si="458"/>
        <v/>
      </c>
      <c r="AJ2431" s="13"/>
      <c r="AK2431" s="13"/>
      <c r="AL2431" s="13"/>
      <c r="AM2431" s="13"/>
      <c r="AN2431" s="13"/>
      <c r="AO2431" s="13"/>
      <c r="AP2431" s="13"/>
      <c r="AQ2431" s="13"/>
      <c r="AR2431" s="13"/>
      <c r="AS2431" s="13"/>
      <c r="AT2431" s="13"/>
      <c r="AU2431" s="13"/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/>
      <c r="BJ2431" s="13"/>
      <c r="BK2431" s="13"/>
      <c r="BL2431" s="13"/>
      <c r="BM2431" s="13"/>
      <c r="BN2431" s="13"/>
      <c r="BO2431" s="13"/>
      <c r="BP2431" s="13"/>
      <c r="BQ2431" s="13"/>
    </row>
    <row r="2432" spans="1:69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2" t="str">
        <f t="shared" si="455"/>
        <v/>
      </c>
      <c r="L2432" s="13"/>
      <c r="M2432" s="13"/>
      <c r="N2432" s="13"/>
      <c r="O2432" s="13"/>
      <c r="P2432" s="13"/>
      <c r="R2432" s="13"/>
      <c r="S2432" s="12" t="str">
        <f t="shared" si="456"/>
        <v/>
      </c>
      <c r="T2432" s="13"/>
      <c r="U2432" s="13"/>
      <c r="V2432" s="12" t="str">
        <f t="shared" si="457"/>
        <v/>
      </c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/>
      <c r="AH2432" s="13"/>
      <c r="AI2432" s="12" t="str">
        <f t="shared" si="458"/>
        <v/>
      </c>
      <c r="AJ2432" s="13"/>
      <c r="AK2432" s="13"/>
      <c r="AL2432" s="13"/>
      <c r="AM2432" s="13"/>
      <c r="AN2432" s="13"/>
      <c r="AO2432" s="13"/>
      <c r="AP2432" s="13"/>
      <c r="AQ2432" s="13"/>
      <c r="AR2432" s="13"/>
      <c r="AS2432" s="13"/>
      <c r="AT2432" s="13"/>
      <c r="AU2432" s="13"/>
      <c r="AV2432" s="13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O2432" s="13"/>
      <c r="BP2432" s="13"/>
      <c r="BQ2432" s="13"/>
    </row>
    <row r="2433" spans="1:69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2" t="str">
        <f t="shared" si="455"/>
        <v/>
      </c>
      <c r="L2433" s="13"/>
      <c r="M2433" s="13"/>
      <c r="N2433" s="13"/>
      <c r="O2433" s="13"/>
      <c r="P2433" s="13"/>
      <c r="R2433" s="13"/>
      <c r="S2433" s="12" t="str">
        <f t="shared" si="456"/>
        <v/>
      </c>
      <c r="T2433" s="13"/>
      <c r="U2433" s="13"/>
      <c r="V2433" s="12" t="str">
        <f t="shared" si="457"/>
        <v/>
      </c>
      <c r="W2433" s="13"/>
      <c r="X2433" s="13"/>
      <c r="Y2433" s="13"/>
      <c r="Z2433" s="13"/>
      <c r="AA2433" s="13"/>
      <c r="AB2433" s="13"/>
      <c r="AC2433" s="13"/>
      <c r="AD2433" s="13"/>
      <c r="AE2433" s="13"/>
      <c r="AF2433" s="13"/>
      <c r="AG2433" s="13"/>
      <c r="AH2433" s="13"/>
      <c r="AI2433" s="12" t="str">
        <f t="shared" si="458"/>
        <v/>
      </c>
      <c r="AJ2433" s="13"/>
      <c r="AK2433" s="13"/>
      <c r="AL2433" s="13"/>
      <c r="AM2433" s="13"/>
      <c r="AN2433" s="13"/>
      <c r="AO2433" s="13"/>
      <c r="AP2433" s="13"/>
      <c r="AQ2433" s="13"/>
      <c r="AR2433" s="13"/>
      <c r="AS2433" s="13"/>
      <c r="AT2433" s="13"/>
      <c r="AU2433" s="13"/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/>
      <c r="BH2433" s="13"/>
      <c r="BI2433" s="13"/>
      <c r="BJ2433" s="13"/>
      <c r="BK2433" s="13"/>
      <c r="BL2433" s="13"/>
      <c r="BM2433" s="13"/>
      <c r="BN2433" s="13"/>
      <c r="BO2433" s="13"/>
      <c r="BP2433" s="13"/>
      <c r="BQ2433" s="13"/>
    </row>
    <row r="2434" spans="1:69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2" t="str">
        <f t="shared" si="455"/>
        <v/>
      </c>
      <c r="L2434" s="13"/>
      <c r="M2434" s="13"/>
      <c r="N2434" s="13"/>
      <c r="O2434" s="13"/>
      <c r="P2434" s="13"/>
      <c r="R2434" s="13"/>
      <c r="S2434" s="12" t="str">
        <f t="shared" si="456"/>
        <v/>
      </c>
      <c r="T2434" s="13"/>
      <c r="U2434" s="13"/>
      <c r="V2434" s="12" t="str">
        <f t="shared" si="457"/>
        <v/>
      </c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  <c r="AG2434" s="13"/>
      <c r="AH2434" s="13"/>
      <c r="AI2434" s="12" t="str">
        <f t="shared" si="458"/>
        <v/>
      </c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/>
      <c r="AX2434" s="13"/>
      <c r="AY2434" s="13"/>
      <c r="AZ2434" s="13"/>
      <c r="BA2434" s="13"/>
      <c r="BB2434" s="13"/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</row>
    <row r="2435" spans="1:69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2" t="str">
        <f t="shared" si="455"/>
        <v/>
      </c>
      <c r="L2435" s="13"/>
      <c r="M2435" s="13"/>
      <c r="N2435" s="13"/>
      <c r="O2435" s="13"/>
      <c r="P2435" s="13"/>
      <c r="R2435" s="13"/>
      <c r="S2435" s="12" t="str">
        <f t="shared" si="456"/>
        <v/>
      </c>
      <c r="T2435" s="13"/>
      <c r="U2435" s="13"/>
      <c r="V2435" s="12" t="str">
        <f t="shared" si="457"/>
        <v/>
      </c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  <c r="AG2435" s="13"/>
      <c r="AH2435" s="13"/>
      <c r="AI2435" s="12" t="str">
        <f t="shared" si="458"/>
        <v/>
      </c>
      <c r="AJ2435" s="13"/>
      <c r="AK2435" s="13"/>
      <c r="AL2435" s="13"/>
      <c r="AM2435" s="13"/>
      <c r="AN2435" s="13"/>
      <c r="AO2435" s="13"/>
      <c r="AP2435" s="13"/>
      <c r="AQ2435" s="13"/>
      <c r="AR2435" s="13"/>
      <c r="AS2435" s="13"/>
      <c r="AT2435" s="13"/>
      <c r="AU2435" s="13"/>
      <c r="AV2435" s="13"/>
      <c r="AW2435" s="13"/>
      <c r="AX2435" s="13"/>
      <c r="AY2435" s="13"/>
      <c r="AZ2435" s="13"/>
      <c r="BA2435" s="13"/>
      <c r="BB2435" s="13"/>
      <c r="BC2435" s="13"/>
      <c r="BD2435" s="13"/>
      <c r="BE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O2435" s="13"/>
      <c r="BP2435" s="13"/>
      <c r="BQ2435" s="13"/>
    </row>
    <row r="2436" spans="1:69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2" t="str">
        <f t="shared" si="455"/>
        <v/>
      </c>
      <c r="L2436" s="13"/>
      <c r="M2436" s="13"/>
      <c r="N2436" s="13"/>
      <c r="O2436" s="13"/>
      <c r="P2436" s="13"/>
      <c r="R2436" s="13"/>
      <c r="S2436" s="12" t="str">
        <f t="shared" si="456"/>
        <v/>
      </c>
      <c r="T2436" s="13"/>
      <c r="U2436" s="13"/>
      <c r="V2436" s="12" t="str">
        <f t="shared" si="457"/>
        <v/>
      </c>
      <c r="W2436" s="13"/>
      <c r="X2436" s="13"/>
      <c r="Y2436" s="13"/>
      <c r="Z2436" s="13"/>
      <c r="AA2436" s="13"/>
      <c r="AB2436" s="13"/>
      <c r="AC2436" s="13"/>
      <c r="AD2436" s="13"/>
      <c r="AE2436" s="13"/>
      <c r="AF2436" s="13"/>
      <c r="AG2436" s="13"/>
      <c r="AH2436" s="13"/>
      <c r="AI2436" s="12" t="str">
        <f t="shared" si="458"/>
        <v/>
      </c>
      <c r="AJ2436" s="13"/>
      <c r="AK2436" s="13"/>
      <c r="AL2436" s="13"/>
      <c r="AM2436" s="13"/>
      <c r="AN2436" s="13"/>
      <c r="AO2436" s="13"/>
      <c r="AP2436" s="13"/>
      <c r="AQ2436" s="13"/>
      <c r="AR2436" s="13"/>
      <c r="AS2436" s="13"/>
      <c r="AT2436" s="13"/>
      <c r="AU2436" s="13"/>
      <c r="AV2436" s="13"/>
      <c r="AW2436" s="13"/>
      <c r="AX2436" s="13"/>
      <c r="AY2436" s="13"/>
      <c r="AZ2436" s="13"/>
      <c r="BA2436" s="13"/>
      <c r="BB2436" s="13"/>
      <c r="BC2436" s="13"/>
      <c r="BD2436" s="13"/>
      <c r="BE2436" s="13"/>
      <c r="BF2436" s="13"/>
      <c r="BG2436" s="13"/>
      <c r="BH2436" s="13"/>
      <c r="BI2436" s="13"/>
      <c r="BJ2436" s="13"/>
      <c r="BK2436" s="13"/>
      <c r="BL2436" s="13"/>
      <c r="BM2436" s="13"/>
      <c r="BN2436" s="13"/>
      <c r="BO2436" s="13"/>
      <c r="BP2436" s="13"/>
      <c r="BQ2436" s="13"/>
    </row>
    <row r="2437" spans="1:69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2" t="str">
        <f t="shared" si="455"/>
        <v/>
      </c>
      <c r="L2437" s="13"/>
      <c r="M2437" s="13"/>
      <c r="N2437" s="13"/>
      <c r="O2437" s="13"/>
      <c r="P2437" s="13"/>
      <c r="R2437" s="13"/>
      <c r="S2437" s="12" t="str">
        <f t="shared" si="456"/>
        <v/>
      </c>
      <c r="T2437" s="13"/>
      <c r="U2437" s="13"/>
      <c r="V2437" s="12" t="str">
        <f t="shared" si="457"/>
        <v/>
      </c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  <c r="AG2437" s="13"/>
      <c r="AH2437" s="13"/>
      <c r="AI2437" s="12" t="str">
        <f t="shared" si="458"/>
        <v/>
      </c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</row>
    <row r="2438" spans="1:69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2" t="str">
        <f t="shared" si="455"/>
        <v/>
      </c>
      <c r="L2438" s="13"/>
      <c r="M2438" s="13"/>
      <c r="N2438" s="13"/>
      <c r="O2438" s="13"/>
      <c r="P2438" s="13"/>
      <c r="R2438" s="13"/>
      <c r="S2438" s="12" t="str">
        <f t="shared" si="456"/>
        <v/>
      </c>
      <c r="T2438" s="13"/>
      <c r="U2438" s="13"/>
      <c r="V2438" s="12" t="str">
        <f t="shared" si="457"/>
        <v/>
      </c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  <c r="AG2438" s="13"/>
      <c r="AH2438" s="13"/>
      <c r="AI2438" s="12" t="str">
        <f t="shared" si="458"/>
        <v/>
      </c>
      <c r="AJ2438" s="13"/>
      <c r="AK2438" s="13"/>
      <c r="AL2438" s="13"/>
      <c r="AM2438" s="13"/>
      <c r="AN2438" s="13"/>
      <c r="AO2438" s="13"/>
      <c r="AP2438" s="13"/>
      <c r="AQ2438" s="13"/>
      <c r="AR2438" s="13"/>
      <c r="AS2438" s="13"/>
      <c r="AT2438" s="13"/>
      <c r="AU2438" s="13"/>
      <c r="AV2438" s="13"/>
      <c r="AW2438" s="13"/>
      <c r="AX2438" s="13"/>
      <c r="AY2438" s="13"/>
      <c r="AZ2438" s="13"/>
      <c r="BA2438" s="13"/>
      <c r="BB2438" s="13"/>
      <c r="BC2438" s="13"/>
      <c r="BD2438" s="13"/>
      <c r="BE2438" s="13"/>
      <c r="BF2438" s="13"/>
      <c r="BG2438" s="13"/>
      <c r="BH2438" s="13"/>
      <c r="BI2438" s="13"/>
      <c r="BJ2438" s="13"/>
      <c r="BK2438" s="13"/>
      <c r="BL2438" s="13"/>
      <c r="BM2438" s="13"/>
      <c r="BN2438" s="13"/>
      <c r="BO2438" s="13"/>
      <c r="BP2438" s="13"/>
      <c r="BQ2438" s="13"/>
    </row>
    <row r="2439" spans="1:69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2" t="str">
        <f t="shared" si="455"/>
        <v/>
      </c>
      <c r="L2439" s="13"/>
      <c r="M2439" s="13"/>
      <c r="N2439" s="13"/>
      <c r="O2439" s="13"/>
      <c r="P2439" s="13"/>
      <c r="R2439" s="13"/>
      <c r="S2439" s="12" t="str">
        <f t="shared" si="456"/>
        <v/>
      </c>
      <c r="T2439" s="13"/>
      <c r="U2439" s="13"/>
      <c r="V2439" s="12" t="str">
        <f t="shared" si="457"/>
        <v/>
      </c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13"/>
      <c r="AI2439" s="12" t="str">
        <f t="shared" si="458"/>
        <v/>
      </c>
      <c r="AJ2439" s="13"/>
      <c r="AK2439" s="13"/>
      <c r="AL2439" s="13"/>
      <c r="AM2439" s="13"/>
      <c r="AN2439" s="13"/>
      <c r="AO2439" s="13"/>
      <c r="AP2439" s="13"/>
      <c r="AQ2439" s="13"/>
      <c r="AR2439" s="13"/>
      <c r="AS2439" s="13"/>
      <c r="AT2439" s="13"/>
      <c r="AU2439" s="13"/>
      <c r="AV2439" s="13"/>
      <c r="AW2439" s="13"/>
      <c r="AX2439" s="13"/>
      <c r="AY2439" s="13"/>
      <c r="AZ2439" s="13"/>
      <c r="BA2439" s="13"/>
      <c r="BB2439" s="13"/>
      <c r="BC2439" s="13"/>
      <c r="BD2439" s="13"/>
      <c r="BE2439" s="13"/>
      <c r="BF2439" s="13"/>
      <c r="BG2439" s="13"/>
      <c r="BH2439" s="13"/>
      <c r="BI2439" s="13"/>
      <c r="BJ2439" s="13"/>
      <c r="BK2439" s="13"/>
      <c r="BL2439" s="13"/>
      <c r="BM2439" s="13"/>
      <c r="BN2439" s="13"/>
      <c r="BO2439" s="13"/>
      <c r="BP2439" s="13"/>
      <c r="BQ2439" s="13"/>
    </row>
    <row r="2440" spans="1:69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2" t="str">
        <f t="shared" si="455"/>
        <v/>
      </c>
      <c r="L2440" s="13"/>
      <c r="M2440" s="13"/>
      <c r="N2440" s="13"/>
      <c r="O2440" s="13"/>
      <c r="P2440" s="13"/>
      <c r="R2440" s="13"/>
      <c r="S2440" s="12" t="str">
        <f t="shared" si="456"/>
        <v/>
      </c>
      <c r="T2440" s="13"/>
      <c r="U2440" s="13"/>
      <c r="V2440" s="12" t="str">
        <f t="shared" si="457"/>
        <v/>
      </c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2" t="str">
        <f t="shared" si="458"/>
        <v/>
      </c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/>
      <c r="AX2440" s="13"/>
      <c r="AY2440" s="13"/>
      <c r="AZ2440" s="13"/>
      <c r="BA2440" s="13"/>
      <c r="BB2440" s="13"/>
      <c r="BC2440" s="13"/>
      <c r="BD2440" s="13"/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</row>
    <row r="2441" spans="1:69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2" t="str">
        <f t="shared" si="455"/>
        <v/>
      </c>
      <c r="L2441" s="13"/>
      <c r="M2441" s="13"/>
      <c r="N2441" s="13"/>
      <c r="O2441" s="13"/>
      <c r="P2441" s="13"/>
      <c r="R2441" s="13"/>
      <c r="S2441" s="12" t="str">
        <f t="shared" si="456"/>
        <v/>
      </c>
      <c r="T2441" s="13"/>
      <c r="U2441" s="13"/>
      <c r="V2441" s="12" t="str">
        <f t="shared" si="457"/>
        <v/>
      </c>
      <c r="W2441" s="13"/>
      <c r="X2441" s="13"/>
      <c r="Y2441" s="13"/>
      <c r="Z2441" s="13"/>
      <c r="AA2441" s="13"/>
      <c r="AB2441" s="13"/>
      <c r="AC2441" s="13"/>
      <c r="AD2441" s="13"/>
      <c r="AE2441" s="13"/>
      <c r="AF2441" s="13"/>
      <c r="AG2441" s="13"/>
      <c r="AH2441" s="13"/>
      <c r="AI2441" s="12" t="str">
        <f t="shared" si="458"/>
        <v/>
      </c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</row>
    <row r="2442" spans="1:69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2" t="str">
        <f t="shared" si="455"/>
        <v/>
      </c>
      <c r="L2442" s="13"/>
      <c r="M2442" s="13"/>
      <c r="N2442" s="13"/>
      <c r="O2442" s="13"/>
      <c r="P2442" s="13"/>
      <c r="R2442" s="13"/>
      <c r="S2442" s="12" t="str">
        <f t="shared" si="456"/>
        <v/>
      </c>
      <c r="T2442" s="13"/>
      <c r="U2442" s="13"/>
      <c r="V2442" s="12" t="str">
        <f t="shared" si="457"/>
        <v/>
      </c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  <c r="AG2442" s="13"/>
      <c r="AH2442" s="13"/>
      <c r="AI2442" s="12" t="str">
        <f t="shared" si="458"/>
        <v/>
      </c>
      <c r="AJ2442" s="13"/>
      <c r="AK2442" s="13"/>
      <c r="AL2442" s="13"/>
      <c r="AM2442" s="13"/>
      <c r="AN2442" s="13"/>
      <c r="AO2442" s="13"/>
      <c r="AP2442" s="13"/>
      <c r="AQ2442" s="13"/>
      <c r="AR2442" s="13"/>
      <c r="AS2442" s="13"/>
      <c r="AT2442" s="13"/>
      <c r="AU2442" s="13"/>
      <c r="AV2442" s="13"/>
      <c r="AW2442" s="13"/>
      <c r="AX2442" s="13"/>
      <c r="AY2442" s="13"/>
      <c r="AZ2442" s="13"/>
      <c r="BA2442" s="13"/>
      <c r="BB2442" s="13"/>
      <c r="BC2442" s="13"/>
      <c r="BD2442" s="13"/>
      <c r="BE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O2442" s="13"/>
      <c r="BP2442" s="13"/>
      <c r="BQ2442" s="13"/>
    </row>
    <row r="2443" spans="1:69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2" t="str">
        <f t="shared" si="455"/>
        <v/>
      </c>
      <c r="L2443" s="13"/>
      <c r="M2443" s="13"/>
      <c r="N2443" s="13"/>
      <c r="O2443" s="13"/>
      <c r="P2443" s="13"/>
      <c r="R2443" s="13"/>
      <c r="S2443" s="12" t="str">
        <f t="shared" si="456"/>
        <v/>
      </c>
      <c r="T2443" s="13"/>
      <c r="U2443" s="13"/>
      <c r="V2443" s="12" t="str">
        <f t="shared" si="457"/>
        <v/>
      </c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  <c r="AG2443" s="13"/>
      <c r="AH2443" s="13"/>
      <c r="AI2443" s="12" t="str">
        <f t="shared" si="458"/>
        <v/>
      </c>
      <c r="AJ2443" s="13"/>
      <c r="AK2443" s="13"/>
      <c r="AL2443" s="13"/>
      <c r="AM2443" s="13"/>
      <c r="AN2443" s="13"/>
      <c r="AO2443" s="13"/>
      <c r="AP2443" s="13"/>
      <c r="AQ2443" s="13"/>
      <c r="AR2443" s="13"/>
      <c r="AS2443" s="13"/>
      <c r="AT2443" s="13"/>
      <c r="AU2443" s="13"/>
      <c r="AV2443" s="13"/>
      <c r="AW2443" s="13"/>
      <c r="AX2443" s="13"/>
      <c r="AY2443" s="13"/>
      <c r="AZ2443" s="13"/>
      <c r="BA2443" s="13"/>
      <c r="BB2443" s="13"/>
      <c r="BC2443" s="13"/>
      <c r="BD2443" s="13"/>
      <c r="BE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O2443" s="13"/>
      <c r="BP2443" s="13"/>
      <c r="BQ2443" s="13"/>
    </row>
    <row r="2444" spans="1:69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2" t="str">
        <f t="shared" si="455"/>
        <v/>
      </c>
      <c r="L2444" s="13"/>
      <c r="M2444" s="13"/>
      <c r="N2444" s="13"/>
      <c r="O2444" s="13"/>
      <c r="P2444" s="13"/>
      <c r="R2444" s="13"/>
      <c r="S2444" s="12" t="str">
        <f t="shared" si="456"/>
        <v/>
      </c>
      <c r="T2444" s="13"/>
      <c r="U2444" s="13"/>
      <c r="V2444" s="12" t="str">
        <f t="shared" si="457"/>
        <v/>
      </c>
      <c r="W2444" s="13"/>
      <c r="X2444" s="13"/>
      <c r="Y2444" s="13"/>
      <c r="Z2444" s="13"/>
      <c r="AA2444" s="13"/>
      <c r="AB2444" s="13"/>
      <c r="AC2444" s="13"/>
      <c r="AD2444" s="13"/>
      <c r="AE2444" s="13"/>
      <c r="AF2444" s="13"/>
      <c r="AG2444" s="13"/>
      <c r="AH2444" s="13"/>
      <c r="AI2444" s="12" t="str">
        <f t="shared" si="458"/>
        <v/>
      </c>
      <c r="AJ2444" s="13"/>
      <c r="AK2444" s="13"/>
      <c r="AL2444" s="13"/>
      <c r="AM2444" s="13"/>
      <c r="AN2444" s="13"/>
      <c r="AO2444" s="13"/>
      <c r="AP2444" s="13"/>
      <c r="AQ2444" s="13"/>
      <c r="AR2444" s="13"/>
      <c r="AS2444" s="13"/>
      <c r="AT2444" s="13"/>
      <c r="AU2444" s="13"/>
      <c r="AV2444" s="13"/>
      <c r="AW2444" s="13"/>
      <c r="AX2444" s="13"/>
      <c r="AY2444" s="13"/>
      <c r="AZ2444" s="13"/>
      <c r="BA2444" s="13"/>
      <c r="BB2444" s="13"/>
      <c r="BC2444" s="13"/>
      <c r="BD2444" s="13"/>
      <c r="BE2444" s="13"/>
      <c r="BF2444" s="13"/>
      <c r="BG2444" s="13"/>
      <c r="BH2444" s="13"/>
      <c r="BI2444" s="13"/>
      <c r="BJ2444" s="13"/>
      <c r="BK2444" s="13"/>
      <c r="BL2444" s="13"/>
      <c r="BM2444" s="13"/>
      <c r="BN2444" s="13"/>
      <c r="BO2444" s="13"/>
      <c r="BP2444" s="13"/>
      <c r="BQ2444" s="13"/>
    </row>
    <row r="2445" spans="1:69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2" t="str">
        <f t="shared" si="455"/>
        <v/>
      </c>
      <c r="L2445" s="13"/>
      <c r="M2445" s="13"/>
      <c r="N2445" s="13"/>
      <c r="O2445" s="13"/>
      <c r="P2445" s="13"/>
      <c r="R2445" s="13"/>
      <c r="S2445" s="12" t="str">
        <f t="shared" si="456"/>
        <v/>
      </c>
      <c r="T2445" s="13"/>
      <c r="U2445" s="13"/>
      <c r="V2445" s="12" t="str">
        <f t="shared" si="457"/>
        <v/>
      </c>
      <c r="W2445" s="13"/>
      <c r="X2445" s="13"/>
      <c r="Y2445" s="13"/>
      <c r="Z2445" s="13"/>
      <c r="AA2445" s="13"/>
      <c r="AB2445" s="13"/>
      <c r="AC2445" s="13"/>
      <c r="AD2445" s="13"/>
      <c r="AE2445" s="13"/>
      <c r="AF2445" s="13"/>
      <c r="AG2445" s="13"/>
      <c r="AH2445" s="13"/>
      <c r="AI2445" s="12" t="str">
        <f t="shared" si="458"/>
        <v/>
      </c>
      <c r="AJ2445" s="13"/>
      <c r="AK2445" s="13"/>
      <c r="AL2445" s="13"/>
      <c r="AM2445" s="13"/>
      <c r="AN2445" s="13"/>
      <c r="AO2445" s="13"/>
      <c r="AP2445" s="13"/>
      <c r="AQ2445" s="13"/>
      <c r="AR2445" s="13"/>
      <c r="AS2445" s="13"/>
      <c r="AT2445" s="13"/>
      <c r="AU2445" s="13"/>
      <c r="AV2445" s="13"/>
      <c r="AW2445" s="13"/>
      <c r="AX2445" s="13"/>
      <c r="AY2445" s="13"/>
      <c r="AZ2445" s="13"/>
      <c r="BA2445" s="13"/>
      <c r="BB2445" s="13"/>
      <c r="BC2445" s="13"/>
      <c r="BD2445" s="13"/>
      <c r="BE2445" s="13"/>
      <c r="BF2445" s="13"/>
      <c r="BG2445" s="13"/>
      <c r="BH2445" s="13"/>
      <c r="BI2445" s="13"/>
      <c r="BJ2445" s="13"/>
      <c r="BK2445" s="13"/>
      <c r="BL2445" s="13"/>
      <c r="BM2445" s="13"/>
      <c r="BN2445" s="13"/>
      <c r="BO2445" s="13"/>
      <c r="BP2445" s="13"/>
      <c r="BQ2445" s="13"/>
    </row>
    <row r="2446" spans="1:69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2" t="str">
        <f t="shared" si="455"/>
        <v/>
      </c>
      <c r="L2446" s="13"/>
      <c r="M2446" s="13"/>
      <c r="N2446" s="13"/>
      <c r="O2446" s="13"/>
      <c r="P2446" s="13"/>
      <c r="R2446" s="13"/>
      <c r="S2446" s="12" t="str">
        <f t="shared" si="456"/>
        <v/>
      </c>
      <c r="T2446" s="13"/>
      <c r="U2446" s="13"/>
      <c r="V2446" s="12" t="str">
        <f t="shared" si="457"/>
        <v/>
      </c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/>
      <c r="AH2446" s="13"/>
      <c r="AI2446" s="12" t="str">
        <f t="shared" si="458"/>
        <v/>
      </c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/>
      <c r="AX2446" s="13"/>
      <c r="AY2446" s="13"/>
      <c r="AZ2446" s="13"/>
      <c r="BA2446" s="13"/>
      <c r="BB2446" s="13"/>
      <c r="BC2446" s="13"/>
      <c r="BD2446" s="13"/>
      <c r="BE2446" s="13"/>
      <c r="BF2446" s="13"/>
      <c r="BG2446" s="13"/>
      <c r="BH2446" s="13"/>
      <c r="BI2446" s="13"/>
      <c r="BJ2446" s="13"/>
      <c r="BK2446" s="13"/>
      <c r="BL2446" s="13"/>
      <c r="BM2446" s="13"/>
      <c r="BN2446" s="13"/>
      <c r="BO2446" s="13"/>
      <c r="BP2446" s="13"/>
      <c r="BQ2446" s="13"/>
    </row>
    <row r="2447" spans="1:69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2" t="str">
        <f t="shared" si="455"/>
        <v/>
      </c>
      <c r="L2447" s="13"/>
      <c r="M2447" s="13"/>
      <c r="N2447" s="13"/>
      <c r="O2447" s="13"/>
      <c r="P2447" s="13"/>
      <c r="R2447" s="13"/>
      <c r="S2447" s="12" t="str">
        <f t="shared" si="456"/>
        <v/>
      </c>
      <c r="T2447" s="13"/>
      <c r="U2447" s="13"/>
      <c r="V2447" s="12" t="str">
        <f t="shared" si="457"/>
        <v/>
      </c>
      <c r="W2447" s="13"/>
      <c r="X2447" s="13"/>
      <c r="Y2447" s="13"/>
      <c r="Z2447" s="13"/>
      <c r="AA2447" s="13"/>
      <c r="AB2447" s="13"/>
      <c r="AC2447" s="13"/>
      <c r="AD2447" s="13"/>
      <c r="AE2447" s="13"/>
      <c r="AF2447" s="13"/>
      <c r="AG2447" s="13"/>
      <c r="AH2447" s="13"/>
      <c r="AI2447" s="12" t="str">
        <f t="shared" si="458"/>
        <v/>
      </c>
      <c r="AJ2447" s="13"/>
      <c r="AK2447" s="13"/>
      <c r="AL2447" s="13"/>
      <c r="AM2447" s="13"/>
      <c r="AN2447" s="13"/>
      <c r="AO2447" s="13"/>
      <c r="AP2447" s="13"/>
      <c r="AQ2447" s="13"/>
      <c r="AR2447" s="13"/>
      <c r="AS2447" s="13"/>
      <c r="AT2447" s="13"/>
      <c r="AU2447" s="13"/>
      <c r="AV2447" s="13"/>
      <c r="AW2447" s="13"/>
      <c r="AX2447" s="13"/>
      <c r="AY2447" s="13"/>
      <c r="AZ2447" s="13"/>
      <c r="BA2447" s="13"/>
      <c r="BB2447" s="13"/>
      <c r="BC2447" s="13"/>
      <c r="BD2447" s="13"/>
      <c r="BE2447" s="13"/>
      <c r="BF2447" s="13"/>
      <c r="BG2447" s="13"/>
      <c r="BH2447" s="13"/>
      <c r="BI2447" s="13"/>
      <c r="BJ2447" s="13"/>
      <c r="BK2447" s="13"/>
      <c r="BL2447" s="13"/>
      <c r="BM2447" s="13"/>
      <c r="BN2447" s="13"/>
      <c r="BO2447" s="13"/>
      <c r="BP2447" s="13"/>
      <c r="BQ2447" s="13"/>
    </row>
    <row r="2448" spans="1:69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2" t="str">
        <f t="shared" si="455"/>
        <v/>
      </c>
      <c r="L2448" s="13"/>
      <c r="M2448" s="13"/>
      <c r="N2448" s="13"/>
      <c r="O2448" s="13"/>
      <c r="P2448" s="13"/>
      <c r="R2448" s="13"/>
      <c r="S2448" s="12" t="str">
        <f t="shared" si="456"/>
        <v/>
      </c>
      <c r="T2448" s="13"/>
      <c r="U2448" s="13"/>
      <c r="V2448" s="12" t="str">
        <f t="shared" si="457"/>
        <v/>
      </c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  <c r="AG2448" s="13"/>
      <c r="AH2448" s="13"/>
      <c r="AI2448" s="12" t="str">
        <f t="shared" si="458"/>
        <v/>
      </c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</row>
    <row r="2449" spans="1:69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2" t="str">
        <f t="shared" si="455"/>
        <v/>
      </c>
      <c r="L2449" s="13"/>
      <c r="M2449" s="13"/>
      <c r="N2449" s="13"/>
      <c r="O2449" s="13"/>
      <c r="P2449" s="13"/>
      <c r="R2449" s="13"/>
      <c r="S2449" s="12" t="str">
        <f t="shared" si="456"/>
        <v/>
      </c>
      <c r="T2449" s="13"/>
      <c r="U2449" s="13"/>
      <c r="V2449" s="12" t="str">
        <f t="shared" si="457"/>
        <v/>
      </c>
      <c r="W2449" s="13"/>
      <c r="X2449" s="13"/>
      <c r="Y2449" s="13"/>
      <c r="Z2449" s="13"/>
      <c r="AA2449" s="13"/>
      <c r="AB2449" s="13"/>
      <c r="AC2449" s="13"/>
      <c r="AD2449" s="13"/>
      <c r="AE2449" s="13"/>
      <c r="AF2449" s="13"/>
      <c r="AG2449" s="13"/>
      <c r="AH2449" s="13"/>
      <c r="AI2449" s="12" t="str">
        <f t="shared" si="458"/>
        <v/>
      </c>
      <c r="AJ2449" s="13"/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/>
      <c r="BF2449" s="13"/>
      <c r="BG2449" s="13"/>
      <c r="BH2449" s="13"/>
      <c r="BI2449" s="13"/>
      <c r="BJ2449" s="13"/>
      <c r="BK2449" s="13"/>
      <c r="BL2449" s="13"/>
      <c r="BM2449" s="13"/>
      <c r="BN2449" s="13"/>
      <c r="BO2449" s="13"/>
      <c r="BP2449" s="13"/>
      <c r="BQ2449" s="13"/>
    </row>
    <row r="2450" spans="1:69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2" t="str">
        <f t="shared" si="455"/>
        <v/>
      </c>
      <c r="L2450" s="13"/>
      <c r="M2450" s="13"/>
      <c r="N2450" s="13"/>
      <c r="O2450" s="13"/>
      <c r="P2450" s="13"/>
      <c r="R2450" s="13"/>
      <c r="S2450" s="12" t="str">
        <f t="shared" si="456"/>
        <v/>
      </c>
      <c r="T2450" s="13"/>
      <c r="U2450" s="13"/>
      <c r="V2450" s="12" t="str">
        <f t="shared" si="457"/>
        <v/>
      </c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/>
      <c r="AH2450" s="13"/>
      <c r="AI2450" s="12" t="str">
        <f t="shared" si="458"/>
        <v/>
      </c>
      <c r="AJ2450" s="13"/>
      <c r="AK2450" s="13"/>
      <c r="AL2450" s="13"/>
      <c r="AM2450" s="13"/>
      <c r="AN2450" s="13"/>
      <c r="AO2450" s="13"/>
      <c r="AP2450" s="13"/>
      <c r="AQ2450" s="13"/>
      <c r="AR2450" s="13"/>
      <c r="AS2450" s="13"/>
      <c r="AT2450" s="13"/>
      <c r="AU2450" s="13"/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/>
      <c r="BH2450" s="13"/>
      <c r="BI2450" s="13"/>
      <c r="BJ2450" s="13"/>
      <c r="BK2450" s="13"/>
      <c r="BL2450" s="13"/>
      <c r="BM2450" s="13"/>
      <c r="BN2450" s="13"/>
      <c r="BO2450" s="13"/>
      <c r="BP2450" s="13"/>
      <c r="BQ2450" s="13"/>
    </row>
    <row r="2451" spans="1:69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2" t="str">
        <f t="shared" si="455"/>
        <v/>
      </c>
      <c r="L2451" s="13"/>
      <c r="M2451" s="13"/>
      <c r="N2451" s="13"/>
      <c r="O2451" s="13"/>
      <c r="P2451" s="13"/>
      <c r="R2451" s="13"/>
      <c r="S2451" s="12" t="str">
        <f t="shared" si="456"/>
        <v/>
      </c>
      <c r="T2451" s="13"/>
      <c r="U2451" s="13"/>
      <c r="V2451" s="12" t="str">
        <f t="shared" si="457"/>
        <v/>
      </c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13"/>
      <c r="AG2451" s="13"/>
      <c r="AH2451" s="13"/>
      <c r="AI2451" s="12" t="str">
        <f t="shared" si="458"/>
        <v/>
      </c>
      <c r="AJ2451" s="13"/>
      <c r="AK2451" s="13"/>
      <c r="AL2451" s="13"/>
      <c r="AM2451" s="13"/>
      <c r="AN2451" s="13"/>
      <c r="AO2451" s="13"/>
      <c r="AP2451" s="13"/>
      <c r="AQ2451" s="13"/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</row>
    <row r="2452" spans="1:69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2" t="str">
        <f t="shared" si="455"/>
        <v/>
      </c>
      <c r="L2452" s="13"/>
      <c r="M2452" s="13"/>
      <c r="N2452" s="13"/>
      <c r="O2452" s="13"/>
      <c r="P2452" s="13"/>
      <c r="R2452" s="13"/>
      <c r="S2452" s="12" t="str">
        <f t="shared" si="456"/>
        <v/>
      </c>
      <c r="T2452" s="13"/>
      <c r="U2452" s="13"/>
      <c r="V2452" s="12" t="str">
        <f t="shared" si="457"/>
        <v/>
      </c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/>
      <c r="AH2452" s="13"/>
      <c r="AI2452" s="12" t="str">
        <f t="shared" si="458"/>
        <v/>
      </c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</row>
    <row r="2453" spans="1:69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2" t="str">
        <f t="shared" si="455"/>
        <v/>
      </c>
      <c r="L2453" s="13"/>
      <c r="M2453" s="13"/>
      <c r="N2453" s="13"/>
      <c r="O2453" s="13"/>
      <c r="P2453" s="13"/>
      <c r="R2453" s="13"/>
      <c r="S2453" s="12" t="str">
        <f t="shared" si="456"/>
        <v/>
      </c>
      <c r="T2453" s="13"/>
      <c r="U2453" s="13"/>
      <c r="V2453" s="12" t="str">
        <f t="shared" si="457"/>
        <v/>
      </c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  <c r="AG2453" s="13"/>
      <c r="AH2453" s="13"/>
      <c r="AI2453" s="12" t="str">
        <f t="shared" si="458"/>
        <v/>
      </c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</row>
    <row r="2454" spans="1:69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2" t="str">
        <f t="shared" si="455"/>
        <v/>
      </c>
      <c r="L2454" s="13"/>
      <c r="M2454" s="13"/>
      <c r="N2454" s="13"/>
      <c r="O2454" s="13"/>
      <c r="P2454" s="13"/>
      <c r="R2454" s="13"/>
      <c r="S2454" s="12" t="str">
        <f t="shared" si="456"/>
        <v/>
      </c>
      <c r="T2454" s="13"/>
      <c r="U2454" s="13"/>
      <c r="V2454" s="12" t="str">
        <f t="shared" si="457"/>
        <v/>
      </c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/>
      <c r="AH2454" s="13"/>
      <c r="AI2454" s="12" t="str">
        <f t="shared" si="458"/>
        <v/>
      </c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</row>
    <row r="2455" spans="1:69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2" t="str">
        <f t="shared" si="455"/>
        <v/>
      </c>
      <c r="L2455" s="13"/>
      <c r="M2455" s="13"/>
      <c r="N2455" s="13"/>
      <c r="O2455" s="13"/>
      <c r="P2455" s="13"/>
      <c r="R2455" s="13"/>
      <c r="S2455" s="12" t="str">
        <f t="shared" si="456"/>
        <v/>
      </c>
      <c r="T2455" s="13"/>
      <c r="U2455" s="13"/>
      <c r="V2455" s="12" t="str">
        <f t="shared" si="457"/>
        <v/>
      </c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  <c r="AG2455" s="13"/>
      <c r="AH2455" s="13"/>
      <c r="AI2455" s="12" t="str">
        <f t="shared" si="458"/>
        <v/>
      </c>
      <c r="AJ2455" s="13"/>
      <c r="AK2455" s="13"/>
      <c r="AL2455" s="13"/>
      <c r="AM2455" s="13"/>
      <c r="AN2455" s="13"/>
      <c r="AO2455" s="13"/>
      <c r="AP2455" s="13"/>
      <c r="AQ2455" s="13"/>
      <c r="AR2455" s="13"/>
      <c r="AS2455" s="13"/>
      <c r="AT2455" s="13"/>
      <c r="AU2455" s="13"/>
      <c r="AV2455" s="13"/>
      <c r="AW2455" s="13"/>
      <c r="AX2455" s="13"/>
      <c r="AY2455" s="13"/>
      <c r="AZ2455" s="13"/>
      <c r="BA2455" s="13"/>
      <c r="BB2455" s="13"/>
      <c r="BC2455" s="13"/>
      <c r="BD2455" s="13"/>
      <c r="BE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O2455" s="13"/>
      <c r="BP2455" s="13"/>
      <c r="BQ2455" s="13"/>
    </row>
    <row r="2456" spans="1:69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2" t="str">
        <f t="shared" si="455"/>
        <v/>
      </c>
      <c r="L2456" s="13"/>
      <c r="M2456" s="13"/>
      <c r="N2456" s="13"/>
      <c r="O2456" s="13"/>
      <c r="P2456" s="13"/>
      <c r="R2456" s="13"/>
      <c r="S2456" s="12" t="str">
        <f t="shared" si="456"/>
        <v/>
      </c>
      <c r="T2456" s="13"/>
      <c r="U2456" s="13"/>
      <c r="V2456" s="12" t="str">
        <f t="shared" si="457"/>
        <v/>
      </c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/>
      <c r="AH2456" s="13"/>
      <c r="AI2456" s="12" t="str">
        <f t="shared" si="458"/>
        <v/>
      </c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/>
      <c r="BF2456" s="13"/>
      <c r="BG2456" s="13"/>
      <c r="BH2456" s="13"/>
      <c r="BI2456" s="13"/>
      <c r="BJ2456" s="13"/>
      <c r="BK2456" s="13"/>
      <c r="BL2456" s="13"/>
      <c r="BM2456" s="13"/>
      <c r="BN2456" s="13"/>
      <c r="BO2456" s="13"/>
      <c r="BP2456" s="13"/>
      <c r="BQ2456" s="13"/>
    </row>
    <row r="2457" spans="1:69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2" t="str">
        <f t="shared" si="455"/>
        <v/>
      </c>
      <c r="L2457" s="13"/>
      <c r="M2457" s="13"/>
      <c r="N2457" s="13"/>
      <c r="O2457" s="13"/>
      <c r="P2457" s="13"/>
      <c r="R2457" s="13"/>
      <c r="S2457" s="12" t="str">
        <f t="shared" si="456"/>
        <v/>
      </c>
      <c r="T2457" s="13"/>
      <c r="U2457" s="13"/>
      <c r="V2457" s="12" t="str">
        <f t="shared" si="457"/>
        <v/>
      </c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/>
      <c r="AH2457" s="13"/>
      <c r="AI2457" s="12" t="str">
        <f t="shared" si="458"/>
        <v/>
      </c>
      <c r="AJ2457" s="13"/>
      <c r="AK2457" s="13"/>
      <c r="AL2457" s="13"/>
      <c r="AM2457" s="13"/>
      <c r="AN2457" s="13"/>
      <c r="AO2457" s="13"/>
      <c r="AP2457" s="13"/>
      <c r="AQ2457" s="13"/>
      <c r="AR2457" s="13"/>
      <c r="AS2457" s="13"/>
      <c r="AT2457" s="13"/>
      <c r="AU2457" s="13"/>
      <c r="AV2457" s="13"/>
      <c r="AW2457" s="13"/>
      <c r="AX2457" s="13"/>
      <c r="AY2457" s="13"/>
      <c r="AZ2457" s="13"/>
      <c r="BA2457" s="13"/>
      <c r="BB2457" s="13"/>
      <c r="BC2457" s="13"/>
      <c r="BD2457" s="13"/>
      <c r="BE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O2457" s="13"/>
      <c r="BP2457" s="13"/>
      <c r="BQ2457" s="13"/>
    </row>
    <row r="2458" spans="1:69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2" t="str">
        <f t="shared" si="455"/>
        <v/>
      </c>
      <c r="L2458" s="13"/>
      <c r="M2458" s="13"/>
      <c r="N2458" s="13"/>
      <c r="O2458" s="13"/>
      <c r="P2458" s="13"/>
      <c r="R2458" s="13"/>
      <c r="S2458" s="12" t="str">
        <f t="shared" si="456"/>
        <v/>
      </c>
      <c r="T2458" s="13"/>
      <c r="U2458" s="13"/>
      <c r="V2458" s="12" t="str">
        <f t="shared" si="457"/>
        <v/>
      </c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/>
      <c r="AH2458" s="13"/>
      <c r="AI2458" s="12" t="str">
        <f t="shared" si="458"/>
        <v/>
      </c>
      <c r="AJ2458" s="13"/>
      <c r="AK2458" s="13"/>
      <c r="AL2458" s="13"/>
      <c r="AM2458" s="13"/>
      <c r="AN2458" s="13"/>
      <c r="AO2458" s="13"/>
      <c r="AP2458" s="13"/>
      <c r="AQ2458" s="13"/>
      <c r="AR2458" s="13"/>
      <c r="AS2458" s="13"/>
      <c r="AT2458" s="13"/>
      <c r="AU2458" s="13"/>
      <c r="AV2458" s="13"/>
      <c r="AW2458" s="13"/>
      <c r="AX2458" s="13"/>
      <c r="AY2458" s="13"/>
      <c r="AZ2458" s="13"/>
      <c r="BA2458" s="13"/>
      <c r="BB2458" s="13"/>
      <c r="BC2458" s="13"/>
      <c r="BD2458" s="13"/>
      <c r="BE2458" s="13"/>
      <c r="BF2458" s="13"/>
      <c r="BG2458" s="13"/>
      <c r="BH2458" s="13"/>
      <c r="BI2458" s="13"/>
      <c r="BJ2458" s="13"/>
      <c r="BK2458" s="13"/>
      <c r="BL2458" s="13"/>
      <c r="BM2458" s="13"/>
      <c r="BN2458" s="13"/>
      <c r="BO2458" s="13"/>
      <c r="BP2458" s="13"/>
      <c r="BQ2458" s="13"/>
    </row>
    <row r="2459" spans="1:69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2" t="str">
        <f t="shared" si="455"/>
        <v/>
      </c>
      <c r="L2459" s="13"/>
      <c r="M2459" s="13"/>
      <c r="N2459" s="13"/>
      <c r="O2459" s="13"/>
      <c r="P2459" s="13"/>
      <c r="R2459" s="13"/>
      <c r="S2459" s="12" t="str">
        <f t="shared" si="456"/>
        <v/>
      </c>
      <c r="T2459" s="13"/>
      <c r="U2459" s="13"/>
      <c r="V2459" s="12" t="str">
        <f t="shared" si="457"/>
        <v/>
      </c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/>
      <c r="AH2459" s="13"/>
      <c r="AI2459" s="12" t="str">
        <f t="shared" si="458"/>
        <v/>
      </c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/>
      <c r="AX2459" s="13"/>
      <c r="AY2459" s="13"/>
      <c r="AZ2459" s="13"/>
      <c r="BA2459" s="13"/>
      <c r="BB2459" s="13"/>
      <c r="BC2459" s="13"/>
      <c r="BD2459" s="13"/>
      <c r="BE2459" s="13"/>
      <c r="BF2459" s="13"/>
      <c r="BG2459" s="13"/>
      <c r="BH2459" s="13"/>
      <c r="BI2459" s="13"/>
      <c r="BJ2459" s="13"/>
      <c r="BK2459" s="13"/>
      <c r="BL2459" s="13"/>
      <c r="BM2459" s="13"/>
      <c r="BN2459" s="13"/>
      <c r="BO2459" s="13"/>
      <c r="BP2459" s="13"/>
      <c r="BQ2459" s="13"/>
    </row>
    <row r="2460" spans="1:69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2" t="str">
        <f t="shared" si="455"/>
        <v/>
      </c>
      <c r="L2460" s="13"/>
      <c r="M2460" s="13"/>
      <c r="N2460" s="13"/>
      <c r="O2460" s="13"/>
      <c r="P2460" s="13"/>
      <c r="R2460" s="13"/>
      <c r="S2460" s="12" t="str">
        <f t="shared" si="456"/>
        <v/>
      </c>
      <c r="T2460" s="13"/>
      <c r="U2460" s="13"/>
      <c r="V2460" s="12" t="str">
        <f t="shared" si="457"/>
        <v/>
      </c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  <c r="AG2460" s="13"/>
      <c r="AH2460" s="13"/>
      <c r="AI2460" s="12" t="str">
        <f t="shared" si="458"/>
        <v/>
      </c>
      <c r="AJ2460" s="13"/>
      <c r="AK2460" s="13"/>
      <c r="AL2460" s="13"/>
      <c r="AM2460" s="13"/>
      <c r="AN2460" s="13"/>
      <c r="AO2460" s="13"/>
      <c r="AP2460" s="13"/>
      <c r="AQ2460" s="13"/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</row>
    <row r="2461" spans="1:69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2" t="str">
        <f t="shared" si="455"/>
        <v/>
      </c>
      <c r="L2461" s="13"/>
      <c r="M2461" s="13"/>
      <c r="N2461" s="13"/>
      <c r="O2461" s="13"/>
      <c r="P2461" s="13"/>
      <c r="R2461" s="13"/>
      <c r="S2461" s="12" t="str">
        <f t="shared" si="456"/>
        <v/>
      </c>
      <c r="T2461" s="13"/>
      <c r="U2461" s="13"/>
      <c r="V2461" s="12" t="str">
        <f t="shared" si="457"/>
        <v/>
      </c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/>
      <c r="AH2461" s="13"/>
      <c r="AI2461" s="12" t="str">
        <f t="shared" si="458"/>
        <v/>
      </c>
      <c r="AJ2461" s="13"/>
      <c r="AK2461" s="13"/>
      <c r="AL2461" s="13"/>
      <c r="AM2461" s="13"/>
      <c r="AN2461" s="13"/>
      <c r="AO2461" s="13"/>
      <c r="AP2461" s="13"/>
      <c r="AQ2461" s="13"/>
      <c r="AR2461" s="13"/>
      <c r="AS2461" s="13"/>
      <c r="AT2461" s="13"/>
      <c r="AU2461" s="13"/>
      <c r="AV2461" s="13"/>
      <c r="AW2461" s="13"/>
      <c r="AX2461" s="13"/>
      <c r="AY2461" s="13"/>
      <c r="AZ2461" s="13"/>
      <c r="BA2461" s="13"/>
      <c r="BB2461" s="13"/>
      <c r="BC2461" s="13"/>
      <c r="BD2461" s="13"/>
      <c r="BE2461" s="13"/>
      <c r="BF2461" s="13"/>
      <c r="BG2461" s="13"/>
      <c r="BH2461" s="13"/>
      <c r="BI2461" s="13"/>
      <c r="BJ2461" s="13"/>
      <c r="BK2461" s="13"/>
      <c r="BL2461" s="13"/>
      <c r="BM2461" s="13"/>
      <c r="BN2461" s="13"/>
      <c r="BO2461" s="13"/>
      <c r="BP2461" s="13"/>
      <c r="BQ2461" s="13"/>
    </row>
    <row r="2462" spans="1:69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2" t="str">
        <f t="shared" si="455"/>
        <v/>
      </c>
      <c r="L2462" s="13"/>
      <c r="M2462" s="13"/>
      <c r="N2462" s="13"/>
      <c r="O2462" s="13"/>
      <c r="P2462" s="13"/>
      <c r="R2462" s="13"/>
      <c r="S2462" s="12" t="str">
        <f t="shared" si="456"/>
        <v/>
      </c>
      <c r="T2462" s="13"/>
      <c r="U2462" s="13"/>
      <c r="V2462" s="12" t="str">
        <f t="shared" si="457"/>
        <v/>
      </c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  <c r="AH2462" s="13"/>
      <c r="AI2462" s="12" t="str">
        <f t="shared" si="458"/>
        <v/>
      </c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/>
      <c r="BE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O2462" s="13"/>
      <c r="BP2462" s="13"/>
      <c r="BQ2462" s="13"/>
    </row>
    <row r="2463" spans="1:69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2" t="str">
        <f t="shared" si="455"/>
        <v/>
      </c>
      <c r="L2463" s="13"/>
      <c r="M2463" s="13"/>
      <c r="N2463" s="13"/>
      <c r="O2463" s="13"/>
      <c r="P2463" s="13"/>
      <c r="R2463" s="13"/>
      <c r="S2463" s="12" t="str">
        <f t="shared" si="456"/>
        <v/>
      </c>
      <c r="T2463" s="13"/>
      <c r="U2463" s="13"/>
      <c r="V2463" s="12" t="str">
        <f t="shared" si="457"/>
        <v/>
      </c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/>
      <c r="AH2463" s="13"/>
      <c r="AI2463" s="12" t="str">
        <f t="shared" si="458"/>
        <v/>
      </c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</row>
    <row r="2464" spans="1:69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2" t="str">
        <f t="shared" si="455"/>
        <v/>
      </c>
      <c r="L2464" s="13"/>
      <c r="M2464" s="13"/>
      <c r="N2464" s="13"/>
      <c r="O2464" s="13"/>
      <c r="P2464" s="13"/>
      <c r="R2464" s="13"/>
      <c r="S2464" s="12" t="str">
        <f t="shared" si="456"/>
        <v/>
      </c>
      <c r="T2464" s="13"/>
      <c r="U2464" s="13"/>
      <c r="V2464" s="12" t="str">
        <f t="shared" si="457"/>
        <v/>
      </c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/>
      <c r="AH2464" s="13"/>
      <c r="AI2464" s="12" t="str">
        <f t="shared" si="458"/>
        <v/>
      </c>
      <c r="AJ2464" s="13"/>
      <c r="AK2464" s="13"/>
      <c r="AL2464" s="13"/>
      <c r="AM2464" s="13"/>
      <c r="AN2464" s="13"/>
      <c r="AO2464" s="13"/>
      <c r="AP2464" s="13"/>
      <c r="AQ2464" s="13"/>
      <c r="AR2464" s="13"/>
      <c r="AS2464" s="13"/>
      <c r="AT2464" s="13"/>
      <c r="AU2464" s="13"/>
      <c r="AV2464" s="13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/>
      <c r="BI2464" s="13"/>
      <c r="BJ2464" s="13"/>
      <c r="BK2464" s="13"/>
      <c r="BL2464" s="13"/>
      <c r="BM2464" s="13"/>
      <c r="BN2464" s="13"/>
      <c r="BO2464" s="13"/>
      <c r="BP2464" s="13"/>
      <c r="BQ2464" s="13"/>
    </row>
    <row r="2465" spans="1:69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2" t="str">
        <f t="shared" si="455"/>
        <v/>
      </c>
      <c r="L2465" s="13"/>
      <c r="M2465" s="13"/>
      <c r="N2465" s="13"/>
      <c r="O2465" s="13"/>
      <c r="P2465" s="13"/>
      <c r="R2465" s="13"/>
      <c r="S2465" s="12" t="str">
        <f t="shared" si="456"/>
        <v/>
      </c>
      <c r="T2465" s="13"/>
      <c r="U2465" s="13"/>
      <c r="V2465" s="12" t="str">
        <f t="shared" si="457"/>
        <v/>
      </c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/>
      <c r="AH2465" s="13"/>
      <c r="AI2465" s="12" t="str">
        <f t="shared" si="458"/>
        <v/>
      </c>
      <c r="AJ2465" s="13"/>
      <c r="AK2465" s="13"/>
      <c r="AL2465" s="13"/>
      <c r="AM2465" s="13"/>
      <c r="AN2465" s="13"/>
      <c r="AO2465" s="13"/>
      <c r="AP2465" s="13"/>
      <c r="AQ2465" s="13"/>
      <c r="AR2465" s="13"/>
      <c r="AS2465" s="13"/>
      <c r="AT2465" s="13"/>
      <c r="AU2465" s="13"/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/>
      <c r="BJ2465" s="13"/>
      <c r="BK2465" s="13"/>
      <c r="BL2465" s="13"/>
      <c r="BM2465" s="13"/>
      <c r="BN2465" s="13"/>
      <c r="BO2465" s="13"/>
      <c r="BP2465" s="13"/>
      <c r="BQ2465" s="13"/>
    </row>
    <row r="2466" spans="1:69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2" t="str">
        <f t="shared" si="455"/>
        <v/>
      </c>
      <c r="L2466" s="13"/>
      <c r="M2466" s="13"/>
      <c r="N2466" s="13"/>
      <c r="O2466" s="13"/>
      <c r="P2466" s="13"/>
      <c r="R2466" s="13"/>
      <c r="S2466" s="12" t="str">
        <f t="shared" si="456"/>
        <v/>
      </c>
      <c r="T2466" s="13"/>
      <c r="U2466" s="13"/>
      <c r="V2466" s="12" t="str">
        <f t="shared" si="457"/>
        <v/>
      </c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/>
      <c r="AH2466" s="13"/>
      <c r="AI2466" s="12" t="str">
        <f t="shared" si="458"/>
        <v/>
      </c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</row>
    <row r="2467" spans="1:69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2" t="str">
        <f t="shared" si="455"/>
        <v/>
      </c>
      <c r="L2467" s="13"/>
      <c r="M2467" s="13"/>
      <c r="N2467" s="13"/>
      <c r="O2467" s="13"/>
      <c r="P2467" s="13"/>
      <c r="R2467" s="13"/>
      <c r="S2467" s="12" t="str">
        <f t="shared" si="456"/>
        <v/>
      </c>
      <c r="T2467" s="13"/>
      <c r="U2467" s="13"/>
      <c r="V2467" s="12" t="str">
        <f t="shared" si="457"/>
        <v/>
      </c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  <c r="AG2467" s="13"/>
      <c r="AH2467" s="13"/>
      <c r="AI2467" s="12" t="str">
        <f t="shared" si="458"/>
        <v/>
      </c>
      <c r="AJ2467" s="13"/>
      <c r="AK2467" s="13"/>
      <c r="AL2467" s="13"/>
      <c r="AM2467" s="13"/>
      <c r="AN2467" s="13"/>
      <c r="AO2467" s="13"/>
      <c r="AP2467" s="13"/>
      <c r="AQ2467" s="13"/>
      <c r="AR2467" s="13"/>
      <c r="AS2467" s="13"/>
      <c r="AT2467" s="13"/>
      <c r="AU2467" s="13"/>
      <c r="AV2467" s="13"/>
      <c r="AW2467" s="13"/>
      <c r="AX2467" s="13"/>
      <c r="AY2467" s="13"/>
      <c r="AZ2467" s="13"/>
      <c r="BA2467" s="13"/>
      <c r="BB2467" s="13"/>
      <c r="BC2467" s="13"/>
      <c r="BD2467" s="13"/>
      <c r="BE2467" s="13"/>
      <c r="BF2467" s="13"/>
      <c r="BG2467" s="13"/>
      <c r="BH2467" s="13"/>
      <c r="BI2467" s="13"/>
      <c r="BJ2467" s="13"/>
      <c r="BK2467" s="13"/>
      <c r="BL2467" s="13"/>
      <c r="BM2467" s="13"/>
      <c r="BN2467" s="13"/>
      <c r="BO2467" s="13"/>
      <c r="BP2467" s="13"/>
      <c r="BQ2467" s="13"/>
    </row>
    <row r="2468" spans="1:69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2" t="str">
        <f t="shared" si="455"/>
        <v/>
      </c>
      <c r="L2468" s="13"/>
      <c r="M2468" s="13"/>
      <c r="N2468" s="13"/>
      <c r="O2468" s="13"/>
      <c r="P2468" s="13"/>
      <c r="R2468" s="13"/>
      <c r="S2468" s="12" t="str">
        <f t="shared" si="456"/>
        <v/>
      </c>
      <c r="T2468" s="13"/>
      <c r="U2468" s="13"/>
      <c r="V2468" s="12" t="str">
        <f t="shared" si="457"/>
        <v/>
      </c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/>
      <c r="AH2468" s="13"/>
      <c r="AI2468" s="12" t="str">
        <f t="shared" si="458"/>
        <v/>
      </c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/>
      <c r="BA2468" s="13"/>
      <c r="BB2468" s="13"/>
      <c r="BC2468" s="13"/>
      <c r="BD2468" s="13"/>
      <c r="BE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O2468" s="13"/>
      <c r="BP2468" s="13"/>
      <c r="BQ2468" s="13"/>
    </row>
    <row r="2469" spans="1:69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2" t="str">
        <f t="shared" si="455"/>
        <v/>
      </c>
      <c r="L2469" s="13"/>
      <c r="M2469" s="13"/>
      <c r="N2469" s="13"/>
      <c r="O2469" s="13"/>
      <c r="P2469" s="13"/>
      <c r="R2469" s="13"/>
      <c r="S2469" s="12" t="str">
        <f t="shared" si="456"/>
        <v/>
      </c>
      <c r="T2469" s="13"/>
      <c r="U2469" s="13"/>
      <c r="V2469" s="12" t="str">
        <f t="shared" si="457"/>
        <v/>
      </c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  <c r="AG2469" s="13"/>
      <c r="AH2469" s="13"/>
      <c r="AI2469" s="12" t="str">
        <f t="shared" si="458"/>
        <v/>
      </c>
      <c r="AJ2469" s="13"/>
      <c r="AK2469" s="13"/>
      <c r="AL2469" s="13"/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/>
      <c r="AX2469" s="13"/>
      <c r="AY2469" s="13"/>
      <c r="AZ2469" s="13"/>
      <c r="BA2469" s="13"/>
      <c r="BB2469" s="13"/>
      <c r="BC2469" s="13"/>
      <c r="BD2469" s="13"/>
      <c r="BE2469" s="13"/>
      <c r="BF2469" s="13"/>
      <c r="BG2469" s="13"/>
      <c r="BH2469" s="13"/>
      <c r="BI2469" s="13"/>
      <c r="BJ2469" s="13"/>
      <c r="BK2469" s="13"/>
      <c r="BL2469" s="13"/>
      <c r="BM2469" s="13"/>
      <c r="BN2469" s="13"/>
      <c r="BO2469" s="13"/>
      <c r="BP2469" s="13"/>
      <c r="BQ2469" s="13"/>
    </row>
    <row r="2470" spans="1:69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2" t="str">
        <f t="shared" si="455"/>
        <v/>
      </c>
      <c r="L2470" s="13"/>
      <c r="M2470" s="13"/>
      <c r="N2470" s="13"/>
      <c r="O2470" s="13"/>
      <c r="P2470" s="13"/>
      <c r="R2470" s="13"/>
      <c r="S2470" s="12" t="str">
        <f t="shared" si="456"/>
        <v/>
      </c>
      <c r="T2470" s="13"/>
      <c r="U2470" s="13"/>
      <c r="V2470" s="12" t="str">
        <f t="shared" si="457"/>
        <v/>
      </c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/>
      <c r="AH2470" s="13"/>
      <c r="AI2470" s="12" t="str">
        <f t="shared" si="458"/>
        <v/>
      </c>
      <c r="AJ2470" s="13"/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/>
      <c r="AY2470" s="13"/>
      <c r="AZ2470" s="13"/>
      <c r="BA2470" s="13"/>
      <c r="BB2470" s="13"/>
      <c r="BC2470" s="13"/>
      <c r="BD2470" s="13"/>
      <c r="BE2470" s="13"/>
      <c r="BF2470" s="13"/>
      <c r="BG2470" s="13"/>
      <c r="BH2470" s="13"/>
      <c r="BI2470" s="13"/>
      <c r="BJ2470" s="13"/>
      <c r="BK2470" s="13"/>
      <c r="BL2470" s="13"/>
      <c r="BM2470" s="13"/>
      <c r="BN2470" s="13"/>
      <c r="BO2470" s="13"/>
      <c r="BP2470" s="13"/>
      <c r="BQ2470" s="13"/>
    </row>
    <row r="2471" spans="1:69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2" t="str">
        <f t="shared" si="455"/>
        <v/>
      </c>
      <c r="L2471" s="13"/>
      <c r="M2471" s="13"/>
      <c r="N2471" s="13"/>
      <c r="O2471" s="13"/>
      <c r="P2471" s="13"/>
      <c r="R2471" s="13"/>
      <c r="S2471" s="12" t="str">
        <f t="shared" si="456"/>
        <v/>
      </c>
      <c r="T2471" s="13"/>
      <c r="U2471" s="13"/>
      <c r="V2471" s="12" t="str">
        <f t="shared" si="457"/>
        <v/>
      </c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/>
      <c r="AH2471" s="13"/>
      <c r="AI2471" s="12" t="str">
        <f t="shared" si="458"/>
        <v/>
      </c>
      <c r="AJ2471" s="13"/>
      <c r="AK2471" s="13"/>
      <c r="AL2471" s="13"/>
      <c r="AM2471" s="13"/>
      <c r="AN2471" s="13"/>
      <c r="AO2471" s="13"/>
      <c r="AP2471" s="13"/>
      <c r="AQ2471" s="13"/>
      <c r="AR2471" s="13"/>
      <c r="AS2471" s="13"/>
      <c r="AT2471" s="13"/>
      <c r="AU2471" s="13"/>
      <c r="AV2471" s="13"/>
      <c r="AW2471" s="13"/>
      <c r="AX2471" s="13"/>
      <c r="AY2471" s="13"/>
      <c r="AZ2471" s="13"/>
      <c r="BA2471" s="13"/>
      <c r="BB2471" s="13"/>
      <c r="BC2471" s="13"/>
      <c r="BD2471" s="13"/>
      <c r="BE2471" s="13"/>
      <c r="BF2471" s="13"/>
      <c r="BG2471" s="13"/>
      <c r="BH2471" s="13"/>
      <c r="BI2471" s="13"/>
      <c r="BJ2471" s="13"/>
      <c r="BK2471" s="13"/>
      <c r="BL2471" s="13"/>
      <c r="BM2471" s="13"/>
      <c r="BN2471" s="13"/>
      <c r="BO2471" s="13"/>
      <c r="BP2471" s="13"/>
      <c r="BQ2471" s="13"/>
    </row>
    <row r="2472" spans="1:69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2" t="str">
        <f t="shared" si="455"/>
        <v/>
      </c>
      <c r="L2472" s="13"/>
      <c r="M2472" s="13"/>
      <c r="N2472" s="13"/>
      <c r="O2472" s="13"/>
      <c r="P2472" s="13"/>
      <c r="R2472" s="13"/>
      <c r="S2472" s="12" t="str">
        <f t="shared" si="456"/>
        <v/>
      </c>
      <c r="T2472" s="13"/>
      <c r="U2472" s="13"/>
      <c r="V2472" s="12" t="str">
        <f t="shared" si="457"/>
        <v/>
      </c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  <c r="AG2472" s="13"/>
      <c r="AH2472" s="13"/>
      <c r="AI2472" s="12" t="str">
        <f t="shared" si="458"/>
        <v/>
      </c>
      <c r="AJ2472" s="13"/>
      <c r="AK2472" s="13"/>
      <c r="AL2472" s="13"/>
      <c r="AM2472" s="13"/>
      <c r="AN2472" s="13"/>
      <c r="AO2472" s="13"/>
      <c r="AP2472" s="13"/>
      <c r="AQ2472" s="13"/>
      <c r="AR2472" s="13"/>
      <c r="AS2472" s="13"/>
      <c r="AT2472" s="13"/>
      <c r="AU2472" s="13"/>
      <c r="AV2472" s="13"/>
      <c r="AW2472" s="13"/>
      <c r="AX2472" s="13"/>
      <c r="AY2472" s="13"/>
      <c r="AZ2472" s="13"/>
      <c r="BA2472" s="13"/>
      <c r="BB2472" s="13"/>
      <c r="BC2472" s="13"/>
      <c r="BD2472" s="13"/>
      <c r="BE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O2472" s="13"/>
      <c r="BP2472" s="13"/>
      <c r="BQ2472" s="13"/>
    </row>
    <row r="2473" spans="1:69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2" t="str">
        <f t="shared" si="455"/>
        <v/>
      </c>
      <c r="L2473" s="13"/>
      <c r="M2473" s="13"/>
      <c r="N2473" s="13"/>
      <c r="O2473" s="13"/>
      <c r="P2473" s="13"/>
      <c r="R2473" s="13"/>
      <c r="S2473" s="12" t="str">
        <f t="shared" si="456"/>
        <v/>
      </c>
      <c r="T2473" s="13"/>
      <c r="U2473" s="13"/>
      <c r="V2473" s="12" t="str">
        <f t="shared" si="457"/>
        <v/>
      </c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  <c r="AG2473" s="13"/>
      <c r="AH2473" s="13"/>
      <c r="AI2473" s="12" t="str">
        <f t="shared" si="458"/>
        <v/>
      </c>
      <c r="AJ2473" s="13"/>
      <c r="AK2473" s="13"/>
      <c r="AL2473" s="13"/>
      <c r="AM2473" s="13"/>
      <c r="AN2473" s="13"/>
      <c r="AO2473" s="13"/>
      <c r="AP2473" s="13"/>
      <c r="AQ2473" s="13"/>
      <c r="AR2473" s="13"/>
      <c r="AS2473" s="13"/>
      <c r="AT2473" s="13"/>
      <c r="AU2473" s="13"/>
      <c r="AV2473" s="13"/>
      <c r="AW2473" s="13"/>
      <c r="AX2473" s="13"/>
      <c r="AY2473" s="13"/>
      <c r="AZ2473" s="13"/>
      <c r="BA2473" s="13"/>
      <c r="BB2473" s="13"/>
      <c r="BC2473" s="13"/>
      <c r="BD2473" s="13"/>
      <c r="BE2473" s="13"/>
      <c r="BF2473" s="13"/>
      <c r="BG2473" s="13"/>
      <c r="BH2473" s="13"/>
      <c r="BI2473" s="13"/>
      <c r="BJ2473" s="13"/>
      <c r="BK2473" s="13"/>
      <c r="BL2473" s="13"/>
      <c r="BM2473" s="13"/>
      <c r="BN2473" s="13"/>
      <c r="BO2473" s="13"/>
      <c r="BP2473" s="13"/>
      <c r="BQ2473" s="13"/>
    </row>
    <row r="2474" spans="1:69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2" t="str">
        <f t="shared" si="455"/>
        <v/>
      </c>
      <c r="L2474" s="13"/>
      <c r="M2474" s="13"/>
      <c r="N2474" s="13"/>
      <c r="O2474" s="13"/>
      <c r="P2474" s="13"/>
      <c r="R2474" s="13"/>
      <c r="S2474" s="12" t="str">
        <f t="shared" si="456"/>
        <v/>
      </c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  <c r="AO2474" s="13"/>
      <c r="AP2474" s="13"/>
      <c r="AQ2474" s="13"/>
      <c r="AR2474" s="13"/>
      <c r="AS2474" s="13"/>
      <c r="AT2474" s="13"/>
      <c r="AU2474" s="13"/>
      <c r="AV2474" s="13"/>
      <c r="AW2474" s="13"/>
      <c r="AX2474" s="13"/>
      <c r="AY2474" s="13"/>
      <c r="AZ2474" s="13"/>
      <c r="BA2474" s="13"/>
      <c r="BB2474" s="13"/>
      <c r="BC2474" s="13"/>
      <c r="BD2474" s="13"/>
      <c r="BE2474" s="13"/>
      <c r="BF2474" s="13"/>
      <c r="BG2474" s="13"/>
      <c r="BH2474" s="13"/>
      <c r="BI2474" s="13"/>
      <c r="BJ2474" s="13"/>
      <c r="BK2474" s="13"/>
      <c r="BL2474" s="13"/>
      <c r="BM2474" s="13"/>
      <c r="BN2474" s="13"/>
      <c r="BO2474" s="13"/>
      <c r="BP2474" s="13"/>
      <c r="BQ2474" s="13"/>
    </row>
    <row r="2475" spans="1:69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2" t="str">
        <f t="shared" si="455"/>
        <v/>
      </c>
      <c r="L2475" s="13"/>
      <c r="M2475" s="13"/>
      <c r="N2475" s="13"/>
      <c r="O2475" s="13"/>
      <c r="P2475" s="13"/>
      <c r="R2475" s="13"/>
      <c r="S2475" s="12" t="str">
        <f t="shared" si="456"/>
        <v/>
      </c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  <c r="AO2475" s="13"/>
      <c r="AP2475" s="13"/>
      <c r="AQ2475" s="13"/>
      <c r="AR2475" s="13"/>
      <c r="AS2475" s="13"/>
      <c r="AT2475" s="13"/>
      <c r="AU2475" s="13"/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/>
      <c r="BF2475" s="13"/>
      <c r="BG2475" s="13"/>
      <c r="BH2475" s="13"/>
      <c r="BI2475" s="13"/>
      <c r="BJ2475" s="13"/>
      <c r="BK2475" s="13"/>
      <c r="BL2475" s="13"/>
      <c r="BM2475" s="13"/>
      <c r="BN2475" s="13"/>
      <c r="BO2475" s="13"/>
      <c r="BP2475" s="13"/>
      <c r="BQ2475" s="13"/>
    </row>
    <row r="2476" spans="1:69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2" t="str">
        <f t="shared" si="455"/>
        <v/>
      </c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</row>
    <row r="2477" spans="1:69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2" t="str">
        <f t="shared" si="455"/>
        <v/>
      </c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  <c r="AO2477" s="13"/>
      <c r="AP2477" s="13"/>
      <c r="AQ2477" s="13"/>
      <c r="AR2477" s="13"/>
      <c r="AS2477" s="13"/>
      <c r="AT2477" s="13"/>
      <c r="AU2477" s="13"/>
      <c r="AV2477" s="13"/>
      <c r="AW2477" s="13"/>
      <c r="AX2477" s="13"/>
      <c r="AY2477" s="13"/>
      <c r="AZ2477" s="13"/>
      <c r="BA2477" s="13"/>
      <c r="BB2477" s="13"/>
      <c r="BC2477" s="13"/>
      <c r="BD2477" s="13"/>
      <c r="BE2477" s="13"/>
      <c r="BF2477" s="13"/>
      <c r="BG2477" s="13"/>
      <c r="BH2477" s="13"/>
      <c r="BI2477" s="13"/>
      <c r="BJ2477" s="13"/>
      <c r="BK2477" s="13"/>
      <c r="BL2477" s="13"/>
      <c r="BM2477" s="13"/>
      <c r="BN2477" s="13"/>
      <c r="BO2477" s="13"/>
      <c r="BP2477" s="13"/>
      <c r="BQ2477" s="13"/>
    </row>
    <row r="2478" spans="1:69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2" t="str">
        <f t="shared" si="455"/>
        <v/>
      </c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</row>
    <row r="2479" spans="1:69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2" t="str">
        <f t="shared" ref="K2479:K2481" si="459">RIGHT(J2479,4)</f>
        <v/>
      </c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  <c r="AO2479" s="13"/>
      <c r="AP2479" s="13"/>
      <c r="AQ2479" s="13"/>
      <c r="AR2479" s="13"/>
      <c r="AS2479" s="13"/>
      <c r="AT2479" s="13"/>
      <c r="AU2479" s="13"/>
      <c r="AV2479" s="13"/>
      <c r="AW2479" s="13"/>
      <c r="AX2479" s="13"/>
      <c r="AY2479" s="13"/>
      <c r="AZ2479" s="13"/>
      <c r="BA2479" s="13"/>
      <c r="BB2479" s="13"/>
      <c r="BC2479" s="13"/>
      <c r="BD2479" s="13"/>
      <c r="BE2479" s="13"/>
      <c r="BF2479" s="13"/>
      <c r="BG2479" s="13"/>
      <c r="BH2479" s="13"/>
      <c r="BI2479" s="13"/>
      <c r="BJ2479" s="13"/>
      <c r="BK2479" s="13"/>
      <c r="BL2479" s="13"/>
      <c r="BM2479" s="13"/>
      <c r="BN2479" s="13"/>
      <c r="BO2479" s="13"/>
      <c r="BP2479" s="13"/>
      <c r="BQ2479" s="13"/>
    </row>
    <row r="2480" spans="1:69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2" t="str">
        <f t="shared" si="459"/>
        <v/>
      </c>
      <c r="L2480" s="13"/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/>
      <c r="AX2480" s="13"/>
      <c r="AY2480" s="13"/>
      <c r="AZ2480" s="13"/>
      <c r="BA2480" s="13"/>
      <c r="BB2480" s="13"/>
      <c r="BC2480" s="13"/>
      <c r="BD2480" s="13"/>
      <c r="BE2480" s="13"/>
      <c r="BF2480" s="13"/>
      <c r="BG2480" s="13"/>
      <c r="BH2480" s="13"/>
      <c r="BI2480" s="13"/>
      <c r="BJ2480" s="13"/>
      <c r="BK2480" s="13"/>
      <c r="BL2480" s="13"/>
      <c r="BM2480" s="13"/>
      <c r="BN2480" s="13"/>
      <c r="BO2480" s="13"/>
      <c r="BP2480" s="13"/>
      <c r="BQ2480" s="13"/>
    </row>
    <row r="2481" spans="1:69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2" t="str">
        <f t="shared" si="459"/>
        <v/>
      </c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  <c r="AO2481" s="13"/>
      <c r="AP2481" s="13"/>
      <c r="AQ2481" s="13"/>
      <c r="AR2481" s="13"/>
      <c r="AS2481" s="13"/>
      <c r="AT2481" s="13"/>
      <c r="AU2481" s="13"/>
      <c r="AV2481" s="13"/>
      <c r="AW2481" s="13"/>
      <c r="AX2481" s="13"/>
      <c r="AY2481" s="13"/>
      <c r="AZ2481" s="13"/>
      <c r="BA2481" s="13"/>
      <c r="BB2481" s="13"/>
      <c r="BC2481" s="13"/>
      <c r="BD2481" s="13"/>
      <c r="BE2481" s="13"/>
      <c r="BF2481" s="13"/>
      <c r="BG2481" s="13"/>
      <c r="BH2481" s="13"/>
      <c r="BI2481" s="13"/>
      <c r="BJ2481" s="13"/>
      <c r="BK2481" s="13"/>
      <c r="BL2481" s="13"/>
      <c r="BM2481" s="13"/>
      <c r="BN2481" s="13"/>
      <c r="BO2481" s="13"/>
      <c r="BP2481" s="13"/>
      <c r="BQ2481" s="13"/>
    </row>
    <row r="2482" spans="1:69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/>
      <c r="AX2482" s="13"/>
      <c r="AY2482" s="13"/>
      <c r="AZ2482" s="13"/>
      <c r="BA2482" s="13"/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</row>
    <row r="2483" spans="1:69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  <c r="U2483" s="13"/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  <c r="AO2483" s="13"/>
      <c r="AP2483" s="13"/>
      <c r="AQ2483" s="13"/>
      <c r="AR2483" s="13"/>
      <c r="AS2483" s="13"/>
      <c r="AT2483" s="13"/>
      <c r="AU2483" s="13"/>
      <c r="AV2483" s="13"/>
      <c r="AW2483" s="13"/>
      <c r="AX2483" s="13"/>
      <c r="AY2483" s="13"/>
      <c r="AZ2483" s="13"/>
      <c r="BA2483" s="13"/>
      <c r="BB2483" s="13"/>
      <c r="BC2483" s="13"/>
      <c r="BD2483" s="13"/>
      <c r="BE2483" s="13"/>
      <c r="BF2483" s="13"/>
      <c r="BG2483" s="13"/>
      <c r="BH2483" s="13"/>
      <c r="BI2483" s="13"/>
      <c r="BJ2483" s="13"/>
      <c r="BK2483" s="13"/>
      <c r="BL2483" s="13"/>
      <c r="BM2483" s="13"/>
      <c r="BN2483" s="13"/>
      <c r="BO2483" s="13"/>
      <c r="BP2483" s="13"/>
      <c r="BQ2483" s="13"/>
    </row>
    <row r="2484" spans="1:69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  <c r="AO2484" s="13"/>
      <c r="AP2484" s="13"/>
      <c r="AQ2484" s="13"/>
      <c r="AR2484" s="13"/>
      <c r="AS2484" s="13"/>
      <c r="AT2484" s="13"/>
      <c r="AU2484" s="13"/>
      <c r="AV2484" s="13"/>
      <c r="AW2484" s="13"/>
      <c r="AX2484" s="13"/>
      <c r="AY2484" s="13"/>
      <c r="AZ2484" s="13"/>
      <c r="BA2484" s="13"/>
      <c r="BB2484" s="13"/>
      <c r="BC2484" s="13"/>
      <c r="BD2484" s="13"/>
      <c r="BE2484" s="13"/>
      <c r="BF2484" s="13"/>
      <c r="BG2484" s="13"/>
      <c r="BH2484" s="13"/>
      <c r="BI2484" s="13"/>
      <c r="BJ2484" s="13"/>
      <c r="BK2484" s="13"/>
      <c r="BL2484" s="13"/>
      <c r="BM2484" s="13"/>
      <c r="BN2484" s="13"/>
      <c r="BO2484" s="13"/>
      <c r="BP2484" s="13"/>
      <c r="BQ2484" s="13"/>
    </row>
    <row r="2485" spans="1:69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/>
      <c r="AX2485" s="13"/>
      <c r="AY2485" s="13"/>
      <c r="AZ2485" s="13"/>
      <c r="BA2485" s="13"/>
      <c r="BB2485" s="13"/>
      <c r="BC2485" s="13"/>
      <c r="BD2485" s="13"/>
      <c r="BE2485" s="13"/>
      <c r="BF2485" s="13"/>
      <c r="BG2485" s="13"/>
      <c r="BH2485" s="13"/>
      <c r="BI2485" s="13"/>
      <c r="BJ2485" s="13"/>
      <c r="BK2485" s="13"/>
      <c r="BL2485" s="13"/>
      <c r="BM2485" s="13"/>
      <c r="BN2485" s="13"/>
      <c r="BO2485" s="13"/>
      <c r="BP2485" s="13"/>
      <c r="BQ2485" s="13"/>
    </row>
    <row r="2486" spans="1:69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/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</row>
    <row r="2487" spans="1:69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  <c r="AO2487" s="13"/>
      <c r="AP2487" s="13"/>
      <c r="AQ2487" s="13"/>
      <c r="AR2487" s="13"/>
      <c r="AS2487" s="13"/>
      <c r="AT2487" s="13"/>
      <c r="AU2487" s="13"/>
      <c r="AV2487" s="13"/>
      <c r="AW2487" s="13"/>
      <c r="AX2487" s="13"/>
      <c r="AY2487" s="13"/>
      <c r="AZ2487" s="13"/>
      <c r="BA2487" s="13"/>
      <c r="BB2487" s="13"/>
      <c r="BC2487" s="13"/>
      <c r="BD2487" s="13"/>
      <c r="BE2487" s="13"/>
      <c r="BF2487" s="13"/>
      <c r="BG2487" s="13"/>
      <c r="BH2487" s="13"/>
      <c r="BI2487" s="13"/>
      <c r="BJ2487" s="13"/>
      <c r="BK2487" s="13"/>
      <c r="BL2487" s="13"/>
      <c r="BM2487" s="13"/>
      <c r="BN2487" s="13"/>
      <c r="BO2487" s="13"/>
      <c r="BP2487" s="13"/>
      <c r="BQ2487" s="13"/>
    </row>
    <row r="2488" spans="1:69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F2488" s="13"/>
      <c r="AG2488" s="13"/>
      <c r="AH2488" s="13"/>
      <c r="AI2488" s="13"/>
      <c r="AJ2488" s="13"/>
      <c r="AK2488" s="13"/>
      <c r="AL2488" s="13"/>
      <c r="AM2488" s="13"/>
      <c r="AN2488" s="13"/>
      <c r="AO2488" s="13"/>
      <c r="AP2488" s="13"/>
      <c r="AQ2488" s="13"/>
      <c r="AR2488" s="13"/>
      <c r="AS2488" s="13"/>
      <c r="AT2488" s="13"/>
      <c r="AU2488" s="13"/>
      <c r="AV2488" s="13"/>
      <c r="AW2488" s="13"/>
      <c r="AX2488" s="13"/>
      <c r="AY2488" s="13"/>
      <c r="AZ2488" s="13"/>
      <c r="BA2488" s="13"/>
      <c r="BB2488" s="13"/>
      <c r="BC2488" s="13"/>
      <c r="BD2488" s="13"/>
      <c r="BE2488" s="13"/>
      <c r="BF2488" s="13"/>
      <c r="BG2488" s="13"/>
      <c r="BH2488" s="13"/>
      <c r="BI2488" s="13"/>
      <c r="BJ2488" s="13"/>
      <c r="BK2488" s="13"/>
      <c r="BL2488" s="13"/>
      <c r="BM2488" s="13"/>
      <c r="BN2488" s="13"/>
      <c r="BO2488" s="13"/>
      <c r="BP2488" s="13"/>
      <c r="BQ2488" s="13"/>
    </row>
    <row r="2489" spans="1:69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  <c r="AG2489" s="13"/>
      <c r="AH2489" s="13"/>
      <c r="AI2489" s="13"/>
      <c r="AJ2489" s="13"/>
      <c r="AK2489" s="13"/>
      <c r="AL2489" s="13"/>
      <c r="AM2489" s="13"/>
      <c r="AN2489" s="13"/>
      <c r="AO2489" s="13"/>
      <c r="AP2489" s="13"/>
      <c r="AQ2489" s="13"/>
      <c r="AR2489" s="13"/>
      <c r="AS2489" s="13"/>
      <c r="AT2489" s="13"/>
      <c r="AU2489" s="13"/>
      <c r="AV2489" s="13"/>
      <c r="AW2489" s="13"/>
      <c r="AX2489" s="13"/>
      <c r="AY2489" s="13"/>
      <c r="AZ2489" s="13"/>
      <c r="BA2489" s="13"/>
      <c r="BB2489" s="13"/>
      <c r="BC2489" s="13"/>
      <c r="BD2489" s="13"/>
      <c r="BE2489" s="13"/>
      <c r="BF2489" s="13"/>
      <c r="BG2489" s="13"/>
      <c r="BH2489" s="13"/>
      <c r="BI2489" s="13"/>
      <c r="BJ2489" s="13"/>
      <c r="BK2489" s="13"/>
      <c r="BL2489" s="13"/>
      <c r="BM2489" s="13"/>
      <c r="BN2489" s="13"/>
      <c r="BO2489" s="13"/>
      <c r="BP2489" s="13"/>
      <c r="BQ2489" s="13"/>
    </row>
    <row r="2490" spans="1:69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1"/>
      <c r="Q2490" s="11"/>
      <c r="R2490" s="13"/>
      <c r="S2490" s="13"/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  <c r="AT2490" s="13"/>
      <c r="AU2490" s="13"/>
      <c r="AV2490" s="13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/>
      <c r="BH2490" s="13"/>
      <c r="BI2490" s="13"/>
      <c r="BJ2490" s="13"/>
      <c r="BK2490" s="13"/>
      <c r="BL2490" s="13"/>
      <c r="BM2490" s="13"/>
      <c r="BN2490" s="13"/>
      <c r="BO2490" s="13"/>
      <c r="BP2490" s="13"/>
      <c r="BQ2490" s="13"/>
    </row>
    <row r="2491" spans="1:69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  <c r="AT2491" s="13"/>
      <c r="AU2491" s="13"/>
      <c r="AV2491" s="13"/>
      <c r="AW2491" s="13"/>
      <c r="AX2491" s="13"/>
      <c r="AY2491" s="13"/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</row>
    <row r="2492" spans="1:69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/>
      <c r="AH2492" s="13"/>
      <c r="AI2492" s="13"/>
      <c r="AJ2492" s="13"/>
      <c r="AK2492" s="13"/>
      <c r="AL2492" s="13"/>
      <c r="AM2492" s="13"/>
      <c r="AN2492" s="13"/>
      <c r="AO2492" s="13"/>
      <c r="AP2492" s="13"/>
      <c r="AQ2492" s="13"/>
      <c r="AR2492" s="13"/>
      <c r="AS2492" s="13"/>
      <c r="AT2492" s="13"/>
      <c r="AU2492" s="13"/>
      <c r="AV2492" s="13"/>
      <c r="AW2492" s="13"/>
      <c r="AX2492" s="13"/>
      <c r="AY2492" s="13"/>
      <c r="AZ2492" s="13"/>
      <c r="BA2492" s="13"/>
      <c r="BB2492" s="13"/>
      <c r="BC2492" s="13"/>
      <c r="BD2492" s="13"/>
      <c r="BE2492" s="13"/>
      <c r="BF2492" s="13"/>
      <c r="BG2492" s="13"/>
      <c r="BH2492" s="13"/>
      <c r="BI2492" s="13"/>
      <c r="BJ2492" s="13"/>
      <c r="BK2492" s="13"/>
      <c r="BL2492" s="13"/>
      <c r="BM2492" s="13"/>
      <c r="BN2492" s="13"/>
      <c r="BO2492" s="13"/>
      <c r="BP2492" s="13"/>
      <c r="BQ2492" s="13"/>
    </row>
    <row r="2493" spans="1:69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  <c r="AR2493" s="13"/>
      <c r="AS2493" s="13"/>
      <c r="AT2493" s="13"/>
      <c r="AU2493" s="13"/>
      <c r="AV2493" s="13"/>
      <c r="AW2493" s="13"/>
      <c r="AX2493" s="13"/>
      <c r="AY2493" s="13"/>
      <c r="AZ2493" s="13"/>
      <c r="BA2493" s="13"/>
      <c r="BB2493" s="13"/>
      <c r="BC2493" s="13"/>
      <c r="BD2493" s="13"/>
      <c r="BE2493" s="13"/>
      <c r="BF2493" s="13"/>
      <c r="BG2493" s="13"/>
      <c r="BH2493" s="13"/>
      <c r="BI2493" s="13"/>
      <c r="BJ2493" s="13"/>
      <c r="BK2493" s="13"/>
      <c r="BL2493" s="13"/>
      <c r="BM2493" s="13"/>
      <c r="BN2493" s="13"/>
      <c r="BO2493" s="13"/>
      <c r="BP2493" s="13"/>
      <c r="BQ2493" s="13"/>
    </row>
    <row r="2494" spans="1:69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  <c r="AR2494" s="13"/>
      <c r="AS2494" s="13"/>
      <c r="AT2494" s="13"/>
      <c r="AU2494" s="13"/>
      <c r="AV2494" s="13"/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/>
      <c r="BI2494" s="13"/>
      <c r="BJ2494" s="13"/>
      <c r="BK2494" s="13"/>
      <c r="BL2494" s="13"/>
      <c r="BM2494" s="13"/>
      <c r="BN2494" s="13"/>
      <c r="BO2494" s="13"/>
      <c r="BP2494" s="13"/>
      <c r="BQ2494" s="13"/>
    </row>
    <row r="2495" spans="1:69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  <c r="AT2495" s="13"/>
      <c r="AU2495" s="13"/>
      <c r="AV2495" s="13"/>
      <c r="AW2495" s="13"/>
      <c r="AX2495" s="13"/>
      <c r="AY2495" s="13"/>
      <c r="AZ2495" s="13"/>
      <c r="BA2495" s="13"/>
      <c r="BB2495" s="13"/>
      <c r="BC2495" s="13"/>
      <c r="BD2495" s="13"/>
      <c r="BE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O2495" s="13"/>
      <c r="BP2495" s="13"/>
      <c r="BQ2495" s="13"/>
    </row>
    <row r="2496" spans="1:69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/>
      <c r="BF2496" s="13"/>
      <c r="BG2496" s="13"/>
      <c r="BH2496" s="13"/>
      <c r="BI2496" s="13"/>
      <c r="BJ2496" s="13"/>
      <c r="BK2496" s="13"/>
      <c r="BL2496" s="13"/>
      <c r="BM2496" s="13"/>
      <c r="BN2496" s="13"/>
      <c r="BO2496" s="13"/>
      <c r="BP2496" s="13"/>
      <c r="BQ2496" s="13"/>
    </row>
    <row r="2497" spans="1:69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/>
      <c r="AX2497" s="13"/>
      <c r="AY2497" s="13"/>
      <c r="AZ2497" s="13"/>
      <c r="BA2497" s="13"/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</row>
    <row r="2498" spans="1:69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  <c r="AQ2498" s="13"/>
      <c r="AR2498" s="13"/>
      <c r="AS2498" s="13"/>
      <c r="AT2498" s="13"/>
      <c r="AU2498" s="13"/>
      <c r="AV2498" s="13"/>
      <c r="AW2498" s="13"/>
      <c r="AX2498" s="13"/>
      <c r="AY2498" s="13"/>
      <c r="AZ2498" s="13"/>
      <c r="BA2498" s="13"/>
      <c r="BB2498" s="13"/>
      <c r="BC2498" s="13"/>
      <c r="BD2498" s="13"/>
      <c r="BE2498" s="13"/>
      <c r="BF2498" s="13"/>
      <c r="BG2498" s="13"/>
      <c r="BH2498" s="13"/>
      <c r="BI2498" s="13"/>
      <c r="BJ2498" s="13"/>
      <c r="BK2498" s="13"/>
      <c r="BL2498" s="13"/>
      <c r="BM2498" s="13"/>
      <c r="BN2498" s="13"/>
      <c r="BO2498" s="13"/>
      <c r="BP2498" s="13"/>
      <c r="BQ2498" s="13"/>
    </row>
    <row r="2499" spans="1:69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/>
      <c r="AX2499" s="13"/>
      <c r="AY2499" s="13"/>
      <c r="AZ2499" s="13"/>
      <c r="BA2499" s="13"/>
      <c r="BB2499" s="13"/>
      <c r="BC2499" s="13"/>
      <c r="BD2499" s="13"/>
      <c r="BE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O2499" s="13"/>
      <c r="BP2499" s="13"/>
      <c r="BQ2499" s="13"/>
    </row>
    <row r="2500" spans="1:69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/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</row>
    <row r="2501" spans="1:69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3"/>
      <c r="AD2501" s="13"/>
      <c r="AE2501" s="13"/>
      <c r="AF2501" s="13"/>
      <c r="AG2501" s="13"/>
      <c r="AH2501" s="13"/>
      <c r="AI2501" s="13"/>
      <c r="AJ2501" s="13"/>
      <c r="AK2501" s="13"/>
      <c r="AL2501" s="13"/>
      <c r="AM2501" s="13"/>
      <c r="AN2501" s="13"/>
      <c r="AO2501" s="13"/>
      <c r="AP2501" s="13"/>
      <c r="AQ2501" s="13"/>
      <c r="AR2501" s="13"/>
      <c r="AS2501" s="13"/>
      <c r="AT2501" s="13"/>
      <c r="AU2501" s="13"/>
      <c r="AV2501" s="13"/>
      <c r="AW2501" s="13"/>
      <c r="AX2501" s="13"/>
      <c r="AY2501" s="13"/>
      <c r="AZ2501" s="13"/>
      <c r="BA2501" s="13"/>
      <c r="BB2501" s="13"/>
      <c r="BC2501" s="13"/>
      <c r="BD2501" s="13"/>
      <c r="BE2501" s="13"/>
      <c r="BF2501" s="13"/>
      <c r="BG2501" s="13"/>
      <c r="BH2501" s="13"/>
      <c r="BI2501" s="13"/>
      <c r="BJ2501" s="13"/>
      <c r="BK2501" s="13"/>
      <c r="BL2501" s="13"/>
      <c r="BM2501" s="13"/>
      <c r="BN2501" s="13"/>
      <c r="BO2501" s="13"/>
      <c r="BP2501" s="13"/>
      <c r="BQ2501" s="13"/>
    </row>
    <row r="2502" spans="1:69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  <c r="AO2502" s="13"/>
      <c r="AP2502" s="13"/>
      <c r="AQ2502" s="13"/>
      <c r="AR2502" s="13"/>
      <c r="AS2502" s="13"/>
      <c r="AT2502" s="13"/>
      <c r="AU2502" s="13"/>
      <c r="AV2502" s="13"/>
      <c r="AW2502" s="13"/>
      <c r="AX2502" s="13"/>
      <c r="AY2502" s="13"/>
      <c r="AZ2502" s="13"/>
      <c r="BA2502" s="13"/>
      <c r="BB2502" s="13"/>
      <c r="BC2502" s="13"/>
      <c r="BD2502" s="13"/>
      <c r="BE2502" s="13"/>
      <c r="BF2502" s="13"/>
      <c r="BG2502" s="13"/>
      <c r="BH2502" s="13"/>
      <c r="BI2502" s="13"/>
      <c r="BJ2502" s="13"/>
      <c r="BK2502" s="13"/>
      <c r="BL2502" s="13"/>
      <c r="BM2502" s="13"/>
      <c r="BN2502" s="13"/>
      <c r="BO2502" s="13"/>
      <c r="BP2502" s="13"/>
      <c r="BQ2502" s="13"/>
    </row>
    <row r="2503" spans="1:69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/>
      <c r="AO2503" s="13"/>
      <c r="AP2503" s="13"/>
      <c r="AQ2503" s="13"/>
      <c r="AR2503" s="13"/>
      <c r="AS2503" s="13"/>
      <c r="AT2503" s="13"/>
      <c r="AU2503" s="13"/>
      <c r="AV2503" s="13"/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/>
      <c r="BJ2503" s="13"/>
      <c r="BK2503" s="13"/>
      <c r="BL2503" s="13"/>
      <c r="BM2503" s="13"/>
      <c r="BN2503" s="13"/>
      <c r="BO2503" s="13"/>
      <c r="BP2503" s="13"/>
      <c r="BQ2503" s="13"/>
    </row>
    <row r="2504" spans="1:69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</row>
    <row r="2505" spans="1:69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  <c r="AT2505" s="13"/>
      <c r="AU2505" s="13"/>
      <c r="AV2505" s="13"/>
      <c r="AW2505" s="13"/>
      <c r="AX2505" s="13"/>
      <c r="AY2505" s="13"/>
      <c r="AZ2505" s="13"/>
      <c r="BA2505" s="13"/>
      <c r="BB2505" s="13"/>
      <c r="BC2505" s="13"/>
      <c r="BD2505" s="13"/>
      <c r="BE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O2505" s="13"/>
      <c r="BP2505" s="13"/>
      <c r="BQ2505" s="13"/>
    </row>
    <row r="2506" spans="1:69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  <c r="AT2506" s="13"/>
      <c r="AU2506" s="13"/>
      <c r="AV2506" s="13"/>
      <c r="AW2506" s="13"/>
      <c r="AX2506" s="13"/>
      <c r="AY2506" s="13"/>
      <c r="AZ2506" s="13"/>
      <c r="BA2506" s="13"/>
      <c r="BB2506" s="13"/>
      <c r="BC2506" s="13"/>
      <c r="BD2506" s="13"/>
      <c r="BE2506" s="13"/>
      <c r="BF2506" s="13"/>
      <c r="BG2506" s="13"/>
      <c r="BH2506" s="13"/>
      <c r="BI2506" s="13"/>
      <c r="BJ2506" s="13"/>
      <c r="BK2506" s="13"/>
      <c r="BL2506" s="13"/>
      <c r="BM2506" s="13"/>
      <c r="BN2506" s="13"/>
      <c r="BO2506" s="13"/>
      <c r="BP2506" s="13"/>
      <c r="BQ2506" s="13"/>
    </row>
    <row r="2507" spans="1:69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13"/>
      <c r="AG2507" s="13"/>
      <c r="AH2507" s="13"/>
      <c r="AI2507" s="13"/>
      <c r="AJ2507" s="13"/>
      <c r="AK2507" s="13"/>
      <c r="AL2507" s="13"/>
      <c r="AM2507" s="13"/>
      <c r="AN2507" s="13"/>
      <c r="AO2507" s="13"/>
      <c r="AP2507" s="13"/>
      <c r="AQ2507" s="13"/>
      <c r="AR2507" s="13"/>
      <c r="AS2507" s="13"/>
      <c r="AT2507" s="13"/>
      <c r="AU2507" s="13"/>
      <c r="AV2507" s="13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/>
      <c r="BG2507" s="13"/>
      <c r="BH2507" s="13"/>
      <c r="BI2507" s="13"/>
      <c r="BJ2507" s="13"/>
      <c r="BK2507" s="13"/>
      <c r="BL2507" s="13"/>
      <c r="BM2507" s="13"/>
      <c r="BN2507" s="13"/>
      <c r="BO2507" s="13"/>
      <c r="BP2507" s="13"/>
      <c r="BQ2507" s="13"/>
    </row>
    <row r="2508" spans="1:69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/>
      <c r="AG2508" s="13"/>
      <c r="AH2508" s="13"/>
      <c r="AI2508" s="13"/>
      <c r="AJ2508" s="13"/>
      <c r="AK2508" s="13"/>
      <c r="AL2508" s="13"/>
      <c r="AM2508" s="13"/>
      <c r="AN2508" s="13"/>
      <c r="AO2508" s="13"/>
      <c r="AP2508" s="13"/>
      <c r="AQ2508" s="13"/>
      <c r="AR2508" s="13"/>
      <c r="AS2508" s="13"/>
      <c r="AT2508" s="13"/>
      <c r="AU2508" s="13"/>
      <c r="AV2508" s="13"/>
      <c r="AW2508" s="13"/>
      <c r="AX2508" s="13"/>
      <c r="AY2508" s="13"/>
      <c r="AZ2508" s="13"/>
      <c r="BA2508" s="13"/>
      <c r="BB2508" s="13"/>
      <c r="BC2508" s="13"/>
      <c r="BD2508" s="13"/>
      <c r="BE2508" s="13"/>
      <c r="BF2508" s="13"/>
      <c r="BG2508" s="13"/>
      <c r="BH2508" s="13"/>
      <c r="BI2508" s="13"/>
      <c r="BJ2508" s="13"/>
      <c r="BK2508" s="13"/>
      <c r="BL2508" s="13"/>
      <c r="BM2508" s="13"/>
      <c r="BN2508" s="13"/>
      <c r="BO2508" s="13"/>
      <c r="BP2508" s="13"/>
      <c r="BQ2508" s="13"/>
    </row>
    <row r="2509" spans="1:69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F2509" s="13"/>
      <c r="AG2509" s="13"/>
      <c r="AH2509" s="13"/>
      <c r="AI2509" s="13"/>
      <c r="AJ2509" s="13"/>
      <c r="AK2509" s="13"/>
      <c r="AL2509" s="13"/>
      <c r="AM2509" s="13"/>
      <c r="AN2509" s="13"/>
      <c r="AO2509" s="13"/>
      <c r="AP2509" s="13"/>
      <c r="AQ2509" s="13"/>
      <c r="AR2509" s="13"/>
      <c r="AS2509" s="13"/>
      <c r="AT2509" s="13"/>
      <c r="AU2509" s="13"/>
      <c r="AV2509" s="13"/>
      <c r="AW2509" s="13"/>
      <c r="AX2509" s="13"/>
      <c r="AY2509" s="13"/>
      <c r="AZ2509" s="13"/>
      <c r="BA2509" s="13"/>
      <c r="BB2509" s="13"/>
      <c r="BC2509" s="13"/>
      <c r="BD2509" s="13"/>
      <c r="BE2509" s="13"/>
      <c r="BF2509" s="13"/>
      <c r="BG2509" s="13"/>
      <c r="BH2509" s="13"/>
      <c r="BI2509" s="13"/>
      <c r="BJ2509" s="13"/>
      <c r="BK2509" s="13"/>
      <c r="BL2509" s="13"/>
      <c r="BM2509" s="13"/>
      <c r="BN2509" s="13"/>
      <c r="BO2509" s="13"/>
      <c r="BP2509" s="13"/>
      <c r="BQ2509" s="13"/>
    </row>
    <row r="2510" spans="1:69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  <c r="AT2510" s="13"/>
      <c r="AU2510" s="13"/>
      <c r="AV2510" s="13"/>
      <c r="AW2510" s="13"/>
      <c r="AX2510" s="13"/>
      <c r="AY2510" s="13"/>
      <c r="AZ2510" s="13"/>
      <c r="BA2510" s="13"/>
      <c r="BB2510" s="13"/>
      <c r="BC2510" s="13"/>
      <c r="BD2510" s="13"/>
      <c r="BE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O2510" s="13"/>
      <c r="BP2510" s="13"/>
      <c r="BQ2510" s="13"/>
    </row>
    <row r="2511" spans="1:69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/>
      <c r="AU2511" s="13"/>
      <c r="AV2511" s="13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O2511" s="13"/>
      <c r="BP2511" s="13"/>
      <c r="BQ2511" s="13"/>
    </row>
    <row r="2512" spans="1:69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/>
      <c r="AX2512" s="13"/>
      <c r="AY2512" s="13"/>
      <c r="AZ2512" s="13"/>
      <c r="BA2512" s="13"/>
      <c r="BB2512" s="13"/>
      <c r="BC2512" s="13"/>
      <c r="BD2512" s="13"/>
      <c r="BE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O2512" s="13"/>
      <c r="BP2512" s="13"/>
      <c r="BQ2512" s="13"/>
    </row>
    <row r="2513" spans="1:69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  <c r="AG2513" s="13"/>
      <c r="AH2513" s="13"/>
      <c r="AI2513" s="13"/>
      <c r="AJ2513" s="13"/>
      <c r="AK2513" s="13"/>
      <c r="AL2513" s="13"/>
      <c r="AM2513" s="13"/>
      <c r="AN2513" s="13"/>
      <c r="AO2513" s="13"/>
      <c r="AP2513" s="13"/>
      <c r="AQ2513" s="13"/>
      <c r="AR2513" s="13"/>
      <c r="AS2513" s="13"/>
      <c r="AT2513" s="13"/>
      <c r="AU2513" s="13"/>
      <c r="AV2513" s="13"/>
      <c r="AW2513" s="13"/>
      <c r="AX2513" s="13"/>
      <c r="AY2513" s="13"/>
      <c r="AZ2513" s="13"/>
      <c r="BA2513" s="13"/>
      <c r="BB2513" s="13"/>
      <c r="BC2513" s="13"/>
      <c r="BD2513" s="13"/>
      <c r="BE2513" s="13"/>
      <c r="BF2513" s="13"/>
      <c r="BG2513" s="13"/>
      <c r="BH2513" s="13"/>
      <c r="BI2513" s="13"/>
      <c r="BJ2513" s="13"/>
      <c r="BK2513" s="13"/>
      <c r="BL2513" s="13"/>
      <c r="BM2513" s="13"/>
      <c r="BN2513" s="13"/>
      <c r="BO2513" s="13"/>
      <c r="BP2513" s="13"/>
      <c r="BQ2513" s="13"/>
    </row>
    <row r="2514" spans="1:69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/>
      <c r="AS2514" s="13"/>
      <c r="AT2514" s="13"/>
      <c r="AU2514" s="13"/>
      <c r="AV2514" s="13"/>
      <c r="AW2514" s="13"/>
      <c r="AX2514" s="13"/>
      <c r="AY2514" s="13"/>
      <c r="AZ2514" s="13"/>
      <c r="BA2514" s="13"/>
      <c r="BB2514" s="13"/>
      <c r="BC2514" s="13"/>
      <c r="BD2514" s="13"/>
      <c r="BE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O2514" s="13"/>
      <c r="BP2514" s="13"/>
      <c r="BQ2514" s="13"/>
    </row>
    <row r="2515" spans="1:69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/>
      <c r="BA2515" s="13"/>
      <c r="BB2515" s="13"/>
      <c r="BC2515" s="13"/>
      <c r="BD2515" s="13"/>
      <c r="BE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O2515" s="13"/>
      <c r="BP2515" s="13"/>
      <c r="BQ2515" s="13"/>
    </row>
    <row r="2516" spans="1:69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/>
      <c r="BA2516" s="13"/>
      <c r="BB2516" s="13"/>
      <c r="BC2516" s="13"/>
      <c r="BD2516" s="13"/>
      <c r="BE2516" s="13"/>
      <c r="BF2516" s="13"/>
      <c r="BG2516" s="13"/>
      <c r="BH2516" s="13"/>
      <c r="BI2516" s="13"/>
      <c r="BJ2516" s="13"/>
      <c r="BK2516" s="13"/>
      <c r="BL2516" s="13"/>
      <c r="BM2516" s="13"/>
      <c r="BN2516" s="13"/>
      <c r="BO2516" s="13"/>
      <c r="BP2516" s="13"/>
      <c r="BQ2516" s="13"/>
    </row>
    <row r="2517" spans="1:69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  <c r="AG2517" s="13"/>
      <c r="AH2517" s="13"/>
      <c r="AI2517" s="13"/>
      <c r="AJ2517" s="13"/>
      <c r="AK2517" s="13"/>
      <c r="AL2517" s="13"/>
      <c r="AM2517" s="13"/>
      <c r="AN2517" s="13"/>
      <c r="AO2517" s="13"/>
      <c r="AP2517" s="13"/>
      <c r="AQ2517" s="13"/>
      <c r="AR2517" s="13"/>
      <c r="AS2517" s="13"/>
      <c r="AT2517" s="13"/>
      <c r="AU2517" s="13"/>
      <c r="AV2517" s="13"/>
      <c r="AW2517" s="13"/>
      <c r="AX2517" s="13"/>
      <c r="AY2517" s="13"/>
      <c r="AZ2517" s="13"/>
      <c r="BA2517" s="13"/>
      <c r="BB2517" s="13"/>
      <c r="BC2517" s="13"/>
      <c r="BD2517" s="13"/>
      <c r="BE2517" s="13"/>
      <c r="BF2517" s="13"/>
      <c r="BG2517" s="13"/>
      <c r="BH2517" s="13"/>
      <c r="BI2517" s="13"/>
      <c r="BJ2517" s="13"/>
      <c r="BK2517" s="13"/>
      <c r="BL2517" s="13"/>
      <c r="BM2517" s="13"/>
      <c r="BN2517" s="13"/>
      <c r="BO2517" s="13"/>
      <c r="BP2517" s="13"/>
      <c r="BQ2517" s="13"/>
    </row>
    <row r="2518" spans="1:69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  <c r="AT2518" s="13"/>
      <c r="AU2518" s="13"/>
      <c r="AV2518" s="13"/>
      <c r="AW2518" s="13"/>
      <c r="AX2518" s="13"/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</row>
    <row r="2519" spans="1:69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1"/>
      <c r="M2519" s="11"/>
      <c r="N2519" s="11"/>
      <c r="O2519" s="11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  <c r="AG2519" s="13"/>
      <c r="AH2519" s="13"/>
      <c r="AI2519" s="13"/>
      <c r="AJ2519" s="13"/>
      <c r="AK2519" s="13"/>
      <c r="AL2519" s="13"/>
      <c r="AM2519" s="13"/>
      <c r="AN2519" s="13"/>
      <c r="AO2519" s="13"/>
      <c r="AP2519" s="13"/>
      <c r="AQ2519" s="13"/>
      <c r="AR2519" s="13"/>
      <c r="AS2519" s="13"/>
      <c r="AT2519" s="13"/>
      <c r="AU2519" s="13"/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/>
      <c r="BG2519" s="13"/>
      <c r="BH2519" s="13"/>
      <c r="BI2519" s="13"/>
      <c r="BJ2519" s="13"/>
      <c r="BK2519" s="13"/>
      <c r="BL2519" s="13"/>
      <c r="BM2519" s="13"/>
      <c r="BN2519" s="13"/>
      <c r="BO2519" s="13"/>
      <c r="BP2519" s="13"/>
      <c r="BQ2519" s="13"/>
    </row>
    <row r="2520" spans="1:69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  <c r="AG2520" s="13"/>
      <c r="AH2520" s="13"/>
      <c r="AI2520" s="13"/>
      <c r="AJ2520" s="13"/>
      <c r="AK2520" s="13"/>
      <c r="AL2520" s="13"/>
      <c r="AM2520" s="13"/>
      <c r="AN2520" s="13"/>
      <c r="AO2520" s="13"/>
      <c r="AP2520" s="13"/>
      <c r="AQ2520" s="13"/>
      <c r="AR2520" s="13"/>
      <c r="AS2520" s="13"/>
      <c r="AT2520" s="13"/>
      <c r="AU2520" s="13"/>
      <c r="AV2520" s="13"/>
      <c r="AW2520" s="13"/>
      <c r="AX2520" s="13"/>
      <c r="AY2520" s="13"/>
      <c r="AZ2520" s="13"/>
      <c r="BA2520" s="13"/>
      <c r="BB2520" s="13"/>
      <c r="BC2520" s="13"/>
      <c r="BD2520" s="13"/>
      <c r="BE2520" s="13"/>
      <c r="BF2520" s="13"/>
      <c r="BG2520" s="13"/>
      <c r="BH2520" s="13"/>
      <c r="BI2520" s="13"/>
      <c r="BJ2520" s="13"/>
      <c r="BK2520" s="13"/>
      <c r="BL2520" s="13"/>
      <c r="BM2520" s="13"/>
      <c r="BN2520" s="13"/>
      <c r="BO2520" s="13"/>
      <c r="BP2520" s="13"/>
      <c r="BQ2520" s="13"/>
    </row>
    <row r="2521" spans="1:69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1"/>
      <c r="M2521" s="11"/>
      <c r="N2521" s="11"/>
      <c r="O2521" s="11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F2521" s="13"/>
      <c r="AG2521" s="13"/>
      <c r="AH2521" s="13"/>
      <c r="AI2521" s="13"/>
      <c r="AJ2521" s="13"/>
      <c r="AK2521" s="13"/>
      <c r="AL2521" s="13"/>
      <c r="AM2521" s="13"/>
      <c r="AN2521" s="13"/>
      <c r="AO2521" s="13"/>
      <c r="AP2521" s="13"/>
      <c r="AQ2521" s="13"/>
      <c r="AR2521" s="13"/>
      <c r="AS2521" s="13"/>
      <c r="AT2521" s="13"/>
      <c r="AU2521" s="13"/>
      <c r="AV2521" s="13"/>
      <c r="AW2521" s="13"/>
      <c r="AX2521" s="13"/>
      <c r="AY2521" s="13"/>
      <c r="AZ2521" s="13"/>
      <c r="BA2521" s="13"/>
      <c r="BB2521" s="13"/>
      <c r="BC2521" s="13"/>
      <c r="BD2521" s="13"/>
      <c r="BE2521" s="13"/>
      <c r="BF2521" s="13"/>
      <c r="BG2521" s="13"/>
      <c r="BH2521" s="13"/>
      <c r="BI2521" s="13"/>
      <c r="BJ2521" s="13"/>
      <c r="BK2521" s="13"/>
      <c r="BL2521" s="13"/>
      <c r="BM2521" s="13"/>
      <c r="BN2521" s="13"/>
      <c r="BO2521" s="13"/>
      <c r="BP2521" s="13"/>
      <c r="BQ2521" s="13"/>
    </row>
    <row r="2522" spans="1:69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  <c r="AG2522" s="13"/>
      <c r="AH2522" s="13"/>
      <c r="AI2522" s="13"/>
      <c r="AJ2522" s="13"/>
      <c r="AK2522" s="13"/>
      <c r="AL2522" s="13"/>
      <c r="AM2522" s="13"/>
      <c r="AN2522" s="13"/>
      <c r="AO2522" s="13"/>
      <c r="AP2522" s="13"/>
      <c r="AQ2522" s="13"/>
      <c r="AR2522" s="13"/>
      <c r="AS2522" s="13"/>
      <c r="AT2522" s="13"/>
      <c r="AU2522" s="13"/>
      <c r="AV2522" s="13"/>
      <c r="AW2522" s="13"/>
      <c r="AX2522" s="13"/>
      <c r="AY2522" s="13"/>
      <c r="AZ2522" s="13"/>
      <c r="BA2522" s="13"/>
      <c r="BB2522" s="13"/>
      <c r="BC2522" s="13"/>
      <c r="BD2522" s="13"/>
      <c r="BE2522" s="13"/>
      <c r="BF2522" s="13"/>
      <c r="BG2522" s="13"/>
      <c r="BH2522" s="13"/>
      <c r="BI2522" s="13"/>
      <c r="BJ2522" s="13"/>
      <c r="BK2522" s="13"/>
      <c r="BL2522" s="13"/>
      <c r="BM2522" s="13"/>
      <c r="BN2522" s="13"/>
      <c r="BO2522" s="13"/>
      <c r="BP2522" s="13"/>
      <c r="BQ2522" s="13"/>
    </row>
    <row r="2523" spans="1:69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F2523" s="13"/>
      <c r="AG2523" s="13"/>
      <c r="AH2523" s="13"/>
      <c r="AI2523" s="13"/>
      <c r="AJ2523" s="13"/>
      <c r="AK2523" s="13"/>
      <c r="AL2523" s="13"/>
      <c r="AM2523" s="13"/>
      <c r="AN2523" s="13"/>
      <c r="AO2523" s="13"/>
      <c r="AP2523" s="13"/>
      <c r="AQ2523" s="13"/>
      <c r="AR2523" s="13"/>
      <c r="AS2523" s="13"/>
      <c r="AT2523" s="13"/>
      <c r="AU2523" s="13"/>
      <c r="AV2523" s="13"/>
      <c r="AW2523" s="13"/>
      <c r="AX2523" s="13"/>
      <c r="AY2523" s="13"/>
      <c r="AZ2523" s="13"/>
      <c r="BA2523" s="13"/>
      <c r="BB2523" s="13"/>
      <c r="BC2523" s="13"/>
      <c r="BD2523" s="13"/>
      <c r="BE2523" s="13"/>
      <c r="BF2523" s="13"/>
      <c r="BG2523" s="13"/>
      <c r="BH2523" s="13"/>
      <c r="BI2523" s="13"/>
      <c r="BJ2523" s="13"/>
      <c r="BK2523" s="13"/>
      <c r="BL2523" s="13"/>
      <c r="BM2523" s="13"/>
      <c r="BN2523" s="13"/>
      <c r="BO2523" s="13"/>
      <c r="BP2523" s="13"/>
      <c r="BQ2523" s="13"/>
    </row>
    <row r="2524" spans="1:69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  <c r="AG2524" s="13"/>
      <c r="AH2524" s="13"/>
      <c r="AI2524" s="13"/>
      <c r="AJ2524" s="13"/>
      <c r="AK2524" s="13"/>
      <c r="AL2524" s="13"/>
      <c r="AM2524" s="13"/>
      <c r="AN2524" s="13"/>
      <c r="AO2524" s="13"/>
      <c r="AP2524" s="13"/>
      <c r="AQ2524" s="13"/>
      <c r="AR2524" s="13"/>
      <c r="AS2524" s="13"/>
      <c r="AT2524" s="13"/>
      <c r="AU2524" s="13"/>
      <c r="AV2524" s="13"/>
      <c r="AW2524" s="13"/>
      <c r="AX2524" s="13"/>
      <c r="AY2524" s="13"/>
      <c r="AZ2524" s="13"/>
      <c r="BA2524" s="13"/>
      <c r="BB2524" s="13"/>
      <c r="BC2524" s="13"/>
      <c r="BD2524" s="13"/>
      <c r="BE2524" s="13"/>
      <c r="BF2524" s="13"/>
      <c r="BG2524" s="13"/>
      <c r="BH2524" s="13"/>
      <c r="BI2524" s="13"/>
      <c r="BJ2524" s="13"/>
      <c r="BK2524" s="13"/>
      <c r="BL2524" s="13"/>
      <c r="BM2524" s="13"/>
      <c r="BN2524" s="13"/>
      <c r="BO2524" s="13"/>
      <c r="BP2524" s="13"/>
      <c r="BQ2524" s="13"/>
    </row>
    <row r="2525" spans="1:69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/>
      <c r="AX2525" s="13"/>
      <c r="AY2525" s="13"/>
      <c r="AZ2525" s="13"/>
      <c r="BA2525" s="13"/>
      <c r="BB2525" s="13"/>
      <c r="BC2525" s="13"/>
      <c r="BD2525" s="13"/>
      <c r="BE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O2525" s="13"/>
      <c r="BP2525" s="13"/>
      <c r="BQ2525" s="13"/>
    </row>
    <row r="2526" spans="1:69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/>
      <c r="BC2526" s="13"/>
      <c r="BD2526" s="13"/>
      <c r="BE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</row>
    <row r="2527" spans="1:69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3"/>
      <c r="AD2527" s="13"/>
      <c r="AE2527" s="13"/>
      <c r="AF2527" s="13"/>
      <c r="AG2527" s="13"/>
      <c r="AH2527" s="13"/>
      <c r="AI2527" s="13"/>
      <c r="AJ2527" s="13"/>
      <c r="AK2527" s="13"/>
      <c r="AL2527" s="13"/>
      <c r="AM2527" s="13"/>
      <c r="AN2527" s="13"/>
      <c r="AO2527" s="13"/>
      <c r="AP2527" s="13"/>
      <c r="AQ2527" s="13"/>
      <c r="AR2527" s="13"/>
      <c r="AS2527" s="13"/>
      <c r="AT2527" s="13"/>
      <c r="AU2527" s="13"/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/>
      <c r="BF2527" s="13"/>
      <c r="BG2527" s="13"/>
      <c r="BH2527" s="13"/>
      <c r="BI2527" s="13"/>
      <c r="BJ2527" s="13"/>
      <c r="BK2527" s="13"/>
      <c r="BL2527" s="13"/>
      <c r="BM2527" s="13"/>
      <c r="BN2527" s="13"/>
      <c r="BO2527" s="13"/>
      <c r="BP2527" s="13"/>
      <c r="BQ2527" s="13"/>
    </row>
    <row r="2528" spans="1:69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/>
      <c r="AD2528" s="13"/>
      <c r="AE2528" s="13"/>
      <c r="AF2528" s="13"/>
      <c r="AG2528" s="13"/>
      <c r="AH2528" s="13"/>
      <c r="AI2528" s="13"/>
      <c r="AJ2528" s="13"/>
      <c r="AK2528" s="13"/>
      <c r="AL2528" s="13"/>
      <c r="AM2528" s="13"/>
      <c r="AN2528" s="13"/>
      <c r="AO2528" s="13"/>
      <c r="AP2528" s="13"/>
      <c r="AQ2528" s="13"/>
      <c r="AR2528" s="13"/>
      <c r="AS2528" s="13"/>
      <c r="AT2528" s="13"/>
      <c r="AU2528" s="13"/>
      <c r="AV2528" s="13"/>
      <c r="AW2528" s="13"/>
      <c r="AX2528" s="13"/>
      <c r="AY2528" s="13"/>
      <c r="AZ2528" s="13"/>
      <c r="BA2528" s="13"/>
      <c r="BB2528" s="13"/>
      <c r="BC2528" s="13"/>
      <c r="BD2528" s="13"/>
      <c r="BE2528" s="13"/>
      <c r="BF2528" s="13"/>
      <c r="BG2528" s="13"/>
      <c r="BH2528" s="13"/>
      <c r="BI2528" s="13"/>
      <c r="BJ2528" s="13"/>
      <c r="BK2528" s="13"/>
      <c r="BL2528" s="13"/>
      <c r="BM2528" s="13"/>
      <c r="BN2528" s="13"/>
      <c r="BO2528" s="13"/>
      <c r="BP2528" s="13"/>
      <c r="BQ2528" s="13"/>
    </row>
    <row r="2529" spans="1:69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  <c r="AT2529" s="13"/>
      <c r="AU2529" s="13"/>
      <c r="AV2529" s="13"/>
      <c r="AW2529" s="13"/>
      <c r="AX2529" s="13"/>
      <c r="AY2529" s="13"/>
      <c r="AZ2529" s="13"/>
      <c r="BA2529" s="13"/>
      <c r="BB2529" s="13"/>
      <c r="BC2529" s="13"/>
      <c r="BD2529" s="13"/>
      <c r="BE2529" s="13"/>
      <c r="BF2529" s="13"/>
      <c r="BG2529" s="13"/>
      <c r="BH2529" s="13"/>
      <c r="BI2529" s="13"/>
      <c r="BJ2529" s="13"/>
      <c r="BK2529" s="13"/>
      <c r="BL2529" s="13"/>
      <c r="BM2529" s="13"/>
      <c r="BN2529" s="13"/>
      <c r="BO2529" s="13"/>
      <c r="BP2529" s="13"/>
      <c r="BQ2529" s="13"/>
    </row>
    <row r="2530" spans="1:69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</row>
    <row r="2531" spans="1:69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/>
      <c r="AX2531" s="13"/>
      <c r="AY2531" s="13"/>
      <c r="AZ2531" s="13"/>
      <c r="BA2531" s="13"/>
      <c r="BB2531" s="13"/>
      <c r="BC2531" s="13"/>
      <c r="BD2531" s="13"/>
      <c r="BE2531" s="13"/>
      <c r="BF2531" s="13"/>
      <c r="BG2531" s="13"/>
      <c r="BH2531" s="13"/>
      <c r="BI2531" s="13"/>
      <c r="BJ2531" s="13"/>
      <c r="BK2531" s="13"/>
      <c r="BL2531" s="13"/>
      <c r="BM2531" s="13"/>
      <c r="BN2531" s="13"/>
      <c r="BO2531" s="13"/>
      <c r="BP2531" s="13"/>
      <c r="BQ2531" s="13"/>
    </row>
    <row r="2532" spans="1:69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13"/>
      <c r="AG2532" s="13"/>
      <c r="AH2532" s="13"/>
      <c r="AI2532" s="13"/>
      <c r="AJ2532" s="13"/>
      <c r="AK2532" s="13"/>
      <c r="AL2532" s="13"/>
      <c r="AM2532" s="13"/>
      <c r="AN2532" s="13"/>
      <c r="AO2532" s="13"/>
      <c r="AP2532" s="13"/>
      <c r="AQ2532" s="13"/>
      <c r="AR2532" s="13"/>
      <c r="AS2532" s="13"/>
      <c r="AT2532" s="13"/>
      <c r="AU2532" s="13"/>
      <c r="AV2532" s="13"/>
      <c r="AW2532" s="13"/>
      <c r="AX2532" s="13"/>
      <c r="AY2532" s="13"/>
      <c r="AZ2532" s="13"/>
      <c r="BA2532" s="13"/>
      <c r="BB2532" s="13"/>
      <c r="BC2532" s="13"/>
      <c r="BD2532" s="13"/>
      <c r="BE2532" s="13"/>
      <c r="BF2532" s="13"/>
      <c r="BG2532" s="13"/>
      <c r="BH2532" s="13"/>
      <c r="BI2532" s="13"/>
      <c r="BJ2532" s="13"/>
      <c r="BK2532" s="13"/>
      <c r="BL2532" s="13"/>
      <c r="BM2532" s="13"/>
      <c r="BN2532" s="13"/>
      <c r="BO2532" s="13"/>
      <c r="BP2532" s="13"/>
      <c r="BQ2532" s="13"/>
    </row>
    <row r="2533" spans="1:69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/>
      <c r="AH2533" s="13"/>
      <c r="AI2533" s="13"/>
      <c r="AJ2533" s="13"/>
      <c r="AK2533" s="13"/>
      <c r="AL2533" s="13"/>
      <c r="AM2533" s="13"/>
      <c r="AN2533" s="13"/>
      <c r="AO2533" s="13"/>
      <c r="AP2533" s="13"/>
      <c r="AQ2533" s="13"/>
      <c r="AR2533" s="13"/>
      <c r="AS2533" s="13"/>
      <c r="AT2533" s="13"/>
      <c r="AU2533" s="13"/>
      <c r="AV2533" s="13"/>
      <c r="AW2533" s="13"/>
      <c r="AX2533" s="13"/>
      <c r="AY2533" s="13"/>
      <c r="AZ2533" s="13"/>
      <c r="BA2533" s="13"/>
      <c r="BB2533" s="13"/>
      <c r="BC2533" s="13"/>
      <c r="BD2533" s="13"/>
      <c r="BE2533" s="13"/>
      <c r="BF2533" s="13"/>
      <c r="BG2533" s="13"/>
      <c r="BH2533" s="13"/>
      <c r="BI2533" s="13"/>
      <c r="BJ2533" s="13"/>
      <c r="BK2533" s="13"/>
      <c r="BL2533" s="13"/>
      <c r="BM2533" s="13"/>
      <c r="BN2533" s="13"/>
      <c r="BO2533" s="13"/>
      <c r="BP2533" s="13"/>
      <c r="BQ2533" s="13"/>
    </row>
    <row r="2534" spans="1:69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/>
      <c r="AH2534" s="13"/>
      <c r="AI2534" s="13"/>
      <c r="AJ2534" s="13"/>
      <c r="AK2534" s="13"/>
      <c r="AL2534" s="13"/>
      <c r="AM2534" s="13"/>
      <c r="AN2534" s="13"/>
      <c r="AO2534" s="13"/>
      <c r="AP2534" s="13"/>
      <c r="AQ2534" s="13"/>
      <c r="AR2534" s="13"/>
      <c r="AS2534" s="13"/>
      <c r="AT2534" s="13"/>
      <c r="AU2534" s="13"/>
      <c r="AV2534" s="13"/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</row>
    <row r="2535" spans="1:69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  <c r="AT2535" s="13"/>
      <c r="AU2535" s="13"/>
      <c r="AV2535" s="13"/>
      <c r="AW2535" s="13"/>
      <c r="AX2535" s="13"/>
      <c r="AY2535" s="13"/>
      <c r="AZ2535" s="13"/>
      <c r="BA2535" s="13"/>
      <c r="BB2535" s="13"/>
      <c r="BC2535" s="13"/>
      <c r="BD2535" s="13"/>
      <c r="BE2535" s="13"/>
      <c r="BF2535" s="13"/>
      <c r="BG2535" s="13"/>
      <c r="BH2535" s="13"/>
      <c r="BI2535" s="13"/>
      <c r="BJ2535" s="13"/>
      <c r="BK2535" s="13"/>
      <c r="BL2535" s="13"/>
      <c r="BM2535" s="13"/>
      <c r="BN2535" s="13"/>
      <c r="BO2535" s="13"/>
      <c r="BP2535" s="13"/>
      <c r="BQ2535" s="13"/>
    </row>
    <row r="2536" spans="1:69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  <c r="AG2536" s="13"/>
      <c r="AH2536" s="13"/>
      <c r="AI2536" s="13"/>
      <c r="AJ2536" s="13"/>
      <c r="AK2536" s="13"/>
      <c r="AL2536" s="13"/>
      <c r="AM2536" s="13"/>
      <c r="AN2536" s="13"/>
      <c r="AO2536" s="13"/>
      <c r="AP2536" s="13"/>
      <c r="AQ2536" s="13"/>
      <c r="AR2536" s="13"/>
      <c r="AS2536" s="13"/>
      <c r="AT2536" s="13"/>
      <c r="AU2536" s="13"/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/>
      <c r="BQ2536" s="13"/>
    </row>
    <row r="2537" spans="1:69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/>
      <c r="AX2537" s="13"/>
      <c r="AY2537" s="13"/>
      <c r="AZ2537" s="13"/>
      <c r="BA2537" s="13"/>
      <c r="BB2537" s="13"/>
      <c r="BC2537" s="13"/>
      <c r="BD2537" s="13"/>
      <c r="BE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O2537" s="13"/>
      <c r="BP2537" s="13"/>
      <c r="BQ2537" s="13"/>
    </row>
    <row r="2538" spans="1:69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/>
      <c r="AQ2538" s="13"/>
      <c r="AR2538" s="13"/>
      <c r="AS2538" s="13"/>
      <c r="AT2538" s="13"/>
      <c r="AU2538" s="13"/>
      <c r="AV2538" s="13"/>
      <c r="AW2538" s="13"/>
      <c r="AX2538" s="13"/>
      <c r="AY2538" s="13"/>
      <c r="AZ2538" s="13"/>
      <c r="BA2538" s="13"/>
      <c r="BB2538" s="13"/>
      <c r="BC2538" s="13"/>
      <c r="BD2538" s="13"/>
      <c r="BE2538" s="13"/>
      <c r="BF2538" s="13"/>
      <c r="BG2538" s="13"/>
      <c r="BH2538" s="13"/>
      <c r="BI2538" s="13"/>
      <c r="BJ2538" s="13"/>
      <c r="BK2538" s="13"/>
      <c r="BL2538" s="13"/>
      <c r="BM2538" s="13"/>
      <c r="BN2538" s="13"/>
      <c r="BO2538" s="13"/>
      <c r="BP2538" s="13"/>
      <c r="BQ2538" s="13"/>
    </row>
    <row r="2539" spans="1:69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  <c r="AG2539" s="13"/>
      <c r="AH2539" s="13"/>
      <c r="AI2539" s="13"/>
      <c r="AJ2539" s="13"/>
      <c r="AK2539" s="13"/>
      <c r="AL2539" s="13"/>
      <c r="AM2539" s="13"/>
      <c r="AN2539" s="13"/>
      <c r="AO2539" s="13"/>
      <c r="AP2539" s="13"/>
      <c r="AQ2539" s="13"/>
      <c r="AR2539" s="13"/>
      <c r="AS2539" s="13"/>
      <c r="AT2539" s="13"/>
      <c r="AU2539" s="13"/>
      <c r="AV2539" s="13"/>
      <c r="AW2539" s="13"/>
      <c r="AX2539" s="13"/>
      <c r="AY2539" s="13"/>
      <c r="AZ2539" s="13"/>
      <c r="BA2539" s="13"/>
      <c r="BB2539" s="13"/>
      <c r="BC2539" s="13"/>
      <c r="BD2539" s="13"/>
      <c r="BE2539" s="13"/>
      <c r="BF2539" s="13"/>
      <c r="BG2539" s="13"/>
      <c r="BH2539" s="13"/>
      <c r="BI2539" s="13"/>
      <c r="BJ2539" s="13"/>
      <c r="BK2539" s="13"/>
      <c r="BL2539" s="13"/>
      <c r="BM2539" s="13"/>
      <c r="BN2539" s="13"/>
      <c r="BO2539" s="13"/>
      <c r="BP2539" s="13"/>
      <c r="BQ2539" s="13"/>
    </row>
    <row r="2540" spans="1:69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/>
      <c r="AH2540" s="13"/>
      <c r="AI2540" s="13"/>
      <c r="AJ2540" s="13"/>
      <c r="AK2540" s="13"/>
      <c r="AL2540" s="13"/>
      <c r="AM2540" s="13"/>
      <c r="AN2540" s="13"/>
      <c r="AO2540" s="13"/>
      <c r="AP2540" s="13"/>
      <c r="AQ2540" s="13"/>
      <c r="AR2540" s="13"/>
      <c r="AS2540" s="13"/>
      <c r="AT2540" s="13"/>
      <c r="AU2540" s="13"/>
      <c r="AV2540" s="13"/>
      <c r="AW2540" s="13"/>
      <c r="AX2540" s="13"/>
      <c r="AY2540" s="13"/>
      <c r="AZ2540" s="13"/>
      <c r="BA2540" s="13"/>
      <c r="BB2540" s="13"/>
      <c r="BC2540" s="13"/>
      <c r="BD2540" s="13"/>
      <c r="BE2540" s="13"/>
      <c r="BF2540" s="13"/>
      <c r="BG2540" s="13"/>
      <c r="BH2540" s="13"/>
      <c r="BI2540" s="13"/>
      <c r="BJ2540" s="13"/>
      <c r="BK2540" s="13"/>
      <c r="BL2540" s="13"/>
      <c r="BM2540" s="13"/>
      <c r="BN2540" s="13"/>
      <c r="BO2540" s="13"/>
      <c r="BP2540" s="13"/>
      <c r="BQ2540" s="13"/>
    </row>
    <row r="2541" spans="1:69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13"/>
      <c r="AG2541" s="13"/>
      <c r="AH2541" s="13"/>
      <c r="AI2541" s="13"/>
      <c r="AJ2541" s="13"/>
      <c r="AK2541" s="13"/>
      <c r="AL2541" s="13"/>
      <c r="AM2541" s="13"/>
      <c r="AN2541" s="13"/>
      <c r="AO2541" s="13"/>
      <c r="AP2541" s="13"/>
      <c r="AQ2541" s="13"/>
      <c r="AR2541" s="13"/>
      <c r="AS2541" s="13"/>
      <c r="AT2541" s="13"/>
      <c r="AU2541" s="13"/>
      <c r="AV2541" s="13"/>
      <c r="AW2541" s="13"/>
      <c r="AX2541" s="13"/>
      <c r="AY2541" s="13"/>
      <c r="AZ2541" s="13"/>
      <c r="BA2541" s="13"/>
      <c r="BB2541" s="13"/>
      <c r="BC2541" s="13"/>
      <c r="BD2541" s="13"/>
      <c r="BE2541" s="13"/>
      <c r="BF2541" s="13"/>
      <c r="BG2541" s="13"/>
      <c r="BH2541" s="13"/>
      <c r="BI2541" s="13"/>
      <c r="BJ2541" s="13"/>
      <c r="BK2541" s="13"/>
      <c r="BL2541" s="13"/>
      <c r="BM2541" s="13"/>
      <c r="BN2541" s="13"/>
      <c r="BO2541" s="13"/>
      <c r="BP2541" s="13"/>
      <c r="BQ2541" s="13"/>
    </row>
    <row r="2542" spans="1:69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  <c r="AG2542" s="13"/>
      <c r="AH2542" s="13"/>
      <c r="AI2542" s="13"/>
      <c r="AJ2542" s="13"/>
      <c r="AK2542" s="13"/>
      <c r="AL2542" s="13"/>
      <c r="AM2542" s="13"/>
      <c r="AN2542" s="13"/>
      <c r="AO2542" s="13"/>
      <c r="AP2542" s="13"/>
      <c r="AQ2542" s="13"/>
      <c r="AR2542" s="13"/>
      <c r="AS2542" s="13"/>
      <c r="AT2542" s="13"/>
      <c r="AU2542" s="13"/>
      <c r="AV2542" s="13"/>
      <c r="AW2542" s="13"/>
      <c r="AX2542" s="13"/>
      <c r="AY2542" s="13"/>
      <c r="AZ2542" s="13"/>
      <c r="BA2542" s="13"/>
      <c r="BB2542" s="13"/>
      <c r="BC2542" s="13"/>
      <c r="BD2542" s="13"/>
      <c r="BE2542" s="13"/>
      <c r="BF2542" s="13"/>
      <c r="BG2542" s="13"/>
      <c r="BH2542" s="13"/>
      <c r="BI2542" s="13"/>
      <c r="BJ2542" s="13"/>
      <c r="BK2542" s="13"/>
      <c r="BL2542" s="13"/>
      <c r="BM2542" s="13"/>
      <c r="BN2542" s="13"/>
      <c r="BO2542" s="13"/>
      <c r="BP2542" s="13"/>
      <c r="BQ2542" s="13"/>
    </row>
    <row r="2543" spans="1:69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  <c r="AG2543" s="13"/>
      <c r="AH2543" s="13"/>
      <c r="AI2543" s="13"/>
      <c r="AJ2543" s="13"/>
      <c r="AK2543" s="13"/>
      <c r="AL2543" s="13"/>
      <c r="AM2543" s="13"/>
      <c r="AN2543" s="13"/>
      <c r="AO2543" s="13"/>
      <c r="AP2543" s="13"/>
      <c r="AQ2543" s="13"/>
      <c r="AR2543" s="13"/>
      <c r="AS2543" s="13"/>
      <c r="AT2543" s="13"/>
      <c r="AU2543" s="13"/>
      <c r="AV2543" s="13"/>
      <c r="AW2543" s="13"/>
      <c r="AX2543" s="13"/>
      <c r="AY2543" s="13"/>
      <c r="AZ2543" s="13"/>
      <c r="BA2543" s="13"/>
      <c r="BB2543" s="13"/>
      <c r="BC2543" s="13"/>
      <c r="BD2543" s="13"/>
      <c r="BE2543" s="13"/>
      <c r="BF2543" s="13"/>
      <c r="BG2543" s="13"/>
      <c r="BH2543" s="13"/>
      <c r="BI2543" s="13"/>
      <c r="BJ2543" s="13"/>
      <c r="BK2543" s="13"/>
      <c r="BL2543" s="13"/>
      <c r="BM2543" s="13"/>
      <c r="BN2543" s="13"/>
      <c r="BO2543" s="13"/>
      <c r="BP2543" s="13"/>
      <c r="BQ2543" s="13"/>
    </row>
    <row r="2544" spans="1:69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  <c r="AG2544" s="13"/>
      <c r="AH2544" s="13"/>
      <c r="AI2544" s="13"/>
      <c r="AJ2544" s="13"/>
      <c r="AK2544" s="13"/>
      <c r="AL2544" s="13"/>
      <c r="AM2544" s="13"/>
      <c r="AN2544" s="13"/>
      <c r="AO2544" s="13"/>
      <c r="AP2544" s="13"/>
      <c r="AQ2544" s="13"/>
      <c r="AR2544" s="13"/>
      <c r="AS2544" s="13"/>
      <c r="AT2544" s="13"/>
      <c r="AU2544" s="13"/>
      <c r="AV2544" s="13"/>
      <c r="AW2544" s="13"/>
      <c r="AX2544" s="13"/>
      <c r="AY2544" s="13"/>
      <c r="AZ2544" s="13"/>
      <c r="BA2544" s="13"/>
      <c r="BB2544" s="13"/>
      <c r="BC2544" s="13"/>
      <c r="BD2544" s="13"/>
      <c r="BE2544" s="13"/>
      <c r="BF2544" s="13"/>
      <c r="BG2544" s="13"/>
      <c r="BH2544" s="13"/>
      <c r="BI2544" s="13"/>
      <c r="BJ2544" s="13"/>
      <c r="BK2544" s="13"/>
      <c r="BL2544" s="13"/>
      <c r="BM2544" s="13"/>
      <c r="BN2544" s="13"/>
      <c r="BO2544" s="13"/>
      <c r="BP2544" s="13"/>
      <c r="BQ2544" s="13"/>
    </row>
    <row r="2545" spans="1:69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  <c r="AG2545" s="13"/>
      <c r="AH2545" s="13"/>
      <c r="AI2545" s="13"/>
      <c r="AJ2545" s="13"/>
      <c r="AK2545" s="13"/>
      <c r="AL2545" s="13"/>
      <c r="AM2545" s="13"/>
      <c r="AN2545" s="13"/>
      <c r="AO2545" s="13"/>
      <c r="AP2545" s="13"/>
      <c r="AQ2545" s="13"/>
      <c r="AR2545" s="13"/>
      <c r="AS2545" s="13"/>
      <c r="AT2545" s="13"/>
      <c r="AU2545" s="13"/>
      <c r="AV2545" s="13"/>
      <c r="AW2545" s="13"/>
      <c r="AX2545" s="13"/>
      <c r="AY2545" s="13"/>
      <c r="AZ2545" s="13"/>
      <c r="BA2545" s="13"/>
      <c r="BB2545" s="13"/>
      <c r="BC2545" s="13"/>
      <c r="BD2545" s="13"/>
      <c r="BE2545" s="13"/>
      <c r="BF2545" s="13"/>
      <c r="BG2545" s="13"/>
      <c r="BH2545" s="13"/>
      <c r="BI2545" s="13"/>
      <c r="BJ2545" s="13"/>
      <c r="BK2545" s="13"/>
      <c r="BL2545" s="13"/>
      <c r="BM2545" s="13"/>
      <c r="BN2545" s="13"/>
      <c r="BO2545" s="13"/>
      <c r="BP2545" s="13"/>
      <c r="BQ2545" s="13"/>
    </row>
    <row r="2546" spans="1:69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  <c r="U2546" s="13"/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F2546" s="13"/>
      <c r="AG2546" s="13"/>
      <c r="AH2546" s="13"/>
      <c r="AI2546" s="13"/>
      <c r="AJ2546" s="13"/>
      <c r="AK2546" s="13"/>
      <c r="AL2546" s="13"/>
      <c r="AM2546" s="13"/>
      <c r="AN2546" s="13"/>
      <c r="AO2546" s="13"/>
      <c r="AP2546" s="13"/>
      <c r="AQ2546" s="13"/>
      <c r="AR2546" s="13"/>
      <c r="AS2546" s="13"/>
      <c r="AT2546" s="13"/>
      <c r="AU2546" s="13"/>
      <c r="AV2546" s="13"/>
      <c r="AW2546" s="13"/>
      <c r="AX2546" s="13"/>
      <c r="AY2546" s="13"/>
      <c r="AZ2546" s="13"/>
      <c r="BA2546" s="13"/>
      <c r="BB2546" s="13"/>
      <c r="BC2546" s="13"/>
      <c r="BD2546" s="13"/>
      <c r="BE2546" s="13"/>
      <c r="BF2546" s="13"/>
      <c r="BG2546" s="13"/>
      <c r="BH2546" s="13"/>
      <c r="BI2546" s="13"/>
      <c r="BJ2546" s="13"/>
      <c r="BK2546" s="13"/>
      <c r="BL2546" s="13"/>
      <c r="BM2546" s="13"/>
      <c r="BN2546" s="13"/>
      <c r="BO2546" s="13"/>
      <c r="BP2546" s="13"/>
      <c r="BQ2546" s="13"/>
    </row>
    <row r="2547" spans="1:69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  <c r="AG2547" s="13"/>
      <c r="AH2547" s="13"/>
      <c r="AI2547" s="13"/>
      <c r="AJ2547" s="13"/>
      <c r="AK2547" s="13"/>
      <c r="AL2547" s="13"/>
      <c r="AM2547" s="13"/>
      <c r="AN2547" s="13"/>
      <c r="AO2547" s="13"/>
      <c r="AP2547" s="13"/>
      <c r="AQ2547" s="13"/>
      <c r="AR2547" s="13"/>
      <c r="AS2547" s="13"/>
      <c r="AT2547" s="13"/>
      <c r="AU2547" s="13"/>
      <c r="AV2547" s="13"/>
      <c r="AW2547" s="13"/>
      <c r="AX2547" s="13"/>
      <c r="AY2547" s="13"/>
      <c r="AZ2547" s="13"/>
      <c r="BA2547" s="13"/>
      <c r="BB2547" s="13"/>
      <c r="BC2547" s="13"/>
      <c r="BD2547" s="13"/>
      <c r="BE2547" s="13"/>
      <c r="BF2547" s="13"/>
      <c r="BG2547" s="13"/>
      <c r="BH2547" s="13"/>
      <c r="BI2547" s="13"/>
      <c r="BJ2547" s="13"/>
      <c r="BK2547" s="13"/>
      <c r="BL2547" s="13"/>
      <c r="BM2547" s="13"/>
      <c r="BN2547" s="13"/>
      <c r="BO2547" s="13"/>
      <c r="BP2547" s="13"/>
      <c r="BQ2547" s="13"/>
    </row>
    <row r="2548" spans="1:69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  <c r="AG2548" s="13"/>
      <c r="AH2548" s="13"/>
      <c r="AI2548" s="13"/>
      <c r="AJ2548" s="13"/>
      <c r="AK2548" s="13"/>
      <c r="AL2548" s="13"/>
      <c r="AM2548" s="13"/>
      <c r="AN2548" s="13"/>
      <c r="AO2548" s="13"/>
      <c r="AP2548" s="13"/>
      <c r="AQ2548" s="13"/>
      <c r="AR2548" s="13"/>
      <c r="AS2548" s="13"/>
      <c r="AT2548" s="13"/>
      <c r="AU2548" s="13"/>
      <c r="AV2548" s="13"/>
      <c r="AW2548" s="13"/>
      <c r="AX2548" s="13"/>
      <c r="AY2548" s="13"/>
      <c r="AZ2548" s="13"/>
      <c r="BA2548" s="13"/>
      <c r="BB2548" s="13"/>
      <c r="BC2548" s="13"/>
      <c r="BD2548" s="13"/>
      <c r="BE2548" s="13"/>
      <c r="BF2548" s="13"/>
      <c r="BG2548" s="13"/>
      <c r="BH2548" s="13"/>
      <c r="BI2548" s="13"/>
      <c r="BJ2548" s="13"/>
      <c r="BK2548" s="13"/>
      <c r="BL2548" s="13"/>
      <c r="BM2548" s="13"/>
      <c r="BN2548" s="13"/>
      <c r="BO2548" s="13"/>
      <c r="BP2548" s="13"/>
      <c r="BQ2548" s="13"/>
    </row>
    <row r="2549" spans="1:69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F2549" s="13"/>
      <c r="AG2549" s="13"/>
      <c r="AH2549" s="13"/>
      <c r="AI2549" s="13"/>
      <c r="AJ2549" s="13"/>
      <c r="AK2549" s="13"/>
      <c r="AL2549" s="13"/>
      <c r="AM2549" s="13"/>
      <c r="AN2549" s="13"/>
      <c r="AO2549" s="13"/>
      <c r="AP2549" s="13"/>
      <c r="AQ2549" s="13"/>
      <c r="AR2549" s="13"/>
      <c r="AS2549" s="13"/>
      <c r="AT2549" s="13"/>
      <c r="AU2549" s="13"/>
      <c r="AV2549" s="13"/>
      <c r="AW2549" s="13"/>
      <c r="AX2549" s="13"/>
      <c r="AY2549" s="13"/>
      <c r="AZ2549" s="13"/>
      <c r="BA2549" s="13"/>
      <c r="BB2549" s="13"/>
      <c r="BC2549" s="13"/>
      <c r="BD2549" s="13"/>
      <c r="BE2549" s="13"/>
      <c r="BF2549" s="13"/>
      <c r="BG2549" s="13"/>
      <c r="BH2549" s="13"/>
      <c r="BI2549" s="13"/>
      <c r="BJ2549" s="13"/>
      <c r="BK2549" s="13"/>
      <c r="BL2549" s="13"/>
      <c r="BM2549" s="13"/>
      <c r="BN2549" s="13"/>
      <c r="BO2549" s="13"/>
      <c r="BP2549" s="13"/>
      <c r="BQ2549" s="13"/>
    </row>
    <row r="2550" spans="1:69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  <c r="AG2550" s="13"/>
      <c r="AH2550" s="13"/>
      <c r="AI2550" s="13"/>
      <c r="AJ2550" s="13"/>
      <c r="AK2550" s="13"/>
      <c r="AL2550" s="13"/>
      <c r="AM2550" s="13"/>
      <c r="AN2550" s="13"/>
      <c r="AO2550" s="13"/>
      <c r="AP2550" s="13"/>
      <c r="AQ2550" s="13"/>
      <c r="AR2550" s="13"/>
      <c r="AS2550" s="13"/>
      <c r="AT2550" s="13"/>
      <c r="AU2550" s="13"/>
      <c r="AV2550" s="13"/>
      <c r="AW2550" s="13"/>
      <c r="AX2550" s="13"/>
      <c r="AY2550" s="13"/>
      <c r="AZ2550" s="13"/>
      <c r="BA2550" s="13"/>
      <c r="BB2550" s="13"/>
      <c r="BC2550" s="13"/>
      <c r="BD2550" s="13"/>
      <c r="BE2550" s="13"/>
      <c r="BF2550" s="13"/>
      <c r="BG2550" s="13"/>
      <c r="BH2550" s="13"/>
      <c r="BI2550" s="13"/>
      <c r="BJ2550" s="13"/>
      <c r="BK2550" s="13"/>
      <c r="BL2550" s="13"/>
      <c r="BM2550" s="13"/>
      <c r="BN2550" s="13"/>
      <c r="BO2550" s="13"/>
      <c r="BP2550" s="13"/>
      <c r="BQ2550" s="13"/>
    </row>
    <row r="2551" spans="1:69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/>
      <c r="AH2551" s="13"/>
      <c r="AI2551" s="13"/>
      <c r="AJ2551" s="13"/>
      <c r="AK2551" s="13"/>
      <c r="AL2551" s="13"/>
      <c r="AM2551" s="13"/>
      <c r="AN2551" s="13"/>
      <c r="AO2551" s="13"/>
      <c r="AP2551" s="13"/>
      <c r="AQ2551" s="13"/>
      <c r="AR2551" s="13"/>
      <c r="AS2551" s="13"/>
      <c r="AT2551" s="13"/>
      <c r="AU2551" s="13"/>
      <c r="AV2551" s="13"/>
      <c r="AW2551" s="13"/>
      <c r="AX2551" s="13"/>
      <c r="AY2551" s="13"/>
      <c r="AZ2551" s="13"/>
      <c r="BA2551" s="13"/>
      <c r="BB2551" s="13"/>
      <c r="BC2551" s="13"/>
      <c r="BD2551" s="13"/>
      <c r="BE2551" s="13"/>
      <c r="BF2551" s="13"/>
      <c r="BG2551" s="13"/>
      <c r="BH2551" s="13"/>
      <c r="BI2551" s="13"/>
      <c r="BJ2551" s="13"/>
      <c r="BK2551" s="13"/>
      <c r="BL2551" s="13"/>
      <c r="BM2551" s="13"/>
      <c r="BN2551" s="13"/>
      <c r="BO2551" s="13"/>
      <c r="BP2551" s="13"/>
      <c r="BQ2551" s="13"/>
    </row>
    <row r="2552" spans="1:69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/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  <c r="AG2552" s="13"/>
      <c r="AH2552" s="13"/>
      <c r="AI2552" s="13"/>
      <c r="AJ2552" s="13"/>
      <c r="AK2552" s="13"/>
      <c r="AL2552" s="13"/>
      <c r="AM2552" s="13"/>
      <c r="AN2552" s="13"/>
      <c r="AO2552" s="13"/>
      <c r="AP2552" s="13"/>
      <c r="AQ2552" s="13"/>
      <c r="AR2552" s="13"/>
      <c r="AS2552" s="13"/>
      <c r="AT2552" s="13"/>
      <c r="AU2552" s="13"/>
      <c r="AV2552" s="13"/>
      <c r="AW2552" s="13"/>
      <c r="AX2552" s="13"/>
      <c r="AY2552" s="13"/>
      <c r="AZ2552" s="13"/>
      <c r="BA2552" s="13"/>
      <c r="BB2552" s="13"/>
      <c r="BC2552" s="13"/>
      <c r="BD2552" s="13"/>
      <c r="BE2552" s="13"/>
      <c r="BF2552" s="13"/>
      <c r="BG2552" s="13"/>
      <c r="BH2552" s="13"/>
      <c r="BI2552" s="13"/>
      <c r="BJ2552" s="13"/>
      <c r="BK2552" s="13"/>
      <c r="BL2552" s="13"/>
      <c r="BM2552" s="13"/>
      <c r="BN2552" s="13"/>
      <c r="BO2552" s="13"/>
      <c r="BP2552" s="13"/>
      <c r="BQ2552" s="13"/>
    </row>
    <row r="2553" spans="1:69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  <c r="AG2553" s="13"/>
      <c r="AH2553" s="13"/>
      <c r="AI2553" s="13"/>
      <c r="AJ2553" s="13"/>
      <c r="AK2553" s="13"/>
      <c r="AL2553" s="13"/>
      <c r="AM2553" s="13"/>
      <c r="AN2553" s="13"/>
      <c r="AO2553" s="13"/>
      <c r="AP2553" s="13"/>
      <c r="AQ2553" s="13"/>
      <c r="AR2553" s="13"/>
      <c r="AS2553" s="13"/>
      <c r="AT2553" s="13"/>
      <c r="AU2553" s="13"/>
      <c r="AV2553" s="13"/>
      <c r="AW2553" s="13"/>
      <c r="AX2553" s="13"/>
      <c r="AY2553" s="13"/>
      <c r="AZ2553" s="13"/>
      <c r="BA2553" s="13"/>
      <c r="BB2553" s="13"/>
      <c r="BC2553" s="13"/>
      <c r="BD2553" s="13"/>
      <c r="BE2553" s="13"/>
      <c r="BF2553" s="13"/>
      <c r="BG2553" s="13"/>
      <c r="BH2553" s="13"/>
      <c r="BI2553" s="13"/>
      <c r="BJ2553" s="13"/>
      <c r="BK2553" s="13"/>
      <c r="BL2553" s="13"/>
      <c r="BM2553" s="13"/>
      <c r="BN2553" s="13"/>
      <c r="BO2553" s="13"/>
      <c r="BP2553" s="13"/>
      <c r="BQ2553" s="13"/>
    </row>
    <row r="2554" spans="1:69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1"/>
      <c r="Q2554" s="11"/>
      <c r="R2554" s="13"/>
      <c r="S2554" s="13"/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  <c r="AG2554" s="13"/>
      <c r="AH2554" s="13"/>
      <c r="AI2554" s="13"/>
      <c r="AJ2554" s="13"/>
      <c r="AK2554" s="13"/>
      <c r="AL2554" s="13"/>
      <c r="AM2554" s="13"/>
      <c r="AN2554" s="13"/>
      <c r="AO2554" s="13"/>
      <c r="AP2554" s="13"/>
      <c r="AQ2554" s="13"/>
      <c r="AR2554" s="13"/>
      <c r="AS2554" s="13"/>
      <c r="AT2554" s="13"/>
      <c r="AU2554" s="13"/>
      <c r="AV2554" s="13"/>
      <c r="AW2554" s="13"/>
      <c r="AX2554" s="13"/>
      <c r="AY2554" s="13"/>
      <c r="AZ2554" s="13"/>
      <c r="BA2554" s="13"/>
      <c r="BB2554" s="13"/>
      <c r="BC2554" s="13"/>
      <c r="BD2554" s="13"/>
      <c r="BE2554" s="13"/>
      <c r="BF2554" s="13"/>
      <c r="BG2554" s="13"/>
      <c r="BH2554" s="13"/>
      <c r="BI2554" s="13"/>
      <c r="BJ2554" s="13"/>
      <c r="BK2554" s="13"/>
      <c r="BL2554" s="13"/>
      <c r="BM2554" s="13"/>
      <c r="BN2554" s="13"/>
      <c r="BO2554" s="13"/>
      <c r="BP2554" s="13"/>
      <c r="BQ2554" s="13"/>
    </row>
    <row r="2555" spans="1:69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  <c r="U2555" s="13"/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  <c r="AG2555" s="13"/>
      <c r="AH2555" s="13"/>
      <c r="AI2555" s="13"/>
      <c r="AJ2555" s="13"/>
      <c r="AK2555" s="13"/>
      <c r="AL2555" s="13"/>
      <c r="AM2555" s="13"/>
      <c r="AN2555" s="13"/>
      <c r="AO2555" s="13"/>
      <c r="AP2555" s="13"/>
      <c r="AQ2555" s="13"/>
      <c r="AR2555" s="13"/>
      <c r="AS2555" s="13"/>
      <c r="AT2555" s="13"/>
      <c r="AU2555" s="13"/>
      <c r="AV2555" s="13"/>
      <c r="AW2555" s="13"/>
      <c r="AX2555" s="13"/>
      <c r="AY2555" s="13"/>
      <c r="AZ2555" s="13"/>
      <c r="BA2555" s="13"/>
      <c r="BB2555" s="13"/>
      <c r="BC2555" s="13"/>
      <c r="BD2555" s="13"/>
      <c r="BE2555" s="13"/>
      <c r="BF2555" s="13"/>
      <c r="BG2555" s="13"/>
      <c r="BH2555" s="13"/>
      <c r="BI2555" s="13"/>
      <c r="BJ2555" s="13"/>
      <c r="BK2555" s="13"/>
      <c r="BL2555" s="13"/>
      <c r="BM2555" s="13"/>
      <c r="BN2555" s="13"/>
      <c r="BO2555" s="13"/>
      <c r="BP2555" s="13"/>
      <c r="BQ2555" s="13"/>
    </row>
    <row r="2556" spans="1:69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  <c r="U2556" s="13"/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F2556" s="13"/>
      <c r="AG2556" s="13"/>
      <c r="AH2556" s="13"/>
      <c r="AI2556" s="13"/>
      <c r="AJ2556" s="13"/>
      <c r="AK2556" s="13"/>
      <c r="AL2556" s="13"/>
      <c r="AM2556" s="13"/>
      <c r="AN2556" s="13"/>
      <c r="AO2556" s="13"/>
      <c r="AP2556" s="13"/>
      <c r="AQ2556" s="13"/>
      <c r="AR2556" s="13"/>
      <c r="AS2556" s="13"/>
      <c r="AT2556" s="13"/>
      <c r="AU2556" s="13"/>
      <c r="AV2556" s="13"/>
      <c r="AW2556" s="13"/>
      <c r="AX2556" s="13"/>
      <c r="AY2556" s="13"/>
      <c r="AZ2556" s="13"/>
      <c r="BA2556" s="13"/>
      <c r="BB2556" s="13"/>
      <c r="BC2556" s="13"/>
      <c r="BD2556" s="13"/>
      <c r="BE2556" s="13"/>
      <c r="BF2556" s="13"/>
      <c r="BG2556" s="13"/>
      <c r="BH2556" s="13"/>
      <c r="BI2556" s="13"/>
      <c r="BJ2556" s="13"/>
      <c r="BK2556" s="13"/>
      <c r="BL2556" s="13"/>
      <c r="BM2556" s="13"/>
      <c r="BN2556" s="13"/>
      <c r="BO2556" s="13"/>
      <c r="BP2556" s="13"/>
      <c r="BQ2556" s="13"/>
    </row>
    <row r="2557" spans="1:69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1"/>
      <c r="Q2557" s="11"/>
      <c r="R2557" s="11"/>
      <c r="S2557" s="11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  <c r="AG2557" s="13"/>
      <c r="AH2557" s="13"/>
      <c r="AI2557" s="13"/>
      <c r="AJ2557" s="13"/>
      <c r="AK2557" s="13"/>
      <c r="AL2557" s="13"/>
      <c r="AM2557" s="13"/>
      <c r="AN2557" s="13"/>
      <c r="AO2557" s="13"/>
      <c r="AP2557" s="13"/>
      <c r="AQ2557" s="13"/>
      <c r="AR2557" s="13"/>
      <c r="AS2557" s="13"/>
      <c r="AT2557" s="13"/>
      <c r="AU2557" s="13"/>
      <c r="AV2557" s="13"/>
      <c r="AW2557" s="13"/>
      <c r="AX2557" s="13"/>
      <c r="AY2557" s="13"/>
      <c r="AZ2557" s="13"/>
      <c r="BA2557" s="13"/>
      <c r="BB2557" s="13"/>
      <c r="BC2557" s="13"/>
      <c r="BD2557" s="13"/>
      <c r="BE2557" s="13"/>
      <c r="BF2557" s="13"/>
      <c r="BG2557" s="13"/>
      <c r="BH2557" s="13"/>
      <c r="BI2557" s="13"/>
      <c r="BJ2557" s="13"/>
      <c r="BK2557" s="13"/>
      <c r="BL2557" s="13"/>
      <c r="BM2557" s="13"/>
      <c r="BN2557" s="13"/>
      <c r="BO2557" s="13"/>
      <c r="BP2557" s="13"/>
      <c r="BQ2557" s="13"/>
    </row>
    <row r="2558" spans="1:69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/>
      <c r="AH2558" s="13"/>
      <c r="AI2558" s="13"/>
      <c r="AJ2558" s="13"/>
      <c r="AK2558" s="13"/>
      <c r="AL2558" s="13"/>
      <c r="AM2558" s="13"/>
      <c r="AN2558" s="13"/>
      <c r="AO2558" s="13"/>
      <c r="AP2558" s="13"/>
      <c r="AQ2558" s="13"/>
      <c r="AR2558" s="13"/>
      <c r="AS2558" s="13"/>
      <c r="AT2558" s="13"/>
      <c r="AU2558" s="13"/>
      <c r="AV2558" s="13"/>
      <c r="AW2558" s="13"/>
      <c r="AX2558" s="13"/>
      <c r="AY2558" s="13"/>
      <c r="AZ2558" s="13"/>
      <c r="BA2558" s="13"/>
      <c r="BB2558" s="13"/>
      <c r="BC2558" s="13"/>
      <c r="BD2558" s="13"/>
      <c r="BE2558" s="13"/>
      <c r="BF2558" s="13"/>
      <c r="BG2558" s="13"/>
      <c r="BH2558" s="13"/>
      <c r="BI2558" s="13"/>
      <c r="BJ2558" s="13"/>
      <c r="BK2558" s="13"/>
      <c r="BL2558" s="13"/>
      <c r="BM2558" s="13"/>
      <c r="BN2558" s="13"/>
      <c r="BO2558" s="13"/>
      <c r="BP2558" s="13"/>
      <c r="BQ2558" s="13"/>
    </row>
    <row r="2559" spans="1:69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  <c r="AG2559" s="13"/>
      <c r="AH2559" s="13"/>
      <c r="AI2559" s="13"/>
      <c r="AJ2559" s="13"/>
      <c r="AK2559" s="13"/>
      <c r="AL2559" s="13"/>
      <c r="AM2559" s="13"/>
      <c r="AN2559" s="13"/>
      <c r="AO2559" s="13"/>
      <c r="AP2559" s="13"/>
      <c r="AQ2559" s="13"/>
      <c r="AR2559" s="13"/>
      <c r="AS2559" s="13"/>
      <c r="AT2559" s="13"/>
      <c r="AU2559" s="13"/>
      <c r="AV2559" s="13"/>
      <c r="AW2559" s="13"/>
      <c r="AX2559" s="13"/>
      <c r="AY2559" s="13"/>
      <c r="AZ2559" s="13"/>
      <c r="BA2559" s="13"/>
      <c r="BB2559" s="13"/>
      <c r="BC2559" s="13"/>
      <c r="BD2559" s="13"/>
      <c r="BE2559" s="13"/>
      <c r="BF2559" s="13"/>
      <c r="BG2559" s="13"/>
      <c r="BH2559" s="13"/>
      <c r="BI2559" s="13"/>
      <c r="BJ2559" s="13"/>
      <c r="BK2559" s="13"/>
      <c r="BL2559" s="13"/>
      <c r="BM2559" s="13"/>
      <c r="BN2559" s="13"/>
      <c r="BO2559" s="13"/>
      <c r="BP2559" s="13"/>
      <c r="BQ2559" s="13"/>
    </row>
    <row r="2560" spans="1:69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1"/>
      <c r="Q2560" s="11"/>
      <c r="R2560" s="11"/>
      <c r="S2560" s="11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3"/>
      <c r="AL2560" s="13"/>
      <c r="AM2560" s="13"/>
      <c r="AN2560" s="13"/>
      <c r="AO2560" s="13"/>
      <c r="AP2560" s="13"/>
      <c r="AQ2560" s="13"/>
      <c r="AR2560" s="13"/>
      <c r="AS2560" s="13"/>
      <c r="AT2560" s="13"/>
      <c r="AU2560" s="13"/>
      <c r="AV2560" s="13"/>
      <c r="AW2560" s="13"/>
      <c r="AX2560" s="13"/>
      <c r="AY2560" s="13"/>
      <c r="AZ2560" s="13"/>
      <c r="BA2560" s="13"/>
      <c r="BB2560" s="13"/>
      <c r="BC2560" s="13"/>
      <c r="BD2560" s="13"/>
      <c r="BE2560" s="13"/>
      <c r="BF2560" s="13"/>
      <c r="BG2560" s="13"/>
      <c r="BH2560" s="13"/>
      <c r="BI2560" s="13"/>
      <c r="BJ2560" s="13"/>
      <c r="BK2560" s="13"/>
      <c r="BL2560" s="13"/>
      <c r="BM2560" s="13"/>
      <c r="BN2560" s="13"/>
      <c r="BO2560" s="13"/>
      <c r="BP2560" s="13"/>
      <c r="BQ2560" s="13"/>
    </row>
    <row r="2561" spans="1:69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F2561" s="13"/>
      <c r="AG2561" s="13"/>
      <c r="AH2561" s="13"/>
      <c r="AI2561" s="13"/>
      <c r="AJ2561" s="13"/>
      <c r="AK2561" s="13"/>
      <c r="AL2561" s="13"/>
      <c r="AM2561" s="13"/>
      <c r="AN2561" s="13"/>
      <c r="AO2561" s="13"/>
      <c r="AP2561" s="13"/>
      <c r="AQ2561" s="13"/>
      <c r="AR2561" s="13"/>
      <c r="AS2561" s="13"/>
      <c r="AT2561" s="13"/>
      <c r="AU2561" s="13"/>
      <c r="AV2561" s="13"/>
      <c r="AW2561" s="13"/>
      <c r="AX2561" s="13"/>
      <c r="AY2561" s="13"/>
      <c r="AZ2561" s="13"/>
      <c r="BA2561" s="13"/>
      <c r="BB2561" s="13"/>
      <c r="BC2561" s="13"/>
      <c r="BD2561" s="13"/>
      <c r="BE2561" s="13"/>
      <c r="BF2561" s="13"/>
      <c r="BG2561" s="13"/>
      <c r="BH2561" s="13"/>
      <c r="BI2561" s="13"/>
      <c r="BJ2561" s="13"/>
      <c r="BK2561" s="13"/>
      <c r="BL2561" s="13"/>
      <c r="BM2561" s="13"/>
      <c r="BN2561" s="13"/>
      <c r="BO2561" s="13"/>
      <c r="BP2561" s="13"/>
      <c r="BQ2561" s="13"/>
    </row>
    <row r="2562" spans="1:69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  <c r="U2562" s="13"/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  <c r="AG2562" s="13"/>
      <c r="AH2562" s="13"/>
      <c r="AI2562" s="13"/>
      <c r="AJ2562" s="13"/>
      <c r="AK2562" s="13"/>
      <c r="AL2562" s="13"/>
      <c r="AM2562" s="13"/>
      <c r="AN2562" s="13"/>
      <c r="AO2562" s="13"/>
      <c r="AP2562" s="13"/>
      <c r="AQ2562" s="13"/>
      <c r="AR2562" s="13"/>
      <c r="AS2562" s="13"/>
      <c r="AT2562" s="13"/>
      <c r="AU2562" s="13"/>
      <c r="AV2562" s="13"/>
      <c r="AW2562" s="13"/>
      <c r="AX2562" s="13"/>
      <c r="AY2562" s="13"/>
      <c r="AZ2562" s="13"/>
      <c r="BA2562" s="13"/>
      <c r="BB2562" s="13"/>
      <c r="BC2562" s="13"/>
      <c r="BD2562" s="13"/>
      <c r="BE2562" s="13"/>
      <c r="BF2562" s="13"/>
      <c r="BG2562" s="13"/>
      <c r="BH2562" s="13"/>
      <c r="BI2562" s="13"/>
      <c r="BJ2562" s="13"/>
      <c r="BK2562" s="13"/>
      <c r="BL2562" s="13"/>
      <c r="BM2562" s="13"/>
      <c r="BN2562" s="13"/>
      <c r="BO2562" s="13"/>
      <c r="BP2562" s="13"/>
      <c r="BQ2562" s="13"/>
    </row>
    <row r="2563" spans="1:69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F2563" s="13"/>
      <c r="AG2563" s="13"/>
      <c r="AH2563" s="13"/>
      <c r="AI2563" s="13"/>
      <c r="AJ2563" s="13"/>
      <c r="AK2563" s="13"/>
      <c r="AL2563" s="13"/>
      <c r="AM2563" s="13"/>
      <c r="AN2563" s="13"/>
      <c r="AO2563" s="13"/>
      <c r="AP2563" s="13"/>
      <c r="AQ2563" s="13"/>
      <c r="AR2563" s="13"/>
      <c r="AS2563" s="13"/>
      <c r="AT2563" s="13"/>
      <c r="AU2563" s="13"/>
      <c r="AV2563" s="13"/>
      <c r="AW2563" s="13"/>
      <c r="AX2563" s="13"/>
      <c r="AY2563" s="13"/>
      <c r="AZ2563" s="13"/>
      <c r="BA2563" s="13"/>
      <c r="BB2563" s="13"/>
      <c r="BC2563" s="13"/>
      <c r="BD2563" s="13"/>
      <c r="BE2563" s="13"/>
      <c r="BF2563" s="13"/>
      <c r="BG2563" s="13"/>
      <c r="BH2563" s="13"/>
      <c r="BI2563" s="13"/>
      <c r="BJ2563" s="13"/>
      <c r="BK2563" s="13"/>
      <c r="BL2563" s="13"/>
      <c r="BM2563" s="13"/>
      <c r="BN2563" s="13"/>
      <c r="BO2563" s="13"/>
      <c r="BP2563" s="13"/>
      <c r="BQ2563" s="13"/>
    </row>
    <row r="2564" spans="1:69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1"/>
      <c r="Q2564" s="11"/>
      <c r="R2564" s="13"/>
      <c r="S2564" s="13"/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  <c r="AG2564" s="13"/>
      <c r="AH2564" s="13"/>
      <c r="AI2564" s="13"/>
      <c r="AJ2564" s="13"/>
      <c r="AK2564" s="13"/>
      <c r="AL2564" s="13"/>
      <c r="AM2564" s="13"/>
      <c r="AN2564" s="13"/>
      <c r="AO2564" s="13"/>
      <c r="AP2564" s="13"/>
      <c r="AQ2564" s="13"/>
      <c r="AR2564" s="13"/>
      <c r="AS2564" s="13"/>
      <c r="AT2564" s="13"/>
      <c r="AU2564" s="13"/>
      <c r="AV2564" s="13"/>
      <c r="AW2564" s="13"/>
      <c r="AX2564" s="13"/>
      <c r="AY2564" s="13"/>
      <c r="AZ2564" s="13"/>
      <c r="BA2564" s="13"/>
      <c r="BB2564" s="13"/>
      <c r="BC2564" s="13"/>
      <c r="BD2564" s="13"/>
      <c r="BE2564" s="13"/>
      <c r="BF2564" s="13"/>
      <c r="BG2564" s="13"/>
      <c r="BH2564" s="13"/>
      <c r="BI2564" s="13"/>
      <c r="BJ2564" s="13"/>
      <c r="BK2564" s="13"/>
      <c r="BL2564" s="13"/>
      <c r="BM2564" s="13"/>
      <c r="BN2564" s="13"/>
      <c r="BO2564" s="13"/>
      <c r="BP2564" s="13"/>
      <c r="BQ2564" s="13"/>
    </row>
    <row r="2565" spans="1:69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/>
      <c r="AH2565" s="13"/>
      <c r="AI2565" s="13"/>
      <c r="AJ2565" s="13"/>
      <c r="AK2565" s="13"/>
      <c r="AL2565" s="13"/>
      <c r="AM2565" s="13"/>
      <c r="AN2565" s="13"/>
      <c r="AO2565" s="13"/>
      <c r="AP2565" s="13"/>
      <c r="AQ2565" s="13"/>
      <c r="AR2565" s="13"/>
      <c r="AS2565" s="13"/>
      <c r="AT2565" s="13"/>
      <c r="AU2565" s="13"/>
      <c r="AV2565" s="13"/>
      <c r="AW2565" s="13"/>
      <c r="AX2565" s="13"/>
      <c r="AY2565" s="13"/>
      <c r="AZ2565" s="13"/>
      <c r="BA2565" s="13"/>
      <c r="BB2565" s="13"/>
      <c r="BC2565" s="13"/>
      <c r="BD2565" s="13"/>
      <c r="BE2565" s="13"/>
      <c r="BF2565" s="13"/>
      <c r="BG2565" s="13"/>
      <c r="BH2565" s="13"/>
      <c r="BI2565" s="13"/>
      <c r="BJ2565" s="13"/>
      <c r="BK2565" s="13"/>
      <c r="BL2565" s="13"/>
      <c r="BM2565" s="13"/>
      <c r="BN2565" s="13"/>
      <c r="BO2565" s="13"/>
      <c r="BP2565" s="13"/>
      <c r="BQ2565" s="13"/>
    </row>
    <row r="2566" spans="1:69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/>
      <c r="AH2566" s="13"/>
      <c r="AI2566" s="13"/>
      <c r="AJ2566" s="13"/>
      <c r="AK2566" s="13"/>
      <c r="AL2566" s="13"/>
      <c r="AM2566" s="13"/>
      <c r="AN2566" s="13"/>
      <c r="AO2566" s="13"/>
      <c r="AP2566" s="13"/>
      <c r="AQ2566" s="13"/>
      <c r="AR2566" s="13"/>
      <c r="AS2566" s="13"/>
      <c r="AT2566" s="13"/>
      <c r="AU2566" s="13"/>
      <c r="AV2566" s="13"/>
      <c r="AW2566" s="13"/>
      <c r="AX2566" s="13"/>
      <c r="AY2566" s="13"/>
      <c r="AZ2566" s="13"/>
      <c r="BA2566" s="13"/>
      <c r="BB2566" s="13"/>
      <c r="BC2566" s="13"/>
      <c r="BD2566" s="13"/>
      <c r="BE2566" s="13"/>
      <c r="BF2566" s="13"/>
      <c r="BG2566" s="13"/>
      <c r="BH2566" s="13"/>
      <c r="BI2566" s="13"/>
      <c r="BJ2566" s="13"/>
      <c r="BK2566" s="13"/>
      <c r="BL2566" s="13"/>
      <c r="BM2566" s="13"/>
      <c r="BN2566" s="13"/>
      <c r="BO2566" s="13"/>
      <c r="BP2566" s="13"/>
      <c r="BQ2566" s="13"/>
    </row>
    <row r="2567" spans="1:69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U2567" s="13"/>
      <c r="V2567" s="13"/>
      <c r="W2567" s="13"/>
      <c r="X2567" s="13"/>
      <c r="Y2567" s="13"/>
      <c r="Z2567" s="13"/>
      <c r="AA2567" s="13"/>
      <c r="AB2567" s="13"/>
      <c r="AC2567" s="13"/>
      <c r="AD2567" s="13"/>
      <c r="AE2567" s="13"/>
      <c r="AF2567" s="13"/>
      <c r="AG2567" s="13"/>
      <c r="AH2567" s="13"/>
      <c r="AI2567" s="13"/>
      <c r="AJ2567" s="13"/>
      <c r="AK2567" s="13"/>
      <c r="AL2567" s="13"/>
      <c r="AM2567" s="13"/>
      <c r="AN2567" s="13"/>
      <c r="AO2567" s="13"/>
      <c r="AP2567" s="13"/>
      <c r="AQ2567" s="13"/>
      <c r="AR2567" s="13"/>
      <c r="AS2567" s="13"/>
      <c r="AT2567" s="13"/>
      <c r="AU2567" s="13"/>
      <c r="AV2567" s="13"/>
      <c r="AW2567" s="13"/>
      <c r="AX2567" s="13"/>
      <c r="AY2567" s="13"/>
      <c r="AZ2567" s="13"/>
      <c r="BA2567" s="13"/>
      <c r="BB2567" s="13"/>
      <c r="BC2567" s="13"/>
      <c r="BD2567" s="13"/>
      <c r="BE2567" s="13"/>
      <c r="BF2567" s="13"/>
      <c r="BG2567" s="13"/>
      <c r="BH2567" s="13"/>
      <c r="BI2567" s="13"/>
      <c r="BJ2567" s="13"/>
      <c r="BK2567" s="13"/>
      <c r="BL2567" s="13"/>
      <c r="BM2567" s="13"/>
      <c r="BN2567" s="13"/>
      <c r="BO2567" s="13"/>
      <c r="BP2567" s="13"/>
      <c r="BQ2567" s="13"/>
    </row>
    <row r="2568" spans="1:69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/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  <c r="AG2568" s="13"/>
      <c r="AH2568" s="13"/>
      <c r="AI2568" s="13"/>
      <c r="AJ2568" s="13"/>
      <c r="AK2568" s="13"/>
      <c r="AL2568" s="13"/>
      <c r="AM2568" s="13"/>
      <c r="AN2568" s="13"/>
      <c r="AO2568" s="13"/>
      <c r="AP2568" s="13"/>
      <c r="AQ2568" s="13"/>
      <c r="AR2568" s="13"/>
      <c r="AS2568" s="13"/>
      <c r="AT2568" s="13"/>
      <c r="AU2568" s="13"/>
      <c r="AV2568" s="13"/>
      <c r="AW2568" s="13"/>
      <c r="AX2568" s="13"/>
      <c r="AY2568" s="13"/>
      <c r="AZ2568" s="13"/>
      <c r="BA2568" s="13"/>
      <c r="BB2568" s="13"/>
      <c r="BC2568" s="13"/>
      <c r="BD2568" s="13"/>
      <c r="BE2568" s="13"/>
      <c r="BF2568" s="13"/>
      <c r="BG2568" s="13"/>
      <c r="BH2568" s="13"/>
      <c r="BI2568" s="13"/>
      <c r="BJ2568" s="13"/>
      <c r="BK2568" s="13"/>
      <c r="BL2568" s="13"/>
      <c r="BM2568" s="13"/>
      <c r="BN2568" s="13"/>
      <c r="BO2568" s="13"/>
      <c r="BP2568" s="13"/>
      <c r="BQ2568" s="13"/>
    </row>
    <row r="2569" spans="1:69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F2569" s="13"/>
      <c r="AG2569" s="13"/>
      <c r="AH2569" s="13"/>
      <c r="AI2569" s="13"/>
      <c r="AJ2569" s="13"/>
      <c r="AK2569" s="13"/>
      <c r="AL2569" s="13"/>
      <c r="AM2569" s="13"/>
      <c r="AN2569" s="13"/>
      <c r="AO2569" s="13"/>
      <c r="AP2569" s="13"/>
      <c r="AQ2569" s="13"/>
      <c r="AR2569" s="13"/>
      <c r="AS2569" s="13"/>
      <c r="AT2569" s="13"/>
      <c r="AU2569" s="13"/>
      <c r="AV2569" s="13"/>
      <c r="AW2569" s="13"/>
      <c r="AX2569" s="13"/>
      <c r="AY2569" s="13"/>
      <c r="AZ2569" s="13"/>
      <c r="BA2569" s="13"/>
      <c r="BB2569" s="13"/>
      <c r="BC2569" s="13"/>
      <c r="BD2569" s="13"/>
      <c r="BE2569" s="13"/>
      <c r="BF2569" s="13"/>
      <c r="BG2569" s="13"/>
      <c r="BH2569" s="13"/>
      <c r="BI2569" s="13"/>
      <c r="BJ2569" s="13"/>
      <c r="BK2569" s="13"/>
      <c r="BL2569" s="13"/>
      <c r="BM2569" s="13"/>
      <c r="BN2569" s="13"/>
      <c r="BO2569" s="13"/>
      <c r="BP2569" s="13"/>
      <c r="BQ2569" s="13"/>
    </row>
    <row r="2570" spans="1:69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/>
      <c r="AH2570" s="13"/>
      <c r="AI2570" s="13"/>
      <c r="AJ2570" s="13"/>
      <c r="AK2570" s="13"/>
      <c r="AL2570" s="13"/>
      <c r="AM2570" s="13"/>
      <c r="AN2570" s="13"/>
      <c r="AO2570" s="13"/>
      <c r="AP2570" s="13"/>
      <c r="AQ2570" s="13"/>
      <c r="AR2570" s="13"/>
      <c r="AS2570" s="13"/>
      <c r="AT2570" s="13"/>
      <c r="AU2570" s="13"/>
      <c r="AV2570" s="13"/>
      <c r="AW2570" s="13"/>
      <c r="AX2570" s="13"/>
      <c r="AY2570" s="13"/>
      <c r="AZ2570" s="13"/>
      <c r="BA2570" s="13"/>
      <c r="BB2570" s="13"/>
      <c r="BC2570" s="13"/>
      <c r="BD2570" s="13"/>
      <c r="BE2570" s="13"/>
      <c r="BF2570" s="13"/>
      <c r="BG2570" s="13"/>
      <c r="BH2570" s="13"/>
      <c r="BI2570" s="13"/>
      <c r="BJ2570" s="13"/>
      <c r="BK2570" s="13"/>
      <c r="BL2570" s="13"/>
      <c r="BM2570" s="13"/>
      <c r="BN2570" s="13"/>
      <c r="BO2570" s="13"/>
      <c r="BP2570" s="13"/>
      <c r="BQ2570" s="13"/>
    </row>
    <row r="2571" spans="1:69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/>
      <c r="AH2571" s="13"/>
      <c r="AI2571" s="13"/>
      <c r="AJ2571" s="13"/>
      <c r="AK2571" s="13"/>
      <c r="AL2571" s="13"/>
      <c r="AM2571" s="13"/>
      <c r="AN2571" s="13"/>
      <c r="AO2571" s="13"/>
      <c r="AP2571" s="13"/>
      <c r="AQ2571" s="13"/>
      <c r="AR2571" s="13"/>
      <c r="AS2571" s="13"/>
      <c r="AT2571" s="13"/>
      <c r="AU2571" s="13"/>
      <c r="AV2571" s="13"/>
      <c r="AW2571" s="13"/>
      <c r="AX2571" s="13"/>
      <c r="AY2571" s="13"/>
      <c r="AZ2571" s="13"/>
      <c r="BA2571" s="13"/>
      <c r="BB2571" s="13"/>
      <c r="BC2571" s="13"/>
      <c r="BD2571" s="13"/>
      <c r="BE2571" s="13"/>
      <c r="BF2571" s="13"/>
      <c r="BG2571" s="13"/>
      <c r="BH2571" s="13"/>
      <c r="BI2571" s="13"/>
      <c r="BJ2571" s="13"/>
      <c r="BK2571" s="13"/>
      <c r="BL2571" s="13"/>
      <c r="BM2571" s="13"/>
      <c r="BN2571" s="13"/>
      <c r="BO2571" s="13"/>
      <c r="BP2571" s="13"/>
      <c r="BQ2571" s="13"/>
    </row>
    <row r="2572" spans="1:69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  <c r="AG2572" s="13"/>
      <c r="AH2572" s="13"/>
      <c r="AI2572" s="13"/>
      <c r="AJ2572" s="13"/>
      <c r="AK2572" s="13"/>
      <c r="AL2572" s="13"/>
      <c r="AM2572" s="13"/>
      <c r="AN2572" s="13"/>
      <c r="AO2572" s="13"/>
      <c r="AP2572" s="13"/>
      <c r="AQ2572" s="13"/>
      <c r="AR2572" s="13"/>
      <c r="AS2572" s="13"/>
      <c r="AT2572" s="13"/>
      <c r="AU2572" s="13"/>
      <c r="AV2572" s="13"/>
      <c r="AW2572" s="13"/>
      <c r="AX2572" s="13"/>
      <c r="AY2572" s="13"/>
      <c r="AZ2572" s="13"/>
      <c r="BA2572" s="13"/>
      <c r="BB2572" s="13"/>
      <c r="BC2572" s="13"/>
      <c r="BD2572" s="13"/>
      <c r="BE2572" s="13"/>
      <c r="BF2572" s="13"/>
      <c r="BG2572" s="13"/>
      <c r="BH2572" s="13"/>
      <c r="BI2572" s="13"/>
      <c r="BJ2572" s="13"/>
      <c r="BK2572" s="13"/>
      <c r="BL2572" s="13"/>
      <c r="BM2572" s="13"/>
      <c r="BN2572" s="13"/>
      <c r="BO2572" s="13"/>
      <c r="BP2572" s="13"/>
      <c r="BQ2572" s="13"/>
    </row>
    <row r="2573" spans="1:69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U2573" s="13"/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  <c r="AG2573" s="13"/>
      <c r="AH2573" s="13"/>
      <c r="AI2573" s="13"/>
      <c r="AJ2573" s="13"/>
      <c r="AK2573" s="13"/>
      <c r="AL2573" s="13"/>
      <c r="AM2573" s="13"/>
      <c r="AN2573" s="13"/>
      <c r="AO2573" s="13"/>
      <c r="AP2573" s="13"/>
      <c r="AQ2573" s="13"/>
      <c r="AR2573" s="13"/>
      <c r="AS2573" s="13"/>
      <c r="AT2573" s="13"/>
      <c r="AU2573" s="13"/>
      <c r="AV2573" s="13"/>
      <c r="AW2573" s="13"/>
      <c r="AX2573" s="13"/>
      <c r="AY2573" s="13"/>
      <c r="AZ2573" s="13"/>
      <c r="BA2573" s="13"/>
      <c r="BB2573" s="13"/>
      <c r="BC2573" s="13"/>
      <c r="BD2573" s="13"/>
      <c r="BE2573" s="13"/>
      <c r="BF2573" s="13"/>
      <c r="BG2573" s="13"/>
      <c r="BH2573" s="13"/>
      <c r="BI2573" s="13"/>
      <c r="BJ2573" s="13"/>
      <c r="BK2573" s="13"/>
      <c r="BL2573" s="13"/>
      <c r="BM2573" s="13"/>
      <c r="BN2573" s="13"/>
      <c r="BO2573" s="13"/>
      <c r="BP2573" s="13"/>
      <c r="BQ2573" s="13"/>
    </row>
    <row r="2574" spans="1:69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U2574" s="13"/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  <c r="AG2574" s="13"/>
      <c r="AH2574" s="13"/>
      <c r="AI2574" s="13"/>
      <c r="AJ2574" s="13"/>
      <c r="AK2574" s="13"/>
      <c r="AL2574" s="13"/>
      <c r="AM2574" s="13"/>
      <c r="AN2574" s="13"/>
      <c r="AO2574" s="13"/>
      <c r="AP2574" s="13"/>
      <c r="AQ2574" s="13"/>
      <c r="AR2574" s="13"/>
      <c r="AS2574" s="13"/>
      <c r="AT2574" s="13"/>
      <c r="AU2574" s="13"/>
      <c r="AV2574" s="13"/>
      <c r="AW2574" s="13"/>
      <c r="AX2574" s="13"/>
      <c r="AY2574" s="13"/>
      <c r="AZ2574" s="13"/>
      <c r="BA2574" s="13"/>
      <c r="BB2574" s="13"/>
      <c r="BC2574" s="13"/>
      <c r="BD2574" s="13"/>
      <c r="BE2574" s="13"/>
      <c r="BF2574" s="13"/>
      <c r="BG2574" s="13"/>
      <c r="BH2574" s="13"/>
      <c r="BI2574" s="13"/>
      <c r="BJ2574" s="13"/>
      <c r="BK2574" s="13"/>
      <c r="BL2574" s="13"/>
      <c r="BM2574" s="13"/>
      <c r="BN2574" s="13"/>
      <c r="BO2574" s="13"/>
      <c r="BP2574" s="13"/>
      <c r="BQ2574" s="13"/>
    </row>
    <row r="2575" spans="1:69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  <c r="AG2575" s="13"/>
      <c r="AH2575" s="13"/>
      <c r="AI2575" s="13"/>
      <c r="AJ2575" s="13"/>
      <c r="AK2575" s="13"/>
      <c r="AL2575" s="13"/>
      <c r="AM2575" s="13"/>
      <c r="AN2575" s="13"/>
      <c r="AO2575" s="13"/>
      <c r="AP2575" s="13"/>
      <c r="AQ2575" s="13"/>
      <c r="AR2575" s="13"/>
      <c r="AS2575" s="13"/>
      <c r="AT2575" s="13"/>
      <c r="AU2575" s="13"/>
      <c r="AV2575" s="13"/>
      <c r="AW2575" s="13"/>
      <c r="AX2575" s="13"/>
      <c r="AY2575" s="13"/>
      <c r="AZ2575" s="13"/>
      <c r="BA2575" s="13"/>
      <c r="BB2575" s="13"/>
      <c r="BC2575" s="13"/>
      <c r="BD2575" s="13"/>
      <c r="BE2575" s="13"/>
      <c r="BF2575" s="13"/>
      <c r="BG2575" s="13"/>
      <c r="BH2575" s="13"/>
      <c r="BI2575" s="13"/>
      <c r="BJ2575" s="13"/>
      <c r="BK2575" s="13"/>
      <c r="BL2575" s="13"/>
      <c r="BM2575" s="13"/>
      <c r="BN2575" s="13"/>
      <c r="BO2575" s="13"/>
      <c r="BP2575" s="13"/>
      <c r="BQ2575" s="13"/>
    </row>
    <row r="2576" spans="1:69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/>
      <c r="AH2576" s="13"/>
      <c r="AI2576" s="13"/>
      <c r="AJ2576" s="13"/>
      <c r="AK2576" s="13"/>
      <c r="AL2576" s="13"/>
      <c r="AM2576" s="13"/>
      <c r="AN2576" s="13"/>
      <c r="AO2576" s="13"/>
      <c r="AP2576" s="13"/>
      <c r="AQ2576" s="13"/>
      <c r="AR2576" s="13"/>
      <c r="AS2576" s="13"/>
      <c r="AT2576" s="13"/>
      <c r="AU2576" s="13"/>
      <c r="AV2576" s="13"/>
      <c r="AW2576" s="13"/>
      <c r="AX2576" s="13"/>
      <c r="AY2576" s="13"/>
      <c r="AZ2576" s="13"/>
      <c r="BA2576" s="13"/>
      <c r="BB2576" s="13"/>
      <c r="BC2576" s="13"/>
      <c r="BD2576" s="13"/>
      <c r="BE2576" s="13"/>
      <c r="BF2576" s="13"/>
      <c r="BG2576" s="13"/>
      <c r="BH2576" s="13"/>
      <c r="BI2576" s="13"/>
      <c r="BJ2576" s="13"/>
      <c r="BK2576" s="13"/>
      <c r="BL2576" s="13"/>
      <c r="BM2576" s="13"/>
      <c r="BN2576" s="13"/>
      <c r="BO2576" s="13"/>
      <c r="BP2576" s="13"/>
      <c r="BQ2576" s="13"/>
    </row>
    <row r="2577" spans="1:69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/>
      <c r="AH2577" s="13"/>
      <c r="AI2577" s="13"/>
      <c r="AJ2577" s="13"/>
      <c r="AK2577" s="13"/>
      <c r="AL2577" s="13"/>
      <c r="AM2577" s="13"/>
      <c r="AN2577" s="13"/>
      <c r="AO2577" s="13"/>
      <c r="AP2577" s="13"/>
      <c r="AQ2577" s="13"/>
      <c r="AR2577" s="13"/>
      <c r="AS2577" s="13"/>
      <c r="AT2577" s="13"/>
      <c r="AU2577" s="13"/>
      <c r="AV2577" s="13"/>
      <c r="AW2577" s="13"/>
      <c r="AX2577" s="13"/>
      <c r="AY2577" s="13"/>
      <c r="AZ2577" s="13"/>
      <c r="BA2577" s="13"/>
      <c r="BB2577" s="13"/>
      <c r="BC2577" s="13"/>
      <c r="BD2577" s="13"/>
      <c r="BE2577" s="13"/>
      <c r="BF2577" s="13"/>
      <c r="BG2577" s="13"/>
      <c r="BH2577" s="13"/>
      <c r="BI2577" s="13"/>
      <c r="BJ2577" s="13"/>
      <c r="BK2577" s="13"/>
      <c r="BL2577" s="13"/>
      <c r="BM2577" s="13"/>
      <c r="BN2577" s="13"/>
      <c r="BO2577" s="13"/>
      <c r="BP2577" s="13"/>
      <c r="BQ2577" s="13"/>
    </row>
    <row r="2578" spans="1:69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/>
      <c r="AH2578" s="13"/>
      <c r="AI2578" s="13"/>
      <c r="AJ2578" s="13"/>
      <c r="AK2578" s="13"/>
      <c r="AL2578" s="13"/>
      <c r="AM2578" s="13"/>
      <c r="AN2578" s="13"/>
      <c r="AO2578" s="13"/>
      <c r="AP2578" s="13"/>
      <c r="AQ2578" s="13"/>
      <c r="AR2578" s="13"/>
      <c r="AS2578" s="13"/>
      <c r="AT2578" s="13"/>
      <c r="AU2578" s="13"/>
      <c r="AV2578" s="13"/>
      <c r="AW2578" s="13"/>
      <c r="AX2578" s="13"/>
      <c r="AY2578" s="13"/>
      <c r="AZ2578" s="13"/>
      <c r="BA2578" s="13"/>
      <c r="BB2578" s="13"/>
      <c r="BC2578" s="13"/>
      <c r="BD2578" s="13"/>
      <c r="BE2578" s="13"/>
      <c r="BF2578" s="13"/>
      <c r="BG2578" s="13"/>
      <c r="BH2578" s="13"/>
      <c r="BI2578" s="13"/>
      <c r="BJ2578" s="13"/>
      <c r="BK2578" s="13"/>
      <c r="BL2578" s="13"/>
      <c r="BM2578" s="13"/>
      <c r="BN2578" s="13"/>
      <c r="BO2578" s="13"/>
      <c r="BP2578" s="13"/>
      <c r="BQ2578" s="13"/>
    </row>
    <row r="2579" spans="1:69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  <c r="U2579" s="13"/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  <c r="AG2579" s="13"/>
      <c r="AH2579" s="13"/>
      <c r="AI2579" s="13"/>
      <c r="AJ2579" s="13"/>
      <c r="AK2579" s="13"/>
      <c r="AL2579" s="13"/>
      <c r="AM2579" s="13"/>
      <c r="AN2579" s="13"/>
      <c r="AO2579" s="13"/>
      <c r="AP2579" s="13"/>
      <c r="AQ2579" s="13"/>
      <c r="AR2579" s="13"/>
      <c r="AS2579" s="13"/>
      <c r="AT2579" s="13"/>
      <c r="AU2579" s="13"/>
      <c r="AV2579" s="13"/>
      <c r="AW2579" s="13"/>
      <c r="AX2579" s="13"/>
      <c r="AY2579" s="13"/>
      <c r="AZ2579" s="13"/>
      <c r="BA2579" s="13"/>
      <c r="BB2579" s="13"/>
      <c r="BC2579" s="13"/>
      <c r="BD2579" s="13"/>
      <c r="BE2579" s="13"/>
      <c r="BF2579" s="13"/>
      <c r="BG2579" s="13"/>
      <c r="BH2579" s="13"/>
      <c r="BI2579" s="13"/>
      <c r="BJ2579" s="13"/>
      <c r="BK2579" s="13"/>
      <c r="BL2579" s="13"/>
      <c r="BM2579" s="13"/>
      <c r="BN2579" s="13"/>
      <c r="BO2579" s="13"/>
      <c r="BP2579" s="13"/>
      <c r="BQ2579" s="13"/>
    </row>
    <row r="2580" spans="1:69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/>
      <c r="AH2580" s="13"/>
      <c r="AI2580" s="13"/>
      <c r="AJ2580" s="13"/>
      <c r="AK2580" s="13"/>
      <c r="AL2580" s="13"/>
      <c r="AM2580" s="13"/>
      <c r="AN2580" s="13"/>
      <c r="AO2580" s="13"/>
      <c r="AP2580" s="13"/>
      <c r="AQ2580" s="13"/>
      <c r="AR2580" s="13"/>
      <c r="AS2580" s="13"/>
      <c r="AT2580" s="13"/>
      <c r="AU2580" s="13"/>
      <c r="AV2580" s="13"/>
      <c r="AW2580" s="13"/>
      <c r="AX2580" s="13"/>
      <c r="AY2580" s="13"/>
      <c r="AZ2580" s="13"/>
      <c r="BA2580" s="13"/>
      <c r="BB2580" s="13"/>
      <c r="BC2580" s="13"/>
      <c r="BD2580" s="13"/>
      <c r="BE2580" s="13"/>
      <c r="BF2580" s="13"/>
      <c r="BG2580" s="13"/>
      <c r="BH2580" s="13"/>
      <c r="BI2580" s="13"/>
      <c r="BJ2580" s="13"/>
      <c r="BK2580" s="13"/>
      <c r="BL2580" s="13"/>
      <c r="BM2580" s="13"/>
      <c r="BN2580" s="13"/>
      <c r="BO2580" s="13"/>
      <c r="BP2580" s="13"/>
      <c r="BQ2580" s="13"/>
    </row>
    <row r="2581" spans="1:69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/>
      <c r="AH2581" s="13"/>
      <c r="AI2581" s="13"/>
      <c r="AJ2581" s="13"/>
      <c r="AK2581" s="13"/>
      <c r="AL2581" s="13"/>
      <c r="AM2581" s="13"/>
      <c r="AN2581" s="13"/>
      <c r="AO2581" s="13"/>
      <c r="AP2581" s="13"/>
      <c r="AQ2581" s="13"/>
      <c r="AR2581" s="13"/>
      <c r="AS2581" s="13"/>
      <c r="AT2581" s="13"/>
      <c r="AU2581" s="13"/>
      <c r="AV2581" s="13"/>
      <c r="AW2581" s="13"/>
      <c r="AX2581" s="13"/>
      <c r="AY2581" s="13"/>
      <c r="AZ2581" s="13"/>
      <c r="BA2581" s="13"/>
      <c r="BB2581" s="13"/>
      <c r="BC2581" s="13"/>
      <c r="BD2581" s="13"/>
      <c r="BE2581" s="13"/>
      <c r="BF2581" s="13"/>
      <c r="BG2581" s="13"/>
      <c r="BH2581" s="13"/>
      <c r="BI2581" s="13"/>
      <c r="BJ2581" s="13"/>
      <c r="BK2581" s="13"/>
      <c r="BL2581" s="13"/>
      <c r="BM2581" s="13"/>
      <c r="BN2581" s="13"/>
      <c r="BO2581" s="13"/>
      <c r="BP2581" s="13"/>
      <c r="BQ2581" s="13"/>
    </row>
    <row r="2582" spans="1:69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/>
      <c r="AH2582" s="13"/>
      <c r="AI2582" s="13"/>
      <c r="AJ2582" s="13"/>
      <c r="AK2582" s="13"/>
      <c r="AL2582" s="13"/>
      <c r="AM2582" s="13"/>
      <c r="AN2582" s="13"/>
      <c r="AO2582" s="13"/>
      <c r="AP2582" s="13"/>
      <c r="AQ2582" s="13"/>
      <c r="AR2582" s="13"/>
      <c r="AS2582" s="13"/>
      <c r="AT2582" s="13"/>
      <c r="AU2582" s="13"/>
      <c r="AV2582" s="13"/>
      <c r="AW2582" s="13"/>
      <c r="AX2582" s="13"/>
      <c r="AY2582" s="13"/>
      <c r="AZ2582" s="13"/>
      <c r="BA2582" s="13"/>
      <c r="BB2582" s="13"/>
      <c r="BC2582" s="13"/>
      <c r="BD2582" s="13"/>
      <c r="BE2582" s="13"/>
      <c r="BF2582" s="13"/>
      <c r="BG2582" s="13"/>
      <c r="BH2582" s="13"/>
      <c r="BI2582" s="13"/>
      <c r="BJ2582" s="13"/>
      <c r="BK2582" s="13"/>
      <c r="BL2582" s="13"/>
      <c r="BM2582" s="13"/>
      <c r="BN2582" s="13"/>
      <c r="BO2582" s="13"/>
      <c r="BP2582" s="13"/>
      <c r="BQ2582" s="13"/>
    </row>
    <row r="2583" spans="1:69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/>
      <c r="AH2583" s="13"/>
      <c r="AI2583" s="13"/>
      <c r="AJ2583" s="13"/>
      <c r="AK2583" s="13"/>
      <c r="AL2583" s="13"/>
      <c r="AM2583" s="13"/>
      <c r="AN2583" s="13"/>
      <c r="AO2583" s="13"/>
      <c r="AP2583" s="13"/>
      <c r="AQ2583" s="13"/>
      <c r="AR2583" s="13"/>
      <c r="AS2583" s="13"/>
      <c r="AT2583" s="13"/>
      <c r="AU2583" s="13"/>
      <c r="AV2583" s="13"/>
      <c r="AW2583" s="13"/>
      <c r="AX2583" s="13"/>
      <c r="AY2583" s="13"/>
      <c r="AZ2583" s="13"/>
      <c r="BA2583" s="13"/>
      <c r="BB2583" s="13"/>
      <c r="BC2583" s="13"/>
      <c r="BD2583" s="13"/>
      <c r="BE2583" s="13"/>
      <c r="BF2583" s="13"/>
      <c r="BG2583" s="13"/>
      <c r="BH2583" s="13"/>
      <c r="BI2583" s="13"/>
      <c r="BJ2583" s="13"/>
      <c r="BK2583" s="13"/>
      <c r="BL2583" s="13"/>
      <c r="BM2583" s="13"/>
      <c r="BN2583" s="13"/>
      <c r="BO2583" s="13"/>
      <c r="BP2583" s="13"/>
      <c r="BQ2583" s="13"/>
    </row>
    <row r="2584" spans="1:69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  <c r="U2584" s="13"/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  <c r="AG2584" s="13"/>
      <c r="AH2584" s="13"/>
      <c r="AI2584" s="13"/>
      <c r="AJ2584" s="13"/>
      <c r="AK2584" s="13"/>
      <c r="AL2584" s="13"/>
      <c r="AM2584" s="13"/>
      <c r="AN2584" s="13"/>
      <c r="AO2584" s="13"/>
      <c r="AP2584" s="13"/>
      <c r="AQ2584" s="13"/>
      <c r="AR2584" s="13"/>
      <c r="AS2584" s="13"/>
      <c r="AT2584" s="13"/>
      <c r="AU2584" s="13"/>
      <c r="AV2584" s="13"/>
      <c r="AW2584" s="13"/>
      <c r="AX2584" s="13"/>
      <c r="AY2584" s="13"/>
      <c r="AZ2584" s="13"/>
      <c r="BA2584" s="13"/>
      <c r="BB2584" s="13"/>
      <c r="BC2584" s="13"/>
      <c r="BD2584" s="13"/>
      <c r="BE2584" s="13"/>
      <c r="BF2584" s="13"/>
      <c r="BG2584" s="13"/>
      <c r="BH2584" s="13"/>
      <c r="BI2584" s="13"/>
      <c r="BJ2584" s="13"/>
      <c r="BK2584" s="13"/>
      <c r="BL2584" s="13"/>
      <c r="BM2584" s="13"/>
      <c r="BN2584" s="13"/>
      <c r="BO2584" s="13"/>
      <c r="BP2584" s="13"/>
      <c r="BQ2584" s="13"/>
    </row>
    <row r="2585" spans="1:69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3"/>
      <c r="AM2585" s="13"/>
      <c r="AN2585" s="13"/>
      <c r="AO2585" s="13"/>
      <c r="AP2585" s="13"/>
      <c r="AQ2585" s="13"/>
      <c r="AR2585" s="13"/>
      <c r="AS2585" s="13"/>
      <c r="AT2585" s="13"/>
      <c r="AU2585" s="13"/>
      <c r="AV2585" s="13"/>
      <c r="AW2585" s="13"/>
      <c r="AX2585" s="13"/>
      <c r="AY2585" s="13"/>
      <c r="AZ2585" s="13"/>
      <c r="BA2585" s="13"/>
      <c r="BB2585" s="13"/>
      <c r="BC2585" s="13"/>
      <c r="BD2585" s="13"/>
      <c r="BE2585" s="13"/>
      <c r="BF2585" s="13"/>
      <c r="BG2585" s="13"/>
      <c r="BH2585" s="13"/>
      <c r="BI2585" s="13"/>
      <c r="BJ2585" s="13"/>
      <c r="BK2585" s="13"/>
      <c r="BL2585" s="13"/>
      <c r="BM2585" s="13"/>
      <c r="BN2585" s="13"/>
      <c r="BO2585" s="13"/>
      <c r="BP2585" s="13"/>
      <c r="BQ2585" s="13"/>
    </row>
    <row r="2586" spans="1:69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1"/>
      <c r="Q2586" s="11"/>
      <c r="R2586" s="11"/>
      <c r="S2586" s="11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/>
      <c r="AH2586" s="13"/>
      <c r="AI2586" s="13"/>
      <c r="AJ2586" s="13"/>
      <c r="AK2586" s="13"/>
      <c r="AL2586" s="13"/>
      <c r="AM2586" s="13"/>
      <c r="AN2586" s="13"/>
      <c r="AO2586" s="13"/>
      <c r="AP2586" s="13"/>
      <c r="AQ2586" s="13"/>
      <c r="AR2586" s="13"/>
      <c r="AS2586" s="13"/>
      <c r="AT2586" s="13"/>
      <c r="AU2586" s="13"/>
      <c r="AV2586" s="13"/>
      <c r="AW2586" s="13"/>
      <c r="AX2586" s="13"/>
      <c r="AY2586" s="13"/>
      <c r="AZ2586" s="13"/>
      <c r="BA2586" s="13"/>
      <c r="BB2586" s="13"/>
      <c r="BC2586" s="13"/>
      <c r="BD2586" s="13"/>
      <c r="BE2586" s="13"/>
      <c r="BF2586" s="13"/>
      <c r="BG2586" s="13"/>
      <c r="BH2586" s="13"/>
      <c r="BI2586" s="13"/>
      <c r="BJ2586" s="13"/>
      <c r="BK2586" s="13"/>
      <c r="BL2586" s="13"/>
      <c r="BM2586" s="13"/>
      <c r="BN2586" s="13"/>
      <c r="BO2586" s="13"/>
      <c r="BP2586" s="13"/>
      <c r="BQ2586" s="13"/>
    </row>
    <row r="2587" spans="1:69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  <c r="AG2587" s="13"/>
      <c r="AH2587" s="13"/>
      <c r="AI2587" s="13"/>
      <c r="AJ2587" s="13"/>
      <c r="AK2587" s="13"/>
      <c r="AL2587" s="13"/>
      <c r="AM2587" s="13"/>
      <c r="AN2587" s="13"/>
      <c r="AO2587" s="13"/>
      <c r="AP2587" s="13"/>
      <c r="AQ2587" s="13"/>
      <c r="AR2587" s="13"/>
      <c r="AS2587" s="13"/>
      <c r="AT2587" s="13"/>
      <c r="AU2587" s="13"/>
      <c r="AV2587" s="13"/>
      <c r="AW2587" s="13"/>
      <c r="AX2587" s="13"/>
      <c r="AY2587" s="13"/>
      <c r="AZ2587" s="13"/>
      <c r="BA2587" s="13"/>
      <c r="BB2587" s="13"/>
      <c r="BC2587" s="13"/>
      <c r="BD2587" s="13"/>
      <c r="BE2587" s="13"/>
      <c r="BF2587" s="13"/>
      <c r="BG2587" s="13"/>
      <c r="BH2587" s="13"/>
      <c r="BI2587" s="13"/>
      <c r="BJ2587" s="13"/>
      <c r="BK2587" s="13"/>
      <c r="BL2587" s="13"/>
      <c r="BM2587" s="13"/>
      <c r="BN2587" s="13"/>
      <c r="BO2587" s="13"/>
      <c r="BP2587" s="13"/>
      <c r="BQ2587" s="13"/>
    </row>
    <row r="2588" spans="1:69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/>
      <c r="AH2588" s="13"/>
      <c r="AI2588" s="13"/>
      <c r="AJ2588" s="13"/>
      <c r="AK2588" s="13"/>
      <c r="AL2588" s="13"/>
      <c r="AM2588" s="13"/>
      <c r="AN2588" s="13"/>
      <c r="AO2588" s="13"/>
      <c r="AP2588" s="13"/>
      <c r="AQ2588" s="13"/>
      <c r="AR2588" s="13"/>
      <c r="AS2588" s="13"/>
      <c r="AT2588" s="13"/>
      <c r="AU2588" s="13"/>
      <c r="AV2588" s="13"/>
      <c r="AW2588" s="13"/>
      <c r="AX2588" s="13"/>
      <c r="AY2588" s="13"/>
      <c r="AZ2588" s="13"/>
      <c r="BA2588" s="13"/>
      <c r="BB2588" s="13"/>
      <c r="BC2588" s="13"/>
      <c r="BD2588" s="13"/>
      <c r="BE2588" s="13"/>
      <c r="BF2588" s="13"/>
      <c r="BG2588" s="13"/>
      <c r="BH2588" s="13"/>
      <c r="BI2588" s="13"/>
      <c r="BJ2588" s="13"/>
      <c r="BK2588" s="13"/>
      <c r="BL2588" s="13"/>
      <c r="BM2588" s="13"/>
      <c r="BN2588" s="13"/>
      <c r="BO2588" s="13"/>
      <c r="BP2588" s="13"/>
      <c r="BQ2588" s="13"/>
    </row>
    <row r="2589" spans="1:69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/>
      <c r="AH2589" s="13"/>
      <c r="AI2589" s="13"/>
      <c r="AJ2589" s="13"/>
      <c r="AK2589" s="13"/>
      <c r="AL2589" s="13"/>
      <c r="AM2589" s="13"/>
      <c r="AN2589" s="13"/>
      <c r="AO2589" s="13"/>
      <c r="AP2589" s="13"/>
      <c r="AQ2589" s="13"/>
      <c r="AR2589" s="13"/>
      <c r="AS2589" s="13"/>
      <c r="AT2589" s="13"/>
      <c r="AU2589" s="13"/>
      <c r="AV2589" s="13"/>
      <c r="AW2589" s="13"/>
      <c r="AX2589" s="13"/>
      <c r="AY2589" s="13"/>
      <c r="AZ2589" s="13"/>
      <c r="BA2589" s="13"/>
      <c r="BB2589" s="13"/>
      <c r="BC2589" s="13"/>
      <c r="BD2589" s="13"/>
      <c r="BE2589" s="13"/>
      <c r="BF2589" s="13"/>
      <c r="BG2589" s="13"/>
      <c r="BH2589" s="13"/>
      <c r="BI2589" s="13"/>
      <c r="BJ2589" s="13"/>
      <c r="BK2589" s="13"/>
      <c r="BL2589" s="13"/>
      <c r="BM2589" s="13"/>
      <c r="BN2589" s="13"/>
      <c r="BO2589" s="13"/>
      <c r="BP2589" s="13"/>
      <c r="BQ2589" s="13"/>
    </row>
    <row r="2590" spans="1:69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  <c r="AG2590" s="13"/>
      <c r="AH2590" s="13"/>
      <c r="AI2590" s="13"/>
      <c r="AJ2590" s="13"/>
      <c r="AK2590" s="13"/>
      <c r="AL2590" s="13"/>
      <c r="AM2590" s="13"/>
      <c r="AN2590" s="13"/>
      <c r="AO2590" s="13"/>
      <c r="AP2590" s="13"/>
      <c r="AQ2590" s="13"/>
      <c r="AR2590" s="13"/>
      <c r="AS2590" s="13"/>
      <c r="AT2590" s="13"/>
      <c r="AU2590" s="13"/>
      <c r="AV2590" s="13"/>
      <c r="AW2590" s="13"/>
      <c r="AX2590" s="13"/>
      <c r="AY2590" s="13"/>
      <c r="AZ2590" s="13"/>
      <c r="BA2590" s="13"/>
      <c r="BB2590" s="13"/>
      <c r="BC2590" s="13"/>
      <c r="BD2590" s="13"/>
      <c r="BE2590" s="13"/>
      <c r="BF2590" s="13"/>
      <c r="BG2590" s="13"/>
      <c r="BH2590" s="13"/>
      <c r="BI2590" s="13"/>
      <c r="BJ2590" s="13"/>
      <c r="BK2590" s="13"/>
      <c r="BL2590" s="13"/>
      <c r="BM2590" s="13"/>
      <c r="BN2590" s="13"/>
      <c r="BO2590" s="13"/>
      <c r="BP2590" s="13"/>
      <c r="BQ2590" s="13"/>
    </row>
    <row r="2591" spans="1:69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/>
      <c r="AH2591" s="13"/>
      <c r="AI2591" s="13"/>
      <c r="AJ2591" s="13"/>
      <c r="AK2591" s="13"/>
      <c r="AL2591" s="13"/>
      <c r="AM2591" s="13"/>
      <c r="AN2591" s="13"/>
      <c r="AO2591" s="13"/>
      <c r="AP2591" s="13"/>
      <c r="AQ2591" s="13"/>
      <c r="AR2591" s="13"/>
      <c r="AS2591" s="13"/>
      <c r="AT2591" s="13"/>
      <c r="AU2591" s="13"/>
      <c r="AV2591" s="13"/>
      <c r="AW2591" s="13"/>
      <c r="AX2591" s="13"/>
      <c r="AY2591" s="13"/>
      <c r="AZ2591" s="13"/>
      <c r="BA2591" s="13"/>
      <c r="BB2591" s="13"/>
      <c r="BC2591" s="13"/>
      <c r="BD2591" s="13"/>
      <c r="BE2591" s="13"/>
      <c r="BF2591" s="13"/>
      <c r="BG2591" s="13"/>
      <c r="BH2591" s="13"/>
      <c r="BI2591" s="13"/>
      <c r="BJ2591" s="13"/>
      <c r="BK2591" s="13"/>
      <c r="BL2591" s="13"/>
      <c r="BM2591" s="13"/>
      <c r="BN2591" s="13"/>
      <c r="BO2591" s="13"/>
      <c r="BP2591" s="13"/>
      <c r="BQ2591" s="13"/>
    </row>
    <row r="2592" spans="1:69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/>
      <c r="AH2592" s="13"/>
      <c r="AI2592" s="13"/>
      <c r="AJ2592" s="13"/>
      <c r="AK2592" s="13"/>
      <c r="AL2592" s="13"/>
      <c r="AM2592" s="13"/>
      <c r="AN2592" s="13"/>
      <c r="AO2592" s="13"/>
      <c r="AP2592" s="13"/>
      <c r="AQ2592" s="13"/>
      <c r="AR2592" s="13"/>
      <c r="AS2592" s="13"/>
      <c r="AT2592" s="13"/>
      <c r="AU2592" s="13"/>
      <c r="AV2592" s="13"/>
      <c r="AW2592" s="13"/>
      <c r="AX2592" s="13"/>
      <c r="AY2592" s="13"/>
      <c r="AZ2592" s="13"/>
      <c r="BA2592" s="13"/>
      <c r="BB2592" s="13"/>
      <c r="BC2592" s="13"/>
      <c r="BD2592" s="13"/>
      <c r="BE2592" s="13"/>
      <c r="BF2592" s="13"/>
      <c r="BG2592" s="13"/>
      <c r="BH2592" s="13"/>
      <c r="BI2592" s="13"/>
      <c r="BJ2592" s="13"/>
      <c r="BK2592" s="13"/>
      <c r="BL2592" s="13"/>
      <c r="BM2592" s="13"/>
      <c r="BN2592" s="13"/>
      <c r="BO2592" s="13"/>
      <c r="BP2592" s="13"/>
      <c r="BQ2592" s="13"/>
    </row>
    <row r="2593" spans="1:69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/>
      <c r="AH2593" s="13"/>
      <c r="AI2593" s="13"/>
      <c r="AJ2593" s="13"/>
      <c r="AK2593" s="13"/>
      <c r="AL2593" s="13"/>
      <c r="AM2593" s="13"/>
      <c r="AN2593" s="13"/>
      <c r="AO2593" s="13"/>
      <c r="AP2593" s="13"/>
      <c r="AQ2593" s="13"/>
      <c r="AR2593" s="13"/>
      <c r="AS2593" s="13"/>
      <c r="AT2593" s="13"/>
      <c r="AU2593" s="13"/>
      <c r="AV2593" s="13"/>
      <c r="AW2593" s="13"/>
      <c r="AX2593" s="13"/>
      <c r="AY2593" s="13"/>
      <c r="AZ2593" s="13"/>
      <c r="BA2593" s="13"/>
      <c r="BB2593" s="13"/>
      <c r="BC2593" s="13"/>
      <c r="BD2593" s="13"/>
      <c r="BE2593" s="13"/>
      <c r="BF2593" s="13"/>
      <c r="BG2593" s="13"/>
      <c r="BH2593" s="13"/>
      <c r="BI2593" s="13"/>
      <c r="BJ2593" s="13"/>
      <c r="BK2593" s="13"/>
      <c r="BL2593" s="13"/>
      <c r="BM2593" s="13"/>
      <c r="BN2593" s="13"/>
      <c r="BO2593" s="13"/>
      <c r="BP2593" s="13"/>
      <c r="BQ2593" s="13"/>
    </row>
    <row r="2594" spans="1:69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/>
      <c r="AH2594" s="13"/>
      <c r="AI2594" s="13"/>
      <c r="AJ2594" s="13"/>
      <c r="AK2594" s="13"/>
      <c r="AL2594" s="13"/>
      <c r="AM2594" s="13"/>
      <c r="AN2594" s="13"/>
      <c r="AO2594" s="13"/>
      <c r="AP2594" s="13"/>
      <c r="AQ2594" s="13"/>
      <c r="AR2594" s="13"/>
      <c r="AS2594" s="13"/>
      <c r="AT2594" s="13"/>
      <c r="AU2594" s="13"/>
      <c r="AV2594" s="13"/>
      <c r="AW2594" s="13"/>
      <c r="AX2594" s="13"/>
      <c r="AY2594" s="13"/>
      <c r="AZ2594" s="13"/>
      <c r="BA2594" s="13"/>
      <c r="BB2594" s="13"/>
      <c r="BC2594" s="13"/>
      <c r="BD2594" s="13"/>
      <c r="BE2594" s="13"/>
      <c r="BF2594" s="13"/>
      <c r="BG2594" s="13"/>
      <c r="BH2594" s="13"/>
      <c r="BI2594" s="13"/>
      <c r="BJ2594" s="13"/>
      <c r="BK2594" s="13"/>
      <c r="BL2594" s="13"/>
      <c r="BM2594" s="13"/>
      <c r="BN2594" s="13"/>
      <c r="BO2594" s="13"/>
      <c r="BP2594" s="13"/>
      <c r="BQ2594" s="13"/>
    </row>
    <row r="2595" spans="1:69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/>
      <c r="AH2595" s="13"/>
      <c r="AI2595" s="13"/>
      <c r="AJ2595" s="13"/>
      <c r="AK2595" s="13"/>
      <c r="AL2595" s="13"/>
      <c r="AM2595" s="13"/>
      <c r="AN2595" s="13"/>
      <c r="AO2595" s="13"/>
      <c r="AP2595" s="13"/>
      <c r="AQ2595" s="13"/>
      <c r="AR2595" s="13"/>
      <c r="AS2595" s="13"/>
      <c r="AT2595" s="13"/>
      <c r="AU2595" s="13"/>
      <c r="AV2595" s="13"/>
      <c r="AW2595" s="13"/>
      <c r="AX2595" s="13"/>
      <c r="AY2595" s="13"/>
      <c r="AZ2595" s="13"/>
      <c r="BA2595" s="13"/>
      <c r="BB2595" s="13"/>
      <c r="BC2595" s="13"/>
      <c r="BD2595" s="13"/>
      <c r="BE2595" s="13"/>
      <c r="BF2595" s="13"/>
      <c r="BG2595" s="13"/>
      <c r="BH2595" s="13"/>
      <c r="BI2595" s="13"/>
      <c r="BJ2595" s="13"/>
      <c r="BK2595" s="13"/>
      <c r="BL2595" s="13"/>
      <c r="BM2595" s="13"/>
      <c r="BN2595" s="13"/>
      <c r="BO2595" s="13"/>
      <c r="BP2595" s="13"/>
      <c r="BQ2595" s="13"/>
    </row>
    <row r="2596" spans="1:69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/>
      <c r="AH2596" s="13"/>
      <c r="AI2596" s="13"/>
      <c r="AJ2596" s="13"/>
      <c r="AK2596" s="13"/>
      <c r="AL2596" s="13"/>
      <c r="AM2596" s="13"/>
      <c r="AN2596" s="13"/>
      <c r="AO2596" s="13"/>
      <c r="AP2596" s="13"/>
      <c r="AQ2596" s="13"/>
      <c r="AR2596" s="13"/>
      <c r="AS2596" s="13"/>
      <c r="AT2596" s="13"/>
      <c r="AU2596" s="13"/>
      <c r="AV2596" s="13"/>
      <c r="AW2596" s="13"/>
      <c r="AX2596" s="13"/>
      <c r="AY2596" s="13"/>
      <c r="AZ2596" s="13"/>
      <c r="BA2596" s="13"/>
      <c r="BB2596" s="13"/>
      <c r="BC2596" s="13"/>
      <c r="BD2596" s="13"/>
      <c r="BE2596" s="13"/>
      <c r="BF2596" s="13"/>
      <c r="BG2596" s="13"/>
      <c r="BH2596" s="13"/>
      <c r="BI2596" s="13"/>
      <c r="BJ2596" s="13"/>
      <c r="BK2596" s="13"/>
      <c r="BL2596" s="13"/>
      <c r="BM2596" s="13"/>
      <c r="BN2596" s="13"/>
      <c r="BO2596" s="13"/>
      <c r="BP2596" s="13"/>
      <c r="BQ2596" s="13"/>
    </row>
    <row r="2597" spans="1:69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  <c r="AG2597" s="13"/>
      <c r="AH2597" s="13"/>
      <c r="AI2597" s="13"/>
      <c r="AJ2597" s="13"/>
      <c r="AK2597" s="13"/>
      <c r="AL2597" s="13"/>
      <c r="AM2597" s="13"/>
      <c r="AN2597" s="13"/>
      <c r="AO2597" s="13"/>
      <c r="AP2597" s="13"/>
      <c r="AQ2597" s="13"/>
      <c r="AR2597" s="13"/>
      <c r="AS2597" s="13"/>
      <c r="AT2597" s="13"/>
      <c r="AU2597" s="13"/>
      <c r="AV2597" s="13"/>
      <c r="AW2597" s="13"/>
      <c r="AX2597" s="13"/>
      <c r="AY2597" s="13"/>
      <c r="AZ2597" s="13"/>
      <c r="BA2597" s="13"/>
      <c r="BB2597" s="13"/>
      <c r="BC2597" s="13"/>
      <c r="BD2597" s="13"/>
      <c r="BE2597" s="13"/>
      <c r="BF2597" s="13"/>
      <c r="BG2597" s="13"/>
      <c r="BH2597" s="13"/>
      <c r="BI2597" s="13"/>
      <c r="BJ2597" s="13"/>
      <c r="BK2597" s="13"/>
      <c r="BL2597" s="13"/>
      <c r="BM2597" s="13"/>
      <c r="BN2597" s="13"/>
      <c r="BO2597" s="13"/>
      <c r="BP2597" s="13"/>
      <c r="BQ2597" s="13"/>
    </row>
    <row r="2598" spans="1:69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/>
      <c r="AH2598" s="13"/>
      <c r="AI2598" s="13"/>
      <c r="AJ2598" s="13"/>
      <c r="AK2598" s="13"/>
      <c r="AL2598" s="13"/>
      <c r="AM2598" s="13"/>
      <c r="AN2598" s="13"/>
      <c r="AO2598" s="13"/>
      <c r="AP2598" s="13"/>
      <c r="AQ2598" s="13"/>
      <c r="AR2598" s="13"/>
      <c r="AS2598" s="13"/>
      <c r="AT2598" s="13"/>
      <c r="AU2598" s="13"/>
      <c r="AV2598" s="13"/>
      <c r="AW2598" s="13"/>
      <c r="AX2598" s="13"/>
      <c r="AY2598" s="13"/>
      <c r="AZ2598" s="13"/>
      <c r="BA2598" s="13"/>
      <c r="BB2598" s="13"/>
      <c r="BC2598" s="13"/>
      <c r="BD2598" s="13"/>
      <c r="BE2598" s="13"/>
      <c r="BF2598" s="13"/>
      <c r="BG2598" s="13"/>
      <c r="BH2598" s="13"/>
      <c r="BI2598" s="13"/>
      <c r="BJ2598" s="13"/>
      <c r="BK2598" s="13"/>
      <c r="BL2598" s="13"/>
      <c r="BM2598" s="13"/>
      <c r="BN2598" s="13"/>
      <c r="BO2598" s="13"/>
      <c r="BP2598" s="13"/>
      <c r="BQ2598" s="13"/>
    </row>
    <row r="2599" spans="1:69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/>
      <c r="AH2599" s="13"/>
      <c r="AI2599" s="13"/>
      <c r="AJ2599" s="13"/>
      <c r="AK2599" s="13"/>
      <c r="AL2599" s="13"/>
      <c r="AM2599" s="13"/>
      <c r="AN2599" s="13"/>
      <c r="AO2599" s="13"/>
      <c r="AP2599" s="13"/>
      <c r="AQ2599" s="13"/>
      <c r="AR2599" s="13"/>
      <c r="AS2599" s="13"/>
      <c r="AT2599" s="13"/>
      <c r="AU2599" s="13"/>
      <c r="AV2599" s="13"/>
      <c r="AW2599" s="13"/>
      <c r="AX2599" s="13"/>
      <c r="AY2599" s="13"/>
      <c r="AZ2599" s="13"/>
      <c r="BA2599" s="13"/>
      <c r="BB2599" s="13"/>
      <c r="BC2599" s="13"/>
      <c r="BD2599" s="13"/>
      <c r="BE2599" s="13"/>
      <c r="BF2599" s="13"/>
      <c r="BG2599" s="13"/>
      <c r="BH2599" s="13"/>
      <c r="BI2599" s="13"/>
      <c r="BJ2599" s="13"/>
      <c r="BK2599" s="13"/>
      <c r="BL2599" s="13"/>
      <c r="BM2599" s="13"/>
      <c r="BN2599" s="13"/>
      <c r="BO2599" s="13"/>
      <c r="BP2599" s="13"/>
      <c r="BQ2599" s="13"/>
    </row>
    <row r="2600" spans="1:69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  <c r="AG2600" s="13"/>
      <c r="AH2600" s="13"/>
      <c r="AI2600" s="13"/>
      <c r="AJ2600" s="13"/>
      <c r="AK2600" s="13"/>
      <c r="AL2600" s="13"/>
      <c r="AM2600" s="13"/>
      <c r="AN2600" s="13"/>
      <c r="AO2600" s="13"/>
      <c r="AP2600" s="13"/>
      <c r="AQ2600" s="13"/>
      <c r="AR2600" s="13"/>
      <c r="AS2600" s="13"/>
      <c r="AT2600" s="13"/>
      <c r="AU2600" s="13"/>
      <c r="AV2600" s="13"/>
      <c r="AW2600" s="13"/>
      <c r="AX2600" s="13"/>
      <c r="AY2600" s="13"/>
      <c r="AZ2600" s="13"/>
      <c r="BA2600" s="13"/>
      <c r="BB2600" s="13"/>
      <c r="BC2600" s="13"/>
      <c r="BD2600" s="13"/>
      <c r="BE2600" s="13"/>
      <c r="BF2600" s="13"/>
      <c r="BG2600" s="13"/>
      <c r="BH2600" s="13"/>
      <c r="BI2600" s="13"/>
      <c r="BJ2600" s="13"/>
      <c r="BK2600" s="13"/>
      <c r="BL2600" s="13"/>
      <c r="BM2600" s="13"/>
      <c r="BN2600" s="13"/>
      <c r="BO2600" s="13"/>
      <c r="BP2600" s="13"/>
      <c r="BQ2600" s="13"/>
    </row>
    <row r="2601" spans="1:69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/>
      <c r="AH2601" s="13"/>
      <c r="AI2601" s="13"/>
      <c r="AJ2601" s="13"/>
      <c r="AK2601" s="13"/>
      <c r="AL2601" s="13"/>
      <c r="AM2601" s="13"/>
      <c r="AN2601" s="13"/>
      <c r="AO2601" s="13"/>
      <c r="AP2601" s="13"/>
      <c r="AQ2601" s="13"/>
      <c r="AR2601" s="13"/>
      <c r="AS2601" s="13"/>
      <c r="AT2601" s="13"/>
      <c r="AU2601" s="13"/>
      <c r="AV2601" s="13"/>
      <c r="AW2601" s="13"/>
      <c r="AX2601" s="13"/>
      <c r="AY2601" s="13"/>
      <c r="AZ2601" s="13"/>
      <c r="BA2601" s="13"/>
      <c r="BB2601" s="13"/>
      <c r="BC2601" s="13"/>
      <c r="BD2601" s="13"/>
      <c r="BE2601" s="13"/>
      <c r="BF2601" s="13"/>
      <c r="BG2601" s="13"/>
      <c r="BH2601" s="13"/>
      <c r="BI2601" s="13"/>
      <c r="BJ2601" s="13"/>
      <c r="BK2601" s="13"/>
      <c r="BL2601" s="13"/>
      <c r="BM2601" s="13"/>
      <c r="BN2601" s="13"/>
      <c r="BO2601" s="13"/>
      <c r="BP2601" s="13"/>
      <c r="BQ2601" s="13"/>
    </row>
    <row r="2602" spans="1:69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13"/>
      <c r="AK2602" s="13"/>
      <c r="AL2602" s="13"/>
      <c r="AM2602" s="13"/>
      <c r="AN2602" s="13"/>
      <c r="AO2602" s="13"/>
      <c r="AP2602" s="13"/>
      <c r="AQ2602" s="13"/>
      <c r="AR2602" s="13"/>
      <c r="AS2602" s="13"/>
      <c r="AT2602" s="13"/>
      <c r="AU2602" s="13"/>
      <c r="AV2602" s="13"/>
      <c r="AW2602" s="13"/>
      <c r="AX2602" s="13"/>
      <c r="AY2602" s="13"/>
      <c r="AZ2602" s="13"/>
      <c r="BA2602" s="13"/>
      <c r="BB2602" s="13"/>
      <c r="BC2602" s="13"/>
      <c r="BD2602" s="13"/>
      <c r="BE2602" s="13"/>
      <c r="BF2602" s="13"/>
      <c r="BG2602" s="13"/>
      <c r="BH2602" s="13"/>
      <c r="BI2602" s="13"/>
      <c r="BJ2602" s="13"/>
      <c r="BK2602" s="13"/>
      <c r="BL2602" s="13"/>
      <c r="BM2602" s="13"/>
      <c r="BN2602" s="13"/>
      <c r="BO2602" s="13"/>
      <c r="BP2602" s="13"/>
      <c r="BQ2602" s="13"/>
    </row>
    <row r="2603" spans="1:69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  <c r="AG2603" s="13"/>
      <c r="AH2603" s="13"/>
      <c r="AI2603" s="13"/>
      <c r="AJ2603" s="13"/>
      <c r="AK2603" s="13"/>
      <c r="AL2603" s="13"/>
      <c r="AM2603" s="13"/>
      <c r="AN2603" s="13"/>
      <c r="AO2603" s="13"/>
      <c r="AP2603" s="13"/>
      <c r="AQ2603" s="13"/>
      <c r="AR2603" s="13"/>
      <c r="AS2603" s="13"/>
      <c r="AT2603" s="13"/>
      <c r="AU2603" s="13"/>
      <c r="AV2603" s="13"/>
      <c r="AW2603" s="13"/>
      <c r="AX2603" s="13"/>
      <c r="AY2603" s="13"/>
      <c r="AZ2603" s="13"/>
      <c r="BA2603" s="13"/>
      <c r="BB2603" s="13"/>
      <c r="BC2603" s="13"/>
      <c r="BD2603" s="13"/>
      <c r="BE2603" s="13"/>
      <c r="BF2603" s="13"/>
      <c r="BG2603" s="13"/>
      <c r="BH2603" s="13"/>
      <c r="BI2603" s="13"/>
      <c r="BJ2603" s="13"/>
      <c r="BK2603" s="13"/>
      <c r="BL2603" s="13"/>
      <c r="BM2603" s="13"/>
      <c r="BN2603" s="13"/>
      <c r="BO2603" s="13"/>
      <c r="BP2603" s="13"/>
      <c r="BQ2603" s="13"/>
    </row>
    <row r="2604" spans="1:69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/>
      <c r="AH2604" s="13"/>
      <c r="AI2604" s="13"/>
      <c r="AJ2604" s="13"/>
      <c r="AK2604" s="13"/>
      <c r="AL2604" s="13"/>
      <c r="AM2604" s="13"/>
      <c r="AN2604" s="13"/>
      <c r="AO2604" s="13"/>
      <c r="AP2604" s="13"/>
      <c r="AQ2604" s="13"/>
      <c r="AR2604" s="13"/>
      <c r="AS2604" s="13"/>
      <c r="AT2604" s="13"/>
      <c r="AU2604" s="13"/>
      <c r="AV2604" s="13"/>
      <c r="AW2604" s="13"/>
      <c r="AX2604" s="13"/>
      <c r="AY2604" s="13"/>
      <c r="AZ2604" s="13"/>
      <c r="BA2604" s="13"/>
      <c r="BB2604" s="13"/>
      <c r="BC2604" s="13"/>
      <c r="BD2604" s="13"/>
      <c r="BE2604" s="13"/>
      <c r="BF2604" s="13"/>
      <c r="BG2604" s="13"/>
      <c r="BH2604" s="13"/>
      <c r="BI2604" s="13"/>
      <c r="BJ2604" s="13"/>
      <c r="BK2604" s="13"/>
      <c r="BL2604" s="13"/>
      <c r="BM2604" s="13"/>
      <c r="BN2604" s="13"/>
      <c r="BO2604" s="13"/>
      <c r="BP2604" s="13"/>
      <c r="BQ2604" s="13"/>
    </row>
    <row r="2605" spans="1:69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/>
      <c r="AH2605" s="13"/>
      <c r="AI2605" s="13"/>
      <c r="AJ2605" s="13"/>
      <c r="AK2605" s="13"/>
      <c r="AL2605" s="13"/>
      <c r="AM2605" s="13"/>
      <c r="AN2605" s="13"/>
      <c r="AO2605" s="13"/>
      <c r="AP2605" s="13"/>
      <c r="AQ2605" s="13"/>
      <c r="AR2605" s="13"/>
      <c r="AS2605" s="13"/>
      <c r="AT2605" s="13"/>
      <c r="AU2605" s="13"/>
      <c r="AV2605" s="13"/>
      <c r="AW2605" s="13"/>
      <c r="AX2605" s="13"/>
      <c r="AY2605" s="13"/>
      <c r="AZ2605" s="13"/>
      <c r="BA2605" s="13"/>
      <c r="BB2605" s="13"/>
      <c r="BC2605" s="13"/>
      <c r="BD2605" s="13"/>
      <c r="BE2605" s="13"/>
      <c r="BF2605" s="13"/>
      <c r="BG2605" s="13"/>
      <c r="BH2605" s="13"/>
      <c r="BI2605" s="13"/>
      <c r="BJ2605" s="13"/>
      <c r="BK2605" s="13"/>
      <c r="BL2605" s="13"/>
      <c r="BM2605" s="13"/>
      <c r="BN2605" s="13"/>
      <c r="BO2605" s="13"/>
      <c r="BP2605" s="13"/>
      <c r="BQ2605" s="13"/>
    </row>
    <row r="2606" spans="1:69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/>
      <c r="AH2606" s="13"/>
      <c r="AI2606" s="13"/>
      <c r="AJ2606" s="13"/>
      <c r="AK2606" s="13"/>
      <c r="AL2606" s="13"/>
      <c r="AM2606" s="13"/>
      <c r="AN2606" s="13"/>
      <c r="AO2606" s="13"/>
      <c r="AP2606" s="13"/>
      <c r="AQ2606" s="13"/>
      <c r="AR2606" s="13"/>
      <c r="AS2606" s="13"/>
      <c r="AT2606" s="13"/>
      <c r="AU2606" s="13"/>
      <c r="AV2606" s="13"/>
      <c r="AW2606" s="13"/>
      <c r="AX2606" s="13"/>
      <c r="AY2606" s="13"/>
      <c r="AZ2606" s="13"/>
      <c r="BA2606" s="13"/>
      <c r="BB2606" s="13"/>
      <c r="BC2606" s="13"/>
      <c r="BD2606" s="13"/>
      <c r="BE2606" s="13"/>
      <c r="BF2606" s="13"/>
      <c r="BG2606" s="13"/>
      <c r="BH2606" s="13"/>
      <c r="BI2606" s="13"/>
      <c r="BJ2606" s="13"/>
      <c r="BK2606" s="13"/>
      <c r="BL2606" s="13"/>
      <c r="BM2606" s="13"/>
      <c r="BN2606" s="13"/>
      <c r="BO2606" s="13"/>
      <c r="BP2606" s="13"/>
      <c r="BQ2606" s="13"/>
    </row>
    <row r="2607" spans="1:69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/>
      <c r="AH2607" s="13"/>
      <c r="AI2607" s="13"/>
      <c r="AJ2607" s="13"/>
      <c r="AK2607" s="13"/>
      <c r="AL2607" s="13"/>
      <c r="AM2607" s="13"/>
      <c r="AN2607" s="13"/>
      <c r="AO2607" s="13"/>
      <c r="AP2607" s="13"/>
      <c r="AQ2607" s="13"/>
      <c r="AR2607" s="13"/>
      <c r="AS2607" s="13"/>
      <c r="AT2607" s="13"/>
      <c r="AU2607" s="13"/>
      <c r="AV2607" s="13"/>
      <c r="AW2607" s="13"/>
      <c r="AX2607" s="13"/>
      <c r="AY2607" s="13"/>
      <c r="AZ2607" s="13"/>
      <c r="BA2607" s="13"/>
      <c r="BB2607" s="13"/>
      <c r="BC2607" s="13"/>
      <c r="BD2607" s="13"/>
      <c r="BE2607" s="13"/>
      <c r="BF2607" s="13"/>
      <c r="BG2607" s="13"/>
      <c r="BH2607" s="13"/>
      <c r="BI2607" s="13"/>
      <c r="BJ2607" s="13"/>
      <c r="BK2607" s="13"/>
      <c r="BL2607" s="13"/>
      <c r="BM2607" s="13"/>
      <c r="BN2607" s="13"/>
      <c r="BO2607" s="13"/>
      <c r="BP2607" s="13"/>
      <c r="BQ2607" s="13"/>
    </row>
    <row r="2608" spans="1:69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/>
      <c r="AH2608" s="13"/>
      <c r="AI2608" s="13"/>
      <c r="AJ2608" s="13"/>
      <c r="AK2608" s="13"/>
      <c r="AL2608" s="13"/>
      <c r="AM2608" s="13"/>
      <c r="AN2608" s="13"/>
      <c r="AO2608" s="13"/>
      <c r="AP2608" s="13"/>
      <c r="AQ2608" s="13"/>
      <c r="AR2608" s="13"/>
      <c r="AS2608" s="13"/>
      <c r="AT2608" s="13"/>
      <c r="AU2608" s="13"/>
      <c r="AV2608" s="13"/>
      <c r="AW2608" s="13"/>
      <c r="AX2608" s="13"/>
      <c r="AY2608" s="13"/>
      <c r="AZ2608" s="13"/>
      <c r="BA2608" s="13"/>
      <c r="BB2608" s="13"/>
      <c r="BC2608" s="13"/>
      <c r="BD2608" s="13"/>
      <c r="BE2608" s="13"/>
      <c r="BF2608" s="13"/>
      <c r="BG2608" s="13"/>
      <c r="BH2608" s="13"/>
      <c r="BI2608" s="13"/>
      <c r="BJ2608" s="13"/>
      <c r="BK2608" s="13"/>
      <c r="BL2608" s="13"/>
      <c r="BM2608" s="13"/>
      <c r="BN2608" s="13"/>
      <c r="BO2608" s="13"/>
      <c r="BP2608" s="13"/>
      <c r="BQ2608" s="13"/>
    </row>
    <row r="2609" spans="1:69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/>
      <c r="AH2609" s="13"/>
      <c r="AI2609" s="13"/>
      <c r="AJ2609" s="13"/>
      <c r="AK2609" s="13"/>
      <c r="AL2609" s="13"/>
      <c r="AM2609" s="13"/>
      <c r="AN2609" s="13"/>
      <c r="AO2609" s="13"/>
      <c r="AP2609" s="13"/>
      <c r="AQ2609" s="13"/>
      <c r="AR2609" s="13"/>
      <c r="AS2609" s="13"/>
      <c r="AT2609" s="13"/>
      <c r="AU2609" s="13"/>
      <c r="AV2609" s="13"/>
      <c r="AW2609" s="13"/>
      <c r="AX2609" s="13"/>
      <c r="AY2609" s="13"/>
      <c r="AZ2609" s="13"/>
      <c r="BA2609" s="13"/>
      <c r="BB2609" s="13"/>
      <c r="BC2609" s="13"/>
      <c r="BD2609" s="13"/>
      <c r="BE2609" s="13"/>
      <c r="BF2609" s="13"/>
      <c r="BG2609" s="13"/>
      <c r="BH2609" s="13"/>
      <c r="BI2609" s="13"/>
      <c r="BJ2609" s="13"/>
      <c r="BK2609" s="13"/>
      <c r="BL2609" s="13"/>
      <c r="BM2609" s="13"/>
      <c r="BN2609" s="13"/>
      <c r="BO2609" s="13"/>
      <c r="BP2609" s="13"/>
      <c r="BQ2609" s="13"/>
    </row>
    <row r="2610" spans="1:69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/>
      <c r="AH2610" s="13"/>
      <c r="AI2610" s="13"/>
      <c r="AJ2610" s="13"/>
      <c r="AK2610" s="13"/>
      <c r="AL2610" s="13"/>
      <c r="AM2610" s="13"/>
      <c r="AN2610" s="13"/>
      <c r="AO2610" s="13"/>
      <c r="AP2610" s="13"/>
      <c r="AQ2610" s="13"/>
      <c r="AR2610" s="13"/>
      <c r="AS2610" s="13"/>
      <c r="AT2610" s="13"/>
      <c r="AU2610" s="13"/>
      <c r="AV2610" s="13"/>
      <c r="AW2610" s="13"/>
      <c r="AX2610" s="13"/>
      <c r="AY2610" s="13"/>
      <c r="AZ2610" s="13"/>
      <c r="BA2610" s="13"/>
      <c r="BB2610" s="13"/>
      <c r="BC2610" s="13"/>
      <c r="BD2610" s="13"/>
      <c r="BE2610" s="13"/>
      <c r="BF2610" s="13"/>
      <c r="BG2610" s="13"/>
      <c r="BH2610" s="13"/>
      <c r="BI2610" s="13"/>
      <c r="BJ2610" s="13"/>
      <c r="BK2610" s="13"/>
      <c r="BL2610" s="13"/>
      <c r="BM2610" s="13"/>
      <c r="BN2610" s="13"/>
      <c r="BO2610" s="13"/>
      <c r="BP2610" s="13"/>
      <c r="BQ2610" s="13"/>
    </row>
    <row r="2611" spans="1:69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/>
      <c r="AH2611" s="13"/>
      <c r="AI2611" s="13"/>
      <c r="AJ2611" s="13"/>
      <c r="AK2611" s="13"/>
      <c r="AL2611" s="13"/>
      <c r="AM2611" s="13"/>
      <c r="AN2611" s="13"/>
      <c r="AO2611" s="13"/>
      <c r="AP2611" s="13"/>
      <c r="AQ2611" s="13"/>
      <c r="AR2611" s="13"/>
      <c r="AS2611" s="13"/>
      <c r="AT2611" s="13"/>
      <c r="AU2611" s="13"/>
      <c r="AV2611" s="13"/>
      <c r="AW2611" s="13"/>
      <c r="AX2611" s="13"/>
      <c r="AY2611" s="13"/>
      <c r="AZ2611" s="13"/>
      <c r="BA2611" s="13"/>
      <c r="BB2611" s="13"/>
      <c r="BC2611" s="13"/>
      <c r="BD2611" s="13"/>
      <c r="BE2611" s="13"/>
      <c r="BF2611" s="13"/>
      <c r="BG2611" s="13"/>
      <c r="BH2611" s="13"/>
      <c r="BI2611" s="13"/>
      <c r="BJ2611" s="13"/>
      <c r="BK2611" s="13"/>
      <c r="BL2611" s="13"/>
      <c r="BM2611" s="13"/>
      <c r="BN2611" s="13"/>
      <c r="BO2611" s="13"/>
      <c r="BP2611" s="13"/>
      <c r="BQ2611" s="13"/>
    </row>
    <row r="2612" spans="1:69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/>
      <c r="AH2612" s="13"/>
      <c r="AI2612" s="13"/>
      <c r="AJ2612" s="13"/>
      <c r="AK2612" s="13"/>
      <c r="AL2612" s="13"/>
      <c r="AM2612" s="13"/>
      <c r="AN2612" s="13"/>
      <c r="AO2612" s="13"/>
      <c r="AP2612" s="13"/>
      <c r="AQ2612" s="13"/>
      <c r="AR2612" s="13"/>
      <c r="AS2612" s="13"/>
      <c r="AT2612" s="13"/>
      <c r="AU2612" s="13"/>
      <c r="AV2612" s="13"/>
      <c r="AW2612" s="13"/>
      <c r="AX2612" s="13"/>
      <c r="AY2612" s="13"/>
      <c r="AZ2612" s="13"/>
      <c r="BA2612" s="13"/>
      <c r="BB2612" s="13"/>
      <c r="BC2612" s="13"/>
      <c r="BD2612" s="13"/>
      <c r="BE2612" s="13"/>
      <c r="BF2612" s="13"/>
      <c r="BG2612" s="13"/>
      <c r="BH2612" s="13"/>
      <c r="BI2612" s="13"/>
      <c r="BJ2612" s="13"/>
      <c r="BK2612" s="13"/>
      <c r="BL2612" s="13"/>
      <c r="BM2612" s="13"/>
      <c r="BN2612" s="13"/>
      <c r="BO2612" s="13"/>
      <c r="BP2612" s="13"/>
      <c r="BQ2612" s="13"/>
    </row>
    <row r="2613" spans="1:69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/>
      <c r="AH2613" s="13"/>
      <c r="AI2613" s="13"/>
      <c r="AJ2613" s="13"/>
      <c r="AK2613" s="13"/>
      <c r="AL2613" s="13"/>
      <c r="AM2613" s="13"/>
      <c r="AN2613" s="13"/>
      <c r="AO2613" s="13"/>
      <c r="AP2613" s="13"/>
      <c r="AQ2613" s="13"/>
      <c r="AR2613" s="13"/>
      <c r="AS2613" s="13"/>
      <c r="AT2613" s="13"/>
      <c r="AU2613" s="13"/>
      <c r="AV2613" s="13"/>
      <c r="AW2613" s="13"/>
      <c r="AX2613" s="13"/>
      <c r="AY2613" s="13"/>
      <c r="AZ2613" s="13"/>
      <c r="BA2613" s="13"/>
      <c r="BB2613" s="13"/>
      <c r="BC2613" s="13"/>
      <c r="BD2613" s="13"/>
      <c r="BE2613" s="13"/>
      <c r="BF2613" s="13"/>
      <c r="BG2613" s="13"/>
      <c r="BH2613" s="13"/>
      <c r="BI2613" s="13"/>
      <c r="BJ2613" s="13"/>
      <c r="BK2613" s="13"/>
      <c r="BL2613" s="13"/>
      <c r="BM2613" s="13"/>
      <c r="BN2613" s="13"/>
      <c r="BO2613" s="13"/>
      <c r="BP2613" s="13"/>
      <c r="BQ2613" s="13"/>
    </row>
    <row r="2614" spans="1:69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  <c r="AG2614" s="13"/>
      <c r="AH2614" s="13"/>
      <c r="AI2614" s="13"/>
      <c r="AJ2614" s="13"/>
      <c r="AK2614" s="13"/>
      <c r="AL2614" s="13"/>
      <c r="AM2614" s="13"/>
      <c r="AN2614" s="13"/>
      <c r="AO2614" s="13"/>
      <c r="AP2614" s="13"/>
      <c r="AQ2614" s="13"/>
      <c r="AR2614" s="13"/>
      <c r="AS2614" s="13"/>
      <c r="AT2614" s="13"/>
      <c r="AU2614" s="13"/>
      <c r="AV2614" s="13"/>
      <c r="AW2614" s="13"/>
      <c r="AX2614" s="13"/>
      <c r="AY2614" s="13"/>
      <c r="AZ2614" s="13"/>
      <c r="BA2614" s="13"/>
      <c r="BB2614" s="13"/>
      <c r="BC2614" s="13"/>
      <c r="BD2614" s="13"/>
      <c r="BE2614" s="13"/>
      <c r="BF2614" s="13"/>
      <c r="BG2614" s="13"/>
      <c r="BH2614" s="13"/>
      <c r="BI2614" s="13"/>
      <c r="BJ2614" s="13"/>
      <c r="BK2614" s="13"/>
      <c r="BL2614" s="13"/>
      <c r="BM2614" s="13"/>
      <c r="BN2614" s="13"/>
      <c r="BO2614" s="13"/>
      <c r="BP2614" s="13"/>
      <c r="BQ2614" s="13"/>
    </row>
    <row r="2615" spans="1:69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  <c r="Q2615" s="13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  <c r="AG2615" s="13"/>
      <c r="AH2615" s="13"/>
      <c r="AI2615" s="13"/>
      <c r="AJ2615" s="13"/>
      <c r="AK2615" s="13"/>
      <c r="AL2615" s="13"/>
      <c r="AM2615" s="13"/>
      <c r="AN2615" s="13"/>
      <c r="AO2615" s="13"/>
      <c r="AP2615" s="13"/>
      <c r="AQ2615" s="13"/>
      <c r="AR2615" s="13"/>
      <c r="AS2615" s="13"/>
      <c r="AT2615" s="13"/>
      <c r="AU2615" s="13"/>
      <c r="AV2615" s="13"/>
      <c r="AW2615" s="13"/>
      <c r="AX2615" s="13"/>
      <c r="AY2615" s="13"/>
      <c r="AZ2615" s="13"/>
      <c r="BA2615" s="13"/>
      <c r="BB2615" s="13"/>
      <c r="BC2615" s="13"/>
      <c r="BD2615" s="13"/>
      <c r="BE2615" s="13"/>
      <c r="BF2615" s="13"/>
      <c r="BG2615" s="13"/>
      <c r="BH2615" s="13"/>
      <c r="BI2615" s="13"/>
      <c r="BJ2615" s="13"/>
      <c r="BK2615" s="13"/>
      <c r="BL2615" s="13"/>
      <c r="BM2615" s="13"/>
      <c r="BN2615" s="13"/>
      <c r="BO2615" s="13"/>
      <c r="BP2615" s="13"/>
      <c r="BQ2615" s="13"/>
    </row>
    <row r="2616" spans="1:69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  <c r="Q2616" s="13"/>
      <c r="R2616" s="13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  <c r="AG2616" s="13"/>
      <c r="AH2616" s="13"/>
      <c r="AI2616" s="13"/>
      <c r="AJ2616" s="13"/>
      <c r="AK2616" s="13"/>
      <c r="AL2616" s="13"/>
      <c r="AM2616" s="13"/>
      <c r="AN2616" s="13"/>
      <c r="AO2616" s="13"/>
      <c r="AP2616" s="13"/>
      <c r="AQ2616" s="13"/>
      <c r="AR2616" s="13"/>
      <c r="AS2616" s="13"/>
      <c r="AT2616" s="13"/>
      <c r="AU2616" s="13"/>
      <c r="AV2616" s="13"/>
      <c r="AW2616" s="13"/>
      <c r="AX2616" s="13"/>
      <c r="AY2616" s="13"/>
      <c r="AZ2616" s="13"/>
      <c r="BA2616" s="13"/>
      <c r="BB2616" s="13"/>
      <c r="BC2616" s="13"/>
      <c r="BD2616" s="13"/>
      <c r="BE2616" s="13"/>
      <c r="BF2616" s="13"/>
      <c r="BG2616" s="13"/>
      <c r="BH2616" s="13"/>
      <c r="BI2616" s="13"/>
      <c r="BJ2616" s="13"/>
      <c r="BK2616" s="13"/>
      <c r="BL2616" s="13"/>
      <c r="BM2616" s="13"/>
      <c r="BN2616" s="13"/>
      <c r="BO2616" s="13"/>
      <c r="BP2616" s="13"/>
      <c r="BQ2616" s="13"/>
    </row>
    <row r="2617" spans="1:69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  <c r="Q2617" s="13"/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  <c r="AG2617" s="13"/>
      <c r="AH2617" s="13"/>
      <c r="AI2617" s="13"/>
      <c r="AJ2617" s="13"/>
      <c r="AK2617" s="13"/>
      <c r="AL2617" s="13"/>
      <c r="AM2617" s="13"/>
      <c r="AN2617" s="13"/>
      <c r="AO2617" s="13"/>
      <c r="AP2617" s="13"/>
      <c r="AQ2617" s="13"/>
      <c r="AR2617" s="13"/>
      <c r="AS2617" s="13"/>
      <c r="AT2617" s="13"/>
      <c r="AU2617" s="13"/>
      <c r="AV2617" s="13"/>
      <c r="AW2617" s="13"/>
      <c r="AX2617" s="13"/>
      <c r="AY2617" s="13"/>
      <c r="AZ2617" s="13"/>
      <c r="BA2617" s="13"/>
      <c r="BB2617" s="13"/>
      <c r="BC2617" s="13"/>
      <c r="BD2617" s="13"/>
      <c r="BE2617" s="13"/>
      <c r="BF2617" s="13"/>
      <c r="BG2617" s="13"/>
      <c r="BH2617" s="13"/>
      <c r="BI2617" s="13"/>
      <c r="BJ2617" s="13"/>
      <c r="BK2617" s="13"/>
      <c r="BL2617" s="13"/>
      <c r="BM2617" s="13"/>
      <c r="BN2617" s="13"/>
      <c r="BO2617" s="13"/>
      <c r="BP2617" s="13"/>
      <c r="BQ2617" s="13"/>
    </row>
    <row r="2618" spans="1:69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/>
      <c r="AH2618" s="13"/>
      <c r="AI2618" s="13"/>
      <c r="AJ2618" s="13"/>
      <c r="AK2618" s="13"/>
      <c r="AL2618" s="13"/>
      <c r="AM2618" s="13"/>
      <c r="AN2618" s="13"/>
      <c r="AO2618" s="13"/>
      <c r="AP2618" s="13"/>
      <c r="AQ2618" s="13"/>
      <c r="AR2618" s="13"/>
      <c r="AS2618" s="13"/>
      <c r="AT2618" s="13"/>
      <c r="AU2618" s="13"/>
      <c r="AV2618" s="13"/>
      <c r="AW2618" s="13"/>
      <c r="AX2618" s="13"/>
      <c r="AY2618" s="13"/>
      <c r="AZ2618" s="13"/>
      <c r="BA2618" s="13"/>
      <c r="BB2618" s="13"/>
      <c r="BC2618" s="13"/>
      <c r="BD2618" s="13"/>
      <c r="BE2618" s="13"/>
      <c r="BF2618" s="13"/>
      <c r="BG2618" s="13"/>
      <c r="BH2618" s="13"/>
      <c r="BI2618" s="13"/>
      <c r="BJ2618" s="13"/>
      <c r="BK2618" s="13"/>
      <c r="BL2618" s="13"/>
      <c r="BM2618" s="13"/>
      <c r="BN2618" s="13"/>
      <c r="BO2618" s="13"/>
      <c r="BP2618" s="13"/>
      <c r="BQ2618" s="13"/>
    </row>
    <row r="2619" spans="1:69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  <c r="Q2619" s="13"/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/>
      <c r="AH2619" s="13"/>
      <c r="AI2619" s="13"/>
      <c r="AJ2619" s="13"/>
      <c r="AK2619" s="13"/>
      <c r="AL2619" s="13"/>
      <c r="AM2619" s="13"/>
      <c r="AN2619" s="13"/>
      <c r="AO2619" s="13"/>
      <c r="AP2619" s="13"/>
      <c r="AQ2619" s="13"/>
      <c r="AR2619" s="13"/>
      <c r="AS2619" s="13"/>
      <c r="AT2619" s="13"/>
      <c r="AU2619" s="13"/>
      <c r="AV2619" s="13"/>
      <c r="AW2619" s="13"/>
      <c r="AX2619" s="13"/>
      <c r="AY2619" s="13"/>
      <c r="AZ2619" s="13"/>
      <c r="BA2619" s="13"/>
      <c r="BB2619" s="13"/>
      <c r="BC2619" s="13"/>
      <c r="BD2619" s="13"/>
      <c r="BE2619" s="13"/>
      <c r="BF2619" s="13"/>
      <c r="BG2619" s="13"/>
      <c r="BH2619" s="13"/>
      <c r="BI2619" s="13"/>
      <c r="BJ2619" s="13"/>
      <c r="BK2619" s="13"/>
      <c r="BL2619" s="13"/>
      <c r="BM2619" s="13"/>
      <c r="BN2619" s="13"/>
      <c r="BO2619" s="13"/>
      <c r="BP2619" s="13"/>
      <c r="BQ2619" s="13"/>
    </row>
    <row r="2620" spans="1:69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  <c r="Q2620" s="13"/>
      <c r="R2620" s="13"/>
      <c r="S2620" s="13"/>
      <c r="T2620" s="13"/>
      <c r="U2620" s="13"/>
      <c r="V2620" s="13"/>
      <c r="W2620" s="13"/>
      <c r="X2620" s="13"/>
      <c r="Y2620" s="13"/>
      <c r="Z2620" s="13"/>
      <c r="AA2620" s="13"/>
      <c r="AB2620" s="13"/>
      <c r="AC2620" s="13"/>
      <c r="AD2620" s="13"/>
      <c r="AE2620" s="13"/>
      <c r="AF2620" s="13"/>
      <c r="AG2620" s="13"/>
      <c r="AH2620" s="13"/>
      <c r="AI2620" s="13"/>
      <c r="AJ2620" s="13"/>
      <c r="AK2620" s="13"/>
      <c r="AL2620" s="13"/>
      <c r="AM2620" s="13"/>
      <c r="AN2620" s="13"/>
      <c r="AO2620" s="13"/>
      <c r="AP2620" s="13"/>
      <c r="AQ2620" s="13"/>
      <c r="AR2620" s="13"/>
      <c r="AS2620" s="13"/>
      <c r="AT2620" s="13"/>
      <c r="AU2620" s="13"/>
      <c r="AV2620" s="13"/>
      <c r="AW2620" s="13"/>
      <c r="AX2620" s="13"/>
      <c r="AY2620" s="13"/>
      <c r="AZ2620" s="13"/>
      <c r="BA2620" s="13"/>
      <c r="BB2620" s="13"/>
      <c r="BC2620" s="13"/>
      <c r="BD2620" s="13"/>
      <c r="BE2620" s="13"/>
      <c r="BF2620" s="13"/>
      <c r="BG2620" s="13"/>
      <c r="BH2620" s="13"/>
      <c r="BI2620" s="13"/>
      <c r="BJ2620" s="13"/>
      <c r="BK2620" s="13"/>
      <c r="BL2620" s="13"/>
      <c r="BM2620" s="13"/>
      <c r="BN2620" s="13"/>
      <c r="BO2620" s="13"/>
      <c r="BP2620" s="13"/>
      <c r="BQ2620" s="13"/>
    </row>
    <row r="2621" spans="1:69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  <c r="Q2621" s="13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/>
      <c r="AH2621" s="13"/>
      <c r="AI2621" s="13"/>
      <c r="AJ2621" s="13"/>
      <c r="AK2621" s="13"/>
      <c r="AL2621" s="13"/>
      <c r="AM2621" s="13"/>
      <c r="AN2621" s="13"/>
      <c r="AO2621" s="13"/>
      <c r="AP2621" s="13"/>
      <c r="AQ2621" s="13"/>
      <c r="AR2621" s="13"/>
      <c r="AS2621" s="13"/>
      <c r="AT2621" s="13"/>
      <c r="AU2621" s="13"/>
      <c r="AV2621" s="13"/>
      <c r="AW2621" s="13"/>
      <c r="AX2621" s="13"/>
      <c r="AY2621" s="13"/>
      <c r="AZ2621" s="13"/>
      <c r="BA2621" s="13"/>
      <c r="BB2621" s="13"/>
      <c r="BC2621" s="13"/>
      <c r="BD2621" s="13"/>
      <c r="BE2621" s="13"/>
      <c r="BF2621" s="13"/>
      <c r="BG2621" s="13"/>
      <c r="BH2621" s="13"/>
      <c r="BI2621" s="13"/>
      <c r="BJ2621" s="13"/>
      <c r="BK2621" s="13"/>
      <c r="BL2621" s="13"/>
      <c r="BM2621" s="13"/>
      <c r="BN2621" s="13"/>
      <c r="BO2621" s="13"/>
      <c r="BP2621" s="13"/>
      <c r="BQ2621" s="13"/>
    </row>
    <row r="2622" spans="1:69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/>
      <c r="AH2622" s="13"/>
      <c r="AI2622" s="13"/>
      <c r="AJ2622" s="13"/>
      <c r="AK2622" s="13"/>
      <c r="AL2622" s="13"/>
      <c r="AM2622" s="13"/>
      <c r="AN2622" s="13"/>
      <c r="AO2622" s="13"/>
      <c r="AP2622" s="13"/>
      <c r="AQ2622" s="13"/>
      <c r="AR2622" s="13"/>
      <c r="AS2622" s="13"/>
      <c r="AT2622" s="13"/>
      <c r="AU2622" s="13"/>
      <c r="AV2622" s="13"/>
      <c r="AW2622" s="13"/>
      <c r="AX2622" s="13"/>
      <c r="AY2622" s="13"/>
      <c r="AZ2622" s="13"/>
      <c r="BA2622" s="13"/>
      <c r="BB2622" s="13"/>
      <c r="BC2622" s="13"/>
      <c r="BD2622" s="13"/>
      <c r="BE2622" s="13"/>
      <c r="BF2622" s="13"/>
      <c r="BG2622" s="13"/>
      <c r="BH2622" s="13"/>
      <c r="BI2622" s="13"/>
      <c r="BJ2622" s="13"/>
      <c r="BK2622" s="13"/>
      <c r="BL2622" s="13"/>
      <c r="BM2622" s="13"/>
      <c r="BN2622" s="13"/>
      <c r="BO2622" s="13"/>
      <c r="BP2622" s="13"/>
      <c r="BQ2622" s="13"/>
    </row>
    <row r="2623" spans="1:69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  <c r="Q2623" s="13"/>
      <c r="R2623" s="13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/>
      <c r="AH2623" s="13"/>
      <c r="AI2623" s="13"/>
      <c r="AJ2623" s="13"/>
      <c r="AK2623" s="13"/>
      <c r="AL2623" s="13"/>
      <c r="AM2623" s="13"/>
      <c r="AN2623" s="13"/>
      <c r="AO2623" s="13"/>
      <c r="AP2623" s="13"/>
      <c r="AQ2623" s="13"/>
      <c r="AR2623" s="13"/>
      <c r="AS2623" s="13"/>
      <c r="AT2623" s="13"/>
      <c r="AU2623" s="13"/>
      <c r="AV2623" s="13"/>
      <c r="AW2623" s="13"/>
      <c r="AX2623" s="13"/>
      <c r="AY2623" s="13"/>
      <c r="AZ2623" s="13"/>
      <c r="BA2623" s="13"/>
      <c r="BB2623" s="13"/>
      <c r="BC2623" s="13"/>
      <c r="BD2623" s="13"/>
      <c r="BE2623" s="13"/>
      <c r="BF2623" s="13"/>
      <c r="BG2623" s="13"/>
      <c r="BH2623" s="13"/>
      <c r="BI2623" s="13"/>
      <c r="BJ2623" s="13"/>
      <c r="BK2623" s="13"/>
      <c r="BL2623" s="13"/>
      <c r="BM2623" s="13"/>
      <c r="BN2623" s="13"/>
      <c r="BO2623" s="13"/>
      <c r="BP2623" s="13"/>
      <c r="BQ2623" s="13"/>
    </row>
    <row r="2624" spans="1:69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  <c r="Q2624" s="13"/>
      <c r="R2624" s="13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/>
      <c r="AH2624" s="13"/>
      <c r="AI2624" s="13"/>
      <c r="AJ2624" s="13"/>
      <c r="AK2624" s="13"/>
      <c r="AL2624" s="13"/>
      <c r="AM2624" s="13"/>
      <c r="AN2624" s="13"/>
      <c r="AO2624" s="13"/>
      <c r="AP2624" s="13"/>
      <c r="AQ2624" s="13"/>
      <c r="AR2624" s="13"/>
      <c r="AS2624" s="13"/>
      <c r="AT2624" s="13"/>
      <c r="AU2624" s="13"/>
      <c r="AV2624" s="13"/>
      <c r="AW2624" s="13"/>
      <c r="AX2624" s="13"/>
      <c r="AY2624" s="13"/>
      <c r="AZ2624" s="13"/>
      <c r="BA2624" s="13"/>
      <c r="BB2624" s="13"/>
      <c r="BC2624" s="13"/>
      <c r="BD2624" s="13"/>
      <c r="BE2624" s="13"/>
      <c r="BF2624" s="13"/>
      <c r="BG2624" s="13"/>
      <c r="BH2624" s="13"/>
      <c r="BI2624" s="13"/>
      <c r="BJ2624" s="13"/>
      <c r="BK2624" s="13"/>
      <c r="BL2624" s="13"/>
      <c r="BM2624" s="13"/>
      <c r="BN2624" s="13"/>
      <c r="BO2624" s="13"/>
      <c r="BP2624" s="13"/>
      <c r="BQ2624" s="13"/>
    </row>
    <row r="2625" spans="1:69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3"/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/>
      <c r="AH2625" s="13"/>
      <c r="AI2625" s="13"/>
      <c r="AJ2625" s="13"/>
      <c r="AK2625" s="13"/>
      <c r="AL2625" s="13"/>
      <c r="AM2625" s="13"/>
      <c r="AN2625" s="13"/>
      <c r="AO2625" s="13"/>
      <c r="AP2625" s="13"/>
      <c r="AQ2625" s="13"/>
      <c r="AR2625" s="13"/>
      <c r="AS2625" s="13"/>
      <c r="AT2625" s="13"/>
      <c r="AU2625" s="13"/>
      <c r="AV2625" s="13"/>
      <c r="AW2625" s="13"/>
      <c r="AX2625" s="13"/>
      <c r="AY2625" s="13"/>
      <c r="AZ2625" s="13"/>
      <c r="BA2625" s="13"/>
      <c r="BB2625" s="13"/>
      <c r="BC2625" s="13"/>
      <c r="BD2625" s="13"/>
      <c r="BE2625" s="13"/>
      <c r="BF2625" s="13"/>
      <c r="BG2625" s="13"/>
      <c r="BH2625" s="13"/>
      <c r="BI2625" s="13"/>
      <c r="BJ2625" s="13"/>
      <c r="BK2625" s="13"/>
      <c r="BL2625" s="13"/>
      <c r="BM2625" s="13"/>
      <c r="BN2625" s="13"/>
      <c r="BO2625" s="13"/>
      <c r="BP2625" s="13"/>
      <c r="BQ2625" s="13"/>
    </row>
    <row r="2626" spans="1:69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  <c r="Q2626" s="13"/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/>
      <c r="AH2626" s="13"/>
      <c r="AI2626" s="13"/>
      <c r="AJ2626" s="13"/>
      <c r="AK2626" s="13"/>
      <c r="AL2626" s="13"/>
      <c r="AM2626" s="13"/>
      <c r="AN2626" s="13"/>
      <c r="AO2626" s="13"/>
      <c r="AP2626" s="13"/>
      <c r="AQ2626" s="13"/>
      <c r="AR2626" s="13"/>
      <c r="AS2626" s="13"/>
      <c r="AT2626" s="13"/>
      <c r="AU2626" s="13"/>
      <c r="AV2626" s="13"/>
      <c r="AW2626" s="13"/>
      <c r="AX2626" s="13"/>
      <c r="AY2626" s="13"/>
      <c r="AZ2626" s="13"/>
      <c r="BA2626" s="13"/>
      <c r="BB2626" s="13"/>
      <c r="BC2626" s="13"/>
      <c r="BD2626" s="13"/>
      <c r="BE2626" s="13"/>
      <c r="BF2626" s="13"/>
      <c r="BG2626" s="13"/>
      <c r="BH2626" s="13"/>
      <c r="BI2626" s="13"/>
      <c r="BJ2626" s="13"/>
      <c r="BK2626" s="13"/>
      <c r="BL2626" s="13"/>
      <c r="BM2626" s="13"/>
      <c r="BN2626" s="13"/>
      <c r="BO2626" s="13"/>
      <c r="BP2626" s="13"/>
      <c r="BQ2626" s="13"/>
    </row>
    <row r="2627" spans="1:69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  <c r="Q2627" s="13"/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/>
      <c r="AH2627" s="13"/>
      <c r="AI2627" s="13"/>
      <c r="AJ2627" s="13"/>
      <c r="AK2627" s="13"/>
      <c r="AL2627" s="13"/>
      <c r="AM2627" s="13"/>
      <c r="AN2627" s="13"/>
      <c r="AO2627" s="13"/>
      <c r="AP2627" s="13"/>
      <c r="AQ2627" s="13"/>
      <c r="AR2627" s="13"/>
      <c r="AS2627" s="13"/>
      <c r="AT2627" s="13"/>
      <c r="AU2627" s="13"/>
      <c r="AV2627" s="13"/>
      <c r="AW2627" s="13"/>
      <c r="AX2627" s="13"/>
      <c r="AY2627" s="13"/>
      <c r="AZ2627" s="13"/>
      <c r="BA2627" s="13"/>
      <c r="BB2627" s="13"/>
      <c r="BC2627" s="13"/>
      <c r="BD2627" s="13"/>
      <c r="BE2627" s="13"/>
      <c r="BF2627" s="13"/>
      <c r="BG2627" s="13"/>
      <c r="BH2627" s="13"/>
      <c r="BI2627" s="13"/>
      <c r="BJ2627" s="13"/>
      <c r="BK2627" s="13"/>
      <c r="BL2627" s="13"/>
      <c r="BM2627" s="13"/>
      <c r="BN2627" s="13"/>
      <c r="BO2627" s="13"/>
      <c r="BP2627" s="13"/>
      <c r="BQ2627" s="13"/>
    </row>
    <row r="2628" spans="1:69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  <c r="Q2628" s="13"/>
      <c r="R2628" s="13"/>
      <c r="S2628" s="13"/>
      <c r="T2628" s="13"/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  <c r="AG2628" s="13"/>
      <c r="AH2628" s="13"/>
      <c r="AI2628" s="13"/>
      <c r="AJ2628" s="13"/>
      <c r="AK2628" s="13"/>
      <c r="AL2628" s="13"/>
      <c r="AM2628" s="13"/>
      <c r="AN2628" s="13"/>
      <c r="AO2628" s="13"/>
      <c r="AP2628" s="13"/>
      <c r="AQ2628" s="13"/>
      <c r="AR2628" s="13"/>
      <c r="AS2628" s="13"/>
      <c r="AT2628" s="13"/>
      <c r="AU2628" s="13"/>
      <c r="AV2628" s="13"/>
      <c r="AW2628" s="13"/>
      <c r="AX2628" s="13"/>
      <c r="AY2628" s="13"/>
      <c r="AZ2628" s="13"/>
      <c r="BA2628" s="13"/>
      <c r="BB2628" s="13"/>
      <c r="BC2628" s="13"/>
      <c r="BD2628" s="13"/>
      <c r="BE2628" s="13"/>
      <c r="BF2628" s="13"/>
      <c r="BG2628" s="13"/>
      <c r="BH2628" s="13"/>
      <c r="BI2628" s="13"/>
      <c r="BJ2628" s="13"/>
      <c r="BK2628" s="13"/>
      <c r="BL2628" s="13"/>
      <c r="BM2628" s="13"/>
      <c r="BN2628" s="13"/>
      <c r="BO2628" s="13"/>
      <c r="BP2628" s="13"/>
      <c r="BQ2628" s="13"/>
    </row>
    <row r="2629" spans="1:69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/>
      <c r="AH2629" s="13"/>
      <c r="AI2629" s="13"/>
      <c r="AJ2629" s="13"/>
      <c r="AK2629" s="13"/>
      <c r="AL2629" s="13"/>
      <c r="AM2629" s="13"/>
      <c r="AN2629" s="13"/>
      <c r="AO2629" s="13"/>
      <c r="AP2629" s="13"/>
      <c r="AQ2629" s="13"/>
      <c r="AR2629" s="13"/>
      <c r="AS2629" s="13"/>
      <c r="AT2629" s="13"/>
      <c r="AU2629" s="13"/>
      <c r="AV2629" s="13"/>
      <c r="AW2629" s="13"/>
      <c r="AX2629" s="13"/>
      <c r="AY2629" s="13"/>
      <c r="AZ2629" s="13"/>
      <c r="BA2629" s="13"/>
      <c r="BB2629" s="13"/>
      <c r="BC2629" s="13"/>
      <c r="BD2629" s="13"/>
      <c r="BE2629" s="13"/>
      <c r="BF2629" s="13"/>
      <c r="BG2629" s="13"/>
      <c r="BH2629" s="13"/>
      <c r="BI2629" s="13"/>
      <c r="BJ2629" s="13"/>
      <c r="BK2629" s="13"/>
      <c r="BL2629" s="13"/>
      <c r="BM2629" s="13"/>
      <c r="BN2629" s="13"/>
      <c r="BO2629" s="13"/>
      <c r="BP2629" s="13"/>
      <c r="BQ2629" s="13"/>
    </row>
    <row r="2630" spans="1:69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/>
      <c r="AH2630" s="13"/>
      <c r="AI2630" s="13"/>
      <c r="AJ2630" s="13"/>
      <c r="AK2630" s="13"/>
      <c r="AL2630" s="13"/>
      <c r="AM2630" s="13"/>
      <c r="AN2630" s="13"/>
      <c r="AO2630" s="13"/>
      <c r="AP2630" s="13"/>
      <c r="AQ2630" s="13"/>
      <c r="AR2630" s="13"/>
      <c r="AS2630" s="13"/>
      <c r="AT2630" s="13"/>
      <c r="AU2630" s="13"/>
      <c r="AV2630" s="13"/>
      <c r="AW2630" s="13"/>
      <c r="AX2630" s="13"/>
      <c r="AY2630" s="13"/>
      <c r="AZ2630" s="13"/>
      <c r="BA2630" s="13"/>
      <c r="BB2630" s="13"/>
      <c r="BC2630" s="13"/>
      <c r="BD2630" s="13"/>
      <c r="BE2630" s="13"/>
      <c r="BF2630" s="13"/>
      <c r="BG2630" s="13"/>
      <c r="BH2630" s="13"/>
      <c r="BI2630" s="13"/>
      <c r="BJ2630" s="13"/>
      <c r="BK2630" s="13"/>
      <c r="BL2630" s="13"/>
      <c r="BM2630" s="13"/>
      <c r="BN2630" s="13"/>
      <c r="BO2630" s="13"/>
      <c r="BP2630" s="13"/>
      <c r="BQ2630" s="13"/>
    </row>
    <row r="2631" spans="1:69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  <c r="Q2631" s="13"/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/>
      <c r="AH2631" s="13"/>
      <c r="AI2631" s="13"/>
      <c r="AJ2631" s="13"/>
      <c r="AK2631" s="13"/>
      <c r="AL2631" s="13"/>
      <c r="AM2631" s="13"/>
      <c r="AN2631" s="13"/>
      <c r="AO2631" s="13"/>
      <c r="AP2631" s="13"/>
      <c r="AQ2631" s="13"/>
      <c r="AR2631" s="13"/>
      <c r="AS2631" s="13"/>
      <c r="AT2631" s="13"/>
      <c r="AU2631" s="13"/>
      <c r="AV2631" s="13"/>
      <c r="AW2631" s="13"/>
      <c r="AX2631" s="13"/>
      <c r="AY2631" s="13"/>
      <c r="AZ2631" s="13"/>
      <c r="BA2631" s="13"/>
      <c r="BB2631" s="13"/>
      <c r="BC2631" s="13"/>
      <c r="BD2631" s="13"/>
      <c r="BE2631" s="13"/>
      <c r="BF2631" s="13"/>
      <c r="BG2631" s="13"/>
      <c r="BH2631" s="13"/>
      <c r="BI2631" s="13"/>
      <c r="BJ2631" s="13"/>
      <c r="BK2631" s="13"/>
      <c r="BL2631" s="13"/>
      <c r="BM2631" s="13"/>
      <c r="BN2631" s="13"/>
      <c r="BO2631" s="13"/>
      <c r="BP2631" s="13"/>
      <c r="BQ2631" s="13"/>
    </row>
    <row r="2632" spans="1:69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  <c r="Q2632" s="13"/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/>
      <c r="AH2632" s="13"/>
      <c r="AI2632" s="13"/>
      <c r="AJ2632" s="13"/>
      <c r="AK2632" s="13"/>
      <c r="AL2632" s="13"/>
      <c r="AM2632" s="13"/>
      <c r="AN2632" s="13"/>
      <c r="AO2632" s="13"/>
      <c r="AP2632" s="13"/>
      <c r="AQ2632" s="13"/>
      <c r="AR2632" s="13"/>
      <c r="AS2632" s="13"/>
      <c r="AT2632" s="13"/>
      <c r="AU2632" s="13"/>
      <c r="AV2632" s="13"/>
      <c r="AW2632" s="13"/>
      <c r="AX2632" s="13"/>
      <c r="AY2632" s="13"/>
      <c r="AZ2632" s="13"/>
      <c r="BA2632" s="13"/>
      <c r="BB2632" s="13"/>
      <c r="BC2632" s="13"/>
      <c r="BD2632" s="13"/>
      <c r="BE2632" s="13"/>
      <c r="BF2632" s="13"/>
      <c r="BG2632" s="13"/>
      <c r="BH2632" s="13"/>
      <c r="BI2632" s="13"/>
      <c r="BJ2632" s="13"/>
      <c r="BK2632" s="13"/>
      <c r="BL2632" s="13"/>
      <c r="BM2632" s="13"/>
      <c r="BN2632" s="13"/>
      <c r="BO2632" s="13"/>
      <c r="BP2632" s="13"/>
      <c r="BQ2632" s="13"/>
    </row>
    <row r="2633" spans="1:69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1"/>
      <c r="Q2633" s="11"/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/>
      <c r="AH2633" s="13"/>
      <c r="AI2633" s="13"/>
      <c r="AJ2633" s="13"/>
      <c r="AK2633" s="13"/>
      <c r="AL2633" s="13"/>
      <c r="AM2633" s="13"/>
      <c r="AN2633" s="13"/>
      <c r="AO2633" s="13"/>
      <c r="AP2633" s="13"/>
      <c r="AQ2633" s="13"/>
      <c r="AR2633" s="13"/>
      <c r="AS2633" s="13"/>
      <c r="AT2633" s="13"/>
      <c r="AU2633" s="13"/>
      <c r="AV2633" s="13"/>
      <c r="AW2633" s="13"/>
      <c r="AX2633" s="13"/>
      <c r="AY2633" s="13"/>
      <c r="AZ2633" s="13"/>
      <c r="BA2633" s="13"/>
      <c r="BB2633" s="13"/>
      <c r="BC2633" s="13"/>
      <c r="BD2633" s="13"/>
      <c r="BE2633" s="13"/>
      <c r="BF2633" s="13"/>
      <c r="BG2633" s="13"/>
      <c r="BH2633" s="13"/>
      <c r="BI2633" s="13"/>
      <c r="BJ2633" s="13"/>
      <c r="BK2633" s="13"/>
      <c r="BL2633" s="13"/>
      <c r="BM2633" s="13"/>
      <c r="BN2633" s="13"/>
      <c r="BO2633" s="13"/>
      <c r="BP2633" s="13"/>
      <c r="BQ2633" s="13"/>
    </row>
    <row r="2634" spans="1:69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  <c r="Q2634" s="13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/>
      <c r="AH2634" s="13"/>
      <c r="AI2634" s="13"/>
      <c r="AJ2634" s="13"/>
      <c r="AK2634" s="13"/>
      <c r="AL2634" s="13"/>
      <c r="AM2634" s="13"/>
      <c r="AN2634" s="13"/>
      <c r="AO2634" s="13"/>
      <c r="AP2634" s="13"/>
      <c r="AQ2634" s="13"/>
      <c r="AR2634" s="13"/>
      <c r="AS2634" s="13"/>
      <c r="AT2634" s="13"/>
      <c r="AU2634" s="13"/>
      <c r="AV2634" s="13"/>
      <c r="AW2634" s="13"/>
      <c r="AX2634" s="13"/>
      <c r="AY2634" s="13"/>
      <c r="AZ2634" s="13"/>
      <c r="BA2634" s="13"/>
      <c r="BB2634" s="13"/>
      <c r="BC2634" s="13"/>
      <c r="BD2634" s="13"/>
      <c r="BE2634" s="13"/>
      <c r="BF2634" s="13"/>
      <c r="BG2634" s="13"/>
      <c r="BH2634" s="13"/>
      <c r="BI2634" s="13"/>
      <c r="BJ2634" s="13"/>
      <c r="BK2634" s="13"/>
      <c r="BL2634" s="13"/>
      <c r="BM2634" s="13"/>
      <c r="BN2634" s="13"/>
      <c r="BO2634" s="13"/>
      <c r="BP2634" s="13"/>
      <c r="BQ2634" s="13"/>
    </row>
    <row r="2635" spans="1:69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3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/>
      <c r="AH2635" s="13"/>
      <c r="AI2635" s="13"/>
      <c r="AJ2635" s="13"/>
      <c r="AK2635" s="13"/>
      <c r="AL2635" s="13"/>
      <c r="AM2635" s="13"/>
      <c r="AN2635" s="13"/>
      <c r="AO2635" s="13"/>
      <c r="AP2635" s="13"/>
      <c r="AQ2635" s="13"/>
      <c r="AR2635" s="13"/>
      <c r="AS2635" s="13"/>
      <c r="AT2635" s="13"/>
      <c r="AU2635" s="13"/>
      <c r="AV2635" s="13"/>
      <c r="AW2635" s="13"/>
      <c r="AX2635" s="13"/>
      <c r="AY2635" s="13"/>
      <c r="AZ2635" s="13"/>
      <c r="BA2635" s="13"/>
      <c r="BB2635" s="13"/>
      <c r="BC2635" s="13"/>
      <c r="BD2635" s="13"/>
      <c r="BE2635" s="13"/>
      <c r="BF2635" s="13"/>
      <c r="BG2635" s="13"/>
      <c r="BH2635" s="13"/>
      <c r="BI2635" s="13"/>
      <c r="BJ2635" s="13"/>
      <c r="BK2635" s="13"/>
      <c r="BL2635" s="13"/>
      <c r="BM2635" s="13"/>
      <c r="BN2635" s="13"/>
      <c r="BO2635" s="13"/>
      <c r="BP2635" s="13"/>
      <c r="BQ2635" s="13"/>
    </row>
    <row r="2636" spans="1:69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1"/>
      <c r="M2636" s="13"/>
      <c r="N2636" s="13"/>
      <c r="O2636" s="13"/>
      <c r="P2636" s="13"/>
      <c r="Q2636" s="13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/>
      <c r="AH2636" s="13"/>
      <c r="AI2636" s="13"/>
      <c r="AJ2636" s="13"/>
      <c r="AK2636" s="13"/>
      <c r="AL2636" s="13"/>
      <c r="AM2636" s="13"/>
      <c r="AN2636" s="13"/>
      <c r="AO2636" s="13"/>
      <c r="AP2636" s="13"/>
      <c r="AQ2636" s="13"/>
      <c r="AR2636" s="13"/>
      <c r="AS2636" s="13"/>
      <c r="AT2636" s="13"/>
      <c r="AU2636" s="13"/>
      <c r="AV2636" s="13"/>
      <c r="AW2636" s="13"/>
      <c r="AX2636" s="13"/>
      <c r="AY2636" s="13"/>
      <c r="AZ2636" s="13"/>
      <c r="BA2636" s="13"/>
      <c r="BB2636" s="13"/>
      <c r="BC2636" s="13"/>
      <c r="BD2636" s="13"/>
      <c r="BE2636" s="13"/>
      <c r="BF2636" s="13"/>
      <c r="BG2636" s="13"/>
      <c r="BH2636" s="13"/>
      <c r="BI2636" s="13"/>
      <c r="BJ2636" s="13"/>
      <c r="BK2636" s="13"/>
      <c r="BL2636" s="13"/>
      <c r="BM2636" s="13"/>
      <c r="BN2636" s="13"/>
      <c r="BO2636" s="13"/>
      <c r="BP2636" s="13"/>
      <c r="BQ2636" s="13"/>
    </row>
    <row r="2637" spans="1:69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  <c r="Q2637" s="13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  <c r="AG2637" s="13"/>
      <c r="AH2637" s="13"/>
      <c r="AI2637" s="13"/>
      <c r="AJ2637" s="13"/>
      <c r="AK2637" s="13"/>
      <c r="AL2637" s="13"/>
      <c r="AM2637" s="13"/>
      <c r="AN2637" s="13"/>
      <c r="AO2637" s="13"/>
      <c r="AP2637" s="13"/>
      <c r="AQ2637" s="13"/>
      <c r="AR2637" s="13"/>
      <c r="AS2637" s="13"/>
      <c r="AT2637" s="13"/>
      <c r="AU2637" s="13"/>
      <c r="AV2637" s="13"/>
      <c r="AW2637" s="13"/>
      <c r="AX2637" s="13"/>
      <c r="AY2637" s="13"/>
      <c r="AZ2637" s="13"/>
      <c r="BA2637" s="13"/>
      <c r="BB2637" s="13"/>
      <c r="BC2637" s="13"/>
      <c r="BD2637" s="13"/>
      <c r="BE2637" s="13"/>
      <c r="BF2637" s="13"/>
      <c r="BG2637" s="13"/>
      <c r="BH2637" s="13"/>
      <c r="BI2637" s="13"/>
      <c r="BJ2637" s="13"/>
      <c r="BK2637" s="13"/>
      <c r="BL2637" s="13"/>
      <c r="BM2637" s="13"/>
      <c r="BN2637" s="13"/>
      <c r="BO2637" s="13"/>
      <c r="BP2637" s="13"/>
      <c r="BQ2637" s="13"/>
    </row>
    <row r="2638" spans="1:69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1"/>
      <c r="M2638" s="11"/>
      <c r="N2638" s="11"/>
      <c r="O2638" s="11"/>
      <c r="P2638" s="13"/>
      <c r="Q2638" s="13"/>
      <c r="R2638" s="13"/>
      <c r="S2638" s="13"/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  <c r="AG2638" s="13"/>
      <c r="AH2638" s="13"/>
      <c r="AI2638" s="13"/>
      <c r="AJ2638" s="13"/>
      <c r="AK2638" s="13"/>
      <c r="AL2638" s="13"/>
      <c r="AM2638" s="13"/>
      <c r="AN2638" s="13"/>
      <c r="AO2638" s="13"/>
      <c r="AP2638" s="13"/>
      <c r="AQ2638" s="13"/>
      <c r="AR2638" s="13"/>
      <c r="AS2638" s="13"/>
      <c r="AT2638" s="13"/>
      <c r="AU2638" s="13"/>
      <c r="AV2638" s="13"/>
      <c r="AW2638" s="13"/>
      <c r="AX2638" s="13"/>
      <c r="AY2638" s="13"/>
      <c r="AZ2638" s="13"/>
      <c r="BA2638" s="13"/>
      <c r="BB2638" s="13"/>
      <c r="BC2638" s="13"/>
      <c r="BD2638" s="13"/>
      <c r="BE2638" s="13"/>
      <c r="BF2638" s="13"/>
      <c r="BG2638" s="13"/>
      <c r="BH2638" s="13"/>
      <c r="BI2638" s="13"/>
      <c r="BJ2638" s="13"/>
      <c r="BK2638" s="13"/>
      <c r="BL2638" s="13"/>
      <c r="BM2638" s="13"/>
      <c r="BN2638" s="13"/>
      <c r="BO2638" s="13"/>
      <c r="BP2638" s="13"/>
      <c r="BQ2638" s="13"/>
    </row>
    <row r="2639" spans="1:69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1"/>
      <c r="Q2639" s="11"/>
      <c r="R2639" s="13"/>
      <c r="S2639" s="13"/>
      <c r="T2639" s="13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F2639" s="13"/>
      <c r="AG2639" s="13"/>
      <c r="AH2639" s="13"/>
      <c r="AI2639" s="13"/>
      <c r="AJ2639" s="13"/>
      <c r="AK2639" s="13"/>
      <c r="AL2639" s="13"/>
      <c r="AM2639" s="13"/>
      <c r="AN2639" s="13"/>
      <c r="AO2639" s="13"/>
      <c r="AP2639" s="13"/>
      <c r="AQ2639" s="13"/>
      <c r="AR2639" s="13"/>
      <c r="AS2639" s="13"/>
      <c r="AT2639" s="13"/>
      <c r="AU2639" s="13"/>
      <c r="AV2639" s="13"/>
      <c r="AW2639" s="13"/>
      <c r="AX2639" s="13"/>
      <c r="AY2639" s="13"/>
      <c r="AZ2639" s="13"/>
      <c r="BA2639" s="13"/>
      <c r="BB2639" s="13"/>
      <c r="BC2639" s="13"/>
      <c r="BD2639" s="13"/>
      <c r="BE2639" s="13"/>
      <c r="BF2639" s="13"/>
      <c r="BG2639" s="13"/>
      <c r="BH2639" s="13"/>
      <c r="BI2639" s="13"/>
      <c r="BJ2639" s="13"/>
      <c r="BK2639" s="13"/>
      <c r="BL2639" s="13"/>
      <c r="BM2639" s="13"/>
      <c r="BN2639" s="13"/>
      <c r="BO2639" s="13"/>
      <c r="BP2639" s="13"/>
      <c r="BQ2639" s="13"/>
    </row>
    <row r="2640" spans="1:69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1"/>
      <c r="N2640" s="11"/>
      <c r="O2640" s="11"/>
      <c r="P2640" s="13"/>
      <c r="Q2640" s="13"/>
      <c r="R2640" s="13"/>
      <c r="S2640" s="13"/>
      <c r="T2640" s="13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  <c r="AG2640" s="13"/>
      <c r="AH2640" s="13"/>
      <c r="AI2640" s="13"/>
      <c r="AJ2640" s="13"/>
      <c r="AK2640" s="13"/>
      <c r="AL2640" s="13"/>
      <c r="AM2640" s="13"/>
      <c r="AN2640" s="13"/>
      <c r="AO2640" s="13"/>
      <c r="AP2640" s="13"/>
      <c r="AQ2640" s="13"/>
      <c r="AR2640" s="13"/>
      <c r="AS2640" s="13"/>
      <c r="AT2640" s="13"/>
      <c r="AU2640" s="13"/>
      <c r="AV2640" s="13"/>
      <c r="AW2640" s="13"/>
      <c r="AX2640" s="13"/>
      <c r="AY2640" s="13"/>
      <c r="AZ2640" s="13"/>
      <c r="BA2640" s="13"/>
      <c r="BB2640" s="13"/>
      <c r="BC2640" s="13"/>
      <c r="BD2640" s="13"/>
      <c r="BE2640" s="13"/>
      <c r="BF2640" s="13"/>
      <c r="BG2640" s="13"/>
      <c r="BH2640" s="13"/>
      <c r="BI2640" s="13"/>
      <c r="BJ2640" s="13"/>
      <c r="BK2640" s="13"/>
      <c r="BL2640" s="13"/>
      <c r="BM2640" s="13"/>
      <c r="BN2640" s="13"/>
      <c r="BO2640" s="13"/>
      <c r="BP2640" s="13"/>
      <c r="BQ2640" s="13"/>
    </row>
    <row r="2641" spans="1:69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  <c r="Q2641" s="13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/>
      <c r="AH2641" s="13"/>
      <c r="AI2641" s="13"/>
      <c r="AJ2641" s="13"/>
      <c r="AK2641" s="13"/>
      <c r="AL2641" s="13"/>
      <c r="AM2641" s="13"/>
      <c r="AN2641" s="13"/>
      <c r="AO2641" s="13"/>
      <c r="AP2641" s="13"/>
      <c r="AQ2641" s="13"/>
      <c r="AR2641" s="13"/>
      <c r="AS2641" s="13"/>
      <c r="AT2641" s="13"/>
      <c r="AU2641" s="13"/>
      <c r="AV2641" s="13"/>
      <c r="AW2641" s="13"/>
      <c r="AX2641" s="13"/>
      <c r="AY2641" s="13"/>
      <c r="AZ2641" s="13"/>
      <c r="BA2641" s="13"/>
      <c r="BB2641" s="13"/>
      <c r="BC2641" s="13"/>
      <c r="BD2641" s="13"/>
      <c r="BE2641" s="13"/>
      <c r="BF2641" s="13"/>
      <c r="BG2641" s="13"/>
      <c r="BH2641" s="13"/>
      <c r="BI2641" s="13"/>
      <c r="BJ2641" s="13"/>
      <c r="BK2641" s="13"/>
      <c r="BL2641" s="13"/>
      <c r="BM2641" s="13"/>
      <c r="BN2641" s="13"/>
      <c r="BO2641" s="13"/>
      <c r="BP2641" s="13"/>
      <c r="BQ2641" s="13"/>
    </row>
    <row r="2642" spans="1:69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  <c r="Q2642" s="13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  <c r="AG2642" s="13"/>
      <c r="AH2642" s="13"/>
      <c r="AI2642" s="13"/>
      <c r="AJ2642" s="13"/>
      <c r="AK2642" s="13"/>
      <c r="AL2642" s="13"/>
      <c r="AM2642" s="13"/>
      <c r="AN2642" s="13"/>
      <c r="AO2642" s="13"/>
      <c r="AP2642" s="13"/>
      <c r="AQ2642" s="13"/>
      <c r="AR2642" s="13"/>
      <c r="AS2642" s="13"/>
      <c r="AT2642" s="13"/>
      <c r="AU2642" s="13"/>
      <c r="AV2642" s="13"/>
      <c r="AW2642" s="13"/>
      <c r="AX2642" s="13"/>
      <c r="AY2642" s="13"/>
      <c r="AZ2642" s="13"/>
      <c r="BA2642" s="13"/>
      <c r="BB2642" s="13"/>
      <c r="BC2642" s="13"/>
      <c r="BD2642" s="13"/>
      <c r="BE2642" s="13"/>
      <c r="BF2642" s="13"/>
      <c r="BG2642" s="13"/>
      <c r="BH2642" s="13"/>
      <c r="BI2642" s="13"/>
      <c r="BJ2642" s="13"/>
      <c r="BK2642" s="13"/>
      <c r="BL2642" s="13"/>
      <c r="BM2642" s="13"/>
      <c r="BN2642" s="13"/>
      <c r="BO2642" s="13"/>
      <c r="BP2642" s="13"/>
      <c r="BQ2642" s="13"/>
    </row>
    <row r="2643" spans="1:69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1"/>
      <c r="M2643" s="13"/>
      <c r="N2643" s="13"/>
      <c r="O2643" s="13"/>
      <c r="P2643" s="13"/>
      <c r="Q2643" s="13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13"/>
      <c r="AK2643" s="13"/>
      <c r="AL2643" s="13"/>
      <c r="AM2643" s="13"/>
      <c r="AN2643" s="13"/>
      <c r="AO2643" s="13"/>
      <c r="AP2643" s="13"/>
      <c r="AQ2643" s="13"/>
      <c r="AR2643" s="13"/>
      <c r="AS2643" s="13"/>
      <c r="AT2643" s="13"/>
      <c r="AU2643" s="13"/>
      <c r="AV2643" s="13"/>
      <c r="AW2643" s="13"/>
      <c r="AX2643" s="13"/>
      <c r="AY2643" s="13"/>
      <c r="AZ2643" s="13"/>
      <c r="BA2643" s="13"/>
      <c r="BB2643" s="13"/>
      <c r="BC2643" s="13"/>
      <c r="BD2643" s="13"/>
      <c r="BE2643" s="13"/>
      <c r="BF2643" s="13"/>
      <c r="BG2643" s="13"/>
      <c r="BH2643" s="13"/>
      <c r="BI2643" s="13"/>
      <c r="BJ2643" s="13"/>
      <c r="BK2643" s="13"/>
      <c r="BL2643" s="13"/>
      <c r="BM2643" s="13"/>
      <c r="BN2643" s="13"/>
      <c r="BO2643" s="13"/>
      <c r="BP2643" s="13"/>
      <c r="BQ2643" s="13"/>
    </row>
    <row r="2644" spans="1:69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  <c r="Q2644" s="13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/>
      <c r="AH2644" s="13"/>
      <c r="AI2644" s="13"/>
      <c r="AJ2644" s="13"/>
      <c r="AK2644" s="13"/>
      <c r="AL2644" s="13"/>
      <c r="AM2644" s="13"/>
      <c r="AN2644" s="13"/>
      <c r="AO2644" s="13"/>
      <c r="AP2644" s="13"/>
      <c r="AQ2644" s="13"/>
      <c r="AR2644" s="13"/>
      <c r="AS2644" s="13"/>
      <c r="AT2644" s="13"/>
      <c r="AU2644" s="13"/>
      <c r="AV2644" s="13"/>
      <c r="AW2644" s="13"/>
      <c r="AX2644" s="13"/>
      <c r="AY2644" s="13"/>
      <c r="AZ2644" s="13"/>
      <c r="BA2644" s="13"/>
      <c r="BB2644" s="13"/>
      <c r="BC2644" s="13"/>
      <c r="BD2644" s="13"/>
      <c r="BE2644" s="13"/>
      <c r="BF2644" s="13"/>
      <c r="BG2644" s="13"/>
      <c r="BH2644" s="13"/>
      <c r="BI2644" s="13"/>
      <c r="BJ2644" s="13"/>
      <c r="BK2644" s="13"/>
      <c r="BL2644" s="13"/>
      <c r="BM2644" s="13"/>
      <c r="BN2644" s="13"/>
      <c r="BO2644" s="13"/>
      <c r="BP2644" s="13"/>
      <c r="BQ2644" s="13"/>
    </row>
    <row r="2645" spans="1:69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1"/>
      <c r="M2645" s="11"/>
      <c r="N2645" s="11"/>
      <c r="O2645" s="11"/>
      <c r="P2645" s="13"/>
      <c r="Q2645" s="13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/>
      <c r="AH2645" s="13"/>
      <c r="AI2645" s="13"/>
      <c r="AJ2645" s="13"/>
      <c r="AK2645" s="13"/>
      <c r="AL2645" s="13"/>
      <c r="AM2645" s="13"/>
      <c r="AN2645" s="13"/>
      <c r="AO2645" s="13"/>
      <c r="AP2645" s="13"/>
      <c r="AQ2645" s="13"/>
      <c r="AR2645" s="13"/>
      <c r="AS2645" s="13"/>
      <c r="AT2645" s="13"/>
      <c r="AU2645" s="13"/>
      <c r="AV2645" s="13"/>
      <c r="AW2645" s="13"/>
      <c r="AX2645" s="13"/>
      <c r="AY2645" s="13"/>
      <c r="AZ2645" s="13"/>
      <c r="BA2645" s="13"/>
      <c r="BB2645" s="13"/>
      <c r="BC2645" s="13"/>
      <c r="BD2645" s="13"/>
      <c r="BE2645" s="13"/>
      <c r="BF2645" s="13"/>
      <c r="BG2645" s="13"/>
      <c r="BH2645" s="13"/>
      <c r="BI2645" s="13"/>
      <c r="BJ2645" s="13"/>
      <c r="BK2645" s="13"/>
      <c r="BL2645" s="13"/>
      <c r="BM2645" s="13"/>
      <c r="BN2645" s="13"/>
      <c r="BO2645" s="13"/>
      <c r="BP2645" s="13"/>
      <c r="BQ2645" s="13"/>
    </row>
    <row r="2646" spans="1:69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  <c r="Q2646" s="13"/>
      <c r="R2646" s="13"/>
      <c r="S2646" s="13"/>
      <c r="T2646" s="13"/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/>
      <c r="AH2646" s="13"/>
      <c r="AI2646" s="13"/>
      <c r="AJ2646" s="13"/>
      <c r="AK2646" s="13"/>
      <c r="AL2646" s="13"/>
      <c r="AM2646" s="13"/>
      <c r="AN2646" s="13"/>
      <c r="AO2646" s="13"/>
      <c r="AP2646" s="13"/>
      <c r="AQ2646" s="13"/>
      <c r="AR2646" s="13"/>
      <c r="AS2646" s="13"/>
      <c r="AT2646" s="13"/>
      <c r="AU2646" s="13"/>
      <c r="AV2646" s="13"/>
      <c r="AW2646" s="13"/>
      <c r="AX2646" s="13"/>
      <c r="AY2646" s="13"/>
      <c r="AZ2646" s="13"/>
      <c r="BA2646" s="13"/>
      <c r="BB2646" s="13"/>
      <c r="BC2646" s="13"/>
      <c r="BD2646" s="13"/>
      <c r="BE2646" s="13"/>
      <c r="BF2646" s="13"/>
      <c r="BG2646" s="13"/>
      <c r="BH2646" s="13"/>
      <c r="BI2646" s="13"/>
      <c r="BJ2646" s="13"/>
      <c r="BK2646" s="13"/>
      <c r="BL2646" s="13"/>
      <c r="BM2646" s="13"/>
      <c r="BN2646" s="13"/>
      <c r="BO2646" s="13"/>
      <c r="BP2646" s="13"/>
      <c r="BQ2646" s="13"/>
    </row>
    <row r="2647" spans="1:69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  <c r="AG2647" s="13"/>
      <c r="AH2647" s="13"/>
      <c r="AI2647" s="13"/>
      <c r="AJ2647" s="13"/>
      <c r="AK2647" s="13"/>
      <c r="AL2647" s="13"/>
      <c r="AM2647" s="13"/>
      <c r="AN2647" s="13"/>
      <c r="AO2647" s="13"/>
      <c r="AP2647" s="13"/>
      <c r="AQ2647" s="13"/>
      <c r="AR2647" s="13"/>
      <c r="AS2647" s="13"/>
      <c r="AT2647" s="13"/>
      <c r="AU2647" s="13"/>
      <c r="AV2647" s="13"/>
      <c r="AW2647" s="13"/>
      <c r="AX2647" s="13"/>
      <c r="AY2647" s="13"/>
      <c r="AZ2647" s="13"/>
      <c r="BA2647" s="13"/>
      <c r="BB2647" s="13"/>
      <c r="BC2647" s="13"/>
      <c r="BD2647" s="13"/>
      <c r="BE2647" s="13"/>
      <c r="BF2647" s="13"/>
      <c r="BG2647" s="13"/>
      <c r="BH2647" s="13"/>
      <c r="BI2647" s="13"/>
      <c r="BJ2647" s="13"/>
      <c r="BK2647" s="13"/>
      <c r="BL2647" s="13"/>
      <c r="BM2647" s="13"/>
      <c r="BN2647" s="13"/>
      <c r="BO2647" s="13"/>
      <c r="BP2647" s="13"/>
      <c r="BQ2647" s="13"/>
    </row>
    <row r="2648" spans="1:69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  <c r="Q2648" s="13"/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/>
      <c r="AH2648" s="13"/>
      <c r="AI2648" s="13"/>
      <c r="AJ2648" s="13"/>
      <c r="AK2648" s="13"/>
      <c r="AL2648" s="13"/>
      <c r="AM2648" s="13"/>
      <c r="AN2648" s="13"/>
      <c r="AO2648" s="13"/>
      <c r="AP2648" s="13"/>
      <c r="AQ2648" s="13"/>
      <c r="AR2648" s="13"/>
      <c r="AS2648" s="13"/>
      <c r="AT2648" s="13"/>
      <c r="AU2648" s="13"/>
      <c r="AV2648" s="13"/>
      <c r="AW2648" s="13"/>
      <c r="AX2648" s="13"/>
      <c r="AY2648" s="13"/>
      <c r="AZ2648" s="13"/>
      <c r="BA2648" s="13"/>
      <c r="BB2648" s="13"/>
      <c r="BC2648" s="13"/>
      <c r="BD2648" s="13"/>
      <c r="BE2648" s="13"/>
      <c r="BF2648" s="13"/>
      <c r="BG2648" s="13"/>
      <c r="BH2648" s="13"/>
      <c r="BI2648" s="13"/>
      <c r="BJ2648" s="13"/>
      <c r="BK2648" s="13"/>
      <c r="BL2648" s="13"/>
      <c r="BM2648" s="13"/>
      <c r="BN2648" s="13"/>
      <c r="BO2648" s="13"/>
      <c r="BP2648" s="13"/>
      <c r="BQ2648" s="13"/>
    </row>
    <row r="2649" spans="1:69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  <c r="Q2649" s="13"/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/>
      <c r="AH2649" s="13"/>
      <c r="AI2649" s="13"/>
      <c r="AJ2649" s="13"/>
      <c r="AK2649" s="13"/>
      <c r="AL2649" s="13"/>
      <c r="AM2649" s="13"/>
      <c r="AN2649" s="13"/>
      <c r="AO2649" s="13"/>
      <c r="AP2649" s="13"/>
      <c r="AQ2649" s="13"/>
      <c r="AR2649" s="13"/>
      <c r="AS2649" s="13"/>
      <c r="AT2649" s="13"/>
      <c r="AU2649" s="13"/>
      <c r="AV2649" s="13"/>
      <c r="AW2649" s="13"/>
      <c r="AX2649" s="13"/>
      <c r="AY2649" s="13"/>
      <c r="AZ2649" s="13"/>
      <c r="BA2649" s="13"/>
      <c r="BB2649" s="13"/>
      <c r="BC2649" s="13"/>
      <c r="BD2649" s="13"/>
      <c r="BE2649" s="13"/>
      <c r="BF2649" s="13"/>
      <c r="BG2649" s="13"/>
      <c r="BH2649" s="13"/>
      <c r="BI2649" s="13"/>
      <c r="BJ2649" s="13"/>
      <c r="BK2649" s="13"/>
      <c r="BL2649" s="13"/>
      <c r="BM2649" s="13"/>
      <c r="BN2649" s="13"/>
      <c r="BO2649" s="13"/>
      <c r="BP2649" s="13"/>
      <c r="BQ2649" s="13"/>
    </row>
    <row r="2650" spans="1:69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1"/>
      <c r="Q2650" s="11"/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  <c r="AG2650" s="13"/>
      <c r="AH2650" s="13"/>
      <c r="AI2650" s="13"/>
      <c r="AJ2650" s="13"/>
      <c r="AK2650" s="13"/>
      <c r="AL2650" s="13"/>
      <c r="AM2650" s="13"/>
      <c r="AN2650" s="13"/>
      <c r="AO2650" s="13"/>
      <c r="AP2650" s="13"/>
      <c r="AQ2650" s="13"/>
      <c r="AR2650" s="13"/>
      <c r="AS2650" s="13"/>
      <c r="AT2650" s="13"/>
      <c r="AU2650" s="13"/>
      <c r="AV2650" s="13"/>
      <c r="AW2650" s="13"/>
      <c r="AX2650" s="13"/>
      <c r="AY2650" s="13"/>
      <c r="AZ2650" s="13"/>
      <c r="BA2650" s="13"/>
      <c r="BB2650" s="13"/>
      <c r="BC2650" s="13"/>
      <c r="BD2650" s="13"/>
      <c r="BE2650" s="13"/>
      <c r="BF2650" s="13"/>
      <c r="BG2650" s="13"/>
      <c r="BH2650" s="13"/>
      <c r="BI2650" s="13"/>
      <c r="BJ2650" s="13"/>
      <c r="BK2650" s="13"/>
      <c r="BL2650" s="13"/>
      <c r="BM2650" s="13"/>
      <c r="BN2650" s="13"/>
      <c r="BO2650" s="13"/>
      <c r="BP2650" s="13"/>
      <c r="BQ2650" s="13"/>
    </row>
    <row r="2651" spans="1:69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  <c r="Q2651" s="13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/>
      <c r="AH2651" s="13"/>
      <c r="AI2651" s="13"/>
      <c r="AJ2651" s="13"/>
      <c r="AK2651" s="13"/>
      <c r="AL2651" s="13"/>
      <c r="AM2651" s="13"/>
      <c r="AN2651" s="13"/>
      <c r="AO2651" s="13"/>
      <c r="AP2651" s="13"/>
      <c r="AQ2651" s="13"/>
      <c r="AR2651" s="13"/>
      <c r="AS2651" s="13"/>
      <c r="AT2651" s="13"/>
      <c r="AU2651" s="13"/>
      <c r="AV2651" s="13"/>
      <c r="AW2651" s="13"/>
      <c r="AX2651" s="13"/>
      <c r="AY2651" s="13"/>
      <c r="AZ2651" s="13"/>
      <c r="BA2651" s="13"/>
      <c r="BB2651" s="13"/>
      <c r="BC2651" s="13"/>
      <c r="BD2651" s="13"/>
      <c r="BE2651" s="13"/>
      <c r="BF2651" s="13"/>
      <c r="BG2651" s="13"/>
      <c r="BH2651" s="13"/>
      <c r="BI2651" s="13"/>
      <c r="BJ2651" s="13"/>
      <c r="BK2651" s="13"/>
      <c r="BL2651" s="13"/>
      <c r="BM2651" s="13"/>
      <c r="BN2651" s="13"/>
      <c r="BO2651" s="13"/>
      <c r="BP2651" s="13"/>
      <c r="BQ2651" s="13"/>
    </row>
    <row r="2652" spans="1:69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  <c r="Q2652" s="13"/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/>
      <c r="AH2652" s="13"/>
      <c r="AI2652" s="13"/>
      <c r="AJ2652" s="13"/>
      <c r="AK2652" s="13"/>
      <c r="AL2652" s="13"/>
      <c r="AM2652" s="13"/>
      <c r="AN2652" s="13"/>
      <c r="AO2652" s="13"/>
      <c r="AP2652" s="13"/>
      <c r="AQ2652" s="13"/>
      <c r="AR2652" s="13"/>
      <c r="AS2652" s="13"/>
      <c r="AT2652" s="13"/>
      <c r="AU2652" s="13"/>
      <c r="AV2652" s="13"/>
      <c r="AW2652" s="13"/>
      <c r="AX2652" s="13"/>
      <c r="AY2652" s="13"/>
      <c r="AZ2652" s="13"/>
      <c r="BA2652" s="13"/>
      <c r="BB2652" s="13"/>
      <c r="BC2652" s="13"/>
      <c r="BD2652" s="13"/>
      <c r="BE2652" s="13"/>
      <c r="BF2652" s="13"/>
      <c r="BG2652" s="13"/>
      <c r="BH2652" s="13"/>
      <c r="BI2652" s="13"/>
      <c r="BJ2652" s="13"/>
      <c r="BK2652" s="13"/>
      <c r="BL2652" s="13"/>
      <c r="BM2652" s="13"/>
      <c r="BN2652" s="13"/>
      <c r="BO2652" s="13"/>
      <c r="BP2652" s="13"/>
      <c r="BQ2652" s="13"/>
    </row>
    <row r="2653" spans="1:69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1"/>
      <c r="M2653" s="11"/>
      <c r="N2653" s="11"/>
      <c r="O2653" s="11"/>
      <c r="P2653" s="13"/>
      <c r="Q2653" s="13"/>
      <c r="R2653" s="13"/>
      <c r="S2653" s="13"/>
      <c r="T2653" s="13"/>
      <c r="U2653" s="13"/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  <c r="AG2653" s="13"/>
      <c r="AH2653" s="13"/>
      <c r="AI2653" s="13"/>
      <c r="AJ2653" s="13"/>
      <c r="AK2653" s="13"/>
      <c r="AL2653" s="13"/>
      <c r="AM2653" s="13"/>
      <c r="AN2653" s="13"/>
      <c r="AO2653" s="13"/>
      <c r="AP2653" s="13"/>
      <c r="AQ2653" s="13"/>
      <c r="AR2653" s="13"/>
      <c r="AS2653" s="13"/>
      <c r="AT2653" s="13"/>
      <c r="AU2653" s="13"/>
      <c r="AV2653" s="13"/>
      <c r="AW2653" s="13"/>
      <c r="AX2653" s="13"/>
      <c r="AY2653" s="13"/>
      <c r="AZ2653" s="13"/>
      <c r="BA2653" s="13"/>
      <c r="BB2653" s="13"/>
      <c r="BC2653" s="13"/>
      <c r="BD2653" s="13"/>
      <c r="BE2653" s="13"/>
      <c r="BF2653" s="13"/>
      <c r="BG2653" s="13"/>
      <c r="BH2653" s="13"/>
      <c r="BI2653" s="13"/>
      <c r="BJ2653" s="13"/>
      <c r="BK2653" s="13"/>
      <c r="BL2653" s="13"/>
      <c r="BM2653" s="13"/>
      <c r="BN2653" s="13"/>
      <c r="BO2653" s="13"/>
      <c r="BP2653" s="13"/>
      <c r="BQ2653" s="13"/>
    </row>
    <row r="2654" spans="1:69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  <c r="Q2654" s="13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/>
      <c r="AH2654" s="13"/>
      <c r="AI2654" s="13"/>
      <c r="AJ2654" s="13"/>
      <c r="AK2654" s="13"/>
      <c r="AL2654" s="13"/>
      <c r="AM2654" s="13"/>
      <c r="AN2654" s="13"/>
      <c r="AO2654" s="13"/>
      <c r="AP2654" s="13"/>
      <c r="AQ2654" s="13"/>
      <c r="AR2654" s="13"/>
      <c r="AS2654" s="13"/>
      <c r="AT2654" s="13"/>
      <c r="AU2654" s="13"/>
      <c r="AV2654" s="13"/>
      <c r="AW2654" s="13"/>
      <c r="AX2654" s="13"/>
      <c r="AY2654" s="13"/>
      <c r="AZ2654" s="13"/>
      <c r="BA2654" s="13"/>
      <c r="BB2654" s="13"/>
      <c r="BC2654" s="13"/>
      <c r="BD2654" s="13"/>
      <c r="BE2654" s="13"/>
      <c r="BF2654" s="13"/>
      <c r="BG2654" s="13"/>
      <c r="BH2654" s="13"/>
      <c r="BI2654" s="13"/>
      <c r="BJ2654" s="13"/>
      <c r="BK2654" s="13"/>
      <c r="BL2654" s="13"/>
      <c r="BM2654" s="13"/>
      <c r="BN2654" s="13"/>
      <c r="BO2654" s="13"/>
      <c r="BP2654" s="13"/>
      <c r="BQ2654" s="13"/>
    </row>
    <row r="2655" spans="1:69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  <c r="Q2655" s="13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/>
      <c r="AH2655" s="13"/>
      <c r="AI2655" s="13"/>
      <c r="AJ2655" s="13"/>
      <c r="AK2655" s="13"/>
      <c r="AL2655" s="13"/>
      <c r="AM2655" s="13"/>
      <c r="AN2655" s="13"/>
      <c r="AO2655" s="13"/>
      <c r="AP2655" s="13"/>
      <c r="AQ2655" s="13"/>
      <c r="AR2655" s="13"/>
      <c r="AS2655" s="13"/>
      <c r="AT2655" s="13"/>
      <c r="AU2655" s="13"/>
      <c r="AV2655" s="13"/>
      <c r="AW2655" s="13"/>
      <c r="AX2655" s="13"/>
      <c r="AY2655" s="13"/>
      <c r="AZ2655" s="13"/>
      <c r="BA2655" s="13"/>
      <c r="BB2655" s="13"/>
      <c r="BC2655" s="13"/>
      <c r="BD2655" s="13"/>
      <c r="BE2655" s="13"/>
      <c r="BF2655" s="13"/>
      <c r="BG2655" s="13"/>
      <c r="BH2655" s="13"/>
      <c r="BI2655" s="13"/>
      <c r="BJ2655" s="13"/>
      <c r="BK2655" s="13"/>
      <c r="BL2655" s="13"/>
      <c r="BM2655" s="13"/>
      <c r="BN2655" s="13"/>
      <c r="BO2655" s="13"/>
      <c r="BP2655" s="13"/>
      <c r="BQ2655" s="13"/>
    </row>
    <row r="2656" spans="1:69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  <c r="Q2656" s="13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/>
      <c r="AH2656" s="13"/>
      <c r="AI2656" s="13"/>
      <c r="AJ2656" s="13"/>
      <c r="AK2656" s="13"/>
      <c r="AL2656" s="13"/>
      <c r="AM2656" s="13"/>
      <c r="AN2656" s="13"/>
      <c r="AO2656" s="13"/>
      <c r="AP2656" s="13"/>
      <c r="AQ2656" s="13"/>
      <c r="AR2656" s="13"/>
      <c r="AS2656" s="13"/>
      <c r="AT2656" s="13"/>
      <c r="AU2656" s="13"/>
      <c r="AV2656" s="13"/>
      <c r="AW2656" s="13"/>
      <c r="AX2656" s="13"/>
      <c r="AY2656" s="13"/>
      <c r="AZ2656" s="13"/>
      <c r="BA2656" s="13"/>
      <c r="BB2656" s="13"/>
      <c r="BC2656" s="13"/>
      <c r="BD2656" s="13"/>
      <c r="BE2656" s="13"/>
      <c r="BF2656" s="13"/>
      <c r="BG2656" s="13"/>
      <c r="BH2656" s="13"/>
      <c r="BI2656" s="13"/>
      <c r="BJ2656" s="13"/>
      <c r="BK2656" s="13"/>
      <c r="BL2656" s="13"/>
      <c r="BM2656" s="13"/>
      <c r="BN2656" s="13"/>
      <c r="BO2656" s="13"/>
      <c r="BP2656" s="13"/>
      <c r="BQ2656" s="13"/>
    </row>
    <row r="2657" spans="1:69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  <c r="AG2657" s="13"/>
      <c r="AH2657" s="13"/>
      <c r="AI2657" s="13"/>
      <c r="AJ2657" s="13"/>
      <c r="AK2657" s="13"/>
      <c r="AL2657" s="13"/>
      <c r="AM2657" s="13"/>
      <c r="AN2657" s="13"/>
      <c r="AO2657" s="13"/>
      <c r="AP2657" s="13"/>
      <c r="AQ2657" s="13"/>
      <c r="AR2657" s="13"/>
      <c r="AS2657" s="13"/>
      <c r="AT2657" s="13"/>
      <c r="AU2657" s="13"/>
      <c r="AV2657" s="13"/>
      <c r="AW2657" s="13"/>
      <c r="AX2657" s="13"/>
      <c r="AY2657" s="13"/>
      <c r="AZ2657" s="13"/>
      <c r="BA2657" s="13"/>
      <c r="BB2657" s="13"/>
      <c r="BC2657" s="13"/>
      <c r="BD2657" s="13"/>
      <c r="BE2657" s="13"/>
      <c r="BF2657" s="13"/>
      <c r="BG2657" s="13"/>
      <c r="BH2657" s="13"/>
      <c r="BI2657" s="13"/>
      <c r="BJ2657" s="13"/>
      <c r="BK2657" s="13"/>
      <c r="BL2657" s="13"/>
      <c r="BM2657" s="13"/>
      <c r="BN2657" s="13"/>
      <c r="BO2657" s="13"/>
      <c r="BP2657" s="13"/>
      <c r="BQ2657" s="13"/>
    </row>
    <row r="2658" spans="1:69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  <c r="Q2658" s="13"/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13"/>
      <c r="AG2658" s="13"/>
      <c r="AH2658" s="13"/>
      <c r="AI2658" s="13"/>
      <c r="AJ2658" s="13"/>
      <c r="AK2658" s="13"/>
      <c r="AL2658" s="13"/>
      <c r="AM2658" s="13"/>
      <c r="AN2658" s="13"/>
      <c r="AO2658" s="13"/>
      <c r="AP2658" s="13"/>
      <c r="AQ2658" s="13"/>
      <c r="AR2658" s="13"/>
      <c r="AS2658" s="13"/>
      <c r="AT2658" s="13"/>
      <c r="AU2658" s="13"/>
      <c r="AV2658" s="13"/>
      <c r="AW2658" s="13"/>
      <c r="AX2658" s="13"/>
      <c r="AY2658" s="13"/>
      <c r="AZ2658" s="13"/>
      <c r="BA2658" s="13"/>
      <c r="BB2658" s="13"/>
      <c r="BC2658" s="13"/>
      <c r="BD2658" s="13"/>
      <c r="BE2658" s="13"/>
      <c r="BF2658" s="13"/>
      <c r="BG2658" s="13"/>
      <c r="BH2658" s="13"/>
      <c r="BI2658" s="13"/>
      <c r="BJ2658" s="13"/>
      <c r="BK2658" s="13"/>
      <c r="BL2658" s="13"/>
      <c r="BM2658" s="13"/>
      <c r="BN2658" s="13"/>
      <c r="BO2658" s="13"/>
      <c r="BP2658" s="13"/>
      <c r="BQ2658" s="13"/>
    </row>
    <row r="2659" spans="1:69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  <c r="Q2659" s="13"/>
      <c r="R2659" s="13"/>
      <c r="S2659" s="13"/>
      <c r="T2659" s="13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  <c r="AG2659" s="13"/>
      <c r="AH2659" s="13"/>
      <c r="AI2659" s="13"/>
      <c r="AJ2659" s="13"/>
      <c r="AK2659" s="13"/>
      <c r="AL2659" s="13"/>
      <c r="AM2659" s="13"/>
      <c r="AN2659" s="13"/>
      <c r="AO2659" s="13"/>
      <c r="AP2659" s="13"/>
      <c r="AQ2659" s="13"/>
      <c r="AR2659" s="13"/>
      <c r="AS2659" s="13"/>
      <c r="AT2659" s="13"/>
      <c r="AU2659" s="13"/>
      <c r="AV2659" s="13"/>
      <c r="AW2659" s="13"/>
      <c r="AX2659" s="13"/>
      <c r="AY2659" s="13"/>
      <c r="AZ2659" s="13"/>
      <c r="BA2659" s="13"/>
      <c r="BB2659" s="13"/>
      <c r="BC2659" s="13"/>
      <c r="BD2659" s="13"/>
      <c r="BE2659" s="13"/>
      <c r="BF2659" s="13"/>
      <c r="BG2659" s="13"/>
      <c r="BH2659" s="13"/>
      <c r="BI2659" s="13"/>
      <c r="BJ2659" s="13"/>
      <c r="BK2659" s="13"/>
      <c r="BL2659" s="13"/>
      <c r="BM2659" s="13"/>
      <c r="BN2659" s="13"/>
      <c r="BO2659" s="13"/>
      <c r="BP2659" s="13"/>
      <c r="BQ2659" s="13"/>
    </row>
    <row r="2660" spans="1:69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  <c r="Q2660" s="13"/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/>
      <c r="AH2660" s="13"/>
      <c r="AI2660" s="13"/>
      <c r="AJ2660" s="13"/>
      <c r="AK2660" s="13"/>
      <c r="AL2660" s="13"/>
      <c r="AM2660" s="13"/>
      <c r="AN2660" s="13"/>
      <c r="AO2660" s="13"/>
      <c r="AP2660" s="13"/>
      <c r="AQ2660" s="13"/>
      <c r="AR2660" s="13"/>
      <c r="AS2660" s="13"/>
      <c r="AT2660" s="13"/>
      <c r="AU2660" s="13"/>
      <c r="AV2660" s="13"/>
      <c r="AW2660" s="13"/>
      <c r="AX2660" s="13"/>
      <c r="AY2660" s="13"/>
      <c r="AZ2660" s="13"/>
      <c r="BA2660" s="13"/>
      <c r="BB2660" s="13"/>
      <c r="BC2660" s="13"/>
      <c r="BD2660" s="13"/>
      <c r="BE2660" s="13"/>
      <c r="BF2660" s="13"/>
      <c r="BG2660" s="13"/>
      <c r="BH2660" s="13"/>
      <c r="BI2660" s="13"/>
      <c r="BJ2660" s="13"/>
      <c r="BK2660" s="13"/>
      <c r="BL2660" s="13"/>
      <c r="BM2660" s="13"/>
      <c r="BN2660" s="13"/>
      <c r="BO2660" s="13"/>
      <c r="BP2660" s="13"/>
      <c r="BQ2660" s="13"/>
    </row>
    <row r="2661" spans="1:69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  <c r="Q2661" s="13"/>
      <c r="R2661" s="13"/>
      <c r="S2661" s="13"/>
      <c r="T2661" s="13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/>
      <c r="AH2661" s="13"/>
      <c r="AI2661" s="13"/>
      <c r="AJ2661" s="13"/>
      <c r="AK2661" s="13"/>
      <c r="AL2661" s="13"/>
      <c r="AM2661" s="13"/>
      <c r="AN2661" s="13"/>
      <c r="AO2661" s="13"/>
      <c r="AP2661" s="13"/>
      <c r="AQ2661" s="13"/>
      <c r="AR2661" s="13"/>
      <c r="AS2661" s="13"/>
      <c r="AT2661" s="13"/>
      <c r="AU2661" s="13"/>
      <c r="AV2661" s="13"/>
      <c r="AW2661" s="13"/>
      <c r="AX2661" s="13"/>
      <c r="AY2661" s="13"/>
      <c r="AZ2661" s="13"/>
      <c r="BA2661" s="13"/>
      <c r="BB2661" s="13"/>
      <c r="BC2661" s="13"/>
      <c r="BD2661" s="13"/>
      <c r="BE2661" s="13"/>
      <c r="BF2661" s="13"/>
      <c r="BG2661" s="13"/>
      <c r="BH2661" s="13"/>
      <c r="BI2661" s="13"/>
      <c r="BJ2661" s="13"/>
      <c r="BK2661" s="13"/>
      <c r="BL2661" s="13"/>
      <c r="BM2661" s="13"/>
      <c r="BN2661" s="13"/>
      <c r="BO2661" s="13"/>
      <c r="BP2661" s="13"/>
      <c r="BQ2661" s="13"/>
    </row>
    <row r="2662" spans="1:69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  <c r="Q2662" s="13"/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13"/>
      <c r="AK2662" s="13"/>
      <c r="AL2662" s="13"/>
      <c r="AM2662" s="13"/>
      <c r="AN2662" s="13"/>
      <c r="AO2662" s="13"/>
      <c r="AP2662" s="13"/>
      <c r="AQ2662" s="13"/>
      <c r="AR2662" s="13"/>
      <c r="AS2662" s="13"/>
      <c r="AT2662" s="13"/>
      <c r="AU2662" s="13"/>
      <c r="AV2662" s="13"/>
      <c r="AW2662" s="13"/>
      <c r="AX2662" s="13"/>
      <c r="AY2662" s="13"/>
      <c r="AZ2662" s="13"/>
      <c r="BA2662" s="13"/>
      <c r="BB2662" s="13"/>
      <c r="BC2662" s="13"/>
      <c r="BD2662" s="13"/>
      <c r="BE2662" s="13"/>
      <c r="BF2662" s="13"/>
      <c r="BG2662" s="13"/>
      <c r="BH2662" s="13"/>
      <c r="BI2662" s="13"/>
      <c r="BJ2662" s="13"/>
      <c r="BK2662" s="13"/>
      <c r="BL2662" s="13"/>
      <c r="BM2662" s="13"/>
      <c r="BN2662" s="13"/>
      <c r="BO2662" s="13"/>
      <c r="BP2662" s="13"/>
      <c r="BQ2662" s="13"/>
    </row>
    <row r="2663" spans="1:69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  <c r="Q2663" s="13"/>
      <c r="R2663" s="13"/>
      <c r="S2663" s="13"/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  <c r="AG2663" s="13"/>
      <c r="AH2663" s="13"/>
      <c r="AI2663" s="13"/>
      <c r="AJ2663" s="13"/>
      <c r="AK2663" s="13"/>
      <c r="AL2663" s="13"/>
      <c r="AM2663" s="13"/>
      <c r="AN2663" s="13"/>
      <c r="AO2663" s="13"/>
      <c r="AP2663" s="13"/>
      <c r="AQ2663" s="13"/>
      <c r="AR2663" s="13"/>
      <c r="AS2663" s="13"/>
      <c r="AT2663" s="13"/>
      <c r="AU2663" s="13"/>
      <c r="AV2663" s="13"/>
      <c r="AW2663" s="13"/>
      <c r="AX2663" s="13"/>
      <c r="AY2663" s="13"/>
      <c r="AZ2663" s="13"/>
      <c r="BA2663" s="13"/>
      <c r="BB2663" s="13"/>
      <c r="BC2663" s="13"/>
      <c r="BD2663" s="13"/>
      <c r="BE2663" s="13"/>
      <c r="BF2663" s="13"/>
      <c r="BG2663" s="13"/>
      <c r="BH2663" s="13"/>
      <c r="BI2663" s="13"/>
      <c r="BJ2663" s="13"/>
      <c r="BK2663" s="13"/>
      <c r="BL2663" s="13"/>
      <c r="BM2663" s="13"/>
      <c r="BN2663" s="13"/>
      <c r="BO2663" s="13"/>
      <c r="BP2663" s="13"/>
      <c r="BQ2663" s="13"/>
    </row>
    <row r="2664" spans="1:69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  <c r="Q2664" s="13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  <c r="AQ2664" s="13"/>
      <c r="AR2664" s="13"/>
      <c r="AS2664" s="13"/>
      <c r="AT2664" s="13"/>
      <c r="AU2664" s="13"/>
      <c r="AV2664" s="13"/>
      <c r="AW2664" s="13"/>
      <c r="AX2664" s="13"/>
      <c r="AY2664" s="13"/>
      <c r="AZ2664" s="13"/>
      <c r="BA2664" s="13"/>
      <c r="BB2664" s="13"/>
      <c r="BC2664" s="13"/>
      <c r="BD2664" s="13"/>
      <c r="BE2664" s="13"/>
      <c r="BF2664" s="13"/>
      <c r="BG2664" s="13"/>
      <c r="BH2664" s="13"/>
      <c r="BI2664" s="13"/>
      <c r="BJ2664" s="13"/>
      <c r="BK2664" s="13"/>
      <c r="BL2664" s="13"/>
      <c r="BM2664" s="13"/>
      <c r="BN2664" s="13"/>
      <c r="BO2664" s="13"/>
      <c r="BP2664" s="13"/>
      <c r="BQ2664" s="13"/>
    </row>
    <row r="2665" spans="1:69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  <c r="Q2665" s="13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/>
      <c r="AH2665" s="13"/>
      <c r="AI2665" s="13"/>
      <c r="AJ2665" s="13"/>
      <c r="AK2665" s="13"/>
      <c r="AL2665" s="13"/>
      <c r="AM2665" s="13"/>
      <c r="AN2665" s="13"/>
      <c r="AO2665" s="13"/>
      <c r="AP2665" s="13"/>
      <c r="AQ2665" s="13"/>
      <c r="AR2665" s="13"/>
      <c r="AS2665" s="13"/>
      <c r="AT2665" s="13"/>
      <c r="AU2665" s="13"/>
      <c r="AV2665" s="13"/>
      <c r="AW2665" s="13"/>
      <c r="AX2665" s="13"/>
      <c r="AY2665" s="13"/>
      <c r="AZ2665" s="13"/>
      <c r="BA2665" s="13"/>
      <c r="BB2665" s="13"/>
      <c r="BC2665" s="13"/>
      <c r="BD2665" s="13"/>
      <c r="BE2665" s="13"/>
      <c r="BF2665" s="13"/>
      <c r="BG2665" s="13"/>
      <c r="BH2665" s="13"/>
      <c r="BI2665" s="13"/>
      <c r="BJ2665" s="13"/>
      <c r="BK2665" s="13"/>
      <c r="BL2665" s="13"/>
      <c r="BM2665" s="13"/>
      <c r="BN2665" s="13"/>
      <c r="BO2665" s="13"/>
      <c r="BP2665" s="13"/>
      <c r="BQ2665" s="13"/>
    </row>
    <row r="2666" spans="1:69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  <c r="Q2666" s="13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/>
      <c r="AH2666" s="13"/>
      <c r="AI2666" s="13"/>
      <c r="AJ2666" s="13"/>
      <c r="AK2666" s="13"/>
      <c r="AL2666" s="13"/>
      <c r="AM2666" s="13"/>
      <c r="AN2666" s="13"/>
      <c r="AO2666" s="13"/>
      <c r="AP2666" s="13"/>
      <c r="AQ2666" s="13"/>
      <c r="AR2666" s="13"/>
      <c r="AS2666" s="13"/>
      <c r="AT2666" s="13"/>
      <c r="AU2666" s="13"/>
      <c r="AV2666" s="13"/>
      <c r="AW2666" s="13"/>
      <c r="AX2666" s="13"/>
      <c r="AY2666" s="13"/>
      <c r="AZ2666" s="13"/>
      <c r="BA2666" s="13"/>
      <c r="BB2666" s="13"/>
      <c r="BC2666" s="13"/>
      <c r="BD2666" s="13"/>
      <c r="BE2666" s="13"/>
      <c r="BF2666" s="13"/>
      <c r="BG2666" s="13"/>
      <c r="BH2666" s="13"/>
      <c r="BI2666" s="13"/>
      <c r="BJ2666" s="13"/>
      <c r="BK2666" s="13"/>
      <c r="BL2666" s="13"/>
      <c r="BM2666" s="13"/>
      <c r="BN2666" s="13"/>
      <c r="BO2666" s="13"/>
      <c r="BP2666" s="13"/>
      <c r="BQ2666" s="13"/>
    </row>
    <row r="2667" spans="1:69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  <c r="Q2667" s="13"/>
      <c r="R2667" s="13"/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  <c r="AG2667" s="13"/>
      <c r="AH2667" s="13"/>
      <c r="AI2667" s="13"/>
      <c r="AJ2667" s="13"/>
      <c r="AK2667" s="13"/>
      <c r="AL2667" s="13"/>
      <c r="AM2667" s="13"/>
      <c r="AN2667" s="13"/>
      <c r="AO2667" s="13"/>
      <c r="AP2667" s="13"/>
      <c r="AQ2667" s="13"/>
      <c r="AR2667" s="13"/>
      <c r="AS2667" s="13"/>
      <c r="AT2667" s="13"/>
      <c r="AU2667" s="13"/>
      <c r="AV2667" s="13"/>
      <c r="AW2667" s="13"/>
      <c r="AX2667" s="13"/>
      <c r="AY2667" s="13"/>
      <c r="AZ2667" s="13"/>
      <c r="BA2667" s="13"/>
      <c r="BB2667" s="13"/>
      <c r="BC2667" s="13"/>
      <c r="BD2667" s="13"/>
      <c r="BE2667" s="13"/>
      <c r="BF2667" s="13"/>
      <c r="BG2667" s="13"/>
      <c r="BH2667" s="13"/>
      <c r="BI2667" s="13"/>
      <c r="BJ2667" s="13"/>
      <c r="BK2667" s="13"/>
      <c r="BL2667" s="13"/>
      <c r="BM2667" s="13"/>
      <c r="BN2667" s="13"/>
      <c r="BO2667" s="13"/>
      <c r="BP2667" s="13"/>
      <c r="BQ2667" s="13"/>
    </row>
    <row r="2668" spans="1:69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/>
      <c r="AH2668" s="13"/>
      <c r="AI2668" s="13"/>
      <c r="AJ2668" s="13"/>
      <c r="AK2668" s="13"/>
      <c r="AL2668" s="13"/>
      <c r="AM2668" s="13"/>
      <c r="AN2668" s="13"/>
      <c r="AO2668" s="13"/>
      <c r="AP2668" s="13"/>
      <c r="AQ2668" s="13"/>
      <c r="AR2668" s="13"/>
      <c r="AS2668" s="13"/>
      <c r="AT2668" s="13"/>
      <c r="AU2668" s="13"/>
      <c r="AV2668" s="13"/>
      <c r="AW2668" s="13"/>
      <c r="AX2668" s="13"/>
      <c r="AY2668" s="13"/>
      <c r="AZ2668" s="13"/>
      <c r="BA2668" s="13"/>
      <c r="BB2668" s="13"/>
      <c r="BC2668" s="13"/>
      <c r="BD2668" s="13"/>
      <c r="BE2668" s="13"/>
      <c r="BF2668" s="13"/>
      <c r="BG2668" s="13"/>
      <c r="BH2668" s="13"/>
      <c r="BI2668" s="13"/>
      <c r="BJ2668" s="13"/>
      <c r="BK2668" s="13"/>
      <c r="BL2668" s="13"/>
      <c r="BM2668" s="13"/>
      <c r="BN2668" s="13"/>
      <c r="BO2668" s="13"/>
      <c r="BP2668" s="13"/>
      <c r="BQ2668" s="13"/>
    </row>
    <row r="2669" spans="1:69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  <c r="Q2669" s="13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/>
      <c r="AH2669" s="13"/>
      <c r="AI2669" s="13"/>
      <c r="AJ2669" s="13"/>
      <c r="AK2669" s="13"/>
      <c r="AL2669" s="13"/>
      <c r="AM2669" s="13"/>
      <c r="AN2669" s="13"/>
      <c r="AO2669" s="13"/>
      <c r="AP2669" s="13"/>
      <c r="AQ2669" s="13"/>
      <c r="AR2669" s="13"/>
      <c r="AS2669" s="13"/>
      <c r="AT2669" s="13"/>
      <c r="AU2669" s="13"/>
      <c r="AV2669" s="13"/>
      <c r="AW2669" s="13"/>
      <c r="AX2669" s="13"/>
      <c r="AY2669" s="13"/>
      <c r="AZ2669" s="13"/>
      <c r="BA2669" s="13"/>
      <c r="BB2669" s="13"/>
      <c r="BC2669" s="13"/>
      <c r="BD2669" s="13"/>
      <c r="BE2669" s="13"/>
      <c r="BF2669" s="13"/>
      <c r="BG2669" s="13"/>
      <c r="BH2669" s="13"/>
      <c r="BI2669" s="13"/>
      <c r="BJ2669" s="13"/>
      <c r="BK2669" s="13"/>
      <c r="BL2669" s="13"/>
      <c r="BM2669" s="13"/>
      <c r="BN2669" s="13"/>
      <c r="BO2669" s="13"/>
      <c r="BP2669" s="13"/>
      <c r="BQ2669" s="13"/>
    </row>
    <row r="2670" spans="1:69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/>
      <c r="AH2670" s="13"/>
      <c r="AI2670" s="13"/>
      <c r="AJ2670" s="13"/>
      <c r="AK2670" s="13"/>
      <c r="AL2670" s="13"/>
      <c r="AM2670" s="13"/>
      <c r="AN2670" s="13"/>
      <c r="AO2670" s="13"/>
      <c r="AP2670" s="13"/>
      <c r="AQ2670" s="13"/>
      <c r="AR2670" s="13"/>
      <c r="AS2670" s="13"/>
      <c r="AT2670" s="13"/>
      <c r="AU2670" s="13"/>
      <c r="AV2670" s="13"/>
      <c r="AW2670" s="13"/>
      <c r="AX2670" s="13"/>
      <c r="AY2670" s="13"/>
      <c r="AZ2670" s="13"/>
      <c r="BA2670" s="13"/>
      <c r="BB2670" s="13"/>
      <c r="BC2670" s="13"/>
      <c r="BD2670" s="13"/>
      <c r="BE2670" s="13"/>
      <c r="BF2670" s="13"/>
      <c r="BG2670" s="13"/>
      <c r="BH2670" s="13"/>
      <c r="BI2670" s="13"/>
      <c r="BJ2670" s="13"/>
      <c r="BK2670" s="13"/>
      <c r="BL2670" s="13"/>
      <c r="BM2670" s="13"/>
      <c r="BN2670" s="13"/>
      <c r="BO2670" s="13"/>
      <c r="BP2670" s="13"/>
      <c r="BQ2670" s="13"/>
    </row>
    <row r="2671" spans="1:69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  <c r="Q2671" s="13"/>
      <c r="R2671" s="13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/>
      <c r="AH2671" s="13"/>
      <c r="AI2671" s="13"/>
      <c r="AJ2671" s="13"/>
      <c r="AK2671" s="13"/>
      <c r="AL2671" s="13"/>
      <c r="AM2671" s="13"/>
      <c r="AN2671" s="13"/>
      <c r="AO2671" s="13"/>
      <c r="AP2671" s="13"/>
      <c r="AQ2671" s="13"/>
      <c r="AR2671" s="13"/>
      <c r="AS2671" s="13"/>
      <c r="AT2671" s="13"/>
      <c r="AU2671" s="13"/>
      <c r="AV2671" s="13"/>
      <c r="AW2671" s="13"/>
      <c r="AX2671" s="13"/>
      <c r="AY2671" s="13"/>
      <c r="AZ2671" s="13"/>
      <c r="BA2671" s="13"/>
      <c r="BB2671" s="13"/>
      <c r="BC2671" s="13"/>
      <c r="BD2671" s="13"/>
      <c r="BE2671" s="13"/>
      <c r="BF2671" s="13"/>
      <c r="BG2671" s="13"/>
      <c r="BH2671" s="13"/>
      <c r="BI2671" s="13"/>
      <c r="BJ2671" s="13"/>
      <c r="BK2671" s="13"/>
      <c r="BL2671" s="13"/>
      <c r="BM2671" s="13"/>
      <c r="BN2671" s="13"/>
      <c r="BO2671" s="13"/>
      <c r="BP2671" s="13"/>
      <c r="BQ2671" s="13"/>
    </row>
    <row r="2672" spans="1:69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  <c r="Q2672" s="13"/>
      <c r="R2672" s="13"/>
      <c r="S2672" s="13"/>
      <c r="T2672" s="13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  <c r="AG2672" s="13"/>
      <c r="AH2672" s="13"/>
      <c r="AI2672" s="13"/>
      <c r="AJ2672" s="13"/>
      <c r="AK2672" s="13"/>
      <c r="AL2672" s="13"/>
      <c r="AM2672" s="13"/>
      <c r="AN2672" s="13"/>
      <c r="AO2672" s="13"/>
      <c r="AP2672" s="13"/>
      <c r="AQ2672" s="13"/>
      <c r="AR2672" s="13"/>
      <c r="AS2672" s="13"/>
      <c r="AT2672" s="13"/>
      <c r="AU2672" s="13"/>
      <c r="AV2672" s="13"/>
      <c r="AW2672" s="13"/>
      <c r="AX2672" s="13"/>
      <c r="AY2672" s="13"/>
      <c r="AZ2672" s="13"/>
      <c r="BA2672" s="13"/>
      <c r="BB2672" s="13"/>
      <c r="BC2672" s="13"/>
      <c r="BD2672" s="13"/>
      <c r="BE2672" s="13"/>
      <c r="BF2672" s="13"/>
      <c r="BG2672" s="13"/>
      <c r="BH2672" s="13"/>
      <c r="BI2672" s="13"/>
      <c r="BJ2672" s="13"/>
      <c r="BK2672" s="13"/>
      <c r="BL2672" s="13"/>
      <c r="BM2672" s="13"/>
      <c r="BN2672" s="13"/>
      <c r="BO2672" s="13"/>
      <c r="BP2672" s="13"/>
      <c r="BQ2672" s="13"/>
    </row>
    <row r="2673" spans="1:69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  <c r="Q2673" s="13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/>
      <c r="AH2673" s="13"/>
      <c r="AI2673" s="13"/>
      <c r="AJ2673" s="13"/>
      <c r="AK2673" s="13"/>
      <c r="AL2673" s="13"/>
      <c r="AM2673" s="13"/>
      <c r="AN2673" s="13"/>
      <c r="AO2673" s="13"/>
      <c r="AP2673" s="13"/>
      <c r="AQ2673" s="13"/>
      <c r="AR2673" s="13"/>
      <c r="AS2673" s="13"/>
      <c r="AT2673" s="13"/>
      <c r="AU2673" s="13"/>
      <c r="AV2673" s="13"/>
      <c r="AW2673" s="13"/>
      <c r="AX2673" s="13"/>
      <c r="AY2673" s="13"/>
      <c r="AZ2673" s="13"/>
      <c r="BA2673" s="13"/>
      <c r="BB2673" s="13"/>
      <c r="BC2673" s="13"/>
      <c r="BD2673" s="13"/>
      <c r="BE2673" s="13"/>
      <c r="BF2673" s="13"/>
      <c r="BG2673" s="13"/>
      <c r="BH2673" s="13"/>
      <c r="BI2673" s="13"/>
      <c r="BJ2673" s="13"/>
      <c r="BK2673" s="13"/>
      <c r="BL2673" s="13"/>
      <c r="BM2673" s="13"/>
      <c r="BN2673" s="13"/>
      <c r="BO2673" s="13"/>
      <c r="BP2673" s="13"/>
      <c r="BQ2673" s="13"/>
    </row>
    <row r="2674" spans="1:69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  <c r="Q2674" s="13"/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/>
      <c r="AH2674" s="13"/>
      <c r="AI2674" s="13"/>
      <c r="AJ2674" s="13"/>
      <c r="AK2674" s="13"/>
      <c r="AL2674" s="13"/>
      <c r="AM2674" s="13"/>
      <c r="AN2674" s="13"/>
      <c r="AO2674" s="13"/>
      <c r="AP2674" s="13"/>
      <c r="AQ2674" s="13"/>
      <c r="AR2674" s="13"/>
      <c r="AS2674" s="13"/>
      <c r="AT2674" s="13"/>
      <c r="AU2674" s="13"/>
      <c r="AV2674" s="13"/>
      <c r="AW2674" s="13"/>
      <c r="AX2674" s="13"/>
      <c r="AY2674" s="13"/>
      <c r="AZ2674" s="13"/>
      <c r="BA2674" s="13"/>
      <c r="BB2674" s="13"/>
      <c r="BC2674" s="13"/>
      <c r="BD2674" s="13"/>
      <c r="BE2674" s="13"/>
      <c r="BF2674" s="13"/>
      <c r="BG2674" s="13"/>
      <c r="BH2674" s="13"/>
      <c r="BI2674" s="13"/>
      <c r="BJ2674" s="13"/>
      <c r="BK2674" s="13"/>
      <c r="BL2674" s="13"/>
      <c r="BM2674" s="13"/>
      <c r="BN2674" s="13"/>
      <c r="BO2674" s="13"/>
      <c r="BP2674" s="13"/>
      <c r="BQ2674" s="13"/>
    </row>
    <row r="2675" spans="1:69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  <c r="Q2675" s="13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  <c r="AG2675" s="13"/>
      <c r="AH2675" s="13"/>
      <c r="AI2675" s="13"/>
      <c r="AJ2675" s="13"/>
      <c r="AK2675" s="13"/>
      <c r="AL2675" s="13"/>
      <c r="AM2675" s="13"/>
      <c r="AN2675" s="13"/>
      <c r="AO2675" s="13"/>
      <c r="AP2675" s="13"/>
      <c r="AQ2675" s="13"/>
      <c r="AR2675" s="13"/>
      <c r="AS2675" s="13"/>
      <c r="AT2675" s="13"/>
      <c r="AU2675" s="13"/>
      <c r="AV2675" s="13"/>
      <c r="AW2675" s="13"/>
      <c r="AX2675" s="13"/>
      <c r="AY2675" s="13"/>
      <c r="AZ2675" s="13"/>
      <c r="BA2675" s="13"/>
      <c r="BB2675" s="13"/>
      <c r="BC2675" s="13"/>
      <c r="BD2675" s="13"/>
      <c r="BE2675" s="13"/>
      <c r="BF2675" s="13"/>
      <c r="BG2675" s="13"/>
      <c r="BH2675" s="13"/>
      <c r="BI2675" s="13"/>
      <c r="BJ2675" s="13"/>
      <c r="BK2675" s="13"/>
      <c r="BL2675" s="13"/>
      <c r="BM2675" s="13"/>
      <c r="BN2675" s="13"/>
      <c r="BO2675" s="13"/>
      <c r="BP2675" s="13"/>
      <c r="BQ2675" s="13"/>
    </row>
    <row r="2676" spans="1:69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  <c r="Q2676" s="13"/>
      <c r="R2676" s="13"/>
      <c r="S2676" s="13"/>
      <c r="T2676" s="13"/>
      <c r="U2676" s="13"/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  <c r="AG2676" s="13"/>
      <c r="AH2676" s="13"/>
      <c r="AI2676" s="13"/>
      <c r="AJ2676" s="13"/>
      <c r="AK2676" s="13"/>
      <c r="AL2676" s="13"/>
      <c r="AM2676" s="13"/>
      <c r="AN2676" s="13"/>
      <c r="AO2676" s="13"/>
      <c r="AP2676" s="13"/>
      <c r="AQ2676" s="13"/>
      <c r="AR2676" s="13"/>
      <c r="AS2676" s="13"/>
      <c r="AT2676" s="13"/>
      <c r="AU2676" s="13"/>
      <c r="AV2676" s="13"/>
      <c r="AW2676" s="13"/>
      <c r="AX2676" s="13"/>
      <c r="AY2676" s="13"/>
      <c r="AZ2676" s="13"/>
      <c r="BA2676" s="13"/>
      <c r="BB2676" s="13"/>
      <c r="BC2676" s="13"/>
      <c r="BD2676" s="13"/>
      <c r="BE2676" s="13"/>
      <c r="BF2676" s="13"/>
      <c r="BG2676" s="13"/>
      <c r="BH2676" s="13"/>
      <c r="BI2676" s="13"/>
      <c r="BJ2676" s="13"/>
      <c r="BK2676" s="13"/>
      <c r="BL2676" s="13"/>
      <c r="BM2676" s="13"/>
      <c r="BN2676" s="13"/>
      <c r="BO2676" s="13"/>
      <c r="BP2676" s="13"/>
      <c r="BQ2676" s="13"/>
    </row>
    <row r="2677" spans="1:69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  <c r="Q2677" s="13"/>
      <c r="R2677" s="13"/>
      <c r="S2677" s="13"/>
      <c r="T2677" s="13"/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  <c r="AG2677" s="13"/>
      <c r="AH2677" s="13"/>
      <c r="AI2677" s="13"/>
      <c r="AJ2677" s="13"/>
      <c r="AK2677" s="13"/>
      <c r="AL2677" s="13"/>
      <c r="AM2677" s="13"/>
      <c r="AN2677" s="13"/>
      <c r="AO2677" s="13"/>
      <c r="AP2677" s="13"/>
      <c r="AQ2677" s="13"/>
      <c r="AR2677" s="13"/>
      <c r="AS2677" s="13"/>
      <c r="AT2677" s="13"/>
      <c r="AU2677" s="13"/>
      <c r="AV2677" s="13"/>
      <c r="AW2677" s="13"/>
      <c r="AX2677" s="13"/>
      <c r="AY2677" s="13"/>
      <c r="AZ2677" s="13"/>
      <c r="BA2677" s="13"/>
      <c r="BB2677" s="13"/>
      <c r="BC2677" s="13"/>
      <c r="BD2677" s="13"/>
      <c r="BE2677" s="13"/>
      <c r="BF2677" s="13"/>
      <c r="BG2677" s="13"/>
      <c r="BH2677" s="13"/>
      <c r="BI2677" s="13"/>
      <c r="BJ2677" s="13"/>
      <c r="BK2677" s="13"/>
      <c r="BL2677" s="13"/>
      <c r="BM2677" s="13"/>
      <c r="BN2677" s="13"/>
      <c r="BO2677" s="13"/>
      <c r="BP2677" s="13"/>
      <c r="BQ2677" s="13"/>
    </row>
    <row r="2678" spans="1:69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  <c r="Q2678" s="13"/>
      <c r="R2678" s="13"/>
      <c r="S2678" s="13"/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/>
      <c r="AH2678" s="13"/>
      <c r="AI2678" s="13"/>
      <c r="AJ2678" s="13"/>
      <c r="AK2678" s="13"/>
      <c r="AL2678" s="13"/>
      <c r="AM2678" s="13"/>
      <c r="AN2678" s="13"/>
      <c r="AO2678" s="13"/>
      <c r="AP2678" s="13"/>
      <c r="AQ2678" s="13"/>
      <c r="AR2678" s="13"/>
      <c r="AS2678" s="13"/>
      <c r="AT2678" s="13"/>
      <c r="AU2678" s="13"/>
      <c r="AV2678" s="13"/>
      <c r="AW2678" s="13"/>
      <c r="AX2678" s="13"/>
      <c r="AY2678" s="13"/>
      <c r="AZ2678" s="13"/>
      <c r="BA2678" s="13"/>
      <c r="BB2678" s="13"/>
      <c r="BC2678" s="13"/>
      <c r="BD2678" s="13"/>
      <c r="BE2678" s="13"/>
      <c r="BF2678" s="13"/>
      <c r="BG2678" s="13"/>
      <c r="BH2678" s="13"/>
      <c r="BI2678" s="13"/>
      <c r="BJ2678" s="13"/>
      <c r="BK2678" s="13"/>
      <c r="BL2678" s="13"/>
      <c r="BM2678" s="13"/>
      <c r="BN2678" s="13"/>
      <c r="BO2678" s="13"/>
      <c r="BP2678" s="13"/>
      <c r="BQ2678" s="13"/>
    </row>
    <row r="2679" spans="1:69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/>
      <c r="AH2679" s="13"/>
      <c r="AI2679" s="13"/>
      <c r="AJ2679" s="13"/>
      <c r="AK2679" s="13"/>
      <c r="AL2679" s="13"/>
      <c r="AM2679" s="13"/>
      <c r="AN2679" s="13"/>
      <c r="AO2679" s="13"/>
      <c r="AP2679" s="13"/>
      <c r="AQ2679" s="13"/>
      <c r="AR2679" s="13"/>
      <c r="AS2679" s="13"/>
      <c r="AT2679" s="13"/>
      <c r="AU2679" s="13"/>
      <c r="AV2679" s="13"/>
      <c r="AW2679" s="13"/>
      <c r="AX2679" s="13"/>
      <c r="AY2679" s="13"/>
      <c r="AZ2679" s="13"/>
      <c r="BA2679" s="13"/>
      <c r="BB2679" s="13"/>
      <c r="BC2679" s="13"/>
      <c r="BD2679" s="13"/>
      <c r="BE2679" s="13"/>
      <c r="BF2679" s="13"/>
      <c r="BG2679" s="13"/>
      <c r="BH2679" s="13"/>
      <c r="BI2679" s="13"/>
      <c r="BJ2679" s="13"/>
      <c r="BK2679" s="13"/>
      <c r="BL2679" s="13"/>
      <c r="BM2679" s="13"/>
      <c r="BN2679" s="13"/>
      <c r="BO2679" s="13"/>
      <c r="BP2679" s="13"/>
      <c r="BQ2679" s="13"/>
    </row>
    <row r="2680" spans="1:69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  <c r="Q2680" s="13"/>
      <c r="R2680" s="13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  <c r="AG2680" s="13"/>
      <c r="AH2680" s="13"/>
      <c r="AI2680" s="13"/>
      <c r="AJ2680" s="13"/>
      <c r="AK2680" s="13"/>
      <c r="AL2680" s="13"/>
      <c r="AM2680" s="13"/>
      <c r="AN2680" s="13"/>
      <c r="AO2680" s="13"/>
      <c r="AP2680" s="13"/>
      <c r="AQ2680" s="13"/>
      <c r="AR2680" s="13"/>
      <c r="AS2680" s="13"/>
      <c r="AT2680" s="13"/>
      <c r="AU2680" s="13"/>
      <c r="AV2680" s="13"/>
      <c r="AW2680" s="13"/>
      <c r="AX2680" s="13"/>
      <c r="AY2680" s="13"/>
      <c r="AZ2680" s="13"/>
      <c r="BA2680" s="13"/>
      <c r="BB2680" s="13"/>
      <c r="BC2680" s="13"/>
      <c r="BD2680" s="13"/>
      <c r="BE2680" s="13"/>
      <c r="BF2680" s="13"/>
      <c r="BG2680" s="13"/>
      <c r="BH2680" s="13"/>
      <c r="BI2680" s="13"/>
      <c r="BJ2680" s="13"/>
      <c r="BK2680" s="13"/>
      <c r="BL2680" s="13"/>
      <c r="BM2680" s="13"/>
      <c r="BN2680" s="13"/>
      <c r="BO2680" s="13"/>
      <c r="BP2680" s="13"/>
      <c r="BQ2680" s="13"/>
    </row>
    <row r="2681" spans="1:69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  <c r="Q2681" s="13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  <c r="AG2681" s="13"/>
      <c r="AH2681" s="13"/>
      <c r="AI2681" s="13"/>
      <c r="AJ2681" s="13"/>
      <c r="AK2681" s="13"/>
      <c r="AL2681" s="13"/>
      <c r="AM2681" s="13"/>
      <c r="AN2681" s="13"/>
      <c r="AO2681" s="13"/>
      <c r="AP2681" s="13"/>
      <c r="AQ2681" s="13"/>
      <c r="AR2681" s="13"/>
      <c r="AS2681" s="13"/>
      <c r="AT2681" s="13"/>
      <c r="AU2681" s="13"/>
      <c r="AV2681" s="13"/>
      <c r="AW2681" s="13"/>
      <c r="AX2681" s="13"/>
      <c r="AY2681" s="13"/>
      <c r="AZ2681" s="13"/>
      <c r="BA2681" s="13"/>
      <c r="BB2681" s="13"/>
      <c r="BC2681" s="13"/>
      <c r="BD2681" s="13"/>
      <c r="BE2681" s="13"/>
      <c r="BF2681" s="13"/>
      <c r="BG2681" s="13"/>
      <c r="BH2681" s="13"/>
      <c r="BI2681" s="13"/>
      <c r="BJ2681" s="13"/>
      <c r="BK2681" s="13"/>
      <c r="BL2681" s="13"/>
      <c r="BM2681" s="13"/>
      <c r="BN2681" s="13"/>
      <c r="BO2681" s="13"/>
      <c r="BP2681" s="13"/>
      <c r="BQ2681" s="13"/>
    </row>
    <row r="2682" spans="1:69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3"/>
      <c r="R2682" s="13"/>
      <c r="S2682" s="13"/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  <c r="AG2682" s="13"/>
      <c r="AH2682" s="13"/>
      <c r="AI2682" s="13"/>
      <c r="AJ2682" s="13"/>
      <c r="AK2682" s="13"/>
      <c r="AL2682" s="13"/>
      <c r="AM2682" s="13"/>
      <c r="AN2682" s="13"/>
      <c r="AO2682" s="13"/>
      <c r="AP2682" s="13"/>
      <c r="AQ2682" s="13"/>
      <c r="AR2682" s="13"/>
      <c r="AS2682" s="13"/>
      <c r="AT2682" s="13"/>
      <c r="AU2682" s="13"/>
      <c r="AV2682" s="13"/>
      <c r="AW2682" s="13"/>
      <c r="AX2682" s="13"/>
      <c r="AY2682" s="13"/>
      <c r="AZ2682" s="13"/>
      <c r="BA2682" s="13"/>
      <c r="BB2682" s="13"/>
      <c r="BC2682" s="13"/>
      <c r="BD2682" s="13"/>
      <c r="BE2682" s="13"/>
      <c r="BF2682" s="13"/>
      <c r="BG2682" s="13"/>
      <c r="BH2682" s="13"/>
      <c r="BI2682" s="13"/>
      <c r="BJ2682" s="13"/>
      <c r="BK2682" s="13"/>
      <c r="BL2682" s="13"/>
      <c r="BM2682" s="13"/>
      <c r="BN2682" s="13"/>
      <c r="BO2682" s="13"/>
      <c r="BP2682" s="13"/>
      <c r="BQ2682" s="13"/>
    </row>
    <row r="2683" spans="1:69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  <c r="Q2683" s="13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  <c r="AG2683" s="13"/>
      <c r="AH2683" s="13"/>
      <c r="AI2683" s="13"/>
      <c r="AJ2683" s="13"/>
      <c r="AK2683" s="13"/>
      <c r="AL2683" s="13"/>
      <c r="AM2683" s="13"/>
      <c r="AN2683" s="13"/>
      <c r="AO2683" s="13"/>
      <c r="AP2683" s="13"/>
      <c r="AQ2683" s="13"/>
      <c r="AR2683" s="13"/>
      <c r="AS2683" s="13"/>
      <c r="AT2683" s="13"/>
      <c r="AU2683" s="13"/>
      <c r="AV2683" s="13"/>
      <c r="AW2683" s="13"/>
      <c r="AX2683" s="13"/>
      <c r="AY2683" s="13"/>
      <c r="AZ2683" s="13"/>
      <c r="BA2683" s="13"/>
      <c r="BB2683" s="13"/>
      <c r="BC2683" s="13"/>
      <c r="BD2683" s="13"/>
      <c r="BE2683" s="13"/>
      <c r="BF2683" s="13"/>
      <c r="BG2683" s="13"/>
      <c r="BH2683" s="13"/>
      <c r="BI2683" s="13"/>
      <c r="BJ2683" s="13"/>
      <c r="BK2683" s="13"/>
      <c r="BL2683" s="13"/>
      <c r="BM2683" s="13"/>
      <c r="BN2683" s="13"/>
      <c r="BO2683" s="13"/>
      <c r="BP2683" s="13"/>
      <c r="BQ2683" s="13"/>
    </row>
    <row r="2684" spans="1:69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  <c r="Q2684" s="13"/>
      <c r="R2684" s="13"/>
      <c r="S2684" s="13"/>
      <c r="T2684" s="13"/>
      <c r="U2684" s="13"/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  <c r="AG2684" s="13"/>
      <c r="AH2684" s="13"/>
      <c r="AI2684" s="13"/>
      <c r="AJ2684" s="13"/>
      <c r="AK2684" s="13"/>
      <c r="AL2684" s="13"/>
      <c r="AM2684" s="13"/>
      <c r="AN2684" s="13"/>
      <c r="AO2684" s="13"/>
      <c r="AP2684" s="13"/>
      <c r="AQ2684" s="13"/>
      <c r="AR2684" s="13"/>
      <c r="AS2684" s="13"/>
      <c r="AT2684" s="13"/>
      <c r="AU2684" s="13"/>
      <c r="AV2684" s="13"/>
      <c r="AW2684" s="13"/>
      <c r="AX2684" s="13"/>
      <c r="AY2684" s="13"/>
      <c r="AZ2684" s="13"/>
      <c r="BA2684" s="13"/>
      <c r="BB2684" s="13"/>
      <c r="BC2684" s="13"/>
      <c r="BD2684" s="13"/>
      <c r="BE2684" s="13"/>
      <c r="BF2684" s="13"/>
      <c r="BG2684" s="13"/>
      <c r="BH2684" s="13"/>
      <c r="BI2684" s="13"/>
      <c r="BJ2684" s="13"/>
      <c r="BK2684" s="13"/>
      <c r="BL2684" s="13"/>
      <c r="BM2684" s="13"/>
      <c r="BN2684" s="13"/>
      <c r="BO2684" s="13"/>
      <c r="BP2684" s="13"/>
      <c r="BQ2684" s="13"/>
    </row>
    <row r="2685" spans="1:69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3"/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  <c r="AG2685" s="13"/>
      <c r="AH2685" s="13"/>
      <c r="AI2685" s="13"/>
      <c r="AJ2685" s="13"/>
      <c r="AK2685" s="13"/>
      <c r="AL2685" s="13"/>
      <c r="AM2685" s="13"/>
      <c r="AN2685" s="13"/>
      <c r="AO2685" s="13"/>
      <c r="AP2685" s="13"/>
      <c r="AQ2685" s="13"/>
      <c r="AR2685" s="13"/>
      <c r="AS2685" s="13"/>
      <c r="AT2685" s="13"/>
      <c r="AU2685" s="13"/>
      <c r="AV2685" s="13"/>
      <c r="AW2685" s="13"/>
      <c r="AX2685" s="13"/>
      <c r="AY2685" s="13"/>
      <c r="AZ2685" s="13"/>
      <c r="BA2685" s="13"/>
      <c r="BB2685" s="13"/>
      <c r="BC2685" s="13"/>
      <c r="BD2685" s="13"/>
      <c r="BE2685" s="13"/>
      <c r="BF2685" s="13"/>
      <c r="BG2685" s="13"/>
      <c r="BH2685" s="13"/>
      <c r="BI2685" s="13"/>
      <c r="BJ2685" s="13"/>
      <c r="BK2685" s="13"/>
      <c r="BL2685" s="13"/>
      <c r="BM2685" s="13"/>
      <c r="BN2685" s="13"/>
      <c r="BO2685" s="13"/>
      <c r="BP2685" s="13"/>
      <c r="BQ2685" s="13"/>
    </row>
    <row r="2686" spans="1:69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  <c r="Q2686" s="13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/>
      <c r="AH2686" s="13"/>
      <c r="AI2686" s="13"/>
      <c r="AJ2686" s="13"/>
      <c r="AK2686" s="13"/>
      <c r="AL2686" s="13"/>
      <c r="AM2686" s="13"/>
      <c r="AN2686" s="13"/>
      <c r="AO2686" s="13"/>
      <c r="AP2686" s="13"/>
      <c r="AQ2686" s="13"/>
      <c r="AR2686" s="13"/>
      <c r="AS2686" s="13"/>
      <c r="AT2686" s="13"/>
      <c r="AU2686" s="13"/>
      <c r="AV2686" s="13"/>
      <c r="AW2686" s="13"/>
      <c r="AX2686" s="13"/>
      <c r="AY2686" s="13"/>
      <c r="AZ2686" s="13"/>
      <c r="BA2686" s="13"/>
      <c r="BB2686" s="13"/>
      <c r="BC2686" s="13"/>
      <c r="BD2686" s="13"/>
      <c r="BE2686" s="13"/>
      <c r="BF2686" s="13"/>
      <c r="BG2686" s="13"/>
      <c r="BH2686" s="13"/>
      <c r="BI2686" s="13"/>
      <c r="BJ2686" s="13"/>
      <c r="BK2686" s="13"/>
      <c r="BL2686" s="13"/>
      <c r="BM2686" s="13"/>
      <c r="BN2686" s="13"/>
      <c r="BO2686" s="13"/>
      <c r="BP2686" s="13"/>
      <c r="BQ2686" s="13"/>
    </row>
    <row r="2687" spans="1:69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  <c r="AG2687" s="13"/>
      <c r="AH2687" s="13"/>
      <c r="AI2687" s="13"/>
      <c r="AJ2687" s="13"/>
      <c r="AK2687" s="13"/>
      <c r="AL2687" s="13"/>
      <c r="AM2687" s="13"/>
      <c r="AN2687" s="13"/>
      <c r="AO2687" s="13"/>
      <c r="AP2687" s="13"/>
      <c r="AQ2687" s="13"/>
      <c r="AR2687" s="13"/>
      <c r="AS2687" s="13"/>
      <c r="AT2687" s="13"/>
      <c r="AU2687" s="13"/>
      <c r="AV2687" s="13"/>
      <c r="AW2687" s="13"/>
      <c r="AX2687" s="13"/>
      <c r="AY2687" s="13"/>
      <c r="AZ2687" s="13"/>
      <c r="BA2687" s="13"/>
      <c r="BB2687" s="13"/>
      <c r="BC2687" s="13"/>
      <c r="BD2687" s="13"/>
      <c r="BE2687" s="13"/>
      <c r="BF2687" s="13"/>
      <c r="BG2687" s="13"/>
      <c r="BH2687" s="13"/>
      <c r="BI2687" s="13"/>
      <c r="BJ2687" s="13"/>
      <c r="BK2687" s="13"/>
      <c r="BL2687" s="13"/>
      <c r="BM2687" s="13"/>
      <c r="BN2687" s="13"/>
      <c r="BO2687" s="13"/>
      <c r="BP2687" s="13"/>
      <c r="BQ2687" s="13"/>
    </row>
    <row r="2688" spans="1:69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  <c r="Q2688" s="13"/>
      <c r="R2688" s="13"/>
      <c r="S2688" s="13"/>
      <c r="T2688" s="13"/>
      <c r="U2688" s="13"/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  <c r="AG2688" s="13"/>
      <c r="AH2688" s="13"/>
      <c r="AI2688" s="13"/>
      <c r="AJ2688" s="13"/>
      <c r="AK2688" s="13"/>
      <c r="AL2688" s="13"/>
      <c r="AM2688" s="13"/>
      <c r="AN2688" s="13"/>
      <c r="AO2688" s="13"/>
      <c r="AP2688" s="13"/>
      <c r="AQ2688" s="13"/>
      <c r="AR2688" s="13"/>
      <c r="AS2688" s="13"/>
      <c r="AT2688" s="13"/>
      <c r="AU2688" s="13"/>
      <c r="AV2688" s="13"/>
      <c r="AW2688" s="13"/>
      <c r="AX2688" s="13"/>
      <c r="AY2688" s="13"/>
      <c r="AZ2688" s="13"/>
      <c r="BA2688" s="13"/>
      <c r="BB2688" s="13"/>
      <c r="BC2688" s="13"/>
      <c r="BD2688" s="13"/>
      <c r="BE2688" s="13"/>
      <c r="BF2688" s="13"/>
      <c r="BG2688" s="13"/>
      <c r="BH2688" s="13"/>
      <c r="BI2688" s="13"/>
      <c r="BJ2688" s="13"/>
      <c r="BK2688" s="13"/>
      <c r="BL2688" s="13"/>
      <c r="BM2688" s="13"/>
      <c r="BN2688" s="13"/>
      <c r="BO2688" s="13"/>
      <c r="BP2688" s="13"/>
      <c r="BQ2688" s="13"/>
    </row>
    <row r="2689" spans="1:69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  <c r="Q2689" s="13"/>
      <c r="R2689" s="13"/>
      <c r="S2689" s="13"/>
      <c r="T2689" s="13"/>
      <c r="U2689" s="13"/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F2689" s="13"/>
      <c r="AG2689" s="13"/>
      <c r="AH2689" s="13"/>
      <c r="AI2689" s="13"/>
      <c r="AJ2689" s="13"/>
      <c r="AK2689" s="13"/>
      <c r="AL2689" s="13"/>
      <c r="AM2689" s="13"/>
      <c r="AN2689" s="13"/>
      <c r="AO2689" s="13"/>
      <c r="AP2689" s="13"/>
      <c r="AQ2689" s="13"/>
      <c r="AR2689" s="13"/>
      <c r="AS2689" s="13"/>
      <c r="AT2689" s="13"/>
      <c r="AU2689" s="13"/>
      <c r="AV2689" s="13"/>
      <c r="AW2689" s="13"/>
      <c r="AX2689" s="13"/>
      <c r="AY2689" s="13"/>
      <c r="AZ2689" s="13"/>
      <c r="BA2689" s="13"/>
      <c r="BB2689" s="13"/>
      <c r="BC2689" s="13"/>
      <c r="BD2689" s="13"/>
      <c r="BE2689" s="13"/>
      <c r="BF2689" s="13"/>
      <c r="BG2689" s="13"/>
      <c r="BH2689" s="13"/>
      <c r="BI2689" s="13"/>
      <c r="BJ2689" s="13"/>
      <c r="BK2689" s="13"/>
      <c r="BL2689" s="13"/>
      <c r="BM2689" s="13"/>
      <c r="BN2689" s="13"/>
      <c r="BO2689" s="13"/>
      <c r="BP2689" s="13"/>
      <c r="BQ2689" s="13"/>
    </row>
    <row r="2690" spans="1:69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  <c r="Q2690" s="13"/>
      <c r="R2690" s="13"/>
      <c r="S2690" s="13"/>
      <c r="T2690" s="13"/>
      <c r="U2690" s="13"/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F2690" s="13"/>
      <c r="AG2690" s="13"/>
      <c r="AH2690" s="13"/>
      <c r="AI2690" s="13"/>
      <c r="AJ2690" s="13"/>
      <c r="AK2690" s="13"/>
      <c r="AL2690" s="13"/>
      <c r="AM2690" s="13"/>
      <c r="AN2690" s="13"/>
      <c r="AO2690" s="13"/>
      <c r="AP2690" s="13"/>
      <c r="AQ2690" s="13"/>
      <c r="AR2690" s="13"/>
      <c r="AS2690" s="13"/>
      <c r="AT2690" s="13"/>
      <c r="AU2690" s="13"/>
      <c r="AV2690" s="13"/>
      <c r="AW2690" s="13"/>
      <c r="AX2690" s="13"/>
      <c r="AY2690" s="13"/>
      <c r="AZ2690" s="13"/>
      <c r="BA2690" s="13"/>
      <c r="BB2690" s="13"/>
      <c r="BC2690" s="13"/>
      <c r="BD2690" s="13"/>
      <c r="BE2690" s="13"/>
      <c r="BF2690" s="13"/>
      <c r="BG2690" s="13"/>
      <c r="BH2690" s="13"/>
      <c r="BI2690" s="13"/>
      <c r="BJ2690" s="13"/>
      <c r="BK2690" s="13"/>
      <c r="BL2690" s="13"/>
      <c r="BM2690" s="13"/>
      <c r="BN2690" s="13"/>
      <c r="BO2690" s="13"/>
      <c r="BP2690" s="13"/>
      <c r="BQ2690" s="13"/>
    </row>
    <row r="2691" spans="1:69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3"/>
      <c r="R2691" s="13"/>
      <c r="S2691" s="13"/>
      <c r="T2691" s="13"/>
      <c r="U2691" s="13"/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F2691" s="13"/>
      <c r="AG2691" s="13"/>
      <c r="AH2691" s="13"/>
      <c r="AI2691" s="13"/>
      <c r="AJ2691" s="13"/>
      <c r="AK2691" s="13"/>
      <c r="AL2691" s="13"/>
      <c r="AM2691" s="13"/>
      <c r="AN2691" s="13"/>
      <c r="AO2691" s="13"/>
      <c r="AP2691" s="13"/>
      <c r="AQ2691" s="13"/>
      <c r="AR2691" s="13"/>
      <c r="AS2691" s="13"/>
      <c r="AT2691" s="13"/>
      <c r="AU2691" s="13"/>
      <c r="AV2691" s="13"/>
      <c r="AW2691" s="13"/>
      <c r="AX2691" s="13"/>
      <c r="AY2691" s="13"/>
      <c r="AZ2691" s="13"/>
      <c r="BA2691" s="13"/>
      <c r="BB2691" s="13"/>
      <c r="BC2691" s="13"/>
      <c r="BD2691" s="13"/>
      <c r="BE2691" s="13"/>
      <c r="BF2691" s="13"/>
      <c r="BG2691" s="13"/>
      <c r="BH2691" s="13"/>
      <c r="BI2691" s="13"/>
      <c r="BJ2691" s="13"/>
      <c r="BK2691" s="13"/>
      <c r="BL2691" s="13"/>
      <c r="BM2691" s="13"/>
      <c r="BN2691" s="13"/>
      <c r="BO2691" s="13"/>
      <c r="BP2691" s="13"/>
      <c r="BQ2691" s="13"/>
    </row>
    <row r="2692" spans="1:69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  <c r="Q2692" s="13"/>
      <c r="R2692" s="13"/>
      <c r="S2692" s="13"/>
      <c r="T2692" s="13"/>
      <c r="U2692" s="13"/>
      <c r="V2692" s="13"/>
      <c r="W2692" s="13"/>
      <c r="X2692" s="13"/>
      <c r="Y2692" s="13"/>
      <c r="Z2692" s="13"/>
      <c r="AA2692" s="13"/>
      <c r="AB2692" s="13"/>
      <c r="AC2692" s="13"/>
      <c r="AD2692" s="13"/>
      <c r="AE2692" s="13"/>
      <c r="AF2692" s="13"/>
      <c r="AG2692" s="13"/>
      <c r="AH2692" s="13"/>
      <c r="AI2692" s="13"/>
      <c r="AJ2692" s="13"/>
      <c r="AK2692" s="13"/>
      <c r="AL2692" s="13"/>
      <c r="AM2692" s="13"/>
      <c r="AN2692" s="13"/>
      <c r="AO2692" s="13"/>
      <c r="AP2692" s="13"/>
      <c r="AQ2692" s="13"/>
      <c r="AR2692" s="13"/>
      <c r="AS2692" s="13"/>
      <c r="AT2692" s="13"/>
      <c r="AU2692" s="13"/>
      <c r="AV2692" s="13"/>
      <c r="AW2692" s="13"/>
      <c r="AX2692" s="13"/>
      <c r="AY2692" s="13"/>
      <c r="AZ2692" s="13"/>
      <c r="BA2692" s="13"/>
      <c r="BB2692" s="13"/>
      <c r="BC2692" s="13"/>
      <c r="BD2692" s="13"/>
      <c r="BE2692" s="13"/>
      <c r="BF2692" s="13"/>
      <c r="BG2692" s="13"/>
      <c r="BH2692" s="13"/>
      <c r="BI2692" s="13"/>
      <c r="BJ2692" s="13"/>
      <c r="BK2692" s="13"/>
      <c r="BL2692" s="13"/>
      <c r="BM2692" s="13"/>
      <c r="BN2692" s="13"/>
      <c r="BO2692" s="13"/>
      <c r="BP2692" s="13"/>
      <c r="BQ2692" s="13"/>
    </row>
    <row r="2693" spans="1:69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  <c r="Q2693" s="13"/>
      <c r="R2693" s="13"/>
      <c r="S2693" s="13"/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F2693" s="13"/>
      <c r="AG2693" s="13"/>
      <c r="AH2693" s="13"/>
      <c r="AI2693" s="13"/>
      <c r="AJ2693" s="13"/>
      <c r="AK2693" s="13"/>
      <c r="AL2693" s="13"/>
      <c r="AM2693" s="13"/>
      <c r="AN2693" s="13"/>
      <c r="AO2693" s="13"/>
      <c r="AP2693" s="13"/>
      <c r="AQ2693" s="13"/>
      <c r="AR2693" s="13"/>
      <c r="AS2693" s="13"/>
      <c r="AT2693" s="13"/>
      <c r="AU2693" s="13"/>
      <c r="AV2693" s="13"/>
      <c r="AW2693" s="13"/>
      <c r="AX2693" s="13"/>
      <c r="AY2693" s="13"/>
      <c r="AZ2693" s="13"/>
      <c r="BA2693" s="13"/>
      <c r="BB2693" s="13"/>
      <c r="BC2693" s="13"/>
      <c r="BD2693" s="13"/>
      <c r="BE2693" s="13"/>
      <c r="BF2693" s="13"/>
      <c r="BG2693" s="13"/>
      <c r="BH2693" s="13"/>
      <c r="BI2693" s="13"/>
      <c r="BJ2693" s="13"/>
      <c r="BK2693" s="13"/>
      <c r="BL2693" s="13"/>
      <c r="BM2693" s="13"/>
      <c r="BN2693" s="13"/>
      <c r="BO2693" s="13"/>
      <c r="BP2693" s="13"/>
      <c r="BQ2693" s="13"/>
    </row>
    <row r="2694" spans="1:69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3"/>
      <c r="T2694" s="13"/>
      <c r="U2694" s="13"/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F2694" s="13"/>
      <c r="AG2694" s="13"/>
      <c r="AH2694" s="13"/>
      <c r="AI2694" s="13"/>
      <c r="AJ2694" s="13"/>
      <c r="AK2694" s="13"/>
      <c r="AL2694" s="13"/>
      <c r="AM2694" s="13"/>
      <c r="AN2694" s="13"/>
      <c r="AO2694" s="13"/>
      <c r="AP2694" s="13"/>
      <c r="AQ2694" s="13"/>
      <c r="AR2694" s="13"/>
      <c r="AS2694" s="13"/>
      <c r="AT2694" s="13"/>
      <c r="AU2694" s="13"/>
      <c r="AV2694" s="13"/>
      <c r="AW2694" s="13"/>
      <c r="AX2694" s="13"/>
      <c r="AY2694" s="13"/>
      <c r="AZ2694" s="13"/>
      <c r="BA2694" s="13"/>
      <c r="BB2694" s="13"/>
      <c r="BC2694" s="13"/>
      <c r="BD2694" s="13"/>
      <c r="BE2694" s="13"/>
      <c r="BF2694" s="13"/>
      <c r="BG2694" s="13"/>
      <c r="BH2694" s="13"/>
      <c r="BI2694" s="13"/>
      <c r="BJ2694" s="13"/>
      <c r="BK2694" s="13"/>
      <c r="BL2694" s="13"/>
      <c r="BM2694" s="13"/>
      <c r="BN2694" s="13"/>
      <c r="BO2694" s="13"/>
      <c r="BP2694" s="13"/>
      <c r="BQ2694" s="13"/>
    </row>
    <row r="2695" spans="1:69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  <c r="Q2695" s="13"/>
      <c r="R2695" s="13"/>
      <c r="S2695" s="13"/>
      <c r="T2695" s="13"/>
      <c r="U2695" s="13"/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F2695" s="13"/>
      <c r="AG2695" s="13"/>
      <c r="AH2695" s="13"/>
      <c r="AI2695" s="13"/>
      <c r="AJ2695" s="13"/>
      <c r="AK2695" s="13"/>
      <c r="AL2695" s="13"/>
      <c r="AM2695" s="13"/>
      <c r="AN2695" s="13"/>
      <c r="AO2695" s="13"/>
      <c r="AP2695" s="13"/>
      <c r="AQ2695" s="13"/>
      <c r="AR2695" s="13"/>
      <c r="AS2695" s="13"/>
      <c r="AT2695" s="13"/>
      <c r="AU2695" s="13"/>
      <c r="AV2695" s="13"/>
      <c r="AW2695" s="13"/>
      <c r="AX2695" s="13"/>
      <c r="AY2695" s="13"/>
      <c r="AZ2695" s="13"/>
      <c r="BA2695" s="13"/>
      <c r="BB2695" s="13"/>
      <c r="BC2695" s="13"/>
      <c r="BD2695" s="13"/>
      <c r="BE2695" s="13"/>
      <c r="BF2695" s="13"/>
      <c r="BG2695" s="13"/>
      <c r="BH2695" s="13"/>
      <c r="BI2695" s="13"/>
      <c r="BJ2695" s="13"/>
      <c r="BK2695" s="13"/>
      <c r="BL2695" s="13"/>
      <c r="BM2695" s="13"/>
      <c r="BN2695" s="13"/>
      <c r="BO2695" s="13"/>
      <c r="BP2695" s="13"/>
      <c r="BQ2695" s="13"/>
    </row>
    <row r="2696" spans="1:69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  <c r="Q2696" s="13"/>
      <c r="R2696" s="13"/>
      <c r="S2696" s="13"/>
      <c r="T2696" s="13"/>
      <c r="U2696" s="13"/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F2696" s="13"/>
      <c r="AG2696" s="13"/>
      <c r="AH2696" s="13"/>
      <c r="AI2696" s="13"/>
      <c r="AJ2696" s="13"/>
      <c r="AK2696" s="13"/>
      <c r="AL2696" s="13"/>
      <c r="AM2696" s="13"/>
      <c r="AN2696" s="13"/>
      <c r="AO2696" s="13"/>
      <c r="AP2696" s="13"/>
      <c r="AQ2696" s="13"/>
      <c r="AR2696" s="13"/>
      <c r="AS2696" s="13"/>
      <c r="AT2696" s="13"/>
      <c r="AU2696" s="13"/>
      <c r="AV2696" s="13"/>
      <c r="AW2696" s="13"/>
      <c r="AX2696" s="13"/>
      <c r="AY2696" s="13"/>
      <c r="AZ2696" s="13"/>
      <c r="BA2696" s="13"/>
      <c r="BB2696" s="13"/>
      <c r="BC2696" s="13"/>
      <c r="BD2696" s="13"/>
      <c r="BE2696" s="13"/>
      <c r="BF2696" s="13"/>
      <c r="BG2696" s="13"/>
      <c r="BH2696" s="13"/>
      <c r="BI2696" s="13"/>
      <c r="BJ2696" s="13"/>
      <c r="BK2696" s="13"/>
      <c r="BL2696" s="13"/>
      <c r="BM2696" s="13"/>
      <c r="BN2696" s="13"/>
      <c r="BO2696" s="13"/>
      <c r="BP2696" s="13"/>
      <c r="BQ2696" s="13"/>
    </row>
    <row r="2697" spans="1:69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  <c r="Q2697" s="13"/>
      <c r="R2697" s="13"/>
      <c r="S2697" s="13"/>
      <c r="T2697" s="13"/>
      <c r="U2697" s="13"/>
      <c r="V2697" s="13"/>
      <c r="W2697" s="13"/>
      <c r="X2697" s="13"/>
      <c r="Y2697" s="13"/>
      <c r="Z2697" s="13"/>
      <c r="AA2697" s="13"/>
      <c r="AB2697" s="13"/>
      <c r="AC2697" s="13"/>
      <c r="AD2697" s="13"/>
      <c r="AE2697" s="13"/>
      <c r="AF2697" s="13"/>
      <c r="AG2697" s="13"/>
      <c r="AH2697" s="13"/>
      <c r="AI2697" s="13"/>
      <c r="AJ2697" s="13"/>
      <c r="AK2697" s="13"/>
      <c r="AL2697" s="13"/>
      <c r="AM2697" s="13"/>
      <c r="AN2697" s="13"/>
      <c r="AO2697" s="13"/>
      <c r="AP2697" s="13"/>
      <c r="AQ2697" s="13"/>
      <c r="AR2697" s="13"/>
      <c r="AS2697" s="13"/>
      <c r="AT2697" s="13"/>
      <c r="AU2697" s="13"/>
      <c r="AV2697" s="13"/>
      <c r="AW2697" s="13"/>
      <c r="AX2697" s="13"/>
      <c r="AY2697" s="13"/>
      <c r="AZ2697" s="13"/>
      <c r="BA2697" s="13"/>
      <c r="BB2697" s="13"/>
      <c r="BC2697" s="13"/>
      <c r="BD2697" s="13"/>
      <c r="BE2697" s="13"/>
      <c r="BF2697" s="13"/>
      <c r="BG2697" s="13"/>
      <c r="BH2697" s="13"/>
      <c r="BI2697" s="13"/>
      <c r="BJ2697" s="13"/>
      <c r="BK2697" s="13"/>
      <c r="BL2697" s="13"/>
      <c r="BM2697" s="13"/>
      <c r="BN2697" s="13"/>
      <c r="BO2697" s="13"/>
      <c r="BP2697" s="13"/>
      <c r="BQ2697" s="13"/>
    </row>
    <row r="2698" spans="1:69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  <c r="Q2698" s="13"/>
      <c r="R2698" s="13"/>
      <c r="S2698" s="13"/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  <c r="AG2698" s="13"/>
      <c r="AH2698" s="13"/>
      <c r="AI2698" s="13"/>
      <c r="AJ2698" s="13"/>
      <c r="AK2698" s="13"/>
      <c r="AL2698" s="13"/>
      <c r="AM2698" s="13"/>
      <c r="AN2698" s="13"/>
      <c r="AO2698" s="13"/>
      <c r="AP2698" s="13"/>
      <c r="AQ2698" s="13"/>
      <c r="AR2698" s="13"/>
      <c r="AS2698" s="13"/>
      <c r="AT2698" s="13"/>
      <c r="AU2698" s="13"/>
      <c r="AV2698" s="13"/>
      <c r="AW2698" s="13"/>
      <c r="AX2698" s="13"/>
      <c r="AY2698" s="13"/>
      <c r="AZ2698" s="13"/>
      <c r="BA2698" s="13"/>
      <c r="BB2698" s="13"/>
      <c r="BC2698" s="13"/>
      <c r="BD2698" s="13"/>
      <c r="BE2698" s="13"/>
      <c r="BF2698" s="13"/>
      <c r="BG2698" s="13"/>
      <c r="BH2698" s="13"/>
      <c r="BI2698" s="13"/>
      <c r="BJ2698" s="13"/>
      <c r="BK2698" s="13"/>
      <c r="BL2698" s="13"/>
      <c r="BM2698" s="13"/>
      <c r="BN2698" s="13"/>
      <c r="BO2698" s="13"/>
      <c r="BP2698" s="13"/>
      <c r="BQ2698" s="13"/>
    </row>
    <row r="2699" spans="1:69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  <c r="Q2699" s="13"/>
      <c r="R2699" s="13"/>
      <c r="S2699" s="13"/>
      <c r="T2699" s="13"/>
      <c r="U2699" s="13"/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F2699" s="13"/>
      <c r="AG2699" s="13"/>
      <c r="AH2699" s="13"/>
      <c r="AI2699" s="13"/>
      <c r="AJ2699" s="13"/>
      <c r="AK2699" s="13"/>
      <c r="AL2699" s="13"/>
      <c r="AM2699" s="13"/>
      <c r="AN2699" s="13"/>
      <c r="AO2699" s="13"/>
      <c r="AP2699" s="13"/>
      <c r="AQ2699" s="13"/>
      <c r="AR2699" s="13"/>
      <c r="AS2699" s="13"/>
      <c r="AT2699" s="13"/>
      <c r="AU2699" s="13"/>
      <c r="AV2699" s="13"/>
      <c r="AW2699" s="13"/>
      <c r="AX2699" s="13"/>
      <c r="AY2699" s="13"/>
      <c r="AZ2699" s="13"/>
      <c r="BA2699" s="13"/>
      <c r="BB2699" s="13"/>
      <c r="BC2699" s="13"/>
      <c r="BD2699" s="13"/>
      <c r="BE2699" s="13"/>
      <c r="BF2699" s="13"/>
      <c r="BG2699" s="13"/>
      <c r="BH2699" s="13"/>
      <c r="BI2699" s="13"/>
      <c r="BJ2699" s="13"/>
      <c r="BK2699" s="13"/>
      <c r="BL2699" s="13"/>
      <c r="BM2699" s="13"/>
      <c r="BN2699" s="13"/>
      <c r="BO2699" s="13"/>
      <c r="BP2699" s="13"/>
      <c r="BQ2699" s="13"/>
    </row>
    <row r="2700" spans="1:69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  <c r="U2700" s="13"/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  <c r="AG2700" s="13"/>
      <c r="AH2700" s="13"/>
      <c r="AI2700" s="13"/>
      <c r="AJ2700" s="13"/>
      <c r="AK2700" s="13"/>
      <c r="AL2700" s="13"/>
      <c r="AM2700" s="13"/>
      <c r="AN2700" s="13"/>
      <c r="AO2700" s="13"/>
      <c r="AP2700" s="13"/>
      <c r="AQ2700" s="13"/>
      <c r="AR2700" s="13"/>
      <c r="AS2700" s="13"/>
      <c r="AT2700" s="13"/>
      <c r="AU2700" s="13"/>
      <c r="AV2700" s="13"/>
      <c r="AW2700" s="13"/>
      <c r="AX2700" s="13"/>
      <c r="AY2700" s="13"/>
      <c r="AZ2700" s="13"/>
      <c r="BA2700" s="13"/>
      <c r="BB2700" s="13"/>
      <c r="BC2700" s="13"/>
      <c r="BD2700" s="13"/>
      <c r="BE2700" s="13"/>
      <c r="BF2700" s="13"/>
      <c r="BG2700" s="13"/>
      <c r="BH2700" s="13"/>
      <c r="BI2700" s="13"/>
      <c r="BJ2700" s="13"/>
      <c r="BK2700" s="13"/>
      <c r="BL2700" s="13"/>
      <c r="BM2700" s="13"/>
      <c r="BN2700" s="13"/>
      <c r="BO2700" s="13"/>
      <c r="BP2700" s="13"/>
      <c r="BQ2700" s="13"/>
    </row>
    <row r="2701" spans="1:69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  <c r="Q2701" s="13"/>
      <c r="R2701" s="13"/>
      <c r="S2701" s="13"/>
      <c r="T2701" s="13"/>
      <c r="U2701" s="13"/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/>
      <c r="AG2701" s="13"/>
      <c r="AH2701" s="13"/>
      <c r="AI2701" s="13"/>
      <c r="AJ2701" s="13"/>
      <c r="AK2701" s="13"/>
      <c r="AL2701" s="13"/>
      <c r="AM2701" s="13"/>
      <c r="AN2701" s="13"/>
      <c r="AO2701" s="13"/>
      <c r="AP2701" s="13"/>
      <c r="AQ2701" s="13"/>
      <c r="AR2701" s="13"/>
      <c r="AS2701" s="13"/>
      <c r="AT2701" s="13"/>
      <c r="AU2701" s="13"/>
      <c r="AV2701" s="13"/>
      <c r="AW2701" s="13"/>
      <c r="AX2701" s="13"/>
      <c r="AY2701" s="13"/>
      <c r="AZ2701" s="13"/>
      <c r="BA2701" s="13"/>
      <c r="BB2701" s="13"/>
      <c r="BC2701" s="13"/>
      <c r="BD2701" s="13"/>
      <c r="BE2701" s="13"/>
      <c r="BF2701" s="13"/>
      <c r="BG2701" s="13"/>
      <c r="BH2701" s="13"/>
      <c r="BI2701" s="13"/>
      <c r="BJ2701" s="13"/>
      <c r="BK2701" s="13"/>
      <c r="BL2701" s="13"/>
      <c r="BM2701" s="13"/>
      <c r="BN2701" s="13"/>
      <c r="BO2701" s="13"/>
      <c r="BP2701" s="13"/>
      <c r="BQ2701" s="13"/>
    </row>
    <row r="2702" spans="1:69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  <c r="Q2702" s="13"/>
      <c r="R2702" s="13"/>
      <c r="S2702" s="13"/>
      <c r="T2702" s="13"/>
      <c r="U2702" s="13"/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13"/>
      <c r="AG2702" s="13"/>
      <c r="AH2702" s="13"/>
      <c r="AI2702" s="13"/>
      <c r="AJ2702" s="13"/>
      <c r="AK2702" s="13"/>
      <c r="AL2702" s="13"/>
      <c r="AM2702" s="13"/>
      <c r="AN2702" s="13"/>
      <c r="AO2702" s="13"/>
      <c r="AP2702" s="13"/>
      <c r="AQ2702" s="13"/>
      <c r="AR2702" s="13"/>
      <c r="AS2702" s="13"/>
      <c r="AT2702" s="13"/>
      <c r="AU2702" s="13"/>
      <c r="AV2702" s="13"/>
      <c r="AW2702" s="13"/>
      <c r="AX2702" s="13"/>
      <c r="AY2702" s="13"/>
      <c r="AZ2702" s="13"/>
      <c r="BA2702" s="13"/>
      <c r="BB2702" s="13"/>
      <c r="BC2702" s="13"/>
      <c r="BD2702" s="13"/>
      <c r="BE2702" s="13"/>
      <c r="BF2702" s="13"/>
      <c r="BG2702" s="13"/>
      <c r="BH2702" s="13"/>
      <c r="BI2702" s="13"/>
      <c r="BJ2702" s="13"/>
      <c r="BK2702" s="13"/>
      <c r="BL2702" s="13"/>
      <c r="BM2702" s="13"/>
      <c r="BN2702" s="13"/>
      <c r="BO2702" s="13"/>
      <c r="BP2702" s="13"/>
      <c r="BQ2702" s="13"/>
    </row>
    <row r="2703" spans="1:69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  <c r="AG2703" s="13"/>
      <c r="AH2703" s="13"/>
      <c r="AI2703" s="13"/>
      <c r="AJ2703" s="13"/>
      <c r="AK2703" s="13"/>
      <c r="AL2703" s="13"/>
      <c r="AM2703" s="13"/>
      <c r="AN2703" s="13"/>
      <c r="AO2703" s="13"/>
      <c r="AP2703" s="13"/>
      <c r="AQ2703" s="13"/>
      <c r="AR2703" s="13" t="s">
        <v>6962</v>
      </c>
      <c r="AS2703" s="13" t="s">
        <v>199</v>
      </c>
      <c r="AT2703" s="13" t="s">
        <v>6963</v>
      </c>
      <c r="AU2703" s="13" t="s">
        <v>6964</v>
      </c>
      <c r="AV2703" s="13"/>
      <c r="AW2703" s="13"/>
      <c r="AX2703" s="13"/>
      <c r="AY2703" s="13" t="s">
        <v>2296</v>
      </c>
      <c r="AZ2703" s="13" t="s">
        <v>655</v>
      </c>
      <c r="BA2703" s="13"/>
      <c r="BB2703" s="13" t="s">
        <v>6965</v>
      </c>
      <c r="BC2703" s="13"/>
      <c r="BD2703" s="13"/>
      <c r="BE2703" s="13"/>
      <c r="BF2703" s="13" t="s">
        <v>6966</v>
      </c>
      <c r="BG2703" s="13"/>
      <c r="BH2703" s="13"/>
      <c r="BI2703" s="13"/>
      <c r="BJ2703" s="13"/>
      <c r="BK2703" s="13"/>
      <c r="BL2703" s="13"/>
      <c r="BM2703" s="13"/>
      <c r="BN2703" s="13"/>
      <c r="BO2703" s="13"/>
      <c r="BP2703" s="13"/>
      <c r="BQ2703" s="13"/>
    </row>
    <row r="2704" spans="1:69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  <c r="Q2704" s="13"/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/>
      <c r="AH2704" s="13"/>
      <c r="AI2704" s="13"/>
      <c r="AJ2704" s="13"/>
      <c r="AK2704" s="13"/>
      <c r="AL2704" s="13"/>
      <c r="AM2704" s="13"/>
      <c r="AN2704" s="13"/>
      <c r="AO2704" s="13"/>
      <c r="AP2704" s="13"/>
      <c r="AQ2704" s="13"/>
      <c r="AR2704" s="13"/>
      <c r="AS2704" s="13"/>
      <c r="AT2704" s="13"/>
      <c r="AU2704" s="13"/>
      <c r="AV2704" s="13"/>
      <c r="AW2704" s="13"/>
      <c r="AX2704" s="13"/>
      <c r="AY2704" s="13"/>
      <c r="AZ2704" s="13"/>
      <c r="BA2704" s="13"/>
      <c r="BB2704" s="13"/>
      <c r="BC2704" s="13"/>
      <c r="BD2704" s="13"/>
      <c r="BE2704" s="13"/>
      <c r="BF2704" s="13"/>
      <c r="BG2704" s="13"/>
      <c r="BH2704" s="13"/>
      <c r="BI2704" s="13"/>
      <c r="BJ2704" s="13"/>
      <c r="BK2704" s="13"/>
      <c r="BL2704" s="13"/>
      <c r="BM2704" s="13"/>
      <c r="BN2704" s="13"/>
      <c r="BO2704" s="13"/>
      <c r="BP2704" s="13"/>
      <c r="BQ2704" s="13"/>
    </row>
    <row r="2705" spans="1:69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  <c r="Q2705" s="13"/>
      <c r="R2705" s="13"/>
      <c r="S2705" s="13"/>
      <c r="T2705" s="13"/>
      <c r="U2705" s="13"/>
      <c r="V2705" s="13"/>
      <c r="W2705" s="13"/>
      <c r="X2705" s="13"/>
      <c r="Y2705" s="13"/>
      <c r="Z2705" s="13"/>
      <c r="AA2705" s="13"/>
      <c r="AB2705" s="13"/>
      <c r="AC2705" s="13"/>
      <c r="AD2705" s="13"/>
      <c r="AE2705" s="13"/>
      <c r="AF2705" s="13"/>
      <c r="AG2705" s="13"/>
      <c r="AH2705" s="13"/>
      <c r="AI2705" s="13"/>
      <c r="AJ2705" s="13"/>
      <c r="AK2705" s="13"/>
      <c r="AL2705" s="13"/>
      <c r="AM2705" s="13"/>
      <c r="AN2705" s="13"/>
      <c r="AO2705" s="13"/>
      <c r="AP2705" s="13"/>
      <c r="AQ2705" s="13"/>
      <c r="AR2705" s="13"/>
      <c r="AS2705" s="13"/>
      <c r="AT2705" s="13"/>
      <c r="AU2705" s="13"/>
      <c r="AV2705" s="13"/>
      <c r="AW2705" s="13"/>
      <c r="AX2705" s="13"/>
      <c r="AY2705" s="13"/>
      <c r="AZ2705" s="13"/>
      <c r="BA2705" s="13"/>
      <c r="BB2705" s="13"/>
      <c r="BC2705" s="13"/>
      <c r="BD2705" s="13"/>
      <c r="BE2705" s="13"/>
      <c r="BF2705" s="13"/>
      <c r="BG2705" s="13"/>
      <c r="BH2705" s="13"/>
      <c r="BI2705" s="13"/>
      <c r="BJ2705" s="13"/>
      <c r="BK2705" s="13"/>
      <c r="BL2705" s="13"/>
      <c r="BM2705" s="13"/>
      <c r="BN2705" s="13"/>
      <c r="BO2705" s="13"/>
      <c r="BP2705" s="13"/>
      <c r="BQ2705" s="13"/>
    </row>
    <row r="2706" spans="1:69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  <c r="Q2706" s="13"/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F2706" s="13"/>
      <c r="AG2706" s="13"/>
      <c r="AH2706" s="13"/>
      <c r="AI2706" s="13"/>
      <c r="AJ2706" s="13"/>
      <c r="AK2706" s="13"/>
      <c r="AL2706" s="13"/>
      <c r="AM2706" s="13"/>
      <c r="AN2706" s="13"/>
      <c r="AO2706" s="13"/>
      <c r="AP2706" s="13"/>
      <c r="AQ2706" s="13"/>
      <c r="AR2706" s="13"/>
      <c r="AS2706" s="13"/>
      <c r="AT2706" s="13"/>
      <c r="AU2706" s="13"/>
      <c r="AV2706" s="13"/>
      <c r="AW2706" s="13"/>
      <c r="AX2706" s="13"/>
      <c r="AY2706" s="13"/>
      <c r="AZ2706" s="13"/>
      <c r="BA2706" s="13"/>
      <c r="BB2706" s="13"/>
      <c r="BC2706" s="13"/>
      <c r="BD2706" s="13"/>
      <c r="BE2706" s="13"/>
      <c r="BF2706" s="13"/>
      <c r="BG2706" s="13"/>
      <c r="BH2706" s="13"/>
      <c r="BI2706" s="13"/>
      <c r="BJ2706" s="13"/>
      <c r="BK2706" s="13"/>
      <c r="BL2706" s="13"/>
      <c r="BM2706" s="13"/>
      <c r="BN2706" s="13"/>
      <c r="BO2706" s="13"/>
      <c r="BP2706" s="13"/>
      <c r="BQ2706" s="13"/>
    </row>
    <row r="2707" spans="1:69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U2707" s="13"/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F2707" s="13"/>
      <c r="AG2707" s="13"/>
      <c r="AH2707" s="13"/>
      <c r="AI2707" s="13"/>
      <c r="AJ2707" s="13"/>
      <c r="AK2707" s="13"/>
      <c r="AL2707" s="13"/>
      <c r="AM2707" s="13"/>
      <c r="AN2707" s="13"/>
      <c r="AO2707" s="13"/>
      <c r="AP2707" s="13"/>
      <c r="AQ2707" s="13"/>
      <c r="AR2707" s="13"/>
      <c r="AS2707" s="13"/>
      <c r="AT2707" s="13"/>
      <c r="AU2707" s="13"/>
      <c r="AV2707" s="13"/>
      <c r="AW2707" s="13"/>
      <c r="AX2707" s="13"/>
      <c r="AY2707" s="13"/>
      <c r="AZ2707" s="13"/>
      <c r="BA2707" s="13"/>
      <c r="BB2707" s="13"/>
      <c r="BC2707" s="13"/>
      <c r="BD2707" s="13"/>
      <c r="BE2707" s="13"/>
      <c r="BF2707" s="13"/>
      <c r="BG2707" s="13"/>
      <c r="BH2707" s="13"/>
      <c r="BI2707" s="13"/>
      <c r="BJ2707" s="13"/>
      <c r="BK2707" s="13"/>
      <c r="BL2707" s="13"/>
      <c r="BM2707" s="13"/>
      <c r="BN2707" s="13"/>
      <c r="BO2707" s="13"/>
      <c r="BP2707" s="13"/>
      <c r="BQ2707" s="13"/>
    </row>
    <row r="2708" spans="1:69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F2708" s="13"/>
      <c r="AG2708" s="13"/>
      <c r="AH2708" s="13"/>
      <c r="AI2708" s="13"/>
      <c r="AJ2708" s="13"/>
      <c r="AK2708" s="13"/>
      <c r="AL2708" s="13"/>
      <c r="AM2708" s="13"/>
      <c r="AN2708" s="13"/>
      <c r="AO2708" s="13"/>
      <c r="AP2708" s="13"/>
      <c r="AQ2708" s="13"/>
      <c r="AR2708" s="13"/>
      <c r="AS2708" s="13"/>
      <c r="AT2708" s="13"/>
      <c r="AU2708" s="13"/>
      <c r="AV2708" s="13"/>
      <c r="AW2708" s="13"/>
      <c r="AX2708" s="13"/>
      <c r="AY2708" s="13"/>
      <c r="AZ2708" s="13"/>
      <c r="BA2708" s="13"/>
      <c r="BB2708" s="13"/>
      <c r="BC2708" s="13"/>
      <c r="BD2708" s="13"/>
      <c r="BE2708" s="13"/>
      <c r="BF2708" s="13"/>
      <c r="BG2708" s="13"/>
      <c r="BH2708" s="13"/>
      <c r="BI2708" s="13"/>
      <c r="BJ2708" s="13"/>
      <c r="BK2708" s="13"/>
      <c r="BL2708" s="13"/>
      <c r="BM2708" s="13"/>
      <c r="BN2708" s="13"/>
      <c r="BO2708" s="13"/>
      <c r="BP2708" s="13"/>
      <c r="BQ2708" s="13"/>
    </row>
    <row r="2709" spans="1:69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1"/>
      <c r="Q2709" s="11"/>
      <c r="R2709" s="13"/>
      <c r="S2709" s="13"/>
      <c r="T2709" s="13"/>
      <c r="U2709" s="13"/>
      <c r="V2709" s="13"/>
      <c r="W2709" s="13"/>
      <c r="X2709" s="13"/>
      <c r="Y2709" s="13"/>
      <c r="Z2709" s="11"/>
      <c r="AA2709" s="13"/>
      <c r="AB2709" s="13"/>
      <c r="AC2709" s="13"/>
      <c r="AD2709" s="13"/>
      <c r="AE2709" s="13"/>
      <c r="AF2709" s="13"/>
      <c r="AG2709" s="13"/>
      <c r="AH2709" s="13"/>
      <c r="AI2709" s="13"/>
      <c r="AJ2709" s="13"/>
      <c r="AK2709" s="13"/>
      <c r="AL2709" s="13"/>
      <c r="AM2709" s="13"/>
      <c r="AN2709" s="13"/>
      <c r="AO2709" s="13"/>
      <c r="AP2709" s="13"/>
      <c r="AQ2709" s="13"/>
      <c r="AR2709" s="13"/>
      <c r="AS2709" s="13"/>
      <c r="AT2709" s="13"/>
      <c r="AU2709" s="13"/>
      <c r="AV2709" s="13"/>
      <c r="AW2709" s="13"/>
      <c r="AX2709" s="13"/>
      <c r="AY2709" s="13"/>
      <c r="AZ2709" s="13"/>
      <c r="BA2709" s="13"/>
      <c r="BB2709" s="13"/>
      <c r="BC2709" s="13"/>
      <c r="BD2709" s="13"/>
      <c r="BE2709" s="13"/>
      <c r="BF2709" s="13"/>
      <c r="BG2709" s="13"/>
      <c r="BH2709" s="13"/>
      <c r="BI2709" s="13"/>
      <c r="BJ2709" s="13"/>
      <c r="BK2709" s="13"/>
      <c r="BL2709" s="13"/>
      <c r="BM2709" s="13"/>
      <c r="BN2709" s="13"/>
      <c r="BO2709" s="13"/>
      <c r="BP2709" s="13"/>
      <c r="BQ2709" s="13"/>
    </row>
    <row r="2710" spans="1:69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  <c r="Q2710" s="13"/>
      <c r="R2710" s="13"/>
      <c r="S2710" s="13"/>
      <c r="T2710" s="13"/>
      <c r="U2710" s="13"/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  <c r="AG2710" s="13"/>
      <c r="AH2710" s="13"/>
      <c r="AI2710" s="13"/>
      <c r="AJ2710" s="13"/>
      <c r="AK2710" s="13"/>
      <c r="AL2710" s="13"/>
      <c r="AM2710" s="13"/>
      <c r="AN2710" s="13"/>
      <c r="AO2710" s="13"/>
      <c r="AP2710" s="13"/>
      <c r="AQ2710" s="13"/>
      <c r="AR2710" s="13"/>
      <c r="AS2710" s="13"/>
      <c r="AT2710" s="13"/>
      <c r="AU2710" s="13"/>
      <c r="AV2710" s="13"/>
      <c r="AW2710" s="13"/>
      <c r="AX2710" s="13"/>
      <c r="AY2710" s="13"/>
      <c r="AZ2710" s="13"/>
      <c r="BA2710" s="13"/>
      <c r="BB2710" s="13"/>
      <c r="BC2710" s="13"/>
      <c r="BD2710" s="13"/>
      <c r="BE2710" s="13"/>
      <c r="BF2710" s="13"/>
      <c r="BG2710" s="13"/>
      <c r="BH2710" s="13"/>
      <c r="BI2710" s="13"/>
      <c r="BJ2710" s="13"/>
      <c r="BK2710" s="13"/>
      <c r="BL2710" s="13"/>
      <c r="BM2710" s="13"/>
      <c r="BN2710" s="13"/>
      <c r="BO2710" s="13"/>
      <c r="BP2710" s="13"/>
      <c r="BQ2710" s="13"/>
    </row>
    <row r="2711" spans="1:69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  <c r="Q2711" s="13"/>
      <c r="R2711" s="13"/>
      <c r="S2711" s="13"/>
      <c r="T2711" s="13"/>
      <c r="U2711" s="13"/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13"/>
      <c r="AG2711" s="13"/>
      <c r="AH2711" s="13"/>
      <c r="AI2711" s="13"/>
      <c r="AJ2711" s="13"/>
      <c r="AK2711" s="13"/>
      <c r="AL2711" s="13"/>
      <c r="AM2711" s="13"/>
      <c r="AN2711" s="13"/>
      <c r="AO2711" s="13"/>
      <c r="AP2711" s="13"/>
      <c r="AQ2711" s="13"/>
      <c r="AR2711" s="13"/>
      <c r="AS2711" s="13"/>
      <c r="AT2711" s="13"/>
      <c r="AU2711" s="13"/>
      <c r="AV2711" s="13"/>
      <c r="AW2711" s="13"/>
      <c r="AX2711" s="13"/>
      <c r="AY2711" s="13"/>
      <c r="AZ2711" s="13"/>
      <c r="BA2711" s="13"/>
      <c r="BB2711" s="13"/>
      <c r="BC2711" s="13"/>
      <c r="BD2711" s="13"/>
      <c r="BE2711" s="13"/>
      <c r="BF2711" s="13"/>
      <c r="BG2711" s="13"/>
      <c r="BH2711" s="13"/>
      <c r="BI2711" s="13"/>
      <c r="BJ2711" s="13"/>
      <c r="BK2711" s="13"/>
      <c r="BL2711" s="13"/>
      <c r="BM2711" s="13"/>
      <c r="BN2711" s="13"/>
      <c r="BO2711" s="13"/>
      <c r="BP2711" s="13"/>
      <c r="BQ2711" s="13"/>
    </row>
    <row r="2712" spans="1:69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  <c r="Q2712" s="13"/>
      <c r="R2712" s="13"/>
      <c r="S2712" s="13"/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  <c r="AG2712" s="13"/>
      <c r="AH2712" s="13"/>
      <c r="AI2712" s="13"/>
      <c r="AJ2712" s="13"/>
      <c r="AK2712" s="13"/>
      <c r="AL2712" s="13"/>
      <c r="AM2712" s="13"/>
      <c r="AN2712" s="13"/>
      <c r="AO2712" s="13"/>
      <c r="AP2712" s="13"/>
      <c r="AQ2712" s="13"/>
      <c r="AR2712" s="13"/>
      <c r="AS2712" s="13"/>
      <c r="AT2712" s="13"/>
      <c r="AU2712" s="13"/>
      <c r="AV2712" s="13"/>
      <c r="AW2712" s="13"/>
      <c r="AX2712" s="13"/>
      <c r="AY2712" s="13"/>
      <c r="AZ2712" s="13"/>
      <c r="BA2712" s="13"/>
      <c r="BB2712" s="13"/>
      <c r="BC2712" s="13"/>
      <c r="BD2712" s="13"/>
      <c r="BE2712" s="13"/>
      <c r="BF2712" s="13"/>
      <c r="BG2712" s="13"/>
      <c r="BH2712" s="13"/>
      <c r="BI2712" s="13"/>
      <c r="BJ2712" s="13"/>
      <c r="BK2712" s="13"/>
      <c r="BL2712" s="13"/>
      <c r="BM2712" s="13"/>
      <c r="BN2712" s="13"/>
      <c r="BO2712" s="13"/>
      <c r="BP2712" s="13"/>
      <c r="BQ2712" s="13"/>
    </row>
    <row r="2713" spans="1:69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1"/>
      <c r="M2713" s="13"/>
      <c r="N2713" s="13"/>
      <c r="O2713" s="13"/>
      <c r="P2713" s="13"/>
      <c r="Q2713" s="13"/>
      <c r="R2713" s="13"/>
      <c r="S2713" s="13"/>
      <c r="T2713" s="13"/>
      <c r="U2713" s="13"/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F2713" s="13"/>
      <c r="AG2713" s="13"/>
      <c r="AH2713" s="13"/>
      <c r="AI2713" s="13"/>
      <c r="AJ2713" s="13"/>
      <c r="AK2713" s="13"/>
      <c r="AL2713" s="13"/>
      <c r="AM2713" s="13"/>
      <c r="AN2713" s="13"/>
      <c r="AO2713" s="13"/>
      <c r="AP2713" s="13"/>
      <c r="AQ2713" s="13"/>
      <c r="AR2713" s="13"/>
      <c r="AS2713" s="13"/>
      <c r="AT2713" s="13"/>
      <c r="AU2713" s="13"/>
      <c r="AV2713" s="13"/>
      <c r="AW2713" s="13"/>
      <c r="AX2713" s="13"/>
      <c r="AY2713" s="13"/>
      <c r="AZ2713" s="13"/>
      <c r="BA2713" s="13"/>
      <c r="BB2713" s="13"/>
      <c r="BC2713" s="13"/>
      <c r="BD2713" s="13"/>
      <c r="BE2713" s="13"/>
      <c r="BF2713" s="13"/>
      <c r="BG2713" s="13"/>
      <c r="BH2713" s="13"/>
      <c r="BI2713" s="13"/>
      <c r="BJ2713" s="13"/>
      <c r="BK2713" s="13"/>
      <c r="BL2713" s="13"/>
      <c r="BM2713" s="13"/>
      <c r="BN2713" s="13"/>
      <c r="BO2713" s="13"/>
      <c r="BP2713" s="13"/>
      <c r="BQ2713" s="13"/>
    </row>
    <row r="2714" spans="1:69">
      <c r="A2714" s="13"/>
      <c r="B2714" s="13"/>
      <c r="C2714" s="13"/>
      <c r="D2714" s="13"/>
      <c r="E2714" s="13"/>
      <c r="F2714" s="13"/>
      <c r="G2714" s="13"/>
      <c r="H2714" s="13"/>
      <c r="I2714" s="11"/>
      <c r="J2714" s="13"/>
      <c r="K2714" s="13"/>
      <c r="L2714" s="13"/>
      <c r="M2714" s="13"/>
      <c r="N2714" s="13"/>
      <c r="O2714" s="13"/>
      <c r="P2714" s="13"/>
      <c r="Q2714" s="13"/>
      <c r="R2714" s="13"/>
      <c r="S2714" s="13"/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  <c r="AG2714" s="13"/>
      <c r="AH2714" s="13"/>
      <c r="AI2714" s="13"/>
      <c r="AJ2714" s="13"/>
      <c r="AK2714" s="13"/>
      <c r="AL2714" s="13"/>
      <c r="AM2714" s="13"/>
      <c r="AN2714" s="13"/>
      <c r="AO2714" s="13"/>
      <c r="AP2714" s="13"/>
      <c r="AQ2714" s="13"/>
      <c r="AR2714" s="13"/>
      <c r="AS2714" s="13"/>
      <c r="AT2714" s="13"/>
      <c r="AU2714" s="13"/>
      <c r="AV2714" s="13"/>
      <c r="AW2714" s="13"/>
      <c r="AX2714" s="13"/>
      <c r="AY2714" s="13"/>
      <c r="AZ2714" s="13"/>
      <c r="BA2714" s="13"/>
      <c r="BB2714" s="13"/>
      <c r="BC2714" s="13"/>
      <c r="BD2714" s="13"/>
      <c r="BE2714" s="13"/>
      <c r="BF2714" s="13"/>
      <c r="BG2714" s="13"/>
      <c r="BH2714" s="13"/>
      <c r="BI2714" s="13"/>
      <c r="BJ2714" s="13"/>
      <c r="BK2714" s="13"/>
      <c r="BL2714" s="13"/>
      <c r="BM2714" s="13"/>
      <c r="BN2714" s="13"/>
      <c r="BO2714" s="13"/>
      <c r="BP2714" s="13"/>
      <c r="BQ2714" s="13"/>
    </row>
  </sheetData>
  <sortState ref="A2:BT2952">
    <sortCondition ref="A2:A2952"/>
  </sortState>
  <hyperlinks>
    <hyperlink ref="F207" r:id="rId1" display="b2c@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81"/>
  <sheetViews>
    <sheetView workbookViewId="0">
      <pane ySplit="1" topLeftCell="A1589" activePane="bottomLeft" state="frozen"/>
      <selection pane="bottomLeft" activeCell="B1606" sqref="B1606"/>
    </sheetView>
  </sheetViews>
  <sheetFormatPr defaultRowHeight="15"/>
  <cols>
    <col min="1" max="1" width="9.140625" style="24"/>
    <col min="2" max="2" width="19.7109375" style="24" customWidth="1"/>
    <col min="3" max="3" width="12.42578125" style="32" customWidth="1"/>
    <col min="4" max="4" width="13.28515625" style="24" customWidth="1"/>
    <col min="5" max="5" width="11" style="24" customWidth="1"/>
    <col min="6" max="6" width="10.7109375" style="29" bestFit="1" customWidth="1"/>
    <col min="7" max="7" width="12.85546875" style="24" hidden="1" customWidth="1"/>
    <col min="8" max="8" width="18.42578125" hidden="1" customWidth="1"/>
    <col min="9" max="9" width="18.42578125" style="11" customWidth="1"/>
    <col min="11" max="11" width="9.140625" style="24"/>
  </cols>
  <sheetData>
    <row r="1" spans="1:11" s="22" customFormat="1">
      <c r="A1" s="25" t="s">
        <v>15765</v>
      </c>
      <c r="B1" s="25" t="s">
        <v>15770</v>
      </c>
      <c r="C1" s="31" t="s">
        <v>15767</v>
      </c>
      <c r="D1" s="25" t="s">
        <v>15781</v>
      </c>
      <c r="E1" s="25" t="s">
        <v>15780</v>
      </c>
      <c r="F1" s="28" t="s">
        <v>15769</v>
      </c>
      <c r="G1" s="25" t="s">
        <v>15768</v>
      </c>
      <c r="H1" s="22" t="s">
        <v>15980</v>
      </c>
      <c r="K1" s="25" t="s">
        <v>15980</v>
      </c>
    </row>
    <row r="2" spans="1:11">
      <c r="A2" s="24" t="s">
        <v>15801</v>
      </c>
      <c r="B2" s="24" t="s">
        <v>15801</v>
      </c>
      <c r="C2" s="24" t="s">
        <v>15884</v>
      </c>
      <c r="D2" s="24" t="s">
        <v>15965</v>
      </c>
      <c r="E2" s="24" t="s">
        <v>15833</v>
      </c>
      <c r="H2" t="str">
        <f>TRIM(G2)</f>
        <v/>
      </c>
      <c r="J2" t="str">
        <f>IF(LEN(H2)=4,"fout"," ")</f>
        <v xml:space="preserve"> </v>
      </c>
      <c r="K2" s="24" t="s">
        <v>15801</v>
      </c>
    </row>
    <row r="3" spans="1:11">
      <c r="A3" s="24" t="s">
        <v>15802</v>
      </c>
      <c r="B3" s="24" t="s">
        <v>15802</v>
      </c>
      <c r="C3" s="24" t="s">
        <v>15801</v>
      </c>
      <c r="D3" s="24" t="s">
        <v>15965</v>
      </c>
      <c r="E3" s="24" t="s">
        <v>15801</v>
      </c>
      <c r="F3" s="29" t="s">
        <v>2747</v>
      </c>
      <c r="H3" s="11" t="str">
        <f t="shared" ref="H3:H66" si="0">TRIM(G3)</f>
        <v/>
      </c>
      <c r="J3" s="11" t="str">
        <f t="shared" ref="J3:J66" si="1">IF(LEN(H3)=4,"fout"," ")</f>
        <v xml:space="preserve"> </v>
      </c>
      <c r="K3" s="24" t="s">
        <v>15801</v>
      </c>
    </row>
    <row r="4" spans="1:11">
      <c r="A4" s="24" t="s">
        <v>15803</v>
      </c>
      <c r="B4" s="24" t="s">
        <v>15803</v>
      </c>
      <c r="C4" s="24" t="s">
        <v>15885</v>
      </c>
      <c r="D4" s="24" t="s">
        <v>15900</v>
      </c>
      <c r="E4" s="24" t="s">
        <v>15823</v>
      </c>
      <c r="F4" s="29" t="s">
        <v>15973</v>
      </c>
      <c r="G4" s="24" t="s">
        <v>37</v>
      </c>
      <c r="H4" s="11" t="str">
        <f t="shared" si="0"/>
        <v>07/12/1866</v>
      </c>
      <c r="J4" s="11" t="str">
        <f t="shared" si="1"/>
        <v xml:space="preserve"> </v>
      </c>
      <c r="K4" s="24" t="s">
        <v>37</v>
      </c>
    </row>
    <row r="5" spans="1:11">
      <c r="A5" s="24" t="s">
        <v>15801</v>
      </c>
      <c r="B5" s="24" t="s">
        <v>15853</v>
      </c>
      <c r="C5" s="24" t="s">
        <v>15801</v>
      </c>
      <c r="D5" s="24" t="s">
        <v>15899</v>
      </c>
      <c r="E5" s="24" t="s">
        <v>15814</v>
      </c>
      <c r="H5" s="11" t="str">
        <f t="shared" si="0"/>
        <v/>
      </c>
      <c r="J5" s="11" t="str">
        <f t="shared" si="1"/>
        <v xml:space="preserve"> </v>
      </c>
      <c r="K5" s="24" t="s">
        <v>15801</v>
      </c>
    </row>
    <row r="6" spans="1:11">
      <c r="A6" s="24" t="s">
        <v>15804</v>
      </c>
      <c r="B6" s="24" t="s">
        <v>15804</v>
      </c>
      <c r="C6" s="24" t="s">
        <v>15886</v>
      </c>
      <c r="D6" s="24" t="s">
        <v>15965</v>
      </c>
      <c r="E6" s="24" t="s">
        <v>15844</v>
      </c>
      <c r="F6" s="29" t="s">
        <v>41</v>
      </c>
      <c r="G6" s="24" t="s">
        <v>43</v>
      </c>
      <c r="H6" s="11" t="str">
        <f t="shared" si="0"/>
        <v>11/12/1854</v>
      </c>
      <c r="J6" s="11" t="str">
        <f t="shared" si="1"/>
        <v xml:space="preserve"> </v>
      </c>
      <c r="K6" s="24" t="s">
        <v>43</v>
      </c>
    </row>
    <row r="7" spans="1:11">
      <c r="A7" s="24" t="s">
        <v>15805</v>
      </c>
      <c r="B7" s="24" t="s">
        <v>15805</v>
      </c>
      <c r="C7" s="24" t="s">
        <v>15887</v>
      </c>
      <c r="D7" s="24" t="s">
        <v>15899</v>
      </c>
      <c r="E7" s="24" t="s">
        <v>15801</v>
      </c>
      <c r="F7" s="29" t="s">
        <v>15974</v>
      </c>
      <c r="G7" s="24" t="s">
        <v>52</v>
      </c>
      <c r="H7" s="11" t="str">
        <f t="shared" si="0"/>
        <v>04/09/1856</v>
      </c>
      <c r="J7" s="11" t="str">
        <f t="shared" si="1"/>
        <v xml:space="preserve"> </v>
      </c>
      <c r="K7" s="24" t="s">
        <v>52</v>
      </c>
    </row>
    <row r="8" spans="1:11">
      <c r="A8" s="24" t="s">
        <v>15806</v>
      </c>
      <c r="B8" s="24" t="s">
        <v>15806</v>
      </c>
      <c r="C8" s="24" t="s">
        <v>15886</v>
      </c>
      <c r="D8" s="24" t="s">
        <v>15938</v>
      </c>
      <c r="E8" s="24" t="s">
        <v>15884</v>
      </c>
      <c r="F8" s="29" t="s">
        <v>56</v>
      </c>
      <c r="G8" s="24" t="s">
        <v>58</v>
      </c>
      <c r="H8" s="11" t="str">
        <f t="shared" si="0"/>
        <v>20/12/1854</v>
      </c>
      <c r="J8" s="11" t="str">
        <f t="shared" si="1"/>
        <v xml:space="preserve"> </v>
      </c>
      <c r="K8" s="24" t="s">
        <v>58</v>
      </c>
    </row>
    <row r="9" spans="1:11">
      <c r="A9" s="24" t="s">
        <v>15807</v>
      </c>
      <c r="B9" s="24" t="s">
        <v>15807</v>
      </c>
      <c r="C9" s="24" t="s">
        <v>15888</v>
      </c>
      <c r="D9" s="24" t="s">
        <v>15801</v>
      </c>
      <c r="E9" s="24" t="s">
        <v>15921</v>
      </c>
      <c r="F9" s="29" t="s">
        <v>15975</v>
      </c>
      <c r="G9" s="24" t="s">
        <v>65</v>
      </c>
      <c r="H9" s="11" t="str">
        <f t="shared" si="0"/>
        <v>04/11/1864</v>
      </c>
      <c r="J9" s="11" t="str">
        <f t="shared" si="1"/>
        <v xml:space="preserve"> </v>
      </c>
      <c r="K9" s="24" t="s">
        <v>65</v>
      </c>
    </row>
    <row r="10" spans="1:11">
      <c r="A10" s="24" t="s">
        <v>15808</v>
      </c>
      <c r="B10" s="24" t="s">
        <v>15808</v>
      </c>
      <c r="C10" s="24" t="s">
        <v>15884</v>
      </c>
      <c r="D10" s="24" t="s">
        <v>15900</v>
      </c>
      <c r="E10" s="24" t="s">
        <v>15823</v>
      </c>
      <c r="F10" s="29" t="s">
        <v>70</v>
      </c>
      <c r="G10" s="24" t="s">
        <v>72</v>
      </c>
      <c r="H10" s="11" t="str">
        <f t="shared" si="0"/>
        <v>06/02/1838</v>
      </c>
      <c r="J10" s="11" t="str">
        <f t="shared" si="1"/>
        <v xml:space="preserve"> </v>
      </c>
      <c r="K10" s="24" t="s">
        <v>72</v>
      </c>
    </row>
    <row r="11" spans="1:11">
      <c r="A11" s="24" t="s">
        <v>15809</v>
      </c>
      <c r="B11" s="24" t="s">
        <v>15809</v>
      </c>
      <c r="C11" s="24" t="s">
        <v>15886</v>
      </c>
      <c r="D11" s="24" t="s">
        <v>15900</v>
      </c>
      <c r="E11" s="24" t="s">
        <v>15801</v>
      </c>
      <c r="F11" s="29" t="s">
        <v>2755</v>
      </c>
      <c r="G11" s="24">
        <v>1854</v>
      </c>
      <c r="H11" s="11"/>
      <c r="J11" s="11" t="str">
        <f t="shared" si="1"/>
        <v xml:space="preserve"> </v>
      </c>
    </row>
    <row r="12" spans="1:11">
      <c r="A12" s="24" t="s">
        <v>15808</v>
      </c>
      <c r="B12" s="24" t="s">
        <v>15808</v>
      </c>
      <c r="C12" s="24" t="s">
        <v>15801</v>
      </c>
      <c r="D12" s="24" t="s">
        <v>15915</v>
      </c>
      <c r="E12" s="24" t="s">
        <v>15810</v>
      </c>
      <c r="F12" s="29" t="s">
        <v>166</v>
      </c>
      <c r="H12" s="11" t="str">
        <f t="shared" si="0"/>
        <v/>
      </c>
      <c r="J12" s="11" t="str">
        <f t="shared" si="1"/>
        <v xml:space="preserve"> </v>
      </c>
      <c r="K12" s="24" t="s">
        <v>15801</v>
      </c>
    </row>
    <row r="13" spans="1:11">
      <c r="A13" s="24" t="s">
        <v>15810</v>
      </c>
      <c r="B13" s="24" t="s">
        <v>15810</v>
      </c>
      <c r="C13" s="24" t="s">
        <v>15889</v>
      </c>
      <c r="D13" s="24" t="s">
        <v>15900</v>
      </c>
      <c r="E13" s="24" t="s">
        <v>15884</v>
      </c>
      <c r="F13" s="29" t="s">
        <v>170</v>
      </c>
      <c r="G13" s="24" t="s">
        <v>172</v>
      </c>
      <c r="H13" s="11" t="str">
        <f t="shared" si="0"/>
        <v>06/10/1865</v>
      </c>
      <c r="J13" s="11" t="str">
        <f t="shared" si="1"/>
        <v xml:space="preserve"> </v>
      </c>
      <c r="K13" s="24" t="s">
        <v>172</v>
      </c>
    </row>
    <row r="14" spans="1:11">
      <c r="A14" s="24" t="s">
        <v>15811</v>
      </c>
      <c r="B14" s="24" t="s">
        <v>15811</v>
      </c>
      <c r="C14" s="24" t="s">
        <v>15880</v>
      </c>
      <c r="D14" s="24" t="s">
        <v>15884</v>
      </c>
      <c r="E14" s="24" t="s">
        <v>15956</v>
      </c>
      <c r="F14" s="29" t="s">
        <v>80</v>
      </c>
      <c r="G14" s="24" t="s">
        <v>82</v>
      </c>
      <c r="H14" s="11" t="str">
        <f t="shared" si="0"/>
        <v>28/07/1892</v>
      </c>
      <c r="J14" s="11" t="str">
        <f t="shared" si="1"/>
        <v xml:space="preserve"> </v>
      </c>
      <c r="K14" s="24" t="s">
        <v>82</v>
      </c>
    </row>
    <row r="15" spans="1:11">
      <c r="A15" s="24" t="s">
        <v>15812</v>
      </c>
      <c r="B15" s="24" t="s">
        <v>15812</v>
      </c>
      <c r="C15" s="24" t="s">
        <v>15801</v>
      </c>
      <c r="D15" s="24" t="s">
        <v>15901</v>
      </c>
      <c r="E15" s="24" t="s">
        <v>15840</v>
      </c>
      <c r="F15" s="29" t="s">
        <v>102</v>
      </c>
      <c r="H15" s="11" t="str">
        <f t="shared" si="0"/>
        <v/>
      </c>
      <c r="J15" s="11" t="str">
        <f t="shared" si="1"/>
        <v xml:space="preserve"> </v>
      </c>
      <c r="K15" s="24" t="s">
        <v>15801</v>
      </c>
    </row>
    <row r="16" spans="1:11">
      <c r="A16" s="24" t="s">
        <v>15803</v>
      </c>
      <c r="B16" s="24" t="s">
        <v>15803</v>
      </c>
      <c r="C16" s="24" t="s">
        <v>15890</v>
      </c>
      <c r="D16" s="24" t="s">
        <v>15901</v>
      </c>
      <c r="E16" s="24" t="s">
        <v>15945</v>
      </c>
      <c r="F16" s="29" t="s">
        <v>92</v>
      </c>
      <c r="G16" s="24" t="s">
        <v>94</v>
      </c>
      <c r="H16" s="11" t="str">
        <f t="shared" si="0"/>
        <v>03/11/1875</v>
      </c>
      <c r="J16" s="11" t="str">
        <f t="shared" si="1"/>
        <v xml:space="preserve"> </v>
      </c>
      <c r="K16" s="24" t="s">
        <v>94</v>
      </c>
    </row>
    <row r="17" spans="1:11">
      <c r="A17" s="24" t="s">
        <v>15801</v>
      </c>
      <c r="B17" s="24" t="s">
        <v>15804</v>
      </c>
      <c r="C17" s="24" t="s">
        <v>15801</v>
      </c>
      <c r="D17" s="24" t="s">
        <v>15899</v>
      </c>
      <c r="E17" s="24" t="s">
        <v>15801</v>
      </c>
      <c r="H17" s="11" t="str">
        <f t="shared" si="0"/>
        <v/>
      </c>
      <c r="J17" s="11" t="str">
        <f t="shared" si="1"/>
        <v xml:space="preserve"> </v>
      </c>
      <c r="K17" s="24" t="s">
        <v>15801</v>
      </c>
    </row>
    <row r="18" spans="1:11">
      <c r="A18" s="24" t="s">
        <v>15801</v>
      </c>
      <c r="B18" s="24" t="s">
        <v>15815</v>
      </c>
      <c r="C18" s="24" t="s">
        <v>15888</v>
      </c>
      <c r="D18" s="24" t="s">
        <v>15915</v>
      </c>
      <c r="E18" s="24" t="s">
        <v>15870</v>
      </c>
      <c r="G18" s="24" t="s">
        <v>135</v>
      </c>
      <c r="H18" s="11" t="str">
        <f t="shared" si="0"/>
        <v>11/03/1864</v>
      </c>
      <c r="J18" s="11" t="str">
        <f t="shared" si="1"/>
        <v xml:space="preserve"> </v>
      </c>
      <c r="K18" s="24" t="s">
        <v>135</v>
      </c>
    </row>
    <row r="19" spans="1:11">
      <c r="A19" s="24" t="s">
        <v>15813</v>
      </c>
      <c r="B19" s="24" t="s">
        <v>15813</v>
      </c>
      <c r="C19" s="24" t="s">
        <v>15891</v>
      </c>
      <c r="D19" s="24" t="s">
        <v>15925</v>
      </c>
      <c r="E19" s="24" t="s">
        <v>15863</v>
      </c>
      <c r="F19" s="29" t="s">
        <v>144</v>
      </c>
      <c r="G19" s="24" t="s">
        <v>147</v>
      </c>
      <c r="H19" s="11" t="str">
        <f t="shared" si="0"/>
        <v>19/07/1883</v>
      </c>
      <c r="J19" s="11" t="str">
        <f t="shared" si="1"/>
        <v xml:space="preserve"> </v>
      </c>
      <c r="K19" s="24" t="s">
        <v>147</v>
      </c>
    </row>
    <row r="20" spans="1:11">
      <c r="A20" s="24" t="s">
        <v>15814</v>
      </c>
      <c r="B20" s="24" t="s">
        <v>15814</v>
      </c>
      <c r="C20" s="24" t="s">
        <v>15892</v>
      </c>
      <c r="D20" s="24" t="s">
        <v>15876</v>
      </c>
      <c r="E20" s="24" t="s">
        <v>15864</v>
      </c>
      <c r="F20" s="29" t="s">
        <v>110</v>
      </c>
      <c r="G20" s="24" t="s">
        <v>113</v>
      </c>
      <c r="H20" s="11" t="str">
        <f t="shared" si="0"/>
        <v>28/08/1871</v>
      </c>
      <c r="J20" s="11" t="str">
        <f t="shared" si="1"/>
        <v xml:space="preserve"> </v>
      </c>
      <c r="K20" s="24" t="s">
        <v>113</v>
      </c>
    </row>
    <row r="21" spans="1:11">
      <c r="A21" s="24" t="s">
        <v>15815</v>
      </c>
      <c r="B21" s="24" t="s">
        <v>15815</v>
      </c>
      <c r="C21" s="24" t="s">
        <v>15893</v>
      </c>
      <c r="E21" s="24" t="s">
        <v>15801</v>
      </c>
      <c r="F21" s="29" t="s">
        <v>118</v>
      </c>
      <c r="G21" s="24" t="s">
        <v>121</v>
      </c>
      <c r="H21" s="11" t="str">
        <f t="shared" si="0"/>
        <v>04/06/1879</v>
      </c>
      <c r="J21" s="11" t="str">
        <f t="shared" si="1"/>
        <v xml:space="preserve"> </v>
      </c>
      <c r="K21" s="24" t="s">
        <v>121</v>
      </c>
    </row>
    <row r="22" spans="1:11">
      <c r="A22" s="24" t="s">
        <v>15801</v>
      </c>
      <c r="B22" s="24" t="s">
        <v>15824</v>
      </c>
      <c r="C22" s="24" t="s">
        <v>15801</v>
      </c>
      <c r="E22" s="24" t="s">
        <v>15819</v>
      </c>
      <c r="H22" s="11" t="str">
        <f t="shared" si="0"/>
        <v/>
      </c>
      <c r="J22" s="11" t="str">
        <f t="shared" si="1"/>
        <v xml:space="preserve"> </v>
      </c>
      <c r="K22" s="24" t="s">
        <v>15801</v>
      </c>
    </row>
    <row r="23" spans="1:11">
      <c r="A23" s="24" t="s">
        <v>15816</v>
      </c>
      <c r="B23" s="24" t="s">
        <v>15816</v>
      </c>
      <c r="C23" s="24" t="s">
        <v>15894</v>
      </c>
      <c r="D23" s="24" t="s">
        <v>15899</v>
      </c>
      <c r="E23" s="24" t="s">
        <v>15870</v>
      </c>
      <c r="F23" s="29" t="s">
        <v>123</v>
      </c>
      <c r="G23" s="24" t="s">
        <v>1156</v>
      </c>
      <c r="H23" s="11" t="str">
        <f t="shared" si="0"/>
        <v>17/05/1901</v>
      </c>
      <c r="J23" s="11" t="str">
        <f t="shared" si="1"/>
        <v xml:space="preserve"> </v>
      </c>
      <c r="K23" s="24" t="s">
        <v>15981</v>
      </c>
    </row>
    <row r="24" spans="1:11">
      <c r="A24" s="24" t="s">
        <v>15802</v>
      </c>
      <c r="B24" s="24" t="s">
        <v>15802</v>
      </c>
      <c r="C24" s="24" t="s">
        <v>15801</v>
      </c>
      <c r="D24" s="24" t="s">
        <v>15899</v>
      </c>
      <c r="E24" s="24" t="s">
        <v>15908</v>
      </c>
      <c r="F24" s="29" t="s">
        <v>105</v>
      </c>
      <c r="H24" s="11" t="str">
        <f t="shared" si="0"/>
        <v/>
      </c>
      <c r="J24" s="11" t="str">
        <f t="shared" si="1"/>
        <v xml:space="preserve"> </v>
      </c>
      <c r="K24" s="24" t="s">
        <v>15801</v>
      </c>
    </row>
    <row r="25" spans="1:11">
      <c r="A25" s="24" t="s">
        <v>15817</v>
      </c>
      <c r="B25" s="24" t="s">
        <v>15817</v>
      </c>
      <c r="C25" s="24" t="s">
        <v>15895</v>
      </c>
      <c r="D25" s="24" t="s">
        <v>15948</v>
      </c>
      <c r="E25" s="24" t="s">
        <v>15801</v>
      </c>
      <c r="F25" s="29" t="s">
        <v>855</v>
      </c>
      <c r="G25" s="24" t="s">
        <v>141</v>
      </c>
      <c r="H25" s="11" t="str">
        <f t="shared" si="0"/>
        <v>22/12/1884</v>
      </c>
      <c r="J25" s="11" t="str">
        <f t="shared" si="1"/>
        <v xml:space="preserve"> </v>
      </c>
      <c r="K25" s="24" t="s">
        <v>141</v>
      </c>
    </row>
    <row r="26" spans="1:11">
      <c r="A26" s="24" t="s">
        <v>15810</v>
      </c>
      <c r="B26" s="24" t="s">
        <v>15810</v>
      </c>
      <c r="C26" s="24" t="s">
        <v>15885</v>
      </c>
      <c r="D26" s="24" t="s">
        <v>15901</v>
      </c>
      <c r="E26" s="24" t="s">
        <v>15899</v>
      </c>
      <c r="F26" s="29" t="s">
        <v>157</v>
      </c>
      <c r="G26" s="24" t="s">
        <v>161</v>
      </c>
      <c r="H26" s="11" t="str">
        <f t="shared" si="0"/>
        <v>28/10/1866</v>
      </c>
      <c r="J26" s="11" t="str">
        <f t="shared" si="1"/>
        <v xml:space="preserve"> </v>
      </c>
      <c r="K26" s="24" t="s">
        <v>161</v>
      </c>
    </row>
    <row r="27" spans="1:11">
      <c r="A27" s="24" t="s">
        <v>15802</v>
      </c>
      <c r="B27" s="24" t="s">
        <v>15802</v>
      </c>
      <c r="C27" s="24" t="s">
        <v>15896</v>
      </c>
      <c r="D27" s="24" t="s">
        <v>15870</v>
      </c>
      <c r="E27" s="24" t="s">
        <v>15884</v>
      </c>
      <c r="F27" s="29" t="s">
        <v>180</v>
      </c>
      <c r="G27" s="24" t="s">
        <v>181</v>
      </c>
      <c r="H27" s="11" t="str">
        <f t="shared" si="0"/>
        <v>06/10/1887</v>
      </c>
      <c r="J27" s="11" t="str">
        <f t="shared" si="1"/>
        <v xml:space="preserve"> </v>
      </c>
      <c r="K27" s="24" t="s">
        <v>181</v>
      </c>
    </row>
    <row r="28" spans="1:11">
      <c r="A28" s="24" t="s">
        <v>15801</v>
      </c>
      <c r="B28" s="24" t="s">
        <v>15865</v>
      </c>
      <c r="C28" s="24" t="s">
        <v>15801</v>
      </c>
      <c r="E28" s="24" t="s">
        <v>15821</v>
      </c>
      <c r="H28" s="11" t="str">
        <f t="shared" si="0"/>
        <v/>
      </c>
      <c r="J28" s="11" t="str">
        <f t="shared" si="1"/>
        <v xml:space="preserve"> </v>
      </c>
      <c r="K28" s="24" t="s">
        <v>15801</v>
      </c>
    </row>
    <row r="29" spans="1:11">
      <c r="A29" s="24" t="s">
        <v>15816</v>
      </c>
      <c r="B29" s="24" t="s">
        <v>15816</v>
      </c>
      <c r="C29" s="24" t="s">
        <v>15801</v>
      </c>
      <c r="D29" s="24" t="s">
        <v>15801</v>
      </c>
      <c r="E29" s="24" t="s">
        <v>15801</v>
      </c>
      <c r="F29" s="29" t="s">
        <v>202</v>
      </c>
      <c r="H29" s="11" t="str">
        <f t="shared" si="0"/>
        <v/>
      </c>
      <c r="J29" s="11" t="str">
        <f t="shared" si="1"/>
        <v xml:space="preserve"> </v>
      </c>
      <c r="K29" s="24" t="s">
        <v>15801</v>
      </c>
    </row>
    <row r="30" spans="1:11">
      <c r="A30" s="24" t="s">
        <v>15801</v>
      </c>
      <c r="B30" s="24" t="s">
        <v>15831</v>
      </c>
      <c r="C30" s="24" t="s">
        <v>15801</v>
      </c>
      <c r="D30" s="24" t="s">
        <v>15900</v>
      </c>
      <c r="E30" s="24" t="s">
        <v>15803</v>
      </c>
      <c r="H30" s="11" t="str">
        <f t="shared" si="0"/>
        <v/>
      </c>
      <c r="J30" s="11" t="str">
        <f t="shared" si="1"/>
        <v xml:space="preserve"> </v>
      </c>
      <c r="K30" s="24" t="s">
        <v>15801</v>
      </c>
    </row>
    <row r="31" spans="1:11">
      <c r="A31" s="24" t="s">
        <v>15801</v>
      </c>
      <c r="B31" s="24" t="s">
        <v>15832</v>
      </c>
      <c r="C31" s="24" t="s">
        <v>15801</v>
      </c>
      <c r="D31" s="24" t="s">
        <v>15900</v>
      </c>
      <c r="E31" s="24" t="s">
        <v>15801</v>
      </c>
      <c r="H31" s="11" t="str">
        <f t="shared" si="0"/>
        <v/>
      </c>
      <c r="J31" s="11" t="str">
        <f t="shared" si="1"/>
        <v xml:space="preserve"> </v>
      </c>
      <c r="K31" s="24" t="s">
        <v>15801</v>
      </c>
    </row>
    <row r="32" spans="1:11">
      <c r="A32" s="24" t="s">
        <v>15818</v>
      </c>
      <c r="B32" s="24" t="s">
        <v>15818</v>
      </c>
      <c r="C32" s="24" t="s">
        <v>15801</v>
      </c>
      <c r="D32" s="24" t="s">
        <v>15900</v>
      </c>
      <c r="E32" s="24" t="s">
        <v>15884</v>
      </c>
      <c r="H32" s="11" t="str">
        <f t="shared" si="0"/>
        <v/>
      </c>
      <c r="J32" s="11" t="str">
        <f t="shared" si="1"/>
        <v xml:space="preserve"> </v>
      </c>
      <c r="K32" s="24" t="s">
        <v>15801</v>
      </c>
    </row>
    <row r="33" spans="1:11">
      <c r="A33" s="24" t="s">
        <v>15806</v>
      </c>
      <c r="B33" s="24" t="s">
        <v>15806</v>
      </c>
      <c r="C33" s="24" t="s">
        <v>15801</v>
      </c>
      <c r="E33" s="24" t="s">
        <v>15801</v>
      </c>
      <c r="F33" s="29" t="s">
        <v>198</v>
      </c>
      <c r="H33" s="11" t="str">
        <f t="shared" si="0"/>
        <v/>
      </c>
      <c r="J33" s="11" t="str">
        <f t="shared" si="1"/>
        <v xml:space="preserve"> </v>
      </c>
      <c r="K33" s="24" t="s">
        <v>15801</v>
      </c>
    </row>
    <row r="34" spans="1:11">
      <c r="A34" s="24" t="s">
        <v>15801</v>
      </c>
      <c r="B34" s="24" t="s">
        <v>15837</v>
      </c>
      <c r="C34" s="24" t="s">
        <v>15801</v>
      </c>
      <c r="D34" s="24" t="s">
        <v>15801</v>
      </c>
      <c r="E34" s="24" t="s">
        <v>15828</v>
      </c>
      <c r="H34" s="11" t="str">
        <f t="shared" si="0"/>
        <v/>
      </c>
      <c r="J34" s="11" t="str">
        <f t="shared" si="1"/>
        <v xml:space="preserve"> </v>
      </c>
      <c r="K34" s="24" t="s">
        <v>15801</v>
      </c>
    </row>
    <row r="35" spans="1:11">
      <c r="A35" s="24" t="s">
        <v>15801</v>
      </c>
      <c r="B35" s="24" t="s">
        <v>15840</v>
      </c>
      <c r="C35" s="24" t="s">
        <v>15801</v>
      </c>
      <c r="D35" s="24" t="s">
        <v>15900</v>
      </c>
      <c r="E35" s="24" t="s">
        <v>15823</v>
      </c>
      <c r="H35" s="11" t="str">
        <f t="shared" si="0"/>
        <v/>
      </c>
      <c r="J35" s="11" t="str">
        <f t="shared" si="1"/>
        <v xml:space="preserve"> </v>
      </c>
      <c r="K35" s="24" t="s">
        <v>15801</v>
      </c>
    </row>
    <row r="36" spans="1:11">
      <c r="A36" s="24" t="s">
        <v>15819</v>
      </c>
      <c r="B36" s="24" t="s">
        <v>15819</v>
      </c>
      <c r="C36" s="24" t="s">
        <v>15897</v>
      </c>
      <c r="D36" s="24" t="s">
        <v>15915</v>
      </c>
      <c r="E36" s="24" t="s">
        <v>15915</v>
      </c>
      <c r="F36" s="29" t="s">
        <v>226</v>
      </c>
      <c r="G36" s="24" t="s">
        <v>227</v>
      </c>
      <c r="H36" s="11" t="str">
        <f t="shared" si="0"/>
        <v>01/10/1861</v>
      </c>
      <c r="J36" s="11" t="str">
        <f t="shared" si="1"/>
        <v xml:space="preserve"> </v>
      </c>
      <c r="K36" s="24" t="s">
        <v>227</v>
      </c>
    </row>
    <row r="37" spans="1:11">
      <c r="A37" s="24" t="s">
        <v>15801</v>
      </c>
      <c r="B37" s="24" t="s">
        <v>15808</v>
      </c>
      <c r="C37" s="24" t="s">
        <v>15898</v>
      </c>
      <c r="D37" s="24" t="s">
        <v>15915</v>
      </c>
      <c r="E37" s="24" t="s">
        <v>15827</v>
      </c>
      <c r="G37" s="24">
        <v>1848</v>
      </c>
      <c r="H37" s="11"/>
      <c r="J37" s="11" t="str">
        <f t="shared" si="1"/>
        <v xml:space="preserve"> </v>
      </c>
    </row>
    <row r="38" spans="1:11">
      <c r="A38" s="24" t="s">
        <v>15801</v>
      </c>
      <c r="B38" s="24" t="s">
        <v>15839</v>
      </c>
      <c r="C38" s="24" t="s">
        <v>15886</v>
      </c>
      <c r="D38" s="24" t="s">
        <v>15884</v>
      </c>
      <c r="E38" s="24" t="s">
        <v>15945</v>
      </c>
      <c r="G38" s="24" t="s">
        <v>239</v>
      </c>
      <c r="H38" s="11" t="str">
        <f t="shared" si="0"/>
        <v>12/09/1854</v>
      </c>
      <c r="J38" s="11" t="str">
        <f t="shared" si="1"/>
        <v xml:space="preserve"> </v>
      </c>
      <c r="K38" s="24" t="s">
        <v>239</v>
      </c>
    </row>
    <row r="39" spans="1:11">
      <c r="A39" s="24" t="s">
        <v>15801</v>
      </c>
      <c r="B39" s="24" t="s">
        <v>15837</v>
      </c>
      <c r="C39" s="24" t="s">
        <v>15899</v>
      </c>
      <c r="D39" s="24" t="s">
        <v>15915</v>
      </c>
      <c r="E39" s="24" t="s">
        <v>15841</v>
      </c>
      <c r="G39" s="24" t="s">
        <v>263</v>
      </c>
      <c r="H39" s="11" t="str">
        <f t="shared" si="0"/>
        <v>14/05/1840</v>
      </c>
      <c r="J39" s="11" t="str">
        <f t="shared" si="1"/>
        <v xml:space="preserve"> </v>
      </c>
      <c r="K39" s="24" t="s">
        <v>263</v>
      </c>
    </row>
    <row r="40" spans="1:11">
      <c r="A40" s="24" t="s">
        <v>15801</v>
      </c>
      <c r="B40" s="24" t="s">
        <v>15814</v>
      </c>
      <c r="C40" s="24" t="s">
        <v>15801</v>
      </c>
      <c r="D40" s="24" t="s">
        <v>15801</v>
      </c>
      <c r="E40" s="24" t="s">
        <v>15844</v>
      </c>
      <c r="H40" s="11" t="str">
        <f t="shared" si="0"/>
        <v/>
      </c>
      <c r="J40" s="11" t="str">
        <f t="shared" si="1"/>
        <v xml:space="preserve"> </v>
      </c>
      <c r="K40" s="24" t="s">
        <v>15801</v>
      </c>
    </row>
    <row r="41" spans="1:11">
      <c r="A41" s="24" t="s">
        <v>15801</v>
      </c>
      <c r="B41" s="24" t="s">
        <v>15841</v>
      </c>
      <c r="C41" s="24" t="s">
        <v>15801</v>
      </c>
      <c r="D41" s="24" t="s">
        <v>15870</v>
      </c>
      <c r="E41" s="24" t="s">
        <v>15811</v>
      </c>
      <c r="H41" s="11" t="str">
        <f t="shared" si="0"/>
        <v/>
      </c>
      <c r="J41" s="11" t="str">
        <f t="shared" si="1"/>
        <v xml:space="preserve"> </v>
      </c>
      <c r="K41" s="24" t="s">
        <v>15801</v>
      </c>
    </row>
    <row r="42" spans="1:11">
      <c r="A42" s="24" t="s">
        <v>15801</v>
      </c>
      <c r="B42" s="24" t="s">
        <v>15822</v>
      </c>
      <c r="C42" s="24" t="s">
        <v>15801</v>
      </c>
      <c r="D42" s="24" t="s">
        <v>15801</v>
      </c>
      <c r="E42" s="24" t="s">
        <v>15807</v>
      </c>
      <c r="H42" s="11" t="str">
        <f t="shared" si="0"/>
        <v/>
      </c>
      <c r="J42" s="11" t="str">
        <f t="shared" si="1"/>
        <v xml:space="preserve"> </v>
      </c>
      <c r="K42" s="24" t="s">
        <v>15801</v>
      </c>
    </row>
    <row r="43" spans="1:11">
      <c r="A43" s="24" t="s">
        <v>15801</v>
      </c>
      <c r="B43" s="24" t="s">
        <v>15850</v>
      </c>
      <c r="C43" s="24" t="s">
        <v>15801</v>
      </c>
      <c r="D43" s="24" t="s">
        <v>15966</v>
      </c>
      <c r="E43" s="24" t="s">
        <v>15817</v>
      </c>
      <c r="H43" s="11" t="str">
        <f t="shared" si="0"/>
        <v/>
      </c>
      <c r="J43" s="11" t="str">
        <f t="shared" si="1"/>
        <v xml:space="preserve"> </v>
      </c>
      <c r="K43" s="24" t="s">
        <v>15801</v>
      </c>
    </row>
    <row r="44" spans="1:11">
      <c r="A44" s="24" t="s">
        <v>15801</v>
      </c>
      <c r="B44" s="24" t="s">
        <v>15815</v>
      </c>
      <c r="C44" s="24" t="s">
        <v>15900</v>
      </c>
      <c r="D44" s="24" t="s">
        <v>15900</v>
      </c>
      <c r="E44" s="24" t="s">
        <v>15851</v>
      </c>
      <c r="G44" s="24" t="s">
        <v>288</v>
      </c>
      <c r="H44" s="11" t="str">
        <f t="shared" si="0"/>
        <v>25/09/1837</v>
      </c>
      <c r="J44" s="11" t="str">
        <f t="shared" si="1"/>
        <v xml:space="preserve"> </v>
      </c>
      <c r="K44" s="24" t="s">
        <v>288</v>
      </c>
    </row>
    <row r="45" spans="1:11">
      <c r="A45" s="24" t="s">
        <v>15801</v>
      </c>
      <c r="B45" s="24" t="s">
        <v>15807</v>
      </c>
      <c r="C45" s="24" t="s">
        <v>15900</v>
      </c>
      <c r="D45" s="24" t="s">
        <v>15900</v>
      </c>
      <c r="E45" s="24" t="s">
        <v>15851</v>
      </c>
      <c r="G45" s="24" t="s">
        <v>288</v>
      </c>
      <c r="H45" s="11" t="str">
        <f t="shared" si="0"/>
        <v>25/09/1837</v>
      </c>
      <c r="J45" s="11" t="str">
        <f t="shared" si="1"/>
        <v xml:space="preserve"> </v>
      </c>
      <c r="K45" s="24" t="s">
        <v>288</v>
      </c>
    </row>
    <row r="46" spans="1:11">
      <c r="A46" s="24" t="s">
        <v>15806</v>
      </c>
      <c r="B46" s="24" t="s">
        <v>15806</v>
      </c>
      <c r="C46" s="24" t="s">
        <v>15801</v>
      </c>
      <c r="D46" s="24" t="s">
        <v>15948</v>
      </c>
      <c r="E46" s="24" t="s">
        <v>15870</v>
      </c>
      <c r="F46" s="29" t="s">
        <v>279</v>
      </c>
      <c r="H46" s="11" t="str">
        <f t="shared" si="0"/>
        <v/>
      </c>
      <c r="J46" s="11" t="str">
        <f t="shared" si="1"/>
        <v xml:space="preserve"> </v>
      </c>
      <c r="K46" s="24" t="s">
        <v>15801</v>
      </c>
    </row>
    <row r="47" spans="1:11">
      <c r="A47" s="24" t="s">
        <v>15801</v>
      </c>
      <c r="B47" s="24" t="s">
        <v>15850</v>
      </c>
      <c r="C47" s="24" t="s">
        <v>15801</v>
      </c>
      <c r="D47" s="24" t="s">
        <v>15884</v>
      </c>
      <c r="E47" s="24" t="s">
        <v>15811</v>
      </c>
      <c r="H47" s="11" t="str">
        <f t="shared" si="0"/>
        <v/>
      </c>
      <c r="J47" s="11" t="str">
        <f t="shared" si="1"/>
        <v xml:space="preserve"> </v>
      </c>
      <c r="K47" s="24" t="s">
        <v>15801</v>
      </c>
    </row>
    <row r="48" spans="1:11">
      <c r="A48" s="24" t="s">
        <v>15801</v>
      </c>
      <c r="B48" s="24" t="s">
        <v>15835</v>
      </c>
      <c r="C48" s="24" t="s">
        <v>15801</v>
      </c>
      <c r="D48" s="24" t="s">
        <v>15900</v>
      </c>
      <c r="E48" s="24" t="s">
        <v>15820</v>
      </c>
      <c r="H48" s="11" t="str">
        <f t="shared" si="0"/>
        <v/>
      </c>
      <c r="J48" s="11" t="str">
        <f t="shared" si="1"/>
        <v xml:space="preserve"> </v>
      </c>
      <c r="K48" s="24" t="s">
        <v>15801</v>
      </c>
    </row>
    <row r="49" spans="1:11">
      <c r="A49" s="24" t="s">
        <v>15801</v>
      </c>
      <c r="B49" s="24" t="s">
        <v>15837</v>
      </c>
      <c r="C49" s="24" t="s">
        <v>15801</v>
      </c>
      <c r="D49" s="24" t="s">
        <v>15900</v>
      </c>
      <c r="E49" s="24" t="s">
        <v>15945</v>
      </c>
      <c r="H49" s="11" t="str">
        <f t="shared" si="0"/>
        <v/>
      </c>
      <c r="J49" s="11" t="str">
        <f t="shared" si="1"/>
        <v xml:space="preserve"> </v>
      </c>
      <c r="K49" s="24" t="s">
        <v>15801</v>
      </c>
    </row>
    <row r="50" spans="1:11">
      <c r="A50" s="24" t="s">
        <v>15801</v>
      </c>
      <c r="B50" s="24" t="s">
        <v>15846</v>
      </c>
      <c r="C50" s="24" t="s">
        <v>15884</v>
      </c>
      <c r="D50" s="24" t="s">
        <v>15900</v>
      </c>
      <c r="E50" s="24" t="s">
        <v>15806</v>
      </c>
      <c r="G50" s="24" t="s">
        <v>301</v>
      </c>
      <c r="H50" s="11" t="str">
        <f t="shared" si="0"/>
        <v>17/02/1838</v>
      </c>
      <c r="J50" s="11" t="str">
        <f t="shared" si="1"/>
        <v xml:space="preserve"> </v>
      </c>
      <c r="K50" s="24" t="s">
        <v>301</v>
      </c>
    </row>
    <row r="51" spans="1:11">
      <c r="A51" s="24" t="s">
        <v>15801</v>
      </c>
      <c r="B51" s="24" t="s">
        <v>15859</v>
      </c>
      <c r="C51" s="24" t="s">
        <v>15901</v>
      </c>
      <c r="D51" s="24" t="s">
        <v>15900</v>
      </c>
      <c r="E51" s="24" t="s">
        <v>15832</v>
      </c>
      <c r="G51" s="24">
        <v>1841</v>
      </c>
      <c r="H51" s="11"/>
      <c r="J51" s="11" t="str">
        <f t="shared" si="1"/>
        <v xml:space="preserve"> </v>
      </c>
    </row>
    <row r="52" spans="1:11">
      <c r="A52" s="24" t="s">
        <v>15820</v>
      </c>
      <c r="B52" s="24" t="s">
        <v>15820</v>
      </c>
      <c r="C52" s="24" t="s">
        <v>15801</v>
      </c>
      <c r="D52" s="24" t="s">
        <v>15900</v>
      </c>
      <c r="E52" s="24" t="s">
        <v>15936</v>
      </c>
      <c r="F52" s="29" t="s">
        <v>327</v>
      </c>
      <c r="H52" s="11" t="str">
        <f t="shared" si="0"/>
        <v/>
      </c>
      <c r="J52" s="11" t="str">
        <f t="shared" si="1"/>
        <v xml:space="preserve"> </v>
      </c>
      <c r="K52" s="24" t="s">
        <v>15801</v>
      </c>
    </row>
    <row r="53" spans="1:11">
      <c r="A53" s="24" t="s">
        <v>15821</v>
      </c>
      <c r="B53" s="24" t="s">
        <v>15821</v>
      </c>
      <c r="C53" s="24" t="s">
        <v>15902</v>
      </c>
      <c r="D53" s="24" t="s">
        <v>15900</v>
      </c>
      <c r="E53" s="24" t="s">
        <v>15971</v>
      </c>
      <c r="F53" s="29" t="s">
        <v>332</v>
      </c>
      <c r="G53" s="24" t="s">
        <v>334</v>
      </c>
      <c r="H53" s="11" t="str">
        <f t="shared" si="0"/>
        <v>03/09/1876</v>
      </c>
      <c r="J53" s="11" t="str">
        <f t="shared" si="1"/>
        <v xml:space="preserve"> </v>
      </c>
      <c r="K53" s="24" t="s">
        <v>334</v>
      </c>
    </row>
    <row r="54" spans="1:11">
      <c r="A54" s="24" t="s">
        <v>15822</v>
      </c>
      <c r="B54" s="24" t="s">
        <v>15822</v>
      </c>
      <c r="C54" s="24" t="s">
        <v>15801</v>
      </c>
      <c r="D54" s="24" t="s">
        <v>15900</v>
      </c>
      <c r="E54" s="24" t="s">
        <v>15821</v>
      </c>
      <c r="H54" s="11" t="str">
        <f t="shared" si="0"/>
        <v/>
      </c>
      <c r="J54" s="11" t="str">
        <f t="shared" si="1"/>
        <v xml:space="preserve"> </v>
      </c>
      <c r="K54" s="24" t="s">
        <v>15801</v>
      </c>
    </row>
    <row r="55" spans="1:11">
      <c r="A55" s="24" t="s">
        <v>15819</v>
      </c>
      <c r="B55" s="24" t="s">
        <v>15819</v>
      </c>
      <c r="C55" s="24" t="s">
        <v>15893</v>
      </c>
      <c r="D55" s="24" t="s">
        <v>15900</v>
      </c>
      <c r="E55" s="24" t="s">
        <v>15876</v>
      </c>
      <c r="F55" s="29" t="s">
        <v>280</v>
      </c>
      <c r="G55" s="24" t="s">
        <v>317</v>
      </c>
      <c r="H55" s="11" t="str">
        <f t="shared" si="0"/>
        <v>02/09/1879</v>
      </c>
      <c r="J55" s="11" t="str">
        <f t="shared" si="1"/>
        <v xml:space="preserve"> </v>
      </c>
      <c r="K55" s="24" t="s">
        <v>317</v>
      </c>
    </row>
    <row r="56" spans="1:11">
      <c r="A56" s="24" t="s">
        <v>15801</v>
      </c>
      <c r="B56" s="24" t="s">
        <v>15846</v>
      </c>
      <c r="C56" s="24" t="s">
        <v>15884</v>
      </c>
      <c r="D56" s="24" t="s">
        <v>15884</v>
      </c>
      <c r="E56" s="24" t="s">
        <v>15825</v>
      </c>
      <c r="G56" s="24" t="s">
        <v>2765</v>
      </c>
      <c r="H56" s="11" t="str">
        <f t="shared" si="0"/>
        <v>27/12/1838</v>
      </c>
      <c r="J56" s="11" t="str">
        <f t="shared" si="1"/>
        <v xml:space="preserve"> </v>
      </c>
      <c r="K56" s="24" t="s">
        <v>2765</v>
      </c>
    </row>
    <row r="57" spans="1:11">
      <c r="A57" s="24" t="s">
        <v>15806</v>
      </c>
      <c r="B57" s="24" t="s">
        <v>15806</v>
      </c>
      <c r="C57" s="24" t="s">
        <v>15801</v>
      </c>
      <c r="D57" s="24" t="s">
        <v>15915</v>
      </c>
      <c r="E57" s="24" t="s">
        <v>15801</v>
      </c>
      <c r="F57" s="29" t="s">
        <v>341</v>
      </c>
      <c r="H57" s="11" t="str">
        <f t="shared" si="0"/>
        <v/>
      </c>
      <c r="J57" s="11" t="str">
        <f t="shared" si="1"/>
        <v xml:space="preserve"> </v>
      </c>
      <c r="K57" s="24" t="s">
        <v>15801</v>
      </c>
    </row>
    <row r="58" spans="1:11">
      <c r="A58" s="24" t="s">
        <v>15819</v>
      </c>
      <c r="B58" s="24" t="s">
        <v>15819</v>
      </c>
      <c r="C58" s="24" t="s">
        <v>15801</v>
      </c>
      <c r="D58" s="24" t="s">
        <v>15884</v>
      </c>
      <c r="E58" s="24" t="s">
        <v>15921</v>
      </c>
      <c r="F58" s="29" t="s">
        <v>312</v>
      </c>
      <c r="H58" s="11" t="str">
        <f t="shared" si="0"/>
        <v/>
      </c>
      <c r="J58" s="11" t="str">
        <f t="shared" si="1"/>
        <v xml:space="preserve"> </v>
      </c>
      <c r="K58" s="24" t="s">
        <v>15801</v>
      </c>
    </row>
    <row r="59" spans="1:11">
      <c r="A59" s="24" t="s">
        <v>15802</v>
      </c>
      <c r="B59" s="24" t="s">
        <v>15802</v>
      </c>
      <c r="C59" s="24" t="s">
        <v>15801</v>
      </c>
      <c r="D59" s="24" t="s">
        <v>15884</v>
      </c>
      <c r="E59" s="24" t="s">
        <v>15870</v>
      </c>
      <c r="F59" s="29" t="s">
        <v>304</v>
      </c>
      <c r="H59" s="11" t="str">
        <f t="shared" si="0"/>
        <v/>
      </c>
      <c r="J59" s="11" t="str">
        <f t="shared" si="1"/>
        <v xml:space="preserve"> </v>
      </c>
      <c r="K59" s="24" t="s">
        <v>15801</v>
      </c>
    </row>
    <row r="60" spans="1:11">
      <c r="A60" s="24" t="s">
        <v>15823</v>
      </c>
      <c r="B60" s="24" t="s">
        <v>15823</v>
      </c>
      <c r="C60" s="24" t="s">
        <v>15801</v>
      </c>
      <c r="D60" s="24" t="s">
        <v>15801</v>
      </c>
      <c r="E60" s="24" t="s">
        <v>15801</v>
      </c>
      <c r="F60" s="29" t="s">
        <v>353</v>
      </c>
      <c r="H60" s="11" t="str">
        <f t="shared" si="0"/>
        <v/>
      </c>
      <c r="J60" s="11" t="str">
        <f t="shared" si="1"/>
        <v xml:space="preserve"> </v>
      </c>
      <c r="K60" s="24" t="s">
        <v>15801</v>
      </c>
    </row>
    <row r="61" spans="1:11">
      <c r="A61" s="24" t="s">
        <v>15801</v>
      </c>
      <c r="B61" s="24" t="s">
        <v>15839</v>
      </c>
      <c r="C61" s="24" t="s">
        <v>15801</v>
      </c>
      <c r="D61" s="24" t="s">
        <v>15900</v>
      </c>
      <c r="E61" s="24" t="s">
        <v>15816</v>
      </c>
      <c r="H61" s="11" t="str">
        <f t="shared" si="0"/>
        <v/>
      </c>
      <c r="J61" s="11" t="str">
        <f t="shared" si="1"/>
        <v xml:space="preserve"> </v>
      </c>
      <c r="K61" s="24" t="s">
        <v>15801</v>
      </c>
    </row>
    <row r="62" spans="1:11">
      <c r="A62" s="24" t="s">
        <v>15811</v>
      </c>
      <c r="B62" s="24" t="s">
        <v>15811</v>
      </c>
      <c r="C62" s="24" t="s">
        <v>15801</v>
      </c>
      <c r="D62" s="24" t="s">
        <v>15931</v>
      </c>
      <c r="E62" s="24" t="s">
        <v>15956</v>
      </c>
      <c r="F62" s="29" t="s">
        <v>343</v>
      </c>
      <c r="H62" s="11" t="str">
        <f t="shared" si="0"/>
        <v/>
      </c>
      <c r="J62" s="11" t="str">
        <f t="shared" si="1"/>
        <v xml:space="preserve"> </v>
      </c>
      <c r="K62" s="24" t="s">
        <v>15801</v>
      </c>
    </row>
    <row r="63" spans="1:11">
      <c r="A63" s="24" t="s">
        <v>15801</v>
      </c>
      <c r="B63" s="24" t="s">
        <v>15812</v>
      </c>
      <c r="C63" s="24" t="s">
        <v>15801</v>
      </c>
      <c r="E63" s="24" t="s">
        <v>15841</v>
      </c>
      <c r="H63" s="11" t="str">
        <f t="shared" si="0"/>
        <v/>
      </c>
      <c r="J63" s="11" t="str">
        <f t="shared" si="1"/>
        <v xml:space="preserve"> </v>
      </c>
      <c r="K63" s="24" t="s">
        <v>15801</v>
      </c>
    </row>
    <row r="64" spans="1:11">
      <c r="A64" s="24" t="s">
        <v>15813</v>
      </c>
      <c r="B64" s="24" t="s">
        <v>15813</v>
      </c>
      <c r="C64" s="24" t="s">
        <v>15889</v>
      </c>
      <c r="D64" s="24" t="s">
        <v>15801</v>
      </c>
      <c r="E64" s="24" t="s">
        <v>15823</v>
      </c>
      <c r="G64" s="24" t="s">
        <v>376</v>
      </c>
      <c r="H64" s="11" t="str">
        <f t="shared" si="0"/>
        <v>1859-1865</v>
      </c>
      <c r="J64" s="11" t="str">
        <f t="shared" si="1"/>
        <v xml:space="preserve"> </v>
      </c>
      <c r="K64" s="24" t="s">
        <v>376</v>
      </c>
    </row>
    <row r="65" spans="1:11">
      <c r="A65" s="24" t="s">
        <v>15824</v>
      </c>
      <c r="B65" s="24" t="s">
        <v>15824</v>
      </c>
      <c r="C65" s="24" t="s">
        <v>15883</v>
      </c>
      <c r="E65" s="24" t="s">
        <v>15814</v>
      </c>
      <c r="F65" s="29" t="s">
        <v>2771</v>
      </c>
      <c r="G65" s="24" t="s">
        <v>358</v>
      </c>
      <c r="H65" s="11" t="str">
        <f t="shared" si="0"/>
        <v>21/05/1874</v>
      </c>
      <c r="J65" s="11" t="str">
        <f t="shared" si="1"/>
        <v xml:space="preserve"> </v>
      </c>
      <c r="K65" s="24" t="s">
        <v>358</v>
      </c>
    </row>
    <row r="66" spans="1:11">
      <c r="A66" s="24" t="s">
        <v>15825</v>
      </c>
      <c r="B66" s="24" t="s">
        <v>15825</v>
      </c>
      <c r="C66" s="24" t="s">
        <v>15801</v>
      </c>
      <c r="D66" s="24" t="s">
        <v>15901</v>
      </c>
      <c r="E66" s="24" t="s">
        <v>15921</v>
      </c>
      <c r="F66" s="29" t="s">
        <v>364</v>
      </c>
      <c r="H66" s="11" t="str">
        <f t="shared" si="0"/>
        <v/>
      </c>
      <c r="J66" s="11" t="str">
        <f t="shared" si="1"/>
        <v xml:space="preserve"> </v>
      </c>
      <c r="K66" s="24" t="s">
        <v>15801</v>
      </c>
    </row>
    <row r="67" spans="1:11">
      <c r="A67" s="24" t="s">
        <v>15801</v>
      </c>
      <c r="B67" s="24" t="s">
        <v>15815</v>
      </c>
      <c r="C67" s="24" t="s">
        <v>15801</v>
      </c>
      <c r="D67" s="24" t="s">
        <v>15900</v>
      </c>
      <c r="E67" s="24" t="s">
        <v>15870</v>
      </c>
      <c r="H67" s="11" t="str">
        <f t="shared" ref="H67:H130" si="2">TRIM(G67)</f>
        <v/>
      </c>
      <c r="J67" s="11" t="str">
        <f t="shared" ref="J67:J130" si="3">IF(LEN(H67)=4,"fout"," ")</f>
        <v xml:space="preserve"> </v>
      </c>
      <c r="K67" s="24" t="s">
        <v>15801</v>
      </c>
    </row>
    <row r="68" spans="1:11">
      <c r="A68" s="24" t="s">
        <v>15826</v>
      </c>
      <c r="B68" s="24" t="s">
        <v>15826</v>
      </c>
      <c r="C68" s="24" t="s">
        <v>15801</v>
      </c>
      <c r="D68" s="24" t="s">
        <v>15884</v>
      </c>
      <c r="E68" s="24" t="s">
        <v>15840</v>
      </c>
      <c r="F68" s="29" t="s">
        <v>445</v>
      </c>
      <c r="H68" s="11" t="str">
        <f t="shared" si="2"/>
        <v/>
      </c>
      <c r="J68" s="11" t="str">
        <f t="shared" si="3"/>
        <v xml:space="preserve"> </v>
      </c>
      <c r="K68" s="24" t="s">
        <v>15801</v>
      </c>
    </row>
    <row r="69" spans="1:11">
      <c r="A69" s="24" t="s">
        <v>15814</v>
      </c>
      <c r="B69" s="24" t="s">
        <v>15814</v>
      </c>
      <c r="C69" s="24" t="s">
        <v>15801</v>
      </c>
      <c r="D69" s="24" t="s">
        <v>15931</v>
      </c>
      <c r="E69" s="24" t="s">
        <v>15804</v>
      </c>
      <c r="F69" s="29" t="s">
        <v>450</v>
      </c>
      <c r="H69" s="11" t="str">
        <f t="shared" si="2"/>
        <v/>
      </c>
      <c r="J69" s="11" t="str">
        <f t="shared" si="3"/>
        <v xml:space="preserve"> </v>
      </c>
      <c r="K69" s="24" t="s">
        <v>15801</v>
      </c>
    </row>
    <row r="70" spans="1:11">
      <c r="A70" s="24" t="s">
        <v>15801</v>
      </c>
      <c r="B70" s="24" t="s">
        <v>15801</v>
      </c>
      <c r="C70" s="24" t="s">
        <v>15801</v>
      </c>
      <c r="D70" s="24" t="s">
        <v>15864</v>
      </c>
      <c r="E70" s="24" t="s">
        <v>15864</v>
      </c>
      <c r="H70" s="11" t="str">
        <f t="shared" si="2"/>
        <v/>
      </c>
      <c r="J70" s="11" t="str">
        <f t="shared" si="3"/>
        <v xml:space="preserve"> </v>
      </c>
      <c r="K70" s="24" t="s">
        <v>15801</v>
      </c>
    </row>
    <row r="71" spans="1:11">
      <c r="A71" s="24" t="s">
        <v>15802</v>
      </c>
      <c r="B71" s="24" t="s">
        <v>15802</v>
      </c>
      <c r="C71" s="24" t="s">
        <v>15801</v>
      </c>
      <c r="D71" s="24" t="s">
        <v>15801</v>
      </c>
      <c r="E71" s="24" t="s">
        <v>15801</v>
      </c>
      <c r="F71" s="29" t="s">
        <v>456</v>
      </c>
      <c r="H71" s="11" t="str">
        <f t="shared" si="2"/>
        <v/>
      </c>
      <c r="J71" s="11" t="str">
        <f t="shared" si="3"/>
        <v xml:space="preserve"> </v>
      </c>
      <c r="K71" s="24" t="s">
        <v>15801</v>
      </c>
    </row>
    <row r="72" spans="1:11">
      <c r="A72" s="24" t="s">
        <v>15802</v>
      </c>
      <c r="B72" s="24" t="s">
        <v>15802</v>
      </c>
      <c r="C72" s="24" t="s">
        <v>15893</v>
      </c>
      <c r="D72" s="24" t="s">
        <v>15899</v>
      </c>
      <c r="E72" s="24" t="s">
        <v>15965</v>
      </c>
      <c r="F72" s="29" t="s">
        <v>460</v>
      </c>
      <c r="G72" s="24" t="s">
        <v>462</v>
      </c>
      <c r="H72" s="11" t="str">
        <f t="shared" si="2"/>
        <v>01/01/1879</v>
      </c>
      <c r="J72" s="11" t="str">
        <f t="shared" si="3"/>
        <v xml:space="preserve"> </v>
      </c>
      <c r="K72" s="24" t="s">
        <v>462</v>
      </c>
    </row>
    <row r="73" spans="1:11">
      <c r="A73" s="24" t="s">
        <v>15817</v>
      </c>
      <c r="B73" s="24" t="s">
        <v>15817</v>
      </c>
      <c r="C73" s="24" t="s">
        <v>15801</v>
      </c>
      <c r="D73" s="24" t="s">
        <v>15899</v>
      </c>
      <c r="E73" s="24" t="s">
        <v>15801</v>
      </c>
      <c r="F73" s="29" t="s">
        <v>441</v>
      </c>
      <c r="H73" s="11" t="str">
        <f t="shared" si="2"/>
        <v/>
      </c>
      <c r="J73" s="11" t="str">
        <f t="shared" si="3"/>
        <v xml:space="preserve"> </v>
      </c>
      <c r="K73" s="24" t="s">
        <v>15801</v>
      </c>
    </row>
    <row r="74" spans="1:11">
      <c r="A74" s="24" t="s">
        <v>15827</v>
      </c>
      <c r="B74" s="24" t="s">
        <v>15827</v>
      </c>
      <c r="C74" s="24" t="s">
        <v>15801</v>
      </c>
      <c r="D74" s="24" t="s">
        <v>15899</v>
      </c>
      <c r="E74" s="24" t="s">
        <v>15936</v>
      </c>
      <c r="F74" s="29" t="s">
        <v>467</v>
      </c>
      <c r="H74" s="11" t="str">
        <f t="shared" si="2"/>
        <v/>
      </c>
      <c r="J74" s="11" t="str">
        <f t="shared" si="3"/>
        <v xml:space="preserve"> </v>
      </c>
      <c r="K74" s="24" t="s">
        <v>15801</v>
      </c>
    </row>
    <row r="75" spans="1:11">
      <c r="A75" s="24" t="s">
        <v>15801</v>
      </c>
      <c r="B75" s="24" t="s">
        <v>15860</v>
      </c>
      <c r="C75" s="24" t="s">
        <v>15884</v>
      </c>
      <c r="D75" s="24" t="s">
        <v>15900</v>
      </c>
      <c r="E75" s="24" t="s">
        <v>15849</v>
      </c>
      <c r="G75" s="24" t="s">
        <v>301</v>
      </c>
      <c r="H75" s="11" t="str">
        <f t="shared" si="2"/>
        <v>17/02/1838</v>
      </c>
      <c r="J75" s="11" t="str">
        <f t="shared" si="3"/>
        <v xml:space="preserve"> </v>
      </c>
      <c r="K75" s="24" t="s">
        <v>301</v>
      </c>
    </row>
    <row r="76" spans="1:11">
      <c r="A76" s="24" t="s">
        <v>15825</v>
      </c>
      <c r="B76" s="24" t="s">
        <v>15825</v>
      </c>
      <c r="C76" s="24" t="s">
        <v>15903</v>
      </c>
      <c r="D76" s="24" t="s">
        <v>15884</v>
      </c>
      <c r="E76" s="24" t="s">
        <v>15965</v>
      </c>
      <c r="F76" s="29" t="s">
        <v>404</v>
      </c>
      <c r="G76" s="24">
        <v>1895</v>
      </c>
      <c r="H76" s="11"/>
      <c r="J76" s="11" t="str">
        <f t="shared" si="3"/>
        <v xml:space="preserve"> </v>
      </c>
    </row>
    <row r="77" spans="1:11">
      <c r="A77" s="24" t="s">
        <v>15816</v>
      </c>
      <c r="B77" s="24" t="s">
        <v>15816</v>
      </c>
      <c r="C77" s="24" t="s">
        <v>15801</v>
      </c>
      <c r="E77" s="24" t="s">
        <v>15915</v>
      </c>
      <c r="F77" s="29" t="s">
        <v>434</v>
      </c>
      <c r="H77" s="11" t="str">
        <f t="shared" si="2"/>
        <v/>
      </c>
      <c r="J77" s="11" t="str">
        <f t="shared" si="3"/>
        <v xml:space="preserve"> </v>
      </c>
      <c r="K77" s="24" t="s">
        <v>15801</v>
      </c>
    </row>
    <row r="78" spans="1:11">
      <c r="A78" s="24" t="s">
        <v>15810</v>
      </c>
      <c r="B78" s="24" t="s">
        <v>15810</v>
      </c>
      <c r="C78" s="24" t="s">
        <v>15801</v>
      </c>
      <c r="E78" s="24" t="s">
        <v>15801</v>
      </c>
      <c r="F78" s="29" t="s">
        <v>438</v>
      </c>
      <c r="H78" s="11" t="str">
        <f t="shared" si="2"/>
        <v/>
      </c>
      <c r="J78" s="11" t="str">
        <f t="shared" si="3"/>
        <v xml:space="preserve"> </v>
      </c>
      <c r="K78" s="24" t="s">
        <v>15801</v>
      </c>
    </row>
    <row r="79" spans="1:11">
      <c r="A79" s="24" t="s">
        <v>15828</v>
      </c>
      <c r="B79" s="24" t="s">
        <v>15828</v>
      </c>
      <c r="C79" s="24" t="s">
        <v>15904</v>
      </c>
      <c r="D79" s="24" t="s">
        <v>15965</v>
      </c>
      <c r="E79" s="24" t="s">
        <v>15801</v>
      </c>
      <c r="F79" s="29" t="s">
        <v>424</v>
      </c>
      <c r="G79" s="24" t="s">
        <v>427</v>
      </c>
      <c r="H79" s="11" t="str">
        <f t="shared" si="2"/>
        <v>26/11/1890</v>
      </c>
      <c r="J79" s="11" t="str">
        <f t="shared" si="3"/>
        <v xml:space="preserve"> </v>
      </c>
      <c r="K79" s="24" t="s">
        <v>427</v>
      </c>
    </row>
    <row r="80" spans="1:11">
      <c r="A80" s="24" t="s">
        <v>15801</v>
      </c>
      <c r="B80" s="24" t="s">
        <v>15841</v>
      </c>
      <c r="C80" s="24" t="s">
        <v>15801</v>
      </c>
      <c r="D80" s="24" t="s">
        <v>15801</v>
      </c>
      <c r="E80" s="24" t="s">
        <v>15817</v>
      </c>
      <c r="H80" s="11" t="str">
        <f t="shared" si="2"/>
        <v/>
      </c>
      <c r="J80" s="11" t="str">
        <f t="shared" si="3"/>
        <v xml:space="preserve"> </v>
      </c>
      <c r="K80" s="24" t="s">
        <v>15801</v>
      </c>
    </row>
    <row r="81" spans="1:11">
      <c r="A81" s="24" t="s">
        <v>15823</v>
      </c>
      <c r="B81" s="24" t="s">
        <v>15823</v>
      </c>
      <c r="C81" s="24" t="s">
        <v>15801</v>
      </c>
      <c r="D81" s="24" t="s">
        <v>15801</v>
      </c>
      <c r="E81" s="24" t="s">
        <v>15801</v>
      </c>
      <c r="F81" s="29" t="s">
        <v>419</v>
      </c>
      <c r="H81" s="11" t="str">
        <f t="shared" si="2"/>
        <v/>
      </c>
      <c r="J81" s="11" t="str">
        <f t="shared" si="3"/>
        <v xml:space="preserve"> </v>
      </c>
      <c r="K81" s="24" t="s">
        <v>15801</v>
      </c>
    </row>
    <row r="82" spans="1:11">
      <c r="A82" s="24" t="s">
        <v>15829</v>
      </c>
      <c r="B82" s="24" t="s">
        <v>15829</v>
      </c>
      <c r="C82" s="24" t="s">
        <v>15801</v>
      </c>
      <c r="D82" s="24" t="s">
        <v>15948</v>
      </c>
      <c r="E82" s="24" t="s">
        <v>15827</v>
      </c>
      <c r="F82" s="29" t="s">
        <v>399</v>
      </c>
      <c r="H82" s="11" t="str">
        <f t="shared" si="2"/>
        <v/>
      </c>
      <c r="J82" s="11" t="str">
        <f t="shared" si="3"/>
        <v xml:space="preserve"> </v>
      </c>
      <c r="K82" s="24" t="s">
        <v>15801</v>
      </c>
    </row>
    <row r="83" spans="1:11">
      <c r="A83" s="24" t="s">
        <v>15803</v>
      </c>
      <c r="B83" s="24" t="s">
        <v>15803</v>
      </c>
      <c r="C83" s="24" t="s">
        <v>15801</v>
      </c>
      <c r="D83" s="24" t="s">
        <v>15870</v>
      </c>
      <c r="E83" s="24" t="s">
        <v>15971</v>
      </c>
      <c r="F83" s="29" t="s">
        <v>393</v>
      </c>
      <c r="H83" s="11" t="str">
        <f t="shared" si="2"/>
        <v/>
      </c>
      <c r="J83" s="11" t="str">
        <f t="shared" si="3"/>
        <v xml:space="preserve"> </v>
      </c>
      <c r="K83" s="24" t="s">
        <v>15801</v>
      </c>
    </row>
    <row r="84" spans="1:11">
      <c r="A84" s="24" t="s">
        <v>15801</v>
      </c>
      <c r="B84" s="24" t="s">
        <v>15849</v>
      </c>
      <c r="C84" s="24" t="s">
        <v>15898</v>
      </c>
      <c r="D84" s="24" t="s">
        <v>15900</v>
      </c>
      <c r="E84" s="24" t="s">
        <v>15802</v>
      </c>
      <c r="G84" s="24" t="s">
        <v>485</v>
      </c>
      <c r="H84" s="11"/>
      <c r="J84" s="11" t="str">
        <f t="shared" si="3"/>
        <v xml:space="preserve"> </v>
      </c>
    </row>
    <row r="85" spans="1:11">
      <c r="A85" s="24" t="s">
        <v>15817</v>
      </c>
      <c r="B85" s="24" t="s">
        <v>15817</v>
      </c>
      <c r="C85" s="24" t="s">
        <v>15801</v>
      </c>
      <c r="D85" s="24" t="s">
        <v>15884</v>
      </c>
      <c r="E85" s="24" t="s">
        <v>15908</v>
      </c>
      <c r="F85" s="29" t="s">
        <v>488</v>
      </c>
      <c r="H85" s="11" t="str">
        <f t="shared" si="2"/>
        <v/>
      </c>
      <c r="J85" s="11" t="str">
        <f t="shared" si="3"/>
        <v xml:space="preserve"> </v>
      </c>
      <c r="K85" s="24" t="s">
        <v>15801</v>
      </c>
    </row>
    <row r="86" spans="1:11">
      <c r="A86" s="24" t="s">
        <v>15801</v>
      </c>
      <c r="B86" s="24" t="s">
        <v>15859</v>
      </c>
      <c r="C86" s="24" t="s">
        <v>15801</v>
      </c>
      <c r="D86" s="24" t="s">
        <v>15900</v>
      </c>
      <c r="E86" s="24" t="s">
        <v>15819</v>
      </c>
      <c r="H86" s="11" t="str">
        <f t="shared" si="2"/>
        <v/>
      </c>
      <c r="J86" s="11" t="str">
        <f t="shared" si="3"/>
        <v xml:space="preserve"> </v>
      </c>
      <c r="K86" s="24" t="s">
        <v>15801</v>
      </c>
    </row>
    <row r="87" spans="1:11">
      <c r="A87" s="24" t="s">
        <v>15801</v>
      </c>
      <c r="B87" s="24" t="s">
        <v>15841</v>
      </c>
      <c r="C87" s="24" t="s">
        <v>15801</v>
      </c>
      <c r="D87" s="24" t="s">
        <v>15900</v>
      </c>
      <c r="E87" s="24" t="s">
        <v>15820</v>
      </c>
      <c r="H87" s="11" t="str">
        <f t="shared" si="2"/>
        <v/>
      </c>
      <c r="J87" s="11" t="str">
        <f t="shared" si="3"/>
        <v xml:space="preserve"> </v>
      </c>
      <c r="K87" s="24" t="s">
        <v>15801</v>
      </c>
    </row>
    <row r="88" spans="1:11">
      <c r="A88" s="24" t="s">
        <v>15801</v>
      </c>
      <c r="B88" s="24" t="s">
        <v>15829</v>
      </c>
      <c r="C88" s="24" t="s">
        <v>15905</v>
      </c>
      <c r="D88" s="24" t="s">
        <v>15900</v>
      </c>
      <c r="E88" s="24" t="s">
        <v>15833</v>
      </c>
      <c r="G88" s="24" t="s">
        <v>507</v>
      </c>
      <c r="H88" s="11"/>
      <c r="J88" s="11" t="str">
        <f t="shared" si="3"/>
        <v xml:space="preserve"> </v>
      </c>
    </row>
    <row r="89" spans="1:11">
      <c r="A89" s="24" t="s">
        <v>15801</v>
      </c>
      <c r="B89" s="24" t="s">
        <v>15815</v>
      </c>
      <c r="C89" s="24" t="s">
        <v>15898</v>
      </c>
      <c r="D89" s="24" t="s">
        <v>15884</v>
      </c>
      <c r="E89" s="24" t="s">
        <v>15801</v>
      </c>
      <c r="G89" s="24">
        <v>1848</v>
      </c>
      <c r="H89" s="11"/>
      <c r="J89" s="11" t="str">
        <f t="shared" si="3"/>
        <v xml:space="preserve"> </v>
      </c>
    </row>
    <row r="90" spans="1:11">
      <c r="A90" s="24" t="s">
        <v>15801</v>
      </c>
      <c r="B90" s="24" t="s">
        <v>15802</v>
      </c>
      <c r="C90" s="24" t="s">
        <v>15801</v>
      </c>
      <c r="D90" s="24" t="s">
        <v>15956</v>
      </c>
      <c r="E90" s="24" t="s">
        <v>15900</v>
      </c>
      <c r="H90" s="11" t="str">
        <f t="shared" si="2"/>
        <v/>
      </c>
      <c r="J90" s="11" t="str">
        <f t="shared" si="3"/>
        <v xml:space="preserve"> </v>
      </c>
      <c r="K90" s="24" t="s">
        <v>15801</v>
      </c>
    </row>
    <row r="91" spans="1:11">
      <c r="A91" s="24" t="s">
        <v>15821</v>
      </c>
      <c r="B91" s="24" t="s">
        <v>15821</v>
      </c>
      <c r="C91" s="24" t="s">
        <v>15801</v>
      </c>
      <c r="D91" s="24" t="s">
        <v>15801</v>
      </c>
      <c r="E91" s="24" t="s">
        <v>15851</v>
      </c>
      <c r="F91" s="29" t="s">
        <v>522</v>
      </c>
      <c r="H91" s="11" t="str">
        <f t="shared" si="2"/>
        <v/>
      </c>
      <c r="J91" s="11" t="str">
        <f t="shared" si="3"/>
        <v xml:space="preserve"> </v>
      </c>
      <c r="K91" s="24" t="s">
        <v>15801</v>
      </c>
    </row>
    <row r="92" spans="1:11">
      <c r="A92" s="24" t="s">
        <v>15802</v>
      </c>
      <c r="B92" s="24" t="s">
        <v>15802</v>
      </c>
      <c r="C92" s="24" t="s">
        <v>15801</v>
      </c>
      <c r="D92" s="24" t="s">
        <v>15956</v>
      </c>
      <c r="E92" s="24" t="s">
        <v>15870</v>
      </c>
      <c r="F92" s="29" t="s">
        <v>511</v>
      </c>
      <c r="H92" s="11" t="str">
        <f t="shared" si="2"/>
        <v/>
      </c>
      <c r="J92" s="11" t="str">
        <f t="shared" si="3"/>
        <v xml:space="preserve"> </v>
      </c>
      <c r="K92" s="24" t="s">
        <v>15801</v>
      </c>
    </row>
    <row r="93" spans="1:11">
      <c r="A93" s="24" t="s">
        <v>15830</v>
      </c>
      <c r="B93" s="24" t="s">
        <v>15830</v>
      </c>
      <c r="C93" s="24" t="s">
        <v>15906</v>
      </c>
      <c r="D93" s="24" t="s">
        <v>15884</v>
      </c>
      <c r="E93" s="24" t="s">
        <v>15815</v>
      </c>
      <c r="F93" s="29" t="s">
        <v>538</v>
      </c>
      <c r="G93" s="24" t="s">
        <v>539</v>
      </c>
      <c r="H93" s="11" t="str">
        <f t="shared" si="2"/>
        <v>05/12/1862</v>
      </c>
      <c r="J93" s="11" t="str">
        <f t="shared" si="3"/>
        <v xml:space="preserve"> </v>
      </c>
      <c r="K93" s="24" t="s">
        <v>539</v>
      </c>
    </row>
    <row r="94" spans="1:11">
      <c r="A94" s="24" t="s">
        <v>15823</v>
      </c>
      <c r="B94" s="24" t="s">
        <v>15823</v>
      </c>
      <c r="C94" s="24" t="s">
        <v>15801</v>
      </c>
      <c r="D94" s="24" t="s">
        <v>15884</v>
      </c>
      <c r="E94" s="24" t="s">
        <v>15905</v>
      </c>
      <c r="F94" s="29" t="s">
        <v>553</v>
      </c>
      <c r="H94" s="11" t="str">
        <f t="shared" si="2"/>
        <v/>
      </c>
      <c r="J94" s="11" t="str">
        <f t="shared" si="3"/>
        <v xml:space="preserve"> </v>
      </c>
      <c r="K94" s="24" t="s">
        <v>15801</v>
      </c>
    </row>
    <row r="95" spans="1:11">
      <c r="A95" s="24" t="s">
        <v>15807</v>
      </c>
      <c r="B95" s="24" t="s">
        <v>15807</v>
      </c>
      <c r="C95" s="24" t="s">
        <v>15801</v>
      </c>
      <c r="D95" s="24" t="s">
        <v>15884</v>
      </c>
      <c r="E95" s="24" t="s">
        <v>15966</v>
      </c>
      <c r="F95" s="29" t="s">
        <v>528</v>
      </c>
      <c r="H95" s="11" t="str">
        <f t="shared" si="2"/>
        <v/>
      </c>
      <c r="J95" s="11" t="str">
        <f t="shared" si="3"/>
        <v xml:space="preserve"> </v>
      </c>
      <c r="K95" s="24" t="s">
        <v>15801</v>
      </c>
    </row>
    <row r="96" spans="1:11">
      <c r="A96" s="24" t="s">
        <v>15825</v>
      </c>
      <c r="B96" s="24" t="s">
        <v>15825</v>
      </c>
      <c r="C96" s="24" t="s">
        <v>15801</v>
      </c>
      <c r="D96" s="24" t="s">
        <v>15884</v>
      </c>
      <c r="E96" s="24" t="s">
        <v>15876</v>
      </c>
      <c r="F96" s="29" t="s">
        <v>541</v>
      </c>
      <c r="H96" s="11" t="str">
        <f t="shared" si="2"/>
        <v/>
      </c>
      <c r="J96" s="11" t="str">
        <f t="shared" si="3"/>
        <v xml:space="preserve"> </v>
      </c>
      <c r="K96" s="24" t="s">
        <v>15801</v>
      </c>
    </row>
    <row r="97" spans="1:11">
      <c r="A97" s="24" t="s">
        <v>15817</v>
      </c>
      <c r="B97" s="24" t="s">
        <v>15817</v>
      </c>
      <c r="C97" s="24" t="s">
        <v>15907</v>
      </c>
      <c r="D97" s="24" t="s">
        <v>15801</v>
      </c>
      <c r="E97" s="24" t="s">
        <v>15801</v>
      </c>
      <c r="F97" s="29" t="s">
        <v>534</v>
      </c>
      <c r="G97" s="24" t="s">
        <v>1155</v>
      </c>
      <c r="H97" s="11" t="str">
        <f t="shared" si="2"/>
        <v>31/07/1913</v>
      </c>
      <c r="J97" s="11" t="str">
        <f t="shared" si="3"/>
        <v xml:space="preserve"> </v>
      </c>
      <c r="K97" s="24" t="s">
        <v>15982</v>
      </c>
    </row>
    <row r="98" spans="1:11">
      <c r="A98" s="24" t="s">
        <v>15820</v>
      </c>
      <c r="B98" s="24" t="s">
        <v>15820</v>
      </c>
      <c r="C98" s="24" t="s">
        <v>15801</v>
      </c>
      <c r="D98" s="24" t="s">
        <v>15884</v>
      </c>
      <c r="E98" s="24" t="s">
        <v>15801</v>
      </c>
      <c r="F98" s="29" t="s">
        <v>549</v>
      </c>
      <c r="H98" s="11" t="str">
        <f t="shared" si="2"/>
        <v/>
      </c>
      <c r="J98" s="11" t="str">
        <f t="shared" si="3"/>
        <v xml:space="preserve"> </v>
      </c>
      <c r="K98" s="24" t="s">
        <v>15801</v>
      </c>
    </row>
    <row r="99" spans="1:11">
      <c r="A99" s="24" t="s">
        <v>15801</v>
      </c>
      <c r="B99" s="24" t="s">
        <v>15802</v>
      </c>
      <c r="C99" s="24" t="s">
        <v>15903</v>
      </c>
      <c r="D99" s="24" t="s">
        <v>15948</v>
      </c>
      <c r="E99" s="24" t="s">
        <v>15801</v>
      </c>
      <c r="G99" s="24" t="s">
        <v>568</v>
      </c>
      <c r="H99" s="11" t="str">
        <f t="shared" si="2"/>
        <v>24/10/1895</v>
      </c>
      <c r="J99" s="11" t="str">
        <f t="shared" si="3"/>
        <v xml:space="preserve"> </v>
      </c>
      <c r="K99" s="24" t="s">
        <v>568</v>
      </c>
    </row>
    <row r="100" spans="1:11">
      <c r="A100" s="24" t="s">
        <v>15801</v>
      </c>
      <c r="B100" s="24" t="s">
        <v>15840</v>
      </c>
      <c r="C100" s="24" t="s">
        <v>15801</v>
      </c>
      <c r="D100" s="24" t="s">
        <v>15884</v>
      </c>
      <c r="E100" s="24" t="s">
        <v>15801</v>
      </c>
      <c r="H100" s="11" t="str">
        <f t="shared" si="2"/>
        <v/>
      </c>
      <c r="J100" s="11" t="str">
        <f t="shared" si="3"/>
        <v xml:space="preserve"> </v>
      </c>
      <c r="K100" s="24" t="s">
        <v>15801</v>
      </c>
    </row>
    <row r="101" spans="1:11">
      <c r="A101" s="24" t="s">
        <v>15806</v>
      </c>
      <c r="B101" s="24" t="s">
        <v>15806</v>
      </c>
      <c r="C101" s="24" t="s">
        <v>15801</v>
      </c>
      <c r="E101" s="24" t="s">
        <v>15870</v>
      </c>
      <c r="F101" s="29" t="s">
        <v>558</v>
      </c>
      <c r="H101" s="11" t="str">
        <f t="shared" si="2"/>
        <v/>
      </c>
      <c r="J101" s="11" t="str">
        <f t="shared" si="3"/>
        <v xml:space="preserve"> </v>
      </c>
      <c r="K101" s="24" t="s">
        <v>15801</v>
      </c>
    </row>
    <row r="102" spans="1:11">
      <c r="A102" s="24" t="s">
        <v>15831</v>
      </c>
      <c r="B102" s="24" t="s">
        <v>15831</v>
      </c>
      <c r="C102" s="24" t="s">
        <v>15908</v>
      </c>
      <c r="D102" s="24" t="s">
        <v>15915</v>
      </c>
      <c r="E102" s="24" t="s">
        <v>15804</v>
      </c>
      <c r="F102" s="29" t="s">
        <v>2773</v>
      </c>
      <c r="G102" s="24" t="s">
        <v>573</v>
      </c>
      <c r="H102" s="11" t="str">
        <f t="shared" si="2"/>
        <v>15/09/1844</v>
      </c>
      <c r="J102" s="11" t="str">
        <f t="shared" si="3"/>
        <v xml:space="preserve"> </v>
      </c>
      <c r="K102" s="24" t="s">
        <v>573</v>
      </c>
    </row>
    <row r="103" spans="1:11">
      <c r="A103" s="24" t="s">
        <v>15832</v>
      </c>
      <c r="B103" s="24" t="s">
        <v>15832</v>
      </c>
      <c r="C103" s="24" t="s">
        <v>15909</v>
      </c>
      <c r="D103" s="24" t="s">
        <v>15915</v>
      </c>
      <c r="E103" s="24" t="s">
        <v>15863</v>
      </c>
      <c r="F103" s="29" t="s">
        <v>576</v>
      </c>
      <c r="G103" s="24" t="s">
        <v>577</v>
      </c>
      <c r="H103" s="11" t="str">
        <f t="shared" si="2"/>
        <v>21/04/1881</v>
      </c>
      <c r="J103" s="11" t="str">
        <f t="shared" si="3"/>
        <v xml:space="preserve"> </v>
      </c>
      <c r="K103" s="24" t="s">
        <v>577</v>
      </c>
    </row>
    <row r="104" spans="1:11">
      <c r="A104" s="24" t="s">
        <v>15821</v>
      </c>
      <c r="B104" s="24" t="s">
        <v>15821</v>
      </c>
      <c r="C104" s="24" t="s">
        <v>15910</v>
      </c>
      <c r="D104" s="24" t="s">
        <v>15899</v>
      </c>
      <c r="E104" s="24" t="s">
        <v>15900</v>
      </c>
      <c r="F104" s="29" t="s">
        <v>582</v>
      </c>
      <c r="G104" s="24" t="s">
        <v>583</v>
      </c>
      <c r="H104" s="11" t="str">
        <f t="shared" si="2"/>
        <v>19/11/1889</v>
      </c>
      <c r="J104" s="11" t="str">
        <f t="shared" si="3"/>
        <v xml:space="preserve"> </v>
      </c>
      <c r="K104" s="24" t="s">
        <v>583</v>
      </c>
    </row>
    <row r="105" spans="1:11">
      <c r="A105" s="24" t="s">
        <v>15825</v>
      </c>
      <c r="B105" s="24" t="s">
        <v>15825</v>
      </c>
      <c r="C105" s="24" t="s">
        <v>15911</v>
      </c>
      <c r="D105" s="24" t="s">
        <v>15801</v>
      </c>
      <c r="E105" s="24" t="s">
        <v>15965</v>
      </c>
      <c r="F105" s="29" t="s">
        <v>601</v>
      </c>
      <c r="G105" s="24" t="s">
        <v>603</v>
      </c>
      <c r="H105" s="11" t="str">
        <f t="shared" si="2"/>
        <v>09/11/1863</v>
      </c>
      <c r="J105" s="11" t="str">
        <f t="shared" si="3"/>
        <v xml:space="preserve"> </v>
      </c>
      <c r="K105" s="24" t="s">
        <v>603</v>
      </c>
    </row>
    <row r="106" spans="1:11">
      <c r="A106" s="24" t="s">
        <v>15833</v>
      </c>
      <c r="B106" s="24" t="s">
        <v>15833</v>
      </c>
      <c r="C106" s="24" t="s">
        <v>15912</v>
      </c>
      <c r="D106" s="24" t="s">
        <v>15899</v>
      </c>
      <c r="E106" s="24" t="s">
        <v>15899</v>
      </c>
      <c r="F106" s="29" t="s">
        <v>589</v>
      </c>
      <c r="G106" s="24" t="s">
        <v>591</v>
      </c>
      <c r="H106" s="11" t="str">
        <f t="shared" si="2"/>
        <v>24/07/1893</v>
      </c>
      <c r="J106" s="11" t="str">
        <f t="shared" si="3"/>
        <v xml:space="preserve"> </v>
      </c>
      <c r="K106" s="24" t="s">
        <v>591</v>
      </c>
    </row>
    <row r="107" spans="1:11">
      <c r="A107" s="24" t="s">
        <v>15801</v>
      </c>
      <c r="B107" s="24" t="s">
        <v>15847</v>
      </c>
      <c r="C107" s="24" t="s">
        <v>15906</v>
      </c>
      <c r="E107" s="24" t="s">
        <v>15801</v>
      </c>
      <c r="G107" s="24" t="s">
        <v>607</v>
      </c>
      <c r="H107" s="11" t="str">
        <f t="shared" si="2"/>
        <v>05/02/1862</v>
      </c>
      <c r="J107" s="11" t="str">
        <f t="shared" si="3"/>
        <v xml:space="preserve"> </v>
      </c>
      <c r="K107" s="24" t="s">
        <v>607</v>
      </c>
    </row>
    <row r="108" spans="1:11">
      <c r="A108" s="24" t="s">
        <v>15834</v>
      </c>
      <c r="B108" s="24" t="s">
        <v>15834</v>
      </c>
      <c r="C108" s="24" t="s">
        <v>15909</v>
      </c>
      <c r="D108" s="24" t="s">
        <v>15884</v>
      </c>
      <c r="E108" s="24" t="s">
        <v>15802</v>
      </c>
      <c r="F108" s="29" t="s">
        <v>612</v>
      </c>
      <c r="G108" s="24" t="s">
        <v>960</v>
      </c>
      <c r="H108" s="11" t="str">
        <f t="shared" si="2"/>
        <v>09/03/1881</v>
      </c>
      <c r="J108" s="11" t="str">
        <f t="shared" si="3"/>
        <v xml:space="preserve"> </v>
      </c>
      <c r="K108" s="24" t="s">
        <v>960</v>
      </c>
    </row>
    <row r="109" spans="1:11">
      <c r="A109" s="24" t="s">
        <v>15825</v>
      </c>
      <c r="B109" s="24" t="s">
        <v>15825</v>
      </c>
      <c r="C109" s="24" t="s">
        <v>15913</v>
      </c>
      <c r="D109" s="24" t="s">
        <v>15884</v>
      </c>
      <c r="E109" s="24" t="s">
        <v>15876</v>
      </c>
      <c r="F109" s="29" t="s">
        <v>1070</v>
      </c>
      <c r="G109" s="24" t="s">
        <v>1073</v>
      </c>
      <c r="H109" s="11" t="str">
        <f t="shared" si="2"/>
        <v>02/04/1877</v>
      </c>
      <c r="J109" s="11" t="str">
        <f t="shared" si="3"/>
        <v xml:space="preserve"> </v>
      </c>
      <c r="K109" s="24" t="s">
        <v>1073</v>
      </c>
    </row>
    <row r="110" spans="1:11">
      <c r="A110" s="24" t="s">
        <v>15802</v>
      </c>
      <c r="B110" s="24" t="s">
        <v>15802</v>
      </c>
      <c r="C110" s="24" t="s">
        <v>15891</v>
      </c>
      <c r="D110" s="24" t="s">
        <v>15801</v>
      </c>
      <c r="E110" s="24" t="s">
        <v>15801</v>
      </c>
      <c r="F110" s="29" t="s">
        <v>1015</v>
      </c>
      <c r="G110" s="24" t="s">
        <v>1018</v>
      </c>
      <c r="H110" s="11" t="str">
        <f t="shared" si="2"/>
        <v>29/12/1883</v>
      </c>
      <c r="J110" s="11" t="str">
        <f t="shared" si="3"/>
        <v xml:space="preserve"> </v>
      </c>
      <c r="K110" s="24" t="s">
        <v>1018</v>
      </c>
    </row>
    <row r="111" spans="1:11">
      <c r="A111" s="24" t="s">
        <v>15808</v>
      </c>
      <c r="B111" s="24" t="s">
        <v>15808</v>
      </c>
      <c r="C111" s="24" t="s">
        <v>15889</v>
      </c>
      <c r="D111" s="24" t="s">
        <v>15801</v>
      </c>
      <c r="E111" s="24" t="s">
        <v>15823</v>
      </c>
      <c r="F111" s="29" t="s">
        <v>1048</v>
      </c>
      <c r="G111" s="24" t="s">
        <v>1050</v>
      </c>
      <c r="H111" s="11" t="str">
        <f t="shared" si="2"/>
        <v>28/06/1865</v>
      </c>
      <c r="J111" s="11" t="str">
        <f t="shared" si="3"/>
        <v xml:space="preserve"> </v>
      </c>
      <c r="K111" s="24" t="s">
        <v>1050</v>
      </c>
    </row>
    <row r="112" spans="1:11">
      <c r="A112" s="24" t="s">
        <v>15823</v>
      </c>
      <c r="B112" s="24" t="s">
        <v>15823</v>
      </c>
      <c r="C112" s="24" t="s">
        <v>15880</v>
      </c>
      <c r="E112" s="24" t="s">
        <v>15801</v>
      </c>
      <c r="F112" s="29" t="s">
        <v>1087</v>
      </c>
      <c r="G112" s="24" t="s">
        <v>1089</v>
      </c>
      <c r="H112" s="11" t="str">
        <f t="shared" si="2"/>
        <v>07/07/1892</v>
      </c>
      <c r="J112" s="11" t="str">
        <f t="shared" si="3"/>
        <v xml:space="preserve"> </v>
      </c>
      <c r="K112" s="24" t="s">
        <v>1089</v>
      </c>
    </row>
    <row r="113" spans="1:11">
      <c r="A113" s="24" t="s">
        <v>15810</v>
      </c>
      <c r="B113" s="24" t="s">
        <v>15810</v>
      </c>
      <c r="C113" s="24" t="s">
        <v>15914</v>
      </c>
      <c r="D113" s="24" t="s">
        <v>15801</v>
      </c>
      <c r="E113" s="24" t="s">
        <v>15801</v>
      </c>
      <c r="F113" s="29" t="s">
        <v>998</v>
      </c>
      <c r="G113" s="24" t="s">
        <v>1000</v>
      </c>
      <c r="H113" s="11" t="str">
        <f t="shared" si="2"/>
        <v>15/12/1858</v>
      </c>
      <c r="J113" s="11" t="str">
        <f t="shared" si="3"/>
        <v xml:space="preserve"> </v>
      </c>
      <c r="K113" s="24" t="s">
        <v>1000</v>
      </c>
    </row>
    <row r="114" spans="1:11">
      <c r="A114" s="24" t="s">
        <v>15835</v>
      </c>
      <c r="B114" s="24" t="s">
        <v>15835</v>
      </c>
      <c r="C114" s="24" t="s">
        <v>15883</v>
      </c>
      <c r="D114" s="24" t="s">
        <v>15884</v>
      </c>
      <c r="E114" s="24" t="s">
        <v>15823</v>
      </c>
      <c r="G114" s="24" t="s">
        <v>987</v>
      </c>
      <c r="H114" s="11" t="str">
        <f t="shared" si="2"/>
        <v>30/03/1874</v>
      </c>
      <c r="J114" s="11" t="str">
        <f t="shared" si="3"/>
        <v xml:space="preserve"> </v>
      </c>
      <c r="K114" s="24" t="s">
        <v>987</v>
      </c>
    </row>
    <row r="115" spans="1:11">
      <c r="A115" s="24" t="s">
        <v>15829</v>
      </c>
      <c r="B115" s="24" t="s">
        <v>15829</v>
      </c>
      <c r="C115" s="24" t="s">
        <v>15886</v>
      </c>
      <c r="D115" s="24" t="s">
        <v>15876</v>
      </c>
      <c r="E115" s="24" t="s">
        <v>15844</v>
      </c>
      <c r="F115" s="29" t="s">
        <v>970</v>
      </c>
      <c r="G115" s="24" t="s">
        <v>973</v>
      </c>
      <c r="H115" s="11" t="str">
        <f t="shared" si="2"/>
        <v>15/12/1854</v>
      </c>
      <c r="J115" s="11" t="str">
        <f t="shared" si="3"/>
        <v xml:space="preserve"> </v>
      </c>
      <c r="K115" s="24" t="s">
        <v>973</v>
      </c>
    </row>
    <row r="116" spans="1:11">
      <c r="A116" s="24" t="s">
        <v>15807</v>
      </c>
      <c r="B116" s="24" t="s">
        <v>15807</v>
      </c>
      <c r="C116" s="24" t="s">
        <v>15801</v>
      </c>
      <c r="D116" s="24" t="s">
        <v>15915</v>
      </c>
      <c r="E116" s="24" t="s">
        <v>15900</v>
      </c>
      <c r="F116" s="29" t="s">
        <v>992</v>
      </c>
      <c r="H116" s="11" t="str">
        <f t="shared" si="2"/>
        <v/>
      </c>
      <c r="J116" s="11" t="str">
        <f t="shared" si="3"/>
        <v xml:space="preserve"> </v>
      </c>
      <c r="K116" s="24" t="s">
        <v>15801</v>
      </c>
    </row>
    <row r="117" spans="1:11">
      <c r="A117" s="24" t="s">
        <v>15802</v>
      </c>
      <c r="B117" s="24" t="s">
        <v>15802</v>
      </c>
      <c r="C117" s="24" t="s">
        <v>15801</v>
      </c>
      <c r="E117" s="24" t="s">
        <v>15899</v>
      </c>
      <c r="F117" s="29" t="s">
        <v>1041</v>
      </c>
      <c r="H117" s="11" t="str">
        <f t="shared" si="2"/>
        <v/>
      </c>
      <c r="J117" s="11" t="str">
        <f t="shared" si="3"/>
        <v xml:space="preserve"> </v>
      </c>
      <c r="K117" s="24" t="s">
        <v>15801</v>
      </c>
    </row>
    <row r="118" spans="1:11">
      <c r="A118" s="24" t="s">
        <v>15835</v>
      </c>
      <c r="B118" s="24" t="s">
        <v>15835</v>
      </c>
      <c r="C118" s="24" t="s">
        <v>15801</v>
      </c>
      <c r="D118" s="24" t="s">
        <v>15899</v>
      </c>
      <c r="E118" s="24" t="s">
        <v>15863</v>
      </c>
      <c r="H118" s="11" t="str">
        <f t="shared" si="2"/>
        <v/>
      </c>
      <c r="J118" s="11" t="str">
        <f t="shared" si="3"/>
        <v xml:space="preserve"> </v>
      </c>
      <c r="K118" s="24" t="s">
        <v>15801</v>
      </c>
    </row>
    <row r="119" spans="1:11">
      <c r="A119" s="24" t="s">
        <v>15801</v>
      </c>
      <c r="B119" s="24" t="s">
        <v>15813</v>
      </c>
      <c r="C119" s="24" t="s">
        <v>15801</v>
      </c>
      <c r="E119" s="24" t="s">
        <v>15863</v>
      </c>
      <c r="H119" s="11" t="str">
        <f t="shared" si="2"/>
        <v/>
      </c>
      <c r="J119" s="11" t="str">
        <f t="shared" si="3"/>
        <v xml:space="preserve"> </v>
      </c>
      <c r="K119" s="24" t="s">
        <v>15801</v>
      </c>
    </row>
    <row r="120" spans="1:11">
      <c r="A120" s="24" t="s">
        <v>15801</v>
      </c>
      <c r="B120" s="24" t="s">
        <v>15804</v>
      </c>
      <c r="C120" s="24" t="s">
        <v>15801</v>
      </c>
      <c r="D120" s="24" t="s">
        <v>15884</v>
      </c>
      <c r="E120" s="24" t="s">
        <v>15863</v>
      </c>
      <c r="H120" s="11" t="str">
        <f t="shared" si="2"/>
        <v/>
      </c>
      <c r="J120" s="11" t="str">
        <f t="shared" si="3"/>
        <v xml:space="preserve"> </v>
      </c>
      <c r="K120" s="24" t="s">
        <v>15801</v>
      </c>
    </row>
    <row r="121" spans="1:11">
      <c r="A121" s="24" t="s">
        <v>15806</v>
      </c>
      <c r="B121" s="24" t="s">
        <v>15806</v>
      </c>
      <c r="C121" s="24" t="s">
        <v>15801</v>
      </c>
      <c r="E121" s="24" t="s">
        <v>15801</v>
      </c>
      <c r="F121" s="29" t="s">
        <v>1059</v>
      </c>
      <c r="H121" s="11" t="str">
        <f t="shared" si="2"/>
        <v/>
      </c>
      <c r="J121" s="11" t="str">
        <f t="shared" si="3"/>
        <v xml:space="preserve"> </v>
      </c>
      <c r="K121" s="24" t="s">
        <v>15801</v>
      </c>
    </row>
    <row r="122" spans="1:11">
      <c r="A122" s="24" t="s">
        <v>15801</v>
      </c>
      <c r="B122" s="24" t="s">
        <v>15854</v>
      </c>
      <c r="C122" s="24" t="s">
        <v>15878</v>
      </c>
      <c r="E122" s="24" t="s">
        <v>15803</v>
      </c>
      <c r="G122" s="24">
        <v>1850</v>
      </c>
      <c r="H122" s="11"/>
      <c r="J122" s="11" t="str">
        <f t="shared" si="3"/>
        <v xml:space="preserve"> </v>
      </c>
    </row>
    <row r="123" spans="1:11">
      <c r="A123" s="24" t="s">
        <v>15810</v>
      </c>
      <c r="B123" s="24" t="s">
        <v>15810</v>
      </c>
      <c r="C123" s="24" t="s">
        <v>15898</v>
      </c>
      <c r="E123" s="24" t="s">
        <v>15817</v>
      </c>
      <c r="F123" s="29" t="s">
        <v>1064</v>
      </c>
      <c r="G123" s="24">
        <v>1848</v>
      </c>
      <c r="H123" s="11"/>
      <c r="J123" s="11" t="str">
        <f t="shared" si="3"/>
        <v xml:space="preserve"> </v>
      </c>
    </row>
    <row r="124" spans="1:11">
      <c r="A124" s="24" t="s">
        <v>15801</v>
      </c>
      <c r="B124" s="24" t="s">
        <v>15837</v>
      </c>
      <c r="C124" s="24" t="s">
        <v>15801</v>
      </c>
      <c r="D124" s="24" t="s">
        <v>15900</v>
      </c>
      <c r="E124" s="24" t="s">
        <v>15844</v>
      </c>
      <c r="H124" s="11" t="str">
        <f t="shared" si="2"/>
        <v/>
      </c>
      <c r="J124" s="11" t="str">
        <f t="shared" si="3"/>
        <v xml:space="preserve"> </v>
      </c>
      <c r="K124" s="24" t="s">
        <v>15801</v>
      </c>
    </row>
    <row r="125" spans="1:11">
      <c r="A125" s="24" t="s">
        <v>15801</v>
      </c>
      <c r="B125" s="24" t="s">
        <v>15818</v>
      </c>
      <c r="C125" s="24" t="s">
        <v>15915</v>
      </c>
      <c r="D125" s="24" t="s">
        <v>15900</v>
      </c>
      <c r="E125" s="24" t="s">
        <v>15801</v>
      </c>
      <c r="G125" s="24" t="s">
        <v>1123</v>
      </c>
      <c r="H125" s="11" t="str">
        <f t="shared" si="2"/>
        <v>05/01/1839</v>
      </c>
      <c r="J125" s="11" t="str">
        <f t="shared" si="3"/>
        <v xml:space="preserve"> </v>
      </c>
      <c r="K125" s="24" t="s">
        <v>1123</v>
      </c>
    </row>
    <row r="126" spans="1:11">
      <c r="A126" s="24" t="s">
        <v>15801</v>
      </c>
      <c r="B126" s="24" t="s">
        <v>15837</v>
      </c>
      <c r="C126" s="24" t="s">
        <v>15801</v>
      </c>
      <c r="D126" s="24" t="s">
        <v>15801</v>
      </c>
      <c r="E126" s="24" t="s">
        <v>15823</v>
      </c>
      <c r="H126" s="11" t="str">
        <f t="shared" si="2"/>
        <v/>
      </c>
      <c r="J126" s="11" t="str">
        <f t="shared" si="3"/>
        <v xml:space="preserve"> </v>
      </c>
      <c r="K126" s="24" t="s">
        <v>15801</v>
      </c>
    </row>
    <row r="127" spans="1:11">
      <c r="A127" s="24" t="s">
        <v>15801</v>
      </c>
      <c r="B127" s="24" t="s">
        <v>15814</v>
      </c>
      <c r="C127" s="24" t="s">
        <v>15801</v>
      </c>
      <c r="D127" s="24" t="s">
        <v>15899</v>
      </c>
      <c r="E127" s="24" t="s">
        <v>15971</v>
      </c>
      <c r="H127" s="11" t="str">
        <f t="shared" si="2"/>
        <v/>
      </c>
      <c r="J127" s="11" t="str">
        <f t="shared" si="3"/>
        <v xml:space="preserve"> </v>
      </c>
      <c r="K127" s="24" t="s">
        <v>15801</v>
      </c>
    </row>
    <row r="128" spans="1:11">
      <c r="A128" s="24" t="s">
        <v>15801</v>
      </c>
      <c r="B128" s="24" t="s">
        <v>15845</v>
      </c>
      <c r="C128" s="24" t="s">
        <v>15801</v>
      </c>
      <c r="D128" s="24" t="s">
        <v>15899</v>
      </c>
      <c r="E128" s="24" t="s">
        <v>15810</v>
      </c>
      <c r="H128" s="11" t="str">
        <f t="shared" si="2"/>
        <v/>
      </c>
      <c r="J128" s="11" t="str">
        <f t="shared" si="3"/>
        <v xml:space="preserve"> </v>
      </c>
      <c r="K128" s="24" t="s">
        <v>15801</v>
      </c>
    </row>
    <row r="129" spans="1:11">
      <c r="A129" s="24" t="s">
        <v>15817</v>
      </c>
      <c r="B129" s="24" t="s">
        <v>15817</v>
      </c>
      <c r="C129" s="24" t="s">
        <v>15801</v>
      </c>
      <c r="D129" s="24" t="s">
        <v>15801</v>
      </c>
      <c r="E129" s="24" t="s">
        <v>15801</v>
      </c>
      <c r="F129" s="29" t="s">
        <v>1100</v>
      </c>
      <c r="H129" s="11" t="str">
        <f t="shared" si="2"/>
        <v/>
      </c>
      <c r="J129" s="11" t="str">
        <f t="shared" si="3"/>
        <v xml:space="preserve"> </v>
      </c>
      <c r="K129" s="24" t="s">
        <v>15801</v>
      </c>
    </row>
    <row r="130" spans="1:11">
      <c r="A130" s="24" t="s">
        <v>15813</v>
      </c>
      <c r="B130" s="24" t="s">
        <v>15813</v>
      </c>
      <c r="C130" s="24" t="s">
        <v>15882</v>
      </c>
      <c r="D130" s="24" t="s">
        <v>15801</v>
      </c>
      <c r="E130" s="24" t="s">
        <v>15851</v>
      </c>
      <c r="F130" s="29" t="s">
        <v>1287</v>
      </c>
      <c r="G130" s="24" t="s">
        <v>1290</v>
      </c>
      <c r="H130" s="11" t="str">
        <f t="shared" si="2"/>
        <v>18/03/1880</v>
      </c>
      <c r="J130" s="11" t="str">
        <f t="shared" si="3"/>
        <v xml:space="preserve"> </v>
      </c>
      <c r="K130" s="24" t="s">
        <v>1290</v>
      </c>
    </row>
    <row r="131" spans="1:11">
      <c r="A131" s="24" t="s">
        <v>15801</v>
      </c>
      <c r="B131" s="24" t="s">
        <v>15814</v>
      </c>
      <c r="C131" s="24" t="s">
        <v>15801</v>
      </c>
      <c r="D131" s="24" t="s">
        <v>15884</v>
      </c>
      <c r="E131" s="24" t="s">
        <v>15864</v>
      </c>
      <c r="H131" s="11" t="str">
        <f t="shared" ref="H131:H194" si="4">TRIM(G131)</f>
        <v/>
      </c>
      <c r="J131" s="11" t="str">
        <f t="shared" ref="J131:J194" si="5">IF(LEN(H131)=4,"fout"," ")</f>
        <v xml:space="preserve"> </v>
      </c>
      <c r="K131" s="24" t="s">
        <v>15801</v>
      </c>
    </row>
    <row r="132" spans="1:11">
      <c r="A132" s="24" t="s">
        <v>15801</v>
      </c>
      <c r="B132" s="24" t="s">
        <v>15818</v>
      </c>
      <c r="C132" s="24" t="s">
        <v>15882</v>
      </c>
      <c r="D132" s="24" t="s">
        <v>15884</v>
      </c>
      <c r="E132" s="24" t="s">
        <v>15864</v>
      </c>
      <c r="G132" s="24" t="s">
        <v>1305</v>
      </c>
      <c r="H132" s="11" t="str">
        <f t="shared" si="4"/>
        <v>08/04/1880</v>
      </c>
      <c r="J132" s="11" t="str">
        <f t="shared" si="5"/>
        <v xml:space="preserve"> </v>
      </c>
      <c r="K132" s="24" t="s">
        <v>1305</v>
      </c>
    </row>
    <row r="133" spans="1:11">
      <c r="A133" s="24" t="s">
        <v>15801</v>
      </c>
      <c r="B133" s="24" t="s">
        <v>15850</v>
      </c>
      <c r="C133" s="24" t="s">
        <v>15884</v>
      </c>
      <c r="D133" s="24" t="s">
        <v>15965</v>
      </c>
      <c r="E133" s="24" t="s">
        <v>15823</v>
      </c>
      <c r="G133" s="24" t="s">
        <v>1367</v>
      </c>
      <c r="H133" s="11" t="str">
        <f t="shared" si="4"/>
        <v>29/04/1838</v>
      </c>
      <c r="J133" s="11" t="str">
        <f t="shared" si="5"/>
        <v xml:space="preserve"> </v>
      </c>
      <c r="K133" s="24" t="s">
        <v>1367</v>
      </c>
    </row>
    <row r="134" spans="1:11">
      <c r="A134" s="24" t="s">
        <v>15801</v>
      </c>
      <c r="B134" s="24" t="s">
        <v>15866</v>
      </c>
      <c r="C134" s="24" t="s">
        <v>15801</v>
      </c>
      <c r="D134" s="24" t="s">
        <v>15801</v>
      </c>
      <c r="E134" s="24" t="s">
        <v>15818</v>
      </c>
      <c r="H134" s="11" t="str">
        <f t="shared" si="4"/>
        <v/>
      </c>
      <c r="J134" s="11" t="str">
        <f t="shared" si="5"/>
        <v xml:space="preserve"> </v>
      </c>
      <c r="K134" s="24" t="s">
        <v>15801</v>
      </c>
    </row>
    <row r="135" spans="1:11">
      <c r="A135" s="24" t="s">
        <v>15810</v>
      </c>
      <c r="B135" s="24" t="s">
        <v>15810</v>
      </c>
      <c r="C135" s="24" t="s">
        <v>15801</v>
      </c>
      <c r="D135" s="24" t="s">
        <v>15870</v>
      </c>
      <c r="E135" s="24" t="s">
        <v>15900</v>
      </c>
      <c r="F135" s="29" t="s">
        <v>1279</v>
      </c>
      <c r="H135" s="11" t="str">
        <f t="shared" si="4"/>
        <v/>
      </c>
      <c r="J135" s="11" t="str">
        <f t="shared" si="5"/>
        <v xml:space="preserve"> </v>
      </c>
      <c r="K135" s="24" t="s">
        <v>15801</v>
      </c>
    </row>
    <row r="136" spans="1:11">
      <c r="A136" s="24" t="s">
        <v>15801</v>
      </c>
      <c r="B136" s="24" t="s">
        <v>15812</v>
      </c>
      <c r="C136" s="24" t="s">
        <v>15801</v>
      </c>
      <c r="D136" s="24" t="s">
        <v>15900</v>
      </c>
      <c r="E136" s="24" t="s">
        <v>15837</v>
      </c>
      <c r="H136" s="11" t="str">
        <f t="shared" si="4"/>
        <v/>
      </c>
      <c r="J136" s="11" t="str">
        <f t="shared" si="5"/>
        <v xml:space="preserve"> </v>
      </c>
      <c r="K136" s="24" t="s">
        <v>15801</v>
      </c>
    </row>
    <row r="137" spans="1:11">
      <c r="A137" s="24" t="s">
        <v>15801</v>
      </c>
      <c r="B137" s="24" t="s">
        <v>15842</v>
      </c>
      <c r="C137" s="24" t="s">
        <v>15801</v>
      </c>
      <c r="D137" s="24" t="s">
        <v>15915</v>
      </c>
      <c r="E137" s="24" t="s">
        <v>15802</v>
      </c>
      <c r="H137" s="11" t="str">
        <f t="shared" si="4"/>
        <v/>
      </c>
      <c r="J137" s="11" t="str">
        <f t="shared" si="5"/>
        <v xml:space="preserve"> </v>
      </c>
      <c r="K137" s="24" t="s">
        <v>15801</v>
      </c>
    </row>
    <row r="138" spans="1:11">
      <c r="A138" s="24" t="s">
        <v>15810</v>
      </c>
      <c r="B138" s="24" t="s">
        <v>15810</v>
      </c>
      <c r="C138" s="24">
        <v>1902</v>
      </c>
      <c r="D138" s="24" t="s">
        <v>15915</v>
      </c>
      <c r="E138" s="24" t="s">
        <v>15801</v>
      </c>
      <c r="F138" s="29" t="s">
        <v>1117</v>
      </c>
      <c r="G138" s="24" t="s">
        <v>15772</v>
      </c>
      <c r="H138" s="11" t="str">
        <f t="shared" si="4"/>
        <v>2/1/1902</v>
      </c>
      <c r="J138" s="11" t="str">
        <f t="shared" si="5"/>
        <v xml:space="preserve"> </v>
      </c>
      <c r="K138" s="24" t="s">
        <v>15772</v>
      </c>
    </row>
    <row r="139" spans="1:11">
      <c r="A139" s="24" t="s">
        <v>15801</v>
      </c>
      <c r="B139" s="24" t="s">
        <v>15808</v>
      </c>
      <c r="C139" s="24" t="s">
        <v>15916</v>
      </c>
      <c r="D139" s="24" t="s">
        <v>15884</v>
      </c>
      <c r="E139" s="24" t="s">
        <v>15811</v>
      </c>
      <c r="G139" s="24" t="s">
        <v>1448</v>
      </c>
      <c r="H139" s="11" t="str">
        <f t="shared" si="4"/>
        <v>07/01/1885</v>
      </c>
      <c r="J139" s="11" t="str">
        <f t="shared" si="5"/>
        <v xml:space="preserve"> </v>
      </c>
      <c r="K139" s="24" t="s">
        <v>1448</v>
      </c>
    </row>
    <row r="140" spans="1:11">
      <c r="A140" s="24" t="s">
        <v>15836</v>
      </c>
      <c r="B140" s="24" t="s">
        <v>15836</v>
      </c>
      <c r="C140" s="24" t="s">
        <v>15801</v>
      </c>
      <c r="D140" s="24" t="s">
        <v>15870</v>
      </c>
      <c r="E140" s="24" t="s">
        <v>15802</v>
      </c>
      <c r="F140" s="29" t="s">
        <v>1466</v>
      </c>
      <c r="H140" s="11" t="str">
        <f t="shared" si="4"/>
        <v/>
      </c>
      <c r="J140" s="11" t="str">
        <f t="shared" si="5"/>
        <v xml:space="preserve"> </v>
      </c>
      <c r="K140" s="24" t="s">
        <v>15801</v>
      </c>
    </row>
    <row r="141" spans="1:11">
      <c r="A141" s="24" t="s">
        <v>15801</v>
      </c>
      <c r="B141" s="24" t="s">
        <v>15837</v>
      </c>
      <c r="C141" s="24" t="s">
        <v>15801</v>
      </c>
      <c r="D141" s="24" t="s">
        <v>15899</v>
      </c>
      <c r="E141" s="24" t="s">
        <v>15833</v>
      </c>
      <c r="H141" s="11" t="str">
        <f t="shared" si="4"/>
        <v/>
      </c>
      <c r="J141" s="11" t="str">
        <f t="shared" si="5"/>
        <v xml:space="preserve"> </v>
      </c>
      <c r="K141" s="24" t="s">
        <v>15801</v>
      </c>
    </row>
    <row r="142" spans="1:11">
      <c r="A142" s="24" t="s">
        <v>15801</v>
      </c>
      <c r="B142" s="24" t="s">
        <v>15808</v>
      </c>
      <c r="C142" s="24" t="s">
        <v>15801</v>
      </c>
      <c r="D142" s="24" t="s">
        <v>15884</v>
      </c>
      <c r="E142" s="24" t="s">
        <v>15801</v>
      </c>
      <c r="H142" s="11" t="str">
        <f t="shared" si="4"/>
        <v/>
      </c>
      <c r="J142" s="11" t="str">
        <f t="shared" si="5"/>
        <v xml:space="preserve"> </v>
      </c>
      <c r="K142" s="24" t="s">
        <v>15801</v>
      </c>
    </row>
    <row r="143" spans="1:11">
      <c r="A143" s="24" t="s">
        <v>15801</v>
      </c>
      <c r="B143" s="24" t="s">
        <v>15835</v>
      </c>
      <c r="C143" s="24" t="s">
        <v>15801</v>
      </c>
      <c r="D143" s="24" t="s">
        <v>15899</v>
      </c>
      <c r="E143" s="24" t="s">
        <v>15827</v>
      </c>
      <c r="H143" s="11" t="str">
        <f t="shared" si="4"/>
        <v/>
      </c>
      <c r="J143" s="11" t="str">
        <f t="shared" si="5"/>
        <v xml:space="preserve"> </v>
      </c>
      <c r="K143" s="24" t="s">
        <v>15801</v>
      </c>
    </row>
    <row r="144" spans="1:11">
      <c r="A144" s="24" t="s">
        <v>15801</v>
      </c>
      <c r="B144" s="24" t="s">
        <v>15830</v>
      </c>
      <c r="C144" s="24" t="s">
        <v>15801</v>
      </c>
      <c r="D144" s="24" t="s">
        <v>15870</v>
      </c>
      <c r="E144" s="24" t="s">
        <v>15815</v>
      </c>
      <c r="H144" s="11" t="str">
        <f t="shared" si="4"/>
        <v/>
      </c>
      <c r="J144" s="11" t="str">
        <f t="shared" si="5"/>
        <v xml:space="preserve"> </v>
      </c>
      <c r="K144" s="24" t="s">
        <v>15801</v>
      </c>
    </row>
    <row r="145" spans="1:11">
      <c r="A145" s="24" t="s">
        <v>15801</v>
      </c>
      <c r="B145" s="24" t="s">
        <v>15841</v>
      </c>
      <c r="C145" s="24" t="s">
        <v>15801</v>
      </c>
      <c r="D145" s="24" t="s">
        <v>15870</v>
      </c>
      <c r="E145" s="24" t="s">
        <v>15820</v>
      </c>
      <c r="H145" s="11" t="str">
        <f t="shared" si="4"/>
        <v/>
      </c>
      <c r="J145" s="11" t="str">
        <f t="shared" si="5"/>
        <v xml:space="preserve"> </v>
      </c>
      <c r="K145" s="24" t="s">
        <v>15801</v>
      </c>
    </row>
    <row r="146" spans="1:11">
      <c r="A146" s="24" t="s">
        <v>15801</v>
      </c>
      <c r="B146" s="24" t="s">
        <v>15840</v>
      </c>
      <c r="C146" s="24" t="s">
        <v>15801</v>
      </c>
      <c r="D146" s="24" t="s">
        <v>15801</v>
      </c>
      <c r="E146" s="24" t="s">
        <v>15820</v>
      </c>
      <c r="H146" s="11" t="str">
        <f t="shared" si="4"/>
        <v/>
      </c>
      <c r="J146" s="11" t="str">
        <f t="shared" si="5"/>
        <v xml:space="preserve"> </v>
      </c>
      <c r="K146" s="24" t="s">
        <v>15801</v>
      </c>
    </row>
    <row r="147" spans="1:11">
      <c r="A147" s="24" t="s">
        <v>15816</v>
      </c>
      <c r="B147" s="24" t="s">
        <v>15816</v>
      </c>
      <c r="C147" s="24" t="s">
        <v>15801</v>
      </c>
      <c r="D147" s="24" t="s">
        <v>15870</v>
      </c>
      <c r="E147" s="24" t="s">
        <v>15915</v>
      </c>
      <c r="F147" s="29" t="s">
        <v>1158</v>
      </c>
      <c r="H147" s="11" t="str">
        <f t="shared" si="4"/>
        <v/>
      </c>
      <c r="J147" s="11" t="str">
        <f t="shared" si="5"/>
        <v xml:space="preserve"> </v>
      </c>
      <c r="K147" s="24" t="s">
        <v>15801</v>
      </c>
    </row>
    <row r="148" spans="1:11">
      <c r="A148" s="24" t="s">
        <v>15810</v>
      </c>
      <c r="B148" s="24" t="s">
        <v>15810</v>
      </c>
      <c r="C148" s="24" t="s">
        <v>15801</v>
      </c>
      <c r="D148" s="24" t="s">
        <v>15900</v>
      </c>
      <c r="E148" s="24" t="s">
        <v>15899</v>
      </c>
      <c r="F148" s="29" t="s">
        <v>1252</v>
      </c>
      <c r="H148" s="11" t="str">
        <f t="shared" si="4"/>
        <v/>
      </c>
      <c r="J148" s="11" t="str">
        <f t="shared" si="5"/>
        <v xml:space="preserve"> </v>
      </c>
      <c r="K148" s="24" t="s">
        <v>15801</v>
      </c>
    </row>
    <row r="149" spans="1:11">
      <c r="A149" s="24" t="s">
        <v>15801</v>
      </c>
      <c r="B149" s="24" t="s">
        <v>15850</v>
      </c>
      <c r="C149" s="24" t="s">
        <v>15801</v>
      </c>
      <c r="D149" s="24" t="s">
        <v>15870</v>
      </c>
      <c r="E149" s="24" t="s">
        <v>15817</v>
      </c>
      <c r="H149" s="11" t="str">
        <f t="shared" si="4"/>
        <v/>
      </c>
      <c r="J149" s="11" t="str">
        <f t="shared" si="5"/>
        <v xml:space="preserve"> </v>
      </c>
      <c r="K149" s="24" t="s">
        <v>15801</v>
      </c>
    </row>
    <row r="150" spans="1:11">
      <c r="A150" s="24" t="s">
        <v>15801</v>
      </c>
      <c r="B150" s="24" t="s">
        <v>15840</v>
      </c>
      <c r="C150" s="24" t="s">
        <v>15917</v>
      </c>
      <c r="D150" s="24" t="s">
        <v>15801</v>
      </c>
      <c r="E150" s="24" t="s">
        <v>15863</v>
      </c>
      <c r="G150" s="24" t="s">
        <v>1408</v>
      </c>
      <c r="H150" s="11" t="str">
        <f t="shared" si="4"/>
        <v>07/04/1869</v>
      </c>
      <c r="J150" s="11" t="str">
        <f t="shared" si="5"/>
        <v xml:space="preserve"> </v>
      </c>
      <c r="K150" s="24" t="s">
        <v>1408</v>
      </c>
    </row>
    <row r="151" spans="1:11">
      <c r="A151" s="24" t="s">
        <v>15815</v>
      </c>
      <c r="B151" s="24" t="s">
        <v>15815</v>
      </c>
      <c r="C151" s="24" t="s">
        <v>15801</v>
      </c>
      <c r="D151" s="24" t="s">
        <v>15801</v>
      </c>
      <c r="E151" s="24" t="s">
        <v>15966</v>
      </c>
      <c r="F151" s="29" t="s">
        <v>1163</v>
      </c>
      <c r="H151" s="11" t="str">
        <f t="shared" si="4"/>
        <v/>
      </c>
      <c r="J151" s="11" t="str">
        <f t="shared" si="5"/>
        <v xml:space="preserve"> </v>
      </c>
      <c r="K151" s="24" t="s">
        <v>15801</v>
      </c>
    </row>
    <row r="152" spans="1:11">
      <c r="A152" s="24" t="s">
        <v>15809</v>
      </c>
      <c r="B152" s="24" t="s">
        <v>15809</v>
      </c>
      <c r="C152" s="24" t="s">
        <v>15889</v>
      </c>
      <c r="D152" s="24" t="s">
        <v>15884</v>
      </c>
      <c r="E152" s="24" t="s">
        <v>15801</v>
      </c>
      <c r="F152" s="29" t="s">
        <v>1459</v>
      </c>
      <c r="G152" s="24" t="s">
        <v>1461</v>
      </c>
      <c r="H152" s="11" t="str">
        <f t="shared" si="4"/>
        <v>24/01/1865</v>
      </c>
      <c r="J152" s="11" t="str">
        <f t="shared" si="5"/>
        <v xml:space="preserve"> </v>
      </c>
      <c r="K152" s="24" t="s">
        <v>1461</v>
      </c>
    </row>
    <row r="153" spans="1:11">
      <c r="A153" s="24" t="s">
        <v>15811</v>
      </c>
      <c r="B153" s="24" t="s">
        <v>15811</v>
      </c>
      <c r="C153" s="24" t="s">
        <v>15801</v>
      </c>
      <c r="D153" s="24" t="s">
        <v>15900</v>
      </c>
      <c r="E153" s="24" t="s">
        <v>15956</v>
      </c>
      <c r="F153" s="29" t="s">
        <v>1437</v>
      </c>
      <c r="H153" s="11" t="str">
        <f t="shared" si="4"/>
        <v/>
      </c>
      <c r="J153" s="11" t="str">
        <f t="shared" si="5"/>
        <v xml:space="preserve"> </v>
      </c>
      <c r="K153" s="24" t="s">
        <v>15801</v>
      </c>
    </row>
    <row r="154" spans="1:11">
      <c r="A154" s="24" t="s">
        <v>15801</v>
      </c>
      <c r="B154" s="24" t="s">
        <v>15836</v>
      </c>
      <c r="C154" s="24" t="s">
        <v>15892</v>
      </c>
      <c r="D154" s="24" t="s">
        <v>15801</v>
      </c>
      <c r="E154" s="24" t="s">
        <v>15802</v>
      </c>
      <c r="G154" s="24" t="s">
        <v>1144</v>
      </c>
      <c r="H154" s="11" t="str">
        <f t="shared" si="4"/>
        <v>06/06/1871</v>
      </c>
      <c r="J154" s="11" t="str">
        <f t="shared" si="5"/>
        <v xml:space="preserve"> </v>
      </c>
      <c r="K154" s="24" t="s">
        <v>1144</v>
      </c>
    </row>
    <row r="155" spans="1:11">
      <c r="A155" s="24" t="s">
        <v>15833</v>
      </c>
      <c r="B155" s="24" t="s">
        <v>15833</v>
      </c>
      <c r="C155" s="24" t="s">
        <v>15801</v>
      </c>
      <c r="E155" s="24" t="s">
        <v>15801</v>
      </c>
      <c r="F155" s="29" t="s">
        <v>1361</v>
      </c>
      <c r="H155" s="11" t="str">
        <f t="shared" si="4"/>
        <v/>
      </c>
      <c r="J155" s="11" t="str">
        <f t="shared" si="5"/>
        <v xml:space="preserve"> </v>
      </c>
      <c r="K155" s="24" t="s">
        <v>15801</v>
      </c>
    </row>
    <row r="156" spans="1:11">
      <c r="A156" s="24" t="s">
        <v>15801</v>
      </c>
      <c r="B156" s="24" t="s">
        <v>15803</v>
      </c>
      <c r="C156" s="24" t="s">
        <v>15918</v>
      </c>
      <c r="D156" s="24" t="s">
        <v>15900</v>
      </c>
      <c r="E156" s="24" t="s">
        <v>15833</v>
      </c>
      <c r="G156" s="24" t="s">
        <v>1430</v>
      </c>
      <c r="H156" s="11" t="str">
        <f t="shared" si="4"/>
        <v>11/06/1867</v>
      </c>
      <c r="J156" s="11" t="str">
        <f t="shared" si="5"/>
        <v xml:space="preserve"> </v>
      </c>
      <c r="K156" s="24" t="s">
        <v>1430</v>
      </c>
    </row>
    <row r="157" spans="1:11">
      <c r="A157" s="24" t="s">
        <v>15827</v>
      </c>
      <c r="B157" s="24" t="s">
        <v>15827</v>
      </c>
      <c r="C157" s="24" t="s">
        <v>15801</v>
      </c>
      <c r="D157" s="24" t="s">
        <v>15870</v>
      </c>
      <c r="E157" s="24" t="s">
        <v>15801</v>
      </c>
      <c r="F157" s="29" t="s">
        <v>1182</v>
      </c>
      <c r="H157" s="11" t="str">
        <f t="shared" si="4"/>
        <v/>
      </c>
      <c r="J157" s="11" t="str">
        <f t="shared" si="5"/>
        <v xml:space="preserve"> </v>
      </c>
      <c r="K157" s="24" t="s">
        <v>15801</v>
      </c>
    </row>
    <row r="158" spans="1:11">
      <c r="A158" s="24" t="s">
        <v>15801</v>
      </c>
      <c r="B158" s="24" t="s">
        <v>15814</v>
      </c>
      <c r="C158" s="24" t="s">
        <v>15801</v>
      </c>
      <c r="D158" s="24" t="s">
        <v>15899</v>
      </c>
      <c r="E158" s="24" t="s">
        <v>15863</v>
      </c>
      <c r="H158" s="11" t="str">
        <f t="shared" si="4"/>
        <v/>
      </c>
      <c r="J158" s="11" t="str">
        <f t="shared" si="5"/>
        <v xml:space="preserve"> </v>
      </c>
      <c r="K158" s="24" t="s">
        <v>15801</v>
      </c>
    </row>
    <row r="159" spans="1:11">
      <c r="A159" s="24" t="s">
        <v>15801</v>
      </c>
      <c r="B159" s="24" t="s">
        <v>15821</v>
      </c>
      <c r="C159" s="24" t="s">
        <v>15919</v>
      </c>
      <c r="D159" s="24" t="s">
        <v>15801</v>
      </c>
      <c r="E159" s="24" t="s">
        <v>15801</v>
      </c>
      <c r="G159" s="24" t="s">
        <v>1316</v>
      </c>
      <c r="H159" s="11" t="str">
        <f t="shared" si="4"/>
        <v>01/07/1888</v>
      </c>
      <c r="J159" s="11" t="str">
        <f t="shared" si="5"/>
        <v xml:space="preserve"> </v>
      </c>
      <c r="K159" s="24" t="s">
        <v>1316</v>
      </c>
    </row>
    <row r="160" spans="1:11">
      <c r="A160" s="24" t="s">
        <v>15801</v>
      </c>
      <c r="B160" s="24" t="s">
        <v>15813</v>
      </c>
      <c r="C160" s="24" t="s">
        <v>15882</v>
      </c>
      <c r="D160" s="24" t="s">
        <v>15899</v>
      </c>
      <c r="E160" s="24" t="s">
        <v>15864</v>
      </c>
      <c r="G160" s="24" t="s">
        <v>1206</v>
      </c>
      <c r="H160" s="11" t="str">
        <f t="shared" si="4"/>
        <v>07/02/1880</v>
      </c>
      <c r="J160" s="11" t="str">
        <f t="shared" si="5"/>
        <v xml:space="preserve"> </v>
      </c>
      <c r="K160" s="24" t="s">
        <v>1206</v>
      </c>
    </row>
    <row r="161" spans="1:11">
      <c r="A161" s="24" t="s">
        <v>15807</v>
      </c>
      <c r="B161" s="24" t="s">
        <v>15807</v>
      </c>
      <c r="C161" s="24" t="s">
        <v>15884</v>
      </c>
      <c r="D161" s="24" t="s">
        <v>15900</v>
      </c>
      <c r="E161" s="24" t="s">
        <v>15851</v>
      </c>
      <c r="F161" s="29" t="s">
        <v>1261</v>
      </c>
      <c r="G161" s="24" t="s">
        <v>301</v>
      </c>
      <c r="H161" s="11" t="str">
        <f t="shared" si="4"/>
        <v>17/02/1838</v>
      </c>
      <c r="J161" s="11" t="str">
        <f t="shared" si="5"/>
        <v xml:space="preserve"> </v>
      </c>
      <c r="K161" s="24" t="s">
        <v>301</v>
      </c>
    </row>
    <row r="162" spans="1:11">
      <c r="A162" s="24" t="s">
        <v>15801</v>
      </c>
      <c r="B162" s="24" t="s">
        <v>15867</v>
      </c>
      <c r="C162" s="24" t="s">
        <v>15801</v>
      </c>
      <c r="D162" s="24" t="s">
        <v>15900</v>
      </c>
      <c r="E162" s="24" t="s">
        <v>15822</v>
      </c>
      <c r="H162" s="11" t="str">
        <f t="shared" si="4"/>
        <v/>
      </c>
      <c r="J162" s="11" t="str">
        <f t="shared" si="5"/>
        <v xml:space="preserve"> </v>
      </c>
      <c r="K162" s="24" t="s">
        <v>15801</v>
      </c>
    </row>
    <row r="163" spans="1:11">
      <c r="A163" s="24" t="s">
        <v>15801</v>
      </c>
      <c r="B163" s="24" t="s">
        <v>15834</v>
      </c>
      <c r="C163" s="24" t="s">
        <v>15801</v>
      </c>
      <c r="D163" s="24" t="s">
        <v>15900</v>
      </c>
      <c r="E163" s="24" t="s">
        <v>15810</v>
      </c>
      <c r="H163" s="11" t="str">
        <f t="shared" si="4"/>
        <v/>
      </c>
      <c r="J163" s="11" t="str">
        <f t="shared" si="5"/>
        <v xml:space="preserve"> </v>
      </c>
      <c r="K163" s="24" t="s">
        <v>15801</v>
      </c>
    </row>
    <row r="164" spans="1:11">
      <c r="A164" s="24" t="s">
        <v>15837</v>
      </c>
      <c r="B164" s="24" t="s">
        <v>15837</v>
      </c>
      <c r="C164" s="24" t="s">
        <v>15884</v>
      </c>
      <c r="D164" s="24" t="s">
        <v>15801</v>
      </c>
      <c r="E164" s="24" t="s">
        <v>15833</v>
      </c>
      <c r="F164" s="29" t="s">
        <v>1365</v>
      </c>
      <c r="G164" s="24" t="s">
        <v>1367</v>
      </c>
      <c r="H164" s="11" t="str">
        <f t="shared" si="4"/>
        <v>29/04/1838</v>
      </c>
      <c r="J164" s="11" t="str">
        <f t="shared" si="5"/>
        <v xml:space="preserve"> </v>
      </c>
      <c r="K164" s="24" t="s">
        <v>1367</v>
      </c>
    </row>
    <row r="165" spans="1:11">
      <c r="A165" s="24" t="s">
        <v>15801</v>
      </c>
      <c r="B165" s="24" t="s">
        <v>15814</v>
      </c>
      <c r="C165" s="24" t="s">
        <v>15893</v>
      </c>
      <c r="D165" s="24" t="s">
        <v>15915</v>
      </c>
      <c r="E165" s="24" t="s">
        <v>15823</v>
      </c>
      <c r="G165" s="24" t="s">
        <v>2779</v>
      </c>
      <c r="H165" s="11" t="str">
        <f t="shared" si="4"/>
        <v>26/03/1879</v>
      </c>
      <c r="J165" s="11" t="str">
        <f t="shared" si="5"/>
        <v xml:space="preserve"> </v>
      </c>
      <c r="K165" s="24" t="s">
        <v>2779</v>
      </c>
    </row>
    <row r="166" spans="1:11">
      <c r="A166" s="24" t="s">
        <v>15801</v>
      </c>
      <c r="B166" s="24" t="s">
        <v>15839</v>
      </c>
      <c r="C166" s="24" t="s">
        <v>15920</v>
      </c>
      <c r="D166" s="24" t="s">
        <v>15801</v>
      </c>
      <c r="E166" s="24" t="s">
        <v>15816</v>
      </c>
      <c r="G166" s="24" t="s">
        <v>1327</v>
      </c>
      <c r="H166" s="11" t="str">
        <f t="shared" si="4"/>
        <v>30/11/1852</v>
      </c>
      <c r="J166" s="11" t="str">
        <f t="shared" si="5"/>
        <v xml:space="preserve"> </v>
      </c>
      <c r="K166" s="24" t="s">
        <v>1327</v>
      </c>
    </row>
    <row r="167" spans="1:11">
      <c r="A167" s="24" t="s">
        <v>15807</v>
      </c>
      <c r="B167" s="24" t="s">
        <v>15807</v>
      </c>
      <c r="C167" s="24" t="s">
        <v>15801</v>
      </c>
      <c r="D167" s="24" t="s">
        <v>15908</v>
      </c>
      <c r="E167" s="24" t="s">
        <v>15876</v>
      </c>
      <c r="F167" s="29" t="s">
        <v>1214</v>
      </c>
      <c r="H167" s="11" t="str">
        <f t="shared" si="4"/>
        <v/>
      </c>
      <c r="J167" s="11" t="str">
        <f t="shared" si="5"/>
        <v xml:space="preserve"> </v>
      </c>
      <c r="K167" s="24" t="s">
        <v>15801</v>
      </c>
    </row>
    <row r="168" spans="1:11">
      <c r="A168" s="24" t="s">
        <v>15807</v>
      </c>
      <c r="B168" s="24" t="s">
        <v>15807</v>
      </c>
      <c r="C168" s="24" t="s">
        <v>15870</v>
      </c>
      <c r="D168" s="24" t="s">
        <v>15965</v>
      </c>
      <c r="E168" s="24" t="s">
        <v>15851</v>
      </c>
      <c r="F168" s="29" t="s">
        <v>2788</v>
      </c>
      <c r="G168" s="24" t="s">
        <v>1373</v>
      </c>
      <c r="H168" s="11" t="str">
        <f t="shared" si="4"/>
        <v>20/10/1836</v>
      </c>
      <c r="J168" s="11" t="str">
        <f t="shared" si="5"/>
        <v xml:space="preserve"> </v>
      </c>
      <c r="K168" s="24" t="s">
        <v>1373</v>
      </c>
    </row>
    <row r="169" spans="1:11">
      <c r="A169" s="24" t="s">
        <v>15821</v>
      </c>
      <c r="B169" s="24" t="s">
        <v>15821</v>
      </c>
      <c r="C169" s="24" t="s">
        <v>15921</v>
      </c>
      <c r="D169" s="24" t="s">
        <v>15901</v>
      </c>
      <c r="E169" s="24" t="s">
        <v>15876</v>
      </c>
      <c r="F169" s="29" t="s">
        <v>1422</v>
      </c>
      <c r="G169" s="24">
        <v>1833</v>
      </c>
      <c r="H169" s="11"/>
      <c r="J169" s="11" t="str">
        <f t="shared" si="5"/>
        <v xml:space="preserve"> </v>
      </c>
    </row>
    <row r="170" spans="1:11">
      <c r="A170" s="24" t="s">
        <v>15816</v>
      </c>
      <c r="B170" s="24" t="s">
        <v>15816</v>
      </c>
      <c r="C170" s="24" t="s">
        <v>15884</v>
      </c>
      <c r="D170" s="24" t="s">
        <v>15870</v>
      </c>
      <c r="E170" s="24" t="s">
        <v>15870</v>
      </c>
      <c r="F170" s="29" t="s">
        <v>1398</v>
      </c>
      <c r="G170" s="24" t="s">
        <v>301</v>
      </c>
      <c r="H170" s="11" t="str">
        <f t="shared" si="4"/>
        <v>17/02/1838</v>
      </c>
      <c r="J170" s="11" t="str">
        <f t="shared" si="5"/>
        <v xml:space="preserve"> </v>
      </c>
      <c r="K170" s="24" t="s">
        <v>301</v>
      </c>
    </row>
    <row r="171" spans="1:11">
      <c r="A171" s="24" t="s">
        <v>15801</v>
      </c>
      <c r="B171" s="24" t="s">
        <v>15865</v>
      </c>
      <c r="C171" s="24" t="s">
        <v>15922</v>
      </c>
      <c r="D171" s="24" t="s">
        <v>15900</v>
      </c>
      <c r="E171" s="24" t="s">
        <v>15840</v>
      </c>
      <c r="G171" s="24" t="s">
        <v>1338</v>
      </c>
      <c r="H171" s="11" t="str">
        <f t="shared" si="4"/>
        <v>03/12/1855</v>
      </c>
      <c r="J171" s="11" t="str">
        <f t="shared" si="5"/>
        <v xml:space="preserve"> </v>
      </c>
      <c r="K171" s="24" t="s">
        <v>1338</v>
      </c>
    </row>
    <row r="172" spans="1:11">
      <c r="A172" s="24" t="s">
        <v>15801</v>
      </c>
      <c r="B172" s="24" t="s">
        <v>15808</v>
      </c>
      <c r="C172" s="24" t="s">
        <v>15890</v>
      </c>
      <c r="D172" s="24" t="s">
        <v>15900</v>
      </c>
      <c r="E172" s="24" t="s">
        <v>15811</v>
      </c>
      <c r="G172" s="24" t="s">
        <v>1348</v>
      </c>
      <c r="H172" s="11" t="str">
        <f t="shared" si="4"/>
        <v>18/12/1875</v>
      </c>
      <c r="J172" s="11" t="str">
        <f t="shared" si="5"/>
        <v xml:space="preserve"> </v>
      </c>
      <c r="K172" s="24" t="s">
        <v>1348</v>
      </c>
    </row>
    <row r="173" spans="1:11">
      <c r="A173" s="24" t="s">
        <v>15801</v>
      </c>
      <c r="B173" s="24" t="s">
        <v>15822</v>
      </c>
      <c r="C173" s="24" t="s">
        <v>15801</v>
      </c>
      <c r="D173" s="24" t="s">
        <v>15870</v>
      </c>
      <c r="E173" s="24" t="s">
        <v>15811</v>
      </c>
      <c r="H173" s="11" t="str">
        <f t="shared" si="4"/>
        <v/>
      </c>
      <c r="J173" s="11" t="str">
        <f t="shared" si="5"/>
        <v xml:space="preserve"> </v>
      </c>
      <c r="K173" s="24" t="s">
        <v>15801</v>
      </c>
    </row>
    <row r="174" spans="1:11">
      <c r="A174" s="24" t="s">
        <v>15801</v>
      </c>
      <c r="B174" s="24" t="s">
        <v>15815</v>
      </c>
      <c r="C174" s="24" t="s">
        <v>15801</v>
      </c>
      <c r="D174" s="24" t="s">
        <v>15965</v>
      </c>
      <c r="E174" s="24" t="s">
        <v>15971</v>
      </c>
      <c r="H174" s="11" t="str">
        <f t="shared" si="4"/>
        <v/>
      </c>
      <c r="J174" s="11" t="str">
        <f t="shared" si="5"/>
        <v xml:space="preserve"> </v>
      </c>
      <c r="K174" s="24" t="s">
        <v>15801</v>
      </c>
    </row>
    <row r="175" spans="1:11">
      <c r="A175" s="24" t="s">
        <v>15819</v>
      </c>
      <c r="B175" s="24" t="s">
        <v>15819</v>
      </c>
      <c r="C175" s="24" t="s">
        <v>15801</v>
      </c>
      <c r="D175" s="24" t="s">
        <v>15965</v>
      </c>
      <c r="E175" s="24" t="s">
        <v>15921</v>
      </c>
      <c r="F175" s="29" t="s">
        <v>1247</v>
      </c>
      <c r="H175" s="11" t="str">
        <f t="shared" si="4"/>
        <v/>
      </c>
      <c r="J175" s="11" t="str">
        <f t="shared" si="5"/>
        <v xml:space="preserve"> </v>
      </c>
      <c r="K175" s="24" t="s">
        <v>15801</v>
      </c>
    </row>
    <row r="176" spans="1:11">
      <c r="A176" s="24" t="s">
        <v>15820</v>
      </c>
      <c r="B176" s="24" t="s">
        <v>15820</v>
      </c>
      <c r="C176" s="24" t="s">
        <v>15801</v>
      </c>
      <c r="D176" s="24" t="s">
        <v>15801</v>
      </c>
      <c r="E176" s="24" t="s">
        <v>15931</v>
      </c>
      <c r="F176" s="29" t="s">
        <v>1416</v>
      </c>
      <c r="H176" s="11" t="str">
        <f t="shared" si="4"/>
        <v/>
      </c>
      <c r="J176" s="11" t="str">
        <f t="shared" si="5"/>
        <v xml:space="preserve"> </v>
      </c>
      <c r="K176" s="24" t="s">
        <v>15801</v>
      </c>
    </row>
    <row r="177" spans="1:11">
      <c r="A177" s="24" t="s">
        <v>15820</v>
      </c>
      <c r="B177" s="24" t="s">
        <v>15820</v>
      </c>
      <c r="C177" s="24" t="s">
        <v>15801</v>
      </c>
      <c r="D177" s="24" t="s">
        <v>15965</v>
      </c>
      <c r="E177" s="24" t="s">
        <v>15899</v>
      </c>
      <c r="F177" s="29" t="s">
        <v>1257</v>
      </c>
      <c r="H177" s="11" t="str">
        <f t="shared" si="4"/>
        <v/>
      </c>
      <c r="J177" s="11" t="str">
        <f t="shared" si="5"/>
        <v xml:space="preserve"> </v>
      </c>
      <c r="K177" s="24" t="s">
        <v>15801</v>
      </c>
    </row>
    <row r="178" spans="1:11">
      <c r="A178" s="24" t="s">
        <v>15825</v>
      </c>
      <c r="B178" s="24" t="s">
        <v>15825</v>
      </c>
      <c r="C178" s="24" t="s">
        <v>15801</v>
      </c>
      <c r="D178" s="24" t="s">
        <v>15801</v>
      </c>
      <c r="E178" s="24" t="s">
        <v>15876</v>
      </c>
      <c r="F178" s="29" t="s">
        <v>1190</v>
      </c>
      <c r="H178" s="11" t="str">
        <f t="shared" si="4"/>
        <v/>
      </c>
      <c r="J178" s="11" t="str">
        <f t="shared" si="5"/>
        <v xml:space="preserve"> </v>
      </c>
      <c r="K178" s="24" t="s">
        <v>15801</v>
      </c>
    </row>
    <row r="179" spans="1:11">
      <c r="A179" s="24" t="s">
        <v>15825</v>
      </c>
      <c r="B179" s="24" t="s">
        <v>15825</v>
      </c>
      <c r="C179" s="24" t="s">
        <v>15923</v>
      </c>
      <c r="D179" s="24" t="s">
        <v>15899</v>
      </c>
      <c r="E179" s="24" t="s">
        <v>15966</v>
      </c>
      <c r="F179" s="29" t="s">
        <v>1505</v>
      </c>
      <c r="G179" s="24" t="s">
        <v>1506</v>
      </c>
      <c r="H179" s="11" t="str">
        <f t="shared" si="4"/>
        <v>15/06/1853</v>
      </c>
      <c r="J179" s="11" t="str">
        <f t="shared" si="5"/>
        <v xml:space="preserve"> </v>
      </c>
      <c r="K179" s="24" t="s">
        <v>1506</v>
      </c>
    </row>
    <row r="180" spans="1:11">
      <c r="A180" s="24" t="s">
        <v>15801</v>
      </c>
      <c r="B180" s="24" t="s">
        <v>15845</v>
      </c>
      <c r="C180" s="24" t="s">
        <v>15801</v>
      </c>
      <c r="D180" s="24" t="s">
        <v>15900</v>
      </c>
      <c r="E180" s="24" t="s">
        <v>15810</v>
      </c>
      <c r="H180" s="11" t="str">
        <f t="shared" si="4"/>
        <v/>
      </c>
      <c r="J180" s="11" t="str">
        <f t="shared" si="5"/>
        <v xml:space="preserve"> </v>
      </c>
      <c r="K180" s="24" t="s">
        <v>15801</v>
      </c>
    </row>
    <row r="181" spans="1:11">
      <c r="A181" s="24" t="s">
        <v>15801</v>
      </c>
      <c r="B181" s="24" t="s">
        <v>15839</v>
      </c>
      <c r="C181" s="24" t="s">
        <v>15924</v>
      </c>
      <c r="D181" s="24" t="s">
        <v>15801</v>
      </c>
      <c r="E181" s="24" t="s">
        <v>15816</v>
      </c>
      <c r="G181" s="24" t="s">
        <v>1530</v>
      </c>
      <c r="H181" s="11" t="str">
        <f t="shared" si="4"/>
        <v>23/06/1868</v>
      </c>
      <c r="J181" s="11" t="str">
        <f t="shared" si="5"/>
        <v xml:space="preserve"> </v>
      </c>
      <c r="K181" s="24" t="s">
        <v>1530</v>
      </c>
    </row>
    <row r="182" spans="1:11">
      <c r="A182" s="24" t="s">
        <v>15801</v>
      </c>
      <c r="B182" s="24" t="s">
        <v>15840</v>
      </c>
      <c r="C182" s="24" t="s">
        <v>15884</v>
      </c>
      <c r="D182" s="24" t="s">
        <v>15900</v>
      </c>
      <c r="E182" s="24" t="s">
        <v>15811</v>
      </c>
      <c r="G182" s="24" t="s">
        <v>301</v>
      </c>
      <c r="H182" s="11" t="str">
        <f t="shared" si="4"/>
        <v>17/02/1838</v>
      </c>
      <c r="J182" s="11" t="str">
        <f t="shared" si="5"/>
        <v xml:space="preserve"> </v>
      </c>
      <c r="K182" s="24" t="s">
        <v>301</v>
      </c>
    </row>
    <row r="183" spans="1:11">
      <c r="A183" s="24" t="s">
        <v>15804</v>
      </c>
      <c r="B183" s="24" t="s">
        <v>15804</v>
      </c>
      <c r="C183" s="24" t="s">
        <v>15892</v>
      </c>
      <c r="D183" s="24" t="s">
        <v>15899</v>
      </c>
      <c r="E183" s="24" t="s">
        <v>15801</v>
      </c>
      <c r="F183" s="29" t="s">
        <v>1546</v>
      </c>
      <c r="G183" s="24" t="s">
        <v>1548</v>
      </c>
      <c r="H183" s="11" t="str">
        <f t="shared" si="4"/>
        <v>18/02/1871</v>
      </c>
      <c r="J183" s="11" t="str">
        <f t="shared" si="5"/>
        <v xml:space="preserve"> </v>
      </c>
      <c r="K183" s="24" t="s">
        <v>1548</v>
      </c>
    </row>
    <row r="184" spans="1:11">
      <c r="A184" s="24" t="s">
        <v>15801</v>
      </c>
      <c r="B184" s="24" t="s">
        <v>15840</v>
      </c>
      <c r="C184" s="24" t="s">
        <v>15884</v>
      </c>
      <c r="D184" s="24" t="s">
        <v>15900</v>
      </c>
      <c r="E184" s="24" t="s">
        <v>15801</v>
      </c>
      <c r="G184" s="24" t="s">
        <v>72</v>
      </c>
      <c r="H184" s="11" t="str">
        <f t="shared" si="4"/>
        <v>06/02/1838</v>
      </c>
      <c r="J184" s="11" t="str">
        <f t="shared" si="5"/>
        <v xml:space="preserve"> </v>
      </c>
      <c r="K184" s="24" t="s">
        <v>72</v>
      </c>
    </row>
    <row r="185" spans="1:11">
      <c r="A185" s="24" t="s">
        <v>15838</v>
      </c>
      <c r="B185" s="24" t="s">
        <v>15838</v>
      </c>
      <c r="C185" s="24" t="s">
        <v>15888</v>
      </c>
      <c r="D185" s="24" t="s">
        <v>15899</v>
      </c>
      <c r="E185" s="24" t="s">
        <v>15840</v>
      </c>
      <c r="F185" s="29" t="s">
        <v>1569</v>
      </c>
      <c r="G185" s="24" t="s">
        <v>1571</v>
      </c>
      <c r="H185" s="11" t="str">
        <f t="shared" si="4"/>
        <v>24/07/1864</v>
      </c>
      <c r="J185" s="11" t="str">
        <f t="shared" si="5"/>
        <v xml:space="preserve"> </v>
      </c>
      <c r="K185" s="24" t="s">
        <v>1571</v>
      </c>
    </row>
    <row r="186" spans="1:11">
      <c r="A186" s="24" t="s">
        <v>15835</v>
      </c>
      <c r="B186" s="24" t="s">
        <v>15835</v>
      </c>
      <c r="C186" s="24" t="s">
        <v>15801</v>
      </c>
      <c r="D186" s="24" t="s">
        <v>15901</v>
      </c>
      <c r="E186" s="24" t="s">
        <v>15820</v>
      </c>
      <c r="F186" s="29" t="s">
        <v>1520</v>
      </c>
      <c r="H186" s="11" t="str">
        <f t="shared" si="4"/>
        <v/>
      </c>
      <c r="J186" s="11" t="str">
        <f t="shared" si="5"/>
        <v xml:space="preserve"> </v>
      </c>
      <c r="K186" s="24" t="s">
        <v>15801</v>
      </c>
    </row>
    <row r="187" spans="1:11">
      <c r="A187" s="24" t="s">
        <v>15801</v>
      </c>
      <c r="B187" s="24" t="s">
        <v>15832</v>
      </c>
      <c r="C187" s="24" t="s">
        <v>15801</v>
      </c>
      <c r="D187" s="24" t="s">
        <v>15899</v>
      </c>
      <c r="E187" s="24" t="s">
        <v>15801</v>
      </c>
      <c r="H187" s="11" t="str">
        <f t="shared" si="4"/>
        <v/>
      </c>
      <c r="J187" s="11" t="str">
        <f t="shared" si="5"/>
        <v xml:space="preserve"> </v>
      </c>
      <c r="K187" s="24" t="s">
        <v>15801</v>
      </c>
    </row>
    <row r="188" spans="1:11">
      <c r="A188" s="24" t="s">
        <v>15801</v>
      </c>
      <c r="B188" s="24" t="s">
        <v>15868</v>
      </c>
      <c r="C188" s="24" t="s">
        <v>15884</v>
      </c>
      <c r="D188" s="24" t="s">
        <v>15801</v>
      </c>
      <c r="E188" s="24" t="s">
        <v>15847</v>
      </c>
      <c r="G188" s="24" t="s">
        <v>301</v>
      </c>
      <c r="H188" s="11" t="str">
        <f t="shared" si="4"/>
        <v>17/02/1838</v>
      </c>
      <c r="J188" s="11" t="str">
        <f t="shared" si="5"/>
        <v xml:space="preserve"> </v>
      </c>
      <c r="K188" s="24" t="s">
        <v>301</v>
      </c>
    </row>
    <row r="189" spans="1:11">
      <c r="A189" s="24" t="s">
        <v>15801</v>
      </c>
      <c r="B189" s="24" t="s">
        <v>15822</v>
      </c>
      <c r="C189" s="24" t="s">
        <v>15801</v>
      </c>
      <c r="D189" s="24" t="s">
        <v>15801</v>
      </c>
      <c r="E189" s="24" t="s">
        <v>15801</v>
      </c>
      <c r="H189" s="11" t="str">
        <f t="shared" si="4"/>
        <v/>
      </c>
      <c r="J189" s="11" t="str">
        <f t="shared" si="5"/>
        <v xml:space="preserve"> </v>
      </c>
      <c r="K189" s="24" t="s">
        <v>15801</v>
      </c>
    </row>
    <row r="190" spans="1:11">
      <c r="A190" s="24" t="s">
        <v>15835</v>
      </c>
      <c r="B190" s="24" t="s">
        <v>15835</v>
      </c>
      <c r="C190" s="24" t="s">
        <v>15801</v>
      </c>
      <c r="D190" s="24" t="s">
        <v>15801</v>
      </c>
      <c r="E190" s="24" t="s">
        <v>15833</v>
      </c>
      <c r="F190" s="29" t="s">
        <v>1558</v>
      </c>
      <c r="H190" s="11" t="str">
        <f t="shared" si="4"/>
        <v/>
      </c>
      <c r="J190" s="11" t="str">
        <f t="shared" si="5"/>
        <v xml:space="preserve"> </v>
      </c>
      <c r="K190" s="24" t="s">
        <v>15801</v>
      </c>
    </row>
    <row r="191" spans="1:11">
      <c r="A191" s="24" t="s">
        <v>15807</v>
      </c>
      <c r="B191" s="24" t="s">
        <v>15807</v>
      </c>
      <c r="C191" s="24" t="s">
        <v>15908</v>
      </c>
      <c r="D191" s="24" t="s">
        <v>15901</v>
      </c>
      <c r="E191" s="24" t="s">
        <v>15921</v>
      </c>
      <c r="F191" s="29" t="s">
        <v>1512</v>
      </c>
      <c r="G191" s="24" t="s">
        <v>1514</v>
      </c>
      <c r="H191" s="11" t="str">
        <f t="shared" si="4"/>
        <v>13/09/1844</v>
      </c>
      <c r="J191" s="11" t="str">
        <f t="shared" si="5"/>
        <v xml:space="preserve"> </v>
      </c>
      <c r="K191" s="24" t="s">
        <v>1514</v>
      </c>
    </row>
    <row r="192" spans="1:11">
      <c r="A192" s="24" t="s">
        <v>15833</v>
      </c>
      <c r="B192" s="24" t="s">
        <v>15833</v>
      </c>
      <c r="C192" s="24" t="s">
        <v>15801</v>
      </c>
      <c r="E192" s="24" t="s">
        <v>15908</v>
      </c>
      <c r="F192" s="29" t="s">
        <v>1582</v>
      </c>
      <c r="H192" s="11" t="str">
        <f t="shared" si="4"/>
        <v/>
      </c>
      <c r="J192" s="11" t="str">
        <f t="shared" si="5"/>
        <v xml:space="preserve"> </v>
      </c>
      <c r="K192" s="24" t="s">
        <v>15801</v>
      </c>
    </row>
    <row r="193" spans="1:11">
      <c r="A193" s="24" t="s">
        <v>15801</v>
      </c>
      <c r="B193" s="24" t="s">
        <v>15818</v>
      </c>
      <c r="C193" s="24" t="s">
        <v>15801</v>
      </c>
      <c r="D193" s="24" t="s">
        <v>15801</v>
      </c>
      <c r="E193" s="24" t="s">
        <v>15971</v>
      </c>
      <c r="H193" s="11" t="str">
        <f t="shared" si="4"/>
        <v/>
      </c>
      <c r="J193" s="11" t="str">
        <f t="shared" si="5"/>
        <v xml:space="preserve"> </v>
      </c>
      <c r="K193" s="24" t="s">
        <v>15801</v>
      </c>
    </row>
    <row r="194" spans="1:11">
      <c r="A194" s="24" t="s">
        <v>15801</v>
      </c>
      <c r="B194" s="24" t="s">
        <v>15854</v>
      </c>
      <c r="C194" s="24" t="s">
        <v>15801</v>
      </c>
      <c r="D194" s="24" t="s">
        <v>15956</v>
      </c>
      <c r="E194" s="24" t="s">
        <v>15801</v>
      </c>
      <c r="H194" s="11" t="str">
        <f t="shared" si="4"/>
        <v/>
      </c>
      <c r="J194" s="11" t="str">
        <f t="shared" si="5"/>
        <v xml:space="preserve"> </v>
      </c>
      <c r="K194" s="24" t="s">
        <v>15801</v>
      </c>
    </row>
    <row r="195" spans="1:11">
      <c r="A195" s="24" t="s">
        <v>15819</v>
      </c>
      <c r="B195" s="24" t="s">
        <v>15819</v>
      </c>
      <c r="C195" s="24" t="s">
        <v>15801</v>
      </c>
      <c r="D195" s="24" t="s">
        <v>15956</v>
      </c>
      <c r="E195" s="24" t="s">
        <v>15801</v>
      </c>
      <c r="F195" s="29" t="s">
        <v>1602</v>
      </c>
      <c r="H195" s="11" t="str">
        <f t="shared" ref="H195:H258" si="6">TRIM(G195)</f>
        <v/>
      </c>
      <c r="J195" s="11" t="str">
        <f t="shared" ref="J195:J258" si="7">IF(LEN(H195)=4,"fout"," ")</f>
        <v xml:space="preserve"> </v>
      </c>
      <c r="K195" s="24" t="s">
        <v>15801</v>
      </c>
    </row>
    <row r="196" spans="1:11">
      <c r="A196" s="24" t="s">
        <v>15801</v>
      </c>
      <c r="B196" s="24" t="s">
        <v>15845</v>
      </c>
      <c r="C196" s="24" t="s">
        <v>15801</v>
      </c>
      <c r="D196" s="24" t="s">
        <v>15956</v>
      </c>
      <c r="E196" s="24" t="s">
        <v>15818</v>
      </c>
      <c r="H196" s="11" t="str">
        <f t="shared" si="6"/>
        <v/>
      </c>
      <c r="J196" s="11" t="str">
        <f t="shared" si="7"/>
        <v xml:space="preserve"> </v>
      </c>
      <c r="K196" s="24" t="s">
        <v>15801</v>
      </c>
    </row>
    <row r="197" spans="1:11">
      <c r="A197" s="24" t="s">
        <v>15801</v>
      </c>
      <c r="B197" s="24" t="s">
        <v>15869</v>
      </c>
      <c r="C197" s="24" t="s">
        <v>15801</v>
      </c>
      <c r="D197" s="24" t="s">
        <v>15956</v>
      </c>
      <c r="E197" s="24" t="s">
        <v>15807</v>
      </c>
      <c r="H197" s="11" t="str">
        <f t="shared" si="6"/>
        <v/>
      </c>
      <c r="J197" s="11" t="str">
        <f t="shared" si="7"/>
        <v xml:space="preserve"> </v>
      </c>
      <c r="K197" s="24" t="s">
        <v>15801</v>
      </c>
    </row>
    <row r="198" spans="1:11">
      <c r="A198" s="24" t="s">
        <v>15801</v>
      </c>
      <c r="B198" s="24" t="s">
        <v>15848</v>
      </c>
      <c r="C198" s="24" t="s">
        <v>15801</v>
      </c>
      <c r="D198" s="24" t="s">
        <v>15965</v>
      </c>
      <c r="E198" s="24" t="s">
        <v>15830</v>
      </c>
      <c r="H198" s="11" t="str">
        <f t="shared" si="6"/>
        <v/>
      </c>
      <c r="J198" s="11" t="str">
        <f t="shared" si="7"/>
        <v xml:space="preserve"> </v>
      </c>
      <c r="K198" s="24" t="s">
        <v>15801</v>
      </c>
    </row>
    <row r="199" spans="1:11">
      <c r="A199" s="24" t="s">
        <v>15801</v>
      </c>
      <c r="B199" s="24" t="s">
        <v>15822</v>
      </c>
      <c r="C199" s="24" t="s">
        <v>15801</v>
      </c>
      <c r="D199" s="24" t="s">
        <v>15870</v>
      </c>
      <c r="E199" s="24" t="s">
        <v>15816</v>
      </c>
      <c r="H199" s="11" t="str">
        <f t="shared" si="6"/>
        <v/>
      </c>
      <c r="J199" s="11" t="str">
        <f t="shared" si="7"/>
        <v xml:space="preserve"> </v>
      </c>
      <c r="K199" s="24" t="s">
        <v>15801</v>
      </c>
    </row>
    <row r="200" spans="1:11">
      <c r="A200" s="24" t="s">
        <v>15834</v>
      </c>
      <c r="B200" s="24" t="s">
        <v>15834</v>
      </c>
      <c r="C200" s="24" t="s">
        <v>15884</v>
      </c>
      <c r="D200" s="24" t="s">
        <v>15884</v>
      </c>
      <c r="E200" s="24" t="s">
        <v>15819</v>
      </c>
      <c r="F200" s="29" t="s">
        <v>1662</v>
      </c>
      <c r="G200" s="24" t="s">
        <v>72</v>
      </c>
      <c r="H200" s="11" t="str">
        <f t="shared" si="6"/>
        <v>06/02/1838</v>
      </c>
      <c r="J200" s="11" t="str">
        <f t="shared" si="7"/>
        <v xml:space="preserve"> </v>
      </c>
      <c r="K200" s="24" t="s">
        <v>72</v>
      </c>
    </row>
    <row r="201" spans="1:11">
      <c r="A201" s="24" t="s">
        <v>15811</v>
      </c>
      <c r="B201" s="24" t="s">
        <v>15811</v>
      </c>
      <c r="C201" s="24" t="s">
        <v>15801</v>
      </c>
      <c r="D201" s="24" t="s">
        <v>15900</v>
      </c>
      <c r="E201" s="24" t="s">
        <v>15931</v>
      </c>
      <c r="F201" s="29" t="s">
        <v>1667</v>
      </c>
      <c r="H201" s="11" t="str">
        <f t="shared" si="6"/>
        <v/>
      </c>
      <c r="J201" s="11" t="str">
        <f t="shared" si="7"/>
        <v xml:space="preserve"> </v>
      </c>
      <c r="K201" s="24" t="s">
        <v>15801</v>
      </c>
    </row>
    <row r="202" spans="1:11">
      <c r="A202" s="24" t="s">
        <v>15839</v>
      </c>
      <c r="B202" s="24" t="s">
        <v>15839</v>
      </c>
      <c r="C202" s="24" t="s">
        <v>15801</v>
      </c>
      <c r="D202" s="24" t="s">
        <v>15884</v>
      </c>
      <c r="E202" s="24" t="s">
        <v>15827</v>
      </c>
      <c r="F202" s="29" t="s">
        <v>1620</v>
      </c>
      <c r="H202" s="11" t="str">
        <f t="shared" si="6"/>
        <v/>
      </c>
      <c r="J202" s="11" t="str">
        <f t="shared" si="7"/>
        <v xml:space="preserve"> </v>
      </c>
      <c r="K202" s="24" t="s">
        <v>15801</v>
      </c>
    </row>
    <row r="203" spans="1:11">
      <c r="A203" s="24" t="s">
        <v>15801</v>
      </c>
      <c r="B203" s="24" t="s">
        <v>15837</v>
      </c>
      <c r="C203" s="24" t="s">
        <v>15801</v>
      </c>
      <c r="D203" s="24" t="s">
        <v>15870</v>
      </c>
      <c r="E203" s="24" t="s">
        <v>15811</v>
      </c>
      <c r="H203" s="11" t="str">
        <f t="shared" si="6"/>
        <v/>
      </c>
      <c r="J203" s="11" t="str">
        <f t="shared" si="7"/>
        <v xml:space="preserve"> </v>
      </c>
      <c r="K203" s="24" t="s">
        <v>15801</v>
      </c>
    </row>
    <row r="204" spans="1:11">
      <c r="A204" s="24" t="s">
        <v>15820</v>
      </c>
      <c r="B204" s="24" t="s">
        <v>15820</v>
      </c>
      <c r="C204" s="24" t="s">
        <v>15801</v>
      </c>
      <c r="D204" s="24" t="s">
        <v>15870</v>
      </c>
      <c r="E204" s="24" t="s">
        <v>15801</v>
      </c>
      <c r="F204" s="29" t="s">
        <v>1657</v>
      </c>
      <c r="H204" s="11" t="str">
        <f t="shared" si="6"/>
        <v/>
      </c>
      <c r="J204" s="11" t="str">
        <f t="shared" si="7"/>
        <v xml:space="preserve"> </v>
      </c>
      <c r="K204" s="24" t="s">
        <v>15801</v>
      </c>
    </row>
    <row r="205" spans="1:11">
      <c r="A205" s="24" t="s">
        <v>15840</v>
      </c>
      <c r="B205" s="24" t="s">
        <v>15840</v>
      </c>
      <c r="C205" s="24" t="s">
        <v>15801</v>
      </c>
      <c r="E205" s="24" t="s">
        <v>15833</v>
      </c>
      <c r="F205" s="29" t="s">
        <v>1614</v>
      </c>
      <c r="H205" s="11" t="str">
        <f t="shared" si="6"/>
        <v/>
      </c>
      <c r="J205" s="11" t="str">
        <f t="shared" si="7"/>
        <v xml:space="preserve"> </v>
      </c>
      <c r="K205" s="24" t="s">
        <v>15801</v>
      </c>
    </row>
    <row r="206" spans="1:11">
      <c r="A206" s="24" t="s">
        <v>15801</v>
      </c>
      <c r="B206" s="24" t="s">
        <v>15803</v>
      </c>
      <c r="C206" s="24" t="s">
        <v>15925</v>
      </c>
      <c r="D206" s="24" t="s">
        <v>15965</v>
      </c>
      <c r="E206" s="24" t="s">
        <v>15851</v>
      </c>
      <c r="G206" s="24">
        <v>1851</v>
      </c>
      <c r="H206" s="11"/>
      <c r="J206" s="11" t="str">
        <f t="shared" si="7"/>
        <v xml:space="preserve"> </v>
      </c>
    </row>
    <row r="207" spans="1:11">
      <c r="A207" s="24" t="s">
        <v>15801</v>
      </c>
      <c r="B207" s="24" t="s">
        <v>15846</v>
      </c>
      <c r="C207" s="24" t="s">
        <v>15884</v>
      </c>
      <c r="D207" s="24" t="s">
        <v>15870</v>
      </c>
      <c r="E207" s="24" t="s">
        <v>15816</v>
      </c>
      <c r="G207" s="24" t="s">
        <v>72</v>
      </c>
      <c r="H207" s="11" t="str">
        <f t="shared" si="6"/>
        <v>06/02/1838</v>
      </c>
      <c r="J207" s="11" t="str">
        <f t="shared" si="7"/>
        <v xml:space="preserve"> </v>
      </c>
      <c r="K207" s="24" t="s">
        <v>72</v>
      </c>
    </row>
    <row r="208" spans="1:11">
      <c r="A208" s="24" t="s">
        <v>15801</v>
      </c>
      <c r="B208" s="24" t="s">
        <v>15849</v>
      </c>
      <c r="C208" s="24" t="s">
        <v>15801</v>
      </c>
      <c r="D208" s="24" t="s">
        <v>15915</v>
      </c>
      <c r="E208" s="24" t="s">
        <v>15816</v>
      </c>
      <c r="H208" s="11" t="str">
        <f t="shared" si="6"/>
        <v/>
      </c>
      <c r="J208" s="11" t="str">
        <f t="shared" si="7"/>
        <v xml:space="preserve"> </v>
      </c>
      <c r="K208" s="24" t="s">
        <v>15801</v>
      </c>
    </row>
    <row r="209" spans="1:11">
      <c r="A209" s="24" t="s">
        <v>15820</v>
      </c>
      <c r="B209" s="24" t="s">
        <v>15820</v>
      </c>
      <c r="C209" s="24" t="s">
        <v>15801</v>
      </c>
      <c r="D209" s="24" t="s">
        <v>15915</v>
      </c>
      <c r="E209" s="24" t="s">
        <v>15801</v>
      </c>
      <c r="F209" s="29" t="s">
        <v>1708</v>
      </c>
      <c r="H209" s="11" t="str">
        <f t="shared" si="6"/>
        <v/>
      </c>
      <c r="J209" s="11" t="str">
        <f t="shared" si="7"/>
        <v xml:space="preserve"> </v>
      </c>
      <c r="K209" s="24" t="s">
        <v>15801</v>
      </c>
    </row>
    <row r="210" spans="1:11">
      <c r="A210" s="24" t="s">
        <v>15801</v>
      </c>
      <c r="B210" s="24" t="s">
        <v>15829</v>
      </c>
      <c r="C210" s="24" t="s">
        <v>15801</v>
      </c>
      <c r="D210" s="24" t="s">
        <v>15884</v>
      </c>
      <c r="E210" s="24" t="s">
        <v>15801</v>
      </c>
      <c r="H210" s="11" t="str">
        <f t="shared" si="6"/>
        <v/>
      </c>
      <c r="J210" s="11" t="str">
        <f t="shared" si="7"/>
        <v xml:space="preserve"> </v>
      </c>
      <c r="K210" s="24" t="s">
        <v>15801</v>
      </c>
    </row>
    <row r="211" spans="1:11">
      <c r="A211" s="24" t="s">
        <v>15801</v>
      </c>
      <c r="B211" s="24" t="s">
        <v>15830</v>
      </c>
      <c r="C211" s="24" t="s">
        <v>15801</v>
      </c>
      <c r="D211" s="24" t="s">
        <v>15870</v>
      </c>
      <c r="E211" s="24" t="s">
        <v>15807</v>
      </c>
      <c r="H211" s="11" t="str">
        <f t="shared" si="6"/>
        <v/>
      </c>
      <c r="J211" s="11" t="str">
        <f t="shared" si="7"/>
        <v xml:space="preserve"> </v>
      </c>
      <c r="K211" s="24" t="s">
        <v>15801</v>
      </c>
    </row>
    <row r="212" spans="1:11">
      <c r="A212" s="24" t="s">
        <v>15825</v>
      </c>
      <c r="B212" s="24" t="s">
        <v>15825</v>
      </c>
      <c r="C212" s="24" t="s">
        <v>15801</v>
      </c>
      <c r="D212" s="24" t="s">
        <v>15870</v>
      </c>
      <c r="E212" s="24" t="s">
        <v>15870</v>
      </c>
      <c r="F212" s="29" t="s">
        <v>1720</v>
      </c>
      <c r="H212" s="11" t="str">
        <f t="shared" si="6"/>
        <v/>
      </c>
      <c r="J212" s="11" t="str">
        <f t="shared" si="7"/>
        <v xml:space="preserve"> </v>
      </c>
      <c r="K212" s="24" t="s">
        <v>15801</v>
      </c>
    </row>
    <row r="213" spans="1:11">
      <c r="A213" s="24" t="s">
        <v>15817</v>
      </c>
      <c r="B213" s="24" t="s">
        <v>15817</v>
      </c>
      <c r="C213" s="24" t="s">
        <v>15926</v>
      </c>
      <c r="D213" s="24" t="s">
        <v>15870</v>
      </c>
      <c r="E213" s="24" t="s">
        <v>15901</v>
      </c>
      <c r="F213" s="29" t="s">
        <v>1688</v>
      </c>
      <c r="G213" s="24" t="s">
        <v>1691</v>
      </c>
      <c r="H213" s="11" t="str">
        <f t="shared" si="6"/>
        <v>15/05/1897</v>
      </c>
      <c r="J213" s="11" t="str">
        <f t="shared" si="7"/>
        <v xml:space="preserve"> </v>
      </c>
      <c r="K213" s="24" t="s">
        <v>1691</v>
      </c>
    </row>
    <row r="214" spans="1:11">
      <c r="A214" s="24" t="s">
        <v>15811</v>
      </c>
      <c r="B214" s="24" t="s">
        <v>15811</v>
      </c>
      <c r="C214" s="24" t="s">
        <v>15801</v>
      </c>
      <c r="D214" s="24" t="s">
        <v>15870</v>
      </c>
      <c r="E214" s="24" t="s">
        <v>15931</v>
      </c>
      <c r="F214" s="29" t="s">
        <v>1699</v>
      </c>
      <c r="H214" s="11" t="str">
        <f t="shared" si="6"/>
        <v/>
      </c>
      <c r="J214" s="11" t="str">
        <f t="shared" si="7"/>
        <v xml:space="preserve"> </v>
      </c>
      <c r="K214" s="24" t="s">
        <v>15801</v>
      </c>
    </row>
    <row r="215" spans="1:11">
      <c r="A215" s="24" t="s">
        <v>15801</v>
      </c>
      <c r="B215" s="24" t="s">
        <v>15845</v>
      </c>
      <c r="C215" s="24" t="s">
        <v>15801</v>
      </c>
      <c r="D215" s="24" t="s">
        <v>15900</v>
      </c>
      <c r="E215" s="24" t="s">
        <v>15820</v>
      </c>
      <c r="H215" s="11" t="str">
        <f t="shared" si="6"/>
        <v/>
      </c>
      <c r="J215" s="11" t="str">
        <f t="shared" si="7"/>
        <v xml:space="preserve"> </v>
      </c>
      <c r="K215" s="24" t="s">
        <v>15801</v>
      </c>
    </row>
    <row r="216" spans="1:11">
      <c r="A216" s="24" t="s">
        <v>15801</v>
      </c>
      <c r="B216" s="24" t="s">
        <v>15834</v>
      </c>
      <c r="C216" s="24" t="s">
        <v>15801</v>
      </c>
      <c r="D216" s="24" t="s">
        <v>15884</v>
      </c>
      <c r="E216" s="24" t="s">
        <v>15844</v>
      </c>
      <c r="H216" s="11" t="str">
        <f t="shared" si="6"/>
        <v/>
      </c>
      <c r="J216" s="11" t="str">
        <f t="shared" si="7"/>
        <v xml:space="preserve"> </v>
      </c>
      <c r="K216" s="24" t="s">
        <v>15801</v>
      </c>
    </row>
    <row r="217" spans="1:11">
      <c r="A217" s="24" t="s">
        <v>15801</v>
      </c>
      <c r="B217" s="24" t="s">
        <v>15803</v>
      </c>
      <c r="C217" s="24" t="s">
        <v>15801</v>
      </c>
      <c r="D217" s="24" t="s">
        <v>15884</v>
      </c>
      <c r="E217" s="24" t="s">
        <v>15802</v>
      </c>
      <c r="H217" s="11" t="str">
        <f t="shared" si="6"/>
        <v/>
      </c>
      <c r="J217" s="11" t="str">
        <f t="shared" si="7"/>
        <v xml:space="preserve"> </v>
      </c>
      <c r="K217" s="24" t="s">
        <v>15801</v>
      </c>
    </row>
    <row r="218" spans="1:11">
      <c r="A218" s="24" t="s">
        <v>15828</v>
      </c>
      <c r="B218" s="24" t="s">
        <v>15828</v>
      </c>
      <c r="C218" s="24" t="s">
        <v>15801</v>
      </c>
      <c r="D218" s="24" t="s">
        <v>15801</v>
      </c>
      <c r="E218" s="24" t="s">
        <v>15801</v>
      </c>
      <c r="F218" s="29" t="s">
        <v>1749</v>
      </c>
      <c r="H218" s="11" t="str">
        <f t="shared" si="6"/>
        <v/>
      </c>
      <c r="J218" s="11" t="str">
        <f t="shared" si="7"/>
        <v xml:space="preserve"> </v>
      </c>
      <c r="K218" s="24" t="s">
        <v>15801</v>
      </c>
    </row>
    <row r="219" spans="1:11">
      <c r="A219" s="24" t="s">
        <v>15819</v>
      </c>
      <c r="B219" s="24" t="s">
        <v>15819</v>
      </c>
      <c r="C219" s="24" t="s">
        <v>15801</v>
      </c>
      <c r="D219" s="24" t="s">
        <v>15899</v>
      </c>
      <c r="E219" s="24" t="s">
        <v>15965</v>
      </c>
      <c r="F219" s="29" t="s">
        <v>1779</v>
      </c>
      <c r="H219" s="11" t="str">
        <f t="shared" si="6"/>
        <v/>
      </c>
      <c r="J219" s="11" t="str">
        <f t="shared" si="7"/>
        <v xml:space="preserve"> </v>
      </c>
      <c r="K219" s="24" t="s">
        <v>15801</v>
      </c>
    </row>
    <row r="220" spans="1:11">
      <c r="A220" s="24" t="s">
        <v>15829</v>
      </c>
      <c r="B220" s="24" t="s">
        <v>15829</v>
      </c>
      <c r="C220" s="24" t="s">
        <v>15917</v>
      </c>
      <c r="D220" s="24" t="s">
        <v>15801</v>
      </c>
      <c r="E220" s="24" t="s">
        <v>15823</v>
      </c>
      <c r="F220" s="29" t="s">
        <v>1766</v>
      </c>
      <c r="G220" s="24" t="s">
        <v>1768</v>
      </c>
      <c r="H220" s="11" t="str">
        <f t="shared" si="6"/>
        <v>03/08/1869</v>
      </c>
      <c r="J220" s="11" t="str">
        <f t="shared" si="7"/>
        <v xml:space="preserve"> </v>
      </c>
      <c r="K220" s="24" t="s">
        <v>1768</v>
      </c>
    </row>
    <row r="221" spans="1:11">
      <c r="A221" s="24" t="s">
        <v>15801</v>
      </c>
      <c r="B221" s="24" t="s">
        <v>15845</v>
      </c>
      <c r="C221" s="24" t="s">
        <v>15801</v>
      </c>
      <c r="D221" s="24" t="s">
        <v>15884</v>
      </c>
      <c r="E221" s="24" t="s">
        <v>15833</v>
      </c>
      <c r="H221" s="11" t="str">
        <f t="shared" si="6"/>
        <v/>
      </c>
      <c r="J221" s="11" t="str">
        <f t="shared" si="7"/>
        <v xml:space="preserve"> </v>
      </c>
      <c r="K221" s="24" t="s">
        <v>15801</v>
      </c>
    </row>
    <row r="222" spans="1:11">
      <c r="A222" s="24" t="s">
        <v>15801</v>
      </c>
      <c r="B222" s="24" t="s">
        <v>15801</v>
      </c>
      <c r="C222" s="24" t="s">
        <v>15913</v>
      </c>
      <c r="D222" s="24" t="s">
        <v>15876</v>
      </c>
      <c r="E222" s="24" t="s">
        <v>15828</v>
      </c>
      <c r="G222" s="24" t="s">
        <v>1784</v>
      </c>
      <c r="H222" s="11" t="str">
        <f t="shared" si="6"/>
        <v>08/04/1877</v>
      </c>
      <c r="J222" s="11" t="str">
        <f t="shared" si="7"/>
        <v xml:space="preserve"> </v>
      </c>
      <c r="K222" s="24" t="s">
        <v>1784</v>
      </c>
    </row>
    <row r="223" spans="1:11">
      <c r="A223" s="24" t="s">
        <v>15801</v>
      </c>
      <c r="B223" s="24" t="s">
        <v>15846</v>
      </c>
      <c r="C223" s="24" t="s">
        <v>15801</v>
      </c>
      <c r="D223" s="24" t="s">
        <v>15899</v>
      </c>
      <c r="E223" s="24" t="s">
        <v>15815</v>
      </c>
      <c r="H223" s="11" t="str">
        <f t="shared" si="6"/>
        <v/>
      </c>
      <c r="J223" s="11" t="str">
        <f t="shared" si="7"/>
        <v xml:space="preserve"> </v>
      </c>
      <c r="K223" s="24" t="s">
        <v>15801</v>
      </c>
    </row>
    <row r="224" spans="1:11">
      <c r="A224" s="24" t="s">
        <v>15801</v>
      </c>
      <c r="B224" s="24" t="s">
        <v>15834</v>
      </c>
      <c r="C224" s="24" t="s">
        <v>15801</v>
      </c>
      <c r="D224" s="24" t="s">
        <v>15801</v>
      </c>
      <c r="E224" s="24" t="s">
        <v>15810</v>
      </c>
      <c r="H224" s="11" t="str">
        <f t="shared" si="6"/>
        <v/>
      </c>
      <c r="J224" s="11" t="str">
        <f t="shared" si="7"/>
        <v xml:space="preserve"> </v>
      </c>
      <c r="K224" s="24" t="s">
        <v>15801</v>
      </c>
    </row>
    <row r="225" spans="1:11">
      <c r="A225" s="24" t="s">
        <v>15841</v>
      </c>
      <c r="B225" s="24" t="s">
        <v>15841</v>
      </c>
      <c r="C225" s="24" t="s">
        <v>15898</v>
      </c>
      <c r="D225" s="24" t="s">
        <v>15870</v>
      </c>
      <c r="E225" s="24" t="s">
        <v>15833</v>
      </c>
      <c r="F225" s="29" t="s">
        <v>1836</v>
      </c>
      <c r="G225" s="24" t="s">
        <v>1837</v>
      </c>
      <c r="H225" s="11" t="str">
        <f t="shared" si="6"/>
        <v>25/02/1848</v>
      </c>
      <c r="J225" s="11" t="str">
        <f t="shared" si="7"/>
        <v xml:space="preserve"> </v>
      </c>
      <c r="K225" s="24" t="s">
        <v>1837</v>
      </c>
    </row>
    <row r="226" spans="1:11">
      <c r="A226" s="24" t="s">
        <v>15811</v>
      </c>
      <c r="B226" s="24" t="s">
        <v>15811</v>
      </c>
      <c r="C226" s="24" t="s">
        <v>15870</v>
      </c>
      <c r="D226" s="24" t="s">
        <v>15870</v>
      </c>
      <c r="E226" s="24" t="s">
        <v>15801</v>
      </c>
      <c r="F226" s="29" t="s">
        <v>1884</v>
      </c>
      <c r="G226" s="24" t="s">
        <v>1886</v>
      </c>
      <c r="H226" s="11" t="str">
        <f t="shared" si="6"/>
        <v>23/08/1836</v>
      </c>
      <c r="J226" s="11" t="str">
        <f t="shared" si="7"/>
        <v xml:space="preserve"> </v>
      </c>
      <c r="K226" s="24" t="s">
        <v>1886</v>
      </c>
    </row>
    <row r="227" spans="1:11">
      <c r="A227" s="24" t="s">
        <v>15801</v>
      </c>
      <c r="B227" s="24" t="s">
        <v>15858</v>
      </c>
      <c r="C227" s="24" t="s">
        <v>15870</v>
      </c>
      <c r="D227" s="24" t="s">
        <v>15965</v>
      </c>
      <c r="E227" s="24" t="s">
        <v>15842</v>
      </c>
      <c r="G227" s="24" t="s">
        <v>1789</v>
      </c>
      <c r="H227" s="11"/>
      <c r="J227" s="11" t="str">
        <f t="shared" si="7"/>
        <v xml:space="preserve"> </v>
      </c>
    </row>
    <row r="228" spans="1:11">
      <c r="A228" s="24" t="s">
        <v>15842</v>
      </c>
      <c r="B228" s="24" t="s">
        <v>15842</v>
      </c>
      <c r="C228" s="24" t="s">
        <v>15801</v>
      </c>
      <c r="D228" s="24" t="s">
        <v>15915</v>
      </c>
      <c r="E228" s="24" t="s">
        <v>15825</v>
      </c>
      <c r="F228" s="29" t="s">
        <v>1828</v>
      </c>
      <c r="H228" s="11" t="str">
        <f t="shared" si="6"/>
        <v/>
      </c>
      <c r="J228" s="11" t="str">
        <f t="shared" si="7"/>
        <v xml:space="preserve"> </v>
      </c>
      <c r="K228" s="24" t="s">
        <v>15801</v>
      </c>
    </row>
    <row r="229" spans="1:11">
      <c r="A229" s="24" t="s">
        <v>15823</v>
      </c>
      <c r="B229" s="24" t="s">
        <v>15823</v>
      </c>
      <c r="C229" s="24" t="s">
        <v>15801</v>
      </c>
      <c r="D229" s="24" t="s">
        <v>15915</v>
      </c>
      <c r="E229" s="24" t="s">
        <v>15801</v>
      </c>
      <c r="F229" s="29" t="s">
        <v>1879</v>
      </c>
      <c r="H229" s="11" t="str">
        <f t="shared" si="6"/>
        <v/>
      </c>
      <c r="J229" s="11" t="str">
        <f t="shared" si="7"/>
        <v xml:space="preserve"> </v>
      </c>
      <c r="K229" s="24" t="s">
        <v>15801</v>
      </c>
    </row>
    <row r="230" spans="1:11">
      <c r="A230" s="24" t="s">
        <v>15801</v>
      </c>
      <c r="B230" s="24" t="s">
        <v>15834</v>
      </c>
      <c r="C230" s="24" t="s">
        <v>15870</v>
      </c>
      <c r="D230" s="24" t="s">
        <v>15965</v>
      </c>
      <c r="E230" s="24" t="s">
        <v>15806</v>
      </c>
      <c r="G230" s="24" t="s">
        <v>1789</v>
      </c>
      <c r="H230" s="11"/>
      <c r="J230" s="11" t="str">
        <f t="shared" si="7"/>
        <v xml:space="preserve"> </v>
      </c>
    </row>
    <row r="231" spans="1:11">
      <c r="A231" s="24" t="s">
        <v>15810</v>
      </c>
      <c r="B231" s="24" t="s">
        <v>15810</v>
      </c>
      <c r="C231" s="24" t="s">
        <v>15870</v>
      </c>
      <c r="D231" s="24" t="s">
        <v>15965</v>
      </c>
      <c r="E231" s="24" t="s">
        <v>15876</v>
      </c>
      <c r="F231" s="29" t="s">
        <v>1805</v>
      </c>
      <c r="G231" s="24" t="s">
        <v>1789</v>
      </c>
      <c r="H231" s="11"/>
      <c r="J231" s="11" t="str">
        <f t="shared" si="7"/>
        <v xml:space="preserve"> </v>
      </c>
    </row>
    <row r="232" spans="1:11">
      <c r="A232" s="24" t="s">
        <v>15843</v>
      </c>
      <c r="B232" s="24" t="s">
        <v>15843</v>
      </c>
      <c r="C232" s="24" t="s">
        <v>15908</v>
      </c>
      <c r="D232" s="24" t="s">
        <v>15870</v>
      </c>
      <c r="E232" s="24" t="s">
        <v>15845</v>
      </c>
      <c r="F232" s="29" t="s">
        <v>2793</v>
      </c>
      <c r="G232" s="24" t="s">
        <v>490</v>
      </c>
      <c r="H232" s="11" t="str">
        <f t="shared" si="6"/>
        <v>06/01/1844</v>
      </c>
      <c r="J232" s="11" t="str">
        <f t="shared" si="7"/>
        <v xml:space="preserve"> </v>
      </c>
      <c r="K232" s="24" t="s">
        <v>490</v>
      </c>
    </row>
    <row r="233" spans="1:11">
      <c r="A233" s="24" t="s">
        <v>15821</v>
      </c>
      <c r="B233" s="24" t="s">
        <v>15821</v>
      </c>
      <c r="C233" s="24" t="s">
        <v>15923</v>
      </c>
      <c r="D233" s="24" t="s">
        <v>15956</v>
      </c>
      <c r="E233" s="24" t="s">
        <v>15965</v>
      </c>
      <c r="F233" s="29" t="s">
        <v>1820</v>
      </c>
      <c r="G233" s="24">
        <v>1853</v>
      </c>
      <c r="H233" s="11"/>
      <c r="J233" s="11" t="str">
        <f t="shared" si="7"/>
        <v xml:space="preserve"> </v>
      </c>
    </row>
    <row r="234" spans="1:11">
      <c r="A234" s="24" t="s">
        <v>15801</v>
      </c>
      <c r="B234" s="24" t="s">
        <v>15829</v>
      </c>
      <c r="C234" s="24" t="s">
        <v>15801</v>
      </c>
      <c r="E234" s="24" t="s">
        <v>15823</v>
      </c>
      <c r="H234" s="11" t="str">
        <f t="shared" si="6"/>
        <v/>
      </c>
      <c r="J234" s="11" t="str">
        <f t="shared" si="7"/>
        <v xml:space="preserve"> </v>
      </c>
      <c r="K234" s="24" t="s">
        <v>15801</v>
      </c>
    </row>
    <row r="235" spans="1:11">
      <c r="A235" s="24" t="s">
        <v>15801</v>
      </c>
      <c r="B235" s="24" t="s">
        <v>15852</v>
      </c>
      <c r="C235" s="24" t="s">
        <v>15801</v>
      </c>
      <c r="E235" s="24" t="s">
        <v>15839</v>
      </c>
      <c r="H235" s="11" t="str">
        <f t="shared" si="6"/>
        <v/>
      </c>
      <c r="J235" s="11" t="str">
        <f t="shared" si="7"/>
        <v xml:space="preserve"> </v>
      </c>
      <c r="K235" s="24" t="s">
        <v>15801</v>
      </c>
    </row>
    <row r="236" spans="1:11">
      <c r="A236" s="24" t="s">
        <v>15837</v>
      </c>
      <c r="B236" s="24" t="s">
        <v>15837</v>
      </c>
      <c r="C236" s="24" t="s">
        <v>15801</v>
      </c>
      <c r="D236" s="24" t="s">
        <v>15900</v>
      </c>
      <c r="E236" s="24" t="s">
        <v>15828</v>
      </c>
      <c r="F236" s="29" t="s">
        <v>1914</v>
      </c>
      <c r="H236" s="11" t="str">
        <f t="shared" si="6"/>
        <v/>
      </c>
      <c r="J236" s="11" t="str">
        <f t="shared" si="7"/>
        <v xml:space="preserve"> </v>
      </c>
      <c r="K236" s="24" t="s">
        <v>15801</v>
      </c>
    </row>
    <row r="237" spans="1:11">
      <c r="A237" s="24" t="s">
        <v>15803</v>
      </c>
      <c r="B237" s="24" t="s">
        <v>15803</v>
      </c>
      <c r="C237" s="24" t="s">
        <v>15801</v>
      </c>
      <c r="D237" s="24" t="s">
        <v>15965</v>
      </c>
      <c r="E237" s="24" t="s">
        <v>15945</v>
      </c>
      <c r="F237" s="29" t="s">
        <v>1811</v>
      </c>
      <c r="H237" s="11" t="str">
        <f t="shared" si="6"/>
        <v/>
      </c>
      <c r="J237" s="11" t="str">
        <f t="shared" si="7"/>
        <v xml:space="preserve"> </v>
      </c>
      <c r="K237" s="24" t="s">
        <v>15801</v>
      </c>
    </row>
    <row r="238" spans="1:11">
      <c r="A238" s="24" t="s">
        <v>15816</v>
      </c>
      <c r="B238" s="24" t="s">
        <v>15816</v>
      </c>
      <c r="C238" s="24" t="s">
        <v>15801</v>
      </c>
      <c r="E238" s="24" t="s">
        <v>15915</v>
      </c>
      <c r="F238" s="29" t="s">
        <v>1849</v>
      </c>
      <c r="H238" s="11" t="str">
        <f t="shared" si="6"/>
        <v/>
      </c>
      <c r="J238" s="11" t="str">
        <f t="shared" si="7"/>
        <v xml:space="preserve"> </v>
      </c>
      <c r="K238" s="24" t="s">
        <v>15801</v>
      </c>
    </row>
    <row r="239" spans="1:11">
      <c r="A239" s="24" t="s">
        <v>15802</v>
      </c>
      <c r="B239" s="24" t="s">
        <v>15802</v>
      </c>
      <c r="C239" s="24" t="s">
        <v>15890</v>
      </c>
      <c r="D239" s="24" t="s">
        <v>15801</v>
      </c>
      <c r="E239" s="24" t="s">
        <v>15954</v>
      </c>
      <c r="G239" s="24" t="s">
        <v>1867</v>
      </c>
      <c r="H239" s="11" t="str">
        <f t="shared" si="6"/>
        <v>04/01/1875</v>
      </c>
      <c r="J239" s="11" t="str">
        <f t="shared" si="7"/>
        <v xml:space="preserve"> </v>
      </c>
      <c r="K239" s="24" t="s">
        <v>1867</v>
      </c>
    </row>
    <row r="240" spans="1:11">
      <c r="A240" s="24" t="s">
        <v>15844</v>
      </c>
      <c r="B240" s="24" t="s">
        <v>15844</v>
      </c>
      <c r="C240" s="24" t="s">
        <v>15927</v>
      </c>
      <c r="D240" s="24" t="s">
        <v>15801</v>
      </c>
      <c r="E240" s="24" t="s">
        <v>15898</v>
      </c>
      <c r="F240" s="29" t="s">
        <v>1896</v>
      </c>
      <c r="G240" s="24" t="s">
        <v>1897</v>
      </c>
      <c r="H240" s="11" t="str">
        <f t="shared" si="6"/>
        <v>06/11/1906</v>
      </c>
      <c r="J240" s="11" t="str">
        <f t="shared" si="7"/>
        <v xml:space="preserve"> </v>
      </c>
      <c r="K240" s="24" t="s">
        <v>15983</v>
      </c>
    </row>
    <row r="241" spans="1:11">
      <c r="A241" s="24" t="s">
        <v>15801</v>
      </c>
      <c r="B241" s="24" t="s">
        <v>15809</v>
      </c>
      <c r="C241" s="24" t="s">
        <v>15801</v>
      </c>
      <c r="D241" s="24" t="s">
        <v>15900</v>
      </c>
      <c r="E241" s="24" t="s">
        <v>15813</v>
      </c>
      <c r="H241" s="11" t="str">
        <f t="shared" si="6"/>
        <v/>
      </c>
      <c r="J241" s="11" t="str">
        <f t="shared" si="7"/>
        <v xml:space="preserve"> </v>
      </c>
      <c r="K241" s="24" t="s">
        <v>15801</v>
      </c>
    </row>
    <row r="242" spans="1:11">
      <c r="A242" s="24" t="s">
        <v>15813</v>
      </c>
      <c r="B242" s="24" t="s">
        <v>15813</v>
      </c>
      <c r="C242" s="24" t="s">
        <v>15801</v>
      </c>
      <c r="D242" s="24" t="s">
        <v>15900</v>
      </c>
      <c r="E242" s="24" t="s">
        <v>15863</v>
      </c>
      <c r="F242" s="29" t="s">
        <v>1926</v>
      </c>
      <c r="H242" s="11" t="str">
        <f t="shared" si="6"/>
        <v/>
      </c>
      <c r="J242" s="11" t="str">
        <f t="shared" si="7"/>
        <v xml:space="preserve"> </v>
      </c>
      <c r="K242" s="24" t="s">
        <v>15801</v>
      </c>
    </row>
    <row r="243" spans="1:11">
      <c r="A243" s="24" t="s">
        <v>15820</v>
      </c>
      <c r="B243" s="24" t="s">
        <v>15820</v>
      </c>
      <c r="C243" s="24" t="s">
        <v>15928</v>
      </c>
      <c r="D243" s="24" t="s">
        <v>15884</v>
      </c>
      <c r="E243" s="24" t="s">
        <v>15899</v>
      </c>
      <c r="F243" s="29" t="s">
        <v>1933</v>
      </c>
      <c r="G243" s="24" t="s">
        <v>1935</v>
      </c>
      <c r="H243" s="11" t="str">
        <f t="shared" si="6"/>
        <v>22/09/1899</v>
      </c>
      <c r="J243" s="11" t="str">
        <f t="shared" si="7"/>
        <v xml:space="preserve"> </v>
      </c>
      <c r="K243" s="24" t="s">
        <v>1935</v>
      </c>
    </row>
    <row r="244" spans="1:11">
      <c r="A244" s="24" t="s">
        <v>15837</v>
      </c>
      <c r="B244" s="24" t="s">
        <v>15837</v>
      </c>
      <c r="C244" s="24" t="s">
        <v>15891</v>
      </c>
      <c r="D244" s="24" t="s">
        <v>15884</v>
      </c>
      <c r="E244" s="24" t="s">
        <v>15820</v>
      </c>
      <c r="F244" s="29" t="s">
        <v>1941</v>
      </c>
      <c r="G244" s="24" t="s">
        <v>1942</v>
      </c>
      <c r="H244" s="11" t="str">
        <f t="shared" si="6"/>
        <v>01/07/1883</v>
      </c>
      <c r="J244" s="11" t="str">
        <f t="shared" si="7"/>
        <v xml:space="preserve"> </v>
      </c>
      <c r="K244" s="24" t="s">
        <v>1942</v>
      </c>
    </row>
    <row r="245" spans="1:11">
      <c r="A245" s="24" t="s">
        <v>15814</v>
      </c>
      <c r="B245" s="24" t="s">
        <v>15814</v>
      </c>
      <c r="C245" s="24" t="s">
        <v>15908</v>
      </c>
      <c r="D245" s="24" t="s">
        <v>15884</v>
      </c>
      <c r="E245" s="24" t="s">
        <v>15945</v>
      </c>
      <c r="F245" s="29" t="s">
        <v>1950</v>
      </c>
      <c r="G245" s="24" t="s">
        <v>1952</v>
      </c>
      <c r="H245" s="11" t="str">
        <f t="shared" si="6"/>
        <v>17/09/1844</v>
      </c>
      <c r="J245" s="11" t="str">
        <f t="shared" si="7"/>
        <v xml:space="preserve"> </v>
      </c>
      <c r="K245" s="24" t="s">
        <v>1952</v>
      </c>
    </row>
    <row r="246" spans="1:11">
      <c r="A246" s="24" t="s">
        <v>15839</v>
      </c>
      <c r="B246" s="24" t="s">
        <v>15839</v>
      </c>
      <c r="C246" s="24" t="s">
        <v>15801</v>
      </c>
      <c r="D246" s="24" t="s">
        <v>15884</v>
      </c>
      <c r="E246" s="24" t="s">
        <v>15802</v>
      </c>
      <c r="F246" s="29" t="s">
        <v>1959</v>
      </c>
      <c r="H246" s="11" t="str">
        <f t="shared" si="6"/>
        <v/>
      </c>
      <c r="J246" s="11" t="str">
        <f t="shared" si="7"/>
        <v xml:space="preserve"> </v>
      </c>
      <c r="K246" s="24" t="s">
        <v>15801</v>
      </c>
    </row>
    <row r="247" spans="1:11">
      <c r="A247" s="24" t="s">
        <v>15801</v>
      </c>
      <c r="B247" s="24" t="s">
        <v>15814</v>
      </c>
      <c r="C247" s="24" t="s">
        <v>15801</v>
      </c>
      <c r="D247" s="24" t="s">
        <v>15884</v>
      </c>
      <c r="E247" s="24" t="s">
        <v>15863</v>
      </c>
      <c r="H247" s="11" t="str">
        <f t="shared" si="6"/>
        <v/>
      </c>
      <c r="J247" s="11" t="str">
        <f t="shared" si="7"/>
        <v xml:space="preserve"> </v>
      </c>
      <c r="K247" s="24" t="s">
        <v>15801</v>
      </c>
    </row>
    <row r="248" spans="1:11">
      <c r="A248" s="24" t="s">
        <v>15819</v>
      </c>
      <c r="B248" s="24" t="s">
        <v>15819</v>
      </c>
      <c r="C248" s="24" t="s">
        <v>15801</v>
      </c>
      <c r="D248" s="24" t="s">
        <v>15901</v>
      </c>
      <c r="E248" s="24" t="s">
        <v>15870</v>
      </c>
      <c r="F248" s="29" t="s">
        <v>1979</v>
      </c>
      <c r="H248" s="11" t="str">
        <f t="shared" si="6"/>
        <v/>
      </c>
      <c r="J248" s="11" t="str">
        <f t="shared" si="7"/>
        <v xml:space="preserve"> </v>
      </c>
      <c r="K248" s="24" t="s">
        <v>15801</v>
      </c>
    </row>
    <row r="249" spans="1:11">
      <c r="A249" s="24" t="s">
        <v>15802</v>
      </c>
      <c r="B249" s="24" t="s">
        <v>15802</v>
      </c>
      <c r="C249" s="24" t="s">
        <v>15801</v>
      </c>
      <c r="D249" s="24" t="s">
        <v>15901</v>
      </c>
      <c r="E249" s="24" t="s">
        <v>15900</v>
      </c>
      <c r="F249" s="29" t="s">
        <v>1972</v>
      </c>
      <c r="H249" s="11" t="str">
        <f t="shared" si="6"/>
        <v/>
      </c>
      <c r="J249" s="11" t="str">
        <f t="shared" si="7"/>
        <v xml:space="preserve"> </v>
      </c>
      <c r="K249" s="24" t="s">
        <v>15801</v>
      </c>
    </row>
    <row r="250" spans="1:11">
      <c r="A250" s="24" t="s">
        <v>15817</v>
      </c>
      <c r="B250" s="24" t="s">
        <v>15817</v>
      </c>
      <c r="C250" s="24" t="s">
        <v>15801</v>
      </c>
      <c r="D250" s="24" t="s">
        <v>15901</v>
      </c>
      <c r="E250" s="24" t="s">
        <v>15801</v>
      </c>
      <c r="F250" s="29" t="s">
        <v>1988</v>
      </c>
      <c r="H250" s="11" t="str">
        <f t="shared" si="6"/>
        <v/>
      </c>
      <c r="J250" s="11" t="str">
        <f t="shared" si="7"/>
        <v xml:space="preserve"> </v>
      </c>
      <c r="K250" s="24" t="s">
        <v>15801</v>
      </c>
    </row>
    <row r="251" spans="1:11">
      <c r="A251" s="24" t="s">
        <v>15823</v>
      </c>
      <c r="B251" s="24" t="s">
        <v>15823</v>
      </c>
      <c r="C251" s="24" t="s">
        <v>15801</v>
      </c>
      <c r="D251" s="24" t="s">
        <v>15901</v>
      </c>
      <c r="E251" s="24" t="s">
        <v>15905</v>
      </c>
      <c r="F251" s="29" t="s">
        <v>1969</v>
      </c>
      <c r="H251" s="11" t="str">
        <f t="shared" si="6"/>
        <v/>
      </c>
      <c r="J251" s="11" t="str">
        <f t="shared" si="7"/>
        <v xml:space="preserve"> </v>
      </c>
      <c r="K251" s="24" t="s">
        <v>15801</v>
      </c>
    </row>
    <row r="252" spans="1:11">
      <c r="A252" s="24" t="s">
        <v>15806</v>
      </c>
      <c r="B252" s="24" t="s">
        <v>15806</v>
      </c>
      <c r="C252" s="24" t="s">
        <v>15801</v>
      </c>
      <c r="D252" s="24" t="s">
        <v>15900</v>
      </c>
      <c r="E252" s="24" t="s">
        <v>15870</v>
      </c>
      <c r="F252" s="29" t="s">
        <v>2011</v>
      </c>
      <c r="H252" s="11" t="str">
        <f t="shared" si="6"/>
        <v/>
      </c>
      <c r="J252" s="11" t="str">
        <f t="shared" si="7"/>
        <v xml:space="preserve"> </v>
      </c>
      <c r="K252" s="24" t="s">
        <v>15801</v>
      </c>
    </row>
    <row r="253" spans="1:11">
      <c r="A253" s="24" t="s">
        <v>15834</v>
      </c>
      <c r="B253" s="24" t="s">
        <v>15834</v>
      </c>
      <c r="C253" s="24" t="s">
        <v>15905</v>
      </c>
      <c r="D253" s="24" t="s">
        <v>15884</v>
      </c>
      <c r="E253" s="24" t="s">
        <v>15802</v>
      </c>
      <c r="F253" s="29" t="s">
        <v>2000</v>
      </c>
      <c r="G253" s="24" t="s">
        <v>2002</v>
      </c>
      <c r="H253" s="11" t="str">
        <f t="shared" si="6"/>
        <v>10/05/1849</v>
      </c>
      <c r="J253" s="11" t="str">
        <f t="shared" si="7"/>
        <v xml:space="preserve"> </v>
      </c>
      <c r="K253" s="24" t="s">
        <v>2002</v>
      </c>
    </row>
    <row r="254" spans="1:11">
      <c r="A254" s="24" t="s">
        <v>15828</v>
      </c>
      <c r="B254" s="24" t="s">
        <v>15828</v>
      </c>
      <c r="C254" s="24" t="s">
        <v>15929</v>
      </c>
      <c r="D254" s="24" t="s">
        <v>15884</v>
      </c>
      <c r="E254" s="24" t="s">
        <v>15801</v>
      </c>
      <c r="F254" s="29" t="s">
        <v>2006</v>
      </c>
      <c r="G254" s="24" t="s">
        <v>2007</v>
      </c>
      <c r="H254" s="11" t="str">
        <f t="shared" si="6"/>
        <v>06/04/1878</v>
      </c>
      <c r="J254" s="11" t="str">
        <f t="shared" si="7"/>
        <v xml:space="preserve"> </v>
      </c>
      <c r="K254" s="24" t="s">
        <v>2007</v>
      </c>
    </row>
    <row r="255" spans="1:11">
      <c r="A255" s="24" t="s">
        <v>15801</v>
      </c>
      <c r="B255" s="24" t="s">
        <v>15831</v>
      </c>
      <c r="C255" s="24" t="s">
        <v>15924</v>
      </c>
      <c r="D255" s="24" t="s">
        <v>15884</v>
      </c>
      <c r="E255" s="24" t="s">
        <v>15818</v>
      </c>
      <c r="G255" s="24" t="s">
        <v>2020</v>
      </c>
      <c r="H255" s="11" t="str">
        <f t="shared" si="6"/>
        <v>16/06/1868</v>
      </c>
      <c r="J255" s="11" t="str">
        <f t="shared" si="7"/>
        <v xml:space="preserve"> </v>
      </c>
      <c r="K255" s="24" t="s">
        <v>2020</v>
      </c>
    </row>
    <row r="256" spans="1:11">
      <c r="A256" s="24" t="s">
        <v>15833</v>
      </c>
      <c r="B256" s="24" t="s">
        <v>15833</v>
      </c>
      <c r="C256" s="24" t="s">
        <v>15801</v>
      </c>
      <c r="D256" s="24" t="s">
        <v>15900</v>
      </c>
      <c r="E256" s="24" t="s">
        <v>15801</v>
      </c>
      <c r="F256" s="29" t="s">
        <v>1442</v>
      </c>
      <c r="H256" s="11" t="str">
        <f t="shared" si="6"/>
        <v/>
      </c>
      <c r="J256" s="11" t="str">
        <f t="shared" si="7"/>
        <v xml:space="preserve"> </v>
      </c>
      <c r="K256" s="24" t="s">
        <v>15801</v>
      </c>
    </row>
    <row r="257" spans="1:11">
      <c r="A257" s="24" t="s">
        <v>15801</v>
      </c>
      <c r="B257" s="24" t="s">
        <v>15801</v>
      </c>
      <c r="C257" s="24" t="s">
        <v>15911</v>
      </c>
      <c r="D257" s="24" t="s">
        <v>15915</v>
      </c>
      <c r="E257" s="24" t="s">
        <v>15804</v>
      </c>
      <c r="G257" s="24" t="s">
        <v>2038</v>
      </c>
      <c r="H257" s="11" t="str">
        <f t="shared" si="6"/>
        <v>06/11/1863</v>
      </c>
      <c r="J257" s="11" t="str">
        <f t="shared" si="7"/>
        <v xml:space="preserve"> </v>
      </c>
      <c r="K257" s="24" t="s">
        <v>2038</v>
      </c>
    </row>
    <row r="258" spans="1:11">
      <c r="A258" s="24" t="s">
        <v>15801</v>
      </c>
      <c r="B258" s="24" t="s">
        <v>15817</v>
      </c>
      <c r="C258" s="24" t="s">
        <v>15801</v>
      </c>
      <c r="D258" s="24" t="s">
        <v>15915</v>
      </c>
      <c r="E258" s="24" t="s">
        <v>15884</v>
      </c>
      <c r="H258" s="11" t="str">
        <f t="shared" si="6"/>
        <v/>
      </c>
      <c r="J258" s="11" t="str">
        <f t="shared" si="7"/>
        <v xml:space="preserve"> </v>
      </c>
      <c r="K258" s="24" t="s">
        <v>15801</v>
      </c>
    </row>
    <row r="259" spans="1:11">
      <c r="A259" s="24" t="s">
        <v>15834</v>
      </c>
      <c r="B259" s="24" t="s">
        <v>15834</v>
      </c>
      <c r="C259" s="24" t="s">
        <v>15892</v>
      </c>
      <c r="D259" s="24" t="s">
        <v>15899</v>
      </c>
      <c r="E259" s="24" t="s">
        <v>15816</v>
      </c>
      <c r="F259" s="29" t="s">
        <v>2097</v>
      </c>
      <c r="G259" s="24" t="s">
        <v>2100</v>
      </c>
      <c r="H259" s="11" t="str">
        <f t="shared" ref="H259:H322" si="8">TRIM(G259)</f>
        <v>09/08/1871</v>
      </c>
      <c r="J259" s="11" t="str">
        <f t="shared" ref="J259:J322" si="9">IF(LEN(H259)=4,"fout"," ")</f>
        <v xml:space="preserve"> </v>
      </c>
      <c r="K259" s="24" t="s">
        <v>2100</v>
      </c>
    </row>
    <row r="260" spans="1:11">
      <c r="A260" s="24" t="s">
        <v>15828</v>
      </c>
      <c r="B260" s="24" t="s">
        <v>15828</v>
      </c>
      <c r="C260" s="24" t="s">
        <v>15902</v>
      </c>
      <c r="D260" s="24" t="s">
        <v>15870</v>
      </c>
      <c r="E260" s="24" t="s">
        <v>15801</v>
      </c>
      <c r="F260" s="29" t="s">
        <v>2082</v>
      </c>
      <c r="G260" s="24" t="s">
        <v>2099</v>
      </c>
      <c r="H260" s="11" t="str">
        <f t="shared" si="8"/>
        <v>04/09/1876</v>
      </c>
      <c r="J260" s="11" t="str">
        <f t="shared" si="9"/>
        <v xml:space="preserve"> </v>
      </c>
      <c r="K260" s="24" t="s">
        <v>2099</v>
      </c>
    </row>
    <row r="261" spans="1:11">
      <c r="A261" s="24" t="s">
        <v>15811</v>
      </c>
      <c r="B261" s="24" t="s">
        <v>15811</v>
      </c>
      <c r="C261" s="24" t="s">
        <v>15801</v>
      </c>
      <c r="D261" s="24" t="s">
        <v>15899</v>
      </c>
      <c r="E261" s="24" t="s">
        <v>15801</v>
      </c>
      <c r="F261" s="29" t="s">
        <v>1885</v>
      </c>
      <c r="H261" s="11" t="str">
        <f t="shared" si="8"/>
        <v/>
      </c>
      <c r="J261" s="11" t="str">
        <f t="shared" si="9"/>
        <v xml:space="preserve"> </v>
      </c>
      <c r="K261" s="24" t="s">
        <v>15801</v>
      </c>
    </row>
    <row r="262" spans="1:11">
      <c r="A262" s="24" t="s">
        <v>15840</v>
      </c>
      <c r="B262" s="24" t="s">
        <v>15840</v>
      </c>
      <c r="C262" s="24" t="s">
        <v>15892</v>
      </c>
      <c r="D262" s="24" t="s">
        <v>15870</v>
      </c>
      <c r="E262" s="24" t="s">
        <v>15820</v>
      </c>
      <c r="F262" s="29" t="s">
        <v>2062</v>
      </c>
      <c r="G262" s="24" t="s">
        <v>2064</v>
      </c>
      <c r="H262" s="11" t="str">
        <f t="shared" si="8"/>
        <v>04/10/1871</v>
      </c>
      <c r="J262" s="11" t="str">
        <f t="shared" si="9"/>
        <v xml:space="preserve"> </v>
      </c>
      <c r="K262" s="24" t="s">
        <v>2064</v>
      </c>
    </row>
    <row r="263" spans="1:11">
      <c r="A263" s="24" t="s">
        <v>15823</v>
      </c>
      <c r="B263" s="24" t="s">
        <v>15823</v>
      </c>
      <c r="C263" s="24" t="s">
        <v>15930</v>
      </c>
      <c r="D263" s="24" t="s">
        <v>15870</v>
      </c>
      <c r="E263" s="24" t="s">
        <v>15801</v>
      </c>
      <c r="F263" s="29" t="s">
        <v>2076</v>
      </c>
      <c r="G263" s="24" t="s">
        <v>2078</v>
      </c>
      <c r="H263" s="11" t="str">
        <f t="shared" si="8"/>
        <v>23/07/1896</v>
      </c>
      <c r="J263" s="11" t="str">
        <f t="shared" si="9"/>
        <v xml:space="preserve"> </v>
      </c>
      <c r="K263" s="24" t="s">
        <v>2078</v>
      </c>
    </row>
    <row r="264" spans="1:11">
      <c r="A264" s="24" t="s">
        <v>15801</v>
      </c>
      <c r="B264" s="24" t="s">
        <v>15849</v>
      </c>
      <c r="C264" s="24" t="s">
        <v>15801</v>
      </c>
      <c r="D264" s="24" t="s">
        <v>15899</v>
      </c>
      <c r="E264" s="24" t="s">
        <v>15816</v>
      </c>
      <c r="H264" s="11" t="str">
        <f t="shared" si="8"/>
        <v/>
      </c>
      <c r="J264" s="11" t="str">
        <f t="shared" si="9"/>
        <v xml:space="preserve"> </v>
      </c>
      <c r="K264" s="24" t="s">
        <v>15801</v>
      </c>
    </row>
    <row r="265" spans="1:11">
      <c r="A265" s="24" t="s">
        <v>15810</v>
      </c>
      <c r="B265" s="24" t="s">
        <v>15810</v>
      </c>
      <c r="C265" s="24" t="s">
        <v>15926</v>
      </c>
      <c r="D265" s="24" t="s">
        <v>15870</v>
      </c>
      <c r="E265" s="24" t="s">
        <v>15908</v>
      </c>
      <c r="F265" s="29" t="s">
        <v>2052</v>
      </c>
      <c r="G265" s="24" t="s">
        <v>2054</v>
      </c>
      <c r="H265" s="11" t="str">
        <f t="shared" si="8"/>
        <v>28/09/1897</v>
      </c>
      <c r="J265" s="11" t="str">
        <f t="shared" si="9"/>
        <v xml:space="preserve"> </v>
      </c>
      <c r="K265" s="24" t="s">
        <v>2054</v>
      </c>
    </row>
    <row r="266" spans="1:11">
      <c r="A266" s="24" t="s">
        <v>15801</v>
      </c>
      <c r="B266" s="24" t="s">
        <v>15816</v>
      </c>
      <c r="C266" s="24" t="s">
        <v>15801</v>
      </c>
      <c r="D266" s="24" t="s">
        <v>15900</v>
      </c>
      <c r="E266" s="24" t="s">
        <v>15801</v>
      </c>
      <c r="H266" s="11" t="str">
        <f t="shared" si="8"/>
        <v/>
      </c>
      <c r="J266" s="11" t="str">
        <f t="shared" si="9"/>
        <v xml:space="preserve"> </v>
      </c>
      <c r="K266" s="24" t="s">
        <v>15801</v>
      </c>
    </row>
    <row r="267" spans="1:11">
      <c r="A267" s="24" t="s">
        <v>15827</v>
      </c>
      <c r="B267" s="24" t="s">
        <v>15827</v>
      </c>
      <c r="C267" s="24" t="s">
        <v>15801</v>
      </c>
      <c r="D267" s="24" t="s">
        <v>15899</v>
      </c>
      <c r="E267" s="24" t="s">
        <v>15801</v>
      </c>
      <c r="F267" s="29" t="s">
        <v>2114</v>
      </c>
      <c r="H267" s="11" t="str">
        <f t="shared" si="8"/>
        <v/>
      </c>
      <c r="J267" s="11" t="str">
        <f t="shared" si="9"/>
        <v xml:space="preserve"> </v>
      </c>
      <c r="K267" s="24" t="s">
        <v>15801</v>
      </c>
    </row>
    <row r="268" spans="1:11">
      <c r="A268" s="24" t="s">
        <v>15801</v>
      </c>
      <c r="B268" s="24" t="s">
        <v>15837</v>
      </c>
      <c r="C268" s="24" t="s">
        <v>15884</v>
      </c>
      <c r="D268" s="24" t="s">
        <v>15870</v>
      </c>
      <c r="E268" s="24" t="s">
        <v>15844</v>
      </c>
      <c r="G268" s="24" t="s">
        <v>72</v>
      </c>
      <c r="H268" s="11" t="str">
        <f t="shared" si="8"/>
        <v>06/02/1838</v>
      </c>
      <c r="J268" s="11" t="str">
        <f t="shared" si="9"/>
        <v xml:space="preserve"> </v>
      </c>
      <c r="K268" s="24" t="s">
        <v>72</v>
      </c>
    </row>
    <row r="269" spans="1:11">
      <c r="A269" s="24" t="s">
        <v>15801</v>
      </c>
      <c r="B269" s="24" t="s">
        <v>15832</v>
      </c>
      <c r="C269" s="24" t="s">
        <v>15801</v>
      </c>
      <c r="D269" s="24" t="s">
        <v>15908</v>
      </c>
      <c r="E269" s="24" t="s">
        <v>15801</v>
      </c>
      <c r="H269" s="11" t="str">
        <f t="shared" si="8"/>
        <v/>
      </c>
      <c r="J269" s="11" t="str">
        <f t="shared" si="9"/>
        <v xml:space="preserve"> </v>
      </c>
      <c r="K269" s="24" t="s">
        <v>15801</v>
      </c>
    </row>
    <row r="270" spans="1:11">
      <c r="A270" s="24" t="s">
        <v>15816</v>
      </c>
      <c r="B270" s="24" t="s">
        <v>15816</v>
      </c>
      <c r="C270" s="24" t="s">
        <v>15801</v>
      </c>
      <c r="D270" s="24" t="s">
        <v>15915</v>
      </c>
      <c r="E270" s="24" t="s">
        <v>15801</v>
      </c>
      <c r="H270" s="11" t="str">
        <f t="shared" si="8"/>
        <v/>
      </c>
      <c r="J270" s="11" t="str">
        <f t="shared" si="9"/>
        <v xml:space="preserve"> </v>
      </c>
      <c r="K270" s="24" t="s">
        <v>15801</v>
      </c>
    </row>
    <row r="271" spans="1:11">
      <c r="A271" s="24" t="s">
        <v>15813</v>
      </c>
      <c r="B271" s="24" t="s">
        <v>15813</v>
      </c>
      <c r="C271" s="24" t="s">
        <v>15801</v>
      </c>
      <c r="D271" s="24" t="s">
        <v>15884</v>
      </c>
      <c r="E271" s="24" t="s">
        <v>15823</v>
      </c>
      <c r="H271" s="11" t="str">
        <f t="shared" si="8"/>
        <v/>
      </c>
      <c r="J271" s="11" t="str">
        <f t="shared" si="9"/>
        <v xml:space="preserve"> </v>
      </c>
      <c r="K271" s="24" t="s">
        <v>15801</v>
      </c>
    </row>
    <row r="272" spans="1:11">
      <c r="A272" s="24" t="s">
        <v>15814</v>
      </c>
      <c r="B272" s="24" t="s">
        <v>15814</v>
      </c>
      <c r="C272" s="24" t="s">
        <v>15884</v>
      </c>
      <c r="D272" s="24" t="s">
        <v>15900</v>
      </c>
      <c r="E272" s="24" t="s">
        <v>15945</v>
      </c>
      <c r="F272" s="29" t="s">
        <v>2133</v>
      </c>
      <c r="G272" s="24" t="s">
        <v>72</v>
      </c>
      <c r="H272" s="11" t="str">
        <f t="shared" si="8"/>
        <v>06/02/1838</v>
      </c>
      <c r="J272" s="11" t="str">
        <f t="shared" si="9"/>
        <v xml:space="preserve"> </v>
      </c>
      <c r="K272" s="24" t="s">
        <v>72</v>
      </c>
    </row>
    <row r="273" spans="1:11">
      <c r="A273" s="24" t="s">
        <v>15821</v>
      </c>
      <c r="B273" s="24" t="s">
        <v>15821</v>
      </c>
      <c r="C273" s="24" t="s">
        <v>15801</v>
      </c>
      <c r="D273" s="24" t="s">
        <v>15899</v>
      </c>
      <c r="E273" s="24" t="s">
        <v>15900</v>
      </c>
      <c r="F273" s="29" t="s">
        <v>2142</v>
      </c>
      <c r="H273" s="11" t="str">
        <f t="shared" si="8"/>
        <v/>
      </c>
      <c r="J273" s="11" t="str">
        <f t="shared" si="9"/>
        <v xml:space="preserve"> </v>
      </c>
      <c r="K273" s="24" t="s">
        <v>15801</v>
      </c>
    </row>
    <row r="274" spans="1:11">
      <c r="A274" s="24" t="s">
        <v>15831</v>
      </c>
      <c r="B274" s="24" t="s">
        <v>15831</v>
      </c>
      <c r="C274" s="24" t="s">
        <v>15801</v>
      </c>
      <c r="D274" s="24" t="s">
        <v>15899</v>
      </c>
      <c r="E274" s="24" t="s">
        <v>15813</v>
      </c>
      <c r="F274" s="29" t="s">
        <v>2186</v>
      </c>
      <c r="H274" s="11" t="str">
        <f t="shared" si="8"/>
        <v/>
      </c>
      <c r="J274" s="11" t="str">
        <f t="shared" si="9"/>
        <v xml:space="preserve"> </v>
      </c>
      <c r="K274" s="24" t="s">
        <v>15801</v>
      </c>
    </row>
    <row r="275" spans="1:11">
      <c r="A275" s="24" t="s">
        <v>15814</v>
      </c>
      <c r="B275" s="24" t="s">
        <v>15814</v>
      </c>
      <c r="C275" s="24" t="s">
        <v>15801</v>
      </c>
      <c r="D275" s="24" t="s">
        <v>15801</v>
      </c>
      <c r="E275" s="24" t="s">
        <v>15827</v>
      </c>
      <c r="F275" s="29" t="s">
        <v>2194</v>
      </c>
      <c r="H275" s="11" t="str">
        <f t="shared" si="8"/>
        <v/>
      </c>
      <c r="J275" s="11" t="str">
        <f t="shared" si="9"/>
        <v xml:space="preserve"> </v>
      </c>
      <c r="K275" s="24" t="s">
        <v>15801</v>
      </c>
    </row>
    <row r="276" spans="1:11">
      <c r="A276" s="24" t="s">
        <v>15832</v>
      </c>
      <c r="B276" s="24" t="s">
        <v>15832</v>
      </c>
      <c r="C276" s="24" t="s">
        <v>15801</v>
      </c>
      <c r="D276" s="24" t="s">
        <v>15801</v>
      </c>
      <c r="E276" s="24" t="s">
        <v>15864</v>
      </c>
      <c r="F276" s="29" t="s">
        <v>2181</v>
      </c>
      <c r="H276" s="11" t="str">
        <f t="shared" si="8"/>
        <v/>
      </c>
      <c r="J276" s="11" t="str">
        <f t="shared" si="9"/>
        <v xml:space="preserve"> </v>
      </c>
      <c r="K276" s="24" t="s">
        <v>15801</v>
      </c>
    </row>
    <row r="277" spans="1:11">
      <c r="A277" s="24" t="s">
        <v>15801</v>
      </c>
      <c r="B277" s="24" t="s">
        <v>15822</v>
      </c>
      <c r="C277" s="24" t="s">
        <v>15801</v>
      </c>
      <c r="D277" s="24" t="s">
        <v>15899</v>
      </c>
      <c r="E277" s="24" t="s">
        <v>15821</v>
      </c>
      <c r="H277" s="11" t="str">
        <f t="shared" si="8"/>
        <v/>
      </c>
      <c r="J277" s="11" t="str">
        <f t="shared" si="9"/>
        <v xml:space="preserve"> </v>
      </c>
      <c r="K277" s="24" t="s">
        <v>15801</v>
      </c>
    </row>
    <row r="278" spans="1:11">
      <c r="A278" s="24" t="s">
        <v>15801</v>
      </c>
      <c r="B278" s="24" t="s">
        <v>15850</v>
      </c>
      <c r="C278" s="24" t="s">
        <v>15931</v>
      </c>
      <c r="D278" s="24" t="s">
        <v>15900</v>
      </c>
      <c r="E278" s="24" t="s">
        <v>15807</v>
      </c>
      <c r="G278" s="24" t="s">
        <v>2151</v>
      </c>
      <c r="H278" s="11"/>
      <c r="J278" s="11" t="str">
        <f t="shared" si="9"/>
        <v xml:space="preserve"> </v>
      </c>
    </row>
    <row r="279" spans="1:11">
      <c r="A279" s="24" t="s">
        <v>15828</v>
      </c>
      <c r="B279" s="24" t="s">
        <v>15828</v>
      </c>
      <c r="C279" s="24" t="s">
        <v>15801</v>
      </c>
      <c r="D279" s="24" t="s">
        <v>15884</v>
      </c>
      <c r="E279" s="24" t="s">
        <v>15801</v>
      </c>
      <c r="F279" s="29" t="s">
        <v>2157</v>
      </c>
      <c r="H279" s="11" t="str">
        <f t="shared" si="8"/>
        <v/>
      </c>
      <c r="J279" s="11" t="str">
        <f t="shared" si="9"/>
        <v xml:space="preserve"> </v>
      </c>
      <c r="K279" s="24" t="s">
        <v>15801</v>
      </c>
    </row>
    <row r="280" spans="1:11">
      <c r="A280" s="24" t="s">
        <v>15811</v>
      </c>
      <c r="B280" s="24" t="s">
        <v>15811</v>
      </c>
      <c r="C280" s="24" t="s">
        <v>15932</v>
      </c>
      <c r="D280" s="24" t="s">
        <v>15900</v>
      </c>
      <c r="E280" s="24" t="s">
        <v>15931</v>
      </c>
      <c r="F280" s="29" t="s">
        <v>2198</v>
      </c>
      <c r="G280" s="24" t="s">
        <v>2200</v>
      </c>
      <c r="H280" s="11" t="str">
        <f t="shared" si="8"/>
        <v>19/11/1919</v>
      </c>
      <c r="J280" s="11" t="str">
        <f t="shared" si="9"/>
        <v xml:space="preserve"> </v>
      </c>
      <c r="K280" s="24" t="s">
        <v>15984</v>
      </c>
    </row>
    <row r="281" spans="1:11">
      <c r="A281" s="24" t="s">
        <v>15827</v>
      </c>
      <c r="B281" s="24" t="s">
        <v>15827</v>
      </c>
      <c r="C281" s="24" t="s">
        <v>15801</v>
      </c>
      <c r="D281" s="24" t="s">
        <v>15915</v>
      </c>
      <c r="E281" s="24" t="s">
        <v>15801</v>
      </c>
      <c r="F281" s="29" t="s">
        <v>2166</v>
      </c>
      <c r="H281" s="11" t="str">
        <f t="shared" si="8"/>
        <v/>
      </c>
      <c r="J281" s="11" t="str">
        <f t="shared" si="9"/>
        <v xml:space="preserve"> </v>
      </c>
      <c r="K281" s="24" t="s">
        <v>15801</v>
      </c>
    </row>
    <row r="282" spans="1:11">
      <c r="A282" s="24" t="s">
        <v>15801</v>
      </c>
      <c r="B282" s="24" t="s">
        <v>15808</v>
      </c>
      <c r="C282" s="24" t="s">
        <v>15913</v>
      </c>
      <c r="D282" s="24" t="s">
        <v>15899</v>
      </c>
      <c r="E282" s="24" t="s">
        <v>15863</v>
      </c>
      <c r="G282" s="24" t="s">
        <v>2209</v>
      </c>
      <c r="H282" s="11" t="str">
        <f t="shared" si="8"/>
        <v>21/03/1877</v>
      </c>
      <c r="J282" s="11" t="str">
        <f t="shared" si="9"/>
        <v xml:space="preserve"> </v>
      </c>
      <c r="K282" s="24" t="s">
        <v>2209</v>
      </c>
    </row>
    <row r="283" spans="1:11">
      <c r="A283" s="24" t="s">
        <v>15816</v>
      </c>
      <c r="B283" s="24" t="s">
        <v>15816</v>
      </c>
      <c r="C283" s="24" t="s">
        <v>15933</v>
      </c>
      <c r="D283" s="24" t="s">
        <v>15948</v>
      </c>
      <c r="E283" s="24" t="s">
        <v>15801</v>
      </c>
      <c r="F283" s="29" t="s">
        <v>2172</v>
      </c>
      <c r="G283" s="24" t="s">
        <v>2174</v>
      </c>
      <c r="H283" s="11" t="str">
        <f t="shared" si="8"/>
        <v>08/10/1873</v>
      </c>
      <c r="J283" s="11" t="str">
        <f t="shared" si="9"/>
        <v xml:space="preserve"> </v>
      </c>
      <c r="K283" s="24" t="s">
        <v>2174</v>
      </c>
    </row>
    <row r="284" spans="1:11">
      <c r="A284" s="24" t="s">
        <v>15801</v>
      </c>
      <c r="B284" s="24" t="s">
        <v>15841</v>
      </c>
      <c r="C284" s="24" t="s">
        <v>15801</v>
      </c>
      <c r="D284" s="24" t="s">
        <v>15899</v>
      </c>
      <c r="E284" s="24" t="s">
        <v>15851</v>
      </c>
      <c r="H284" s="11" t="str">
        <f t="shared" si="8"/>
        <v/>
      </c>
      <c r="J284" s="11" t="str">
        <f t="shared" si="9"/>
        <v xml:space="preserve"> </v>
      </c>
      <c r="K284" s="24" t="s">
        <v>15801</v>
      </c>
    </row>
    <row r="285" spans="1:11">
      <c r="A285" s="24" t="s">
        <v>15801</v>
      </c>
      <c r="B285" s="24" t="s">
        <v>15805</v>
      </c>
      <c r="C285" s="24" t="s">
        <v>15801</v>
      </c>
      <c r="D285" s="24" t="s">
        <v>15870</v>
      </c>
      <c r="E285" s="24" t="s">
        <v>15836</v>
      </c>
      <c r="H285" s="11" t="str">
        <f t="shared" si="8"/>
        <v/>
      </c>
      <c r="J285" s="11" t="str">
        <f t="shared" si="9"/>
        <v xml:space="preserve"> </v>
      </c>
      <c r="K285" s="24" t="s">
        <v>15801</v>
      </c>
    </row>
    <row r="286" spans="1:11">
      <c r="A286" s="24" t="s">
        <v>15817</v>
      </c>
      <c r="B286" s="24" t="s">
        <v>15817</v>
      </c>
      <c r="C286" s="24" t="s">
        <v>15934</v>
      </c>
      <c r="D286" s="24" t="s">
        <v>15870</v>
      </c>
      <c r="E286" s="24" t="s">
        <v>15884</v>
      </c>
      <c r="F286" s="29" t="s">
        <v>2274</v>
      </c>
      <c r="G286" s="24" t="s">
        <v>2276</v>
      </c>
      <c r="H286" s="11" t="str">
        <f t="shared" si="8"/>
        <v>18/06/1898</v>
      </c>
      <c r="J286" s="11" t="str">
        <f t="shared" si="9"/>
        <v xml:space="preserve"> </v>
      </c>
      <c r="K286" s="24" t="s">
        <v>2276</v>
      </c>
    </row>
    <row r="287" spans="1:11">
      <c r="A287" s="24" t="s">
        <v>15827</v>
      </c>
      <c r="B287" s="24" t="s">
        <v>15827</v>
      </c>
      <c r="C287" s="24" t="s">
        <v>15801</v>
      </c>
      <c r="D287" s="24" t="s">
        <v>15870</v>
      </c>
      <c r="E287" s="24" t="s">
        <v>15801</v>
      </c>
      <c r="F287" s="29" t="s">
        <v>2800</v>
      </c>
      <c r="H287" s="11" t="str">
        <f t="shared" si="8"/>
        <v/>
      </c>
      <c r="J287" s="11" t="str">
        <f t="shared" si="9"/>
        <v xml:space="preserve"> </v>
      </c>
      <c r="K287" s="24" t="s">
        <v>15801</v>
      </c>
    </row>
    <row r="288" spans="1:11">
      <c r="A288" s="24" t="s">
        <v>15801</v>
      </c>
      <c r="B288" s="24" t="s">
        <v>15841</v>
      </c>
      <c r="C288" s="24" t="s">
        <v>15909</v>
      </c>
      <c r="D288" s="24" t="s">
        <v>15801</v>
      </c>
      <c r="E288" s="24" t="s">
        <v>15811</v>
      </c>
      <c r="G288" s="24" t="s">
        <v>2248</v>
      </c>
      <c r="H288" s="11" t="str">
        <f t="shared" si="8"/>
        <v>11/04/1881</v>
      </c>
      <c r="J288" s="11" t="str">
        <f t="shared" si="9"/>
        <v xml:space="preserve"> </v>
      </c>
      <c r="K288" s="24" t="s">
        <v>2248</v>
      </c>
    </row>
    <row r="289" spans="1:11">
      <c r="A289" s="24" t="s">
        <v>15801</v>
      </c>
      <c r="B289" s="24" t="s">
        <v>15867</v>
      </c>
      <c r="C289" s="24" t="s">
        <v>15801</v>
      </c>
      <c r="D289" s="24" t="s">
        <v>15884</v>
      </c>
      <c r="E289" s="24" t="s">
        <v>15849</v>
      </c>
      <c r="H289" s="11" t="str">
        <f t="shared" si="8"/>
        <v/>
      </c>
      <c r="J289" s="11" t="str">
        <f t="shared" si="9"/>
        <v xml:space="preserve"> </v>
      </c>
      <c r="K289" s="24" t="s">
        <v>15801</v>
      </c>
    </row>
    <row r="290" spans="1:11">
      <c r="A290" s="24" t="s">
        <v>15801</v>
      </c>
      <c r="B290" s="24" t="s">
        <v>15837</v>
      </c>
      <c r="C290" s="24" t="s">
        <v>15801</v>
      </c>
      <c r="D290" s="24" t="s">
        <v>15900</v>
      </c>
      <c r="E290" s="24" t="s">
        <v>15827</v>
      </c>
      <c r="H290" s="11" t="str">
        <f t="shared" si="8"/>
        <v/>
      </c>
      <c r="J290" s="11" t="str">
        <f t="shared" si="9"/>
        <v xml:space="preserve"> </v>
      </c>
      <c r="K290" s="24" t="s">
        <v>15801</v>
      </c>
    </row>
    <row r="291" spans="1:11">
      <c r="A291" s="24" t="s">
        <v>15801</v>
      </c>
      <c r="B291" s="24" t="s">
        <v>15839</v>
      </c>
      <c r="C291" s="24" t="s">
        <v>15801</v>
      </c>
      <c r="D291" s="24" t="s">
        <v>15899</v>
      </c>
      <c r="E291" s="24" t="s">
        <v>15810</v>
      </c>
      <c r="H291" s="11" t="str">
        <f t="shared" si="8"/>
        <v/>
      </c>
      <c r="J291" s="11" t="str">
        <f t="shared" si="9"/>
        <v xml:space="preserve"> </v>
      </c>
      <c r="K291" s="24" t="s">
        <v>15801</v>
      </c>
    </row>
    <row r="292" spans="1:11">
      <c r="A292" s="24" t="s">
        <v>15828</v>
      </c>
      <c r="B292" s="24" t="s">
        <v>15828</v>
      </c>
      <c r="C292" s="24" t="s">
        <v>15801</v>
      </c>
      <c r="D292" s="24" t="s">
        <v>15801</v>
      </c>
      <c r="E292" s="24" t="s">
        <v>15899</v>
      </c>
      <c r="F292" s="29" t="s">
        <v>2281</v>
      </c>
      <c r="H292" s="11" t="str">
        <f t="shared" si="8"/>
        <v/>
      </c>
      <c r="J292" s="11" t="str">
        <f t="shared" si="9"/>
        <v xml:space="preserve"> </v>
      </c>
      <c r="K292" s="24" t="s">
        <v>15801</v>
      </c>
    </row>
    <row r="293" spans="1:11">
      <c r="A293" s="24" t="s">
        <v>15823</v>
      </c>
      <c r="B293" s="24" t="s">
        <v>15823</v>
      </c>
      <c r="C293" s="24" t="s">
        <v>15935</v>
      </c>
      <c r="D293" s="24" t="s">
        <v>15901</v>
      </c>
      <c r="E293" s="24" t="s">
        <v>15801</v>
      </c>
      <c r="F293" s="29" t="s">
        <v>2301</v>
      </c>
      <c r="G293" s="24" t="s">
        <v>2303</v>
      </c>
      <c r="H293" s="11" t="str">
        <f t="shared" si="8"/>
        <v>30/03/1909</v>
      </c>
      <c r="J293" s="11" t="str">
        <f t="shared" si="9"/>
        <v xml:space="preserve"> </v>
      </c>
      <c r="K293" s="24" t="s">
        <v>15985</v>
      </c>
    </row>
    <row r="294" spans="1:11">
      <c r="A294" s="24" t="s">
        <v>15801</v>
      </c>
      <c r="B294" s="24" t="s">
        <v>15849</v>
      </c>
      <c r="C294" s="24" t="s">
        <v>15801</v>
      </c>
      <c r="D294" s="24" t="s">
        <v>15801</v>
      </c>
      <c r="E294" s="24" t="s">
        <v>15819</v>
      </c>
      <c r="H294" s="11" t="str">
        <f t="shared" si="8"/>
        <v/>
      </c>
      <c r="J294" s="11" t="str">
        <f t="shared" si="9"/>
        <v xml:space="preserve"> </v>
      </c>
      <c r="K294" s="24" t="s">
        <v>15801</v>
      </c>
    </row>
    <row r="295" spans="1:11">
      <c r="A295" s="24" t="s">
        <v>15801</v>
      </c>
      <c r="B295" s="24" t="s">
        <v>15813</v>
      </c>
      <c r="C295" s="24" t="s">
        <v>15801</v>
      </c>
      <c r="D295" s="24" t="s">
        <v>15900</v>
      </c>
      <c r="E295" s="24" t="s">
        <v>15827</v>
      </c>
      <c r="H295" s="11" t="str">
        <f t="shared" si="8"/>
        <v/>
      </c>
      <c r="J295" s="11" t="str">
        <f t="shared" si="9"/>
        <v xml:space="preserve"> </v>
      </c>
      <c r="K295" s="24" t="s">
        <v>15801</v>
      </c>
    </row>
    <row r="296" spans="1:11">
      <c r="A296" s="24" t="s">
        <v>15801</v>
      </c>
      <c r="B296" s="24" t="s">
        <v>15870</v>
      </c>
      <c r="C296" s="24" t="s">
        <v>15801</v>
      </c>
      <c r="D296" s="24" t="s">
        <v>15801</v>
      </c>
      <c r="E296" s="24" t="s">
        <v>15801</v>
      </c>
      <c r="H296" s="11" t="str">
        <f t="shared" si="8"/>
        <v/>
      </c>
      <c r="J296" s="11" t="str">
        <f t="shared" si="9"/>
        <v xml:space="preserve"> </v>
      </c>
      <c r="K296" s="24" t="s">
        <v>15801</v>
      </c>
    </row>
    <row r="297" spans="1:11">
      <c r="A297" s="24" t="s">
        <v>15802</v>
      </c>
      <c r="B297" s="24" t="s">
        <v>15802</v>
      </c>
      <c r="C297" s="24" t="s">
        <v>15919</v>
      </c>
      <c r="D297" s="24" t="s">
        <v>15884</v>
      </c>
      <c r="E297" s="24" t="s">
        <v>15801</v>
      </c>
      <c r="F297" s="29" t="s">
        <v>2240</v>
      </c>
      <c r="G297" s="24" t="s">
        <v>2243</v>
      </c>
      <c r="H297" s="11" t="str">
        <f t="shared" si="8"/>
        <v>10/12/1888</v>
      </c>
      <c r="J297" s="11" t="str">
        <f t="shared" si="9"/>
        <v xml:space="preserve"> </v>
      </c>
      <c r="K297" s="24" t="s">
        <v>2243</v>
      </c>
    </row>
    <row r="298" spans="1:11">
      <c r="A298" s="24" t="s">
        <v>15840</v>
      </c>
      <c r="B298" s="24" t="s">
        <v>15840</v>
      </c>
      <c r="C298" s="24" t="s">
        <v>15925</v>
      </c>
      <c r="D298" s="24" t="s">
        <v>15908</v>
      </c>
      <c r="E298" s="24" t="s">
        <v>15811</v>
      </c>
      <c r="F298" s="29" t="s">
        <v>2374</v>
      </c>
      <c r="G298" s="24" t="s">
        <v>2376</v>
      </c>
      <c r="H298" s="11" t="str">
        <f t="shared" si="8"/>
        <v>10/11/1851</v>
      </c>
      <c r="J298" s="11" t="str">
        <f t="shared" si="9"/>
        <v xml:space="preserve"> </v>
      </c>
      <c r="K298" s="24" t="s">
        <v>2376</v>
      </c>
    </row>
    <row r="299" spans="1:11">
      <c r="A299" s="24" t="s">
        <v>15801</v>
      </c>
      <c r="B299" s="24" t="s">
        <v>15829</v>
      </c>
      <c r="C299" s="24" t="s">
        <v>15801</v>
      </c>
      <c r="D299" s="24" t="s">
        <v>15948</v>
      </c>
      <c r="E299" s="24" t="s">
        <v>15844</v>
      </c>
      <c r="H299" s="11" t="str">
        <f t="shared" si="8"/>
        <v/>
      </c>
      <c r="J299" s="11" t="str">
        <f t="shared" si="9"/>
        <v xml:space="preserve"> </v>
      </c>
      <c r="K299" s="24" t="s">
        <v>15801</v>
      </c>
    </row>
    <row r="300" spans="1:11">
      <c r="A300" s="24" t="s">
        <v>15801</v>
      </c>
      <c r="B300" s="24" t="s">
        <v>15835</v>
      </c>
      <c r="C300" s="24" t="s">
        <v>15801</v>
      </c>
      <c r="D300" s="24" t="s">
        <v>15900</v>
      </c>
      <c r="E300" s="24" t="s">
        <v>15811</v>
      </c>
      <c r="H300" s="11" t="str">
        <f t="shared" si="8"/>
        <v/>
      </c>
      <c r="J300" s="11" t="str">
        <f t="shared" si="9"/>
        <v xml:space="preserve"> </v>
      </c>
      <c r="K300" s="24" t="s">
        <v>15801</v>
      </c>
    </row>
    <row r="301" spans="1:11">
      <c r="A301" s="24" t="s">
        <v>15801</v>
      </c>
      <c r="B301" s="24" t="s">
        <v>15801</v>
      </c>
      <c r="C301" s="24" t="s">
        <v>15801</v>
      </c>
      <c r="D301" s="24" t="s">
        <v>15900</v>
      </c>
      <c r="E301" s="24" t="s">
        <v>15801</v>
      </c>
      <c r="H301" s="11" t="str">
        <f t="shared" si="8"/>
        <v/>
      </c>
      <c r="J301" s="11" t="str">
        <f t="shared" si="9"/>
        <v xml:space="preserve"> </v>
      </c>
      <c r="K301" s="24" t="s">
        <v>15801</v>
      </c>
    </row>
    <row r="302" spans="1:11">
      <c r="A302" s="24" t="s">
        <v>15813</v>
      </c>
      <c r="B302" s="24" t="s">
        <v>15813</v>
      </c>
      <c r="C302" s="24" t="s">
        <v>15904</v>
      </c>
      <c r="D302" s="24" t="s">
        <v>15900</v>
      </c>
      <c r="E302" s="24" t="s">
        <v>15827</v>
      </c>
      <c r="F302" s="29" t="s">
        <v>2353</v>
      </c>
      <c r="G302" s="24" t="s">
        <v>2356</v>
      </c>
      <c r="H302" s="11" t="str">
        <f t="shared" si="8"/>
        <v>26/08/1890</v>
      </c>
      <c r="J302" s="11" t="str">
        <f t="shared" si="9"/>
        <v xml:space="preserve"> </v>
      </c>
      <c r="K302" s="24" t="s">
        <v>2356</v>
      </c>
    </row>
    <row r="303" spans="1:11">
      <c r="A303" s="24" t="s">
        <v>15807</v>
      </c>
      <c r="B303" s="24" t="s">
        <v>15807</v>
      </c>
      <c r="C303" s="24" t="s">
        <v>15801</v>
      </c>
      <c r="D303" s="24" t="s">
        <v>15900</v>
      </c>
      <c r="E303" s="24" t="s">
        <v>15870</v>
      </c>
      <c r="F303" s="29" t="s">
        <v>2339</v>
      </c>
      <c r="H303" s="11" t="str">
        <f t="shared" si="8"/>
        <v/>
      </c>
      <c r="J303" s="11" t="str">
        <f t="shared" si="9"/>
        <v xml:space="preserve"> </v>
      </c>
      <c r="K303" s="24" t="s">
        <v>15801</v>
      </c>
    </row>
    <row r="304" spans="1:11">
      <c r="A304" s="24" t="s">
        <v>15801</v>
      </c>
      <c r="B304" s="24" t="s">
        <v>15822</v>
      </c>
      <c r="C304" s="24" t="s">
        <v>15936</v>
      </c>
      <c r="D304" s="24" t="s">
        <v>15884</v>
      </c>
      <c r="E304" s="24" t="s">
        <v>15821</v>
      </c>
      <c r="G304" s="24" t="s">
        <v>2322</v>
      </c>
      <c r="H304" s="11" t="str">
        <f t="shared" si="8"/>
        <v>29/10/1847</v>
      </c>
      <c r="J304" s="11" t="str">
        <f t="shared" si="9"/>
        <v xml:space="preserve"> </v>
      </c>
      <c r="K304" s="24" t="s">
        <v>2322</v>
      </c>
    </row>
    <row r="305" spans="1:11">
      <c r="A305" s="24" t="s">
        <v>15801</v>
      </c>
      <c r="B305" s="24" t="s">
        <v>15840</v>
      </c>
      <c r="C305" s="24" t="s">
        <v>15914</v>
      </c>
      <c r="D305" s="24" t="s">
        <v>15801</v>
      </c>
      <c r="E305" s="24" t="s">
        <v>15828</v>
      </c>
      <c r="G305" s="24" t="s">
        <v>2349</v>
      </c>
      <c r="H305" s="11" t="str">
        <f t="shared" si="8"/>
        <v>11/01/1858</v>
      </c>
      <c r="J305" s="11" t="str">
        <f t="shared" si="9"/>
        <v xml:space="preserve"> </v>
      </c>
      <c r="K305" s="24" t="s">
        <v>2349</v>
      </c>
    </row>
    <row r="306" spans="1:11">
      <c r="A306" s="24" t="s">
        <v>15801</v>
      </c>
      <c r="B306" s="24" t="s">
        <v>15829</v>
      </c>
      <c r="C306" s="24" t="s">
        <v>15801</v>
      </c>
      <c r="D306" s="24" t="s">
        <v>15870</v>
      </c>
      <c r="E306" s="24" t="s">
        <v>15863</v>
      </c>
      <c r="H306" s="11" t="str">
        <f t="shared" si="8"/>
        <v/>
      </c>
      <c r="J306" s="11" t="str">
        <f t="shared" si="9"/>
        <v xml:space="preserve"> </v>
      </c>
      <c r="K306" s="24" t="s">
        <v>15801</v>
      </c>
    </row>
    <row r="307" spans="1:11">
      <c r="A307" s="24" t="s">
        <v>15801</v>
      </c>
      <c r="B307" s="24" t="s">
        <v>15808</v>
      </c>
      <c r="C307" s="24" t="s">
        <v>15801</v>
      </c>
      <c r="D307" s="24" t="s">
        <v>15801</v>
      </c>
      <c r="E307" s="24" t="s">
        <v>15811</v>
      </c>
      <c r="H307" s="11" t="str">
        <f t="shared" si="8"/>
        <v/>
      </c>
      <c r="J307" s="11" t="str">
        <f t="shared" si="9"/>
        <v xml:space="preserve"> </v>
      </c>
      <c r="K307" s="24" t="s">
        <v>15801</v>
      </c>
    </row>
    <row r="308" spans="1:11">
      <c r="A308" s="24" t="s">
        <v>15801</v>
      </c>
      <c r="B308" s="24" t="s">
        <v>15832</v>
      </c>
      <c r="C308" s="24" t="s">
        <v>15801</v>
      </c>
      <c r="D308" s="24" t="s">
        <v>15900</v>
      </c>
      <c r="E308" s="24" t="s">
        <v>15966</v>
      </c>
      <c r="H308" s="11" t="str">
        <f t="shared" si="8"/>
        <v/>
      </c>
      <c r="J308" s="11" t="str">
        <f t="shared" si="9"/>
        <v xml:space="preserve"> </v>
      </c>
      <c r="K308" s="24" t="s">
        <v>15801</v>
      </c>
    </row>
    <row r="309" spans="1:11">
      <c r="A309" s="24" t="s">
        <v>15801</v>
      </c>
      <c r="B309" s="24" t="s">
        <v>15801</v>
      </c>
      <c r="C309" s="24" t="s">
        <v>15801</v>
      </c>
      <c r="D309" s="24" t="s">
        <v>15900</v>
      </c>
      <c r="E309" s="24" t="s">
        <v>15876</v>
      </c>
      <c r="H309" s="11" t="str">
        <f t="shared" si="8"/>
        <v/>
      </c>
      <c r="J309" s="11" t="str">
        <f t="shared" si="9"/>
        <v xml:space="preserve"> </v>
      </c>
      <c r="K309" s="24" t="s">
        <v>15801</v>
      </c>
    </row>
    <row r="310" spans="1:11">
      <c r="A310" s="24" t="s">
        <v>15820</v>
      </c>
      <c r="B310" s="24" t="s">
        <v>15820</v>
      </c>
      <c r="C310" s="24" t="s">
        <v>15801</v>
      </c>
      <c r="D310" s="24" t="s">
        <v>15801</v>
      </c>
      <c r="E310" s="24" t="s">
        <v>15801</v>
      </c>
      <c r="F310" s="29" t="s">
        <v>2455</v>
      </c>
      <c r="H310" s="11" t="str">
        <f t="shared" si="8"/>
        <v/>
      </c>
      <c r="J310" s="11" t="str">
        <f t="shared" si="9"/>
        <v xml:space="preserve"> </v>
      </c>
      <c r="K310" s="24" t="s">
        <v>15801</v>
      </c>
    </row>
    <row r="311" spans="1:11">
      <c r="A311" s="24" t="s">
        <v>15801</v>
      </c>
      <c r="B311" s="24" t="s">
        <v>15854</v>
      </c>
      <c r="C311" s="24" t="s">
        <v>15801</v>
      </c>
      <c r="D311" s="24" t="s">
        <v>15884</v>
      </c>
      <c r="E311" s="24" t="s">
        <v>15804</v>
      </c>
      <c r="H311" s="11" t="str">
        <f t="shared" si="8"/>
        <v/>
      </c>
      <c r="J311" s="11" t="str">
        <f t="shared" si="9"/>
        <v xml:space="preserve"> </v>
      </c>
      <c r="K311" s="24" t="s">
        <v>15801</v>
      </c>
    </row>
    <row r="312" spans="1:11">
      <c r="A312" s="24" t="s">
        <v>15825</v>
      </c>
      <c r="B312" s="24" t="s">
        <v>15825</v>
      </c>
      <c r="C312" s="24" t="s">
        <v>15801</v>
      </c>
      <c r="D312" s="24" t="s">
        <v>15915</v>
      </c>
      <c r="E312" s="24" t="s">
        <v>15965</v>
      </c>
      <c r="F312" s="29" t="s">
        <v>2439</v>
      </c>
      <c r="H312" s="11" t="str">
        <f t="shared" si="8"/>
        <v/>
      </c>
      <c r="J312" s="11" t="str">
        <f t="shared" si="9"/>
        <v xml:space="preserve"> </v>
      </c>
      <c r="K312" s="24" t="s">
        <v>15801</v>
      </c>
    </row>
    <row r="313" spans="1:11">
      <c r="A313" s="24" t="s">
        <v>15819</v>
      </c>
      <c r="B313" s="24" t="s">
        <v>15819</v>
      </c>
      <c r="C313" s="24" t="s">
        <v>15801</v>
      </c>
      <c r="D313" s="24" t="s">
        <v>15899</v>
      </c>
      <c r="E313" s="24" t="s">
        <v>15801</v>
      </c>
      <c r="F313" s="29" t="s">
        <v>2430</v>
      </c>
      <c r="H313" s="11" t="str">
        <f t="shared" si="8"/>
        <v/>
      </c>
      <c r="J313" s="11" t="str">
        <f t="shared" si="9"/>
        <v xml:space="preserve"> </v>
      </c>
      <c r="K313" s="24" t="s">
        <v>15801</v>
      </c>
    </row>
    <row r="314" spans="1:11">
      <c r="A314" s="24" t="s">
        <v>15801</v>
      </c>
      <c r="B314" s="24" t="s">
        <v>15810</v>
      </c>
      <c r="C314" s="24" t="s">
        <v>15801</v>
      </c>
      <c r="D314" s="24" t="s">
        <v>15899</v>
      </c>
      <c r="E314" s="24" t="s">
        <v>15801</v>
      </c>
      <c r="H314" s="11" t="str">
        <f t="shared" si="8"/>
        <v/>
      </c>
      <c r="J314" s="11" t="str">
        <f t="shared" si="9"/>
        <v xml:space="preserve"> </v>
      </c>
      <c r="K314" s="24" t="s">
        <v>15801</v>
      </c>
    </row>
    <row r="315" spans="1:11">
      <c r="A315" s="24" t="s">
        <v>15801</v>
      </c>
      <c r="B315" s="24" t="s">
        <v>15810</v>
      </c>
      <c r="C315" s="24" t="s">
        <v>15801</v>
      </c>
      <c r="D315" s="24" t="s">
        <v>15915</v>
      </c>
      <c r="E315" s="24" t="s">
        <v>15801</v>
      </c>
      <c r="H315" s="11" t="str">
        <f t="shared" si="8"/>
        <v/>
      </c>
      <c r="J315" s="11" t="str">
        <f t="shared" si="9"/>
        <v xml:space="preserve"> </v>
      </c>
      <c r="K315" s="24" t="s">
        <v>15801</v>
      </c>
    </row>
    <row r="316" spans="1:11">
      <c r="A316" s="24" t="s">
        <v>15801</v>
      </c>
      <c r="B316" s="24" t="s">
        <v>15847</v>
      </c>
      <c r="C316" s="24" t="s">
        <v>15914</v>
      </c>
      <c r="D316" s="24" t="s">
        <v>15884</v>
      </c>
      <c r="E316" s="24" t="s">
        <v>15804</v>
      </c>
      <c r="G316" s="24" t="s">
        <v>2408</v>
      </c>
      <c r="H316" s="11" t="str">
        <f t="shared" si="8"/>
        <v>13/04/1858</v>
      </c>
      <c r="J316" s="11" t="str">
        <f t="shared" si="9"/>
        <v xml:space="preserve"> </v>
      </c>
      <c r="K316" s="24" t="s">
        <v>2408</v>
      </c>
    </row>
    <row r="317" spans="1:11">
      <c r="A317" s="24" t="s">
        <v>15814</v>
      </c>
      <c r="B317" s="24" t="s">
        <v>15814</v>
      </c>
      <c r="C317" s="24" t="s">
        <v>15894</v>
      </c>
      <c r="D317" s="24" t="s">
        <v>15884</v>
      </c>
      <c r="E317" s="24" t="s">
        <v>15966</v>
      </c>
      <c r="F317" s="29" t="s">
        <v>2444</v>
      </c>
      <c r="G317" s="24" t="s">
        <v>2446</v>
      </c>
      <c r="H317" s="11" t="str">
        <f t="shared" si="8"/>
        <v>01/04/1901</v>
      </c>
      <c r="J317" s="11" t="str">
        <f t="shared" si="9"/>
        <v xml:space="preserve"> </v>
      </c>
      <c r="K317" s="24" t="s">
        <v>15986</v>
      </c>
    </row>
    <row r="318" spans="1:11">
      <c r="A318" s="24" t="s">
        <v>15801</v>
      </c>
      <c r="B318" s="24" t="s">
        <v>15871</v>
      </c>
      <c r="C318" s="24" t="s">
        <v>15884</v>
      </c>
      <c r="D318" s="24" t="s">
        <v>15870</v>
      </c>
      <c r="E318" s="24" t="s">
        <v>15867</v>
      </c>
      <c r="G318" s="24" t="s">
        <v>2475</v>
      </c>
      <c r="H318" s="11" t="str">
        <f t="shared" si="8"/>
        <v>06/04/1838</v>
      </c>
      <c r="J318" s="11" t="str">
        <f t="shared" si="9"/>
        <v xml:space="preserve"> </v>
      </c>
      <c r="K318" s="24" t="s">
        <v>2475</v>
      </c>
    </row>
    <row r="319" spans="1:11">
      <c r="A319" s="24" t="s">
        <v>15801</v>
      </c>
      <c r="B319" s="24" t="s">
        <v>15859</v>
      </c>
      <c r="C319" s="24" t="s">
        <v>15925</v>
      </c>
      <c r="D319" s="24" t="s">
        <v>15884</v>
      </c>
      <c r="E319" s="24" t="s">
        <v>15801</v>
      </c>
      <c r="G319" s="24" t="s">
        <v>2461</v>
      </c>
      <c r="H319" s="11" t="str">
        <f t="shared" si="8"/>
        <v>11/01/1851</v>
      </c>
      <c r="J319" s="11" t="str">
        <f t="shared" si="9"/>
        <v xml:space="preserve"> </v>
      </c>
      <c r="K319" s="24" t="s">
        <v>2461</v>
      </c>
    </row>
    <row r="320" spans="1:11">
      <c r="A320" s="24" t="s">
        <v>15819</v>
      </c>
      <c r="B320" s="24" t="s">
        <v>15819</v>
      </c>
      <c r="C320" s="24" t="s">
        <v>15890</v>
      </c>
      <c r="D320" s="24" t="s">
        <v>15884</v>
      </c>
      <c r="E320" s="24" t="s">
        <v>15870</v>
      </c>
      <c r="F320" s="29" t="s">
        <v>2397</v>
      </c>
      <c r="G320" s="24" t="s">
        <v>2399</v>
      </c>
      <c r="H320" s="11" t="str">
        <f t="shared" si="8"/>
        <v>16/07/1875</v>
      </c>
      <c r="J320" s="11" t="str">
        <f t="shared" si="9"/>
        <v xml:space="preserve"> </v>
      </c>
      <c r="K320" s="24" t="s">
        <v>2399</v>
      </c>
    </row>
    <row r="321" spans="1:11">
      <c r="A321" s="24" t="s">
        <v>15817</v>
      </c>
      <c r="B321" s="24" t="s">
        <v>15817</v>
      </c>
      <c r="C321" s="24" t="s">
        <v>15801</v>
      </c>
      <c r="D321" s="24" t="s">
        <v>15900</v>
      </c>
      <c r="E321" s="24" t="s">
        <v>15801</v>
      </c>
      <c r="H321" s="11" t="str">
        <f t="shared" si="8"/>
        <v/>
      </c>
      <c r="J321" s="11" t="str">
        <f t="shared" si="9"/>
        <v xml:space="preserve"> </v>
      </c>
      <c r="K321" s="24" t="s">
        <v>15801</v>
      </c>
    </row>
    <row r="322" spans="1:11">
      <c r="A322" s="24" t="s">
        <v>15823</v>
      </c>
      <c r="B322" s="24" t="s">
        <v>15823</v>
      </c>
      <c r="C322" s="24" t="s">
        <v>15909</v>
      </c>
      <c r="D322" s="24" t="s">
        <v>15884</v>
      </c>
      <c r="E322" s="24" t="s">
        <v>15801</v>
      </c>
      <c r="F322" s="29" t="s">
        <v>2467</v>
      </c>
      <c r="G322" s="24" t="s">
        <v>2469</v>
      </c>
      <c r="H322" s="11" t="str">
        <f t="shared" si="8"/>
        <v>07/04/1881</v>
      </c>
      <c r="J322" s="11" t="str">
        <f t="shared" si="9"/>
        <v xml:space="preserve"> </v>
      </c>
      <c r="K322" s="24" t="s">
        <v>2469</v>
      </c>
    </row>
    <row r="323" spans="1:11">
      <c r="A323" s="24" t="s">
        <v>15840</v>
      </c>
      <c r="B323" s="24" t="s">
        <v>15840</v>
      </c>
      <c r="C323" s="24" t="s">
        <v>15801</v>
      </c>
      <c r="D323" s="24" t="s">
        <v>15901</v>
      </c>
      <c r="E323" s="24" t="s">
        <v>15823</v>
      </c>
      <c r="F323" s="29" t="s">
        <v>2483</v>
      </c>
      <c r="H323" s="11" t="str">
        <f t="shared" ref="H323:H386" si="10">TRIM(G323)</f>
        <v/>
      </c>
      <c r="J323" s="11" t="str">
        <f t="shared" ref="J323:J386" si="11">IF(LEN(H323)=4,"fout"," ")</f>
        <v xml:space="preserve"> </v>
      </c>
      <c r="K323" s="24" t="s">
        <v>15801</v>
      </c>
    </row>
    <row r="324" spans="1:11">
      <c r="A324" s="24" t="s">
        <v>15801</v>
      </c>
      <c r="B324" s="24" t="s">
        <v>15865</v>
      </c>
      <c r="C324" s="24" t="s">
        <v>15801</v>
      </c>
      <c r="D324" s="24" t="s">
        <v>15900</v>
      </c>
      <c r="E324" s="24" t="s">
        <v>15814</v>
      </c>
      <c r="H324" s="11" t="str">
        <f t="shared" si="10"/>
        <v/>
      </c>
      <c r="J324" s="11" t="str">
        <f t="shared" si="11"/>
        <v xml:space="preserve"> </v>
      </c>
      <c r="K324" s="24" t="s">
        <v>15801</v>
      </c>
    </row>
    <row r="325" spans="1:11">
      <c r="A325" s="24" t="s">
        <v>15806</v>
      </c>
      <c r="B325" s="24" t="s">
        <v>15806</v>
      </c>
      <c r="C325" s="24" t="s">
        <v>15911</v>
      </c>
      <c r="D325" s="24" t="s">
        <v>15900</v>
      </c>
      <c r="E325" s="24" t="s">
        <v>15876</v>
      </c>
      <c r="F325" s="29" t="s">
        <v>2507</v>
      </c>
      <c r="G325" s="24" t="s">
        <v>2509</v>
      </c>
      <c r="H325" s="11" t="str">
        <f t="shared" si="10"/>
        <v>30/06/1863</v>
      </c>
      <c r="J325" s="11" t="str">
        <f t="shared" si="11"/>
        <v xml:space="preserve"> </v>
      </c>
      <c r="K325" s="24" t="s">
        <v>2509</v>
      </c>
    </row>
    <row r="326" spans="1:11">
      <c r="A326" s="24" t="s">
        <v>15802</v>
      </c>
      <c r="B326" s="24" t="s">
        <v>15802</v>
      </c>
      <c r="C326" s="24" t="s">
        <v>15801</v>
      </c>
      <c r="D326" s="24" t="s">
        <v>15900</v>
      </c>
      <c r="E326" s="24" t="s">
        <v>15876</v>
      </c>
      <c r="F326" s="29" t="s">
        <v>2493</v>
      </c>
      <c r="H326" s="11" t="str">
        <f t="shared" si="10"/>
        <v/>
      </c>
      <c r="J326" s="11" t="str">
        <f t="shared" si="11"/>
        <v xml:space="preserve"> </v>
      </c>
      <c r="K326" s="24" t="s">
        <v>15801</v>
      </c>
    </row>
    <row r="327" spans="1:11">
      <c r="A327" s="24" t="s">
        <v>15828</v>
      </c>
      <c r="B327" s="24" t="s">
        <v>15828</v>
      </c>
      <c r="C327" s="24" t="s">
        <v>15883</v>
      </c>
      <c r="D327" s="24" t="s">
        <v>15900</v>
      </c>
      <c r="E327" s="24" t="s">
        <v>15801</v>
      </c>
      <c r="F327" s="29" t="s">
        <v>2518</v>
      </c>
      <c r="G327" s="24" t="s">
        <v>2521</v>
      </c>
      <c r="H327" s="11" t="str">
        <f t="shared" si="10"/>
        <v>15/11/1874</v>
      </c>
      <c r="J327" s="11" t="str">
        <f t="shared" si="11"/>
        <v xml:space="preserve"> </v>
      </c>
      <c r="K327" s="24" t="s">
        <v>2521</v>
      </c>
    </row>
    <row r="328" spans="1:11">
      <c r="A328" s="24" t="s">
        <v>15801</v>
      </c>
      <c r="B328" s="24" t="s">
        <v>15872</v>
      </c>
      <c r="C328" s="24" t="s">
        <v>15884</v>
      </c>
      <c r="D328" s="24" t="s">
        <v>15900</v>
      </c>
      <c r="E328" s="24" t="s">
        <v>15801</v>
      </c>
      <c r="G328" s="24" t="s">
        <v>72</v>
      </c>
      <c r="H328" s="11" t="str">
        <f t="shared" si="10"/>
        <v>06/02/1838</v>
      </c>
      <c r="J328" s="11" t="str">
        <f t="shared" si="11"/>
        <v xml:space="preserve"> </v>
      </c>
      <c r="K328" s="24" t="s">
        <v>72</v>
      </c>
    </row>
    <row r="329" spans="1:11">
      <c r="A329" s="24" t="s">
        <v>15801</v>
      </c>
      <c r="B329" s="24" t="s">
        <v>15859</v>
      </c>
      <c r="C329" s="24" t="s">
        <v>15801</v>
      </c>
      <c r="D329" s="24" t="s">
        <v>15899</v>
      </c>
      <c r="E329" s="24" t="s">
        <v>15819</v>
      </c>
      <c r="H329" s="11" t="str">
        <f t="shared" si="10"/>
        <v/>
      </c>
      <c r="J329" s="11" t="str">
        <f t="shared" si="11"/>
        <v xml:space="preserve"> </v>
      </c>
      <c r="K329" s="24" t="s">
        <v>15801</v>
      </c>
    </row>
    <row r="330" spans="1:11">
      <c r="A330" s="24" t="s">
        <v>15840</v>
      </c>
      <c r="B330" s="24" t="s">
        <v>15840</v>
      </c>
      <c r="C330" s="24" t="s">
        <v>15801</v>
      </c>
      <c r="D330" s="24" t="s">
        <v>15870</v>
      </c>
      <c r="E330" s="24" t="s">
        <v>15811</v>
      </c>
      <c r="F330" s="29" t="s">
        <v>2840</v>
      </c>
      <c r="H330" s="11" t="str">
        <f t="shared" si="10"/>
        <v/>
      </c>
      <c r="J330" s="11" t="str">
        <f t="shared" si="11"/>
        <v xml:space="preserve"> </v>
      </c>
      <c r="K330" s="24" t="s">
        <v>15801</v>
      </c>
    </row>
    <row r="331" spans="1:11">
      <c r="A331" s="24" t="s">
        <v>15801</v>
      </c>
      <c r="B331" s="24" t="s">
        <v>15804</v>
      </c>
      <c r="C331" s="24" t="s">
        <v>15801</v>
      </c>
      <c r="D331" s="24" t="s">
        <v>15900</v>
      </c>
      <c r="E331" s="24" t="s">
        <v>15864</v>
      </c>
      <c r="H331" s="11" t="str">
        <f t="shared" si="10"/>
        <v/>
      </c>
      <c r="J331" s="11" t="str">
        <f t="shared" si="11"/>
        <v xml:space="preserve"> </v>
      </c>
      <c r="K331" s="24" t="s">
        <v>15801</v>
      </c>
    </row>
    <row r="332" spans="1:11">
      <c r="A332" s="24" t="s">
        <v>15816</v>
      </c>
      <c r="B332" s="24" t="s">
        <v>15816</v>
      </c>
      <c r="C332" s="24" t="s">
        <v>15801</v>
      </c>
      <c r="D332" s="24" t="s">
        <v>15900</v>
      </c>
      <c r="E332" s="24" t="s">
        <v>15870</v>
      </c>
      <c r="F332" s="29" t="s">
        <v>2806</v>
      </c>
      <c r="H332" s="11" t="str">
        <f t="shared" si="10"/>
        <v/>
      </c>
      <c r="J332" s="11" t="str">
        <f t="shared" si="11"/>
        <v xml:space="preserve"> </v>
      </c>
      <c r="K332" s="24" t="s">
        <v>15801</v>
      </c>
    </row>
    <row r="333" spans="1:11">
      <c r="A333" s="24" t="s">
        <v>15801</v>
      </c>
      <c r="B333" s="24" t="s">
        <v>15831</v>
      </c>
      <c r="C333" s="24" t="s">
        <v>15801</v>
      </c>
      <c r="D333" s="24" t="s">
        <v>15870</v>
      </c>
      <c r="E333" s="24" t="s">
        <v>15818</v>
      </c>
      <c r="H333" s="11" t="str">
        <f t="shared" si="10"/>
        <v/>
      </c>
      <c r="J333" s="11" t="str">
        <f t="shared" si="11"/>
        <v xml:space="preserve"> </v>
      </c>
      <c r="K333" s="24" t="s">
        <v>15801</v>
      </c>
    </row>
    <row r="334" spans="1:11">
      <c r="A334" s="24" t="s">
        <v>15806</v>
      </c>
      <c r="B334" s="24" t="s">
        <v>15806</v>
      </c>
      <c r="C334" s="24" t="s">
        <v>15801</v>
      </c>
      <c r="D334" s="24" t="s">
        <v>15870</v>
      </c>
      <c r="E334" s="24" t="s">
        <v>15884</v>
      </c>
      <c r="F334" s="29" t="s">
        <v>2631</v>
      </c>
      <c r="H334" s="11" t="str">
        <f t="shared" si="10"/>
        <v/>
      </c>
      <c r="J334" s="11" t="str">
        <f t="shared" si="11"/>
        <v xml:space="preserve"> </v>
      </c>
      <c r="K334" s="24" t="s">
        <v>15801</v>
      </c>
    </row>
    <row r="335" spans="1:11">
      <c r="A335" s="24" t="s">
        <v>15801</v>
      </c>
      <c r="B335" s="24" t="s">
        <v>15812</v>
      </c>
      <c r="C335" s="24" t="s">
        <v>15801</v>
      </c>
      <c r="D335" s="24" t="s">
        <v>15900</v>
      </c>
      <c r="E335" s="24" t="s">
        <v>15840</v>
      </c>
      <c r="H335" s="11" t="str">
        <f t="shared" si="10"/>
        <v/>
      </c>
      <c r="J335" s="11" t="str">
        <f t="shared" si="11"/>
        <v xml:space="preserve"> </v>
      </c>
      <c r="K335" s="24" t="s">
        <v>15801</v>
      </c>
    </row>
    <row r="336" spans="1:11">
      <c r="A336" s="24" t="s">
        <v>15801</v>
      </c>
      <c r="B336" s="24" t="s">
        <v>15804</v>
      </c>
      <c r="C336" s="24" t="s">
        <v>15801</v>
      </c>
      <c r="D336" s="24" t="s">
        <v>15900</v>
      </c>
      <c r="E336" s="24" t="s">
        <v>15823</v>
      </c>
      <c r="H336" s="11" t="str">
        <f t="shared" si="10"/>
        <v/>
      </c>
      <c r="J336" s="11" t="str">
        <f t="shared" si="11"/>
        <v xml:space="preserve"> </v>
      </c>
      <c r="K336" s="24" t="s">
        <v>15801</v>
      </c>
    </row>
    <row r="337" spans="1:11">
      <c r="A337" s="24" t="s">
        <v>15816</v>
      </c>
      <c r="B337" s="24" t="s">
        <v>15816</v>
      </c>
      <c r="C337" s="24" t="s">
        <v>15902</v>
      </c>
      <c r="D337" s="24" t="s">
        <v>15900</v>
      </c>
      <c r="E337" s="24" t="s">
        <v>15801</v>
      </c>
      <c r="F337" s="29" t="s">
        <v>2622</v>
      </c>
      <c r="G337" s="24" t="s">
        <v>2815</v>
      </c>
      <c r="H337" s="11" t="str">
        <f t="shared" si="10"/>
        <v>07/03/1876</v>
      </c>
      <c r="J337" s="11" t="str">
        <f t="shared" si="11"/>
        <v xml:space="preserve"> </v>
      </c>
      <c r="K337" s="24" t="s">
        <v>2815</v>
      </c>
    </row>
    <row r="338" spans="1:11">
      <c r="A338" s="24" t="s">
        <v>15801</v>
      </c>
      <c r="B338" s="24" t="s">
        <v>15801</v>
      </c>
      <c r="C338" s="24" t="s">
        <v>15801</v>
      </c>
      <c r="D338" s="24" t="s">
        <v>15900</v>
      </c>
      <c r="E338" s="24" t="s">
        <v>15884</v>
      </c>
      <c r="H338" s="11" t="str">
        <f t="shared" si="10"/>
        <v/>
      </c>
      <c r="J338" s="11" t="str">
        <f t="shared" si="11"/>
        <v xml:space="preserve"> </v>
      </c>
      <c r="K338" s="24" t="s">
        <v>15801</v>
      </c>
    </row>
    <row r="339" spans="1:11">
      <c r="A339" s="24" t="s">
        <v>15801</v>
      </c>
      <c r="B339" s="24" t="s">
        <v>15854</v>
      </c>
      <c r="C339" s="24" t="s">
        <v>15801</v>
      </c>
      <c r="D339" s="24" t="s">
        <v>15900</v>
      </c>
      <c r="E339" s="24" t="s">
        <v>15829</v>
      </c>
      <c r="H339" s="11" t="str">
        <f t="shared" si="10"/>
        <v/>
      </c>
      <c r="J339" s="11" t="str">
        <f t="shared" si="11"/>
        <v xml:space="preserve"> </v>
      </c>
      <c r="K339" s="24" t="s">
        <v>15801</v>
      </c>
    </row>
    <row r="340" spans="1:11">
      <c r="A340" s="24" t="s">
        <v>15801</v>
      </c>
      <c r="B340" s="24" t="s">
        <v>15818</v>
      </c>
      <c r="C340" s="24" t="s">
        <v>15801</v>
      </c>
      <c r="D340" s="24" t="s">
        <v>15900</v>
      </c>
      <c r="E340" s="24" t="s">
        <v>15945</v>
      </c>
      <c r="H340" s="11" t="str">
        <f t="shared" si="10"/>
        <v/>
      </c>
      <c r="J340" s="11" t="str">
        <f t="shared" si="11"/>
        <v xml:space="preserve"> </v>
      </c>
      <c r="K340" s="24" t="s">
        <v>15801</v>
      </c>
    </row>
    <row r="341" spans="1:11">
      <c r="A341" s="24" t="s">
        <v>15825</v>
      </c>
      <c r="B341" s="24" t="s">
        <v>15825</v>
      </c>
      <c r="C341" s="24" t="s">
        <v>15801</v>
      </c>
      <c r="D341" s="24" t="s">
        <v>15900</v>
      </c>
      <c r="E341" s="24" t="s">
        <v>15870</v>
      </c>
      <c r="F341" s="29" t="s">
        <v>2617</v>
      </c>
      <c r="H341" s="11" t="str">
        <f t="shared" si="10"/>
        <v/>
      </c>
      <c r="J341" s="11" t="str">
        <f t="shared" si="11"/>
        <v xml:space="preserve"> </v>
      </c>
      <c r="K341" s="24" t="s">
        <v>15801</v>
      </c>
    </row>
    <row r="342" spans="1:11">
      <c r="A342" s="24" t="s">
        <v>15801</v>
      </c>
      <c r="B342" s="24" t="s">
        <v>15859</v>
      </c>
      <c r="C342" s="24" t="s">
        <v>15801</v>
      </c>
      <c r="D342" s="24" t="s">
        <v>15900</v>
      </c>
      <c r="E342" s="24" t="s">
        <v>15818</v>
      </c>
      <c r="H342" s="11" t="str">
        <f t="shared" si="10"/>
        <v/>
      </c>
      <c r="J342" s="11" t="str">
        <f t="shared" si="11"/>
        <v xml:space="preserve"> </v>
      </c>
      <c r="K342" s="24" t="s">
        <v>15801</v>
      </c>
    </row>
    <row r="343" spans="1:11">
      <c r="A343" s="24" t="s">
        <v>15821</v>
      </c>
      <c r="B343" s="24" t="s">
        <v>15821</v>
      </c>
      <c r="C343" s="24" t="s">
        <v>15937</v>
      </c>
      <c r="D343" s="24" t="s">
        <v>15900</v>
      </c>
      <c r="E343" s="24" t="s">
        <v>15971</v>
      </c>
      <c r="F343" s="29" t="s">
        <v>2814</v>
      </c>
      <c r="G343" s="24" t="s">
        <v>2626</v>
      </c>
      <c r="H343" s="11" t="str">
        <f t="shared" si="10"/>
        <v>08/02/1894</v>
      </c>
      <c r="J343" s="11" t="str">
        <f t="shared" si="11"/>
        <v xml:space="preserve"> </v>
      </c>
      <c r="K343" s="24" t="s">
        <v>2626</v>
      </c>
    </row>
    <row r="344" spans="1:11">
      <c r="A344" s="24" t="s">
        <v>15806</v>
      </c>
      <c r="B344" s="24" t="s">
        <v>15806</v>
      </c>
      <c r="C344" s="24" t="s">
        <v>15801</v>
      </c>
      <c r="D344" s="24" t="s">
        <v>15900</v>
      </c>
      <c r="E344" s="24" t="s">
        <v>15870</v>
      </c>
      <c r="F344" s="29" t="s">
        <v>2717</v>
      </c>
      <c r="H344" s="11" t="str">
        <f t="shared" si="10"/>
        <v/>
      </c>
      <c r="J344" s="11" t="str">
        <f t="shared" si="11"/>
        <v xml:space="preserve"> </v>
      </c>
      <c r="K344" s="24" t="s">
        <v>15801</v>
      </c>
    </row>
    <row r="345" spans="1:11">
      <c r="A345" s="24" t="s">
        <v>15819</v>
      </c>
      <c r="B345" s="24" t="s">
        <v>15819</v>
      </c>
      <c r="C345" s="24" t="s">
        <v>15897</v>
      </c>
      <c r="E345" s="24" t="s">
        <v>15870</v>
      </c>
      <c r="F345" s="29" t="s">
        <v>2685</v>
      </c>
      <c r="G345" s="24" t="s">
        <v>2687</v>
      </c>
      <c r="H345" s="11" t="str">
        <f t="shared" si="10"/>
        <v>09/08/1861</v>
      </c>
      <c r="J345" s="11" t="str">
        <f t="shared" si="11"/>
        <v xml:space="preserve"> </v>
      </c>
      <c r="K345" s="24" t="s">
        <v>2687</v>
      </c>
    </row>
    <row r="346" spans="1:11">
      <c r="A346" s="24" t="s">
        <v>15801</v>
      </c>
      <c r="B346" s="24" t="s">
        <v>15845</v>
      </c>
      <c r="C346" s="24" t="s">
        <v>15938</v>
      </c>
      <c r="D346" s="24" t="s">
        <v>15915</v>
      </c>
      <c r="E346" s="24" t="s">
        <v>15806</v>
      </c>
      <c r="G346" s="24">
        <v>1846</v>
      </c>
      <c r="H346" s="11"/>
      <c r="J346" s="11" t="str">
        <f t="shared" si="11"/>
        <v xml:space="preserve"> </v>
      </c>
    </row>
    <row r="347" spans="1:11">
      <c r="A347" s="24" t="s">
        <v>15819</v>
      </c>
      <c r="B347" s="24" t="s">
        <v>15819</v>
      </c>
      <c r="C347" s="24" t="s">
        <v>15801</v>
      </c>
      <c r="D347" s="24" t="s">
        <v>15884</v>
      </c>
      <c r="E347" s="24" t="s">
        <v>15801</v>
      </c>
      <c r="F347" s="29" t="s">
        <v>2666</v>
      </c>
      <c r="H347" s="11" t="str">
        <f t="shared" si="10"/>
        <v/>
      </c>
      <c r="J347" s="11" t="str">
        <f t="shared" si="11"/>
        <v xml:space="preserve"> </v>
      </c>
      <c r="K347" s="24" t="s">
        <v>15801</v>
      </c>
    </row>
    <row r="348" spans="1:11">
      <c r="A348" s="24" t="s">
        <v>15820</v>
      </c>
      <c r="B348" s="24" t="s">
        <v>15820</v>
      </c>
      <c r="C348" s="24" t="s">
        <v>15913</v>
      </c>
      <c r="D348" s="24" t="s">
        <v>15884</v>
      </c>
      <c r="E348" s="24" t="s">
        <v>15801</v>
      </c>
      <c r="F348" s="29" t="s">
        <v>2809</v>
      </c>
      <c r="G348" s="24" t="s">
        <v>2811</v>
      </c>
      <c r="H348" s="11" t="str">
        <f t="shared" si="10"/>
        <v>20/12/1877</v>
      </c>
      <c r="J348" s="11" t="str">
        <f t="shared" si="11"/>
        <v xml:space="preserve"> </v>
      </c>
      <c r="K348" s="24" t="s">
        <v>2811</v>
      </c>
    </row>
    <row r="349" spans="1:11">
      <c r="A349" s="24" t="s">
        <v>15801</v>
      </c>
      <c r="B349" s="24" t="s">
        <v>15846</v>
      </c>
      <c r="C349" s="24" t="s">
        <v>15929</v>
      </c>
      <c r="D349" s="24" t="s">
        <v>15915</v>
      </c>
      <c r="E349" s="24" t="s">
        <v>15806</v>
      </c>
      <c r="G349" s="24" t="s">
        <v>2694</v>
      </c>
      <c r="H349" s="11" t="str">
        <f t="shared" si="10"/>
        <v>01/08/1878</v>
      </c>
      <c r="J349" s="11" t="str">
        <f t="shared" si="11"/>
        <v xml:space="preserve"> </v>
      </c>
      <c r="K349" s="24" t="s">
        <v>2694</v>
      </c>
    </row>
    <row r="350" spans="1:11">
      <c r="A350" s="24" t="s">
        <v>15810</v>
      </c>
      <c r="B350" s="24" t="s">
        <v>15810</v>
      </c>
      <c r="C350" s="24" t="s">
        <v>15926</v>
      </c>
      <c r="D350" s="24" t="s">
        <v>15801</v>
      </c>
      <c r="E350" s="24" t="s">
        <v>15900</v>
      </c>
      <c r="F350" s="29" t="s">
        <v>2652</v>
      </c>
      <c r="G350" s="24" t="s">
        <v>2819</v>
      </c>
      <c r="H350" s="11" t="str">
        <f t="shared" si="10"/>
        <v>19/03/1897</v>
      </c>
      <c r="J350" s="11" t="str">
        <f t="shared" si="11"/>
        <v xml:space="preserve"> </v>
      </c>
      <c r="K350" s="24" t="s">
        <v>2819</v>
      </c>
    </row>
    <row r="351" spans="1:11">
      <c r="A351" s="24" t="s">
        <v>15811</v>
      </c>
      <c r="B351" s="24" t="s">
        <v>15811</v>
      </c>
      <c r="C351" s="24" t="s">
        <v>15801</v>
      </c>
      <c r="E351" s="24" t="s">
        <v>15801</v>
      </c>
      <c r="F351" s="29" t="s">
        <v>2647</v>
      </c>
      <c r="H351" s="11" t="str">
        <f t="shared" si="10"/>
        <v/>
      </c>
      <c r="J351" s="11" t="str">
        <f t="shared" si="11"/>
        <v xml:space="preserve"> </v>
      </c>
      <c r="K351" s="24" t="s">
        <v>15801</v>
      </c>
    </row>
    <row r="352" spans="1:11">
      <c r="A352" s="24" t="s">
        <v>15823</v>
      </c>
      <c r="B352" s="24" t="s">
        <v>15823</v>
      </c>
      <c r="C352" s="24" t="s">
        <v>15916</v>
      </c>
      <c r="D352" s="24" t="s">
        <v>15915</v>
      </c>
      <c r="E352" s="24" t="s">
        <v>15886</v>
      </c>
      <c r="F352" s="29" t="s">
        <v>2833</v>
      </c>
      <c r="G352" s="24" t="s">
        <v>2835</v>
      </c>
      <c r="H352" s="11" t="str">
        <f t="shared" si="10"/>
        <v>24/05/1885</v>
      </c>
      <c r="J352" s="11" t="str">
        <f t="shared" si="11"/>
        <v xml:space="preserve"> </v>
      </c>
      <c r="K352" s="24" t="s">
        <v>2835</v>
      </c>
    </row>
    <row r="353" spans="1:11">
      <c r="A353" s="24" t="s">
        <v>15839</v>
      </c>
      <c r="B353" s="24" t="s">
        <v>15839</v>
      </c>
      <c r="C353" s="24" t="s">
        <v>15939</v>
      </c>
      <c r="D353" s="24" t="s">
        <v>15884</v>
      </c>
      <c r="E353" s="24" t="s">
        <v>15816</v>
      </c>
      <c r="F353" s="29" t="s">
        <v>2823</v>
      </c>
      <c r="G353" s="24" t="s">
        <v>2825</v>
      </c>
      <c r="H353" s="11" t="str">
        <f t="shared" si="10"/>
        <v>02/02/1872</v>
      </c>
      <c r="J353" s="11" t="str">
        <f t="shared" si="11"/>
        <v xml:space="preserve"> </v>
      </c>
      <c r="K353" s="24" t="s">
        <v>2825</v>
      </c>
    </row>
    <row r="354" spans="1:11">
      <c r="A354" s="24" t="s">
        <v>15817</v>
      </c>
      <c r="B354" s="24" t="s">
        <v>15817</v>
      </c>
      <c r="C354" s="24" t="s">
        <v>15801</v>
      </c>
      <c r="D354" s="24" t="s">
        <v>15801</v>
      </c>
      <c r="E354" s="24" t="s">
        <v>15801</v>
      </c>
      <c r="F354" s="29" t="s">
        <v>2529</v>
      </c>
      <c r="H354" s="11" t="str">
        <f t="shared" si="10"/>
        <v/>
      </c>
      <c r="J354" s="11" t="str">
        <f t="shared" si="11"/>
        <v xml:space="preserve"> </v>
      </c>
      <c r="K354" s="24" t="s">
        <v>15801</v>
      </c>
    </row>
    <row r="355" spans="1:11">
      <c r="A355" s="24" t="s">
        <v>15833</v>
      </c>
      <c r="B355" s="24" t="s">
        <v>15833</v>
      </c>
      <c r="C355" s="24" t="s">
        <v>15801</v>
      </c>
      <c r="E355" s="24" t="s">
        <v>15801</v>
      </c>
      <c r="F355" s="29" t="s">
        <v>2602</v>
      </c>
      <c r="H355" s="11" t="str">
        <f t="shared" si="10"/>
        <v/>
      </c>
      <c r="J355" s="11" t="str">
        <f t="shared" si="11"/>
        <v xml:space="preserve"> </v>
      </c>
      <c r="K355" s="24" t="s">
        <v>15801</v>
      </c>
    </row>
    <row r="356" spans="1:11">
      <c r="A356" s="24" t="s">
        <v>15835</v>
      </c>
      <c r="B356" s="24" t="s">
        <v>15835</v>
      </c>
      <c r="C356" s="24" t="s">
        <v>15801</v>
      </c>
      <c r="D356" s="24" t="s">
        <v>15900</v>
      </c>
      <c r="E356" s="24" t="s">
        <v>15820</v>
      </c>
      <c r="F356" s="29" t="s">
        <v>2594</v>
      </c>
      <c r="H356" s="11" t="str">
        <f t="shared" si="10"/>
        <v/>
      </c>
      <c r="J356" s="11" t="str">
        <f t="shared" si="11"/>
        <v xml:space="preserve"> </v>
      </c>
      <c r="K356" s="24" t="s">
        <v>15801</v>
      </c>
    </row>
    <row r="357" spans="1:11">
      <c r="A357" s="24" t="s">
        <v>15823</v>
      </c>
      <c r="B357" s="24" t="s">
        <v>15823</v>
      </c>
      <c r="C357" s="24" t="s">
        <v>15801</v>
      </c>
      <c r="D357" s="24" t="s">
        <v>15900</v>
      </c>
      <c r="E357" s="24" t="s">
        <v>15936</v>
      </c>
      <c r="F357" s="29" t="s">
        <v>2698</v>
      </c>
      <c r="H357" s="11" t="str">
        <f t="shared" si="10"/>
        <v/>
      </c>
      <c r="J357" s="11" t="str">
        <f t="shared" si="11"/>
        <v xml:space="preserve"> </v>
      </c>
      <c r="K357" s="24" t="s">
        <v>15801</v>
      </c>
    </row>
    <row r="358" spans="1:11">
      <c r="A358" s="24" t="s">
        <v>15821</v>
      </c>
      <c r="B358" s="24" t="s">
        <v>15821</v>
      </c>
      <c r="C358" s="24" t="s">
        <v>15801</v>
      </c>
      <c r="E358" s="24" t="s">
        <v>15966</v>
      </c>
      <c r="F358" s="29" t="s">
        <v>2578</v>
      </c>
      <c r="H358" s="11" t="str">
        <f t="shared" si="10"/>
        <v/>
      </c>
      <c r="J358" s="11" t="str">
        <f t="shared" si="11"/>
        <v xml:space="preserve"> </v>
      </c>
      <c r="K358" s="24" t="s">
        <v>15801</v>
      </c>
    </row>
    <row r="359" spans="1:11">
      <c r="A359" s="24" t="s">
        <v>15840</v>
      </c>
      <c r="B359" s="24" t="s">
        <v>15840</v>
      </c>
      <c r="C359" s="24" t="s">
        <v>15801</v>
      </c>
      <c r="D359" s="24" t="s">
        <v>15915</v>
      </c>
      <c r="E359" s="24" t="s">
        <v>15820</v>
      </c>
      <c r="F359" s="29" t="s">
        <v>2741</v>
      </c>
      <c r="H359" s="11" t="str">
        <f t="shared" si="10"/>
        <v/>
      </c>
      <c r="J359" s="11" t="str">
        <f t="shared" si="11"/>
        <v xml:space="preserve"> </v>
      </c>
      <c r="K359" s="24" t="s">
        <v>15801</v>
      </c>
    </row>
    <row r="360" spans="1:11">
      <c r="A360" s="24" t="s">
        <v>15801</v>
      </c>
      <c r="B360" s="24" t="s">
        <v>15840</v>
      </c>
      <c r="C360" s="24" t="s">
        <v>15884</v>
      </c>
      <c r="D360" s="24" t="s">
        <v>15900</v>
      </c>
      <c r="E360" s="24" t="s">
        <v>15828</v>
      </c>
      <c r="G360" s="24" t="s">
        <v>72</v>
      </c>
      <c r="H360" s="11" t="str">
        <f t="shared" si="10"/>
        <v>06/02/1838</v>
      </c>
      <c r="J360" s="11" t="str">
        <f t="shared" si="11"/>
        <v xml:space="preserve"> </v>
      </c>
      <c r="K360" s="24" t="s">
        <v>72</v>
      </c>
    </row>
    <row r="361" spans="1:11">
      <c r="A361" s="24" t="s">
        <v>15825</v>
      </c>
      <c r="B361" s="24" t="s">
        <v>15825</v>
      </c>
      <c r="C361" s="24" t="s">
        <v>15801</v>
      </c>
      <c r="E361" s="24" t="s">
        <v>15876</v>
      </c>
      <c r="F361" s="29" t="s">
        <v>2610</v>
      </c>
      <c r="H361" s="11" t="str">
        <f t="shared" si="10"/>
        <v/>
      </c>
      <c r="J361" s="11" t="str">
        <f t="shared" si="11"/>
        <v xml:space="preserve"> </v>
      </c>
      <c r="K361" s="24" t="s">
        <v>15801</v>
      </c>
    </row>
    <row r="362" spans="1:11">
      <c r="A362" s="24" t="s">
        <v>15807</v>
      </c>
      <c r="B362" s="24" t="s">
        <v>15807</v>
      </c>
      <c r="C362" s="24" t="s">
        <v>15890</v>
      </c>
      <c r="D362" s="24" t="s">
        <v>15870</v>
      </c>
      <c r="E362" s="24" t="s">
        <v>15876</v>
      </c>
      <c r="G362" s="24" t="s">
        <v>2820</v>
      </c>
      <c r="H362" s="11" t="str">
        <f t="shared" si="10"/>
        <v>08/06/1875</v>
      </c>
      <c r="J362" s="11" t="str">
        <f t="shared" si="11"/>
        <v xml:space="preserve"> </v>
      </c>
      <c r="K362" s="24" t="s">
        <v>2820</v>
      </c>
    </row>
    <row r="363" spans="1:11">
      <c r="A363" s="24" t="s">
        <v>15801</v>
      </c>
      <c r="B363" s="24" t="s">
        <v>15835</v>
      </c>
      <c r="C363" s="24" t="s">
        <v>15801</v>
      </c>
      <c r="D363" s="24" t="s">
        <v>15900</v>
      </c>
      <c r="E363" s="24" t="s">
        <v>15827</v>
      </c>
      <c r="H363" s="11" t="str">
        <f t="shared" si="10"/>
        <v/>
      </c>
      <c r="J363" s="11" t="str">
        <f t="shared" si="11"/>
        <v xml:space="preserve"> </v>
      </c>
      <c r="K363" s="24" t="s">
        <v>15801</v>
      </c>
    </row>
    <row r="364" spans="1:11">
      <c r="A364" s="24" t="s">
        <v>15801</v>
      </c>
      <c r="B364" s="24" t="s">
        <v>15836</v>
      </c>
      <c r="C364" s="24" t="s">
        <v>15801</v>
      </c>
      <c r="E364" s="24" t="s">
        <v>15832</v>
      </c>
      <c r="H364" s="11" t="str">
        <f t="shared" si="10"/>
        <v/>
      </c>
      <c r="J364" s="11" t="str">
        <f t="shared" si="11"/>
        <v xml:space="preserve"> </v>
      </c>
      <c r="K364" s="24" t="s">
        <v>15801</v>
      </c>
    </row>
    <row r="365" spans="1:11">
      <c r="A365" s="24" t="s">
        <v>15823</v>
      </c>
      <c r="B365" s="24" t="s">
        <v>15823</v>
      </c>
      <c r="C365" s="24" t="s">
        <v>15940</v>
      </c>
      <c r="D365" s="24" t="s">
        <v>15801</v>
      </c>
      <c r="E365" s="24" t="s">
        <v>15908</v>
      </c>
      <c r="F365" s="29" t="s">
        <v>2849</v>
      </c>
      <c r="G365" s="24" t="s">
        <v>2852</v>
      </c>
      <c r="H365" s="11" t="str">
        <f t="shared" si="10"/>
        <v>31/03/1908</v>
      </c>
      <c r="J365" s="11" t="str">
        <f t="shared" si="11"/>
        <v xml:space="preserve"> </v>
      </c>
      <c r="K365" s="24" t="s">
        <v>2852</v>
      </c>
    </row>
    <row r="366" spans="1:11">
      <c r="A366" s="24" t="s">
        <v>15834</v>
      </c>
      <c r="B366" s="24" t="s">
        <v>15834</v>
      </c>
      <c r="C366" s="24" t="s">
        <v>15891</v>
      </c>
      <c r="D366" s="24" t="s">
        <v>15900</v>
      </c>
      <c r="E366" s="24" t="s">
        <v>15806</v>
      </c>
      <c r="F366" s="29" t="s">
        <v>2846</v>
      </c>
      <c r="G366" s="24" t="s">
        <v>2848</v>
      </c>
      <c r="H366" s="11" t="str">
        <f t="shared" si="10"/>
        <v>01/08/1883</v>
      </c>
      <c r="J366" s="11" t="str">
        <f t="shared" si="11"/>
        <v xml:space="preserve"> </v>
      </c>
      <c r="K366" s="24" t="s">
        <v>2848</v>
      </c>
    </row>
    <row r="367" spans="1:11">
      <c r="A367" s="24" t="s">
        <v>15816</v>
      </c>
      <c r="B367" s="24" t="s">
        <v>15816</v>
      </c>
      <c r="C367" s="24" t="s">
        <v>15801</v>
      </c>
      <c r="D367" s="24" t="s">
        <v>15900</v>
      </c>
      <c r="E367" s="24" t="s">
        <v>15921</v>
      </c>
      <c r="F367" s="29" t="s">
        <v>2879</v>
      </c>
      <c r="H367" s="11" t="str">
        <f t="shared" si="10"/>
        <v/>
      </c>
      <c r="J367" s="11" t="str">
        <f t="shared" si="11"/>
        <v xml:space="preserve"> </v>
      </c>
      <c r="K367" s="24" t="s">
        <v>15801</v>
      </c>
    </row>
    <row r="368" spans="1:11">
      <c r="A368" s="24" t="s">
        <v>15811</v>
      </c>
      <c r="B368" s="24" t="s">
        <v>15811</v>
      </c>
      <c r="C368" s="24" t="s">
        <v>15801</v>
      </c>
      <c r="D368" s="24" t="s">
        <v>15900</v>
      </c>
      <c r="E368" s="24" t="s">
        <v>15908</v>
      </c>
      <c r="F368" s="29" t="s">
        <v>2898</v>
      </c>
      <c r="H368" s="11" t="str">
        <f t="shared" si="10"/>
        <v/>
      </c>
      <c r="J368" s="11" t="str">
        <f t="shared" si="11"/>
        <v xml:space="preserve"> </v>
      </c>
      <c r="K368" s="24" t="s">
        <v>15801</v>
      </c>
    </row>
    <row r="369" spans="1:11">
      <c r="A369" s="24" t="s">
        <v>15820</v>
      </c>
      <c r="B369" s="24" t="s">
        <v>15820</v>
      </c>
      <c r="C369" s="24" t="s">
        <v>15916</v>
      </c>
      <c r="D369" s="24" t="s">
        <v>15956</v>
      </c>
      <c r="E369" s="24" t="s">
        <v>15956</v>
      </c>
      <c r="F369" s="29" t="s">
        <v>2864</v>
      </c>
      <c r="G369" s="24" t="s">
        <v>2865</v>
      </c>
      <c r="H369" s="11" t="str">
        <f t="shared" si="10"/>
        <v>07/08/1885</v>
      </c>
      <c r="J369" s="11" t="str">
        <f t="shared" si="11"/>
        <v xml:space="preserve"> </v>
      </c>
      <c r="K369" s="24" t="s">
        <v>2865</v>
      </c>
    </row>
    <row r="370" spans="1:11">
      <c r="A370" s="24" t="s">
        <v>15806</v>
      </c>
      <c r="B370" s="24" t="s">
        <v>15806</v>
      </c>
      <c r="C370" s="24" t="s">
        <v>15801</v>
      </c>
      <c r="D370" s="24" t="s">
        <v>15900</v>
      </c>
      <c r="E370" s="24" t="s">
        <v>15921</v>
      </c>
      <c r="F370" s="29" t="s">
        <v>2872</v>
      </c>
      <c r="H370" s="11" t="str">
        <f t="shared" si="10"/>
        <v/>
      </c>
      <c r="J370" s="11" t="str">
        <f t="shared" si="11"/>
        <v xml:space="preserve"> </v>
      </c>
      <c r="K370" s="24" t="s">
        <v>15801</v>
      </c>
    </row>
    <row r="371" spans="1:11">
      <c r="A371" s="24" t="s">
        <v>15837</v>
      </c>
      <c r="B371" s="24" t="s">
        <v>15837</v>
      </c>
      <c r="C371" s="24" t="s">
        <v>15904</v>
      </c>
      <c r="D371" s="24" t="s">
        <v>15900</v>
      </c>
      <c r="E371" s="24" t="s">
        <v>15810</v>
      </c>
      <c r="F371" s="29" t="s">
        <v>2888</v>
      </c>
      <c r="G371" s="24" t="s">
        <v>2891</v>
      </c>
      <c r="H371" s="11" t="str">
        <f t="shared" si="10"/>
        <v>23/09/1890</v>
      </c>
      <c r="J371" s="11" t="str">
        <f t="shared" si="11"/>
        <v xml:space="preserve"> </v>
      </c>
      <c r="K371" s="24" t="s">
        <v>2891</v>
      </c>
    </row>
    <row r="372" spans="1:11">
      <c r="A372" s="24" t="s">
        <v>15840</v>
      </c>
      <c r="B372" s="24" t="s">
        <v>15840</v>
      </c>
      <c r="C372" s="24" t="s">
        <v>15891</v>
      </c>
      <c r="D372" s="24" t="s">
        <v>15870</v>
      </c>
      <c r="E372" s="24" t="s">
        <v>15823</v>
      </c>
      <c r="F372" s="29" t="s">
        <v>3020</v>
      </c>
      <c r="G372" s="24" t="s">
        <v>3021</v>
      </c>
      <c r="H372" s="11" t="str">
        <f t="shared" si="10"/>
        <v>15/05/1883</v>
      </c>
      <c r="J372" s="11" t="str">
        <f t="shared" si="11"/>
        <v xml:space="preserve"> </v>
      </c>
      <c r="K372" s="24" t="s">
        <v>3021</v>
      </c>
    </row>
    <row r="373" spans="1:11">
      <c r="A373" s="24" t="s">
        <v>15801</v>
      </c>
      <c r="B373" s="24" t="s">
        <v>15865</v>
      </c>
      <c r="C373" s="24" t="s">
        <v>15801</v>
      </c>
      <c r="D373" s="24" t="s">
        <v>15870</v>
      </c>
      <c r="E373" s="24" t="s">
        <v>15829</v>
      </c>
      <c r="H373" s="11" t="str">
        <f t="shared" si="10"/>
        <v/>
      </c>
      <c r="J373" s="11" t="str">
        <f t="shared" si="11"/>
        <v xml:space="preserve"> </v>
      </c>
      <c r="K373" s="24" t="s">
        <v>15801</v>
      </c>
    </row>
    <row r="374" spans="1:11">
      <c r="A374" s="24" t="s">
        <v>15801</v>
      </c>
      <c r="B374" s="24" t="s">
        <v>15801</v>
      </c>
      <c r="C374" s="24" t="s">
        <v>15801</v>
      </c>
      <c r="D374" s="24" t="s">
        <v>15870</v>
      </c>
      <c r="E374" s="24" t="s">
        <v>15801</v>
      </c>
      <c r="H374" s="11" t="str">
        <f t="shared" si="10"/>
        <v/>
      </c>
      <c r="J374" s="11" t="str">
        <f t="shared" si="11"/>
        <v xml:space="preserve"> </v>
      </c>
      <c r="K374" s="24" t="s">
        <v>15801</v>
      </c>
    </row>
    <row r="375" spans="1:11">
      <c r="A375" s="24" t="s">
        <v>15801</v>
      </c>
      <c r="B375" s="24" t="s">
        <v>15814</v>
      </c>
      <c r="C375" s="24" t="s">
        <v>15801</v>
      </c>
      <c r="D375" s="24" t="s">
        <v>15900</v>
      </c>
      <c r="E375" s="24" t="s">
        <v>15820</v>
      </c>
      <c r="H375" s="11" t="str">
        <f t="shared" si="10"/>
        <v/>
      </c>
      <c r="J375" s="11" t="str">
        <f t="shared" si="11"/>
        <v xml:space="preserve"> </v>
      </c>
      <c r="K375" s="24" t="s">
        <v>15801</v>
      </c>
    </row>
    <row r="376" spans="1:11">
      <c r="A376" s="24" t="s">
        <v>15832</v>
      </c>
      <c r="B376" s="24" t="s">
        <v>15832</v>
      </c>
      <c r="C376" s="24" t="s">
        <v>15801</v>
      </c>
      <c r="D376" s="24" t="s">
        <v>15900</v>
      </c>
      <c r="E376" s="24" t="s">
        <v>15801</v>
      </c>
      <c r="F376" s="29" t="s">
        <v>2931</v>
      </c>
      <c r="H376" s="11" t="str">
        <f t="shared" si="10"/>
        <v/>
      </c>
      <c r="J376" s="11" t="str">
        <f t="shared" si="11"/>
        <v xml:space="preserve"> </v>
      </c>
      <c r="K376" s="24" t="s">
        <v>15801</v>
      </c>
    </row>
    <row r="377" spans="1:11">
      <c r="A377" s="24" t="s">
        <v>15810</v>
      </c>
      <c r="B377" s="24" t="s">
        <v>15810</v>
      </c>
      <c r="C377" s="24" t="s">
        <v>15941</v>
      </c>
      <c r="D377" s="24" t="s">
        <v>15870</v>
      </c>
      <c r="E377" s="24" t="s">
        <v>15801</v>
      </c>
      <c r="F377" s="29" t="s">
        <v>2956</v>
      </c>
      <c r="G377" s="24" t="s">
        <v>2957</v>
      </c>
      <c r="H377" s="11" t="str">
        <f t="shared" si="10"/>
        <v>23/09/1902</v>
      </c>
      <c r="J377" s="11" t="str">
        <f t="shared" si="11"/>
        <v xml:space="preserve"> </v>
      </c>
      <c r="K377" s="24" t="s">
        <v>2957</v>
      </c>
    </row>
    <row r="378" spans="1:11">
      <c r="A378" s="24" t="s">
        <v>15801</v>
      </c>
      <c r="B378" s="24" t="s">
        <v>15859</v>
      </c>
      <c r="C378" s="24" t="s">
        <v>15801</v>
      </c>
      <c r="D378" s="24" t="s">
        <v>15900</v>
      </c>
      <c r="E378" s="24" t="s">
        <v>15802</v>
      </c>
      <c r="H378" s="11" t="str">
        <f t="shared" si="10"/>
        <v/>
      </c>
      <c r="J378" s="11" t="str">
        <f t="shared" si="11"/>
        <v xml:space="preserve"> </v>
      </c>
      <c r="K378" s="24" t="s">
        <v>15801</v>
      </c>
    </row>
    <row r="379" spans="1:11">
      <c r="A379" s="24" t="s">
        <v>15810</v>
      </c>
      <c r="B379" s="24" t="s">
        <v>15810</v>
      </c>
      <c r="C379" s="24" t="s">
        <v>15801</v>
      </c>
      <c r="D379" s="24" t="s">
        <v>15900</v>
      </c>
      <c r="E379" s="24" t="s">
        <v>15801</v>
      </c>
      <c r="F379" s="29" t="s">
        <v>2972</v>
      </c>
      <c r="H379" s="11" t="str">
        <f t="shared" si="10"/>
        <v/>
      </c>
      <c r="J379" s="11" t="str">
        <f t="shared" si="11"/>
        <v xml:space="preserve"> </v>
      </c>
      <c r="K379" s="24" t="s">
        <v>15801</v>
      </c>
    </row>
    <row r="380" spans="1:11">
      <c r="A380" s="24" t="s">
        <v>15811</v>
      </c>
      <c r="B380" s="24" t="s">
        <v>15811</v>
      </c>
      <c r="C380" s="24" t="s">
        <v>15801</v>
      </c>
      <c r="D380" s="24" t="s">
        <v>15900</v>
      </c>
      <c r="E380" s="24" t="s">
        <v>15801</v>
      </c>
      <c r="F380" s="29" t="s">
        <v>2950</v>
      </c>
      <c r="H380" s="11" t="str">
        <f t="shared" si="10"/>
        <v/>
      </c>
      <c r="J380" s="11" t="str">
        <f t="shared" si="11"/>
        <v xml:space="preserve"> </v>
      </c>
      <c r="K380" s="24" t="s">
        <v>15801</v>
      </c>
    </row>
    <row r="381" spans="1:11">
      <c r="A381" s="24" t="s">
        <v>15845</v>
      </c>
      <c r="B381" s="24" t="s">
        <v>15845</v>
      </c>
      <c r="C381" s="24" t="s">
        <v>15911</v>
      </c>
      <c r="D381" s="24" t="s">
        <v>15900</v>
      </c>
      <c r="E381" s="24" t="s">
        <v>15819</v>
      </c>
      <c r="F381" s="29" t="s">
        <v>2926</v>
      </c>
      <c r="G381" s="24" t="s">
        <v>2927</v>
      </c>
      <c r="H381" s="11" t="str">
        <f t="shared" si="10"/>
        <v>04/10/1863</v>
      </c>
      <c r="J381" s="11" t="str">
        <f t="shared" si="11"/>
        <v xml:space="preserve"> </v>
      </c>
      <c r="K381" s="24" t="s">
        <v>2927</v>
      </c>
    </row>
    <row r="382" spans="1:11">
      <c r="A382" s="24" t="s">
        <v>15816</v>
      </c>
      <c r="B382" s="24" t="s">
        <v>15816</v>
      </c>
      <c r="C382" s="24" t="s">
        <v>15801</v>
      </c>
      <c r="D382" s="24" t="s">
        <v>15900</v>
      </c>
      <c r="E382" s="24" t="s">
        <v>15915</v>
      </c>
      <c r="F382" s="29" t="s">
        <v>2984</v>
      </c>
      <c r="H382" s="11" t="str">
        <f t="shared" si="10"/>
        <v/>
      </c>
      <c r="J382" s="11" t="str">
        <f t="shared" si="11"/>
        <v xml:space="preserve"> </v>
      </c>
      <c r="K382" s="24" t="s">
        <v>15801</v>
      </c>
    </row>
    <row r="383" spans="1:11">
      <c r="A383" s="24" t="s">
        <v>15811</v>
      </c>
      <c r="B383" s="24" t="s">
        <v>15811</v>
      </c>
      <c r="C383" s="24" t="s">
        <v>15942</v>
      </c>
      <c r="D383" s="24" t="s">
        <v>15900</v>
      </c>
      <c r="E383" s="24" t="s">
        <v>15948</v>
      </c>
      <c r="F383" s="29" t="s">
        <v>1437</v>
      </c>
      <c r="G383" s="24" t="s">
        <v>2941</v>
      </c>
      <c r="H383" s="11" t="str">
        <f t="shared" si="10"/>
        <v>16/09/1910</v>
      </c>
      <c r="J383" s="11" t="str">
        <f t="shared" si="11"/>
        <v xml:space="preserve"> </v>
      </c>
      <c r="K383" s="24" t="s">
        <v>2941</v>
      </c>
    </row>
    <row r="384" spans="1:11">
      <c r="A384" s="24" t="s">
        <v>15801</v>
      </c>
      <c r="B384" s="24" t="s">
        <v>15866</v>
      </c>
      <c r="C384" s="24" t="s">
        <v>15886</v>
      </c>
      <c r="D384" s="24" t="s">
        <v>15884</v>
      </c>
      <c r="E384" s="24" t="s">
        <v>15840</v>
      </c>
      <c r="G384" s="24" t="s">
        <v>2907</v>
      </c>
      <c r="H384" s="11" t="str">
        <f t="shared" si="10"/>
        <v>25/04/1854</v>
      </c>
      <c r="J384" s="11" t="str">
        <f t="shared" si="11"/>
        <v xml:space="preserve"> </v>
      </c>
      <c r="K384" s="24" t="s">
        <v>2907</v>
      </c>
    </row>
    <row r="385" spans="1:11">
      <c r="A385" s="24" t="s">
        <v>15804</v>
      </c>
      <c r="B385" s="24" t="s">
        <v>15804</v>
      </c>
      <c r="C385" s="24" t="s">
        <v>15943</v>
      </c>
      <c r="D385" s="24" t="s">
        <v>15884</v>
      </c>
      <c r="E385" s="24" t="s">
        <v>15966</v>
      </c>
      <c r="F385" s="29" t="s">
        <v>2920</v>
      </c>
      <c r="G385" s="24" t="s">
        <v>2922</v>
      </c>
      <c r="H385" s="11" t="str">
        <f t="shared" si="10"/>
        <v>07/07/1891</v>
      </c>
      <c r="J385" s="11" t="str">
        <f t="shared" si="11"/>
        <v xml:space="preserve"> </v>
      </c>
      <c r="K385" s="24" t="s">
        <v>2922</v>
      </c>
    </row>
    <row r="386" spans="1:11">
      <c r="A386" s="24" t="s">
        <v>15815</v>
      </c>
      <c r="B386" s="24" t="s">
        <v>15815</v>
      </c>
      <c r="C386" s="24" t="s">
        <v>15913</v>
      </c>
      <c r="D386" s="24" t="s">
        <v>15870</v>
      </c>
      <c r="E386" s="24" t="s">
        <v>15971</v>
      </c>
      <c r="F386" s="29" t="s">
        <v>3011</v>
      </c>
      <c r="G386" s="24" t="s">
        <v>3013</v>
      </c>
      <c r="H386" s="11" t="str">
        <f t="shared" si="10"/>
        <v>15/08/1877</v>
      </c>
      <c r="J386" s="11" t="str">
        <f t="shared" si="11"/>
        <v xml:space="preserve"> </v>
      </c>
      <c r="K386" s="24" t="s">
        <v>3013</v>
      </c>
    </row>
    <row r="387" spans="1:11">
      <c r="A387" s="24" t="s">
        <v>15839</v>
      </c>
      <c r="B387" s="24" t="s">
        <v>15839</v>
      </c>
      <c r="C387" s="24" t="s">
        <v>15931</v>
      </c>
      <c r="D387" s="24" t="s">
        <v>15900</v>
      </c>
      <c r="E387" s="24" t="s">
        <v>15801</v>
      </c>
      <c r="F387" s="29" t="s">
        <v>3028</v>
      </c>
      <c r="G387" s="24" t="s">
        <v>3030</v>
      </c>
      <c r="H387" s="11" t="str">
        <f t="shared" ref="H387:H450" si="12">TRIM(G387)</f>
        <v>06/10/1843</v>
      </c>
      <c r="J387" s="11" t="str">
        <f t="shared" ref="J387:J450" si="13">IF(LEN(H387)=4,"fout"," ")</f>
        <v xml:space="preserve"> </v>
      </c>
      <c r="K387" s="24" t="s">
        <v>3030</v>
      </c>
    </row>
    <row r="388" spans="1:11">
      <c r="A388" s="24" t="s">
        <v>15801</v>
      </c>
      <c r="B388" s="24" t="s">
        <v>15839</v>
      </c>
      <c r="C388" s="24" t="s">
        <v>15801</v>
      </c>
      <c r="D388" s="24" t="s">
        <v>15884</v>
      </c>
      <c r="E388" s="24" t="s">
        <v>15833</v>
      </c>
      <c r="H388" s="11" t="str">
        <f t="shared" si="12"/>
        <v/>
      </c>
      <c r="J388" s="11" t="str">
        <f t="shared" si="13"/>
        <v xml:space="preserve"> </v>
      </c>
      <c r="K388" s="24" t="s">
        <v>15801</v>
      </c>
    </row>
    <row r="389" spans="1:11">
      <c r="A389" s="24" t="s">
        <v>15801</v>
      </c>
      <c r="B389" s="24" t="s">
        <v>15801</v>
      </c>
      <c r="C389" s="24" t="s">
        <v>15801</v>
      </c>
      <c r="D389" s="24" t="s">
        <v>15884</v>
      </c>
      <c r="E389" s="24" t="s">
        <v>15801</v>
      </c>
      <c r="H389" s="11" t="str">
        <f t="shared" si="12"/>
        <v/>
      </c>
      <c r="J389" s="11" t="str">
        <f t="shared" si="13"/>
        <v xml:space="preserve"> </v>
      </c>
      <c r="K389" s="24" t="s">
        <v>15801</v>
      </c>
    </row>
    <row r="390" spans="1:11">
      <c r="A390" s="24" t="s">
        <v>15809</v>
      </c>
      <c r="B390" s="24" t="s">
        <v>15809</v>
      </c>
      <c r="C390" s="24" t="s">
        <v>15801</v>
      </c>
      <c r="D390" s="24" t="s">
        <v>15884</v>
      </c>
      <c r="E390" s="24" t="s">
        <v>15834</v>
      </c>
      <c r="F390" s="29" t="s">
        <v>2992</v>
      </c>
      <c r="H390" s="11" t="str">
        <f t="shared" si="12"/>
        <v/>
      </c>
      <c r="J390" s="11" t="str">
        <f t="shared" si="13"/>
        <v xml:space="preserve"> </v>
      </c>
      <c r="K390" s="24" t="s">
        <v>15801</v>
      </c>
    </row>
    <row r="391" spans="1:11">
      <c r="A391" s="24" t="s">
        <v>15823</v>
      </c>
      <c r="B391" s="24" t="s">
        <v>15823</v>
      </c>
      <c r="C391" s="24" t="s">
        <v>15801</v>
      </c>
      <c r="D391" s="24" t="s">
        <v>15884</v>
      </c>
      <c r="E391" s="24" t="s">
        <v>15801</v>
      </c>
      <c r="F391" s="29" t="s">
        <v>3007</v>
      </c>
      <c r="H391" s="11" t="str">
        <f t="shared" si="12"/>
        <v/>
      </c>
      <c r="J391" s="11" t="str">
        <f t="shared" si="13"/>
        <v xml:space="preserve"> </v>
      </c>
      <c r="K391" s="24" t="s">
        <v>15801</v>
      </c>
    </row>
    <row r="392" spans="1:11">
      <c r="A392" s="24" t="s">
        <v>15819</v>
      </c>
      <c r="B392" s="24" t="s">
        <v>15819</v>
      </c>
      <c r="C392" s="24" t="s">
        <v>15801</v>
      </c>
      <c r="D392" s="24" t="s">
        <v>15900</v>
      </c>
      <c r="E392" s="24" t="s">
        <v>15851</v>
      </c>
      <c r="F392" s="29" t="s">
        <v>3076</v>
      </c>
      <c r="H392" s="11" t="str">
        <f t="shared" si="12"/>
        <v/>
      </c>
      <c r="J392" s="11" t="str">
        <f t="shared" si="13"/>
        <v xml:space="preserve"> </v>
      </c>
      <c r="K392" s="24" t="s">
        <v>15801</v>
      </c>
    </row>
    <row r="393" spans="1:11">
      <c r="A393" s="24" t="s">
        <v>15801</v>
      </c>
      <c r="B393" s="24" t="s">
        <v>15813</v>
      </c>
      <c r="C393" s="24" t="s">
        <v>15801</v>
      </c>
      <c r="D393" s="24" t="s">
        <v>15900</v>
      </c>
      <c r="E393" s="24" t="s">
        <v>15844</v>
      </c>
      <c r="H393" s="11" t="str">
        <f t="shared" si="12"/>
        <v/>
      </c>
      <c r="J393" s="11" t="str">
        <f t="shared" si="13"/>
        <v xml:space="preserve"> </v>
      </c>
      <c r="K393" s="24" t="s">
        <v>15801</v>
      </c>
    </row>
    <row r="394" spans="1:11">
      <c r="A394" s="24" t="s">
        <v>15801</v>
      </c>
      <c r="B394" s="24" t="s">
        <v>15832</v>
      </c>
      <c r="C394" s="24" t="s">
        <v>15884</v>
      </c>
      <c r="D394" s="24" t="s">
        <v>15900</v>
      </c>
      <c r="E394" s="24" t="s">
        <v>15844</v>
      </c>
      <c r="G394" s="24" t="s">
        <v>72</v>
      </c>
      <c r="H394" s="11" t="str">
        <f t="shared" si="12"/>
        <v>06/02/1838</v>
      </c>
      <c r="J394" s="11" t="str">
        <f t="shared" si="13"/>
        <v xml:space="preserve"> </v>
      </c>
      <c r="K394" s="24" t="s">
        <v>72</v>
      </c>
    </row>
    <row r="395" spans="1:11">
      <c r="A395" s="24" t="s">
        <v>15801</v>
      </c>
      <c r="B395" s="24" t="s">
        <v>15818</v>
      </c>
      <c r="C395" s="24" t="s">
        <v>15884</v>
      </c>
      <c r="D395" s="24" t="s">
        <v>15900</v>
      </c>
      <c r="E395" s="24" t="s">
        <v>15971</v>
      </c>
      <c r="G395" s="24" t="s">
        <v>72</v>
      </c>
      <c r="H395" s="11" t="str">
        <f t="shared" si="12"/>
        <v>06/02/1838</v>
      </c>
      <c r="J395" s="11" t="str">
        <f t="shared" si="13"/>
        <v xml:space="preserve"> </v>
      </c>
      <c r="K395" s="24" t="s">
        <v>72</v>
      </c>
    </row>
    <row r="396" spans="1:11">
      <c r="A396" s="24" t="s">
        <v>15817</v>
      </c>
      <c r="B396" s="24" t="s">
        <v>15817</v>
      </c>
      <c r="C396" s="24" t="s">
        <v>15801</v>
      </c>
      <c r="D396" s="24" t="s">
        <v>15801</v>
      </c>
      <c r="E396" s="24" t="s">
        <v>15899</v>
      </c>
      <c r="F396" s="29" t="s">
        <v>3035</v>
      </c>
      <c r="H396" s="11" t="str">
        <f t="shared" si="12"/>
        <v/>
      </c>
      <c r="J396" s="11" t="str">
        <f t="shared" si="13"/>
        <v xml:space="preserve"> </v>
      </c>
      <c r="K396" s="24" t="s">
        <v>15801</v>
      </c>
    </row>
    <row r="397" spans="1:11">
      <c r="A397" s="24" t="s">
        <v>15822</v>
      </c>
      <c r="B397" s="24" t="s">
        <v>15822</v>
      </c>
      <c r="C397" s="24" t="s">
        <v>15909</v>
      </c>
      <c r="D397" s="24" t="s">
        <v>15900</v>
      </c>
      <c r="E397" s="24" t="s">
        <v>15825</v>
      </c>
      <c r="F397" s="29" t="s">
        <v>3059</v>
      </c>
      <c r="G397" s="24" t="s">
        <v>3061</v>
      </c>
      <c r="H397" s="11" t="str">
        <f t="shared" si="12"/>
        <v>12/05/1881</v>
      </c>
      <c r="J397" s="11" t="str">
        <f t="shared" si="13"/>
        <v xml:space="preserve"> </v>
      </c>
      <c r="K397" s="24" t="s">
        <v>3061</v>
      </c>
    </row>
    <row r="398" spans="1:11">
      <c r="A398" s="24" t="s">
        <v>15827</v>
      </c>
      <c r="B398" s="24" t="s">
        <v>15827</v>
      </c>
      <c r="C398" s="24" t="s">
        <v>15801</v>
      </c>
      <c r="D398" s="24" t="s">
        <v>15900</v>
      </c>
      <c r="E398" s="24" t="s">
        <v>15801</v>
      </c>
      <c r="F398" s="29" t="s">
        <v>3068</v>
      </c>
      <c r="H398" s="11" t="str">
        <f t="shared" si="12"/>
        <v/>
      </c>
      <c r="J398" s="11" t="str">
        <f t="shared" si="13"/>
        <v xml:space="preserve"> </v>
      </c>
      <c r="K398" s="24" t="s">
        <v>15801</v>
      </c>
    </row>
    <row r="399" spans="1:11">
      <c r="A399" s="24" t="s">
        <v>15801</v>
      </c>
      <c r="B399" s="24" t="s">
        <v>15873</v>
      </c>
      <c r="C399" s="24" t="s">
        <v>15801</v>
      </c>
      <c r="D399" s="24" t="s">
        <v>15900</v>
      </c>
      <c r="E399" s="24" t="s">
        <v>15854</v>
      </c>
      <c r="H399" s="11" t="str">
        <f t="shared" si="12"/>
        <v/>
      </c>
      <c r="J399" s="11" t="str">
        <f t="shared" si="13"/>
        <v xml:space="preserve"> </v>
      </c>
      <c r="K399" s="24" t="s">
        <v>15801</v>
      </c>
    </row>
    <row r="400" spans="1:11">
      <c r="A400" s="24" t="s">
        <v>15801</v>
      </c>
      <c r="B400" s="24" t="s">
        <v>15840</v>
      </c>
      <c r="C400" s="24" t="s">
        <v>15914</v>
      </c>
      <c r="D400" s="24" t="s">
        <v>15915</v>
      </c>
      <c r="E400" s="24" t="s">
        <v>15820</v>
      </c>
      <c r="G400" s="24" t="s">
        <v>3141</v>
      </c>
      <c r="H400" s="11" t="str">
        <f t="shared" si="12"/>
        <v>29/07/1858</v>
      </c>
      <c r="J400" s="11" t="str">
        <f t="shared" si="13"/>
        <v xml:space="preserve"> </v>
      </c>
      <c r="K400" s="24" t="s">
        <v>3141</v>
      </c>
    </row>
    <row r="401" spans="1:11">
      <c r="A401" s="24" t="s">
        <v>15833</v>
      </c>
      <c r="B401" s="24" t="s">
        <v>15833</v>
      </c>
      <c r="C401" s="24" t="s">
        <v>15801</v>
      </c>
      <c r="D401" s="24" t="s">
        <v>15900</v>
      </c>
      <c r="E401" s="24" t="s">
        <v>15801</v>
      </c>
      <c r="F401" s="29" t="s">
        <v>3106</v>
      </c>
      <c r="H401" s="11" t="str">
        <f t="shared" si="12"/>
        <v/>
      </c>
      <c r="J401" s="11" t="str">
        <f t="shared" si="13"/>
        <v xml:space="preserve"> </v>
      </c>
      <c r="K401" s="24" t="s">
        <v>15801</v>
      </c>
    </row>
    <row r="402" spans="1:11">
      <c r="A402" s="24" t="s">
        <v>15801</v>
      </c>
      <c r="B402" s="24" t="s">
        <v>15814</v>
      </c>
      <c r="C402" s="24" t="s">
        <v>15882</v>
      </c>
      <c r="D402" s="24" t="s">
        <v>15900</v>
      </c>
      <c r="E402" s="24" t="s">
        <v>15844</v>
      </c>
      <c r="G402" s="24" t="s">
        <v>3132</v>
      </c>
      <c r="H402" s="11" t="str">
        <f t="shared" si="12"/>
        <v>25/08/1880</v>
      </c>
      <c r="J402" s="11" t="str">
        <f t="shared" si="13"/>
        <v xml:space="preserve"> </v>
      </c>
      <c r="K402" s="24" t="s">
        <v>3132</v>
      </c>
    </row>
    <row r="403" spans="1:11">
      <c r="A403" s="24" t="s">
        <v>15832</v>
      </c>
      <c r="B403" s="24" t="s">
        <v>15832</v>
      </c>
      <c r="C403" s="24" t="s">
        <v>15895</v>
      </c>
      <c r="D403" s="24" t="s">
        <v>15900</v>
      </c>
      <c r="E403" s="24" t="s">
        <v>15801</v>
      </c>
      <c r="F403" s="29" t="s">
        <v>3113</v>
      </c>
      <c r="G403" s="24">
        <v>1884</v>
      </c>
      <c r="H403" s="11"/>
      <c r="J403" s="11" t="str">
        <f t="shared" si="13"/>
        <v xml:space="preserve"> </v>
      </c>
    </row>
    <row r="404" spans="1:11">
      <c r="A404" s="24" t="s">
        <v>15801</v>
      </c>
      <c r="B404" s="24" t="s">
        <v>15850</v>
      </c>
      <c r="C404" s="24" t="s">
        <v>15801</v>
      </c>
      <c r="D404" s="24" t="s">
        <v>15801</v>
      </c>
      <c r="E404" s="24" t="s">
        <v>15802</v>
      </c>
      <c r="H404" s="11" t="str">
        <f t="shared" si="12"/>
        <v/>
      </c>
      <c r="J404" s="11" t="str">
        <f t="shared" si="13"/>
        <v xml:space="preserve"> </v>
      </c>
      <c r="K404" s="24" t="s">
        <v>15801</v>
      </c>
    </row>
    <row r="405" spans="1:11">
      <c r="A405" s="24" t="s">
        <v>15801</v>
      </c>
      <c r="B405" s="24" t="s">
        <v>15850</v>
      </c>
      <c r="C405" s="24" t="s">
        <v>15801</v>
      </c>
      <c r="D405" s="24" t="s">
        <v>15801</v>
      </c>
      <c r="E405" s="24" t="s">
        <v>15819</v>
      </c>
      <c r="H405" s="11" t="str">
        <f t="shared" si="12"/>
        <v/>
      </c>
      <c r="J405" s="11" t="str">
        <f t="shared" si="13"/>
        <v xml:space="preserve"> </v>
      </c>
      <c r="K405" s="24" t="s">
        <v>15801</v>
      </c>
    </row>
    <row r="406" spans="1:11">
      <c r="A406" s="24" t="s">
        <v>15819</v>
      </c>
      <c r="B406" s="24" t="s">
        <v>15819</v>
      </c>
      <c r="C406" s="24" t="s">
        <v>15895</v>
      </c>
      <c r="D406" s="24" t="s">
        <v>15801</v>
      </c>
      <c r="E406" s="24" t="s">
        <v>15801</v>
      </c>
      <c r="F406" s="29" t="s">
        <v>2666</v>
      </c>
      <c r="G406" s="24" t="s">
        <v>3127</v>
      </c>
      <c r="H406" s="11" t="str">
        <f t="shared" si="12"/>
        <v>12/07/1884</v>
      </c>
      <c r="J406" s="11" t="str">
        <f t="shared" si="13"/>
        <v xml:space="preserve"> </v>
      </c>
      <c r="K406" s="24" t="s">
        <v>3127</v>
      </c>
    </row>
    <row r="407" spans="1:11">
      <c r="A407" s="24" t="s">
        <v>15801</v>
      </c>
      <c r="B407" s="24" t="s">
        <v>15808</v>
      </c>
      <c r="C407" s="24" t="s">
        <v>15801</v>
      </c>
      <c r="D407" s="24" t="s">
        <v>15801</v>
      </c>
      <c r="E407" s="24" t="s">
        <v>15827</v>
      </c>
      <c r="H407" s="11" t="str">
        <f t="shared" si="12"/>
        <v/>
      </c>
      <c r="J407" s="11" t="str">
        <f t="shared" si="13"/>
        <v xml:space="preserve"> </v>
      </c>
      <c r="K407" s="24" t="s">
        <v>15801</v>
      </c>
    </row>
    <row r="408" spans="1:11">
      <c r="A408" s="24" t="s">
        <v>15801</v>
      </c>
      <c r="B408" s="24" t="s">
        <v>15856</v>
      </c>
      <c r="C408" s="24" t="s">
        <v>15801</v>
      </c>
      <c r="D408" s="24" t="s">
        <v>15900</v>
      </c>
      <c r="E408" s="24" t="s">
        <v>15836</v>
      </c>
      <c r="H408" s="11" t="str">
        <f t="shared" si="12"/>
        <v/>
      </c>
      <c r="J408" s="11" t="str">
        <f t="shared" si="13"/>
        <v xml:space="preserve"> </v>
      </c>
      <c r="K408" s="24" t="s">
        <v>15801</v>
      </c>
    </row>
    <row r="409" spans="1:11">
      <c r="A409" s="24" t="s">
        <v>15840</v>
      </c>
      <c r="B409" s="24" t="s">
        <v>15840</v>
      </c>
      <c r="C409" s="24" t="s">
        <v>15801</v>
      </c>
      <c r="D409" s="24" t="s">
        <v>15900</v>
      </c>
      <c r="E409" s="24" t="s">
        <v>15828</v>
      </c>
      <c r="F409" s="29" t="s">
        <v>3100</v>
      </c>
      <c r="H409" s="11" t="str">
        <f t="shared" si="12"/>
        <v/>
      </c>
      <c r="J409" s="11" t="str">
        <f t="shared" si="13"/>
        <v xml:space="preserve"> </v>
      </c>
      <c r="K409" s="24" t="s">
        <v>15801</v>
      </c>
    </row>
    <row r="410" spans="1:11">
      <c r="A410" s="24" t="s">
        <v>15801</v>
      </c>
      <c r="B410" s="24" t="s">
        <v>15822</v>
      </c>
      <c r="C410" s="24" t="s">
        <v>15801</v>
      </c>
      <c r="E410" s="24" t="s">
        <v>15807</v>
      </c>
      <c r="H410" s="11" t="str">
        <f t="shared" si="12"/>
        <v/>
      </c>
      <c r="J410" s="11" t="str">
        <f t="shared" si="13"/>
        <v xml:space="preserve"> </v>
      </c>
      <c r="K410" s="24" t="s">
        <v>15801</v>
      </c>
    </row>
    <row r="411" spans="1:11">
      <c r="A411" s="24" t="s">
        <v>15821</v>
      </c>
      <c r="B411" s="24" t="s">
        <v>15821</v>
      </c>
      <c r="C411" s="24" t="s">
        <v>15801</v>
      </c>
      <c r="D411" s="24" t="s">
        <v>15900</v>
      </c>
      <c r="E411" s="24" t="s">
        <v>15971</v>
      </c>
      <c r="F411" s="29" t="s">
        <v>15977</v>
      </c>
      <c r="H411" s="11" t="str">
        <f t="shared" si="12"/>
        <v/>
      </c>
      <c r="J411" s="11" t="str">
        <f t="shared" si="13"/>
        <v xml:space="preserve"> </v>
      </c>
      <c r="K411" s="24" t="s">
        <v>15801</v>
      </c>
    </row>
    <row r="412" spans="1:11">
      <c r="A412" s="24" t="s">
        <v>15819</v>
      </c>
      <c r="B412" s="24" t="s">
        <v>15819</v>
      </c>
      <c r="C412" s="24" t="s">
        <v>15801</v>
      </c>
      <c r="E412" s="24" t="s">
        <v>15965</v>
      </c>
      <c r="F412" s="29" t="s">
        <v>15978</v>
      </c>
      <c r="H412" s="11" t="str">
        <f t="shared" si="12"/>
        <v/>
      </c>
      <c r="J412" s="11" t="str">
        <f t="shared" si="13"/>
        <v xml:space="preserve"> </v>
      </c>
      <c r="K412" s="24" t="s">
        <v>15801</v>
      </c>
    </row>
    <row r="413" spans="1:11">
      <c r="A413" s="24" t="s">
        <v>15801</v>
      </c>
      <c r="B413" s="24" t="s">
        <v>15801</v>
      </c>
      <c r="C413" s="24" t="s">
        <v>15801</v>
      </c>
      <c r="D413" s="24" t="s">
        <v>15900</v>
      </c>
      <c r="E413" s="24" t="s">
        <v>15921</v>
      </c>
      <c r="H413" s="11" t="str">
        <f t="shared" si="12"/>
        <v/>
      </c>
      <c r="J413" s="11" t="str">
        <f t="shared" si="13"/>
        <v xml:space="preserve"> </v>
      </c>
      <c r="K413" s="24" t="s">
        <v>15801</v>
      </c>
    </row>
    <row r="414" spans="1:11">
      <c r="A414" s="24" t="s">
        <v>15801</v>
      </c>
      <c r="B414" s="24" t="s">
        <v>15874</v>
      </c>
      <c r="C414" s="24" t="s">
        <v>15801</v>
      </c>
      <c r="D414" s="24" t="s">
        <v>15900</v>
      </c>
      <c r="E414" s="24" t="s">
        <v>15837</v>
      </c>
      <c r="H414" s="11" t="str">
        <f t="shared" si="12"/>
        <v/>
      </c>
      <c r="J414" s="11" t="str">
        <f t="shared" si="13"/>
        <v xml:space="preserve"> </v>
      </c>
      <c r="K414" s="24" t="s">
        <v>15801</v>
      </c>
    </row>
    <row r="415" spans="1:11">
      <c r="A415" s="24" t="s">
        <v>15801</v>
      </c>
      <c r="B415" s="24" t="s">
        <v>15808</v>
      </c>
      <c r="C415" s="24" t="s">
        <v>15801</v>
      </c>
      <c r="D415" s="24" t="s">
        <v>15900</v>
      </c>
      <c r="E415" s="24" t="s">
        <v>15827</v>
      </c>
      <c r="H415" s="11" t="str">
        <f t="shared" si="12"/>
        <v/>
      </c>
      <c r="J415" s="11" t="str">
        <f t="shared" si="13"/>
        <v xml:space="preserve"> </v>
      </c>
      <c r="K415" s="24" t="s">
        <v>15801</v>
      </c>
    </row>
    <row r="416" spans="1:11">
      <c r="A416" s="24" t="s">
        <v>15801</v>
      </c>
      <c r="B416" s="24" t="s">
        <v>15829</v>
      </c>
      <c r="C416" s="24" t="s">
        <v>15801</v>
      </c>
      <c r="D416" s="24" t="s">
        <v>15900</v>
      </c>
      <c r="E416" s="24" t="s">
        <v>15863</v>
      </c>
      <c r="H416" s="11" t="str">
        <f t="shared" si="12"/>
        <v/>
      </c>
      <c r="J416" s="11" t="str">
        <f t="shared" si="13"/>
        <v xml:space="preserve"> </v>
      </c>
      <c r="K416" s="24" t="s">
        <v>15801</v>
      </c>
    </row>
    <row r="417" spans="1:11">
      <c r="A417" s="24" t="s">
        <v>15801</v>
      </c>
      <c r="B417" s="24" t="s">
        <v>15832</v>
      </c>
      <c r="C417" s="24" t="s">
        <v>15880</v>
      </c>
      <c r="D417" s="24" t="s">
        <v>15900</v>
      </c>
      <c r="E417" s="24" t="s">
        <v>15864</v>
      </c>
      <c r="G417" s="24" t="s">
        <v>3184</v>
      </c>
      <c r="H417" s="11" t="str">
        <f t="shared" si="12"/>
        <v>05/06/1892</v>
      </c>
      <c r="J417" s="11" t="str">
        <f t="shared" si="13"/>
        <v xml:space="preserve"> </v>
      </c>
      <c r="K417" s="24" t="s">
        <v>3184</v>
      </c>
    </row>
    <row r="418" spans="1:11">
      <c r="A418" s="24" t="s">
        <v>15835</v>
      </c>
      <c r="B418" s="24" t="s">
        <v>15835</v>
      </c>
      <c r="C418" s="24" t="s">
        <v>15938</v>
      </c>
      <c r="D418" s="24" t="s">
        <v>15884</v>
      </c>
      <c r="E418" s="24" t="s">
        <v>15971</v>
      </c>
      <c r="F418" s="29" t="s">
        <v>3191</v>
      </c>
      <c r="G418" s="24">
        <v>1846</v>
      </c>
      <c r="H418" s="11"/>
      <c r="J418" s="11" t="str">
        <f t="shared" si="13"/>
        <v xml:space="preserve"> </v>
      </c>
    </row>
    <row r="419" spans="1:11">
      <c r="A419" s="24" t="s">
        <v>15801</v>
      </c>
      <c r="B419" s="24" t="s">
        <v>15854</v>
      </c>
      <c r="C419" s="24" t="s">
        <v>15801</v>
      </c>
      <c r="D419" s="24" t="s">
        <v>15884</v>
      </c>
      <c r="E419" s="24" t="s">
        <v>15801</v>
      </c>
      <c r="H419" s="11" t="str">
        <f t="shared" si="12"/>
        <v/>
      </c>
      <c r="J419" s="11" t="str">
        <f t="shared" si="13"/>
        <v xml:space="preserve"> </v>
      </c>
      <c r="K419" s="24" t="s">
        <v>15801</v>
      </c>
    </row>
    <row r="420" spans="1:11">
      <c r="A420" s="24" t="s">
        <v>15828</v>
      </c>
      <c r="B420" s="24" t="s">
        <v>15828</v>
      </c>
      <c r="C420" s="24" t="s">
        <v>15944</v>
      </c>
      <c r="D420" s="24" t="s">
        <v>15801</v>
      </c>
      <c r="E420" s="24" t="s">
        <v>15948</v>
      </c>
      <c r="F420" s="29" t="s">
        <v>2083</v>
      </c>
      <c r="G420" s="24" t="s">
        <v>3219</v>
      </c>
      <c r="H420" s="11" t="str">
        <f t="shared" si="12"/>
        <v>12/01/1900</v>
      </c>
      <c r="J420" s="11" t="str">
        <f t="shared" si="13"/>
        <v xml:space="preserve"> </v>
      </c>
      <c r="K420" s="24" t="s">
        <v>15987</v>
      </c>
    </row>
    <row r="421" spans="1:11">
      <c r="A421" s="24" t="s">
        <v>15820</v>
      </c>
      <c r="B421" s="24" t="s">
        <v>15820</v>
      </c>
      <c r="C421" s="24" t="s">
        <v>15916</v>
      </c>
      <c r="D421" s="24" t="s">
        <v>15801</v>
      </c>
      <c r="E421" s="24" t="s">
        <v>15936</v>
      </c>
      <c r="F421" s="29" t="s">
        <v>3203</v>
      </c>
      <c r="G421" s="24" t="s">
        <v>3205</v>
      </c>
      <c r="H421" s="11" t="str">
        <f t="shared" si="12"/>
        <v>09/07/1885</v>
      </c>
      <c r="J421" s="11" t="str">
        <f t="shared" si="13"/>
        <v xml:space="preserve"> </v>
      </c>
      <c r="K421" s="24" t="s">
        <v>3205</v>
      </c>
    </row>
    <row r="422" spans="1:11">
      <c r="A422" s="24" t="s">
        <v>15827</v>
      </c>
      <c r="B422" s="24" t="s">
        <v>15827</v>
      </c>
      <c r="C422" s="24" t="s">
        <v>15801</v>
      </c>
      <c r="D422" s="24" t="s">
        <v>15801</v>
      </c>
      <c r="E422" s="24" t="s">
        <v>15898</v>
      </c>
      <c r="F422" s="29" t="s">
        <v>3234</v>
      </c>
      <c r="H422" s="11" t="str">
        <f t="shared" si="12"/>
        <v/>
      </c>
      <c r="J422" s="11" t="str">
        <f t="shared" si="13"/>
        <v xml:space="preserve"> </v>
      </c>
      <c r="K422" s="24" t="s">
        <v>15801</v>
      </c>
    </row>
    <row r="423" spans="1:11">
      <c r="A423" s="24" t="s">
        <v>15816</v>
      </c>
      <c r="B423" s="24" t="s">
        <v>15816</v>
      </c>
      <c r="C423" s="24" t="s">
        <v>15801</v>
      </c>
      <c r="D423" s="24" t="s">
        <v>15801</v>
      </c>
      <c r="E423" s="24" t="s">
        <v>15801</v>
      </c>
      <c r="H423" s="11" t="str">
        <f t="shared" si="12"/>
        <v/>
      </c>
      <c r="J423" s="11" t="str">
        <f t="shared" si="13"/>
        <v xml:space="preserve"> </v>
      </c>
      <c r="K423" s="24" t="s">
        <v>15801</v>
      </c>
    </row>
    <row r="424" spans="1:11">
      <c r="A424" s="24" t="s">
        <v>15801</v>
      </c>
      <c r="B424" s="24" t="s">
        <v>15857</v>
      </c>
      <c r="C424" s="24" t="s">
        <v>15884</v>
      </c>
      <c r="D424" s="24" t="s">
        <v>15900</v>
      </c>
      <c r="E424" s="24" t="s">
        <v>15801</v>
      </c>
      <c r="G424" s="24" t="s">
        <v>301</v>
      </c>
      <c r="H424" s="11" t="str">
        <f t="shared" si="12"/>
        <v>17/02/1838</v>
      </c>
      <c r="J424" s="11" t="str">
        <f t="shared" si="13"/>
        <v xml:space="preserve"> </v>
      </c>
      <c r="K424" s="24" t="s">
        <v>301</v>
      </c>
    </row>
    <row r="425" spans="1:11">
      <c r="A425" s="24" t="s">
        <v>15801</v>
      </c>
      <c r="B425" s="24" t="s">
        <v>15834</v>
      </c>
      <c r="C425" s="24" t="s">
        <v>15801</v>
      </c>
      <c r="D425" s="24" t="s">
        <v>15900</v>
      </c>
      <c r="E425" s="24" t="s">
        <v>15801</v>
      </c>
      <c r="H425" s="11" t="str">
        <f t="shared" si="12"/>
        <v/>
      </c>
      <c r="J425" s="11" t="str">
        <f t="shared" si="13"/>
        <v xml:space="preserve"> </v>
      </c>
      <c r="K425" s="24" t="s">
        <v>15801</v>
      </c>
    </row>
    <row r="426" spans="1:11">
      <c r="A426" s="24" t="s">
        <v>15816</v>
      </c>
      <c r="B426" s="24" t="s">
        <v>15816</v>
      </c>
      <c r="C426" s="24" t="s">
        <v>15884</v>
      </c>
      <c r="D426" s="24" t="s">
        <v>15900</v>
      </c>
      <c r="E426" s="24" t="s">
        <v>15801</v>
      </c>
      <c r="F426" s="29" t="s">
        <v>3247</v>
      </c>
      <c r="G426" s="24" t="s">
        <v>72</v>
      </c>
      <c r="H426" s="11" t="str">
        <f t="shared" si="12"/>
        <v>06/02/1838</v>
      </c>
      <c r="J426" s="11" t="str">
        <f t="shared" si="13"/>
        <v xml:space="preserve"> </v>
      </c>
      <c r="K426" s="24" t="s">
        <v>72</v>
      </c>
    </row>
    <row r="427" spans="1:11">
      <c r="A427" s="24" t="s">
        <v>15814</v>
      </c>
      <c r="B427" s="24" t="s">
        <v>15814</v>
      </c>
      <c r="C427" s="24" t="s">
        <v>15801</v>
      </c>
      <c r="D427" s="24" t="s">
        <v>15900</v>
      </c>
      <c r="E427" s="24" t="s">
        <v>15864</v>
      </c>
      <c r="F427" s="29" t="s">
        <v>3241</v>
      </c>
      <c r="H427" s="11" t="str">
        <f t="shared" si="12"/>
        <v/>
      </c>
      <c r="J427" s="11" t="str">
        <f t="shared" si="13"/>
        <v xml:space="preserve"> </v>
      </c>
      <c r="K427" s="24" t="s">
        <v>15801</v>
      </c>
    </row>
    <row r="428" spans="1:11">
      <c r="A428" s="24" t="s">
        <v>15819</v>
      </c>
      <c r="B428" s="24" t="s">
        <v>15819</v>
      </c>
      <c r="C428" s="24" t="s">
        <v>15884</v>
      </c>
      <c r="D428" s="24" t="s">
        <v>15900</v>
      </c>
      <c r="E428" s="24" t="s">
        <v>15801</v>
      </c>
      <c r="F428" s="29" t="s">
        <v>3263</v>
      </c>
      <c r="G428" s="24" t="s">
        <v>72</v>
      </c>
      <c r="H428" s="11" t="str">
        <f t="shared" si="12"/>
        <v>06/02/1838</v>
      </c>
      <c r="J428" s="11" t="str">
        <f t="shared" si="13"/>
        <v xml:space="preserve"> </v>
      </c>
      <c r="K428" s="24" t="s">
        <v>72</v>
      </c>
    </row>
    <row r="429" spans="1:11">
      <c r="A429" s="24" t="s">
        <v>15833</v>
      </c>
      <c r="B429" s="24" t="s">
        <v>15833</v>
      </c>
      <c r="C429" s="24" t="s">
        <v>15928</v>
      </c>
      <c r="E429" s="24" t="s">
        <v>15956</v>
      </c>
      <c r="F429" s="29" t="s">
        <v>3250</v>
      </c>
      <c r="G429" s="24" t="s">
        <v>3252</v>
      </c>
      <c r="H429" s="11" t="str">
        <f t="shared" si="12"/>
        <v>30/03/1899</v>
      </c>
      <c r="J429" s="11" t="str">
        <f t="shared" si="13"/>
        <v xml:space="preserve"> </v>
      </c>
      <c r="K429" s="24" t="s">
        <v>3252</v>
      </c>
    </row>
    <row r="430" spans="1:11">
      <c r="A430" s="24" t="s">
        <v>15839</v>
      </c>
      <c r="B430" s="24" t="s">
        <v>15839</v>
      </c>
      <c r="C430" s="24" t="s">
        <v>15883</v>
      </c>
      <c r="D430" s="24" t="s">
        <v>15931</v>
      </c>
      <c r="E430" s="24" t="s">
        <v>15811</v>
      </c>
      <c r="F430" s="29" t="s">
        <v>3285</v>
      </c>
      <c r="G430" s="24" t="s">
        <v>3287</v>
      </c>
      <c r="H430" s="11" t="str">
        <f t="shared" si="12"/>
        <v>10/03/1874</v>
      </c>
      <c r="J430" s="11" t="str">
        <f t="shared" si="13"/>
        <v xml:space="preserve"> </v>
      </c>
      <c r="K430" s="24" t="s">
        <v>3287</v>
      </c>
    </row>
    <row r="431" spans="1:11">
      <c r="A431" s="24" t="s">
        <v>15835</v>
      </c>
      <c r="B431" s="24" t="s">
        <v>15835</v>
      </c>
      <c r="C431" s="24" t="s">
        <v>15801</v>
      </c>
      <c r="D431" s="24" t="s">
        <v>15900</v>
      </c>
      <c r="E431" s="24" t="s">
        <v>15966</v>
      </c>
      <c r="F431" s="29" t="s">
        <v>3279</v>
      </c>
      <c r="H431" s="11" t="str">
        <f t="shared" si="12"/>
        <v/>
      </c>
      <c r="J431" s="11" t="str">
        <f t="shared" si="13"/>
        <v xml:space="preserve"> </v>
      </c>
      <c r="K431" s="24" t="s">
        <v>15801</v>
      </c>
    </row>
    <row r="432" spans="1:11">
      <c r="A432" s="24" t="s">
        <v>15838</v>
      </c>
      <c r="B432" s="24" t="s">
        <v>15838</v>
      </c>
      <c r="C432" s="24" t="s">
        <v>15888</v>
      </c>
      <c r="D432" s="24" t="s">
        <v>15801</v>
      </c>
      <c r="E432" s="24" t="s">
        <v>15801</v>
      </c>
      <c r="G432" s="24">
        <v>1864</v>
      </c>
      <c r="H432" s="11"/>
      <c r="J432" s="11" t="str">
        <f t="shared" si="13"/>
        <v xml:space="preserve"> </v>
      </c>
    </row>
    <row r="433" spans="1:11">
      <c r="A433" s="24" t="s">
        <v>15804</v>
      </c>
      <c r="B433" s="24" t="s">
        <v>15804</v>
      </c>
      <c r="C433" s="24" t="s">
        <v>15945</v>
      </c>
      <c r="D433" s="24" t="s">
        <v>15870</v>
      </c>
      <c r="E433" s="24" t="s">
        <v>15945</v>
      </c>
      <c r="F433" s="29" t="s">
        <v>3295</v>
      </c>
      <c r="G433" s="24" t="s">
        <v>3296</v>
      </c>
      <c r="H433" s="11" t="str">
        <f t="shared" si="12"/>
        <v>05/07/1828</v>
      </c>
      <c r="J433" s="11" t="str">
        <f t="shared" si="13"/>
        <v xml:space="preserve"> </v>
      </c>
      <c r="K433" s="24" t="s">
        <v>3296</v>
      </c>
    </row>
    <row r="434" spans="1:11">
      <c r="A434" s="24" t="s">
        <v>15801</v>
      </c>
      <c r="B434" s="24" t="s">
        <v>15845</v>
      </c>
      <c r="C434" s="24" t="s">
        <v>15801</v>
      </c>
      <c r="D434" s="24" t="s">
        <v>15908</v>
      </c>
      <c r="E434" s="24" t="s">
        <v>15802</v>
      </c>
      <c r="H434" s="11" t="str">
        <f t="shared" si="12"/>
        <v/>
      </c>
      <c r="J434" s="11" t="str">
        <f t="shared" si="13"/>
        <v xml:space="preserve"> </v>
      </c>
      <c r="K434" s="24" t="s">
        <v>15801</v>
      </c>
    </row>
    <row r="435" spans="1:11">
      <c r="A435" s="24" t="s">
        <v>15833</v>
      </c>
      <c r="B435" s="24" t="s">
        <v>15833</v>
      </c>
      <c r="C435" s="24" t="s">
        <v>15801</v>
      </c>
      <c r="E435" s="24" t="s">
        <v>15801</v>
      </c>
      <c r="F435" s="29" t="s">
        <v>3158</v>
      </c>
      <c r="H435" s="11" t="str">
        <f t="shared" si="12"/>
        <v/>
      </c>
      <c r="J435" s="11" t="str">
        <f t="shared" si="13"/>
        <v xml:space="preserve"> </v>
      </c>
      <c r="K435" s="24" t="s">
        <v>15801</v>
      </c>
    </row>
    <row r="436" spans="1:11">
      <c r="A436" s="24" t="s">
        <v>15801</v>
      </c>
      <c r="B436" s="24" t="s">
        <v>15839</v>
      </c>
      <c r="C436" s="24" t="s">
        <v>15801</v>
      </c>
      <c r="D436" s="24" t="s">
        <v>15900</v>
      </c>
      <c r="E436" s="24" t="s">
        <v>15802</v>
      </c>
      <c r="H436" s="11" t="str">
        <f t="shared" si="12"/>
        <v/>
      </c>
      <c r="J436" s="11" t="str">
        <f t="shared" si="13"/>
        <v xml:space="preserve"> </v>
      </c>
      <c r="K436" s="24" t="s">
        <v>15801</v>
      </c>
    </row>
    <row r="437" spans="1:11">
      <c r="A437" s="24" t="s">
        <v>15810</v>
      </c>
      <c r="B437" s="24" t="s">
        <v>15810</v>
      </c>
      <c r="C437" s="24" t="s">
        <v>15801</v>
      </c>
      <c r="D437" s="24" t="s">
        <v>15900</v>
      </c>
      <c r="E437" s="24" t="s">
        <v>15870</v>
      </c>
      <c r="F437" s="29" t="s">
        <v>3152</v>
      </c>
      <c r="H437" s="11" t="str">
        <f t="shared" si="12"/>
        <v/>
      </c>
      <c r="J437" s="11" t="str">
        <f t="shared" si="13"/>
        <v xml:space="preserve"> </v>
      </c>
      <c r="K437" s="24" t="s">
        <v>15801</v>
      </c>
    </row>
    <row r="438" spans="1:11">
      <c r="A438" s="24" t="s">
        <v>15811</v>
      </c>
      <c r="B438" s="24" t="s">
        <v>15811</v>
      </c>
      <c r="C438" s="24" t="s">
        <v>15801</v>
      </c>
      <c r="D438" s="24" t="s">
        <v>15801</v>
      </c>
      <c r="E438" s="24" t="s">
        <v>15801</v>
      </c>
      <c r="F438" s="29" t="s">
        <v>3163</v>
      </c>
      <c r="H438" s="11" t="str">
        <f t="shared" si="12"/>
        <v/>
      </c>
      <c r="J438" s="11" t="str">
        <f t="shared" si="13"/>
        <v xml:space="preserve"> </v>
      </c>
      <c r="K438" s="24" t="s">
        <v>15801</v>
      </c>
    </row>
    <row r="439" spans="1:11">
      <c r="A439" s="24" t="s">
        <v>15802</v>
      </c>
      <c r="B439" s="24" t="s">
        <v>15802</v>
      </c>
      <c r="C439" s="24" t="s">
        <v>15801</v>
      </c>
      <c r="D439" s="24" t="s">
        <v>15899</v>
      </c>
      <c r="E439" s="24" t="s">
        <v>15801</v>
      </c>
      <c r="F439" s="29" t="s">
        <v>3306</v>
      </c>
      <c r="H439" s="11" t="str">
        <f t="shared" si="12"/>
        <v/>
      </c>
      <c r="J439" s="11" t="str">
        <f t="shared" si="13"/>
        <v xml:space="preserve"> </v>
      </c>
      <c r="K439" s="24" t="s">
        <v>15801</v>
      </c>
    </row>
    <row r="440" spans="1:11">
      <c r="A440" s="24" t="s">
        <v>15833</v>
      </c>
      <c r="B440" s="24" t="s">
        <v>15833</v>
      </c>
      <c r="C440" s="24" t="s">
        <v>15801</v>
      </c>
      <c r="D440" s="24" t="s">
        <v>15899</v>
      </c>
      <c r="E440" s="24" t="s">
        <v>15801</v>
      </c>
      <c r="F440" s="29" t="s">
        <v>3311</v>
      </c>
      <c r="H440" s="11" t="str">
        <f t="shared" si="12"/>
        <v/>
      </c>
      <c r="J440" s="11" t="str">
        <f t="shared" si="13"/>
        <v xml:space="preserve"> </v>
      </c>
      <c r="K440" s="24" t="s">
        <v>15801</v>
      </c>
    </row>
    <row r="441" spans="1:11">
      <c r="A441" s="24" t="s">
        <v>15801</v>
      </c>
      <c r="B441" s="24" t="s">
        <v>15836</v>
      </c>
      <c r="C441" s="24" t="s">
        <v>15801</v>
      </c>
      <c r="D441" s="24" t="s">
        <v>15884</v>
      </c>
      <c r="E441" s="24" t="s">
        <v>15802</v>
      </c>
      <c r="H441" s="11" t="str">
        <f t="shared" si="12"/>
        <v/>
      </c>
      <c r="J441" s="11" t="str">
        <f t="shared" si="13"/>
        <v xml:space="preserve"> </v>
      </c>
      <c r="K441" s="24" t="s">
        <v>15801</v>
      </c>
    </row>
    <row r="442" spans="1:11">
      <c r="A442" s="24" t="s">
        <v>15818</v>
      </c>
      <c r="B442" s="24" t="s">
        <v>15818</v>
      </c>
      <c r="C442" s="24" t="s">
        <v>15884</v>
      </c>
      <c r="D442" s="24" t="s">
        <v>15900</v>
      </c>
      <c r="E442" s="24" t="s">
        <v>15801</v>
      </c>
      <c r="F442" s="29" t="s">
        <v>3375</v>
      </c>
      <c r="G442" s="24" t="s">
        <v>301</v>
      </c>
      <c r="H442" s="11" t="str">
        <f t="shared" si="12"/>
        <v>17/02/1838</v>
      </c>
      <c r="J442" s="11" t="str">
        <f t="shared" si="13"/>
        <v xml:space="preserve"> </v>
      </c>
      <c r="K442" s="24" t="s">
        <v>301</v>
      </c>
    </row>
    <row r="443" spans="1:11">
      <c r="A443" s="24" t="s">
        <v>15819</v>
      </c>
      <c r="B443" s="24" t="s">
        <v>15819</v>
      </c>
      <c r="C443" s="24" t="s">
        <v>15910</v>
      </c>
      <c r="D443" s="24" t="s">
        <v>15899</v>
      </c>
      <c r="E443" s="24" t="s">
        <v>15870</v>
      </c>
      <c r="F443" s="29" t="s">
        <v>3364</v>
      </c>
      <c r="G443" s="24" t="s">
        <v>3365</v>
      </c>
      <c r="H443" s="11" t="str">
        <f t="shared" si="12"/>
        <v>05/07/1889</v>
      </c>
      <c r="J443" s="11" t="str">
        <f t="shared" si="13"/>
        <v xml:space="preserve"> </v>
      </c>
      <c r="K443" s="24" t="s">
        <v>3365</v>
      </c>
    </row>
    <row r="444" spans="1:11">
      <c r="A444" s="24" t="s">
        <v>15842</v>
      </c>
      <c r="B444" s="24" t="s">
        <v>15842</v>
      </c>
      <c r="C444" s="24" t="s">
        <v>15801</v>
      </c>
      <c r="D444" s="24" t="s">
        <v>15900</v>
      </c>
      <c r="E444" s="24" t="s">
        <v>15804</v>
      </c>
      <c r="F444" s="29" t="s">
        <v>3324</v>
      </c>
      <c r="H444" s="11" t="str">
        <f t="shared" si="12"/>
        <v/>
      </c>
      <c r="J444" s="11" t="str">
        <f t="shared" si="13"/>
        <v xml:space="preserve"> </v>
      </c>
      <c r="K444" s="24" t="s">
        <v>15801</v>
      </c>
    </row>
    <row r="445" spans="1:11">
      <c r="A445" s="24" t="s">
        <v>15806</v>
      </c>
      <c r="B445" s="24" t="s">
        <v>15806</v>
      </c>
      <c r="C445" s="24" t="s">
        <v>15801</v>
      </c>
      <c r="D445" s="24" t="s">
        <v>15900</v>
      </c>
      <c r="E445" s="24" t="s">
        <v>15801</v>
      </c>
      <c r="F445" s="29" t="s">
        <v>3335</v>
      </c>
      <c r="H445" s="11" t="str">
        <f t="shared" si="12"/>
        <v/>
      </c>
      <c r="J445" s="11" t="str">
        <f t="shared" si="13"/>
        <v xml:space="preserve"> </v>
      </c>
      <c r="K445" s="24" t="s">
        <v>15801</v>
      </c>
    </row>
    <row r="446" spans="1:11">
      <c r="A446" s="24" t="s">
        <v>15828</v>
      </c>
      <c r="B446" s="24" t="s">
        <v>15828</v>
      </c>
      <c r="C446" s="24" t="s">
        <v>15882</v>
      </c>
      <c r="D446" s="24" t="s">
        <v>15900</v>
      </c>
      <c r="E446" s="24" t="s">
        <v>15915</v>
      </c>
      <c r="F446" s="29" t="s">
        <v>3347</v>
      </c>
      <c r="G446" s="24" t="s">
        <v>3349</v>
      </c>
      <c r="H446" s="11" t="str">
        <f t="shared" si="12"/>
        <v>31/05/1880</v>
      </c>
      <c r="J446" s="11" t="str">
        <f t="shared" si="13"/>
        <v xml:space="preserve"> </v>
      </c>
      <c r="K446" s="24" t="s">
        <v>3349</v>
      </c>
    </row>
    <row r="447" spans="1:11">
      <c r="A447" s="24" t="s">
        <v>15846</v>
      </c>
      <c r="B447" s="24" t="s">
        <v>15846</v>
      </c>
      <c r="C447" s="24" t="s">
        <v>15883</v>
      </c>
      <c r="D447" s="24" t="s">
        <v>15900</v>
      </c>
      <c r="E447" s="24" t="s">
        <v>15806</v>
      </c>
      <c r="F447" s="29" t="s">
        <v>3357</v>
      </c>
      <c r="G447" s="24" t="s">
        <v>3358</v>
      </c>
      <c r="H447" s="11" t="str">
        <f t="shared" si="12"/>
        <v>18/07/1874</v>
      </c>
      <c r="J447" s="11" t="str">
        <f t="shared" si="13"/>
        <v xml:space="preserve"> </v>
      </c>
      <c r="K447" s="24" t="s">
        <v>3358</v>
      </c>
    </row>
    <row r="448" spans="1:11">
      <c r="A448" s="24" t="s">
        <v>15823</v>
      </c>
      <c r="B448" s="24" t="s">
        <v>15823</v>
      </c>
      <c r="C448" s="24" t="s">
        <v>15898</v>
      </c>
      <c r="D448" s="24" t="s">
        <v>15900</v>
      </c>
      <c r="E448" s="24" t="s">
        <v>15801</v>
      </c>
      <c r="F448" s="29" t="s">
        <v>3379</v>
      </c>
      <c r="G448" s="24" t="s">
        <v>3381</v>
      </c>
      <c r="H448" s="11" t="str">
        <f t="shared" si="12"/>
        <v>04/09/1848</v>
      </c>
      <c r="J448" s="11" t="str">
        <f t="shared" si="13"/>
        <v xml:space="preserve"> </v>
      </c>
      <c r="K448" s="24" t="s">
        <v>3381</v>
      </c>
    </row>
    <row r="449" spans="1:11">
      <c r="A449" s="24" t="s">
        <v>15817</v>
      </c>
      <c r="B449" s="24" t="s">
        <v>15817</v>
      </c>
      <c r="C449" s="24" t="s">
        <v>15801</v>
      </c>
      <c r="E449" s="24" t="s">
        <v>15884</v>
      </c>
      <c r="F449" s="29" t="s">
        <v>3353</v>
      </c>
      <c r="H449" s="11" t="str">
        <f t="shared" si="12"/>
        <v/>
      </c>
      <c r="J449" s="11" t="str">
        <f t="shared" si="13"/>
        <v xml:space="preserve"> </v>
      </c>
      <c r="K449" s="24" t="s">
        <v>15801</v>
      </c>
    </row>
    <row r="450" spans="1:11">
      <c r="A450" s="24" t="s">
        <v>15820</v>
      </c>
      <c r="B450" s="24" t="s">
        <v>15820</v>
      </c>
      <c r="C450" s="24" t="s">
        <v>15801</v>
      </c>
      <c r="D450" s="24" t="s">
        <v>15908</v>
      </c>
      <c r="E450" s="24" t="s">
        <v>15801</v>
      </c>
      <c r="F450" s="29" t="s">
        <v>3341</v>
      </c>
      <c r="H450" s="11" t="str">
        <f t="shared" si="12"/>
        <v/>
      </c>
      <c r="J450" s="11" t="str">
        <f t="shared" si="13"/>
        <v xml:space="preserve"> </v>
      </c>
      <c r="K450" s="24" t="s">
        <v>15801</v>
      </c>
    </row>
    <row r="451" spans="1:11">
      <c r="A451" s="24" t="s">
        <v>15801</v>
      </c>
      <c r="B451" s="24" t="s">
        <v>15822</v>
      </c>
      <c r="C451" s="24" t="s">
        <v>15946</v>
      </c>
      <c r="D451" s="24" t="s">
        <v>15870</v>
      </c>
      <c r="E451" s="24" t="s">
        <v>15807</v>
      </c>
      <c r="G451" s="24">
        <v>1860</v>
      </c>
      <c r="H451" s="11"/>
      <c r="J451" s="11" t="str">
        <f t="shared" ref="J451:J514" si="14">IF(LEN(H451)=4,"fout"," ")</f>
        <v xml:space="preserve"> </v>
      </c>
    </row>
    <row r="452" spans="1:11">
      <c r="A452" s="24" t="s">
        <v>15829</v>
      </c>
      <c r="B452" s="24" t="s">
        <v>15829</v>
      </c>
      <c r="C452" s="24" t="s">
        <v>15889</v>
      </c>
      <c r="D452" s="24" t="s">
        <v>15956</v>
      </c>
      <c r="E452" s="24" t="s">
        <v>15921</v>
      </c>
      <c r="F452" s="29" t="s">
        <v>3585</v>
      </c>
      <c r="G452" s="24" t="s">
        <v>3586</v>
      </c>
      <c r="H452" s="11" t="str">
        <f t="shared" ref="H452:H514" si="15">TRIM(G452)</f>
        <v>23/10/1865</v>
      </c>
      <c r="J452" s="11" t="str">
        <f t="shared" si="14"/>
        <v xml:space="preserve"> </v>
      </c>
      <c r="K452" s="24" t="s">
        <v>3586</v>
      </c>
    </row>
    <row r="453" spans="1:11">
      <c r="A453" s="24" t="s">
        <v>15801</v>
      </c>
      <c r="B453" s="24" t="s">
        <v>15854</v>
      </c>
      <c r="C453" s="24" t="s">
        <v>15801</v>
      </c>
      <c r="D453" s="24" t="s">
        <v>15915</v>
      </c>
      <c r="E453" s="24" t="s">
        <v>15840</v>
      </c>
      <c r="H453" s="11" t="str">
        <f t="shared" si="15"/>
        <v/>
      </c>
      <c r="J453" s="11" t="str">
        <f t="shared" si="14"/>
        <v xml:space="preserve"> </v>
      </c>
      <c r="K453" s="24" t="s">
        <v>15801</v>
      </c>
    </row>
    <row r="454" spans="1:11">
      <c r="A454" s="24" t="s">
        <v>15808</v>
      </c>
      <c r="B454" s="24" t="s">
        <v>15808</v>
      </c>
      <c r="C454" s="24" t="s">
        <v>15916</v>
      </c>
      <c r="D454" s="24" t="s">
        <v>15884</v>
      </c>
      <c r="E454" s="24" t="s">
        <v>15811</v>
      </c>
      <c r="F454" s="29" t="s">
        <v>3492</v>
      </c>
      <c r="G454" s="24" t="s">
        <v>2865</v>
      </c>
      <c r="H454" s="11" t="str">
        <f t="shared" si="15"/>
        <v>07/08/1885</v>
      </c>
      <c r="J454" s="11" t="str">
        <f t="shared" si="14"/>
        <v xml:space="preserve"> </v>
      </c>
      <c r="K454" s="24" t="s">
        <v>2865</v>
      </c>
    </row>
    <row r="455" spans="1:11">
      <c r="A455" s="24" t="s">
        <v>15820</v>
      </c>
      <c r="B455" s="24" t="s">
        <v>15820</v>
      </c>
      <c r="C455" s="24" t="s">
        <v>15934</v>
      </c>
      <c r="D455" s="24" t="s">
        <v>15884</v>
      </c>
      <c r="E455" s="24" t="s">
        <v>15801</v>
      </c>
      <c r="F455" s="29" t="s">
        <v>3440</v>
      </c>
      <c r="G455" s="24" t="s">
        <v>3441</v>
      </c>
      <c r="H455" s="11" t="str">
        <f t="shared" si="15"/>
        <v>29/06/1898</v>
      </c>
      <c r="J455" s="11" t="str">
        <f t="shared" si="14"/>
        <v xml:space="preserve"> </v>
      </c>
      <c r="K455" s="24" t="s">
        <v>3441</v>
      </c>
    </row>
    <row r="456" spans="1:11">
      <c r="A456" s="24" t="s">
        <v>15801</v>
      </c>
      <c r="B456" s="24" t="s">
        <v>15803</v>
      </c>
      <c r="C456" s="24" t="s">
        <v>15801</v>
      </c>
      <c r="D456" s="24" t="s">
        <v>15965</v>
      </c>
      <c r="E456" s="24" t="s">
        <v>15844</v>
      </c>
      <c r="H456" s="11" t="str">
        <f t="shared" si="15"/>
        <v/>
      </c>
      <c r="J456" s="11" t="str">
        <f t="shared" si="14"/>
        <v xml:space="preserve"> </v>
      </c>
      <c r="K456" s="24" t="s">
        <v>15801</v>
      </c>
    </row>
    <row r="457" spans="1:11">
      <c r="A457" s="24" t="s">
        <v>15801</v>
      </c>
      <c r="B457" s="24" t="s">
        <v>15803</v>
      </c>
      <c r="C457" s="24" t="s">
        <v>15903</v>
      </c>
      <c r="D457" s="24" t="s">
        <v>15915</v>
      </c>
      <c r="E457" s="24" t="s">
        <v>15827</v>
      </c>
      <c r="G457" s="24" t="s">
        <v>3403</v>
      </c>
      <c r="H457" s="11" t="str">
        <f t="shared" si="15"/>
        <v>20/01/1895</v>
      </c>
      <c r="J457" s="11" t="str">
        <f t="shared" si="14"/>
        <v xml:space="preserve"> </v>
      </c>
      <c r="K457" s="24" t="s">
        <v>3403</v>
      </c>
    </row>
    <row r="458" spans="1:11">
      <c r="A458" s="24" t="s">
        <v>15801</v>
      </c>
      <c r="B458" s="24" t="s">
        <v>15803</v>
      </c>
      <c r="C458" s="24" t="s">
        <v>15913</v>
      </c>
      <c r="D458" s="24" t="s">
        <v>15900</v>
      </c>
      <c r="E458" s="24" t="s">
        <v>15811</v>
      </c>
      <c r="G458" s="24" t="s">
        <v>3467</v>
      </c>
      <c r="H458" s="11" t="str">
        <f t="shared" si="15"/>
        <v>21/02/1877</v>
      </c>
      <c r="J458" s="11" t="str">
        <f t="shared" si="14"/>
        <v xml:space="preserve"> </v>
      </c>
      <c r="K458" s="24" t="s">
        <v>3467</v>
      </c>
    </row>
    <row r="459" spans="1:11">
      <c r="A459" s="24" t="s">
        <v>15817</v>
      </c>
      <c r="B459" s="24" t="s">
        <v>15817</v>
      </c>
      <c r="C459" s="24" t="s">
        <v>15801</v>
      </c>
      <c r="D459" s="24" t="s">
        <v>15900</v>
      </c>
      <c r="E459" s="24" t="s">
        <v>15870</v>
      </c>
      <c r="F459" s="29" t="s">
        <v>3579</v>
      </c>
      <c r="H459" s="11" t="str">
        <f t="shared" si="15"/>
        <v/>
      </c>
      <c r="J459" s="11" t="str">
        <f t="shared" si="14"/>
        <v xml:space="preserve"> </v>
      </c>
      <c r="K459" s="24" t="s">
        <v>15801</v>
      </c>
    </row>
    <row r="460" spans="1:11">
      <c r="A460" s="24" t="s">
        <v>15823</v>
      </c>
      <c r="B460" s="24" t="s">
        <v>15823</v>
      </c>
      <c r="C460" s="24" t="s">
        <v>15898</v>
      </c>
      <c r="D460" s="24" t="s">
        <v>15900</v>
      </c>
      <c r="E460" s="24" t="s">
        <v>15801</v>
      </c>
      <c r="F460" s="29" t="s">
        <v>3409</v>
      </c>
      <c r="G460" s="24" t="s">
        <v>3411</v>
      </c>
      <c r="H460" s="11" t="str">
        <f t="shared" si="15"/>
        <v>13/09/1848</v>
      </c>
      <c r="J460" s="11" t="str">
        <f t="shared" si="14"/>
        <v xml:space="preserve"> </v>
      </c>
      <c r="K460" s="24" t="s">
        <v>3411</v>
      </c>
    </row>
    <row r="461" spans="1:11">
      <c r="A461" s="24" t="s">
        <v>15801</v>
      </c>
      <c r="B461" s="24" t="s">
        <v>15813</v>
      </c>
      <c r="C461" s="24" t="s">
        <v>15892</v>
      </c>
      <c r="D461" s="24" t="s">
        <v>15900</v>
      </c>
      <c r="E461" s="24" t="s">
        <v>15827</v>
      </c>
      <c r="G461" s="24" t="s">
        <v>3419</v>
      </c>
      <c r="H461" s="11" t="str">
        <f t="shared" si="15"/>
        <v>08/10/1871</v>
      </c>
      <c r="J461" s="11" t="str">
        <f t="shared" si="14"/>
        <v xml:space="preserve"> </v>
      </c>
      <c r="K461" s="24" t="s">
        <v>3419</v>
      </c>
    </row>
    <row r="462" spans="1:11">
      <c r="A462" s="24" t="s">
        <v>15801</v>
      </c>
      <c r="B462" s="24" t="s">
        <v>15803</v>
      </c>
      <c r="C462" s="24" t="s">
        <v>15801</v>
      </c>
      <c r="D462" s="24" t="s">
        <v>15900</v>
      </c>
      <c r="E462" s="24" t="s">
        <v>15823</v>
      </c>
      <c r="H462" s="11" t="str">
        <f t="shared" si="15"/>
        <v/>
      </c>
      <c r="J462" s="11" t="str">
        <f t="shared" si="14"/>
        <v xml:space="preserve"> </v>
      </c>
      <c r="K462" s="24" t="s">
        <v>15801</v>
      </c>
    </row>
    <row r="463" spans="1:11">
      <c r="A463" s="24" t="s">
        <v>15814</v>
      </c>
      <c r="B463" s="24" t="s">
        <v>15814</v>
      </c>
      <c r="C463" s="24" t="s">
        <v>15947</v>
      </c>
      <c r="D463" s="24" t="s">
        <v>15900</v>
      </c>
      <c r="E463" s="24" t="s">
        <v>15945</v>
      </c>
      <c r="F463" s="29" t="s">
        <v>3514</v>
      </c>
      <c r="G463" s="24" t="s">
        <v>3517</v>
      </c>
      <c r="H463" s="11" t="str">
        <f t="shared" si="15"/>
        <v>19/03/1870</v>
      </c>
      <c r="J463" s="11" t="str">
        <f t="shared" si="14"/>
        <v xml:space="preserve"> </v>
      </c>
      <c r="K463" s="24" t="s">
        <v>3517</v>
      </c>
    </row>
    <row r="464" spans="1:11">
      <c r="A464" s="24" t="s">
        <v>15833</v>
      </c>
      <c r="B464" s="24" t="s">
        <v>15833</v>
      </c>
      <c r="C464" s="24" t="s">
        <v>15927</v>
      </c>
      <c r="D464" s="24" t="s">
        <v>15870</v>
      </c>
      <c r="E464" s="24" t="s">
        <v>15884</v>
      </c>
      <c r="F464" s="29" t="s">
        <v>15976</v>
      </c>
      <c r="G464" s="24">
        <v>1906</v>
      </c>
      <c r="H464" s="11"/>
      <c r="J464" s="11" t="str">
        <f t="shared" si="14"/>
        <v xml:space="preserve"> </v>
      </c>
    </row>
    <row r="465" spans="1:11">
      <c r="A465" s="24" t="s">
        <v>15801</v>
      </c>
      <c r="B465" s="24" t="s">
        <v>15803</v>
      </c>
      <c r="C465" s="24" t="s">
        <v>15902</v>
      </c>
      <c r="D465" s="24" t="s">
        <v>15900</v>
      </c>
      <c r="E465" s="24" t="s">
        <v>15827</v>
      </c>
      <c r="G465" s="24" t="s">
        <v>3571</v>
      </c>
      <c r="H465" s="11" t="str">
        <f t="shared" si="15"/>
        <v>15/10/1876</v>
      </c>
      <c r="J465" s="11" t="str">
        <f t="shared" si="14"/>
        <v xml:space="preserve"> </v>
      </c>
      <c r="K465" s="24" t="s">
        <v>3571</v>
      </c>
    </row>
    <row r="466" spans="1:11">
      <c r="A466" s="24" t="s">
        <v>15801</v>
      </c>
      <c r="B466" s="24" t="s">
        <v>15841</v>
      </c>
      <c r="C466" s="24" t="s">
        <v>15913</v>
      </c>
      <c r="D466" s="24" t="s">
        <v>15900</v>
      </c>
      <c r="E466" s="24" t="s">
        <v>15828</v>
      </c>
      <c r="G466" s="24" t="s">
        <v>3532</v>
      </c>
      <c r="H466" s="11" t="str">
        <f t="shared" si="15"/>
        <v>08/02/877</v>
      </c>
      <c r="J466" s="11" t="str">
        <f t="shared" si="14"/>
        <v xml:space="preserve"> </v>
      </c>
      <c r="K466" s="24" t="s">
        <v>3532</v>
      </c>
    </row>
    <row r="467" spans="1:11">
      <c r="A467" s="24" t="s">
        <v>15823</v>
      </c>
      <c r="B467" s="24" t="s">
        <v>15823</v>
      </c>
      <c r="C467" s="24" t="s">
        <v>15801</v>
      </c>
      <c r="D467" s="24" t="s">
        <v>15900</v>
      </c>
      <c r="E467" s="24" t="s">
        <v>15801</v>
      </c>
      <c r="F467" s="29" t="s">
        <v>3563</v>
      </c>
      <c r="H467" s="11" t="str">
        <f t="shared" si="15"/>
        <v/>
      </c>
      <c r="J467" s="11" t="str">
        <f t="shared" si="14"/>
        <v xml:space="preserve"> </v>
      </c>
      <c r="K467" s="24" t="s">
        <v>15801</v>
      </c>
    </row>
    <row r="468" spans="1:11">
      <c r="A468" s="24" t="s">
        <v>15801</v>
      </c>
      <c r="B468" s="24" t="s">
        <v>15845</v>
      </c>
      <c r="C468" s="24" t="s">
        <v>15801</v>
      </c>
      <c r="D468" s="24" t="s">
        <v>15870</v>
      </c>
      <c r="E468" s="24" t="s">
        <v>15818</v>
      </c>
      <c r="H468" s="11" t="str">
        <f t="shared" si="15"/>
        <v/>
      </c>
      <c r="J468" s="11" t="str">
        <f t="shared" si="14"/>
        <v xml:space="preserve"> </v>
      </c>
      <c r="K468" s="24" t="s">
        <v>15801</v>
      </c>
    </row>
    <row r="469" spans="1:11">
      <c r="A469" s="24" t="s">
        <v>15821</v>
      </c>
      <c r="B469" s="24" t="s">
        <v>15821</v>
      </c>
      <c r="C469" s="24" t="s">
        <v>15904</v>
      </c>
      <c r="D469" s="24" t="s">
        <v>15870</v>
      </c>
      <c r="E469" s="24" t="s">
        <v>15971</v>
      </c>
      <c r="F469" s="29" t="s">
        <v>3507</v>
      </c>
      <c r="G469" s="24" t="s">
        <v>3509</v>
      </c>
      <c r="H469" s="11" t="str">
        <f t="shared" si="15"/>
        <v>04/03/1890</v>
      </c>
      <c r="J469" s="11" t="str">
        <f t="shared" si="14"/>
        <v xml:space="preserve"> </v>
      </c>
      <c r="K469" s="24" t="s">
        <v>3509</v>
      </c>
    </row>
    <row r="470" spans="1:11">
      <c r="A470" s="24" t="s">
        <v>15806</v>
      </c>
      <c r="B470" s="24" t="s">
        <v>15806</v>
      </c>
      <c r="C470" s="24" t="s">
        <v>15933</v>
      </c>
      <c r="D470" s="24" t="s">
        <v>15870</v>
      </c>
      <c r="E470" s="24" t="s">
        <v>15851</v>
      </c>
      <c r="F470" s="29" t="s">
        <v>3485</v>
      </c>
      <c r="G470" s="24" t="s">
        <v>3487</v>
      </c>
      <c r="H470" s="11" t="str">
        <f t="shared" si="15"/>
        <v>07/12/1873</v>
      </c>
      <c r="J470" s="11" t="str">
        <f t="shared" si="14"/>
        <v xml:space="preserve"> </v>
      </c>
      <c r="K470" s="24" t="s">
        <v>3487</v>
      </c>
    </row>
    <row r="471" spans="1:11">
      <c r="A471" s="24" t="s">
        <v>15833</v>
      </c>
      <c r="B471" s="24" t="s">
        <v>15833</v>
      </c>
      <c r="C471" s="24" t="s">
        <v>15801</v>
      </c>
      <c r="D471" s="24" t="s">
        <v>15870</v>
      </c>
      <c r="E471" s="24" t="s">
        <v>15899</v>
      </c>
      <c r="F471" s="29" t="s">
        <v>3448</v>
      </c>
      <c r="H471" s="11" t="str">
        <f t="shared" si="15"/>
        <v/>
      </c>
      <c r="J471" s="11" t="str">
        <f t="shared" si="14"/>
        <v xml:space="preserve"> </v>
      </c>
      <c r="K471" s="24" t="s">
        <v>15801</v>
      </c>
    </row>
    <row r="472" spans="1:11">
      <c r="A472" s="24" t="s">
        <v>15801</v>
      </c>
      <c r="B472" s="24" t="s">
        <v>15850</v>
      </c>
      <c r="C472" s="24" t="s">
        <v>15878</v>
      </c>
      <c r="D472" s="24" t="s">
        <v>15900</v>
      </c>
      <c r="E472" s="24" t="s">
        <v>15825</v>
      </c>
      <c r="G472" s="24">
        <v>1850</v>
      </c>
      <c r="H472" s="11"/>
      <c r="J472" s="11" t="str">
        <f t="shared" si="14"/>
        <v xml:space="preserve"> </v>
      </c>
    </row>
    <row r="473" spans="1:11">
      <c r="A473" s="24" t="s">
        <v>15828</v>
      </c>
      <c r="B473" s="24" t="s">
        <v>15828</v>
      </c>
      <c r="C473" s="24" t="s">
        <v>15894</v>
      </c>
      <c r="D473" s="24" t="s">
        <v>15870</v>
      </c>
      <c r="E473" s="24" t="s">
        <v>15884</v>
      </c>
      <c r="F473" s="29" t="s">
        <v>3539</v>
      </c>
      <c r="G473" s="24" t="s">
        <v>15776</v>
      </c>
      <c r="H473" s="11" t="str">
        <f t="shared" si="15"/>
        <v>23/10/1901</v>
      </c>
      <c r="J473" s="11" t="str">
        <f t="shared" si="14"/>
        <v xml:space="preserve"> </v>
      </c>
      <c r="K473" s="24" t="s">
        <v>15776</v>
      </c>
    </row>
    <row r="474" spans="1:11">
      <c r="A474" s="24" t="s">
        <v>15801</v>
      </c>
      <c r="B474" s="24" t="s">
        <v>15849</v>
      </c>
      <c r="C474" s="24" t="s">
        <v>15893</v>
      </c>
      <c r="D474" s="24" t="s">
        <v>15870</v>
      </c>
      <c r="E474" s="24" t="s">
        <v>15802</v>
      </c>
      <c r="G474" s="24" t="s">
        <v>3548</v>
      </c>
      <c r="H474" s="11" t="str">
        <f t="shared" si="15"/>
        <v>15/07/1879</v>
      </c>
      <c r="J474" s="11" t="str">
        <f t="shared" si="14"/>
        <v xml:space="preserve"> </v>
      </c>
      <c r="K474" s="24" t="s">
        <v>3548</v>
      </c>
    </row>
    <row r="475" spans="1:11">
      <c r="A475" s="24" t="s">
        <v>15801</v>
      </c>
      <c r="B475" s="24" t="s">
        <v>15813</v>
      </c>
      <c r="C475" s="24" t="s">
        <v>15910</v>
      </c>
      <c r="D475" s="24" t="s">
        <v>15900</v>
      </c>
      <c r="E475" s="24" t="s">
        <v>15823</v>
      </c>
      <c r="G475" s="24" t="s">
        <v>3435</v>
      </c>
      <c r="H475" s="11" t="str">
        <f t="shared" si="15"/>
        <v>04/10/1889</v>
      </c>
      <c r="J475" s="11" t="str">
        <f t="shared" si="14"/>
        <v xml:space="preserve"> </v>
      </c>
      <c r="K475" s="24" t="s">
        <v>3435</v>
      </c>
    </row>
    <row r="476" spans="1:11">
      <c r="A476" s="24" t="s">
        <v>15814</v>
      </c>
      <c r="B476" s="24" t="s">
        <v>15814</v>
      </c>
      <c r="C476" s="24" t="s">
        <v>15909</v>
      </c>
      <c r="D476" s="24" t="s">
        <v>15900</v>
      </c>
      <c r="E476" s="24" t="s">
        <v>15827</v>
      </c>
      <c r="G476" s="24" t="s">
        <v>3461</v>
      </c>
      <c r="H476" s="11" t="str">
        <f t="shared" si="15"/>
        <v>14/12/1881</v>
      </c>
      <c r="J476" s="11" t="str">
        <f t="shared" si="14"/>
        <v xml:space="preserve"> </v>
      </c>
      <c r="K476" s="24" t="s">
        <v>3461</v>
      </c>
    </row>
    <row r="477" spans="1:11">
      <c r="A477" s="24" t="s">
        <v>15801</v>
      </c>
      <c r="B477" s="24" t="s">
        <v>15860</v>
      </c>
      <c r="C477" s="24" t="s">
        <v>15801</v>
      </c>
      <c r="D477" s="24" t="s">
        <v>15900</v>
      </c>
      <c r="E477" s="24" t="s">
        <v>15801</v>
      </c>
      <c r="H477" s="11" t="str">
        <f t="shared" si="15"/>
        <v/>
      </c>
      <c r="J477" s="11" t="str">
        <f t="shared" si="14"/>
        <v xml:space="preserve"> </v>
      </c>
      <c r="K477" s="24" t="s">
        <v>15801</v>
      </c>
    </row>
    <row r="478" spans="1:11">
      <c r="A478" s="24" t="s">
        <v>15827</v>
      </c>
      <c r="B478" s="24" t="s">
        <v>15827</v>
      </c>
      <c r="C478" s="24" t="s">
        <v>15904</v>
      </c>
      <c r="D478" s="24" t="s">
        <v>15900</v>
      </c>
      <c r="E478" s="24" t="s">
        <v>15801</v>
      </c>
      <c r="F478" s="29" t="s">
        <v>3556</v>
      </c>
      <c r="G478" s="24" t="s">
        <v>3558</v>
      </c>
      <c r="H478" s="11" t="str">
        <f t="shared" si="15"/>
        <v>29/04/1890</v>
      </c>
      <c r="J478" s="11" t="str">
        <f t="shared" si="14"/>
        <v xml:space="preserve"> </v>
      </c>
      <c r="K478" s="24" t="s">
        <v>3558</v>
      </c>
    </row>
    <row r="479" spans="1:11">
      <c r="A479" s="24" t="s">
        <v>15834</v>
      </c>
      <c r="B479" s="24" t="s">
        <v>15834</v>
      </c>
      <c r="C479" s="24" t="s">
        <v>15948</v>
      </c>
      <c r="D479" s="24" t="s">
        <v>15884</v>
      </c>
      <c r="E479" s="24" t="s">
        <v>15816</v>
      </c>
      <c r="F479" s="29" t="s">
        <v>3654</v>
      </c>
      <c r="G479" s="24" t="s">
        <v>3655</v>
      </c>
      <c r="H479" s="11" t="str">
        <f t="shared" si="15"/>
        <v>08/07/1845</v>
      </c>
      <c r="J479" s="11" t="str">
        <f t="shared" si="14"/>
        <v xml:space="preserve"> </v>
      </c>
      <c r="K479" s="24" t="s">
        <v>3655</v>
      </c>
    </row>
    <row r="480" spans="1:11">
      <c r="A480" s="24" t="s">
        <v>15801</v>
      </c>
      <c r="B480" s="24" t="s">
        <v>15809</v>
      </c>
      <c r="C480" s="24" t="s">
        <v>15801</v>
      </c>
      <c r="D480" s="24" t="s">
        <v>15900</v>
      </c>
      <c r="E480" s="24" t="s">
        <v>15849</v>
      </c>
      <c r="H480" s="11" t="str">
        <f t="shared" si="15"/>
        <v/>
      </c>
      <c r="J480" s="11" t="str">
        <f t="shared" si="14"/>
        <v xml:space="preserve"> </v>
      </c>
      <c r="K480" s="24" t="s">
        <v>15801</v>
      </c>
    </row>
    <row r="481" spans="1:11">
      <c r="A481" s="24" t="s">
        <v>15801</v>
      </c>
      <c r="B481" s="24" t="s">
        <v>15830</v>
      </c>
      <c r="C481" s="24" t="s">
        <v>15924</v>
      </c>
      <c r="D481" s="24" t="s">
        <v>15900</v>
      </c>
      <c r="E481" s="24" t="s">
        <v>15821</v>
      </c>
      <c r="G481" s="24" t="s">
        <v>3626</v>
      </c>
      <c r="H481" s="11" t="str">
        <f t="shared" si="15"/>
        <v>27/10/1868</v>
      </c>
      <c r="J481" s="11" t="str">
        <f t="shared" si="14"/>
        <v xml:space="preserve"> </v>
      </c>
      <c r="K481" s="24" t="s">
        <v>3626</v>
      </c>
    </row>
    <row r="482" spans="1:11">
      <c r="A482" s="24" t="s">
        <v>15825</v>
      </c>
      <c r="B482" s="24" t="s">
        <v>15825</v>
      </c>
      <c r="C482" s="24" t="s">
        <v>15801</v>
      </c>
      <c r="D482" s="24" t="s">
        <v>15900</v>
      </c>
      <c r="E482" s="24" t="s">
        <v>15900</v>
      </c>
      <c r="F482" s="29" t="s">
        <v>3621</v>
      </c>
      <c r="H482" s="11" t="str">
        <f t="shared" si="15"/>
        <v/>
      </c>
      <c r="J482" s="11" t="str">
        <f t="shared" si="14"/>
        <v xml:space="preserve"> </v>
      </c>
      <c r="K482" s="24" t="s">
        <v>15801</v>
      </c>
    </row>
    <row r="483" spans="1:11">
      <c r="A483" s="24" t="s">
        <v>15801</v>
      </c>
      <c r="B483" s="24" t="s">
        <v>15816</v>
      </c>
      <c r="C483" s="24" t="s">
        <v>15801</v>
      </c>
      <c r="D483" s="24" t="s">
        <v>15900</v>
      </c>
      <c r="E483" s="24" t="s">
        <v>15900</v>
      </c>
      <c r="H483" s="11" t="str">
        <f t="shared" si="15"/>
        <v/>
      </c>
      <c r="J483" s="11" t="str">
        <f t="shared" si="14"/>
        <v xml:space="preserve"> </v>
      </c>
      <c r="K483" s="24" t="s">
        <v>15801</v>
      </c>
    </row>
    <row r="484" spans="1:11">
      <c r="A484" s="24" t="s">
        <v>15802</v>
      </c>
      <c r="B484" s="24" t="s">
        <v>15802</v>
      </c>
      <c r="C484" s="24" t="s">
        <v>15910</v>
      </c>
      <c r="D484" s="24" t="s">
        <v>15900</v>
      </c>
      <c r="E484" s="24" t="s">
        <v>15801</v>
      </c>
      <c r="F484" s="29" t="s">
        <v>3634</v>
      </c>
      <c r="G484" s="24" t="s">
        <v>3635</v>
      </c>
      <c r="H484" s="11" t="str">
        <f t="shared" si="15"/>
        <v>01/08/1889</v>
      </c>
      <c r="J484" s="11" t="str">
        <f t="shared" si="14"/>
        <v xml:space="preserve"> </v>
      </c>
      <c r="K484" s="24" t="s">
        <v>3635</v>
      </c>
    </row>
    <row r="485" spans="1:11">
      <c r="A485" s="24" t="s">
        <v>15801</v>
      </c>
      <c r="B485" s="24" t="s">
        <v>15835</v>
      </c>
      <c r="C485" s="24" t="s">
        <v>15801</v>
      </c>
      <c r="D485" s="24" t="s">
        <v>15884</v>
      </c>
      <c r="E485" s="24" t="s">
        <v>15811</v>
      </c>
      <c r="H485" s="11" t="str">
        <f t="shared" si="15"/>
        <v/>
      </c>
      <c r="J485" s="11" t="str">
        <f t="shared" si="14"/>
        <v xml:space="preserve"> </v>
      </c>
      <c r="K485" s="24" t="s">
        <v>15801</v>
      </c>
    </row>
    <row r="486" spans="1:11">
      <c r="A486" s="24" t="s">
        <v>15801</v>
      </c>
      <c r="B486" s="24" t="s">
        <v>15826</v>
      </c>
      <c r="C486" s="24" t="s">
        <v>15923</v>
      </c>
      <c r="D486" s="24" t="s">
        <v>15884</v>
      </c>
      <c r="E486" s="24" t="s">
        <v>15835</v>
      </c>
      <c r="G486" s="24" t="s">
        <v>3611</v>
      </c>
      <c r="H486" s="11" t="str">
        <f t="shared" si="15"/>
        <v>27/12/1853</v>
      </c>
      <c r="J486" s="11" t="str">
        <f t="shared" si="14"/>
        <v xml:space="preserve"> </v>
      </c>
      <c r="K486" s="24" t="s">
        <v>3611</v>
      </c>
    </row>
    <row r="487" spans="1:11">
      <c r="A487" s="24" t="s">
        <v>15801</v>
      </c>
      <c r="B487" s="24" t="s">
        <v>15814</v>
      </c>
      <c r="C487" s="24" t="s">
        <v>15801</v>
      </c>
      <c r="D487" s="24" t="s">
        <v>15884</v>
      </c>
      <c r="E487" s="24" t="s">
        <v>15921</v>
      </c>
      <c r="H487" s="11" t="str">
        <f t="shared" si="15"/>
        <v/>
      </c>
      <c r="J487" s="11" t="str">
        <f t="shared" si="14"/>
        <v xml:space="preserve"> </v>
      </c>
      <c r="K487" s="24" t="s">
        <v>15801</v>
      </c>
    </row>
    <row r="488" spans="1:11">
      <c r="A488" s="24" t="s">
        <v>15827</v>
      </c>
      <c r="B488" s="24" t="s">
        <v>15827</v>
      </c>
      <c r="C488" s="24" t="s">
        <v>15801</v>
      </c>
      <c r="D488" s="24" t="s">
        <v>15884</v>
      </c>
      <c r="E488" s="24" t="s">
        <v>15801</v>
      </c>
      <c r="F488" s="29" t="s">
        <v>3593</v>
      </c>
      <c r="H488" s="11" t="str">
        <f t="shared" si="15"/>
        <v/>
      </c>
      <c r="J488" s="11" t="str">
        <f t="shared" si="14"/>
        <v xml:space="preserve"> </v>
      </c>
      <c r="K488" s="24" t="s">
        <v>15801</v>
      </c>
    </row>
    <row r="489" spans="1:11">
      <c r="A489" s="24" t="s">
        <v>15801</v>
      </c>
      <c r="B489" s="24" t="s">
        <v>15815</v>
      </c>
      <c r="C489" s="24" t="s">
        <v>15892</v>
      </c>
      <c r="D489" s="24" t="s">
        <v>15900</v>
      </c>
      <c r="E489" s="24" t="s">
        <v>15900</v>
      </c>
      <c r="G489" s="24" t="s">
        <v>3607</v>
      </c>
      <c r="H489" s="11" t="str">
        <f t="shared" si="15"/>
        <v>19/07/1871</v>
      </c>
      <c r="J489" s="11" t="str">
        <f t="shared" si="14"/>
        <v xml:space="preserve"> </v>
      </c>
      <c r="K489" s="24" t="s">
        <v>3607</v>
      </c>
    </row>
    <row r="490" spans="1:11">
      <c r="A490" s="24" t="s">
        <v>15847</v>
      </c>
      <c r="B490" s="24" t="s">
        <v>15847</v>
      </c>
      <c r="C490" s="24" t="s">
        <v>15906</v>
      </c>
      <c r="D490" s="24" t="s">
        <v>15884</v>
      </c>
      <c r="E490" s="24" t="s">
        <v>15832</v>
      </c>
      <c r="F490" s="29" t="s">
        <v>3660</v>
      </c>
      <c r="G490" s="24" t="s">
        <v>3661</v>
      </c>
      <c r="H490" s="11" t="str">
        <f t="shared" si="15"/>
        <v>23/09/1862</v>
      </c>
      <c r="J490" s="11" t="str">
        <f t="shared" si="14"/>
        <v xml:space="preserve"> </v>
      </c>
      <c r="K490" s="24" t="s">
        <v>3661</v>
      </c>
    </row>
    <row r="491" spans="1:11">
      <c r="A491" s="24" t="s">
        <v>15801</v>
      </c>
      <c r="B491" s="24" t="s">
        <v>15815</v>
      </c>
      <c r="C491" s="24" t="s">
        <v>15801</v>
      </c>
      <c r="D491" s="24" t="s">
        <v>15891</v>
      </c>
      <c r="E491" s="24" t="s">
        <v>15966</v>
      </c>
      <c r="H491" s="11" t="str">
        <f t="shared" si="15"/>
        <v/>
      </c>
      <c r="J491" s="11" t="str">
        <f t="shared" si="14"/>
        <v xml:space="preserve"> </v>
      </c>
      <c r="K491" s="24" t="s">
        <v>15801</v>
      </c>
    </row>
    <row r="492" spans="1:11">
      <c r="A492" s="24" t="s">
        <v>15804</v>
      </c>
      <c r="B492" s="24" t="s">
        <v>15804</v>
      </c>
      <c r="C492" s="24" t="s">
        <v>15883</v>
      </c>
      <c r="D492" s="24" t="s">
        <v>15899</v>
      </c>
      <c r="E492" s="24" t="s">
        <v>15801</v>
      </c>
      <c r="F492" s="29" t="s">
        <v>3753</v>
      </c>
      <c r="G492" s="24" t="s">
        <v>3755</v>
      </c>
      <c r="H492" s="11" t="str">
        <f t="shared" si="15"/>
        <v>23/07/1874</v>
      </c>
      <c r="J492" s="11" t="str">
        <f t="shared" si="14"/>
        <v xml:space="preserve"> </v>
      </c>
      <c r="K492" s="24" t="s">
        <v>3755</v>
      </c>
    </row>
    <row r="493" spans="1:11">
      <c r="A493" s="24" t="s">
        <v>15801</v>
      </c>
      <c r="B493" s="24" t="s">
        <v>15832</v>
      </c>
      <c r="C493" s="24" t="s">
        <v>15801</v>
      </c>
      <c r="D493" s="24" t="s">
        <v>15899</v>
      </c>
      <c r="E493" s="24" t="s">
        <v>15801</v>
      </c>
      <c r="H493" s="11" t="str">
        <f t="shared" si="15"/>
        <v/>
      </c>
      <c r="J493" s="11" t="str">
        <f t="shared" si="14"/>
        <v xml:space="preserve"> </v>
      </c>
      <c r="K493" s="24" t="s">
        <v>15801</v>
      </c>
    </row>
    <row r="494" spans="1:11">
      <c r="A494" s="24" t="s">
        <v>15801</v>
      </c>
      <c r="B494" s="24" t="s">
        <v>15834</v>
      </c>
      <c r="C494" s="24" t="s">
        <v>15801</v>
      </c>
      <c r="D494" s="24" t="s">
        <v>15870</v>
      </c>
      <c r="E494" s="24" t="s">
        <v>15817</v>
      </c>
      <c r="H494" s="11" t="str">
        <f t="shared" si="15"/>
        <v/>
      </c>
      <c r="J494" s="11" t="str">
        <f t="shared" si="14"/>
        <v xml:space="preserve"> </v>
      </c>
      <c r="K494" s="24" t="s">
        <v>15801</v>
      </c>
    </row>
    <row r="495" spans="1:11">
      <c r="A495" s="24" t="s">
        <v>15835</v>
      </c>
      <c r="B495" s="24" t="s">
        <v>15835</v>
      </c>
      <c r="C495" s="24" t="s">
        <v>15890</v>
      </c>
      <c r="D495" s="24" t="s">
        <v>15870</v>
      </c>
      <c r="E495" s="24" t="s">
        <v>15820</v>
      </c>
      <c r="F495" s="29" t="s">
        <v>3791</v>
      </c>
      <c r="G495" s="24" t="s">
        <v>3793</v>
      </c>
      <c r="H495" s="11" t="str">
        <f t="shared" si="15"/>
        <v>18/08/1875</v>
      </c>
      <c r="J495" s="11" t="str">
        <f t="shared" si="14"/>
        <v xml:space="preserve"> </v>
      </c>
      <c r="K495" s="24" t="s">
        <v>3793</v>
      </c>
    </row>
    <row r="496" spans="1:11">
      <c r="A496" s="24" t="s">
        <v>15827</v>
      </c>
      <c r="B496" s="24" t="s">
        <v>15827</v>
      </c>
      <c r="C496" s="24" t="s">
        <v>15909</v>
      </c>
      <c r="D496" s="24" t="s">
        <v>15870</v>
      </c>
      <c r="E496" s="24" t="s">
        <v>15938</v>
      </c>
      <c r="F496" s="29" t="s">
        <v>3672</v>
      </c>
      <c r="G496" s="24" t="s">
        <v>3673</v>
      </c>
      <c r="H496" s="11" t="str">
        <f t="shared" si="15"/>
        <v>12/10/1881</v>
      </c>
      <c r="J496" s="11" t="str">
        <f t="shared" si="14"/>
        <v xml:space="preserve"> </v>
      </c>
      <c r="K496" s="24" t="s">
        <v>3673</v>
      </c>
    </row>
    <row r="497" spans="1:11">
      <c r="A497" s="24" t="s">
        <v>15801</v>
      </c>
      <c r="B497" s="24" t="s">
        <v>15867</v>
      </c>
      <c r="C497" s="24" t="s">
        <v>15801</v>
      </c>
      <c r="D497" s="24" t="s">
        <v>15870</v>
      </c>
      <c r="E497" s="24" t="s">
        <v>15835</v>
      </c>
      <c r="H497" s="11" t="str">
        <f t="shared" si="15"/>
        <v/>
      </c>
      <c r="J497" s="11" t="str">
        <f t="shared" si="14"/>
        <v xml:space="preserve"> </v>
      </c>
      <c r="K497" s="24" t="s">
        <v>15801</v>
      </c>
    </row>
    <row r="498" spans="1:11">
      <c r="A498" s="24" t="s">
        <v>15813</v>
      </c>
      <c r="B498" s="24" t="s">
        <v>15813</v>
      </c>
      <c r="C498" s="24" t="s">
        <v>15801</v>
      </c>
      <c r="D498" s="24" t="s">
        <v>15870</v>
      </c>
      <c r="E498" s="24" t="s">
        <v>15801</v>
      </c>
      <c r="F498" s="29" t="s">
        <v>3775</v>
      </c>
      <c r="H498" s="11" t="str">
        <f t="shared" si="15"/>
        <v/>
      </c>
      <c r="J498" s="11" t="str">
        <f t="shared" si="14"/>
        <v xml:space="preserve"> </v>
      </c>
      <c r="K498" s="24" t="s">
        <v>15801</v>
      </c>
    </row>
    <row r="499" spans="1:11">
      <c r="A499" s="24" t="s">
        <v>15817</v>
      </c>
      <c r="B499" s="24" t="s">
        <v>15817</v>
      </c>
      <c r="C499" s="24" t="s">
        <v>15910</v>
      </c>
      <c r="D499" s="24" t="s">
        <v>15870</v>
      </c>
      <c r="E499" s="24" t="s">
        <v>15801</v>
      </c>
      <c r="F499" s="29" t="s">
        <v>3738</v>
      </c>
      <c r="G499" s="24" t="s">
        <v>3740</v>
      </c>
      <c r="H499" s="11" t="str">
        <f t="shared" si="15"/>
        <v>12/01/1889</v>
      </c>
      <c r="J499" s="11" t="str">
        <f t="shared" si="14"/>
        <v xml:space="preserve"> </v>
      </c>
      <c r="K499" s="24" t="s">
        <v>3740</v>
      </c>
    </row>
    <row r="500" spans="1:11">
      <c r="A500" s="24" t="s">
        <v>15801</v>
      </c>
      <c r="B500" s="24" t="s">
        <v>15801</v>
      </c>
      <c r="C500" s="24" t="s">
        <v>15801</v>
      </c>
      <c r="D500" s="24" t="s">
        <v>15884</v>
      </c>
      <c r="E500" s="24" t="s">
        <v>15801</v>
      </c>
      <c r="H500" s="11" t="str">
        <f t="shared" si="15"/>
        <v/>
      </c>
      <c r="J500" s="11" t="str">
        <f t="shared" si="14"/>
        <v xml:space="preserve"> </v>
      </c>
      <c r="K500" s="24" t="s">
        <v>15801</v>
      </c>
    </row>
    <row r="501" spans="1:11">
      <c r="A501" s="24" t="s">
        <v>15801</v>
      </c>
      <c r="B501" s="24" t="s">
        <v>15829</v>
      </c>
      <c r="C501" s="24" t="s">
        <v>15905</v>
      </c>
      <c r="D501" s="24" t="s">
        <v>15899</v>
      </c>
      <c r="E501" s="24" t="s">
        <v>15801</v>
      </c>
      <c r="G501" s="24">
        <v>1849</v>
      </c>
      <c r="H501" s="11"/>
      <c r="J501" s="11" t="str">
        <f t="shared" si="14"/>
        <v xml:space="preserve"> </v>
      </c>
    </row>
    <row r="502" spans="1:11">
      <c r="A502" s="24" t="s">
        <v>15804</v>
      </c>
      <c r="B502" s="24" t="s">
        <v>15804</v>
      </c>
      <c r="C502" s="24" t="s">
        <v>15910</v>
      </c>
      <c r="D502" s="24" t="s">
        <v>15870</v>
      </c>
      <c r="E502" s="24" t="s">
        <v>15844</v>
      </c>
      <c r="F502" s="29" t="s">
        <v>3780</v>
      </c>
      <c r="G502" s="24" t="s">
        <v>3783</v>
      </c>
      <c r="H502" s="11" t="str">
        <f t="shared" si="15"/>
        <v>05/10/1889</v>
      </c>
      <c r="J502" s="11" t="str">
        <f t="shared" si="14"/>
        <v xml:space="preserve"> </v>
      </c>
      <c r="K502" s="24" t="s">
        <v>3783</v>
      </c>
    </row>
    <row r="503" spans="1:11">
      <c r="A503" s="24" t="s">
        <v>15825</v>
      </c>
      <c r="B503" s="24" t="s">
        <v>15825</v>
      </c>
      <c r="C503" s="24" t="s">
        <v>15801</v>
      </c>
      <c r="D503" s="24" t="s">
        <v>15801</v>
      </c>
      <c r="E503" s="24" t="s">
        <v>15921</v>
      </c>
      <c r="F503" s="29" t="s">
        <v>3746</v>
      </c>
      <c r="H503" s="11" t="str">
        <f t="shared" si="15"/>
        <v/>
      </c>
      <c r="J503" s="11" t="str">
        <f t="shared" si="14"/>
        <v xml:space="preserve"> </v>
      </c>
      <c r="K503" s="24" t="s">
        <v>15801</v>
      </c>
    </row>
    <row r="504" spans="1:11">
      <c r="A504" s="24" t="s">
        <v>15801</v>
      </c>
      <c r="B504" s="24" t="s">
        <v>15804</v>
      </c>
      <c r="C504" s="24" t="s">
        <v>15801</v>
      </c>
      <c r="D504" s="24" t="s">
        <v>15900</v>
      </c>
      <c r="E504" s="24" t="s">
        <v>15801</v>
      </c>
      <c r="H504" s="11" t="str">
        <f t="shared" si="15"/>
        <v/>
      </c>
      <c r="J504" s="11" t="str">
        <f t="shared" si="14"/>
        <v xml:space="preserve"> </v>
      </c>
      <c r="K504" s="24" t="s">
        <v>15801</v>
      </c>
    </row>
    <row r="505" spans="1:11">
      <c r="A505" s="24" t="s">
        <v>15825</v>
      </c>
      <c r="B505" s="24" t="s">
        <v>15825</v>
      </c>
      <c r="C505" s="24" t="s">
        <v>15880</v>
      </c>
      <c r="D505" s="24" t="s">
        <v>15900</v>
      </c>
      <c r="E505" s="24" t="s">
        <v>15801</v>
      </c>
      <c r="F505" s="29" t="s">
        <v>3680</v>
      </c>
      <c r="G505" s="24" t="s">
        <v>3682</v>
      </c>
      <c r="H505" s="11" t="str">
        <f t="shared" si="15"/>
        <v>14/01/1892</v>
      </c>
      <c r="J505" s="11" t="str">
        <f t="shared" si="14"/>
        <v xml:space="preserve"> </v>
      </c>
      <c r="K505" s="24" t="s">
        <v>3682</v>
      </c>
    </row>
    <row r="506" spans="1:11">
      <c r="A506" s="24" t="s">
        <v>15802</v>
      </c>
      <c r="B506" s="24" t="s">
        <v>15802</v>
      </c>
      <c r="C506" s="24" t="s">
        <v>15928</v>
      </c>
      <c r="D506" s="24" t="s">
        <v>15870</v>
      </c>
      <c r="E506" s="24" t="s">
        <v>15870</v>
      </c>
      <c r="F506" s="29" t="s">
        <v>3886</v>
      </c>
      <c r="G506" s="24" t="s">
        <v>3888</v>
      </c>
      <c r="H506" s="11" t="str">
        <f t="shared" si="15"/>
        <v>19/04/1899</v>
      </c>
      <c r="J506" s="11" t="str">
        <f t="shared" si="14"/>
        <v xml:space="preserve"> </v>
      </c>
      <c r="K506" s="24" t="s">
        <v>3888</v>
      </c>
    </row>
    <row r="507" spans="1:11">
      <c r="A507" s="24" t="s">
        <v>15801</v>
      </c>
      <c r="B507" s="24" t="s">
        <v>15849</v>
      </c>
      <c r="C507" s="24" t="s">
        <v>15882</v>
      </c>
      <c r="D507" s="24" t="s">
        <v>15870</v>
      </c>
      <c r="E507" s="24" t="s">
        <v>15810</v>
      </c>
      <c r="G507" s="24" t="s">
        <v>3963</v>
      </c>
      <c r="H507" s="11" t="str">
        <f t="shared" si="15"/>
        <v>29/05/1880</v>
      </c>
      <c r="J507" s="11" t="str">
        <f t="shared" si="14"/>
        <v xml:space="preserve"> </v>
      </c>
      <c r="K507" s="24" t="s">
        <v>3963</v>
      </c>
    </row>
    <row r="508" spans="1:11">
      <c r="A508" s="24" t="s">
        <v>15833</v>
      </c>
      <c r="B508" s="24" t="s">
        <v>15833</v>
      </c>
      <c r="C508" s="24" t="s">
        <v>15941</v>
      </c>
      <c r="D508" s="24" t="s">
        <v>15870</v>
      </c>
      <c r="E508" s="24" t="s">
        <v>15801</v>
      </c>
      <c r="F508" s="29" t="s">
        <v>3956</v>
      </c>
      <c r="G508" s="24" t="s">
        <v>3957</v>
      </c>
      <c r="H508" s="11" t="str">
        <f t="shared" si="15"/>
        <v>26/02/1902</v>
      </c>
      <c r="J508" s="11" t="str">
        <f t="shared" si="14"/>
        <v xml:space="preserve"> </v>
      </c>
      <c r="K508" s="24" t="s">
        <v>15988</v>
      </c>
    </row>
    <row r="509" spans="1:11">
      <c r="A509" s="24" t="s">
        <v>15814</v>
      </c>
      <c r="B509" s="24" t="s">
        <v>15814</v>
      </c>
      <c r="C509" s="24" t="s">
        <v>15910</v>
      </c>
      <c r="D509" s="24" t="s">
        <v>15900</v>
      </c>
      <c r="E509" s="24" t="s">
        <v>15863</v>
      </c>
      <c r="F509" s="29" t="s">
        <v>2502</v>
      </c>
      <c r="G509" s="24" t="s">
        <v>3824</v>
      </c>
      <c r="H509" s="11" t="str">
        <f t="shared" si="15"/>
        <v>08/12/1889</v>
      </c>
      <c r="J509" s="11" t="str">
        <f t="shared" si="14"/>
        <v xml:space="preserve"> </v>
      </c>
      <c r="K509" s="24" t="s">
        <v>3824</v>
      </c>
    </row>
    <row r="510" spans="1:11">
      <c r="A510" s="24" t="s">
        <v>15818</v>
      </c>
      <c r="B510" s="24" t="s">
        <v>15818</v>
      </c>
      <c r="C510" s="24" t="s">
        <v>15916</v>
      </c>
      <c r="D510" s="24" t="s">
        <v>15801</v>
      </c>
      <c r="E510" s="24" t="s">
        <v>15870</v>
      </c>
      <c r="F510" s="29" t="s">
        <v>3810</v>
      </c>
      <c r="G510" s="24" t="s">
        <v>3812</v>
      </c>
      <c r="H510" s="11" t="str">
        <f t="shared" si="15"/>
        <v>14/03/1885</v>
      </c>
      <c r="J510" s="11" t="str">
        <f t="shared" si="14"/>
        <v xml:space="preserve"> </v>
      </c>
      <c r="K510" s="24" t="s">
        <v>3812</v>
      </c>
    </row>
    <row r="511" spans="1:11">
      <c r="A511" s="24" t="s">
        <v>15825</v>
      </c>
      <c r="B511" s="24" t="s">
        <v>15825</v>
      </c>
      <c r="C511" s="24" t="s">
        <v>15909</v>
      </c>
      <c r="D511" s="24" t="s">
        <v>15948</v>
      </c>
      <c r="E511" s="24" t="s">
        <v>15851</v>
      </c>
      <c r="F511" s="29" t="s">
        <v>3946</v>
      </c>
      <c r="G511" s="24" t="s">
        <v>3948</v>
      </c>
      <c r="H511" s="11" t="str">
        <f t="shared" si="15"/>
        <v>21/01/1881</v>
      </c>
      <c r="J511" s="11" t="str">
        <f t="shared" si="14"/>
        <v xml:space="preserve"> </v>
      </c>
      <c r="K511" s="24" t="s">
        <v>3948</v>
      </c>
    </row>
    <row r="512" spans="1:11">
      <c r="A512" s="24" t="s">
        <v>15801</v>
      </c>
      <c r="B512" s="24" t="s">
        <v>15847</v>
      </c>
      <c r="C512" s="24" t="s">
        <v>15801</v>
      </c>
      <c r="D512" s="24" t="s">
        <v>15851</v>
      </c>
      <c r="E512" s="24" t="s">
        <v>15801</v>
      </c>
      <c r="H512" s="11" t="str">
        <f t="shared" si="15"/>
        <v/>
      </c>
      <c r="J512" s="11" t="str">
        <f t="shared" si="14"/>
        <v xml:space="preserve"> </v>
      </c>
      <c r="K512" s="24" t="s">
        <v>15801</v>
      </c>
    </row>
    <row r="513" spans="1:11">
      <c r="A513" s="24" t="s">
        <v>15804</v>
      </c>
      <c r="B513" s="24" t="s">
        <v>15804</v>
      </c>
      <c r="C513" s="24" t="s">
        <v>15870</v>
      </c>
      <c r="D513" s="24" t="s">
        <v>15870</v>
      </c>
      <c r="E513" s="24" t="s">
        <v>15844</v>
      </c>
      <c r="F513" s="29" t="s">
        <v>3927</v>
      </c>
      <c r="G513" s="24" t="s">
        <v>1886</v>
      </c>
      <c r="H513" s="11" t="str">
        <f t="shared" si="15"/>
        <v>23/08/1836</v>
      </c>
      <c r="J513" s="11" t="str">
        <f t="shared" si="14"/>
        <v xml:space="preserve"> </v>
      </c>
      <c r="K513" s="24" t="s">
        <v>1886</v>
      </c>
    </row>
    <row r="514" spans="1:11">
      <c r="A514" s="24" t="s">
        <v>15832</v>
      </c>
      <c r="B514" s="24" t="s">
        <v>15832</v>
      </c>
      <c r="C514" s="24" t="s">
        <v>15909</v>
      </c>
      <c r="D514" s="24" t="s">
        <v>15801</v>
      </c>
      <c r="E514" s="24" t="s">
        <v>15851</v>
      </c>
      <c r="F514" s="29" t="s">
        <v>3867</v>
      </c>
      <c r="G514" s="24" t="s">
        <v>3869</v>
      </c>
      <c r="H514" s="11" t="str">
        <f t="shared" si="15"/>
        <v>28/09/1881</v>
      </c>
      <c r="J514" s="11" t="str">
        <f t="shared" si="14"/>
        <v xml:space="preserve"> </v>
      </c>
      <c r="K514" s="24" t="s">
        <v>3869</v>
      </c>
    </row>
    <row r="515" spans="1:11">
      <c r="A515" s="24" t="s">
        <v>15801</v>
      </c>
      <c r="B515" s="24" t="s">
        <v>15822</v>
      </c>
      <c r="C515" s="24" t="s">
        <v>15801</v>
      </c>
      <c r="D515" s="24" t="s">
        <v>15801</v>
      </c>
      <c r="E515" s="24" t="s">
        <v>15811</v>
      </c>
      <c r="H515" s="11" t="str">
        <f t="shared" ref="H515:H578" si="16">TRIM(G515)</f>
        <v/>
      </c>
      <c r="J515" s="11" t="str">
        <f t="shared" ref="J515:J578" si="17">IF(LEN(H515)=4,"fout"," ")</f>
        <v xml:space="preserve"> </v>
      </c>
      <c r="K515" s="24" t="s">
        <v>15801</v>
      </c>
    </row>
    <row r="516" spans="1:11">
      <c r="A516" s="24" t="s">
        <v>15806</v>
      </c>
      <c r="B516" s="24" t="s">
        <v>15806</v>
      </c>
      <c r="C516" s="24" t="s">
        <v>15895</v>
      </c>
      <c r="D516" s="24" t="s">
        <v>15948</v>
      </c>
      <c r="E516" s="24" t="s">
        <v>15965</v>
      </c>
      <c r="F516" s="29" t="s">
        <v>3843</v>
      </c>
      <c r="G516" s="24" t="s">
        <v>3845</v>
      </c>
      <c r="H516" s="11" t="str">
        <f t="shared" si="16"/>
        <v>06/09/1884</v>
      </c>
      <c r="J516" s="11" t="str">
        <f t="shared" si="17"/>
        <v xml:space="preserve"> </v>
      </c>
      <c r="K516" s="24" t="s">
        <v>3845</v>
      </c>
    </row>
    <row r="517" spans="1:11">
      <c r="A517" s="24" t="s">
        <v>15816</v>
      </c>
      <c r="B517" s="24" t="s">
        <v>15816</v>
      </c>
      <c r="C517" s="24" t="s">
        <v>15896</v>
      </c>
      <c r="D517" s="24" t="s">
        <v>15948</v>
      </c>
      <c r="E517" s="24" t="s">
        <v>15900</v>
      </c>
      <c r="F517" s="29" t="s">
        <v>1850</v>
      </c>
      <c r="G517" s="24" t="s">
        <v>3920</v>
      </c>
      <c r="H517" s="11" t="str">
        <f t="shared" si="16"/>
        <v>02/10/1887</v>
      </c>
      <c r="J517" s="11" t="str">
        <f t="shared" si="17"/>
        <v xml:space="preserve"> </v>
      </c>
      <c r="K517" s="24" t="s">
        <v>3920</v>
      </c>
    </row>
    <row r="518" spans="1:11">
      <c r="A518" s="24" t="s">
        <v>15802</v>
      </c>
      <c r="B518" s="24" t="s">
        <v>15802</v>
      </c>
      <c r="C518" s="24" t="s">
        <v>15916</v>
      </c>
      <c r="D518" s="24" t="s">
        <v>15956</v>
      </c>
      <c r="E518" s="24" t="s">
        <v>15884</v>
      </c>
      <c r="F518" s="29" t="s">
        <v>3905</v>
      </c>
      <c r="G518" s="24" t="s">
        <v>3907</v>
      </c>
      <c r="H518" s="11" t="str">
        <f t="shared" si="16"/>
        <v>15/01/1885</v>
      </c>
      <c r="J518" s="11" t="str">
        <f t="shared" si="17"/>
        <v xml:space="preserve"> </v>
      </c>
      <c r="K518" s="24" t="s">
        <v>3907</v>
      </c>
    </row>
    <row r="519" spans="1:11">
      <c r="A519" s="24" t="s">
        <v>15839</v>
      </c>
      <c r="B519" s="24" t="s">
        <v>15839</v>
      </c>
      <c r="C519" s="24" t="s">
        <v>15906</v>
      </c>
      <c r="D519" s="24" t="s">
        <v>15948</v>
      </c>
      <c r="E519" s="24" t="s">
        <v>15811</v>
      </c>
      <c r="F519" s="29" t="s">
        <v>3881</v>
      </c>
      <c r="G519" s="24">
        <v>1862</v>
      </c>
      <c r="H519" s="11"/>
      <c r="J519" s="11" t="str">
        <f t="shared" si="17"/>
        <v xml:space="preserve"> </v>
      </c>
    </row>
    <row r="520" spans="1:11">
      <c r="A520" s="24" t="s">
        <v>15808</v>
      </c>
      <c r="B520" s="24" t="s">
        <v>15808</v>
      </c>
      <c r="C520" s="24" t="s">
        <v>15890</v>
      </c>
      <c r="D520" s="24" t="s">
        <v>15864</v>
      </c>
      <c r="E520" s="24" t="s">
        <v>15828</v>
      </c>
      <c r="F520" s="29" t="s">
        <v>3980</v>
      </c>
      <c r="G520" s="24" t="s">
        <v>3982</v>
      </c>
      <c r="H520" s="11" t="str">
        <f t="shared" si="16"/>
        <v>24/11/1875</v>
      </c>
      <c r="J520" s="11" t="str">
        <f t="shared" si="17"/>
        <v xml:space="preserve"> </v>
      </c>
      <c r="K520" s="24" t="s">
        <v>3982</v>
      </c>
    </row>
    <row r="521" spans="1:11">
      <c r="A521" s="24" t="s">
        <v>15803</v>
      </c>
      <c r="B521" s="24" t="s">
        <v>15803</v>
      </c>
      <c r="C521" s="24" t="s">
        <v>15933</v>
      </c>
      <c r="D521" s="24" t="s">
        <v>15851</v>
      </c>
      <c r="E521" s="24" t="s">
        <v>15844</v>
      </c>
      <c r="F521" s="29" t="s">
        <v>3830</v>
      </c>
      <c r="G521" s="24" t="s">
        <v>3832</v>
      </c>
      <c r="H521" s="11" t="str">
        <f t="shared" si="16"/>
        <v>11/09/1873</v>
      </c>
      <c r="J521" s="11" t="str">
        <f t="shared" si="17"/>
        <v xml:space="preserve"> </v>
      </c>
      <c r="K521" s="24" t="s">
        <v>3832</v>
      </c>
    </row>
    <row r="522" spans="1:11">
      <c r="A522" s="24" t="s">
        <v>15825</v>
      </c>
      <c r="B522" s="24" t="s">
        <v>15825</v>
      </c>
      <c r="C522" s="24" t="s">
        <v>15949</v>
      </c>
      <c r="D522" s="24" t="s">
        <v>15956</v>
      </c>
      <c r="E522" s="24" t="s">
        <v>15965</v>
      </c>
      <c r="F522" s="29" t="s">
        <v>3746</v>
      </c>
      <c r="G522" s="24" t="s">
        <v>3900</v>
      </c>
      <c r="H522" s="11" t="str">
        <f t="shared" si="16"/>
        <v>07/04/1859</v>
      </c>
      <c r="J522" s="11" t="str">
        <f t="shared" si="17"/>
        <v xml:space="preserve"> </v>
      </c>
      <c r="K522" s="24" t="s">
        <v>3900</v>
      </c>
    </row>
    <row r="523" spans="1:11">
      <c r="A523" s="24" t="s">
        <v>15848</v>
      </c>
      <c r="B523" s="24" t="s">
        <v>15848</v>
      </c>
      <c r="C523" s="24" t="s">
        <v>15878</v>
      </c>
      <c r="D523" s="24" t="s">
        <v>15801</v>
      </c>
      <c r="E523" s="24" t="s">
        <v>15845</v>
      </c>
      <c r="F523" s="29" t="s">
        <v>3970</v>
      </c>
      <c r="G523" s="24">
        <v>1850</v>
      </c>
      <c r="H523" s="11"/>
      <c r="J523" s="11" t="str">
        <f t="shared" si="17"/>
        <v xml:space="preserve"> </v>
      </c>
    </row>
    <row r="524" spans="1:11">
      <c r="A524" s="24" t="s">
        <v>15833</v>
      </c>
      <c r="B524" s="24" t="s">
        <v>15833</v>
      </c>
      <c r="C524" s="24" t="s">
        <v>15880</v>
      </c>
      <c r="D524" s="24" t="s">
        <v>15870</v>
      </c>
      <c r="E524" s="24" t="s">
        <v>15901</v>
      </c>
      <c r="F524" s="29" t="s">
        <v>3933</v>
      </c>
      <c r="G524" s="24" t="s">
        <v>3935</v>
      </c>
      <c r="H524" s="11" t="str">
        <f t="shared" si="16"/>
        <v>17/06/1892</v>
      </c>
      <c r="J524" s="11" t="str">
        <f t="shared" si="17"/>
        <v xml:space="preserve"> </v>
      </c>
      <c r="K524" s="24" t="s">
        <v>3935</v>
      </c>
    </row>
    <row r="525" spans="1:11">
      <c r="A525" s="24" t="s">
        <v>15841</v>
      </c>
      <c r="B525" s="24" t="s">
        <v>15841</v>
      </c>
      <c r="C525" s="24" t="s">
        <v>15801</v>
      </c>
      <c r="D525" s="24" t="s">
        <v>15801</v>
      </c>
      <c r="E525" s="24" t="s">
        <v>15810</v>
      </c>
      <c r="F525" s="29" t="s">
        <v>3993</v>
      </c>
      <c r="H525" s="11" t="str">
        <f t="shared" si="16"/>
        <v/>
      </c>
      <c r="J525" s="11" t="str">
        <f t="shared" si="17"/>
        <v xml:space="preserve"> </v>
      </c>
      <c r="K525" s="24" t="s">
        <v>15801</v>
      </c>
    </row>
    <row r="526" spans="1:11">
      <c r="A526" s="24" t="s">
        <v>15801</v>
      </c>
      <c r="B526" s="24" t="s">
        <v>15811</v>
      </c>
      <c r="C526" s="24" t="s">
        <v>15896</v>
      </c>
      <c r="D526" s="24" t="s">
        <v>15801</v>
      </c>
      <c r="E526" s="24" t="s">
        <v>15801</v>
      </c>
      <c r="G526" s="24" t="s">
        <v>3999</v>
      </c>
      <c r="H526" s="11" t="str">
        <f t="shared" si="16"/>
        <v>26/05/1887</v>
      </c>
      <c r="J526" s="11" t="str">
        <f t="shared" si="17"/>
        <v xml:space="preserve"> </v>
      </c>
      <c r="K526" s="24" t="s">
        <v>3999</v>
      </c>
    </row>
    <row r="527" spans="1:11">
      <c r="A527" s="24" t="s">
        <v>15837</v>
      </c>
      <c r="B527" s="24" t="s">
        <v>15837</v>
      </c>
      <c r="C527" s="24" t="s">
        <v>15801</v>
      </c>
      <c r="D527" s="24" t="s">
        <v>15876</v>
      </c>
      <c r="E527" s="24" t="s">
        <v>15828</v>
      </c>
      <c r="F527" s="29" t="s">
        <v>4007</v>
      </c>
      <c r="H527" s="11" t="str">
        <f t="shared" si="16"/>
        <v/>
      </c>
      <c r="J527" s="11" t="str">
        <f t="shared" si="17"/>
        <v xml:space="preserve"> </v>
      </c>
      <c r="K527" s="24" t="s">
        <v>15801</v>
      </c>
    </row>
    <row r="528" spans="1:11">
      <c r="A528" s="24" t="s">
        <v>15808</v>
      </c>
      <c r="B528" s="24" t="s">
        <v>15808</v>
      </c>
      <c r="C528" s="24" t="s">
        <v>15801</v>
      </c>
      <c r="D528" s="24" t="s">
        <v>15876</v>
      </c>
      <c r="E528" s="24" t="s">
        <v>15811</v>
      </c>
      <c r="F528" s="29" t="s">
        <v>4002</v>
      </c>
      <c r="H528" s="11" t="str">
        <f t="shared" si="16"/>
        <v/>
      </c>
      <c r="J528" s="11" t="str">
        <f t="shared" si="17"/>
        <v xml:space="preserve"> </v>
      </c>
      <c r="K528" s="24" t="s">
        <v>15801</v>
      </c>
    </row>
    <row r="529" spans="1:11">
      <c r="A529" s="24" t="s">
        <v>15817</v>
      </c>
      <c r="B529" s="24" t="s">
        <v>15817</v>
      </c>
      <c r="C529" s="24" t="s">
        <v>15946</v>
      </c>
      <c r="D529" s="24" t="s">
        <v>15870</v>
      </c>
      <c r="E529" s="24" t="s">
        <v>15801</v>
      </c>
      <c r="F529" s="29" t="s">
        <v>4023</v>
      </c>
      <c r="G529" s="24">
        <v>1860</v>
      </c>
      <c r="H529" s="11"/>
      <c r="J529" s="11" t="str">
        <f t="shared" si="17"/>
        <v xml:space="preserve"> </v>
      </c>
    </row>
    <row r="530" spans="1:11">
      <c r="A530" s="24" t="s">
        <v>15801</v>
      </c>
      <c r="B530" s="24" t="s">
        <v>15808</v>
      </c>
      <c r="C530" s="24" t="s">
        <v>15904</v>
      </c>
      <c r="D530" s="24" t="s">
        <v>15915</v>
      </c>
      <c r="E530" s="24" t="s">
        <v>15810</v>
      </c>
      <c r="G530" s="24" t="s">
        <v>4017</v>
      </c>
      <c r="H530" s="11" t="str">
        <f t="shared" si="16"/>
        <v>31/05/1890</v>
      </c>
      <c r="J530" s="11" t="str">
        <f t="shared" si="17"/>
        <v xml:space="preserve"> </v>
      </c>
      <c r="K530" s="24" t="s">
        <v>4017</v>
      </c>
    </row>
    <row r="531" spans="1:11">
      <c r="A531" s="24" t="s">
        <v>15811</v>
      </c>
      <c r="B531" s="24" t="s">
        <v>15811</v>
      </c>
      <c r="C531" s="24" t="s">
        <v>15899</v>
      </c>
      <c r="D531" s="24" t="s">
        <v>15870</v>
      </c>
      <c r="E531" s="24" t="s">
        <v>15899</v>
      </c>
      <c r="F531" s="29" t="s">
        <v>4035</v>
      </c>
      <c r="G531" s="24" t="s">
        <v>4036</v>
      </c>
      <c r="H531" s="11" t="str">
        <f t="shared" si="16"/>
        <v>11/04/1840</v>
      </c>
      <c r="J531" s="11" t="str">
        <f t="shared" si="17"/>
        <v xml:space="preserve"> </v>
      </c>
      <c r="K531" s="24" t="s">
        <v>4036</v>
      </c>
    </row>
    <row r="532" spans="1:11">
      <c r="A532" s="24" t="s">
        <v>15827</v>
      </c>
      <c r="B532" s="24" t="s">
        <v>15827</v>
      </c>
      <c r="C532" s="24" t="s">
        <v>15801</v>
      </c>
      <c r="D532" s="24" t="s">
        <v>15915</v>
      </c>
      <c r="E532" s="24" t="s">
        <v>15801</v>
      </c>
      <c r="F532" s="29" t="s">
        <v>4031</v>
      </c>
      <c r="H532" s="11" t="str">
        <f t="shared" si="16"/>
        <v/>
      </c>
      <c r="J532" s="11" t="str">
        <f t="shared" si="17"/>
        <v xml:space="preserve"> </v>
      </c>
      <c r="K532" s="24" t="s">
        <v>15801</v>
      </c>
    </row>
    <row r="533" spans="1:11">
      <c r="A533" s="24" t="s">
        <v>15816</v>
      </c>
      <c r="B533" s="24" t="s">
        <v>15816</v>
      </c>
      <c r="C533" s="24" t="s">
        <v>15801</v>
      </c>
      <c r="D533" s="24" t="s">
        <v>15870</v>
      </c>
      <c r="E533" s="24" t="s">
        <v>15870</v>
      </c>
      <c r="F533" s="29" t="s">
        <v>4015</v>
      </c>
      <c r="H533" s="11" t="str">
        <f t="shared" si="16"/>
        <v/>
      </c>
      <c r="J533" s="11" t="str">
        <f t="shared" si="17"/>
        <v xml:space="preserve"> </v>
      </c>
      <c r="K533" s="24" t="s">
        <v>15801</v>
      </c>
    </row>
    <row r="534" spans="1:11">
      <c r="A534" s="24" t="s">
        <v>15801</v>
      </c>
      <c r="B534" s="24" t="s">
        <v>15846</v>
      </c>
      <c r="C534" s="24" t="s">
        <v>15929</v>
      </c>
      <c r="D534" s="24" t="s">
        <v>15801</v>
      </c>
      <c r="E534" s="24" t="s">
        <v>15807</v>
      </c>
      <c r="G534" s="24" t="s">
        <v>4048</v>
      </c>
      <c r="H534" s="11" t="str">
        <f t="shared" si="16"/>
        <v>08/12/1878</v>
      </c>
      <c r="J534" s="11" t="str">
        <f t="shared" si="17"/>
        <v xml:space="preserve"> </v>
      </c>
      <c r="K534" s="24" t="s">
        <v>4048</v>
      </c>
    </row>
    <row r="535" spans="1:11">
      <c r="A535" s="24" t="s">
        <v>15802</v>
      </c>
      <c r="B535" s="24" t="s">
        <v>15802</v>
      </c>
      <c r="C535" s="24" t="s">
        <v>15903</v>
      </c>
      <c r="D535" s="24" t="s">
        <v>15801</v>
      </c>
      <c r="E535" s="24" t="s">
        <v>15965</v>
      </c>
      <c r="F535" s="29" t="s">
        <v>4041</v>
      </c>
      <c r="G535" s="24" t="s">
        <v>4043</v>
      </c>
      <c r="H535" s="11" t="str">
        <f t="shared" si="16"/>
        <v>07/05/1895</v>
      </c>
      <c r="J535" s="11" t="str">
        <f t="shared" si="17"/>
        <v xml:space="preserve"> </v>
      </c>
      <c r="K535" s="24" t="s">
        <v>4043</v>
      </c>
    </row>
    <row r="536" spans="1:11">
      <c r="A536" s="24" t="s">
        <v>15810</v>
      </c>
      <c r="B536" s="24" t="s">
        <v>15810</v>
      </c>
      <c r="C536" s="24" t="s">
        <v>15910</v>
      </c>
      <c r="D536" s="24" t="s">
        <v>15801</v>
      </c>
      <c r="E536" s="24" t="s">
        <v>15801</v>
      </c>
      <c r="F536" s="29" t="s">
        <v>4064</v>
      </c>
      <c r="G536" s="24" t="s">
        <v>4066</v>
      </c>
      <c r="H536" s="11" t="str">
        <f t="shared" si="16"/>
        <v>01/03/1889</v>
      </c>
      <c r="J536" s="11" t="str">
        <f t="shared" si="17"/>
        <v xml:space="preserve"> </v>
      </c>
      <c r="K536" s="24" t="s">
        <v>4066</v>
      </c>
    </row>
    <row r="537" spans="1:11">
      <c r="A537" s="24" t="s">
        <v>15801</v>
      </c>
      <c r="B537" s="24" t="s">
        <v>15840</v>
      </c>
      <c r="C537" s="24" t="s">
        <v>15801</v>
      </c>
      <c r="D537" s="24" t="s">
        <v>15801</v>
      </c>
      <c r="E537" s="24" t="s">
        <v>15820</v>
      </c>
      <c r="H537" s="11" t="str">
        <f t="shared" si="16"/>
        <v/>
      </c>
      <c r="J537" s="11" t="str">
        <f t="shared" si="17"/>
        <v xml:space="preserve"> </v>
      </c>
      <c r="K537" s="24" t="s">
        <v>15801</v>
      </c>
    </row>
    <row r="538" spans="1:11">
      <c r="A538" s="24" t="s">
        <v>15801</v>
      </c>
      <c r="B538" s="24" t="s">
        <v>15826</v>
      </c>
      <c r="C538" s="24" t="s">
        <v>15801</v>
      </c>
      <c r="D538" s="24" t="s">
        <v>15900</v>
      </c>
      <c r="E538" s="24" t="s">
        <v>15829</v>
      </c>
      <c r="H538" s="11" t="str">
        <f t="shared" si="16"/>
        <v/>
      </c>
      <c r="J538" s="11" t="str">
        <f t="shared" si="17"/>
        <v xml:space="preserve"> </v>
      </c>
      <c r="K538" s="24" t="s">
        <v>15801</v>
      </c>
    </row>
    <row r="539" spans="1:11">
      <c r="A539" s="24" t="s">
        <v>15825</v>
      </c>
      <c r="B539" s="24" t="s">
        <v>15825</v>
      </c>
      <c r="C539" s="24" t="s">
        <v>15801</v>
      </c>
      <c r="D539" s="24" t="s">
        <v>15801</v>
      </c>
      <c r="E539" s="24" t="s">
        <v>15801</v>
      </c>
      <c r="F539" s="29" t="s">
        <v>4060</v>
      </c>
      <c r="H539" s="11" t="str">
        <f t="shared" si="16"/>
        <v/>
      </c>
      <c r="J539" s="11" t="str">
        <f t="shared" si="17"/>
        <v xml:space="preserve"> </v>
      </c>
      <c r="K539" s="24" t="s">
        <v>15801</v>
      </c>
    </row>
    <row r="540" spans="1:11">
      <c r="A540" s="24" t="s">
        <v>15801</v>
      </c>
      <c r="B540" s="24" t="s">
        <v>15837</v>
      </c>
      <c r="C540" s="24" t="s">
        <v>15801</v>
      </c>
      <c r="D540" s="24" t="s">
        <v>15899</v>
      </c>
      <c r="E540" s="24" t="s">
        <v>15820</v>
      </c>
      <c r="H540" s="11" t="str">
        <f t="shared" si="16"/>
        <v/>
      </c>
      <c r="J540" s="11" t="str">
        <f t="shared" si="17"/>
        <v xml:space="preserve"> </v>
      </c>
      <c r="K540" s="24" t="s">
        <v>15801</v>
      </c>
    </row>
    <row r="541" spans="1:11">
      <c r="A541" s="24" t="s">
        <v>15801</v>
      </c>
      <c r="B541" s="24" t="s">
        <v>15804</v>
      </c>
      <c r="C541" s="24" t="s">
        <v>15801</v>
      </c>
      <c r="D541" s="24" t="s">
        <v>15899</v>
      </c>
      <c r="E541" s="24" t="s">
        <v>15851</v>
      </c>
      <c r="H541" s="11" t="str">
        <f t="shared" si="16"/>
        <v/>
      </c>
      <c r="J541" s="11" t="str">
        <f t="shared" si="17"/>
        <v xml:space="preserve"> </v>
      </c>
      <c r="K541" s="24" t="s">
        <v>15801</v>
      </c>
    </row>
    <row r="542" spans="1:11">
      <c r="A542" s="24" t="s">
        <v>15801</v>
      </c>
      <c r="B542" s="24" t="s">
        <v>15824</v>
      </c>
      <c r="C542" s="24" t="s">
        <v>15884</v>
      </c>
      <c r="D542" s="24" t="s">
        <v>15900</v>
      </c>
      <c r="E542" s="24" t="s">
        <v>15803</v>
      </c>
      <c r="G542" s="24" t="s">
        <v>301</v>
      </c>
      <c r="H542" s="11" t="str">
        <f t="shared" si="16"/>
        <v>17/02/1838</v>
      </c>
      <c r="J542" s="11" t="str">
        <f t="shared" si="17"/>
        <v xml:space="preserve"> </v>
      </c>
      <c r="K542" s="24" t="s">
        <v>301</v>
      </c>
    </row>
    <row r="543" spans="1:11">
      <c r="A543" s="24" t="s">
        <v>15815</v>
      </c>
      <c r="B543" s="24" t="s">
        <v>15815</v>
      </c>
      <c r="C543" s="24" t="s">
        <v>15884</v>
      </c>
      <c r="D543" s="24" t="s">
        <v>15900</v>
      </c>
      <c r="E543" s="24" t="s">
        <v>15801</v>
      </c>
      <c r="F543" s="29" t="s">
        <v>1296</v>
      </c>
      <c r="G543" s="24" t="s">
        <v>301</v>
      </c>
      <c r="H543" s="11" t="str">
        <f t="shared" si="16"/>
        <v>17/02/1838</v>
      </c>
      <c r="J543" s="11" t="str">
        <f t="shared" si="17"/>
        <v xml:space="preserve"> </v>
      </c>
      <c r="K543" s="24" t="s">
        <v>301</v>
      </c>
    </row>
    <row r="544" spans="1:11">
      <c r="A544" s="24" t="s">
        <v>15801</v>
      </c>
      <c r="B544" s="24" t="s">
        <v>15815</v>
      </c>
      <c r="C544" s="24" t="s">
        <v>15884</v>
      </c>
      <c r="D544" s="24" t="s">
        <v>15900</v>
      </c>
      <c r="E544" s="24" t="s">
        <v>15801</v>
      </c>
      <c r="G544" s="24" t="s">
        <v>301</v>
      </c>
      <c r="H544" s="11" t="str">
        <f t="shared" si="16"/>
        <v>17/02/1838</v>
      </c>
      <c r="J544" s="11" t="str">
        <f t="shared" si="17"/>
        <v xml:space="preserve"> </v>
      </c>
      <c r="K544" s="24" t="s">
        <v>301</v>
      </c>
    </row>
    <row r="545" spans="1:11">
      <c r="A545" s="24" t="s">
        <v>15806</v>
      </c>
      <c r="B545" s="24" t="s">
        <v>15806</v>
      </c>
      <c r="C545" s="24" t="s">
        <v>15801</v>
      </c>
      <c r="D545" s="24" t="s">
        <v>15900</v>
      </c>
      <c r="E545" s="24" t="s">
        <v>15965</v>
      </c>
      <c r="F545" s="29" t="s">
        <v>4121</v>
      </c>
      <c r="H545" s="11" t="str">
        <f t="shared" si="16"/>
        <v/>
      </c>
      <c r="J545" s="11" t="str">
        <f t="shared" si="17"/>
        <v xml:space="preserve"> </v>
      </c>
      <c r="K545" s="24" t="s">
        <v>15801</v>
      </c>
    </row>
    <row r="546" spans="1:11">
      <c r="A546" s="24" t="s">
        <v>15819</v>
      </c>
      <c r="B546" s="24" t="s">
        <v>15819</v>
      </c>
      <c r="C546" s="24" t="s">
        <v>15801</v>
      </c>
      <c r="D546" s="24" t="s">
        <v>15900</v>
      </c>
      <c r="E546" s="24" t="s">
        <v>15870</v>
      </c>
      <c r="F546" s="29" t="s">
        <v>4070</v>
      </c>
      <c r="H546" s="11" t="str">
        <f t="shared" si="16"/>
        <v/>
      </c>
      <c r="J546" s="11" t="str">
        <f t="shared" si="17"/>
        <v xml:space="preserve"> </v>
      </c>
      <c r="K546" s="24" t="s">
        <v>15801</v>
      </c>
    </row>
    <row r="547" spans="1:11">
      <c r="A547" s="24" t="s">
        <v>15833</v>
      </c>
      <c r="B547" s="24" t="s">
        <v>15833</v>
      </c>
      <c r="C547" s="24" t="s">
        <v>15950</v>
      </c>
      <c r="D547" s="24" t="s">
        <v>15900</v>
      </c>
      <c r="E547" s="24" t="s">
        <v>15901</v>
      </c>
      <c r="F547" s="29" t="s">
        <v>4101</v>
      </c>
      <c r="G547" s="24" t="s">
        <v>4104</v>
      </c>
      <c r="H547" s="11" t="str">
        <f t="shared" si="16"/>
        <v>11/07/1904</v>
      </c>
      <c r="J547" s="11" t="str">
        <f t="shared" si="17"/>
        <v xml:space="preserve"> </v>
      </c>
      <c r="K547" s="24" t="s">
        <v>15989</v>
      </c>
    </row>
    <row r="548" spans="1:11">
      <c r="A548" s="24" t="s">
        <v>15828</v>
      </c>
      <c r="B548" s="24" t="s">
        <v>15828</v>
      </c>
      <c r="C548" s="24" t="s">
        <v>15801</v>
      </c>
      <c r="D548" s="24" t="s">
        <v>15900</v>
      </c>
      <c r="E548" s="24" t="s">
        <v>15900</v>
      </c>
      <c r="F548" s="29" t="s">
        <v>4108</v>
      </c>
      <c r="H548" s="11" t="str">
        <f t="shared" si="16"/>
        <v/>
      </c>
      <c r="J548" s="11" t="str">
        <f t="shared" si="17"/>
        <v xml:space="preserve"> </v>
      </c>
      <c r="K548" s="24" t="s">
        <v>15801</v>
      </c>
    </row>
    <row r="549" spans="1:11">
      <c r="A549" s="24" t="s">
        <v>15801</v>
      </c>
      <c r="B549" s="24" t="s">
        <v>15803</v>
      </c>
      <c r="C549" s="24" t="s">
        <v>15801</v>
      </c>
      <c r="D549" s="24" t="s">
        <v>15900</v>
      </c>
      <c r="E549" s="24" t="s">
        <v>15828</v>
      </c>
      <c r="H549" s="11" t="str">
        <f t="shared" si="16"/>
        <v/>
      </c>
      <c r="J549" s="11" t="str">
        <f t="shared" si="17"/>
        <v xml:space="preserve"> </v>
      </c>
      <c r="K549" s="24" t="s">
        <v>15801</v>
      </c>
    </row>
    <row r="550" spans="1:11">
      <c r="A550" s="24" t="s">
        <v>15810</v>
      </c>
      <c r="B550" s="24" t="s">
        <v>15810</v>
      </c>
      <c r="C550" s="24" t="s">
        <v>15801</v>
      </c>
      <c r="D550" s="24" t="s">
        <v>15899</v>
      </c>
      <c r="E550" s="24" t="s">
        <v>15801</v>
      </c>
      <c r="F550" s="29" t="s">
        <v>4077</v>
      </c>
      <c r="H550" s="11" t="str">
        <f t="shared" si="16"/>
        <v/>
      </c>
      <c r="J550" s="11" t="str">
        <f t="shared" si="17"/>
        <v xml:space="preserve"> </v>
      </c>
      <c r="K550" s="24" t="s">
        <v>15801</v>
      </c>
    </row>
    <row r="551" spans="1:11">
      <c r="A551" s="24" t="s">
        <v>15807</v>
      </c>
      <c r="B551" s="24" t="s">
        <v>15807</v>
      </c>
      <c r="C551" s="24" t="s">
        <v>15801</v>
      </c>
      <c r="D551" s="24" t="s">
        <v>15899</v>
      </c>
      <c r="E551" s="24" t="s">
        <v>15921</v>
      </c>
      <c r="F551" s="29" t="s">
        <v>15764</v>
      </c>
      <c r="H551" s="11" t="str">
        <f t="shared" si="16"/>
        <v/>
      </c>
      <c r="J551" s="11" t="str">
        <f t="shared" si="17"/>
        <v xml:space="preserve"> </v>
      </c>
      <c r="K551" s="24" t="s">
        <v>15801</v>
      </c>
    </row>
    <row r="552" spans="1:11">
      <c r="A552" s="24" t="s">
        <v>15801</v>
      </c>
      <c r="B552" s="24" t="s">
        <v>15808</v>
      </c>
      <c r="C552" s="24" t="s">
        <v>15920</v>
      </c>
      <c r="D552" s="24" t="s">
        <v>15900</v>
      </c>
      <c r="E552" s="24" t="s">
        <v>15823</v>
      </c>
      <c r="G552" s="24">
        <v>1852</v>
      </c>
      <c r="H552" s="11"/>
      <c r="J552" s="11" t="str">
        <f t="shared" si="17"/>
        <v xml:space="preserve"> </v>
      </c>
    </row>
    <row r="553" spans="1:11">
      <c r="A553" s="24" t="s">
        <v>15801</v>
      </c>
      <c r="B553" s="24" t="s">
        <v>15829</v>
      </c>
      <c r="C553" s="24" t="s">
        <v>15893</v>
      </c>
      <c r="D553" s="24" t="s">
        <v>15900</v>
      </c>
      <c r="E553" s="24" t="s">
        <v>15820</v>
      </c>
      <c r="G553" s="24" t="s">
        <v>4153</v>
      </c>
      <c r="H553" s="11" t="str">
        <f t="shared" si="16"/>
        <v>05/05/1879</v>
      </c>
      <c r="J553" s="11" t="str">
        <f t="shared" si="17"/>
        <v xml:space="preserve"> </v>
      </c>
      <c r="K553" s="24" t="s">
        <v>4153</v>
      </c>
    </row>
    <row r="554" spans="1:11">
      <c r="A554" s="24" t="s">
        <v>15801</v>
      </c>
      <c r="B554" s="24" t="s">
        <v>15814</v>
      </c>
      <c r="C554" s="24" t="s">
        <v>15899</v>
      </c>
      <c r="D554" s="24" t="s">
        <v>15900</v>
      </c>
      <c r="E554" s="24" t="s">
        <v>15823</v>
      </c>
      <c r="G554" s="24" t="s">
        <v>2729</v>
      </c>
      <c r="H554" s="11"/>
      <c r="J554" s="11" t="str">
        <f t="shared" si="17"/>
        <v xml:space="preserve"> </v>
      </c>
    </row>
    <row r="555" spans="1:11">
      <c r="A555" s="24" t="s">
        <v>15801</v>
      </c>
      <c r="B555" s="24" t="s">
        <v>15853</v>
      </c>
      <c r="C555" s="24" t="s">
        <v>15905</v>
      </c>
      <c r="D555" s="24" t="s">
        <v>15900</v>
      </c>
      <c r="E555" s="24" t="s">
        <v>15808</v>
      </c>
      <c r="G555" s="24">
        <v>1849</v>
      </c>
      <c r="H555" s="11"/>
      <c r="J555" s="11" t="str">
        <f t="shared" si="17"/>
        <v xml:space="preserve"> </v>
      </c>
    </row>
    <row r="556" spans="1:11">
      <c r="A556" s="24" t="s">
        <v>15803</v>
      </c>
      <c r="B556" s="24" t="s">
        <v>15803</v>
      </c>
      <c r="C556" s="24" t="s">
        <v>15929</v>
      </c>
      <c r="D556" s="24" t="s">
        <v>15900</v>
      </c>
      <c r="E556" s="24" t="s">
        <v>15827</v>
      </c>
      <c r="F556" s="29" t="s">
        <v>4186</v>
      </c>
      <c r="G556" s="24" t="s">
        <v>4187</v>
      </c>
      <c r="H556" s="11" t="str">
        <f t="shared" si="16"/>
        <v>25/05/1878</v>
      </c>
      <c r="J556" s="11" t="str">
        <f t="shared" si="17"/>
        <v xml:space="preserve"> </v>
      </c>
      <c r="K556" s="24" t="s">
        <v>4187</v>
      </c>
    </row>
    <row r="557" spans="1:11">
      <c r="A557" s="24" t="s">
        <v>15801</v>
      </c>
      <c r="B557" s="24" t="s">
        <v>15832</v>
      </c>
      <c r="C557" s="24" t="s">
        <v>15801</v>
      </c>
      <c r="D557" s="24" t="s">
        <v>15801</v>
      </c>
      <c r="E557" s="24" t="s">
        <v>15801</v>
      </c>
      <c r="H557" s="11" t="str">
        <f t="shared" si="16"/>
        <v/>
      </c>
      <c r="J557" s="11" t="str">
        <f t="shared" si="17"/>
        <v xml:space="preserve"> </v>
      </c>
      <c r="K557" s="24" t="s">
        <v>15801</v>
      </c>
    </row>
    <row r="558" spans="1:11">
      <c r="A558" s="24" t="s">
        <v>15801</v>
      </c>
      <c r="B558" s="24" t="s">
        <v>15847</v>
      </c>
      <c r="C558" s="24" t="s">
        <v>15801</v>
      </c>
      <c r="D558" s="24" t="s">
        <v>15900</v>
      </c>
      <c r="E558" s="24" t="s">
        <v>15804</v>
      </c>
      <c r="H558" s="11" t="str">
        <f t="shared" si="16"/>
        <v/>
      </c>
      <c r="J558" s="11" t="str">
        <f t="shared" si="17"/>
        <v xml:space="preserve"> </v>
      </c>
      <c r="K558" s="24" t="s">
        <v>15801</v>
      </c>
    </row>
    <row r="559" spans="1:11">
      <c r="A559" s="24" t="s">
        <v>15801</v>
      </c>
      <c r="B559" s="24" t="s">
        <v>15816</v>
      </c>
      <c r="C559" s="24" t="s">
        <v>15801</v>
      </c>
      <c r="D559" s="24" t="s">
        <v>15900</v>
      </c>
      <c r="E559" s="24" t="s">
        <v>15876</v>
      </c>
      <c r="H559" s="11" t="str">
        <f t="shared" si="16"/>
        <v/>
      </c>
      <c r="J559" s="11" t="str">
        <f t="shared" si="17"/>
        <v xml:space="preserve"> </v>
      </c>
      <c r="K559" s="24" t="s">
        <v>15801</v>
      </c>
    </row>
    <row r="560" spans="1:11">
      <c r="A560" s="24" t="s">
        <v>15801</v>
      </c>
      <c r="B560" s="24" t="s">
        <v>15859</v>
      </c>
      <c r="C560" s="24" t="s">
        <v>15936</v>
      </c>
      <c r="D560" s="24" t="s">
        <v>15900</v>
      </c>
      <c r="E560" s="24" t="s">
        <v>15807</v>
      </c>
      <c r="G560" s="24" t="s">
        <v>4330</v>
      </c>
      <c r="H560" s="11" t="str">
        <f t="shared" si="16"/>
        <v>28/01/1847</v>
      </c>
      <c r="J560" s="11" t="str">
        <f t="shared" si="17"/>
        <v xml:space="preserve"> </v>
      </c>
      <c r="K560" s="24" t="s">
        <v>4330</v>
      </c>
    </row>
    <row r="561" spans="1:11">
      <c r="A561" s="24" t="s">
        <v>15801</v>
      </c>
      <c r="B561" s="24" t="s">
        <v>15816</v>
      </c>
      <c r="C561" s="24" t="s">
        <v>15801</v>
      </c>
      <c r="D561" s="24" t="s">
        <v>15900</v>
      </c>
      <c r="E561" s="24" t="s">
        <v>15965</v>
      </c>
      <c r="H561" s="11" t="str">
        <f t="shared" si="16"/>
        <v/>
      </c>
      <c r="J561" s="11" t="str">
        <f t="shared" si="17"/>
        <v xml:space="preserve"> </v>
      </c>
      <c r="K561" s="24" t="s">
        <v>15801</v>
      </c>
    </row>
    <row r="562" spans="1:11">
      <c r="A562" s="24" t="s">
        <v>15801</v>
      </c>
      <c r="B562" s="24" t="s">
        <v>15813</v>
      </c>
      <c r="C562" s="24" t="s">
        <v>15801</v>
      </c>
      <c r="D562" s="24" t="s">
        <v>15884</v>
      </c>
      <c r="E562" s="24" t="s">
        <v>15844</v>
      </c>
      <c r="H562" s="11" t="str">
        <f t="shared" si="16"/>
        <v/>
      </c>
      <c r="J562" s="11" t="str">
        <f t="shared" si="17"/>
        <v xml:space="preserve"> </v>
      </c>
      <c r="K562" s="24" t="s">
        <v>15801</v>
      </c>
    </row>
    <row r="563" spans="1:11">
      <c r="A563" s="24" t="s">
        <v>15801</v>
      </c>
      <c r="B563" s="24" t="s">
        <v>15834</v>
      </c>
      <c r="C563" s="24" t="s">
        <v>15924</v>
      </c>
      <c r="D563" s="24" t="s">
        <v>15884</v>
      </c>
      <c r="E563" s="24" t="s">
        <v>15823</v>
      </c>
      <c r="G563" s="24" t="s">
        <v>4142</v>
      </c>
      <c r="H563" s="11" t="str">
        <f t="shared" si="16"/>
        <v>28/04/1868</v>
      </c>
      <c r="J563" s="11" t="str">
        <f t="shared" si="17"/>
        <v xml:space="preserve"> </v>
      </c>
      <c r="K563" s="24" t="s">
        <v>4142</v>
      </c>
    </row>
    <row r="564" spans="1:11">
      <c r="A564" s="24" t="s">
        <v>15801</v>
      </c>
      <c r="B564" s="24" t="s">
        <v>15850</v>
      </c>
      <c r="C564" s="24" t="s">
        <v>15801</v>
      </c>
      <c r="D564" s="24" t="s">
        <v>15900</v>
      </c>
      <c r="E564" s="24" t="s">
        <v>15801</v>
      </c>
      <c r="H564" s="11" t="str">
        <f t="shared" si="16"/>
        <v/>
      </c>
      <c r="J564" s="11" t="str">
        <f t="shared" si="17"/>
        <v xml:space="preserve"> </v>
      </c>
      <c r="K564" s="24" t="s">
        <v>15801</v>
      </c>
    </row>
    <row r="565" spans="1:11">
      <c r="A565" s="24" t="s">
        <v>15801</v>
      </c>
      <c r="B565" s="24" t="s">
        <v>15839</v>
      </c>
      <c r="C565" s="24" t="s">
        <v>15949</v>
      </c>
      <c r="D565" s="24" t="s">
        <v>15801</v>
      </c>
      <c r="E565" s="24" t="s">
        <v>15816</v>
      </c>
      <c r="G565" s="24" t="s">
        <v>4264</v>
      </c>
      <c r="H565" s="11" t="str">
        <f t="shared" si="16"/>
        <v>14/07/1859</v>
      </c>
      <c r="J565" s="11" t="str">
        <f t="shared" si="17"/>
        <v xml:space="preserve"> </v>
      </c>
      <c r="K565" s="24" t="s">
        <v>4264</v>
      </c>
    </row>
    <row r="566" spans="1:11">
      <c r="A566" s="24" t="s">
        <v>15801</v>
      </c>
      <c r="B566" s="24" t="s">
        <v>15840</v>
      </c>
      <c r="C566" s="24" t="s">
        <v>15801</v>
      </c>
      <c r="D566" s="24" t="s">
        <v>15900</v>
      </c>
      <c r="E566" s="24" t="s">
        <v>15801</v>
      </c>
      <c r="H566" s="11" t="str">
        <f t="shared" si="16"/>
        <v/>
      </c>
      <c r="J566" s="11" t="str">
        <f t="shared" si="17"/>
        <v xml:space="preserve"> </v>
      </c>
      <c r="K566" s="24" t="s">
        <v>15801</v>
      </c>
    </row>
    <row r="567" spans="1:11">
      <c r="A567" s="24" t="s">
        <v>15829</v>
      </c>
      <c r="B567" s="24" t="s">
        <v>15829</v>
      </c>
      <c r="C567" s="24" t="s">
        <v>15801</v>
      </c>
      <c r="D567" s="24" t="s">
        <v>15900</v>
      </c>
      <c r="E567" s="24" t="s">
        <v>15945</v>
      </c>
      <c r="F567" s="29" t="s">
        <v>4202</v>
      </c>
      <c r="H567" s="11" t="str">
        <f t="shared" si="16"/>
        <v/>
      </c>
      <c r="J567" s="11" t="str">
        <f t="shared" si="17"/>
        <v xml:space="preserve"> </v>
      </c>
      <c r="K567" s="24" t="s">
        <v>15801</v>
      </c>
    </row>
    <row r="568" spans="1:11">
      <c r="A568" s="24" t="s">
        <v>15801</v>
      </c>
      <c r="B568" s="24" t="s">
        <v>15808</v>
      </c>
      <c r="C568" s="24" t="s">
        <v>15801</v>
      </c>
      <c r="D568" s="24" t="s">
        <v>15801</v>
      </c>
      <c r="E568" s="24" t="s">
        <v>15801</v>
      </c>
      <c r="H568" s="11" t="str">
        <f t="shared" si="16"/>
        <v/>
      </c>
      <c r="J568" s="11" t="str">
        <f t="shared" si="17"/>
        <v xml:space="preserve"> </v>
      </c>
      <c r="K568" s="24" t="s">
        <v>15801</v>
      </c>
    </row>
    <row r="569" spans="1:11">
      <c r="A569" s="24" t="s">
        <v>15801</v>
      </c>
      <c r="B569" s="24" t="s">
        <v>15815</v>
      </c>
      <c r="C569" s="24" t="s">
        <v>15801</v>
      </c>
      <c r="D569" s="24" t="s">
        <v>15900</v>
      </c>
      <c r="E569" s="24" t="s">
        <v>15864</v>
      </c>
      <c r="H569" s="11" t="str">
        <f t="shared" si="16"/>
        <v/>
      </c>
      <c r="J569" s="11" t="str">
        <f t="shared" si="17"/>
        <v xml:space="preserve"> </v>
      </c>
      <c r="K569" s="24" t="s">
        <v>15801</v>
      </c>
    </row>
    <row r="570" spans="1:11">
      <c r="A570" s="24" t="s">
        <v>15801</v>
      </c>
      <c r="B570" s="24" t="s">
        <v>15836</v>
      </c>
      <c r="C570" s="24" t="s">
        <v>15924</v>
      </c>
      <c r="D570" s="24" t="s">
        <v>15900</v>
      </c>
      <c r="E570" s="24" t="s">
        <v>15821</v>
      </c>
      <c r="G570" s="24" t="s">
        <v>4227</v>
      </c>
      <c r="H570" s="11" t="str">
        <f t="shared" si="16"/>
        <v>11/11/1868</v>
      </c>
      <c r="J570" s="11" t="str">
        <f t="shared" si="17"/>
        <v xml:space="preserve"> </v>
      </c>
      <c r="K570" s="24" t="s">
        <v>4227</v>
      </c>
    </row>
    <row r="571" spans="1:11">
      <c r="A571" s="24" t="s">
        <v>15802</v>
      </c>
      <c r="B571" s="24" t="s">
        <v>15802</v>
      </c>
      <c r="C571" s="24" t="s">
        <v>15951</v>
      </c>
      <c r="D571" s="24" t="s">
        <v>15900</v>
      </c>
      <c r="E571" s="24" t="s">
        <v>15801</v>
      </c>
      <c r="F571" s="29" t="s">
        <v>4292</v>
      </c>
      <c r="G571" s="24" t="s">
        <v>4294</v>
      </c>
      <c r="H571" s="11" t="str">
        <f t="shared" si="16"/>
        <v>08/12/1886</v>
      </c>
      <c r="J571" s="11" t="str">
        <f t="shared" si="17"/>
        <v xml:space="preserve"> </v>
      </c>
      <c r="K571" s="24" t="s">
        <v>4294</v>
      </c>
    </row>
    <row r="572" spans="1:11">
      <c r="A572" s="24" t="s">
        <v>15807</v>
      </c>
      <c r="B572" s="24" t="s">
        <v>15807</v>
      </c>
      <c r="C572" s="24" t="s">
        <v>15801</v>
      </c>
      <c r="D572" s="24" t="s">
        <v>15900</v>
      </c>
      <c r="E572" s="24" t="s">
        <v>15801</v>
      </c>
      <c r="H572" s="11" t="str">
        <f t="shared" si="16"/>
        <v/>
      </c>
      <c r="J572" s="11" t="str">
        <f t="shared" si="17"/>
        <v xml:space="preserve"> </v>
      </c>
      <c r="K572" s="24" t="s">
        <v>15801</v>
      </c>
    </row>
    <row r="573" spans="1:11">
      <c r="A573" s="24" t="s">
        <v>15801</v>
      </c>
      <c r="B573" s="24" t="s">
        <v>15804</v>
      </c>
      <c r="C573" s="24" t="s">
        <v>15884</v>
      </c>
      <c r="D573" s="24" t="s">
        <v>15900</v>
      </c>
      <c r="E573" s="24" t="s">
        <v>15801</v>
      </c>
      <c r="G573" s="24" t="s">
        <v>301</v>
      </c>
      <c r="H573" s="11" t="str">
        <f t="shared" si="16"/>
        <v>17/02/1838</v>
      </c>
      <c r="J573" s="11" t="str">
        <f t="shared" si="17"/>
        <v xml:space="preserve"> </v>
      </c>
      <c r="K573" s="24" t="s">
        <v>301</v>
      </c>
    </row>
    <row r="574" spans="1:11">
      <c r="A574" s="24" t="s">
        <v>15801</v>
      </c>
      <c r="B574" s="24" t="s">
        <v>15832</v>
      </c>
      <c r="C574" s="24" t="s">
        <v>15801</v>
      </c>
      <c r="D574" s="24" t="s">
        <v>15900</v>
      </c>
      <c r="E574" s="24" t="s">
        <v>15966</v>
      </c>
      <c r="H574" s="11" t="str">
        <f t="shared" si="16"/>
        <v/>
      </c>
      <c r="J574" s="11" t="str">
        <f t="shared" si="17"/>
        <v xml:space="preserve"> </v>
      </c>
      <c r="K574" s="24" t="s">
        <v>15801</v>
      </c>
    </row>
    <row r="575" spans="1:11">
      <c r="A575" s="24" t="s">
        <v>15801</v>
      </c>
      <c r="B575" s="24" t="s">
        <v>15801</v>
      </c>
      <c r="C575" s="24" t="s">
        <v>15801</v>
      </c>
      <c r="D575" s="24" t="s">
        <v>15801</v>
      </c>
      <c r="E575" s="24" t="s">
        <v>15801</v>
      </c>
      <c r="H575" s="11" t="str">
        <f t="shared" si="16"/>
        <v/>
      </c>
      <c r="J575" s="11" t="str">
        <f t="shared" si="17"/>
        <v xml:space="preserve"> </v>
      </c>
      <c r="K575" s="24" t="s">
        <v>15801</v>
      </c>
    </row>
    <row r="576" spans="1:11">
      <c r="A576" s="24" t="s">
        <v>15801</v>
      </c>
      <c r="B576" s="24" t="s">
        <v>15830</v>
      </c>
      <c r="C576" s="24" t="s">
        <v>15870</v>
      </c>
      <c r="D576" s="24" t="s">
        <v>15870</v>
      </c>
      <c r="E576" s="24" t="s">
        <v>15825</v>
      </c>
      <c r="G576" s="24" t="s">
        <v>4260</v>
      </c>
      <c r="H576" s="11" t="str">
        <f t="shared" si="16"/>
        <v>28/11/1836</v>
      </c>
      <c r="J576" s="11" t="str">
        <f t="shared" si="17"/>
        <v xml:space="preserve"> </v>
      </c>
      <c r="K576" s="24" t="s">
        <v>4260</v>
      </c>
    </row>
    <row r="577" spans="1:11">
      <c r="A577" s="24" t="s">
        <v>15827</v>
      </c>
      <c r="B577" s="24" t="s">
        <v>15827</v>
      </c>
      <c r="C577" s="24" t="s">
        <v>15801</v>
      </c>
      <c r="D577" s="24" t="s">
        <v>15884</v>
      </c>
      <c r="E577" s="24" t="s">
        <v>15801</v>
      </c>
      <c r="F577" s="29" t="s">
        <v>4279</v>
      </c>
      <c r="H577" s="11" t="str">
        <f t="shared" si="16"/>
        <v/>
      </c>
      <c r="J577" s="11" t="str">
        <f t="shared" si="17"/>
        <v xml:space="preserve"> </v>
      </c>
      <c r="K577" s="24" t="s">
        <v>15801</v>
      </c>
    </row>
    <row r="578" spans="1:11">
      <c r="A578" s="24" t="s">
        <v>15801</v>
      </c>
      <c r="B578" s="24" t="s">
        <v>15822</v>
      </c>
      <c r="C578" s="24" t="s">
        <v>15801</v>
      </c>
      <c r="D578" s="24" t="s">
        <v>15884</v>
      </c>
      <c r="E578" s="24" t="s">
        <v>15801</v>
      </c>
      <c r="H578" s="11" t="str">
        <f t="shared" si="16"/>
        <v/>
      </c>
      <c r="J578" s="11" t="str">
        <f t="shared" si="17"/>
        <v xml:space="preserve"> </v>
      </c>
      <c r="K578" s="24" t="s">
        <v>15801</v>
      </c>
    </row>
    <row r="579" spans="1:11">
      <c r="A579" s="24" t="s">
        <v>15816</v>
      </c>
      <c r="B579" s="24" t="s">
        <v>15816</v>
      </c>
      <c r="C579" s="24" t="s">
        <v>15878</v>
      </c>
      <c r="D579" s="24" t="s">
        <v>15801</v>
      </c>
      <c r="E579" s="24" t="s">
        <v>15801</v>
      </c>
      <c r="F579" s="29" t="s">
        <v>4272</v>
      </c>
      <c r="G579" s="24" t="s">
        <v>4274</v>
      </c>
      <c r="H579" s="11" t="str">
        <f t="shared" ref="H579:H642" si="18">TRIM(G579)</f>
        <v>25/03/1850</v>
      </c>
      <c r="J579" s="11" t="str">
        <f t="shared" ref="J579:J642" si="19">IF(LEN(H579)=4,"fout"," ")</f>
        <v xml:space="preserve"> </v>
      </c>
      <c r="K579" s="24" t="s">
        <v>4274</v>
      </c>
    </row>
    <row r="580" spans="1:11">
      <c r="A580" s="24" t="s">
        <v>15801</v>
      </c>
      <c r="B580" s="24" t="s">
        <v>15808</v>
      </c>
      <c r="C580" s="24" t="s">
        <v>15886</v>
      </c>
      <c r="D580" s="24" t="s">
        <v>15915</v>
      </c>
      <c r="E580" s="24" t="s">
        <v>15820</v>
      </c>
      <c r="G580" s="24">
        <v>1854</v>
      </c>
      <c r="H580" s="11"/>
      <c r="J580" s="11" t="str">
        <f t="shared" si="19"/>
        <v xml:space="preserve"> </v>
      </c>
    </row>
    <row r="581" spans="1:11">
      <c r="A581" s="24" t="s">
        <v>15801</v>
      </c>
      <c r="B581" s="24" t="s">
        <v>15840</v>
      </c>
      <c r="C581" s="24" t="s">
        <v>15801</v>
      </c>
      <c r="D581" s="24" t="s">
        <v>15870</v>
      </c>
      <c r="E581" s="24" t="s">
        <v>15833</v>
      </c>
      <c r="H581" s="11" t="str">
        <f t="shared" si="18"/>
        <v/>
      </c>
      <c r="J581" s="11" t="str">
        <f t="shared" si="19"/>
        <v xml:space="preserve"> </v>
      </c>
      <c r="K581" s="24" t="s">
        <v>15801</v>
      </c>
    </row>
    <row r="582" spans="1:11">
      <c r="A582" s="24" t="s">
        <v>15801</v>
      </c>
      <c r="B582" s="24" t="s">
        <v>15804</v>
      </c>
      <c r="C582" s="24" t="s">
        <v>15801</v>
      </c>
      <c r="D582" s="24" t="s">
        <v>15965</v>
      </c>
      <c r="E582" s="24" t="s">
        <v>15863</v>
      </c>
      <c r="H582" s="11" t="str">
        <f t="shared" si="18"/>
        <v/>
      </c>
      <c r="J582" s="11" t="str">
        <f t="shared" si="19"/>
        <v xml:space="preserve"> </v>
      </c>
      <c r="K582" s="24" t="s">
        <v>15801</v>
      </c>
    </row>
    <row r="583" spans="1:11">
      <c r="A583" s="24" t="s">
        <v>15801</v>
      </c>
      <c r="B583" s="24" t="s">
        <v>15818</v>
      </c>
      <c r="C583" s="24" t="s">
        <v>15801</v>
      </c>
      <c r="D583" s="24" t="s">
        <v>15801</v>
      </c>
      <c r="E583" s="24" t="s">
        <v>15801</v>
      </c>
      <c r="H583" s="11" t="str">
        <f t="shared" si="18"/>
        <v/>
      </c>
      <c r="J583" s="11" t="str">
        <f t="shared" si="19"/>
        <v xml:space="preserve"> </v>
      </c>
      <c r="K583" s="24" t="s">
        <v>15801</v>
      </c>
    </row>
    <row r="584" spans="1:11">
      <c r="A584" s="24" t="s">
        <v>15802</v>
      </c>
      <c r="B584" s="24" t="s">
        <v>15802</v>
      </c>
      <c r="C584" s="24" t="s">
        <v>15801</v>
      </c>
      <c r="D584" s="24" t="s">
        <v>15901</v>
      </c>
      <c r="E584" s="24" t="s">
        <v>15801</v>
      </c>
      <c r="F584" s="29" t="s">
        <v>1973</v>
      </c>
      <c r="H584" s="11" t="str">
        <f t="shared" si="18"/>
        <v/>
      </c>
      <c r="J584" s="11" t="str">
        <f t="shared" si="19"/>
        <v xml:space="preserve"> </v>
      </c>
      <c r="K584" s="24" t="s">
        <v>15801</v>
      </c>
    </row>
    <row r="585" spans="1:11">
      <c r="A585" s="24" t="s">
        <v>15816</v>
      </c>
      <c r="B585" s="24" t="s">
        <v>15816</v>
      </c>
      <c r="C585" s="24" t="s">
        <v>15944</v>
      </c>
      <c r="D585" s="24" t="s">
        <v>15900</v>
      </c>
      <c r="E585" s="24" t="s">
        <v>15915</v>
      </c>
      <c r="F585" s="29" t="s">
        <v>4170</v>
      </c>
      <c r="G585" s="24" t="s">
        <v>4171</v>
      </c>
      <c r="H585" s="11" t="str">
        <f t="shared" si="18"/>
        <v>12/04/1900</v>
      </c>
      <c r="J585" s="11" t="str">
        <f t="shared" si="19"/>
        <v xml:space="preserve"> </v>
      </c>
      <c r="K585" s="24" t="s">
        <v>15990</v>
      </c>
    </row>
    <row r="586" spans="1:11">
      <c r="A586" s="24" t="s">
        <v>15819</v>
      </c>
      <c r="B586" s="24" t="s">
        <v>15819</v>
      </c>
      <c r="C586" s="24" t="s">
        <v>15801</v>
      </c>
      <c r="D586" s="24" t="s">
        <v>15801</v>
      </c>
      <c r="E586" s="24" t="s">
        <v>15921</v>
      </c>
      <c r="F586" s="29" t="s">
        <v>4239</v>
      </c>
      <c r="H586" s="11" t="str">
        <f t="shared" si="18"/>
        <v/>
      </c>
      <c r="J586" s="11" t="str">
        <f t="shared" si="19"/>
        <v xml:space="preserve"> </v>
      </c>
      <c r="K586" s="24" t="s">
        <v>15801</v>
      </c>
    </row>
    <row r="587" spans="1:11">
      <c r="A587" s="24" t="s">
        <v>15833</v>
      </c>
      <c r="B587" s="24" t="s">
        <v>15833</v>
      </c>
      <c r="C587" s="24" t="s">
        <v>15801</v>
      </c>
      <c r="D587" s="24" t="s">
        <v>15870</v>
      </c>
      <c r="E587" s="24" t="s">
        <v>15801</v>
      </c>
      <c r="F587" s="29" t="s">
        <v>4215</v>
      </c>
      <c r="H587" s="11" t="str">
        <f t="shared" si="18"/>
        <v/>
      </c>
      <c r="J587" s="11" t="str">
        <f t="shared" si="19"/>
        <v xml:space="preserve"> </v>
      </c>
      <c r="K587" s="24" t="s">
        <v>15801</v>
      </c>
    </row>
    <row r="588" spans="1:11">
      <c r="A588" s="24" t="s">
        <v>15801</v>
      </c>
      <c r="B588" s="24" t="s">
        <v>15803</v>
      </c>
      <c r="C588" s="24" t="s">
        <v>15801</v>
      </c>
      <c r="E588" s="24" t="s">
        <v>15863</v>
      </c>
      <c r="H588" s="11" t="str">
        <f t="shared" si="18"/>
        <v/>
      </c>
      <c r="J588" s="11" t="str">
        <f t="shared" si="19"/>
        <v xml:space="preserve"> </v>
      </c>
      <c r="K588" s="24" t="s">
        <v>15801</v>
      </c>
    </row>
    <row r="589" spans="1:11">
      <c r="A589" s="24" t="s">
        <v>15801</v>
      </c>
      <c r="B589" s="24" t="s">
        <v>15818</v>
      </c>
      <c r="C589" s="24" t="s">
        <v>15801</v>
      </c>
      <c r="D589" s="24" t="s">
        <v>15801</v>
      </c>
      <c r="E589" s="24" t="s">
        <v>15921</v>
      </c>
      <c r="H589" s="11" t="str">
        <f t="shared" si="18"/>
        <v/>
      </c>
      <c r="J589" s="11" t="str">
        <f t="shared" si="19"/>
        <v xml:space="preserve"> </v>
      </c>
      <c r="K589" s="24" t="s">
        <v>15801</v>
      </c>
    </row>
    <row r="590" spans="1:11">
      <c r="A590" s="24" t="s">
        <v>15801</v>
      </c>
      <c r="B590" s="24" t="s">
        <v>15846</v>
      </c>
      <c r="C590" s="24" t="s">
        <v>15905</v>
      </c>
      <c r="D590" s="24" t="s">
        <v>15801</v>
      </c>
      <c r="E590" s="24" t="s">
        <v>15802</v>
      </c>
      <c r="G590" s="24" t="s">
        <v>4315</v>
      </c>
      <c r="H590" s="11" t="str">
        <f t="shared" si="18"/>
        <v>23/12/1849</v>
      </c>
      <c r="J590" s="11" t="str">
        <f t="shared" si="19"/>
        <v xml:space="preserve"> </v>
      </c>
      <c r="K590" s="24" t="s">
        <v>4315</v>
      </c>
    </row>
    <row r="591" spans="1:11">
      <c r="A591" s="24" t="s">
        <v>15801</v>
      </c>
      <c r="B591" s="24" t="s">
        <v>15835</v>
      </c>
      <c r="C591" s="24" t="s">
        <v>15937</v>
      </c>
      <c r="D591" s="24" t="s">
        <v>15884</v>
      </c>
      <c r="E591" s="24" t="s">
        <v>15844</v>
      </c>
      <c r="G591" s="24" t="s">
        <v>4341</v>
      </c>
      <c r="H591" s="11" t="str">
        <f t="shared" si="18"/>
        <v>03/08/1894</v>
      </c>
      <c r="J591" s="11" t="str">
        <f t="shared" si="19"/>
        <v xml:space="preserve"> </v>
      </c>
      <c r="K591" s="24" t="s">
        <v>4341</v>
      </c>
    </row>
    <row r="592" spans="1:11">
      <c r="A592" s="24" t="s">
        <v>15801</v>
      </c>
      <c r="B592" s="24" t="s">
        <v>15865</v>
      </c>
      <c r="C592" s="24" t="s">
        <v>15801</v>
      </c>
      <c r="D592" s="24" t="s">
        <v>15956</v>
      </c>
      <c r="E592" s="24" t="s">
        <v>15818</v>
      </c>
      <c r="H592" s="11" t="str">
        <f t="shared" si="18"/>
        <v/>
      </c>
      <c r="J592" s="11" t="str">
        <f t="shared" si="19"/>
        <v xml:space="preserve"> </v>
      </c>
      <c r="K592" s="24" t="s">
        <v>15801</v>
      </c>
    </row>
    <row r="593" spans="1:11">
      <c r="A593" s="24" t="s">
        <v>15802</v>
      </c>
      <c r="B593" s="24" t="s">
        <v>15802</v>
      </c>
      <c r="C593" s="24" t="s">
        <v>15801</v>
      </c>
      <c r="D593" s="24" t="s">
        <v>15956</v>
      </c>
      <c r="E593" s="24" t="s">
        <v>15899</v>
      </c>
      <c r="F593" s="29" t="s">
        <v>4349</v>
      </c>
      <c r="H593" s="11" t="str">
        <f t="shared" si="18"/>
        <v/>
      </c>
      <c r="J593" s="11" t="str">
        <f t="shared" si="19"/>
        <v xml:space="preserve"> </v>
      </c>
      <c r="K593" s="24" t="s">
        <v>15801</v>
      </c>
    </row>
    <row r="594" spans="1:11">
      <c r="A594" s="24" t="s">
        <v>15819</v>
      </c>
      <c r="B594" s="24" t="s">
        <v>15819</v>
      </c>
      <c r="C594" s="24" t="s">
        <v>15801</v>
      </c>
      <c r="D594" s="24" t="s">
        <v>15884</v>
      </c>
      <c r="E594" s="24" t="s">
        <v>15900</v>
      </c>
      <c r="F594" s="29" t="s">
        <v>4361</v>
      </c>
      <c r="H594" s="11" t="str">
        <f t="shared" si="18"/>
        <v/>
      </c>
      <c r="J594" s="11" t="str">
        <f t="shared" si="19"/>
        <v xml:space="preserve"> </v>
      </c>
      <c r="K594" s="24" t="s">
        <v>15801</v>
      </c>
    </row>
    <row r="595" spans="1:11">
      <c r="A595" s="24" t="s">
        <v>15828</v>
      </c>
      <c r="B595" s="24" t="s">
        <v>15828</v>
      </c>
      <c r="C595" s="24" t="s">
        <v>15801</v>
      </c>
      <c r="D595" s="24" t="s">
        <v>15884</v>
      </c>
      <c r="E595" s="24" t="s">
        <v>15801</v>
      </c>
      <c r="F595" s="29" t="s">
        <v>4372</v>
      </c>
      <c r="H595" s="11" t="str">
        <f t="shared" si="18"/>
        <v/>
      </c>
      <c r="J595" s="11" t="str">
        <f t="shared" si="19"/>
        <v xml:space="preserve"> </v>
      </c>
      <c r="K595" s="24" t="s">
        <v>15801</v>
      </c>
    </row>
    <row r="596" spans="1:11">
      <c r="A596" s="24" t="s">
        <v>15801</v>
      </c>
      <c r="B596" s="24" t="s">
        <v>15814</v>
      </c>
      <c r="C596" s="24" t="s">
        <v>15801</v>
      </c>
      <c r="D596" s="24" t="s">
        <v>15884</v>
      </c>
      <c r="E596" s="24" t="s">
        <v>15801</v>
      </c>
      <c r="H596" s="11" t="str">
        <f t="shared" si="18"/>
        <v/>
      </c>
      <c r="J596" s="11" t="str">
        <f t="shared" si="19"/>
        <v xml:space="preserve"> </v>
      </c>
      <c r="K596" s="24" t="s">
        <v>15801</v>
      </c>
    </row>
    <row r="597" spans="1:11">
      <c r="A597" s="24" t="s">
        <v>15811</v>
      </c>
      <c r="B597" s="24" t="s">
        <v>15811</v>
      </c>
      <c r="C597" s="24" t="s">
        <v>15878</v>
      </c>
      <c r="D597" s="24" t="s">
        <v>15915</v>
      </c>
      <c r="E597" s="24" t="s">
        <v>15801</v>
      </c>
      <c r="F597" s="29" t="s">
        <v>4377</v>
      </c>
      <c r="G597" s="24">
        <v>1850</v>
      </c>
      <c r="H597" s="11"/>
      <c r="J597" s="11" t="str">
        <f t="shared" si="19"/>
        <v xml:space="preserve"> </v>
      </c>
    </row>
    <row r="598" spans="1:11">
      <c r="A598" s="24" t="s">
        <v>15819</v>
      </c>
      <c r="B598" s="24" t="s">
        <v>15819</v>
      </c>
      <c r="C598" s="24" t="s">
        <v>15801</v>
      </c>
      <c r="D598" s="24" t="s">
        <v>15801</v>
      </c>
      <c r="E598" s="24" t="s">
        <v>15870</v>
      </c>
      <c r="F598" s="29" t="s">
        <v>4383</v>
      </c>
      <c r="H598" s="11" t="str">
        <f t="shared" si="18"/>
        <v/>
      </c>
      <c r="J598" s="11" t="str">
        <f t="shared" si="19"/>
        <v xml:space="preserve"> </v>
      </c>
      <c r="K598" s="24" t="s">
        <v>15801</v>
      </c>
    </row>
    <row r="599" spans="1:11">
      <c r="A599" s="24" t="s">
        <v>15821</v>
      </c>
      <c r="B599" s="24" t="s">
        <v>15821</v>
      </c>
      <c r="C599" s="24" t="s">
        <v>15890</v>
      </c>
      <c r="D599" s="24" t="s">
        <v>15915</v>
      </c>
      <c r="E599" s="24" t="s">
        <v>15801</v>
      </c>
      <c r="F599" s="29" t="s">
        <v>4397</v>
      </c>
      <c r="G599" s="24" t="s">
        <v>4399</v>
      </c>
      <c r="H599" s="11" t="str">
        <f t="shared" si="18"/>
        <v>14/12/1875</v>
      </c>
      <c r="J599" s="11" t="str">
        <f t="shared" si="19"/>
        <v xml:space="preserve"> </v>
      </c>
      <c r="K599" s="24" t="s">
        <v>4399</v>
      </c>
    </row>
    <row r="600" spans="1:11">
      <c r="A600" s="24" t="s">
        <v>15818</v>
      </c>
      <c r="B600" s="24" t="s">
        <v>15818</v>
      </c>
      <c r="C600" s="24" t="s">
        <v>15801</v>
      </c>
      <c r="D600" s="24" t="s">
        <v>15884</v>
      </c>
      <c r="E600" s="24" t="s">
        <v>15966</v>
      </c>
      <c r="F600" s="29" t="s">
        <v>4406</v>
      </c>
      <c r="H600" s="11" t="str">
        <f t="shared" si="18"/>
        <v/>
      </c>
      <c r="J600" s="11" t="str">
        <f t="shared" si="19"/>
        <v xml:space="preserve"> </v>
      </c>
      <c r="K600" s="24" t="s">
        <v>15801</v>
      </c>
    </row>
    <row r="601" spans="1:11">
      <c r="A601" s="24" t="s">
        <v>15801</v>
      </c>
      <c r="B601" s="24" t="s">
        <v>15840</v>
      </c>
      <c r="C601" s="24" t="s">
        <v>15801</v>
      </c>
      <c r="D601" s="24" t="s">
        <v>15884</v>
      </c>
      <c r="E601" s="24" t="s">
        <v>15833</v>
      </c>
      <c r="H601" s="11" t="str">
        <f t="shared" si="18"/>
        <v/>
      </c>
      <c r="J601" s="11" t="str">
        <f t="shared" si="19"/>
        <v xml:space="preserve"> </v>
      </c>
      <c r="K601" s="24" t="s">
        <v>15801</v>
      </c>
    </row>
    <row r="602" spans="1:11">
      <c r="A602" s="24" t="s">
        <v>15816</v>
      </c>
      <c r="B602" s="24" t="s">
        <v>15816</v>
      </c>
      <c r="C602" s="24" t="s">
        <v>15880</v>
      </c>
      <c r="D602" s="24" t="s">
        <v>15956</v>
      </c>
      <c r="E602" s="24" t="s">
        <v>15900</v>
      </c>
      <c r="F602" s="29" t="s">
        <v>4418</v>
      </c>
      <c r="G602" s="24" t="s">
        <v>4420</v>
      </c>
      <c r="H602" s="11" t="str">
        <f t="shared" si="18"/>
        <v>22/09/1892</v>
      </c>
      <c r="J602" s="11" t="str">
        <f t="shared" si="19"/>
        <v xml:space="preserve"> </v>
      </c>
      <c r="K602" s="24" t="s">
        <v>4420</v>
      </c>
    </row>
    <row r="603" spans="1:11">
      <c r="A603" s="24" t="s">
        <v>15801</v>
      </c>
      <c r="B603" s="24" t="s">
        <v>15840</v>
      </c>
      <c r="C603" s="24" t="s">
        <v>15801</v>
      </c>
      <c r="D603" s="24" t="s">
        <v>15884</v>
      </c>
      <c r="E603" s="24" t="s">
        <v>15863</v>
      </c>
      <c r="H603" s="11" t="str">
        <f t="shared" si="18"/>
        <v/>
      </c>
      <c r="J603" s="11" t="str">
        <f t="shared" si="19"/>
        <v xml:space="preserve"> </v>
      </c>
      <c r="K603" s="24" t="s">
        <v>15801</v>
      </c>
    </row>
    <row r="604" spans="1:11">
      <c r="A604" s="24" t="s">
        <v>15835</v>
      </c>
      <c r="B604" s="24" t="s">
        <v>15835</v>
      </c>
      <c r="C604" s="24" t="s">
        <v>15801</v>
      </c>
      <c r="D604" s="24" t="s">
        <v>15899</v>
      </c>
      <c r="E604" s="24" t="s">
        <v>15827</v>
      </c>
      <c r="H604" s="11" t="str">
        <f t="shared" si="18"/>
        <v/>
      </c>
      <c r="J604" s="11" t="str">
        <f t="shared" si="19"/>
        <v xml:space="preserve"> </v>
      </c>
      <c r="K604" s="24" t="s">
        <v>15801</v>
      </c>
    </row>
    <row r="605" spans="1:11">
      <c r="A605" s="24" t="s">
        <v>15823</v>
      </c>
      <c r="B605" s="24" t="s">
        <v>15823</v>
      </c>
      <c r="C605" s="24" t="s">
        <v>15801</v>
      </c>
      <c r="D605" s="24" t="s">
        <v>15899</v>
      </c>
      <c r="E605" s="24" t="s">
        <v>15948</v>
      </c>
      <c r="F605" s="29" t="s">
        <v>4431</v>
      </c>
      <c r="H605" s="11" t="str">
        <f t="shared" si="18"/>
        <v/>
      </c>
      <c r="J605" s="11" t="str">
        <f t="shared" si="19"/>
        <v xml:space="preserve"> </v>
      </c>
      <c r="K605" s="24" t="s">
        <v>15801</v>
      </c>
    </row>
    <row r="606" spans="1:11">
      <c r="A606" s="24" t="s">
        <v>15801</v>
      </c>
      <c r="B606" s="24" t="s">
        <v>15814</v>
      </c>
      <c r="C606" s="24" t="s">
        <v>15902</v>
      </c>
      <c r="D606" s="24" t="s">
        <v>15900</v>
      </c>
      <c r="E606" s="24" t="s">
        <v>15945</v>
      </c>
      <c r="G606" s="24" t="s">
        <v>4443</v>
      </c>
      <c r="H606" s="11" t="str">
        <f t="shared" si="18"/>
        <v>25/06/1876</v>
      </c>
      <c r="J606" s="11" t="str">
        <f t="shared" si="19"/>
        <v xml:space="preserve"> </v>
      </c>
      <c r="K606" s="24" t="s">
        <v>4443</v>
      </c>
    </row>
    <row r="607" spans="1:11">
      <c r="A607" s="24" t="s">
        <v>15832</v>
      </c>
      <c r="B607" s="24" t="s">
        <v>15832</v>
      </c>
      <c r="C607" s="24" t="s">
        <v>15801</v>
      </c>
      <c r="D607" s="24" t="s">
        <v>15915</v>
      </c>
      <c r="E607" s="24" t="s">
        <v>15945</v>
      </c>
      <c r="F607" s="29" t="s">
        <v>4436</v>
      </c>
      <c r="H607" s="11" t="str">
        <f t="shared" si="18"/>
        <v/>
      </c>
      <c r="J607" s="11" t="str">
        <f t="shared" si="19"/>
        <v xml:space="preserve"> </v>
      </c>
      <c r="K607" s="24" t="s">
        <v>15801</v>
      </c>
    </row>
    <row r="608" spans="1:11">
      <c r="A608" s="24" t="s">
        <v>15801</v>
      </c>
      <c r="B608" s="24" t="s">
        <v>15835</v>
      </c>
      <c r="C608" s="24" t="s">
        <v>15801</v>
      </c>
      <c r="D608" s="24" t="s">
        <v>15899</v>
      </c>
      <c r="E608" s="24" t="s">
        <v>15823</v>
      </c>
      <c r="H608" s="11" t="str">
        <f t="shared" si="18"/>
        <v/>
      </c>
      <c r="J608" s="11" t="str">
        <f t="shared" si="19"/>
        <v xml:space="preserve"> </v>
      </c>
      <c r="K608" s="24" t="s">
        <v>15801</v>
      </c>
    </row>
    <row r="609" spans="1:11">
      <c r="A609" s="24" t="s">
        <v>15801</v>
      </c>
      <c r="B609" s="24" t="s">
        <v>15821</v>
      </c>
      <c r="C609" s="24" t="s">
        <v>15801</v>
      </c>
      <c r="D609" s="24" t="s">
        <v>15884</v>
      </c>
      <c r="E609" s="24" t="s">
        <v>15851</v>
      </c>
      <c r="H609" s="11" t="str">
        <f t="shared" si="18"/>
        <v/>
      </c>
      <c r="J609" s="11" t="str">
        <f t="shared" si="19"/>
        <v xml:space="preserve"> </v>
      </c>
      <c r="K609" s="24" t="s">
        <v>15801</v>
      </c>
    </row>
    <row r="610" spans="1:11">
      <c r="A610" s="24" t="s">
        <v>15807</v>
      </c>
      <c r="B610" s="24" t="s">
        <v>15807</v>
      </c>
      <c r="C610" s="24" t="s">
        <v>15934</v>
      </c>
      <c r="D610" s="24" t="s">
        <v>15900</v>
      </c>
      <c r="E610" s="24" t="s">
        <v>15876</v>
      </c>
      <c r="F610" s="29" t="s">
        <v>3388</v>
      </c>
      <c r="G610" s="24" t="s">
        <v>4456</v>
      </c>
      <c r="H610" s="11" t="str">
        <f t="shared" si="18"/>
        <v>01/04/1898</v>
      </c>
      <c r="J610" s="11" t="str">
        <f t="shared" si="19"/>
        <v xml:space="preserve"> </v>
      </c>
      <c r="K610" s="24" t="s">
        <v>4456</v>
      </c>
    </row>
    <row r="611" spans="1:11">
      <c r="A611" s="24" t="s">
        <v>15801</v>
      </c>
      <c r="B611" s="24" t="s">
        <v>15817</v>
      </c>
      <c r="C611" s="24" t="s">
        <v>15801</v>
      </c>
      <c r="D611" s="24" t="s">
        <v>15908</v>
      </c>
      <c r="E611" s="24" t="s">
        <v>15965</v>
      </c>
      <c r="H611" s="11" t="str">
        <f t="shared" si="18"/>
        <v/>
      </c>
      <c r="J611" s="11" t="str">
        <f t="shared" si="19"/>
        <v xml:space="preserve"> </v>
      </c>
      <c r="K611" s="24" t="s">
        <v>15801</v>
      </c>
    </row>
    <row r="612" spans="1:11">
      <c r="A612" s="24" t="s">
        <v>15801</v>
      </c>
      <c r="B612" s="24" t="s">
        <v>15831</v>
      </c>
      <c r="C612" s="24" t="s">
        <v>15801</v>
      </c>
      <c r="D612" s="24" t="s">
        <v>15884</v>
      </c>
      <c r="E612" s="24" t="s">
        <v>15835</v>
      </c>
      <c r="H612" s="11" t="str">
        <f t="shared" si="18"/>
        <v/>
      </c>
      <c r="J612" s="11" t="str">
        <f t="shared" si="19"/>
        <v xml:space="preserve"> </v>
      </c>
      <c r="K612" s="24" t="s">
        <v>15801</v>
      </c>
    </row>
    <row r="613" spans="1:11">
      <c r="A613" s="24" t="s">
        <v>15825</v>
      </c>
      <c r="B613" s="24" t="s">
        <v>15825</v>
      </c>
      <c r="C613" s="24" t="s">
        <v>15801</v>
      </c>
      <c r="D613" s="24" t="s">
        <v>15884</v>
      </c>
      <c r="E613" s="24" t="s">
        <v>15801</v>
      </c>
      <c r="F613" s="29" t="s">
        <v>4505</v>
      </c>
      <c r="H613" s="11" t="str">
        <f t="shared" si="18"/>
        <v/>
      </c>
      <c r="J613" s="11" t="str">
        <f t="shared" si="19"/>
        <v xml:space="preserve"> </v>
      </c>
      <c r="K613" s="24" t="s">
        <v>15801</v>
      </c>
    </row>
    <row r="614" spans="1:11">
      <c r="A614" s="24" t="s">
        <v>15811</v>
      </c>
      <c r="B614" s="24" t="s">
        <v>15811</v>
      </c>
      <c r="C614" s="24" t="s">
        <v>15894</v>
      </c>
      <c r="D614" s="24" t="s">
        <v>15884</v>
      </c>
      <c r="E614" s="24" t="s">
        <v>15801</v>
      </c>
      <c r="F614" s="29" t="s">
        <v>4621</v>
      </c>
      <c r="G614" s="24" t="s">
        <v>4622</v>
      </c>
      <c r="H614" s="11" t="str">
        <f t="shared" si="18"/>
        <v>22/01/1901</v>
      </c>
      <c r="J614" s="11" t="str">
        <f t="shared" si="19"/>
        <v xml:space="preserve"> </v>
      </c>
      <c r="K614" s="24" t="s">
        <v>4622</v>
      </c>
    </row>
    <row r="615" spans="1:11">
      <c r="A615" s="24" t="s">
        <v>15801</v>
      </c>
      <c r="B615" s="24" t="s">
        <v>15818</v>
      </c>
      <c r="C615" s="24" t="s">
        <v>15801</v>
      </c>
      <c r="D615" s="24" t="s">
        <v>15884</v>
      </c>
      <c r="E615" s="24" t="s">
        <v>15864</v>
      </c>
      <c r="H615" s="11" t="str">
        <f t="shared" si="18"/>
        <v/>
      </c>
      <c r="J615" s="11" t="str">
        <f t="shared" si="19"/>
        <v xml:space="preserve"> </v>
      </c>
      <c r="K615" s="24" t="s">
        <v>15801</v>
      </c>
    </row>
    <row r="616" spans="1:11">
      <c r="A616" s="24" t="s">
        <v>15825</v>
      </c>
      <c r="B616" s="24" t="s">
        <v>15825</v>
      </c>
      <c r="C616" s="24" t="s">
        <v>15801</v>
      </c>
      <c r="D616" s="24" t="s">
        <v>15899</v>
      </c>
      <c r="E616" s="24" t="s">
        <v>15921</v>
      </c>
      <c r="F616" s="29" t="s">
        <v>4493</v>
      </c>
      <c r="H616" s="11" t="str">
        <f t="shared" si="18"/>
        <v/>
      </c>
      <c r="J616" s="11" t="str">
        <f t="shared" si="19"/>
        <v xml:space="preserve"> </v>
      </c>
      <c r="K616" s="24" t="s">
        <v>15801</v>
      </c>
    </row>
    <row r="617" spans="1:11">
      <c r="A617" s="24" t="s">
        <v>15801</v>
      </c>
      <c r="B617" s="24" t="s">
        <v>15835</v>
      </c>
      <c r="C617" s="24" t="s">
        <v>15801</v>
      </c>
      <c r="D617" s="24" t="s">
        <v>15900</v>
      </c>
      <c r="E617" s="24" t="s">
        <v>15863</v>
      </c>
      <c r="H617" s="11" t="str">
        <f t="shared" si="18"/>
        <v/>
      </c>
      <c r="J617" s="11" t="str">
        <f t="shared" si="19"/>
        <v xml:space="preserve"> </v>
      </c>
      <c r="K617" s="24" t="s">
        <v>15801</v>
      </c>
    </row>
    <row r="618" spans="1:11">
      <c r="A618" s="24" t="s">
        <v>15801</v>
      </c>
      <c r="B618" s="24" t="s">
        <v>15813</v>
      </c>
      <c r="C618" s="24" t="s">
        <v>15801</v>
      </c>
      <c r="D618" s="24" t="s">
        <v>15900</v>
      </c>
      <c r="E618" s="24" t="s">
        <v>15801</v>
      </c>
      <c r="H618" s="11" t="str">
        <f t="shared" si="18"/>
        <v/>
      </c>
      <c r="J618" s="11" t="str">
        <f t="shared" si="19"/>
        <v xml:space="preserve"> </v>
      </c>
      <c r="K618" s="24" t="s">
        <v>15801</v>
      </c>
    </row>
    <row r="619" spans="1:11">
      <c r="A619" s="24" t="s">
        <v>15802</v>
      </c>
      <c r="B619" s="24" t="s">
        <v>15802</v>
      </c>
      <c r="C619" s="24" t="s">
        <v>15889</v>
      </c>
      <c r="D619" s="24" t="s">
        <v>15801</v>
      </c>
      <c r="E619" s="24" t="s">
        <v>15801</v>
      </c>
      <c r="F619" s="29" t="s">
        <v>4510</v>
      </c>
      <c r="G619" s="24" t="s">
        <v>4512</v>
      </c>
      <c r="H619" s="11" t="str">
        <f t="shared" si="18"/>
        <v>18/09/1865</v>
      </c>
      <c r="J619" s="11" t="str">
        <f t="shared" si="19"/>
        <v xml:space="preserve"> </v>
      </c>
      <c r="K619" s="24" t="s">
        <v>4512</v>
      </c>
    </row>
    <row r="620" spans="1:11">
      <c r="A620" s="24" t="s">
        <v>15819</v>
      </c>
      <c r="B620" s="24" t="s">
        <v>15819</v>
      </c>
      <c r="C620" s="24" t="s">
        <v>15917</v>
      </c>
      <c r="D620" s="24" t="s">
        <v>15956</v>
      </c>
      <c r="E620" s="24" t="s">
        <v>15801</v>
      </c>
      <c r="F620" s="29" t="s">
        <v>4485</v>
      </c>
      <c r="G620" s="24" t="s">
        <v>4487</v>
      </c>
      <c r="H620" s="11" t="str">
        <f t="shared" si="18"/>
        <v>01/04/1869</v>
      </c>
      <c r="J620" s="11" t="str">
        <f t="shared" si="19"/>
        <v xml:space="preserve"> </v>
      </c>
      <c r="K620" s="24" t="s">
        <v>4487</v>
      </c>
    </row>
    <row r="621" spans="1:11">
      <c r="A621" s="24" t="s">
        <v>15801</v>
      </c>
      <c r="B621" s="24" t="s">
        <v>15842</v>
      </c>
      <c r="C621" s="24" t="s">
        <v>15801</v>
      </c>
      <c r="D621" s="24" t="s">
        <v>15900</v>
      </c>
      <c r="E621" s="24" t="s">
        <v>15823</v>
      </c>
      <c r="H621" s="11" t="str">
        <f t="shared" si="18"/>
        <v/>
      </c>
      <c r="J621" s="11" t="str">
        <f t="shared" si="19"/>
        <v xml:space="preserve"> </v>
      </c>
      <c r="K621" s="24" t="s">
        <v>15801</v>
      </c>
    </row>
    <row r="622" spans="1:11">
      <c r="A622" s="24" t="s">
        <v>15801</v>
      </c>
      <c r="B622" s="24" t="s">
        <v>15829</v>
      </c>
      <c r="C622" s="24" t="s">
        <v>15801</v>
      </c>
      <c r="D622" s="24" t="s">
        <v>15870</v>
      </c>
      <c r="E622" s="24" t="s">
        <v>15844</v>
      </c>
      <c r="H622" s="11" t="str">
        <f t="shared" si="18"/>
        <v/>
      </c>
      <c r="J622" s="11" t="str">
        <f t="shared" si="19"/>
        <v xml:space="preserve"> </v>
      </c>
      <c r="K622" s="24" t="s">
        <v>15801</v>
      </c>
    </row>
    <row r="623" spans="1:11">
      <c r="A623" s="24" t="s">
        <v>15801</v>
      </c>
      <c r="B623" s="24" t="s">
        <v>15866</v>
      </c>
      <c r="C623" s="24" t="s">
        <v>15801</v>
      </c>
      <c r="D623" s="24" t="s">
        <v>15956</v>
      </c>
      <c r="E623" s="24" t="s">
        <v>15808</v>
      </c>
      <c r="H623" s="11" t="str">
        <f t="shared" si="18"/>
        <v/>
      </c>
      <c r="J623" s="11" t="str">
        <f t="shared" si="19"/>
        <v xml:space="preserve"> </v>
      </c>
      <c r="K623" s="24" t="s">
        <v>15801</v>
      </c>
    </row>
    <row r="624" spans="1:11">
      <c r="A624" s="24" t="s">
        <v>15801</v>
      </c>
      <c r="B624" s="24" t="s">
        <v>15818</v>
      </c>
      <c r="C624" s="24" t="s">
        <v>15801</v>
      </c>
      <c r="D624" s="24" t="s">
        <v>15956</v>
      </c>
      <c r="E624" s="24" t="s">
        <v>15801</v>
      </c>
      <c r="H624" s="11" t="str">
        <f t="shared" si="18"/>
        <v/>
      </c>
      <c r="J624" s="11" t="str">
        <f t="shared" si="19"/>
        <v xml:space="preserve"> </v>
      </c>
      <c r="K624" s="24" t="s">
        <v>15801</v>
      </c>
    </row>
    <row r="625" spans="1:11">
      <c r="A625" s="24" t="s">
        <v>15818</v>
      </c>
      <c r="B625" s="24" t="s">
        <v>15818</v>
      </c>
      <c r="C625" s="24" t="s">
        <v>15801</v>
      </c>
      <c r="D625" s="24" t="s">
        <v>15900</v>
      </c>
      <c r="E625" s="24" t="s">
        <v>15801</v>
      </c>
      <c r="F625" s="29" t="s">
        <v>4532</v>
      </c>
      <c r="H625" s="11" t="str">
        <f t="shared" si="18"/>
        <v/>
      </c>
      <c r="J625" s="11" t="str">
        <f t="shared" si="19"/>
        <v xml:space="preserve"> </v>
      </c>
      <c r="K625" s="24" t="s">
        <v>15801</v>
      </c>
    </row>
    <row r="626" spans="1:11">
      <c r="A626" s="24" t="s">
        <v>15806</v>
      </c>
      <c r="B626" s="24" t="s">
        <v>15806</v>
      </c>
      <c r="C626" s="24" t="s">
        <v>15801</v>
      </c>
      <c r="D626" s="24" t="s">
        <v>15956</v>
      </c>
      <c r="E626" s="24" t="s">
        <v>15965</v>
      </c>
      <c r="F626" s="29" t="s">
        <v>4576</v>
      </c>
      <c r="H626" s="11" t="str">
        <f t="shared" si="18"/>
        <v/>
      </c>
      <c r="J626" s="11" t="str">
        <f t="shared" si="19"/>
        <v xml:space="preserve"> </v>
      </c>
      <c r="K626" s="24" t="s">
        <v>15801</v>
      </c>
    </row>
    <row r="627" spans="1:11">
      <c r="A627" s="24" t="s">
        <v>15801</v>
      </c>
      <c r="B627" s="24" t="s">
        <v>15826</v>
      </c>
      <c r="C627" s="24" t="s">
        <v>15801</v>
      </c>
      <c r="D627" s="24" t="s">
        <v>15900</v>
      </c>
      <c r="E627" s="24" t="s">
        <v>15839</v>
      </c>
      <c r="H627" s="11" t="str">
        <f t="shared" si="18"/>
        <v/>
      </c>
      <c r="J627" s="11" t="str">
        <f t="shared" si="19"/>
        <v xml:space="preserve"> </v>
      </c>
      <c r="K627" s="24" t="s">
        <v>15801</v>
      </c>
    </row>
    <row r="628" spans="1:11">
      <c r="A628" s="24" t="s">
        <v>15801</v>
      </c>
      <c r="B628" s="24" t="s">
        <v>15835</v>
      </c>
      <c r="C628" s="24" t="s">
        <v>15801</v>
      </c>
      <c r="D628" s="24" t="s">
        <v>15900</v>
      </c>
      <c r="E628" s="24" t="s">
        <v>15801</v>
      </c>
      <c r="H628" s="11" t="str">
        <f t="shared" si="18"/>
        <v/>
      </c>
      <c r="J628" s="11" t="str">
        <f t="shared" si="19"/>
        <v xml:space="preserve"> </v>
      </c>
      <c r="K628" s="24" t="s">
        <v>15801</v>
      </c>
    </row>
    <row r="629" spans="1:11">
      <c r="A629" s="24" t="s">
        <v>15801</v>
      </c>
      <c r="B629" s="24" t="s">
        <v>15803</v>
      </c>
      <c r="C629" s="24" t="s">
        <v>15801</v>
      </c>
      <c r="D629" s="24" t="s">
        <v>15900</v>
      </c>
      <c r="E629" s="24" t="s">
        <v>15844</v>
      </c>
      <c r="H629" s="11" t="str">
        <f t="shared" si="18"/>
        <v/>
      </c>
      <c r="J629" s="11" t="str">
        <f t="shared" si="19"/>
        <v xml:space="preserve"> </v>
      </c>
      <c r="K629" s="24" t="s">
        <v>15801</v>
      </c>
    </row>
    <row r="630" spans="1:11">
      <c r="A630" s="24" t="s">
        <v>15814</v>
      </c>
      <c r="B630" s="24" t="s">
        <v>15814</v>
      </c>
      <c r="C630" s="24" t="s">
        <v>15801</v>
      </c>
      <c r="D630" s="24" t="s">
        <v>15900</v>
      </c>
      <c r="E630" s="24" t="s">
        <v>15801</v>
      </c>
      <c r="F630" s="29" t="s">
        <v>4536</v>
      </c>
      <c r="H630" s="11" t="str">
        <f t="shared" si="18"/>
        <v/>
      </c>
      <c r="J630" s="11" t="str">
        <f t="shared" si="19"/>
        <v xml:space="preserve"> </v>
      </c>
      <c r="K630" s="24" t="s">
        <v>15801</v>
      </c>
    </row>
    <row r="631" spans="1:11">
      <c r="A631" s="24" t="s">
        <v>15820</v>
      </c>
      <c r="B631" s="24" t="s">
        <v>15820</v>
      </c>
      <c r="C631" s="24" t="s">
        <v>15952</v>
      </c>
      <c r="D631" s="24" t="s">
        <v>15899</v>
      </c>
      <c r="E631" s="24" t="s">
        <v>15948</v>
      </c>
      <c r="F631" s="29" t="s">
        <v>2065</v>
      </c>
      <c r="G631" s="24" t="s">
        <v>4559</v>
      </c>
      <c r="H631" s="11" t="str">
        <f t="shared" si="18"/>
        <v>10/01/1920</v>
      </c>
      <c r="J631" s="11" t="str">
        <f t="shared" si="19"/>
        <v xml:space="preserve"> </v>
      </c>
      <c r="K631" s="24" t="s">
        <v>15991</v>
      </c>
    </row>
    <row r="632" spans="1:11">
      <c r="A632" s="24" t="s">
        <v>15801</v>
      </c>
      <c r="B632" s="24" t="s">
        <v>15834</v>
      </c>
      <c r="C632" s="24" t="s">
        <v>15953</v>
      </c>
      <c r="D632" s="24" t="s">
        <v>15899</v>
      </c>
      <c r="E632" s="24" t="s">
        <v>15828</v>
      </c>
      <c r="G632" s="24" t="s">
        <v>4551</v>
      </c>
      <c r="H632" s="11" t="str">
        <f t="shared" si="18"/>
        <v>05/06/1882</v>
      </c>
      <c r="J632" s="11" t="str">
        <f t="shared" si="19"/>
        <v xml:space="preserve"> </v>
      </c>
      <c r="K632" s="24" t="s">
        <v>4551</v>
      </c>
    </row>
    <row r="633" spans="1:11">
      <c r="A633" s="24" t="s">
        <v>15801</v>
      </c>
      <c r="B633" s="24" t="s">
        <v>15839</v>
      </c>
      <c r="C633" s="24" t="s">
        <v>15902</v>
      </c>
      <c r="D633" s="24" t="s">
        <v>15899</v>
      </c>
      <c r="E633" s="24" t="s">
        <v>15828</v>
      </c>
      <c r="G633" s="24" t="s">
        <v>4565</v>
      </c>
      <c r="H633" s="11" t="str">
        <f t="shared" si="18"/>
        <v>07/08/1876</v>
      </c>
      <c r="J633" s="11" t="str">
        <f t="shared" si="19"/>
        <v xml:space="preserve"> </v>
      </c>
      <c r="K633" s="24" t="s">
        <v>4565</v>
      </c>
    </row>
    <row r="634" spans="1:11">
      <c r="A634" s="24" t="s">
        <v>15801</v>
      </c>
      <c r="B634" s="24" t="s">
        <v>15807</v>
      </c>
      <c r="C634" s="24" t="s">
        <v>15801</v>
      </c>
      <c r="D634" s="24" t="s">
        <v>15915</v>
      </c>
      <c r="E634" s="24" t="s">
        <v>15801</v>
      </c>
      <c r="H634" s="11" t="str">
        <f t="shared" si="18"/>
        <v/>
      </c>
      <c r="J634" s="11" t="str">
        <f t="shared" si="19"/>
        <v xml:space="preserve"> </v>
      </c>
      <c r="K634" s="24" t="s">
        <v>15801</v>
      </c>
    </row>
    <row r="635" spans="1:11">
      <c r="A635" s="24" t="s">
        <v>15806</v>
      </c>
      <c r="B635" s="24" t="s">
        <v>15806</v>
      </c>
      <c r="C635" s="24" t="s">
        <v>15909</v>
      </c>
      <c r="D635" s="24" t="s">
        <v>15884</v>
      </c>
      <c r="E635" s="24" t="s">
        <v>15965</v>
      </c>
      <c r="F635" s="29" t="s">
        <v>3947</v>
      </c>
      <c r="G635" s="24" t="s">
        <v>4569</v>
      </c>
      <c r="H635" s="11" t="str">
        <f t="shared" si="18"/>
        <v>03/06/1881</v>
      </c>
      <c r="J635" s="11" t="str">
        <f t="shared" si="19"/>
        <v xml:space="preserve"> </v>
      </c>
      <c r="K635" s="24" t="s">
        <v>4569</v>
      </c>
    </row>
    <row r="636" spans="1:11">
      <c r="A636" s="24" t="s">
        <v>15801</v>
      </c>
      <c r="B636" s="24" t="s">
        <v>15810</v>
      </c>
      <c r="C636" s="24" t="s">
        <v>15801</v>
      </c>
      <c r="D636" s="24" t="s">
        <v>15915</v>
      </c>
      <c r="E636" s="24" t="s">
        <v>15971</v>
      </c>
      <c r="H636" s="11" t="str">
        <f t="shared" si="18"/>
        <v/>
      </c>
      <c r="J636" s="11" t="str">
        <f t="shared" si="19"/>
        <v xml:space="preserve"> </v>
      </c>
      <c r="K636" s="24" t="s">
        <v>15801</v>
      </c>
    </row>
    <row r="637" spans="1:11">
      <c r="A637" s="24" t="s">
        <v>15801</v>
      </c>
      <c r="B637" s="24" t="s">
        <v>15811</v>
      </c>
      <c r="C637" s="24" t="s">
        <v>15801</v>
      </c>
      <c r="D637" s="24" t="s">
        <v>15915</v>
      </c>
      <c r="E637" s="24" t="s">
        <v>15801</v>
      </c>
      <c r="H637" s="11" t="str">
        <f t="shared" si="18"/>
        <v/>
      </c>
      <c r="J637" s="11" t="str">
        <f t="shared" si="19"/>
        <v xml:space="preserve"> </v>
      </c>
      <c r="K637" s="24" t="s">
        <v>15801</v>
      </c>
    </row>
    <row r="638" spans="1:11">
      <c r="A638" s="24" t="s">
        <v>15821</v>
      </c>
      <c r="B638" s="24" t="s">
        <v>15821</v>
      </c>
      <c r="C638" s="24" t="s">
        <v>15878</v>
      </c>
      <c r="D638" s="24" t="s">
        <v>15956</v>
      </c>
      <c r="E638" s="24" t="s">
        <v>15870</v>
      </c>
      <c r="F638" s="29" t="s">
        <v>4597</v>
      </c>
      <c r="G638" s="24" t="s">
        <v>4599</v>
      </c>
      <c r="H638" s="11"/>
      <c r="J638" s="11" t="str">
        <f t="shared" si="19"/>
        <v xml:space="preserve"> </v>
      </c>
    </row>
    <row r="639" spans="1:11">
      <c r="A639" s="24" t="s">
        <v>15819</v>
      </c>
      <c r="B639" s="24" t="s">
        <v>15819</v>
      </c>
      <c r="C639" s="24" t="s">
        <v>15801</v>
      </c>
      <c r="D639" s="24" t="s">
        <v>15900</v>
      </c>
      <c r="E639" s="24" t="s">
        <v>15965</v>
      </c>
      <c r="F639" s="29" t="s">
        <v>4517</v>
      </c>
      <c r="H639" s="11" t="str">
        <f t="shared" si="18"/>
        <v/>
      </c>
      <c r="J639" s="11" t="str">
        <f t="shared" si="19"/>
        <v xml:space="preserve"> </v>
      </c>
      <c r="K639" s="24" t="s">
        <v>15801</v>
      </c>
    </row>
    <row r="640" spans="1:11">
      <c r="A640" s="24" t="s">
        <v>15801</v>
      </c>
      <c r="B640" s="24" t="s">
        <v>15839</v>
      </c>
      <c r="C640" s="24" t="s">
        <v>15801</v>
      </c>
      <c r="D640" s="24" t="s">
        <v>15901</v>
      </c>
      <c r="E640" s="24" t="s">
        <v>15810</v>
      </c>
      <c r="H640" s="11" t="str">
        <f t="shared" si="18"/>
        <v/>
      </c>
      <c r="J640" s="11" t="str">
        <f t="shared" si="19"/>
        <v xml:space="preserve"> </v>
      </c>
      <c r="K640" s="24" t="s">
        <v>15801</v>
      </c>
    </row>
    <row r="641" spans="1:11">
      <c r="A641" s="24" t="s">
        <v>15827</v>
      </c>
      <c r="B641" s="24" t="s">
        <v>15827</v>
      </c>
      <c r="C641" s="24" t="s">
        <v>15801</v>
      </c>
      <c r="D641" s="24" t="s">
        <v>15915</v>
      </c>
      <c r="E641" s="24" t="s">
        <v>15801</v>
      </c>
      <c r="F641" s="29" t="s">
        <v>4605</v>
      </c>
      <c r="H641" s="11" t="str">
        <f t="shared" si="18"/>
        <v/>
      </c>
      <c r="J641" s="11" t="str">
        <f t="shared" si="19"/>
        <v xml:space="preserve"> </v>
      </c>
      <c r="K641" s="24" t="s">
        <v>15801</v>
      </c>
    </row>
    <row r="642" spans="1:11">
      <c r="A642" s="24" t="s">
        <v>15813</v>
      </c>
      <c r="B642" s="24" t="s">
        <v>15813</v>
      </c>
      <c r="C642" s="24" t="s">
        <v>15882</v>
      </c>
      <c r="D642" s="24" t="s">
        <v>15900</v>
      </c>
      <c r="E642" s="24" t="s">
        <v>15851</v>
      </c>
      <c r="F642" s="29" t="s">
        <v>4647</v>
      </c>
      <c r="G642" s="24" t="s">
        <v>1206</v>
      </c>
      <c r="H642" s="11" t="str">
        <f t="shared" si="18"/>
        <v>07/02/1880</v>
      </c>
      <c r="J642" s="11" t="str">
        <f t="shared" si="19"/>
        <v xml:space="preserve"> </v>
      </c>
      <c r="K642" s="24" t="s">
        <v>1206</v>
      </c>
    </row>
    <row r="643" spans="1:11">
      <c r="A643" s="24" t="s">
        <v>15804</v>
      </c>
      <c r="B643" s="24" t="s">
        <v>15804</v>
      </c>
      <c r="C643" s="24" t="s">
        <v>15801</v>
      </c>
      <c r="D643" s="24" t="s">
        <v>15900</v>
      </c>
      <c r="E643" s="24" t="s">
        <v>15876</v>
      </c>
      <c r="F643" s="29" t="s">
        <v>4653</v>
      </c>
      <c r="H643" s="11" t="str">
        <f t="shared" ref="H643:H706" si="20">TRIM(G643)</f>
        <v/>
      </c>
      <c r="J643" s="11" t="str">
        <f t="shared" ref="J643:J706" si="21">IF(LEN(H643)=4,"fout"," ")</f>
        <v xml:space="preserve"> </v>
      </c>
      <c r="K643" s="24" t="s">
        <v>15801</v>
      </c>
    </row>
    <row r="644" spans="1:11">
      <c r="A644" s="24" t="s">
        <v>15807</v>
      </c>
      <c r="B644" s="24" t="s">
        <v>15807</v>
      </c>
      <c r="C644" s="24" t="s">
        <v>15884</v>
      </c>
      <c r="D644" s="24" t="s">
        <v>15900</v>
      </c>
      <c r="E644" s="24" t="s">
        <v>15965</v>
      </c>
      <c r="F644" s="29" t="s">
        <v>4662</v>
      </c>
      <c r="G644" s="24" t="s">
        <v>4283</v>
      </c>
      <c r="H644" s="11"/>
      <c r="J644" s="11" t="str">
        <f t="shared" si="21"/>
        <v xml:space="preserve"> </v>
      </c>
    </row>
    <row r="645" spans="1:11">
      <c r="A645" s="24" t="s">
        <v>15821</v>
      </c>
      <c r="B645" s="24" t="s">
        <v>15821</v>
      </c>
      <c r="C645" s="24" t="s">
        <v>15894</v>
      </c>
      <c r="D645" s="24" t="s">
        <v>15931</v>
      </c>
      <c r="E645" s="24" t="s">
        <v>15801</v>
      </c>
      <c r="F645" s="29" t="s">
        <v>4671</v>
      </c>
      <c r="G645" s="24" t="s">
        <v>4673</v>
      </c>
      <c r="H645" s="11" t="str">
        <f t="shared" si="20"/>
        <v>09/06/1901</v>
      </c>
      <c r="J645" s="11" t="str">
        <f t="shared" si="21"/>
        <v xml:space="preserve"> </v>
      </c>
      <c r="K645" s="24" t="s">
        <v>4673</v>
      </c>
    </row>
    <row r="646" spans="1:11">
      <c r="A646" s="24" t="s">
        <v>15801</v>
      </c>
      <c r="B646" s="24" t="s">
        <v>15829</v>
      </c>
      <c r="C646" s="24" t="s">
        <v>15882</v>
      </c>
      <c r="D646" s="24" t="s">
        <v>15900</v>
      </c>
      <c r="E646" s="24" t="s">
        <v>15823</v>
      </c>
      <c r="G646" s="24" t="s">
        <v>4684</v>
      </c>
      <c r="H646" s="11" t="str">
        <f t="shared" si="20"/>
        <v>05/12/1880</v>
      </c>
      <c r="J646" s="11" t="str">
        <f t="shared" si="21"/>
        <v xml:space="preserve"> </v>
      </c>
      <c r="K646" s="24" t="s">
        <v>4684</v>
      </c>
    </row>
    <row r="647" spans="1:11">
      <c r="A647" s="24" t="s">
        <v>15825</v>
      </c>
      <c r="B647" s="24" t="s">
        <v>15825</v>
      </c>
      <c r="C647" s="24" t="s">
        <v>15801</v>
      </c>
      <c r="D647" s="24" t="s">
        <v>15908</v>
      </c>
      <c r="E647" s="24" t="s">
        <v>15876</v>
      </c>
      <c r="F647" s="29" t="s">
        <v>4693</v>
      </c>
      <c r="H647" s="11" t="str">
        <f t="shared" si="20"/>
        <v/>
      </c>
      <c r="J647" s="11" t="str">
        <f t="shared" si="21"/>
        <v xml:space="preserve"> </v>
      </c>
      <c r="K647" s="24" t="s">
        <v>15801</v>
      </c>
    </row>
    <row r="648" spans="1:11">
      <c r="A648" s="24" t="s">
        <v>15801</v>
      </c>
      <c r="B648" s="24" t="s">
        <v>15840</v>
      </c>
      <c r="C648" s="24" t="s">
        <v>15947</v>
      </c>
      <c r="D648" s="24" t="s">
        <v>15899</v>
      </c>
      <c r="E648" s="24" t="s">
        <v>15823</v>
      </c>
      <c r="G648" s="24">
        <v>1870</v>
      </c>
      <c r="H648" s="11"/>
      <c r="J648" s="11" t="str">
        <f t="shared" si="21"/>
        <v xml:space="preserve"> </v>
      </c>
    </row>
    <row r="649" spans="1:11">
      <c r="A649" s="24" t="s">
        <v>15817</v>
      </c>
      <c r="B649" s="24" t="s">
        <v>15817</v>
      </c>
      <c r="C649" s="24" t="s">
        <v>15885</v>
      </c>
      <c r="D649" s="24" t="s">
        <v>15899</v>
      </c>
      <c r="E649" s="24" t="s">
        <v>15801</v>
      </c>
      <c r="F649" s="29" t="s">
        <v>4700</v>
      </c>
      <c r="G649" s="24" t="s">
        <v>4703</v>
      </c>
      <c r="H649" s="11"/>
      <c r="J649" s="11" t="str">
        <f t="shared" si="21"/>
        <v xml:space="preserve"> </v>
      </c>
    </row>
    <row r="650" spans="1:11">
      <c r="A650" s="24" t="s">
        <v>15801</v>
      </c>
      <c r="B650" s="24" t="s">
        <v>15832</v>
      </c>
      <c r="C650" s="24" t="s">
        <v>15801</v>
      </c>
      <c r="D650" s="24" t="s">
        <v>15901</v>
      </c>
      <c r="E650" s="24" t="s">
        <v>15971</v>
      </c>
      <c r="H650" s="11" t="str">
        <f t="shared" si="20"/>
        <v/>
      </c>
      <c r="J650" s="11" t="str">
        <f t="shared" si="21"/>
        <v xml:space="preserve"> </v>
      </c>
      <c r="K650" s="24" t="s">
        <v>15801</v>
      </c>
    </row>
    <row r="651" spans="1:11">
      <c r="A651" s="24" t="s">
        <v>15801</v>
      </c>
      <c r="B651" s="24" t="s">
        <v>15845</v>
      </c>
      <c r="C651" s="24" t="s">
        <v>15801</v>
      </c>
      <c r="D651" s="24" t="s">
        <v>15900</v>
      </c>
      <c r="E651" s="24" t="s">
        <v>15825</v>
      </c>
      <c r="H651" s="11" t="str">
        <f t="shared" si="20"/>
        <v/>
      </c>
      <c r="J651" s="11" t="str">
        <f t="shared" si="21"/>
        <v xml:space="preserve"> </v>
      </c>
      <c r="K651" s="24" t="s">
        <v>15801</v>
      </c>
    </row>
    <row r="652" spans="1:11">
      <c r="A652" s="24" t="s">
        <v>15801</v>
      </c>
      <c r="B652" s="24" t="s">
        <v>15838</v>
      </c>
      <c r="C652" s="24" t="s">
        <v>15908</v>
      </c>
      <c r="E652" s="24" t="s">
        <v>15801</v>
      </c>
      <c r="G652" s="24" t="s">
        <v>4759</v>
      </c>
      <c r="H652" s="11" t="str">
        <f t="shared" si="20"/>
        <v>25/01/1844</v>
      </c>
      <c r="J652" s="11" t="str">
        <f t="shared" si="21"/>
        <v xml:space="preserve"> </v>
      </c>
      <c r="K652" s="24" t="s">
        <v>4759</v>
      </c>
    </row>
    <row r="653" spans="1:11">
      <c r="A653" s="24" t="s">
        <v>15818</v>
      </c>
      <c r="B653" s="24" t="s">
        <v>15818</v>
      </c>
      <c r="C653" s="24" t="s">
        <v>15801</v>
      </c>
      <c r="E653" s="24" t="s">
        <v>15801</v>
      </c>
      <c r="F653" s="29" t="s">
        <v>4751</v>
      </c>
      <c r="H653" s="11" t="str">
        <f t="shared" si="20"/>
        <v/>
      </c>
      <c r="J653" s="11" t="str">
        <f t="shared" si="21"/>
        <v xml:space="preserve"> </v>
      </c>
      <c r="K653" s="24" t="s">
        <v>15801</v>
      </c>
    </row>
    <row r="654" spans="1:11">
      <c r="A654" s="24" t="s">
        <v>15810</v>
      </c>
      <c r="B654" s="24" t="s">
        <v>15810</v>
      </c>
      <c r="C654" s="24" t="s">
        <v>15801</v>
      </c>
      <c r="D654" s="24" t="s">
        <v>15915</v>
      </c>
      <c r="E654" s="24" t="s">
        <v>15900</v>
      </c>
      <c r="F654" s="29" t="s">
        <v>4718</v>
      </c>
      <c r="H654" s="11" t="str">
        <f t="shared" si="20"/>
        <v/>
      </c>
      <c r="J654" s="11" t="str">
        <f t="shared" si="21"/>
        <v xml:space="preserve"> </v>
      </c>
      <c r="K654" s="24" t="s">
        <v>15801</v>
      </c>
    </row>
    <row r="655" spans="1:11">
      <c r="A655" s="24" t="s">
        <v>15828</v>
      </c>
      <c r="B655" s="24" t="s">
        <v>15828</v>
      </c>
      <c r="C655" s="24" t="s">
        <v>15801</v>
      </c>
      <c r="D655" s="24" t="s">
        <v>15956</v>
      </c>
      <c r="E655" s="24" t="s">
        <v>15801</v>
      </c>
      <c r="F655" s="29" t="s">
        <v>4772</v>
      </c>
      <c r="H655" s="11" t="str">
        <f t="shared" si="20"/>
        <v/>
      </c>
      <c r="J655" s="11" t="str">
        <f t="shared" si="21"/>
        <v xml:space="preserve"> </v>
      </c>
      <c r="K655" s="24" t="s">
        <v>15801</v>
      </c>
    </row>
    <row r="656" spans="1:11">
      <c r="A656" s="24" t="s">
        <v>15801</v>
      </c>
      <c r="B656" s="24" t="s">
        <v>15822</v>
      </c>
      <c r="C656" s="24" t="s">
        <v>15884</v>
      </c>
      <c r="D656" s="24" t="s">
        <v>15900</v>
      </c>
      <c r="E656" s="24" t="s">
        <v>15946</v>
      </c>
      <c r="G656" s="24" t="s">
        <v>2765</v>
      </c>
      <c r="H656" s="11" t="str">
        <f t="shared" si="20"/>
        <v>27/12/1838</v>
      </c>
      <c r="J656" s="11" t="str">
        <f t="shared" si="21"/>
        <v xml:space="preserve"> </v>
      </c>
      <c r="K656" s="24" t="s">
        <v>2765</v>
      </c>
    </row>
    <row r="657" spans="1:11">
      <c r="A657" s="24" t="s">
        <v>15801</v>
      </c>
      <c r="B657" s="24" t="s">
        <v>15819</v>
      </c>
      <c r="C657" s="24" t="s">
        <v>15801</v>
      </c>
      <c r="D657" s="24" t="s">
        <v>15900</v>
      </c>
      <c r="E657" s="24" t="s">
        <v>15921</v>
      </c>
      <c r="H657" s="11" t="str">
        <f t="shared" si="20"/>
        <v/>
      </c>
      <c r="J657" s="11" t="str">
        <f t="shared" si="21"/>
        <v xml:space="preserve"> </v>
      </c>
      <c r="K657" s="24" t="s">
        <v>15801</v>
      </c>
    </row>
    <row r="658" spans="1:11">
      <c r="A658" s="24" t="s">
        <v>15833</v>
      </c>
      <c r="B658" s="24" t="s">
        <v>15833</v>
      </c>
      <c r="C658" s="24" t="s">
        <v>15895</v>
      </c>
      <c r="D658" s="24" t="s">
        <v>15899</v>
      </c>
      <c r="E658" s="24" t="s">
        <v>15931</v>
      </c>
      <c r="F658" s="29" t="s">
        <v>4732</v>
      </c>
      <c r="G658" s="24" t="s">
        <v>4734</v>
      </c>
      <c r="H658" s="11" t="str">
        <f t="shared" si="20"/>
        <v>10/04/1884</v>
      </c>
      <c r="J658" s="11" t="str">
        <f t="shared" si="21"/>
        <v xml:space="preserve"> </v>
      </c>
      <c r="K658" s="24" t="s">
        <v>4734</v>
      </c>
    </row>
    <row r="659" spans="1:11">
      <c r="A659" s="24" t="s">
        <v>15801</v>
      </c>
      <c r="B659" s="24" t="s">
        <v>15839</v>
      </c>
      <c r="C659" s="24" t="s">
        <v>15801</v>
      </c>
      <c r="D659" s="24" t="s">
        <v>15899</v>
      </c>
      <c r="E659" s="24" t="s">
        <v>15864</v>
      </c>
      <c r="H659" s="11" t="str">
        <f t="shared" si="20"/>
        <v/>
      </c>
      <c r="J659" s="11" t="str">
        <f t="shared" si="21"/>
        <v xml:space="preserve"> </v>
      </c>
      <c r="K659" s="24" t="s">
        <v>15801</v>
      </c>
    </row>
    <row r="660" spans="1:11">
      <c r="A660" s="24" t="s">
        <v>15837</v>
      </c>
      <c r="B660" s="24" t="s">
        <v>15837</v>
      </c>
      <c r="C660" s="24" t="s">
        <v>15884</v>
      </c>
      <c r="D660" s="24" t="s">
        <v>15900</v>
      </c>
      <c r="E660" s="24" t="s">
        <v>15801</v>
      </c>
      <c r="F660" s="29" t="s">
        <v>4787</v>
      </c>
      <c r="G660" s="24" t="s">
        <v>72</v>
      </c>
      <c r="H660" s="11" t="str">
        <f t="shared" si="20"/>
        <v>06/02/1838</v>
      </c>
      <c r="J660" s="11" t="str">
        <f t="shared" si="21"/>
        <v xml:space="preserve"> </v>
      </c>
      <c r="K660" s="24" t="s">
        <v>72</v>
      </c>
    </row>
    <row r="661" spans="1:11">
      <c r="A661" s="24" t="s">
        <v>15840</v>
      </c>
      <c r="B661" s="24" t="s">
        <v>15840</v>
      </c>
      <c r="C661" s="24" t="s">
        <v>15801</v>
      </c>
      <c r="D661" s="24" t="s">
        <v>15900</v>
      </c>
      <c r="E661" s="24" t="s">
        <v>15820</v>
      </c>
      <c r="F661" s="29" t="s">
        <v>4851</v>
      </c>
      <c r="H661" s="11" t="str">
        <f t="shared" si="20"/>
        <v/>
      </c>
      <c r="J661" s="11" t="str">
        <f t="shared" si="21"/>
        <v xml:space="preserve"> </v>
      </c>
      <c r="K661" s="24" t="s">
        <v>15801</v>
      </c>
    </row>
    <row r="662" spans="1:11">
      <c r="A662" s="24" t="s">
        <v>15820</v>
      </c>
      <c r="B662" s="24" t="s">
        <v>15820</v>
      </c>
      <c r="C662" s="24" t="s">
        <v>15894</v>
      </c>
      <c r="D662" s="24" t="s">
        <v>15801</v>
      </c>
      <c r="E662" s="24" t="s">
        <v>15931</v>
      </c>
      <c r="F662" s="29" t="s">
        <v>4825</v>
      </c>
      <c r="G662" s="24" t="s">
        <v>4826</v>
      </c>
      <c r="H662" s="11" t="str">
        <f t="shared" si="20"/>
        <v>05/07/1901</v>
      </c>
      <c r="J662" s="11" t="str">
        <f t="shared" si="21"/>
        <v xml:space="preserve"> </v>
      </c>
      <c r="K662" s="24" t="s">
        <v>4826</v>
      </c>
    </row>
    <row r="663" spans="1:11">
      <c r="A663" s="24" t="s">
        <v>15807</v>
      </c>
      <c r="B663" s="24" t="s">
        <v>15807</v>
      </c>
      <c r="C663" s="24" t="s">
        <v>15949</v>
      </c>
      <c r="D663" s="24" t="s">
        <v>15900</v>
      </c>
      <c r="E663" s="24" t="s">
        <v>15971</v>
      </c>
      <c r="F663" s="29" t="s">
        <v>4814</v>
      </c>
      <c r="G663" s="24">
        <v>1859</v>
      </c>
      <c r="H663" s="11"/>
      <c r="J663" s="11" t="str">
        <f t="shared" si="21"/>
        <v xml:space="preserve"> </v>
      </c>
    </row>
    <row r="664" spans="1:11">
      <c r="A664" s="24" t="s">
        <v>15801</v>
      </c>
      <c r="B664" s="24" t="s">
        <v>15804</v>
      </c>
      <c r="C664" s="24" t="s">
        <v>15893</v>
      </c>
      <c r="D664" s="24" t="s">
        <v>15900</v>
      </c>
      <c r="E664" s="24" t="s">
        <v>15801</v>
      </c>
      <c r="G664" s="24" t="s">
        <v>4802</v>
      </c>
      <c r="H664" s="11" t="str">
        <f t="shared" si="20"/>
        <v>10/06/1879</v>
      </c>
      <c r="J664" s="11" t="str">
        <f t="shared" si="21"/>
        <v xml:space="preserve"> </v>
      </c>
      <c r="K664" s="24" t="s">
        <v>4802</v>
      </c>
    </row>
    <row r="665" spans="1:11">
      <c r="A665" s="24" t="s">
        <v>15801</v>
      </c>
      <c r="B665" s="24" t="s">
        <v>15809</v>
      </c>
      <c r="C665" s="24" t="s">
        <v>15801</v>
      </c>
      <c r="D665" s="24" t="s">
        <v>15884</v>
      </c>
      <c r="E665" s="24" t="s">
        <v>15841</v>
      </c>
      <c r="H665" s="11" t="str">
        <f t="shared" si="20"/>
        <v/>
      </c>
      <c r="J665" s="11" t="str">
        <f t="shared" si="21"/>
        <v xml:space="preserve"> </v>
      </c>
      <c r="K665" s="24" t="s">
        <v>15801</v>
      </c>
    </row>
    <row r="666" spans="1:11">
      <c r="A666" s="24" t="s">
        <v>15828</v>
      </c>
      <c r="B666" s="24" t="s">
        <v>15828</v>
      </c>
      <c r="C666" s="24" t="s">
        <v>15801</v>
      </c>
      <c r="D666" s="24" t="s">
        <v>15884</v>
      </c>
      <c r="E666" s="24" t="s">
        <v>15801</v>
      </c>
      <c r="F666" s="29" t="s">
        <v>4837</v>
      </c>
      <c r="H666" s="11" t="str">
        <f t="shared" si="20"/>
        <v/>
      </c>
      <c r="J666" s="11" t="str">
        <f t="shared" si="21"/>
        <v xml:space="preserve"> </v>
      </c>
      <c r="K666" s="24" t="s">
        <v>15801</v>
      </c>
    </row>
    <row r="667" spans="1:11">
      <c r="A667" s="24" t="s">
        <v>15833</v>
      </c>
      <c r="B667" s="24" t="s">
        <v>15833</v>
      </c>
      <c r="C667" s="24" t="s">
        <v>15801</v>
      </c>
      <c r="D667" s="24" t="s">
        <v>15884</v>
      </c>
      <c r="E667" s="24" t="s">
        <v>15801</v>
      </c>
      <c r="F667" s="29" t="s">
        <v>4822</v>
      </c>
      <c r="H667" s="11" t="str">
        <f t="shared" si="20"/>
        <v/>
      </c>
      <c r="J667" s="11" t="str">
        <f t="shared" si="21"/>
        <v xml:space="preserve"> </v>
      </c>
      <c r="K667" s="24" t="s">
        <v>15801</v>
      </c>
    </row>
    <row r="668" spans="1:11">
      <c r="A668" s="24" t="s">
        <v>15801</v>
      </c>
      <c r="B668" s="24" t="s">
        <v>15831</v>
      </c>
      <c r="C668" s="24" t="s">
        <v>15801</v>
      </c>
      <c r="D668" s="24" t="s">
        <v>15884</v>
      </c>
      <c r="E668" s="24" t="s">
        <v>15803</v>
      </c>
      <c r="H668" s="11" t="str">
        <f t="shared" si="20"/>
        <v/>
      </c>
      <c r="J668" s="11" t="str">
        <f t="shared" si="21"/>
        <v xml:space="preserve"> </v>
      </c>
      <c r="K668" s="24" t="s">
        <v>15801</v>
      </c>
    </row>
    <row r="669" spans="1:11">
      <c r="A669" s="24" t="s">
        <v>15825</v>
      </c>
      <c r="B669" s="24" t="s">
        <v>15825</v>
      </c>
      <c r="C669" s="24" t="s">
        <v>15801</v>
      </c>
      <c r="D669" s="24" t="s">
        <v>15801</v>
      </c>
      <c r="E669" s="24" t="s">
        <v>15870</v>
      </c>
      <c r="F669" s="29" t="s">
        <v>4856</v>
      </c>
      <c r="H669" s="11" t="str">
        <f t="shared" si="20"/>
        <v/>
      </c>
      <c r="J669" s="11" t="str">
        <f t="shared" si="21"/>
        <v xml:space="preserve"> </v>
      </c>
      <c r="K669" s="24" t="s">
        <v>15801</v>
      </c>
    </row>
    <row r="670" spans="1:11">
      <c r="A670" s="24" t="s">
        <v>15802</v>
      </c>
      <c r="B670" s="24" t="s">
        <v>15802</v>
      </c>
      <c r="C670" s="24" t="s">
        <v>15894</v>
      </c>
      <c r="D670" s="24" t="s">
        <v>15801</v>
      </c>
      <c r="E670" s="24" t="s">
        <v>15899</v>
      </c>
      <c r="F670" s="29" t="s">
        <v>4839</v>
      </c>
      <c r="G670" s="24" t="s">
        <v>4842</v>
      </c>
      <c r="H670" s="11" t="str">
        <f t="shared" si="20"/>
        <v>11/09/1901</v>
      </c>
      <c r="J670" s="11" t="str">
        <f t="shared" si="21"/>
        <v xml:space="preserve"> </v>
      </c>
      <c r="K670" s="24" t="s">
        <v>4842</v>
      </c>
    </row>
    <row r="671" spans="1:11">
      <c r="A671" s="24" t="s">
        <v>15803</v>
      </c>
      <c r="B671" s="24" t="s">
        <v>15803</v>
      </c>
      <c r="C671" s="24" t="s">
        <v>15801</v>
      </c>
      <c r="D671" s="24" t="s">
        <v>15801</v>
      </c>
      <c r="E671" s="24" t="s">
        <v>15801</v>
      </c>
      <c r="F671" s="29" t="s">
        <v>4862</v>
      </c>
      <c r="H671" s="11" t="str">
        <f t="shared" si="20"/>
        <v/>
      </c>
      <c r="J671" s="11" t="str">
        <f t="shared" si="21"/>
        <v xml:space="preserve"> </v>
      </c>
      <c r="K671" s="24" t="s">
        <v>15801</v>
      </c>
    </row>
    <row r="672" spans="1:11">
      <c r="A672" s="24" t="s">
        <v>15806</v>
      </c>
      <c r="B672" s="24" t="s">
        <v>15806</v>
      </c>
      <c r="C672" s="24" t="s">
        <v>15954</v>
      </c>
      <c r="D672" s="24" t="s">
        <v>15899</v>
      </c>
      <c r="E672" s="24" t="s">
        <v>15900</v>
      </c>
      <c r="F672" s="29" t="s">
        <v>4867</v>
      </c>
      <c r="G672" s="24" t="s">
        <v>4869</v>
      </c>
      <c r="H672" s="11" t="str">
        <f t="shared" si="20"/>
        <v>06/09/1857</v>
      </c>
      <c r="J672" s="11" t="str">
        <f t="shared" si="21"/>
        <v xml:space="preserve"> </v>
      </c>
      <c r="K672" s="24" t="s">
        <v>4869</v>
      </c>
    </row>
    <row r="673" spans="1:11">
      <c r="A673" s="24" t="s">
        <v>15815</v>
      </c>
      <c r="B673" s="24" t="s">
        <v>15815</v>
      </c>
      <c r="C673" s="24" t="s">
        <v>15884</v>
      </c>
      <c r="E673" s="24" t="s">
        <v>15801</v>
      </c>
      <c r="F673" s="29" t="s">
        <v>5101</v>
      </c>
      <c r="G673" s="24" t="s">
        <v>72</v>
      </c>
      <c r="H673" s="11" t="str">
        <f t="shared" si="20"/>
        <v>06/02/1838</v>
      </c>
      <c r="J673" s="11" t="str">
        <f t="shared" si="21"/>
        <v xml:space="preserve"> </v>
      </c>
      <c r="K673" s="24" t="s">
        <v>72</v>
      </c>
    </row>
    <row r="674" spans="1:11">
      <c r="A674" s="24" t="s">
        <v>15807</v>
      </c>
      <c r="B674" s="24" t="s">
        <v>15807</v>
      </c>
      <c r="C674" s="24" t="s">
        <v>15934</v>
      </c>
      <c r="D674" s="24" t="s">
        <v>15884</v>
      </c>
      <c r="E674" s="24" t="s">
        <v>15966</v>
      </c>
      <c r="F674" s="29" t="s">
        <v>5031</v>
      </c>
      <c r="G674" s="24" t="s">
        <v>5033</v>
      </c>
      <c r="H674" s="11" t="str">
        <f t="shared" si="20"/>
        <v>17/03/1898</v>
      </c>
      <c r="J674" s="11" t="str">
        <f t="shared" si="21"/>
        <v xml:space="preserve"> </v>
      </c>
      <c r="K674" s="24" t="s">
        <v>5033</v>
      </c>
    </row>
    <row r="675" spans="1:11">
      <c r="A675" s="24" t="s">
        <v>15849</v>
      </c>
      <c r="B675" s="24" t="s">
        <v>15849</v>
      </c>
      <c r="C675" s="24" t="s">
        <v>15933</v>
      </c>
      <c r="D675" s="24" t="s">
        <v>15870</v>
      </c>
      <c r="E675" s="24" t="s">
        <v>15828</v>
      </c>
      <c r="F675" s="29" t="s">
        <v>5063</v>
      </c>
      <c r="G675" s="24" t="s">
        <v>5066</v>
      </c>
      <c r="H675" s="11" t="str">
        <f t="shared" si="20"/>
        <v>16/03/1873</v>
      </c>
      <c r="J675" s="11" t="str">
        <f t="shared" si="21"/>
        <v xml:space="preserve"> </v>
      </c>
      <c r="K675" s="24" t="s">
        <v>5066</v>
      </c>
    </row>
    <row r="676" spans="1:11">
      <c r="A676" s="24" t="s">
        <v>15828</v>
      </c>
      <c r="B676" s="24" t="s">
        <v>15828</v>
      </c>
      <c r="C676" s="24" t="s">
        <v>15896</v>
      </c>
      <c r="D676" s="24" t="s">
        <v>15899</v>
      </c>
      <c r="E676" s="24" t="s">
        <v>15801</v>
      </c>
      <c r="F676" s="29" t="s">
        <v>4973</v>
      </c>
      <c r="G676" s="24" t="s">
        <v>4975</v>
      </c>
      <c r="H676" s="11" t="str">
        <f t="shared" si="20"/>
        <v>15/09/1887</v>
      </c>
      <c r="J676" s="11" t="str">
        <f t="shared" si="21"/>
        <v xml:space="preserve"> </v>
      </c>
      <c r="K676" s="24" t="s">
        <v>4975</v>
      </c>
    </row>
    <row r="677" spans="1:11">
      <c r="A677" s="24" t="s">
        <v>15820</v>
      </c>
      <c r="B677" s="24" t="s">
        <v>15820</v>
      </c>
      <c r="C677" s="24" t="s">
        <v>15894</v>
      </c>
      <c r="E677" s="24" t="s">
        <v>15905</v>
      </c>
      <c r="F677" s="29" t="s">
        <v>4910</v>
      </c>
      <c r="G677" s="24" t="s">
        <v>4912</v>
      </c>
      <c r="H677" s="11" t="str">
        <f t="shared" si="20"/>
        <v>24/04/1901</v>
      </c>
      <c r="J677" s="11" t="str">
        <f t="shared" si="21"/>
        <v xml:space="preserve"> </v>
      </c>
      <c r="K677" s="24" t="s">
        <v>4912</v>
      </c>
    </row>
    <row r="678" spans="1:11">
      <c r="A678" s="24" t="s">
        <v>15832</v>
      </c>
      <c r="B678" s="24" t="s">
        <v>15832</v>
      </c>
      <c r="C678" s="24" t="s">
        <v>15880</v>
      </c>
      <c r="D678" s="24" t="s">
        <v>15801</v>
      </c>
      <c r="E678" s="24" t="s">
        <v>15971</v>
      </c>
      <c r="G678" s="24" t="s">
        <v>4921</v>
      </c>
      <c r="H678" s="11" t="str">
        <f t="shared" si="20"/>
        <v>14/12/1892</v>
      </c>
      <c r="J678" s="11" t="str">
        <f t="shared" si="21"/>
        <v xml:space="preserve"> </v>
      </c>
      <c r="K678" s="24" t="s">
        <v>4921</v>
      </c>
    </row>
    <row r="679" spans="1:11">
      <c r="A679" s="24" t="s">
        <v>15801</v>
      </c>
      <c r="B679" s="24" t="s">
        <v>15831</v>
      </c>
      <c r="C679" s="24" t="s">
        <v>15915</v>
      </c>
      <c r="E679" s="24" t="s">
        <v>15814</v>
      </c>
      <c r="G679" s="24" t="s">
        <v>4964</v>
      </c>
      <c r="H679" s="11" t="str">
        <f t="shared" si="20"/>
        <v>02/09/1839</v>
      </c>
      <c r="J679" s="11" t="str">
        <f t="shared" si="21"/>
        <v xml:space="preserve"> </v>
      </c>
      <c r="K679" s="24" t="s">
        <v>4964</v>
      </c>
    </row>
    <row r="680" spans="1:11">
      <c r="A680" s="24" t="s">
        <v>15804</v>
      </c>
      <c r="B680" s="24" t="s">
        <v>15804</v>
      </c>
      <c r="C680" s="24" t="s">
        <v>15951</v>
      </c>
      <c r="D680" s="24" t="s">
        <v>15956</v>
      </c>
      <c r="E680" s="24" t="s">
        <v>15945</v>
      </c>
      <c r="F680" s="29" t="s">
        <v>5009</v>
      </c>
      <c r="G680" s="24" t="s">
        <v>5011</v>
      </c>
      <c r="H680" s="11" t="str">
        <f t="shared" si="20"/>
        <v>11/03/1886</v>
      </c>
      <c r="J680" s="11" t="str">
        <f t="shared" si="21"/>
        <v xml:space="preserve"> </v>
      </c>
      <c r="K680" s="24" t="s">
        <v>5011</v>
      </c>
    </row>
    <row r="681" spans="1:11">
      <c r="A681" s="24" t="s">
        <v>15818</v>
      </c>
      <c r="B681" s="24" t="s">
        <v>15818</v>
      </c>
      <c r="C681" s="24" t="s">
        <v>15801</v>
      </c>
      <c r="D681" s="24" t="s">
        <v>15801</v>
      </c>
      <c r="E681" s="24" t="s">
        <v>15966</v>
      </c>
      <c r="F681" s="29" t="s">
        <v>4895</v>
      </c>
      <c r="H681" s="11" t="str">
        <f t="shared" si="20"/>
        <v/>
      </c>
      <c r="J681" s="11" t="str">
        <f t="shared" si="21"/>
        <v xml:space="preserve"> </v>
      </c>
      <c r="K681" s="24" t="s">
        <v>15801</v>
      </c>
    </row>
    <row r="682" spans="1:11">
      <c r="A682" s="24" t="s">
        <v>15825</v>
      </c>
      <c r="B682" s="24" t="s">
        <v>15825</v>
      </c>
      <c r="C682" s="24" t="s">
        <v>15880</v>
      </c>
      <c r="E682" s="24" t="s">
        <v>15876</v>
      </c>
      <c r="F682" s="29" t="s">
        <v>1830</v>
      </c>
      <c r="G682" s="24" t="s">
        <v>4937</v>
      </c>
      <c r="H682" s="11" t="str">
        <f t="shared" si="20"/>
        <v>18/04/1892</v>
      </c>
      <c r="J682" s="11" t="str">
        <f t="shared" si="21"/>
        <v xml:space="preserve"> </v>
      </c>
      <c r="K682" s="24" t="s">
        <v>4937</v>
      </c>
    </row>
    <row r="683" spans="1:11">
      <c r="A683" s="24" t="s">
        <v>15819</v>
      </c>
      <c r="B683" s="24" t="s">
        <v>15819</v>
      </c>
      <c r="C683" s="24" t="s">
        <v>15919</v>
      </c>
      <c r="D683" s="24" t="s">
        <v>15899</v>
      </c>
      <c r="E683" s="24" t="s">
        <v>15870</v>
      </c>
      <c r="F683" s="29" t="s">
        <v>5124</v>
      </c>
      <c r="G683" s="24" t="s">
        <v>5126</v>
      </c>
      <c r="H683" s="11" t="str">
        <f t="shared" si="20"/>
        <v>01/10/1888</v>
      </c>
      <c r="J683" s="11" t="str">
        <f t="shared" si="21"/>
        <v xml:space="preserve"> </v>
      </c>
      <c r="K683" s="24" t="s">
        <v>5126</v>
      </c>
    </row>
    <row r="684" spans="1:11">
      <c r="A684" s="24" t="s">
        <v>15816</v>
      </c>
      <c r="B684" s="24" t="s">
        <v>15816</v>
      </c>
      <c r="C684" s="24" t="s">
        <v>15801</v>
      </c>
      <c r="D684" s="24" t="s">
        <v>15956</v>
      </c>
      <c r="E684" s="24" t="s">
        <v>15884</v>
      </c>
      <c r="F684" s="29" t="s">
        <v>5075</v>
      </c>
      <c r="H684" s="11" t="str">
        <f t="shared" si="20"/>
        <v/>
      </c>
      <c r="J684" s="11" t="str">
        <f t="shared" si="21"/>
        <v xml:space="preserve"> </v>
      </c>
      <c r="K684" s="24" t="s">
        <v>15801</v>
      </c>
    </row>
    <row r="685" spans="1:11">
      <c r="A685" s="24" t="s">
        <v>15810</v>
      </c>
      <c r="B685" s="24" t="s">
        <v>15810</v>
      </c>
      <c r="C685" s="24" t="s">
        <v>15924</v>
      </c>
      <c r="D685" s="24" t="s">
        <v>15899</v>
      </c>
      <c r="E685" s="24" t="s">
        <v>15915</v>
      </c>
      <c r="F685" s="29" t="s">
        <v>2653</v>
      </c>
      <c r="G685" s="24" t="s">
        <v>4958</v>
      </c>
      <c r="H685" s="11" t="str">
        <f t="shared" si="20"/>
        <v>18/09/1868</v>
      </c>
      <c r="J685" s="11" t="str">
        <f t="shared" si="21"/>
        <v xml:space="preserve"> </v>
      </c>
      <c r="K685" s="24" t="s">
        <v>4958</v>
      </c>
    </row>
    <row r="686" spans="1:11">
      <c r="A686" s="24" t="s">
        <v>15825</v>
      </c>
      <c r="B686" s="24" t="s">
        <v>15825</v>
      </c>
      <c r="C686" s="24" t="s">
        <v>15880</v>
      </c>
      <c r="D686" s="24" t="s">
        <v>15884</v>
      </c>
      <c r="E686" s="24" t="s">
        <v>15870</v>
      </c>
      <c r="F686" s="29" t="s">
        <v>4997</v>
      </c>
      <c r="G686" s="24" t="s">
        <v>4999</v>
      </c>
      <c r="H686" s="11" t="str">
        <f t="shared" si="20"/>
        <v>09/09/1892</v>
      </c>
      <c r="J686" s="11" t="str">
        <f t="shared" si="21"/>
        <v xml:space="preserve"> </v>
      </c>
      <c r="K686" s="24" t="s">
        <v>4999</v>
      </c>
    </row>
    <row r="687" spans="1:11">
      <c r="A687" s="24" t="s">
        <v>15810</v>
      </c>
      <c r="B687" s="24" t="s">
        <v>15810</v>
      </c>
      <c r="C687" s="24" t="s">
        <v>15896</v>
      </c>
      <c r="D687" s="24" t="s">
        <v>15884</v>
      </c>
      <c r="E687" s="24" t="s">
        <v>15884</v>
      </c>
      <c r="F687" s="29" t="s">
        <v>1117</v>
      </c>
      <c r="G687" s="24" t="s">
        <v>5110</v>
      </c>
      <c r="H687" s="11" t="str">
        <f t="shared" si="20"/>
        <v>15/04/1887</v>
      </c>
      <c r="J687" s="11" t="str">
        <f t="shared" si="21"/>
        <v xml:space="preserve"> </v>
      </c>
      <c r="K687" s="24" t="s">
        <v>5110</v>
      </c>
    </row>
    <row r="688" spans="1:11">
      <c r="A688" s="24" t="s">
        <v>15827</v>
      </c>
      <c r="B688" s="24" t="s">
        <v>15827</v>
      </c>
      <c r="C688" s="24" t="s">
        <v>15934</v>
      </c>
      <c r="E688" s="24" t="s">
        <v>15801</v>
      </c>
      <c r="F688" s="29" t="s">
        <v>4928</v>
      </c>
      <c r="G688" s="24" t="s">
        <v>4929</v>
      </c>
      <c r="H688" s="11" t="str">
        <f t="shared" si="20"/>
        <v>02/01/1898</v>
      </c>
      <c r="J688" s="11" t="str">
        <f t="shared" si="21"/>
        <v xml:space="preserve"> </v>
      </c>
      <c r="K688" s="24" t="s">
        <v>4929</v>
      </c>
    </row>
    <row r="689" spans="1:11">
      <c r="A689" s="24" t="s">
        <v>15821</v>
      </c>
      <c r="B689" s="24" t="s">
        <v>15821</v>
      </c>
      <c r="C689" s="24" t="s">
        <v>15888</v>
      </c>
      <c r="D689" s="24" t="s">
        <v>15884</v>
      </c>
      <c r="E689" s="24" t="s">
        <v>15864</v>
      </c>
      <c r="F689" s="29" t="s">
        <v>4887</v>
      </c>
      <c r="G689" s="24" t="s">
        <v>4889</v>
      </c>
      <c r="H689" s="11" t="str">
        <f t="shared" si="20"/>
        <v>28/01/1864</v>
      </c>
      <c r="J689" s="11" t="str">
        <f t="shared" si="21"/>
        <v xml:space="preserve"> </v>
      </c>
      <c r="K689" s="24" t="s">
        <v>4889</v>
      </c>
    </row>
    <row r="690" spans="1:11">
      <c r="A690" s="24" t="s">
        <v>15834</v>
      </c>
      <c r="B690" s="24" t="s">
        <v>15834</v>
      </c>
      <c r="C690" s="24" t="s">
        <v>15955</v>
      </c>
      <c r="D690" s="24" t="s">
        <v>15870</v>
      </c>
      <c r="E690" s="24" t="s">
        <v>15972</v>
      </c>
      <c r="F690" s="29" t="s">
        <v>4990</v>
      </c>
      <c r="G690" s="24" t="s">
        <v>4991</v>
      </c>
      <c r="H690" s="11" t="str">
        <f t="shared" si="20"/>
        <v>28/05/1976</v>
      </c>
      <c r="J690" s="11" t="str">
        <f t="shared" si="21"/>
        <v xml:space="preserve"> </v>
      </c>
      <c r="K690" s="24" t="s">
        <v>4991</v>
      </c>
    </row>
    <row r="691" spans="1:11">
      <c r="A691" s="24" t="s">
        <v>15801</v>
      </c>
      <c r="B691" s="24" t="s">
        <v>15806</v>
      </c>
      <c r="C691" s="24" t="s">
        <v>15893</v>
      </c>
      <c r="D691" s="24" t="s">
        <v>15870</v>
      </c>
      <c r="E691" s="24" t="s">
        <v>15851</v>
      </c>
      <c r="G691" s="24" t="s">
        <v>5050</v>
      </c>
      <c r="H691" s="11" t="str">
        <f t="shared" si="20"/>
        <v>29/07/1879</v>
      </c>
      <c r="J691" s="11" t="str">
        <f t="shared" si="21"/>
        <v xml:space="preserve"> </v>
      </c>
      <c r="K691" s="24" t="s">
        <v>5050</v>
      </c>
    </row>
    <row r="692" spans="1:11">
      <c r="A692" s="24" t="s">
        <v>15810</v>
      </c>
      <c r="B692" s="24" t="s">
        <v>15810</v>
      </c>
      <c r="C692" s="24" t="s">
        <v>15910</v>
      </c>
      <c r="D692" s="24" t="s">
        <v>15900</v>
      </c>
      <c r="E692" s="24" t="s">
        <v>15870</v>
      </c>
      <c r="F692" s="29" t="s">
        <v>4943</v>
      </c>
      <c r="G692" s="24" t="s">
        <v>4945</v>
      </c>
      <c r="H692" s="11" t="str">
        <f t="shared" si="20"/>
        <v>14/02/1889</v>
      </c>
      <c r="J692" s="11" t="str">
        <f t="shared" si="21"/>
        <v xml:space="preserve"> </v>
      </c>
      <c r="K692" s="24" t="s">
        <v>4945</v>
      </c>
    </row>
    <row r="693" spans="1:11">
      <c r="A693" s="24" t="s">
        <v>15808</v>
      </c>
      <c r="B693" s="24" t="s">
        <v>15808</v>
      </c>
      <c r="C693" s="24" t="s">
        <v>15917</v>
      </c>
      <c r="D693" s="24" t="s">
        <v>15900</v>
      </c>
      <c r="E693" s="24" t="s">
        <v>15827</v>
      </c>
      <c r="F693" s="29" t="s">
        <v>5135</v>
      </c>
      <c r="G693" s="24" t="s">
        <v>5137</v>
      </c>
      <c r="H693" s="11" t="str">
        <f t="shared" si="20"/>
        <v>12/12/1869</v>
      </c>
      <c r="J693" s="11" t="str">
        <f t="shared" si="21"/>
        <v xml:space="preserve"> </v>
      </c>
      <c r="K693" s="24" t="s">
        <v>5137</v>
      </c>
    </row>
    <row r="694" spans="1:11">
      <c r="A694" s="24" t="s">
        <v>15821</v>
      </c>
      <c r="B694" s="24" t="s">
        <v>15821</v>
      </c>
      <c r="C694" s="24" t="s">
        <v>15916</v>
      </c>
      <c r="D694" s="24" t="s">
        <v>15899</v>
      </c>
      <c r="E694" s="24" t="s">
        <v>15966</v>
      </c>
      <c r="F694" s="29" t="s">
        <v>4878</v>
      </c>
      <c r="G694" s="24" t="s">
        <v>4880</v>
      </c>
      <c r="H694" s="11" t="str">
        <f t="shared" si="20"/>
        <v>28/05/1885</v>
      </c>
      <c r="J694" s="11" t="str">
        <f t="shared" si="21"/>
        <v xml:space="preserve"> </v>
      </c>
      <c r="K694" s="24" t="s">
        <v>4880</v>
      </c>
    </row>
    <row r="695" spans="1:11">
      <c r="A695" s="24" t="s">
        <v>15803</v>
      </c>
      <c r="B695" s="24" t="s">
        <v>15803</v>
      </c>
      <c r="C695" s="24" t="s">
        <v>15801</v>
      </c>
      <c r="D695" s="24" t="s">
        <v>15899</v>
      </c>
      <c r="E695" s="24" t="s">
        <v>15823</v>
      </c>
      <c r="F695" s="29" t="s">
        <v>4981</v>
      </c>
      <c r="H695" s="11" t="str">
        <f t="shared" si="20"/>
        <v/>
      </c>
      <c r="J695" s="11" t="str">
        <f t="shared" si="21"/>
        <v xml:space="preserve"> </v>
      </c>
      <c r="K695" s="24" t="s">
        <v>15801</v>
      </c>
    </row>
    <row r="696" spans="1:11">
      <c r="A696" s="24" t="s">
        <v>15829</v>
      </c>
      <c r="B696" s="24" t="s">
        <v>15829</v>
      </c>
      <c r="C696" s="24" t="s">
        <v>15909</v>
      </c>
      <c r="D696" s="24" t="s">
        <v>15915</v>
      </c>
      <c r="E696" s="24" t="s">
        <v>15844</v>
      </c>
      <c r="F696" s="29" t="s">
        <v>4874</v>
      </c>
      <c r="G696" s="24">
        <v>1881</v>
      </c>
      <c r="H696" s="11"/>
      <c r="J696" s="11" t="str">
        <f t="shared" si="21"/>
        <v xml:space="preserve"> </v>
      </c>
    </row>
    <row r="697" spans="1:11">
      <c r="A697" s="24" t="s">
        <v>15818</v>
      </c>
      <c r="B697" s="24" t="s">
        <v>15818</v>
      </c>
      <c r="C697" s="24" t="s">
        <v>15801</v>
      </c>
      <c r="D697" s="24" t="s">
        <v>15908</v>
      </c>
      <c r="E697" s="24" t="s">
        <v>15965</v>
      </c>
      <c r="F697" s="29" t="s">
        <v>5057</v>
      </c>
      <c r="H697" s="11" t="str">
        <f t="shared" si="20"/>
        <v/>
      </c>
      <c r="J697" s="11" t="str">
        <f t="shared" si="21"/>
        <v xml:space="preserve"> </v>
      </c>
      <c r="K697" s="24" t="s">
        <v>15801</v>
      </c>
    </row>
    <row r="698" spans="1:11">
      <c r="A698" s="24" t="s">
        <v>15847</v>
      </c>
      <c r="B698" s="24" t="s">
        <v>15847</v>
      </c>
      <c r="C698" s="24" t="s">
        <v>15801</v>
      </c>
      <c r="D698" s="24" t="s">
        <v>15900</v>
      </c>
      <c r="E698" s="24" t="s">
        <v>15801</v>
      </c>
      <c r="F698" s="29" t="s">
        <v>5023</v>
      </c>
      <c r="H698" s="11" t="str">
        <f t="shared" si="20"/>
        <v/>
      </c>
      <c r="J698" s="11" t="str">
        <f t="shared" si="21"/>
        <v xml:space="preserve"> </v>
      </c>
      <c r="K698" s="24" t="s">
        <v>15801</v>
      </c>
    </row>
    <row r="699" spans="1:11">
      <c r="A699" s="24" t="s">
        <v>15832</v>
      </c>
      <c r="B699" s="24" t="s">
        <v>15832</v>
      </c>
      <c r="C699" s="24" t="s">
        <v>15912</v>
      </c>
      <c r="D699" s="24" t="s">
        <v>15884</v>
      </c>
      <c r="E699" s="24" t="s">
        <v>15864</v>
      </c>
      <c r="F699" s="29" t="s">
        <v>2197</v>
      </c>
      <c r="G699" s="24" t="s">
        <v>4902</v>
      </c>
      <c r="H699" s="11" t="str">
        <f t="shared" si="20"/>
        <v>05/05/1893</v>
      </c>
      <c r="J699" s="11" t="str">
        <f t="shared" si="21"/>
        <v xml:space="preserve"> </v>
      </c>
      <c r="K699" s="24" t="s">
        <v>4902</v>
      </c>
    </row>
    <row r="700" spans="1:11">
      <c r="A700" s="24" t="s">
        <v>15839</v>
      </c>
      <c r="B700" s="24" t="s">
        <v>15839</v>
      </c>
      <c r="C700" s="24" t="s">
        <v>15891</v>
      </c>
      <c r="D700" s="24" t="s">
        <v>15956</v>
      </c>
      <c r="E700" s="24" t="s">
        <v>15833</v>
      </c>
      <c r="F700" s="29" t="s">
        <v>5083</v>
      </c>
      <c r="G700" s="24" t="s">
        <v>5085</v>
      </c>
      <c r="H700" s="11"/>
      <c r="J700" s="11" t="str">
        <f t="shared" si="21"/>
        <v xml:space="preserve"> </v>
      </c>
    </row>
    <row r="701" spans="1:11">
      <c r="A701" s="24" t="s">
        <v>15813</v>
      </c>
      <c r="B701" s="24" t="s">
        <v>15813</v>
      </c>
      <c r="C701" s="24" t="s">
        <v>15801</v>
      </c>
      <c r="D701" s="24" t="s">
        <v>15884</v>
      </c>
      <c r="E701" s="24" t="s">
        <v>15827</v>
      </c>
      <c r="F701" s="29" t="s">
        <v>5091</v>
      </c>
      <c r="H701" s="11" t="str">
        <f t="shared" si="20"/>
        <v/>
      </c>
      <c r="J701" s="11" t="str">
        <f t="shared" si="21"/>
        <v xml:space="preserve"> </v>
      </c>
      <c r="K701" s="24" t="s">
        <v>15801</v>
      </c>
    </row>
    <row r="702" spans="1:11">
      <c r="A702" s="24" t="s">
        <v>15832</v>
      </c>
      <c r="B702" s="24" t="s">
        <v>15832</v>
      </c>
      <c r="C702" s="24" t="s">
        <v>15956</v>
      </c>
      <c r="D702" s="24" t="s">
        <v>15899</v>
      </c>
      <c r="E702" s="24" t="s">
        <v>15899</v>
      </c>
      <c r="F702" s="29" t="s">
        <v>5143</v>
      </c>
      <c r="G702" s="24" t="s">
        <v>5145</v>
      </c>
      <c r="H702" s="11" t="str">
        <f t="shared" si="20"/>
        <v>12/08/1842</v>
      </c>
      <c r="J702" s="11" t="str">
        <f t="shared" si="21"/>
        <v xml:space="preserve"> </v>
      </c>
      <c r="K702" s="24" t="s">
        <v>5145</v>
      </c>
    </row>
    <row r="703" spans="1:11">
      <c r="A703" s="24" t="s">
        <v>15850</v>
      </c>
      <c r="B703" s="24" t="s">
        <v>15850</v>
      </c>
      <c r="C703" s="24" t="s">
        <v>15887</v>
      </c>
      <c r="D703" s="24" t="s">
        <v>15884</v>
      </c>
      <c r="E703" s="24" t="s">
        <v>15819</v>
      </c>
      <c r="F703" s="29" t="s">
        <v>5154</v>
      </c>
      <c r="G703" s="24" t="s">
        <v>5157</v>
      </c>
      <c r="H703" s="11" t="str">
        <f t="shared" si="20"/>
        <v>08/11/1856</v>
      </c>
      <c r="J703" s="11" t="str">
        <f t="shared" si="21"/>
        <v xml:space="preserve"> </v>
      </c>
      <c r="K703" s="24" t="s">
        <v>5157</v>
      </c>
    </row>
    <row r="704" spans="1:11">
      <c r="A704" s="24" t="s">
        <v>15801</v>
      </c>
      <c r="B704" s="24" t="s">
        <v>15822</v>
      </c>
      <c r="C704" s="24" t="s">
        <v>15801</v>
      </c>
      <c r="D704" s="24" t="s">
        <v>15899</v>
      </c>
      <c r="E704" s="24" t="s">
        <v>15811</v>
      </c>
      <c r="H704" s="11" t="str">
        <f t="shared" si="20"/>
        <v/>
      </c>
      <c r="J704" s="11" t="str">
        <f t="shared" si="21"/>
        <v xml:space="preserve"> </v>
      </c>
      <c r="K704" s="24" t="s">
        <v>15801</v>
      </c>
    </row>
    <row r="705" spans="1:11">
      <c r="A705" s="24" t="s">
        <v>15801</v>
      </c>
      <c r="B705" s="24" t="s">
        <v>15859</v>
      </c>
      <c r="C705" s="24" t="s">
        <v>15949</v>
      </c>
      <c r="E705" s="24" t="s">
        <v>15804</v>
      </c>
      <c r="G705" s="24" t="s">
        <v>5181</v>
      </c>
      <c r="H705" s="11" t="str">
        <f t="shared" si="20"/>
        <v>28/02/1859</v>
      </c>
      <c r="J705" s="11" t="str">
        <f t="shared" si="21"/>
        <v xml:space="preserve"> </v>
      </c>
      <c r="K705" s="24" t="s">
        <v>5181</v>
      </c>
    </row>
    <row r="706" spans="1:11">
      <c r="A706" s="24" t="s">
        <v>15801</v>
      </c>
      <c r="B706" s="24" t="s">
        <v>15859</v>
      </c>
      <c r="C706" s="24" t="s">
        <v>15920</v>
      </c>
      <c r="D706" s="24" t="s">
        <v>15900</v>
      </c>
      <c r="E706" s="24" t="s">
        <v>15833</v>
      </c>
      <c r="G706" s="24" t="s">
        <v>5192</v>
      </c>
      <c r="H706" s="11" t="str">
        <f t="shared" si="20"/>
        <v>10/05/1852</v>
      </c>
      <c r="J706" s="11" t="str">
        <f t="shared" si="21"/>
        <v xml:space="preserve"> </v>
      </c>
      <c r="K706" s="24" t="s">
        <v>5192</v>
      </c>
    </row>
    <row r="707" spans="1:11">
      <c r="A707" s="24" t="s">
        <v>15827</v>
      </c>
      <c r="B707" s="24" t="s">
        <v>15827</v>
      </c>
      <c r="C707" s="24" t="s">
        <v>15801</v>
      </c>
      <c r="D707" s="24" t="s">
        <v>15900</v>
      </c>
      <c r="E707" s="24" t="s">
        <v>15948</v>
      </c>
      <c r="F707" s="29" t="s">
        <v>4031</v>
      </c>
      <c r="H707" s="11" t="str">
        <f t="shared" ref="H707:H770" si="22">TRIM(G707)</f>
        <v/>
      </c>
      <c r="J707" s="11" t="str">
        <f t="shared" ref="J707:J770" si="23">IF(LEN(H707)=4,"fout"," ")</f>
        <v xml:space="preserve"> </v>
      </c>
      <c r="K707" s="24" t="s">
        <v>15801</v>
      </c>
    </row>
    <row r="708" spans="1:11">
      <c r="A708" s="24" t="s">
        <v>15801</v>
      </c>
      <c r="B708" s="24" t="s">
        <v>15839</v>
      </c>
      <c r="C708" s="24" t="s">
        <v>15929</v>
      </c>
      <c r="D708" s="24" t="s">
        <v>15870</v>
      </c>
      <c r="E708" s="24" t="s">
        <v>15844</v>
      </c>
      <c r="G708" s="24" t="s">
        <v>5204</v>
      </c>
      <c r="H708" s="11" t="str">
        <f t="shared" si="22"/>
        <v>05/01/1878</v>
      </c>
      <c r="J708" s="11" t="str">
        <f t="shared" si="23"/>
        <v xml:space="preserve"> </v>
      </c>
      <c r="K708" s="24" t="s">
        <v>5204</v>
      </c>
    </row>
    <row r="709" spans="1:11">
      <c r="A709" s="24" t="s">
        <v>15825</v>
      </c>
      <c r="B709" s="24" t="s">
        <v>15825</v>
      </c>
      <c r="C709" s="24" t="s">
        <v>15922</v>
      </c>
      <c r="E709" s="24" t="s">
        <v>15901</v>
      </c>
      <c r="F709" s="29" t="s">
        <v>5217</v>
      </c>
      <c r="G709" s="24" t="s">
        <v>5218</v>
      </c>
      <c r="H709" s="11" t="str">
        <f t="shared" si="22"/>
        <v>09/11/1855</v>
      </c>
      <c r="J709" s="11" t="str">
        <f t="shared" si="23"/>
        <v xml:space="preserve"> </v>
      </c>
      <c r="K709" s="24" t="s">
        <v>5218</v>
      </c>
    </row>
    <row r="710" spans="1:11">
      <c r="A710" s="24" t="s">
        <v>15801</v>
      </c>
      <c r="B710" s="24" t="s">
        <v>15859</v>
      </c>
      <c r="C710" s="24" t="s">
        <v>15801</v>
      </c>
      <c r="D710" s="24" t="s">
        <v>15899</v>
      </c>
      <c r="E710" s="24" t="s">
        <v>15828</v>
      </c>
      <c r="H710" s="11" t="str">
        <f t="shared" si="22"/>
        <v/>
      </c>
      <c r="J710" s="11" t="str">
        <f t="shared" si="23"/>
        <v xml:space="preserve"> </v>
      </c>
      <c r="K710" s="24" t="s">
        <v>15801</v>
      </c>
    </row>
    <row r="711" spans="1:11">
      <c r="A711" s="24" t="s">
        <v>15801</v>
      </c>
      <c r="B711" s="24" t="s">
        <v>15846</v>
      </c>
      <c r="C711" s="24" t="s">
        <v>15801</v>
      </c>
      <c r="D711" s="24" t="s">
        <v>15915</v>
      </c>
      <c r="E711" s="24" t="s">
        <v>15806</v>
      </c>
      <c r="H711" s="11" t="str">
        <f t="shared" si="22"/>
        <v/>
      </c>
      <c r="J711" s="11" t="str">
        <f t="shared" si="23"/>
        <v xml:space="preserve"> </v>
      </c>
      <c r="K711" s="24" t="s">
        <v>15801</v>
      </c>
    </row>
    <row r="712" spans="1:11">
      <c r="A712" s="24" t="s">
        <v>15801</v>
      </c>
      <c r="B712" s="24" t="s">
        <v>15839</v>
      </c>
      <c r="C712" s="24" t="s">
        <v>15801</v>
      </c>
      <c r="D712" s="24" t="s">
        <v>15870</v>
      </c>
      <c r="E712" s="24" t="s">
        <v>15817</v>
      </c>
      <c r="H712" s="11" t="str">
        <f t="shared" si="22"/>
        <v/>
      </c>
      <c r="J712" s="11" t="str">
        <f t="shared" si="23"/>
        <v xml:space="preserve"> </v>
      </c>
      <c r="K712" s="24" t="s">
        <v>15801</v>
      </c>
    </row>
    <row r="713" spans="1:11">
      <c r="A713" s="24" t="s">
        <v>15801</v>
      </c>
      <c r="B713" s="24" t="s">
        <v>15875</v>
      </c>
      <c r="C713" s="24" t="s">
        <v>15801</v>
      </c>
      <c r="D713" s="24" t="s">
        <v>15870</v>
      </c>
      <c r="E713" s="24" t="s">
        <v>15801</v>
      </c>
      <c r="H713" s="11" t="str">
        <f t="shared" si="22"/>
        <v/>
      </c>
      <c r="J713" s="11" t="str">
        <f t="shared" si="23"/>
        <v xml:space="preserve"> </v>
      </c>
      <c r="K713" s="24" t="s">
        <v>15801</v>
      </c>
    </row>
    <row r="714" spans="1:11">
      <c r="A714" s="24" t="s">
        <v>15811</v>
      </c>
      <c r="B714" s="24" t="s">
        <v>15811</v>
      </c>
      <c r="C714" s="24" t="s">
        <v>15801</v>
      </c>
      <c r="D714" s="24" t="s">
        <v>15870</v>
      </c>
      <c r="E714" s="24" t="s">
        <v>15905</v>
      </c>
      <c r="F714" s="29" t="s">
        <v>2734</v>
      </c>
      <c r="H714" s="11" t="str">
        <f t="shared" si="22"/>
        <v/>
      </c>
      <c r="J714" s="11" t="str">
        <f t="shared" si="23"/>
        <v xml:space="preserve"> </v>
      </c>
      <c r="K714" s="24" t="s">
        <v>15801</v>
      </c>
    </row>
    <row r="715" spans="1:11">
      <c r="A715" s="24" t="s">
        <v>15806</v>
      </c>
      <c r="B715" s="24" t="s">
        <v>15806</v>
      </c>
      <c r="C715" s="24" t="s">
        <v>15801</v>
      </c>
      <c r="D715" s="24" t="s">
        <v>15899</v>
      </c>
      <c r="E715" s="24" t="s">
        <v>15801</v>
      </c>
      <c r="F715" s="29" t="s">
        <v>5299</v>
      </c>
      <c r="H715" s="11" t="str">
        <f t="shared" si="22"/>
        <v/>
      </c>
      <c r="J715" s="11" t="str">
        <f t="shared" si="23"/>
        <v xml:space="preserve"> </v>
      </c>
      <c r="K715" s="24" t="s">
        <v>15801</v>
      </c>
    </row>
    <row r="716" spans="1:11">
      <c r="A716" s="24" t="s">
        <v>15810</v>
      </c>
      <c r="B716" s="24" t="s">
        <v>15810</v>
      </c>
      <c r="C716" s="24" t="s">
        <v>15801</v>
      </c>
      <c r="D716" s="24" t="s">
        <v>15899</v>
      </c>
      <c r="E716" s="24" t="s">
        <v>15965</v>
      </c>
      <c r="F716" s="29" t="s">
        <v>5304</v>
      </c>
      <c r="H716" s="11" t="str">
        <f t="shared" si="22"/>
        <v/>
      </c>
      <c r="J716" s="11" t="str">
        <f t="shared" si="23"/>
        <v xml:space="preserve"> </v>
      </c>
      <c r="K716" s="24" t="s">
        <v>15801</v>
      </c>
    </row>
    <row r="717" spans="1:11">
      <c r="A717" s="24" t="s">
        <v>15801</v>
      </c>
      <c r="B717" s="24" t="s">
        <v>15850</v>
      </c>
      <c r="C717" s="24" t="s">
        <v>15801</v>
      </c>
      <c r="D717" s="24" t="s">
        <v>15900</v>
      </c>
      <c r="E717" s="24" t="s">
        <v>15807</v>
      </c>
      <c r="H717" s="11" t="str">
        <f t="shared" si="22"/>
        <v/>
      </c>
      <c r="J717" s="11" t="str">
        <f t="shared" si="23"/>
        <v xml:space="preserve"> </v>
      </c>
      <c r="K717" s="24" t="s">
        <v>15801</v>
      </c>
    </row>
    <row r="718" spans="1:11">
      <c r="A718" s="24" t="s">
        <v>15817</v>
      </c>
      <c r="B718" s="24" t="s">
        <v>15817</v>
      </c>
      <c r="C718" s="24" t="s">
        <v>15926</v>
      </c>
      <c r="D718" s="24" t="s">
        <v>15967</v>
      </c>
      <c r="E718" s="24" t="s">
        <v>15899</v>
      </c>
      <c r="F718" s="29" t="s">
        <v>5320</v>
      </c>
      <c r="G718" s="24" t="s">
        <v>5375</v>
      </c>
      <c r="H718" s="11" t="str">
        <f t="shared" si="22"/>
        <v>10/06/1897</v>
      </c>
      <c r="J718" s="11" t="str">
        <f t="shared" si="23"/>
        <v xml:space="preserve"> </v>
      </c>
      <c r="K718" s="24" t="s">
        <v>5375</v>
      </c>
    </row>
    <row r="719" spans="1:11">
      <c r="A719" s="24" t="s">
        <v>15828</v>
      </c>
      <c r="B719" s="24" t="s">
        <v>15828</v>
      </c>
      <c r="C719" s="24" t="s">
        <v>15904</v>
      </c>
      <c r="D719" s="24" t="s">
        <v>15801</v>
      </c>
      <c r="E719" s="24" t="s">
        <v>15948</v>
      </c>
      <c r="F719" s="29" t="s">
        <v>5313</v>
      </c>
      <c r="G719" s="24" t="s">
        <v>5355</v>
      </c>
      <c r="H719" s="11" t="str">
        <f t="shared" si="22"/>
        <v>28/11/1890</v>
      </c>
      <c r="J719" s="11" t="str">
        <f t="shared" si="23"/>
        <v xml:space="preserve"> </v>
      </c>
      <c r="K719" s="24" t="s">
        <v>5355</v>
      </c>
    </row>
    <row r="720" spans="1:11">
      <c r="A720" s="24" t="s">
        <v>15820</v>
      </c>
      <c r="B720" s="24" t="s">
        <v>15820</v>
      </c>
      <c r="C720" s="24" t="s">
        <v>15943</v>
      </c>
      <c r="D720" s="24" t="s">
        <v>15900</v>
      </c>
      <c r="E720" s="24" t="s">
        <v>15801</v>
      </c>
      <c r="F720" s="29" t="s">
        <v>5321</v>
      </c>
      <c r="G720" s="24" t="s">
        <v>5382</v>
      </c>
      <c r="H720" s="11" t="str">
        <f t="shared" si="22"/>
        <v>01/10/1891</v>
      </c>
      <c r="J720" s="11" t="str">
        <f t="shared" si="23"/>
        <v xml:space="preserve"> </v>
      </c>
      <c r="K720" s="24" t="s">
        <v>5382</v>
      </c>
    </row>
    <row r="721" spans="1:11">
      <c r="A721" s="24" t="s">
        <v>15801</v>
      </c>
      <c r="B721" s="24" t="s">
        <v>15834</v>
      </c>
      <c r="C721" s="24" t="s">
        <v>15801</v>
      </c>
      <c r="E721" s="24" t="s">
        <v>15802</v>
      </c>
      <c r="H721" s="11" t="str">
        <f t="shared" si="22"/>
        <v/>
      </c>
      <c r="J721" s="11" t="str">
        <f t="shared" si="23"/>
        <v xml:space="preserve"> </v>
      </c>
      <c r="K721" s="24" t="s">
        <v>15801</v>
      </c>
    </row>
    <row r="722" spans="1:11">
      <c r="A722" s="24" t="s">
        <v>15820</v>
      </c>
      <c r="B722" s="24" t="s">
        <v>15820</v>
      </c>
      <c r="C722" s="24" t="s">
        <v>15899</v>
      </c>
      <c r="D722" s="24" t="s">
        <v>15900</v>
      </c>
      <c r="E722" s="24" t="s">
        <v>15801</v>
      </c>
      <c r="F722" s="29" t="s">
        <v>5318</v>
      </c>
      <c r="G722" s="24" t="s">
        <v>5373</v>
      </c>
      <c r="H722" s="11" t="str">
        <f t="shared" si="22"/>
        <v>16/06/1840</v>
      </c>
      <c r="J722" s="11" t="str">
        <f t="shared" si="23"/>
        <v xml:space="preserve"> </v>
      </c>
      <c r="K722" s="24" t="s">
        <v>5373</v>
      </c>
    </row>
    <row r="723" spans="1:11">
      <c r="A723" s="24" t="s">
        <v>15801</v>
      </c>
      <c r="B723" s="24" t="s">
        <v>15837</v>
      </c>
      <c r="C723" s="24" t="s">
        <v>15801</v>
      </c>
      <c r="D723" s="24" t="s">
        <v>15900</v>
      </c>
      <c r="E723" s="24" t="s">
        <v>15844</v>
      </c>
      <c r="H723" s="11" t="str">
        <f t="shared" si="22"/>
        <v/>
      </c>
      <c r="J723" s="11" t="str">
        <f t="shared" si="23"/>
        <v xml:space="preserve"> </v>
      </c>
      <c r="K723" s="24" t="s">
        <v>15801</v>
      </c>
    </row>
    <row r="724" spans="1:11">
      <c r="A724" s="24" t="s">
        <v>15840</v>
      </c>
      <c r="B724" s="24" t="s">
        <v>15840</v>
      </c>
      <c r="C724" s="24" t="s">
        <v>15891</v>
      </c>
      <c r="D724" s="24" t="s">
        <v>15899</v>
      </c>
      <c r="E724" s="24" t="s">
        <v>15864</v>
      </c>
      <c r="F724" s="29" t="s">
        <v>5312</v>
      </c>
      <c r="G724" s="24" t="s">
        <v>5348</v>
      </c>
      <c r="H724" s="11" t="str">
        <f t="shared" si="22"/>
        <v>23/05/1883</v>
      </c>
      <c r="J724" s="11" t="str">
        <f t="shared" si="23"/>
        <v xml:space="preserve"> </v>
      </c>
      <c r="K724" s="24" t="s">
        <v>5348</v>
      </c>
    </row>
    <row r="725" spans="1:11">
      <c r="A725" s="24" t="s">
        <v>15804</v>
      </c>
      <c r="B725" s="24" t="s">
        <v>15804</v>
      </c>
      <c r="C725" s="24" t="s">
        <v>15801</v>
      </c>
      <c r="D725" s="24" t="s">
        <v>15915</v>
      </c>
      <c r="E725" s="24" t="s">
        <v>15863</v>
      </c>
      <c r="F725" s="29" t="s">
        <v>5309</v>
      </c>
      <c r="H725" s="11" t="str">
        <f t="shared" si="22"/>
        <v/>
      </c>
      <c r="J725" s="11" t="str">
        <f t="shared" si="23"/>
        <v xml:space="preserve"> </v>
      </c>
      <c r="K725" s="24" t="s">
        <v>15801</v>
      </c>
    </row>
    <row r="726" spans="1:11">
      <c r="A726" s="24" t="s">
        <v>15801</v>
      </c>
      <c r="B726" s="24" t="s">
        <v>15857</v>
      </c>
      <c r="C726" s="24" t="s">
        <v>15801</v>
      </c>
      <c r="D726" s="24" t="s">
        <v>15900</v>
      </c>
      <c r="E726" s="24" t="s">
        <v>15839</v>
      </c>
      <c r="H726" s="11" t="str">
        <f t="shared" si="22"/>
        <v/>
      </c>
      <c r="J726" s="11" t="str">
        <f t="shared" si="23"/>
        <v xml:space="preserve"> </v>
      </c>
      <c r="K726" s="24" t="s">
        <v>15801</v>
      </c>
    </row>
    <row r="727" spans="1:11">
      <c r="A727" s="24" t="s">
        <v>15801</v>
      </c>
      <c r="B727" s="24" t="s">
        <v>15846</v>
      </c>
      <c r="C727" s="24" t="s">
        <v>15884</v>
      </c>
      <c r="D727" s="24" t="s">
        <v>15900</v>
      </c>
      <c r="E727" s="24" t="s">
        <v>15807</v>
      </c>
      <c r="G727" s="24" t="s">
        <v>5363</v>
      </c>
      <c r="H727" s="11" t="str">
        <f t="shared" si="22"/>
        <v>24/06/1838</v>
      </c>
      <c r="J727" s="11" t="str">
        <f t="shared" si="23"/>
        <v xml:space="preserve"> </v>
      </c>
      <c r="K727" s="24" t="s">
        <v>5363</v>
      </c>
    </row>
    <row r="728" spans="1:11">
      <c r="A728" s="24" t="s">
        <v>15806</v>
      </c>
      <c r="B728" s="24" t="s">
        <v>15806</v>
      </c>
      <c r="C728" s="24" t="s">
        <v>15915</v>
      </c>
      <c r="D728" s="24" t="s">
        <v>15900</v>
      </c>
      <c r="E728" s="24" t="s">
        <v>15876</v>
      </c>
      <c r="F728" s="29" t="s">
        <v>5310</v>
      </c>
      <c r="G728" s="24" t="s">
        <v>5344</v>
      </c>
      <c r="H728" s="11" t="str">
        <f t="shared" si="22"/>
        <v>25/01/1839</v>
      </c>
      <c r="J728" s="11" t="str">
        <f t="shared" si="23"/>
        <v xml:space="preserve"> </v>
      </c>
      <c r="K728" s="24" t="s">
        <v>5344</v>
      </c>
    </row>
    <row r="729" spans="1:11">
      <c r="A729" s="24" t="s">
        <v>15823</v>
      </c>
      <c r="B729" s="24" t="s">
        <v>15823</v>
      </c>
      <c r="C729" s="24" t="s">
        <v>15801</v>
      </c>
      <c r="D729" s="24" t="s">
        <v>15900</v>
      </c>
      <c r="E729" s="24" t="s">
        <v>15801</v>
      </c>
      <c r="F729" s="29" t="s">
        <v>5317</v>
      </c>
      <c r="H729" s="11" t="str">
        <f t="shared" si="22"/>
        <v/>
      </c>
      <c r="J729" s="11" t="str">
        <f t="shared" si="23"/>
        <v xml:space="preserve"> </v>
      </c>
      <c r="K729" s="24" t="s">
        <v>15801</v>
      </c>
    </row>
    <row r="730" spans="1:11">
      <c r="A730" s="24" t="s">
        <v>15817</v>
      </c>
      <c r="B730" s="24" t="s">
        <v>15817</v>
      </c>
      <c r="C730" s="24" t="s">
        <v>15893</v>
      </c>
      <c r="D730" s="24" t="s">
        <v>15915</v>
      </c>
      <c r="E730" s="24" t="s">
        <v>15901</v>
      </c>
      <c r="F730" s="29" t="s">
        <v>5323</v>
      </c>
      <c r="G730" s="24" t="s">
        <v>5385</v>
      </c>
      <c r="H730" s="11" t="str">
        <f t="shared" si="22"/>
        <v>01/08/1879</v>
      </c>
      <c r="J730" s="11" t="str">
        <f t="shared" si="23"/>
        <v xml:space="preserve"> </v>
      </c>
      <c r="K730" s="24" t="s">
        <v>5385</v>
      </c>
    </row>
    <row r="731" spans="1:11">
      <c r="A731" s="24" t="s">
        <v>15801</v>
      </c>
      <c r="B731" s="24" t="s">
        <v>15808</v>
      </c>
      <c r="C731" s="24" t="s">
        <v>15892</v>
      </c>
      <c r="D731" s="24" t="s">
        <v>15956</v>
      </c>
      <c r="E731" s="24" t="s">
        <v>15833</v>
      </c>
      <c r="G731" s="24" t="s">
        <v>5391</v>
      </c>
      <c r="H731" s="11" t="str">
        <f t="shared" si="22"/>
        <v>25/12/1871</v>
      </c>
      <c r="J731" s="11" t="str">
        <f t="shared" si="23"/>
        <v xml:space="preserve"> </v>
      </c>
      <c r="K731" s="24" t="s">
        <v>5391</v>
      </c>
    </row>
    <row r="732" spans="1:11">
      <c r="A732" s="24" t="s">
        <v>15807</v>
      </c>
      <c r="B732" s="24" t="s">
        <v>15807</v>
      </c>
      <c r="C732" s="24" t="s">
        <v>15801</v>
      </c>
      <c r="D732" s="24" t="s">
        <v>15915</v>
      </c>
      <c r="E732" s="24" t="s">
        <v>15801</v>
      </c>
      <c r="H732" s="11" t="str">
        <f t="shared" si="22"/>
        <v/>
      </c>
      <c r="J732" s="11" t="str">
        <f t="shared" si="23"/>
        <v xml:space="preserve"> </v>
      </c>
      <c r="K732" s="24" t="s">
        <v>15801</v>
      </c>
    </row>
    <row r="733" spans="1:11">
      <c r="A733" s="24" t="s">
        <v>15821</v>
      </c>
      <c r="B733" s="24" t="s">
        <v>15821</v>
      </c>
      <c r="C733" s="24" t="s">
        <v>15801</v>
      </c>
      <c r="D733" s="24" t="s">
        <v>15870</v>
      </c>
      <c r="E733" s="24" t="s">
        <v>15851</v>
      </c>
      <c r="F733" s="29" t="s">
        <v>5326</v>
      </c>
      <c r="H733" s="11" t="str">
        <f t="shared" si="22"/>
        <v/>
      </c>
      <c r="J733" s="11" t="str">
        <f t="shared" si="23"/>
        <v xml:space="preserve"> </v>
      </c>
      <c r="K733" s="24" t="s">
        <v>15801</v>
      </c>
    </row>
    <row r="734" spans="1:11">
      <c r="A734" s="24" t="s">
        <v>15829</v>
      </c>
      <c r="B734" s="24" t="s">
        <v>15829</v>
      </c>
      <c r="C734" s="24" t="s">
        <v>15801</v>
      </c>
      <c r="D734" s="24" t="s">
        <v>15908</v>
      </c>
      <c r="E734" s="24" t="s">
        <v>15864</v>
      </c>
      <c r="F734" s="29" t="s">
        <v>5328</v>
      </c>
      <c r="H734" s="11" t="str">
        <f t="shared" si="22"/>
        <v/>
      </c>
      <c r="J734" s="11" t="str">
        <f t="shared" si="23"/>
        <v xml:space="preserve"> </v>
      </c>
      <c r="K734" s="24" t="s">
        <v>15801</v>
      </c>
    </row>
    <row r="735" spans="1:11">
      <c r="A735" s="24" t="s">
        <v>15836</v>
      </c>
      <c r="B735" s="24" t="s">
        <v>15836</v>
      </c>
      <c r="C735" s="24" t="s">
        <v>15909</v>
      </c>
      <c r="E735" s="24" t="s">
        <v>15807</v>
      </c>
      <c r="F735" s="29" t="s">
        <v>5330</v>
      </c>
      <c r="G735" s="24" t="s">
        <v>5402</v>
      </c>
      <c r="H735" s="11" t="str">
        <f t="shared" si="22"/>
        <v>15/08/1881</v>
      </c>
      <c r="J735" s="11" t="str">
        <f t="shared" si="23"/>
        <v xml:space="preserve"> </v>
      </c>
      <c r="K735" s="24" t="s">
        <v>5402</v>
      </c>
    </row>
    <row r="736" spans="1:11">
      <c r="A736" s="24" t="s">
        <v>15816</v>
      </c>
      <c r="B736" s="24" t="s">
        <v>15816</v>
      </c>
      <c r="C736" s="24" t="s">
        <v>15912</v>
      </c>
      <c r="D736" s="24" t="s">
        <v>15968</v>
      </c>
      <c r="E736" s="24" t="s">
        <v>15900</v>
      </c>
      <c r="F736" s="29" t="s">
        <v>5332</v>
      </c>
      <c r="G736" s="24" t="s">
        <v>5408</v>
      </c>
      <c r="H736" s="11" t="str">
        <f t="shared" si="22"/>
        <v>16/11/1893</v>
      </c>
      <c r="J736" s="11" t="str">
        <f t="shared" si="23"/>
        <v xml:space="preserve"> </v>
      </c>
      <c r="K736" s="24" t="s">
        <v>5408</v>
      </c>
    </row>
    <row r="737" spans="1:11">
      <c r="A737" s="24" t="s">
        <v>15801</v>
      </c>
      <c r="B737" s="24" t="s">
        <v>15801</v>
      </c>
      <c r="C737" s="24" t="s">
        <v>15801</v>
      </c>
      <c r="D737" s="24" t="s">
        <v>15899</v>
      </c>
      <c r="E737" s="24" t="s">
        <v>15814</v>
      </c>
      <c r="H737" s="11" t="str">
        <f t="shared" si="22"/>
        <v/>
      </c>
      <c r="J737" s="11" t="str">
        <f t="shared" si="23"/>
        <v xml:space="preserve"> </v>
      </c>
      <c r="K737" s="24" t="s">
        <v>15801</v>
      </c>
    </row>
    <row r="738" spans="1:11">
      <c r="A738" s="24" t="s">
        <v>15832</v>
      </c>
      <c r="B738" s="24" t="s">
        <v>15832</v>
      </c>
      <c r="C738" s="24" t="s">
        <v>15801</v>
      </c>
      <c r="D738" s="24" t="s">
        <v>15899</v>
      </c>
      <c r="E738" s="24" t="s">
        <v>15801</v>
      </c>
      <c r="F738" s="29" t="s">
        <v>5333</v>
      </c>
      <c r="H738" s="11" t="str">
        <f t="shared" si="22"/>
        <v/>
      </c>
      <c r="J738" s="11" t="str">
        <f t="shared" si="23"/>
        <v xml:space="preserve"> </v>
      </c>
      <c r="K738" s="24" t="s">
        <v>15801</v>
      </c>
    </row>
    <row r="739" spans="1:11">
      <c r="A739" s="24" t="s">
        <v>15827</v>
      </c>
      <c r="B739" s="24" t="s">
        <v>15827</v>
      </c>
      <c r="C739" s="24" t="s">
        <v>15801</v>
      </c>
      <c r="D739" s="24" t="s">
        <v>15899</v>
      </c>
      <c r="E739" s="24" t="s">
        <v>15905</v>
      </c>
      <c r="F739" s="29" t="s">
        <v>5334</v>
      </c>
      <c r="H739" s="11" t="str">
        <f t="shared" si="22"/>
        <v/>
      </c>
      <c r="J739" s="11" t="str">
        <f t="shared" si="23"/>
        <v xml:space="preserve"> </v>
      </c>
      <c r="K739" s="24" t="s">
        <v>15801</v>
      </c>
    </row>
    <row r="740" spans="1:11">
      <c r="A740" s="24" t="s">
        <v>15821</v>
      </c>
      <c r="B740" s="24" t="s">
        <v>15821</v>
      </c>
      <c r="C740" s="24" t="s">
        <v>15801</v>
      </c>
      <c r="E740" s="24" t="s">
        <v>15966</v>
      </c>
      <c r="F740" s="29" t="s">
        <v>5337</v>
      </c>
      <c r="H740" s="11" t="str">
        <f t="shared" si="22"/>
        <v/>
      </c>
      <c r="J740" s="11" t="str">
        <f t="shared" si="23"/>
        <v xml:space="preserve"> </v>
      </c>
      <c r="K740" s="24" t="s">
        <v>15801</v>
      </c>
    </row>
    <row r="741" spans="1:11">
      <c r="A741" s="24" t="s">
        <v>15828</v>
      </c>
      <c r="B741" s="24" t="s">
        <v>15828</v>
      </c>
      <c r="C741" s="24" t="s">
        <v>15934</v>
      </c>
      <c r="E741" s="24" t="s">
        <v>15801</v>
      </c>
      <c r="F741" s="29" t="s">
        <v>5338</v>
      </c>
      <c r="G741" s="24" t="s">
        <v>5424</v>
      </c>
      <c r="H741" s="11" t="str">
        <f t="shared" si="22"/>
        <v>30/11/1898</v>
      </c>
      <c r="J741" s="11" t="str">
        <f t="shared" si="23"/>
        <v xml:space="preserve"> </v>
      </c>
      <c r="K741" s="24" t="s">
        <v>5424</v>
      </c>
    </row>
    <row r="742" spans="1:11">
      <c r="A742" s="24" t="s">
        <v>15801</v>
      </c>
      <c r="B742" s="24" t="s">
        <v>15839</v>
      </c>
      <c r="C742" s="24" t="s">
        <v>15924</v>
      </c>
      <c r="D742" s="24" t="s">
        <v>15956</v>
      </c>
      <c r="E742" s="24" t="s">
        <v>15828</v>
      </c>
      <c r="G742" s="24" t="s">
        <v>5418</v>
      </c>
      <c r="H742" s="11" t="str">
        <f t="shared" si="22"/>
        <v>21/09/1868</v>
      </c>
      <c r="J742" s="11" t="str">
        <f t="shared" si="23"/>
        <v xml:space="preserve"> </v>
      </c>
      <c r="K742" s="24" t="s">
        <v>5418</v>
      </c>
    </row>
    <row r="743" spans="1:11">
      <c r="A743" s="24" t="s">
        <v>15833</v>
      </c>
      <c r="B743" s="24" t="s">
        <v>15833</v>
      </c>
      <c r="C743" s="24" t="s">
        <v>15801</v>
      </c>
      <c r="D743" s="24" t="s">
        <v>15956</v>
      </c>
      <c r="E743" s="24" t="s">
        <v>15801</v>
      </c>
      <c r="F743" s="29" t="s">
        <v>5335</v>
      </c>
      <c r="H743" s="11" t="str">
        <f t="shared" si="22"/>
        <v/>
      </c>
      <c r="J743" s="11" t="str">
        <f t="shared" si="23"/>
        <v xml:space="preserve"> </v>
      </c>
      <c r="K743" s="24" t="s">
        <v>15801</v>
      </c>
    </row>
    <row r="744" spans="1:11">
      <c r="A744" s="24" t="s">
        <v>15801</v>
      </c>
      <c r="B744" s="24" t="s">
        <v>15835</v>
      </c>
      <c r="C744" s="24" t="s">
        <v>15801</v>
      </c>
      <c r="D744" s="24" t="s">
        <v>15956</v>
      </c>
      <c r="E744" s="24" t="s">
        <v>15921</v>
      </c>
      <c r="H744" s="11" t="str">
        <f t="shared" si="22"/>
        <v/>
      </c>
      <c r="J744" s="11" t="str">
        <f t="shared" si="23"/>
        <v xml:space="preserve"> </v>
      </c>
      <c r="K744" s="24" t="s">
        <v>15801</v>
      </c>
    </row>
    <row r="745" spans="1:11">
      <c r="A745" s="24" t="s">
        <v>15808</v>
      </c>
      <c r="B745" s="24" t="s">
        <v>15808</v>
      </c>
      <c r="C745" s="24" t="s">
        <v>15801</v>
      </c>
      <c r="D745" s="24" t="s">
        <v>15900</v>
      </c>
      <c r="E745" s="24" t="s">
        <v>15851</v>
      </c>
      <c r="F745" s="29" t="s">
        <v>5501</v>
      </c>
      <c r="H745" s="11" t="str">
        <f t="shared" si="22"/>
        <v/>
      </c>
      <c r="J745" s="11" t="str">
        <f t="shared" si="23"/>
        <v xml:space="preserve"> </v>
      </c>
      <c r="K745" s="24" t="s">
        <v>15801</v>
      </c>
    </row>
    <row r="746" spans="1:11">
      <c r="A746" s="24" t="s">
        <v>15840</v>
      </c>
      <c r="B746" s="24" t="s">
        <v>15840</v>
      </c>
      <c r="C746" s="24" t="s">
        <v>15896</v>
      </c>
      <c r="D746" s="24" t="s">
        <v>15901</v>
      </c>
      <c r="E746" s="24" t="s">
        <v>15823</v>
      </c>
      <c r="F746" s="29" t="s">
        <v>5488</v>
      </c>
      <c r="G746" s="24" t="s">
        <v>5491</v>
      </c>
      <c r="H746" s="11" t="str">
        <f t="shared" si="22"/>
        <v>19/05/1887</v>
      </c>
      <c r="J746" s="11" t="str">
        <f t="shared" si="23"/>
        <v xml:space="preserve"> </v>
      </c>
      <c r="K746" s="24" t="s">
        <v>5491</v>
      </c>
    </row>
    <row r="747" spans="1:11">
      <c r="A747" s="24" t="s">
        <v>15801</v>
      </c>
      <c r="B747" s="24" t="s">
        <v>15841</v>
      </c>
      <c r="C747" s="24" t="s">
        <v>15801</v>
      </c>
      <c r="D747" s="24" t="s">
        <v>15884</v>
      </c>
      <c r="E747" s="24" t="s">
        <v>15833</v>
      </c>
      <c r="H747" s="11" t="str">
        <f t="shared" si="22"/>
        <v/>
      </c>
      <c r="J747" s="11" t="str">
        <f t="shared" si="23"/>
        <v xml:space="preserve"> </v>
      </c>
      <c r="K747" s="24" t="s">
        <v>15801</v>
      </c>
    </row>
    <row r="748" spans="1:11">
      <c r="A748" s="24" t="s">
        <v>15811</v>
      </c>
      <c r="B748" s="24" t="s">
        <v>15811</v>
      </c>
      <c r="C748" s="24" t="s">
        <v>15801</v>
      </c>
      <c r="D748" s="24" t="s">
        <v>15884</v>
      </c>
      <c r="E748" s="24" t="s">
        <v>15936</v>
      </c>
      <c r="F748" s="29" t="s">
        <v>5516</v>
      </c>
      <c r="H748" s="11" t="str">
        <f t="shared" si="22"/>
        <v/>
      </c>
      <c r="J748" s="11" t="str">
        <f t="shared" si="23"/>
        <v xml:space="preserve"> </v>
      </c>
      <c r="K748" s="24" t="s">
        <v>15801</v>
      </c>
    </row>
    <row r="749" spans="1:11">
      <c r="A749" s="24" t="s">
        <v>15827</v>
      </c>
      <c r="B749" s="24" t="s">
        <v>15827</v>
      </c>
      <c r="C749" s="24" t="s">
        <v>15801</v>
      </c>
      <c r="D749" s="24" t="s">
        <v>15884</v>
      </c>
      <c r="E749" s="24" t="s">
        <v>15801</v>
      </c>
      <c r="F749" s="29" t="s">
        <v>5506</v>
      </c>
      <c r="H749" s="11" t="str">
        <f t="shared" si="22"/>
        <v/>
      </c>
      <c r="J749" s="11" t="str">
        <f t="shared" si="23"/>
        <v xml:space="preserve"> </v>
      </c>
      <c r="K749" s="24" t="s">
        <v>15801</v>
      </c>
    </row>
    <row r="750" spans="1:11">
      <c r="A750" s="24" t="s">
        <v>15801</v>
      </c>
      <c r="B750" s="24" t="s">
        <v>15840</v>
      </c>
      <c r="C750" s="24" t="s">
        <v>15801</v>
      </c>
      <c r="D750" s="24" t="s">
        <v>15870</v>
      </c>
      <c r="E750" s="24" t="s">
        <v>15811</v>
      </c>
      <c r="H750" s="11" t="str">
        <f t="shared" si="22"/>
        <v/>
      </c>
      <c r="J750" s="11" t="str">
        <f t="shared" si="23"/>
        <v xml:space="preserve"> </v>
      </c>
      <c r="K750" s="24" t="s">
        <v>15801</v>
      </c>
    </row>
    <row r="751" spans="1:11">
      <c r="A751" s="24" t="s">
        <v>15823</v>
      </c>
      <c r="B751" s="24" t="s">
        <v>15823</v>
      </c>
      <c r="C751" s="24" t="s">
        <v>15801</v>
      </c>
      <c r="D751" s="24" t="s">
        <v>15870</v>
      </c>
      <c r="E751" s="24" t="s">
        <v>15801</v>
      </c>
      <c r="F751" s="29" t="s">
        <v>420</v>
      </c>
      <c r="H751" s="11" t="str">
        <f t="shared" si="22"/>
        <v/>
      </c>
      <c r="J751" s="11" t="str">
        <f t="shared" si="23"/>
        <v xml:space="preserve"> </v>
      </c>
      <c r="K751" s="24" t="s">
        <v>15801</v>
      </c>
    </row>
    <row r="752" spans="1:11">
      <c r="A752" s="24" t="s">
        <v>15825</v>
      </c>
      <c r="B752" s="24" t="s">
        <v>15825</v>
      </c>
      <c r="C752" s="24" t="s">
        <v>15801</v>
      </c>
      <c r="D752" s="24" t="s">
        <v>15884</v>
      </c>
      <c r="E752" s="24" t="s">
        <v>15915</v>
      </c>
      <c r="F752" s="29" t="s">
        <v>5532</v>
      </c>
      <c r="H752" s="11" t="str">
        <f t="shared" si="22"/>
        <v/>
      </c>
      <c r="J752" s="11" t="str">
        <f t="shared" si="23"/>
        <v xml:space="preserve"> </v>
      </c>
      <c r="K752" s="24" t="s">
        <v>15801</v>
      </c>
    </row>
    <row r="753" spans="1:11">
      <c r="A753" s="24" t="s">
        <v>15816</v>
      </c>
      <c r="B753" s="24" t="s">
        <v>15816</v>
      </c>
      <c r="C753" s="24" t="s">
        <v>15930</v>
      </c>
      <c r="D753" s="24" t="s">
        <v>15899</v>
      </c>
      <c r="E753" s="24" t="s">
        <v>15956</v>
      </c>
      <c r="F753" s="29" t="s">
        <v>5536</v>
      </c>
      <c r="G753" s="24" t="s">
        <v>5539</v>
      </c>
      <c r="H753" s="11" t="str">
        <f t="shared" si="22"/>
        <v>18/05/1896</v>
      </c>
      <c r="J753" s="11" t="str">
        <f t="shared" si="23"/>
        <v xml:space="preserve"> </v>
      </c>
      <c r="K753" s="24" t="s">
        <v>5539</v>
      </c>
    </row>
    <row r="754" spans="1:11">
      <c r="A754" s="24" t="s">
        <v>15801</v>
      </c>
      <c r="B754" s="24" t="s">
        <v>15826</v>
      </c>
      <c r="C754" s="24" t="s">
        <v>15801</v>
      </c>
      <c r="D754" s="24" t="s">
        <v>15884</v>
      </c>
      <c r="E754" s="24" t="s">
        <v>15837</v>
      </c>
      <c r="H754" s="11" t="str">
        <f t="shared" si="22"/>
        <v/>
      </c>
      <c r="J754" s="11" t="str">
        <f t="shared" si="23"/>
        <v xml:space="preserve"> </v>
      </c>
      <c r="K754" s="24" t="s">
        <v>15801</v>
      </c>
    </row>
    <row r="755" spans="1:11">
      <c r="A755" s="24" t="s">
        <v>15803</v>
      </c>
      <c r="B755" s="24" t="s">
        <v>15803</v>
      </c>
      <c r="C755" s="24" t="s">
        <v>15801</v>
      </c>
      <c r="D755" s="24" t="s">
        <v>15969</v>
      </c>
      <c r="E755" s="24" t="s">
        <v>15945</v>
      </c>
      <c r="F755" s="29" t="s">
        <v>5568</v>
      </c>
      <c r="H755" s="11" t="str">
        <f t="shared" si="22"/>
        <v/>
      </c>
      <c r="J755" s="11" t="str">
        <f t="shared" si="23"/>
        <v xml:space="preserve"> </v>
      </c>
      <c r="K755" s="24" t="s">
        <v>15801</v>
      </c>
    </row>
    <row r="756" spans="1:11">
      <c r="A756" s="24" t="s">
        <v>15804</v>
      </c>
      <c r="B756" s="24" t="s">
        <v>15804</v>
      </c>
      <c r="C756" s="24" t="s">
        <v>15801</v>
      </c>
      <c r="D756" s="24" t="s">
        <v>15915</v>
      </c>
      <c r="E756" s="24" t="s">
        <v>15921</v>
      </c>
      <c r="F756" s="29" t="s">
        <v>5212</v>
      </c>
      <c r="H756" s="11" t="str">
        <f t="shared" si="22"/>
        <v/>
      </c>
      <c r="J756" s="11" t="str">
        <f t="shared" si="23"/>
        <v xml:space="preserve"> </v>
      </c>
      <c r="K756" s="24" t="s">
        <v>15801</v>
      </c>
    </row>
    <row r="757" spans="1:11">
      <c r="A757" s="24" t="s">
        <v>15830</v>
      </c>
      <c r="B757" s="24" t="s">
        <v>15830</v>
      </c>
      <c r="C757" s="24" t="s">
        <v>15801</v>
      </c>
      <c r="D757" s="24" t="s">
        <v>15801</v>
      </c>
      <c r="E757" s="24" t="s">
        <v>15815</v>
      </c>
      <c r="F757" s="29" t="s">
        <v>5580</v>
      </c>
      <c r="H757" s="11" t="str">
        <f t="shared" si="22"/>
        <v/>
      </c>
      <c r="J757" s="11" t="str">
        <f t="shared" si="23"/>
        <v xml:space="preserve"> </v>
      </c>
      <c r="K757" s="24" t="s">
        <v>15801</v>
      </c>
    </row>
    <row r="758" spans="1:11">
      <c r="A758" s="24" t="s">
        <v>15802</v>
      </c>
      <c r="B758" s="24" t="s">
        <v>15802</v>
      </c>
      <c r="C758" s="24" t="s">
        <v>15801</v>
      </c>
      <c r="D758" s="24" t="s">
        <v>15969</v>
      </c>
      <c r="E758" s="24" t="s">
        <v>15801</v>
      </c>
      <c r="F758" s="29" t="s">
        <v>2240</v>
      </c>
      <c r="H758" s="11" t="str">
        <f t="shared" si="22"/>
        <v/>
      </c>
      <c r="J758" s="11" t="str">
        <f t="shared" si="23"/>
        <v xml:space="preserve"> </v>
      </c>
      <c r="K758" s="24" t="s">
        <v>15801</v>
      </c>
    </row>
    <row r="759" spans="1:11">
      <c r="A759" s="24" t="s">
        <v>15817</v>
      </c>
      <c r="B759" s="24" t="s">
        <v>15817</v>
      </c>
      <c r="C759" s="24" t="s">
        <v>15801</v>
      </c>
      <c r="D759" s="24" t="s">
        <v>15969</v>
      </c>
      <c r="E759" s="24" t="s">
        <v>15915</v>
      </c>
      <c r="F759" s="29" t="s">
        <v>1271</v>
      </c>
      <c r="H759" s="11" t="str">
        <f t="shared" si="22"/>
        <v/>
      </c>
      <c r="J759" s="11" t="str">
        <f t="shared" si="23"/>
        <v xml:space="preserve"> </v>
      </c>
      <c r="K759" s="24" t="s">
        <v>15801</v>
      </c>
    </row>
    <row r="760" spans="1:11">
      <c r="A760" s="24" t="s">
        <v>15804</v>
      </c>
      <c r="B760" s="24" t="s">
        <v>15804</v>
      </c>
      <c r="C760" s="24" t="s">
        <v>15884</v>
      </c>
      <c r="D760" s="24" t="s">
        <v>15900</v>
      </c>
      <c r="E760" s="24" t="s">
        <v>15864</v>
      </c>
      <c r="F760" s="29" t="s">
        <v>2838</v>
      </c>
      <c r="G760" s="24" t="s">
        <v>72</v>
      </c>
      <c r="H760" s="11" t="str">
        <f t="shared" si="22"/>
        <v>06/02/1838</v>
      </c>
      <c r="J760" s="11" t="str">
        <f t="shared" si="23"/>
        <v xml:space="preserve"> </v>
      </c>
      <c r="K760" s="24" t="s">
        <v>72</v>
      </c>
    </row>
    <row r="761" spans="1:11">
      <c r="A761" s="24" t="s">
        <v>15816</v>
      </c>
      <c r="B761" s="24" t="s">
        <v>15816</v>
      </c>
      <c r="C761" s="24" t="s">
        <v>15957</v>
      </c>
      <c r="D761" s="24" t="s">
        <v>15915</v>
      </c>
      <c r="E761" s="24" t="s">
        <v>15965</v>
      </c>
      <c r="F761" s="29" t="s">
        <v>5595</v>
      </c>
      <c r="G761" s="24">
        <v>1905</v>
      </c>
      <c r="H761" s="11"/>
      <c r="J761" s="11" t="str">
        <f t="shared" si="23"/>
        <v xml:space="preserve"> </v>
      </c>
    </row>
    <row r="762" spans="1:11">
      <c r="A762" s="24" t="s">
        <v>15801</v>
      </c>
      <c r="B762" s="24" t="s">
        <v>15815</v>
      </c>
      <c r="C762" s="24" t="s">
        <v>15911</v>
      </c>
      <c r="D762" s="24" t="s">
        <v>15899</v>
      </c>
      <c r="E762" s="24" t="s">
        <v>15807</v>
      </c>
      <c r="G762" s="24">
        <v>1863</v>
      </c>
      <c r="H762" s="11"/>
      <c r="J762" s="11" t="str">
        <f t="shared" si="23"/>
        <v xml:space="preserve"> </v>
      </c>
    </row>
    <row r="763" spans="1:11">
      <c r="A763" s="24" t="s">
        <v>15801</v>
      </c>
      <c r="B763" s="24" t="s">
        <v>15839</v>
      </c>
      <c r="C763" s="24" t="s">
        <v>15801</v>
      </c>
      <c r="D763" s="24" t="s">
        <v>15900</v>
      </c>
      <c r="E763" s="24" t="s">
        <v>15828</v>
      </c>
      <c r="H763" s="11" t="str">
        <f t="shared" si="22"/>
        <v/>
      </c>
      <c r="J763" s="11" t="str">
        <f t="shared" si="23"/>
        <v xml:space="preserve"> </v>
      </c>
      <c r="K763" s="24" t="s">
        <v>15801</v>
      </c>
    </row>
    <row r="764" spans="1:11">
      <c r="A764" s="24" t="s">
        <v>15823</v>
      </c>
      <c r="B764" s="24" t="s">
        <v>15823</v>
      </c>
      <c r="C764" s="24" t="s">
        <v>15801</v>
      </c>
      <c r="D764" s="24" t="s">
        <v>15801</v>
      </c>
      <c r="E764" s="24" t="s">
        <v>15801</v>
      </c>
      <c r="F764" s="29" t="s">
        <v>3022</v>
      </c>
      <c r="H764" s="11" t="str">
        <f t="shared" si="22"/>
        <v/>
      </c>
      <c r="J764" s="11" t="str">
        <f t="shared" si="23"/>
        <v xml:space="preserve"> </v>
      </c>
      <c r="K764" s="24" t="s">
        <v>15801</v>
      </c>
    </row>
    <row r="765" spans="1:11">
      <c r="A765" s="24" t="s">
        <v>15801</v>
      </c>
      <c r="B765" s="24" t="s">
        <v>15842</v>
      </c>
      <c r="C765" s="24" t="s">
        <v>15884</v>
      </c>
      <c r="E765" s="24" t="s">
        <v>15810</v>
      </c>
      <c r="G765" s="24" t="s">
        <v>301</v>
      </c>
      <c r="H765" s="11" t="str">
        <f t="shared" si="22"/>
        <v>17/02/1838</v>
      </c>
      <c r="J765" s="11" t="str">
        <f t="shared" si="23"/>
        <v xml:space="preserve"> </v>
      </c>
      <c r="K765" s="24" t="s">
        <v>301</v>
      </c>
    </row>
    <row r="766" spans="1:11">
      <c r="A766" s="24" t="s">
        <v>15811</v>
      </c>
      <c r="B766" s="24" t="s">
        <v>15811</v>
      </c>
      <c r="C766" s="24" t="s">
        <v>15884</v>
      </c>
      <c r="E766" s="24" t="s">
        <v>15801</v>
      </c>
      <c r="F766" s="29" t="s">
        <v>7096</v>
      </c>
      <c r="G766" s="24" t="s">
        <v>301</v>
      </c>
      <c r="H766" s="11" t="str">
        <f t="shared" si="22"/>
        <v>17/02/1838</v>
      </c>
      <c r="J766" s="11" t="str">
        <f t="shared" si="23"/>
        <v xml:space="preserve"> </v>
      </c>
      <c r="K766" s="24" t="s">
        <v>301</v>
      </c>
    </row>
    <row r="767" spans="1:11">
      <c r="A767" s="24" t="s">
        <v>15801</v>
      </c>
      <c r="B767" s="24" t="s">
        <v>15801</v>
      </c>
      <c r="C767" s="24" t="s">
        <v>15801</v>
      </c>
      <c r="D767" s="24" t="s">
        <v>15801</v>
      </c>
      <c r="E767" s="24" t="s">
        <v>15801</v>
      </c>
      <c r="H767" s="11" t="str">
        <f t="shared" si="22"/>
        <v/>
      </c>
      <c r="J767" s="11" t="str">
        <f t="shared" si="23"/>
        <v xml:space="preserve"> </v>
      </c>
      <c r="K767" s="24" t="s">
        <v>15801</v>
      </c>
    </row>
    <row r="768" spans="1:11">
      <c r="A768" s="24" t="s">
        <v>15801</v>
      </c>
      <c r="B768" s="24" t="s">
        <v>15837</v>
      </c>
      <c r="C768" s="24" t="s">
        <v>15801</v>
      </c>
      <c r="D768" s="24" t="s">
        <v>15956</v>
      </c>
      <c r="E768" s="24" t="s">
        <v>15811</v>
      </c>
      <c r="H768" s="11" t="str">
        <f t="shared" si="22"/>
        <v/>
      </c>
      <c r="J768" s="11" t="str">
        <f t="shared" si="23"/>
        <v xml:space="preserve"> </v>
      </c>
      <c r="K768" s="24" t="s">
        <v>15801</v>
      </c>
    </row>
    <row r="769" spans="1:11">
      <c r="A769" s="24" t="s">
        <v>15814</v>
      </c>
      <c r="B769" s="24" t="s">
        <v>15814</v>
      </c>
      <c r="C769" s="24" t="s">
        <v>15801</v>
      </c>
      <c r="E769" s="24" t="s">
        <v>15864</v>
      </c>
      <c r="F769" s="29" t="s">
        <v>5774</v>
      </c>
      <c r="H769" s="11" t="str">
        <f t="shared" si="22"/>
        <v/>
      </c>
      <c r="J769" s="11" t="str">
        <f t="shared" si="23"/>
        <v xml:space="preserve"> </v>
      </c>
      <c r="K769" s="24" t="s">
        <v>15801</v>
      </c>
    </row>
    <row r="770" spans="1:11">
      <c r="A770" s="24" t="s">
        <v>15825</v>
      </c>
      <c r="B770" s="24" t="s">
        <v>15825</v>
      </c>
      <c r="C770" s="24" t="s">
        <v>15801</v>
      </c>
      <c r="D770" s="24" t="s">
        <v>15915</v>
      </c>
      <c r="E770" s="24" t="s">
        <v>15900</v>
      </c>
      <c r="F770" s="29" t="s">
        <v>7046</v>
      </c>
      <c r="H770" s="11" t="str">
        <f t="shared" si="22"/>
        <v/>
      </c>
      <c r="J770" s="11" t="str">
        <f t="shared" si="23"/>
        <v xml:space="preserve"> </v>
      </c>
      <c r="K770" s="24" t="s">
        <v>15801</v>
      </c>
    </row>
    <row r="771" spans="1:11">
      <c r="A771" s="24" t="s">
        <v>15828</v>
      </c>
      <c r="B771" s="24" t="s">
        <v>15828</v>
      </c>
      <c r="C771" s="24" t="s">
        <v>15801</v>
      </c>
      <c r="D771" s="24" t="s">
        <v>15956</v>
      </c>
      <c r="E771" s="24" t="s">
        <v>15801</v>
      </c>
      <c r="F771" s="29" t="s">
        <v>7082</v>
      </c>
      <c r="H771" s="11" t="str">
        <f t="shared" ref="H771:H834" si="24">TRIM(G771)</f>
        <v/>
      </c>
      <c r="J771" s="11" t="str">
        <f t="shared" ref="J771:J834" si="25">IF(LEN(H771)=4,"fout"," ")</f>
        <v xml:space="preserve"> </v>
      </c>
      <c r="K771" s="24" t="s">
        <v>15801</v>
      </c>
    </row>
    <row r="772" spans="1:11">
      <c r="A772" s="24" t="s">
        <v>15801</v>
      </c>
      <c r="B772" s="24" t="s">
        <v>15842</v>
      </c>
      <c r="C772" s="24" t="s">
        <v>15801</v>
      </c>
      <c r="D772" s="24" t="s">
        <v>15900</v>
      </c>
      <c r="E772" s="24" t="s">
        <v>15815</v>
      </c>
      <c r="H772" s="11" t="str">
        <f t="shared" si="24"/>
        <v/>
      </c>
      <c r="J772" s="11" t="str">
        <f t="shared" si="25"/>
        <v xml:space="preserve"> </v>
      </c>
      <c r="K772" s="24" t="s">
        <v>15801</v>
      </c>
    </row>
    <row r="773" spans="1:11">
      <c r="A773" s="24" t="s">
        <v>15801</v>
      </c>
      <c r="B773" s="24" t="s">
        <v>15842</v>
      </c>
      <c r="C773" s="24" t="s">
        <v>15939</v>
      </c>
      <c r="D773" s="24" t="s">
        <v>15900</v>
      </c>
      <c r="E773" s="24" t="s">
        <v>15804</v>
      </c>
      <c r="G773" s="24" t="s">
        <v>5616</v>
      </c>
      <c r="H773" s="11" t="str">
        <f t="shared" si="24"/>
        <v>16/10/1872</v>
      </c>
      <c r="J773" s="11" t="str">
        <f t="shared" si="25"/>
        <v xml:space="preserve"> </v>
      </c>
      <c r="K773" s="24" t="s">
        <v>5616</v>
      </c>
    </row>
    <row r="774" spans="1:11">
      <c r="A774" s="24" t="s">
        <v>15801</v>
      </c>
      <c r="B774" s="24" t="s">
        <v>15830</v>
      </c>
      <c r="C774" s="24" t="s">
        <v>15801</v>
      </c>
      <c r="D774" s="24" t="s">
        <v>15884</v>
      </c>
      <c r="E774" s="24" t="s">
        <v>15821</v>
      </c>
      <c r="H774" s="11" t="str">
        <f t="shared" si="24"/>
        <v/>
      </c>
      <c r="J774" s="11" t="str">
        <f t="shared" si="25"/>
        <v xml:space="preserve"> </v>
      </c>
      <c r="K774" s="24" t="s">
        <v>15801</v>
      </c>
    </row>
    <row r="775" spans="1:11">
      <c r="A775" s="24" t="s">
        <v>15801</v>
      </c>
      <c r="B775" s="24" t="s">
        <v>15834</v>
      </c>
      <c r="C775" s="24" t="s">
        <v>15911</v>
      </c>
      <c r="E775" s="24" t="s">
        <v>15802</v>
      </c>
      <c r="G775" s="24" t="s">
        <v>5702</v>
      </c>
      <c r="H775" s="11" t="str">
        <f t="shared" si="24"/>
        <v>03/11/1863</v>
      </c>
      <c r="J775" s="11" t="str">
        <f t="shared" si="25"/>
        <v xml:space="preserve"> </v>
      </c>
      <c r="K775" s="24" t="s">
        <v>5702</v>
      </c>
    </row>
    <row r="776" spans="1:11">
      <c r="A776" s="24" t="s">
        <v>15803</v>
      </c>
      <c r="B776" s="24" t="s">
        <v>15803</v>
      </c>
      <c r="C776" s="24" t="s">
        <v>15801</v>
      </c>
      <c r="D776" s="24" t="s">
        <v>15931</v>
      </c>
      <c r="E776" s="24" t="s">
        <v>15823</v>
      </c>
      <c r="F776" s="29" t="s">
        <v>7105</v>
      </c>
      <c r="H776" s="11" t="str">
        <f t="shared" si="24"/>
        <v/>
      </c>
      <c r="J776" s="11" t="str">
        <f t="shared" si="25"/>
        <v xml:space="preserve"> </v>
      </c>
      <c r="K776" s="24" t="s">
        <v>15801</v>
      </c>
    </row>
    <row r="777" spans="1:11">
      <c r="A777" s="24" t="s">
        <v>15811</v>
      </c>
      <c r="B777" s="24" t="s">
        <v>15811</v>
      </c>
      <c r="C777" s="24" t="s">
        <v>15801</v>
      </c>
      <c r="D777" s="24" t="s">
        <v>15908</v>
      </c>
      <c r="E777" s="24" t="s">
        <v>15801</v>
      </c>
      <c r="F777" s="29" t="s">
        <v>5755</v>
      </c>
      <c r="H777" s="11" t="str">
        <f t="shared" si="24"/>
        <v/>
      </c>
      <c r="J777" s="11" t="str">
        <f t="shared" si="25"/>
        <v xml:space="preserve"> </v>
      </c>
      <c r="K777" s="24" t="s">
        <v>15801</v>
      </c>
    </row>
    <row r="778" spans="1:11">
      <c r="A778" s="24" t="s">
        <v>15801</v>
      </c>
      <c r="B778" s="24" t="s">
        <v>15841</v>
      </c>
      <c r="C778" s="24" t="s">
        <v>15801</v>
      </c>
      <c r="D778" s="24" t="s">
        <v>15915</v>
      </c>
      <c r="E778" s="24" t="s">
        <v>15828</v>
      </c>
      <c r="H778" s="11" t="str">
        <f t="shared" si="24"/>
        <v/>
      </c>
      <c r="J778" s="11" t="str">
        <f t="shared" si="25"/>
        <v xml:space="preserve"> </v>
      </c>
      <c r="K778" s="24" t="s">
        <v>15801</v>
      </c>
    </row>
    <row r="779" spans="1:11">
      <c r="A779" s="24" t="s">
        <v>15827</v>
      </c>
      <c r="B779" s="24" t="s">
        <v>15827</v>
      </c>
      <c r="C779" s="24" t="s">
        <v>15801</v>
      </c>
      <c r="D779" s="24" t="s">
        <v>15908</v>
      </c>
      <c r="E779" s="24" t="s">
        <v>15801</v>
      </c>
      <c r="F779" s="29" t="s">
        <v>7054</v>
      </c>
      <c r="H779" s="11" t="str">
        <f t="shared" si="24"/>
        <v/>
      </c>
      <c r="J779" s="11" t="str">
        <f t="shared" si="25"/>
        <v xml:space="preserve"> </v>
      </c>
      <c r="K779" s="24" t="s">
        <v>15801</v>
      </c>
    </row>
    <row r="780" spans="1:11">
      <c r="A780" s="24" t="s">
        <v>15822</v>
      </c>
      <c r="B780" s="24" t="s">
        <v>15822</v>
      </c>
      <c r="C780" s="24" t="s">
        <v>15902</v>
      </c>
      <c r="D780" s="24" t="s">
        <v>15884</v>
      </c>
      <c r="E780" s="24" t="s">
        <v>15819</v>
      </c>
      <c r="F780" s="29" t="s">
        <v>5625</v>
      </c>
      <c r="G780" s="24" t="s">
        <v>5628</v>
      </c>
      <c r="H780" s="11" t="str">
        <f t="shared" si="24"/>
        <v>03/12/1876</v>
      </c>
      <c r="J780" s="11" t="str">
        <f t="shared" si="25"/>
        <v xml:space="preserve"> </v>
      </c>
      <c r="K780" s="24" t="s">
        <v>5628</v>
      </c>
    </row>
    <row r="781" spans="1:11">
      <c r="A781" s="24" t="s">
        <v>15816</v>
      </c>
      <c r="B781" s="24" t="s">
        <v>15816</v>
      </c>
      <c r="C781" s="24" t="s">
        <v>15801</v>
      </c>
      <c r="D781" s="24" t="s">
        <v>15899</v>
      </c>
      <c r="E781" s="24" t="s">
        <v>15965</v>
      </c>
      <c r="F781" s="29" t="s">
        <v>7050</v>
      </c>
      <c r="H781" s="11" t="str">
        <f t="shared" si="24"/>
        <v/>
      </c>
      <c r="J781" s="11" t="str">
        <f t="shared" si="25"/>
        <v xml:space="preserve"> </v>
      </c>
      <c r="K781" s="24" t="s">
        <v>15801</v>
      </c>
    </row>
    <row r="782" spans="1:11">
      <c r="A782" s="24" t="s">
        <v>15802</v>
      </c>
      <c r="B782" s="24" t="s">
        <v>15802</v>
      </c>
      <c r="C782" s="24" t="s">
        <v>15801</v>
      </c>
      <c r="D782" s="24" t="s">
        <v>15801</v>
      </c>
      <c r="E782" s="24" t="s">
        <v>15884</v>
      </c>
      <c r="F782" s="29" t="s">
        <v>5766</v>
      </c>
      <c r="H782" s="11" t="str">
        <f t="shared" si="24"/>
        <v/>
      </c>
      <c r="J782" s="11" t="str">
        <f t="shared" si="25"/>
        <v xml:space="preserve"> </v>
      </c>
      <c r="K782" s="24" t="s">
        <v>15801</v>
      </c>
    </row>
    <row r="783" spans="1:11">
      <c r="A783" s="24" t="s">
        <v>15828</v>
      </c>
      <c r="B783" s="24" t="s">
        <v>15828</v>
      </c>
      <c r="C783" s="24" t="s">
        <v>15801</v>
      </c>
      <c r="D783" s="24" t="s">
        <v>15884</v>
      </c>
      <c r="E783" s="24" t="s">
        <v>15801</v>
      </c>
      <c r="F783" s="29" t="s">
        <v>5688</v>
      </c>
      <c r="H783" s="11" t="str">
        <f t="shared" si="24"/>
        <v/>
      </c>
      <c r="J783" s="11" t="str">
        <f t="shared" si="25"/>
        <v xml:space="preserve"> </v>
      </c>
      <c r="K783" s="24" t="s">
        <v>15801</v>
      </c>
    </row>
    <row r="784" spans="1:11">
      <c r="A784" s="24" t="s">
        <v>15801</v>
      </c>
      <c r="B784" s="24" t="s">
        <v>15846</v>
      </c>
      <c r="C784" s="24" t="s">
        <v>15946</v>
      </c>
      <c r="D784" s="24" t="s">
        <v>15956</v>
      </c>
      <c r="E784" s="24" t="s">
        <v>15819</v>
      </c>
      <c r="G784" s="24" t="s">
        <v>5751</v>
      </c>
      <c r="H784" s="11" t="str">
        <f t="shared" si="24"/>
        <v>09/08/1860</v>
      </c>
      <c r="J784" s="11" t="str">
        <f t="shared" si="25"/>
        <v xml:space="preserve"> </v>
      </c>
      <c r="K784" s="24" t="s">
        <v>5751</v>
      </c>
    </row>
    <row r="785" spans="1:11">
      <c r="A785" s="24" t="s">
        <v>15828</v>
      </c>
      <c r="B785" s="24" t="s">
        <v>15828</v>
      </c>
      <c r="C785" s="24" t="s">
        <v>15801</v>
      </c>
      <c r="D785" s="24" t="s">
        <v>15884</v>
      </c>
      <c r="E785" s="24" t="s">
        <v>15801</v>
      </c>
      <c r="F785" s="29" t="s">
        <v>7048</v>
      </c>
      <c r="H785" s="11" t="str">
        <f t="shared" si="24"/>
        <v/>
      </c>
      <c r="J785" s="11" t="str">
        <f t="shared" si="25"/>
        <v xml:space="preserve"> </v>
      </c>
      <c r="K785" s="24" t="s">
        <v>15801</v>
      </c>
    </row>
    <row r="786" spans="1:11">
      <c r="A786" s="24" t="s">
        <v>15801</v>
      </c>
      <c r="B786" s="24" t="s">
        <v>15872</v>
      </c>
      <c r="C786" s="24" t="s">
        <v>15901</v>
      </c>
      <c r="D786" s="24" t="s">
        <v>15900</v>
      </c>
      <c r="E786" s="24" t="s">
        <v>15850</v>
      </c>
      <c r="G786" s="24" t="s">
        <v>7085</v>
      </c>
      <c r="H786" s="11"/>
      <c r="J786" s="11" t="str">
        <f t="shared" si="25"/>
        <v xml:space="preserve"> </v>
      </c>
    </row>
    <row r="787" spans="1:11">
      <c r="A787" s="24" t="s">
        <v>15801</v>
      </c>
      <c r="B787" s="24" t="s">
        <v>15837</v>
      </c>
      <c r="C787" s="24" t="s">
        <v>15801</v>
      </c>
      <c r="D787" s="24" t="s">
        <v>15899</v>
      </c>
      <c r="E787" s="24" t="s">
        <v>15817</v>
      </c>
      <c r="H787" s="11" t="str">
        <f t="shared" si="24"/>
        <v/>
      </c>
      <c r="J787" s="11" t="str">
        <f t="shared" si="25"/>
        <v xml:space="preserve"> </v>
      </c>
      <c r="K787" s="24" t="s">
        <v>15801</v>
      </c>
    </row>
    <row r="788" spans="1:11">
      <c r="A788" s="24" t="s">
        <v>15821</v>
      </c>
      <c r="B788" s="24" t="s">
        <v>15821</v>
      </c>
      <c r="C788" s="24" t="s">
        <v>15801</v>
      </c>
      <c r="D788" s="24" t="s">
        <v>15900</v>
      </c>
      <c r="E788" s="24" t="s">
        <v>15966</v>
      </c>
      <c r="F788" s="29" t="s">
        <v>3627</v>
      </c>
      <c r="H788" s="11" t="str">
        <f t="shared" si="24"/>
        <v/>
      </c>
      <c r="J788" s="11" t="str">
        <f t="shared" si="25"/>
        <v xml:space="preserve"> </v>
      </c>
      <c r="K788" s="24" t="s">
        <v>15801</v>
      </c>
    </row>
    <row r="789" spans="1:11">
      <c r="A789" s="24" t="s">
        <v>15802</v>
      </c>
      <c r="B789" s="24" t="s">
        <v>15802</v>
      </c>
      <c r="C789" s="24" t="s">
        <v>15801</v>
      </c>
      <c r="D789" s="24" t="s">
        <v>15884</v>
      </c>
      <c r="E789" s="24" t="s">
        <v>15900</v>
      </c>
      <c r="F789" s="29" t="s">
        <v>5741</v>
      </c>
      <c r="H789" s="11" t="str">
        <f t="shared" si="24"/>
        <v/>
      </c>
      <c r="J789" s="11" t="str">
        <f t="shared" si="25"/>
        <v xml:space="preserve"> </v>
      </c>
      <c r="K789" s="24" t="s">
        <v>15801</v>
      </c>
    </row>
    <row r="790" spans="1:11">
      <c r="A790" s="24" t="s">
        <v>15801</v>
      </c>
      <c r="B790" s="24" t="s">
        <v>15853</v>
      </c>
      <c r="C790" s="24" t="s">
        <v>15948</v>
      </c>
      <c r="D790" s="24" t="s">
        <v>15884</v>
      </c>
      <c r="E790" s="24" t="s">
        <v>15803</v>
      </c>
      <c r="G790" s="24" t="s">
        <v>7060</v>
      </c>
      <c r="H790" s="11" t="str">
        <f t="shared" si="24"/>
        <v>12/08/1845</v>
      </c>
      <c r="J790" s="11" t="str">
        <f t="shared" si="25"/>
        <v xml:space="preserve"> </v>
      </c>
      <c r="K790" s="24" t="s">
        <v>7060</v>
      </c>
    </row>
    <row r="791" spans="1:11">
      <c r="A791" s="24" t="s">
        <v>15801</v>
      </c>
      <c r="B791" s="24" t="s">
        <v>15801</v>
      </c>
      <c r="C791" s="24" t="s">
        <v>15801</v>
      </c>
      <c r="D791" s="24" t="s">
        <v>15884</v>
      </c>
      <c r="E791" s="24" t="s">
        <v>15801</v>
      </c>
      <c r="H791" s="11" t="str">
        <f t="shared" si="24"/>
        <v/>
      </c>
      <c r="J791" s="11" t="str">
        <f t="shared" si="25"/>
        <v xml:space="preserve"> </v>
      </c>
      <c r="K791" s="24" t="s">
        <v>15801</v>
      </c>
    </row>
    <row r="792" spans="1:11">
      <c r="A792" s="24" t="s">
        <v>15804</v>
      </c>
      <c r="B792" s="24" t="s">
        <v>15804</v>
      </c>
      <c r="C792" s="24" t="s">
        <v>15886</v>
      </c>
      <c r="D792" s="24" t="s">
        <v>15884</v>
      </c>
      <c r="E792" s="24" t="s">
        <v>15863</v>
      </c>
      <c r="F792" s="29" t="s">
        <v>7068</v>
      </c>
      <c r="G792" s="24" t="s">
        <v>7069</v>
      </c>
      <c r="H792" s="11" t="str">
        <f t="shared" si="24"/>
        <v>19/06/1854</v>
      </c>
      <c r="J792" s="11" t="str">
        <f t="shared" si="25"/>
        <v xml:space="preserve"> </v>
      </c>
      <c r="K792" s="24" t="s">
        <v>7069</v>
      </c>
    </row>
    <row r="793" spans="1:11">
      <c r="A793" s="24" t="s">
        <v>15815</v>
      </c>
      <c r="B793" s="24" t="s">
        <v>15815</v>
      </c>
      <c r="C793" s="24" t="s">
        <v>15913</v>
      </c>
      <c r="D793" s="24" t="s">
        <v>15884</v>
      </c>
      <c r="E793" s="24" t="s">
        <v>15971</v>
      </c>
      <c r="F793" s="29" t="s">
        <v>5715</v>
      </c>
      <c r="G793" s="24" t="s">
        <v>5718</v>
      </c>
      <c r="H793" s="11" t="str">
        <f t="shared" si="24"/>
        <v>27/06/1877</v>
      </c>
      <c r="J793" s="11" t="str">
        <f t="shared" si="25"/>
        <v xml:space="preserve"> </v>
      </c>
      <c r="K793" s="24" t="s">
        <v>5718</v>
      </c>
    </row>
    <row r="794" spans="1:11">
      <c r="A794" s="24" t="s">
        <v>15802</v>
      </c>
      <c r="B794" s="24" t="s">
        <v>15802</v>
      </c>
      <c r="C794" s="24" t="s">
        <v>15937</v>
      </c>
      <c r="D794" s="24" t="s">
        <v>15884</v>
      </c>
      <c r="E794" s="24" t="s">
        <v>15915</v>
      </c>
      <c r="F794" s="29" t="s">
        <v>5707</v>
      </c>
      <c r="G794" s="24">
        <v>1894</v>
      </c>
      <c r="H794" s="11"/>
      <c r="J794" s="11" t="str">
        <f t="shared" si="25"/>
        <v xml:space="preserve"> </v>
      </c>
    </row>
    <row r="795" spans="1:11">
      <c r="A795" s="24" t="s">
        <v>15801</v>
      </c>
      <c r="B795" s="24" t="s">
        <v>15845</v>
      </c>
      <c r="C795" s="24" t="s">
        <v>15801</v>
      </c>
      <c r="D795" s="24" t="s">
        <v>15884</v>
      </c>
      <c r="E795" s="24" t="s">
        <v>15807</v>
      </c>
      <c r="H795" s="11" t="str">
        <f t="shared" si="24"/>
        <v/>
      </c>
      <c r="J795" s="11" t="str">
        <f t="shared" si="25"/>
        <v xml:space="preserve"> </v>
      </c>
      <c r="K795" s="24" t="s">
        <v>15801</v>
      </c>
    </row>
    <row r="796" spans="1:11">
      <c r="A796" s="24" t="s">
        <v>15827</v>
      </c>
      <c r="B796" s="24" t="s">
        <v>15827</v>
      </c>
      <c r="C796" s="24" t="s">
        <v>15801</v>
      </c>
      <c r="D796" s="24" t="s">
        <v>15884</v>
      </c>
      <c r="E796" s="24" t="s">
        <v>15938</v>
      </c>
      <c r="F796" s="29" t="s">
        <v>5698</v>
      </c>
      <c r="H796" s="11" t="str">
        <f t="shared" si="24"/>
        <v/>
      </c>
      <c r="J796" s="11" t="str">
        <f t="shared" si="25"/>
        <v xml:space="preserve"> </v>
      </c>
      <c r="K796" s="24" t="s">
        <v>15801</v>
      </c>
    </row>
    <row r="797" spans="1:11">
      <c r="A797" s="24" t="s">
        <v>15823</v>
      </c>
      <c r="B797" s="24" t="s">
        <v>15823</v>
      </c>
      <c r="C797" s="24" t="s">
        <v>15941</v>
      </c>
      <c r="D797" s="24" t="s">
        <v>15884</v>
      </c>
      <c r="E797" s="24" t="s">
        <v>15801</v>
      </c>
      <c r="F797" s="29" t="s">
        <v>7090</v>
      </c>
      <c r="G797" s="24" t="s">
        <v>7093</v>
      </c>
      <c r="H797" s="11" t="str">
        <f t="shared" si="24"/>
        <v>14/09/1902</v>
      </c>
      <c r="J797" s="11" t="str">
        <f t="shared" si="25"/>
        <v xml:space="preserve"> </v>
      </c>
      <c r="K797" s="24" t="s">
        <v>7093</v>
      </c>
    </row>
    <row r="798" spans="1:11">
      <c r="A798" s="24" t="s">
        <v>15803</v>
      </c>
      <c r="B798" s="24" t="s">
        <v>15803</v>
      </c>
      <c r="C798" s="24" t="s">
        <v>15924</v>
      </c>
      <c r="D798" s="24" t="s">
        <v>15899</v>
      </c>
      <c r="E798" s="24" t="s">
        <v>15823</v>
      </c>
      <c r="F798" s="29" t="s">
        <v>7110</v>
      </c>
      <c r="G798" s="24" t="s">
        <v>1873</v>
      </c>
      <c r="H798" s="11" t="str">
        <f t="shared" si="24"/>
        <v>04/05/1868</v>
      </c>
      <c r="J798" s="11" t="str">
        <f t="shared" si="25"/>
        <v xml:space="preserve"> </v>
      </c>
      <c r="K798" s="24" t="s">
        <v>1873</v>
      </c>
    </row>
    <row r="799" spans="1:11">
      <c r="A799" s="24" t="s">
        <v>15807</v>
      </c>
      <c r="B799" s="24" t="s">
        <v>15807</v>
      </c>
      <c r="C799" s="24" t="s">
        <v>15801</v>
      </c>
      <c r="D799" s="24" t="s">
        <v>15884</v>
      </c>
      <c r="E799" s="24" t="s">
        <v>15876</v>
      </c>
      <c r="F799" s="29" t="s">
        <v>5729</v>
      </c>
      <c r="H799" s="11" t="str">
        <f t="shared" si="24"/>
        <v/>
      </c>
      <c r="J799" s="11" t="str">
        <f t="shared" si="25"/>
        <v xml:space="preserve"> </v>
      </c>
      <c r="K799" s="24" t="s">
        <v>15801</v>
      </c>
    </row>
    <row r="800" spans="1:11">
      <c r="A800" s="24" t="s">
        <v>15806</v>
      </c>
      <c r="B800" s="24" t="s">
        <v>15806</v>
      </c>
      <c r="C800" s="24" t="s">
        <v>15801</v>
      </c>
      <c r="D800" s="24" t="s">
        <v>15884</v>
      </c>
      <c r="E800" s="24" t="s">
        <v>15870</v>
      </c>
      <c r="F800" s="29" t="s">
        <v>5726</v>
      </c>
      <c r="H800" s="11" t="str">
        <f t="shared" si="24"/>
        <v/>
      </c>
      <c r="J800" s="11" t="str">
        <f t="shared" si="25"/>
        <v xml:space="preserve"> </v>
      </c>
      <c r="K800" s="24" t="s">
        <v>15801</v>
      </c>
    </row>
    <row r="801" spans="1:11">
      <c r="A801" s="24" t="s">
        <v>15802</v>
      </c>
      <c r="B801" s="24" t="s">
        <v>15802</v>
      </c>
      <c r="C801" s="24" t="s">
        <v>15801</v>
      </c>
      <c r="D801" s="24" t="s">
        <v>15915</v>
      </c>
      <c r="E801" s="24" t="s">
        <v>15915</v>
      </c>
      <c r="F801" s="29" t="s">
        <v>460</v>
      </c>
      <c r="H801" s="11" t="str">
        <f t="shared" si="24"/>
        <v/>
      </c>
      <c r="J801" s="11" t="str">
        <f t="shared" si="25"/>
        <v xml:space="preserve"> </v>
      </c>
      <c r="K801" s="24" t="s">
        <v>15801</v>
      </c>
    </row>
    <row r="802" spans="1:11">
      <c r="A802" s="24" t="s">
        <v>15801</v>
      </c>
      <c r="B802" s="24" t="s">
        <v>15847</v>
      </c>
      <c r="C802" s="24" t="s">
        <v>15801</v>
      </c>
      <c r="D802" s="24" t="s">
        <v>15884</v>
      </c>
      <c r="E802" s="24" t="s">
        <v>15821</v>
      </c>
      <c r="H802" s="11" t="str">
        <f t="shared" si="24"/>
        <v/>
      </c>
      <c r="J802" s="11" t="str">
        <f t="shared" si="25"/>
        <v xml:space="preserve"> </v>
      </c>
      <c r="K802" s="24" t="s">
        <v>15801</v>
      </c>
    </row>
    <row r="803" spans="1:11">
      <c r="A803" s="24" t="s">
        <v>15801</v>
      </c>
      <c r="B803" s="24" t="s">
        <v>15812</v>
      </c>
      <c r="C803" s="24" t="s">
        <v>15888</v>
      </c>
      <c r="D803" s="24" t="s">
        <v>15899</v>
      </c>
      <c r="E803" s="24" t="s">
        <v>15801</v>
      </c>
      <c r="G803" s="24" t="s">
        <v>7124</v>
      </c>
      <c r="H803" s="11" t="str">
        <f t="shared" si="24"/>
        <v>25/02/1864</v>
      </c>
      <c r="J803" s="11" t="str">
        <f t="shared" si="25"/>
        <v xml:space="preserve"> </v>
      </c>
      <c r="K803" s="24" t="s">
        <v>7124</v>
      </c>
    </row>
    <row r="804" spans="1:11">
      <c r="A804" s="24" t="s">
        <v>15818</v>
      </c>
      <c r="B804" s="24" t="s">
        <v>15818</v>
      </c>
      <c r="C804" s="24" t="s">
        <v>15801</v>
      </c>
      <c r="D804" s="24" t="s">
        <v>15956</v>
      </c>
      <c r="E804" s="24" t="s">
        <v>15851</v>
      </c>
      <c r="F804" s="29" t="s">
        <v>7127</v>
      </c>
      <c r="H804" s="11" t="str">
        <f t="shared" si="24"/>
        <v/>
      </c>
      <c r="J804" s="11" t="str">
        <f t="shared" si="25"/>
        <v xml:space="preserve"> </v>
      </c>
      <c r="K804" s="24" t="s">
        <v>15801</v>
      </c>
    </row>
    <row r="805" spans="1:11">
      <c r="A805" s="24" t="s">
        <v>15807</v>
      </c>
      <c r="B805" s="24" t="s">
        <v>15807</v>
      </c>
      <c r="C805" s="24" t="s">
        <v>15801</v>
      </c>
      <c r="D805" s="24" t="s">
        <v>15900</v>
      </c>
      <c r="E805" s="24" t="s">
        <v>15876</v>
      </c>
      <c r="F805" s="29" t="s">
        <v>7134</v>
      </c>
      <c r="H805" s="11" t="str">
        <f t="shared" si="24"/>
        <v/>
      </c>
      <c r="J805" s="11" t="str">
        <f t="shared" si="25"/>
        <v xml:space="preserve"> </v>
      </c>
      <c r="K805" s="24" t="s">
        <v>15801</v>
      </c>
    </row>
    <row r="806" spans="1:11">
      <c r="A806" s="24" t="s">
        <v>15801</v>
      </c>
      <c r="B806" s="24" t="s">
        <v>15839</v>
      </c>
      <c r="C806" s="24" t="s">
        <v>15801</v>
      </c>
      <c r="D806" s="24" t="s">
        <v>15915</v>
      </c>
      <c r="E806" s="24" t="s">
        <v>15833</v>
      </c>
      <c r="H806" s="11" t="str">
        <f t="shared" si="24"/>
        <v/>
      </c>
      <c r="J806" s="11" t="str">
        <f t="shared" si="25"/>
        <v xml:space="preserve"> </v>
      </c>
      <c r="K806" s="24" t="s">
        <v>15801</v>
      </c>
    </row>
    <row r="807" spans="1:11">
      <c r="A807" s="24" t="s">
        <v>15801</v>
      </c>
      <c r="B807" s="24" t="s">
        <v>15808</v>
      </c>
      <c r="C807" s="24" t="s">
        <v>15801</v>
      </c>
      <c r="D807" s="24" t="s">
        <v>15899</v>
      </c>
      <c r="E807" s="24" t="s">
        <v>15828</v>
      </c>
      <c r="H807" s="11" t="str">
        <f t="shared" si="24"/>
        <v/>
      </c>
      <c r="J807" s="11" t="str">
        <f t="shared" si="25"/>
        <v xml:space="preserve"> </v>
      </c>
      <c r="K807" s="24" t="s">
        <v>15801</v>
      </c>
    </row>
    <row r="808" spans="1:11">
      <c r="A808" s="24" t="s">
        <v>15803</v>
      </c>
      <c r="B808" s="24" t="s">
        <v>15803</v>
      </c>
      <c r="C808" s="24" t="s">
        <v>15801</v>
      </c>
      <c r="D808" s="24" t="s">
        <v>15899</v>
      </c>
      <c r="E808" s="24" t="s">
        <v>15945</v>
      </c>
      <c r="F808" s="29" t="s">
        <v>7137</v>
      </c>
      <c r="H808" s="11" t="str">
        <f t="shared" si="24"/>
        <v/>
      </c>
      <c r="J808" s="11" t="str">
        <f t="shared" si="25"/>
        <v xml:space="preserve"> </v>
      </c>
      <c r="K808" s="24" t="s">
        <v>15801</v>
      </c>
    </row>
    <row r="809" spans="1:11">
      <c r="A809" s="24" t="s">
        <v>15801</v>
      </c>
      <c r="B809" s="24" t="s">
        <v>15854</v>
      </c>
      <c r="C809" s="24" t="s">
        <v>15886</v>
      </c>
      <c r="E809" s="24" t="s">
        <v>15803</v>
      </c>
      <c r="G809" s="24" t="s">
        <v>7168</v>
      </c>
      <c r="H809" s="11" t="str">
        <f t="shared" si="24"/>
        <v>05/11/1854</v>
      </c>
      <c r="J809" s="11" t="str">
        <f t="shared" si="25"/>
        <v xml:space="preserve"> </v>
      </c>
      <c r="K809" s="24" t="s">
        <v>7168</v>
      </c>
    </row>
    <row r="810" spans="1:11">
      <c r="A810" s="24" t="s">
        <v>15813</v>
      </c>
      <c r="B810" s="24" t="s">
        <v>15813</v>
      </c>
      <c r="C810" s="24" t="s">
        <v>15895</v>
      </c>
      <c r="D810" s="24" t="s">
        <v>15884</v>
      </c>
      <c r="E810" s="24" t="s">
        <v>15863</v>
      </c>
      <c r="F810" s="29" t="s">
        <v>394</v>
      </c>
      <c r="G810" s="24" t="s">
        <v>3127</v>
      </c>
      <c r="H810" s="11" t="str">
        <f t="shared" si="24"/>
        <v>12/07/1884</v>
      </c>
      <c r="J810" s="11" t="str">
        <f t="shared" si="25"/>
        <v xml:space="preserve"> </v>
      </c>
      <c r="K810" s="24" t="s">
        <v>3127</v>
      </c>
    </row>
    <row r="811" spans="1:11">
      <c r="A811" s="24" t="s">
        <v>15818</v>
      </c>
      <c r="B811" s="24" t="s">
        <v>15818</v>
      </c>
      <c r="C811" s="24" t="s">
        <v>15801</v>
      </c>
      <c r="E811" s="24" t="s">
        <v>15900</v>
      </c>
      <c r="F811" s="29" t="s">
        <v>7149</v>
      </c>
      <c r="H811" s="11" t="str">
        <f t="shared" si="24"/>
        <v/>
      </c>
      <c r="J811" s="11" t="str">
        <f t="shared" si="25"/>
        <v xml:space="preserve"> </v>
      </c>
      <c r="K811" s="24" t="s">
        <v>15801</v>
      </c>
    </row>
    <row r="812" spans="1:11">
      <c r="A812" s="24" t="s">
        <v>15811</v>
      </c>
      <c r="B812" s="24" t="s">
        <v>15811</v>
      </c>
      <c r="C812" s="24" t="s">
        <v>15893</v>
      </c>
      <c r="D812" s="24" t="s">
        <v>15938</v>
      </c>
      <c r="E812" s="24" t="s">
        <v>15938</v>
      </c>
      <c r="F812" s="29" t="s">
        <v>7173</v>
      </c>
      <c r="G812" s="24" t="s">
        <v>7175</v>
      </c>
      <c r="H812" s="11" t="str">
        <f t="shared" si="24"/>
        <v>23/04/1879</v>
      </c>
      <c r="J812" s="11" t="str">
        <f t="shared" si="25"/>
        <v xml:space="preserve"> </v>
      </c>
      <c r="K812" s="24" t="s">
        <v>7175</v>
      </c>
    </row>
    <row r="813" spans="1:11">
      <c r="A813" s="24" t="s">
        <v>15803</v>
      </c>
      <c r="B813" s="24" t="s">
        <v>15803</v>
      </c>
      <c r="C813" s="24" t="s">
        <v>15909</v>
      </c>
      <c r="D813" s="24" t="s">
        <v>15900</v>
      </c>
      <c r="E813" s="24" t="s">
        <v>15823</v>
      </c>
      <c r="F813" s="29" t="s">
        <v>7211</v>
      </c>
      <c r="G813" s="24" t="s">
        <v>7214</v>
      </c>
      <c r="H813" s="11" t="str">
        <f t="shared" si="24"/>
        <v>23/04/1881</v>
      </c>
      <c r="J813" s="11" t="str">
        <f t="shared" si="25"/>
        <v xml:space="preserve"> </v>
      </c>
      <c r="K813" s="24" t="s">
        <v>7214</v>
      </c>
    </row>
    <row r="814" spans="1:11">
      <c r="A814" s="24" t="s">
        <v>15814</v>
      </c>
      <c r="B814" s="24" t="s">
        <v>15814</v>
      </c>
      <c r="C814" s="24" t="s">
        <v>15801</v>
      </c>
      <c r="D814" s="24" t="s">
        <v>15900</v>
      </c>
      <c r="E814" s="24" t="s">
        <v>15823</v>
      </c>
      <c r="F814" s="29" t="s">
        <v>7231</v>
      </c>
      <c r="H814" s="11" t="str">
        <f t="shared" si="24"/>
        <v/>
      </c>
      <c r="J814" s="11" t="str">
        <f t="shared" si="25"/>
        <v xml:space="preserve"> </v>
      </c>
      <c r="K814" s="24" t="s">
        <v>15801</v>
      </c>
    </row>
    <row r="815" spans="1:11">
      <c r="A815" s="24" t="s">
        <v>15836</v>
      </c>
      <c r="B815" s="24" t="s">
        <v>15836</v>
      </c>
      <c r="C815" s="24" t="s">
        <v>15801</v>
      </c>
      <c r="D815" s="24" t="s">
        <v>15900</v>
      </c>
      <c r="E815" s="24" t="s">
        <v>15825</v>
      </c>
      <c r="F815" s="29" t="s">
        <v>7254</v>
      </c>
      <c r="H815" s="11" t="str">
        <f t="shared" si="24"/>
        <v/>
      </c>
      <c r="J815" s="11" t="str">
        <f t="shared" si="25"/>
        <v xml:space="preserve"> </v>
      </c>
      <c r="K815" s="24" t="s">
        <v>15801</v>
      </c>
    </row>
    <row r="816" spans="1:11">
      <c r="A816" s="24" t="s">
        <v>15820</v>
      </c>
      <c r="B816" s="24" t="s">
        <v>15820</v>
      </c>
      <c r="C816" s="24" t="s">
        <v>15927</v>
      </c>
      <c r="D816" s="24" t="s">
        <v>15900</v>
      </c>
      <c r="E816" s="24" t="s">
        <v>15908</v>
      </c>
      <c r="F816" s="29" t="s">
        <v>2810</v>
      </c>
      <c r="G816" s="24" t="s">
        <v>7259</v>
      </c>
      <c r="H816" s="11" t="str">
        <f t="shared" si="24"/>
        <v>06/05/1906</v>
      </c>
      <c r="J816" s="11" t="str">
        <f t="shared" si="25"/>
        <v xml:space="preserve"> </v>
      </c>
      <c r="K816" s="24" t="s">
        <v>7259</v>
      </c>
    </row>
    <row r="817" spans="1:11">
      <c r="A817" s="24" t="s">
        <v>15845</v>
      </c>
      <c r="B817" s="24" t="s">
        <v>15845</v>
      </c>
      <c r="C817" s="24" t="s">
        <v>15913</v>
      </c>
      <c r="D817" s="24" t="s">
        <v>15948</v>
      </c>
      <c r="E817" s="24" t="s">
        <v>15833</v>
      </c>
      <c r="F817" s="29" t="s">
        <v>7215</v>
      </c>
      <c r="G817" s="24" t="s">
        <v>7239</v>
      </c>
      <c r="H817" s="11" t="str">
        <f t="shared" si="24"/>
        <v>03/11/1877</v>
      </c>
      <c r="J817" s="11" t="str">
        <f t="shared" si="25"/>
        <v xml:space="preserve"> </v>
      </c>
      <c r="K817" s="24" t="s">
        <v>7239</v>
      </c>
    </row>
    <row r="818" spans="1:11">
      <c r="A818" s="24" t="s">
        <v>15811</v>
      </c>
      <c r="B818" s="24" t="s">
        <v>15811</v>
      </c>
      <c r="C818" s="24" t="s">
        <v>15904</v>
      </c>
      <c r="D818" s="24" t="s">
        <v>15948</v>
      </c>
      <c r="E818" s="24" t="s">
        <v>15801</v>
      </c>
      <c r="F818" s="29" t="s">
        <v>7226</v>
      </c>
      <c r="G818" s="24" t="s">
        <v>7228</v>
      </c>
      <c r="H818" s="11" t="str">
        <f t="shared" si="24"/>
        <v>13/04/1890</v>
      </c>
      <c r="J818" s="11" t="str">
        <f t="shared" si="25"/>
        <v xml:space="preserve"> </v>
      </c>
      <c r="K818" s="24" t="s">
        <v>7228</v>
      </c>
    </row>
    <row r="819" spans="1:11">
      <c r="A819" s="24" t="s">
        <v>15823</v>
      </c>
      <c r="B819" s="24" t="s">
        <v>15823</v>
      </c>
      <c r="C819" s="24" t="s">
        <v>15894</v>
      </c>
      <c r="D819" s="24" t="s">
        <v>15948</v>
      </c>
      <c r="E819" s="24" t="s">
        <v>15801</v>
      </c>
      <c r="F819" s="29" t="s">
        <v>428</v>
      </c>
      <c r="G819" s="24" t="s">
        <v>7236</v>
      </c>
      <c r="H819" s="11" t="str">
        <f t="shared" si="24"/>
        <v>18/09/1901</v>
      </c>
      <c r="J819" s="11" t="str">
        <f t="shared" si="25"/>
        <v xml:space="preserve"> </v>
      </c>
      <c r="K819" s="24" t="s">
        <v>7236</v>
      </c>
    </row>
    <row r="820" spans="1:11">
      <c r="A820" s="24" t="s">
        <v>15845</v>
      </c>
      <c r="B820" s="24" t="s">
        <v>15845</v>
      </c>
      <c r="C820" s="24" t="s">
        <v>15885</v>
      </c>
      <c r="D820" s="24" t="s">
        <v>15900</v>
      </c>
      <c r="E820" s="24" t="s">
        <v>15810</v>
      </c>
      <c r="F820" s="29" t="s">
        <v>7215</v>
      </c>
      <c r="G820" s="24" t="s">
        <v>7218</v>
      </c>
      <c r="H820" s="11" t="str">
        <f t="shared" si="24"/>
        <v>18/03/1866</v>
      </c>
      <c r="J820" s="11" t="str">
        <f t="shared" si="25"/>
        <v xml:space="preserve"> </v>
      </c>
      <c r="K820" s="24" t="s">
        <v>7218</v>
      </c>
    </row>
    <row r="821" spans="1:11">
      <c r="A821" s="24" t="s">
        <v>15834</v>
      </c>
      <c r="B821" s="24" t="s">
        <v>15834</v>
      </c>
      <c r="C821" s="24" t="s">
        <v>15883</v>
      </c>
      <c r="D821" s="24" t="s">
        <v>15900</v>
      </c>
      <c r="E821" s="24" t="s">
        <v>15817</v>
      </c>
      <c r="F821" s="29" t="s">
        <v>7244</v>
      </c>
      <c r="G821" s="24" t="s">
        <v>7245</v>
      </c>
      <c r="H821" s="11" t="str">
        <f t="shared" si="24"/>
        <v>24/08/1874</v>
      </c>
      <c r="J821" s="11" t="str">
        <f t="shared" si="25"/>
        <v xml:space="preserve"> </v>
      </c>
      <c r="K821" s="24" t="s">
        <v>7245</v>
      </c>
    </row>
    <row r="822" spans="1:11">
      <c r="A822" s="24" t="s">
        <v>15829</v>
      </c>
      <c r="B822" s="24" t="s">
        <v>15829</v>
      </c>
      <c r="C822" s="24" t="s">
        <v>15884</v>
      </c>
      <c r="E822" s="24" t="s">
        <v>15827</v>
      </c>
      <c r="F822" s="29" t="s">
        <v>7249</v>
      </c>
      <c r="G822" s="24" t="s">
        <v>72</v>
      </c>
      <c r="H822" s="11" t="str">
        <f t="shared" si="24"/>
        <v>06/02/1838</v>
      </c>
      <c r="J822" s="11" t="str">
        <f t="shared" si="25"/>
        <v xml:space="preserve"> </v>
      </c>
      <c r="K822" s="24" t="s">
        <v>72</v>
      </c>
    </row>
    <row r="823" spans="1:11">
      <c r="A823" s="24" t="s">
        <v>15801</v>
      </c>
      <c r="B823" s="24" t="s">
        <v>15815</v>
      </c>
      <c r="C823" s="24" t="s">
        <v>15891</v>
      </c>
      <c r="D823" s="24" t="s">
        <v>15900</v>
      </c>
      <c r="E823" s="24" t="s">
        <v>15971</v>
      </c>
      <c r="G823" s="24" t="s">
        <v>6663</v>
      </c>
      <c r="H823" s="11" t="str">
        <f t="shared" si="24"/>
        <v>10/11/1883</v>
      </c>
      <c r="J823" s="11" t="str">
        <f t="shared" si="25"/>
        <v xml:space="preserve"> </v>
      </c>
      <c r="K823" s="24" t="s">
        <v>6663</v>
      </c>
    </row>
    <row r="824" spans="1:11">
      <c r="A824" s="24" t="s">
        <v>15815</v>
      </c>
      <c r="B824" s="24" t="s">
        <v>15815</v>
      </c>
      <c r="C824" s="24" t="s">
        <v>15882</v>
      </c>
      <c r="E824" s="24" t="s">
        <v>15851</v>
      </c>
      <c r="F824" s="29" t="s">
        <v>7377</v>
      </c>
      <c r="G824" s="24" t="s">
        <v>7378</v>
      </c>
      <c r="H824" s="11" t="str">
        <f t="shared" si="24"/>
        <v>22/08/1880</v>
      </c>
      <c r="J824" s="11" t="str">
        <f t="shared" si="25"/>
        <v xml:space="preserve"> </v>
      </c>
      <c r="K824" s="24" t="s">
        <v>7378</v>
      </c>
    </row>
    <row r="825" spans="1:11">
      <c r="A825" s="24" t="s">
        <v>15801</v>
      </c>
      <c r="B825" s="24" t="s">
        <v>15876</v>
      </c>
      <c r="C825" s="24" t="s">
        <v>15801</v>
      </c>
      <c r="D825" s="24" t="s">
        <v>15884</v>
      </c>
      <c r="E825" s="24" t="s">
        <v>15971</v>
      </c>
      <c r="H825" s="11" t="str">
        <f t="shared" si="24"/>
        <v/>
      </c>
      <c r="J825" s="11" t="str">
        <f t="shared" si="25"/>
        <v xml:space="preserve"> </v>
      </c>
      <c r="K825" s="24" t="s">
        <v>15801</v>
      </c>
    </row>
    <row r="826" spans="1:11">
      <c r="A826" s="24" t="s">
        <v>15809</v>
      </c>
      <c r="B826" s="24" t="s">
        <v>15809</v>
      </c>
      <c r="C826" s="24" t="s">
        <v>15884</v>
      </c>
      <c r="D826" s="24" t="s">
        <v>15900</v>
      </c>
      <c r="E826" s="24" t="s">
        <v>15801</v>
      </c>
      <c r="F826" s="29" t="s">
        <v>7371</v>
      </c>
      <c r="G826" s="24" t="s">
        <v>301</v>
      </c>
      <c r="H826" s="11" t="str">
        <f t="shared" si="24"/>
        <v>17/02/1838</v>
      </c>
      <c r="J826" s="11" t="str">
        <f t="shared" si="25"/>
        <v xml:space="preserve"> </v>
      </c>
      <c r="K826" s="24" t="s">
        <v>301</v>
      </c>
    </row>
    <row r="827" spans="1:11">
      <c r="A827" s="24" t="s">
        <v>15839</v>
      </c>
      <c r="B827" s="24" t="s">
        <v>15839</v>
      </c>
      <c r="C827" s="24" t="s">
        <v>15884</v>
      </c>
      <c r="D827" s="24" t="s">
        <v>15900</v>
      </c>
      <c r="E827" s="24" t="s">
        <v>15828</v>
      </c>
      <c r="F827" s="29" t="s">
        <v>7311</v>
      </c>
      <c r="G827" s="24" t="s">
        <v>301</v>
      </c>
      <c r="H827" s="11" t="str">
        <f t="shared" si="24"/>
        <v>17/02/1838</v>
      </c>
      <c r="J827" s="11" t="str">
        <f t="shared" si="25"/>
        <v xml:space="preserve"> </v>
      </c>
      <c r="K827" s="24" t="s">
        <v>301</v>
      </c>
    </row>
    <row r="828" spans="1:11">
      <c r="A828" s="24" t="s">
        <v>15838</v>
      </c>
      <c r="B828" s="24" t="s">
        <v>15838</v>
      </c>
      <c r="C828" s="24" t="s">
        <v>15884</v>
      </c>
      <c r="D828" s="24" t="s">
        <v>15900</v>
      </c>
      <c r="E828" s="24" t="s">
        <v>15832</v>
      </c>
      <c r="F828" s="29" t="s">
        <v>7406</v>
      </c>
      <c r="G828" s="24" t="s">
        <v>301</v>
      </c>
      <c r="H828" s="11" t="str">
        <f t="shared" si="24"/>
        <v>17/02/1838</v>
      </c>
      <c r="J828" s="11" t="str">
        <f t="shared" si="25"/>
        <v xml:space="preserve"> </v>
      </c>
      <c r="K828" s="24" t="s">
        <v>301</v>
      </c>
    </row>
    <row r="829" spans="1:11">
      <c r="A829" s="24" t="s">
        <v>15817</v>
      </c>
      <c r="B829" s="24" t="s">
        <v>15817</v>
      </c>
      <c r="C829" s="24" t="s">
        <v>15884</v>
      </c>
      <c r="D829" s="24" t="s">
        <v>15900</v>
      </c>
      <c r="E829" s="24" t="s">
        <v>15801</v>
      </c>
      <c r="F829" s="29" t="s">
        <v>855</v>
      </c>
      <c r="G829" s="24" t="s">
        <v>301</v>
      </c>
      <c r="H829" s="11" t="str">
        <f t="shared" si="24"/>
        <v>17/02/1838</v>
      </c>
      <c r="J829" s="11" t="str">
        <f t="shared" si="25"/>
        <v xml:space="preserve"> </v>
      </c>
      <c r="K829" s="24" t="s">
        <v>301</v>
      </c>
    </row>
    <row r="830" spans="1:11">
      <c r="A830" s="24" t="s">
        <v>15833</v>
      </c>
      <c r="B830" s="24" t="s">
        <v>15833</v>
      </c>
      <c r="C830" s="24" t="s">
        <v>15801</v>
      </c>
      <c r="D830" s="24" t="s">
        <v>15900</v>
      </c>
      <c r="E830" s="24" t="s">
        <v>15801</v>
      </c>
      <c r="F830" s="29" t="s">
        <v>7440</v>
      </c>
      <c r="H830" s="11" t="str">
        <f t="shared" si="24"/>
        <v/>
      </c>
      <c r="J830" s="11" t="str">
        <f t="shared" si="25"/>
        <v xml:space="preserve"> </v>
      </c>
      <c r="K830" s="24" t="s">
        <v>15801</v>
      </c>
    </row>
    <row r="831" spans="1:11">
      <c r="A831" s="24" t="s">
        <v>15801</v>
      </c>
      <c r="B831" s="24" t="s">
        <v>15847</v>
      </c>
      <c r="C831" s="24" t="s">
        <v>15931</v>
      </c>
      <c r="D831" s="24" t="s">
        <v>15884</v>
      </c>
      <c r="E831" s="24" t="s">
        <v>15814</v>
      </c>
      <c r="G831" s="24" t="s">
        <v>7437</v>
      </c>
      <c r="H831" s="11" t="str">
        <f t="shared" si="24"/>
        <v>08/05/1843</v>
      </c>
      <c r="J831" s="11" t="str">
        <f t="shared" si="25"/>
        <v xml:space="preserve"> </v>
      </c>
      <c r="K831" s="24" t="s">
        <v>7437</v>
      </c>
    </row>
    <row r="832" spans="1:11">
      <c r="A832" s="24" t="s">
        <v>15832</v>
      </c>
      <c r="B832" s="24" t="s">
        <v>15832</v>
      </c>
      <c r="C832" s="24" t="s">
        <v>15931</v>
      </c>
      <c r="E832" s="24" t="s">
        <v>15971</v>
      </c>
      <c r="F832" s="29" t="s">
        <v>7436</v>
      </c>
      <c r="G832" s="24" t="s">
        <v>7437</v>
      </c>
      <c r="H832" s="11" t="str">
        <f t="shared" si="24"/>
        <v>08/05/1843</v>
      </c>
      <c r="J832" s="11" t="str">
        <f t="shared" si="25"/>
        <v xml:space="preserve"> </v>
      </c>
      <c r="K832" s="24" t="s">
        <v>7437</v>
      </c>
    </row>
    <row r="833" spans="1:11">
      <c r="A833" s="24" t="s">
        <v>15807</v>
      </c>
      <c r="B833" s="24" t="s">
        <v>15807</v>
      </c>
      <c r="C833" s="24" t="s">
        <v>15919</v>
      </c>
      <c r="D833" s="24" t="s">
        <v>15884</v>
      </c>
      <c r="E833" s="24" t="s">
        <v>15966</v>
      </c>
      <c r="F833" s="29" t="s">
        <v>7413</v>
      </c>
      <c r="G833" s="24" t="s">
        <v>1456</v>
      </c>
      <c r="H833" s="11" t="str">
        <f t="shared" si="24"/>
        <v>14/05/1888</v>
      </c>
      <c r="J833" s="11" t="str">
        <f t="shared" si="25"/>
        <v xml:space="preserve"> </v>
      </c>
      <c r="K833" s="24" t="s">
        <v>1456</v>
      </c>
    </row>
    <row r="834" spans="1:11">
      <c r="A834" s="24" t="s">
        <v>15820</v>
      </c>
      <c r="B834" s="24" t="s">
        <v>15820</v>
      </c>
      <c r="C834" s="24" t="s">
        <v>15896</v>
      </c>
      <c r="E834" s="24" t="s">
        <v>15801</v>
      </c>
      <c r="F834" s="29" t="s">
        <v>7397</v>
      </c>
      <c r="G834" s="24" t="s">
        <v>7398</v>
      </c>
      <c r="H834" s="11" t="str">
        <f t="shared" si="24"/>
        <v>31/08/1887</v>
      </c>
      <c r="J834" s="11" t="str">
        <f t="shared" si="25"/>
        <v xml:space="preserve"> </v>
      </c>
      <c r="K834" s="24" t="s">
        <v>7398</v>
      </c>
    </row>
    <row r="835" spans="1:11">
      <c r="A835" s="24" t="s">
        <v>15801</v>
      </c>
      <c r="B835" s="24" t="s">
        <v>15838</v>
      </c>
      <c r="C835" s="24" t="s">
        <v>15897</v>
      </c>
      <c r="D835" s="24" t="s">
        <v>15931</v>
      </c>
      <c r="E835" s="24" t="s">
        <v>15840</v>
      </c>
      <c r="G835" s="24" t="s">
        <v>7336</v>
      </c>
      <c r="H835" s="11" t="str">
        <f t="shared" ref="H835:H898" si="26">TRIM(G835)</f>
        <v>19/12/1861</v>
      </c>
      <c r="J835" s="11" t="str">
        <f t="shared" ref="J835:J898" si="27">IF(LEN(H835)=4,"fout"," ")</f>
        <v xml:space="preserve"> </v>
      </c>
      <c r="K835" s="24" t="s">
        <v>7336</v>
      </c>
    </row>
    <row r="836" spans="1:11">
      <c r="A836" s="24" t="s">
        <v>15821</v>
      </c>
      <c r="B836" s="24" t="s">
        <v>15821</v>
      </c>
      <c r="C836" s="24" t="s">
        <v>15902</v>
      </c>
      <c r="D836" s="24" t="s">
        <v>15931</v>
      </c>
      <c r="E836" s="24" t="s">
        <v>15971</v>
      </c>
      <c r="F836" s="29" t="s">
        <v>7339</v>
      </c>
      <c r="G836" s="24" t="s">
        <v>7341</v>
      </c>
      <c r="H836" s="11" t="str">
        <f t="shared" si="26"/>
        <v>29/04/1876</v>
      </c>
      <c r="J836" s="11" t="str">
        <f t="shared" si="27"/>
        <v xml:space="preserve"> </v>
      </c>
      <c r="K836" s="24" t="s">
        <v>7341</v>
      </c>
    </row>
    <row r="837" spans="1:11">
      <c r="A837" s="24" t="s">
        <v>15806</v>
      </c>
      <c r="B837" s="24" t="s">
        <v>15806</v>
      </c>
      <c r="C837" s="24" t="s">
        <v>15916</v>
      </c>
      <c r="D837" s="24" t="s">
        <v>15956</v>
      </c>
      <c r="E837" s="24" t="s">
        <v>15876</v>
      </c>
      <c r="F837" s="29" t="s">
        <v>7360</v>
      </c>
      <c r="G837" s="24" t="s">
        <v>7362</v>
      </c>
      <c r="H837" s="11" t="str">
        <f t="shared" si="26"/>
        <v>27/01/1885</v>
      </c>
      <c r="J837" s="11" t="str">
        <f t="shared" si="27"/>
        <v xml:space="preserve"> </v>
      </c>
      <c r="K837" s="24" t="s">
        <v>7362</v>
      </c>
    </row>
    <row r="838" spans="1:11">
      <c r="A838" s="24" t="s">
        <v>15816</v>
      </c>
      <c r="B838" s="24" t="s">
        <v>15816</v>
      </c>
      <c r="C838" s="24" t="s">
        <v>15887</v>
      </c>
      <c r="D838" s="24" t="s">
        <v>15948</v>
      </c>
      <c r="E838" s="24" t="s">
        <v>15870</v>
      </c>
      <c r="F838" s="29" t="s">
        <v>7462</v>
      </c>
      <c r="G838" s="24" t="s">
        <v>7464</v>
      </c>
      <c r="H838" s="11" t="str">
        <f t="shared" si="26"/>
        <v>28/08/1856</v>
      </c>
      <c r="J838" s="11" t="str">
        <f t="shared" si="27"/>
        <v xml:space="preserve"> </v>
      </c>
      <c r="K838" s="24" t="s">
        <v>7464</v>
      </c>
    </row>
    <row r="839" spans="1:11">
      <c r="A839" s="24" t="s">
        <v>15801</v>
      </c>
      <c r="B839" s="24" t="s">
        <v>15831</v>
      </c>
      <c r="C839" s="24" t="s">
        <v>15801</v>
      </c>
      <c r="D839" s="24" t="s">
        <v>15899</v>
      </c>
      <c r="E839" s="24" t="s">
        <v>15803</v>
      </c>
      <c r="H839" s="11" t="str">
        <f t="shared" si="26"/>
        <v/>
      </c>
      <c r="J839" s="11" t="str">
        <f t="shared" si="27"/>
        <v xml:space="preserve"> </v>
      </c>
      <c r="K839" s="24" t="s">
        <v>15801</v>
      </c>
    </row>
    <row r="840" spans="1:11">
      <c r="A840" s="24" t="s">
        <v>15804</v>
      </c>
      <c r="B840" s="24" t="s">
        <v>15804</v>
      </c>
      <c r="C840" s="24" t="s">
        <v>15910</v>
      </c>
      <c r="D840" s="24" t="s">
        <v>15915</v>
      </c>
      <c r="E840" s="24" t="s">
        <v>15863</v>
      </c>
      <c r="F840" s="29" t="s">
        <v>7320</v>
      </c>
      <c r="G840" s="24" t="s">
        <v>7321</v>
      </c>
      <c r="H840" s="11" t="str">
        <f t="shared" si="26"/>
        <v>14/01/1889</v>
      </c>
      <c r="J840" s="11" t="str">
        <f t="shared" si="27"/>
        <v xml:space="preserve"> </v>
      </c>
      <c r="K840" s="24" t="s">
        <v>7321</v>
      </c>
    </row>
    <row r="841" spans="1:11">
      <c r="A841" s="24" t="s">
        <v>15801</v>
      </c>
      <c r="B841" s="24" t="s">
        <v>15818</v>
      </c>
      <c r="C841" s="24" t="s">
        <v>15908</v>
      </c>
      <c r="D841" s="24" t="s">
        <v>15908</v>
      </c>
      <c r="E841" s="24" t="s">
        <v>15965</v>
      </c>
      <c r="G841" s="24" t="s">
        <v>7471</v>
      </c>
      <c r="H841" s="11" t="str">
        <f t="shared" si="26"/>
        <v>27/12/1844</v>
      </c>
      <c r="J841" s="11" t="str">
        <f t="shared" si="27"/>
        <v xml:space="preserve"> </v>
      </c>
      <c r="K841" s="24" t="s">
        <v>7471</v>
      </c>
    </row>
    <row r="842" spans="1:11">
      <c r="A842" s="24" t="s">
        <v>15844</v>
      </c>
      <c r="B842" s="24" t="s">
        <v>15844</v>
      </c>
      <c r="C842" s="24" t="s">
        <v>15903</v>
      </c>
      <c r="D842" s="24" t="s">
        <v>15899</v>
      </c>
      <c r="E842" s="24" t="s">
        <v>15936</v>
      </c>
      <c r="F842" s="29" t="s">
        <v>7343</v>
      </c>
      <c r="G842" s="24" t="s">
        <v>7346</v>
      </c>
      <c r="H842" s="11" t="str">
        <f t="shared" si="26"/>
        <v>03/06/1895</v>
      </c>
      <c r="J842" s="11" t="str">
        <f t="shared" si="27"/>
        <v xml:space="preserve"> </v>
      </c>
      <c r="K842" s="24" t="s">
        <v>7346</v>
      </c>
    </row>
    <row r="843" spans="1:11">
      <c r="A843" s="24" t="s">
        <v>15801</v>
      </c>
      <c r="B843" s="24" t="s">
        <v>15813</v>
      </c>
      <c r="C843" s="24" t="s">
        <v>15801</v>
      </c>
      <c r="E843" s="24" t="s">
        <v>15844</v>
      </c>
      <c r="H843" s="11" t="str">
        <f t="shared" si="26"/>
        <v/>
      </c>
      <c r="J843" s="11" t="str">
        <f t="shared" si="27"/>
        <v xml:space="preserve"> </v>
      </c>
      <c r="K843" s="24" t="s">
        <v>15801</v>
      </c>
    </row>
    <row r="844" spans="1:11">
      <c r="A844" s="24" t="s">
        <v>15801</v>
      </c>
      <c r="B844" s="24" t="s">
        <v>15840</v>
      </c>
      <c r="C844" s="24" t="s">
        <v>15902</v>
      </c>
      <c r="D844" s="24" t="s">
        <v>15901</v>
      </c>
      <c r="E844" s="24" t="s">
        <v>15801</v>
      </c>
      <c r="G844" s="24" t="s">
        <v>7431</v>
      </c>
      <c r="H844" s="11" t="str">
        <f t="shared" si="26"/>
        <v>10/02/1876</v>
      </c>
      <c r="J844" s="11" t="str">
        <f t="shared" si="27"/>
        <v xml:space="preserve"> </v>
      </c>
      <c r="K844" s="24" t="s">
        <v>7431</v>
      </c>
    </row>
    <row r="845" spans="1:11">
      <c r="A845" s="24" t="s">
        <v>15801</v>
      </c>
      <c r="B845" s="24" t="s">
        <v>15818</v>
      </c>
      <c r="C845" s="24" t="s">
        <v>15801</v>
      </c>
      <c r="D845" s="24" t="s">
        <v>15956</v>
      </c>
      <c r="E845" s="24" t="s">
        <v>15870</v>
      </c>
      <c r="H845" s="11" t="str">
        <f t="shared" si="26"/>
        <v/>
      </c>
      <c r="J845" s="11" t="str">
        <f t="shared" si="27"/>
        <v xml:space="preserve"> </v>
      </c>
      <c r="K845" s="24" t="s">
        <v>15801</v>
      </c>
    </row>
    <row r="846" spans="1:11">
      <c r="A846" s="24" t="s">
        <v>15825</v>
      </c>
      <c r="B846" s="24" t="s">
        <v>15825</v>
      </c>
      <c r="C846" s="24" t="s">
        <v>15953</v>
      </c>
      <c r="D846" s="24" t="s">
        <v>15908</v>
      </c>
      <c r="E846" s="24" t="s">
        <v>15921</v>
      </c>
      <c r="F846" s="29" t="s">
        <v>7423</v>
      </c>
      <c r="G846" s="24" t="s">
        <v>7425</v>
      </c>
      <c r="H846" s="11"/>
      <c r="J846" s="11" t="str">
        <f t="shared" si="27"/>
        <v xml:space="preserve"> </v>
      </c>
    </row>
    <row r="847" spans="1:11">
      <c r="A847" s="24" t="s">
        <v>15837</v>
      </c>
      <c r="B847" s="24" t="s">
        <v>15837</v>
      </c>
      <c r="C847" s="24" t="s">
        <v>15905</v>
      </c>
      <c r="D847" s="24" t="s">
        <v>15870</v>
      </c>
      <c r="E847" s="24" t="s">
        <v>15820</v>
      </c>
      <c r="F847" s="29" t="s">
        <v>7326</v>
      </c>
      <c r="G847" s="24" t="s">
        <v>7328</v>
      </c>
      <c r="H847" s="11" t="str">
        <f t="shared" si="26"/>
        <v>02/05/1849</v>
      </c>
      <c r="J847" s="11" t="str">
        <f t="shared" si="27"/>
        <v xml:space="preserve"> </v>
      </c>
      <c r="K847" s="24" t="s">
        <v>7328</v>
      </c>
    </row>
    <row r="848" spans="1:11">
      <c r="A848" s="24" t="s">
        <v>15840</v>
      </c>
      <c r="B848" s="24" t="s">
        <v>15840</v>
      </c>
      <c r="C848" s="24" t="s">
        <v>15801</v>
      </c>
      <c r="D848" s="24" t="s">
        <v>15870</v>
      </c>
      <c r="E848" s="24" t="s">
        <v>15820</v>
      </c>
      <c r="F848" s="29" t="s">
        <v>7474</v>
      </c>
      <c r="H848" s="11" t="str">
        <f t="shared" si="26"/>
        <v/>
      </c>
      <c r="J848" s="11" t="str">
        <f t="shared" si="27"/>
        <v xml:space="preserve"> </v>
      </c>
      <c r="K848" s="24" t="s">
        <v>15801</v>
      </c>
    </row>
    <row r="849" spans="1:11">
      <c r="A849" s="24" t="s">
        <v>15827</v>
      </c>
      <c r="B849" s="24" t="s">
        <v>15827</v>
      </c>
      <c r="C849" s="24" t="s">
        <v>15801</v>
      </c>
      <c r="D849" s="24" t="s">
        <v>15870</v>
      </c>
      <c r="E849" s="24" t="s">
        <v>15801</v>
      </c>
      <c r="F849" s="29" t="s">
        <v>7482</v>
      </c>
      <c r="H849" s="11" t="str">
        <f t="shared" si="26"/>
        <v/>
      </c>
      <c r="J849" s="11" t="str">
        <f t="shared" si="27"/>
        <v xml:space="preserve"> </v>
      </c>
      <c r="K849" s="24" t="s">
        <v>15801</v>
      </c>
    </row>
    <row r="850" spans="1:11">
      <c r="A850" s="24" t="s">
        <v>15823</v>
      </c>
      <c r="B850" s="24" t="s">
        <v>15823</v>
      </c>
      <c r="C850" s="24" t="s">
        <v>15936</v>
      </c>
      <c r="E850" s="24" t="s">
        <v>15801</v>
      </c>
      <c r="F850" s="29" t="s">
        <v>7434</v>
      </c>
      <c r="G850" s="24" t="s">
        <v>7435</v>
      </c>
      <c r="H850" s="11"/>
      <c r="J850" s="11" t="str">
        <f t="shared" si="27"/>
        <v xml:space="preserve"> </v>
      </c>
    </row>
    <row r="851" spans="1:11">
      <c r="A851" s="24" t="s">
        <v>15818</v>
      </c>
      <c r="B851" s="24" t="s">
        <v>15818</v>
      </c>
      <c r="C851" s="24" t="s">
        <v>15801</v>
      </c>
      <c r="E851" s="24" t="s">
        <v>15801</v>
      </c>
      <c r="F851" s="29" t="s">
        <v>7441</v>
      </c>
      <c r="H851" s="11" t="str">
        <f t="shared" si="26"/>
        <v/>
      </c>
      <c r="J851" s="11" t="str">
        <f t="shared" si="27"/>
        <v xml:space="preserve"> </v>
      </c>
      <c r="K851" s="24" t="s">
        <v>15801</v>
      </c>
    </row>
    <row r="852" spans="1:11">
      <c r="A852" s="24" t="s">
        <v>15807</v>
      </c>
      <c r="B852" s="24" t="s">
        <v>15807</v>
      </c>
      <c r="C852" s="24" t="s">
        <v>15937</v>
      </c>
      <c r="E852" s="24" t="s">
        <v>15870</v>
      </c>
      <c r="F852" s="29" t="s">
        <v>7353</v>
      </c>
      <c r="G852" s="24" t="s">
        <v>7356</v>
      </c>
      <c r="H852" s="11" t="str">
        <f t="shared" si="26"/>
        <v>16/11/1894</v>
      </c>
      <c r="J852" s="11" t="str">
        <f t="shared" si="27"/>
        <v xml:space="preserve"> </v>
      </c>
      <c r="K852" s="24" t="s">
        <v>7356</v>
      </c>
    </row>
    <row r="853" spans="1:11">
      <c r="A853" s="24" t="s">
        <v>15816</v>
      </c>
      <c r="B853" s="24" t="s">
        <v>15816</v>
      </c>
      <c r="C853" s="24" t="s">
        <v>15926</v>
      </c>
      <c r="E853" s="24" t="s">
        <v>15801</v>
      </c>
      <c r="F853" s="29" t="s">
        <v>4365</v>
      </c>
      <c r="G853" s="24" t="s">
        <v>7458</v>
      </c>
      <c r="H853" s="11" t="str">
        <f t="shared" si="26"/>
        <v>25/11/1897</v>
      </c>
      <c r="J853" s="11" t="str">
        <f t="shared" si="27"/>
        <v xml:space="preserve"> </v>
      </c>
      <c r="K853" s="24" t="s">
        <v>7458</v>
      </c>
    </row>
    <row r="854" spans="1:11">
      <c r="A854" s="24" t="s">
        <v>15811</v>
      </c>
      <c r="B854" s="24" t="s">
        <v>15811</v>
      </c>
      <c r="C854" s="24" t="s">
        <v>15801</v>
      </c>
      <c r="E854" s="24" t="s">
        <v>15801</v>
      </c>
      <c r="F854" s="29" t="s">
        <v>7410</v>
      </c>
      <c r="H854" s="11" t="str">
        <f t="shared" si="26"/>
        <v/>
      </c>
      <c r="J854" s="11" t="str">
        <f t="shared" si="27"/>
        <v xml:space="preserve"> </v>
      </c>
      <c r="K854" s="24" t="s">
        <v>15801</v>
      </c>
    </row>
    <row r="855" spans="1:11">
      <c r="A855" s="24" t="s">
        <v>15801</v>
      </c>
      <c r="B855" s="24" t="s">
        <v>15829</v>
      </c>
      <c r="C855" s="24" t="s">
        <v>15801</v>
      </c>
      <c r="E855" s="24" t="s">
        <v>15801</v>
      </c>
      <c r="H855" s="11" t="str">
        <f t="shared" si="26"/>
        <v/>
      </c>
      <c r="J855" s="11" t="str">
        <f t="shared" si="27"/>
        <v xml:space="preserve"> </v>
      </c>
      <c r="K855" s="24" t="s">
        <v>15801</v>
      </c>
    </row>
    <row r="856" spans="1:11">
      <c r="A856" s="24" t="s">
        <v>15801</v>
      </c>
      <c r="B856" s="24" t="s">
        <v>15813</v>
      </c>
      <c r="C856" s="24" t="s">
        <v>15801</v>
      </c>
      <c r="D856" s="24" t="s">
        <v>15908</v>
      </c>
      <c r="E856" s="24" t="s">
        <v>15823</v>
      </c>
      <c r="H856" s="11" t="str">
        <f t="shared" si="26"/>
        <v/>
      </c>
      <c r="J856" s="11" t="str">
        <f t="shared" si="27"/>
        <v xml:space="preserve"> </v>
      </c>
      <c r="K856" s="24" t="s">
        <v>15801</v>
      </c>
    </row>
    <row r="857" spans="1:11">
      <c r="A857" s="24" t="s">
        <v>15801</v>
      </c>
      <c r="B857" s="24" t="s">
        <v>15801</v>
      </c>
      <c r="C857" s="24" t="s">
        <v>15801</v>
      </c>
      <c r="D857" s="24" t="s">
        <v>15801</v>
      </c>
      <c r="E857" s="24" t="s">
        <v>15827</v>
      </c>
      <c r="H857" s="11" t="str">
        <f t="shared" si="26"/>
        <v/>
      </c>
      <c r="J857" s="11" t="str">
        <f t="shared" si="27"/>
        <v xml:space="preserve"> </v>
      </c>
      <c r="K857" s="24" t="s">
        <v>15801</v>
      </c>
    </row>
    <row r="858" spans="1:11">
      <c r="A858" s="24" t="s">
        <v>15801</v>
      </c>
      <c r="B858" s="24" t="s">
        <v>15822</v>
      </c>
      <c r="C858" s="24" t="s">
        <v>15801</v>
      </c>
      <c r="D858" s="24" t="s">
        <v>15900</v>
      </c>
      <c r="E858" s="24" t="s">
        <v>15806</v>
      </c>
      <c r="H858" s="11" t="str">
        <f t="shared" si="26"/>
        <v/>
      </c>
      <c r="J858" s="11" t="str">
        <f t="shared" si="27"/>
        <v xml:space="preserve"> </v>
      </c>
      <c r="K858" s="24" t="s">
        <v>15801</v>
      </c>
    </row>
    <row r="859" spans="1:11">
      <c r="A859" s="24" t="s">
        <v>15802</v>
      </c>
      <c r="B859" s="24" t="s">
        <v>15802</v>
      </c>
      <c r="C859" s="24" t="s">
        <v>15934</v>
      </c>
      <c r="D859" s="24" t="s">
        <v>15900</v>
      </c>
      <c r="E859" s="24" t="s">
        <v>15884</v>
      </c>
      <c r="F859" s="29" t="s">
        <v>3306</v>
      </c>
      <c r="G859" s="24" t="s">
        <v>7500</v>
      </c>
      <c r="H859" s="11" t="str">
        <f t="shared" si="26"/>
        <v>23/03/1898</v>
      </c>
      <c r="J859" s="11" t="str">
        <f t="shared" si="27"/>
        <v xml:space="preserve"> </v>
      </c>
      <c r="K859" s="24" t="s">
        <v>7500</v>
      </c>
    </row>
    <row r="860" spans="1:11">
      <c r="A860" s="24" t="s">
        <v>15817</v>
      </c>
      <c r="B860" s="24" t="s">
        <v>15817</v>
      </c>
      <c r="C860" s="24" t="s">
        <v>15928</v>
      </c>
      <c r="D860" s="24" t="s">
        <v>15801</v>
      </c>
      <c r="E860" s="24" t="s">
        <v>15801</v>
      </c>
      <c r="F860" s="29" t="s">
        <v>7493</v>
      </c>
      <c r="G860" s="24" t="s">
        <v>7496</v>
      </c>
      <c r="H860" s="11" t="str">
        <f t="shared" si="26"/>
        <v>13/11/1899</v>
      </c>
      <c r="J860" s="11" t="str">
        <f t="shared" si="27"/>
        <v xml:space="preserve"> </v>
      </c>
      <c r="K860" s="24" t="s">
        <v>7496</v>
      </c>
    </row>
    <row r="861" spans="1:11">
      <c r="A861" s="24" t="s">
        <v>15818</v>
      </c>
      <c r="B861" s="24" t="s">
        <v>15818</v>
      </c>
      <c r="C861" s="24" t="s">
        <v>15878</v>
      </c>
      <c r="D861" s="24" t="s">
        <v>15899</v>
      </c>
      <c r="E861" s="24" t="s">
        <v>15870</v>
      </c>
      <c r="F861" s="29" t="s">
        <v>7508</v>
      </c>
      <c r="G861" s="24" t="s">
        <v>7510</v>
      </c>
      <c r="H861" s="11" t="str">
        <f t="shared" si="26"/>
        <v>02/08/1850</v>
      </c>
      <c r="J861" s="11" t="str">
        <f t="shared" si="27"/>
        <v xml:space="preserve"> </v>
      </c>
      <c r="K861" s="24" t="s">
        <v>7510</v>
      </c>
    </row>
    <row r="862" spans="1:11">
      <c r="A862" s="24" t="s">
        <v>15825</v>
      </c>
      <c r="B862" s="24" t="s">
        <v>15825</v>
      </c>
      <c r="C862" s="24" t="s">
        <v>15896</v>
      </c>
      <c r="D862" s="24" t="s">
        <v>15884</v>
      </c>
      <c r="E862" s="24" t="s">
        <v>15876</v>
      </c>
      <c r="F862" s="29" t="s">
        <v>7515</v>
      </c>
      <c r="G862" s="24" t="s">
        <v>7517</v>
      </c>
      <c r="H862" s="11" t="str">
        <f t="shared" si="26"/>
        <v>10/05/1887</v>
      </c>
      <c r="J862" s="11" t="str">
        <f t="shared" si="27"/>
        <v xml:space="preserve"> </v>
      </c>
      <c r="K862" s="24" t="s">
        <v>7517</v>
      </c>
    </row>
    <row r="863" spans="1:11">
      <c r="A863" s="24" t="s">
        <v>15801</v>
      </c>
      <c r="B863" s="24" t="s">
        <v>15877</v>
      </c>
      <c r="C863" s="24" t="s">
        <v>15801</v>
      </c>
      <c r="D863" s="24" t="s">
        <v>15801</v>
      </c>
      <c r="E863" s="24" t="s">
        <v>15831</v>
      </c>
      <c r="H863" s="11" t="str">
        <f t="shared" si="26"/>
        <v/>
      </c>
      <c r="J863" s="11" t="str">
        <f t="shared" si="27"/>
        <v xml:space="preserve"> </v>
      </c>
      <c r="K863" s="24" t="s">
        <v>15801</v>
      </c>
    </row>
    <row r="864" spans="1:11">
      <c r="A864" s="24" t="s">
        <v>15807</v>
      </c>
      <c r="B864" s="24" t="s">
        <v>15807</v>
      </c>
      <c r="C864" s="24" t="s">
        <v>15884</v>
      </c>
      <c r="D864" s="24" t="s">
        <v>15900</v>
      </c>
      <c r="E864" s="24" t="s">
        <v>15870</v>
      </c>
      <c r="F864" s="29" t="s">
        <v>7613</v>
      </c>
      <c r="G864" s="24" t="s">
        <v>72</v>
      </c>
      <c r="H864" s="11" t="str">
        <f t="shared" si="26"/>
        <v>06/02/1838</v>
      </c>
      <c r="J864" s="11" t="str">
        <f t="shared" si="27"/>
        <v xml:space="preserve"> </v>
      </c>
      <c r="K864" s="24" t="s">
        <v>72</v>
      </c>
    </row>
    <row r="865" spans="1:11">
      <c r="A865" s="24" t="s">
        <v>15801</v>
      </c>
      <c r="B865" s="24" t="s">
        <v>15846</v>
      </c>
      <c r="C865" s="24" t="s">
        <v>15801</v>
      </c>
      <c r="D865" s="24" t="s">
        <v>15801</v>
      </c>
      <c r="E865" s="24" t="s">
        <v>15816</v>
      </c>
      <c r="H865" s="11" t="str">
        <f t="shared" si="26"/>
        <v/>
      </c>
      <c r="J865" s="11" t="str">
        <f t="shared" si="27"/>
        <v xml:space="preserve"> </v>
      </c>
      <c r="K865" s="24" t="s">
        <v>15801</v>
      </c>
    </row>
    <row r="866" spans="1:11">
      <c r="A866" s="24" t="s">
        <v>15813</v>
      </c>
      <c r="B866" s="24" t="s">
        <v>15813</v>
      </c>
      <c r="C866" s="24" t="s">
        <v>15884</v>
      </c>
      <c r="D866" s="24" t="s">
        <v>15900</v>
      </c>
      <c r="E866" s="24" t="s">
        <v>15971</v>
      </c>
      <c r="F866" s="29" t="s">
        <v>7547</v>
      </c>
      <c r="G866" s="24" t="s">
        <v>72</v>
      </c>
      <c r="H866" s="11" t="str">
        <f t="shared" si="26"/>
        <v>06/02/1838</v>
      </c>
      <c r="J866" s="11" t="str">
        <f t="shared" si="27"/>
        <v xml:space="preserve"> </v>
      </c>
      <c r="K866" s="24" t="s">
        <v>72</v>
      </c>
    </row>
    <row r="867" spans="1:11">
      <c r="A867" s="24" t="s">
        <v>15815</v>
      </c>
      <c r="B867" s="24" t="s">
        <v>15815</v>
      </c>
      <c r="C867" s="24" t="s">
        <v>15943</v>
      </c>
      <c r="D867" s="24" t="s">
        <v>15900</v>
      </c>
      <c r="E867" s="24" t="s">
        <v>15864</v>
      </c>
      <c r="F867" s="29" t="s">
        <v>7594</v>
      </c>
      <c r="G867" s="24" t="s">
        <v>7595</v>
      </c>
      <c r="H867" s="11" t="str">
        <f t="shared" si="26"/>
        <v>17/09/1891</v>
      </c>
      <c r="J867" s="11" t="str">
        <f t="shared" si="27"/>
        <v xml:space="preserve"> </v>
      </c>
      <c r="K867" s="24" t="s">
        <v>7595</v>
      </c>
    </row>
    <row r="868" spans="1:11">
      <c r="A868" s="24" t="s">
        <v>15801</v>
      </c>
      <c r="B868" s="24" t="s">
        <v>15813</v>
      </c>
      <c r="C868" s="24" t="s">
        <v>15801</v>
      </c>
      <c r="E868" s="24" t="s">
        <v>15801</v>
      </c>
      <c r="H868" s="11" t="str">
        <f t="shared" si="26"/>
        <v/>
      </c>
      <c r="J868" s="11" t="str">
        <f t="shared" si="27"/>
        <v xml:space="preserve"> </v>
      </c>
      <c r="K868" s="24" t="s">
        <v>15801</v>
      </c>
    </row>
    <row r="869" spans="1:11">
      <c r="A869" s="24" t="s">
        <v>15807</v>
      </c>
      <c r="B869" s="24" t="s">
        <v>15807</v>
      </c>
      <c r="C869" s="24" t="s">
        <v>15801</v>
      </c>
      <c r="D869" s="24" t="s">
        <v>15884</v>
      </c>
      <c r="E869" s="24" t="s">
        <v>15801</v>
      </c>
      <c r="F869" s="29" t="s">
        <v>7555</v>
      </c>
      <c r="H869" s="11" t="str">
        <f t="shared" si="26"/>
        <v/>
      </c>
      <c r="J869" s="11" t="str">
        <f t="shared" si="27"/>
        <v xml:space="preserve"> </v>
      </c>
      <c r="K869" s="24" t="s">
        <v>15801</v>
      </c>
    </row>
    <row r="870" spans="1:11">
      <c r="A870" s="24" t="s">
        <v>15816</v>
      </c>
      <c r="B870" s="24" t="s">
        <v>15816</v>
      </c>
      <c r="C870" s="24" t="s">
        <v>15801</v>
      </c>
      <c r="D870" s="24" t="s">
        <v>15900</v>
      </c>
      <c r="E870" s="24" t="s">
        <v>15965</v>
      </c>
      <c r="F870" s="29" t="s">
        <v>7586</v>
      </c>
      <c r="H870" s="11" t="str">
        <f t="shared" si="26"/>
        <v/>
      </c>
      <c r="J870" s="11" t="str">
        <f t="shared" si="27"/>
        <v xml:space="preserve"> </v>
      </c>
      <c r="K870" s="24" t="s">
        <v>15801</v>
      </c>
    </row>
    <row r="871" spans="1:11">
      <c r="A871" s="24" t="s">
        <v>15817</v>
      </c>
      <c r="B871" s="24" t="s">
        <v>15817</v>
      </c>
      <c r="C871" s="24" t="s">
        <v>15951</v>
      </c>
      <c r="D871" s="24" t="s">
        <v>15908</v>
      </c>
      <c r="E871" s="24" t="s">
        <v>15801</v>
      </c>
      <c r="F871" s="29" t="s">
        <v>7550</v>
      </c>
      <c r="G871" s="24" t="s">
        <v>7551</v>
      </c>
      <c r="H871" s="11" t="str">
        <f t="shared" si="26"/>
        <v>09/07/1886</v>
      </c>
      <c r="J871" s="11" t="str">
        <f t="shared" si="27"/>
        <v xml:space="preserve"> </v>
      </c>
      <c r="K871" s="24" t="s">
        <v>7551</v>
      </c>
    </row>
    <row r="872" spans="1:11">
      <c r="A872" s="24" t="s">
        <v>15801</v>
      </c>
      <c r="B872" s="24" t="s">
        <v>15842</v>
      </c>
      <c r="C872" s="24" t="s">
        <v>15801</v>
      </c>
      <c r="D872" s="24" t="s">
        <v>15900</v>
      </c>
      <c r="E872" s="24" t="s">
        <v>15803</v>
      </c>
      <c r="H872" s="11" t="str">
        <f t="shared" si="26"/>
        <v/>
      </c>
      <c r="J872" s="11" t="str">
        <f t="shared" si="27"/>
        <v xml:space="preserve"> </v>
      </c>
      <c r="K872" s="24" t="s">
        <v>15801</v>
      </c>
    </row>
    <row r="873" spans="1:11">
      <c r="A873" s="24" t="s">
        <v>15832</v>
      </c>
      <c r="B873" s="24" t="s">
        <v>15832</v>
      </c>
      <c r="C873" s="24" t="s">
        <v>15801</v>
      </c>
      <c r="D873" s="24" t="s">
        <v>15900</v>
      </c>
      <c r="E873" s="24" t="s">
        <v>15971</v>
      </c>
      <c r="F873" s="29" t="s">
        <v>7604</v>
      </c>
      <c r="H873" s="11" t="str">
        <f t="shared" si="26"/>
        <v/>
      </c>
      <c r="J873" s="11" t="str">
        <f t="shared" si="27"/>
        <v xml:space="preserve"> </v>
      </c>
      <c r="K873" s="24" t="s">
        <v>15801</v>
      </c>
    </row>
    <row r="874" spans="1:11">
      <c r="A874" s="24" t="s">
        <v>15801</v>
      </c>
      <c r="B874" s="24" t="s">
        <v>15850</v>
      </c>
      <c r="C874" s="24" t="s">
        <v>15900</v>
      </c>
      <c r="D874" s="24" t="s">
        <v>15900</v>
      </c>
      <c r="E874" s="24" t="s">
        <v>15810</v>
      </c>
      <c r="G874" s="24" t="s">
        <v>7581</v>
      </c>
      <c r="H874" s="11" t="str">
        <f t="shared" si="26"/>
        <v>14/12/1837</v>
      </c>
      <c r="J874" s="11" t="str">
        <f t="shared" si="27"/>
        <v xml:space="preserve"> </v>
      </c>
      <c r="K874" s="24" t="s">
        <v>7581</v>
      </c>
    </row>
    <row r="875" spans="1:11">
      <c r="A875" s="24" t="s">
        <v>15801</v>
      </c>
      <c r="B875" s="24" t="s">
        <v>15803</v>
      </c>
      <c r="C875" s="24" t="s">
        <v>15801</v>
      </c>
      <c r="D875" s="24" t="s">
        <v>15956</v>
      </c>
      <c r="E875" s="24" t="s">
        <v>15823</v>
      </c>
      <c r="H875" s="11" t="str">
        <f t="shared" si="26"/>
        <v/>
      </c>
      <c r="J875" s="11" t="str">
        <f t="shared" si="27"/>
        <v xml:space="preserve"> </v>
      </c>
      <c r="K875" s="24" t="s">
        <v>15801</v>
      </c>
    </row>
    <row r="876" spans="1:11">
      <c r="A876" s="24" t="s">
        <v>15829</v>
      </c>
      <c r="B876" s="24" t="s">
        <v>15829</v>
      </c>
      <c r="C876" s="24" t="s">
        <v>15884</v>
      </c>
      <c r="D876" s="24" t="s">
        <v>15900</v>
      </c>
      <c r="E876" s="24" t="s">
        <v>15823</v>
      </c>
      <c r="F876" s="29" t="s">
        <v>7607</v>
      </c>
      <c r="G876" s="24" t="s">
        <v>72</v>
      </c>
      <c r="H876" s="11" t="str">
        <f t="shared" si="26"/>
        <v>06/02/1838</v>
      </c>
      <c r="J876" s="11" t="str">
        <f t="shared" si="27"/>
        <v xml:space="preserve"> </v>
      </c>
      <c r="K876" s="24" t="s">
        <v>72</v>
      </c>
    </row>
    <row r="877" spans="1:11">
      <c r="A877" s="24" t="s">
        <v>15801</v>
      </c>
      <c r="B877" s="24" t="s">
        <v>15816</v>
      </c>
      <c r="C877" s="24" t="s">
        <v>15901</v>
      </c>
      <c r="D877" s="24" t="s">
        <v>15915</v>
      </c>
      <c r="E877" s="24" t="s">
        <v>15801</v>
      </c>
      <c r="G877" s="24" t="s">
        <v>7432</v>
      </c>
      <c r="H877" s="11"/>
      <c r="J877" s="11" t="str">
        <f t="shared" si="27"/>
        <v xml:space="preserve"> </v>
      </c>
    </row>
    <row r="878" spans="1:11">
      <c r="A878" s="24" t="s">
        <v>15828</v>
      </c>
      <c r="B878" s="24" t="s">
        <v>15828</v>
      </c>
      <c r="C878" s="24" t="s">
        <v>15801</v>
      </c>
      <c r="D878" s="24" t="s">
        <v>15900</v>
      </c>
      <c r="E878" s="24" t="s">
        <v>15801</v>
      </c>
      <c r="F878" s="29" t="s">
        <v>7543</v>
      </c>
      <c r="H878" s="11" t="str">
        <f t="shared" si="26"/>
        <v/>
      </c>
      <c r="J878" s="11" t="str">
        <f t="shared" si="27"/>
        <v xml:space="preserve"> </v>
      </c>
      <c r="K878" s="24" t="s">
        <v>15801</v>
      </c>
    </row>
    <row r="879" spans="1:11">
      <c r="A879" s="24" t="s">
        <v>15835</v>
      </c>
      <c r="B879" s="24" t="s">
        <v>15835</v>
      </c>
      <c r="C879" s="24" t="s">
        <v>15902</v>
      </c>
      <c r="D879" s="24" t="s">
        <v>15938</v>
      </c>
      <c r="E879" s="24" t="s">
        <v>15844</v>
      </c>
      <c r="F879" s="29" t="s">
        <v>7569</v>
      </c>
      <c r="G879" s="24" t="s">
        <v>7571</v>
      </c>
      <c r="H879" s="11" t="str">
        <f t="shared" si="26"/>
        <v>01/09/1876</v>
      </c>
      <c r="J879" s="11" t="str">
        <f t="shared" si="27"/>
        <v xml:space="preserve"> </v>
      </c>
      <c r="K879" s="24" t="s">
        <v>7571</v>
      </c>
    </row>
    <row r="880" spans="1:11">
      <c r="A880" s="24" t="s">
        <v>15815</v>
      </c>
      <c r="B880" s="24" t="s">
        <v>15815</v>
      </c>
      <c r="C880" s="24" t="s">
        <v>15801</v>
      </c>
      <c r="D880" s="24" t="s">
        <v>15956</v>
      </c>
      <c r="E880" s="24" t="s">
        <v>15945</v>
      </c>
      <c r="F880" s="29" t="s">
        <v>7624</v>
      </c>
      <c r="H880" s="11" t="str">
        <f t="shared" si="26"/>
        <v/>
      </c>
      <c r="J880" s="11" t="str">
        <f t="shared" si="27"/>
        <v xml:space="preserve"> </v>
      </c>
      <c r="K880" s="24" t="s">
        <v>15801</v>
      </c>
    </row>
    <row r="881" spans="1:11">
      <c r="A881" s="24" t="s">
        <v>15825</v>
      </c>
      <c r="B881" s="24" t="s">
        <v>15825</v>
      </c>
      <c r="C881" s="24" t="s">
        <v>15910</v>
      </c>
      <c r="E881" s="24" t="s">
        <v>15876</v>
      </c>
      <c r="F881" s="29" t="s">
        <v>7643</v>
      </c>
      <c r="G881" s="24" t="s">
        <v>7644</v>
      </c>
      <c r="H881" s="11" t="str">
        <f t="shared" si="26"/>
        <v>15/10/1889</v>
      </c>
      <c r="J881" s="11" t="str">
        <f t="shared" si="27"/>
        <v xml:space="preserve"> </v>
      </c>
      <c r="K881" s="24" t="s">
        <v>7644</v>
      </c>
    </row>
    <row r="882" spans="1:11">
      <c r="A882" s="24" t="s">
        <v>15802</v>
      </c>
      <c r="B882" s="24" t="s">
        <v>15802</v>
      </c>
      <c r="C882" s="24" t="s">
        <v>15941</v>
      </c>
      <c r="E882" s="24" t="s">
        <v>15884</v>
      </c>
      <c r="F882" s="29" t="s">
        <v>7632</v>
      </c>
      <c r="G882" s="24" t="s">
        <v>7634</v>
      </c>
      <c r="H882" s="11" t="str">
        <f t="shared" si="26"/>
        <v>26/08/1902</v>
      </c>
      <c r="J882" s="11" t="str">
        <f t="shared" si="27"/>
        <v xml:space="preserve"> </v>
      </c>
      <c r="K882" s="24" t="s">
        <v>7634</v>
      </c>
    </row>
    <row r="883" spans="1:11">
      <c r="A883" s="24" t="s">
        <v>15836</v>
      </c>
      <c r="B883" s="24" t="s">
        <v>15836</v>
      </c>
      <c r="C883" s="24" t="s">
        <v>15801</v>
      </c>
      <c r="D883" s="24" t="s">
        <v>15884</v>
      </c>
      <c r="E883" s="24" t="s">
        <v>15815</v>
      </c>
      <c r="F883" s="29" t="s">
        <v>7699</v>
      </c>
      <c r="H883" s="11" t="str">
        <f t="shared" si="26"/>
        <v/>
      </c>
      <c r="J883" s="11" t="str">
        <f t="shared" si="27"/>
        <v xml:space="preserve"> </v>
      </c>
      <c r="K883" s="24" t="s">
        <v>15801</v>
      </c>
    </row>
    <row r="884" spans="1:11">
      <c r="A884" s="24" t="s">
        <v>15802</v>
      </c>
      <c r="B884" s="24" t="s">
        <v>15802</v>
      </c>
      <c r="C884" s="24" t="s">
        <v>15801</v>
      </c>
      <c r="E884" s="24" t="s">
        <v>15900</v>
      </c>
      <c r="F884" s="29" t="s">
        <v>7706</v>
      </c>
      <c r="H884" s="11" t="str">
        <f t="shared" si="26"/>
        <v/>
      </c>
      <c r="J884" s="11" t="str">
        <f t="shared" si="27"/>
        <v xml:space="preserve"> </v>
      </c>
      <c r="K884" s="24" t="s">
        <v>15801</v>
      </c>
    </row>
    <row r="885" spans="1:11">
      <c r="A885" s="24" t="s">
        <v>15817</v>
      </c>
      <c r="B885" s="24" t="s">
        <v>15817</v>
      </c>
      <c r="C885" s="24" t="s">
        <v>15922</v>
      </c>
      <c r="D885" s="24" t="s">
        <v>15931</v>
      </c>
      <c r="E885" s="24" t="s">
        <v>15884</v>
      </c>
      <c r="F885" s="29" t="s">
        <v>7722</v>
      </c>
      <c r="G885" s="24" t="s">
        <v>7724</v>
      </c>
      <c r="H885" s="11" t="str">
        <f t="shared" si="26"/>
        <v>26/12/1855</v>
      </c>
      <c r="J885" s="11" t="str">
        <f t="shared" si="27"/>
        <v xml:space="preserve"> </v>
      </c>
      <c r="K885" s="24" t="s">
        <v>7724</v>
      </c>
    </row>
    <row r="886" spans="1:11">
      <c r="A886" s="24" t="s">
        <v>15820</v>
      </c>
      <c r="B886" s="24" t="s">
        <v>15820</v>
      </c>
      <c r="C886" s="24" t="s">
        <v>15912</v>
      </c>
      <c r="E886" s="24" t="s">
        <v>15801</v>
      </c>
      <c r="F886" s="29" t="s">
        <v>7740</v>
      </c>
      <c r="G886" s="24" t="s">
        <v>7742</v>
      </c>
      <c r="H886" s="11" t="str">
        <f t="shared" si="26"/>
        <v>24/08/1893</v>
      </c>
      <c r="J886" s="11" t="str">
        <f t="shared" si="27"/>
        <v xml:space="preserve"> </v>
      </c>
      <c r="K886" s="24" t="s">
        <v>7742</v>
      </c>
    </row>
    <row r="887" spans="1:11">
      <c r="A887" s="24" t="s">
        <v>15823</v>
      </c>
      <c r="B887" s="24" t="s">
        <v>15823</v>
      </c>
      <c r="C887" s="24" t="s">
        <v>15902</v>
      </c>
      <c r="D887" s="24" t="s">
        <v>15931</v>
      </c>
      <c r="E887" s="24" t="s">
        <v>15801</v>
      </c>
      <c r="F887" s="29" t="s">
        <v>7727</v>
      </c>
      <c r="G887" s="24" t="s">
        <v>7729</v>
      </c>
      <c r="H887" s="11" t="str">
        <f t="shared" si="26"/>
        <v>03/03/1876</v>
      </c>
      <c r="J887" s="11" t="str">
        <f t="shared" si="27"/>
        <v xml:space="preserve"> </v>
      </c>
      <c r="K887" s="24" t="s">
        <v>7729</v>
      </c>
    </row>
    <row r="888" spans="1:11">
      <c r="A888" s="24" t="s">
        <v>15801</v>
      </c>
      <c r="B888" s="24" t="s">
        <v>15841</v>
      </c>
      <c r="C888" s="24" t="s">
        <v>15801</v>
      </c>
      <c r="D888" s="24" t="s">
        <v>15956</v>
      </c>
      <c r="E888" s="24" t="s">
        <v>15817</v>
      </c>
      <c r="H888" s="11" t="str">
        <f t="shared" si="26"/>
        <v/>
      </c>
      <c r="J888" s="11" t="str">
        <f t="shared" si="27"/>
        <v xml:space="preserve"> </v>
      </c>
      <c r="K888" s="24" t="s">
        <v>15801</v>
      </c>
    </row>
    <row r="889" spans="1:11">
      <c r="A889" s="24" t="s">
        <v>15827</v>
      </c>
      <c r="B889" s="24" t="s">
        <v>15827</v>
      </c>
      <c r="C889" s="24" t="s">
        <v>15801</v>
      </c>
      <c r="D889" s="24" t="s">
        <v>15801</v>
      </c>
      <c r="E889" s="24" t="s">
        <v>15801</v>
      </c>
      <c r="F889" s="29" t="s">
        <v>7685</v>
      </c>
      <c r="H889" s="11" t="str">
        <f t="shared" si="26"/>
        <v/>
      </c>
      <c r="J889" s="11" t="str">
        <f t="shared" si="27"/>
        <v xml:space="preserve"> </v>
      </c>
      <c r="K889" s="24" t="s">
        <v>15801</v>
      </c>
    </row>
    <row r="890" spans="1:11">
      <c r="A890" s="24" t="s">
        <v>15801</v>
      </c>
      <c r="B890" s="24" t="s">
        <v>15808</v>
      </c>
      <c r="C890" s="24" t="s">
        <v>15801</v>
      </c>
      <c r="D890" s="24" t="s">
        <v>15884</v>
      </c>
      <c r="E890" s="24" t="s">
        <v>15844</v>
      </c>
      <c r="H890" s="11" t="str">
        <f t="shared" si="26"/>
        <v/>
      </c>
      <c r="J890" s="11" t="str">
        <f t="shared" si="27"/>
        <v xml:space="preserve"> </v>
      </c>
      <c r="K890" s="24" t="s">
        <v>15801</v>
      </c>
    </row>
    <row r="891" spans="1:11">
      <c r="A891" s="24" t="s">
        <v>15814</v>
      </c>
      <c r="B891" s="24" t="s">
        <v>15814</v>
      </c>
      <c r="C891" s="24" t="s">
        <v>15801</v>
      </c>
      <c r="E891" s="24" t="s">
        <v>15823</v>
      </c>
      <c r="F891" s="29" t="s">
        <v>7710</v>
      </c>
      <c r="H891" s="11" t="str">
        <f t="shared" si="26"/>
        <v/>
      </c>
      <c r="J891" s="11" t="str">
        <f t="shared" si="27"/>
        <v xml:space="preserve"> </v>
      </c>
      <c r="K891" s="24" t="s">
        <v>15801</v>
      </c>
    </row>
    <row r="892" spans="1:11">
      <c r="A892" s="24" t="s">
        <v>15832</v>
      </c>
      <c r="B892" s="24" t="s">
        <v>15832</v>
      </c>
      <c r="C892" s="24" t="s">
        <v>15918</v>
      </c>
      <c r="D892" s="24" t="s">
        <v>15901</v>
      </c>
      <c r="E892" s="24" t="s">
        <v>15864</v>
      </c>
      <c r="F892" s="29" t="s">
        <v>7714</v>
      </c>
      <c r="G892" s="24" t="s">
        <v>7717</v>
      </c>
      <c r="H892" s="11" t="str">
        <f t="shared" si="26"/>
        <v>26/03/1867</v>
      </c>
      <c r="J892" s="11" t="str">
        <f t="shared" si="27"/>
        <v xml:space="preserve"> </v>
      </c>
      <c r="K892" s="24" t="s">
        <v>7717</v>
      </c>
    </row>
    <row r="893" spans="1:11">
      <c r="A893" s="24" t="s">
        <v>15849</v>
      </c>
      <c r="B893" s="24" t="s">
        <v>15849</v>
      </c>
      <c r="C893" s="24" t="s">
        <v>15939</v>
      </c>
      <c r="D893" s="24" t="s">
        <v>15915</v>
      </c>
      <c r="E893" s="24" t="s">
        <v>15817</v>
      </c>
      <c r="F893" s="29" t="s">
        <v>7678</v>
      </c>
      <c r="G893" s="24" t="s">
        <v>7680</v>
      </c>
      <c r="H893" s="11" t="str">
        <f t="shared" si="26"/>
        <v>20/11/1872</v>
      </c>
      <c r="J893" s="11" t="str">
        <f t="shared" si="27"/>
        <v xml:space="preserve"> </v>
      </c>
      <c r="K893" s="24" t="s">
        <v>7680</v>
      </c>
    </row>
    <row r="894" spans="1:11">
      <c r="A894" s="24" t="s">
        <v>15829</v>
      </c>
      <c r="B894" s="24" t="s">
        <v>15829</v>
      </c>
      <c r="C894" s="24" t="s">
        <v>15915</v>
      </c>
      <c r="D894" s="24" t="s">
        <v>15900</v>
      </c>
      <c r="E894" s="24" t="s">
        <v>15851</v>
      </c>
      <c r="F894" s="29" t="s">
        <v>7695</v>
      </c>
      <c r="G894" s="24" t="s">
        <v>7696</v>
      </c>
      <c r="H894" s="11"/>
      <c r="J894" s="11" t="str">
        <f t="shared" si="27"/>
        <v xml:space="preserve"> </v>
      </c>
    </row>
    <row r="895" spans="1:11">
      <c r="A895" s="24" t="s">
        <v>15801</v>
      </c>
      <c r="B895" s="24" t="s">
        <v>15845</v>
      </c>
      <c r="C895" s="24" t="s">
        <v>15801</v>
      </c>
      <c r="D895" s="24" t="s">
        <v>15900</v>
      </c>
      <c r="E895" s="24" t="s">
        <v>15806</v>
      </c>
      <c r="H895" s="11" t="str">
        <f t="shared" si="26"/>
        <v/>
      </c>
      <c r="J895" s="11" t="str">
        <f t="shared" si="27"/>
        <v xml:space="preserve"> </v>
      </c>
      <c r="K895" s="24" t="s">
        <v>15801</v>
      </c>
    </row>
    <row r="896" spans="1:11">
      <c r="A896" s="24" t="s">
        <v>15801</v>
      </c>
      <c r="B896" s="24" t="s">
        <v>15808</v>
      </c>
      <c r="C896" s="24" t="s">
        <v>15801</v>
      </c>
      <c r="D896" s="24" t="s">
        <v>15900</v>
      </c>
      <c r="E896" s="24" t="s">
        <v>15801</v>
      </c>
      <c r="H896" s="11" t="str">
        <f t="shared" si="26"/>
        <v/>
      </c>
      <c r="J896" s="11" t="str">
        <f t="shared" si="27"/>
        <v xml:space="preserve"> </v>
      </c>
      <c r="K896" s="24" t="s">
        <v>15801</v>
      </c>
    </row>
    <row r="897" spans="1:11">
      <c r="A897" s="24" t="s">
        <v>15835</v>
      </c>
      <c r="B897" s="24" t="s">
        <v>15835</v>
      </c>
      <c r="C897" s="24" t="s">
        <v>15801</v>
      </c>
      <c r="D897" s="24" t="s">
        <v>15900</v>
      </c>
      <c r="E897" s="24" t="s">
        <v>15801</v>
      </c>
      <c r="F897" s="29" t="s">
        <v>7754</v>
      </c>
      <c r="H897" s="11" t="str">
        <f t="shared" si="26"/>
        <v/>
      </c>
      <c r="J897" s="11" t="str">
        <f t="shared" si="27"/>
        <v xml:space="preserve"> </v>
      </c>
      <c r="K897" s="24" t="s">
        <v>15801</v>
      </c>
    </row>
    <row r="898" spans="1:11">
      <c r="A898" s="24" t="s">
        <v>15818</v>
      </c>
      <c r="B898" s="24" t="s">
        <v>15818</v>
      </c>
      <c r="C898" s="24" t="s">
        <v>15801</v>
      </c>
      <c r="D898" s="24" t="s">
        <v>15956</v>
      </c>
      <c r="E898" s="24" t="s">
        <v>15801</v>
      </c>
      <c r="F898" s="29" t="s">
        <v>7761</v>
      </c>
      <c r="H898" s="11" t="str">
        <f t="shared" si="26"/>
        <v/>
      </c>
      <c r="J898" s="11" t="str">
        <f t="shared" si="27"/>
        <v xml:space="preserve"> </v>
      </c>
      <c r="K898" s="24" t="s">
        <v>15801</v>
      </c>
    </row>
    <row r="899" spans="1:11">
      <c r="A899" s="24" t="s">
        <v>15820</v>
      </c>
      <c r="B899" s="24" t="s">
        <v>15820</v>
      </c>
      <c r="C899" s="24" t="s">
        <v>15801</v>
      </c>
      <c r="D899" s="24" t="s">
        <v>15956</v>
      </c>
      <c r="E899" s="24" t="s">
        <v>15801</v>
      </c>
      <c r="F899" s="29" t="s">
        <v>7757</v>
      </c>
      <c r="H899" s="11" t="str">
        <f t="shared" ref="H899:H962" si="28">TRIM(G899)</f>
        <v/>
      </c>
      <c r="J899" s="11" t="str">
        <f t="shared" ref="J899:J962" si="29">IF(LEN(H899)=4,"fout"," ")</f>
        <v xml:space="preserve"> </v>
      </c>
      <c r="K899" s="24" t="s">
        <v>15801</v>
      </c>
    </row>
    <row r="900" spans="1:11">
      <c r="A900" s="24" t="s">
        <v>15801</v>
      </c>
      <c r="B900" s="24" t="s">
        <v>15859</v>
      </c>
      <c r="C900" s="24" t="s">
        <v>15801</v>
      </c>
      <c r="D900" s="24" t="s">
        <v>15956</v>
      </c>
      <c r="E900" s="24" t="s">
        <v>15825</v>
      </c>
      <c r="H900" s="11" t="str">
        <f t="shared" si="28"/>
        <v/>
      </c>
      <c r="J900" s="11" t="str">
        <f t="shared" si="29"/>
        <v xml:space="preserve"> </v>
      </c>
      <c r="K900" s="24" t="s">
        <v>15801</v>
      </c>
    </row>
    <row r="901" spans="1:11">
      <c r="A901" s="24" t="s">
        <v>15816</v>
      </c>
      <c r="B901" s="24" t="s">
        <v>15816</v>
      </c>
      <c r="C901" s="24" t="s">
        <v>15801</v>
      </c>
      <c r="D901" s="24" t="s">
        <v>15956</v>
      </c>
      <c r="E901" s="24" t="s">
        <v>15876</v>
      </c>
      <c r="F901" s="29" t="s">
        <v>7767</v>
      </c>
      <c r="H901" s="11" t="str">
        <f t="shared" si="28"/>
        <v/>
      </c>
      <c r="J901" s="11" t="str">
        <f t="shared" si="29"/>
        <v xml:space="preserve"> </v>
      </c>
      <c r="K901" s="24" t="s">
        <v>15801</v>
      </c>
    </row>
    <row r="902" spans="1:11">
      <c r="A902" s="24" t="s">
        <v>15801</v>
      </c>
      <c r="B902" s="24" t="s">
        <v>15835</v>
      </c>
      <c r="C902" s="24" t="s">
        <v>15801</v>
      </c>
      <c r="D902" s="24" t="s">
        <v>15900</v>
      </c>
      <c r="E902" s="24" t="s">
        <v>15811</v>
      </c>
      <c r="H902" s="11" t="str">
        <f t="shared" si="28"/>
        <v/>
      </c>
      <c r="J902" s="11" t="str">
        <f t="shared" si="29"/>
        <v xml:space="preserve"> </v>
      </c>
      <c r="K902" s="24" t="s">
        <v>15801</v>
      </c>
    </row>
    <row r="903" spans="1:11">
      <c r="A903" s="24" t="s">
        <v>15801</v>
      </c>
      <c r="B903" s="24" t="s">
        <v>15837</v>
      </c>
      <c r="C903" s="24" t="s">
        <v>15889</v>
      </c>
      <c r="D903" s="24" t="s">
        <v>15884</v>
      </c>
      <c r="E903" s="24" t="s">
        <v>15828</v>
      </c>
      <c r="G903" s="24" t="s">
        <v>7780</v>
      </c>
      <c r="H903" s="11"/>
      <c r="J903" s="11" t="str">
        <f t="shared" si="29"/>
        <v xml:space="preserve"> </v>
      </c>
    </row>
    <row r="904" spans="1:11">
      <c r="A904" s="24" t="s">
        <v>15801</v>
      </c>
      <c r="B904" s="24" t="s">
        <v>15832</v>
      </c>
      <c r="C904" s="24" t="s">
        <v>15801</v>
      </c>
      <c r="D904" s="24" t="s">
        <v>15870</v>
      </c>
      <c r="E904" s="24" t="s">
        <v>15965</v>
      </c>
      <c r="H904" s="11" t="str">
        <f t="shared" si="28"/>
        <v/>
      </c>
      <c r="J904" s="11" t="str">
        <f t="shared" si="29"/>
        <v xml:space="preserve"> </v>
      </c>
      <c r="K904" s="24" t="s">
        <v>15801</v>
      </c>
    </row>
    <row r="905" spans="1:11">
      <c r="A905" s="24" t="s">
        <v>15828</v>
      </c>
      <c r="B905" s="24" t="s">
        <v>15828</v>
      </c>
      <c r="C905" s="24" t="s">
        <v>15930</v>
      </c>
      <c r="D905" s="24" t="s">
        <v>15870</v>
      </c>
      <c r="E905" s="24" t="s">
        <v>15938</v>
      </c>
      <c r="F905" s="29" t="s">
        <v>7808</v>
      </c>
      <c r="G905" s="24" t="s">
        <v>7810</v>
      </c>
      <c r="H905" s="11" t="str">
        <f t="shared" si="28"/>
        <v>15/05/1896</v>
      </c>
      <c r="J905" s="11" t="str">
        <f t="shared" si="29"/>
        <v xml:space="preserve"> </v>
      </c>
      <c r="K905" s="24" t="s">
        <v>7810</v>
      </c>
    </row>
    <row r="906" spans="1:11">
      <c r="A906" s="24" t="s">
        <v>15801</v>
      </c>
      <c r="B906" s="24" t="s">
        <v>15860</v>
      </c>
      <c r="C906" s="24" t="s">
        <v>15801</v>
      </c>
      <c r="D906" s="24" t="s">
        <v>15899</v>
      </c>
      <c r="E906" s="24" t="s">
        <v>15829</v>
      </c>
      <c r="H906" s="11" t="str">
        <f t="shared" si="28"/>
        <v/>
      </c>
      <c r="J906" s="11" t="str">
        <f t="shared" si="29"/>
        <v xml:space="preserve"> </v>
      </c>
      <c r="K906" s="24" t="s">
        <v>15801</v>
      </c>
    </row>
    <row r="907" spans="1:11">
      <c r="A907" s="24" t="s">
        <v>15801</v>
      </c>
      <c r="B907" s="24" t="s">
        <v>15807</v>
      </c>
      <c r="C907" s="24" t="s">
        <v>15888</v>
      </c>
      <c r="D907" s="24" t="s">
        <v>15899</v>
      </c>
      <c r="E907" s="24" t="s">
        <v>15870</v>
      </c>
      <c r="G907" s="24" t="s">
        <v>7829</v>
      </c>
      <c r="H907" s="11" t="str">
        <f t="shared" si="28"/>
        <v>13/12/1864</v>
      </c>
      <c r="J907" s="11" t="str">
        <f t="shared" si="29"/>
        <v xml:space="preserve"> </v>
      </c>
      <c r="K907" s="24" t="s">
        <v>7829</v>
      </c>
    </row>
    <row r="908" spans="1:11">
      <c r="A908" s="24" t="s">
        <v>15816</v>
      </c>
      <c r="B908" s="24" t="s">
        <v>15816</v>
      </c>
      <c r="C908" s="24" t="s">
        <v>15919</v>
      </c>
      <c r="D908" s="24" t="s">
        <v>15884</v>
      </c>
      <c r="E908" s="24" t="s">
        <v>15900</v>
      </c>
      <c r="F908" s="29" t="s">
        <v>7800</v>
      </c>
      <c r="G908" s="24" t="s">
        <v>7803</v>
      </c>
      <c r="H908" s="11" t="str">
        <f t="shared" si="28"/>
        <v>11/02/1888</v>
      </c>
      <c r="J908" s="11" t="str">
        <f t="shared" si="29"/>
        <v xml:space="preserve"> </v>
      </c>
      <c r="K908" s="24" t="s">
        <v>7803</v>
      </c>
    </row>
    <row r="909" spans="1:11">
      <c r="A909" s="24" t="s">
        <v>15801</v>
      </c>
      <c r="B909" s="24" t="s">
        <v>15835</v>
      </c>
      <c r="C909" s="24" t="s">
        <v>15870</v>
      </c>
      <c r="D909" s="24" t="s">
        <v>15965</v>
      </c>
      <c r="E909" s="24" t="s">
        <v>15823</v>
      </c>
      <c r="G909" s="24" t="s">
        <v>7837</v>
      </c>
      <c r="H909" s="11"/>
      <c r="J909" s="11" t="str">
        <f t="shared" si="29"/>
        <v xml:space="preserve"> </v>
      </c>
    </row>
    <row r="910" spans="1:11">
      <c r="A910" s="24" t="s">
        <v>15801</v>
      </c>
      <c r="B910" s="24" t="s">
        <v>15822</v>
      </c>
      <c r="C910" s="24" t="s">
        <v>15801</v>
      </c>
      <c r="D910" s="24" t="s">
        <v>15884</v>
      </c>
      <c r="E910" s="24" t="s">
        <v>15804</v>
      </c>
      <c r="H910" s="11" t="str">
        <f t="shared" si="28"/>
        <v/>
      </c>
      <c r="J910" s="11" t="str">
        <f t="shared" si="29"/>
        <v xml:space="preserve"> </v>
      </c>
      <c r="K910" s="24" t="s">
        <v>15801</v>
      </c>
    </row>
    <row r="911" spans="1:11">
      <c r="A911" s="24" t="s">
        <v>15801</v>
      </c>
      <c r="B911" s="24" t="s">
        <v>15846</v>
      </c>
      <c r="C911" s="24" t="s">
        <v>15801</v>
      </c>
      <c r="D911" s="24" t="s">
        <v>15900</v>
      </c>
      <c r="E911" s="24" t="s">
        <v>15801</v>
      </c>
      <c r="H911" s="11" t="str">
        <f t="shared" si="28"/>
        <v/>
      </c>
      <c r="J911" s="11" t="str">
        <f t="shared" si="29"/>
        <v xml:space="preserve"> </v>
      </c>
      <c r="K911" s="24" t="s">
        <v>15801</v>
      </c>
    </row>
    <row r="912" spans="1:11">
      <c r="A912" s="24" t="s">
        <v>15816</v>
      </c>
      <c r="B912" s="24" t="s">
        <v>15816</v>
      </c>
      <c r="C912" s="24" t="s">
        <v>15894</v>
      </c>
      <c r="D912" s="24" t="s">
        <v>15900</v>
      </c>
      <c r="E912" s="24" t="s">
        <v>15965</v>
      </c>
      <c r="F912" s="29" t="s">
        <v>7906</v>
      </c>
      <c r="G912" s="24" t="s">
        <v>7907</v>
      </c>
      <c r="H912" s="11" t="str">
        <f t="shared" si="28"/>
        <v>11/04/1901</v>
      </c>
      <c r="J912" s="11" t="str">
        <f t="shared" si="29"/>
        <v xml:space="preserve"> </v>
      </c>
      <c r="K912" s="24" t="s">
        <v>7907</v>
      </c>
    </row>
    <row r="913" spans="1:11">
      <c r="A913" s="24" t="s">
        <v>15825</v>
      </c>
      <c r="B913" s="24" t="s">
        <v>15825</v>
      </c>
      <c r="C913" s="24" t="s">
        <v>15801</v>
      </c>
      <c r="D913" s="24" t="s">
        <v>15870</v>
      </c>
      <c r="E913" s="24" t="s">
        <v>15966</v>
      </c>
      <c r="F913" s="29" t="s">
        <v>7893</v>
      </c>
      <c r="H913" s="11" t="str">
        <f t="shared" si="28"/>
        <v/>
      </c>
      <c r="J913" s="11" t="str">
        <f t="shared" si="29"/>
        <v xml:space="preserve"> </v>
      </c>
      <c r="K913" s="24" t="s">
        <v>15801</v>
      </c>
    </row>
    <row r="914" spans="1:11">
      <c r="A914" s="24" t="s">
        <v>15801</v>
      </c>
      <c r="B914" s="24" t="s">
        <v>15842</v>
      </c>
      <c r="C914" s="24" t="s">
        <v>15801</v>
      </c>
      <c r="D914" s="24" t="s">
        <v>15900</v>
      </c>
      <c r="E914" s="24" t="s">
        <v>15815</v>
      </c>
      <c r="H914" s="11" t="str">
        <f t="shared" si="28"/>
        <v/>
      </c>
      <c r="J914" s="11" t="str">
        <f t="shared" si="29"/>
        <v xml:space="preserve"> </v>
      </c>
      <c r="K914" s="24" t="s">
        <v>15801</v>
      </c>
    </row>
    <row r="915" spans="1:11">
      <c r="A915" s="24" t="s">
        <v>15815</v>
      </c>
      <c r="B915" s="24" t="s">
        <v>15815</v>
      </c>
      <c r="C915" s="24" t="s">
        <v>15891</v>
      </c>
      <c r="D915" s="24" t="s">
        <v>15931</v>
      </c>
      <c r="E915" s="24" t="s">
        <v>15864</v>
      </c>
      <c r="F915" s="29" t="s">
        <v>7929</v>
      </c>
      <c r="G915" s="24" t="s">
        <v>7931</v>
      </c>
      <c r="H915" s="11" t="str">
        <f t="shared" si="28"/>
        <v>13/07/1883</v>
      </c>
      <c r="J915" s="11" t="str">
        <f t="shared" si="29"/>
        <v xml:space="preserve"> </v>
      </c>
      <c r="K915" s="24" t="s">
        <v>7931</v>
      </c>
    </row>
    <row r="916" spans="1:11">
      <c r="A916" s="24" t="s">
        <v>15801</v>
      </c>
      <c r="B916" s="24" t="s">
        <v>15849</v>
      </c>
      <c r="C916" s="24" t="s">
        <v>15906</v>
      </c>
      <c r="D916" s="24" t="s">
        <v>15899</v>
      </c>
      <c r="E916" s="24" t="s">
        <v>15819</v>
      </c>
      <c r="G916" s="24" t="s">
        <v>7884</v>
      </c>
      <c r="H916" s="11" t="str">
        <f t="shared" si="28"/>
        <v>01/11/1862</v>
      </c>
      <c r="J916" s="11" t="str">
        <f t="shared" si="29"/>
        <v xml:space="preserve"> </v>
      </c>
      <c r="K916" s="24" t="s">
        <v>7884</v>
      </c>
    </row>
    <row r="917" spans="1:11">
      <c r="A917" s="24" t="s">
        <v>15802</v>
      </c>
      <c r="B917" s="24" t="s">
        <v>15802</v>
      </c>
      <c r="C917" s="24" t="s">
        <v>15893</v>
      </c>
      <c r="D917" s="24" t="s">
        <v>15899</v>
      </c>
      <c r="E917" s="24" t="s">
        <v>15801</v>
      </c>
      <c r="F917" s="29" t="s">
        <v>7978</v>
      </c>
      <c r="G917" s="24" t="s">
        <v>7980</v>
      </c>
      <c r="H917" s="11" t="str">
        <f t="shared" si="28"/>
        <v>14/08/1879</v>
      </c>
      <c r="J917" s="11" t="str">
        <f t="shared" si="29"/>
        <v xml:space="preserve"> </v>
      </c>
      <c r="K917" s="24" t="s">
        <v>7980</v>
      </c>
    </row>
    <row r="918" spans="1:11">
      <c r="A918" s="24" t="s">
        <v>15801</v>
      </c>
      <c r="B918" s="24" t="s">
        <v>15860</v>
      </c>
      <c r="C918" s="24" t="s">
        <v>15801</v>
      </c>
      <c r="D918" s="24" t="s">
        <v>15899</v>
      </c>
      <c r="E918" s="24" t="s">
        <v>15841</v>
      </c>
      <c r="H918" s="11" t="str">
        <f t="shared" si="28"/>
        <v/>
      </c>
      <c r="J918" s="11" t="str">
        <f t="shared" si="29"/>
        <v xml:space="preserve"> </v>
      </c>
      <c r="K918" s="24" t="s">
        <v>15801</v>
      </c>
    </row>
    <row r="919" spans="1:11">
      <c r="A919" s="24" t="s">
        <v>15837</v>
      </c>
      <c r="B919" s="24" t="s">
        <v>15837</v>
      </c>
      <c r="C919" s="24" t="s">
        <v>15801</v>
      </c>
      <c r="D919" s="24" t="s">
        <v>15870</v>
      </c>
      <c r="E919" s="24" t="s">
        <v>15828</v>
      </c>
      <c r="F919" s="29" t="s">
        <v>7915</v>
      </c>
      <c r="H919" s="11" t="str">
        <f t="shared" si="28"/>
        <v/>
      </c>
      <c r="J919" s="11" t="str">
        <f t="shared" si="29"/>
        <v xml:space="preserve"> </v>
      </c>
      <c r="K919" s="24" t="s">
        <v>15801</v>
      </c>
    </row>
    <row r="920" spans="1:11">
      <c r="A920" s="24" t="s">
        <v>15840</v>
      </c>
      <c r="B920" s="24" t="s">
        <v>15840</v>
      </c>
      <c r="C920" s="24" t="s">
        <v>15925</v>
      </c>
      <c r="D920" s="24" t="s">
        <v>15870</v>
      </c>
      <c r="E920" s="24" t="s">
        <v>15828</v>
      </c>
      <c r="F920" s="29" t="s">
        <v>7855</v>
      </c>
      <c r="G920" s="24" t="s">
        <v>7857</v>
      </c>
      <c r="H920" s="11"/>
      <c r="J920" s="11" t="str">
        <f t="shared" si="29"/>
        <v xml:space="preserve"> </v>
      </c>
    </row>
    <row r="921" spans="1:11">
      <c r="A921" s="24" t="s">
        <v>15820</v>
      </c>
      <c r="B921" s="24" t="s">
        <v>15820</v>
      </c>
      <c r="C921" s="24" t="s">
        <v>15801</v>
      </c>
      <c r="D921" s="24" t="s">
        <v>15870</v>
      </c>
      <c r="E921" s="24" t="s">
        <v>15801</v>
      </c>
      <c r="F921" s="29" t="s">
        <v>7902</v>
      </c>
      <c r="H921" s="11" t="str">
        <f t="shared" si="28"/>
        <v/>
      </c>
      <c r="J921" s="11" t="str">
        <f t="shared" si="29"/>
        <v xml:space="preserve"> </v>
      </c>
      <c r="K921" s="24" t="s">
        <v>15801</v>
      </c>
    </row>
    <row r="922" spans="1:11">
      <c r="A922" s="24" t="s">
        <v>15823</v>
      </c>
      <c r="B922" s="24" t="s">
        <v>15823</v>
      </c>
      <c r="C922" s="24" t="s">
        <v>15801</v>
      </c>
      <c r="D922" s="24" t="s">
        <v>15965</v>
      </c>
      <c r="E922" s="24" t="s">
        <v>15956</v>
      </c>
      <c r="F922" s="29" t="s">
        <v>7960</v>
      </c>
      <c r="H922" s="11" t="str">
        <f t="shared" si="28"/>
        <v/>
      </c>
      <c r="J922" s="11" t="str">
        <f t="shared" si="29"/>
        <v xml:space="preserve"> </v>
      </c>
      <c r="K922" s="24" t="s">
        <v>15801</v>
      </c>
    </row>
    <row r="923" spans="1:11">
      <c r="A923" s="24" t="s">
        <v>15803</v>
      </c>
      <c r="B923" s="24" t="s">
        <v>15803</v>
      </c>
      <c r="C923" s="24" t="s">
        <v>15801</v>
      </c>
      <c r="D923" s="24" t="s">
        <v>15870</v>
      </c>
      <c r="E923" s="24" t="s">
        <v>15827</v>
      </c>
      <c r="F923" s="29" t="s">
        <v>7917</v>
      </c>
      <c r="H923" s="11" t="str">
        <f t="shared" si="28"/>
        <v/>
      </c>
      <c r="J923" s="11" t="str">
        <f t="shared" si="29"/>
        <v xml:space="preserve"> </v>
      </c>
      <c r="K923" s="24" t="s">
        <v>15801</v>
      </c>
    </row>
    <row r="924" spans="1:11">
      <c r="A924" s="24" t="s">
        <v>15814</v>
      </c>
      <c r="B924" s="24" t="s">
        <v>15814</v>
      </c>
      <c r="C924" s="24" t="s">
        <v>15801</v>
      </c>
      <c r="D924" s="24" t="s">
        <v>15870</v>
      </c>
      <c r="F924" s="29" t="s">
        <v>7969</v>
      </c>
      <c r="H924" s="11" t="str">
        <f t="shared" si="28"/>
        <v/>
      </c>
      <c r="J924" s="11" t="str">
        <f t="shared" si="29"/>
        <v xml:space="preserve"> </v>
      </c>
      <c r="K924" s="24" t="s">
        <v>15801</v>
      </c>
    </row>
    <row r="925" spans="1:11">
      <c r="A925" s="24" t="s">
        <v>15801</v>
      </c>
      <c r="B925" s="24" t="s">
        <v>15801</v>
      </c>
      <c r="C925" s="24" t="s">
        <v>15801</v>
      </c>
      <c r="D925" s="24" t="s">
        <v>15870</v>
      </c>
      <c r="E925" s="24" t="s">
        <v>15811</v>
      </c>
      <c r="H925" s="11" t="str">
        <f t="shared" si="28"/>
        <v/>
      </c>
      <c r="J925" s="11" t="str">
        <f t="shared" si="29"/>
        <v xml:space="preserve"> </v>
      </c>
      <c r="K925" s="24" t="s">
        <v>15801</v>
      </c>
    </row>
    <row r="926" spans="1:11">
      <c r="A926" s="24" t="s">
        <v>15818</v>
      </c>
      <c r="B926" s="24" t="s">
        <v>15818</v>
      </c>
      <c r="C926" s="24" t="s">
        <v>15801</v>
      </c>
      <c r="D926" s="24" t="s">
        <v>15870</v>
      </c>
      <c r="E926" s="24" t="s">
        <v>15921</v>
      </c>
      <c r="F926" s="29" t="s">
        <v>7949</v>
      </c>
      <c r="H926" s="11" t="str">
        <f t="shared" si="28"/>
        <v/>
      </c>
      <c r="J926" s="11" t="str">
        <f t="shared" si="29"/>
        <v xml:space="preserve"> </v>
      </c>
      <c r="K926" s="24" t="s">
        <v>15801</v>
      </c>
    </row>
    <row r="927" spans="1:11">
      <c r="A927" s="24" t="s">
        <v>15821</v>
      </c>
      <c r="B927" s="24" t="s">
        <v>15821</v>
      </c>
      <c r="C927" s="24" t="s">
        <v>15801</v>
      </c>
      <c r="D927" s="24" t="s">
        <v>15870</v>
      </c>
      <c r="E927" s="24" t="s">
        <v>15965</v>
      </c>
      <c r="F927" s="29" t="s">
        <v>7920</v>
      </c>
      <c r="H927" s="11" t="str">
        <f t="shared" si="28"/>
        <v/>
      </c>
      <c r="J927" s="11" t="str">
        <f t="shared" si="29"/>
        <v xml:space="preserve"> </v>
      </c>
      <c r="K927" s="24" t="s">
        <v>15801</v>
      </c>
    </row>
    <row r="928" spans="1:11">
      <c r="A928" s="24" t="s">
        <v>15825</v>
      </c>
      <c r="B928" s="24" t="s">
        <v>15825</v>
      </c>
      <c r="C928" s="24" t="s">
        <v>15801</v>
      </c>
      <c r="D928" s="24" t="s">
        <v>15876</v>
      </c>
      <c r="E928" s="24" t="s">
        <v>15965</v>
      </c>
      <c r="F928" s="29" t="s">
        <v>7973</v>
      </c>
      <c r="H928" s="11" t="str">
        <f t="shared" si="28"/>
        <v/>
      </c>
      <c r="J928" s="11" t="str">
        <f t="shared" si="29"/>
        <v xml:space="preserve"> </v>
      </c>
      <c r="K928" s="24" t="s">
        <v>15801</v>
      </c>
    </row>
    <row r="929" spans="1:11">
      <c r="A929" s="24" t="s">
        <v>15816</v>
      </c>
      <c r="B929" s="24" t="s">
        <v>15816</v>
      </c>
      <c r="C929" s="24" t="s">
        <v>15801</v>
      </c>
      <c r="D929" s="24" t="s">
        <v>15965</v>
      </c>
      <c r="E929" s="24" t="s">
        <v>15900</v>
      </c>
      <c r="F929" s="29" t="s">
        <v>7897</v>
      </c>
      <c r="H929" s="11" t="str">
        <f t="shared" si="28"/>
        <v/>
      </c>
      <c r="J929" s="11" t="str">
        <f t="shared" si="29"/>
        <v xml:space="preserve"> </v>
      </c>
      <c r="K929" s="24" t="s">
        <v>15801</v>
      </c>
    </row>
    <row r="930" spans="1:11">
      <c r="A930" s="24" t="s">
        <v>15825</v>
      </c>
      <c r="B930" s="24" t="s">
        <v>15825</v>
      </c>
      <c r="C930" s="24" t="s">
        <v>15801</v>
      </c>
      <c r="D930" s="24" t="s">
        <v>15870</v>
      </c>
      <c r="E930" s="24" t="s">
        <v>15965</v>
      </c>
      <c r="F930" s="29" t="s">
        <v>7936</v>
      </c>
      <c r="H930" s="11" t="str">
        <f t="shared" si="28"/>
        <v/>
      </c>
      <c r="J930" s="11" t="str">
        <f t="shared" si="29"/>
        <v xml:space="preserve"> </v>
      </c>
      <c r="K930" s="24" t="s">
        <v>15801</v>
      </c>
    </row>
    <row r="931" spans="1:11">
      <c r="A931" s="24" t="s">
        <v>15801</v>
      </c>
      <c r="B931" s="24" t="s">
        <v>15813</v>
      </c>
      <c r="C931" s="24" t="s">
        <v>15801</v>
      </c>
      <c r="D931" s="24" t="s">
        <v>15801</v>
      </c>
      <c r="E931" s="24" t="s">
        <v>15966</v>
      </c>
      <c r="H931" s="11" t="str">
        <f t="shared" si="28"/>
        <v/>
      </c>
      <c r="J931" s="11" t="str">
        <f t="shared" si="29"/>
        <v xml:space="preserve"> </v>
      </c>
      <c r="K931" s="24" t="s">
        <v>15801</v>
      </c>
    </row>
    <row r="932" spans="1:11">
      <c r="A932" s="24" t="s">
        <v>15851</v>
      </c>
      <c r="B932" s="24" t="s">
        <v>15851</v>
      </c>
      <c r="C932" s="24" t="s">
        <v>15801</v>
      </c>
      <c r="E932" s="24" t="s">
        <v>15801</v>
      </c>
      <c r="F932" s="29" t="s">
        <v>8175</v>
      </c>
      <c r="H932" s="11" t="str">
        <f t="shared" si="28"/>
        <v/>
      </c>
      <c r="J932" s="11" t="str">
        <f t="shared" si="29"/>
        <v xml:space="preserve"> </v>
      </c>
      <c r="K932" s="24" t="s">
        <v>15801</v>
      </c>
    </row>
    <row r="933" spans="1:11">
      <c r="A933" s="24" t="s">
        <v>15801</v>
      </c>
      <c r="B933" s="24" t="s">
        <v>15874</v>
      </c>
      <c r="C933" s="24" t="s">
        <v>15801</v>
      </c>
      <c r="D933" s="24" t="s">
        <v>15900</v>
      </c>
      <c r="E933" s="24" t="s">
        <v>15803</v>
      </c>
      <c r="H933" s="11" t="str">
        <f t="shared" si="28"/>
        <v/>
      </c>
      <c r="J933" s="11" t="str">
        <f t="shared" si="29"/>
        <v xml:space="preserve"> </v>
      </c>
      <c r="K933" s="24" t="s">
        <v>15801</v>
      </c>
    </row>
    <row r="934" spans="1:11">
      <c r="A934" s="24" t="s">
        <v>15807</v>
      </c>
      <c r="B934" s="24" t="s">
        <v>15807</v>
      </c>
      <c r="C934" s="24" t="s">
        <v>15895</v>
      </c>
      <c r="D934" s="24" t="s">
        <v>15900</v>
      </c>
      <c r="E934" s="24" t="s">
        <v>15801</v>
      </c>
      <c r="F934" s="29" t="s">
        <v>8028</v>
      </c>
      <c r="G934" s="24" t="s">
        <v>8031</v>
      </c>
      <c r="H934" s="11" t="str">
        <f t="shared" si="28"/>
        <v>23/07/1884</v>
      </c>
      <c r="J934" s="11" t="str">
        <f t="shared" si="29"/>
        <v xml:space="preserve"> </v>
      </c>
      <c r="K934" s="24" t="s">
        <v>8031</v>
      </c>
    </row>
    <row r="935" spans="1:11">
      <c r="A935" s="24" t="s">
        <v>15817</v>
      </c>
      <c r="B935" s="24" t="s">
        <v>15817</v>
      </c>
      <c r="C935" s="24" t="s">
        <v>15801</v>
      </c>
      <c r="D935" s="24" t="s">
        <v>15900</v>
      </c>
      <c r="E935" s="24" t="s">
        <v>15801</v>
      </c>
      <c r="F935" s="29" t="s">
        <v>8026</v>
      </c>
      <c r="H935" s="11" t="str">
        <f t="shared" si="28"/>
        <v/>
      </c>
      <c r="J935" s="11" t="str">
        <f t="shared" si="29"/>
        <v xml:space="preserve"> </v>
      </c>
      <c r="K935" s="24" t="s">
        <v>15801</v>
      </c>
    </row>
    <row r="936" spans="1:11">
      <c r="A936" s="24" t="s">
        <v>15819</v>
      </c>
      <c r="B936" s="24" t="s">
        <v>15819</v>
      </c>
      <c r="C936" s="24" t="s">
        <v>15950</v>
      </c>
      <c r="D936" s="24" t="s">
        <v>15801</v>
      </c>
      <c r="E936" s="24" t="s">
        <v>15801</v>
      </c>
      <c r="F936" s="29" t="s">
        <v>8141</v>
      </c>
      <c r="G936" s="24" t="s">
        <v>8142</v>
      </c>
      <c r="H936" s="11" t="str">
        <f t="shared" si="28"/>
        <v>10/01/1904</v>
      </c>
      <c r="J936" s="11" t="str">
        <f t="shared" si="29"/>
        <v xml:space="preserve"> </v>
      </c>
      <c r="K936" s="24" t="s">
        <v>8142</v>
      </c>
    </row>
    <row r="937" spans="1:11">
      <c r="A937" s="24" t="s">
        <v>15820</v>
      </c>
      <c r="B937" s="24" t="s">
        <v>15820</v>
      </c>
      <c r="C937" s="24" t="s">
        <v>15910</v>
      </c>
      <c r="D937" s="24" t="s">
        <v>15948</v>
      </c>
      <c r="E937" s="24" t="s">
        <v>15948</v>
      </c>
      <c r="F937" s="29" t="s">
        <v>8052</v>
      </c>
      <c r="G937" s="24" t="s">
        <v>8054</v>
      </c>
      <c r="H937" s="11" t="str">
        <f t="shared" si="28"/>
        <v>18/03/1889</v>
      </c>
      <c r="J937" s="11" t="str">
        <f t="shared" si="29"/>
        <v xml:space="preserve"> </v>
      </c>
      <c r="K937" s="24" t="s">
        <v>8054</v>
      </c>
    </row>
    <row r="938" spans="1:11">
      <c r="A938" s="24" t="s">
        <v>15825</v>
      </c>
      <c r="B938" s="24" t="s">
        <v>15825</v>
      </c>
      <c r="C938" s="24" t="s">
        <v>15801</v>
      </c>
      <c r="D938" s="24" t="s">
        <v>15900</v>
      </c>
      <c r="E938" s="24" t="s">
        <v>15876</v>
      </c>
      <c r="F938" s="29" t="s">
        <v>1070</v>
      </c>
      <c r="H938" s="11" t="str">
        <f t="shared" si="28"/>
        <v/>
      </c>
      <c r="J938" s="11" t="str">
        <f t="shared" si="29"/>
        <v xml:space="preserve"> </v>
      </c>
      <c r="K938" s="24" t="s">
        <v>15801</v>
      </c>
    </row>
    <row r="939" spans="1:11">
      <c r="A939" s="24" t="s">
        <v>15821</v>
      </c>
      <c r="B939" s="24" t="s">
        <v>15821</v>
      </c>
      <c r="C939" s="24" t="s">
        <v>15801</v>
      </c>
      <c r="D939" s="24" t="s">
        <v>15915</v>
      </c>
      <c r="E939" s="24" t="s">
        <v>15851</v>
      </c>
      <c r="F939" s="29" t="s">
        <v>8076</v>
      </c>
      <c r="H939" s="11" t="str">
        <f t="shared" si="28"/>
        <v/>
      </c>
      <c r="J939" s="11" t="str">
        <f t="shared" si="29"/>
        <v xml:space="preserve"> </v>
      </c>
      <c r="K939" s="24" t="s">
        <v>15801</v>
      </c>
    </row>
    <row r="940" spans="1:11">
      <c r="A940" s="24" t="s">
        <v>15801</v>
      </c>
      <c r="B940" s="24" t="s">
        <v>15862</v>
      </c>
      <c r="C940" s="24" t="s">
        <v>15946</v>
      </c>
      <c r="D940" s="24" t="s">
        <v>15900</v>
      </c>
      <c r="E940" s="24" t="s">
        <v>15834</v>
      </c>
      <c r="G940" s="24" t="s">
        <v>8038</v>
      </c>
      <c r="H940" s="11" t="str">
        <f t="shared" si="28"/>
        <v>13/02/1860</v>
      </c>
      <c r="J940" s="11" t="str">
        <f t="shared" si="29"/>
        <v xml:space="preserve"> </v>
      </c>
      <c r="K940" s="24" t="s">
        <v>8038</v>
      </c>
    </row>
    <row r="941" spans="1:11">
      <c r="A941" s="24" t="s">
        <v>15801</v>
      </c>
      <c r="B941" s="24" t="s">
        <v>15849</v>
      </c>
      <c r="C941" s="24" t="s">
        <v>15883</v>
      </c>
      <c r="D941" s="24" t="s">
        <v>15900</v>
      </c>
      <c r="E941" s="24" t="s">
        <v>15816</v>
      </c>
      <c r="G941" s="24" t="s">
        <v>8104</v>
      </c>
      <c r="H941" s="11" t="str">
        <f t="shared" si="28"/>
        <v>06/02/1874</v>
      </c>
      <c r="J941" s="11" t="str">
        <f t="shared" si="29"/>
        <v xml:space="preserve"> </v>
      </c>
      <c r="K941" s="24" t="s">
        <v>8104</v>
      </c>
    </row>
    <row r="942" spans="1:11">
      <c r="A942" s="24" t="s">
        <v>15817</v>
      </c>
      <c r="B942" s="24" t="s">
        <v>15817</v>
      </c>
      <c r="C942" s="24" t="s">
        <v>15903</v>
      </c>
      <c r="D942" s="24" t="s">
        <v>15900</v>
      </c>
      <c r="E942" s="24" t="s">
        <v>15801</v>
      </c>
      <c r="F942" s="29" t="s">
        <v>8090</v>
      </c>
      <c r="G942" s="24" t="s">
        <v>8092</v>
      </c>
      <c r="H942" s="11" t="str">
        <f t="shared" si="28"/>
        <v>25/11/1895</v>
      </c>
      <c r="J942" s="11" t="str">
        <f t="shared" si="29"/>
        <v xml:space="preserve"> </v>
      </c>
      <c r="K942" s="24" t="s">
        <v>8092</v>
      </c>
    </row>
    <row r="943" spans="1:11">
      <c r="A943" s="24" t="s">
        <v>15833</v>
      </c>
      <c r="B943" s="24" t="s">
        <v>15833</v>
      </c>
      <c r="C943" s="24" t="s">
        <v>15904</v>
      </c>
      <c r="D943" s="24" t="s">
        <v>15900</v>
      </c>
      <c r="E943" s="24" t="s">
        <v>15801</v>
      </c>
      <c r="F943" s="29" t="s">
        <v>8044</v>
      </c>
      <c r="G943" s="24" t="s">
        <v>8046</v>
      </c>
      <c r="H943" s="11" t="str">
        <f t="shared" si="28"/>
        <v>05/05/1890</v>
      </c>
      <c r="J943" s="11" t="str">
        <f t="shared" si="29"/>
        <v xml:space="preserve"> </v>
      </c>
      <c r="K943" s="24" t="s">
        <v>8046</v>
      </c>
    </row>
    <row r="944" spans="1:11">
      <c r="A944" s="24" t="s">
        <v>15827</v>
      </c>
      <c r="B944" s="24" t="s">
        <v>15827</v>
      </c>
      <c r="C944" s="24" t="s">
        <v>15943</v>
      </c>
      <c r="D944" s="24" t="s">
        <v>15900</v>
      </c>
      <c r="E944" s="24" t="s">
        <v>15801</v>
      </c>
      <c r="F944" s="29" t="s">
        <v>8125</v>
      </c>
      <c r="G944" s="24" t="s">
        <v>8126</v>
      </c>
      <c r="H944" s="11" t="str">
        <f t="shared" si="28"/>
        <v>10/12/1891</v>
      </c>
      <c r="J944" s="11" t="str">
        <f t="shared" si="29"/>
        <v xml:space="preserve"> </v>
      </c>
      <c r="K944" s="24" t="s">
        <v>8126</v>
      </c>
    </row>
    <row r="945" spans="1:11">
      <c r="A945" s="24" t="s">
        <v>15823</v>
      </c>
      <c r="B945" s="24" t="s">
        <v>15823</v>
      </c>
      <c r="C945" s="24" t="s">
        <v>15801</v>
      </c>
      <c r="D945" s="24" t="s">
        <v>15900</v>
      </c>
      <c r="E945" s="24" t="s">
        <v>15878</v>
      </c>
      <c r="F945" s="29" t="s">
        <v>8050</v>
      </c>
      <c r="H945" s="11" t="str">
        <f t="shared" si="28"/>
        <v/>
      </c>
      <c r="J945" s="11" t="str">
        <f t="shared" si="29"/>
        <v xml:space="preserve"> </v>
      </c>
      <c r="K945" s="24" t="s">
        <v>15801</v>
      </c>
    </row>
    <row r="946" spans="1:11">
      <c r="A946" s="24" t="s">
        <v>15801</v>
      </c>
      <c r="B946" s="24" t="s">
        <v>15841</v>
      </c>
      <c r="C946" s="24" t="s">
        <v>15885</v>
      </c>
      <c r="D946" s="24" t="s">
        <v>15900</v>
      </c>
      <c r="E946" s="24" t="s">
        <v>15802</v>
      </c>
      <c r="G946" s="24" t="s">
        <v>8160</v>
      </c>
      <c r="H946" s="11" t="str">
        <f t="shared" si="28"/>
        <v>26/09/1866</v>
      </c>
      <c r="J946" s="11" t="str">
        <f t="shared" si="29"/>
        <v xml:space="preserve"> </v>
      </c>
      <c r="K946" s="24" t="s">
        <v>8160</v>
      </c>
    </row>
    <row r="947" spans="1:11">
      <c r="A947" s="24" t="s">
        <v>15801</v>
      </c>
      <c r="B947" s="24" t="s">
        <v>15840</v>
      </c>
      <c r="C947" s="24" t="s">
        <v>15939</v>
      </c>
      <c r="D947" s="24" t="s">
        <v>15900</v>
      </c>
      <c r="E947" s="24" t="s">
        <v>15811</v>
      </c>
      <c r="G947" s="24" t="s">
        <v>8041</v>
      </c>
      <c r="H947" s="11" t="str">
        <f t="shared" si="28"/>
        <v>05/04/1872</v>
      </c>
      <c r="J947" s="11" t="str">
        <f t="shared" si="29"/>
        <v xml:space="preserve"> </v>
      </c>
      <c r="K947" s="24" t="s">
        <v>8041</v>
      </c>
    </row>
    <row r="948" spans="1:11">
      <c r="A948" s="24" t="s">
        <v>15813</v>
      </c>
      <c r="B948" s="24" t="s">
        <v>15813</v>
      </c>
      <c r="C948" s="24" t="s">
        <v>15924</v>
      </c>
      <c r="D948" s="24" t="s">
        <v>15900</v>
      </c>
      <c r="E948" s="24" t="s">
        <v>15801</v>
      </c>
      <c r="F948" s="29" t="s">
        <v>8099</v>
      </c>
      <c r="G948" s="24" t="s">
        <v>8101</v>
      </c>
      <c r="H948" s="11"/>
      <c r="J948" s="11" t="str">
        <f t="shared" si="29"/>
        <v xml:space="preserve"> </v>
      </c>
    </row>
    <row r="949" spans="1:11">
      <c r="A949" s="24" t="s">
        <v>15821</v>
      </c>
      <c r="B949" s="24" t="s">
        <v>15821</v>
      </c>
      <c r="C949" s="24" t="s">
        <v>15947</v>
      </c>
      <c r="D949" s="24" t="s">
        <v>15899</v>
      </c>
      <c r="E949" s="24" t="s">
        <v>15876</v>
      </c>
      <c r="F949" s="29" t="s">
        <v>8069</v>
      </c>
      <c r="G949" s="24" t="s">
        <v>8072</v>
      </c>
      <c r="H949" s="11" t="str">
        <f t="shared" si="28"/>
        <v>15/01/1870</v>
      </c>
      <c r="J949" s="11" t="str">
        <f t="shared" si="29"/>
        <v xml:space="preserve"> </v>
      </c>
      <c r="K949" s="24" t="s">
        <v>8072</v>
      </c>
    </row>
    <row r="950" spans="1:11">
      <c r="A950" s="24" t="s">
        <v>15801</v>
      </c>
      <c r="B950" s="24" t="s">
        <v>15849</v>
      </c>
      <c r="C950" s="24" t="s">
        <v>15908</v>
      </c>
      <c r="D950" s="24" t="s">
        <v>15900</v>
      </c>
      <c r="E950" s="24" t="s">
        <v>15802</v>
      </c>
      <c r="G950" s="24" t="s">
        <v>8111</v>
      </c>
      <c r="H950" s="11"/>
      <c r="J950" s="11" t="str">
        <f t="shared" si="29"/>
        <v xml:space="preserve"> </v>
      </c>
    </row>
    <row r="951" spans="1:11">
      <c r="A951" s="24" t="s">
        <v>15839</v>
      </c>
      <c r="B951" s="24" t="s">
        <v>15839</v>
      </c>
      <c r="C951" s="24" t="s">
        <v>15923</v>
      </c>
      <c r="D951" s="24" t="s">
        <v>15900</v>
      </c>
      <c r="E951" s="24" t="s">
        <v>15823</v>
      </c>
      <c r="F951" s="29" t="s">
        <v>8065</v>
      </c>
      <c r="G951" s="24" t="s">
        <v>8066</v>
      </c>
      <c r="H951" s="11" t="str">
        <f t="shared" si="28"/>
        <v>17/06/1853</v>
      </c>
      <c r="J951" s="11" t="str">
        <f t="shared" si="29"/>
        <v xml:space="preserve"> </v>
      </c>
      <c r="K951" s="24" t="s">
        <v>8066</v>
      </c>
    </row>
    <row r="952" spans="1:11">
      <c r="A952" s="24" t="s">
        <v>15806</v>
      </c>
      <c r="B952" s="24" t="s">
        <v>15806</v>
      </c>
      <c r="C952" s="24" t="s">
        <v>15801</v>
      </c>
      <c r="D952" s="24" t="s">
        <v>15900</v>
      </c>
      <c r="E952" s="24" t="s">
        <v>15801</v>
      </c>
      <c r="F952" s="29" t="s">
        <v>8137</v>
      </c>
      <c r="H952" s="11" t="str">
        <f t="shared" si="28"/>
        <v/>
      </c>
      <c r="J952" s="11" t="str">
        <f t="shared" si="29"/>
        <v xml:space="preserve"> </v>
      </c>
      <c r="K952" s="24" t="s">
        <v>15801</v>
      </c>
    </row>
    <row r="953" spans="1:11">
      <c r="A953" s="24" t="s">
        <v>15801</v>
      </c>
      <c r="B953" s="24" t="s">
        <v>15865</v>
      </c>
      <c r="C953" s="24" t="s">
        <v>15801</v>
      </c>
      <c r="D953" s="24" t="s">
        <v>15900</v>
      </c>
      <c r="E953" s="24" t="s">
        <v>15801</v>
      </c>
      <c r="H953" s="11" t="str">
        <f t="shared" si="28"/>
        <v/>
      </c>
      <c r="J953" s="11" t="str">
        <f t="shared" si="29"/>
        <v xml:space="preserve"> </v>
      </c>
      <c r="K953" s="24" t="s">
        <v>15801</v>
      </c>
    </row>
    <row r="954" spans="1:11">
      <c r="A954" s="24" t="s">
        <v>15801</v>
      </c>
      <c r="B954" s="24" t="s">
        <v>15815</v>
      </c>
      <c r="C954" s="24" t="s">
        <v>15801</v>
      </c>
      <c r="D954" s="24" t="s">
        <v>15900</v>
      </c>
      <c r="E954" s="24" t="s">
        <v>15945</v>
      </c>
      <c r="H954" s="11" t="str">
        <f t="shared" si="28"/>
        <v/>
      </c>
      <c r="J954" s="11" t="str">
        <f t="shared" si="29"/>
        <v xml:space="preserve"> </v>
      </c>
      <c r="K954" s="24" t="s">
        <v>15801</v>
      </c>
    </row>
    <row r="955" spans="1:11">
      <c r="A955" s="24" t="s">
        <v>15801</v>
      </c>
      <c r="B955" s="24" t="s">
        <v>15865</v>
      </c>
      <c r="C955" s="24" t="s">
        <v>15884</v>
      </c>
      <c r="D955" s="24" t="s">
        <v>15900</v>
      </c>
      <c r="E955" s="24" t="s">
        <v>15801</v>
      </c>
      <c r="G955" s="24" t="s">
        <v>72</v>
      </c>
      <c r="H955" s="11" t="str">
        <f t="shared" si="28"/>
        <v>06/02/1838</v>
      </c>
      <c r="J955" s="11" t="str">
        <f t="shared" si="29"/>
        <v xml:space="preserve"> </v>
      </c>
      <c r="K955" s="24" t="s">
        <v>72</v>
      </c>
    </row>
    <row r="956" spans="1:11">
      <c r="A956" s="24" t="s">
        <v>15801</v>
      </c>
      <c r="B956" s="24" t="s">
        <v>15804</v>
      </c>
      <c r="C956" s="24" t="s">
        <v>15884</v>
      </c>
      <c r="D956" s="24" t="s">
        <v>15900</v>
      </c>
      <c r="E956" s="24" t="s">
        <v>15864</v>
      </c>
      <c r="G956" s="24" t="s">
        <v>72</v>
      </c>
      <c r="H956" s="11" t="str">
        <f t="shared" si="28"/>
        <v>06/02/1838</v>
      </c>
      <c r="J956" s="11" t="str">
        <f t="shared" si="29"/>
        <v xml:space="preserve"> </v>
      </c>
      <c r="K956" s="24" t="s">
        <v>72</v>
      </c>
    </row>
    <row r="957" spans="1:11">
      <c r="A957" s="24" t="s">
        <v>15807</v>
      </c>
      <c r="B957" s="24" t="s">
        <v>15807</v>
      </c>
      <c r="C957" s="24" t="s">
        <v>15801</v>
      </c>
      <c r="D957" s="24" t="s">
        <v>15900</v>
      </c>
      <c r="E957" s="24" t="s">
        <v>15921</v>
      </c>
      <c r="F957" s="29" t="s">
        <v>8084</v>
      </c>
      <c r="H957" s="11" t="str">
        <f t="shared" si="28"/>
        <v/>
      </c>
      <c r="J957" s="11" t="str">
        <f t="shared" si="29"/>
        <v xml:space="preserve"> </v>
      </c>
      <c r="K957" s="24" t="s">
        <v>15801</v>
      </c>
    </row>
    <row r="958" spans="1:11">
      <c r="A958" s="24" t="s">
        <v>15811</v>
      </c>
      <c r="B958" s="24" t="s">
        <v>15811</v>
      </c>
      <c r="C958" s="24" t="s">
        <v>15801</v>
      </c>
      <c r="D958" s="24" t="s">
        <v>15900</v>
      </c>
      <c r="E958" s="24" t="s">
        <v>15901</v>
      </c>
      <c r="F958" s="29" t="s">
        <v>8153</v>
      </c>
      <c r="H958" s="11" t="str">
        <f t="shared" si="28"/>
        <v/>
      </c>
      <c r="J958" s="11" t="str">
        <f t="shared" si="29"/>
        <v xml:space="preserve"> </v>
      </c>
      <c r="K958" s="24" t="s">
        <v>15801</v>
      </c>
    </row>
    <row r="959" spans="1:11">
      <c r="A959" s="24" t="s">
        <v>15836</v>
      </c>
      <c r="B959" s="24" t="s">
        <v>15836</v>
      </c>
      <c r="C959" s="24" t="s">
        <v>15801</v>
      </c>
      <c r="D959" s="24" t="s">
        <v>15900</v>
      </c>
      <c r="E959" s="24" t="s">
        <v>15821</v>
      </c>
      <c r="F959" s="29" t="s">
        <v>8132</v>
      </c>
      <c r="H959" s="11" t="str">
        <f t="shared" si="28"/>
        <v/>
      </c>
      <c r="J959" s="11" t="str">
        <f t="shared" si="29"/>
        <v xml:space="preserve"> </v>
      </c>
      <c r="K959" s="24" t="s">
        <v>15801</v>
      </c>
    </row>
    <row r="960" spans="1:11">
      <c r="A960" s="24" t="s">
        <v>15801</v>
      </c>
      <c r="B960" s="24" t="s">
        <v>15802</v>
      </c>
      <c r="C960" s="24" t="s">
        <v>15801</v>
      </c>
      <c r="D960" s="24" t="s">
        <v>15908</v>
      </c>
      <c r="E960" s="24" t="s">
        <v>15884</v>
      </c>
      <c r="H960" s="11" t="str">
        <f t="shared" si="28"/>
        <v/>
      </c>
      <c r="J960" s="11" t="str">
        <f t="shared" si="29"/>
        <v xml:space="preserve"> </v>
      </c>
      <c r="K960" s="24" t="s">
        <v>15801</v>
      </c>
    </row>
    <row r="961" spans="1:11">
      <c r="A961" s="24" t="s">
        <v>15820</v>
      </c>
      <c r="B961" s="24" t="s">
        <v>15820</v>
      </c>
      <c r="C961" s="24" t="s">
        <v>15801</v>
      </c>
      <c r="D961" s="24" t="s">
        <v>15908</v>
      </c>
      <c r="E961" s="24" t="s">
        <v>15801</v>
      </c>
      <c r="F961" s="29" t="s">
        <v>8164</v>
      </c>
      <c r="H961" s="11" t="str">
        <f t="shared" si="28"/>
        <v/>
      </c>
      <c r="J961" s="11" t="str">
        <f t="shared" si="29"/>
        <v xml:space="preserve"> </v>
      </c>
      <c r="K961" s="24" t="s">
        <v>15801</v>
      </c>
    </row>
    <row r="962" spans="1:11">
      <c r="A962" s="24" t="s">
        <v>15849</v>
      </c>
      <c r="B962" s="24" t="s">
        <v>15849</v>
      </c>
      <c r="C962" s="24" t="s">
        <v>15890</v>
      </c>
      <c r="D962" s="24" t="s">
        <v>15900</v>
      </c>
      <c r="E962" s="24" t="s">
        <v>15802</v>
      </c>
      <c r="F962" s="29" t="s">
        <v>8220</v>
      </c>
      <c r="G962" s="24" t="s">
        <v>8222</v>
      </c>
      <c r="H962" s="11" t="str">
        <f t="shared" si="28"/>
        <v>02/04/1875</v>
      </c>
      <c r="J962" s="11" t="str">
        <f t="shared" si="29"/>
        <v xml:space="preserve"> </v>
      </c>
      <c r="K962" s="24" t="s">
        <v>8222</v>
      </c>
    </row>
    <row r="963" spans="1:11">
      <c r="A963" s="24" t="s">
        <v>15802</v>
      </c>
      <c r="B963" s="24" t="s">
        <v>15802</v>
      </c>
      <c r="C963" s="24" t="s">
        <v>15904</v>
      </c>
      <c r="D963" s="24" t="s">
        <v>15900</v>
      </c>
      <c r="E963" s="24" t="s">
        <v>15901</v>
      </c>
      <c r="F963" s="29" t="s">
        <v>8206</v>
      </c>
      <c r="G963" s="24" t="s">
        <v>8208</v>
      </c>
      <c r="H963" s="11" t="str">
        <f t="shared" ref="H963:H1025" si="30">TRIM(G963)</f>
        <v>23/02/1890</v>
      </c>
      <c r="J963" s="11" t="str">
        <f t="shared" ref="J963:J1026" si="31">IF(LEN(H963)=4,"fout"," ")</f>
        <v xml:space="preserve"> </v>
      </c>
      <c r="K963" s="24" t="s">
        <v>8208</v>
      </c>
    </row>
    <row r="964" spans="1:11">
      <c r="A964" s="24" t="s">
        <v>15817</v>
      </c>
      <c r="B964" s="24" t="s">
        <v>15817</v>
      </c>
      <c r="C964" s="24" t="s">
        <v>15801</v>
      </c>
      <c r="D964" s="24" t="s">
        <v>15900</v>
      </c>
      <c r="E964" s="24" t="s">
        <v>15901</v>
      </c>
      <c r="F964" s="29" t="s">
        <v>8189</v>
      </c>
      <c r="H964" s="11" t="str">
        <f t="shared" si="30"/>
        <v/>
      </c>
      <c r="J964" s="11" t="str">
        <f t="shared" si="31"/>
        <v xml:space="preserve"> </v>
      </c>
      <c r="K964" s="24" t="s">
        <v>15801</v>
      </c>
    </row>
    <row r="965" spans="1:11">
      <c r="A965" s="24" t="s">
        <v>15801</v>
      </c>
      <c r="B965" s="24" t="s">
        <v>15841</v>
      </c>
      <c r="C965" s="24" t="s">
        <v>15893</v>
      </c>
      <c r="E965" s="24" t="s">
        <v>15801</v>
      </c>
      <c r="G965" s="24" t="s">
        <v>8215</v>
      </c>
      <c r="H965" s="11" t="str">
        <f t="shared" si="30"/>
        <v>09/04/1879</v>
      </c>
      <c r="J965" s="11" t="str">
        <f t="shared" si="31"/>
        <v xml:space="preserve"> </v>
      </c>
      <c r="K965" s="24" t="s">
        <v>8215</v>
      </c>
    </row>
    <row r="966" spans="1:11">
      <c r="A966" s="24" t="s">
        <v>15815</v>
      </c>
      <c r="B966" s="24" t="s">
        <v>15815</v>
      </c>
      <c r="C966" s="24" t="s">
        <v>15801</v>
      </c>
      <c r="E966" s="24" t="s">
        <v>15864</v>
      </c>
      <c r="F966" s="29" t="s">
        <v>8229</v>
      </c>
      <c r="H966" s="11" t="str">
        <f t="shared" si="30"/>
        <v/>
      </c>
      <c r="J966" s="11" t="str">
        <f t="shared" si="31"/>
        <v xml:space="preserve"> </v>
      </c>
      <c r="K966" s="24" t="s">
        <v>15801</v>
      </c>
    </row>
    <row r="967" spans="1:11">
      <c r="A967" s="24" t="s">
        <v>15807</v>
      </c>
      <c r="B967" s="24" t="s">
        <v>15807</v>
      </c>
      <c r="C967" s="24" t="s">
        <v>15801</v>
      </c>
      <c r="D967" s="24" t="s">
        <v>15900</v>
      </c>
      <c r="E967" s="24" t="s">
        <v>15801</v>
      </c>
      <c r="F967" s="29" t="s">
        <v>8194</v>
      </c>
      <c r="H967" s="11" t="str">
        <f t="shared" si="30"/>
        <v/>
      </c>
      <c r="J967" s="11" t="str">
        <f t="shared" si="31"/>
        <v xml:space="preserve"> </v>
      </c>
      <c r="K967" s="24" t="s">
        <v>15801</v>
      </c>
    </row>
    <row r="968" spans="1:11">
      <c r="A968" s="24" t="s">
        <v>15801</v>
      </c>
      <c r="B968" s="24" t="s">
        <v>15850</v>
      </c>
      <c r="C968" s="24" t="s">
        <v>15801</v>
      </c>
      <c r="D968" s="24" t="s">
        <v>15870</v>
      </c>
      <c r="E968" s="24" t="s">
        <v>15811</v>
      </c>
      <c r="H968" s="11" t="str">
        <f t="shared" si="30"/>
        <v/>
      </c>
      <c r="J968" s="11" t="str">
        <f t="shared" si="31"/>
        <v xml:space="preserve"> </v>
      </c>
      <c r="K968" s="24" t="s">
        <v>15801</v>
      </c>
    </row>
    <row r="969" spans="1:11">
      <c r="A969" s="24" t="s">
        <v>15849</v>
      </c>
      <c r="B969" s="24" t="s">
        <v>15849</v>
      </c>
      <c r="C969" s="24" t="s">
        <v>15947</v>
      </c>
      <c r="D969" s="24" t="s">
        <v>15948</v>
      </c>
      <c r="E969" s="24" t="s">
        <v>15817</v>
      </c>
      <c r="F969" s="29" t="s">
        <v>8246</v>
      </c>
      <c r="G969" s="24" t="s">
        <v>8247</v>
      </c>
      <c r="H969" s="11" t="str">
        <f t="shared" si="30"/>
        <v>12/10/1870</v>
      </c>
      <c r="J969" s="11" t="str">
        <f t="shared" si="31"/>
        <v xml:space="preserve"> </v>
      </c>
      <c r="K969" s="24" t="s">
        <v>8247</v>
      </c>
    </row>
    <row r="970" spans="1:11">
      <c r="A970" s="24" t="s">
        <v>15828</v>
      </c>
      <c r="B970" s="24" t="s">
        <v>15828</v>
      </c>
      <c r="C970" s="24" t="s">
        <v>15948</v>
      </c>
      <c r="D970" s="24" t="s">
        <v>15948</v>
      </c>
      <c r="E970" s="24" t="s">
        <v>15915</v>
      </c>
      <c r="F970" s="29" t="s">
        <v>8254</v>
      </c>
      <c r="G970" s="24" t="s">
        <v>8256</v>
      </c>
      <c r="H970" s="11" t="str">
        <f t="shared" si="30"/>
        <v>02/10/1845</v>
      </c>
      <c r="J970" s="11" t="str">
        <f t="shared" si="31"/>
        <v xml:space="preserve"> </v>
      </c>
      <c r="K970" s="24" t="s">
        <v>8256</v>
      </c>
    </row>
    <row r="971" spans="1:11">
      <c r="A971" s="24" t="s">
        <v>15820</v>
      </c>
      <c r="B971" s="24" t="s">
        <v>15820</v>
      </c>
      <c r="C971" s="24" t="s">
        <v>15954</v>
      </c>
      <c r="E971" s="24" t="s">
        <v>15931</v>
      </c>
      <c r="F971" s="29" t="s">
        <v>3143</v>
      </c>
      <c r="G971" s="24" t="s">
        <v>8240</v>
      </c>
      <c r="H971" s="11" t="str">
        <f t="shared" si="30"/>
        <v>30/09/1857</v>
      </c>
      <c r="J971" s="11" t="str">
        <f t="shared" si="31"/>
        <v xml:space="preserve"> </v>
      </c>
      <c r="K971" s="24" t="s">
        <v>8240</v>
      </c>
    </row>
    <row r="972" spans="1:11">
      <c r="A972" s="24" t="s">
        <v>15801</v>
      </c>
      <c r="B972" s="24" t="s">
        <v>15845</v>
      </c>
      <c r="C972" s="24" t="s">
        <v>15801</v>
      </c>
      <c r="D972" s="24" t="s">
        <v>15965</v>
      </c>
      <c r="E972" s="24" t="s">
        <v>15801</v>
      </c>
      <c r="H972" s="11" t="str">
        <f t="shared" si="30"/>
        <v/>
      </c>
      <c r="J972" s="11" t="str">
        <f t="shared" si="31"/>
        <v xml:space="preserve"> </v>
      </c>
      <c r="K972" s="24" t="s">
        <v>15801</v>
      </c>
    </row>
    <row r="973" spans="1:11">
      <c r="A973" s="24" t="s">
        <v>15816</v>
      </c>
      <c r="B973" s="24" t="s">
        <v>15816</v>
      </c>
      <c r="C973" s="24" t="s">
        <v>15958</v>
      </c>
      <c r="D973" s="24" t="s">
        <v>15965</v>
      </c>
      <c r="E973" s="24" t="s">
        <v>15920</v>
      </c>
      <c r="F973" s="29" t="s">
        <v>2730</v>
      </c>
      <c r="G973" s="24" t="s">
        <v>8567</v>
      </c>
      <c r="H973" s="11"/>
      <c r="J973" s="11" t="str">
        <f t="shared" si="31"/>
        <v xml:space="preserve"> </v>
      </c>
    </row>
    <row r="974" spans="1:11">
      <c r="A974" s="24" t="s">
        <v>15828</v>
      </c>
      <c r="B974" s="24" t="s">
        <v>15828</v>
      </c>
      <c r="C974" s="24" t="s">
        <v>15959</v>
      </c>
      <c r="D974" s="24" t="s">
        <v>15956</v>
      </c>
      <c r="E974" s="24" t="s">
        <v>15801</v>
      </c>
      <c r="F974" s="29" t="s">
        <v>8553</v>
      </c>
      <c r="G974" s="24" t="s">
        <v>8555</v>
      </c>
      <c r="H974" s="11" t="str">
        <f t="shared" si="30"/>
        <v>14/01/1914</v>
      </c>
      <c r="J974" s="11" t="str">
        <f t="shared" si="31"/>
        <v xml:space="preserve"> </v>
      </c>
      <c r="K974" s="24" t="s">
        <v>8555</v>
      </c>
    </row>
    <row r="975" spans="1:11">
      <c r="A975" s="24" t="s">
        <v>15835</v>
      </c>
      <c r="B975" s="24" t="s">
        <v>15835</v>
      </c>
      <c r="C975" s="24" t="s">
        <v>15884</v>
      </c>
      <c r="E975" s="24" t="s">
        <v>15801</v>
      </c>
      <c r="F975" s="29" t="s">
        <v>8294</v>
      </c>
      <c r="G975" s="24" t="s">
        <v>301</v>
      </c>
      <c r="H975" s="11" t="str">
        <f t="shared" si="30"/>
        <v>17/02/1838</v>
      </c>
      <c r="J975" s="11" t="str">
        <f t="shared" si="31"/>
        <v xml:space="preserve"> </v>
      </c>
      <c r="K975" s="24" t="s">
        <v>301</v>
      </c>
    </row>
    <row r="976" spans="1:11">
      <c r="A976" s="24" t="s">
        <v>15825</v>
      </c>
      <c r="B976" s="24" t="s">
        <v>15825</v>
      </c>
      <c r="C976" s="24" t="s">
        <v>15884</v>
      </c>
      <c r="D976" s="24" t="s">
        <v>15884</v>
      </c>
      <c r="E976" s="24" t="s">
        <v>15921</v>
      </c>
      <c r="F976" s="29" t="s">
        <v>8303</v>
      </c>
      <c r="G976" s="24" t="s">
        <v>2765</v>
      </c>
      <c r="H976" s="11" t="str">
        <f t="shared" si="30"/>
        <v>27/12/1838</v>
      </c>
      <c r="J976" s="11" t="str">
        <f t="shared" si="31"/>
        <v xml:space="preserve"> </v>
      </c>
      <c r="K976" s="24" t="s">
        <v>2765</v>
      </c>
    </row>
    <row r="977" spans="1:11">
      <c r="A977" s="24" t="s">
        <v>15829</v>
      </c>
      <c r="B977" s="24" t="s">
        <v>15829</v>
      </c>
      <c r="C977" s="24" t="s">
        <v>15891</v>
      </c>
      <c r="D977" s="24" t="s">
        <v>15901</v>
      </c>
      <c r="E977" s="24" t="s">
        <v>15823</v>
      </c>
      <c r="F977" s="29" t="s">
        <v>8279</v>
      </c>
      <c r="G977" s="24" t="s">
        <v>8281</v>
      </c>
      <c r="H977" s="11" t="str">
        <f t="shared" si="30"/>
        <v>30/11/1883</v>
      </c>
      <c r="J977" s="11" t="str">
        <f t="shared" si="31"/>
        <v xml:space="preserve"> </v>
      </c>
      <c r="K977" s="24" t="s">
        <v>8281</v>
      </c>
    </row>
    <row r="978" spans="1:11">
      <c r="A978" s="24" t="s">
        <v>15821</v>
      </c>
      <c r="B978" s="24" t="s">
        <v>15821</v>
      </c>
      <c r="C978" s="24" t="s">
        <v>15923</v>
      </c>
      <c r="D978" s="24" t="s">
        <v>15901</v>
      </c>
      <c r="E978" s="24" t="s">
        <v>15801</v>
      </c>
      <c r="F978" s="29" t="s">
        <v>8288</v>
      </c>
      <c r="G978" s="24" t="s">
        <v>8290</v>
      </c>
      <c r="H978" s="11" t="str">
        <f t="shared" si="30"/>
        <v>28/03/1853</v>
      </c>
      <c r="J978" s="11" t="str">
        <f t="shared" si="31"/>
        <v xml:space="preserve"> </v>
      </c>
      <c r="K978" s="24" t="s">
        <v>8290</v>
      </c>
    </row>
    <row r="979" spans="1:11">
      <c r="A979" s="24" t="s">
        <v>15840</v>
      </c>
      <c r="B979" s="24" t="s">
        <v>15840</v>
      </c>
      <c r="C979" s="24"/>
      <c r="D979" s="24" t="s">
        <v>15901</v>
      </c>
      <c r="E979" s="24" t="s">
        <v>15844</v>
      </c>
      <c r="F979" s="29" t="s">
        <v>8266</v>
      </c>
      <c r="G979" s="24" t="s">
        <v>8268</v>
      </c>
      <c r="H979" s="11"/>
      <c r="J979" s="11" t="str">
        <f t="shared" si="31"/>
        <v xml:space="preserve"> </v>
      </c>
    </row>
    <row r="980" spans="1:11">
      <c r="A980" s="24" t="s">
        <v>15828</v>
      </c>
      <c r="B980" s="24" t="s">
        <v>15828</v>
      </c>
      <c r="C980" s="24"/>
      <c r="D980" s="24" t="s">
        <v>15899</v>
      </c>
      <c r="E980" s="24" t="s">
        <v>15899</v>
      </c>
      <c r="F980" s="29" t="s">
        <v>8312</v>
      </c>
      <c r="G980" s="24" t="s">
        <v>8314</v>
      </c>
      <c r="H980" s="11"/>
      <c r="J980" s="11" t="str">
        <f t="shared" si="31"/>
        <v xml:space="preserve"> </v>
      </c>
    </row>
    <row r="981" spans="1:11">
      <c r="A981" s="24" t="s">
        <v>15801</v>
      </c>
      <c r="B981" s="24" t="s">
        <v>15815</v>
      </c>
      <c r="C981" s="24" t="s">
        <v>15801</v>
      </c>
      <c r="E981" s="24" t="s">
        <v>15823</v>
      </c>
      <c r="H981" s="11" t="str">
        <f t="shared" si="30"/>
        <v/>
      </c>
      <c r="J981" s="11" t="str">
        <f t="shared" si="31"/>
        <v xml:space="preserve"> </v>
      </c>
      <c r="K981" s="24" t="s">
        <v>15801</v>
      </c>
    </row>
    <row r="982" spans="1:11">
      <c r="A982" s="24" t="s">
        <v>15801</v>
      </c>
      <c r="B982" s="24" t="s">
        <v>15859</v>
      </c>
      <c r="C982" s="24" t="s">
        <v>15884</v>
      </c>
      <c r="D982" s="24" t="s">
        <v>15870</v>
      </c>
      <c r="E982" s="24" t="s">
        <v>15814</v>
      </c>
      <c r="G982" s="24" t="s">
        <v>72</v>
      </c>
      <c r="H982" s="11" t="str">
        <f t="shared" si="30"/>
        <v>06/02/1838</v>
      </c>
      <c r="J982" s="11" t="str">
        <f t="shared" si="31"/>
        <v xml:space="preserve"> </v>
      </c>
      <c r="K982" s="24" t="s">
        <v>72</v>
      </c>
    </row>
    <row r="983" spans="1:11">
      <c r="A983" s="24" t="s">
        <v>15801</v>
      </c>
      <c r="B983" s="24" t="s">
        <v>15818</v>
      </c>
      <c r="C983" s="24" t="s">
        <v>15884</v>
      </c>
      <c r="D983" s="24" t="s">
        <v>15900</v>
      </c>
      <c r="E983" s="24" t="s">
        <v>15801</v>
      </c>
      <c r="G983" s="24" t="s">
        <v>72</v>
      </c>
      <c r="H983" s="11" t="str">
        <f t="shared" si="30"/>
        <v>06/02/1838</v>
      </c>
      <c r="J983" s="11" t="str">
        <f t="shared" si="31"/>
        <v xml:space="preserve"> </v>
      </c>
      <c r="K983" s="24" t="s">
        <v>72</v>
      </c>
    </row>
    <row r="984" spans="1:11">
      <c r="A984" s="24" t="s">
        <v>15825</v>
      </c>
      <c r="B984" s="24" t="s">
        <v>15825</v>
      </c>
      <c r="C984" s="24" t="s">
        <v>15801</v>
      </c>
      <c r="D984" s="24" t="s">
        <v>15870</v>
      </c>
      <c r="E984" s="24" t="s">
        <v>15884</v>
      </c>
      <c r="F984" s="29" t="s">
        <v>8385</v>
      </c>
      <c r="H984" s="11" t="str">
        <f t="shared" si="30"/>
        <v/>
      </c>
      <c r="J984" s="11" t="str">
        <f t="shared" si="31"/>
        <v xml:space="preserve"> </v>
      </c>
      <c r="K984" s="24" t="s">
        <v>15801</v>
      </c>
    </row>
    <row r="985" spans="1:11">
      <c r="A985" s="24" t="s">
        <v>15806</v>
      </c>
      <c r="B985" s="24" t="s">
        <v>15806</v>
      </c>
      <c r="C985" s="24" t="s">
        <v>15801</v>
      </c>
      <c r="D985" s="24" t="s">
        <v>15870</v>
      </c>
      <c r="E985" s="24" t="s">
        <v>15884</v>
      </c>
      <c r="F985" s="29" t="s">
        <v>8380</v>
      </c>
      <c r="H985" s="11" t="str">
        <f t="shared" si="30"/>
        <v/>
      </c>
      <c r="J985" s="11" t="str">
        <f t="shared" si="31"/>
        <v xml:space="preserve"> </v>
      </c>
      <c r="K985" s="24" t="s">
        <v>15801</v>
      </c>
    </row>
    <row r="986" spans="1:11">
      <c r="A986" s="24" t="s">
        <v>15802</v>
      </c>
      <c r="B986" s="24" t="s">
        <v>15802</v>
      </c>
      <c r="C986" s="24" t="s">
        <v>15890</v>
      </c>
      <c r="D986" s="24" t="s">
        <v>15870</v>
      </c>
      <c r="E986" s="24" t="s">
        <v>15884</v>
      </c>
      <c r="F986" s="29" t="s">
        <v>3905</v>
      </c>
      <c r="G986" s="24" t="s">
        <v>8349</v>
      </c>
      <c r="H986" s="11" t="str">
        <f t="shared" si="30"/>
        <v>30/01/1875</v>
      </c>
      <c r="J986" s="11" t="str">
        <f t="shared" si="31"/>
        <v xml:space="preserve"> </v>
      </c>
      <c r="K986" s="24" t="s">
        <v>8349</v>
      </c>
    </row>
    <row r="987" spans="1:11">
      <c r="A987" s="24" t="s">
        <v>15811</v>
      </c>
      <c r="B987" s="24" t="s">
        <v>15811</v>
      </c>
      <c r="C987" s="24" t="s">
        <v>15801</v>
      </c>
      <c r="D987" s="24" t="s">
        <v>15801</v>
      </c>
      <c r="E987" s="24" t="s">
        <v>15801</v>
      </c>
      <c r="F987" s="29" t="s">
        <v>2950</v>
      </c>
      <c r="H987" s="11" t="str">
        <f t="shared" si="30"/>
        <v/>
      </c>
      <c r="J987" s="11" t="str">
        <f t="shared" si="31"/>
        <v xml:space="preserve"> </v>
      </c>
      <c r="K987" s="24" t="s">
        <v>15801</v>
      </c>
    </row>
    <row r="988" spans="1:11">
      <c r="A988" s="24" t="s">
        <v>15801</v>
      </c>
      <c r="B988" s="24" t="s">
        <v>15872</v>
      </c>
      <c r="C988" s="24" t="s">
        <v>15870</v>
      </c>
      <c r="D988" s="24" t="s">
        <v>15870</v>
      </c>
      <c r="E988" s="24" t="s">
        <v>15842</v>
      </c>
      <c r="G988" s="24" t="s">
        <v>1886</v>
      </c>
      <c r="H988" s="11" t="str">
        <f t="shared" si="30"/>
        <v>23/08/1836</v>
      </c>
      <c r="J988" s="11" t="str">
        <f t="shared" si="31"/>
        <v xml:space="preserve"> </v>
      </c>
      <c r="K988" s="24" t="s">
        <v>1886</v>
      </c>
    </row>
    <row r="989" spans="1:11">
      <c r="A989" s="24" t="s">
        <v>15801</v>
      </c>
      <c r="B989" s="24" t="s">
        <v>15815</v>
      </c>
      <c r="C989" s="24" t="s">
        <v>15870</v>
      </c>
      <c r="D989" s="24" t="s">
        <v>15870</v>
      </c>
      <c r="E989" s="24" t="s">
        <v>15801</v>
      </c>
      <c r="G989" s="24" t="s">
        <v>1886</v>
      </c>
      <c r="H989" s="11" t="str">
        <f t="shared" si="30"/>
        <v>23/08/1836</v>
      </c>
      <c r="J989" s="11" t="str">
        <f t="shared" si="31"/>
        <v xml:space="preserve"> </v>
      </c>
      <c r="K989" s="24" t="s">
        <v>1886</v>
      </c>
    </row>
    <row r="990" spans="1:11">
      <c r="A990" s="24" t="s">
        <v>15801</v>
      </c>
      <c r="B990" s="24" t="s">
        <v>15849</v>
      </c>
      <c r="C990" s="24" t="s">
        <v>15801</v>
      </c>
      <c r="D990" s="24" t="s">
        <v>15970</v>
      </c>
      <c r="E990" s="24" t="s">
        <v>15802</v>
      </c>
      <c r="H990" s="11" t="str">
        <f t="shared" si="30"/>
        <v/>
      </c>
      <c r="J990" s="11" t="str">
        <f t="shared" si="31"/>
        <v xml:space="preserve"> </v>
      </c>
      <c r="K990" s="24" t="s">
        <v>15801</v>
      </c>
    </row>
    <row r="991" spans="1:11">
      <c r="A991" s="24" t="s">
        <v>15810</v>
      </c>
      <c r="B991" s="24" t="s">
        <v>15810</v>
      </c>
      <c r="C991" s="24" t="s">
        <v>15801</v>
      </c>
      <c r="D991" s="24" t="s">
        <v>15870</v>
      </c>
      <c r="E991" s="24" t="s">
        <v>15801</v>
      </c>
      <c r="F991" s="29" t="s">
        <v>8331</v>
      </c>
      <c r="H991" s="11" t="str">
        <f t="shared" si="30"/>
        <v/>
      </c>
      <c r="J991" s="11" t="str">
        <f t="shared" si="31"/>
        <v xml:space="preserve"> </v>
      </c>
      <c r="K991" s="24" t="s">
        <v>15801</v>
      </c>
    </row>
    <row r="992" spans="1:11">
      <c r="A992" s="24" t="s">
        <v>15801</v>
      </c>
      <c r="B992" s="24" t="s">
        <v>15829</v>
      </c>
      <c r="C992" s="24" t="s">
        <v>15870</v>
      </c>
      <c r="D992" s="24" t="s">
        <v>15870</v>
      </c>
      <c r="E992" s="24" t="s">
        <v>15844</v>
      </c>
      <c r="G992" s="24" t="s">
        <v>1886</v>
      </c>
      <c r="H992" s="11" t="str">
        <f t="shared" si="30"/>
        <v>23/08/1836</v>
      </c>
      <c r="J992" s="11" t="str">
        <f t="shared" si="31"/>
        <v xml:space="preserve"> </v>
      </c>
      <c r="K992" s="24" t="s">
        <v>1886</v>
      </c>
    </row>
    <row r="993" spans="1:11">
      <c r="A993" s="24" t="s">
        <v>15803</v>
      </c>
      <c r="B993" s="24" t="s">
        <v>15803</v>
      </c>
      <c r="C993" s="24" t="s">
        <v>15913</v>
      </c>
      <c r="D993" s="24" t="s">
        <v>15931</v>
      </c>
      <c r="E993" s="24" t="s">
        <v>15971</v>
      </c>
      <c r="F993" s="29" t="s">
        <v>393</v>
      </c>
      <c r="G993" s="24" t="s">
        <v>8402</v>
      </c>
      <c r="H993" s="11" t="str">
        <f t="shared" si="30"/>
        <v>21/07/1877</v>
      </c>
      <c r="J993" s="11" t="str">
        <f t="shared" si="31"/>
        <v xml:space="preserve"> </v>
      </c>
      <c r="K993" s="24" t="s">
        <v>8402</v>
      </c>
    </row>
    <row r="994" spans="1:11">
      <c r="A994" s="24" t="s">
        <v>15801</v>
      </c>
      <c r="B994" s="24" t="s">
        <v>15812</v>
      </c>
      <c r="C994" s="24" t="s">
        <v>15801</v>
      </c>
      <c r="D994" s="24" t="s">
        <v>15884</v>
      </c>
      <c r="E994" s="24" t="s">
        <v>15840</v>
      </c>
      <c r="H994" s="11" t="str">
        <f t="shared" si="30"/>
        <v/>
      </c>
      <c r="J994" s="11" t="str">
        <f t="shared" si="31"/>
        <v xml:space="preserve"> </v>
      </c>
      <c r="K994" s="24" t="s">
        <v>15801</v>
      </c>
    </row>
    <row r="995" spans="1:11">
      <c r="A995" s="24" t="s">
        <v>15801</v>
      </c>
      <c r="B995" s="24" t="s">
        <v>15801</v>
      </c>
      <c r="C995" s="24" t="s">
        <v>15801</v>
      </c>
      <c r="D995" s="24" t="s">
        <v>15884</v>
      </c>
      <c r="E995" s="24" t="s">
        <v>15801</v>
      </c>
      <c r="H995" s="11" t="str">
        <f t="shared" si="30"/>
        <v/>
      </c>
      <c r="J995" s="11" t="str">
        <f t="shared" si="31"/>
        <v xml:space="preserve"> </v>
      </c>
      <c r="K995" s="24" t="s">
        <v>15801</v>
      </c>
    </row>
    <row r="996" spans="1:11">
      <c r="A996" s="24" t="s">
        <v>15818</v>
      </c>
      <c r="B996" s="24" t="s">
        <v>15818</v>
      </c>
      <c r="C996" s="24" t="s">
        <v>15801</v>
      </c>
      <c r="D996" s="24" t="s">
        <v>15884</v>
      </c>
      <c r="E996" s="24" t="s">
        <v>15876</v>
      </c>
      <c r="F996" s="29" t="s">
        <v>8416</v>
      </c>
      <c r="H996" s="11" t="str">
        <f t="shared" si="30"/>
        <v/>
      </c>
      <c r="J996" s="11" t="str">
        <f t="shared" si="31"/>
        <v xml:space="preserve"> </v>
      </c>
      <c r="K996" s="24" t="s">
        <v>15801</v>
      </c>
    </row>
    <row r="997" spans="1:11">
      <c r="A997" s="24" t="s">
        <v>15801</v>
      </c>
      <c r="B997" s="24" t="s">
        <v>15809</v>
      </c>
      <c r="C997" s="24" t="s">
        <v>15801</v>
      </c>
      <c r="D997" s="24" t="s">
        <v>15900</v>
      </c>
      <c r="E997" s="24" t="s">
        <v>15841</v>
      </c>
      <c r="H997" s="11" t="str">
        <f t="shared" si="30"/>
        <v/>
      </c>
      <c r="J997" s="11" t="str">
        <f t="shared" si="31"/>
        <v xml:space="preserve"> </v>
      </c>
      <c r="K997" s="24" t="s">
        <v>15801</v>
      </c>
    </row>
    <row r="998" spans="1:11">
      <c r="A998" s="24" t="s">
        <v>15801</v>
      </c>
      <c r="B998" s="24" t="s">
        <v>15840</v>
      </c>
      <c r="C998" s="24" t="s">
        <v>15888</v>
      </c>
      <c r="D998" s="24" t="s">
        <v>15900</v>
      </c>
      <c r="E998" s="24" t="s">
        <v>15801</v>
      </c>
      <c r="G998" s="24" t="s">
        <v>8509</v>
      </c>
      <c r="H998" s="11" t="str">
        <f t="shared" si="30"/>
        <v>25/06/1864</v>
      </c>
      <c r="J998" s="11" t="str">
        <f t="shared" si="31"/>
        <v xml:space="preserve"> </v>
      </c>
      <c r="K998" s="24" t="s">
        <v>8509</v>
      </c>
    </row>
    <row r="999" spans="1:11">
      <c r="A999" s="24" t="s">
        <v>15818</v>
      </c>
      <c r="B999" s="24" t="s">
        <v>15818</v>
      </c>
      <c r="C999" s="24" t="s">
        <v>15914</v>
      </c>
      <c r="E999" s="24" t="s">
        <v>15884</v>
      </c>
      <c r="F999" s="29" t="s">
        <v>7950</v>
      </c>
      <c r="G999" s="24" t="s">
        <v>8469</v>
      </c>
      <c r="H999" s="11" t="str">
        <f t="shared" si="30"/>
        <v>30/05/1858</v>
      </c>
      <c r="J999" s="11" t="str">
        <f t="shared" si="31"/>
        <v xml:space="preserve"> </v>
      </c>
      <c r="K999" s="24" t="s">
        <v>8469</v>
      </c>
    </row>
    <row r="1000" spans="1:11">
      <c r="A1000" s="24" t="s">
        <v>15803</v>
      </c>
      <c r="B1000" s="24" t="s">
        <v>15803</v>
      </c>
      <c r="C1000" s="24" t="s">
        <v>15801</v>
      </c>
      <c r="D1000" s="24" t="s">
        <v>15884</v>
      </c>
      <c r="E1000" s="24" t="s">
        <v>15833</v>
      </c>
      <c r="H1000" s="11" t="str">
        <f t="shared" si="30"/>
        <v/>
      </c>
      <c r="J1000" s="11" t="str">
        <f t="shared" si="31"/>
        <v xml:space="preserve"> </v>
      </c>
      <c r="K1000" s="24" t="s">
        <v>15801</v>
      </c>
    </row>
    <row r="1001" spans="1:11">
      <c r="A1001" s="24" t="s">
        <v>15829</v>
      </c>
      <c r="B1001" s="24" t="s">
        <v>15829</v>
      </c>
      <c r="C1001" s="24" t="s">
        <v>15801</v>
      </c>
      <c r="D1001" s="24" t="s">
        <v>15900</v>
      </c>
      <c r="E1001" s="24" t="s">
        <v>15801</v>
      </c>
      <c r="F1001" s="29" t="s">
        <v>8476</v>
      </c>
      <c r="H1001" s="11" t="str">
        <f t="shared" si="30"/>
        <v/>
      </c>
      <c r="J1001" s="11" t="str">
        <f t="shared" si="31"/>
        <v xml:space="preserve"> </v>
      </c>
      <c r="K1001" s="24" t="s">
        <v>15801</v>
      </c>
    </row>
    <row r="1002" spans="1:11">
      <c r="A1002" s="24" t="s">
        <v>15801</v>
      </c>
      <c r="B1002" s="24" t="s">
        <v>15830</v>
      </c>
      <c r="C1002" s="24" t="s">
        <v>15801</v>
      </c>
      <c r="D1002" s="24" t="s">
        <v>15900</v>
      </c>
      <c r="E1002" s="24" t="s">
        <v>15819</v>
      </c>
      <c r="H1002" s="11" t="str">
        <f t="shared" si="30"/>
        <v/>
      </c>
      <c r="J1002" s="11" t="str">
        <f t="shared" si="31"/>
        <v xml:space="preserve"> </v>
      </c>
      <c r="K1002" s="24" t="s">
        <v>15801</v>
      </c>
    </row>
    <row r="1003" spans="1:11">
      <c r="A1003" s="24" t="s">
        <v>15811</v>
      </c>
      <c r="B1003" s="24" t="s">
        <v>15811</v>
      </c>
      <c r="C1003" s="24" t="s">
        <v>15907</v>
      </c>
      <c r="D1003" s="24" t="s">
        <v>15900</v>
      </c>
      <c r="E1003" s="24" t="s">
        <v>15801</v>
      </c>
      <c r="F1003" s="29" t="s">
        <v>8485</v>
      </c>
      <c r="G1003" s="24" t="s">
        <v>8487</v>
      </c>
      <c r="H1003" s="11" t="str">
        <f t="shared" si="30"/>
        <v>01/07/1913</v>
      </c>
      <c r="J1003" s="11" t="str">
        <f t="shared" si="31"/>
        <v xml:space="preserve"> </v>
      </c>
      <c r="K1003" s="24" t="s">
        <v>8487</v>
      </c>
    </row>
    <row r="1004" spans="1:11">
      <c r="A1004" s="24" t="s">
        <v>15801</v>
      </c>
      <c r="B1004" s="24" t="s">
        <v>15860</v>
      </c>
      <c r="C1004" s="24" t="s">
        <v>15901</v>
      </c>
      <c r="D1004" s="24" t="s">
        <v>15884</v>
      </c>
      <c r="E1004" s="24" t="s">
        <v>15835</v>
      </c>
      <c r="G1004" s="24" t="s">
        <v>7432</v>
      </c>
      <c r="H1004" s="11"/>
      <c r="J1004" s="11" t="str">
        <f t="shared" si="31"/>
        <v xml:space="preserve"> </v>
      </c>
    </row>
    <row r="1005" spans="1:11">
      <c r="A1005" s="24" t="s">
        <v>15801</v>
      </c>
      <c r="B1005" s="24" t="s">
        <v>15803</v>
      </c>
      <c r="C1005" s="24" t="s">
        <v>15883</v>
      </c>
      <c r="D1005" s="24" t="s">
        <v>15900</v>
      </c>
      <c r="E1005" s="24" t="s">
        <v>15827</v>
      </c>
      <c r="G1005" s="24" t="s">
        <v>8514</v>
      </c>
      <c r="H1005" s="11"/>
      <c r="J1005" s="11" t="str">
        <f t="shared" si="31"/>
        <v xml:space="preserve"> </v>
      </c>
    </row>
    <row r="1006" spans="1:11">
      <c r="A1006" s="24" t="s">
        <v>15801</v>
      </c>
      <c r="B1006" s="24" t="s">
        <v>15832</v>
      </c>
      <c r="C1006" s="24" t="s">
        <v>15896</v>
      </c>
      <c r="D1006" s="24" t="s">
        <v>15900</v>
      </c>
      <c r="E1006" s="24" t="s">
        <v>15966</v>
      </c>
      <c r="G1006" s="24" t="s">
        <v>8520</v>
      </c>
      <c r="H1006" s="11" t="str">
        <f t="shared" si="30"/>
        <v>01/06/1887</v>
      </c>
      <c r="J1006" s="11" t="str">
        <f t="shared" si="31"/>
        <v xml:space="preserve"> </v>
      </c>
      <c r="K1006" s="24" t="s">
        <v>8520</v>
      </c>
    </row>
    <row r="1007" spans="1:11">
      <c r="A1007" s="24" t="s">
        <v>15807</v>
      </c>
      <c r="B1007" s="24" t="s">
        <v>15807</v>
      </c>
      <c r="C1007" s="24" t="s">
        <v>15939</v>
      </c>
      <c r="E1007" s="24" t="s">
        <v>15801</v>
      </c>
      <c r="F1007" s="29" t="s">
        <v>6720</v>
      </c>
      <c r="G1007" s="24" t="s">
        <v>8533</v>
      </c>
      <c r="H1007" s="11" t="str">
        <f t="shared" si="30"/>
        <v>29/08/1872</v>
      </c>
      <c r="J1007" s="11" t="str">
        <f t="shared" si="31"/>
        <v xml:space="preserve"> </v>
      </c>
      <c r="K1007" s="24" t="s">
        <v>8533</v>
      </c>
    </row>
    <row r="1008" spans="1:11">
      <c r="A1008" s="24" t="s">
        <v>15813</v>
      </c>
      <c r="B1008" s="24" t="s">
        <v>15813</v>
      </c>
      <c r="C1008" s="24" t="s">
        <v>15801</v>
      </c>
      <c r="D1008" s="24" t="s">
        <v>15900</v>
      </c>
      <c r="E1008" s="24" t="s">
        <v>15823</v>
      </c>
      <c r="F1008" s="29" t="s">
        <v>8512</v>
      </c>
      <c r="H1008" s="11" t="str">
        <f t="shared" si="30"/>
        <v/>
      </c>
      <c r="J1008" s="11" t="str">
        <f t="shared" si="31"/>
        <v xml:space="preserve"> </v>
      </c>
      <c r="K1008" s="24" t="s">
        <v>15801</v>
      </c>
    </row>
    <row r="1009" spans="1:11">
      <c r="A1009" s="24" t="s">
        <v>15801</v>
      </c>
      <c r="B1009" s="24" t="s">
        <v>15837</v>
      </c>
      <c r="C1009" s="24" t="s">
        <v>15801</v>
      </c>
      <c r="D1009" s="24" t="s">
        <v>15801</v>
      </c>
      <c r="E1009" s="24" t="s">
        <v>15802</v>
      </c>
      <c r="H1009" s="11" t="str">
        <f t="shared" si="30"/>
        <v/>
      </c>
      <c r="J1009" s="11" t="str">
        <f t="shared" si="31"/>
        <v xml:space="preserve"> </v>
      </c>
      <c r="K1009" s="24" t="s">
        <v>15801</v>
      </c>
    </row>
    <row r="1010" spans="1:11">
      <c r="A1010" s="24" t="s">
        <v>15801</v>
      </c>
      <c r="B1010" s="24" t="s">
        <v>15834</v>
      </c>
      <c r="C1010" s="24" t="s">
        <v>15801</v>
      </c>
      <c r="D1010" s="24" t="s">
        <v>15884</v>
      </c>
      <c r="E1010" s="24" t="s">
        <v>15825</v>
      </c>
      <c r="H1010" s="11" t="str">
        <f t="shared" si="30"/>
        <v/>
      </c>
      <c r="J1010" s="11" t="str">
        <f t="shared" si="31"/>
        <v xml:space="preserve"> </v>
      </c>
      <c r="K1010" s="24" t="s">
        <v>15801</v>
      </c>
    </row>
    <row r="1011" spans="1:11">
      <c r="A1011" s="24" t="s">
        <v>15810</v>
      </c>
      <c r="B1011" s="24" t="s">
        <v>15810</v>
      </c>
      <c r="C1011" s="24" t="s">
        <v>15801</v>
      </c>
      <c r="D1011" s="24" t="s">
        <v>15884</v>
      </c>
      <c r="E1011" s="24" t="s">
        <v>15870</v>
      </c>
      <c r="F1011" s="29" t="s">
        <v>8570</v>
      </c>
      <c r="H1011" s="11" t="str">
        <f t="shared" si="30"/>
        <v/>
      </c>
      <c r="J1011" s="11" t="str">
        <f t="shared" si="31"/>
        <v xml:space="preserve"> </v>
      </c>
      <c r="K1011" s="24" t="s">
        <v>15801</v>
      </c>
    </row>
    <row r="1012" spans="1:11">
      <c r="A1012" s="24" t="s">
        <v>15801</v>
      </c>
      <c r="B1012" s="24" t="s">
        <v>15839</v>
      </c>
      <c r="C1012" s="24" t="s">
        <v>15918</v>
      </c>
      <c r="D1012" s="24" t="s">
        <v>15965</v>
      </c>
      <c r="E1012" s="24" t="s">
        <v>15816</v>
      </c>
      <c r="G1012" s="24" t="s">
        <v>8574</v>
      </c>
      <c r="H1012" s="11" t="str">
        <f t="shared" si="30"/>
        <v>02/03/1867</v>
      </c>
      <c r="J1012" s="11" t="str">
        <f t="shared" si="31"/>
        <v xml:space="preserve"> </v>
      </c>
      <c r="K1012" s="24" t="s">
        <v>8574</v>
      </c>
    </row>
    <row r="1013" spans="1:11">
      <c r="A1013" s="24" t="s">
        <v>15833</v>
      </c>
      <c r="B1013" s="24" t="s">
        <v>15833</v>
      </c>
      <c r="C1013" s="24" t="s">
        <v>15801</v>
      </c>
      <c r="D1013" s="24" t="s">
        <v>15931</v>
      </c>
      <c r="E1013" s="24" t="s">
        <v>15884</v>
      </c>
      <c r="F1013" s="29" t="s">
        <v>8588</v>
      </c>
      <c r="H1013" s="11" t="str">
        <f t="shared" si="30"/>
        <v/>
      </c>
      <c r="J1013" s="11" t="str">
        <f t="shared" si="31"/>
        <v xml:space="preserve"> </v>
      </c>
      <c r="K1013" s="24" t="s">
        <v>15801</v>
      </c>
    </row>
    <row r="1014" spans="1:11">
      <c r="A1014" s="24" t="s">
        <v>15828</v>
      </c>
      <c r="B1014" s="24" t="s">
        <v>15828</v>
      </c>
      <c r="C1014" s="24" t="s">
        <v>15801</v>
      </c>
      <c r="D1014" s="24" t="s">
        <v>15908</v>
      </c>
      <c r="E1014" s="24" t="s">
        <v>15801</v>
      </c>
      <c r="F1014" s="29" t="s">
        <v>8585</v>
      </c>
      <c r="H1014" s="11" t="str">
        <f t="shared" si="30"/>
        <v/>
      </c>
      <c r="J1014" s="11" t="str">
        <f t="shared" si="31"/>
        <v xml:space="preserve"> </v>
      </c>
      <c r="K1014" s="24" t="s">
        <v>15801</v>
      </c>
    </row>
    <row r="1015" spans="1:11">
      <c r="A1015" s="24" t="s">
        <v>15815</v>
      </c>
      <c r="B1015" s="24" t="s">
        <v>15815</v>
      </c>
      <c r="C1015" s="24" t="s">
        <v>15801</v>
      </c>
      <c r="D1015" s="24" t="s">
        <v>15956</v>
      </c>
      <c r="E1015" s="24" t="s">
        <v>15801</v>
      </c>
      <c r="F1015" s="29" t="s">
        <v>8598</v>
      </c>
      <c r="H1015" s="11" t="str">
        <f t="shared" si="30"/>
        <v/>
      </c>
      <c r="J1015" s="11" t="str">
        <f t="shared" si="31"/>
        <v xml:space="preserve"> </v>
      </c>
      <c r="K1015" s="24" t="s">
        <v>15801</v>
      </c>
    </row>
    <row r="1016" spans="1:11">
      <c r="A1016" s="24" t="s">
        <v>15825</v>
      </c>
      <c r="B1016" s="24" t="s">
        <v>15825</v>
      </c>
      <c r="C1016" s="24" t="s">
        <v>15801</v>
      </c>
      <c r="D1016" s="24" t="s">
        <v>15956</v>
      </c>
      <c r="E1016" s="24" t="s">
        <v>15876</v>
      </c>
      <c r="H1016" s="11" t="str">
        <f t="shared" si="30"/>
        <v/>
      </c>
      <c r="J1016" s="11" t="str">
        <f t="shared" si="31"/>
        <v xml:space="preserve"> </v>
      </c>
      <c r="K1016" s="24" t="s">
        <v>15801</v>
      </c>
    </row>
    <row r="1017" spans="1:11">
      <c r="A1017" s="24" t="s">
        <v>15819</v>
      </c>
      <c r="B1017" s="24" t="s">
        <v>15819</v>
      </c>
      <c r="C1017" s="24" t="s">
        <v>15801</v>
      </c>
      <c r="D1017" s="24" t="s">
        <v>15956</v>
      </c>
      <c r="E1017" s="24" t="s">
        <v>15870</v>
      </c>
      <c r="F1017" s="29" t="s">
        <v>8591</v>
      </c>
      <c r="H1017" s="11" t="str">
        <f t="shared" si="30"/>
        <v/>
      </c>
      <c r="J1017" s="11" t="str">
        <f t="shared" si="31"/>
        <v xml:space="preserve"> </v>
      </c>
      <c r="K1017" s="24" t="s">
        <v>15801</v>
      </c>
    </row>
    <row r="1018" spans="1:11">
      <c r="A1018" s="24" t="s">
        <v>15820</v>
      </c>
      <c r="B1018" s="24" t="s">
        <v>15820</v>
      </c>
      <c r="C1018" s="24" t="s">
        <v>15890</v>
      </c>
      <c r="D1018" s="24" t="s">
        <v>15956</v>
      </c>
      <c r="E1018" s="24" t="s">
        <v>15801</v>
      </c>
      <c r="F1018" s="29" t="s">
        <v>8612</v>
      </c>
      <c r="G1018" s="24" t="s">
        <v>8614</v>
      </c>
      <c r="H1018" s="11" t="str">
        <f t="shared" si="30"/>
        <v>01/04/1875</v>
      </c>
      <c r="J1018" s="11" t="str">
        <f t="shared" si="31"/>
        <v xml:space="preserve"> </v>
      </c>
      <c r="K1018" s="24" t="s">
        <v>8614</v>
      </c>
    </row>
    <row r="1019" spans="1:11">
      <c r="A1019" s="24" t="s">
        <v>15801</v>
      </c>
      <c r="B1019" s="24" t="s">
        <v>15808</v>
      </c>
      <c r="C1019" s="24" t="s">
        <v>15913</v>
      </c>
      <c r="D1019" s="24" t="s">
        <v>15901</v>
      </c>
      <c r="E1019" s="24" t="s">
        <v>15820</v>
      </c>
      <c r="G1019" s="24" t="s">
        <v>10275</v>
      </c>
      <c r="H1019" s="11" t="str">
        <f t="shared" si="30"/>
        <v>20/2/1877</v>
      </c>
      <c r="J1019" s="11" t="str">
        <f t="shared" si="31"/>
        <v xml:space="preserve"> </v>
      </c>
      <c r="K1019" s="24" t="s">
        <v>10275</v>
      </c>
    </row>
    <row r="1020" spans="1:11">
      <c r="A1020" s="24" t="s">
        <v>15801</v>
      </c>
      <c r="B1020" s="24" t="s">
        <v>15835</v>
      </c>
      <c r="C1020" s="24" t="s">
        <v>15801</v>
      </c>
      <c r="D1020" s="24" t="s">
        <v>15801</v>
      </c>
      <c r="E1020" s="24" t="s">
        <v>15851</v>
      </c>
      <c r="H1020" s="11" t="str">
        <f t="shared" si="30"/>
        <v/>
      </c>
      <c r="J1020" s="11" t="str">
        <f t="shared" si="31"/>
        <v xml:space="preserve"> </v>
      </c>
      <c r="K1020" s="24" t="s">
        <v>15801</v>
      </c>
    </row>
    <row r="1021" spans="1:11">
      <c r="A1021" s="24" t="s">
        <v>15801</v>
      </c>
      <c r="B1021" s="24" t="s">
        <v>15850</v>
      </c>
      <c r="C1021" s="24" t="s">
        <v>15801</v>
      </c>
      <c r="D1021" s="24" t="s">
        <v>15801</v>
      </c>
      <c r="E1021" s="24" t="s">
        <v>15801</v>
      </c>
      <c r="H1021" s="11" t="str">
        <f t="shared" si="30"/>
        <v/>
      </c>
      <c r="J1021" s="11" t="str">
        <f t="shared" si="31"/>
        <v xml:space="preserve"> </v>
      </c>
      <c r="K1021" s="24" t="s">
        <v>15801</v>
      </c>
    </row>
    <row r="1022" spans="1:11">
      <c r="A1022" s="24" t="s">
        <v>15801</v>
      </c>
      <c r="B1022" s="24" t="s">
        <v>15842</v>
      </c>
      <c r="C1022" s="24" t="s">
        <v>15884</v>
      </c>
      <c r="D1022" s="24" t="s">
        <v>15870</v>
      </c>
      <c r="E1022" s="24" t="s">
        <v>15802</v>
      </c>
      <c r="G1022" s="24" t="s">
        <v>10313</v>
      </c>
      <c r="H1022" s="11" t="str">
        <f t="shared" si="30"/>
        <v>11/4/1838</v>
      </c>
      <c r="J1022" s="11" t="str">
        <f t="shared" si="31"/>
        <v xml:space="preserve"> </v>
      </c>
      <c r="K1022" s="24" t="s">
        <v>10313</v>
      </c>
    </row>
    <row r="1023" spans="1:11">
      <c r="A1023" s="24" t="s">
        <v>15816</v>
      </c>
      <c r="B1023" s="24" t="s">
        <v>15816</v>
      </c>
      <c r="C1023" s="24" t="s">
        <v>15884</v>
      </c>
      <c r="D1023" s="24" t="s">
        <v>15870</v>
      </c>
      <c r="E1023" s="24" t="s">
        <v>15801</v>
      </c>
      <c r="F1023" s="29" t="s">
        <v>10311</v>
      </c>
      <c r="G1023" s="24" t="s">
        <v>10313</v>
      </c>
      <c r="H1023" s="11" t="str">
        <f t="shared" si="30"/>
        <v>11/4/1838</v>
      </c>
      <c r="J1023" s="11" t="str">
        <f t="shared" si="31"/>
        <v xml:space="preserve"> </v>
      </c>
      <c r="K1023" s="24" t="s">
        <v>10313</v>
      </c>
    </row>
    <row r="1024" spans="1:11">
      <c r="A1024" s="24" t="s">
        <v>15833</v>
      </c>
      <c r="B1024" s="24" t="s">
        <v>15833</v>
      </c>
      <c r="C1024" s="24" t="s">
        <v>15801</v>
      </c>
      <c r="D1024" s="24" t="s">
        <v>15870</v>
      </c>
      <c r="E1024" s="24" t="s">
        <v>15948</v>
      </c>
      <c r="F1024" s="29" t="s">
        <v>10296</v>
      </c>
      <c r="H1024" s="11" t="str">
        <f t="shared" si="30"/>
        <v/>
      </c>
      <c r="J1024" s="11" t="str">
        <f t="shared" si="31"/>
        <v xml:space="preserve"> </v>
      </c>
      <c r="K1024" s="24" t="s">
        <v>15801</v>
      </c>
    </row>
    <row r="1025" spans="1:11">
      <c r="A1025" s="24" t="s">
        <v>15801</v>
      </c>
      <c r="B1025" s="24" t="s">
        <v>15845</v>
      </c>
      <c r="C1025" s="24" t="s">
        <v>15884</v>
      </c>
      <c r="D1025" s="24" t="s">
        <v>15870</v>
      </c>
      <c r="E1025" s="24" t="s">
        <v>15801</v>
      </c>
      <c r="G1025" s="24" t="s">
        <v>6764</v>
      </c>
      <c r="H1025" s="11" t="str">
        <f t="shared" si="30"/>
        <v>6/2/1838</v>
      </c>
      <c r="J1025" s="11" t="str">
        <f t="shared" si="31"/>
        <v xml:space="preserve"> </v>
      </c>
      <c r="K1025" s="24" t="s">
        <v>6764</v>
      </c>
    </row>
    <row r="1026" spans="1:11">
      <c r="A1026" s="24" t="s">
        <v>15816</v>
      </c>
      <c r="B1026" s="24" t="s">
        <v>15816</v>
      </c>
      <c r="C1026" s="24" t="s">
        <v>15944</v>
      </c>
      <c r="D1026" s="24" t="s">
        <v>15870</v>
      </c>
      <c r="E1026" s="24" t="s">
        <v>15801</v>
      </c>
      <c r="F1026" s="29" t="s">
        <v>10306</v>
      </c>
      <c r="G1026" s="24">
        <v>1900</v>
      </c>
      <c r="H1026" s="11"/>
      <c r="J1026" s="11" t="str">
        <f t="shared" si="31"/>
        <v xml:space="preserve"> </v>
      </c>
    </row>
    <row r="1027" spans="1:11">
      <c r="A1027" s="24" t="s">
        <v>15802</v>
      </c>
      <c r="B1027" s="24" t="s">
        <v>15802</v>
      </c>
      <c r="C1027" s="24" t="s">
        <v>15884</v>
      </c>
      <c r="D1027" s="24" t="s">
        <v>15870</v>
      </c>
      <c r="E1027" s="24" t="s">
        <v>15801</v>
      </c>
      <c r="F1027" s="29" t="s">
        <v>10335</v>
      </c>
      <c r="G1027" s="24" t="s">
        <v>10313</v>
      </c>
      <c r="H1027" s="11" t="str">
        <f t="shared" ref="H1027:H1090" si="32">TRIM(G1027)</f>
        <v>11/4/1838</v>
      </c>
      <c r="J1027" s="11" t="str">
        <f t="shared" ref="J1027:J1090" si="33">IF(LEN(H1027)=4,"fout"," ")</f>
        <v xml:space="preserve"> </v>
      </c>
      <c r="K1027" s="24" t="s">
        <v>10313</v>
      </c>
    </row>
    <row r="1028" spans="1:11">
      <c r="A1028" s="24" t="s">
        <v>15833</v>
      </c>
      <c r="B1028" s="24" t="s">
        <v>15833</v>
      </c>
      <c r="C1028" s="24" t="s">
        <v>15801</v>
      </c>
      <c r="D1028" s="24" t="s">
        <v>15870</v>
      </c>
      <c r="E1028" s="24" t="s">
        <v>15956</v>
      </c>
      <c r="F1028" s="29" t="s">
        <v>10319</v>
      </c>
      <c r="H1028" s="11" t="str">
        <f t="shared" si="32"/>
        <v/>
      </c>
      <c r="J1028" s="11" t="str">
        <f t="shared" si="33"/>
        <v xml:space="preserve"> </v>
      </c>
      <c r="K1028" s="24" t="s">
        <v>15801</v>
      </c>
    </row>
    <row r="1029" spans="1:11">
      <c r="A1029" s="24" t="s">
        <v>15828</v>
      </c>
      <c r="B1029" s="24" t="s">
        <v>15828</v>
      </c>
      <c r="C1029" s="24" t="s">
        <v>15960</v>
      </c>
      <c r="D1029" s="24" t="s">
        <v>15870</v>
      </c>
      <c r="E1029" s="24" t="s">
        <v>15915</v>
      </c>
      <c r="F1029" s="29" t="s">
        <v>10323</v>
      </c>
      <c r="G1029" s="24" t="s">
        <v>10324</v>
      </c>
      <c r="H1029" s="11"/>
      <c r="J1029" s="11" t="str">
        <f t="shared" si="33"/>
        <v xml:space="preserve"> </v>
      </c>
    </row>
    <row r="1030" spans="1:11">
      <c r="A1030" s="24" t="s">
        <v>15837</v>
      </c>
      <c r="B1030" s="24" t="s">
        <v>15837</v>
      </c>
      <c r="C1030" s="24" t="s">
        <v>15945</v>
      </c>
      <c r="D1030" s="24" t="s">
        <v>15915</v>
      </c>
      <c r="E1030" s="24" t="s">
        <v>15945</v>
      </c>
      <c r="F1030" s="29" t="s">
        <v>10285</v>
      </c>
      <c r="G1030" s="24" t="s">
        <v>10288</v>
      </c>
      <c r="H1030" s="11" t="str">
        <f t="shared" si="32"/>
        <v>5/12/1828</v>
      </c>
      <c r="J1030" s="11" t="str">
        <f t="shared" si="33"/>
        <v xml:space="preserve"> </v>
      </c>
      <c r="K1030" s="24" t="s">
        <v>10288</v>
      </c>
    </row>
    <row r="1031" spans="1:11">
      <c r="A1031" s="24" t="s">
        <v>15801</v>
      </c>
      <c r="B1031" s="24" t="s">
        <v>15806</v>
      </c>
      <c r="C1031" s="24" t="s">
        <v>15801</v>
      </c>
      <c r="E1031" s="24" t="s">
        <v>15851</v>
      </c>
      <c r="H1031" s="11" t="str">
        <f t="shared" si="32"/>
        <v/>
      </c>
      <c r="J1031" s="11" t="str">
        <f t="shared" si="33"/>
        <v xml:space="preserve"> </v>
      </c>
      <c r="K1031" s="24" t="s">
        <v>15801</v>
      </c>
    </row>
    <row r="1032" spans="1:11">
      <c r="A1032" s="24" t="s">
        <v>15801</v>
      </c>
      <c r="B1032" s="24" t="s">
        <v>15822</v>
      </c>
      <c r="C1032" s="24" t="s">
        <v>15801</v>
      </c>
      <c r="D1032" s="24" t="s">
        <v>15870</v>
      </c>
      <c r="E1032" s="24" t="s">
        <v>15801</v>
      </c>
      <c r="H1032" s="11" t="str">
        <f t="shared" si="32"/>
        <v/>
      </c>
      <c r="J1032" s="11" t="str">
        <f t="shared" si="33"/>
        <v xml:space="preserve"> </v>
      </c>
      <c r="K1032" s="24" t="s">
        <v>15801</v>
      </c>
    </row>
    <row r="1033" spans="1:11">
      <c r="A1033" s="24" t="s">
        <v>15823</v>
      </c>
      <c r="B1033" s="24" t="s">
        <v>15823</v>
      </c>
      <c r="C1033" s="24" t="s">
        <v>15926</v>
      </c>
      <c r="D1033" s="24" t="s">
        <v>15870</v>
      </c>
      <c r="E1033" s="24" t="s">
        <v>15936</v>
      </c>
      <c r="F1033" s="29" t="s">
        <v>10350</v>
      </c>
      <c r="G1033" s="24" t="s">
        <v>10353</v>
      </c>
      <c r="H1033" s="11" t="str">
        <f t="shared" si="32"/>
        <v>28/8/1897</v>
      </c>
      <c r="J1033" s="11" t="str">
        <f t="shared" si="33"/>
        <v xml:space="preserve"> </v>
      </c>
      <c r="K1033" s="24" t="s">
        <v>10353</v>
      </c>
    </row>
    <row r="1034" spans="1:11">
      <c r="A1034" s="24" t="s">
        <v>15801</v>
      </c>
      <c r="B1034" s="24" t="s">
        <v>15856</v>
      </c>
      <c r="C1034" s="24" t="s">
        <v>15801</v>
      </c>
      <c r="E1034" s="24" t="s">
        <v>15834</v>
      </c>
      <c r="H1034" s="11" t="str">
        <f t="shared" si="32"/>
        <v/>
      </c>
      <c r="J1034" s="11" t="str">
        <f t="shared" si="33"/>
        <v xml:space="preserve"> </v>
      </c>
      <c r="K1034" s="24" t="s">
        <v>15801</v>
      </c>
    </row>
    <row r="1035" spans="1:11">
      <c r="A1035" s="24" t="s">
        <v>15801</v>
      </c>
      <c r="B1035" s="24" t="s">
        <v>15841</v>
      </c>
      <c r="C1035" s="24" t="s">
        <v>15801</v>
      </c>
      <c r="D1035" s="24" t="s">
        <v>15884</v>
      </c>
      <c r="E1035" s="24" t="s">
        <v>15802</v>
      </c>
      <c r="H1035" s="11" t="str">
        <f t="shared" si="32"/>
        <v/>
      </c>
      <c r="J1035" s="11" t="str">
        <f t="shared" si="33"/>
        <v xml:space="preserve"> </v>
      </c>
      <c r="K1035" s="24" t="s">
        <v>15801</v>
      </c>
    </row>
    <row r="1036" spans="1:11">
      <c r="A1036" s="24" t="s">
        <v>15812</v>
      </c>
      <c r="B1036" s="24" t="s">
        <v>15812</v>
      </c>
      <c r="C1036" s="24" t="s">
        <v>15801</v>
      </c>
      <c r="D1036" s="24" t="s">
        <v>15884</v>
      </c>
      <c r="E1036" s="24" t="s">
        <v>15808</v>
      </c>
      <c r="F1036" s="29" t="s">
        <v>10379</v>
      </c>
      <c r="H1036" s="11" t="str">
        <f t="shared" si="32"/>
        <v/>
      </c>
      <c r="J1036" s="11" t="str">
        <f t="shared" si="33"/>
        <v xml:space="preserve"> </v>
      </c>
      <c r="K1036" s="24" t="s">
        <v>15801</v>
      </c>
    </row>
    <row r="1037" spans="1:11">
      <c r="A1037" s="24" t="s">
        <v>15802</v>
      </c>
      <c r="B1037" s="24" t="s">
        <v>15802</v>
      </c>
      <c r="C1037" s="24" t="s">
        <v>15801</v>
      </c>
      <c r="D1037" s="24" t="s">
        <v>15884</v>
      </c>
      <c r="E1037" s="24" t="s">
        <v>15876</v>
      </c>
      <c r="F1037" s="29" t="s">
        <v>10362</v>
      </c>
      <c r="H1037" s="11" t="str">
        <f t="shared" si="32"/>
        <v/>
      </c>
      <c r="J1037" s="11" t="str">
        <f t="shared" si="33"/>
        <v xml:space="preserve"> </v>
      </c>
      <c r="K1037" s="24" t="s">
        <v>15801</v>
      </c>
    </row>
    <row r="1038" spans="1:11">
      <c r="A1038" s="24" t="s">
        <v>15802</v>
      </c>
      <c r="B1038" s="24" t="s">
        <v>15802</v>
      </c>
      <c r="C1038" s="24" t="s">
        <v>15944</v>
      </c>
      <c r="D1038" s="24" t="s">
        <v>15915</v>
      </c>
      <c r="E1038" s="24" t="s">
        <v>15884</v>
      </c>
      <c r="F1038" s="29" t="s">
        <v>10387</v>
      </c>
      <c r="G1038" s="24" t="s">
        <v>10390</v>
      </c>
      <c r="H1038" s="11" t="str">
        <f t="shared" si="32"/>
        <v>2/3/1900</v>
      </c>
      <c r="J1038" s="11" t="str">
        <f t="shared" si="33"/>
        <v xml:space="preserve"> </v>
      </c>
      <c r="K1038" s="24" t="s">
        <v>10390</v>
      </c>
    </row>
    <row r="1039" spans="1:11">
      <c r="A1039" s="24" t="s">
        <v>15801</v>
      </c>
      <c r="B1039" s="24" t="s">
        <v>15837</v>
      </c>
      <c r="C1039" s="24" t="s">
        <v>15801</v>
      </c>
      <c r="D1039" s="24" t="s">
        <v>15956</v>
      </c>
      <c r="E1039" s="24" t="s">
        <v>15828</v>
      </c>
      <c r="H1039" s="11" t="str">
        <f t="shared" si="32"/>
        <v/>
      </c>
      <c r="J1039" s="11" t="str">
        <f t="shared" si="33"/>
        <v xml:space="preserve"> </v>
      </c>
      <c r="K1039" s="24" t="s">
        <v>15801</v>
      </c>
    </row>
    <row r="1040" spans="1:11">
      <c r="A1040" s="24" t="s">
        <v>15836</v>
      </c>
      <c r="B1040" s="24" t="s">
        <v>15836</v>
      </c>
      <c r="C1040" s="24" t="s">
        <v>15888</v>
      </c>
      <c r="D1040" s="24" t="s">
        <v>15870</v>
      </c>
      <c r="E1040" s="24" t="s">
        <v>15819</v>
      </c>
      <c r="F1040" s="29" t="s">
        <v>10407</v>
      </c>
      <c r="G1040" s="24" t="s">
        <v>10409</v>
      </c>
      <c r="H1040" s="11" t="str">
        <f t="shared" si="32"/>
        <v>25/2/1864</v>
      </c>
      <c r="J1040" s="11" t="str">
        <f t="shared" si="33"/>
        <v xml:space="preserve"> </v>
      </c>
      <c r="K1040" s="24" t="s">
        <v>10409</v>
      </c>
    </row>
    <row r="1041" spans="1:11">
      <c r="A1041" s="24" t="s">
        <v>15816</v>
      </c>
      <c r="B1041" s="24" t="s">
        <v>15816</v>
      </c>
      <c r="C1041" s="24" t="s">
        <v>15913</v>
      </c>
      <c r="D1041" s="24" t="s">
        <v>15870</v>
      </c>
      <c r="E1041" s="24" t="s">
        <v>15801</v>
      </c>
      <c r="F1041" s="29" t="s">
        <v>10395</v>
      </c>
      <c r="G1041" s="24">
        <v>1877</v>
      </c>
      <c r="H1041" s="11"/>
      <c r="J1041" s="11" t="str">
        <f t="shared" si="33"/>
        <v xml:space="preserve"> </v>
      </c>
    </row>
    <row r="1042" spans="1:11">
      <c r="A1042" s="24" t="s">
        <v>15811</v>
      </c>
      <c r="B1042" s="24" t="s">
        <v>15811</v>
      </c>
      <c r="C1042" s="24" t="s">
        <v>15956</v>
      </c>
      <c r="D1042" s="24" t="s">
        <v>15870</v>
      </c>
      <c r="E1042" s="24" t="s">
        <v>15901</v>
      </c>
      <c r="F1042" s="29" t="s">
        <v>10416</v>
      </c>
      <c r="G1042" s="24" t="s">
        <v>10417</v>
      </c>
      <c r="H1042" s="11" t="str">
        <f t="shared" si="32"/>
        <v>9/6/1842</v>
      </c>
      <c r="J1042" s="11" t="str">
        <f t="shared" si="33"/>
        <v xml:space="preserve"> </v>
      </c>
      <c r="K1042" s="24" t="s">
        <v>10417</v>
      </c>
    </row>
    <row r="1043" spans="1:11">
      <c r="A1043" s="24" t="s">
        <v>15830</v>
      </c>
      <c r="B1043" s="24" t="s">
        <v>15830</v>
      </c>
      <c r="C1043" s="24" t="s">
        <v>15920</v>
      </c>
      <c r="E1043" s="24" t="s">
        <v>15806</v>
      </c>
      <c r="F1043" s="29" t="s">
        <v>10456</v>
      </c>
      <c r="G1043" s="24" t="s">
        <v>10458</v>
      </c>
      <c r="H1043" s="11" t="str">
        <f t="shared" si="32"/>
        <v>25/3/1852</v>
      </c>
      <c r="J1043" s="11" t="str">
        <f t="shared" si="33"/>
        <v xml:space="preserve"> </v>
      </c>
      <c r="K1043" s="24" t="s">
        <v>10458</v>
      </c>
    </row>
    <row r="1044" spans="1:11">
      <c r="A1044" s="24" t="s">
        <v>15820</v>
      </c>
      <c r="B1044" s="24" t="s">
        <v>15820</v>
      </c>
      <c r="C1044" s="24" t="s">
        <v>15944</v>
      </c>
      <c r="E1044" s="24" t="s">
        <v>15886</v>
      </c>
      <c r="F1044" s="29" t="s">
        <v>10477</v>
      </c>
      <c r="G1044" s="24" t="s">
        <v>10479</v>
      </c>
      <c r="H1044" s="11" t="str">
        <f t="shared" si="32"/>
        <v>11/2/1900</v>
      </c>
      <c r="J1044" s="11" t="str">
        <f t="shared" si="33"/>
        <v xml:space="preserve"> </v>
      </c>
      <c r="K1044" s="24" t="s">
        <v>10479</v>
      </c>
    </row>
    <row r="1045" spans="1:11">
      <c r="A1045" s="24" t="s">
        <v>15852</v>
      </c>
      <c r="B1045" s="24" t="s">
        <v>15852</v>
      </c>
      <c r="C1045" s="24" t="s">
        <v>15884</v>
      </c>
      <c r="D1045" s="24" t="s">
        <v>15884</v>
      </c>
      <c r="E1045" s="24" t="s">
        <v>15836</v>
      </c>
      <c r="F1045" s="29" t="s">
        <v>10506</v>
      </c>
      <c r="G1045" s="24">
        <v>1838</v>
      </c>
      <c r="H1045" s="11"/>
      <c r="J1045" s="11" t="str">
        <f t="shared" si="33"/>
        <v xml:space="preserve"> </v>
      </c>
    </row>
    <row r="1046" spans="1:11">
      <c r="A1046" s="24" t="s">
        <v>15804</v>
      </c>
      <c r="B1046" s="24" t="s">
        <v>15804</v>
      </c>
      <c r="C1046" s="24" t="s">
        <v>15911</v>
      </c>
      <c r="D1046" s="24" t="s">
        <v>15878</v>
      </c>
      <c r="E1046" s="24" t="s">
        <v>15851</v>
      </c>
      <c r="F1046" s="29" t="s">
        <v>10495</v>
      </c>
      <c r="G1046" s="24" t="s">
        <v>10496</v>
      </c>
      <c r="H1046" s="11" t="str">
        <f t="shared" si="32"/>
        <v>7/11/1863</v>
      </c>
      <c r="J1046" s="11" t="str">
        <f t="shared" si="33"/>
        <v xml:space="preserve"> </v>
      </c>
      <c r="K1046" s="24" t="s">
        <v>10496</v>
      </c>
    </row>
    <row r="1047" spans="1:11">
      <c r="A1047" s="24" t="s">
        <v>15802</v>
      </c>
      <c r="B1047" s="24" t="s">
        <v>15802</v>
      </c>
      <c r="C1047" s="24" t="s">
        <v>15801</v>
      </c>
      <c r="D1047" s="24" t="s">
        <v>15870</v>
      </c>
      <c r="E1047" s="24" t="s">
        <v>15915</v>
      </c>
      <c r="F1047" s="29" t="s">
        <v>10466</v>
      </c>
      <c r="H1047" s="11" t="str">
        <f t="shared" si="32"/>
        <v/>
      </c>
      <c r="J1047" s="11" t="str">
        <f t="shared" si="33"/>
        <v xml:space="preserve"> </v>
      </c>
      <c r="K1047" s="24" t="s">
        <v>15801</v>
      </c>
    </row>
    <row r="1048" spans="1:11">
      <c r="A1048" s="24" t="s">
        <v>15833</v>
      </c>
      <c r="B1048" s="24" t="s">
        <v>15833</v>
      </c>
      <c r="C1048" s="24" t="s">
        <v>15903</v>
      </c>
      <c r="D1048" s="24" t="s">
        <v>15884</v>
      </c>
      <c r="E1048" s="24" t="s">
        <v>15948</v>
      </c>
      <c r="F1048" s="29" t="s">
        <v>10445</v>
      </c>
      <c r="G1048" s="24" t="s">
        <v>10447</v>
      </c>
      <c r="H1048" s="11" t="str">
        <f t="shared" si="32"/>
        <v>5/1/1895</v>
      </c>
      <c r="J1048" s="11" t="str">
        <f t="shared" si="33"/>
        <v xml:space="preserve"> </v>
      </c>
      <c r="K1048" s="24" t="s">
        <v>10447</v>
      </c>
    </row>
    <row r="1049" spans="1:11">
      <c r="A1049" s="24" t="s">
        <v>15827</v>
      </c>
      <c r="B1049" s="24" t="s">
        <v>15827</v>
      </c>
      <c r="C1049" s="24" t="s">
        <v>15904</v>
      </c>
      <c r="D1049" s="24" t="s">
        <v>15884</v>
      </c>
      <c r="E1049" s="24" t="s">
        <v>15898</v>
      </c>
      <c r="F1049" s="29" t="s">
        <v>10429</v>
      </c>
      <c r="G1049" s="24" t="s">
        <v>10432</v>
      </c>
      <c r="H1049" s="11" t="str">
        <f t="shared" si="32"/>
        <v>27/6/1890</v>
      </c>
      <c r="J1049" s="11" t="str">
        <f t="shared" si="33"/>
        <v xml:space="preserve"> </v>
      </c>
      <c r="K1049" s="24" t="s">
        <v>10432</v>
      </c>
    </row>
    <row r="1050" spans="1:11">
      <c r="A1050" s="24" t="s">
        <v>15840</v>
      </c>
      <c r="B1050" s="24" t="s">
        <v>15840</v>
      </c>
      <c r="C1050" s="24" t="s">
        <v>15801</v>
      </c>
      <c r="D1050" s="24" t="s">
        <v>15900</v>
      </c>
      <c r="E1050" s="24" t="s">
        <v>15833</v>
      </c>
      <c r="F1050" s="29" t="s">
        <v>10522</v>
      </c>
      <c r="H1050" s="11" t="str">
        <f t="shared" si="32"/>
        <v/>
      </c>
      <c r="J1050" s="11" t="str">
        <f t="shared" si="33"/>
        <v xml:space="preserve"> </v>
      </c>
      <c r="K1050" s="24" t="s">
        <v>15801</v>
      </c>
    </row>
    <row r="1051" spans="1:11">
      <c r="A1051" s="24" t="s">
        <v>15801</v>
      </c>
      <c r="B1051" s="24" t="s">
        <v>15801</v>
      </c>
      <c r="C1051" s="24" t="s">
        <v>15801</v>
      </c>
      <c r="D1051" s="24" t="s">
        <v>15801</v>
      </c>
      <c r="E1051" s="24" t="s">
        <v>15823</v>
      </c>
      <c r="H1051" s="11" t="str">
        <f t="shared" si="32"/>
        <v/>
      </c>
      <c r="J1051" s="11" t="str">
        <f t="shared" si="33"/>
        <v xml:space="preserve"> </v>
      </c>
      <c r="K1051" s="24" t="s">
        <v>15801</v>
      </c>
    </row>
    <row r="1052" spans="1:11">
      <c r="A1052" s="24" t="s">
        <v>15801</v>
      </c>
      <c r="B1052" s="24" t="s">
        <v>15801</v>
      </c>
      <c r="C1052" s="24" t="s">
        <v>15954</v>
      </c>
      <c r="D1052" s="24" t="s">
        <v>15870</v>
      </c>
      <c r="E1052" s="24" t="s">
        <v>15819</v>
      </c>
      <c r="G1052" s="24" t="s">
        <v>10566</v>
      </c>
      <c r="H1052" s="11" t="str">
        <f t="shared" si="32"/>
        <v>4/11/1857</v>
      </c>
      <c r="J1052" s="11" t="str">
        <f t="shared" si="33"/>
        <v xml:space="preserve"> </v>
      </c>
      <c r="K1052" s="24" t="s">
        <v>10566</v>
      </c>
    </row>
    <row r="1053" spans="1:11">
      <c r="A1053" s="24" t="s">
        <v>15833</v>
      </c>
      <c r="B1053" s="24" t="s">
        <v>15833</v>
      </c>
      <c r="C1053" s="24" t="s">
        <v>15801</v>
      </c>
      <c r="D1053" s="24" t="s">
        <v>15870</v>
      </c>
      <c r="E1053" s="24" t="s">
        <v>15801</v>
      </c>
      <c r="F1053" s="29" t="s">
        <v>10590</v>
      </c>
      <c r="H1053" s="11" t="str">
        <f t="shared" si="32"/>
        <v/>
      </c>
      <c r="J1053" s="11" t="str">
        <f t="shared" si="33"/>
        <v xml:space="preserve"> </v>
      </c>
      <c r="K1053" s="24" t="s">
        <v>15801</v>
      </c>
    </row>
    <row r="1054" spans="1:11">
      <c r="A1054" s="24" t="s">
        <v>15844</v>
      </c>
      <c r="B1054" s="24" t="s">
        <v>15844</v>
      </c>
      <c r="C1054" s="24" t="s">
        <v>15911</v>
      </c>
      <c r="D1054" s="24" t="s">
        <v>15870</v>
      </c>
      <c r="E1054" s="24" t="s">
        <v>15898</v>
      </c>
      <c r="F1054" s="29" t="s">
        <v>10575</v>
      </c>
      <c r="G1054" s="24" t="s">
        <v>10577</v>
      </c>
      <c r="H1054" s="11" t="str">
        <f t="shared" si="32"/>
        <v>27/11/1863</v>
      </c>
      <c r="J1054" s="11" t="str">
        <f t="shared" si="33"/>
        <v xml:space="preserve"> </v>
      </c>
      <c r="K1054" s="24" t="s">
        <v>10577</v>
      </c>
    </row>
    <row r="1055" spans="1:11">
      <c r="A1055" s="24" t="s">
        <v>15839</v>
      </c>
      <c r="B1055" s="24" t="s">
        <v>15839</v>
      </c>
      <c r="C1055" s="24" t="s">
        <v>15884</v>
      </c>
      <c r="D1055" s="24" t="s">
        <v>15915</v>
      </c>
      <c r="E1055" s="24" t="s">
        <v>15828</v>
      </c>
      <c r="G1055" s="24" t="s">
        <v>10559</v>
      </c>
      <c r="H1055" s="11" t="str">
        <f t="shared" si="32"/>
        <v>23/9/1838</v>
      </c>
      <c r="J1055" s="11" t="str">
        <f t="shared" si="33"/>
        <v xml:space="preserve"> </v>
      </c>
      <c r="K1055" s="24" t="s">
        <v>10559</v>
      </c>
    </row>
    <row r="1056" spans="1:11">
      <c r="A1056" s="24" t="s">
        <v>15833</v>
      </c>
      <c r="B1056" s="24" t="s">
        <v>15833</v>
      </c>
      <c r="C1056" s="24" t="s">
        <v>15903</v>
      </c>
      <c r="D1056" s="24" t="s">
        <v>15870</v>
      </c>
      <c r="E1056" s="24" t="s">
        <v>15915</v>
      </c>
      <c r="F1056" s="29" t="s">
        <v>10597</v>
      </c>
      <c r="G1056" s="24" t="s">
        <v>10599</v>
      </c>
      <c r="H1056" s="11" t="str">
        <f t="shared" si="32"/>
        <v>9/3/1895</v>
      </c>
      <c r="J1056" s="11" t="str">
        <f t="shared" si="33"/>
        <v xml:space="preserve"> </v>
      </c>
      <c r="K1056" s="24" t="s">
        <v>10599</v>
      </c>
    </row>
    <row r="1057" spans="1:11">
      <c r="A1057" s="24" t="s">
        <v>15820</v>
      </c>
      <c r="B1057" s="24" t="s">
        <v>15820</v>
      </c>
      <c r="C1057" s="24" t="s">
        <v>15927</v>
      </c>
      <c r="D1057" s="24" t="s">
        <v>15870</v>
      </c>
      <c r="E1057" s="24" t="s">
        <v>15948</v>
      </c>
      <c r="F1057" s="29" t="s">
        <v>10533</v>
      </c>
      <c r="G1057" s="24" t="s">
        <v>10535</v>
      </c>
      <c r="H1057" s="11" t="str">
        <f t="shared" si="32"/>
        <v>16/1/1906</v>
      </c>
      <c r="J1057" s="11" t="str">
        <f t="shared" si="33"/>
        <v xml:space="preserve"> </v>
      </c>
      <c r="K1057" s="24" t="s">
        <v>10535</v>
      </c>
    </row>
    <row r="1058" spans="1:11">
      <c r="A1058" s="24" t="s">
        <v>15823</v>
      </c>
      <c r="B1058" s="24" t="s">
        <v>15823</v>
      </c>
      <c r="C1058" s="24" t="s">
        <v>15801</v>
      </c>
      <c r="D1058" s="24" t="s">
        <v>15884</v>
      </c>
      <c r="E1058" s="24" t="s">
        <v>15948</v>
      </c>
      <c r="F1058" s="29" t="s">
        <v>10548</v>
      </c>
      <c r="H1058" s="11" t="str">
        <f t="shared" si="32"/>
        <v/>
      </c>
      <c r="J1058" s="11" t="str">
        <f t="shared" si="33"/>
        <v xml:space="preserve"> </v>
      </c>
      <c r="K1058" s="24" t="s">
        <v>15801</v>
      </c>
    </row>
    <row r="1059" spans="1:11">
      <c r="A1059" s="24" t="s">
        <v>15801</v>
      </c>
      <c r="B1059" s="24" t="s">
        <v>15813</v>
      </c>
      <c r="C1059" s="24" t="s">
        <v>15801</v>
      </c>
      <c r="D1059" s="24" t="s">
        <v>15900</v>
      </c>
      <c r="E1059" s="24" t="s">
        <v>15820</v>
      </c>
      <c r="H1059" s="11" t="str">
        <f t="shared" si="32"/>
        <v/>
      </c>
      <c r="J1059" s="11" t="str">
        <f t="shared" si="33"/>
        <v xml:space="preserve"> </v>
      </c>
      <c r="K1059" s="24" t="s">
        <v>15801</v>
      </c>
    </row>
    <row r="1060" spans="1:11">
      <c r="A1060" s="24" t="s">
        <v>15813</v>
      </c>
      <c r="B1060" s="24" t="s">
        <v>15813</v>
      </c>
      <c r="C1060" s="24" t="s">
        <v>15801</v>
      </c>
      <c r="D1060" s="24" t="s">
        <v>15900</v>
      </c>
      <c r="E1060" s="24" t="s">
        <v>15844</v>
      </c>
      <c r="F1060" s="29" t="s">
        <v>10542</v>
      </c>
      <c r="H1060" s="11" t="str">
        <f t="shared" si="32"/>
        <v/>
      </c>
      <c r="J1060" s="11" t="str">
        <f t="shared" si="33"/>
        <v xml:space="preserve"> </v>
      </c>
      <c r="K1060" s="24" t="s">
        <v>15801</v>
      </c>
    </row>
    <row r="1061" spans="1:11">
      <c r="A1061" s="24" t="s">
        <v>15801</v>
      </c>
      <c r="B1061" s="24" t="s">
        <v>15824</v>
      </c>
      <c r="C1061" s="24" t="s">
        <v>15801</v>
      </c>
      <c r="D1061" s="24" t="s">
        <v>15915</v>
      </c>
      <c r="E1061" s="24" t="s">
        <v>15825</v>
      </c>
      <c r="H1061" s="11" t="str">
        <f t="shared" si="32"/>
        <v/>
      </c>
      <c r="J1061" s="11" t="str">
        <f t="shared" si="33"/>
        <v xml:space="preserve"> </v>
      </c>
      <c r="K1061" s="24" t="s">
        <v>15801</v>
      </c>
    </row>
    <row r="1062" spans="1:11">
      <c r="A1062" s="24" t="s">
        <v>15802</v>
      </c>
      <c r="B1062" s="24" t="s">
        <v>15802</v>
      </c>
      <c r="C1062" s="24" t="s">
        <v>15801</v>
      </c>
      <c r="D1062" s="24" t="s">
        <v>15801</v>
      </c>
      <c r="E1062" s="24" t="s">
        <v>15899</v>
      </c>
      <c r="F1062" s="29" t="s">
        <v>10618</v>
      </c>
      <c r="H1062" s="11" t="str">
        <f t="shared" si="32"/>
        <v/>
      </c>
      <c r="J1062" s="11" t="str">
        <f t="shared" si="33"/>
        <v xml:space="preserve"> </v>
      </c>
      <c r="K1062" s="24" t="s">
        <v>15801</v>
      </c>
    </row>
    <row r="1063" spans="1:11">
      <c r="A1063" s="24" t="s">
        <v>15801</v>
      </c>
      <c r="B1063" s="24" t="s">
        <v>15813</v>
      </c>
      <c r="C1063" s="24" t="s">
        <v>15801</v>
      </c>
      <c r="D1063" s="24" t="s">
        <v>15801</v>
      </c>
      <c r="E1063" s="24" t="s">
        <v>15863</v>
      </c>
      <c r="H1063" s="11" t="str">
        <f t="shared" si="32"/>
        <v/>
      </c>
      <c r="J1063" s="11" t="str">
        <f t="shared" si="33"/>
        <v xml:space="preserve"> </v>
      </c>
      <c r="K1063" s="24" t="s">
        <v>15801</v>
      </c>
    </row>
    <row r="1064" spans="1:11">
      <c r="A1064" s="24" t="s">
        <v>15801</v>
      </c>
      <c r="B1064" s="24" t="s">
        <v>15821</v>
      </c>
      <c r="C1064" s="24" t="s">
        <v>15909</v>
      </c>
      <c r="D1064" s="24" t="s">
        <v>15900</v>
      </c>
      <c r="E1064" s="24" t="s">
        <v>15801</v>
      </c>
      <c r="G1064" s="24" t="s">
        <v>10625</v>
      </c>
      <c r="H1064" s="11" t="str">
        <f t="shared" si="32"/>
        <v>26/6/1881</v>
      </c>
      <c r="J1064" s="11" t="str">
        <f t="shared" si="33"/>
        <v xml:space="preserve"> </v>
      </c>
      <c r="K1064" s="24" t="s">
        <v>10625</v>
      </c>
    </row>
    <row r="1065" spans="1:11">
      <c r="A1065" s="24" t="s">
        <v>15802</v>
      </c>
      <c r="B1065" s="24" t="s">
        <v>15802</v>
      </c>
      <c r="C1065" s="24" t="s">
        <v>15882</v>
      </c>
      <c r="D1065" s="24" t="s">
        <v>15899</v>
      </c>
      <c r="E1065" s="24" t="s">
        <v>15870</v>
      </c>
      <c r="F1065" s="29" t="s">
        <v>10633</v>
      </c>
      <c r="G1065" s="24" t="s">
        <v>10636</v>
      </c>
      <c r="H1065" s="11" t="str">
        <f t="shared" si="32"/>
        <v>13/3/1880</v>
      </c>
      <c r="J1065" s="11" t="str">
        <f t="shared" si="33"/>
        <v xml:space="preserve"> </v>
      </c>
      <c r="K1065" s="24" t="s">
        <v>10636</v>
      </c>
    </row>
    <row r="1066" spans="1:11">
      <c r="A1066" s="24" t="s">
        <v>15801</v>
      </c>
      <c r="B1066" s="24" t="s">
        <v>15818</v>
      </c>
      <c r="C1066" s="24" t="s">
        <v>15801</v>
      </c>
      <c r="D1066" s="24" t="s">
        <v>15915</v>
      </c>
      <c r="E1066" s="24" t="s">
        <v>15801</v>
      </c>
      <c r="H1066" s="11" t="str">
        <f t="shared" si="32"/>
        <v/>
      </c>
      <c r="J1066" s="11" t="str">
        <f t="shared" si="33"/>
        <v xml:space="preserve"> </v>
      </c>
      <c r="K1066" s="24" t="s">
        <v>15801</v>
      </c>
    </row>
    <row r="1067" spans="1:11">
      <c r="A1067" s="24" t="s">
        <v>15801</v>
      </c>
      <c r="B1067" s="24" t="s">
        <v>15809</v>
      </c>
      <c r="C1067" s="24" t="s">
        <v>15801</v>
      </c>
      <c r="D1067" s="24" t="s">
        <v>15900</v>
      </c>
      <c r="E1067" s="24" t="s">
        <v>15837</v>
      </c>
      <c r="H1067" s="11" t="str">
        <f t="shared" si="32"/>
        <v/>
      </c>
      <c r="J1067" s="11" t="str">
        <f t="shared" si="33"/>
        <v xml:space="preserve"> </v>
      </c>
      <c r="K1067" s="24" t="s">
        <v>15801</v>
      </c>
    </row>
    <row r="1068" spans="1:11">
      <c r="A1068" s="24" t="s">
        <v>15815</v>
      </c>
      <c r="B1068" s="24" t="s">
        <v>15815</v>
      </c>
      <c r="C1068" s="24" t="s">
        <v>15893</v>
      </c>
      <c r="D1068" s="24" t="s">
        <v>15915</v>
      </c>
      <c r="E1068" s="24" t="s">
        <v>15966</v>
      </c>
      <c r="F1068" s="29" t="s">
        <v>6577</v>
      </c>
      <c r="G1068" s="24" t="s">
        <v>10698</v>
      </c>
      <c r="H1068" s="11" t="str">
        <f t="shared" si="32"/>
        <v>20/8/1879</v>
      </c>
      <c r="J1068" s="11" t="str">
        <f t="shared" si="33"/>
        <v xml:space="preserve"> </v>
      </c>
      <c r="K1068" s="24" t="s">
        <v>10698</v>
      </c>
    </row>
    <row r="1069" spans="1:11">
      <c r="A1069" s="24" t="s">
        <v>15808</v>
      </c>
      <c r="B1069" s="24" t="s">
        <v>15808</v>
      </c>
      <c r="C1069" s="24" t="s">
        <v>15801</v>
      </c>
      <c r="D1069" s="24" t="s">
        <v>15884</v>
      </c>
      <c r="E1069" s="24" t="s">
        <v>15816</v>
      </c>
      <c r="F1069" s="29" t="s">
        <v>10740</v>
      </c>
      <c r="H1069" s="11" t="str">
        <f t="shared" si="32"/>
        <v/>
      </c>
      <c r="J1069" s="11" t="str">
        <f t="shared" si="33"/>
        <v xml:space="preserve"> </v>
      </c>
      <c r="K1069" s="24" t="s">
        <v>15801</v>
      </c>
    </row>
    <row r="1070" spans="1:11">
      <c r="A1070" s="24" t="s">
        <v>15817</v>
      </c>
      <c r="B1070" s="24" t="s">
        <v>15817</v>
      </c>
      <c r="C1070" s="24" t="s">
        <v>15894</v>
      </c>
      <c r="D1070" s="24" t="s">
        <v>15900</v>
      </c>
      <c r="E1070" s="24" t="s">
        <v>15900</v>
      </c>
      <c r="F1070" s="29" t="s">
        <v>10675</v>
      </c>
      <c r="G1070" s="24" t="s">
        <v>10676</v>
      </c>
      <c r="H1070" s="11" t="str">
        <f t="shared" si="32"/>
        <v>14/10/1901</v>
      </c>
      <c r="J1070" s="11" t="str">
        <f t="shared" si="33"/>
        <v xml:space="preserve"> </v>
      </c>
      <c r="K1070" s="24" t="s">
        <v>10676</v>
      </c>
    </row>
    <row r="1071" spans="1:11">
      <c r="A1071" s="24" t="s">
        <v>15833</v>
      </c>
      <c r="B1071" s="24" t="s">
        <v>15833</v>
      </c>
      <c r="C1071" s="24" t="s">
        <v>15903</v>
      </c>
      <c r="D1071" s="24" t="s">
        <v>15884</v>
      </c>
      <c r="E1071" s="24" t="s">
        <v>15801</v>
      </c>
      <c r="F1071" s="29" t="s">
        <v>10713</v>
      </c>
      <c r="G1071" s="24" t="s">
        <v>10714</v>
      </c>
      <c r="H1071" s="11" t="str">
        <f t="shared" si="32"/>
        <v>6/7/1895</v>
      </c>
      <c r="J1071" s="11" t="str">
        <f t="shared" si="33"/>
        <v xml:space="preserve"> </v>
      </c>
      <c r="K1071" s="24" t="s">
        <v>10714</v>
      </c>
    </row>
    <row r="1072" spans="1:11">
      <c r="A1072" s="24" t="s">
        <v>15820</v>
      </c>
      <c r="B1072" s="24" t="s">
        <v>15820</v>
      </c>
      <c r="C1072" s="24" t="s">
        <v>15944</v>
      </c>
      <c r="D1072" s="24" t="s">
        <v>15801</v>
      </c>
      <c r="E1072" s="24" t="s">
        <v>15923</v>
      </c>
      <c r="F1072" s="29" t="s">
        <v>10652</v>
      </c>
      <c r="G1072" s="24" t="s">
        <v>10653</v>
      </c>
      <c r="H1072" s="11" t="str">
        <f t="shared" si="32"/>
        <v>11/10/1900</v>
      </c>
      <c r="J1072" s="11" t="str">
        <f t="shared" si="33"/>
        <v xml:space="preserve"> </v>
      </c>
      <c r="K1072" s="24" t="s">
        <v>10653</v>
      </c>
    </row>
    <row r="1073" spans="1:11">
      <c r="A1073" s="24" t="s">
        <v>15827</v>
      </c>
      <c r="B1073" s="24" t="s">
        <v>15827</v>
      </c>
      <c r="C1073" s="24" t="s">
        <v>15947</v>
      </c>
      <c r="D1073" s="24" t="s">
        <v>15900</v>
      </c>
      <c r="E1073" s="24" t="s">
        <v>15938</v>
      </c>
      <c r="F1073" s="29" t="s">
        <v>10684</v>
      </c>
      <c r="G1073" s="24" t="s">
        <v>10685</v>
      </c>
      <c r="H1073" s="11" t="str">
        <f t="shared" si="32"/>
        <v>8/11/1870</v>
      </c>
      <c r="J1073" s="11" t="str">
        <f t="shared" si="33"/>
        <v xml:space="preserve"> </v>
      </c>
      <c r="K1073" s="24" t="s">
        <v>10685</v>
      </c>
    </row>
    <row r="1074" spans="1:11">
      <c r="A1074" s="24" t="s">
        <v>15835</v>
      </c>
      <c r="B1074" s="24" t="s">
        <v>15835</v>
      </c>
      <c r="C1074" s="24" t="s">
        <v>15801</v>
      </c>
      <c r="D1074" s="24" t="s">
        <v>15876</v>
      </c>
      <c r="E1074" s="24" t="s">
        <v>15820</v>
      </c>
      <c r="F1074" s="29" t="s">
        <v>10724</v>
      </c>
      <c r="H1074" s="11" t="str">
        <f t="shared" si="32"/>
        <v/>
      </c>
      <c r="J1074" s="11" t="str">
        <f t="shared" si="33"/>
        <v xml:space="preserve"> </v>
      </c>
      <c r="K1074" s="24" t="s">
        <v>15801</v>
      </c>
    </row>
    <row r="1075" spans="1:11">
      <c r="A1075" s="24" t="s">
        <v>15813</v>
      </c>
      <c r="B1075" s="24" t="s">
        <v>15813</v>
      </c>
      <c r="C1075" s="24" t="s">
        <v>15801</v>
      </c>
      <c r="D1075" s="24" t="s">
        <v>15876</v>
      </c>
      <c r="E1075" s="24" t="s">
        <v>15844</v>
      </c>
      <c r="F1075" s="29" t="s">
        <v>10689</v>
      </c>
      <c r="H1075" s="11" t="str">
        <f t="shared" si="32"/>
        <v/>
      </c>
      <c r="J1075" s="11" t="str">
        <f t="shared" si="33"/>
        <v xml:space="preserve"> </v>
      </c>
      <c r="K1075" s="24" t="s">
        <v>15801</v>
      </c>
    </row>
    <row r="1076" spans="1:11">
      <c r="A1076" s="24" t="s">
        <v>15818</v>
      </c>
      <c r="B1076" s="24" t="s">
        <v>15818</v>
      </c>
      <c r="C1076" s="24" t="s">
        <v>15891</v>
      </c>
      <c r="D1076" s="24" t="s">
        <v>15801</v>
      </c>
      <c r="E1076" s="24" t="s">
        <v>15921</v>
      </c>
      <c r="F1076" s="29" t="s">
        <v>10659</v>
      </c>
      <c r="G1076" s="24" t="s">
        <v>10661</v>
      </c>
      <c r="H1076" s="11" t="str">
        <f t="shared" si="32"/>
        <v>2/10/1883</v>
      </c>
      <c r="J1076" s="11" t="str">
        <f t="shared" si="33"/>
        <v xml:space="preserve"> </v>
      </c>
      <c r="K1076" s="24" t="s">
        <v>10661</v>
      </c>
    </row>
    <row r="1077" spans="1:11">
      <c r="A1077" s="24" t="s">
        <v>15802</v>
      </c>
      <c r="B1077" s="24" t="s">
        <v>15802</v>
      </c>
      <c r="C1077" s="24" t="s">
        <v>15801</v>
      </c>
      <c r="D1077" s="24" t="s">
        <v>15900</v>
      </c>
      <c r="E1077" s="24" t="s">
        <v>15870</v>
      </c>
      <c r="F1077" s="29" t="s">
        <v>10668</v>
      </c>
      <c r="H1077" s="11" t="str">
        <f t="shared" si="32"/>
        <v/>
      </c>
      <c r="J1077" s="11" t="str">
        <f t="shared" si="33"/>
        <v xml:space="preserve"> </v>
      </c>
      <c r="K1077" s="24" t="s">
        <v>15801</v>
      </c>
    </row>
    <row r="1078" spans="1:11">
      <c r="A1078" s="24" t="s">
        <v>15801</v>
      </c>
      <c r="B1078" s="24" t="s">
        <v>15842</v>
      </c>
      <c r="C1078" s="24" t="s">
        <v>15801</v>
      </c>
      <c r="D1078" s="24" t="s">
        <v>15900</v>
      </c>
      <c r="E1078" s="24" t="s">
        <v>15938</v>
      </c>
      <c r="H1078" s="11" t="str">
        <f t="shared" si="32"/>
        <v/>
      </c>
      <c r="J1078" s="11" t="str">
        <f t="shared" si="33"/>
        <v xml:space="preserve"> </v>
      </c>
      <c r="K1078" s="24" t="s">
        <v>15801</v>
      </c>
    </row>
    <row r="1079" spans="1:11">
      <c r="A1079" s="24" t="s">
        <v>15801</v>
      </c>
      <c r="B1079" s="24" t="s">
        <v>15808</v>
      </c>
      <c r="C1079" s="24" t="s">
        <v>15920</v>
      </c>
      <c r="D1079" s="24" t="s">
        <v>15900</v>
      </c>
      <c r="E1079" s="24" t="s">
        <v>15820</v>
      </c>
      <c r="G1079" s="24">
        <v>1852</v>
      </c>
      <c r="H1079" s="11"/>
      <c r="J1079" s="11" t="str">
        <f t="shared" si="33"/>
        <v xml:space="preserve"> </v>
      </c>
    </row>
    <row r="1080" spans="1:11">
      <c r="A1080" s="24" t="s">
        <v>15818</v>
      </c>
      <c r="B1080" s="24" t="s">
        <v>15818</v>
      </c>
      <c r="C1080" s="24" t="s">
        <v>15931</v>
      </c>
      <c r="D1080" s="24" t="s">
        <v>15900</v>
      </c>
      <c r="E1080" s="24" t="s">
        <v>15801</v>
      </c>
      <c r="F1080" s="29" t="s">
        <v>10752</v>
      </c>
      <c r="G1080" s="24" t="s">
        <v>10753</v>
      </c>
      <c r="H1080" s="11" t="str">
        <f t="shared" si="32"/>
        <v>8/12/1843</v>
      </c>
      <c r="J1080" s="11" t="str">
        <f t="shared" si="33"/>
        <v xml:space="preserve"> </v>
      </c>
      <c r="K1080" s="24" t="s">
        <v>10753</v>
      </c>
    </row>
    <row r="1081" spans="1:11">
      <c r="A1081" s="24" t="s">
        <v>15801</v>
      </c>
      <c r="B1081" s="24" t="s">
        <v>15829</v>
      </c>
      <c r="C1081" s="24" t="s">
        <v>15951</v>
      </c>
      <c r="D1081" s="24" t="s">
        <v>15956</v>
      </c>
      <c r="E1081" s="24" t="s">
        <v>15801</v>
      </c>
      <c r="G1081" s="24" t="s">
        <v>10838</v>
      </c>
      <c r="H1081" s="11" t="str">
        <f t="shared" si="32"/>
        <v>30/1/1886</v>
      </c>
      <c r="J1081" s="11" t="str">
        <f t="shared" si="33"/>
        <v xml:space="preserve"> </v>
      </c>
      <c r="K1081" s="24" t="s">
        <v>10838</v>
      </c>
    </row>
    <row r="1082" spans="1:11">
      <c r="A1082" s="24" t="s">
        <v>15840</v>
      </c>
      <c r="B1082" s="24" t="s">
        <v>15840</v>
      </c>
      <c r="C1082" s="24" t="s">
        <v>15891</v>
      </c>
      <c r="D1082" s="24" t="s">
        <v>15801</v>
      </c>
      <c r="E1082" s="24" t="s">
        <v>15817</v>
      </c>
      <c r="F1082" s="29" t="s">
        <v>10819</v>
      </c>
      <c r="G1082" s="24" t="s">
        <v>10820</v>
      </c>
      <c r="H1082" s="11" t="str">
        <f t="shared" si="32"/>
        <v>22/2/1883</v>
      </c>
      <c r="J1082" s="11" t="str">
        <f t="shared" si="33"/>
        <v xml:space="preserve"> </v>
      </c>
      <c r="K1082" s="24" t="s">
        <v>10820</v>
      </c>
    </row>
    <row r="1083" spans="1:11">
      <c r="A1083" s="24" t="s">
        <v>15801</v>
      </c>
      <c r="B1083" s="24" t="s">
        <v>15839</v>
      </c>
      <c r="C1083" s="24" t="s">
        <v>15801</v>
      </c>
      <c r="D1083" s="24" t="s">
        <v>15901</v>
      </c>
      <c r="E1083" s="24" t="s">
        <v>15801</v>
      </c>
      <c r="H1083" s="11" t="str">
        <f t="shared" si="32"/>
        <v/>
      </c>
      <c r="J1083" s="11" t="str">
        <f t="shared" si="33"/>
        <v xml:space="preserve"> </v>
      </c>
      <c r="K1083" s="24" t="s">
        <v>15801</v>
      </c>
    </row>
    <row r="1084" spans="1:11">
      <c r="A1084" s="24" t="s">
        <v>15821</v>
      </c>
      <c r="B1084" s="24" t="s">
        <v>15821</v>
      </c>
      <c r="C1084" s="24" t="s">
        <v>15884</v>
      </c>
      <c r="D1084" s="24" t="s">
        <v>15900</v>
      </c>
      <c r="E1084" s="24" t="s">
        <v>15851</v>
      </c>
      <c r="F1084" s="29" t="s">
        <v>10868</v>
      </c>
      <c r="G1084" s="24" t="s">
        <v>6764</v>
      </c>
      <c r="H1084" s="11" t="str">
        <f t="shared" si="32"/>
        <v>6/2/1838</v>
      </c>
      <c r="J1084" s="11" t="str">
        <f t="shared" si="33"/>
        <v xml:space="preserve"> </v>
      </c>
      <c r="K1084" s="24" t="s">
        <v>6764</v>
      </c>
    </row>
    <row r="1085" spans="1:11">
      <c r="A1085" s="24" t="s">
        <v>15845</v>
      </c>
      <c r="B1085" s="24" t="s">
        <v>15845</v>
      </c>
      <c r="C1085" s="24" t="s">
        <v>15888</v>
      </c>
      <c r="D1085" s="24" t="s">
        <v>15900</v>
      </c>
      <c r="E1085" s="24" t="s">
        <v>15801</v>
      </c>
      <c r="F1085" s="29" t="s">
        <v>6467</v>
      </c>
      <c r="G1085" s="24" t="s">
        <v>10861</v>
      </c>
      <c r="H1085" s="11" t="str">
        <f t="shared" si="32"/>
        <v>18/5/1864</v>
      </c>
      <c r="J1085" s="11" t="str">
        <f t="shared" si="33"/>
        <v xml:space="preserve"> </v>
      </c>
      <c r="K1085" s="24" t="s">
        <v>10861</v>
      </c>
    </row>
    <row r="1086" spans="1:11">
      <c r="A1086" s="24" t="s">
        <v>15821</v>
      </c>
      <c r="B1086" s="24" t="s">
        <v>15821</v>
      </c>
      <c r="C1086" s="24" t="s">
        <v>15870</v>
      </c>
      <c r="D1086" s="24" t="s">
        <v>15900</v>
      </c>
      <c r="E1086" s="24" t="s">
        <v>15971</v>
      </c>
      <c r="F1086" s="29" t="s">
        <v>10855</v>
      </c>
      <c r="G1086" s="24" t="s">
        <v>10857</v>
      </c>
      <c r="H1086" s="11" t="str">
        <f t="shared" si="32"/>
        <v>27/3/1836</v>
      </c>
      <c r="J1086" s="11" t="str">
        <f t="shared" si="33"/>
        <v xml:space="preserve"> </v>
      </c>
      <c r="K1086" s="24" t="s">
        <v>10857</v>
      </c>
    </row>
    <row r="1087" spans="1:11">
      <c r="A1087" s="24" t="s">
        <v>15801</v>
      </c>
      <c r="B1087" s="24" t="s">
        <v>15801</v>
      </c>
      <c r="C1087" s="24" t="s">
        <v>15899</v>
      </c>
      <c r="D1087" s="24" t="s">
        <v>15900</v>
      </c>
      <c r="E1087" s="24" t="s">
        <v>15900</v>
      </c>
      <c r="G1087" s="24" t="s">
        <v>10758</v>
      </c>
      <c r="H1087" s="11" t="str">
        <f t="shared" si="32"/>
        <v>7/2/1840</v>
      </c>
      <c r="J1087" s="11" t="str">
        <f t="shared" si="33"/>
        <v xml:space="preserve"> </v>
      </c>
      <c r="K1087" s="24" t="s">
        <v>10758</v>
      </c>
    </row>
    <row r="1088" spans="1:11">
      <c r="A1088" s="24" t="s">
        <v>15811</v>
      </c>
      <c r="B1088" s="24" t="s">
        <v>15811</v>
      </c>
      <c r="C1088" s="24" t="s">
        <v>15801</v>
      </c>
      <c r="D1088" s="24" t="s">
        <v>15900</v>
      </c>
      <c r="E1088" s="24" t="s">
        <v>15801</v>
      </c>
      <c r="F1088" s="29" t="s">
        <v>10813</v>
      </c>
      <c r="H1088" s="11" t="str">
        <f t="shared" si="32"/>
        <v/>
      </c>
      <c r="J1088" s="11" t="str">
        <f t="shared" si="33"/>
        <v xml:space="preserve"> </v>
      </c>
      <c r="K1088" s="24" t="s">
        <v>15801</v>
      </c>
    </row>
    <row r="1089" spans="1:11">
      <c r="A1089" s="24" t="s">
        <v>15839</v>
      </c>
      <c r="B1089" s="24" t="s">
        <v>15839</v>
      </c>
      <c r="C1089" s="24" t="s">
        <v>15801</v>
      </c>
      <c r="D1089" s="24" t="s">
        <v>15900</v>
      </c>
      <c r="E1089" s="24" t="s">
        <v>15801</v>
      </c>
      <c r="F1089" s="29" t="s">
        <v>10905</v>
      </c>
      <c r="H1089" s="11" t="str">
        <f t="shared" si="32"/>
        <v/>
      </c>
      <c r="J1089" s="11" t="str">
        <f t="shared" si="33"/>
        <v xml:space="preserve"> </v>
      </c>
      <c r="K1089" s="24" t="s">
        <v>15801</v>
      </c>
    </row>
    <row r="1090" spans="1:11">
      <c r="A1090" s="24" t="s">
        <v>15853</v>
      </c>
      <c r="B1090" s="24" t="s">
        <v>15853</v>
      </c>
      <c r="C1090" s="24" t="s">
        <v>15801</v>
      </c>
      <c r="D1090" s="24" t="s">
        <v>15884</v>
      </c>
      <c r="E1090" s="24" t="s">
        <v>15801</v>
      </c>
      <c r="F1090" s="29" t="s">
        <v>10783</v>
      </c>
      <c r="H1090" s="11" t="str">
        <f t="shared" si="32"/>
        <v/>
      </c>
      <c r="J1090" s="11" t="str">
        <f t="shared" si="33"/>
        <v xml:space="preserve"> </v>
      </c>
      <c r="K1090" s="24" t="s">
        <v>15801</v>
      </c>
    </row>
    <row r="1091" spans="1:11">
      <c r="A1091" s="24" t="s">
        <v>15819</v>
      </c>
      <c r="B1091" s="24" t="s">
        <v>15819</v>
      </c>
      <c r="C1091" s="24" t="s">
        <v>15925</v>
      </c>
      <c r="D1091" s="24" t="s">
        <v>15900</v>
      </c>
      <c r="E1091" s="24" t="s">
        <v>15801</v>
      </c>
      <c r="F1091" s="29" t="s">
        <v>10848</v>
      </c>
      <c r="G1091" s="24" t="s">
        <v>10849</v>
      </c>
      <c r="H1091" s="11" t="str">
        <f t="shared" ref="H1091:H1154" si="34">TRIM(G1091)</f>
        <v>25/10/1851</v>
      </c>
      <c r="J1091" s="11" t="str">
        <f t="shared" ref="J1091:J1154" si="35">IF(LEN(H1091)=4,"fout"," ")</f>
        <v xml:space="preserve"> </v>
      </c>
      <c r="K1091" s="24" t="s">
        <v>10849</v>
      </c>
    </row>
    <row r="1092" spans="1:11">
      <c r="A1092" s="24" t="s">
        <v>15828</v>
      </c>
      <c r="B1092" s="24" t="s">
        <v>15828</v>
      </c>
      <c r="C1092" s="24" t="s">
        <v>15880</v>
      </c>
      <c r="D1092" s="24" t="s">
        <v>15900</v>
      </c>
      <c r="E1092" s="24" t="s">
        <v>15938</v>
      </c>
      <c r="F1092" s="29" t="s">
        <v>10769</v>
      </c>
      <c r="G1092" s="24" t="s">
        <v>10770</v>
      </c>
      <c r="H1092" s="11" t="str">
        <f t="shared" si="34"/>
        <v>6/9/1892</v>
      </c>
      <c r="J1092" s="11" t="str">
        <f t="shared" si="35"/>
        <v xml:space="preserve"> </v>
      </c>
      <c r="K1092" s="24" t="s">
        <v>10770</v>
      </c>
    </row>
    <row r="1093" spans="1:11">
      <c r="A1093" s="24" t="s">
        <v>15833</v>
      </c>
      <c r="B1093" s="24" t="s">
        <v>15833</v>
      </c>
      <c r="C1093" s="24" t="s">
        <v>15961</v>
      </c>
      <c r="D1093" s="24" t="s">
        <v>15900</v>
      </c>
      <c r="E1093" s="24" t="s">
        <v>15948</v>
      </c>
      <c r="G1093" s="24" t="s">
        <v>10796</v>
      </c>
      <c r="H1093" s="11" t="str">
        <f t="shared" si="34"/>
        <v>2/2/1912</v>
      </c>
      <c r="J1093" s="11" t="str">
        <f t="shared" si="35"/>
        <v xml:space="preserve"> </v>
      </c>
      <c r="K1093" s="24" t="s">
        <v>10796</v>
      </c>
    </row>
    <row r="1094" spans="1:11">
      <c r="A1094" s="24" t="s">
        <v>15811</v>
      </c>
      <c r="B1094" s="24" t="s">
        <v>15811</v>
      </c>
      <c r="C1094" s="24" t="s">
        <v>15903</v>
      </c>
      <c r="D1094" s="24" t="s">
        <v>15900</v>
      </c>
      <c r="E1094" s="24" t="s">
        <v>15936</v>
      </c>
      <c r="G1094" s="24" t="s">
        <v>10778</v>
      </c>
      <c r="H1094" s="11" t="str">
        <f t="shared" si="34"/>
        <v>18/6/1895</v>
      </c>
      <c r="J1094" s="11" t="str">
        <f t="shared" si="35"/>
        <v xml:space="preserve"> </v>
      </c>
      <c r="K1094" s="24" t="s">
        <v>10778</v>
      </c>
    </row>
    <row r="1095" spans="1:11">
      <c r="A1095" s="24" t="s">
        <v>15811</v>
      </c>
      <c r="B1095" s="24" t="s">
        <v>15811</v>
      </c>
      <c r="C1095" s="24" t="s">
        <v>15801</v>
      </c>
      <c r="D1095" s="24" t="s">
        <v>15900</v>
      </c>
      <c r="E1095" s="24" t="s">
        <v>15956</v>
      </c>
      <c r="H1095" s="11" t="str">
        <f t="shared" si="34"/>
        <v/>
      </c>
      <c r="J1095" s="11" t="str">
        <f t="shared" si="35"/>
        <v xml:space="preserve"> </v>
      </c>
      <c r="K1095" s="24" t="s">
        <v>15801</v>
      </c>
    </row>
    <row r="1096" spans="1:11">
      <c r="A1096" s="24" t="s">
        <v>15823</v>
      </c>
      <c r="B1096" s="24" t="s">
        <v>15823</v>
      </c>
      <c r="C1096" s="24" t="s">
        <v>15951</v>
      </c>
      <c r="D1096" s="24" t="s">
        <v>15900</v>
      </c>
      <c r="E1096" s="24" t="s">
        <v>15898</v>
      </c>
      <c r="G1096" s="24" t="s">
        <v>10877</v>
      </c>
      <c r="H1096" s="11" t="str">
        <f t="shared" si="34"/>
        <v>25/9/1886</v>
      </c>
      <c r="J1096" s="11" t="str">
        <f t="shared" si="35"/>
        <v xml:space="preserve"> </v>
      </c>
      <c r="K1096" s="24" t="s">
        <v>10877</v>
      </c>
    </row>
    <row r="1097" spans="1:11">
      <c r="A1097" s="24" t="s">
        <v>15801</v>
      </c>
      <c r="B1097" s="24" t="s">
        <v>15854</v>
      </c>
      <c r="C1097" s="24" t="s">
        <v>15801</v>
      </c>
      <c r="D1097" s="24" t="s">
        <v>15908</v>
      </c>
      <c r="E1097" s="24" t="s">
        <v>15801</v>
      </c>
      <c r="H1097" s="11" t="str">
        <f t="shared" si="34"/>
        <v/>
      </c>
      <c r="J1097" s="11" t="str">
        <f t="shared" si="35"/>
        <v xml:space="preserve"> </v>
      </c>
      <c r="K1097" s="24" t="s">
        <v>15801</v>
      </c>
    </row>
    <row r="1098" spans="1:11">
      <c r="A1098" s="24" t="s">
        <v>15801</v>
      </c>
      <c r="B1098" s="24" t="s">
        <v>15845</v>
      </c>
      <c r="C1098" s="24" t="s">
        <v>15951</v>
      </c>
      <c r="D1098" s="24" t="s">
        <v>15900</v>
      </c>
      <c r="E1098" s="24" t="s">
        <v>15802</v>
      </c>
      <c r="G1098" s="24" t="s">
        <v>10802</v>
      </c>
      <c r="H1098" s="11" t="str">
        <f t="shared" si="34"/>
        <v>18/1/1886</v>
      </c>
      <c r="J1098" s="11" t="str">
        <f t="shared" si="35"/>
        <v xml:space="preserve"> </v>
      </c>
      <c r="K1098" s="24" t="s">
        <v>10802</v>
      </c>
    </row>
    <row r="1099" spans="1:11">
      <c r="A1099" s="24" t="s">
        <v>15828</v>
      </c>
      <c r="B1099" s="24" t="s">
        <v>15828</v>
      </c>
      <c r="C1099" s="24" t="s">
        <v>15801</v>
      </c>
      <c r="D1099" s="24" t="s">
        <v>15900</v>
      </c>
      <c r="E1099" s="24" t="s">
        <v>15901</v>
      </c>
      <c r="H1099" s="11" t="str">
        <f t="shared" si="34"/>
        <v/>
      </c>
      <c r="J1099" s="11" t="str">
        <f t="shared" si="35"/>
        <v xml:space="preserve"> </v>
      </c>
      <c r="K1099" s="24" t="s">
        <v>15801</v>
      </c>
    </row>
    <row r="1100" spans="1:11">
      <c r="A1100" s="24" t="s">
        <v>15801</v>
      </c>
      <c r="B1100" s="24" t="s">
        <v>15806</v>
      </c>
      <c r="C1100" s="24" t="s">
        <v>15801</v>
      </c>
      <c r="D1100" s="24" t="s">
        <v>15801</v>
      </c>
      <c r="E1100" s="24" t="s">
        <v>15801</v>
      </c>
      <c r="H1100" s="11" t="str">
        <f t="shared" si="34"/>
        <v/>
      </c>
      <c r="J1100" s="11" t="str">
        <f t="shared" si="35"/>
        <v xml:space="preserve"> </v>
      </c>
      <c r="K1100" s="24" t="s">
        <v>15801</v>
      </c>
    </row>
    <row r="1101" spans="1:11">
      <c r="A1101" s="24" t="s">
        <v>15818</v>
      </c>
      <c r="B1101" s="24" t="s">
        <v>15818</v>
      </c>
      <c r="C1101" s="24" t="s">
        <v>15801</v>
      </c>
      <c r="D1101" s="24" t="s">
        <v>15900</v>
      </c>
      <c r="E1101" s="24" t="s">
        <v>15921</v>
      </c>
      <c r="F1101" s="29" t="s">
        <v>10971</v>
      </c>
      <c r="H1101" s="11" t="str">
        <f t="shared" si="34"/>
        <v/>
      </c>
      <c r="J1101" s="11" t="str">
        <f t="shared" si="35"/>
        <v xml:space="preserve"> </v>
      </c>
      <c r="K1101" s="24" t="s">
        <v>15801</v>
      </c>
    </row>
    <row r="1102" spans="1:11">
      <c r="A1102" s="24" t="s">
        <v>15816</v>
      </c>
      <c r="B1102" s="24" t="s">
        <v>15816</v>
      </c>
      <c r="C1102" s="24" t="s">
        <v>15801</v>
      </c>
      <c r="D1102" s="24" t="s">
        <v>15899</v>
      </c>
      <c r="E1102" s="24" t="s">
        <v>15900</v>
      </c>
      <c r="F1102" s="29" t="s">
        <v>10923</v>
      </c>
      <c r="H1102" s="11" t="str">
        <f t="shared" si="34"/>
        <v/>
      </c>
      <c r="J1102" s="11" t="str">
        <f t="shared" si="35"/>
        <v xml:space="preserve"> </v>
      </c>
      <c r="K1102" s="24" t="s">
        <v>15801</v>
      </c>
    </row>
    <row r="1103" spans="1:11">
      <c r="A1103" s="24" t="s">
        <v>15801</v>
      </c>
      <c r="B1103" s="24" t="s">
        <v>15857</v>
      </c>
      <c r="C1103" s="24" t="s">
        <v>15801</v>
      </c>
      <c r="D1103" s="24" t="s">
        <v>15870</v>
      </c>
      <c r="E1103" s="24" t="s">
        <v>15841</v>
      </c>
      <c r="H1103" s="11" t="str">
        <f t="shared" si="34"/>
        <v/>
      </c>
      <c r="J1103" s="11" t="str">
        <f t="shared" si="35"/>
        <v xml:space="preserve"> </v>
      </c>
      <c r="K1103" s="24" t="s">
        <v>15801</v>
      </c>
    </row>
    <row r="1104" spans="1:11">
      <c r="A1104" s="24" t="s">
        <v>15840</v>
      </c>
      <c r="B1104" s="24" t="s">
        <v>15840</v>
      </c>
      <c r="C1104" s="24" t="s">
        <v>15930</v>
      </c>
      <c r="D1104" s="24" t="s">
        <v>15870</v>
      </c>
      <c r="E1104" s="24" t="s">
        <v>15828</v>
      </c>
      <c r="F1104" s="29" t="s">
        <v>1684</v>
      </c>
      <c r="G1104" s="24">
        <v>1896</v>
      </c>
      <c r="H1104" s="11"/>
      <c r="J1104" s="11" t="str">
        <f t="shared" si="35"/>
        <v xml:space="preserve"> </v>
      </c>
    </row>
    <row r="1105" spans="1:11">
      <c r="A1105" s="24" t="s">
        <v>15811</v>
      </c>
      <c r="B1105" s="24" t="s">
        <v>15811</v>
      </c>
      <c r="C1105" s="24" t="s">
        <v>15926</v>
      </c>
      <c r="D1105" s="24" t="s">
        <v>15870</v>
      </c>
      <c r="E1105" s="24" t="s">
        <v>15956</v>
      </c>
      <c r="F1105" s="29" t="s">
        <v>10950</v>
      </c>
      <c r="G1105" s="24" t="s">
        <v>10951</v>
      </c>
      <c r="H1105" s="11" t="str">
        <f t="shared" si="34"/>
        <v>15/5/1897</v>
      </c>
      <c r="J1105" s="11" t="str">
        <f t="shared" si="35"/>
        <v xml:space="preserve"> </v>
      </c>
      <c r="K1105" s="24" t="s">
        <v>10951</v>
      </c>
    </row>
    <row r="1106" spans="1:11">
      <c r="A1106" s="24" t="s">
        <v>15801</v>
      </c>
      <c r="B1106" s="24" t="s">
        <v>15813</v>
      </c>
      <c r="C1106" s="24" t="s">
        <v>15801</v>
      </c>
      <c r="D1106" s="24" t="s">
        <v>15899</v>
      </c>
      <c r="E1106" s="24" t="s">
        <v>15945</v>
      </c>
      <c r="H1106" s="11" t="str">
        <f t="shared" si="34"/>
        <v/>
      </c>
      <c r="J1106" s="11" t="str">
        <f t="shared" si="35"/>
        <v xml:space="preserve"> </v>
      </c>
      <c r="K1106" s="24" t="s">
        <v>15801</v>
      </c>
    </row>
    <row r="1107" spans="1:11">
      <c r="A1107" s="24" t="s">
        <v>15804</v>
      </c>
      <c r="B1107" s="24" t="s">
        <v>15804</v>
      </c>
      <c r="C1107" s="24" t="s">
        <v>15880</v>
      </c>
      <c r="D1107" s="24" t="s">
        <v>15899</v>
      </c>
      <c r="E1107" s="24" t="s">
        <v>15864</v>
      </c>
      <c r="F1107" s="29" t="s">
        <v>10910</v>
      </c>
      <c r="G1107" s="24" t="s">
        <v>10912</v>
      </c>
      <c r="H1107" s="11" t="str">
        <f t="shared" si="34"/>
        <v>9/9/1892</v>
      </c>
      <c r="J1107" s="11" t="str">
        <f t="shared" si="35"/>
        <v xml:space="preserve"> </v>
      </c>
      <c r="K1107" s="24" t="s">
        <v>10912</v>
      </c>
    </row>
    <row r="1108" spans="1:11">
      <c r="A1108" s="24" t="s">
        <v>15801</v>
      </c>
      <c r="B1108" s="24" t="s">
        <v>15815</v>
      </c>
      <c r="C1108" s="24" t="s">
        <v>15801</v>
      </c>
      <c r="D1108" s="24" t="s">
        <v>15899</v>
      </c>
      <c r="E1108" s="24" t="s">
        <v>15884</v>
      </c>
      <c r="H1108" s="11" t="str">
        <f t="shared" si="34"/>
        <v/>
      </c>
      <c r="J1108" s="11" t="str">
        <f t="shared" si="35"/>
        <v xml:space="preserve"> </v>
      </c>
      <c r="K1108" s="24" t="s">
        <v>15801</v>
      </c>
    </row>
    <row r="1109" spans="1:11">
      <c r="A1109" s="24" t="s">
        <v>15801</v>
      </c>
      <c r="B1109" s="24" t="s">
        <v>15801</v>
      </c>
      <c r="C1109" s="24" t="s">
        <v>15801</v>
      </c>
      <c r="D1109" s="24" t="s">
        <v>15956</v>
      </c>
      <c r="E1109" s="24" t="s">
        <v>15801</v>
      </c>
      <c r="H1109" s="11" t="str">
        <f t="shared" si="34"/>
        <v/>
      </c>
      <c r="J1109" s="11" t="str">
        <f t="shared" si="35"/>
        <v xml:space="preserve"> </v>
      </c>
      <c r="K1109" s="24" t="s">
        <v>15801</v>
      </c>
    </row>
    <row r="1110" spans="1:11">
      <c r="A1110" s="24" t="s">
        <v>15825</v>
      </c>
      <c r="B1110" s="24" t="s">
        <v>15825</v>
      </c>
      <c r="C1110" s="24" t="s">
        <v>15801</v>
      </c>
      <c r="D1110" s="24" t="s">
        <v>15900</v>
      </c>
      <c r="E1110" s="24" t="s">
        <v>15900</v>
      </c>
      <c r="F1110" s="29" t="s">
        <v>10931</v>
      </c>
      <c r="H1110" s="11" t="str">
        <f t="shared" si="34"/>
        <v/>
      </c>
      <c r="J1110" s="11" t="str">
        <f t="shared" si="35"/>
        <v xml:space="preserve"> </v>
      </c>
      <c r="K1110" s="24" t="s">
        <v>15801</v>
      </c>
    </row>
    <row r="1111" spans="1:11">
      <c r="A1111" s="24" t="s">
        <v>15804</v>
      </c>
      <c r="B1111" s="24" t="s">
        <v>15804</v>
      </c>
      <c r="C1111" s="24" t="s">
        <v>15801</v>
      </c>
      <c r="D1111" s="24" t="s">
        <v>15908</v>
      </c>
      <c r="E1111" s="24" t="s">
        <v>15870</v>
      </c>
      <c r="F1111" s="29" t="s">
        <v>10982</v>
      </c>
      <c r="H1111" s="11" t="str">
        <f t="shared" si="34"/>
        <v/>
      </c>
      <c r="J1111" s="11" t="str">
        <f t="shared" si="35"/>
        <v xml:space="preserve"> </v>
      </c>
      <c r="K1111" s="24" t="s">
        <v>15801</v>
      </c>
    </row>
    <row r="1112" spans="1:11">
      <c r="A1112" s="24" t="s">
        <v>15821</v>
      </c>
      <c r="B1112" s="24" t="s">
        <v>15821</v>
      </c>
      <c r="C1112" s="24" t="s">
        <v>15801</v>
      </c>
      <c r="D1112" s="24" t="s">
        <v>15956</v>
      </c>
      <c r="E1112" s="24" t="s">
        <v>15801</v>
      </c>
      <c r="F1112" s="29" t="s">
        <v>10964</v>
      </c>
      <c r="H1112" s="11" t="str">
        <f t="shared" si="34"/>
        <v/>
      </c>
      <c r="J1112" s="11" t="str">
        <f t="shared" si="35"/>
        <v xml:space="preserve"> </v>
      </c>
      <c r="K1112" s="24" t="s">
        <v>15801</v>
      </c>
    </row>
    <row r="1113" spans="1:11">
      <c r="A1113" s="24" t="s">
        <v>15806</v>
      </c>
      <c r="B1113" s="24" t="s">
        <v>15806</v>
      </c>
      <c r="C1113" s="24" t="s">
        <v>15801</v>
      </c>
      <c r="D1113" s="24" t="s">
        <v>15901</v>
      </c>
      <c r="E1113" s="24" t="s">
        <v>15915</v>
      </c>
      <c r="F1113" s="29" t="s">
        <v>10999</v>
      </c>
      <c r="H1113" s="11" t="str">
        <f t="shared" si="34"/>
        <v/>
      </c>
      <c r="J1113" s="11" t="str">
        <f t="shared" si="35"/>
        <v xml:space="preserve"> </v>
      </c>
      <c r="K1113" s="24" t="s">
        <v>15801</v>
      </c>
    </row>
    <row r="1114" spans="1:11">
      <c r="A1114" s="24" t="s">
        <v>15828</v>
      </c>
      <c r="B1114" s="24" t="s">
        <v>15828</v>
      </c>
      <c r="C1114" s="24" t="s">
        <v>15801</v>
      </c>
      <c r="D1114" s="24" t="s">
        <v>15948</v>
      </c>
      <c r="E1114" s="24" t="s">
        <v>15801</v>
      </c>
      <c r="F1114" s="29" t="s">
        <v>10976</v>
      </c>
      <c r="H1114" s="11" t="str">
        <f t="shared" si="34"/>
        <v/>
      </c>
      <c r="J1114" s="11" t="str">
        <f t="shared" si="35"/>
        <v xml:space="preserve"> </v>
      </c>
      <c r="K1114" s="24" t="s">
        <v>15801</v>
      </c>
    </row>
    <row r="1115" spans="1:11">
      <c r="A1115" s="24" t="s">
        <v>15804</v>
      </c>
      <c r="B1115" s="24" t="s">
        <v>15804</v>
      </c>
      <c r="C1115" s="24" t="s">
        <v>15801</v>
      </c>
      <c r="D1115" s="24" t="s">
        <v>15884</v>
      </c>
      <c r="E1115" s="24" t="s">
        <v>15884</v>
      </c>
      <c r="F1115" s="29" t="s">
        <v>10992</v>
      </c>
      <c r="H1115" s="11" t="str">
        <f t="shared" si="34"/>
        <v/>
      </c>
      <c r="J1115" s="11" t="str">
        <f t="shared" si="35"/>
        <v xml:space="preserve"> </v>
      </c>
      <c r="K1115" s="24" t="s">
        <v>15801</v>
      </c>
    </row>
    <row r="1116" spans="1:11">
      <c r="A1116" s="24" t="s">
        <v>15801</v>
      </c>
      <c r="B1116" s="24" t="s">
        <v>15853</v>
      </c>
      <c r="C1116" s="24" t="s">
        <v>15878</v>
      </c>
      <c r="D1116" s="24" t="s">
        <v>15884</v>
      </c>
      <c r="E1116" s="24" t="s">
        <v>15840</v>
      </c>
      <c r="G1116" s="24">
        <v>1850</v>
      </c>
      <c r="H1116" s="11"/>
      <c r="J1116" s="11" t="str">
        <f t="shared" si="35"/>
        <v xml:space="preserve"> </v>
      </c>
    </row>
    <row r="1117" spans="1:11">
      <c r="A1117" s="24" t="s">
        <v>15814</v>
      </c>
      <c r="B1117" s="24" t="s">
        <v>15814</v>
      </c>
      <c r="C1117" s="24" t="s">
        <v>15801</v>
      </c>
      <c r="D1117" s="24" t="s">
        <v>15884</v>
      </c>
      <c r="E1117" s="24" t="s">
        <v>15801</v>
      </c>
      <c r="F1117" s="29" t="s">
        <v>11010</v>
      </c>
      <c r="H1117" s="11" t="str">
        <f t="shared" si="34"/>
        <v/>
      </c>
      <c r="J1117" s="11" t="str">
        <f t="shared" si="35"/>
        <v xml:space="preserve"> </v>
      </c>
      <c r="K1117" s="24" t="s">
        <v>15801</v>
      </c>
    </row>
    <row r="1118" spans="1:11">
      <c r="A1118" s="24" t="s">
        <v>15813</v>
      </c>
      <c r="B1118" s="24" t="s">
        <v>15813</v>
      </c>
      <c r="C1118" s="24" t="s">
        <v>15939</v>
      </c>
      <c r="D1118" s="24" t="s">
        <v>15884</v>
      </c>
      <c r="E1118" s="24" t="s">
        <v>15823</v>
      </c>
      <c r="F1118" s="29" t="s">
        <v>11045</v>
      </c>
      <c r="G1118" s="24" t="s">
        <v>11047</v>
      </c>
      <c r="H1118" s="11" t="str">
        <f t="shared" si="34"/>
        <v>28/3/1872</v>
      </c>
      <c r="J1118" s="11" t="str">
        <f t="shared" si="35"/>
        <v xml:space="preserve"> </v>
      </c>
      <c r="K1118" s="24" t="s">
        <v>11047</v>
      </c>
    </row>
    <row r="1119" spans="1:11">
      <c r="A1119" s="24" t="s">
        <v>15801</v>
      </c>
      <c r="B1119" s="24" t="s">
        <v>15854</v>
      </c>
      <c r="C1119" s="24" t="s">
        <v>15920</v>
      </c>
      <c r="D1119" s="24" t="s">
        <v>15900</v>
      </c>
      <c r="E1119" s="24" t="s">
        <v>15829</v>
      </c>
      <c r="G1119" s="24" t="s">
        <v>11021</v>
      </c>
      <c r="H1119" s="11"/>
      <c r="J1119" s="11" t="str">
        <f t="shared" si="35"/>
        <v xml:space="preserve"> </v>
      </c>
    </row>
    <row r="1120" spans="1:11">
      <c r="A1120" s="24" t="s">
        <v>15801</v>
      </c>
      <c r="B1120" s="24" t="s">
        <v>15814</v>
      </c>
      <c r="C1120" s="24" t="s">
        <v>15801</v>
      </c>
      <c r="D1120" s="24" t="s">
        <v>15900</v>
      </c>
      <c r="E1120" s="24" t="s">
        <v>15864</v>
      </c>
      <c r="H1120" s="11" t="str">
        <f t="shared" si="34"/>
        <v/>
      </c>
      <c r="J1120" s="11" t="str">
        <f t="shared" si="35"/>
        <v xml:space="preserve"> </v>
      </c>
      <c r="K1120" s="24" t="s">
        <v>15801</v>
      </c>
    </row>
    <row r="1121" spans="1:11">
      <c r="A1121" s="24" t="s">
        <v>15801</v>
      </c>
      <c r="B1121" s="24" t="s">
        <v>15815</v>
      </c>
      <c r="C1121" s="24" t="s">
        <v>15801</v>
      </c>
      <c r="D1121" s="24" t="s">
        <v>15900</v>
      </c>
      <c r="E1121" s="24" t="s">
        <v>15921</v>
      </c>
      <c r="H1121" s="11" t="str">
        <f t="shared" si="34"/>
        <v/>
      </c>
      <c r="J1121" s="11" t="str">
        <f t="shared" si="35"/>
        <v xml:space="preserve"> </v>
      </c>
      <c r="K1121" s="24" t="s">
        <v>15801</v>
      </c>
    </row>
    <row r="1122" spans="1:11">
      <c r="A1122" s="24" t="s">
        <v>15817</v>
      </c>
      <c r="B1122" s="24" t="s">
        <v>15817</v>
      </c>
      <c r="C1122" s="24" t="s">
        <v>15920</v>
      </c>
      <c r="D1122" s="24" t="s">
        <v>15900</v>
      </c>
      <c r="E1122" s="24" t="s">
        <v>15801</v>
      </c>
      <c r="F1122" s="29" t="s">
        <v>11014</v>
      </c>
      <c r="G1122" s="24" t="s">
        <v>11016</v>
      </c>
      <c r="H1122" s="11" t="str">
        <f t="shared" si="34"/>
        <v>12/5/1852</v>
      </c>
      <c r="J1122" s="11" t="str">
        <f t="shared" si="35"/>
        <v xml:space="preserve"> </v>
      </c>
      <c r="K1122" s="24" t="s">
        <v>11016</v>
      </c>
    </row>
    <row r="1123" spans="1:11">
      <c r="A1123" s="24" t="s">
        <v>15811</v>
      </c>
      <c r="B1123" s="24" t="s">
        <v>15811</v>
      </c>
      <c r="C1123" s="24" t="s">
        <v>15920</v>
      </c>
      <c r="D1123" s="24" t="s">
        <v>15900</v>
      </c>
      <c r="E1123" s="24" t="s">
        <v>15878</v>
      </c>
      <c r="F1123" s="29" t="s">
        <v>11039</v>
      </c>
      <c r="G1123" s="24" t="s">
        <v>11021</v>
      </c>
      <c r="H1123" s="11"/>
      <c r="J1123" s="11" t="str">
        <f t="shared" si="35"/>
        <v xml:space="preserve"> </v>
      </c>
    </row>
    <row r="1124" spans="1:11">
      <c r="A1124" s="24" t="s">
        <v>15817</v>
      </c>
      <c r="B1124" s="24" t="s">
        <v>15817</v>
      </c>
      <c r="C1124" s="24" t="s">
        <v>15801</v>
      </c>
      <c r="D1124" s="24" t="s">
        <v>15931</v>
      </c>
      <c r="E1124" s="24" t="s">
        <v>15801</v>
      </c>
      <c r="F1124" s="29" t="s">
        <v>6921</v>
      </c>
      <c r="H1124" s="11" t="str">
        <f t="shared" si="34"/>
        <v/>
      </c>
      <c r="J1124" s="11" t="str">
        <f t="shared" si="35"/>
        <v xml:space="preserve"> </v>
      </c>
      <c r="K1124" s="24" t="s">
        <v>15801</v>
      </c>
    </row>
    <row r="1125" spans="1:11">
      <c r="A1125" s="24" t="s">
        <v>15833</v>
      </c>
      <c r="B1125" s="24" t="s">
        <v>15833</v>
      </c>
      <c r="C1125" s="24" t="s">
        <v>15928</v>
      </c>
      <c r="D1125" s="24" t="s">
        <v>15948</v>
      </c>
      <c r="E1125" s="24" t="s">
        <v>15801</v>
      </c>
      <c r="F1125" s="29" t="s">
        <v>11058</v>
      </c>
      <c r="G1125" s="24" t="s">
        <v>11060</v>
      </c>
      <c r="H1125" s="11" t="str">
        <f t="shared" si="34"/>
        <v>29/11/1899</v>
      </c>
      <c r="J1125" s="11" t="str">
        <f t="shared" si="35"/>
        <v xml:space="preserve"> </v>
      </c>
      <c r="K1125" s="24" t="s">
        <v>11060</v>
      </c>
    </row>
    <row r="1126" spans="1:11">
      <c r="A1126" s="24" t="s">
        <v>15823</v>
      </c>
      <c r="B1126" s="24" t="s">
        <v>15823</v>
      </c>
      <c r="C1126" s="24" t="s">
        <v>15934</v>
      </c>
      <c r="E1126" s="24" t="s">
        <v>15801</v>
      </c>
      <c r="F1126" s="29" t="s">
        <v>11064</v>
      </c>
      <c r="G1126" s="24" t="s">
        <v>11065</v>
      </c>
      <c r="H1126" s="11" t="str">
        <f t="shared" si="34"/>
        <v>21/11/1898</v>
      </c>
      <c r="J1126" s="11" t="str">
        <f t="shared" si="35"/>
        <v xml:space="preserve"> </v>
      </c>
      <c r="K1126" s="24" t="s">
        <v>11065</v>
      </c>
    </row>
    <row r="1127" spans="1:11">
      <c r="A1127" s="24" t="s">
        <v>15802</v>
      </c>
      <c r="B1127" s="24" t="s">
        <v>15802</v>
      </c>
      <c r="C1127" s="24" t="s">
        <v>15959</v>
      </c>
      <c r="D1127" s="24" t="s">
        <v>15884</v>
      </c>
      <c r="E1127" s="24" t="s">
        <v>15884</v>
      </c>
      <c r="F1127" s="29" t="s">
        <v>11095</v>
      </c>
      <c r="G1127" s="24" t="s">
        <v>11097</v>
      </c>
      <c r="H1127" s="11" t="str">
        <f t="shared" si="34"/>
        <v>2/2/1914</v>
      </c>
      <c r="J1127" s="11" t="str">
        <f t="shared" si="35"/>
        <v xml:space="preserve"> </v>
      </c>
      <c r="K1127" s="24" t="s">
        <v>11097</v>
      </c>
    </row>
    <row r="1128" spans="1:11">
      <c r="A1128" s="24" t="s">
        <v>15801</v>
      </c>
      <c r="B1128" s="24" t="s">
        <v>15850</v>
      </c>
      <c r="C1128" s="24" t="s">
        <v>15801</v>
      </c>
      <c r="D1128" s="24" t="s">
        <v>15884</v>
      </c>
      <c r="E1128" s="24" t="s">
        <v>15801</v>
      </c>
      <c r="H1128" s="11" t="str">
        <f t="shared" si="34"/>
        <v/>
      </c>
      <c r="J1128" s="11" t="str">
        <f t="shared" si="35"/>
        <v xml:space="preserve"> </v>
      </c>
      <c r="K1128" s="24" t="s">
        <v>15801</v>
      </c>
    </row>
    <row r="1129" spans="1:11">
      <c r="A1129" s="24" t="s">
        <v>15810</v>
      </c>
      <c r="B1129" s="24" t="s">
        <v>15810</v>
      </c>
      <c r="C1129" s="24" t="s">
        <v>15801</v>
      </c>
      <c r="D1129" s="24" t="s">
        <v>15884</v>
      </c>
      <c r="E1129" s="24" t="s">
        <v>15801</v>
      </c>
      <c r="F1129" s="29" t="s">
        <v>11102</v>
      </c>
      <c r="H1129" s="11" t="str">
        <f t="shared" si="34"/>
        <v/>
      </c>
      <c r="J1129" s="11" t="str">
        <f t="shared" si="35"/>
        <v xml:space="preserve"> </v>
      </c>
      <c r="K1129" s="24" t="s">
        <v>15801</v>
      </c>
    </row>
    <row r="1130" spans="1:11">
      <c r="A1130" s="24" t="s">
        <v>15807</v>
      </c>
      <c r="B1130" s="24" t="s">
        <v>15807</v>
      </c>
      <c r="C1130" s="24" t="s">
        <v>15870</v>
      </c>
      <c r="D1130" s="24" t="s">
        <v>15884</v>
      </c>
      <c r="E1130" s="24" t="s">
        <v>15870</v>
      </c>
      <c r="F1130" s="29" t="s">
        <v>11087</v>
      </c>
      <c r="G1130" s="24" t="s">
        <v>11089</v>
      </c>
      <c r="H1130" s="11" t="str">
        <f t="shared" si="34"/>
        <v>11/6/1836</v>
      </c>
      <c r="J1130" s="11" t="str">
        <f t="shared" si="35"/>
        <v xml:space="preserve"> </v>
      </c>
      <c r="K1130" s="24" t="s">
        <v>11089</v>
      </c>
    </row>
    <row r="1131" spans="1:11">
      <c r="A1131" s="24" t="s">
        <v>15801</v>
      </c>
      <c r="B1131" s="24" t="s">
        <v>15825</v>
      </c>
      <c r="C1131" s="24" t="s">
        <v>15801</v>
      </c>
      <c r="D1131" s="24" t="s">
        <v>15900</v>
      </c>
      <c r="E1131" s="24" t="s">
        <v>15899</v>
      </c>
      <c r="H1131" s="11" t="str">
        <f t="shared" si="34"/>
        <v/>
      </c>
      <c r="J1131" s="11" t="str">
        <f t="shared" si="35"/>
        <v xml:space="preserve"> </v>
      </c>
      <c r="K1131" s="24" t="s">
        <v>15801</v>
      </c>
    </row>
    <row r="1132" spans="1:11">
      <c r="A1132" s="24" t="s">
        <v>15802</v>
      </c>
      <c r="B1132" s="24" t="s">
        <v>15802</v>
      </c>
      <c r="C1132" s="24" t="s">
        <v>15801</v>
      </c>
      <c r="D1132" s="24" t="s">
        <v>15900</v>
      </c>
      <c r="E1132" s="24" t="s">
        <v>15870</v>
      </c>
      <c r="F1132" s="29" t="s">
        <v>11069</v>
      </c>
      <c r="H1132" s="11" t="str">
        <f t="shared" si="34"/>
        <v/>
      </c>
      <c r="J1132" s="11" t="str">
        <f t="shared" si="35"/>
        <v xml:space="preserve"> </v>
      </c>
      <c r="K1132" s="24" t="s">
        <v>15801</v>
      </c>
    </row>
    <row r="1133" spans="1:11">
      <c r="A1133" s="24" t="s">
        <v>15822</v>
      </c>
      <c r="B1133" s="24" t="s">
        <v>15822</v>
      </c>
      <c r="C1133" s="24" t="s">
        <v>15801</v>
      </c>
      <c r="D1133" s="24" t="s">
        <v>15900</v>
      </c>
      <c r="E1133" s="24" t="s">
        <v>15833</v>
      </c>
      <c r="F1133" s="29" t="s">
        <v>11073</v>
      </c>
      <c r="H1133" s="11" t="str">
        <f t="shared" si="34"/>
        <v/>
      </c>
      <c r="J1133" s="11" t="str">
        <f t="shared" si="35"/>
        <v xml:space="preserve"> </v>
      </c>
      <c r="K1133" s="24" t="s">
        <v>15801</v>
      </c>
    </row>
    <row r="1134" spans="1:11">
      <c r="A1134" s="24" t="s">
        <v>15854</v>
      </c>
      <c r="B1134" s="24" t="s">
        <v>15854</v>
      </c>
      <c r="C1134" s="24" t="s">
        <v>15801</v>
      </c>
      <c r="D1134" s="24" t="s">
        <v>15948</v>
      </c>
      <c r="E1134" s="24" t="s">
        <v>15835</v>
      </c>
      <c r="F1134" s="29" t="s">
        <v>11110</v>
      </c>
      <c r="H1134" s="11" t="str">
        <f t="shared" si="34"/>
        <v/>
      </c>
      <c r="J1134" s="11" t="str">
        <f t="shared" si="35"/>
        <v xml:space="preserve"> </v>
      </c>
      <c r="K1134" s="24" t="s">
        <v>15801</v>
      </c>
    </row>
    <row r="1135" spans="1:11">
      <c r="A1135" s="24" t="s">
        <v>15810</v>
      </c>
      <c r="B1135" s="24" t="s">
        <v>15810</v>
      </c>
      <c r="C1135" s="24" t="s">
        <v>15801</v>
      </c>
      <c r="D1135" s="24" t="s">
        <v>15884</v>
      </c>
      <c r="E1135" s="24" t="s">
        <v>15801</v>
      </c>
      <c r="F1135" s="29" t="s">
        <v>11102</v>
      </c>
      <c r="H1135" s="11" t="str">
        <f t="shared" si="34"/>
        <v/>
      </c>
      <c r="J1135" s="11" t="str">
        <f t="shared" si="35"/>
        <v xml:space="preserve"> </v>
      </c>
      <c r="K1135" s="24" t="s">
        <v>15801</v>
      </c>
    </row>
    <row r="1136" spans="1:11">
      <c r="A1136" s="24" t="s">
        <v>15806</v>
      </c>
      <c r="B1136" s="24" t="s">
        <v>15806</v>
      </c>
      <c r="C1136" s="24" t="s">
        <v>15801</v>
      </c>
      <c r="D1136" s="24" t="s">
        <v>15948</v>
      </c>
      <c r="E1136" s="24" t="s">
        <v>15876</v>
      </c>
      <c r="F1136" s="29" t="s">
        <v>11117</v>
      </c>
      <c r="H1136" s="11" t="str">
        <f t="shared" si="34"/>
        <v/>
      </c>
      <c r="J1136" s="11" t="str">
        <f t="shared" si="35"/>
        <v xml:space="preserve"> </v>
      </c>
      <c r="K1136" s="24" t="s">
        <v>15801</v>
      </c>
    </row>
    <row r="1137" spans="1:11">
      <c r="A1137" s="24" t="s">
        <v>15810</v>
      </c>
      <c r="B1137" s="24" t="s">
        <v>15810</v>
      </c>
      <c r="C1137" s="24" t="s">
        <v>15801</v>
      </c>
      <c r="D1137" s="24" t="s">
        <v>15948</v>
      </c>
      <c r="E1137" s="24" t="s">
        <v>15884</v>
      </c>
      <c r="F1137" s="29" t="s">
        <v>11121</v>
      </c>
      <c r="H1137" s="11" t="str">
        <f t="shared" si="34"/>
        <v/>
      </c>
      <c r="J1137" s="11" t="str">
        <f t="shared" si="35"/>
        <v xml:space="preserve"> </v>
      </c>
      <c r="K1137" s="24" t="s">
        <v>15801</v>
      </c>
    </row>
    <row r="1138" spans="1:11">
      <c r="A1138" s="24" t="s">
        <v>15804</v>
      </c>
      <c r="B1138" s="24" t="s">
        <v>15804</v>
      </c>
      <c r="C1138" s="24" t="s">
        <v>15954</v>
      </c>
      <c r="D1138" s="24" t="s">
        <v>15899</v>
      </c>
      <c r="E1138" s="24" t="s">
        <v>15864</v>
      </c>
      <c r="F1138" s="29" t="s">
        <v>11129</v>
      </c>
      <c r="G1138" s="24" t="s">
        <v>11131</v>
      </c>
      <c r="H1138" s="11" t="str">
        <f t="shared" si="34"/>
        <v>9/5/1857</v>
      </c>
      <c r="J1138" s="11" t="str">
        <f t="shared" si="35"/>
        <v xml:space="preserve"> </v>
      </c>
      <c r="K1138" s="24" t="s">
        <v>11131</v>
      </c>
    </row>
    <row r="1139" spans="1:11">
      <c r="A1139" s="24" t="s">
        <v>15801</v>
      </c>
      <c r="B1139" s="24" t="s">
        <v>15801</v>
      </c>
      <c r="C1139" s="24" t="s">
        <v>15801</v>
      </c>
      <c r="D1139" s="24" t="s">
        <v>15870</v>
      </c>
      <c r="E1139" s="24" t="s">
        <v>15801</v>
      </c>
      <c r="H1139" s="11" t="str">
        <f t="shared" si="34"/>
        <v/>
      </c>
      <c r="J1139" s="11" t="str">
        <f t="shared" si="35"/>
        <v xml:space="preserve"> </v>
      </c>
      <c r="K1139" s="24" t="s">
        <v>15801</v>
      </c>
    </row>
    <row r="1140" spans="1:11">
      <c r="A1140" s="24" t="s">
        <v>15834</v>
      </c>
      <c r="B1140" s="24" t="s">
        <v>15834</v>
      </c>
      <c r="C1140" s="24" t="s">
        <v>15801</v>
      </c>
      <c r="D1140" s="24" t="s">
        <v>15956</v>
      </c>
      <c r="E1140" s="24" t="s">
        <v>15802</v>
      </c>
      <c r="H1140" s="11" t="str">
        <f t="shared" si="34"/>
        <v/>
      </c>
      <c r="J1140" s="11" t="str">
        <f t="shared" si="35"/>
        <v xml:space="preserve"> </v>
      </c>
      <c r="K1140" s="24" t="s">
        <v>15801</v>
      </c>
    </row>
    <row r="1141" spans="1:11">
      <c r="A1141" s="24" t="s">
        <v>15813</v>
      </c>
      <c r="B1141" s="24" t="s">
        <v>15813</v>
      </c>
      <c r="C1141" s="24" t="s">
        <v>15801</v>
      </c>
      <c r="D1141" s="24" t="s">
        <v>15956</v>
      </c>
      <c r="E1141" s="24" t="s">
        <v>15863</v>
      </c>
      <c r="F1141" s="29" t="s">
        <v>11137</v>
      </c>
      <c r="H1141" s="11" t="str">
        <f t="shared" si="34"/>
        <v/>
      </c>
      <c r="J1141" s="11" t="str">
        <f t="shared" si="35"/>
        <v xml:space="preserve"> </v>
      </c>
      <c r="K1141" s="24" t="s">
        <v>15801</v>
      </c>
    </row>
    <row r="1142" spans="1:11">
      <c r="A1142" s="24" t="s">
        <v>15823</v>
      </c>
      <c r="B1142" s="24" t="s">
        <v>15823</v>
      </c>
      <c r="C1142" s="24" t="s">
        <v>15953</v>
      </c>
      <c r="D1142" s="24" t="s">
        <v>15884</v>
      </c>
      <c r="E1142" s="24" t="s">
        <v>15801</v>
      </c>
      <c r="F1142" s="29" t="s">
        <v>11215</v>
      </c>
      <c r="G1142" s="24" t="s">
        <v>11216</v>
      </c>
      <c r="H1142" s="11" t="str">
        <f t="shared" si="34"/>
        <v>3/3/1882</v>
      </c>
      <c r="J1142" s="11" t="str">
        <f t="shared" si="35"/>
        <v xml:space="preserve"> </v>
      </c>
      <c r="K1142" s="24" t="s">
        <v>11216</v>
      </c>
    </row>
    <row r="1143" spans="1:11">
      <c r="A1143" s="24" t="s">
        <v>15831</v>
      </c>
      <c r="B1143" s="24" t="s">
        <v>15831</v>
      </c>
      <c r="C1143" s="24" t="s">
        <v>15901</v>
      </c>
      <c r="D1143" s="24" t="s">
        <v>15884</v>
      </c>
      <c r="E1143" s="24" t="s">
        <v>15801</v>
      </c>
      <c r="F1143" s="29" t="s">
        <v>11197</v>
      </c>
      <c r="G1143" s="24" t="s">
        <v>11199</v>
      </c>
      <c r="H1143" s="11" t="str">
        <f t="shared" si="34"/>
        <v>20/8/1841</v>
      </c>
      <c r="J1143" s="11" t="str">
        <f t="shared" si="35"/>
        <v xml:space="preserve"> </v>
      </c>
      <c r="K1143" s="24" t="s">
        <v>11199</v>
      </c>
    </row>
    <row r="1144" spans="1:11">
      <c r="A1144" s="24" t="s">
        <v>15815</v>
      </c>
      <c r="B1144" s="24" t="s">
        <v>15815</v>
      </c>
      <c r="C1144" s="24" t="s">
        <v>15904</v>
      </c>
      <c r="D1144" s="24" t="s">
        <v>15884</v>
      </c>
      <c r="E1144" s="24" t="s">
        <v>15971</v>
      </c>
      <c r="F1144" s="29" t="s">
        <v>11169</v>
      </c>
      <c r="G1144" s="24" t="s">
        <v>11171</v>
      </c>
      <c r="H1144" s="11" t="str">
        <f t="shared" si="34"/>
        <v>9/7/1890</v>
      </c>
      <c r="J1144" s="11" t="str">
        <f t="shared" si="35"/>
        <v xml:space="preserve"> </v>
      </c>
      <c r="K1144" s="24" t="s">
        <v>11171</v>
      </c>
    </row>
    <row r="1145" spans="1:11">
      <c r="A1145" s="24" t="s">
        <v>15827</v>
      </c>
      <c r="B1145" s="24" t="s">
        <v>15827</v>
      </c>
      <c r="C1145" s="24" t="s">
        <v>15801</v>
      </c>
      <c r="D1145" s="24" t="s">
        <v>15884</v>
      </c>
      <c r="E1145" s="24" t="s">
        <v>15801</v>
      </c>
      <c r="F1145" s="29" t="s">
        <v>11180</v>
      </c>
      <c r="H1145" s="11" t="str">
        <f t="shared" si="34"/>
        <v/>
      </c>
      <c r="J1145" s="11" t="str">
        <f t="shared" si="35"/>
        <v xml:space="preserve"> </v>
      </c>
      <c r="K1145" s="24" t="s">
        <v>15801</v>
      </c>
    </row>
    <row r="1146" spans="1:11">
      <c r="A1146" s="24" t="s">
        <v>15816</v>
      </c>
      <c r="B1146" s="24" t="s">
        <v>15816</v>
      </c>
      <c r="C1146" s="24" t="s">
        <v>15882</v>
      </c>
      <c r="D1146" s="24" t="s">
        <v>15884</v>
      </c>
      <c r="E1146" s="24" t="s">
        <v>15915</v>
      </c>
      <c r="F1146" s="29" t="s">
        <v>11204</v>
      </c>
      <c r="G1146" s="24" t="s">
        <v>11206</v>
      </c>
      <c r="H1146" s="11" t="str">
        <f t="shared" si="34"/>
        <v>9/8/1880</v>
      </c>
      <c r="J1146" s="11" t="str">
        <f t="shared" si="35"/>
        <v xml:space="preserve"> </v>
      </c>
      <c r="K1146" s="24" t="s">
        <v>11206</v>
      </c>
    </row>
    <row r="1147" spans="1:11">
      <c r="A1147" s="24" t="s">
        <v>15811</v>
      </c>
      <c r="B1147" s="24" t="s">
        <v>15811</v>
      </c>
      <c r="C1147" s="24" t="s">
        <v>15892</v>
      </c>
      <c r="D1147" s="24" t="s">
        <v>15884</v>
      </c>
      <c r="E1147" s="24" t="s">
        <v>15801</v>
      </c>
      <c r="F1147" s="29" t="s">
        <v>11225</v>
      </c>
      <c r="G1147" s="24" t="s">
        <v>11227</v>
      </c>
      <c r="H1147" s="11" t="str">
        <f t="shared" si="34"/>
        <v>15/7/1871</v>
      </c>
      <c r="J1147" s="11" t="str">
        <f t="shared" si="35"/>
        <v xml:space="preserve"> </v>
      </c>
      <c r="K1147" s="24" t="s">
        <v>11227</v>
      </c>
    </row>
    <row r="1148" spans="1:11">
      <c r="A1148" s="24" t="s">
        <v>15832</v>
      </c>
      <c r="B1148" s="24" t="s">
        <v>15832</v>
      </c>
      <c r="C1148" s="24" t="s">
        <v>15882</v>
      </c>
      <c r="D1148" s="24" t="s">
        <v>15870</v>
      </c>
      <c r="E1148" s="24" t="s">
        <v>15966</v>
      </c>
      <c r="F1148" s="29" t="s">
        <v>11187</v>
      </c>
      <c r="G1148" s="24" t="s">
        <v>11189</v>
      </c>
      <c r="H1148" s="11" t="str">
        <f t="shared" si="34"/>
        <v>9/12/1880</v>
      </c>
      <c r="J1148" s="11" t="str">
        <f t="shared" si="35"/>
        <v xml:space="preserve"> </v>
      </c>
      <c r="K1148" s="24" t="s">
        <v>11189</v>
      </c>
    </row>
    <row r="1149" spans="1:11">
      <c r="A1149" s="24" t="s">
        <v>15807</v>
      </c>
      <c r="B1149" s="24" t="s">
        <v>15807</v>
      </c>
      <c r="C1149" s="24" t="s">
        <v>15939</v>
      </c>
      <c r="D1149" s="24" t="s">
        <v>15901</v>
      </c>
      <c r="E1149" s="24" t="s">
        <v>15876</v>
      </c>
      <c r="F1149" s="29" t="s">
        <v>11147</v>
      </c>
      <c r="G1149" s="24" t="s">
        <v>11149</v>
      </c>
      <c r="H1149" s="11" t="str">
        <f t="shared" si="34"/>
        <v>30/12/1872</v>
      </c>
      <c r="J1149" s="11" t="str">
        <f t="shared" si="35"/>
        <v xml:space="preserve"> </v>
      </c>
      <c r="K1149" s="24" t="s">
        <v>11149</v>
      </c>
    </row>
    <row r="1150" spans="1:11">
      <c r="A1150" s="24" t="s">
        <v>15842</v>
      </c>
      <c r="B1150" s="24" t="s">
        <v>15842</v>
      </c>
      <c r="C1150" s="24" t="s">
        <v>15801</v>
      </c>
      <c r="D1150" s="24" t="s">
        <v>15956</v>
      </c>
      <c r="E1150" s="24" t="s">
        <v>15801</v>
      </c>
      <c r="F1150" s="29" t="s">
        <v>11163</v>
      </c>
      <c r="H1150" s="11" t="str">
        <f t="shared" si="34"/>
        <v/>
      </c>
      <c r="J1150" s="11" t="str">
        <f t="shared" si="35"/>
        <v xml:space="preserve"> </v>
      </c>
      <c r="K1150" s="24" t="s">
        <v>15801</v>
      </c>
    </row>
    <row r="1151" spans="1:11">
      <c r="A1151" s="24" t="s">
        <v>15808</v>
      </c>
      <c r="B1151" s="24" t="s">
        <v>15808</v>
      </c>
      <c r="C1151" s="24" t="s">
        <v>15909</v>
      </c>
      <c r="D1151" s="24" t="s">
        <v>15884</v>
      </c>
      <c r="E1151" s="24" t="s">
        <v>15833</v>
      </c>
      <c r="F1151" s="29" t="s">
        <v>11154</v>
      </c>
      <c r="G1151" s="24" t="s">
        <v>11156</v>
      </c>
      <c r="H1151" s="11" t="str">
        <f t="shared" si="34"/>
        <v>6/1/1881</v>
      </c>
      <c r="J1151" s="11" t="str">
        <f t="shared" si="35"/>
        <v xml:space="preserve"> </v>
      </c>
      <c r="K1151" s="24" t="s">
        <v>11156</v>
      </c>
    </row>
    <row r="1152" spans="1:11">
      <c r="A1152" s="24" t="s">
        <v>15801</v>
      </c>
      <c r="B1152" s="24" t="s">
        <v>15828</v>
      </c>
      <c r="C1152" s="24" t="s">
        <v>15943</v>
      </c>
      <c r="D1152" s="24" t="s">
        <v>15884</v>
      </c>
      <c r="E1152" s="24" t="s">
        <v>15948</v>
      </c>
      <c r="G1152" s="24" t="s">
        <v>11238</v>
      </c>
      <c r="H1152" s="11" t="str">
        <f t="shared" si="34"/>
        <v>11/7/1891</v>
      </c>
      <c r="J1152" s="11" t="str">
        <f t="shared" si="35"/>
        <v xml:space="preserve"> </v>
      </c>
      <c r="K1152" s="24" t="s">
        <v>11238</v>
      </c>
    </row>
    <row r="1153" spans="1:11">
      <c r="A1153" s="24" t="s">
        <v>15801</v>
      </c>
      <c r="B1153" s="24" t="s">
        <v>15846</v>
      </c>
      <c r="C1153" s="24" t="s">
        <v>15906</v>
      </c>
      <c r="D1153" s="24" t="s">
        <v>15801</v>
      </c>
      <c r="E1153" s="24" t="s">
        <v>15825</v>
      </c>
      <c r="G1153" s="24" t="s">
        <v>11233</v>
      </c>
      <c r="H1153" s="11" t="str">
        <f t="shared" si="34"/>
        <v>9/1/1862</v>
      </c>
      <c r="J1153" s="11" t="str">
        <f t="shared" si="35"/>
        <v xml:space="preserve"> </v>
      </c>
      <c r="K1153" s="24" t="s">
        <v>11233</v>
      </c>
    </row>
    <row r="1154" spans="1:11">
      <c r="A1154" s="24" t="s">
        <v>15817</v>
      </c>
      <c r="B1154" s="24" t="s">
        <v>15817</v>
      </c>
      <c r="C1154" s="24" t="s">
        <v>15926</v>
      </c>
      <c r="D1154" s="24" t="s">
        <v>15878</v>
      </c>
      <c r="E1154" s="24" t="s">
        <v>15884</v>
      </c>
      <c r="F1154" s="29" t="s">
        <v>11245</v>
      </c>
      <c r="G1154" s="24" t="s">
        <v>11248</v>
      </c>
      <c r="H1154" s="11" t="str">
        <f t="shared" si="34"/>
        <v>22/8/1897</v>
      </c>
      <c r="J1154" s="11" t="str">
        <f t="shared" si="35"/>
        <v xml:space="preserve"> </v>
      </c>
      <c r="K1154" s="24" t="s">
        <v>11248</v>
      </c>
    </row>
    <row r="1155" spans="1:11">
      <c r="A1155" s="24" t="s">
        <v>15801</v>
      </c>
      <c r="B1155" s="24" t="s">
        <v>15850</v>
      </c>
      <c r="C1155" s="24" t="s">
        <v>15801</v>
      </c>
      <c r="D1155" s="24" t="s">
        <v>15884</v>
      </c>
      <c r="E1155" s="24" t="s">
        <v>15817</v>
      </c>
      <c r="H1155" s="11" t="str">
        <f t="shared" ref="H1155:H1218" si="36">TRIM(G1155)</f>
        <v/>
      </c>
      <c r="J1155" s="11" t="str">
        <f t="shared" ref="J1155:J1218" si="37">IF(LEN(H1155)=4,"fout"," ")</f>
        <v xml:space="preserve"> </v>
      </c>
      <c r="K1155" s="24" t="s">
        <v>15801</v>
      </c>
    </row>
    <row r="1156" spans="1:11">
      <c r="A1156" s="24" t="s">
        <v>15827</v>
      </c>
      <c r="B1156" s="24" t="s">
        <v>15827</v>
      </c>
      <c r="C1156" s="24" t="s">
        <v>15957</v>
      </c>
      <c r="D1156" s="24" t="s">
        <v>15884</v>
      </c>
      <c r="E1156" s="24" t="s">
        <v>15923</v>
      </c>
      <c r="F1156" s="29" t="s">
        <v>10430</v>
      </c>
      <c r="G1156" s="24">
        <v>1905</v>
      </c>
      <c r="H1156" s="11"/>
      <c r="J1156" s="11" t="str">
        <f t="shared" si="37"/>
        <v xml:space="preserve"> </v>
      </c>
    </row>
    <row r="1157" spans="1:11">
      <c r="A1157" s="24" t="s">
        <v>15801</v>
      </c>
      <c r="B1157" s="24" t="s">
        <v>15801</v>
      </c>
      <c r="C1157" s="24" t="s">
        <v>15801</v>
      </c>
      <c r="D1157" s="24" t="s">
        <v>15899</v>
      </c>
      <c r="E1157" s="24" t="s">
        <v>15819</v>
      </c>
      <c r="H1157" s="11" t="str">
        <f t="shared" si="36"/>
        <v/>
      </c>
      <c r="J1157" s="11" t="str">
        <f t="shared" si="37"/>
        <v xml:space="preserve"> </v>
      </c>
      <c r="K1157" s="24" t="s">
        <v>15801</v>
      </c>
    </row>
    <row r="1158" spans="1:11">
      <c r="A1158" s="24" t="s">
        <v>15801</v>
      </c>
      <c r="B1158" s="24" t="s">
        <v>15829</v>
      </c>
      <c r="C1158" s="24" t="s">
        <v>15801</v>
      </c>
      <c r="D1158" s="24" t="s">
        <v>15956</v>
      </c>
      <c r="E1158" s="24" t="s">
        <v>15827</v>
      </c>
      <c r="H1158" s="11" t="str">
        <f t="shared" si="36"/>
        <v/>
      </c>
      <c r="J1158" s="11" t="str">
        <f t="shared" si="37"/>
        <v xml:space="preserve"> </v>
      </c>
      <c r="K1158" s="24" t="s">
        <v>15801</v>
      </c>
    </row>
    <row r="1159" spans="1:11">
      <c r="A1159" s="24" t="s">
        <v>15825</v>
      </c>
      <c r="B1159" s="24" t="s">
        <v>15825</v>
      </c>
      <c r="C1159" s="24" t="s">
        <v>15801</v>
      </c>
      <c r="D1159" s="24" t="s">
        <v>15801</v>
      </c>
      <c r="E1159" s="24" t="s">
        <v>15915</v>
      </c>
      <c r="F1159" s="29" t="s">
        <v>11465</v>
      </c>
      <c r="H1159" s="11" t="str">
        <f t="shared" si="36"/>
        <v/>
      </c>
      <c r="J1159" s="11" t="str">
        <f t="shared" si="37"/>
        <v xml:space="preserve"> </v>
      </c>
      <c r="K1159" s="24" t="s">
        <v>15801</v>
      </c>
    </row>
    <row r="1160" spans="1:11">
      <c r="A1160" s="24" t="s">
        <v>15801</v>
      </c>
      <c r="B1160" s="24" t="s">
        <v>15832</v>
      </c>
      <c r="C1160" s="24" t="s">
        <v>15801</v>
      </c>
      <c r="D1160" s="24" t="s">
        <v>15900</v>
      </c>
      <c r="E1160" s="24" t="s">
        <v>15864</v>
      </c>
      <c r="H1160" s="11" t="str">
        <f t="shared" si="36"/>
        <v/>
      </c>
      <c r="J1160" s="11" t="str">
        <f t="shared" si="37"/>
        <v xml:space="preserve"> </v>
      </c>
      <c r="K1160" s="24" t="s">
        <v>15801</v>
      </c>
    </row>
    <row r="1161" spans="1:11">
      <c r="A1161" s="24" t="s">
        <v>15801</v>
      </c>
      <c r="B1161" s="24" t="s">
        <v>15803</v>
      </c>
      <c r="C1161" s="24" t="s">
        <v>15801</v>
      </c>
      <c r="D1161" s="24" t="s">
        <v>15915</v>
      </c>
      <c r="E1161" s="24" t="s">
        <v>15823</v>
      </c>
      <c r="H1161" s="11" t="str">
        <f t="shared" si="36"/>
        <v/>
      </c>
      <c r="J1161" s="11" t="str">
        <f t="shared" si="37"/>
        <v xml:space="preserve"> </v>
      </c>
      <c r="K1161" s="24" t="s">
        <v>15801</v>
      </c>
    </row>
    <row r="1162" spans="1:11">
      <c r="A1162" s="24" t="s">
        <v>15836</v>
      </c>
      <c r="B1162" s="24" t="s">
        <v>15836</v>
      </c>
      <c r="C1162" s="24" t="s">
        <v>15918</v>
      </c>
      <c r="D1162" s="24" t="s">
        <v>15884</v>
      </c>
      <c r="E1162" s="24" t="s">
        <v>15817</v>
      </c>
      <c r="F1162" s="29" t="s">
        <v>11387</v>
      </c>
      <c r="G1162" s="24" t="s">
        <v>11390</v>
      </c>
      <c r="H1162" s="11" t="str">
        <f t="shared" si="36"/>
        <v>21/3/1867</v>
      </c>
      <c r="J1162" s="11" t="str">
        <f t="shared" si="37"/>
        <v xml:space="preserve"> </v>
      </c>
      <c r="K1162" s="24" t="s">
        <v>11390</v>
      </c>
    </row>
    <row r="1163" spans="1:11">
      <c r="A1163" s="24" t="s">
        <v>15820</v>
      </c>
      <c r="B1163" s="24" t="s">
        <v>15820</v>
      </c>
      <c r="C1163" s="24" t="s">
        <v>15949</v>
      </c>
      <c r="D1163" s="24" t="s">
        <v>15801</v>
      </c>
      <c r="E1163" s="24" t="s">
        <v>15801</v>
      </c>
      <c r="F1163" s="29" t="s">
        <v>11452</v>
      </c>
      <c r="G1163" s="24">
        <v>1859</v>
      </c>
      <c r="H1163" s="11"/>
      <c r="J1163" s="11" t="str">
        <f t="shared" si="37"/>
        <v xml:space="preserve"> </v>
      </c>
    </row>
    <row r="1164" spans="1:11">
      <c r="A1164" s="24" t="s">
        <v>15855</v>
      </c>
      <c r="B1164" s="24" t="s">
        <v>15855</v>
      </c>
      <c r="C1164" s="24" t="s">
        <v>15901</v>
      </c>
      <c r="D1164" s="24" t="s">
        <v>15899</v>
      </c>
      <c r="E1164" s="24" t="s">
        <v>15824</v>
      </c>
      <c r="G1164" s="24" t="s">
        <v>11338</v>
      </c>
      <c r="H1164" s="11" t="str">
        <f t="shared" si="36"/>
        <v>26/4/1841</v>
      </c>
      <c r="J1164" s="11" t="str">
        <f t="shared" si="37"/>
        <v xml:space="preserve"> </v>
      </c>
      <c r="K1164" s="24" t="s">
        <v>11338</v>
      </c>
    </row>
    <row r="1165" spans="1:11">
      <c r="A1165" s="24" t="s">
        <v>15801</v>
      </c>
      <c r="B1165" s="24" t="s">
        <v>15807</v>
      </c>
      <c r="C1165" s="24" t="s">
        <v>15801</v>
      </c>
      <c r="D1165" s="24" t="s">
        <v>15908</v>
      </c>
      <c r="E1165" s="24" t="s">
        <v>15966</v>
      </c>
      <c r="H1165" s="11" t="str">
        <f t="shared" si="36"/>
        <v/>
      </c>
      <c r="J1165" s="11" t="str">
        <f t="shared" si="37"/>
        <v xml:space="preserve"> </v>
      </c>
      <c r="K1165" s="24" t="s">
        <v>15801</v>
      </c>
    </row>
    <row r="1166" spans="1:11">
      <c r="A1166" s="24" t="s">
        <v>15801</v>
      </c>
      <c r="B1166" s="24" t="s">
        <v>15849</v>
      </c>
      <c r="C1166" s="24" t="s">
        <v>15801</v>
      </c>
      <c r="D1166" s="24" t="s">
        <v>15900</v>
      </c>
      <c r="E1166" s="24" t="s">
        <v>15801</v>
      </c>
      <c r="H1166" s="11" t="str">
        <f t="shared" si="36"/>
        <v/>
      </c>
      <c r="J1166" s="11" t="str">
        <f t="shared" si="37"/>
        <v xml:space="preserve"> </v>
      </c>
      <c r="K1166" s="24" t="s">
        <v>15801</v>
      </c>
    </row>
    <row r="1167" spans="1:11">
      <c r="A1167" s="24" t="s">
        <v>15801</v>
      </c>
      <c r="B1167" s="24" t="s">
        <v>15810</v>
      </c>
      <c r="C1167" s="24" t="s">
        <v>15801</v>
      </c>
      <c r="D1167" s="24" t="s">
        <v>15801</v>
      </c>
      <c r="E1167" s="24" t="s">
        <v>15801</v>
      </c>
      <c r="H1167" s="11" t="str">
        <f t="shared" si="36"/>
        <v/>
      </c>
      <c r="J1167" s="11" t="str">
        <f t="shared" si="37"/>
        <v xml:space="preserve"> </v>
      </c>
      <c r="K1167" s="24" t="s">
        <v>15801</v>
      </c>
    </row>
    <row r="1168" spans="1:11">
      <c r="A1168" s="24" t="s">
        <v>15856</v>
      </c>
      <c r="B1168" s="24" t="s">
        <v>15856</v>
      </c>
      <c r="C1168" s="24" t="s">
        <v>15801</v>
      </c>
      <c r="D1168" s="24" t="s">
        <v>15900</v>
      </c>
      <c r="E1168" s="24" t="s">
        <v>15839</v>
      </c>
      <c r="F1168" s="29" t="s">
        <v>11352</v>
      </c>
      <c r="H1168" s="11" t="str">
        <f t="shared" si="36"/>
        <v/>
      </c>
      <c r="J1168" s="11" t="str">
        <f t="shared" si="37"/>
        <v xml:space="preserve"> </v>
      </c>
      <c r="K1168" s="24" t="s">
        <v>15801</v>
      </c>
    </row>
    <row r="1169" spans="1:11">
      <c r="A1169" s="24" t="s">
        <v>15801</v>
      </c>
      <c r="B1169" s="24" t="s">
        <v>15841</v>
      </c>
      <c r="C1169" s="24" t="s">
        <v>15801</v>
      </c>
      <c r="D1169" s="24" t="s">
        <v>15900</v>
      </c>
      <c r="E1169" s="24" t="s">
        <v>15833</v>
      </c>
      <c r="H1169" s="11" t="str">
        <f t="shared" si="36"/>
        <v/>
      </c>
      <c r="J1169" s="11" t="str">
        <f t="shared" si="37"/>
        <v xml:space="preserve"> </v>
      </c>
      <c r="K1169" s="24" t="s">
        <v>15801</v>
      </c>
    </row>
    <row r="1170" spans="1:11">
      <c r="A1170" s="24" t="s">
        <v>15819</v>
      </c>
      <c r="B1170" s="24" t="s">
        <v>15819</v>
      </c>
      <c r="C1170" s="24" t="s">
        <v>15937</v>
      </c>
      <c r="D1170" s="24" t="s">
        <v>15908</v>
      </c>
      <c r="E1170" s="24" t="s">
        <v>15801</v>
      </c>
      <c r="F1170" s="29" t="s">
        <v>11311</v>
      </c>
      <c r="G1170" s="24" t="s">
        <v>11313</v>
      </c>
      <c r="H1170" s="11" t="str">
        <f t="shared" si="36"/>
        <v>7/5/1894</v>
      </c>
      <c r="J1170" s="11" t="str">
        <f t="shared" si="37"/>
        <v xml:space="preserve"> </v>
      </c>
      <c r="K1170" s="24" t="s">
        <v>11313</v>
      </c>
    </row>
    <row r="1171" spans="1:11">
      <c r="A1171" s="24" t="s">
        <v>15817</v>
      </c>
      <c r="B1171" s="24" t="s">
        <v>15817</v>
      </c>
      <c r="C1171" s="24" t="s">
        <v>15941</v>
      </c>
      <c r="D1171" s="24" t="s">
        <v>15801</v>
      </c>
      <c r="E1171" s="24" t="s">
        <v>15915</v>
      </c>
      <c r="F1171" s="29" t="s">
        <v>11246</v>
      </c>
      <c r="G1171" s="24" t="s">
        <v>11446</v>
      </c>
      <c r="H1171" s="11" t="str">
        <f t="shared" si="36"/>
        <v>2/5/1902</v>
      </c>
      <c r="J1171" s="11" t="str">
        <f t="shared" si="37"/>
        <v xml:space="preserve"> </v>
      </c>
      <c r="K1171" s="24" t="s">
        <v>11446</v>
      </c>
    </row>
    <row r="1172" spans="1:11">
      <c r="A1172" s="24" t="s">
        <v>15801</v>
      </c>
      <c r="B1172" s="24" t="s">
        <v>15859</v>
      </c>
      <c r="C1172" s="24" t="s">
        <v>15801</v>
      </c>
      <c r="D1172" s="24" t="s">
        <v>15801</v>
      </c>
      <c r="E1172" s="24" t="s">
        <v>15832</v>
      </c>
      <c r="H1172" s="11" t="str">
        <f t="shared" si="36"/>
        <v/>
      </c>
      <c r="J1172" s="11" t="str">
        <f t="shared" si="37"/>
        <v xml:space="preserve"> </v>
      </c>
      <c r="K1172" s="24" t="s">
        <v>15801</v>
      </c>
    </row>
    <row r="1173" spans="1:11">
      <c r="A1173" s="24" t="s">
        <v>15801</v>
      </c>
      <c r="B1173" s="24" t="s">
        <v>15810</v>
      </c>
      <c r="C1173" s="24" t="s">
        <v>15801</v>
      </c>
      <c r="D1173" s="24" t="s">
        <v>15901</v>
      </c>
      <c r="E1173" s="24" t="s">
        <v>15965</v>
      </c>
      <c r="H1173" s="11" t="str">
        <f t="shared" si="36"/>
        <v/>
      </c>
      <c r="J1173" s="11" t="str">
        <f t="shared" si="37"/>
        <v xml:space="preserve"> </v>
      </c>
      <c r="K1173" s="24" t="s">
        <v>15801</v>
      </c>
    </row>
    <row r="1174" spans="1:11">
      <c r="A1174" s="24" t="s">
        <v>15833</v>
      </c>
      <c r="B1174" s="24" t="s">
        <v>15833</v>
      </c>
      <c r="C1174" s="24" t="s">
        <v>15801</v>
      </c>
      <c r="D1174" s="24" t="s">
        <v>15899</v>
      </c>
      <c r="E1174" s="24" t="s">
        <v>15948</v>
      </c>
      <c r="F1174" s="29" t="s">
        <v>11476</v>
      </c>
      <c r="H1174" s="11" t="str">
        <f t="shared" si="36"/>
        <v/>
      </c>
      <c r="J1174" s="11" t="str">
        <f t="shared" si="37"/>
        <v xml:space="preserve"> </v>
      </c>
      <c r="K1174" s="24" t="s">
        <v>15801</v>
      </c>
    </row>
    <row r="1175" spans="1:11">
      <c r="A1175" s="24" t="s">
        <v>15823</v>
      </c>
      <c r="B1175" s="24" t="s">
        <v>15823</v>
      </c>
      <c r="C1175" s="24" t="s">
        <v>15923</v>
      </c>
      <c r="D1175" s="24" t="s">
        <v>15901</v>
      </c>
      <c r="E1175" s="24" t="s">
        <v>15801</v>
      </c>
      <c r="F1175" s="29" t="s">
        <v>11305</v>
      </c>
      <c r="G1175" s="24" t="s">
        <v>11307</v>
      </c>
      <c r="H1175" s="11" t="str">
        <f t="shared" si="36"/>
        <v>31/5/1853</v>
      </c>
      <c r="J1175" s="11" t="str">
        <f t="shared" si="37"/>
        <v xml:space="preserve"> </v>
      </c>
      <c r="K1175" s="24" t="s">
        <v>11307</v>
      </c>
    </row>
    <row r="1176" spans="1:11">
      <c r="A1176" s="24" t="s">
        <v>15801</v>
      </c>
      <c r="B1176" s="24" t="s">
        <v>15832</v>
      </c>
      <c r="C1176" s="24" t="s">
        <v>15801</v>
      </c>
      <c r="D1176" s="24" t="s">
        <v>15956</v>
      </c>
      <c r="E1176" s="24" t="s">
        <v>15801</v>
      </c>
      <c r="H1176" s="11" t="str">
        <f t="shared" si="36"/>
        <v/>
      </c>
      <c r="J1176" s="11" t="str">
        <f t="shared" si="37"/>
        <v xml:space="preserve"> </v>
      </c>
      <c r="K1176" s="24" t="s">
        <v>15801</v>
      </c>
    </row>
    <row r="1177" spans="1:11">
      <c r="A1177" s="24" t="s">
        <v>15801</v>
      </c>
      <c r="B1177" s="24" t="s">
        <v>15813</v>
      </c>
      <c r="C1177" s="24" t="s">
        <v>15913</v>
      </c>
      <c r="D1177" s="24" t="s">
        <v>15948</v>
      </c>
      <c r="E1177" s="24" t="s">
        <v>15945</v>
      </c>
      <c r="G1177" s="24" t="s">
        <v>11461</v>
      </c>
      <c r="H1177" s="11" t="str">
        <f t="shared" si="36"/>
        <v>24/5/1877</v>
      </c>
      <c r="J1177" s="11" t="str">
        <f t="shared" si="37"/>
        <v xml:space="preserve"> </v>
      </c>
      <c r="K1177" s="24" t="s">
        <v>11461</v>
      </c>
    </row>
    <row r="1178" spans="1:11">
      <c r="A1178" s="24" t="s">
        <v>15801</v>
      </c>
      <c r="B1178" s="24" t="s">
        <v>15829</v>
      </c>
      <c r="C1178" s="24" t="s">
        <v>15801</v>
      </c>
      <c r="D1178" s="24" t="s">
        <v>15900</v>
      </c>
      <c r="E1178" s="24" t="s">
        <v>15801</v>
      </c>
      <c r="H1178" s="11" t="str">
        <f t="shared" si="36"/>
        <v/>
      </c>
      <c r="J1178" s="11" t="str">
        <f t="shared" si="37"/>
        <v xml:space="preserve"> </v>
      </c>
      <c r="K1178" s="24" t="s">
        <v>15801</v>
      </c>
    </row>
    <row r="1179" spans="1:11">
      <c r="A1179" s="24" t="s">
        <v>15801</v>
      </c>
      <c r="B1179" s="24" t="s">
        <v>15860</v>
      </c>
      <c r="C1179" s="24" t="s">
        <v>15801</v>
      </c>
      <c r="D1179" s="24" t="s">
        <v>15900</v>
      </c>
      <c r="E1179" s="24" t="s">
        <v>15835</v>
      </c>
      <c r="H1179" s="11" t="str">
        <f t="shared" si="36"/>
        <v/>
      </c>
      <c r="J1179" s="11" t="str">
        <f t="shared" si="37"/>
        <v xml:space="preserve"> </v>
      </c>
      <c r="K1179" s="24" t="s">
        <v>15801</v>
      </c>
    </row>
    <row r="1180" spans="1:11">
      <c r="A1180" s="24" t="s">
        <v>15801</v>
      </c>
      <c r="B1180" s="24" t="s">
        <v>15829</v>
      </c>
      <c r="C1180" s="24" t="s">
        <v>15884</v>
      </c>
      <c r="D1180" s="24" t="s">
        <v>15900</v>
      </c>
      <c r="E1180" s="24" t="s">
        <v>15820</v>
      </c>
      <c r="G1180" s="24" t="s">
        <v>10313</v>
      </c>
      <c r="H1180" s="11" t="str">
        <f t="shared" si="36"/>
        <v>11/4/1838</v>
      </c>
      <c r="J1180" s="11" t="str">
        <f t="shared" si="37"/>
        <v xml:space="preserve"> </v>
      </c>
      <c r="K1180" s="24" t="s">
        <v>10313</v>
      </c>
    </row>
    <row r="1181" spans="1:11">
      <c r="A1181" s="24" t="s">
        <v>15803</v>
      </c>
      <c r="B1181" s="24" t="s">
        <v>15803</v>
      </c>
      <c r="C1181" s="24" t="s">
        <v>15891</v>
      </c>
      <c r="D1181" s="24" t="s">
        <v>15900</v>
      </c>
      <c r="E1181" s="24" t="s">
        <v>15864</v>
      </c>
      <c r="F1181" s="29" t="s">
        <v>11403</v>
      </c>
      <c r="G1181" s="24" t="s">
        <v>11405</v>
      </c>
      <c r="H1181" s="11" t="str">
        <f t="shared" si="36"/>
        <v>29/11/1883</v>
      </c>
      <c r="J1181" s="11" t="str">
        <f t="shared" si="37"/>
        <v xml:space="preserve"> </v>
      </c>
      <c r="K1181" s="24" t="s">
        <v>11405</v>
      </c>
    </row>
    <row r="1182" spans="1:11">
      <c r="A1182" s="24" t="s">
        <v>15813</v>
      </c>
      <c r="B1182" s="24" t="s">
        <v>15813</v>
      </c>
      <c r="C1182" s="24" t="s">
        <v>15888</v>
      </c>
      <c r="D1182" s="24" t="s">
        <v>15956</v>
      </c>
      <c r="E1182" s="24" t="s">
        <v>15833</v>
      </c>
      <c r="F1182" s="29" t="s">
        <v>10572</v>
      </c>
      <c r="G1182" s="24" t="s">
        <v>10573</v>
      </c>
      <c r="H1182" s="11" t="str">
        <f t="shared" si="36"/>
        <v>18/7/1864</v>
      </c>
      <c r="J1182" s="11" t="str">
        <f t="shared" si="37"/>
        <v xml:space="preserve"> </v>
      </c>
      <c r="K1182" s="24" t="s">
        <v>10573</v>
      </c>
    </row>
    <row r="1183" spans="1:11">
      <c r="A1183" s="24" t="s">
        <v>15801</v>
      </c>
      <c r="B1183" s="24" t="s">
        <v>15818</v>
      </c>
      <c r="C1183" s="24" t="s">
        <v>15895</v>
      </c>
      <c r="D1183" s="24" t="s">
        <v>15900</v>
      </c>
      <c r="E1183" s="24" t="s">
        <v>15801</v>
      </c>
      <c r="G1183" s="24" t="s">
        <v>11456</v>
      </c>
      <c r="H1183" s="11" t="str">
        <f t="shared" si="36"/>
        <v>11/10/1884</v>
      </c>
      <c r="J1183" s="11" t="str">
        <f t="shared" si="37"/>
        <v xml:space="preserve"> </v>
      </c>
      <c r="K1183" s="24" t="s">
        <v>11456</v>
      </c>
    </row>
    <row r="1184" spans="1:11">
      <c r="A1184" s="24" t="s">
        <v>15821</v>
      </c>
      <c r="B1184" s="24" t="s">
        <v>15821</v>
      </c>
      <c r="C1184" s="24" t="s">
        <v>15884</v>
      </c>
      <c r="D1184" s="24" t="s">
        <v>15900</v>
      </c>
      <c r="E1184" s="24" t="s">
        <v>15801</v>
      </c>
      <c r="F1184" s="29" t="s">
        <v>11373</v>
      </c>
      <c r="G1184" s="24" t="s">
        <v>10313</v>
      </c>
      <c r="H1184" s="11" t="str">
        <f t="shared" si="36"/>
        <v>11/4/1838</v>
      </c>
      <c r="J1184" s="11" t="str">
        <f t="shared" si="37"/>
        <v xml:space="preserve"> </v>
      </c>
      <c r="K1184" s="24" t="s">
        <v>10313</v>
      </c>
    </row>
    <row r="1185" spans="1:11">
      <c r="A1185" s="24" t="s">
        <v>15825</v>
      </c>
      <c r="B1185" s="24" t="s">
        <v>15825</v>
      </c>
      <c r="C1185" s="24" t="s">
        <v>15941</v>
      </c>
      <c r="D1185" s="24" t="s">
        <v>15900</v>
      </c>
      <c r="E1185" s="24" t="s">
        <v>15876</v>
      </c>
      <c r="F1185" s="29" t="s">
        <v>11485</v>
      </c>
      <c r="G1185" s="24" t="s">
        <v>11486</v>
      </c>
      <c r="H1185" s="11" t="str">
        <f t="shared" si="36"/>
        <v>4/11/1902</v>
      </c>
      <c r="J1185" s="11" t="str">
        <f t="shared" si="37"/>
        <v xml:space="preserve"> </v>
      </c>
      <c r="K1185" s="24" t="s">
        <v>11486</v>
      </c>
    </row>
    <row r="1186" spans="1:11">
      <c r="A1186" s="24" t="s">
        <v>15801</v>
      </c>
      <c r="B1186" s="24" t="s">
        <v>15865</v>
      </c>
      <c r="C1186" s="24" t="s">
        <v>15801</v>
      </c>
      <c r="D1186" s="24" t="s">
        <v>15948</v>
      </c>
      <c r="E1186" s="24" t="s">
        <v>15837</v>
      </c>
      <c r="H1186" s="11" t="str">
        <f t="shared" si="36"/>
        <v/>
      </c>
      <c r="J1186" s="11" t="str">
        <f t="shared" si="37"/>
        <v xml:space="preserve"> </v>
      </c>
      <c r="K1186" s="24" t="s">
        <v>15801</v>
      </c>
    </row>
    <row r="1187" spans="1:11">
      <c r="A1187" s="24" t="s">
        <v>15801</v>
      </c>
      <c r="B1187" s="24" t="s">
        <v>15831</v>
      </c>
      <c r="C1187" s="24" t="s">
        <v>15917</v>
      </c>
      <c r="D1187" s="24" t="s">
        <v>15900</v>
      </c>
      <c r="E1187" s="24" t="s">
        <v>15801</v>
      </c>
      <c r="G1187" s="24">
        <v>1869</v>
      </c>
      <c r="H1187" s="11"/>
      <c r="J1187" s="11" t="str">
        <f t="shared" si="37"/>
        <v xml:space="preserve"> </v>
      </c>
    </row>
    <row r="1188" spans="1:11">
      <c r="A1188" s="24" t="s">
        <v>15853</v>
      </c>
      <c r="B1188" s="24" t="s">
        <v>15853</v>
      </c>
      <c r="C1188" s="24" t="s">
        <v>15801</v>
      </c>
      <c r="D1188" s="24" t="s">
        <v>15900</v>
      </c>
      <c r="E1188" s="24" t="s">
        <v>15840</v>
      </c>
      <c r="F1188" s="29" t="s">
        <v>11360</v>
      </c>
      <c r="H1188" s="11" t="str">
        <f t="shared" si="36"/>
        <v/>
      </c>
      <c r="J1188" s="11" t="str">
        <f t="shared" si="37"/>
        <v xml:space="preserve"> </v>
      </c>
      <c r="K1188" s="24" t="s">
        <v>15801</v>
      </c>
    </row>
    <row r="1189" spans="1:11">
      <c r="A1189" s="24" t="s">
        <v>15801</v>
      </c>
      <c r="B1189" s="24" t="s">
        <v>15815</v>
      </c>
      <c r="C1189" s="24" t="s">
        <v>15801</v>
      </c>
      <c r="D1189" s="24" t="s">
        <v>15900</v>
      </c>
      <c r="E1189" s="24" t="s">
        <v>15915</v>
      </c>
      <c r="H1189" s="11" t="str">
        <f t="shared" si="36"/>
        <v/>
      </c>
      <c r="J1189" s="11" t="str">
        <f t="shared" si="37"/>
        <v xml:space="preserve"> </v>
      </c>
      <c r="K1189" s="24" t="s">
        <v>15801</v>
      </c>
    </row>
    <row r="1190" spans="1:11">
      <c r="A1190" s="24" t="s">
        <v>15825</v>
      </c>
      <c r="B1190" s="24" t="s">
        <v>15825</v>
      </c>
      <c r="C1190" s="24" t="s">
        <v>15884</v>
      </c>
      <c r="D1190" s="24" t="s">
        <v>15900</v>
      </c>
      <c r="E1190" s="24" t="s">
        <v>15801</v>
      </c>
      <c r="F1190" s="29" t="s">
        <v>6322</v>
      </c>
      <c r="G1190" s="24" t="s">
        <v>10313</v>
      </c>
      <c r="H1190" s="11" t="str">
        <f t="shared" si="36"/>
        <v>11/4/1838</v>
      </c>
      <c r="J1190" s="11" t="str">
        <f t="shared" si="37"/>
        <v xml:space="preserve"> </v>
      </c>
      <c r="K1190" s="24" t="s">
        <v>10313</v>
      </c>
    </row>
    <row r="1191" spans="1:11">
      <c r="A1191" s="24" t="s">
        <v>15817</v>
      </c>
      <c r="B1191" s="24" t="s">
        <v>15817</v>
      </c>
      <c r="C1191" s="24" t="s">
        <v>15947</v>
      </c>
      <c r="D1191" s="24" t="s">
        <v>15900</v>
      </c>
      <c r="E1191" s="24" t="s">
        <v>15915</v>
      </c>
      <c r="F1191" s="29" t="s">
        <v>11330</v>
      </c>
      <c r="G1191" s="24" t="s">
        <v>11332</v>
      </c>
      <c r="H1191" s="11" t="str">
        <f t="shared" si="36"/>
        <v>26/4/1870</v>
      </c>
      <c r="J1191" s="11" t="str">
        <f t="shared" si="37"/>
        <v xml:space="preserve"> </v>
      </c>
      <c r="K1191" s="24" t="s">
        <v>11332</v>
      </c>
    </row>
    <row r="1192" spans="1:11">
      <c r="A1192" s="24" t="s">
        <v>15833</v>
      </c>
      <c r="B1192" s="24" t="s">
        <v>15833</v>
      </c>
      <c r="C1192" s="24" t="s">
        <v>15897</v>
      </c>
      <c r="D1192" s="24" t="s">
        <v>15900</v>
      </c>
      <c r="E1192" s="24" t="s">
        <v>15915</v>
      </c>
      <c r="F1192" s="29" t="s">
        <v>11379</v>
      </c>
      <c r="G1192" s="24">
        <v>1861</v>
      </c>
      <c r="H1192" s="11"/>
      <c r="J1192" s="11" t="str">
        <f t="shared" si="37"/>
        <v xml:space="preserve"> </v>
      </c>
    </row>
    <row r="1193" spans="1:11">
      <c r="A1193" s="24" t="s">
        <v>15801</v>
      </c>
      <c r="B1193" s="24" t="s">
        <v>15849</v>
      </c>
      <c r="C1193" s="24" t="s">
        <v>15801</v>
      </c>
      <c r="D1193" s="24" t="s">
        <v>15801</v>
      </c>
      <c r="E1193" s="24" t="s">
        <v>15801</v>
      </c>
      <c r="H1193" s="11" t="str">
        <f t="shared" si="36"/>
        <v/>
      </c>
      <c r="J1193" s="11" t="str">
        <f t="shared" si="37"/>
        <v xml:space="preserve"> </v>
      </c>
      <c r="K1193" s="24" t="s">
        <v>15801</v>
      </c>
    </row>
    <row r="1194" spans="1:11">
      <c r="A1194" s="24" t="s">
        <v>15830</v>
      </c>
      <c r="B1194" s="24" t="s">
        <v>15830</v>
      </c>
      <c r="C1194" s="24" t="s">
        <v>15801</v>
      </c>
      <c r="D1194" s="24" t="s">
        <v>15965</v>
      </c>
      <c r="E1194" s="24" t="s">
        <v>15821</v>
      </c>
      <c r="F1194" s="29" t="s">
        <v>11491</v>
      </c>
      <c r="H1194" s="11" t="str">
        <f t="shared" si="36"/>
        <v/>
      </c>
      <c r="J1194" s="11" t="str">
        <f t="shared" si="37"/>
        <v xml:space="preserve"> </v>
      </c>
      <c r="K1194" s="24" t="s">
        <v>15801</v>
      </c>
    </row>
    <row r="1195" spans="1:11">
      <c r="A1195" s="24" t="s">
        <v>15815</v>
      </c>
      <c r="B1195" s="24" t="s">
        <v>15815</v>
      </c>
      <c r="C1195" s="24" t="s">
        <v>15897</v>
      </c>
      <c r="D1195" s="24" t="s">
        <v>15876</v>
      </c>
      <c r="E1195" s="24" t="s">
        <v>15921</v>
      </c>
      <c r="F1195" s="29" t="s">
        <v>11500</v>
      </c>
      <c r="G1195" s="24" t="s">
        <v>11502</v>
      </c>
      <c r="H1195" s="11" t="str">
        <f t="shared" si="36"/>
        <v>8/12/1861</v>
      </c>
      <c r="J1195" s="11" t="str">
        <f t="shared" si="37"/>
        <v xml:space="preserve"> </v>
      </c>
      <c r="K1195" s="24" t="s">
        <v>11502</v>
      </c>
    </row>
    <row r="1196" spans="1:11">
      <c r="A1196" s="24" t="s">
        <v>15806</v>
      </c>
      <c r="B1196" s="24" t="s">
        <v>15806</v>
      </c>
      <c r="C1196" s="24" t="s">
        <v>15926</v>
      </c>
      <c r="D1196" s="24" t="s">
        <v>15876</v>
      </c>
      <c r="E1196" s="24" t="s">
        <v>15876</v>
      </c>
      <c r="F1196" s="29" t="s">
        <v>11507</v>
      </c>
      <c r="G1196" s="24" t="s">
        <v>11509</v>
      </c>
      <c r="H1196" s="11" t="str">
        <f t="shared" si="36"/>
        <v>20/12/1897</v>
      </c>
      <c r="J1196" s="11" t="str">
        <f t="shared" si="37"/>
        <v xml:space="preserve"> </v>
      </c>
      <c r="K1196" s="24" t="s">
        <v>11509</v>
      </c>
    </row>
    <row r="1197" spans="1:11">
      <c r="A1197" s="24" t="s">
        <v>15802</v>
      </c>
      <c r="B1197" s="24" t="s">
        <v>15802</v>
      </c>
      <c r="C1197" s="24" t="s">
        <v>15937</v>
      </c>
      <c r="D1197" s="24" t="s">
        <v>15901</v>
      </c>
      <c r="E1197" s="24" t="s">
        <v>15870</v>
      </c>
      <c r="F1197" s="29" t="s">
        <v>11516</v>
      </c>
      <c r="G1197" s="24" t="s">
        <v>11518</v>
      </c>
      <c r="H1197" s="11" t="str">
        <f t="shared" si="36"/>
        <v>30/1/1894</v>
      </c>
      <c r="J1197" s="11" t="str">
        <f t="shared" si="37"/>
        <v xml:space="preserve"> </v>
      </c>
      <c r="K1197" s="24" t="s">
        <v>11518</v>
      </c>
    </row>
    <row r="1198" spans="1:11">
      <c r="A1198" s="24" t="s">
        <v>15821</v>
      </c>
      <c r="B1198" s="24" t="s">
        <v>15821</v>
      </c>
      <c r="C1198" s="24" t="s">
        <v>15864</v>
      </c>
      <c r="D1198" s="24" t="s">
        <v>15870</v>
      </c>
      <c r="E1198" s="24" t="s">
        <v>15801</v>
      </c>
      <c r="F1198" s="29" t="s">
        <v>11530</v>
      </c>
      <c r="G1198" s="24" t="s">
        <v>11531</v>
      </c>
      <c r="H1198" s="11" t="str">
        <f t="shared" si="36"/>
        <v>6/12/1829</v>
      </c>
      <c r="J1198" s="11" t="str">
        <f t="shared" si="37"/>
        <v xml:space="preserve"> </v>
      </c>
      <c r="K1198" s="24" t="s">
        <v>11531</v>
      </c>
    </row>
    <row r="1199" spans="1:11">
      <c r="A1199" s="24" t="s">
        <v>15806</v>
      </c>
      <c r="B1199" s="24" t="s">
        <v>15806</v>
      </c>
      <c r="C1199" s="24" t="s">
        <v>15801</v>
      </c>
      <c r="D1199" s="24" t="s">
        <v>15801</v>
      </c>
      <c r="E1199" s="24" t="s">
        <v>15921</v>
      </c>
      <c r="F1199" s="29" t="s">
        <v>11526</v>
      </c>
      <c r="H1199" s="11" t="str">
        <f t="shared" si="36"/>
        <v/>
      </c>
      <c r="J1199" s="11" t="str">
        <f t="shared" si="37"/>
        <v xml:space="preserve"> </v>
      </c>
      <c r="K1199" s="24" t="s">
        <v>15801</v>
      </c>
    </row>
    <row r="1200" spans="1:11">
      <c r="A1200" s="24" t="s">
        <v>15814</v>
      </c>
      <c r="B1200" s="24" t="s">
        <v>15814</v>
      </c>
      <c r="C1200" s="24" t="s">
        <v>15953</v>
      </c>
      <c r="D1200" s="24" t="s">
        <v>15900</v>
      </c>
      <c r="E1200" s="24" t="s">
        <v>15921</v>
      </c>
      <c r="F1200" s="29" t="s">
        <v>11543</v>
      </c>
      <c r="G1200" s="24" t="s">
        <v>11545</v>
      </c>
      <c r="H1200" s="11" t="str">
        <f t="shared" si="36"/>
        <v>27/11/1882</v>
      </c>
      <c r="J1200" s="11" t="str">
        <f t="shared" si="37"/>
        <v xml:space="preserve"> </v>
      </c>
      <c r="K1200" s="24" t="s">
        <v>11545</v>
      </c>
    </row>
    <row r="1201" spans="1:11">
      <c r="A1201" s="24" t="s">
        <v>15801</v>
      </c>
      <c r="B1201" s="24" t="s">
        <v>15820</v>
      </c>
      <c r="C1201" s="24" t="s">
        <v>15878</v>
      </c>
      <c r="D1201" s="24" t="s">
        <v>15801</v>
      </c>
      <c r="E1201" s="24" t="s">
        <v>15948</v>
      </c>
      <c r="G1201" s="24">
        <v>1850</v>
      </c>
      <c r="H1201" s="11"/>
      <c r="J1201" s="11" t="str">
        <f t="shared" si="37"/>
        <v xml:space="preserve"> </v>
      </c>
    </row>
    <row r="1202" spans="1:11">
      <c r="A1202" s="24" t="s">
        <v>15832</v>
      </c>
      <c r="B1202" s="24" t="s">
        <v>15832</v>
      </c>
      <c r="C1202" s="24" t="s">
        <v>15801</v>
      </c>
      <c r="D1202" s="24" t="s">
        <v>15900</v>
      </c>
      <c r="E1202" s="24" t="s">
        <v>15863</v>
      </c>
      <c r="F1202" s="29" t="s">
        <v>10279</v>
      </c>
      <c r="H1202" s="11" t="str">
        <f t="shared" si="36"/>
        <v/>
      </c>
      <c r="J1202" s="11" t="str">
        <f t="shared" si="37"/>
        <v xml:space="preserve"> </v>
      </c>
      <c r="K1202" s="24" t="s">
        <v>15801</v>
      </c>
    </row>
    <row r="1203" spans="1:11">
      <c r="A1203" s="24" t="s">
        <v>15801</v>
      </c>
      <c r="B1203" s="24" t="s">
        <v>15836</v>
      </c>
      <c r="C1203" s="24" t="s">
        <v>15801</v>
      </c>
      <c r="D1203" s="24" t="s">
        <v>15870</v>
      </c>
      <c r="E1203" s="24" t="s">
        <v>15832</v>
      </c>
      <c r="H1203" s="11" t="str">
        <f t="shared" si="36"/>
        <v/>
      </c>
      <c r="J1203" s="11" t="str">
        <f t="shared" si="37"/>
        <v xml:space="preserve"> </v>
      </c>
      <c r="K1203" s="24" t="s">
        <v>15801</v>
      </c>
    </row>
    <row r="1204" spans="1:11">
      <c r="A1204" s="24" t="s">
        <v>15819</v>
      </c>
      <c r="B1204" s="24" t="s">
        <v>15819</v>
      </c>
      <c r="C1204" s="24" t="s">
        <v>15801</v>
      </c>
      <c r="D1204" s="24" t="s">
        <v>15870</v>
      </c>
      <c r="E1204" s="24" t="s">
        <v>15965</v>
      </c>
      <c r="F1204" s="29" t="s">
        <v>11583</v>
      </c>
      <c r="H1204" s="11" t="str">
        <f t="shared" si="36"/>
        <v/>
      </c>
      <c r="J1204" s="11" t="str">
        <f t="shared" si="37"/>
        <v xml:space="preserve"> </v>
      </c>
      <c r="K1204" s="24" t="s">
        <v>15801</v>
      </c>
    </row>
    <row r="1205" spans="1:11">
      <c r="A1205" s="24" t="s">
        <v>15801</v>
      </c>
      <c r="B1205" s="24" t="s">
        <v>15808</v>
      </c>
      <c r="C1205" s="24" t="s">
        <v>15801</v>
      </c>
      <c r="D1205" s="24" t="s">
        <v>15900</v>
      </c>
      <c r="E1205" s="24" t="s">
        <v>15827</v>
      </c>
      <c r="H1205" s="11" t="str">
        <f t="shared" si="36"/>
        <v/>
      </c>
      <c r="J1205" s="11" t="str">
        <f t="shared" si="37"/>
        <v xml:space="preserve"> </v>
      </c>
      <c r="K1205" s="24" t="s">
        <v>15801</v>
      </c>
    </row>
    <row r="1206" spans="1:11">
      <c r="A1206" s="24" t="s">
        <v>15801</v>
      </c>
      <c r="B1206" s="24" t="s">
        <v>15824</v>
      </c>
      <c r="C1206" s="24" t="s">
        <v>15801</v>
      </c>
      <c r="D1206" s="24" t="s">
        <v>15900</v>
      </c>
      <c r="E1206" s="24" t="s">
        <v>15818</v>
      </c>
      <c r="H1206" s="11" t="str">
        <f t="shared" si="36"/>
        <v/>
      </c>
      <c r="J1206" s="11" t="str">
        <f t="shared" si="37"/>
        <v xml:space="preserve"> </v>
      </c>
      <c r="K1206" s="24" t="s">
        <v>15801</v>
      </c>
    </row>
    <row r="1207" spans="1:11">
      <c r="A1207" s="24" t="s">
        <v>15801</v>
      </c>
      <c r="B1207" s="24" t="s">
        <v>15802</v>
      </c>
      <c r="C1207" s="24" t="s">
        <v>15934</v>
      </c>
      <c r="D1207" s="24" t="s">
        <v>15900</v>
      </c>
      <c r="E1207" s="24" t="s">
        <v>15901</v>
      </c>
      <c r="G1207" s="24" t="s">
        <v>11604</v>
      </c>
      <c r="H1207" s="11" t="str">
        <f t="shared" si="36"/>
        <v>25/8/1898</v>
      </c>
      <c r="J1207" s="11" t="str">
        <f t="shared" si="37"/>
        <v xml:space="preserve"> </v>
      </c>
      <c r="K1207" s="24" t="s">
        <v>11604</v>
      </c>
    </row>
    <row r="1208" spans="1:11">
      <c r="A1208" s="24" t="s">
        <v>15801</v>
      </c>
      <c r="B1208" s="24" t="s">
        <v>15859</v>
      </c>
      <c r="C1208" s="24" t="s">
        <v>15914</v>
      </c>
      <c r="D1208" s="24" t="s">
        <v>15898</v>
      </c>
      <c r="E1208" s="24" t="s">
        <v>15825</v>
      </c>
      <c r="G1208" s="24" t="s">
        <v>11610</v>
      </c>
      <c r="H1208" s="11" t="str">
        <f t="shared" si="36"/>
        <v>26/7/1858</v>
      </c>
      <c r="J1208" s="11" t="str">
        <f t="shared" si="37"/>
        <v xml:space="preserve"> </v>
      </c>
      <c r="K1208" s="24" t="s">
        <v>11610</v>
      </c>
    </row>
    <row r="1209" spans="1:11">
      <c r="A1209" s="24" t="s">
        <v>15801</v>
      </c>
      <c r="B1209" s="24" t="s">
        <v>15807</v>
      </c>
      <c r="C1209" s="24" t="s">
        <v>15893</v>
      </c>
      <c r="D1209" s="24" t="s">
        <v>15901</v>
      </c>
      <c r="E1209" s="24" t="s">
        <v>15851</v>
      </c>
      <c r="G1209" s="24" t="s">
        <v>11591</v>
      </c>
      <c r="H1209" s="11" t="str">
        <f t="shared" si="36"/>
        <v>27/7/1879</v>
      </c>
      <c r="J1209" s="11" t="str">
        <f t="shared" si="37"/>
        <v xml:space="preserve"> </v>
      </c>
      <c r="K1209" s="24" t="s">
        <v>11591</v>
      </c>
    </row>
    <row r="1210" spans="1:11">
      <c r="A1210" s="24" t="s">
        <v>15801</v>
      </c>
      <c r="B1210" s="24" t="s">
        <v>15806</v>
      </c>
      <c r="C1210" s="24" t="s">
        <v>15943</v>
      </c>
      <c r="D1210" s="24" t="s">
        <v>15899</v>
      </c>
      <c r="E1210" s="24" t="s">
        <v>15801</v>
      </c>
      <c r="G1210" s="24" t="s">
        <v>11622</v>
      </c>
      <c r="H1210" s="11" t="str">
        <f t="shared" si="36"/>
        <v>30/10/1891</v>
      </c>
      <c r="J1210" s="11" t="str">
        <f t="shared" si="37"/>
        <v xml:space="preserve"> </v>
      </c>
      <c r="K1210" s="24" t="s">
        <v>11622</v>
      </c>
    </row>
    <row r="1211" spans="1:11">
      <c r="A1211" s="24" t="s">
        <v>15810</v>
      </c>
      <c r="B1211" s="24" t="s">
        <v>15810</v>
      </c>
      <c r="C1211" s="24" t="s">
        <v>15951</v>
      </c>
      <c r="D1211" s="24" t="s">
        <v>15900</v>
      </c>
      <c r="E1211" s="24" t="s">
        <v>15900</v>
      </c>
      <c r="F1211" s="29" t="s">
        <v>11638</v>
      </c>
      <c r="G1211" s="24" t="s">
        <v>11640</v>
      </c>
      <c r="H1211" s="11" t="str">
        <f t="shared" si="36"/>
        <v>30/5/1886</v>
      </c>
      <c r="J1211" s="11" t="str">
        <f t="shared" si="37"/>
        <v xml:space="preserve"> </v>
      </c>
      <c r="K1211" s="24" t="s">
        <v>11640</v>
      </c>
    </row>
    <row r="1212" spans="1:11">
      <c r="A1212" s="24" t="s">
        <v>15801</v>
      </c>
      <c r="B1212" s="24" t="s">
        <v>15845</v>
      </c>
      <c r="C1212" s="24" t="s">
        <v>15918</v>
      </c>
      <c r="D1212" s="24" t="s">
        <v>15900</v>
      </c>
      <c r="E1212" s="24" t="s">
        <v>15806</v>
      </c>
      <c r="G1212" s="24" t="s">
        <v>11631</v>
      </c>
      <c r="H1212" s="11" t="str">
        <f t="shared" si="36"/>
        <v>25/7/1867</v>
      </c>
      <c r="J1212" s="11" t="str">
        <f t="shared" si="37"/>
        <v xml:space="preserve"> </v>
      </c>
      <c r="K1212" s="24" t="s">
        <v>11631</v>
      </c>
    </row>
    <row r="1213" spans="1:11">
      <c r="A1213" s="24" t="s">
        <v>15801</v>
      </c>
      <c r="B1213" s="24" t="s">
        <v>15808</v>
      </c>
      <c r="C1213" s="24" t="s">
        <v>15801</v>
      </c>
      <c r="D1213" s="24" t="s">
        <v>15900</v>
      </c>
      <c r="E1213" s="24" t="s">
        <v>15833</v>
      </c>
      <c r="H1213" s="11" t="str">
        <f t="shared" si="36"/>
        <v/>
      </c>
      <c r="J1213" s="11" t="str">
        <f t="shared" si="37"/>
        <v xml:space="preserve"> </v>
      </c>
      <c r="K1213" s="24" t="s">
        <v>15801</v>
      </c>
    </row>
    <row r="1214" spans="1:11">
      <c r="A1214" s="24" t="s">
        <v>15801</v>
      </c>
      <c r="B1214" s="24" t="s">
        <v>15834</v>
      </c>
      <c r="C1214" s="24" t="s">
        <v>15801</v>
      </c>
      <c r="D1214" s="24" t="s">
        <v>15900</v>
      </c>
      <c r="E1214" s="24" t="s">
        <v>15816</v>
      </c>
      <c r="H1214" s="11" t="str">
        <f t="shared" si="36"/>
        <v/>
      </c>
      <c r="J1214" s="11" t="str">
        <f t="shared" si="37"/>
        <v xml:space="preserve"> </v>
      </c>
      <c r="K1214" s="24" t="s">
        <v>15801</v>
      </c>
    </row>
    <row r="1215" spans="1:11">
      <c r="A1215" s="24" t="s">
        <v>15828</v>
      </c>
      <c r="B1215" s="24" t="s">
        <v>15828</v>
      </c>
      <c r="C1215" s="24" t="s">
        <v>15895</v>
      </c>
      <c r="D1215" s="24" t="s">
        <v>15899</v>
      </c>
      <c r="E1215" s="24" t="s">
        <v>15899</v>
      </c>
      <c r="F1215" s="29" t="s">
        <v>11645</v>
      </c>
      <c r="G1215" s="24" t="s">
        <v>11646</v>
      </c>
      <c r="H1215" s="11" t="str">
        <f t="shared" si="36"/>
        <v>14/10/1884</v>
      </c>
      <c r="J1215" s="11" t="str">
        <f t="shared" si="37"/>
        <v xml:space="preserve"> </v>
      </c>
      <c r="K1215" s="24" t="s">
        <v>11646</v>
      </c>
    </row>
    <row r="1216" spans="1:11">
      <c r="A1216" s="24" t="s">
        <v>15801</v>
      </c>
      <c r="B1216" s="24" t="s">
        <v>15865</v>
      </c>
      <c r="C1216" s="24" t="s">
        <v>15801</v>
      </c>
      <c r="D1216" s="24" t="s">
        <v>15908</v>
      </c>
      <c r="E1216" s="24" t="s">
        <v>15801</v>
      </c>
      <c r="H1216" s="11" t="str">
        <f t="shared" si="36"/>
        <v/>
      </c>
      <c r="J1216" s="11" t="str">
        <f t="shared" si="37"/>
        <v xml:space="preserve"> </v>
      </c>
      <c r="K1216" s="24" t="s">
        <v>15801</v>
      </c>
    </row>
    <row r="1217" spans="1:11">
      <c r="A1217" s="24" t="s">
        <v>15801</v>
      </c>
      <c r="B1217" s="24" t="s">
        <v>15806</v>
      </c>
      <c r="C1217" s="24" t="s">
        <v>15801</v>
      </c>
      <c r="D1217" s="24" t="s">
        <v>15938</v>
      </c>
      <c r="E1217" s="24" t="s">
        <v>15876</v>
      </c>
      <c r="H1217" s="11" t="str">
        <f t="shared" si="36"/>
        <v/>
      </c>
      <c r="J1217" s="11" t="str">
        <f t="shared" si="37"/>
        <v xml:space="preserve"> </v>
      </c>
      <c r="K1217" s="24" t="s">
        <v>15801</v>
      </c>
    </row>
    <row r="1218" spans="1:11">
      <c r="A1218" s="24" t="s">
        <v>15833</v>
      </c>
      <c r="B1218" s="24" t="s">
        <v>15833</v>
      </c>
      <c r="C1218" s="24" t="s">
        <v>15801</v>
      </c>
      <c r="D1218" s="24" t="s">
        <v>15948</v>
      </c>
      <c r="E1218" s="24" t="s">
        <v>15908</v>
      </c>
      <c r="F1218" s="29" t="s">
        <v>11760</v>
      </c>
      <c r="H1218" s="11" t="str">
        <f t="shared" si="36"/>
        <v/>
      </c>
      <c r="J1218" s="11" t="str">
        <f t="shared" si="37"/>
        <v xml:space="preserve"> </v>
      </c>
      <c r="K1218" s="24" t="s">
        <v>15801</v>
      </c>
    </row>
    <row r="1219" spans="1:11">
      <c r="A1219" s="24" t="s">
        <v>15813</v>
      </c>
      <c r="B1219" s="24" t="s">
        <v>15813</v>
      </c>
      <c r="C1219" s="24" t="s">
        <v>15956</v>
      </c>
      <c r="D1219" s="24" t="s">
        <v>15900</v>
      </c>
      <c r="E1219" s="24" t="s">
        <v>15823</v>
      </c>
      <c r="F1219" s="29" t="s">
        <v>11775</v>
      </c>
      <c r="G1219" s="24" t="s">
        <v>11777</v>
      </c>
      <c r="H1219" s="11" t="str">
        <f t="shared" ref="H1219:H1282" si="38">TRIM(G1219)</f>
        <v>1/7/1842</v>
      </c>
      <c r="J1219" s="11" t="str">
        <f t="shared" ref="J1219:J1282" si="39">IF(LEN(H1219)=4,"fout"," ")</f>
        <v xml:space="preserve"> </v>
      </c>
      <c r="K1219" s="24" t="s">
        <v>11777</v>
      </c>
    </row>
    <row r="1220" spans="1:11">
      <c r="A1220" s="24" t="s">
        <v>15804</v>
      </c>
      <c r="B1220" s="24" t="s">
        <v>15804</v>
      </c>
      <c r="C1220" s="24" t="s">
        <v>15801</v>
      </c>
      <c r="D1220" s="24" t="s">
        <v>15900</v>
      </c>
      <c r="E1220" s="24" t="s">
        <v>15945</v>
      </c>
      <c r="F1220" s="29" t="s">
        <v>10764</v>
      </c>
      <c r="H1220" s="11" t="str">
        <f t="shared" si="38"/>
        <v/>
      </c>
      <c r="J1220" s="11" t="str">
        <f t="shared" si="39"/>
        <v xml:space="preserve"> </v>
      </c>
      <c r="K1220" s="24" t="s">
        <v>15801</v>
      </c>
    </row>
    <row r="1221" spans="1:11">
      <c r="A1221" s="24" t="s">
        <v>15806</v>
      </c>
      <c r="B1221" s="24" t="s">
        <v>15806</v>
      </c>
      <c r="C1221" s="24" t="s">
        <v>15801</v>
      </c>
      <c r="D1221" s="24" t="s">
        <v>15900</v>
      </c>
      <c r="E1221" s="24" t="s">
        <v>15801</v>
      </c>
      <c r="F1221" s="29" t="s">
        <v>11767</v>
      </c>
      <c r="H1221" s="11" t="str">
        <f t="shared" si="38"/>
        <v/>
      </c>
      <c r="J1221" s="11" t="str">
        <f t="shared" si="39"/>
        <v xml:space="preserve"> </v>
      </c>
      <c r="K1221" s="24" t="s">
        <v>15801</v>
      </c>
    </row>
    <row r="1222" spans="1:11">
      <c r="A1222" s="24" t="s">
        <v>15833</v>
      </c>
      <c r="B1222" s="24" t="s">
        <v>15833</v>
      </c>
      <c r="C1222" s="24" t="s">
        <v>15884</v>
      </c>
      <c r="D1222" s="24" t="s">
        <v>15900</v>
      </c>
      <c r="E1222" s="24" t="s">
        <v>15801</v>
      </c>
      <c r="F1222" s="29" t="s">
        <v>11693</v>
      </c>
      <c r="G1222" s="24" t="s">
        <v>6764</v>
      </c>
      <c r="H1222" s="11" t="str">
        <f t="shared" si="38"/>
        <v>6/2/1838</v>
      </c>
      <c r="J1222" s="11" t="str">
        <f t="shared" si="39"/>
        <v xml:space="preserve"> </v>
      </c>
      <c r="K1222" s="24" t="s">
        <v>6764</v>
      </c>
    </row>
    <row r="1223" spans="1:11">
      <c r="A1223" s="24" t="s">
        <v>15833</v>
      </c>
      <c r="B1223" s="24" t="s">
        <v>15833</v>
      </c>
      <c r="C1223" s="24" t="s">
        <v>15801</v>
      </c>
      <c r="D1223" s="24" t="s">
        <v>15870</v>
      </c>
      <c r="E1223" s="24" t="s">
        <v>15801</v>
      </c>
      <c r="F1223" s="29" t="s">
        <v>11693</v>
      </c>
      <c r="H1223" s="11" t="str">
        <f t="shared" si="38"/>
        <v/>
      </c>
      <c r="J1223" s="11" t="str">
        <f t="shared" si="39"/>
        <v xml:space="preserve"> </v>
      </c>
      <c r="K1223" s="24" t="s">
        <v>15801</v>
      </c>
    </row>
    <row r="1224" spans="1:11">
      <c r="A1224" s="24" t="s">
        <v>15801</v>
      </c>
      <c r="B1224" s="24" t="s">
        <v>15822</v>
      </c>
      <c r="C1224" s="24" t="s">
        <v>15884</v>
      </c>
      <c r="D1224" s="24" t="s">
        <v>15900</v>
      </c>
      <c r="E1224" s="24" t="s">
        <v>15807</v>
      </c>
      <c r="G1224" s="24" t="s">
        <v>6764</v>
      </c>
      <c r="H1224" s="11" t="str">
        <f t="shared" si="38"/>
        <v>6/2/1838</v>
      </c>
      <c r="J1224" s="11" t="str">
        <f t="shared" si="39"/>
        <v xml:space="preserve"> </v>
      </c>
      <c r="K1224" s="24" t="s">
        <v>6764</v>
      </c>
    </row>
    <row r="1225" spans="1:11">
      <c r="A1225" s="24" t="s">
        <v>15801</v>
      </c>
      <c r="B1225" s="24" t="s">
        <v>15802</v>
      </c>
      <c r="C1225" s="24" t="s">
        <v>15884</v>
      </c>
      <c r="D1225" s="24" t="s">
        <v>15900</v>
      </c>
      <c r="E1225" s="24" t="s">
        <v>15965</v>
      </c>
      <c r="G1225" s="24" t="s">
        <v>6764</v>
      </c>
      <c r="H1225" s="11" t="str">
        <f t="shared" si="38"/>
        <v>6/2/1838</v>
      </c>
      <c r="J1225" s="11" t="str">
        <f t="shared" si="39"/>
        <v xml:space="preserve"> </v>
      </c>
      <c r="K1225" s="24" t="s">
        <v>6764</v>
      </c>
    </row>
    <row r="1226" spans="1:11">
      <c r="A1226" s="24" t="s">
        <v>15810</v>
      </c>
      <c r="B1226" s="24" t="s">
        <v>15810</v>
      </c>
      <c r="C1226" s="24" t="s">
        <v>15926</v>
      </c>
      <c r="D1226" s="24" t="s">
        <v>15900</v>
      </c>
      <c r="E1226" s="24" t="s">
        <v>15884</v>
      </c>
      <c r="F1226" s="29" t="s">
        <v>11728</v>
      </c>
      <c r="G1226" s="24" t="s">
        <v>11730</v>
      </c>
      <c r="H1226" s="11" t="str">
        <f t="shared" si="38"/>
        <v>2/4/1897</v>
      </c>
      <c r="J1226" s="11" t="str">
        <f t="shared" si="39"/>
        <v xml:space="preserve"> </v>
      </c>
      <c r="K1226" s="24" t="s">
        <v>11730</v>
      </c>
    </row>
    <row r="1227" spans="1:11">
      <c r="A1227" s="24" t="s">
        <v>15811</v>
      </c>
      <c r="B1227" s="24" t="s">
        <v>15811</v>
      </c>
      <c r="C1227" s="24" t="s">
        <v>15801</v>
      </c>
      <c r="D1227" s="24" t="s">
        <v>15900</v>
      </c>
      <c r="E1227" s="24" t="s">
        <v>15956</v>
      </c>
      <c r="F1227" s="29" t="s">
        <v>11670</v>
      </c>
      <c r="H1227" s="11" t="str">
        <f t="shared" si="38"/>
        <v/>
      </c>
      <c r="J1227" s="11" t="str">
        <f t="shared" si="39"/>
        <v xml:space="preserve"> </v>
      </c>
      <c r="K1227" s="24" t="s">
        <v>15801</v>
      </c>
    </row>
    <row r="1228" spans="1:11">
      <c r="A1228" s="24" t="s">
        <v>15801</v>
      </c>
      <c r="B1228" s="24" t="s">
        <v>15860</v>
      </c>
      <c r="C1228" s="24" t="s">
        <v>15938</v>
      </c>
      <c r="D1228" s="24" t="s">
        <v>15870</v>
      </c>
      <c r="E1228" s="24" t="s">
        <v>15846</v>
      </c>
      <c r="G1228" s="24" t="s">
        <v>11719</v>
      </c>
      <c r="H1228" s="11" t="str">
        <f t="shared" si="38"/>
        <v>17/3/1846</v>
      </c>
      <c r="J1228" s="11" t="str">
        <f t="shared" si="39"/>
        <v xml:space="preserve"> </v>
      </c>
      <c r="K1228" s="24" t="s">
        <v>11719</v>
      </c>
    </row>
    <row r="1229" spans="1:11">
      <c r="A1229" s="24" t="s">
        <v>15840</v>
      </c>
      <c r="B1229" s="24" t="s">
        <v>15840</v>
      </c>
      <c r="C1229" s="24" t="s">
        <v>15880</v>
      </c>
      <c r="D1229" s="24" t="s">
        <v>15901</v>
      </c>
      <c r="E1229" s="24" t="s">
        <v>15827</v>
      </c>
      <c r="F1229" s="29" t="s">
        <v>11688</v>
      </c>
      <c r="G1229" s="24" t="s">
        <v>11690</v>
      </c>
      <c r="H1229" s="11" t="str">
        <f t="shared" si="38"/>
        <v>7/7/1892</v>
      </c>
      <c r="J1229" s="11" t="str">
        <f t="shared" si="39"/>
        <v xml:space="preserve"> </v>
      </c>
      <c r="K1229" s="24" t="s">
        <v>11690</v>
      </c>
    </row>
    <row r="1230" spans="1:11">
      <c r="A1230" s="24" t="s">
        <v>15801</v>
      </c>
      <c r="B1230" s="24" t="s">
        <v>15836</v>
      </c>
      <c r="C1230" s="24" t="s">
        <v>15801</v>
      </c>
      <c r="D1230" s="24" t="s">
        <v>15900</v>
      </c>
      <c r="E1230" s="24" t="s">
        <v>15804</v>
      </c>
      <c r="H1230" s="11" t="str">
        <f t="shared" si="38"/>
        <v/>
      </c>
      <c r="J1230" s="11" t="str">
        <f t="shared" si="39"/>
        <v xml:space="preserve"> </v>
      </c>
      <c r="K1230" s="24" t="s">
        <v>15801</v>
      </c>
    </row>
    <row r="1231" spans="1:11">
      <c r="A1231" s="24" t="s">
        <v>15801</v>
      </c>
      <c r="B1231" s="24" t="s">
        <v>15824</v>
      </c>
      <c r="C1231" s="24" t="s">
        <v>15884</v>
      </c>
      <c r="D1231" s="24" t="s">
        <v>15900</v>
      </c>
      <c r="E1231" s="24" t="s">
        <v>15801</v>
      </c>
      <c r="G1231" s="24" t="s">
        <v>2765</v>
      </c>
      <c r="H1231" s="11" t="str">
        <f t="shared" si="38"/>
        <v>27/12/1838</v>
      </c>
      <c r="J1231" s="11" t="str">
        <f t="shared" si="39"/>
        <v xml:space="preserve"> </v>
      </c>
      <c r="K1231" s="24" t="s">
        <v>2765</v>
      </c>
    </row>
    <row r="1232" spans="1:11">
      <c r="A1232" s="24" t="s">
        <v>15810</v>
      </c>
      <c r="B1232" s="24" t="s">
        <v>15810</v>
      </c>
      <c r="C1232" s="24" t="s">
        <v>15801</v>
      </c>
      <c r="D1232" s="24" t="s">
        <v>15900</v>
      </c>
      <c r="E1232" s="24" t="s">
        <v>15801</v>
      </c>
      <c r="F1232" s="29" t="s">
        <v>11710</v>
      </c>
      <c r="H1232" s="11" t="str">
        <f t="shared" si="38"/>
        <v/>
      </c>
      <c r="J1232" s="11" t="str">
        <f t="shared" si="39"/>
        <v xml:space="preserve"> </v>
      </c>
      <c r="K1232" s="24" t="s">
        <v>15801</v>
      </c>
    </row>
    <row r="1233" spans="1:11">
      <c r="A1233" s="24" t="s">
        <v>15801</v>
      </c>
      <c r="B1233" s="24" t="s">
        <v>15832</v>
      </c>
      <c r="C1233" s="24" t="s">
        <v>15801</v>
      </c>
      <c r="D1233" s="24" t="s">
        <v>15901</v>
      </c>
      <c r="E1233" s="24" t="s">
        <v>15801</v>
      </c>
      <c r="H1233" s="11" t="str">
        <f t="shared" si="38"/>
        <v/>
      </c>
      <c r="J1233" s="11" t="str">
        <f t="shared" si="39"/>
        <v xml:space="preserve"> </v>
      </c>
      <c r="K1233" s="24" t="s">
        <v>15801</v>
      </c>
    </row>
    <row r="1234" spans="1:11">
      <c r="A1234" s="24" t="s">
        <v>15815</v>
      </c>
      <c r="B1234" s="24" t="s">
        <v>15815</v>
      </c>
      <c r="C1234" s="24" t="s">
        <v>15902</v>
      </c>
      <c r="D1234" s="24" t="s">
        <v>15956</v>
      </c>
      <c r="E1234" s="24" t="s">
        <v>15876</v>
      </c>
      <c r="F1234" s="29" t="s">
        <v>11747</v>
      </c>
      <c r="G1234" s="24" t="s">
        <v>11749</v>
      </c>
      <c r="H1234" s="11" t="str">
        <f t="shared" si="38"/>
        <v>23/3/1876</v>
      </c>
      <c r="J1234" s="11" t="str">
        <f t="shared" si="39"/>
        <v xml:space="preserve"> </v>
      </c>
      <c r="K1234" s="24" t="s">
        <v>11749</v>
      </c>
    </row>
    <row r="1235" spans="1:11">
      <c r="A1235" s="24" t="s">
        <v>15801</v>
      </c>
      <c r="B1235" s="24" t="s">
        <v>15846</v>
      </c>
      <c r="C1235" s="24" t="s">
        <v>15801</v>
      </c>
      <c r="D1235" s="24" t="s">
        <v>15801</v>
      </c>
      <c r="E1235" s="24" t="s">
        <v>15825</v>
      </c>
      <c r="H1235" s="11" t="str">
        <f t="shared" si="38"/>
        <v/>
      </c>
      <c r="J1235" s="11" t="str">
        <f t="shared" si="39"/>
        <v xml:space="preserve"> </v>
      </c>
      <c r="K1235" s="24" t="s">
        <v>15801</v>
      </c>
    </row>
    <row r="1236" spans="1:11">
      <c r="A1236" s="24" t="s">
        <v>15806</v>
      </c>
      <c r="B1236" s="24" t="s">
        <v>15806</v>
      </c>
      <c r="C1236" s="24" t="s">
        <v>15895</v>
      </c>
      <c r="D1236" s="24" t="s">
        <v>15801</v>
      </c>
      <c r="E1236" s="24" t="s">
        <v>15876</v>
      </c>
      <c r="F1236" s="29" t="s">
        <v>11741</v>
      </c>
      <c r="G1236" s="24" t="s">
        <v>11743</v>
      </c>
      <c r="H1236" s="11" t="str">
        <f t="shared" si="38"/>
        <v>16/5/1884</v>
      </c>
      <c r="J1236" s="11" t="str">
        <f t="shared" si="39"/>
        <v xml:space="preserve"> </v>
      </c>
      <c r="K1236" s="24" t="s">
        <v>11743</v>
      </c>
    </row>
    <row r="1237" spans="1:11">
      <c r="A1237" s="24" t="s">
        <v>15833</v>
      </c>
      <c r="B1237" s="24" t="s">
        <v>15833</v>
      </c>
      <c r="C1237" s="24" t="s">
        <v>15928</v>
      </c>
      <c r="D1237" s="24" t="s">
        <v>15899</v>
      </c>
      <c r="E1237" s="24" t="s">
        <v>15899</v>
      </c>
      <c r="F1237" s="29" t="s">
        <v>11680</v>
      </c>
      <c r="G1237" s="24" t="s">
        <v>11681</v>
      </c>
      <c r="H1237" s="11" t="str">
        <f t="shared" si="38"/>
        <v>6/6/1899</v>
      </c>
      <c r="J1237" s="11" t="str">
        <f t="shared" si="39"/>
        <v xml:space="preserve"> </v>
      </c>
      <c r="K1237" s="24" t="s">
        <v>11681</v>
      </c>
    </row>
    <row r="1238" spans="1:11">
      <c r="A1238" s="24" t="s">
        <v>15801</v>
      </c>
      <c r="B1238" s="24" t="s">
        <v>15828</v>
      </c>
      <c r="C1238" s="24" t="s">
        <v>15801</v>
      </c>
      <c r="D1238" s="24" t="s">
        <v>15884</v>
      </c>
      <c r="E1238" s="24" t="s">
        <v>15884</v>
      </c>
      <c r="H1238" s="11" t="str">
        <f t="shared" si="38"/>
        <v/>
      </c>
      <c r="J1238" s="11" t="str">
        <f t="shared" si="39"/>
        <v xml:space="preserve"> </v>
      </c>
      <c r="K1238" s="24" t="s">
        <v>15801</v>
      </c>
    </row>
    <row r="1239" spans="1:11">
      <c r="A1239" s="24" t="s">
        <v>15801</v>
      </c>
      <c r="B1239" s="24" t="s">
        <v>15836</v>
      </c>
      <c r="C1239" s="24" t="s">
        <v>15801</v>
      </c>
      <c r="D1239" s="24" t="s">
        <v>15801</v>
      </c>
      <c r="E1239" s="24" t="s">
        <v>15801</v>
      </c>
      <c r="H1239" s="11" t="str">
        <f t="shared" si="38"/>
        <v/>
      </c>
      <c r="J1239" s="11" t="str">
        <f t="shared" si="39"/>
        <v xml:space="preserve"> </v>
      </c>
      <c r="K1239" s="24" t="s">
        <v>15801</v>
      </c>
    </row>
    <row r="1240" spans="1:11">
      <c r="A1240" s="24" t="s">
        <v>15801</v>
      </c>
      <c r="B1240" s="24" t="s">
        <v>15813</v>
      </c>
      <c r="C1240" s="24" t="s">
        <v>15884</v>
      </c>
      <c r="D1240" s="24" t="s">
        <v>15900</v>
      </c>
      <c r="E1240" s="24" t="s">
        <v>15844</v>
      </c>
      <c r="G1240" s="24" t="s">
        <v>6764</v>
      </c>
      <c r="H1240" s="11" t="str">
        <f t="shared" si="38"/>
        <v>6/2/1838</v>
      </c>
      <c r="J1240" s="11" t="str">
        <f t="shared" si="39"/>
        <v xml:space="preserve"> </v>
      </c>
      <c r="K1240" s="24" t="s">
        <v>6764</v>
      </c>
    </row>
    <row r="1241" spans="1:11">
      <c r="A1241" s="24" t="s">
        <v>15801</v>
      </c>
      <c r="B1241" s="24" t="s">
        <v>15807</v>
      </c>
      <c r="C1241" s="24" t="s">
        <v>15801</v>
      </c>
      <c r="D1241" s="24" t="s">
        <v>15900</v>
      </c>
      <c r="E1241" s="24" t="s">
        <v>15801</v>
      </c>
      <c r="H1241" s="11" t="str">
        <f t="shared" si="38"/>
        <v/>
      </c>
      <c r="J1241" s="11" t="str">
        <f t="shared" si="39"/>
        <v xml:space="preserve"> </v>
      </c>
      <c r="K1241" s="24" t="s">
        <v>15801</v>
      </c>
    </row>
    <row r="1242" spans="1:11">
      <c r="A1242" s="24" t="s">
        <v>15802</v>
      </c>
      <c r="B1242" s="24" t="s">
        <v>15802</v>
      </c>
      <c r="C1242" s="24" t="s">
        <v>15801</v>
      </c>
      <c r="D1242" s="24" t="s">
        <v>15899</v>
      </c>
      <c r="E1242" s="24" t="s">
        <v>15801</v>
      </c>
      <c r="F1242" s="29" t="s">
        <v>11788</v>
      </c>
      <c r="H1242" s="11" t="str">
        <f t="shared" si="38"/>
        <v/>
      </c>
      <c r="J1242" s="11" t="str">
        <f t="shared" si="39"/>
        <v xml:space="preserve"> </v>
      </c>
      <c r="K1242" s="24" t="s">
        <v>15801</v>
      </c>
    </row>
    <row r="1243" spans="1:11">
      <c r="A1243" s="24" t="s">
        <v>15801</v>
      </c>
      <c r="B1243" s="24" t="s">
        <v>15826</v>
      </c>
      <c r="C1243" s="24" t="s">
        <v>15801</v>
      </c>
      <c r="D1243" s="24" t="s">
        <v>15900</v>
      </c>
      <c r="E1243" s="24" t="s">
        <v>15841</v>
      </c>
      <c r="H1243" s="11" t="str">
        <f t="shared" si="38"/>
        <v/>
      </c>
      <c r="J1243" s="11" t="str">
        <f t="shared" si="39"/>
        <v xml:space="preserve"> </v>
      </c>
      <c r="K1243" s="24" t="s">
        <v>15801</v>
      </c>
    </row>
    <row r="1244" spans="1:11">
      <c r="A1244" s="24" t="s">
        <v>15808</v>
      </c>
      <c r="B1244" s="24" t="s">
        <v>15808</v>
      </c>
      <c r="C1244" s="24" t="s">
        <v>15953</v>
      </c>
      <c r="D1244" s="24" t="s">
        <v>15884</v>
      </c>
      <c r="E1244" s="24" t="s">
        <v>15828</v>
      </c>
      <c r="G1244" s="24" t="s">
        <v>11805</v>
      </c>
      <c r="H1244" s="11" t="str">
        <f t="shared" si="38"/>
        <v>9/8/1882</v>
      </c>
      <c r="J1244" s="11" t="str">
        <f t="shared" si="39"/>
        <v xml:space="preserve"> </v>
      </c>
      <c r="K1244" s="24" t="s">
        <v>11805</v>
      </c>
    </row>
    <row r="1245" spans="1:11">
      <c r="A1245" s="24" t="s">
        <v>15803</v>
      </c>
      <c r="B1245" s="24" t="s">
        <v>15803</v>
      </c>
      <c r="C1245" s="24" t="s">
        <v>15938</v>
      </c>
      <c r="D1245" s="24" t="s">
        <v>15900</v>
      </c>
      <c r="E1245" s="24" t="s">
        <v>15844</v>
      </c>
      <c r="F1245" s="29" t="s">
        <v>11792</v>
      </c>
      <c r="G1245" s="24" t="s">
        <v>11794</v>
      </c>
      <c r="H1245" s="11" t="str">
        <f t="shared" si="38"/>
        <v>24/5/1846</v>
      </c>
      <c r="J1245" s="11" t="str">
        <f t="shared" si="39"/>
        <v xml:space="preserve"> </v>
      </c>
      <c r="K1245" s="24" t="s">
        <v>11794</v>
      </c>
    </row>
    <row r="1246" spans="1:11">
      <c r="A1246" s="24" t="s">
        <v>15808</v>
      </c>
      <c r="B1246" s="24" t="s">
        <v>15808</v>
      </c>
      <c r="C1246" s="24" t="s">
        <v>15801</v>
      </c>
      <c r="D1246" s="24" t="s">
        <v>15884</v>
      </c>
      <c r="E1246" s="24" t="s">
        <v>15801</v>
      </c>
      <c r="H1246" s="11" t="str">
        <f t="shared" si="38"/>
        <v/>
      </c>
      <c r="J1246" s="11" t="str">
        <f t="shared" si="39"/>
        <v xml:space="preserve"> </v>
      </c>
      <c r="K1246" s="24" t="s">
        <v>15801</v>
      </c>
    </row>
    <row r="1247" spans="1:11">
      <c r="A1247" s="24" t="s">
        <v>15814</v>
      </c>
      <c r="B1247" s="24" t="s">
        <v>15814</v>
      </c>
      <c r="C1247" s="24" t="s">
        <v>15902</v>
      </c>
      <c r="D1247" s="24" t="s">
        <v>15801</v>
      </c>
      <c r="E1247" s="24" t="s">
        <v>15945</v>
      </c>
      <c r="F1247" s="29" t="s">
        <v>11823</v>
      </c>
      <c r="G1247" s="24" t="s">
        <v>11825</v>
      </c>
      <c r="H1247" s="11" t="str">
        <f t="shared" si="38"/>
        <v>25/10/1876</v>
      </c>
      <c r="J1247" s="11" t="str">
        <f t="shared" si="39"/>
        <v xml:space="preserve"> </v>
      </c>
      <c r="K1247" s="24" t="s">
        <v>11825</v>
      </c>
    </row>
    <row r="1248" spans="1:11">
      <c r="A1248" s="24" t="s">
        <v>15801</v>
      </c>
      <c r="B1248" s="24" t="s">
        <v>15832</v>
      </c>
      <c r="C1248" s="24" t="s">
        <v>15801</v>
      </c>
      <c r="D1248" s="24" t="s">
        <v>15899</v>
      </c>
      <c r="E1248" s="24" t="s">
        <v>15884</v>
      </c>
      <c r="H1248" s="11" t="str">
        <f t="shared" si="38"/>
        <v/>
      </c>
      <c r="J1248" s="11" t="str">
        <f t="shared" si="39"/>
        <v xml:space="preserve"> </v>
      </c>
      <c r="K1248" s="24" t="s">
        <v>15801</v>
      </c>
    </row>
    <row r="1249" spans="1:11">
      <c r="A1249" s="24" t="s">
        <v>15818</v>
      </c>
      <c r="B1249" s="24" t="s">
        <v>15818</v>
      </c>
      <c r="C1249" s="24" t="s">
        <v>15904</v>
      </c>
      <c r="D1249" s="24" t="s">
        <v>15901</v>
      </c>
      <c r="E1249" s="24" t="s">
        <v>15945</v>
      </c>
      <c r="F1249" s="29" t="s">
        <v>11833</v>
      </c>
      <c r="G1249" s="24" t="s">
        <v>11835</v>
      </c>
      <c r="H1249" s="11" t="str">
        <f t="shared" si="38"/>
        <v>10/5/1890</v>
      </c>
      <c r="J1249" s="11" t="str">
        <f t="shared" si="39"/>
        <v xml:space="preserve"> </v>
      </c>
      <c r="K1249" s="24" t="s">
        <v>11835</v>
      </c>
    </row>
    <row r="1250" spans="1:11">
      <c r="A1250" s="24" t="s">
        <v>15801</v>
      </c>
      <c r="B1250" s="24" t="s">
        <v>15841</v>
      </c>
      <c r="C1250" s="24" t="s">
        <v>15885</v>
      </c>
      <c r="D1250" s="24" t="s">
        <v>15915</v>
      </c>
      <c r="E1250" s="24" t="s">
        <v>15811</v>
      </c>
      <c r="G1250" s="24" t="s">
        <v>8633</v>
      </c>
      <c r="H1250" s="11" t="str">
        <f t="shared" si="38"/>
        <v>08/01/1866</v>
      </c>
      <c r="J1250" s="11" t="str">
        <f t="shared" si="39"/>
        <v xml:space="preserve"> </v>
      </c>
      <c r="K1250" s="24" t="s">
        <v>8633</v>
      </c>
    </row>
    <row r="1251" spans="1:11">
      <c r="A1251" s="24" t="s">
        <v>15814</v>
      </c>
      <c r="B1251" s="24" t="s">
        <v>15814</v>
      </c>
      <c r="C1251" s="24" t="s">
        <v>15904</v>
      </c>
      <c r="D1251" s="24" t="s">
        <v>15884</v>
      </c>
      <c r="E1251" s="24" t="s">
        <v>15801</v>
      </c>
      <c r="F1251" s="29" t="s">
        <v>8638</v>
      </c>
      <c r="G1251" s="24" t="s">
        <v>8641</v>
      </c>
      <c r="H1251" s="11" t="str">
        <f t="shared" si="38"/>
        <v>07/05/1890</v>
      </c>
      <c r="J1251" s="11" t="str">
        <f t="shared" si="39"/>
        <v xml:space="preserve"> </v>
      </c>
      <c r="K1251" s="24" t="s">
        <v>8641</v>
      </c>
    </row>
    <row r="1252" spans="1:11">
      <c r="A1252" s="24" t="s">
        <v>15806</v>
      </c>
      <c r="B1252" s="24" t="s">
        <v>15806</v>
      </c>
      <c r="C1252" s="24" t="s">
        <v>15926</v>
      </c>
      <c r="D1252" s="24" t="s">
        <v>15915</v>
      </c>
      <c r="E1252" s="24" t="s">
        <v>15870</v>
      </c>
      <c r="F1252" s="29" t="s">
        <v>8657</v>
      </c>
      <c r="G1252" s="24" t="s">
        <v>8659</v>
      </c>
      <c r="H1252" s="11" t="str">
        <f t="shared" si="38"/>
        <v>11/11/1897</v>
      </c>
      <c r="J1252" s="11" t="str">
        <f t="shared" si="39"/>
        <v xml:space="preserve"> </v>
      </c>
      <c r="K1252" s="24" t="s">
        <v>8659</v>
      </c>
    </row>
    <row r="1253" spans="1:11">
      <c r="A1253" s="24" t="s">
        <v>15821</v>
      </c>
      <c r="B1253" s="24" t="s">
        <v>15821</v>
      </c>
      <c r="C1253" s="24" t="s">
        <v>15937</v>
      </c>
      <c r="D1253" s="24" t="s">
        <v>15899</v>
      </c>
      <c r="E1253" s="24" t="s">
        <v>15966</v>
      </c>
      <c r="F1253" s="29" t="s">
        <v>2214</v>
      </c>
      <c r="G1253" s="24" t="s">
        <v>8648</v>
      </c>
      <c r="H1253" s="11" t="str">
        <f t="shared" si="38"/>
        <v>23/10/1894</v>
      </c>
      <c r="J1253" s="11" t="str">
        <f t="shared" si="39"/>
        <v xml:space="preserve"> </v>
      </c>
      <c r="K1253" s="24" t="s">
        <v>8648</v>
      </c>
    </row>
    <row r="1254" spans="1:11">
      <c r="A1254" s="24" t="s">
        <v>15825</v>
      </c>
      <c r="B1254" s="24" t="s">
        <v>15825</v>
      </c>
      <c r="C1254" s="24" t="s">
        <v>15801</v>
      </c>
      <c r="D1254" s="24" t="s">
        <v>15921</v>
      </c>
      <c r="E1254" s="24" t="s">
        <v>15851</v>
      </c>
      <c r="F1254" s="29" t="s">
        <v>8668</v>
      </c>
      <c r="H1254" s="11" t="str">
        <f t="shared" si="38"/>
        <v/>
      </c>
      <c r="J1254" s="11" t="str">
        <f t="shared" si="39"/>
        <v xml:space="preserve"> </v>
      </c>
      <c r="K1254" s="24" t="s">
        <v>15801</v>
      </c>
    </row>
    <row r="1255" spans="1:11">
      <c r="A1255" s="24" t="s">
        <v>15839</v>
      </c>
      <c r="B1255" s="24" t="s">
        <v>15839</v>
      </c>
      <c r="C1255" s="24" t="s">
        <v>15801</v>
      </c>
      <c r="D1255" s="24" t="s">
        <v>15870</v>
      </c>
      <c r="E1255" s="24" t="s">
        <v>15802</v>
      </c>
      <c r="F1255" s="29" t="s">
        <v>8617</v>
      </c>
      <c r="H1255" s="11" t="str">
        <f t="shared" si="38"/>
        <v/>
      </c>
      <c r="J1255" s="11" t="str">
        <f t="shared" si="39"/>
        <v xml:space="preserve"> </v>
      </c>
      <c r="K1255" s="24" t="s">
        <v>15801</v>
      </c>
    </row>
    <row r="1256" spans="1:11">
      <c r="A1256" s="24" t="s">
        <v>15854</v>
      </c>
      <c r="B1256" s="24" t="s">
        <v>15854</v>
      </c>
      <c r="C1256" s="24" t="s">
        <v>15914</v>
      </c>
      <c r="D1256" s="24" t="s">
        <v>15900</v>
      </c>
      <c r="E1256" s="24" t="s">
        <v>15803</v>
      </c>
      <c r="F1256" s="29" t="s">
        <v>8678</v>
      </c>
      <c r="G1256" s="24" t="s">
        <v>8681</v>
      </c>
      <c r="H1256" s="11" t="str">
        <f t="shared" si="38"/>
        <v>28/11/1858</v>
      </c>
      <c r="J1256" s="11" t="str">
        <f t="shared" si="39"/>
        <v xml:space="preserve"> </v>
      </c>
      <c r="K1256" s="24" t="s">
        <v>8681</v>
      </c>
    </row>
    <row r="1257" spans="1:11">
      <c r="A1257" s="24" t="s">
        <v>15801</v>
      </c>
      <c r="B1257" s="24" t="s">
        <v>15801</v>
      </c>
      <c r="C1257" s="24" t="s">
        <v>15902</v>
      </c>
      <c r="D1257" s="24" t="s">
        <v>15900</v>
      </c>
      <c r="E1257" s="24" t="s">
        <v>15851</v>
      </c>
      <c r="G1257" s="24">
        <v>1876</v>
      </c>
      <c r="H1257" s="11"/>
      <c r="J1257" s="11" t="str">
        <f t="shared" si="39"/>
        <v xml:space="preserve"> </v>
      </c>
    </row>
    <row r="1258" spans="1:11">
      <c r="A1258" s="24" t="s">
        <v>15801</v>
      </c>
      <c r="B1258" s="24" t="s">
        <v>15832</v>
      </c>
      <c r="C1258" s="24" t="s">
        <v>15951</v>
      </c>
      <c r="D1258" s="24" t="s">
        <v>15931</v>
      </c>
      <c r="E1258" s="24" t="s">
        <v>15801</v>
      </c>
      <c r="G1258" s="24" t="s">
        <v>8695</v>
      </c>
      <c r="H1258" s="11" t="str">
        <f t="shared" si="38"/>
        <v>15/09/1886</v>
      </c>
      <c r="J1258" s="11" t="str">
        <f t="shared" si="39"/>
        <v xml:space="preserve"> </v>
      </c>
      <c r="K1258" s="24" t="s">
        <v>8695</v>
      </c>
    </row>
    <row r="1259" spans="1:11">
      <c r="A1259" s="24" t="s">
        <v>15801</v>
      </c>
      <c r="B1259" s="24" t="s">
        <v>15812</v>
      </c>
      <c r="C1259" s="24" t="s">
        <v>15915</v>
      </c>
      <c r="D1259" s="24" t="s">
        <v>15915</v>
      </c>
      <c r="E1259" s="24" t="s">
        <v>15814</v>
      </c>
      <c r="G1259" s="24" t="s">
        <v>8744</v>
      </c>
      <c r="H1259" s="11" t="str">
        <f t="shared" si="38"/>
        <v>03/04/1839</v>
      </c>
      <c r="J1259" s="11" t="str">
        <f t="shared" si="39"/>
        <v xml:space="preserve"> </v>
      </c>
      <c r="K1259" s="24" t="s">
        <v>8744</v>
      </c>
    </row>
    <row r="1260" spans="1:11">
      <c r="A1260" s="24" t="s">
        <v>15806</v>
      </c>
      <c r="B1260" s="24" t="s">
        <v>15806</v>
      </c>
      <c r="C1260" s="24" t="s">
        <v>15882</v>
      </c>
      <c r="D1260" s="24" t="s">
        <v>15899</v>
      </c>
      <c r="E1260" s="24" t="s">
        <v>15921</v>
      </c>
      <c r="F1260" s="29" t="s">
        <v>3485</v>
      </c>
      <c r="G1260" s="24" t="s">
        <v>8737</v>
      </c>
      <c r="H1260" s="11" t="str">
        <f t="shared" si="38"/>
        <v>02/10/1880</v>
      </c>
      <c r="J1260" s="11" t="str">
        <f t="shared" si="39"/>
        <v xml:space="preserve"> </v>
      </c>
      <c r="K1260" s="24" t="s">
        <v>8737</v>
      </c>
    </row>
    <row r="1261" spans="1:11">
      <c r="A1261" s="24" t="s">
        <v>15806</v>
      </c>
      <c r="B1261" s="24" t="s">
        <v>15806</v>
      </c>
      <c r="C1261" s="24" t="s">
        <v>15958</v>
      </c>
      <c r="D1261" s="24" t="s">
        <v>15956</v>
      </c>
      <c r="E1261" s="24" t="s">
        <v>15965</v>
      </c>
      <c r="F1261" s="29" t="s">
        <v>5991</v>
      </c>
      <c r="G1261" s="24" t="s">
        <v>8710</v>
      </c>
      <c r="H1261" s="11" t="str">
        <f t="shared" si="38"/>
        <v>20/11/1903</v>
      </c>
      <c r="J1261" s="11" t="str">
        <f t="shared" si="39"/>
        <v xml:space="preserve"> </v>
      </c>
      <c r="K1261" s="24" t="s">
        <v>8710</v>
      </c>
    </row>
    <row r="1262" spans="1:11">
      <c r="A1262" s="24" t="s">
        <v>15840</v>
      </c>
      <c r="B1262" s="24" t="s">
        <v>15840</v>
      </c>
      <c r="C1262" s="24" t="s">
        <v>15920</v>
      </c>
      <c r="D1262" s="24" t="s">
        <v>15899</v>
      </c>
      <c r="E1262" s="24" t="s">
        <v>15811</v>
      </c>
      <c r="F1262" s="29" t="s">
        <v>8730</v>
      </c>
      <c r="G1262" s="24" t="s">
        <v>8732</v>
      </c>
      <c r="H1262" s="11" t="str">
        <f t="shared" si="38"/>
        <v>12/10/1852</v>
      </c>
      <c r="J1262" s="11" t="str">
        <f t="shared" si="39"/>
        <v xml:space="preserve"> </v>
      </c>
      <c r="K1262" s="24" t="s">
        <v>8732</v>
      </c>
    </row>
    <row r="1263" spans="1:11">
      <c r="A1263" s="24" t="s">
        <v>15820</v>
      </c>
      <c r="B1263" s="24" t="s">
        <v>15820</v>
      </c>
      <c r="C1263" s="24" t="s">
        <v>15902</v>
      </c>
      <c r="E1263" s="24" t="s">
        <v>15898</v>
      </c>
      <c r="F1263" s="29" t="s">
        <v>8718</v>
      </c>
      <c r="G1263" s="24" t="s">
        <v>8720</v>
      </c>
      <c r="H1263" s="11" t="str">
        <f t="shared" si="38"/>
        <v>14/01/1876</v>
      </c>
      <c r="J1263" s="11" t="str">
        <f t="shared" si="39"/>
        <v xml:space="preserve"> </v>
      </c>
      <c r="K1263" s="24" t="s">
        <v>8720</v>
      </c>
    </row>
    <row r="1264" spans="1:11">
      <c r="A1264" s="24" t="s">
        <v>15815</v>
      </c>
      <c r="B1264" s="24" t="s">
        <v>15815</v>
      </c>
      <c r="C1264" s="24" t="s">
        <v>15911</v>
      </c>
      <c r="D1264" s="24" t="s">
        <v>15900</v>
      </c>
      <c r="E1264" s="24" t="s">
        <v>15851</v>
      </c>
      <c r="F1264" s="29" t="s">
        <v>8749</v>
      </c>
      <c r="G1264" s="24" t="s">
        <v>8751</v>
      </c>
      <c r="H1264" s="11" t="str">
        <f t="shared" si="38"/>
        <v>25/07/1863</v>
      </c>
      <c r="J1264" s="11" t="str">
        <f t="shared" si="39"/>
        <v xml:space="preserve"> </v>
      </c>
      <c r="K1264" s="24" t="s">
        <v>8751</v>
      </c>
    </row>
    <row r="1265" spans="1:11">
      <c r="A1265" s="24" t="s">
        <v>15857</v>
      </c>
      <c r="B1265" s="24" t="s">
        <v>15857</v>
      </c>
      <c r="C1265" s="24" t="s">
        <v>15925</v>
      </c>
      <c r="D1265" s="24" t="s">
        <v>15900</v>
      </c>
      <c r="E1265" s="24" t="s">
        <v>15837</v>
      </c>
      <c r="F1265" s="29" t="s">
        <v>8839</v>
      </c>
      <c r="G1265" s="24" t="s">
        <v>8842</v>
      </c>
      <c r="H1265" s="11" t="str">
        <f t="shared" si="38"/>
        <v>04/02/1851</v>
      </c>
      <c r="J1265" s="11" t="str">
        <f t="shared" si="39"/>
        <v xml:space="preserve"> </v>
      </c>
      <c r="K1265" s="24" t="s">
        <v>8842</v>
      </c>
    </row>
    <row r="1266" spans="1:11">
      <c r="A1266" s="24" t="s">
        <v>15828</v>
      </c>
      <c r="B1266" s="24" t="s">
        <v>15828</v>
      </c>
      <c r="C1266" s="24" t="s">
        <v>15896</v>
      </c>
      <c r="D1266" s="24" t="s">
        <v>15900</v>
      </c>
      <c r="E1266" s="24" t="s">
        <v>15898</v>
      </c>
      <c r="F1266" s="29" t="s">
        <v>4024</v>
      </c>
      <c r="G1266" s="24" t="s">
        <v>8858</v>
      </c>
      <c r="H1266" s="11" t="str">
        <f t="shared" si="38"/>
        <v>29/12/1887</v>
      </c>
      <c r="J1266" s="11" t="str">
        <f t="shared" si="39"/>
        <v xml:space="preserve"> </v>
      </c>
      <c r="K1266" s="24" t="s">
        <v>8858</v>
      </c>
    </row>
    <row r="1267" spans="1:11">
      <c r="A1267" s="24" t="s">
        <v>15811</v>
      </c>
      <c r="B1267" s="24" t="s">
        <v>15811</v>
      </c>
      <c r="C1267" s="24" t="s">
        <v>15894</v>
      </c>
      <c r="D1267" s="24" t="s">
        <v>15900</v>
      </c>
      <c r="E1267" s="24" t="s">
        <v>15956</v>
      </c>
      <c r="F1267" s="29" t="s">
        <v>8886</v>
      </c>
      <c r="G1267" s="24" t="s">
        <v>8888</v>
      </c>
      <c r="H1267" s="11" t="str">
        <f t="shared" si="38"/>
        <v>17/12/1901</v>
      </c>
      <c r="J1267" s="11" t="str">
        <f t="shared" si="39"/>
        <v xml:space="preserve"> </v>
      </c>
      <c r="K1267" s="24" t="s">
        <v>8888</v>
      </c>
    </row>
    <row r="1268" spans="1:11">
      <c r="A1268" s="24" t="s">
        <v>15835</v>
      </c>
      <c r="B1268" s="24" t="s">
        <v>15835</v>
      </c>
      <c r="C1268" s="24" t="s">
        <v>15883</v>
      </c>
      <c r="D1268" s="24" t="s">
        <v>15900</v>
      </c>
      <c r="E1268" s="24" t="s">
        <v>15801</v>
      </c>
      <c r="F1268" s="29" t="s">
        <v>8794</v>
      </c>
      <c r="G1268" s="24" t="s">
        <v>8797</v>
      </c>
      <c r="H1268" s="11" t="str">
        <f t="shared" si="38"/>
        <v>13/02/1874</v>
      </c>
      <c r="J1268" s="11" t="str">
        <f t="shared" si="39"/>
        <v xml:space="preserve"> </v>
      </c>
      <c r="K1268" s="24" t="s">
        <v>8797</v>
      </c>
    </row>
    <row r="1269" spans="1:11">
      <c r="A1269" s="24" t="s">
        <v>15801</v>
      </c>
      <c r="B1269" s="24" t="s">
        <v>15803</v>
      </c>
      <c r="C1269" s="24" t="s">
        <v>15904</v>
      </c>
      <c r="D1269" s="24" t="s">
        <v>15900</v>
      </c>
      <c r="E1269" s="24" t="s">
        <v>15945</v>
      </c>
      <c r="G1269" s="24" t="s">
        <v>8814</v>
      </c>
      <c r="H1269" s="11" t="str">
        <f t="shared" si="38"/>
        <v>14/03/1890</v>
      </c>
      <c r="J1269" s="11" t="str">
        <f t="shared" si="39"/>
        <v xml:space="preserve"> </v>
      </c>
      <c r="K1269" s="24" t="s">
        <v>8814</v>
      </c>
    </row>
    <row r="1270" spans="1:11">
      <c r="A1270" s="24" t="s">
        <v>15801</v>
      </c>
      <c r="B1270" s="24" t="s">
        <v>15815</v>
      </c>
      <c r="C1270" s="24" t="s">
        <v>15930</v>
      </c>
      <c r="D1270" s="24" t="s">
        <v>15900</v>
      </c>
      <c r="E1270" s="24" t="s">
        <v>15884</v>
      </c>
      <c r="G1270" s="24" t="s">
        <v>8850</v>
      </c>
      <c r="H1270" s="11" t="str">
        <f t="shared" si="38"/>
        <v>24/02/1896</v>
      </c>
      <c r="J1270" s="11" t="str">
        <f t="shared" si="39"/>
        <v xml:space="preserve"> </v>
      </c>
      <c r="K1270" s="24" t="s">
        <v>8850</v>
      </c>
    </row>
    <row r="1271" spans="1:11">
      <c r="A1271" s="24" t="s">
        <v>15801</v>
      </c>
      <c r="B1271" s="24" t="s">
        <v>15821</v>
      </c>
      <c r="C1271" s="24" t="s">
        <v>15909</v>
      </c>
      <c r="D1271" s="24" t="s">
        <v>15900</v>
      </c>
      <c r="E1271" s="24" t="s">
        <v>15923</v>
      </c>
      <c r="G1271" s="24" t="s">
        <v>8871</v>
      </c>
      <c r="H1271" s="11" t="str">
        <f t="shared" si="38"/>
        <v>22/12/1881</v>
      </c>
      <c r="J1271" s="11" t="str">
        <f t="shared" si="39"/>
        <v xml:space="preserve"> </v>
      </c>
      <c r="K1271" s="24" t="s">
        <v>8871</v>
      </c>
    </row>
    <row r="1272" spans="1:11">
      <c r="A1272" s="24" t="s">
        <v>15819</v>
      </c>
      <c r="B1272" s="24" t="s">
        <v>15819</v>
      </c>
      <c r="C1272" s="24" t="s">
        <v>15957</v>
      </c>
      <c r="D1272" s="24" t="s">
        <v>15900</v>
      </c>
      <c r="E1272" s="24" t="s">
        <v>15901</v>
      </c>
      <c r="F1272" s="29" t="s">
        <v>8800</v>
      </c>
      <c r="G1272" s="24" t="s">
        <v>8803</v>
      </c>
      <c r="H1272" s="11" t="str">
        <f t="shared" si="38"/>
        <v>07/09/1905</v>
      </c>
      <c r="J1272" s="11" t="str">
        <f t="shared" si="39"/>
        <v xml:space="preserve"> </v>
      </c>
      <c r="K1272" s="24" t="s">
        <v>8803</v>
      </c>
    </row>
    <row r="1273" spans="1:11">
      <c r="A1273" s="24" t="s">
        <v>15802</v>
      </c>
      <c r="B1273" s="24" t="s">
        <v>15802</v>
      </c>
      <c r="C1273" s="24" t="s">
        <v>15801</v>
      </c>
      <c r="D1273" s="24" t="s">
        <v>15900</v>
      </c>
      <c r="E1273" s="24" t="s">
        <v>15899</v>
      </c>
      <c r="F1273" s="29" t="s">
        <v>8880</v>
      </c>
      <c r="H1273" s="11" t="str">
        <f t="shared" si="38"/>
        <v/>
      </c>
      <c r="J1273" s="11" t="str">
        <f t="shared" si="39"/>
        <v xml:space="preserve"> </v>
      </c>
      <c r="K1273" s="24" t="s">
        <v>15801</v>
      </c>
    </row>
    <row r="1274" spans="1:11">
      <c r="A1274" s="24" t="s">
        <v>15846</v>
      </c>
      <c r="B1274" s="24" t="s">
        <v>15846</v>
      </c>
      <c r="C1274" s="24" t="s">
        <v>15911</v>
      </c>
      <c r="D1274" s="24" t="s">
        <v>15899</v>
      </c>
      <c r="E1274" s="24" t="s">
        <v>15817</v>
      </c>
      <c r="F1274" s="29" t="s">
        <v>8820</v>
      </c>
      <c r="G1274" s="24" t="s">
        <v>8822</v>
      </c>
      <c r="H1274" s="11" t="str">
        <f t="shared" si="38"/>
        <v>10/11/1863</v>
      </c>
      <c r="J1274" s="11" t="str">
        <f t="shared" si="39"/>
        <v xml:space="preserve"> </v>
      </c>
      <c r="K1274" s="24" t="s">
        <v>8822</v>
      </c>
    </row>
    <row r="1275" spans="1:11">
      <c r="A1275" s="24" t="s">
        <v>15821</v>
      </c>
      <c r="B1275" s="24" t="s">
        <v>15821</v>
      </c>
      <c r="C1275" s="24" t="s">
        <v>15910</v>
      </c>
      <c r="D1275" s="24" t="s">
        <v>15956</v>
      </c>
      <c r="E1275" s="24" t="s">
        <v>15801</v>
      </c>
      <c r="F1275" s="29" t="s">
        <v>8896</v>
      </c>
      <c r="G1275" s="24" t="s">
        <v>8898</v>
      </c>
      <c r="H1275" s="11" t="str">
        <f t="shared" si="38"/>
        <v>20/11/1889</v>
      </c>
      <c r="J1275" s="11" t="str">
        <f t="shared" si="39"/>
        <v xml:space="preserve"> </v>
      </c>
      <c r="K1275" s="24" t="s">
        <v>8898</v>
      </c>
    </row>
    <row r="1276" spans="1:11">
      <c r="A1276" s="24" t="s">
        <v>15801</v>
      </c>
      <c r="B1276" s="24" t="s">
        <v>15837</v>
      </c>
      <c r="C1276" s="24" t="s">
        <v>15801</v>
      </c>
      <c r="D1276" s="24" t="s">
        <v>15870</v>
      </c>
      <c r="E1276" s="24" t="s">
        <v>15801</v>
      </c>
      <c r="H1276" s="11" t="str">
        <f t="shared" si="38"/>
        <v/>
      </c>
      <c r="J1276" s="11" t="str">
        <f t="shared" si="39"/>
        <v xml:space="preserve"> </v>
      </c>
      <c r="K1276" s="24" t="s">
        <v>15801</v>
      </c>
    </row>
    <row r="1277" spans="1:11">
      <c r="A1277" s="24" t="s">
        <v>15801</v>
      </c>
      <c r="B1277" s="24" t="s">
        <v>15803</v>
      </c>
      <c r="C1277" s="24" t="s">
        <v>15801</v>
      </c>
      <c r="D1277" s="24" t="s">
        <v>15870</v>
      </c>
      <c r="E1277" s="24" t="s">
        <v>15823</v>
      </c>
      <c r="H1277" s="11" t="str">
        <f t="shared" si="38"/>
        <v/>
      </c>
      <c r="J1277" s="11" t="str">
        <f t="shared" si="39"/>
        <v xml:space="preserve"> </v>
      </c>
      <c r="K1277" s="24" t="s">
        <v>15801</v>
      </c>
    </row>
    <row r="1278" spans="1:11">
      <c r="A1278" s="24" t="s">
        <v>15801</v>
      </c>
      <c r="B1278" s="24" t="s">
        <v>15814</v>
      </c>
      <c r="C1278" s="24" t="s">
        <v>15801</v>
      </c>
      <c r="D1278" s="24" t="s">
        <v>15915</v>
      </c>
      <c r="E1278" s="24" t="s">
        <v>15864</v>
      </c>
      <c r="H1278" s="11" t="str">
        <f t="shared" si="38"/>
        <v/>
      </c>
      <c r="J1278" s="11" t="str">
        <f t="shared" si="39"/>
        <v xml:space="preserve"> </v>
      </c>
      <c r="K1278" s="24" t="s">
        <v>15801</v>
      </c>
    </row>
    <row r="1279" spans="1:11">
      <c r="A1279" s="24" t="s">
        <v>15801</v>
      </c>
      <c r="B1279" s="24" t="s">
        <v>15856</v>
      </c>
      <c r="C1279" s="24" t="s">
        <v>15801</v>
      </c>
      <c r="D1279" s="24" t="s">
        <v>15915</v>
      </c>
      <c r="E1279" s="24" t="s">
        <v>15841</v>
      </c>
      <c r="H1279" s="11" t="str">
        <f t="shared" si="38"/>
        <v/>
      </c>
      <c r="J1279" s="11" t="str">
        <f t="shared" si="39"/>
        <v xml:space="preserve"> </v>
      </c>
      <c r="K1279" s="24" t="s">
        <v>15801</v>
      </c>
    </row>
    <row r="1280" spans="1:11">
      <c r="A1280" s="24" t="s">
        <v>15801</v>
      </c>
      <c r="B1280" s="24" t="s">
        <v>15803</v>
      </c>
      <c r="C1280" s="24" t="s">
        <v>15801</v>
      </c>
      <c r="D1280" s="24" t="s">
        <v>15801</v>
      </c>
      <c r="E1280" s="24" t="s">
        <v>15801</v>
      </c>
      <c r="H1280" s="11" t="str">
        <f t="shared" si="38"/>
        <v/>
      </c>
      <c r="J1280" s="11" t="str">
        <f t="shared" si="39"/>
        <v xml:space="preserve"> </v>
      </c>
      <c r="K1280" s="24" t="s">
        <v>15801</v>
      </c>
    </row>
    <row r="1281" spans="1:11">
      <c r="A1281" s="24" t="s">
        <v>15801</v>
      </c>
      <c r="B1281" s="24" t="s">
        <v>15860</v>
      </c>
      <c r="C1281" s="24" t="s">
        <v>15801</v>
      </c>
      <c r="D1281" s="24" t="s">
        <v>15938</v>
      </c>
      <c r="E1281" s="24" t="s">
        <v>15801</v>
      </c>
      <c r="H1281" s="11" t="str">
        <f t="shared" si="38"/>
        <v/>
      </c>
      <c r="J1281" s="11" t="str">
        <f t="shared" si="39"/>
        <v xml:space="preserve"> </v>
      </c>
      <c r="K1281" s="24" t="s">
        <v>15801</v>
      </c>
    </row>
    <row r="1282" spans="1:11">
      <c r="A1282" s="24" t="s">
        <v>15801</v>
      </c>
      <c r="B1282" s="24" t="s">
        <v>15841</v>
      </c>
      <c r="C1282" s="24" t="s">
        <v>15953</v>
      </c>
      <c r="D1282" s="24" t="s">
        <v>15884</v>
      </c>
      <c r="E1282" s="24" t="s">
        <v>15851</v>
      </c>
      <c r="G1282" s="24" t="s">
        <v>8863</v>
      </c>
      <c r="H1282" s="11" t="str">
        <f t="shared" si="38"/>
        <v>03/04/1882</v>
      </c>
      <c r="J1282" s="11" t="str">
        <f t="shared" si="39"/>
        <v xml:space="preserve"> </v>
      </c>
      <c r="K1282" s="24" t="s">
        <v>8863</v>
      </c>
    </row>
    <row r="1283" spans="1:11">
      <c r="A1283" s="24" t="s">
        <v>15801</v>
      </c>
      <c r="B1283" s="24" t="s">
        <v>15859</v>
      </c>
      <c r="C1283" s="24" t="s">
        <v>15801</v>
      </c>
      <c r="D1283" s="24" t="s">
        <v>15956</v>
      </c>
      <c r="E1283" s="24" t="s">
        <v>15825</v>
      </c>
      <c r="H1283" s="11" t="str">
        <f t="shared" ref="H1283:H1346" si="40">TRIM(G1283)</f>
        <v/>
      </c>
      <c r="J1283" s="11" t="str">
        <f t="shared" ref="J1283:J1346" si="41">IF(LEN(H1283)=4,"fout"," ")</f>
        <v xml:space="preserve"> </v>
      </c>
      <c r="K1283" s="24" t="s">
        <v>15801</v>
      </c>
    </row>
    <row r="1284" spans="1:11">
      <c r="A1284" s="24" t="s">
        <v>15816</v>
      </c>
      <c r="B1284" s="24" t="s">
        <v>15816</v>
      </c>
      <c r="C1284" s="24" t="s">
        <v>15917</v>
      </c>
      <c r="D1284" s="24" t="s">
        <v>15956</v>
      </c>
      <c r="E1284" s="24" t="s">
        <v>15801</v>
      </c>
      <c r="F1284" s="29" t="s">
        <v>9201</v>
      </c>
      <c r="G1284" s="24" t="s">
        <v>9202</v>
      </c>
      <c r="H1284" s="11" t="str">
        <f t="shared" si="40"/>
        <v>03/11/1869</v>
      </c>
      <c r="J1284" s="11" t="str">
        <f t="shared" si="41"/>
        <v xml:space="preserve"> </v>
      </c>
      <c r="K1284" s="24" t="s">
        <v>9202</v>
      </c>
    </row>
    <row r="1285" spans="1:11">
      <c r="A1285" s="24" t="s">
        <v>15834</v>
      </c>
      <c r="B1285" s="24" t="s">
        <v>15834</v>
      </c>
      <c r="C1285" s="24" t="s">
        <v>15887</v>
      </c>
      <c r="D1285" s="24" t="s">
        <v>15899</v>
      </c>
      <c r="F1285" s="29" t="s">
        <v>9332</v>
      </c>
      <c r="G1285" s="24" t="s">
        <v>9334</v>
      </c>
      <c r="H1285" s="11" t="str">
        <f t="shared" si="40"/>
        <v>10/05/1856</v>
      </c>
      <c r="J1285" s="11" t="str">
        <f t="shared" si="41"/>
        <v xml:space="preserve"> </v>
      </c>
      <c r="K1285" s="24" t="s">
        <v>9334</v>
      </c>
    </row>
    <row r="1286" spans="1:11">
      <c r="A1286" s="24" t="s">
        <v>15823</v>
      </c>
      <c r="B1286" s="24" t="s">
        <v>15823</v>
      </c>
      <c r="C1286" s="24" t="s">
        <v>15928</v>
      </c>
      <c r="D1286" s="24" t="s">
        <v>15801</v>
      </c>
      <c r="E1286" s="24" t="s">
        <v>15801</v>
      </c>
      <c r="G1286" s="24" t="s">
        <v>9211</v>
      </c>
      <c r="H1286" s="11" t="str">
        <f t="shared" si="40"/>
        <v>08/09/1899</v>
      </c>
      <c r="J1286" s="11" t="str">
        <f t="shared" si="41"/>
        <v xml:space="preserve"> </v>
      </c>
      <c r="K1286" s="24" t="s">
        <v>9211</v>
      </c>
    </row>
    <row r="1287" spans="1:11">
      <c r="A1287" s="24" t="s">
        <v>15801</v>
      </c>
      <c r="B1287" s="24" t="s">
        <v>15812</v>
      </c>
      <c r="C1287" s="24" t="s">
        <v>15801</v>
      </c>
      <c r="E1287" s="24" t="s">
        <v>15829</v>
      </c>
      <c r="H1287" s="11" t="str">
        <f t="shared" si="40"/>
        <v/>
      </c>
      <c r="J1287" s="11" t="str">
        <f t="shared" si="41"/>
        <v xml:space="preserve"> </v>
      </c>
      <c r="K1287" s="24" t="s">
        <v>15801</v>
      </c>
    </row>
    <row r="1288" spans="1:11">
      <c r="A1288" s="24" t="s">
        <v>15827</v>
      </c>
      <c r="B1288" s="24" t="s">
        <v>15827</v>
      </c>
      <c r="C1288" s="24" t="s">
        <v>15895</v>
      </c>
      <c r="E1288" s="24" t="s">
        <v>15801</v>
      </c>
      <c r="F1288" s="29" t="s">
        <v>9470</v>
      </c>
      <c r="G1288" s="24" t="s">
        <v>9472</v>
      </c>
      <c r="H1288" s="11" t="str">
        <f t="shared" si="40"/>
        <v>02/09/1884</v>
      </c>
      <c r="J1288" s="11" t="str">
        <f t="shared" si="41"/>
        <v xml:space="preserve"> </v>
      </c>
      <c r="K1288" s="24" t="s">
        <v>9472</v>
      </c>
    </row>
    <row r="1289" spans="1:11">
      <c r="A1289" s="24" t="s">
        <v>15814</v>
      </c>
      <c r="B1289" s="24" t="s">
        <v>15814</v>
      </c>
      <c r="C1289" s="24" t="s">
        <v>15929</v>
      </c>
      <c r="D1289" s="24" t="s">
        <v>15899</v>
      </c>
      <c r="E1289" s="24" t="s">
        <v>15801</v>
      </c>
      <c r="G1289" s="24" t="s">
        <v>9397</v>
      </c>
      <c r="H1289" s="11" t="str">
        <f t="shared" si="40"/>
        <v>27/09/1878</v>
      </c>
      <c r="J1289" s="11" t="str">
        <f t="shared" si="41"/>
        <v xml:space="preserve"> </v>
      </c>
      <c r="K1289" s="24" t="s">
        <v>9397</v>
      </c>
    </row>
    <row r="1290" spans="1:11">
      <c r="A1290" s="24" t="s">
        <v>15825</v>
      </c>
      <c r="B1290" s="24" t="s">
        <v>15825</v>
      </c>
      <c r="C1290" s="24" t="s">
        <v>15801</v>
      </c>
      <c r="D1290" s="24" t="s">
        <v>15899</v>
      </c>
      <c r="E1290" s="24" t="s">
        <v>15876</v>
      </c>
      <c r="F1290" s="29" t="s">
        <v>9510</v>
      </c>
      <c r="H1290" s="11" t="str">
        <f t="shared" si="40"/>
        <v/>
      </c>
      <c r="J1290" s="11" t="str">
        <f t="shared" si="41"/>
        <v xml:space="preserve"> </v>
      </c>
      <c r="K1290" s="24" t="s">
        <v>15801</v>
      </c>
    </row>
    <row r="1291" spans="1:11">
      <c r="A1291" s="24" t="s">
        <v>15828</v>
      </c>
      <c r="B1291" s="24" t="s">
        <v>15828</v>
      </c>
      <c r="C1291" s="24" t="s">
        <v>15892</v>
      </c>
      <c r="E1291" s="24" t="s">
        <v>15922</v>
      </c>
      <c r="F1291" s="29" t="s">
        <v>9192</v>
      </c>
      <c r="G1291" s="24" t="s">
        <v>9194</v>
      </c>
      <c r="H1291" s="11" t="str">
        <f t="shared" si="40"/>
        <v>10/05/1871</v>
      </c>
      <c r="J1291" s="11" t="str">
        <f t="shared" si="41"/>
        <v xml:space="preserve"> </v>
      </c>
      <c r="K1291" s="24" t="s">
        <v>9194</v>
      </c>
    </row>
    <row r="1292" spans="1:11">
      <c r="A1292" s="24" t="s">
        <v>15801</v>
      </c>
      <c r="B1292" s="24" t="s">
        <v>15850</v>
      </c>
      <c r="C1292" s="24" t="s">
        <v>15924</v>
      </c>
      <c r="D1292" s="24" t="s">
        <v>15884</v>
      </c>
      <c r="E1292" s="24" t="s">
        <v>15806</v>
      </c>
      <c r="G1292" s="24" t="s">
        <v>9451</v>
      </c>
      <c r="H1292" s="11"/>
      <c r="J1292" s="11" t="str">
        <f t="shared" si="41"/>
        <v xml:space="preserve"> </v>
      </c>
    </row>
    <row r="1293" spans="1:11">
      <c r="A1293" s="24" t="s">
        <v>15817</v>
      </c>
      <c r="B1293" s="24" t="s">
        <v>15817</v>
      </c>
      <c r="C1293" s="24" t="s">
        <v>15926</v>
      </c>
      <c r="D1293" s="24" t="s">
        <v>15884</v>
      </c>
      <c r="E1293" s="24" t="s">
        <v>15901</v>
      </c>
      <c r="F1293" s="29" t="s">
        <v>9216</v>
      </c>
      <c r="G1293" s="24" t="s">
        <v>9218</v>
      </c>
      <c r="H1293" s="11" t="str">
        <f t="shared" si="40"/>
        <v>10/05/1897</v>
      </c>
      <c r="J1293" s="11" t="str">
        <f t="shared" si="41"/>
        <v xml:space="preserve"> </v>
      </c>
      <c r="K1293" s="24" t="s">
        <v>9218</v>
      </c>
    </row>
    <row r="1294" spans="1:11">
      <c r="A1294" s="24" t="s">
        <v>15820</v>
      </c>
      <c r="B1294" s="24" t="s">
        <v>15820</v>
      </c>
      <c r="C1294" s="24" t="s">
        <v>15962</v>
      </c>
      <c r="D1294" s="24" t="s">
        <v>15884</v>
      </c>
      <c r="E1294" s="24" t="s">
        <v>15936</v>
      </c>
      <c r="F1294" s="29" t="s">
        <v>9368</v>
      </c>
      <c r="G1294" s="24" t="s">
        <v>9369</v>
      </c>
      <c r="H1294" s="11" t="str">
        <f t="shared" si="40"/>
        <v>25/03/1915</v>
      </c>
      <c r="J1294" s="11" t="str">
        <f t="shared" si="41"/>
        <v xml:space="preserve"> </v>
      </c>
      <c r="K1294" s="24" t="s">
        <v>9369</v>
      </c>
    </row>
    <row r="1295" spans="1:11">
      <c r="A1295" s="24" t="s">
        <v>15823</v>
      </c>
      <c r="B1295" s="24" t="s">
        <v>15823</v>
      </c>
      <c r="C1295" s="24" t="s">
        <v>15926</v>
      </c>
      <c r="D1295" s="24" t="s">
        <v>15884</v>
      </c>
      <c r="E1295" s="24" t="s">
        <v>15898</v>
      </c>
      <c r="F1295" s="29" t="s">
        <v>9454</v>
      </c>
      <c r="G1295" s="24" t="s">
        <v>9456</v>
      </c>
      <c r="H1295" s="11" t="str">
        <f t="shared" si="40"/>
        <v>09/05/1897</v>
      </c>
      <c r="J1295" s="11" t="str">
        <f t="shared" si="41"/>
        <v xml:space="preserve"> </v>
      </c>
      <c r="K1295" s="24" t="s">
        <v>9456</v>
      </c>
    </row>
    <row r="1296" spans="1:11">
      <c r="A1296" s="24" t="s">
        <v>15837</v>
      </c>
      <c r="B1296" s="24" t="s">
        <v>15837</v>
      </c>
      <c r="C1296" s="24" t="s">
        <v>15911</v>
      </c>
      <c r="D1296" s="24" t="s">
        <v>15870</v>
      </c>
      <c r="E1296" s="24" t="s">
        <v>15828</v>
      </c>
      <c r="F1296" s="29" t="s">
        <v>9226</v>
      </c>
      <c r="G1296" s="24" t="s">
        <v>9229</v>
      </c>
      <c r="H1296" s="11" t="str">
        <f t="shared" si="40"/>
        <v>16/04/1863</v>
      </c>
      <c r="J1296" s="11" t="str">
        <f t="shared" si="41"/>
        <v xml:space="preserve"> </v>
      </c>
      <c r="K1296" s="24" t="s">
        <v>9229</v>
      </c>
    </row>
    <row r="1297" spans="1:11">
      <c r="A1297" s="24" t="s">
        <v>15827</v>
      </c>
      <c r="B1297" s="24" t="s">
        <v>15827</v>
      </c>
      <c r="C1297" s="24" t="s">
        <v>15891</v>
      </c>
      <c r="D1297" s="24" t="s">
        <v>15870</v>
      </c>
      <c r="E1297" s="24" t="s">
        <v>15801</v>
      </c>
      <c r="F1297" s="29" t="s">
        <v>1588</v>
      </c>
      <c r="G1297" s="24" t="s">
        <v>9237</v>
      </c>
      <c r="H1297" s="11" t="str">
        <f t="shared" si="40"/>
        <v>15/10/1883</v>
      </c>
      <c r="J1297" s="11" t="str">
        <f t="shared" si="41"/>
        <v xml:space="preserve"> </v>
      </c>
      <c r="K1297" s="24" t="s">
        <v>9237</v>
      </c>
    </row>
    <row r="1298" spans="1:11">
      <c r="A1298" s="24" t="s">
        <v>15813</v>
      </c>
      <c r="B1298" s="24" t="s">
        <v>15813</v>
      </c>
      <c r="C1298" s="24" t="s">
        <v>15880</v>
      </c>
      <c r="D1298" s="24" t="s">
        <v>15900</v>
      </c>
      <c r="E1298" s="24" t="s">
        <v>15921</v>
      </c>
      <c r="F1298" s="29" t="s">
        <v>9531</v>
      </c>
      <c r="G1298" s="24" t="s">
        <v>9534</v>
      </c>
      <c r="H1298" s="11" t="str">
        <f t="shared" si="40"/>
        <v>04/06/1892</v>
      </c>
      <c r="J1298" s="11" t="str">
        <f t="shared" si="41"/>
        <v xml:space="preserve"> </v>
      </c>
      <c r="K1298" s="24" t="s">
        <v>9534</v>
      </c>
    </row>
    <row r="1299" spans="1:11">
      <c r="A1299" s="24" t="s">
        <v>15815</v>
      </c>
      <c r="B1299" s="24" t="s">
        <v>15815</v>
      </c>
      <c r="C1299" s="24" t="s">
        <v>15801</v>
      </c>
      <c r="D1299" s="24" t="s">
        <v>15870</v>
      </c>
      <c r="E1299" s="24" t="s">
        <v>15801</v>
      </c>
      <c r="F1299" s="29" t="s">
        <v>9375</v>
      </c>
      <c r="H1299" s="11" t="str">
        <f t="shared" si="40"/>
        <v/>
      </c>
      <c r="J1299" s="11" t="str">
        <f t="shared" si="41"/>
        <v xml:space="preserve"> </v>
      </c>
      <c r="K1299" s="24" t="s">
        <v>15801</v>
      </c>
    </row>
    <row r="1300" spans="1:11">
      <c r="A1300" s="24" t="s">
        <v>15816</v>
      </c>
      <c r="B1300" s="24" t="s">
        <v>15816</v>
      </c>
      <c r="C1300" s="24" t="s">
        <v>15801</v>
      </c>
      <c r="D1300" s="24" t="s">
        <v>15870</v>
      </c>
      <c r="E1300" s="24" t="s">
        <v>15801</v>
      </c>
      <c r="F1300" s="29" t="s">
        <v>9315</v>
      </c>
      <c r="H1300" s="11" t="str">
        <f t="shared" si="40"/>
        <v/>
      </c>
      <c r="J1300" s="11" t="str">
        <f t="shared" si="41"/>
        <v xml:space="preserve"> </v>
      </c>
      <c r="K1300" s="24" t="s">
        <v>15801</v>
      </c>
    </row>
    <row r="1301" spans="1:11">
      <c r="A1301" s="24" t="s">
        <v>15801</v>
      </c>
      <c r="B1301" s="24" t="s">
        <v>15854</v>
      </c>
      <c r="C1301" s="24" t="s">
        <v>15801</v>
      </c>
      <c r="D1301" s="24" t="s">
        <v>15900</v>
      </c>
      <c r="E1301" s="24" t="s">
        <v>15804</v>
      </c>
      <c r="H1301" s="11" t="str">
        <f t="shared" si="40"/>
        <v/>
      </c>
      <c r="J1301" s="11" t="str">
        <f t="shared" si="41"/>
        <v xml:space="preserve"> </v>
      </c>
      <c r="K1301" s="24" t="s">
        <v>15801</v>
      </c>
    </row>
    <row r="1302" spans="1:11">
      <c r="A1302" s="24" t="s">
        <v>15807</v>
      </c>
      <c r="B1302" s="24" t="s">
        <v>15807</v>
      </c>
      <c r="C1302" s="24" t="s">
        <v>15801</v>
      </c>
      <c r="E1302" s="24" t="s">
        <v>15801</v>
      </c>
      <c r="F1302" s="29" t="s">
        <v>9428</v>
      </c>
      <c r="H1302" s="11" t="str">
        <f t="shared" si="40"/>
        <v/>
      </c>
      <c r="J1302" s="11" t="str">
        <f t="shared" si="41"/>
        <v xml:space="preserve"> </v>
      </c>
      <c r="K1302" s="24" t="s">
        <v>15801</v>
      </c>
    </row>
    <row r="1303" spans="1:11">
      <c r="A1303" s="24" t="s">
        <v>15816</v>
      </c>
      <c r="B1303" s="24" t="s">
        <v>15816</v>
      </c>
      <c r="C1303" s="24" t="s">
        <v>15911</v>
      </c>
      <c r="D1303" s="24" t="s">
        <v>15870</v>
      </c>
      <c r="E1303" s="24" t="s">
        <v>15801</v>
      </c>
      <c r="F1303" s="29" t="s">
        <v>9474</v>
      </c>
      <c r="G1303" s="24" t="s">
        <v>9476</v>
      </c>
      <c r="H1303" s="11" t="str">
        <f t="shared" si="40"/>
        <v>03/06/1863</v>
      </c>
      <c r="J1303" s="11" t="str">
        <f t="shared" si="41"/>
        <v xml:space="preserve"> </v>
      </c>
      <c r="K1303" s="24" t="s">
        <v>9476</v>
      </c>
    </row>
    <row r="1304" spans="1:11">
      <c r="A1304" s="24" t="s">
        <v>15810</v>
      </c>
      <c r="B1304" s="24" t="s">
        <v>15810</v>
      </c>
      <c r="C1304" s="24" t="s">
        <v>15951</v>
      </c>
      <c r="D1304" s="24" t="s">
        <v>15900</v>
      </c>
      <c r="E1304" s="24" t="s">
        <v>15938</v>
      </c>
      <c r="F1304" s="29" t="s">
        <v>9324</v>
      </c>
      <c r="G1304" s="24" t="s">
        <v>9327</v>
      </c>
      <c r="H1304" s="11" t="str">
        <f t="shared" si="40"/>
        <v>07/09/1886</v>
      </c>
      <c r="J1304" s="11" t="str">
        <f t="shared" si="41"/>
        <v xml:space="preserve"> </v>
      </c>
      <c r="K1304" s="24" t="s">
        <v>9327</v>
      </c>
    </row>
    <row r="1305" spans="1:11">
      <c r="A1305" s="24" t="s">
        <v>15824</v>
      </c>
      <c r="B1305" s="24" t="s">
        <v>15824</v>
      </c>
      <c r="C1305" s="24" t="s">
        <v>15801</v>
      </c>
      <c r="D1305" s="24" t="s">
        <v>15899</v>
      </c>
      <c r="E1305" s="24" t="s">
        <v>15804</v>
      </c>
      <c r="F1305" s="29" t="s">
        <v>9414</v>
      </c>
      <c r="H1305" s="11" t="str">
        <f t="shared" si="40"/>
        <v/>
      </c>
      <c r="J1305" s="11" t="str">
        <f t="shared" si="41"/>
        <v xml:space="preserve"> </v>
      </c>
      <c r="K1305" s="24" t="s">
        <v>15801</v>
      </c>
    </row>
    <row r="1306" spans="1:11">
      <c r="A1306" s="24" t="s">
        <v>15820</v>
      </c>
      <c r="B1306" s="24" t="s">
        <v>15820</v>
      </c>
      <c r="C1306" s="24" t="s">
        <v>15890</v>
      </c>
      <c r="D1306" s="24" t="s">
        <v>15899</v>
      </c>
      <c r="E1306" s="24" t="s">
        <v>15948</v>
      </c>
      <c r="F1306" s="29" t="s">
        <v>9255</v>
      </c>
      <c r="G1306" s="24" t="s">
        <v>9257</v>
      </c>
      <c r="H1306" s="11" t="str">
        <f t="shared" si="40"/>
        <v>24/09/1875</v>
      </c>
      <c r="J1306" s="11" t="str">
        <f t="shared" si="41"/>
        <v xml:space="preserve"> </v>
      </c>
      <c r="K1306" s="24" t="s">
        <v>9257</v>
      </c>
    </row>
    <row r="1307" spans="1:11">
      <c r="A1307" s="24" t="s">
        <v>15818</v>
      </c>
      <c r="B1307" s="24" t="s">
        <v>15818</v>
      </c>
      <c r="C1307" s="24" t="s">
        <v>15883</v>
      </c>
      <c r="D1307" s="24" t="s">
        <v>15900</v>
      </c>
      <c r="E1307" s="24" t="s">
        <v>15851</v>
      </c>
      <c r="F1307" s="29" t="s">
        <v>9422</v>
      </c>
      <c r="G1307" s="24" t="s">
        <v>9424</v>
      </c>
      <c r="H1307" s="11" t="str">
        <f t="shared" si="40"/>
        <v>23/12/1874</v>
      </c>
      <c r="J1307" s="11" t="str">
        <f t="shared" si="41"/>
        <v xml:space="preserve"> </v>
      </c>
      <c r="K1307" s="24" t="s">
        <v>9424</v>
      </c>
    </row>
    <row r="1308" spans="1:11">
      <c r="A1308" s="24" t="s">
        <v>15828</v>
      </c>
      <c r="B1308" s="24" t="s">
        <v>15828</v>
      </c>
      <c r="C1308" s="24" t="s">
        <v>15894</v>
      </c>
      <c r="D1308" s="24" t="s">
        <v>15899</v>
      </c>
      <c r="E1308" s="24" t="s">
        <v>15801</v>
      </c>
      <c r="F1308" s="29" t="s">
        <v>9489</v>
      </c>
      <c r="G1308" s="24" t="s">
        <v>9492</v>
      </c>
      <c r="H1308" s="11" t="str">
        <f t="shared" si="40"/>
        <v>20/12/1901</v>
      </c>
      <c r="J1308" s="11" t="str">
        <f t="shared" si="41"/>
        <v xml:space="preserve"> </v>
      </c>
      <c r="K1308" s="24" t="s">
        <v>9492</v>
      </c>
    </row>
    <row r="1309" spans="1:11">
      <c r="A1309" s="24" t="s">
        <v>15854</v>
      </c>
      <c r="B1309" s="24" t="s">
        <v>15854</v>
      </c>
      <c r="C1309" s="24" t="s">
        <v>15946</v>
      </c>
      <c r="D1309" s="24" t="s">
        <v>15870</v>
      </c>
      <c r="E1309" s="24" t="s">
        <v>15801</v>
      </c>
      <c r="F1309" s="29" t="s">
        <v>9477</v>
      </c>
      <c r="G1309" s="24" t="s">
        <v>9480</v>
      </c>
      <c r="H1309" s="11" t="str">
        <f t="shared" si="40"/>
        <v>29/01/1860</v>
      </c>
      <c r="J1309" s="11" t="str">
        <f t="shared" si="41"/>
        <v xml:space="preserve"> </v>
      </c>
      <c r="K1309" s="24" t="s">
        <v>9480</v>
      </c>
    </row>
    <row r="1310" spans="1:11">
      <c r="A1310" s="24" t="s">
        <v>15835</v>
      </c>
      <c r="B1310" s="24" t="s">
        <v>15835</v>
      </c>
      <c r="C1310" s="24" t="s">
        <v>15951</v>
      </c>
      <c r="D1310" s="24" t="s">
        <v>15965</v>
      </c>
      <c r="E1310" s="24" t="s">
        <v>15811</v>
      </c>
      <c r="F1310" s="29" t="s">
        <v>1559</v>
      </c>
      <c r="G1310" s="24" t="s">
        <v>9544</v>
      </c>
      <c r="H1310" s="11" t="str">
        <f t="shared" si="40"/>
        <v>10/04/1886</v>
      </c>
      <c r="J1310" s="11" t="str">
        <f t="shared" si="41"/>
        <v xml:space="preserve"> </v>
      </c>
      <c r="K1310" s="24" t="s">
        <v>9544</v>
      </c>
    </row>
    <row r="1311" spans="1:11">
      <c r="A1311" s="24" t="s">
        <v>15801</v>
      </c>
      <c r="B1311" s="24" t="s">
        <v>15839</v>
      </c>
      <c r="C1311" s="24" t="s">
        <v>15915</v>
      </c>
      <c r="D1311" s="24" t="s">
        <v>15900</v>
      </c>
      <c r="E1311" s="24" t="s">
        <v>15816</v>
      </c>
      <c r="G1311" s="24">
        <v>1839</v>
      </c>
      <c r="H1311" s="11"/>
      <c r="J1311" s="11" t="str">
        <f t="shared" si="41"/>
        <v xml:space="preserve"> </v>
      </c>
    </row>
    <row r="1312" spans="1:11">
      <c r="A1312" s="24" t="s">
        <v>15817</v>
      </c>
      <c r="B1312" s="24" t="s">
        <v>15817</v>
      </c>
      <c r="C1312" s="24" t="s">
        <v>15931</v>
      </c>
      <c r="D1312" s="24" t="s">
        <v>15900</v>
      </c>
      <c r="E1312" s="24" t="s">
        <v>15870</v>
      </c>
      <c r="F1312" s="29" t="s">
        <v>4402</v>
      </c>
      <c r="G1312" s="24" t="s">
        <v>8407</v>
      </c>
      <c r="H1312" s="11"/>
      <c r="J1312" s="11" t="str">
        <f t="shared" si="41"/>
        <v xml:space="preserve"> </v>
      </c>
    </row>
    <row r="1313" spans="1:11">
      <c r="A1313" s="24" t="s">
        <v>15801</v>
      </c>
      <c r="B1313" s="24" t="s">
        <v>15840</v>
      </c>
      <c r="C1313" s="24" t="s">
        <v>15801</v>
      </c>
      <c r="D1313" s="24" t="s">
        <v>15900</v>
      </c>
      <c r="E1313" s="24" t="s">
        <v>15802</v>
      </c>
      <c r="H1313" s="11" t="str">
        <f t="shared" si="40"/>
        <v/>
      </c>
      <c r="J1313" s="11" t="str">
        <f t="shared" si="41"/>
        <v xml:space="preserve"> </v>
      </c>
      <c r="K1313" s="24" t="s">
        <v>15801</v>
      </c>
    </row>
    <row r="1314" spans="1:11">
      <c r="A1314" s="24" t="s">
        <v>15801</v>
      </c>
      <c r="B1314" s="24" t="s">
        <v>15827</v>
      </c>
      <c r="C1314" s="24" t="s">
        <v>15929</v>
      </c>
      <c r="D1314" s="24" t="s">
        <v>15900</v>
      </c>
      <c r="E1314" s="24" t="s">
        <v>15898</v>
      </c>
      <c r="G1314" s="24" t="s">
        <v>9354</v>
      </c>
      <c r="H1314" s="11" t="str">
        <f t="shared" si="40"/>
        <v>11/04/1878</v>
      </c>
      <c r="J1314" s="11" t="str">
        <f t="shared" si="41"/>
        <v xml:space="preserve"> </v>
      </c>
      <c r="K1314" s="24" t="s">
        <v>9354</v>
      </c>
    </row>
    <row r="1315" spans="1:11">
      <c r="A1315" s="24" t="s">
        <v>15814</v>
      </c>
      <c r="B1315" s="24" t="s">
        <v>15814</v>
      </c>
      <c r="C1315" s="24" t="s">
        <v>15801</v>
      </c>
      <c r="D1315" s="24" t="s">
        <v>15901</v>
      </c>
      <c r="E1315" s="24" t="s">
        <v>15823</v>
      </c>
      <c r="F1315" s="29" t="s">
        <v>9271</v>
      </c>
      <c r="H1315" s="11" t="str">
        <f t="shared" si="40"/>
        <v/>
      </c>
      <c r="J1315" s="11" t="str">
        <f t="shared" si="41"/>
        <v xml:space="preserve"> </v>
      </c>
      <c r="K1315" s="24" t="s">
        <v>15801</v>
      </c>
    </row>
    <row r="1316" spans="1:11">
      <c r="A1316" s="24" t="s">
        <v>15823</v>
      </c>
      <c r="B1316" s="24" t="s">
        <v>15823</v>
      </c>
      <c r="C1316" s="24" t="s">
        <v>15801</v>
      </c>
      <c r="E1316" s="24" t="s">
        <v>15898</v>
      </c>
      <c r="F1316" s="29" t="s">
        <v>9345</v>
      </c>
      <c r="H1316" s="11" t="str">
        <f t="shared" si="40"/>
        <v/>
      </c>
      <c r="J1316" s="11" t="str">
        <f t="shared" si="41"/>
        <v xml:space="preserve"> </v>
      </c>
      <c r="K1316" s="24" t="s">
        <v>15801</v>
      </c>
    </row>
    <row r="1317" spans="1:11">
      <c r="A1317" s="24" t="s">
        <v>15832</v>
      </c>
      <c r="B1317" s="24" t="s">
        <v>15832</v>
      </c>
      <c r="C1317" s="24" t="s">
        <v>15892</v>
      </c>
      <c r="D1317" s="24" t="s">
        <v>15900</v>
      </c>
      <c r="E1317" s="24" t="s">
        <v>15966</v>
      </c>
      <c r="F1317" s="29" t="s">
        <v>9500</v>
      </c>
      <c r="G1317" s="24" t="s">
        <v>9502</v>
      </c>
      <c r="H1317" s="11" t="str">
        <f t="shared" si="40"/>
        <v>23/10/1871</v>
      </c>
      <c r="J1317" s="11" t="str">
        <f t="shared" si="41"/>
        <v xml:space="preserve"> </v>
      </c>
      <c r="K1317" s="24" t="s">
        <v>9502</v>
      </c>
    </row>
    <row r="1318" spans="1:11">
      <c r="A1318" s="24" t="s">
        <v>15858</v>
      </c>
      <c r="B1318" s="24" t="s">
        <v>15858</v>
      </c>
      <c r="C1318" s="24" t="s">
        <v>15892</v>
      </c>
      <c r="D1318" s="24" t="s">
        <v>15965</v>
      </c>
      <c r="E1318" s="24" t="s">
        <v>15836</v>
      </c>
      <c r="F1318" s="29" t="s">
        <v>9276</v>
      </c>
      <c r="G1318" s="24">
        <v>1871</v>
      </c>
      <c r="H1318" s="11"/>
      <c r="J1318" s="11" t="str">
        <f t="shared" si="41"/>
        <v xml:space="preserve"> </v>
      </c>
    </row>
    <row r="1319" spans="1:11">
      <c r="A1319" s="24" t="s">
        <v>15845</v>
      </c>
      <c r="B1319" s="24" t="s">
        <v>15845</v>
      </c>
      <c r="C1319" s="24" t="s">
        <v>15801</v>
      </c>
      <c r="D1319" s="24" t="s">
        <v>15965</v>
      </c>
      <c r="E1319" s="24" t="s">
        <v>15807</v>
      </c>
      <c r="F1319" s="29" t="s">
        <v>9180</v>
      </c>
      <c r="H1319" s="11" t="str">
        <f t="shared" si="40"/>
        <v/>
      </c>
      <c r="J1319" s="11" t="str">
        <f t="shared" si="41"/>
        <v xml:space="preserve"> </v>
      </c>
      <c r="K1319" s="24" t="s">
        <v>15801</v>
      </c>
    </row>
    <row r="1320" spans="1:11">
      <c r="A1320" s="24" t="s">
        <v>15833</v>
      </c>
      <c r="B1320" s="24" t="s">
        <v>15833</v>
      </c>
      <c r="C1320" s="24" t="s">
        <v>15928</v>
      </c>
      <c r="D1320" s="24" t="s">
        <v>15965</v>
      </c>
      <c r="E1320" s="24" t="s">
        <v>15801</v>
      </c>
      <c r="F1320" s="29" t="s">
        <v>9291</v>
      </c>
      <c r="G1320" s="24" t="s">
        <v>9292</v>
      </c>
      <c r="H1320" s="11" t="str">
        <f t="shared" si="40"/>
        <v>03/11/1899</v>
      </c>
      <c r="J1320" s="11" t="str">
        <f t="shared" si="41"/>
        <v xml:space="preserve"> </v>
      </c>
      <c r="K1320" s="24" t="s">
        <v>9292</v>
      </c>
    </row>
    <row r="1321" spans="1:11">
      <c r="A1321" s="24" t="s">
        <v>15811</v>
      </c>
      <c r="B1321" s="24" t="s">
        <v>15811</v>
      </c>
      <c r="C1321" s="24" t="s">
        <v>15886</v>
      </c>
      <c r="D1321" s="24" t="s">
        <v>15900</v>
      </c>
      <c r="E1321" s="24" t="s">
        <v>15908</v>
      </c>
      <c r="F1321" s="29" t="s">
        <v>9522</v>
      </c>
      <c r="G1321" s="24" t="s">
        <v>9525</v>
      </c>
      <c r="H1321" s="11" t="str">
        <f t="shared" si="40"/>
        <v>06/11/1854</v>
      </c>
      <c r="J1321" s="11" t="str">
        <f t="shared" si="41"/>
        <v xml:space="preserve"> </v>
      </c>
      <c r="K1321" s="24" t="s">
        <v>9525</v>
      </c>
    </row>
    <row r="1322" spans="1:11">
      <c r="A1322" s="24" t="s">
        <v>15839</v>
      </c>
      <c r="B1322" s="24" t="s">
        <v>15839</v>
      </c>
      <c r="C1322" s="24" t="s">
        <v>15886</v>
      </c>
      <c r="D1322" s="24" t="s">
        <v>15965</v>
      </c>
      <c r="E1322" s="24" t="s">
        <v>15802</v>
      </c>
      <c r="F1322" s="29" t="s">
        <v>9295</v>
      </c>
      <c r="G1322" s="24" t="s">
        <v>6711</v>
      </c>
      <c r="H1322" s="11"/>
      <c r="J1322" s="11" t="str">
        <f t="shared" si="41"/>
        <v xml:space="preserve"> </v>
      </c>
    </row>
    <row r="1323" spans="1:11">
      <c r="A1323" s="24" t="s">
        <v>15811</v>
      </c>
      <c r="B1323" s="24" t="s">
        <v>15811</v>
      </c>
      <c r="C1323" s="24" t="s">
        <v>15926</v>
      </c>
      <c r="D1323" s="24" t="s">
        <v>15965</v>
      </c>
      <c r="E1323" s="24" t="s">
        <v>15899</v>
      </c>
      <c r="F1323" s="29" t="s">
        <v>4621</v>
      </c>
      <c r="G1323" s="24" t="s">
        <v>9305</v>
      </c>
      <c r="H1323" s="11" t="str">
        <f t="shared" si="40"/>
        <v>14/07/1897</v>
      </c>
      <c r="J1323" s="11" t="str">
        <f t="shared" si="41"/>
        <v xml:space="preserve"> </v>
      </c>
      <c r="K1323" s="24" t="s">
        <v>9305</v>
      </c>
    </row>
    <row r="1324" spans="1:11">
      <c r="A1324" s="24" t="s">
        <v>15827</v>
      </c>
      <c r="B1324" s="24" t="s">
        <v>15827</v>
      </c>
      <c r="C1324" s="24" t="s">
        <v>15893</v>
      </c>
      <c r="D1324" s="24" t="s">
        <v>15965</v>
      </c>
      <c r="E1324" s="24" t="s">
        <v>15801</v>
      </c>
      <c r="F1324" s="29" t="s">
        <v>3173</v>
      </c>
      <c r="G1324" s="24" t="s">
        <v>9241</v>
      </c>
      <c r="H1324" s="11" t="str">
        <f t="shared" si="40"/>
        <v>31/03/1879</v>
      </c>
      <c r="J1324" s="11" t="str">
        <f t="shared" si="41"/>
        <v xml:space="preserve"> </v>
      </c>
      <c r="K1324" s="24" t="s">
        <v>9241</v>
      </c>
    </row>
    <row r="1325" spans="1:11">
      <c r="A1325" s="24" t="s">
        <v>15808</v>
      </c>
      <c r="B1325" s="24" t="s">
        <v>15808</v>
      </c>
      <c r="C1325" s="24" t="s">
        <v>15933</v>
      </c>
      <c r="D1325" s="24" t="s">
        <v>15965</v>
      </c>
      <c r="E1325" s="24" t="s">
        <v>15801</v>
      </c>
      <c r="F1325" s="29" t="s">
        <v>9359</v>
      </c>
      <c r="G1325" s="24" t="s">
        <v>9361</v>
      </c>
      <c r="H1325" s="11" t="str">
        <f t="shared" si="40"/>
        <v>03/04/1873</v>
      </c>
      <c r="J1325" s="11" t="str">
        <f t="shared" si="41"/>
        <v xml:space="preserve"> </v>
      </c>
      <c r="K1325" s="24" t="s">
        <v>9361</v>
      </c>
    </row>
    <row r="1326" spans="1:11">
      <c r="A1326" s="24" t="s">
        <v>15835</v>
      </c>
      <c r="B1326" s="24" t="s">
        <v>15835</v>
      </c>
      <c r="C1326" s="24" t="s">
        <v>15801</v>
      </c>
      <c r="D1326" s="24" t="s">
        <v>15965</v>
      </c>
      <c r="E1326" s="24" t="s">
        <v>15811</v>
      </c>
      <c r="F1326" s="29" t="s">
        <v>9281</v>
      </c>
      <c r="H1326" s="11" t="str">
        <f t="shared" si="40"/>
        <v/>
      </c>
      <c r="J1326" s="11" t="str">
        <f t="shared" si="41"/>
        <v xml:space="preserve"> </v>
      </c>
      <c r="K1326" s="24" t="s">
        <v>15801</v>
      </c>
    </row>
    <row r="1327" spans="1:11">
      <c r="A1327" s="24" t="s">
        <v>15803</v>
      </c>
      <c r="B1327" s="24" t="s">
        <v>15803</v>
      </c>
      <c r="C1327" s="24" t="s">
        <v>15870</v>
      </c>
      <c r="D1327" s="24" t="s">
        <v>15965</v>
      </c>
      <c r="E1327" s="24" t="s">
        <v>15844</v>
      </c>
      <c r="F1327" s="29" t="s">
        <v>9462</v>
      </c>
      <c r="G1327" s="24" t="s">
        <v>9464</v>
      </c>
      <c r="H1327" s="11"/>
      <c r="J1327" s="11" t="str">
        <f t="shared" si="41"/>
        <v xml:space="preserve"> </v>
      </c>
    </row>
    <row r="1328" spans="1:11">
      <c r="A1328" s="24" t="s">
        <v>15846</v>
      </c>
      <c r="B1328" s="24" t="s">
        <v>15846</v>
      </c>
      <c r="C1328" s="24" t="s">
        <v>15890</v>
      </c>
      <c r="D1328" s="24" t="s">
        <v>15900</v>
      </c>
      <c r="E1328" s="24" t="s">
        <v>15825</v>
      </c>
      <c r="F1328" s="29" t="s">
        <v>6865</v>
      </c>
      <c r="G1328" s="24" t="s">
        <v>9432</v>
      </c>
      <c r="H1328" s="11" t="str">
        <f t="shared" si="40"/>
        <v>31/10/1875</v>
      </c>
      <c r="J1328" s="11" t="str">
        <f t="shared" si="41"/>
        <v xml:space="preserve"> </v>
      </c>
      <c r="K1328" s="24" t="s">
        <v>9432</v>
      </c>
    </row>
    <row r="1329" spans="1:11">
      <c r="A1329" s="24" t="s">
        <v>15819</v>
      </c>
      <c r="B1329" s="24" t="s">
        <v>15819</v>
      </c>
      <c r="C1329" s="24"/>
      <c r="E1329" s="24" t="s">
        <v>15900</v>
      </c>
      <c r="F1329" s="29" t="s">
        <v>9399</v>
      </c>
      <c r="G1329" s="24" t="s">
        <v>9401</v>
      </c>
      <c r="H1329" s="11"/>
      <c r="J1329" s="11" t="str">
        <f t="shared" si="41"/>
        <v xml:space="preserve"> </v>
      </c>
    </row>
    <row r="1330" spans="1:11">
      <c r="A1330" s="24" t="s">
        <v>15810</v>
      </c>
      <c r="B1330" s="24" t="s">
        <v>15810</v>
      </c>
      <c r="C1330" s="24" t="s">
        <v>15930</v>
      </c>
      <c r="E1330" s="24" t="s">
        <v>15900</v>
      </c>
      <c r="F1330" s="29" t="s">
        <v>8152</v>
      </c>
      <c r="G1330" s="24" t="s">
        <v>9383</v>
      </c>
      <c r="H1330" s="11" t="str">
        <f t="shared" si="40"/>
        <v>27/09/1896</v>
      </c>
      <c r="J1330" s="11" t="str">
        <f t="shared" si="41"/>
        <v xml:space="preserve"> </v>
      </c>
      <c r="K1330" s="24" t="s">
        <v>9383</v>
      </c>
    </row>
    <row r="1331" spans="1:11">
      <c r="A1331" s="24" t="s">
        <v>15820</v>
      </c>
      <c r="B1331" s="24" t="s">
        <v>15820</v>
      </c>
      <c r="C1331" s="24" t="s">
        <v>15891</v>
      </c>
      <c r="D1331" s="24" t="s">
        <v>15900</v>
      </c>
      <c r="E1331" s="24" t="s">
        <v>15936</v>
      </c>
      <c r="F1331" s="29" t="s">
        <v>9247</v>
      </c>
      <c r="G1331" s="24" t="s">
        <v>9249</v>
      </c>
      <c r="H1331" s="11" t="str">
        <f t="shared" si="40"/>
        <v>11/11/1883</v>
      </c>
      <c r="J1331" s="11" t="str">
        <f t="shared" si="41"/>
        <v xml:space="preserve"> </v>
      </c>
      <c r="K1331" s="24" t="s">
        <v>9249</v>
      </c>
    </row>
    <row r="1332" spans="1:11">
      <c r="A1332" s="24" t="s">
        <v>15801</v>
      </c>
      <c r="B1332" s="24" t="s">
        <v>15839</v>
      </c>
      <c r="C1332" s="24"/>
      <c r="D1332" s="24" t="s">
        <v>15900</v>
      </c>
      <c r="E1332" s="24" t="s">
        <v>15820</v>
      </c>
      <c r="G1332" s="24" t="s">
        <v>9441</v>
      </c>
      <c r="H1332" s="11"/>
      <c r="J1332" s="11" t="str">
        <f t="shared" si="41"/>
        <v xml:space="preserve"> </v>
      </c>
    </row>
    <row r="1333" spans="1:11">
      <c r="A1333" s="24" t="s">
        <v>15829</v>
      </c>
      <c r="B1333" s="24" t="s">
        <v>15829</v>
      </c>
      <c r="C1333" s="24" t="s">
        <v>15883</v>
      </c>
      <c r="D1333" s="24" t="s">
        <v>15900</v>
      </c>
      <c r="E1333" s="24" t="s">
        <v>15844</v>
      </c>
      <c r="F1333" s="29" t="s">
        <v>9264</v>
      </c>
      <c r="G1333" s="24" t="s">
        <v>9266</v>
      </c>
      <c r="H1333" s="11" t="str">
        <f t="shared" si="40"/>
        <v>15/02/1874</v>
      </c>
      <c r="J1333" s="11" t="str">
        <f t="shared" si="41"/>
        <v xml:space="preserve"> </v>
      </c>
      <c r="K1333" s="24" t="s">
        <v>9266</v>
      </c>
    </row>
    <row r="1334" spans="1:11">
      <c r="A1334" s="24" t="s">
        <v>15815</v>
      </c>
      <c r="B1334" s="24" t="s">
        <v>15815</v>
      </c>
      <c r="C1334" s="24" t="s">
        <v>15947</v>
      </c>
      <c r="D1334" s="24" t="s">
        <v>15956</v>
      </c>
      <c r="E1334" s="24" t="s">
        <v>15971</v>
      </c>
      <c r="F1334" s="29" t="s">
        <v>9557</v>
      </c>
      <c r="G1334" s="24" t="s">
        <v>9559</v>
      </c>
      <c r="H1334" s="11" t="str">
        <f t="shared" si="40"/>
        <v>01/12/1870</v>
      </c>
      <c r="J1334" s="11" t="str">
        <f t="shared" si="41"/>
        <v xml:space="preserve"> </v>
      </c>
      <c r="K1334" s="24" t="s">
        <v>9559</v>
      </c>
    </row>
    <row r="1335" spans="1:11">
      <c r="A1335" s="24" t="s">
        <v>15803</v>
      </c>
      <c r="B1335" s="24" t="s">
        <v>15803</v>
      </c>
      <c r="C1335" s="24" t="s">
        <v>15929</v>
      </c>
      <c r="D1335" s="24" t="s">
        <v>15956</v>
      </c>
      <c r="E1335" s="24" t="s">
        <v>15971</v>
      </c>
      <c r="F1335" s="29" t="s">
        <v>9786</v>
      </c>
      <c r="G1335" s="24" t="s">
        <v>9788</v>
      </c>
      <c r="H1335" s="11" t="str">
        <f t="shared" si="40"/>
        <v>23/04/1878</v>
      </c>
      <c r="J1335" s="11" t="str">
        <f t="shared" si="41"/>
        <v xml:space="preserve"> </v>
      </c>
      <c r="K1335" s="24" t="s">
        <v>9788</v>
      </c>
    </row>
    <row r="1336" spans="1:11">
      <c r="A1336" s="24" t="s">
        <v>15832</v>
      </c>
      <c r="B1336" s="24" t="s">
        <v>15832</v>
      </c>
      <c r="C1336" s="24" t="s">
        <v>15947</v>
      </c>
      <c r="D1336" s="24" t="s">
        <v>15899</v>
      </c>
      <c r="E1336" s="24" t="s">
        <v>15851</v>
      </c>
      <c r="F1336" s="29" t="s">
        <v>10135</v>
      </c>
      <c r="G1336" s="24" t="s">
        <v>10137</v>
      </c>
      <c r="H1336" s="11" t="str">
        <f t="shared" si="40"/>
        <v>03/04/1870</v>
      </c>
      <c r="J1336" s="11" t="str">
        <f t="shared" si="41"/>
        <v xml:space="preserve"> </v>
      </c>
      <c r="K1336" s="24" t="s">
        <v>10137</v>
      </c>
    </row>
    <row r="1337" spans="1:11">
      <c r="A1337" s="24" t="s">
        <v>15815</v>
      </c>
      <c r="B1337" s="24" t="s">
        <v>15815</v>
      </c>
      <c r="C1337" s="24" t="s">
        <v>15947</v>
      </c>
      <c r="D1337" s="24" t="s">
        <v>15884</v>
      </c>
      <c r="E1337" s="24" t="s">
        <v>15971</v>
      </c>
      <c r="F1337" s="29" t="s">
        <v>9642</v>
      </c>
      <c r="G1337" s="24" t="s">
        <v>9644</v>
      </c>
      <c r="H1337" s="11" t="str">
        <f t="shared" si="40"/>
        <v>29/08/1870</v>
      </c>
      <c r="J1337" s="11" t="str">
        <f t="shared" si="41"/>
        <v xml:space="preserve"> </v>
      </c>
      <c r="K1337" s="24" t="s">
        <v>9644</v>
      </c>
    </row>
    <row r="1338" spans="1:11">
      <c r="A1338" s="24" t="s">
        <v>15814</v>
      </c>
      <c r="B1338" s="24" t="s">
        <v>15814</v>
      </c>
      <c r="C1338" s="24" t="s">
        <v>15882</v>
      </c>
      <c r="D1338" s="24" t="s">
        <v>15908</v>
      </c>
      <c r="E1338" s="24" t="s">
        <v>15863</v>
      </c>
      <c r="F1338" s="29" t="s">
        <v>6607</v>
      </c>
      <c r="G1338" s="24" t="s">
        <v>10131</v>
      </c>
      <c r="H1338" s="11" t="str">
        <f t="shared" si="40"/>
        <v>22/09/1880</v>
      </c>
      <c r="J1338" s="11" t="str">
        <f t="shared" si="41"/>
        <v xml:space="preserve"> </v>
      </c>
      <c r="K1338" s="24" t="s">
        <v>10131</v>
      </c>
    </row>
    <row r="1339" spans="1:11">
      <c r="A1339" s="24" t="s">
        <v>15807</v>
      </c>
      <c r="B1339" s="24" t="s">
        <v>15807</v>
      </c>
      <c r="C1339" s="24" t="s">
        <v>15891</v>
      </c>
      <c r="D1339" s="24" t="s">
        <v>15956</v>
      </c>
      <c r="E1339" s="24" t="s">
        <v>15966</v>
      </c>
      <c r="F1339" s="29" t="s">
        <v>1214</v>
      </c>
      <c r="G1339" s="24" t="s">
        <v>10031</v>
      </c>
      <c r="H1339" s="11" t="str">
        <f t="shared" si="40"/>
        <v>02/04/1883</v>
      </c>
      <c r="J1339" s="11" t="str">
        <f t="shared" si="41"/>
        <v xml:space="preserve"> </v>
      </c>
      <c r="K1339" s="24" t="s">
        <v>10031</v>
      </c>
    </row>
    <row r="1340" spans="1:11">
      <c r="A1340" s="24" t="s">
        <v>15859</v>
      </c>
      <c r="B1340" s="24" t="s">
        <v>15859</v>
      </c>
      <c r="C1340" s="24" t="s">
        <v>15885</v>
      </c>
      <c r="D1340" s="24" t="s">
        <v>15884</v>
      </c>
      <c r="E1340" s="24" t="s">
        <v>15815</v>
      </c>
      <c r="F1340" s="29" t="s">
        <v>9951</v>
      </c>
      <c r="G1340" s="24" t="s">
        <v>9952</v>
      </c>
      <c r="H1340" s="11" t="str">
        <f t="shared" si="40"/>
        <v>16/12/1866</v>
      </c>
      <c r="J1340" s="11" t="str">
        <f t="shared" si="41"/>
        <v xml:space="preserve"> </v>
      </c>
      <c r="K1340" s="24" t="s">
        <v>9952</v>
      </c>
    </row>
    <row r="1341" spans="1:11">
      <c r="A1341" s="24" t="s">
        <v>15819</v>
      </c>
      <c r="B1341" s="24" t="s">
        <v>15819</v>
      </c>
      <c r="C1341" s="24" t="s">
        <v>15904</v>
      </c>
      <c r="D1341" s="24" t="s">
        <v>15915</v>
      </c>
      <c r="E1341" s="24" t="s">
        <v>15884</v>
      </c>
      <c r="F1341" s="29" t="s">
        <v>9807</v>
      </c>
      <c r="G1341" s="24" t="s">
        <v>9809</v>
      </c>
      <c r="H1341" s="11" t="str">
        <f t="shared" si="40"/>
        <v>16/03/1890</v>
      </c>
      <c r="J1341" s="11" t="str">
        <f t="shared" si="41"/>
        <v xml:space="preserve"> </v>
      </c>
      <c r="K1341" s="24" t="s">
        <v>9809</v>
      </c>
    </row>
    <row r="1342" spans="1:11">
      <c r="A1342" s="24" t="s">
        <v>15804</v>
      </c>
      <c r="B1342" s="24" t="s">
        <v>15804</v>
      </c>
      <c r="C1342" s="24" t="s">
        <v>15804</v>
      </c>
      <c r="D1342" s="24" t="s">
        <v>15956</v>
      </c>
      <c r="E1342" s="24" t="s">
        <v>15864</v>
      </c>
      <c r="F1342" s="29" t="s">
        <v>10119</v>
      </c>
      <c r="G1342" s="24" t="s">
        <v>10122</v>
      </c>
      <c r="H1342" s="11" t="str">
        <f t="shared" si="40"/>
        <v>11/11/1807</v>
      </c>
      <c r="J1342" s="11" t="str">
        <f t="shared" si="41"/>
        <v xml:space="preserve"> </v>
      </c>
      <c r="K1342" s="24" t="s">
        <v>10122</v>
      </c>
    </row>
    <row r="1343" spans="1:11">
      <c r="A1343" s="24" t="s">
        <v>15825</v>
      </c>
      <c r="B1343" s="24" t="s">
        <v>15825</v>
      </c>
      <c r="C1343" s="24" t="s">
        <v>15926</v>
      </c>
      <c r="D1343" s="24" t="s">
        <v>15884</v>
      </c>
      <c r="E1343" s="24" t="s">
        <v>15870</v>
      </c>
      <c r="F1343" s="29" t="s">
        <v>10012</v>
      </c>
      <c r="G1343" s="24" t="s">
        <v>9971</v>
      </c>
      <c r="H1343" s="11" t="str">
        <f t="shared" si="40"/>
        <v>25/05/1897</v>
      </c>
      <c r="J1343" s="11" t="str">
        <f t="shared" si="41"/>
        <v xml:space="preserve"> </v>
      </c>
      <c r="K1343" s="24" t="s">
        <v>9971</v>
      </c>
    </row>
    <row r="1344" spans="1:11">
      <c r="A1344" s="24" t="s">
        <v>15801</v>
      </c>
      <c r="B1344" s="24" t="s">
        <v>15849</v>
      </c>
      <c r="C1344" s="24" t="s">
        <v>15801</v>
      </c>
      <c r="D1344" s="24" t="s">
        <v>15899</v>
      </c>
      <c r="E1344" s="24" t="s">
        <v>15827</v>
      </c>
      <c r="H1344" s="11" t="str">
        <f t="shared" si="40"/>
        <v/>
      </c>
      <c r="J1344" s="11" t="str">
        <f t="shared" si="41"/>
        <v xml:space="preserve"> </v>
      </c>
      <c r="K1344" s="24" t="s">
        <v>15801</v>
      </c>
    </row>
    <row r="1345" spans="1:11">
      <c r="A1345" s="24" t="s">
        <v>15841</v>
      </c>
      <c r="B1345" s="24" t="s">
        <v>15841</v>
      </c>
      <c r="C1345" s="24" t="s">
        <v>15801</v>
      </c>
      <c r="D1345" s="24" t="s">
        <v>15901</v>
      </c>
      <c r="E1345" s="24" t="s">
        <v>15801</v>
      </c>
      <c r="F1345" s="29" t="s">
        <v>9783</v>
      </c>
      <c r="H1345" s="11" t="str">
        <f t="shared" si="40"/>
        <v/>
      </c>
      <c r="J1345" s="11" t="str">
        <f t="shared" si="41"/>
        <v xml:space="preserve"> </v>
      </c>
      <c r="K1345" s="24" t="s">
        <v>15801</v>
      </c>
    </row>
    <row r="1346" spans="1:11">
      <c r="A1346" s="24" t="s">
        <v>15808</v>
      </c>
      <c r="B1346" s="24" t="s">
        <v>15808</v>
      </c>
      <c r="C1346" s="24" t="s">
        <v>15929</v>
      </c>
      <c r="D1346" s="24" t="s">
        <v>15899</v>
      </c>
      <c r="E1346" s="24" t="s">
        <v>15820</v>
      </c>
      <c r="F1346" s="29" t="s">
        <v>9594</v>
      </c>
      <c r="G1346" s="24" t="s">
        <v>9596</v>
      </c>
      <c r="H1346" s="11" t="str">
        <f t="shared" si="40"/>
        <v>19/02/1878</v>
      </c>
      <c r="J1346" s="11" t="str">
        <f t="shared" si="41"/>
        <v xml:space="preserve"> </v>
      </c>
      <c r="K1346" s="24" t="s">
        <v>9596</v>
      </c>
    </row>
    <row r="1347" spans="1:11">
      <c r="A1347" s="24" t="s">
        <v>15801</v>
      </c>
      <c r="B1347" s="24" t="s">
        <v>15801</v>
      </c>
      <c r="C1347" s="24" t="s">
        <v>15880</v>
      </c>
      <c r="D1347" s="24" t="s">
        <v>15901</v>
      </c>
      <c r="E1347" s="24" t="s">
        <v>15966</v>
      </c>
      <c r="G1347" s="24" t="s">
        <v>9698</v>
      </c>
      <c r="H1347" s="11" t="str">
        <f t="shared" ref="H1347:H1410" si="42">TRIM(G1347)</f>
        <v>10/12/1892</v>
      </c>
      <c r="J1347" s="11" t="str">
        <f t="shared" ref="J1347:J1410" si="43">IF(LEN(H1347)=4,"fout"," ")</f>
        <v xml:space="preserve"> </v>
      </c>
      <c r="K1347" s="24" t="s">
        <v>9698</v>
      </c>
    </row>
    <row r="1348" spans="1:11">
      <c r="A1348" s="24" t="s">
        <v>15828</v>
      </c>
      <c r="B1348" s="24" t="s">
        <v>15828</v>
      </c>
      <c r="C1348" s="24" t="s">
        <v>15957</v>
      </c>
      <c r="D1348" s="24" t="s">
        <v>15908</v>
      </c>
      <c r="E1348" s="24" t="s">
        <v>15801</v>
      </c>
      <c r="F1348" s="29" t="s">
        <v>9852</v>
      </c>
      <c r="G1348" s="24" t="s">
        <v>9854</v>
      </c>
      <c r="H1348" s="11" t="str">
        <f t="shared" si="42"/>
        <v>05/08/1905</v>
      </c>
      <c r="J1348" s="11" t="str">
        <f t="shared" si="43"/>
        <v xml:space="preserve"> </v>
      </c>
      <c r="K1348" s="24" t="s">
        <v>9854</v>
      </c>
    </row>
    <row r="1349" spans="1:11">
      <c r="A1349" s="24" t="s">
        <v>15814</v>
      </c>
      <c r="B1349" s="24" t="s">
        <v>15814</v>
      </c>
      <c r="C1349" s="24" t="s">
        <v>15917</v>
      </c>
      <c r="D1349" s="24" t="s">
        <v>15901</v>
      </c>
      <c r="E1349" s="24" t="s">
        <v>15823</v>
      </c>
      <c r="F1349" s="29" t="s">
        <v>9665</v>
      </c>
      <c r="G1349" s="24" t="s">
        <v>9666</v>
      </c>
      <c r="H1349" s="11" t="str">
        <f t="shared" si="42"/>
        <v>20/02/1869</v>
      </c>
      <c r="J1349" s="11" t="str">
        <f t="shared" si="43"/>
        <v xml:space="preserve"> </v>
      </c>
      <c r="K1349" s="24" t="s">
        <v>9666</v>
      </c>
    </row>
    <row r="1350" spans="1:11">
      <c r="A1350" s="24" t="s">
        <v>15819</v>
      </c>
      <c r="B1350" s="24" t="s">
        <v>15819</v>
      </c>
      <c r="C1350" s="24" t="s">
        <v>15937</v>
      </c>
      <c r="D1350" s="24" t="s">
        <v>15884</v>
      </c>
      <c r="E1350" s="24" t="s">
        <v>15870</v>
      </c>
      <c r="F1350" s="29" t="s">
        <v>10054</v>
      </c>
      <c r="G1350" s="24" t="s">
        <v>10056</v>
      </c>
      <c r="H1350" s="11" t="str">
        <f t="shared" si="42"/>
        <v>20/08/1894</v>
      </c>
      <c r="J1350" s="11" t="str">
        <f t="shared" si="43"/>
        <v xml:space="preserve"> </v>
      </c>
      <c r="K1350" s="24" t="s">
        <v>10056</v>
      </c>
    </row>
    <row r="1351" spans="1:11">
      <c r="A1351" s="24" t="s">
        <v>15801</v>
      </c>
      <c r="B1351" s="24" t="s">
        <v>15847</v>
      </c>
      <c r="C1351" s="24" t="s">
        <v>15801</v>
      </c>
      <c r="D1351" s="24" t="s">
        <v>15876</v>
      </c>
      <c r="E1351" s="24" t="s">
        <v>15804</v>
      </c>
      <c r="H1351" s="11" t="str">
        <f t="shared" si="42"/>
        <v/>
      </c>
      <c r="J1351" s="11" t="str">
        <f t="shared" si="43"/>
        <v xml:space="preserve"> </v>
      </c>
      <c r="K1351" s="24" t="s">
        <v>15801</v>
      </c>
    </row>
    <row r="1352" spans="1:11">
      <c r="A1352" s="24" t="s">
        <v>15815</v>
      </c>
      <c r="B1352" s="24" t="s">
        <v>15815</v>
      </c>
      <c r="C1352" s="24" t="s">
        <v>15801</v>
      </c>
      <c r="D1352" s="24" t="s">
        <v>15876</v>
      </c>
      <c r="E1352" s="24" t="s">
        <v>15863</v>
      </c>
      <c r="F1352" s="29" t="s">
        <v>9669</v>
      </c>
      <c r="H1352" s="11" t="str">
        <f t="shared" si="42"/>
        <v/>
      </c>
      <c r="J1352" s="11" t="str">
        <f t="shared" si="43"/>
        <v xml:space="preserve"> </v>
      </c>
      <c r="K1352" s="24" t="s">
        <v>15801</v>
      </c>
    </row>
    <row r="1353" spans="1:11">
      <c r="A1353" s="24" t="s">
        <v>15821</v>
      </c>
      <c r="B1353" s="24" t="s">
        <v>15821</v>
      </c>
      <c r="C1353" s="24" t="s">
        <v>15937</v>
      </c>
      <c r="D1353" s="24" t="s">
        <v>15876</v>
      </c>
      <c r="E1353" s="24" t="s">
        <v>15801</v>
      </c>
      <c r="F1353" s="29" t="s">
        <v>9921</v>
      </c>
      <c r="G1353" s="24" t="s">
        <v>9923</v>
      </c>
      <c r="H1353" s="11" t="str">
        <f t="shared" si="42"/>
        <v>18/02/1894</v>
      </c>
      <c r="J1353" s="11" t="str">
        <f t="shared" si="43"/>
        <v xml:space="preserve"> </v>
      </c>
      <c r="K1353" s="24" t="s">
        <v>9923</v>
      </c>
    </row>
    <row r="1354" spans="1:11">
      <c r="A1354" s="24" t="s">
        <v>15825</v>
      </c>
      <c r="B1354" s="24" t="s">
        <v>15825</v>
      </c>
      <c r="C1354" s="24" t="s">
        <v>15926</v>
      </c>
      <c r="D1354" s="24" t="s">
        <v>15884</v>
      </c>
      <c r="E1354" s="24" t="s">
        <v>15965</v>
      </c>
      <c r="F1354" s="29" t="s">
        <v>9969</v>
      </c>
      <c r="G1354" s="24" t="s">
        <v>9971</v>
      </c>
      <c r="H1354" s="11" t="str">
        <f t="shared" si="42"/>
        <v>25/05/1897</v>
      </c>
      <c r="J1354" s="11" t="str">
        <f t="shared" si="43"/>
        <v xml:space="preserve"> </v>
      </c>
      <c r="K1354" s="24" t="s">
        <v>9971</v>
      </c>
    </row>
    <row r="1355" spans="1:11">
      <c r="A1355" s="24" t="s">
        <v>15819</v>
      </c>
      <c r="B1355" s="24" t="s">
        <v>15819</v>
      </c>
      <c r="C1355" s="24" t="s">
        <v>15896</v>
      </c>
      <c r="D1355" s="24" t="s">
        <v>15915</v>
      </c>
      <c r="E1355" s="24" t="s">
        <v>15900</v>
      </c>
      <c r="F1355" s="29" t="s">
        <v>9856</v>
      </c>
      <c r="G1355" s="24" t="s">
        <v>9857</v>
      </c>
      <c r="H1355" s="11" t="str">
        <f t="shared" si="42"/>
        <v>18/02/1887</v>
      </c>
      <c r="J1355" s="11" t="str">
        <f t="shared" si="43"/>
        <v xml:space="preserve"> </v>
      </c>
      <c r="K1355" s="24" t="s">
        <v>9857</v>
      </c>
    </row>
    <row r="1356" spans="1:11">
      <c r="A1356" s="24" t="s">
        <v>15802</v>
      </c>
      <c r="B1356" s="24" t="s">
        <v>15802</v>
      </c>
      <c r="C1356" s="24" t="s">
        <v>15801</v>
      </c>
      <c r="D1356" s="24" t="s">
        <v>15908</v>
      </c>
      <c r="E1356" s="24" t="s">
        <v>15801</v>
      </c>
      <c r="F1356" s="29" t="s">
        <v>180</v>
      </c>
      <c r="H1356" s="11" t="str">
        <f t="shared" si="42"/>
        <v/>
      </c>
      <c r="J1356" s="11" t="str">
        <f t="shared" si="43"/>
        <v xml:space="preserve"> </v>
      </c>
      <c r="K1356" s="24" t="s">
        <v>15801</v>
      </c>
    </row>
    <row r="1357" spans="1:11">
      <c r="A1357" s="24" t="s">
        <v>15823</v>
      </c>
      <c r="B1357" s="24" t="s">
        <v>15823</v>
      </c>
      <c r="C1357" s="24" t="s">
        <v>15890</v>
      </c>
      <c r="D1357" s="24" t="s">
        <v>15870</v>
      </c>
      <c r="E1357" s="24" t="s">
        <v>15887</v>
      </c>
      <c r="F1357" s="29" t="s">
        <v>9793</v>
      </c>
      <c r="G1357" s="24" t="s">
        <v>9794</v>
      </c>
      <c r="H1357" s="11" t="str">
        <f t="shared" si="42"/>
        <v>12/05/1875</v>
      </c>
      <c r="J1357" s="11" t="str">
        <f t="shared" si="43"/>
        <v xml:space="preserve"> </v>
      </c>
      <c r="K1357" s="24" t="s">
        <v>9794</v>
      </c>
    </row>
    <row r="1358" spans="1:11">
      <c r="A1358" s="24" t="s">
        <v>15801</v>
      </c>
      <c r="B1358" s="24" t="s">
        <v>15809</v>
      </c>
      <c r="C1358" s="24"/>
      <c r="D1358" s="24" t="s">
        <v>15965</v>
      </c>
      <c r="E1358" s="24" t="s">
        <v>15845</v>
      </c>
      <c r="H1358" s="11" t="str">
        <f t="shared" si="42"/>
        <v/>
      </c>
      <c r="J1358" s="11" t="str">
        <f t="shared" si="43"/>
        <v xml:space="preserve"> </v>
      </c>
      <c r="K1358" s="24" t="s">
        <v>15801</v>
      </c>
    </row>
    <row r="1359" spans="1:11">
      <c r="A1359" s="24" t="s">
        <v>15841</v>
      </c>
      <c r="B1359" s="24" t="s">
        <v>15841</v>
      </c>
      <c r="C1359" s="24" t="s">
        <v>15923</v>
      </c>
      <c r="D1359" s="24" t="s">
        <v>15884</v>
      </c>
      <c r="E1359" s="24" t="s">
        <v>15810</v>
      </c>
      <c r="F1359" s="29" t="s">
        <v>9573</v>
      </c>
      <c r="G1359" s="24" t="s">
        <v>9576</v>
      </c>
      <c r="H1359" s="11" t="str">
        <f t="shared" si="42"/>
        <v>23/07/1853</v>
      </c>
      <c r="J1359" s="11" t="str">
        <f t="shared" si="43"/>
        <v xml:space="preserve"> </v>
      </c>
      <c r="K1359" s="24" t="s">
        <v>9576</v>
      </c>
    </row>
    <row r="1360" spans="1:11">
      <c r="A1360" s="24" t="s">
        <v>15817</v>
      </c>
      <c r="B1360" s="24" t="s">
        <v>15817</v>
      </c>
      <c r="C1360" s="24" t="s">
        <v>15894</v>
      </c>
      <c r="D1360" s="24" t="s">
        <v>15884</v>
      </c>
      <c r="E1360" s="24" t="s">
        <v>15901</v>
      </c>
      <c r="F1360" s="29" t="s">
        <v>9942</v>
      </c>
      <c r="G1360" s="24" t="s">
        <v>9943</v>
      </c>
      <c r="H1360" s="11" t="str">
        <f t="shared" si="42"/>
        <v>19/05/1901</v>
      </c>
      <c r="J1360" s="11" t="str">
        <f t="shared" si="43"/>
        <v xml:space="preserve"> </v>
      </c>
      <c r="K1360" s="24" t="s">
        <v>9943</v>
      </c>
    </row>
    <row r="1361" spans="1:11">
      <c r="A1361" s="24" t="s">
        <v>15820</v>
      </c>
      <c r="B1361" s="24" t="s">
        <v>15820</v>
      </c>
      <c r="C1361" s="24" t="s">
        <v>15950</v>
      </c>
      <c r="D1361" s="24" t="s">
        <v>15884</v>
      </c>
      <c r="E1361" s="24" t="s">
        <v>15948</v>
      </c>
      <c r="F1361" s="29" t="s">
        <v>9615</v>
      </c>
      <c r="G1361" s="24" t="s">
        <v>9617</v>
      </c>
      <c r="H1361" s="11" t="str">
        <f t="shared" si="42"/>
        <v>24/05/1904</v>
      </c>
      <c r="J1361" s="11" t="str">
        <f t="shared" si="43"/>
        <v xml:space="preserve"> </v>
      </c>
      <c r="K1361" s="24" t="s">
        <v>9617</v>
      </c>
    </row>
    <row r="1362" spans="1:11">
      <c r="A1362" s="24" t="s">
        <v>15823</v>
      </c>
      <c r="B1362" s="24" t="s">
        <v>15823</v>
      </c>
      <c r="C1362" s="24" t="s">
        <v>15963</v>
      </c>
      <c r="D1362" s="24" t="s">
        <v>15884</v>
      </c>
      <c r="E1362" s="24" t="s">
        <v>15898</v>
      </c>
      <c r="F1362" s="29" t="s">
        <v>9583</v>
      </c>
      <c r="G1362" s="24" t="s">
        <v>9586</v>
      </c>
      <c r="H1362" s="11" t="str">
        <f t="shared" si="42"/>
        <v>17/04/1907</v>
      </c>
      <c r="J1362" s="11" t="str">
        <f t="shared" si="43"/>
        <v xml:space="preserve"> </v>
      </c>
      <c r="K1362" s="24" t="s">
        <v>9586</v>
      </c>
    </row>
    <row r="1363" spans="1:11">
      <c r="A1363" s="24" t="s">
        <v>15808</v>
      </c>
      <c r="B1363" s="24" t="s">
        <v>15808</v>
      </c>
      <c r="C1363" s="24" t="s">
        <v>15889</v>
      </c>
      <c r="D1363" s="24" t="s">
        <v>15884</v>
      </c>
      <c r="E1363" s="24" t="s">
        <v>15833</v>
      </c>
      <c r="F1363" s="29" t="s">
        <v>9735</v>
      </c>
      <c r="G1363" s="24" t="s">
        <v>9737</v>
      </c>
      <c r="H1363" s="11" t="str">
        <f t="shared" si="42"/>
        <v>27/06/1865</v>
      </c>
      <c r="J1363" s="11" t="str">
        <f t="shared" si="43"/>
        <v xml:space="preserve"> </v>
      </c>
      <c r="K1363" s="24" t="s">
        <v>9737</v>
      </c>
    </row>
    <row r="1364" spans="1:11">
      <c r="A1364" s="24" t="s">
        <v>15811</v>
      </c>
      <c r="B1364" s="24" t="s">
        <v>15811</v>
      </c>
      <c r="C1364" s="24" t="s">
        <v>15888</v>
      </c>
      <c r="E1364" s="24" t="s">
        <v>15876</v>
      </c>
      <c r="F1364" s="29" t="s">
        <v>9925</v>
      </c>
      <c r="G1364" s="24" t="s">
        <v>9927</v>
      </c>
      <c r="H1364" s="11" t="str">
        <f t="shared" si="42"/>
        <v>05/01/1864</v>
      </c>
      <c r="J1364" s="11" t="str">
        <f t="shared" si="43"/>
        <v xml:space="preserve"> </v>
      </c>
      <c r="K1364" s="24" t="s">
        <v>9927</v>
      </c>
    </row>
    <row r="1365" spans="1:11">
      <c r="A1365" s="24" t="s">
        <v>15801</v>
      </c>
      <c r="B1365" s="24" t="s">
        <v>15835</v>
      </c>
      <c r="C1365" s="24" t="s">
        <v>15883</v>
      </c>
      <c r="D1365" s="24" t="s">
        <v>15884</v>
      </c>
      <c r="E1365" s="24" t="s">
        <v>15801</v>
      </c>
      <c r="G1365" s="24" t="s">
        <v>9869</v>
      </c>
      <c r="H1365" s="11" t="str">
        <f t="shared" si="42"/>
        <v>21/07/1874</v>
      </c>
      <c r="J1365" s="11" t="str">
        <f t="shared" si="43"/>
        <v xml:space="preserve"> </v>
      </c>
      <c r="K1365" s="24" t="s">
        <v>9869</v>
      </c>
    </row>
    <row r="1366" spans="1:11">
      <c r="A1366" s="24" t="s">
        <v>15829</v>
      </c>
      <c r="B1366" s="24" t="s">
        <v>15829</v>
      </c>
      <c r="C1366" s="24" t="s">
        <v>15910</v>
      </c>
      <c r="D1366" s="24" t="s">
        <v>15884</v>
      </c>
      <c r="E1366" s="24" t="s">
        <v>15811</v>
      </c>
      <c r="F1366" s="29" t="s">
        <v>9743</v>
      </c>
      <c r="G1366" s="24" t="s">
        <v>9745</v>
      </c>
      <c r="H1366" s="11" t="str">
        <f t="shared" si="42"/>
        <v>25/09/1889</v>
      </c>
      <c r="J1366" s="11" t="str">
        <f t="shared" si="43"/>
        <v xml:space="preserve"> </v>
      </c>
      <c r="K1366" s="24" t="s">
        <v>9745</v>
      </c>
    </row>
    <row r="1367" spans="1:11">
      <c r="A1367" s="24" t="s">
        <v>15823</v>
      </c>
      <c r="B1367" s="24" t="s">
        <v>15823</v>
      </c>
      <c r="C1367" s="24" t="s">
        <v>15927</v>
      </c>
      <c r="D1367" s="24" t="s">
        <v>15884</v>
      </c>
      <c r="E1367" s="24" t="s">
        <v>15878</v>
      </c>
      <c r="F1367" s="29" t="s">
        <v>9899</v>
      </c>
      <c r="G1367" s="24" t="s">
        <v>9901</v>
      </c>
      <c r="H1367" s="11" t="str">
        <f t="shared" si="42"/>
        <v>23/09/1906</v>
      </c>
      <c r="J1367" s="11" t="str">
        <f t="shared" si="43"/>
        <v xml:space="preserve"> </v>
      </c>
      <c r="K1367" s="24" t="s">
        <v>9901</v>
      </c>
    </row>
    <row r="1368" spans="1:11">
      <c r="A1368" s="24" t="s">
        <v>15845</v>
      </c>
      <c r="B1368" s="24" t="s">
        <v>15845</v>
      </c>
      <c r="C1368" s="24" t="s">
        <v>15801</v>
      </c>
      <c r="D1368" s="24" t="s">
        <v>15965</v>
      </c>
      <c r="E1368" s="24" t="s">
        <v>15819</v>
      </c>
      <c r="F1368" s="29" t="s">
        <v>9657</v>
      </c>
      <c r="H1368" s="11" t="str">
        <f t="shared" si="42"/>
        <v/>
      </c>
      <c r="J1368" s="11" t="str">
        <f t="shared" si="43"/>
        <v xml:space="preserve"> </v>
      </c>
      <c r="K1368" s="24" t="s">
        <v>15801</v>
      </c>
    </row>
    <row r="1369" spans="1:11">
      <c r="A1369" s="24" t="s">
        <v>15818</v>
      </c>
      <c r="B1369" s="24" t="s">
        <v>15818</v>
      </c>
      <c r="C1369" s="24" t="s">
        <v>15937</v>
      </c>
      <c r="D1369" s="24" t="s">
        <v>15884</v>
      </c>
      <c r="E1369" s="24" t="s">
        <v>15966</v>
      </c>
      <c r="F1369" s="29" t="s">
        <v>7950</v>
      </c>
      <c r="G1369" s="24" t="s">
        <v>9923</v>
      </c>
      <c r="H1369" s="11" t="str">
        <f t="shared" si="42"/>
        <v>18/02/1894</v>
      </c>
      <c r="J1369" s="11" t="str">
        <f t="shared" si="43"/>
        <v xml:space="preserve"> </v>
      </c>
      <c r="K1369" s="24" t="s">
        <v>9923</v>
      </c>
    </row>
    <row r="1370" spans="1:11">
      <c r="A1370" s="24" t="s">
        <v>15816</v>
      </c>
      <c r="B1370" s="24" t="s">
        <v>15816</v>
      </c>
      <c r="C1370" s="24" t="s">
        <v>15926</v>
      </c>
      <c r="D1370" s="24" t="s">
        <v>15908</v>
      </c>
      <c r="E1370" s="24" t="s">
        <v>15870</v>
      </c>
      <c r="F1370" s="29" t="s">
        <v>1849</v>
      </c>
      <c r="G1370" s="24" t="s">
        <v>9862</v>
      </c>
      <c r="H1370" s="11" t="str">
        <f t="shared" si="42"/>
        <v>20/05/1897</v>
      </c>
      <c r="J1370" s="11" t="str">
        <f t="shared" si="43"/>
        <v xml:space="preserve"> </v>
      </c>
      <c r="K1370" s="24" t="s">
        <v>9862</v>
      </c>
    </row>
    <row r="1371" spans="1:11">
      <c r="A1371" s="24" t="s">
        <v>15807</v>
      </c>
      <c r="B1371" s="24" t="s">
        <v>15807</v>
      </c>
      <c r="C1371" s="24" t="s">
        <v>15884</v>
      </c>
      <c r="D1371" s="24" t="s">
        <v>15900</v>
      </c>
      <c r="E1371" s="24" t="s">
        <v>15965</v>
      </c>
      <c r="F1371" s="29" t="s">
        <v>7414</v>
      </c>
      <c r="G1371" s="24" t="s">
        <v>72</v>
      </c>
      <c r="H1371" s="11" t="str">
        <f t="shared" si="42"/>
        <v>06/02/1838</v>
      </c>
      <c r="J1371" s="11" t="str">
        <f t="shared" si="43"/>
        <v xml:space="preserve"> </v>
      </c>
      <c r="K1371" s="24" t="s">
        <v>72</v>
      </c>
    </row>
    <row r="1372" spans="1:11">
      <c r="A1372" s="24" t="s">
        <v>15806</v>
      </c>
      <c r="B1372" s="24" t="s">
        <v>15806</v>
      </c>
      <c r="C1372" s="24" t="s">
        <v>15922</v>
      </c>
      <c r="D1372" s="24" t="s">
        <v>15900</v>
      </c>
      <c r="E1372" s="24" t="s">
        <v>15870</v>
      </c>
      <c r="F1372" s="29" t="s">
        <v>8866</v>
      </c>
      <c r="G1372" s="24" t="s">
        <v>9887</v>
      </c>
      <c r="H1372" s="11" t="str">
        <f t="shared" si="42"/>
        <v>19/03/1855</v>
      </c>
      <c r="J1372" s="11" t="str">
        <f t="shared" si="43"/>
        <v xml:space="preserve"> </v>
      </c>
      <c r="K1372" s="24" t="s">
        <v>9887</v>
      </c>
    </row>
    <row r="1373" spans="1:11">
      <c r="A1373" s="24" t="s">
        <v>15816</v>
      </c>
      <c r="B1373" s="24" t="s">
        <v>15816</v>
      </c>
      <c r="C1373" s="24" t="s">
        <v>15884</v>
      </c>
      <c r="D1373" s="24" t="s">
        <v>15900</v>
      </c>
      <c r="E1373" s="24" t="s">
        <v>15801</v>
      </c>
      <c r="F1373" s="29" t="s">
        <v>4170</v>
      </c>
      <c r="G1373" s="24" t="s">
        <v>72</v>
      </c>
      <c r="H1373" s="11" t="str">
        <f t="shared" si="42"/>
        <v>06/02/1838</v>
      </c>
      <c r="J1373" s="11" t="str">
        <f t="shared" si="43"/>
        <v xml:space="preserve"> </v>
      </c>
      <c r="K1373" s="24" t="s">
        <v>72</v>
      </c>
    </row>
    <row r="1374" spans="1:11">
      <c r="A1374" s="24" t="s">
        <v>15828</v>
      </c>
      <c r="B1374" s="24" t="s">
        <v>15828</v>
      </c>
      <c r="C1374" s="24" t="s">
        <v>15896</v>
      </c>
      <c r="D1374" s="24" t="s">
        <v>15948</v>
      </c>
      <c r="E1374" s="24" t="s">
        <v>15801</v>
      </c>
      <c r="F1374" s="29" t="s">
        <v>9842</v>
      </c>
      <c r="G1374" s="24" t="s">
        <v>9845</v>
      </c>
      <c r="H1374" s="11" t="str">
        <f t="shared" si="42"/>
        <v>26/12/1887</v>
      </c>
      <c r="J1374" s="11" t="str">
        <f t="shared" si="43"/>
        <v xml:space="preserve"> </v>
      </c>
      <c r="K1374" s="24" t="s">
        <v>9845</v>
      </c>
    </row>
    <row r="1375" spans="1:11">
      <c r="A1375" s="24" t="s">
        <v>15801</v>
      </c>
      <c r="B1375" s="24" t="s">
        <v>15865</v>
      </c>
      <c r="C1375" s="24" t="s">
        <v>15897</v>
      </c>
      <c r="D1375" s="24" t="s">
        <v>15900</v>
      </c>
      <c r="E1375" s="24" t="s">
        <v>15803</v>
      </c>
      <c r="G1375" s="24" t="s">
        <v>9882</v>
      </c>
      <c r="H1375" s="11" t="str">
        <f t="shared" si="42"/>
        <v>08/06/1861</v>
      </c>
      <c r="J1375" s="11" t="str">
        <f t="shared" si="43"/>
        <v xml:space="preserve"> </v>
      </c>
      <c r="K1375" s="24" t="s">
        <v>9882</v>
      </c>
    </row>
    <row r="1376" spans="1:11">
      <c r="A1376" s="24" t="s">
        <v>15815</v>
      </c>
      <c r="B1376" s="24" t="s">
        <v>15815</v>
      </c>
      <c r="C1376" s="24" t="s">
        <v>15884</v>
      </c>
      <c r="D1376" s="24" t="s">
        <v>15965</v>
      </c>
      <c r="E1376" s="24" t="s">
        <v>15801</v>
      </c>
      <c r="F1376" s="29" t="s">
        <v>978</v>
      </c>
      <c r="G1376" s="24" t="s">
        <v>9873</v>
      </c>
      <c r="H1376" s="11"/>
      <c r="J1376" s="11" t="str">
        <f t="shared" si="43"/>
        <v xml:space="preserve"> </v>
      </c>
    </row>
    <row r="1377" spans="1:11">
      <c r="A1377" s="24" t="s">
        <v>15833</v>
      </c>
      <c r="B1377" s="24" t="s">
        <v>15833</v>
      </c>
      <c r="C1377" s="24" t="s">
        <v>15910</v>
      </c>
      <c r="E1377" s="24" t="s">
        <v>15884</v>
      </c>
      <c r="F1377" s="29" t="s">
        <v>9650</v>
      </c>
      <c r="G1377" s="24" t="s">
        <v>9652</v>
      </c>
      <c r="H1377" s="11" t="str">
        <f t="shared" si="42"/>
        <v>15/04/1889</v>
      </c>
      <c r="J1377" s="11" t="str">
        <f t="shared" si="43"/>
        <v xml:space="preserve"> </v>
      </c>
      <c r="K1377" s="24" t="s">
        <v>9652</v>
      </c>
    </row>
    <row r="1378" spans="1:11">
      <c r="A1378" s="24" t="s">
        <v>15813</v>
      </c>
      <c r="B1378" s="24" t="s">
        <v>15813</v>
      </c>
      <c r="C1378" s="24" t="s">
        <v>15904</v>
      </c>
      <c r="D1378" s="24" t="s">
        <v>15901</v>
      </c>
      <c r="E1378" s="24" t="s">
        <v>15823</v>
      </c>
      <c r="F1378" s="29" t="s">
        <v>145</v>
      </c>
      <c r="G1378" s="24" t="s">
        <v>9815</v>
      </c>
      <c r="H1378" s="11" t="str">
        <f t="shared" si="42"/>
        <v>10/06/1890</v>
      </c>
      <c r="J1378" s="11" t="str">
        <f t="shared" si="43"/>
        <v xml:space="preserve"> </v>
      </c>
      <c r="K1378" s="24" t="s">
        <v>9815</v>
      </c>
    </row>
    <row r="1379" spans="1:11">
      <c r="A1379" s="24" t="s">
        <v>15841</v>
      </c>
      <c r="B1379" s="24" t="s">
        <v>15841</v>
      </c>
      <c r="C1379" s="24" t="s">
        <v>15946</v>
      </c>
      <c r="D1379" s="24" t="s">
        <v>15899</v>
      </c>
      <c r="E1379" s="24" t="s">
        <v>15810</v>
      </c>
      <c r="F1379" s="29" t="s">
        <v>9821</v>
      </c>
      <c r="G1379" s="24" t="s">
        <v>9823</v>
      </c>
      <c r="H1379" s="11" t="str">
        <f t="shared" si="42"/>
        <v>29/05/1860</v>
      </c>
      <c r="J1379" s="11" t="str">
        <f t="shared" si="43"/>
        <v xml:space="preserve"> </v>
      </c>
      <c r="K1379" s="24" t="s">
        <v>9823</v>
      </c>
    </row>
    <row r="1380" spans="1:11">
      <c r="A1380" s="24" t="s">
        <v>15810</v>
      </c>
      <c r="B1380" s="24" t="s">
        <v>15810</v>
      </c>
      <c r="C1380" s="24" t="s">
        <v>15894</v>
      </c>
      <c r="D1380" s="24" t="s">
        <v>15956</v>
      </c>
      <c r="E1380" s="24" t="s">
        <v>15899</v>
      </c>
      <c r="F1380" s="29" t="s">
        <v>9769</v>
      </c>
      <c r="G1380" s="24" t="s">
        <v>9772</v>
      </c>
      <c r="H1380" s="11" t="str">
        <f t="shared" si="42"/>
        <v>21/06/1901</v>
      </c>
      <c r="J1380" s="11" t="str">
        <f t="shared" si="43"/>
        <v xml:space="preserve"> </v>
      </c>
      <c r="K1380" s="24" t="s">
        <v>9772</v>
      </c>
    </row>
    <row r="1381" spans="1:11">
      <c r="A1381" s="24" t="s">
        <v>15817</v>
      </c>
      <c r="B1381" s="24" t="s">
        <v>15817</v>
      </c>
      <c r="C1381" s="24" t="s">
        <v>15939</v>
      </c>
      <c r="D1381" s="24" t="s">
        <v>15908</v>
      </c>
      <c r="E1381" s="24" t="s">
        <v>15801</v>
      </c>
      <c r="F1381" s="29" t="s">
        <v>9726</v>
      </c>
      <c r="G1381" s="24" t="s">
        <v>9729</v>
      </c>
      <c r="H1381" s="11" t="str">
        <f t="shared" si="42"/>
        <v>25/01/1872</v>
      </c>
      <c r="J1381" s="11" t="str">
        <f t="shared" si="43"/>
        <v xml:space="preserve"> </v>
      </c>
      <c r="K1381" s="24" t="s">
        <v>9729</v>
      </c>
    </row>
    <row r="1382" spans="1:11">
      <c r="A1382" s="24" t="s">
        <v>15811</v>
      </c>
      <c r="B1382" s="24" t="s">
        <v>15811</v>
      </c>
      <c r="C1382" s="24" t="s">
        <v>15912</v>
      </c>
      <c r="D1382" s="24" t="s">
        <v>15899</v>
      </c>
      <c r="E1382" s="24" t="s">
        <v>15898</v>
      </c>
      <c r="F1382" s="29" t="s">
        <v>9978</v>
      </c>
      <c r="G1382" s="24" t="s">
        <v>9980</v>
      </c>
      <c r="H1382" s="11" t="str">
        <f t="shared" si="42"/>
        <v>11/11/1893</v>
      </c>
      <c r="J1382" s="11" t="str">
        <f t="shared" si="43"/>
        <v xml:space="preserve"> </v>
      </c>
      <c r="K1382" s="24" t="s">
        <v>9980</v>
      </c>
    </row>
    <row r="1383" spans="1:11">
      <c r="A1383" s="24" t="s">
        <v>15823</v>
      </c>
      <c r="B1383" s="24" t="s">
        <v>15823</v>
      </c>
      <c r="C1383" s="24" t="s">
        <v>15964</v>
      </c>
      <c r="D1383" s="24" t="s">
        <v>15899</v>
      </c>
      <c r="E1383" s="24" t="s">
        <v>15801</v>
      </c>
      <c r="F1383" s="29" t="s">
        <v>3563</v>
      </c>
      <c r="G1383" s="24" t="s">
        <v>10042</v>
      </c>
      <c r="H1383" s="11" t="str">
        <f t="shared" si="42"/>
        <v>14/01/1911</v>
      </c>
      <c r="J1383" s="11" t="str">
        <f t="shared" si="43"/>
        <v xml:space="preserve"> </v>
      </c>
      <c r="K1383" s="24" t="s">
        <v>10042</v>
      </c>
    </row>
    <row r="1384" spans="1:11">
      <c r="A1384" s="24" t="s">
        <v>15817</v>
      </c>
      <c r="B1384" s="24" t="s">
        <v>15817</v>
      </c>
      <c r="C1384" s="24" t="s">
        <v>15943</v>
      </c>
      <c r="E1384" s="24" t="s">
        <v>15801</v>
      </c>
      <c r="F1384" s="29" t="s">
        <v>10086</v>
      </c>
      <c r="G1384" s="24" t="s">
        <v>10089</v>
      </c>
      <c r="H1384" s="11" t="str">
        <f t="shared" si="42"/>
        <v>25/05/1891</v>
      </c>
      <c r="J1384" s="11" t="str">
        <f t="shared" si="43"/>
        <v xml:space="preserve"> </v>
      </c>
      <c r="K1384" s="24" t="s">
        <v>10089</v>
      </c>
    </row>
    <row r="1385" spans="1:11">
      <c r="A1385" s="24" t="s">
        <v>15820</v>
      </c>
      <c r="B1385" s="24" t="s">
        <v>15820</v>
      </c>
      <c r="C1385" s="24" t="s">
        <v>15928</v>
      </c>
      <c r="D1385" s="24" t="s">
        <v>15908</v>
      </c>
      <c r="E1385" s="24" t="s">
        <v>15801</v>
      </c>
      <c r="F1385" s="29" t="s">
        <v>9754</v>
      </c>
      <c r="G1385" s="24" t="s">
        <v>9756</v>
      </c>
      <c r="H1385" s="11" t="str">
        <f t="shared" si="42"/>
        <v>05/12/1899</v>
      </c>
      <c r="J1385" s="11" t="str">
        <f t="shared" si="43"/>
        <v xml:space="preserve"> </v>
      </c>
      <c r="K1385" s="24" t="s">
        <v>9756</v>
      </c>
    </row>
    <row r="1386" spans="1:11">
      <c r="A1386" s="24" t="s">
        <v>15803</v>
      </c>
      <c r="B1386" s="24" t="s">
        <v>15803</v>
      </c>
      <c r="C1386" s="24" t="s">
        <v>15893</v>
      </c>
      <c r="D1386" s="24" t="s">
        <v>15884</v>
      </c>
      <c r="E1386" s="24" t="s">
        <v>15823</v>
      </c>
      <c r="F1386" s="29" t="s">
        <v>10098</v>
      </c>
      <c r="G1386" s="24" t="s">
        <v>10100</v>
      </c>
      <c r="H1386" s="11" t="str">
        <f t="shared" si="42"/>
        <v>24/06/1879</v>
      </c>
      <c r="J1386" s="11" t="str">
        <f t="shared" si="43"/>
        <v xml:space="preserve"> </v>
      </c>
      <c r="K1386" s="24" t="s">
        <v>10100</v>
      </c>
    </row>
    <row r="1387" spans="1:11">
      <c r="A1387" s="24" t="s">
        <v>15814</v>
      </c>
      <c r="B1387" s="24" t="s">
        <v>15814</v>
      </c>
      <c r="C1387" s="24" t="s">
        <v>15891</v>
      </c>
      <c r="D1387" s="24" t="s">
        <v>15884</v>
      </c>
      <c r="E1387" s="24" t="s">
        <v>15945</v>
      </c>
      <c r="F1387" s="29" t="s">
        <v>10022</v>
      </c>
      <c r="G1387" s="24" t="s">
        <v>10023</v>
      </c>
      <c r="H1387" s="11" t="str">
        <f t="shared" si="42"/>
        <v>28/09/1883</v>
      </c>
      <c r="J1387" s="11" t="str">
        <f t="shared" si="43"/>
        <v xml:space="preserve"> </v>
      </c>
      <c r="K1387" s="24" t="s">
        <v>10023</v>
      </c>
    </row>
    <row r="1388" spans="1:11">
      <c r="A1388" s="24" t="s">
        <v>15854</v>
      </c>
      <c r="B1388" s="24" t="s">
        <v>15854</v>
      </c>
      <c r="C1388" s="24" t="s">
        <v>15887</v>
      </c>
      <c r="D1388" s="24" t="s">
        <v>15900</v>
      </c>
      <c r="E1388" s="24" t="s">
        <v>15829</v>
      </c>
      <c r="F1388" s="29" t="s">
        <v>9798</v>
      </c>
      <c r="G1388" s="24" t="s">
        <v>9801</v>
      </c>
      <c r="H1388" s="11" t="str">
        <f t="shared" si="42"/>
        <v>29/04/1856</v>
      </c>
      <c r="J1388" s="11" t="str">
        <f t="shared" si="43"/>
        <v xml:space="preserve"> </v>
      </c>
      <c r="K1388" s="24" t="s">
        <v>9801</v>
      </c>
    </row>
    <row r="1389" spans="1:11">
      <c r="A1389" s="24" t="s">
        <v>15804</v>
      </c>
      <c r="B1389" s="24" t="s">
        <v>15804</v>
      </c>
      <c r="C1389" s="24" t="s">
        <v>15910</v>
      </c>
      <c r="D1389" s="24" t="s">
        <v>15899</v>
      </c>
      <c r="E1389" s="24" t="s">
        <v>15801</v>
      </c>
      <c r="F1389" s="29" t="s">
        <v>9827</v>
      </c>
      <c r="G1389" s="24" t="s">
        <v>337</v>
      </c>
      <c r="H1389" s="11" t="str">
        <f t="shared" si="42"/>
        <v>06/08/1889</v>
      </c>
      <c r="J1389" s="11" t="str">
        <f t="shared" si="43"/>
        <v xml:space="preserve"> </v>
      </c>
      <c r="K1389" s="24" t="s">
        <v>337</v>
      </c>
    </row>
    <row r="1390" spans="1:11">
      <c r="A1390" s="24" t="s">
        <v>15832</v>
      </c>
      <c r="B1390" s="24" t="s">
        <v>15832</v>
      </c>
      <c r="C1390" s="24" t="s">
        <v>15910</v>
      </c>
      <c r="D1390" s="24" t="s">
        <v>15900</v>
      </c>
      <c r="E1390" s="24" t="s">
        <v>15945</v>
      </c>
      <c r="F1390" s="29" t="s">
        <v>10070</v>
      </c>
      <c r="G1390" s="24" t="s">
        <v>10074</v>
      </c>
      <c r="H1390" s="11" t="str">
        <f t="shared" si="42"/>
        <v>04/04/1889</v>
      </c>
      <c r="J1390" s="11" t="str">
        <f t="shared" si="43"/>
        <v xml:space="preserve"> </v>
      </c>
      <c r="K1390" s="24" t="s">
        <v>10074</v>
      </c>
    </row>
    <row r="1391" spans="1:11">
      <c r="A1391" s="24" t="s">
        <v>15818</v>
      </c>
      <c r="B1391" s="24" t="s">
        <v>15818</v>
      </c>
      <c r="C1391" s="24" t="s">
        <v>15951</v>
      </c>
      <c r="D1391" s="24" t="s">
        <v>15901</v>
      </c>
      <c r="E1391" s="24" t="s">
        <v>15965</v>
      </c>
      <c r="F1391" s="29" t="s">
        <v>9690</v>
      </c>
      <c r="G1391" s="24" t="s">
        <v>9544</v>
      </c>
      <c r="H1391" s="11" t="str">
        <f t="shared" si="42"/>
        <v>10/04/1886</v>
      </c>
      <c r="J1391" s="11" t="str">
        <f t="shared" si="43"/>
        <v xml:space="preserve"> </v>
      </c>
      <c r="K1391" s="24" t="s">
        <v>9544</v>
      </c>
    </row>
    <row r="1392" spans="1:11">
      <c r="A1392" s="24" t="s">
        <v>15816</v>
      </c>
      <c r="B1392" s="24" t="s">
        <v>15816</v>
      </c>
      <c r="C1392" s="24" t="s">
        <v>15884</v>
      </c>
      <c r="E1392" s="24" t="s">
        <v>15801</v>
      </c>
      <c r="F1392" s="29" t="s">
        <v>9784</v>
      </c>
      <c r="G1392" s="24" t="s">
        <v>72</v>
      </c>
      <c r="H1392" s="11" t="str">
        <f t="shared" si="42"/>
        <v>06/02/1838</v>
      </c>
      <c r="J1392" s="11" t="str">
        <f t="shared" si="43"/>
        <v xml:space="preserve"> </v>
      </c>
      <c r="K1392" s="24" t="s">
        <v>72</v>
      </c>
    </row>
    <row r="1393" spans="1:11">
      <c r="A1393" s="24" t="s">
        <v>15802</v>
      </c>
      <c r="B1393" s="24" t="s">
        <v>15802</v>
      </c>
      <c r="C1393" s="24" t="s">
        <v>15926</v>
      </c>
      <c r="D1393" s="24" t="s">
        <v>15900</v>
      </c>
      <c r="E1393" s="24" t="s">
        <v>15900</v>
      </c>
      <c r="F1393" s="29" t="s">
        <v>9764</v>
      </c>
      <c r="G1393" s="24" t="s">
        <v>1691</v>
      </c>
      <c r="H1393" s="11" t="str">
        <f t="shared" si="42"/>
        <v>15/05/1897</v>
      </c>
      <c r="J1393" s="11" t="str">
        <f t="shared" si="43"/>
        <v xml:space="preserve"> </v>
      </c>
      <c r="K1393" s="24" t="s">
        <v>1691</v>
      </c>
    </row>
    <row r="1394" spans="1:11">
      <c r="A1394" s="24" t="s">
        <v>15828</v>
      </c>
      <c r="B1394" s="24" t="s">
        <v>15828</v>
      </c>
      <c r="C1394" s="24" t="s">
        <v>15890</v>
      </c>
      <c r="E1394" s="24" t="s">
        <v>15931</v>
      </c>
      <c r="F1394" s="29" t="s">
        <v>3539</v>
      </c>
      <c r="G1394" s="24" t="s">
        <v>9683</v>
      </c>
      <c r="H1394" s="11" t="str">
        <f t="shared" si="42"/>
        <v>12/11/1875</v>
      </c>
      <c r="J1394" s="11" t="str">
        <f t="shared" si="43"/>
        <v xml:space="preserve"> </v>
      </c>
      <c r="K1394" s="24" t="s">
        <v>9683</v>
      </c>
    </row>
    <row r="1395" spans="1:11">
      <c r="A1395" s="24" t="s">
        <v>15801</v>
      </c>
      <c r="B1395" s="24" t="s">
        <v>15867</v>
      </c>
      <c r="C1395" s="24" t="s">
        <v>15946</v>
      </c>
      <c r="D1395" s="24" t="s">
        <v>15884</v>
      </c>
      <c r="E1395" s="24" t="s">
        <v>15840</v>
      </c>
      <c r="G1395" s="24" t="s">
        <v>9986</v>
      </c>
      <c r="H1395" s="11" t="str">
        <f t="shared" si="42"/>
        <v>20/05/1860</v>
      </c>
      <c r="J1395" s="11" t="str">
        <f t="shared" si="43"/>
        <v xml:space="preserve"> </v>
      </c>
      <c r="K1395" s="24" t="s">
        <v>9986</v>
      </c>
    </row>
    <row r="1396" spans="1:11">
      <c r="A1396" s="24" t="s">
        <v>15835</v>
      </c>
      <c r="B1396" s="24" t="s">
        <v>15835</v>
      </c>
      <c r="C1396" s="24" t="s">
        <v>15929</v>
      </c>
      <c r="D1396" s="24" t="s">
        <v>15884</v>
      </c>
      <c r="E1396" s="24" t="s">
        <v>15833</v>
      </c>
      <c r="F1396" s="29" t="s">
        <v>10107</v>
      </c>
      <c r="G1396" s="24" t="s">
        <v>9596</v>
      </c>
      <c r="H1396" s="11" t="str">
        <f t="shared" si="42"/>
        <v>19/02/1878</v>
      </c>
      <c r="J1396" s="11" t="str">
        <f t="shared" si="43"/>
        <v xml:space="preserve"> </v>
      </c>
      <c r="K1396" s="24" t="s">
        <v>9596</v>
      </c>
    </row>
    <row r="1397" spans="1:11">
      <c r="A1397" s="24" t="s">
        <v>15820</v>
      </c>
      <c r="B1397" s="24" t="s">
        <v>15820</v>
      </c>
      <c r="C1397" s="24" t="s">
        <v>15903</v>
      </c>
      <c r="D1397" s="24" t="s">
        <v>15884</v>
      </c>
      <c r="E1397" s="24" t="s">
        <v>15801</v>
      </c>
      <c r="F1397" s="29" t="s">
        <v>9994</v>
      </c>
      <c r="G1397" s="24" t="s">
        <v>9997</v>
      </c>
      <c r="H1397" s="11" t="str">
        <f t="shared" si="42"/>
        <v>15/09/1895</v>
      </c>
      <c r="J1397" s="11" t="str">
        <f t="shared" si="43"/>
        <v xml:space="preserve"> </v>
      </c>
      <c r="K1397" s="24" t="s">
        <v>9997</v>
      </c>
    </row>
    <row r="1398" spans="1:11">
      <c r="A1398" s="24" t="s">
        <v>15804</v>
      </c>
      <c r="B1398" s="24" t="s">
        <v>15804</v>
      </c>
      <c r="C1398" s="24" t="s">
        <v>15883</v>
      </c>
      <c r="D1398" s="24" t="s">
        <v>15884</v>
      </c>
      <c r="E1398" s="24" t="s">
        <v>15864</v>
      </c>
      <c r="F1398" s="29" t="s">
        <v>9999</v>
      </c>
      <c r="G1398" s="24" t="s">
        <v>10001</v>
      </c>
      <c r="H1398" s="11" t="str">
        <f t="shared" si="42"/>
        <v>21/09/1874</v>
      </c>
      <c r="J1398" s="11" t="str">
        <f t="shared" si="43"/>
        <v xml:space="preserve"> </v>
      </c>
      <c r="K1398" s="24" t="s">
        <v>10001</v>
      </c>
    </row>
    <row r="1399" spans="1:11">
      <c r="A1399" s="24" t="s">
        <v>15801</v>
      </c>
      <c r="B1399" s="24" t="s">
        <v>15829</v>
      </c>
      <c r="C1399" s="24" t="s">
        <v>15929</v>
      </c>
      <c r="D1399" s="24" t="s">
        <v>15915</v>
      </c>
      <c r="E1399" s="24" t="s">
        <v>15900</v>
      </c>
      <c r="G1399" s="24" t="s">
        <v>9627</v>
      </c>
      <c r="H1399" s="11" t="str">
        <f t="shared" si="42"/>
        <v>29/07/1878</v>
      </c>
      <c r="J1399" s="11" t="str">
        <f t="shared" si="43"/>
        <v xml:space="preserve"> </v>
      </c>
      <c r="K1399" s="24" t="s">
        <v>9627</v>
      </c>
    </row>
    <row r="1400" spans="1:11">
      <c r="A1400" s="24" t="s">
        <v>15845</v>
      </c>
      <c r="B1400" s="24" t="s">
        <v>15845</v>
      </c>
      <c r="C1400" s="24" t="s">
        <v>15933</v>
      </c>
      <c r="D1400" s="24" t="s">
        <v>15901</v>
      </c>
      <c r="E1400" s="24" t="s">
        <v>15825</v>
      </c>
      <c r="F1400" s="29" t="s">
        <v>9710</v>
      </c>
      <c r="G1400" s="24" t="s">
        <v>9712</v>
      </c>
      <c r="H1400" s="11" t="str">
        <f t="shared" si="42"/>
        <v>16/09/1873</v>
      </c>
      <c r="J1400" s="11" t="str">
        <f t="shared" si="43"/>
        <v xml:space="preserve"> </v>
      </c>
      <c r="K1400" s="24" t="s">
        <v>9712</v>
      </c>
    </row>
    <row r="1401" spans="1:11">
      <c r="A1401" s="24" t="s">
        <v>15806</v>
      </c>
      <c r="B1401" s="24" t="s">
        <v>15806</v>
      </c>
      <c r="C1401" s="24" t="s">
        <v>15890</v>
      </c>
      <c r="D1401" s="24" t="s">
        <v>15884</v>
      </c>
      <c r="E1401" s="24" t="s">
        <v>15966</v>
      </c>
      <c r="F1401" s="29" t="s">
        <v>7937</v>
      </c>
      <c r="G1401" s="24" t="s">
        <v>9835</v>
      </c>
      <c r="H1401" s="11" t="str">
        <f t="shared" si="42"/>
        <v>20/10/1875</v>
      </c>
      <c r="J1401" s="11" t="str">
        <f t="shared" si="43"/>
        <v xml:space="preserve"> </v>
      </c>
      <c r="K1401" s="24" t="s">
        <v>9835</v>
      </c>
    </row>
    <row r="1402" spans="1:11">
      <c r="A1402" s="24" t="s">
        <v>15828</v>
      </c>
      <c r="B1402" s="24" t="s">
        <v>15828</v>
      </c>
      <c r="C1402" s="24" t="s">
        <v>15916</v>
      </c>
      <c r="E1402" s="24" t="s">
        <v>15884</v>
      </c>
      <c r="F1402" s="29" t="s">
        <v>9718</v>
      </c>
      <c r="G1402" s="24" t="s">
        <v>9719</v>
      </c>
      <c r="H1402" s="11" t="str">
        <f t="shared" si="42"/>
        <v>25/11/1885</v>
      </c>
      <c r="J1402" s="11" t="str">
        <f t="shared" si="43"/>
        <v xml:space="preserve"> </v>
      </c>
      <c r="K1402" s="24" t="s">
        <v>9719</v>
      </c>
    </row>
    <row r="1403" spans="1:11">
      <c r="A1403" s="24" t="s">
        <v>15833</v>
      </c>
      <c r="B1403" s="24" t="s">
        <v>15833</v>
      </c>
      <c r="C1403" s="24" t="s">
        <v>15937</v>
      </c>
      <c r="D1403" s="24" t="s">
        <v>15899</v>
      </c>
      <c r="E1403" s="24" t="s">
        <v>15899</v>
      </c>
      <c r="F1403" s="29" t="s">
        <v>5511</v>
      </c>
      <c r="G1403" s="24" t="s">
        <v>9633</v>
      </c>
      <c r="H1403" s="11" t="str">
        <f t="shared" si="42"/>
        <v>08/09/1894</v>
      </c>
      <c r="J1403" s="11" t="str">
        <f t="shared" si="43"/>
        <v xml:space="preserve"> </v>
      </c>
      <c r="K1403" s="24" t="s">
        <v>9633</v>
      </c>
    </row>
    <row r="1404" spans="1:11">
      <c r="A1404" s="24" t="s">
        <v>15811</v>
      </c>
      <c r="B1404" s="24" t="s">
        <v>15811</v>
      </c>
      <c r="C1404" s="24" t="s">
        <v>15902</v>
      </c>
      <c r="D1404" s="24" t="s">
        <v>15956</v>
      </c>
      <c r="E1404" s="24" t="s">
        <v>15801</v>
      </c>
      <c r="F1404" s="29" t="s">
        <v>9568</v>
      </c>
      <c r="G1404" s="24" t="s">
        <v>9570</v>
      </c>
      <c r="H1404" s="11" t="str">
        <f t="shared" si="42"/>
        <v>19/10/1876</v>
      </c>
      <c r="J1404" s="11" t="str">
        <f t="shared" si="43"/>
        <v xml:space="preserve"> </v>
      </c>
      <c r="K1404" s="24" t="s">
        <v>9570</v>
      </c>
    </row>
    <row r="1405" spans="1:11">
      <c r="A1405" s="24" t="s">
        <v>15825</v>
      </c>
      <c r="B1405" s="24" t="s">
        <v>15825</v>
      </c>
      <c r="C1405" s="24" t="s">
        <v>15888</v>
      </c>
      <c r="D1405" s="24" t="s">
        <v>15915</v>
      </c>
      <c r="E1405" s="24" t="s">
        <v>15966</v>
      </c>
      <c r="F1405" s="29" t="s">
        <v>9605</v>
      </c>
      <c r="G1405" s="24">
        <v>1864</v>
      </c>
      <c r="H1405" s="11"/>
      <c r="J1405" s="11" t="str">
        <f t="shared" si="43"/>
        <v xml:space="preserve"> </v>
      </c>
    </row>
    <row r="1406" spans="1:11">
      <c r="A1406" s="24" t="s">
        <v>15801</v>
      </c>
      <c r="B1406" s="24" t="s">
        <v>15847</v>
      </c>
      <c r="C1406" s="24" t="s">
        <v>15801</v>
      </c>
      <c r="D1406" s="24" t="s">
        <v>15884</v>
      </c>
      <c r="E1406" s="24" t="s">
        <v>15803</v>
      </c>
      <c r="H1406" s="11" t="str">
        <f t="shared" si="42"/>
        <v/>
      </c>
      <c r="J1406" s="11" t="str">
        <f t="shared" si="43"/>
        <v xml:space="preserve"> </v>
      </c>
      <c r="K1406" s="24" t="s">
        <v>15801</v>
      </c>
    </row>
    <row r="1407" spans="1:11">
      <c r="A1407" s="24" t="s">
        <v>15817</v>
      </c>
      <c r="B1407" s="24" t="s">
        <v>15817</v>
      </c>
      <c r="C1407" s="24" t="s">
        <v>15923</v>
      </c>
      <c r="D1407" s="24" t="s">
        <v>15884</v>
      </c>
      <c r="E1407" s="24" t="s">
        <v>15801</v>
      </c>
      <c r="F1407" s="29" t="s">
        <v>9779</v>
      </c>
      <c r="G1407" s="24" t="s">
        <v>8319</v>
      </c>
      <c r="H1407" s="11"/>
      <c r="J1407" s="11" t="str">
        <f t="shared" si="43"/>
        <v xml:space="preserve"> </v>
      </c>
    </row>
    <row r="1408" spans="1:11">
      <c r="A1408" s="24" t="s">
        <v>15833</v>
      </c>
      <c r="B1408" s="24" t="s">
        <v>15833</v>
      </c>
      <c r="C1408" s="24" t="s">
        <v>15952</v>
      </c>
      <c r="D1408" s="24" t="s">
        <v>15931</v>
      </c>
      <c r="E1408" s="24" t="s">
        <v>15931</v>
      </c>
      <c r="F1408" s="29" t="s">
        <v>10062</v>
      </c>
      <c r="G1408" s="24" t="s">
        <v>10065</v>
      </c>
      <c r="H1408" s="11" t="str">
        <f t="shared" si="42"/>
        <v>25/06/1920</v>
      </c>
      <c r="J1408" s="11" t="str">
        <f t="shared" si="43"/>
        <v xml:space="preserve"> </v>
      </c>
      <c r="K1408" s="24" t="s">
        <v>10065</v>
      </c>
    </row>
    <row r="1409" spans="1:11">
      <c r="A1409" s="24" t="s">
        <v>15801</v>
      </c>
      <c r="B1409" s="24" t="s">
        <v>15822</v>
      </c>
      <c r="C1409" s="24" t="s">
        <v>15801</v>
      </c>
      <c r="D1409" s="24" t="s">
        <v>15900</v>
      </c>
      <c r="E1409" s="24" t="s">
        <v>15819</v>
      </c>
      <c r="H1409" s="11" t="str">
        <f t="shared" si="42"/>
        <v/>
      </c>
      <c r="J1409" s="11" t="str">
        <f t="shared" si="43"/>
        <v xml:space="preserve"> </v>
      </c>
      <c r="K1409" s="24" t="s">
        <v>15801</v>
      </c>
    </row>
    <row r="1410" spans="1:11">
      <c r="A1410" s="24" t="s">
        <v>15816</v>
      </c>
      <c r="B1410" s="24" t="s">
        <v>15816</v>
      </c>
      <c r="C1410" s="24" t="s">
        <v>15801</v>
      </c>
      <c r="D1410" s="24" t="s">
        <v>15900</v>
      </c>
      <c r="E1410" s="24" t="s">
        <v>15876</v>
      </c>
      <c r="F1410" s="29" t="s">
        <v>15662</v>
      </c>
      <c r="H1410" s="11" t="str">
        <f t="shared" si="42"/>
        <v/>
      </c>
      <c r="J1410" s="11" t="str">
        <f t="shared" si="43"/>
        <v xml:space="preserve"> </v>
      </c>
      <c r="K1410" s="24" t="s">
        <v>15801</v>
      </c>
    </row>
    <row r="1411" spans="1:11">
      <c r="A1411" s="24" t="s">
        <v>15801</v>
      </c>
      <c r="B1411" s="24" t="s">
        <v>15822</v>
      </c>
      <c r="C1411" s="24" t="s">
        <v>15801</v>
      </c>
      <c r="D1411" s="24" t="s">
        <v>15900</v>
      </c>
      <c r="E1411" s="24" t="s">
        <v>15801</v>
      </c>
      <c r="H1411" s="11" t="str">
        <f t="shared" ref="H1411:H1474" si="44">TRIM(G1411)</f>
        <v/>
      </c>
      <c r="J1411" s="11" t="str">
        <f t="shared" ref="J1411:J1474" si="45">IF(LEN(H1411)=4,"fout"," ")</f>
        <v xml:space="preserve"> </v>
      </c>
      <c r="K1411" s="24" t="s">
        <v>15801</v>
      </c>
    </row>
    <row r="1412" spans="1:11">
      <c r="A1412" s="24" t="s">
        <v>15801</v>
      </c>
      <c r="B1412" s="24" t="s">
        <v>15840</v>
      </c>
      <c r="C1412" s="24" t="s">
        <v>15801</v>
      </c>
      <c r="D1412" s="24" t="s">
        <v>15915</v>
      </c>
      <c r="E1412" s="24" t="s">
        <v>15811</v>
      </c>
      <c r="H1412" s="11" t="str">
        <f t="shared" si="44"/>
        <v/>
      </c>
      <c r="J1412" s="11" t="str">
        <f t="shared" si="45"/>
        <v xml:space="preserve"> </v>
      </c>
      <c r="K1412" s="24" t="s">
        <v>15801</v>
      </c>
    </row>
    <row r="1413" spans="1:11">
      <c r="A1413" s="24" t="s">
        <v>15820</v>
      </c>
      <c r="B1413" s="24" t="s">
        <v>15820</v>
      </c>
      <c r="C1413" s="24" t="s">
        <v>15801</v>
      </c>
      <c r="D1413" s="24" t="s">
        <v>15915</v>
      </c>
      <c r="E1413" s="24" t="s">
        <v>15801</v>
      </c>
      <c r="F1413" s="29" t="s">
        <v>15703</v>
      </c>
      <c r="H1413" s="11" t="str">
        <f t="shared" si="44"/>
        <v/>
      </c>
      <c r="J1413" s="11" t="str">
        <f t="shared" si="45"/>
        <v xml:space="preserve"> </v>
      </c>
      <c r="K1413" s="24" t="s">
        <v>15801</v>
      </c>
    </row>
    <row r="1414" spans="1:11">
      <c r="A1414" s="24" t="s">
        <v>15823</v>
      </c>
      <c r="B1414" s="24" t="s">
        <v>15823</v>
      </c>
      <c r="C1414" s="24" t="s">
        <v>15943</v>
      </c>
      <c r="D1414" s="24" t="s">
        <v>15915</v>
      </c>
      <c r="E1414" s="24" t="s">
        <v>15801</v>
      </c>
      <c r="F1414" s="29" t="s">
        <v>15708</v>
      </c>
      <c r="G1414" s="24" t="s">
        <v>15709</v>
      </c>
      <c r="H1414" s="11" t="str">
        <f t="shared" si="44"/>
        <v>24/02/1891</v>
      </c>
      <c r="J1414" s="11" t="str">
        <f t="shared" si="45"/>
        <v xml:space="preserve"> </v>
      </c>
      <c r="K1414" s="24" t="s">
        <v>15709</v>
      </c>
    </row>
    <row r="1415" spans="1:11">
      <c r="A1415" s="24" t="s">
        <v>15850</v>
      </c>
      <c r="B1415" s="24" t="s">
        <v>15850</v>
      </c>
      <c r="C1415" s="24" t="s">
        <v>15911</v>
      </c>
      <c r="E1415" s="24" t="s">
        <v>15802</v>
      </c>
      <c r="F1415" s="29" t="s">
        <v>10148</v>
      </c>
      <c r="G1415" s="24" t="s">
        <v>10151</v>
      </c>
      <c r="H1415" s="11" t="str">
        <f t="shared" si="44"/>
        <v>05/05/1863</v>
      </c>
      <c r="J1415" s="11" t="str">
        <f t="shared" si="45"/>
        <v xml:space="preserve"> </v>
      </c>
      <c r="K1415" s="24" t="s">
        <v>10151</v>
      </c>
    </row>
    <row r="1416" spans="1:11">
      <c r="A1416" s="24" t="s">
        <v>15808</v>
      </c>
      <c r="B1416" s="24" t="s">
        <v>15808</v>
      </c>
      <c r="C1416" s="24" t="s">
        <v>15949</v>
      </c>
      <c r="D1416" s="24" t="s">
        <v>15908</v>
      </c>
      <c r="E1416" s="24" t="s">
        <v>15811</v>
      </c>
      <c r="F1416" s="29" t="s">
        <v>6325</v>
      </c>
      <c r="G1416" s="24" t="s">
        <v>15741</v>
      </c>
      <c r="H1416" s="11" t="str">
        <f t="shared" si="44"/>
        <v>07/08/1859</v>
      </c>
      <c r="J1416" s="11" t="str">
        <f t="shared" si="45"/>
        <v xml:space="preserve"> </v>
      </c>
      <c r="K1416" s="24" t="s">
        <v>15741</v>
      </c>
    </row>
    <row r="1417" spans="1:11">
      <c r="A1417" s="24" t="s">
        <v>15801</v>
      </c>
      <c r="B1417" s="24" t="s">
        <v>15803</v>
      </c>
      <c r="C1417" s="24" t="s">
        <v>15801</v>
      </c>
      <c r="D1417" s="24" t="s">
        <v>15884</v>
      </c>
      <c r="E1417" s="24" t="s">
        <v>15827</v>
      </c>
      <c r="H1417" s="11" t="str">
        <f t="shared" si="44"/>
        <v/>
      </c>
      <c r="J1417" s="11" t="str">
        <f t="shared" si="45"/>
        <v xml:space="preserve"> </v>
      </c>
      <c r="K1417" s="24" t="s">
        <v>15801</v>
      </c>
    </row>
    <row r="1418" spans="1:11">
      <c r="A1418" s="24" t="s">
        <v>15801</v>
      </c>
      <c r="B1418" s="24" t="s">
        <v>15815</v>
      </c>
      <c r="C1418" s="24" t="s">
        <v>15891</v>
      </c>
      <c r="D1418" s="24" t="s">
        <v>15884</v>
      </c>
      <c r="E1418" s="24" t="s">
        <v>15863</v>
      </c>
      <c r="G1418" s="24" t="s">
        <v>10140</v>
      </c>
      <c r="H1418" s="11" t="str">
        <f t="shared" si="44"/>
        <v>17/09/1883</v>
      </c>
      <c r="J1418" s="11" t="str">
        <f t="shared" si="45"/>
        <v xml:space="preserve"> </v>
      </c>
      <c r="K1418" s="24" t="s">
        <v>10140</v>
      </c>
    </row>
    <row r="1419" spans="1:11">
      <c r="A1419" s="24" t="s">
        <v>15832</v>
      </c>
      <c r="B1419" s="24" t="s">
        <v>15832</v>
      </c>
      <c r="C1419" s="24" t="s">
        <v>15801</v>
      </c>
      <c r="D1419" s="24" t="s">
        <v>15931</v>
      </c>
      <c r="E1419" s="24" t="s">
        <v>15945</v>
      </c>
      <c r="F1419" s="29" t="s">
        <v>15728</v>
      </c>
      <c r="H1419" s="11" t="str">
        <f t="shared" si="44"/>
        <v/>
      </c>
      <c r="J1419" s="11" t="str">
        <f t="shared" si="45"/>
        <v xml:space="preserve"> </v>
      </c>
      <c r="K1419" s="24" t="s">
        <v>15801</v>
      </c>
    </row>
    <row r="1420" spans="1:11">
      <c r="A1420" s="24" t="s">
        <v>15819</v>
      </c>
      <c r="B1420" s="24" t="s">
        <v>15819</v>
      </c>
      <c r="C1420" s="24" t="s">
        <v>15958</v>
      </c>
      <c r="D1420" s="24" t="s">
        <v>15899</v>
      </c>
      <c r="E1420" s="24" t="s">
        <v>15921</v>
      </c>
      <c r="F1420" s="29" t="s">
        <v>4517</v>
      </c>
      <c r="G1420" s="24" t="s">
        <v>10158</v>
      </c>
      <c r="H1420" s="11" t="str">
        <f t="shared" si="44"/>
        <v>31/07/1903</v>
      </c>
      <c r="J1420" s="11" t="str">
        <f t="shared" si="45"/>
        <v xml:space="preserve"> </v>
      </c>
      <c r="K1420" s="24" t="s">
        <v>10158</v>
      </c>
    </row>
    <row r="1421" spans="1:11">
      <c r="A1421" s="24" t="s">
        <v>15828</v>
      </c>
      <c r="B1421" s="24" t="s">
        <v>15828</v>
      </c>
      <c r="C1421" s="24" t="s">
        <v>15801</v>
      </c>
      <c r="D1421" s="24" t="s">
        <v>15901</v>
      </c>
      <c r="E1421" s="24" t="s">
        <v>15884</v>
      </c>
      <c r="F1421" s="29" t="s">
        <v>2674</v>
      </c>
      <c r="H1421" s="11" t="str">
        <f t="shared" si="44"/>
        <v/>
      </c>
      <c r="J1421" s="11" t="str">
        <f t="shared" si="45"/>
        <v xml:space="preserve"> </v>
      </c>
      <c r="K1421" s="24" t="s">
        <v>15801</v>
      </c>
    </row>
    <row r="1422" spans="1:11">
      <c r="A1422" s="24" t="s">
        <v>15801</v>
      </c>
      <c r="B1422" s="24" t="s">
        <v>15859</v>
      </c>
      <c r="C1422" s="24" t="s">
        <v>15801</v>
      </c>
      <c r="D1422" s="24" t="s">
        <v>15870</v>
      </c>
      <c r="E1422" s="24" t="s">
        <v>15815</v>
      </c>
      <c r="H1422" s="11" t="str">
        <f t="shared" si="44"/>
        <v/>
      </c>
      <c r="J1422" s="11" t="str">
        <f t="shared" si="45"/>
        <v xml:space="preserve"> </v>
      </c>
      <c r="K1422" s="24" t="s">
        <v>15801</v>
      </c>
    </row>
    <row r="1423" spans="1:11">
      <c r="A1423" s="24" t="s">
        <v>15801</v>
      </c>
      <c r="B1423" s="24" t="s">
        <v>15818</v>
      </c>
      <c r="C1423" s="24" t="s">
        <v>15801</v>
      </c>
      <c r="D1423" s="24" t="s">
        <v>15870</v>
      </c>
      <c r="E1423" s="24" t="s">
        <v>15851</v>
      </c>
      <c r="H1423" s="11" t="str">
        <f t="shared" si="44"/>
        <v/>
      </c>
      <c r="J1423" s="11" t="str">
        <f t="shared" si="45"/>
        <v xml:space="preserve"> </v>
      </c>
      <c r="K1423" s="24" t="s">
        <v>15801</v>
      </c>
    </row>
    <row r="1424" spans="1:11">
      <c r="A1424" s="24" t="s">
        <v>15825</v>
      </c>
      <c r="B1424" s="24" t="s">
        <v>15825</v>
      </c>
      <c r="C1424" s="24" t="s">
        <v>15891</v>
      </c>
      <c r="D1424" s="24" t="s">
        <v>15956</v>
      </c>
      <c r="E1424" s="24" t="s">
        <v>15921</v>
      </c>
      <c r="F1424" s="29" t="s">
        <v>10183</v>
      </c>
      <c r="G1424" s="24" t="s">
        <v>10185</v>
      </c>
      <c r="H1424" s="11" t="str">
        <f t="shared" si="44"/>
        <v>06/12/1883</v>
      </c>
      <c r="J1424" s="11" t="str">
        <f t="shared" si="45"/>
        <v xml:space="preserve"> </v>
      </c>
      <c r="K1424" s="24" t="s">
        <v>10185</v>
      </c>
    </row>
    <row r="1425" spans="1:11">
      <c r="A1425" s="24" t="s">
        <v>15833</v>
      </c>
      <c r="B1425" s="24" t="s">
        <v>15833</v>
      </c>
      <c r="C1425" s="24" t="s">
        <v>15919</v>
      </c>
      <c r="D1425" s="24" t="s">
        <v>15908</v>
      </c>
      <c r="E1425" s="24" t="s">
        <v>15801</v>
      </c>
      <c r="F1425" s="29" t="s">
        <v>10168</v>
      </c>
      <c r="G1425" s="24" t="s">
        <v>10169</v>
      </c>
      <c r="H1425" s="11" t="str">
        <f t="shared" si="44"/>
        <v>22/03/1888</v>
      </c>
      <c r="J1425" s="11" t="str">
        <f t="shared" si="45"/>
        <v xml:space="preserve"> </v>
      </c>
      <c r="K1425" s="24" t="s">
        <v>10169</v>
      </c>
    </row>
    <row r="1426" spans="1:11">
      <c r="A1426" s="24" t="s">
        <v>15801</v>
      </c>
      <c r="B1426" s="24" t="s">
        <v>15813</v>
      </c>
      <c r="C1426" s="24" t="s">
        <v>15801</v>
      </c>
      <c r="D1426" s="24" t="s">
        <v>15900</v>
      </c>
      <c r="E1426" s="24" t="s">
        <v>15823</v>
      </c>
      <c r="H1426" s="11" t="str">
        <f t="shared" si="44"/>
        <v/>
      </c>
      <c r="J1426" s="11" t="str">
        <f t="shared" si="45"/>
        <v xml:space="preserve"> </v>
      </c>
      <c r="K1426" s="24" t="s">
        <v>15801</v>
      </c>
    </row>
    <row r="1427" spans="1:11">
      <c r="A1427" s="24" t="s">
        <v>15801</v>
      </c>
      <c r="B1427" s="24" t="s">
        <v>15838</v>
      </c>
      <c r="C1427" s="24" t="s">
        <v>15801</v>
      </c>
      <c r="D1427" s="24" t="s">
        <v>15900</v>
      </c>
      <c r="E1427" s="24" t="s">
        <v>15801</v>
      </c>
      <c r="H1427" s="11" t="str">
        <f t="shared" si="44"/>
        <v/>
      </c>
      <c r="J1427" s="11" t="str">
        <f t="shared" si="45"/>
        <v xml:space="preserve"> </v>
      </c>
      <c r="K1427" s="24" t="s">
        <v>15801</v>
      </c>
    </row>
    <row r="1428" spans="1:11">
      <c r="A1428" s="24" t="s">
        <v>15801</v>
      </c>
      <c r="B1428" s="24" t="s">
        <v>15804</v>
      </c>
      <c r="C1428" s="24" t="s">
        <v>15801</v>
      </c>
      <c r="E1428" s="24" t="s">
        <v>15864</v>
      </c>
      <c r="H1428" s="11" t="str">
        <f t="shared" si="44"/>
        <v/>
      </c>
      <c r="J1428" s="11" t="str">
        <f t="shared" si="45"/>
        <v xml:space="preserve"> </v>
      </c>
      <c r="K1428" s="24" t="s">
        <v>15801</v>
      </c>
    </row>
    <row r="1429" spans="1:11">
      <c r="A1429" s="24" t="s">
        <v>15807</v>
      </c>
      <c r="B1429" s="24" t="s">
        <v>15807</v>
      </c>
      <c r="C1429" s="24" t="s">
        <v>15801</v>
      </c>
      <c r="D1429" s="24" t="s">
        <v>15801</v>
      </c>
      <c r="E1429" s="24" t="s">
        <v>15801</v>
      </c>
      <c r="F1429" s="29" t="s">
        <v>15669</v>
      </c>
      <c r="H1429" s="11" t="str">
        <f t="shared" si="44"/>
        <v/>
      </c>
      <c r="J1429" s="11" t="str">
        <f t="shared" si="45"/>
        <v xml:space="preserve"> </v>
      </c>
      <c r="K1429" s="24" t="s">
        <v>15801</v>
      </c>
    </row>
    <row r="1430" spans="1:11">
      <c r="A1430" s="24" t="s">
        <v>15816</v>
      </c>
      <c r="B1430" s="24" t="s">
        <v>15816</v>
      </c>
      <c r="C1430" s="24" t="s">
        <v>15801</v>
      </c>
      <c r="D1430" s="24" t="s">
        <v>15900</v>
      </c>
      <c r="E1430" s="24" t="s">
        <v>15915</v>
      </c>
      <c r="H1430" s="11" t="str">
        <f t="shared" si="44"/>
        <v/>
      </c>
      <c r="J1430" s="11" t="str">
        <f t="shared" si="45"/>
        <v xml:space="preserve"> </v>
      </c>
      <c r="K1430" s="24" t="s">
        <v>15801</v>
      </c>
    </row>
    <row r="1431" spans="1:11">
      <c r="A1431" s="24" t="s">
        <v>15810</v>
      </c>
      <c r="B1431" s="24" t="s">
        <v>15810</v>
      </c>
      <c r="C1431" s="24" t="s">
        <v>15801</v>
      </c>
      <c r="D1431" s="24" t="s">
        <v>15884</v>
      </c>
      <c r="E1431" s="24" t="s">
        <v>15884</v>
      </c>
      <c r="F1431" s="29" t="s">
        <v>10193</v>
      </c>
      <c r="H1431" s="11" t="str">
        <f t="shared" si="44"/>
        <v/>
      </c>
      <c r="J1431" s="11" t="str">
        <f t="shared" si="45"/>
        <v xml:space="preserve"> </v>
      </c>
      <c r="K1431" s="24" t="s">
        <v>15801</v>
      </c>
    </row>
    <row r="1432" spans="1:11">
      <c r="A1432" s="24" t="s">
        <v>15801</v>
      </c>
      <c r="B1432" s="24" t="s">
        <v>15850</v>
      </c>
      <c r="C1432" s="24" t="s">
        <v>15870</v>
      </c>
      <c r="D1432" s="24" t="s">
        <v>15965</v>
      </c>
      <c r="E1432" s="24" t="s">
        <v>15817</v>
      </c>
      <c r="G1432" s="24" t="s">
        <v>7837</v>
      </c>
      <c r="H1432" s="11"/>
      <c r="J1432" s="11" t="str">
        <f t="shared" si="45"/>
        <v xml:space="preserve"> </v>
      </c>
    </row>
    <row r="1433" spans="1:11">
      <c r="A1433" s="24" t="s">
        <v>15801</v>
      </c>
      <c r="B1433" s="24" t="s">
        <v>15854</v>
      </c>
      <c r="C1433" s="24" t="s">
        <v>15884</v>
      </c>
      <c r="D1433" s="24" t="s">
        <v>15900</v>
      </c>
      <c r="E1433" s="24" t="s">
        <v>15829</v>
      </c>
      <c r="G1433" s="24" t="s">
        <v>301</v>
      </c>
      <c r="H1433" s="11" t="str">
        <f t="shared" si="44"/>
        <v>17/02/1838</v>
      </c>
      <c r="J1433" s="11" t="str">
        <f t="shared" si="45"/>
        <v xml:space="preserve"> </v>
      </c>
      <c r="K1433" s="24" t="s">
        <v>301</v>
      </c>
    </row>
    <row r="1434" spans="1:11">
      <c r="A1434" s="24" t="s">
        <v>15801</v>
      </c>
      <c r="B1434" s="24" t="s">
        <v>15815</v>
      </c>
      <c r="C1434" s="24" t="s">
        <v>15801</v>
      </c>
      <c r="E1434" s="24" t="s">
        <v>15851</v>
      </c>
      <c r="H1434" s="11" t="str">
        <f t="shared" si="44"/>
        <v/>
      </c>
      <c r="J1434" s="11" t="str">
        <f t="shared" si="45"/>
        <v xml:space="preserve"> </v>
      </c>
      <c r="K1434" s="24" t="s">
        <v>15801</v>
      </c>
    </row>
    <row r="1435" spans="1:11">
      <c r="A1435" s="24" t="s">
        <v>15801</v>
      </c>
      <c r="B1435" s="24" t="s">
        <v>15804</v>
      </c>
      <c r="C1435" s="24" t="s">
        <v>15913</v>
      </c>
      <c r="D1435" s="24" t="s">
        <v>15900</v>
      </c>
      <c r="E1435" s="24" t="s">
        <v>15801</v>
      </c>
      <c r="G1435" s="24" t="s">
        <v>10249</v>
      </c>
      <c r="H1435" s="11" t="str">
        <f t="shared" si="44"/>
        <v>08/12/1877</v>
      </c>
      <c r="J1435" s="11" t="str">
        <f t="shared" si="45"/>
        <v xml:space="preserve"> </v>
      </c>
      <c r="K1435" s="24" t="s">
        <v>10249</v>
      </c>
    </row>
    <row r="1436" spans="1:11">
      <c r="A1436" s="24" t="s">
        <v>15801</v>
      </c>
      <c r="B1436" s="24" t="s">
        <v>15822</v>
      </c>
      <c r="C1436" s="24" t="s">
        <v>15801</v>
      </c>
      <c r="D1436" s="24" t="s">
        <v>15901</v>
      </c>
      <c r="E1436" s="24" t="s">
        <v>15806</v>
      </c>
      <c r="H1436" s="11" t="str">
        <f t="shared" si="44"/>
        <v/>
      </c>
      <c r="J1436" s="11" t="str">
        <f t="shared" si="45"/>
        <v xml:space="preserve"> </v>
      </c>
      <c r="K1436" s="24" t="s">
        <v>15801</v>
      </c>
    </row>
    <row r="1437" spans="1:11">
      <c r="A1437" s="24" t="s">
        <v>15819</v>
      </c>
      <c r="B1437" s="24" t="s">
        <v>15819</v>
      </c>
      <c r="C1437" s="24" t="s">
        <v>15801</v>
      </c>
      <c r="D1437" s="24" t="s">
        <v>15899</v>
      </c>
      <c r="E1437" s="24" t="s">
        <v>15870</v>
      </c>
      <c r="F1437" s="29" t="s">
        <v>10235</v>
      </c>
      <c r="H1437" s="11" t="str">
        <f t="shared" si="44"/>
        <v/>
      </c>
      <c r="J1437" s="11" t="str">
        <f t="shared" si="45"/>
        <v xml:space="preserve"> </v>
      </c>
      <c r="K1437" s="24" t="s">
        <v>15801</v>
      </c>
    </row>
    <row r="1438" spans="1:11">
      <c r="A1438" s="24" t="s">
        <v>15801</v>
      </c>
      <c r="B1438" s="24" t="s">
        <v>15801</v>
      </c>
      <c r="C1438" s="24" t="s">
        <v>15801</v>
      </c>
      <c r="D1438" s="24" t="s">
        <v>15801</v>
      </c>
      <c r="E1438" s="24" t="s">
        <v>15801</v>
      </c>
      <c r="H1438" s="11" t="str">
        <f t="shared" si="44"/>
        <v/>
      </c>
      <c r="J1438" s="11" t="str">
        <f t="shared" si="45"/>
        <v xml:space="preserve"> </v>
      </c>
      <c r="K1438" s="24" t="s">
        <v>15801</v>
      </c>
    </row>
    <row r="1439" spans="1:11">
      <c r="A1439" s="24" t="s">
        <v>15817</v>
      </c>
      <c r="B1439" s="24" t="s">
        <v>15817</v>
      </c>
      <c r="C1439" s="24" t="s">
        <v>15801</v>
      </c>
      <c r="D1439" s="24" t="s">
        <v>15901</v>
      </c>
      <c r="E1439" s="24" t="s">
        <v>15801</v>
      </c>
      <c r="F1439" s="29" t="s">
        <v>10207</v>
      </c>
      <c r="H1439" s="11" t="str">
        <f t="shared" si="44"/>
        <v/>
      </c>
      <c r="J1439" s="11" t="str">
        <f t="shared" si="45"/>
        <v xml:space="preserve"> </v>
      </c>
      <c r="K1439" s="24" t="s">
        <v>15801</v>
      </c>
    </row>
    <row r="1440" spans="1:11">
      <c r="A1440" s="24" t="s">
        <v>15801</v>
      </c>
      <c r="B1440" s="24" t="s">
        <v>15846</v>
      </c>
      <c r="C1440" s="24" t="s">
        <v>15801</v>
      </c>
      <c r="D1440" s="24" t="s">
        <v>15908</v>
      </c>
      <c r="E1440" s="24" t="s">
        <v>15825</v>
      </c>
      <c r="H1440" s="11" t="str">
        <f t="shared" si="44"/>
        <v/>
      </c>
      <c r="J1440" s="11" t="str">
        <f t="shared" si="45"/>
        <v xml:space="preserve"> </v>
      </c>
      <c r="K1440" s="24" t="s">
        <v>15801</v>
      </c>
    </row>
    <row r="1441" spans="1:11">
      <c r="A1441" s="24" t="s">
        <v>15828</v>
      </c>
      <c r="B1441" s="24" t="s">
        <v>15828</v>
      </c>
      <c r="C1441" s="24" t="s">
        <v>15929</v>
      </c>
      <c r="D1441" s="24" t="s">
        <v>15899</v>
      </c>
      <c r="E1441" s="24" t="s">
        <v>15899</v>
      </c>
      <c r="F1441" s="29" t="s">
        <v>9842</v>
      </c>
      <c r="G1441" s="24">
        <v>1878</v>
      </c>
      <c r="H1441" s="11"/>
      <c r="J1441" s="11" t="str">
        <f t="shared" si="45"/>
        <v xml:space="preserve"> </v>
      </c>
    </row>
    <row r="1442" spans="1:11">
      <c r="A1442" s="24" t="s">
        <v>15811</v>
      </c>
      <c r="B1442" s="24" t="s">
        <v>15811</v>
      </c>
      <c r="C1442" s="24" t="s">
        <v>15906</v>
      </c>
      <c r="D1442" s="24" t="s">
        <v>15948</v>
      </c>
      <c r="E1442" s="24" t="s">
        <v>15801</v>
      </c>
      <c r="F1442" s="29" t="s">
        <v>10221</v>
      </c>
      <c r="G1442" s="24" t="s">
        <v>10223</v>
      </c>
      <c r="H1442" s="11" t="str">
        <f t="shared" si="44"/>
        <v>18/05/1862</v>
      </c>
      <c r="J1442" s="11" t="str">
        <f t="shared" si="45"/>
        <v xml:space="preserve"> </v>
      </c>
      <c r="K1442" s="24" t="s">
        <v>10223</v>
      </c>
    </row>
    <row r="1443" spans="1:11">
      <c r="A1443" s="24" t="s">
        <v>15801</v>
      </c>
      <c r="B1443" s="24" t="s">
        <v>15839</v>
      </c>
      <c r="C1443" s="24" t="s">
        <v>15801</v>
      </c>
      <c r="D1443" s="24" t="s">
        <v>15900</v>
      </c>
      <c r="E1443" s="24" t="s">
        <v>15817</v>
      </c>
      <c r="H1443" s="11" t="str">
        <f t="shared" si="44"/>
        <v/>
      </c>
      <c r="J1443" s="11" t="str">
        <f t="shared" si="45"/>
        <v xml:space="preserve"> </v>
      </c>
      <c r="K1443" s="24" t="s">
        <v>15801</v>
      </c>
    </row>
    <row r="1444" spans="1:11">
      <c r="A1444" s="24" t="s">
        <v>15811</v>
      </c>
      <c r="B1444" s="24" t="s">
        <v>15811</v>
      </c>
      <c r="C1444" s="24" t="s">
        <v>15801</v>
      </c>
      <c r="E1444" s="24" t="s">
        <v>15801</v>
      </c>
      <c r="F1444" s="29" t="s">
        <v>7227</v>
      </c>
      <c r="H1444" s="11" t="str">
        <f t="shared" si="44"/>
        <v/>
      </c>
      <c r="J1444" s="11" t="str">
        <f t="shared" si="45"/>
        <v xml:space="preserve"> </v>
      </c>
      <c r="K1444" s="24" t="s">
        <v>15801</v>
      </c>
    </row>
    <row r="1445" spans="1:11">
      <c r="A1445" s="24" t="s">
        <v>15801</v>
      </c>
      <c r="B1445" s="24" t="s">
        <v>15865</v>
      </c>
      <c r="C1445" s="24" t="s">
        <v>15801</v>
      </c>
      <c r="E1445" s="24" t="s">
        <v>15813</v>
      </c>
      <c r="H1445" s="11" t="str">
        <f t="shared" si="44"/>
        <v/>
      </c>
      <c r="J1445" s="11" t="str">
        <f t="shared" si="45"/>
        <v xml:space="preserve"> </v>
      </c>
      <c r="K1445" s="24" t="s">
        <v>15801</v>
      </c>
    </row>
    <row r="1446" spans="1:11">
      <c r="A1446" s="24" t="s">
        <v>15801</v>
      </c>
      <c r="B1446" s="24" t="s">
        <v>15815</v>
      </c>
      <c r="C1446" s="24" t="s">
        <v>15801</v>
      </c>
      <c r="D1446" s="24" t="s">
        <v>15901</v>
      </c>
      <c r="E1446" s="24" t="s">
        <v>15971</v>
      </c>
      <c r="H1446" s="11" t="str">
        <f t="shared" si="44"/>
        <v/>
      </c>
      <c r="J1446" s="11" t="str">
        <f t="shared" si="45"/>
        <v xml:space="preserve"> </v>
      </c>
      <c r="K1446" s="24" t="s">
        <v>15801</v>
      </c>
    </row>
    <row r="1447" spans="1:11">
      <c r="A1447" s="24" t="s">
        <v>15825</v>
      </c>
      <c r="B1447" s="24" t="s">
        <v>15825</v>
      </c>
      <c r="C1447" s="24" t="s">
        <v>15801</v>
      </c>
      <c r="D1447" s="24" t="s">
        <v>15899</v>
      </c>
      <c r="E1447" s="24" t="s">
        <v>15899</v>
      </c>
      <c r="F1447" s="29" t="s">
        <v>15648</v>
      </c>
      <c r="H1447" s="11" t="str">
        <f t="shared" si="44"/>
        <v/>
      </c>
      <c r="J1447" s="11" t="str">
        <f t="shared" si="45"/>
        <v xml:space="preserve"> </v>
      </c>
      <c r="K1447" s="24" t="s">
        <v>15801</v>
      </c>
    </row>
    <row r="1448" spans="1:11">
      <c r="A1448" s="24" t="s">
        <v>15801</v>
      </c>
      <c r="B1448" s="24" t="s">
        <v>15859</v>
      </c>
      <c r="C1448" s="24" t="s">
        <v>15801</v>
      </c>
      <c r="D1448" s="24" t="s">
        <v>15899</v>
      </c>
      <c r="E1448" s="24" t="s">
        <v>15821</v>
      </c>
      <c r="H1448" s="11" t="str">
        <f t="shared" si="44"/>
        <v/>
      </c>
      <c r="J1448" s="11" t="str">
        <f t="shared" si="45"/>
        <v xml:space="preserve"> </v>
      </c>
      <c r="K1448" s="24" t="s">
        <v>15801</v>
      </c>
    </row>
    <row r="1449" spans="1:11">
      <c r="A1449" s="24" t="s">
        <v>15806</v>
      </c>
      <c r="B1449" s="24" t="s">
        <v>15806</v>
      </c>
      <c r="C1449" s="24" t="s">
        <v>15801</v>
      </c>
      <c r="D1449" s="24" t="s">
        <v>15899</v>
      </c>
      <c r="E1449" s="24" t="s">
        <v>15900</v>
      </c>
      <c r="F1449" s="29" t="s">
        <v>15706</v>
      </c>
      <c r="H1449" s="11" t="str">
        <f t="shared" si="44"/>
        <v/>
      </c>
      <c r="J1449" s="11" t="str">
        <f t="shared" si="45"/>
        <v xml:space="preserve"> </v>
      </c>
      <c r="K1449" s="24" t="s">
        <v>15801</v>
      </c>
    </row>
    <row r="1450" spans="1:11">
      <c r="A1450" s="24" t="s">
        <v>15802</v>
      </c>
      <c r="B1450" s="24" t="s">
        <v>15802</v>
      </c>
      <c r="C1450" s="24" t="s">
        <v>15801</v>
      </c>
      <c r="D1450" s="24" t="s">
        <v>15899</v>
      </c>
      <c r="E1450" s="24" t="s">
        <v>15884</v>
      </c>
      <c r="F1450" s="29" t="s">
        <v>10209</v>
      </c>
      <c r="H1450" s="11" t="str">
        <f t="shared" si="44"/>
        <v/>
      </c>
      <c r="J1450" s="11" t="str">
        <f t="shared" si="45"/>
        <v xml:space="preserve"> </v>
      </c>
      <c r="K1450" s="24" t="s">
        <v>15801</v>
      </c>
    </row>
    <row r="1451" spans="1:11">
      <c r="A1451" s="24" t="s">
        <v>15833</v>
      </c>
      <c r="B1451" s="24" t="s">
        <v>15833</v>
      </c>
      <c r="C1451" s="24" t="s">
        <v>15880</v>
      </c>
      <c r="D1451" s="24" t="s">
        <v>15908</v>
      </c>
      <c r="E1451" s="24" t="s">
        <v>15908</v>
      </c>
      <c r="F1451" s="29" t="s">
        <v>12378</v>
      </c>
      <c r="G1451" s="24" t="s">
        <v>15681</v>
      </c>
      <c r="H1451" s="11" t="str">
        <f t="shared" si="44"/>
        <v>13/04/1892</v>
      </c>
      <c r="J1451" s="11" t="str">
        <f t="shared" si="45"/>
        <v xml:space="preserve"> </v>
      </c>
      <c r="K1451" s="24" t="s">
        <v>15681</v>
      </c>
    </row>
    <row r="1452" spans="1:11">
      <c r="A1452" s="24" t="s">
        <v>15807</v>
      </c>
      <c r="B1452" s="24" t="s">
        <v>15807</v>
      </c>
      <c r="C1452" s="24" t="s">
        <v>15912</v>
      </c>
      <c r="D1452" s="24" t="s">
        <v>15901</v>
      </c>
      <c r="E1452" s="24" t="s">
        <v>15801</v>
      </c>
      <c r="F1452" s="29" t="s">
        <v>10254</v>
      </c>
      <c r="G1452" s="24" t="s">
        <v>10256</v>
      </c>
      <c r="H1452" s="11" t="str">
        <f t="shared" si="44"/>
        <v>07/08/1893</v>
      </c>
      <c r="J1452" s="11" t="str">
        <f t="shared" si="45"/>
        <v xml:space="preserve"> </v>
      </c>
      <c r="K1452" s="24" t="s">
        <v>10256</v>
      </c>
    </row>
    <row r="1453" spans="1:11">
      <c r="A1453" s="24" t="s">
        <v>15802</v>
      </c>
      <c r="B1453" s="24" t="s">
        <v>15802</v>
      </c>
      <c r="C1453" s="24" t="s">
        <v>15801</v>
      </c>
      <c r="E1453" s="24" t="s">
        <v>15900</v>
      </c>
      <c r="F1453" s="29" t="s">
        <v>15720</v>
      </c>
      <c r="H1453" s="11" t="str">
        <f t="shared" si="44"/>
        <v/>
      </c>
      <c r="J1453" s="11" t="str">
        <f t="shared" si="45"/>
        <v xml:space="preserve"> </v>
      </c>
      <c r="K1453" s="24" t="s">
        <v>15801</v>
      </c>
    </row>
    <row r="1454" spans="1:11">
      <c r="A1454" s="24" t="s">
        <v>15801</v>
      </c>
      <c r="B1454" s="24" t="s">
        <v>15836</v>
      </c>
      <c r="C1454" s="24" t="s">
        <v>15931</v>
      </c>
      <c r="D1454" s="24" t="s">
        <v>15900</v>
      </c>
      <c r="E1454" s="24" t="s">
        <v>15818</v>
      </c>
      <c r="G1454" s="24" t="s">
        <v>2151</v>
      </c>
      <c r="H1454" s="11"/>
      <c r="J1454" s="11" t="str">
        <f t="shared" si="45"/>
        <v xml:space="preserve"> </v>
      </c>
    </row>
    <row r="1455" spans="1:11">
      <c r="A1455" s="24" t="s">
        <v>15801</v>
      </c>
      <c r="B1455" s="24" t="s">
        <v>15807</v>
      </c>
      <c r="C1455" s="24" t="s">
        <v>15801</v>
      </c>
      <c r="D1455" s="24" t="s">
        <v>15915</v>
      </c>
      <c r="E1455" s="24" t="s">
        <v>15965</v>
      </c>
      <c r="H1455" s="11" t="str">
        <f t="shared" si="44"/>
        <v/>
      </c>
      <c r="J1455" s="11" t="str">
        <f t="shared" si="45"/>
        <v xml:space="preserve"> </v>
      </c>
      <c r="K1455" s="24" t="s">
        <v>15801</v>
      </c>
    </row>
    <row r="1456" spans="1:11">
      <c r="A1456" s="24" t="s">
        <v>15802</v>
      </c>
      <c r="B1456" s="24" t="s">
        <v>15802</v>
      </c>
      <c r="C1456" s="24" t="s">
        <v>15801</v>
      </c>
      <c r="D1456" s="24" t="s">
        <v>15956</v>
      </c>
      <c r="E1456" s="24" t="s">
        <v>15801</v>
      </c>
      <c r="F1456" s="29" t="s">
        <v>10224</v>
      </c>
      <c r="H1456" s="11" t="str">
        <f t="shared" si="44"/>
        <v/>
      </c>
      <c r="J1456" s="11" t="str">
        <f t="shared" si="45"/>
        <v xml:space="preserve"> </v>
      </c>
      <c r="K1456" s="24" t="s">
        <v>15801</v>
      </c>
    </row>
    <row r="1457" spans="1:11">
      <c r="A1457" s="24" t="s">
        <v>15827</v>
      </c>
      <c r="B1457" s="24" t="s">
        <v>15827</v>
      </c>
      <c r="C1457" s="24" t="s">
        <v>15801</v>
      </c>
      <c r="D1457" s="24" t="s">
        <v>15900</v>
      </c>
      <c r="E1457" s="24" t="s">
        <v>15801</v>
      </c>
      <c r="F1457" s="29" t="s">
        <v>2642</v>
      </c>
      <c r="H1457" s="11" t="str">
        <f t="shared" si="44"/>
        <v/>
      </c>
      <c r="J1457" s="11" t="str">
        <f t="shared" si="45"/>
        <v xml:space="preserve"> </v>
      </c>
      <c r="K1457" s="24" t="s">
        <v>15801</v>
      </c>
    </row>
    <row r="1458" spans="1:11">
      <c r="A1458" s="24" t="s">
        <v>15801</v>
      </c>
      <c r="B1458" s="24" t="s">
        <v>15815</v>
      </c>
      <c r="C1458" s="24" t="s">
        <v>15953</v>
      </c>
      <c r="D1458" s="24" t="s">
        <v>15901</v>
      </c>
      <c r="E1458" s="24" t="s">
        <v>15801</v>
      </c>
      <c r="G1458" s="24" t="s">
        <v>15676</v>
      </c>
      <c r="H1458" s="11" t="str">
        <f t="shared" si="44"/>
        <v>03/05/1882</v>
      </c>
      <c r="J1458" s="11" t="str">
        <f t="shared" si="45"/>
        <v xml:space="preserve"> </v>
      </c>
      <c r="K1458" s="24" t="s">
        <v>15676</v>
      </c>
    </row>
    <row r="1459" spans="1:11">
      <c r="A1459" s="24" t="s">
        <v>15801</v>
      </c>
      <c r="B1459" s="24" t="s">
        <v>15818</v>
      </c>
      <c r="C1459" s="24" t="s">
        <v>15801</v>
      </c>
      <c r="D1459" s="24" t="s">
        <v>15899</v>
      </c>
      <c r="E1459" s="24" t="s">
        <v>15864</v>
      </c>
      <c r="H1459" s="11" t="str">
        <f t="shared" si="44"/>
        <v/>
      </c>
      <c r="J1459" s="11" t="str">
        <f t="shared" si="45"/>
        <v xml:space="preserve"> </v>
      </c>
      <c r="K1459" s="24" t="s">
        <v>15801</v>
      </c>
    </row>
    <row r="1460" spans="1:11">
      <c r="A1460" s="24" t="s">
        <v>15833</v>
      </c>
      <c r="B1460" s="24" t="s">
        <v>15833</v>
      </c>
      <c r="C1460" s="24" t="s">
        <v>15909</v>
      </c>
      <c r="E1460" s="24" t="s">
        <v>15801</v>
      </c>
      <c r="F1460" s="29" t="s">
        <v>15659</v>
      </c>
      <c r="G1460" s="24" t="s">
        <v>3676</v>
      </c>
      <c r="H1460" s="11" t="str">
        <f t="shared" si="44"/>
        <v>18/02/1881</v>
      </c>
      <c r="J1460" s="11" t="str">
        <f t="shared" si="45"/>
        <v xml:space="preserve"> </v>
      </c>
      <c r="K1460" s="24" t="s">
        <v>3676</v>
      </c>
    </row>
    <row r="1461" spans="1:11">
      <c r="A1461" s="24" t="s">
        <v>15828</v>
      </c>
      <c r="B1461" s="24" t="s">
        <v>15828</v>
      </c>
      <c r="C1461" s="24" t="s">
        <v>15934</v>
      </c>
      <c r="D1461" s="24" t="s">
        <v>15900</v>
      </c>
      <c r="E1461" s="24" t="s">
        <v>15956</v>
      </c>
      <c r="F1461" s="29" t="s">
        <v>15751</v>
      </c>
      <c r="G1461" s="24" t="s">
        <v>15753</v>
      </c>
      <c r="H1461" s="11" t="str">
        <f t="shared" si="44"/>
        <v>20/08/1898</v>
      </c>
      <c r="J1461" s="11" t="str">
        <f t="shared" si="45"/>
        <v xml:space="preserve"> </v>
      </c>
      <c r="K1461" s="24" t="s">
        <v>15753</v>
      </c>
    </row>
    <row r="1462" spans="1:11">
      <c r="A1462" s="24" t="s">
        <v>15823</v>
      </c>
      <c r="B1462" s="24" t="s">
        <v>15823</v>
      </c>
      <c r="C1462" s="24" t="s">
        <v>15801</v>
      </c>
      <c r="D1462" s="24" t="s">
        <v>15908</v>
      </c>
      <c r="E1462" s="24" t="s">
        <v>15948</v>
      </c>
      <c r="F1462" s="29" t="s">
        <v>420</v>
      </c>
      <c r="H1462" s="11" t="str">
        <f t="shared" si="44"/>
        <v/>
      </c>
      <c r="J1462" s="11" t="str">
        <f t="shared" si="45"/>
        <v xml:space="preserve"> </v>
      </c>
      <c r="K1462" s="24" t="s">
        <v>15801</v>
      </c>
    </row>
    <row r="1463" spans="1:11">
      <c r="A1463" s="24" t="s">
        <v>15801</v>
      </c>
      <c r="B1463" s="24" t="s">
        <v>15813</v>
      </c>
      <c r="C1463" s="24" t="s">
        <v>15801</v>
      </c>
      <c r="D1463" s="24" t="s">
        <v>15908</v>
      </c>
      <c r="E1463" s="24" t="s">
        <v>15827</v>
      </c>
      <c r="H1463" s="11" t="str">
        <f t="shared" si="44"/>
        <v/>
      </c>
      <c r="J1463" s="11" t="str">
        <f t="shared" si="45"/>
        <v xml:space="preserve"> </v>
      </c>
      <c r="K1463" s="24" t="s">
        <v>15801</v>
      </c>
    </row>
    <row r="1464" spans="1:11">
      <c r="A1464" s="24" t="s">
        <v>15821</v>
      </c>
      <c r="B1464" s="24" t="s">
        <v>15821</v>
      </c>
      <c r="C1464" s="24" t="s">
        <v>15801</v>
      </c>
      <c r="D1464" s="24" t="s">
        <v>15965</v>
      </c>
      <c r="E1464" s="24" t="s">
        <v>15851</v>
      </c>
      <c r="F1464" s="29" t="s">
        <v>15757</v>
      </c>
      <c r="H1464" s="11" t="str">
        <f t="shared" si="44"/>
        <v/>
      </c>
      <c r="J1464" s="11" t="str">
        <f t="shared" si="45"/>
        <v xml:space="preserve"> </v>
      </c>
      <c r="K1464" s="24" t="s">
        <v>15801</v>
      </c>
    </row>
    <row r="1465" spans="1:11">
      <c r="A1465" s="24" t="s">
        <v>15801</v>
      </c>
      <c r="B1465" s="24" t="s">
        <v>15812</v>
      </c>
      <c r="C1465" s="24" t="s">
        <v>15801</v>
      </c>
      <c r="D1465" s="24" t="s">
        <v>15900</v>
      </c>
      <c r="E1465" s="24" t="s">
        <v>15829</v>
      </c>
      <c r="H1465" s="11" t="str">
        <f t="shared" si="44"/>
        <v/>
      </c>
      <c r="J1465" s="11" t="str">
        <f t="shared" si="45"/>
        <v xml:space="preserve"> </v>
      </c>
      <c r="K1465" s="24" t="s">
        <v>15801</v>
      </c>
    </row>
    <row r="1466" spans="1:11">
      <c r="A1466" s="24" t="s">
        <v>15813</v>
      </c>
      <c r="B1466" s="24" t="s">
        <v>15813</v>
      </c>
      <c r="C1466" s="24" t="s">
        <v>15909</v>
      </c>
      <c r="D1466" s="24" t="s">
        <v>15900</v>
      </c>
      <c r="E1466" s="24" t="s">
        <v>15844</v>
      </c>
      <c r="F1466" s="29" t="s">
        <v>11872</v>
      </c>
      <c r="G1466" s="24" t="s">
        <v>11874</v>
      </c>
      <c r="H1466" s="11" t="str">
        <f t="shared" si="44"/>
        <v>10/1/1881</v>
      </c>
      <c r="J1466" s="11" t="str">
        <f t="shared" si="45"/>
        <v xml:space="preserve"> </v>
      </c>
      <c r="K1466" s="24" t="s">
        <v>11874</v>
      </c>
    </row>
    <row r="1467" spans="1:11">
      <c r="A1467" s="24" t="s">
        <v>15814</v>
      </c>
      <c r="B1467" s="24" t="s">
        <v>15814</v>
      </c>
      <c r="C1467" s="24" t="s">
        <v>15906</v>
      </c>
      <c r="D1467" s="24" t="s">
        <v>15900</v>
      </c>
      <c r="E1467" s="24" t="s">
        <v>15971</v>
      </c>
      <c r="F1467" s="29" t="s">
        <v>11856</v>
      </c>
      <c r="G1467" s="24">
        <v>1862</v>
      </c>
      <c r="H1467" s="11"/>
      <c r="J1467" s="11" t="str">
        <f t="shared" si="45"/>
        <v xml:space="preserve"> </v>
      </c>
    </row>
    <row r="1468" spans="1:11">
      <c r="A1468" s="24" t="s">
        <v>15821</v>
      </c>
      <c r="B1468" s="24" t="s">
        <v>15821</v>
      </c>
      <c r="C1468" s="24" t="s">
        <v>15913</v>
      </c>
      <c r="D1468" s="24" t="s">
        <v>15901</v>
      </c>
      <c r="E1468" s="24" t="s">
        <v>15870</v>
      </c>
      <c r="F1468" s="29" t="s">
        <v>11865</v>
      </c>
      <c r="G1468" s="24" t="s">
        <v>11866</v>
      </c>
      <c r="H1468" s="11" t="str">
        <f t="shared" si="44"/>
        <v>27/12/1877</v>
      </c>
      <c r="J1468" s="11" t="str">
        <f t="shared" si="45"/>
        <v xml:space="preserve"> </v>
      </c>
      <c r="K1468" s="24" t="s">
        <v>11866</v>
      </c>
    </row>
    <row r="1469" spans="1:11">
      <c r="A1469" s="24" t="s">
        <v>15820</v>
      </c>
      <c r="B1469" s="24" t="s">
        <v>15820</v>
      </c>
      <c r="C1469" s="24" t="s">
        <v>15893</v>
      </c>
      <c r="D1469" s="24" t="s">
        <v>15900</v>
      </c>
      <c r="E1469" s="24" t="s">
        <v>15948</v>
      </c>
      <c r="F1469" s="29" t="s">
        <v>11848</v>
      </c>
      <c r="G1469" s="24" t="s">
        <v>11850</v>
      </c>
      <c r="H1469" s="11" t="str">
        <f t="shared" si="44"/>
        <v>17/7/1879</v>
      </c>
      <c r="J1469" s="11" t="str">
        <f t="shared" si="45"/>
        <v xml:space="preserve"> </v>
      </c>
      <c r="K1469" s="24" t="s">
        <v>11850</v>
      </c>
    </row>
    <row r="1470" spans="1:11">
      <c r="A1470" s="24" t="s">
        <v>15850</v>
      </c>
      <c r="B1470" s="24" t="s">
        <v>15850</v>
      </c>
      <c r="C1470" s="24" t="s">
        <v>15906</v>
      </c>
      <c r="D1470" s="24" t="s">
        <v>15801</v>
      </c>
      <c r="E1470" s="24" t="s">
        <v>15825</v>
      </c>
      <c r="F1470" s="29" t="s">
        <v>11881</v>
      </c>
      <c r="G1470" s="24" t="s">
        <v>11883</v>
      </c>
      <c r="H1470" s="11" t="str">
        <f t="shared" si="44"/>
        <v>1/2/1862</v>
      </c>
      <c r="J1470" s="11" t="str">
        <f t="shared" si="45"/>
        <v xml:space="preserve"> </v>
      </c>
      <c r="K1470" s="24" t="s">
        <v>11883</v>
      </c>
    </row>
    <row r="1471" spans="1:11">
      <c r="A1471" s="24" t="s">
        <v>15816</v>
      </c>
      <c r="B1471" s="24" t="s">
        <v>15816</v>
      </c>
      <c r="C1471" s="24" t="s">
        <v>15951</v>
      </c>
      <c r="D1471" s="24" t="s">
        <v>15908</v>
      </c>
      <c r="E1471" s="24" t="s">
        <v>15870</v>
      </c>
      <c r="F1471" s="29" t="s">
        <v>11898</v>
      </c>
      <c r="G1471" s="24" t="s">
        <v>11899</v>
      </c>
      <c r="H1471" s="11" t="str">
        <f t="shared" si="44"/>
        <v>13/2/1886</v>
      </c>
      <c r="J1471" s="11" t="str">
        <f t="shared" si="45"/>
        <v xml:space="preserve"> </v>
      </c>
      <c r="K1471" s="24" t="s">
        <v>11899</v>
      </c>
    </row>
    <row r="1472" spans="1:11">
      <c r="A1472" s="24" t="s">
        <v>15807</v>
      </c>
      <c r="B1472" s="24" t="s">
        <v>15807</v>
      </c>
      <c r="C1472" s="24" t="s">
        <v>15902</v>
      </c>
      <c r="D1472" s="24" t="s">
        <v>15931</v>
      </c>
      <c r="E1472" s="24" t="s">
        <v>15870</v>
      </c>
      <c r="F1472" s="29" t="s">
        <v>11887</v>
      </c>
      <c r="G1472" s="24" t="s">
        <v>11889</v>
      </c>
      <c r="H1472" s="11" t="str">
        <f t="shared" si="44"/>
        <v>7/9/1876</v>
      </c>
      <c r="J1472" s="11" t="str">
        <f t="shared" si="45"/>
        <v xml:space="preserve"> </v>
      </c>
      <c r="K1472" s="24" t="s">
        <v>11889</v>
      </c>
    </row>
    <row r="1473" spans="1:11">
      <c r="A1473" s="24" t="s">
        <v>15802</v>
      </c>
      <c r="B1473" s="24" t="s">
        <v>15802</v>
      </c>
      <c r="C1473" s="24" t="s">
        <v>15931</v>
      </c>
      <c r="D1473" s="24" t="s">
        <v>15884</v>
      </c>
      <c r="E1473" s="24" t="s">
        <v>15915</v>
      </c>
      <c r="F1473" s="29" t="s">
        <v>11916</v>
      </c>
      <c r="G1473" s="24" t="s">
        <v>11917</v>
      </c>
      <c r="H1473" s="11" t="str">
        <f t="shared" si="44"/>
        <v>24/11/1843</v>
      </c>
      <c r="J1473" s="11" t="str">
        <f t="shared" si="45"/>
        <v xml:space="preserve"> </v>
      </c>
      <c r="K1473" s="24" t="s">
        <v>11917</v>
      </c>
    </row>
    <row r="1474" spans="1:11">
      <c r="A1474" s="24" t="s">
        <v>15817</v>
      </c>
      <c r="B1474" s="24" t="s">
        <v>15817</v>
      </c>
      <c r="C1474" s="24" t="s">
        <v>15927</v>
      </c>
      <c r="D1474" s="24" t="s">
        <v>15908</v>
      </c>
      <c r="E1474" s="24" t="s">
        <v>15908</v>
      </c>
      <c r="F1474" s="29" t="s">
        <v>11907</v>
      </c>
      <c r="G1474" s="24" t="s">
        <v>11908</v>
      </c>
      <c r="H1474" s="11" t="str">
        <f t="shared" si="44"/>
        <v>7/1/1906</v>
      </c>
      <c r="J1474" s="11" t="str">
        <f t="shared" si="45"/>
        <v xml:space="preserve"> </v>
      </c>
      <c r="K1474" s="24" t="s">
        <v>11908</v>
      </c>
    </row>
    <row r="1475" spans="1:11">
      <c r="A1475" s="24" t="s">
        <v>15810</v>
      </c>
      <c r="B1475" s="24" t="s">
        <v>15810</v>
      </c>
      <c r="C1475" s="24" t="s">
        <v>15801</v>
      </c>
      <c r="D1475" s="24" t="s">
        <v>15900</v>
      </c>
      <c r="E1475" s="24" t="s">
        <v>15801</v>
      </c>
      <c r="F1475" s="29" t="s">
        <v>11924</v>
      </c>
      <c r="H1475" s="11" t="str">
        <f t="shared" ref="H1475:H1538" si="46">TRIM(G1475)</f>
        <v/>
      </c>
      <c r="J1475" s="11" t="str">
        <f t="shared" ref="J1475:J1538" si="47">IF(LEN(H1475)=4,"fout"," ")</f>
        <v xml:space="preserve"> </v>
      </c>
      <c r="K1475" s="24" t="s">
        <v>15801</v>
      </c>
    </row>
    <row r="1476" spans="1:11">
      <c r="A1476" s="24" t="s">
        <v>15801</v>
      </c>
      <c r="B1476" s="24" t="s">
        <v>15853</v>
      </c>
      <c r="C1476" s="24" t="s">
        <v>15801</v>
      </c>
      <c r="D1476" s="24" t="s">
        <v>15884</v>
      </c>
      <c r="E1476" s="24" t="s">
        <v>15808</v>
      </c>
      <c r="H1476" s="11" t="str">
        <f t="shared" si="46"/>
        <v/>
      </c>
      <c r="J1476" s="11" t="str">
        <f t="shared" si="47"/>
        <v xml:space="preserve"> </v>
      </c>
      <c r="K1476" s="24" t="s">
        <v>15801</v>
      </c>
    </row>
    <row r="1477" spans="1:11">
      <c r="A1477" s="24" t="s">
        <v>15813</v>
      </c>
      <c r="B1477" s="24" t="s">
        <v>15813</v>
      </c>
      <c r="C1477" s="24" t="s">
        <v>15801</v>
      </c>
      <c r="D1477" s="24" t="s">
        <v>15884</v>
      </c>
      <c r="E1477" s="24" t="s">
        <v>15801</v>
      </c>
      <c r="F1477" s="29" t="s">
        <v>6278</v>
      </c>
      <c r="H1477" s="11" t="str">
        <f t="shared" si="46"/>
        <v/>
      </c>
      <c r="J1477" s="11" t="str">
        <f t="shared" si="47"/>
        <v xml:space="preserve"> </v>
      </c>
      <c r="K1477" s="24" t="s">
        <v>15801</v>
      </c>
    </row>
    <row r="1478" spans="1:11">
      <c r="A1478" s="24" t="s">
        <v>15801</v>
      </c>
      <c r="B1478" s="24" t="s">
        <v>15832</v>
      </c>
      <c r="C1478" s="24" t="s">
        <v>15801</v>
      </c>
      <c r="D1478" s="24" t="s">
        <v>15884</v>
      </c>
      <c r="E1478" s="24" t="s">
        <v>15801</v>
      </c>
      <c r="H1478" s="11" t="str">
        <f t="shared" si="46"/>
        <v/>
      </c>
      <c r="J1478" s="11" t="str">
        <f t="shared" si="47"/>
        <v xml:space="preserve"> </v>
      </c>
      <c r="K1478" s="24" t="s">
        <v>15801</v>
      </c>
    </row>
    <row r="1479" spans="1:11">
      <c r="A1479" s="24" t="s">
        <v>15821</v>
      </c>
      <c r="B1479" s="24" t="s">
        <v>15821</v>
      </c>
      <c r="C1479" s="24" t="s">
        <v>15801</v>
      </c>
      <c r="D1479" s="24" t="s">
        <v>15884</v>
      </c>
      <c r="E1479" s="24" t="s">
        <v>15801</v>
      </c>
      <c r="F1479" s="29" t="s">
        <v>11944</v>
      </c>
      <c r="H1479" s="11" t="str">
        <f t="shared" si="46"/>
        <v/>
      </c>
      <c r="J1479" s="11" t="str">
        <f t="shared" si="47"/>
        <v xml:space="preserve"> </v>
      </c>
      <c r="K1479" s="24" t="s">
        <v>15801</v>
      </c>
    </row>
    <row r="1480" spans="1:11">
      <c r="A1480" s="24" t="s">
        <v>15801</v>
      </c>
      <c r="B1480" s="24" t="s">
        <v>15836</v>
      </c>
      <c r="C1480" s="24" t="s">
        <v>15801</v>
      </c>
      <c r="D1480" s="24" t="s">
        <v>15884</v>
      </c>
      <c r="E1480" s="24" t="s">
        <v>15801</v>
      </c>
      <c r="H1480" s="11" t="str">
        <f t="shared" si="46"/>
        <v/>
      </c>
      <c r="J1480" s="11" t="str">
        <f t="shared" si="47"/>
        <v xml:space="preserve"> </v>
      </c>
      <c r="K1480" s="24" t="s">
        <v>15801</v>
      </c>
    </row>
    <row r="1481" spans="1:11">
      <c r="A1481" s="24" t="s">
        <v>15801</v>
      </c>
      <c r="B1481" s="24" t="s">
        <v>15835</v>
      </c>
      <c r="C1481" s="24" t="s">
        <v>15801</v>
      </c>
      <c r="D1481" s="24" t="s">
        <v>15915</v>
      </c>
      <c r="E1481" s="24" t="s">
        <v>15801</v>
      </c>
      <c r="H1481" s="11" t="str">
        <f t="shared" si="46"/>
        <v/>
      </c>
      <c r="J1481" s="11" t="str">
        <f t="shared" si="47"/>
        <v xml:space="preserve"> </v>
      </c>
      <c r="K1481" s="24" t="s">
        <v>15801</v>
      </c>
    </row>
    <row r="1482" spans="1:11">
      <c r="A1482" s="24" t="s">
        <v>15801</v>
      </c>
      <c r="B1482" s="24" t="s">
        <v>15856</v>
      </c>
      <c r="C1482" s="24" t="s">
        <v>15884</v>
      </c>
      <c r="D1482" s="24" t="s">
        <v>15870</v>
      </c>
      <c r="E1482" s="24" t="s">
        <v>15850</v>
      </c>
      <c r="G1482" s="24">
        <v>1838</v>
      </c>
      <c r="H1482" s="11"/>
      <c r="J1482" s="11" t="str">
        <f t="shared" si="47"/>
        <v xml:space="preserve"> </v>
      </c>
    </row>
    <row r="1483" spans="1:11">
      <c r="A1483" s="24" t="s">
        <v>15853</v>
      </c>
      <c r="B1483" s="24" t="s">
        <v>15853</v>
      </c>
      <c r="C1483" s="24" t="s">
        <v>15884</v>
      </c>
      <c r="D1483" s="24" t="s">
        <v>15900</v>
      </c>
      <c r="E1483" s="24" t="s">
        <v>15806</v>
      </c>
      <c r="F1483" s="29" t="s">
        <v>11967</v>
      </c>
      <c r="G1483" s="24" t="s">
        <v>6764</v>
      </c>
      <c r="H1483" s="11" t="str">
        <f t="shared" si="46"/>
        <v>6/2/1838</v>
      </c>
      <c r="J1483" s="11" t="str">
        <f t="shared" si="47"/>
        <v xml:space="preserve"> </v>
      </c>
      <c r="K1483" s="24" t="s">
        <v>6764</v>
      </c>
    </row>
    <row r="1484" spans="1:11">
      <c r="A1484" s="24" t="s">
        <v>15816</v>
      </c>
      <c r="B1484" s="24" t="s">
        <v>15816</v>
      </c>
      <c r="C1484" s="24" t="s">
        <v>15801</v>
      </c>
      <c r="D1484" s="24" t="s">
        <v>15900</v>
      </c>
      <c r="E1484" s="24" t="s">
        <v>15900</v>
      </c>
      <c r="F1484" s="29" t="s">
        <v>11961</v>
      </c>
      <c r="H1484" s="11" t="str">
        <f t="shared" si="46"/>
        <v/>
      </c>
      <c r="J1484" s="11" t="str">
        <f t="shared" si="47"/>
        <v xml:space="preserve"> </v>
      </c>
      <c r="K1484" s="24" t="s">
        <v>15801</v>
      </c>
    </row>
    <row r="1485" spans="1:11">
      <c r="A1485" s="24" t="s">
        <v>15820</v>
      </c>
      <c r="B1485" s="24" t="s">
        <v>15820</v>
      </c>
      <c r="C1485" s="24" t="s">
        <v>15884</v>
      </c>
      <c r="D1485" s="24" t="s">
        <v>15900</v>
      </c>
      <c r="E1485" s="24" t="s">
        <v>15801</v>
      </c>
      <c r="F1485" s="29" t="s">
        <v>11975</v>
      </c>
      <c r="G1485" s="24" t="s">
        <v>6764</v>
      </c>
      <c r="H1485" s="11" t="str">
        <f t="shared" si="46"/>
        <v>6/2/1838</v>
      </c>
      <c r="J1485" s="11" t="str">
        <f t="shared" si="47"/>
        <v xml:space="preserve"> </v>
      </c>
      <c r="K1485" s="24" t="s">
        <v>6764</v>
      </c>
    </row>
    <row r="1486" spans="1:11">
      <c r="A1486" s="24" t="s">
        <v>15818</v>
      </c>
      <c r="B1486" s="24" t="s">
        <v>15818</v>
      </c>
      <c r="C1486" s="24" t="s">
        <v>15930</v>
      </c>
      <c r="D1486" s="24" t="s">
        <v>15931</v>
      </c>
      <c r="E1486" s="24" t="s">
        <v>15966</v>
      </c>
      <c r="G1486" s="24" t="s">
        <v>11981</v>
      </c>
      <c r="H1486" s="11" t="str">
        <f t="shared" si="46"/>
        <v>13/7/1896</v>
      </c>
      <c r="J1486" s="11" t="str">
        <f t="shared" si="47"/>
        <v xml:space="preserve"> </v>
      </c>
      <c r="K1486" s="24" t="s">
        <v>11981</v>
      </c>
    </row>
    <row r="1487" spans="1:11">
      <c r="A1487" s="24" t="s">
        <v>15825</v>
      </c>
      <c r="B1487" s="24" t="s">
        <v>15825</v>
      </c>
      <c r="C1487" s="24" t="s">
        <v>15801</v>
      </c>
      <c r="D1487" s="24" t="s">
        <v>15900</v>
      </c>
      <c r="E1487" s="24" t="s">
        <v>15876</v>
      </c>
      <c r="F1487" s="29" t="s">
        <v>12000</v>
      </c>
      <c r="H1487" s="11" t="str">
        <f t="shared" si="46"/>
        <v/>
      </c>
      <c r="J1487" s="11" t="str">
        <f t="shared" si="47"/>
        <v xml:space="preserve"> </v>
      </c>
      <c r="K1487" s="24" t="s">
        <v>15801</v>
      </c>
    </row>
    <row r="1488" spans="1:11">
      <c r="A1488" s="24" t="s">
        <v>15807</v>
      </c>
      <c r="B1488" s="24" t="s">
        <v>15807</v>
      </c>
      <c r="C1488" s="24" t="s">
        <v>15912</v>
      </c>
      <c r="D1488" s="24" t="s">
        <v>15900</v>
      </c>
      <c r="E1488" s="24" t="s">
        <v>15921</v>
      </c>
      <c r="F1488" s="29" t="s">
        <v>11989</v>
      </c>
      <c r="G1488" s="24" t="s">
        <v>11992</v>
      </c>
      <c r="H1488" s="11" t="str">
        <f t="shared" si="46"/>
        <v>19/1/1893</v>
      </c>
      <c r="J1488" s="11" t="str">
        <f t="shared" si="47"/>
        <v xml:space="preserve"> </v>
      </c>
      <c r="K1488" s="24" t="s">
        <v>11992</v>
      </c>
    </row>
    <row r="1489" spans="1:11">
      <c r="A1489" s="24" t="s">
        <v>15801</v>
      </c>
      <c r="B1489" s="24" t="s">
        <v>15840</v>
      </c>
      <c r="C1489" s="24" t="s">
        <v>15919</v>
      </c>
      <c r="D1489" s="24" t="s">
        <v>15899</v>
      </c>
      <c r="E1489" s="24" t="s">
        <v>15833</v>
      </c>
      <c r="G1489" s="24" t="s">
        <v>12006</v>
      </c>
      <c r="H1489" s="11" t="str">
        <f t="shared" si="46"/>
        <v>23/1/1888</v>
      </c>
      <c r="J1489" s="11" t="str">
        <f t="shared" si="47"/>
        <v xml:space="preserve"> </v>
      </c>
      <c r="K1489" s="24" t="s">
        <v>12006</v>
      </c>
    </row>
    <row r="1490" spans="1:11">
      <c r="A1490" s="24" t="s">
        <v>15811</v>
      </c>
      <c r="B1490" s="24" t="s">
        <v>15811</v>
      </c>
      <c r="C1490" s="24" t="s">
        <v>15957</v>
      </c>
      <c r="D1490" s="24" t="s">
        <v>15899</v>
      </c>
      <c r="E1490" s="24" t="s">
        <v>15801</v>
      </c>
      <c r="F1490" s="29" t="s">
        <v>5960</v>
      </c>
      <c r="G1490" s="24" t="s">
        <v>11997</v>
      </c>
      <c r="H1490" s="11" t="str">
        <f t="shared" si="46"/>
        <v>13/5/1905</v>
      </c>
      <c r="J1490" s="11" t="str">
        <f t="shared" si="47"/>
        <v xml:space="preserve"> </v>
      </c>
      <c r="K1490" s="24" t="s">
        <v>11997</v>
      </c>
    </row>
    <row r="1491" spans="1:11">
      <c r="A1491" s="24" t="s">
        <v>15801</v>
      </c>
      <c r="B1491" s="24" t="s">
        <v>15853</v>
      </c>
      <c r="C1491" s="24" t="s">
        <v>15801</v>
      </c>
      <c r="D1491" s="24" t="s">
        <v>15900</v>
      </c>
      <c r="E1491" s="24" t="s">
        <v>15829</v>
      </c>
      <c r="H1491" s="11" t="str">
        <f t="shared" si="46"/>
        <v/>
      </c>
      <c r="J1491" s="11" t="str">
        <f t="shared" si="47"/>
        <v xml:space="preserve"> </v>
      </c>
      <c r="K1491" s="24" t="s">
        <v>15801</v>
      </c>
    </row>
    <row r="1492" spans="1:11">
      <c r="A1492" s="24" t="s">
        <v>15801</v>
      </c>
      <c r="B1492" s="24" t="s">
        <v>15832</v>
      </c>
      <c r="C1492" s="24" t="s">
        <v>15801</v>
      </c>
      <c r="D1492" s="24" t="s">
        <v>15900</v>
      </c>
      <c r="E1492" s="24" t="s">
        <v>15945</v>
      </c>
      <c r="H1492" s="11" t="str">
        <f t="shared" si="46"/>
        <v/>
      </c>
      <c r="J1492" s="11" t="str">
        <f t="shared" si="47"/>
        <v xml:space="preserve"> </v>
      </c>
      <c r="K1492" s="24" t="s">
        <v>15801</v>
      </c>
    </row>
    <row r="1493" spans="1:11">
      <c r="A1493" s="24" t="s">
        <v>15807</v>
      </c>
      <c r="B1493" s="24" t="s">
        <v>15807</v>
      </c>
      <c r="C1493" s="24" t="s">
        <v>15920</v>
      </c>
      <c r="D1493" s="24" t="s">
        <v>15900</v>
      </c>
      <c r="E1493" s="24" t="s">
        <v>15851</v>
      </c>
      <c r="F1493" s="29" t="s">
        <v>12015</v>
      </c>
      <c r="G1493" s="24" t="s">
        <v>12017</v>
      </c>
      <c r="H1493" s="11" t="str">
        <f t="shared" si="46"/>
        <v>9/4/1852</v>
      </c>
      <c r="J1493" s="11" t="str">
        <f t="shared" si="47"/>
        <v xml:space="preserve"> </v>
      </c>
      <c r="K1493" s="24" t="s">
        <v>12017</v>
      </c>
    </row>
    <row r="1494" spans="1:11">
      <c r="A1494" s="24" t="s">
        <v>15828</v>
      </c>
      <c r="B1494" s="24" t="s">
        <v>15828</v>
      </c>
      <c r="C1494" s="24" t="s">
        <v>15801</v>
      </c>
      <c r="D1494" s="24" t="s">
        <v>15900</v>
      </c>
      <c r="E1494" s="24" t="s">
        <v>15878</v>
      </c>
      <c r="F1494" s="29" t="s">
        <v>12013</v>
      </c>
      <c r="H1494" s="11" t="str">
        <f t="shared" si="46"/>
        <v/>
      </c>
      <c r="J1494" s="11" t="str">
        <f t="shared" si="47"/>
        <v xml:space="preserve"> </v>
      </c>
      <c r="K1494" s="24" t="s">
        <v>15801</v>
      </c>
    </row>
    <row r="1495" spans="1:11">
      <c r="A1495" s="24" t="s">
        <v>15801</v>
      </c>
      <c r="B1495" s="24" t="s">
        <v>15808</v>
      </c>
      <c r="C1495" s="24" t="s">
        <v>15801</v>
      </c>
      <c r="D1495" s="24" t="s">
        <v>15900</v>
      </c>
      <c r="E1495" s="24" t="s">
        <v>15801</v>
      </c>
      <c r="H1495" s="11" t="str">
        <f t="shared" si="46"/>
        <v/>
      </c>
      <c r="J1495" s="11" t="str">
        <f t="shared" si="47"/>
        <v xml:space="preserve"> </v>
      </c>
      <c r="K1495" s="24" t="s">
        <v>15801</v>
      </c>
    </row>
    <row r="1496" spans="1:11">
      <c r="A1496" s="24" t="s">
        <v>15801</v>
      </c>
      <c r="B1496" s="24" t="s">
        <v>15801</v>
      </c>
      <c r="C1496" s="24" t="s">
        <v>15801</v>
      </c>
      <c r="D1496" s="24" t="s">
        <v>15801</v>
      </c>
      <c r="E1496" s="24" t="s">
        <v>15870</v>
      </c>
      <c r="H1496" s="11" t="str">
        <f t="shared" si="46"/>
        <v/>
      </c>
      <c r="J1496" s="11" t="str">
        <f t="shared" si="47"/>
        <v xml:space="preserve"> </v>
      </c>
      <c r="K1496" s="24" t="s">
        <v>15801</v>
      </c>
    </row>
    <row r="1497" spans="1:11">
      <c r="A1497" s="24" t="s">
        <v>15801</v>
      </c>
      <c r="B1497" s="24" t="s">
        <v>15815</v>
      </c>
      <c r="C1497" s="24" t="s">
        <v>15801</v>
      </c>
      <c r="D1497" s="24" t="s">
        <v>15884</v>
      </c>
      <c r="E1497" s="24" t="s">
        <v>15801</v>
      </c>
      <c r="H1497" s="11" t="str">
        <f t="shared" si="46"/>
        <v/>
      </c>
      <c r="J1497" s="11" t="str">
        <f t="shared" si="47"/>
        <v xml:space="preserve"> </v>
      </c>
      <c r="K1497" s="24" t="s">
        <v>15801</v>
      </c>
    </row>
    <row r="1498" spans="1:11">
      <c r="A1498" s="24" t="s">
        <v>15801</v>
      </c>
      <c r="B1498" s="24" t="s">
        <v>15845</v>
      </c>
      <c r="C1498" s="24" t="s">
        <v>15801</v>
      </c>
      <c r="D1498" s="24" t="s">
        <v>15900</v>
      </c>
      <c r="E1498" s="24" t="s">
        <v>15801</v>
      </c>
      <c r="H1498" s="11" t="str">
        <f t="shared" si="46"/>
        <v/>
      </c>
      <c r="J1498" s="11" t="str">
        <f t="shared" si="47"/>
        <v xml:space="preserve"> </v>
      </c>
      <c r="K1498" s="24" t="s">
        <v>15801</v>
      </c>
    </row>
    <row r="1499" spans="1:11">
      <c r="A1499" s="24" t="s">
        <v>15801</v>
      </c>
      <c r="B1499" s="24" t="s">
        <v>15829</v>
      </c>
      <c r="C1499" s="24" t="s">
        <v>15801</v>
      </c>
      <c r="D1499" s="24" t="s">
        <v>15884</v>
      </c>
      <c r="E1499" s="24" t="s">
        <v>15971</v>
      </c>
      <c r="H1499" s="11" t="str">
        <f t="shared" si="46"/>
        <v/>
      </c>
      <c r="J1499" s="11" t="str">
        <f t="shared" si="47"/>
        <v xml:space="preserve"> </v>
      </c>
      <c r="K1499" s="24" t="s">
        <v>15801</v>
      </c>
    </row>
    <row r="1500" spans="1:11">
      <c r="A1500" s="24" t="s">
        <v>15857</v>
      </c>
      <c r="B1500" s="24" t="s">
        <v>15857</v>
      </c>
      <c r="C1500" s="24" t="s">
        <v>15801</v>
      </c>
      <c r="D1500" s="24" t="s">
        <v>15900</v>
      </c>
      <c r="E1500" s="24" t="s">
        <v>15839</v>
      </c>
      <c r="F1500" s="29" t="s">
        <v>12023</v>
      </c>
      <c r="H1500" s="11" t="str">
        <f t="shared" si="46"/>
        <v/>
      </c>
      <c r="J1500" s="11" t="str">
        <f t="shared" si="47"/>
        <v xml:space="preserve"> </v>
      </c>
      <c r="K1500" s="24" t="s">
        <v>15801</v>
      </c>
    </row>
    <row r="1501" spans="1:11">
      <c r="A1501" s="24" t="s">
        <v>15803</v>
      </c>
      <c r="B1501" s="24" t="s">
        <v>15803</v>
      </c>
      <c r="C1501" s="24" t="s">
        <v>15801</v>
      </c>
      <c r="D1501" s="24" t="s">
        <v>15965</v>
      </c>
      <c r="E1501" s="24" t="s">
        <v>15844</v>
      </c>
      <c r="F1501" s="29" t="s">
        <v>12059</v>
      </c>
      <c r="H1501" s="11" t="str">
        <f t="shared" si="46"/>
        <v/>
      </c>
      <c r="J1501" s="11" t="str">
        <f t="shared" si="47"/>
        <v xml:space="preserve"> </v>
      </c>
      <c r="K1501" s="24" t="s">
        <v>15801</v>
      </c>
    </row>
    <row r="1502" spans="1:11">
      <c r="A1502" s="24" t="s">
        <v>15819</v>
      </c>
      <c r="B1502" s="24" t="s">
        <v>15819</v>
      </c>
      <c r="C1502" s="24" t="s">
        <v>15912</v>
      </c>
      <c r="D1502" s="24" t="s">
        <v>15900</v>
      </c>
      <c r="E1502" s="24" t="s">
        <v>15900</v>
      </c>
      <c r="G1502" s="24" t="s">
        <v>12035</v>
      </c>
      <c r="H1502" s="11" t="str">
        <f t="shared" si="46"/>
        <v>11/9/1893</v>
      </c>
      <c r="J1502" s="11" t="str">
        <f t="shared" si="47"/>
        <v xml:space="preserve"> </v>
      </c>
      <c r="K1502" s="24" t="s">
        <v>12035</v>
      </c>
    </row>
    <row r="1503" spans="1:11">
      <c r="A1503" s="24" t="s">
        <v>15801</v>
      </c>
      <c r="B1503" s="24" t="s">
        <v>15812</v>
      </c>
      <c r="C1503" s="24" t="s">
        <v>15801</v>
      </c>
      <c r="D1503" s="24" t="s">
        <v>15915</v>
      </c>
      <c r="E1503" s="24" t="s">
        <v>15808</v>
      </c>
      <c r="H1503" s="11" t="str">
        <f t="shared" si="46"/>
        <v/>
      </c>
      <c r="J1503" s="11" t="str">
        <f t="shared" si="47"/>
        <v xml:space="preserve"> </v>
      </c>
      <c r="K1503" s="24" t="s">
        <v>15801</v>
      </c>
    </row>
    <row r="1504" spans="1:11">
      <c r="A1504" s="24" t="s">
        <v>15811</v>
      </c>
      <c r="B1504" s="24" t="s">
        <v>15811</v>
      </c>
      <c r="C1504" s="24" t="s">
        <v>15929</v>
      </c>
      <c r="D1504" s="24" t="s">
        <v>15908</v>
      </c>
      <c r="E1504" s="24" t="s">
        <v>15956</v>
      </c>
      <c r="F1504" s="29" t="s">
        <v>6470</v>
      </c>
      <c r="G1504" s="24" t="s">
        <v>12086</v>
      </c>
      <c r="H1504" s="11" t="str">
        <f t="shared" si="46"/>
        <v>20/12/1878</v>
      </c>
      <c r="J1504" s="11" t="str">
        <f t="shared" si="47"/>
        <v xml:space="preserve"> </v>
      </c>
      <c r="K1504" s="24" t="s">
        <v>12086</v>
      </c>
    </row>
    <row r="1505" spans="1:11">
      <c r="A1505" s="24" t="s">
        <v>15801</v>
      </c>
      <c r="B1505" s="24" t="s">
        <v>15842</v>
      </c>
      <c r="C1505" s="24" t="s">
        <v>15801</v>
      </c>
      <c r="D1505" s="24" t="s">
        <v>15901</v>
      </c>
      <c r="E1505" s="24" t="s">
        <v>15832</v>
      </c>
      <c r="H1505" s="11" t="str">
        <f t="shared" si="46"/>
        <v/>
      </c>
      <c r="J1505" s="11" t="str">
        <f t="shared" si="47"/>
        <v xml:space="preserve"> </v>
      </c>
      <c r="K1505" s="24" t="s">
        <v>15801</v>
      </c>
    </row>
    <row r="1506" spans="1:11">
      <c r="A1506" s="24" t="s">
        <v>15815</v>
      </c>
      <c r="B1506" s="24" t="s">
        <v>15815</v>
      </c>
      <c r="C1506" s="24" t="s">
        <v>15893</v>
      </c>
      <c r="D1506" s="24" t="s">
        <v>15901</v>
      </c>
      <c r="E1506" s="24" t="s">
        <v>15921</v>
      </c>
      <c r="G1506" s="24" t="s">
        <v>12049</v>
      </c>
      <c r="H1506" s="11" t="str">
        <f t="shared" si="46"/>
        <v>2/10/1879</v>
      </c>
      <c r="J1506" s="11" t="str">
        <f t="shared" si="47"/>
        <v xml:space="preserve"> </v>
      </c>
      <c r="K1506" s="24" t="s">
        <v>12049</v>
      </c>
    </row>
    <row r="1507" spans="1:11">
      <c r="A1507" s="24" t="s">
        <v>15833</v>
      </c>
      <c r="B1507" s="24" t="s">
        <v>15833</v>
      </c>
      <c r="C1507" s="24" t="s">
        <v>15959</v>
      </c>
      <c r="D1507" s="24" t="s">
        <v>15801</v>
      </c>
      <c r="E1507" s="24" t="s">
        <v>15801</v>
      </c>
      <c r="F1507" s="29" t="s">
        <v>12092</v>
      </c>
      <c r="G1507" s="24" t="s">
        <v>12093</v>
      </c>
      <c r="H1507" s="11" t="str">
        <f t="shared" si="46"/>
        <v>26/8/1914</v>
      </c>
      <c r="J1507" s="11" t="str">
        <f t="shared" si="47"/>
        <v xml:space="preserve"> </v>
      </c>
      <c r="K1507" s="24" t="s">
        <v>12093</v>
      </c>
    </row>
    <row r="1508" spans="1:11">
      <c r="A1508" s="24" t="s">
        <v>15806</v>
      </c>
      <c r="B1508" s="24" t="s">
        <v>15806</v>
      </c>
      <c r="C1508" s="24" t="s">
        <v>15801</v>
      </c>
      <c r="D1508" s="24" t="s">
        <v>15915</v>
      </c>
      <c r="E1508" s="24" t="s">
        <v>15921</v>
      </c>
      <c r="H1508" s="11" t="str">
        <f t="shared" si="46"/>
        <v/>
      </c>
      <c r="J1508" s="11" t="str">
        <f t="shared" si="47"/>
        <v xml:space="preserve"> </v>
      </c>
      <c r="K1508" s="24" t="s">
        <v>15801</v>
      </c>
    </row>
    <row r="1509" spans="1:11">
      <c r="A1509" s="24" t="s">
        <v>15801</v>
      </c>
      <c r="B1509" s="24" t="s">
        <v>15867</v>
      </c>
      <c r="C1509" s="24" t="s">
        <v>15801</v>
      </c>
      <c r="D1509" s="24" t="s">
        <v>15900</v>
      </c>
      <c r="E1509" s="24" t="s">
        <v>15836</v>
      </c>
      <c r="H1509" s="11" t="str">
        <f t="shared" si="46"/>
        <v/>
      </c>
      <c r="J1509" s="11" t="str">
        <f t="shared" si="47"/>
        <v xml:space="preserve"> </v>
      </c>
      <c r="K1509" s="24" t="s">
        <v>15801</v>
      </c>
    </row>
    <row r="1510" spans="1:11">
      <c r="A1510" s="24" t="s">
        <v>15801</v>
      </c>
      <c r="B1510" s="24" t="s">
        <v>15866</v>
      </c>
      <c r="C1510" s="24" t="s">
        <v>15801</v>
      </c>
      <c r="D1510" s="24" t="s">
        <v>15900</v>
      </c>
      <c r="E1510" s="24" t="s">
        <v>15836</v>
      </c>
      <c r="H1510" s="11" t="str">
        <f t="shared" si="46"/>
        <v/>
      </c>
      <c r="J1510" s="11" t="str">
        <f t="shared" si="47"/>
        <v xml:space="preserve"> </v>
      </c>
      <c r="K1510" s="24" t="s">
        <v>15801</v>
      </c>
    </row>
    <row r="1511" spans="1:11">
      <c r="A1511" s="24" t="s">
        <v>15801</v>
      </c>
      <c r="B1511" s="24" t="s">
        <v>15846</v>
      </c>
      <c r="C1511" s="24" t="s">
        <v>15801</v>
      </c>
      <c r="D1511" s="24" t="s">
        <v>15884</v>
      </c>
      <c r="E1511" s="24" t="s">
        <v>15825</v>
      </c>
      <c r="H1511" s="11" t="str">
        <f t="shared" si="46"/>
        <v/>
      </c>
      <c r="J1511" s="11" t="str">
        <f t="shared" si="47"/>
        <v xml:space="preserve"> </v>
      </c>
      <c r="K1511" s="24" t="s">
        <v>15801</v>
      </c>
    </row>
    <row r="1512" spans="1:11">
      <c r="A1512" s="24" t="s">
        <v>15801</v>
      </c>
      <c r="B1512" s="24" t="s">
        <v>15850</v>
      </c>
      <c r="C1512" s="24" t="s">
        <v>15951</v>
      </c>
      <c r="D1512" s="24" t="s">
        <v>15900</v>
      </c>
      <c r="E1512" s="24" t="s">
        <v>15806</v>
      </c>
      <c r="G1512" s="24">
        <v>1886</v>
      </c>
      <c r="H1512" s="11"/>
      <c r="J1512" s="11" t="str">
        <f t="shared" si="47"/>
        <v xml:space="preserve"> </v>
      </c>
    </row>
    <row r="1513" spans="1:11">
      <c r="A1513" s="24" t="s">
        <v>15840</v>
      </c>
      <c r="B1513" s="24" t="s">
        <v>15840</v>
      </c>
      <c r="C1513" s="24" t="s">
        <v>15801</v>
      </c>
      <c r="D1513" s="24" t="s">
        <v>15915</v>
      </c>
      <c r="E1513" s="24" t="s">
        <v>15827</v>
      </c>
      <c r="F1513" s="29" t="s">
        <v>12116</v>
      </c>
      <c r="H1513" s="11" t="str">
        <f t="shared" si="46"/>
        <v/>
      </c>
      <c r="J1513" s="11" t="str">
        <f t="shared" si="47"/>
        <v xml:space="preserve"> </v>
      </c>
      <c r="K1513" s="24" t="s">
        <v>15801</v>
      </c>
    </row>
    <row r="1514" spans="1:11">
      <c r="A1514" s="24" t="s">
        <v>15823</v>
      </c>
      <c r="B1514" s="24" t="s">
        <v>15823</v>
      </c>
      <c r="C1514" s="24" t="s">
        <v>15926</v>
      </c>
      <c r="D1514" s="24" t="s">
        <v>15915</v>
      </c>
      <c r="E1514" s="24" t="s">
        <v>15925</v>
      </c>
      <c r="F1514" s="29" t="s">
        <v>12121</v>
      </c>
      <c r="G1514" s="24" t="s">
        <v>12123</v>
      </c>
      <c r="H1514" s="11" t="str">
        <f t="shared" si="46"/>
        <v>20/3/1897</v>
      </c>
      <c r="J1514" s="11" t="str">
        <f t="shared" si="47"/>
        <v xml:space="preserve"> </v>
      </c>
      <c r="K1514" s="24" t="s">
        <v>12123</v>
      </c>
    </row>
    <row r="1515" spans="1:11">
      <c r="A1515" s="24" t="s">
        <v>15801</v>
      </c>
      <c r="B1515" s="24" t="s">
        <v>15829</v>
      </c>
      <c r="C1515" s="24" t="s">
        <v>15801</v>
      </c>
      <c r="D1515" s="24" t="s">
        <v>15899</v>
      </c>
      <c r="E1515" s="24" t="s">
        <v>15844</v>
      </c>
      <c r="H1515" s="11" t="str">
        <f t="shared" si="46"/>
        <v/>
      </c>
      <c r="J1515" s="11" t="str">
        <f t="shared" si="47"/>
        <v xml:space="preserve"> </v>
      </c>
      <c r="K1515" s="24" t="s">
        <v>15801</v>
      </c>
    </row>
    <row r="1516" spans="1:11">
      <c r="A1516" s="24" t="s">
        <v>15803</v>
      </c>
      <c r="B1516" s="24" t="s">
        <v>15803</v>
      </c>
      <c r="C1516" s="24" t="s">
        <v>15880</v>
      </c>
      <c r="D1516" s="24" t="s">
        <v>15900</v>
      </c>
      <c r="E1516" s="24" t="s">
        <v>15863</v>
      </c>
      <c r="F1516" s="29" t="s">
        <v>12140</v>
      </c>
      <c r="G1516" s="24" t="s">
        <v>12141</v>
      </c>
      <c r="H1516" s="11" t="str">
        <f t="shared" si="46"/>
        <v>19/5/1892</v>
      </c>
      <c r="J1516" s="11" t="str">
        <f t="shared" si="47"/>
        <v xml:space="preserve"> </v>
      </c>
      <c r="K1516" s="24" t="s">
        <v>12141</v>
      </c>
    </row>
    <row r="1517" spans="1:11">
      <c r="A1517" s="24" t="s">
        <v>15807</v>
      </c>
      <c r="B1517" s="24" t="s">
        <v>15807</v>
      </c>
      <c r="C1517" s="24" t="s">
        <v>15801</v>
      </c>
      <c r="D1517" s="24" t="s">
        <v>15900</v>
      </c>
      <c r="E1517" s="24" t="s">
        <v>15899</v>
      </c>
      <c r="F1517" s="29" t="s">
        <v>6698</v>
      </c>
      <c r="H1517" s="11" t="str">
        <f t="shared" si="46"/>
        <v/>
      </c>
      <c r="J1517" s="11" t="str">
        <f t="shared" si="47"/>
        <v xml:space="preserve"> </v>
      </c>
      <c r="K1517" s="24" t="s">
        <v>15801</v>
      </c>
    </row>
    <row r="1518" spans="1:11">
      <c r="A1518" s="24" t="s">
        <v>15801</v>
      </c>
      <c r="B1518" s="24" t="s">
        <v>15847</v>
      </c>
      <c r="C1518" s="24" t="s">
        <v>15884</v>
      </c>
      <c r="D1518" s="24" t="s">
        <v>15801</v>
      </c>
      <c r="E1518" s="24" t="s">
        <v>15801</v>
      </c>
      <c r="G1518" s="24" t="s">
        <v>6649</v>
      </c>
      <c r="H1518" s="11" t="str">
        <f t="shared" si="46"/>
        <v>17/2/1838</v>
      </c>
      <c r="J1518" s="11" t="str">
        <f t="shared" si="47"/>
        <v xml:space="preserve"> </v>
      </c>
      <c r="K1518" s="24" t="s">
        <v>6649</v>
      </c>
    </row>
    <row r="1519" spans="1:11">
      <c r="A1519" s="24" t="s">
        <v>15801</v>
      </c>
      <c r="B1519" s="24" t="s">
        <v>15804</v>
      </c>
      <c r="C1519" s="24" t="s">
        <v>15884</v>
      </c>
      <c r="D1519" s="24" t="s">
        <v>15801</v>
      </c>
      <c r="E1519" s="24" t="s">
        <v>15971</v>
      </c>
      <c r="G1519" s="24" t="s">
        <v>6649</v>
      </c>
      <c r="H1519" s="11" t="str">
        <f t="shared" si="46"/>
        <v>17/2/1838</v>
      </c>
      <c r="J1519" s="11" t="str">
        <f t="shared" si="47"/>
        <v xml:space="preserve"> </v>
      </c>
      <c r="K1519" s="24" t="s">
        <v>6649</v>
      </c>
    </row>
    <row r="1520" spans="1:11">
      <c r="A1520" s="24" t="s">
        <v>15801</v>
      </c>
      <c r="B1520" s="24" t="s">
        <v>15814</v>
      </c>
      <c r="C1520" s="24" t="s">
        <v>15884</v>
      </c>
      <c r="D1520" s="24" t="s">
        <v>15801</v>
      </c>
      <c r="E1520" s="24" t="s">
        <v>15851</v>
      </c>
      <c r="G1520" s="24" t="s">
        <v>6649</v>
      </c>
      <c r="H1520" s="11" t="str">
        <f t="shared" si="46"/>
        <v>17/2/1838</v>
      </c>
      <c r="J1520" s="11" t="str">
        <f t="shared" si="47"/>
        <v xml:space="preserve"> </v>
      </c>
      <c r="K1520" s="24" t="s">
        <v>6649</v>
      </c>
    </row>
    <row r="1521" spans="1:11">
      <c r="A1521" s="24" t="s">
        <v>15825</v>
      </c>
      <c r="B1521" s="24" t="s">
        <v>15825</v>
      </c>
      <c r="C1521" s="24" t="s">
        <v>15891</v>
      </c>
      <c r="D1521" s="24" t="s">
        <v>15900</v>
      </c>
      <c r="E1521" s="24" t="s">
        <v>15876</v>
      </c>
      <c r="F1521" s="29" t="s">
        <v>7025</v>
      </c>
      <c r="G1521" s="24" t="s">
        <v>10661</v>
      </c>
      <c r="H1521" s="11" t="str">
        <f t="shared" si="46"/>
        <v>2/10/1883</v>
      </c>
      <c r="J1521" s="11" t="str">
        <f t="shared" si="47"/>
        <v xml:space="preserve"> </v>
      </c>
      <c r="K1521" s="24" t="s">
        <v>10661</v>
      </c>
    </row>
    <row r="1522" spans="1:11">
      <c r="A1522" s="24" t="s">
        <v>15801</v>
      </c>
      <c r="B1522" s="24" t="s">
        <v>15845</v>
      </c>
      <c r="C1522" s="24" t="s">
        <v>15917</v>
      </c>
      <c r="D1522" s="24" t="s">
        <v>15899</v>
      </c>
      <c r="E1522" s="24" t="s">
        <v>15821</v>
      </c>
      <c r="G1522" s="24">
        <v>1869</v>
      </c>
      <c r="H1522" s="11"/>
      <c r="J1522" s="11" t="str">
        <f t="shared" si="47"/>
        <v xml:space="preserve"> </v>
      </c>
    </row>
    <row r="1523" spans="1:11">
      <c r="A1523" s="24" t="s">
        <v>15819</v>
      </c>
      <c r="B1523" s="24" t="s">
        <v>15819</v>
      </c>
      <c r="C1523" s="24" t="s">
        <v>15943</v>
      </c>
      <c r="D1523" s="24" t="s">
        <v>15899</v>
      </c>
      <c r="E1523" s="24" t="s">
        <v>15801</v>
      </c>
      <c r="F1523" s="29" t="s">
        <v>12215</v>
      </c>
      <c r="G1523" s="24" t="s">
        <v>12216</v>
      </c>
      <c r="H1523" s="11" t="str">
        <f t="shared" si="46"/>
        <v>20/6/1891</v>
      </c>
      <c r="J1523" s="11" t="str">
        <f t="shared" si="47"/>
        <v xml:space="preserve"> </v>
      </c>
      <c r="K1523" s="24" t="s">
        <v>12216</v>
      </c>
    </row>
    <row r="1524" spans="1:11">
      <c r="A1524" s="24" t="s">
        <v>15810</v>
      </c>
      <c r="B1524" s="24" t="s">
        <v>15810</v>
      </c>
      <c r="C1524" s="24" t="s">
        <v>15883</v>
      </c>
      <c r="D1524" s="24" t="s">
        <v>15884</v>
      </c>
      <c r="E1524" s="24" t="s">
        <v>15899</v>
      </c>
      <c r="F1524" s="29" t="s">
        <v>12202</v>
      </c>
      <c r="G1524" s="24">
        <v>1874</v>
      </c>
      <c r="H1524" s="11"/>
      <c r="J1524" s="11" t="str">
        <f t="shared" si="47"/>
        <v xml:space="preserve"> </v>
      </c>
    </row>
    <row r="1525" spans="1:11">
      <c r="A1525" s="24" t="s">
        <v>15801</v>
      </c>
      <c r="B1525" s="24" t="s">
        <v>15837</v>
      </c>
      <c r="C1525" s="24" t="s">
        <v>15801</v>
      </c>
      <c r="D1525" s="24" t="s">
        <v>15899</v>
      </c>
      <c r="E1525" s="24" t="s">
        <v>15801</v>
      </c>
      <c r="H1525" s="11" t="str">
        <f t="shared" si="46"/>
        <v/>
      </c>
      <c r="J1525" s="11" t="str">
        <f t="shared" si="47"/>
        <v xml:space="preserve"> </v>
      </c>
      <c r="K1525" s="24" t="s">
        <v>15801</v>
      </c>
    </row>
    <row r="1526" spans="1:11">
      <c r="A1526" s="24" t="s">
        <v>15801</v>
      </c>
      <c r="B1526" s="24" t="s">
        <v>15801</v>
      </c>
      <c r="C1526" s="24" t="s">
        <v>15801</v>
      </c>
      <c r="D1526" s="24" t="s">
        <v>15870</v>
      </c>
      <c r="E1526" s="24" t="s">
        <v>15828</v>
      </c>
      <c r="H1526" s="11" t="str">
        <f t="shared" si="46"/>
        <v/>
      </c>
      <c r="J1526" s="11" t="str">
        <f t="shared" si="47"/>
        <v xml:space="preserve"> </v>
      </c>
      <c r="K1526" s="24" t="s">
        <v>15801</v>
      </c>
    </row>
    <row r="1527" spans="1:11">
      <c r="A1527" s="24" t="s">
        <v>15820</v>
      </c>
      <c r="B1527" s="24" t="s">
        <v>15820</v>
      </c>
      <c r="C1527" s="24" t="s">
        <v>15882</v>
      </c>
      <c r="D1527" s="24" t="s">
        <v>15948</v>
      </c>
      <c r="E1527" s="24" t="s">
        <v>15948</v>
      </c>
      <c r="F1527" s="29" t="s">
        <v>12173</v>
      </c>
      <c r="G1527" s="24" t="s">
        <v>12175</v>
      </c>
      <c r="H1527" s="11" t="str">
        <f t="shared" si="46"/>
        <v>22/7/1880</v>
      </c>
      <c r="J1527" s="11" t="str">
        <f t="shared" si="47"/>
        <v xml:space="preserve"> </v>
      </c>
      <c r="K1527" s="24" t="s">
        <v>12175</v>
      </c>
    </row>
    <row r="1528" spans="1:11">
      <c r="A1528" s="24" t="s">
        <v>15801</v>
      </c>
      <c r="B1528" s="24" t="s">
        <v>15837</v>
      </c>
      <c r="C1528" s="24" t="s">
        <v>15801</v>
      </c>
      <c r="D1528" s="24" t="s">
        <v>15884</v>
      </c>
      <c r="E1528" s="24" t="s">
        <v>15801</v>
      </c>
      <c r="H1528" s="11" t="str">
        <f t="shared" si="46"/>
        <v/>
      </c>
      <c r="J1528" s="11" t="str">
        <f t="shared" si="47"/>
        <v xml:space="preserve"> </v>
      </c>
      <c r="K1528" s="24" t="s">
        <v>15801</v>
      </c>
    </row>
    <row r="1529" spans="1:11">
      <c r="A1529" s="24" t="s">
        <v>15801</v>
      </c>
      <c r="B1529" s="24" t="s">
        <v>15801</v>
      </c>
      <c r="C1529" s="24" t="s">
        <v>15801</v>
      </c>
      <c r="D1529" s="24" t="s">
        <v>15956</v>
      </c>
      <c r="E1529" s="24" t="s">
        <v>15945</v>
      </c>
      <c r="H1529" s="11" t="str">
        <f t="shared" si="46"/>
        <v/>
      </c>
      <c r="J1529" s="11" t="str">
        <f t="shared" si="47"/>
        <v xml:space="preserve"> </v>
      </c>
      <c r="K1529" s="24" t="s">
        <v>15801</v>
      </c>
    </row>
    <row r="1530" spans="1:11">
      <c r="A1530" s="24" t="s">
        <v>15801</v>
      </c>
      <c r="B1530" s="24" t="s">
        <v>15814</v>
      </c>
      <c r="C1530" s="24" t="s">
        <v>15801</v>
      </c>
      <c r="D1530" s="24" t="s">
        <v>15801</v>
      </c>
      <c r="E1530" s="24" t="s">
        <v>15844</v>
      </c>
      <c r="H1530" s="11" t="str">
        <f t="shared" si="46"/>
        <v/>
      </c>
      <c r="J1530" s="11" t="str">
        <f t="shared" si="47"/>
        <v xml:space="preserve"> </v>
      </c>
      <c r="K1530" s="24" t="s">
        <v>15801</v>
      </c>
    </row>
    <row r="1531" spans="1:11">
      <c r="A1531" s="24" t="s">
        <v>15801</v>
      </c>
      <c r="B1531" s="24" t="s">
        <v>15838</v>
      </c>
      <c r="C1531" s="24" t="s">
        <v>15923</v>
      </c>
      <c r="D1531" s="24" t="s">
        <v>15884</v>
      </c>
      <c r="E1531" s="24" t="s">
        <v>15813</v>
      </c>
      <c r="G1531" s="24" t="s">
        <v>12165</v>
      </c>
      <c r="H1531" s="11" t="str">
        <f t="shared" si="46"/>
        <v>3/3/1853</v>
      </c>
      <c r="J1531" s="11" t="str">
        <f t="shared" si="47"/>
        <v xml:space="preserve"> </v>
      </c>
      <c r="K1531" s="24" t="s">
        <v>12165</v>
      </c>
    </row>
    <row r="1532" spans="1:11">
      <c r="A1532" s="24" t="s">
        <v>15833</v>
      </c>
      <c r="B1532" s="24" t="s">
        <v>15833</v>
      </c>
      <c r="C1532" s="24" t="s">
        <v>15950</v>
      </c>
      <c r="D1532" s="24" t="s">
        <v>15900</v>
      </c>
      <c r="E1532" s="24" t="s">
        <v>15801</v>
      </c>
      <c r="F1532" s="29" t="s">
        <v>12235</v>
      </c>
      <c r="G1532" s="24" t="s">
        <v>12238</v>
      </c>
      <c r="H1532" s="11" t="str">
        <f t="shared" si="46"/>
        <v>3/11/1904</v>
      </c>
      <c r="J1532" s="11" t="str">
        <f t="shared" si="47"/>
        <v xml:space="preserve"> </v>
      </c>
      <c r="K1532" s="24" t="s">
        <v>12238</v>
      </c>
    </row>
    <row r="1533" spans="1:11">
      <c r="A1533" s="24" t="s">
        <v>15827</v>
      </c>
      <c r="B1533" s="24" t="s">
        <v>15827</v>
      </c>
      <c r="C1533" s="24" t="s">
        <v>15892</v>
      </c>
      <c r="D1533" s="24" t="s">
        <v>15948</v>
      </c>
      <c r="E1533" s="24" t="s">
        <v>15801</v>
      </c>
      <c r="F1533" s="29" t="s">
        <v>12229</v>
      </c>
      <c r="G1533" s="24" t="s">
        <v>12230</v>
      </c>
      <c r="H1533" s="11" t="str">
        <f t="shared" si="46"/>
        <v>18/12/1871</v>
      </c>
      <c r="J1533" s="11" t="str">
        <f t="shared" si="47"/>
        <v xml:space="preserve"> </v>
      </c>
      <c r="K1533" s="24" t="s">
        <v>12230</v>
      </c>
    </row>
    <row r="1534" spans="1:11">
      <c r="A1534" s="24" t="s">
        <v>15801</v>
      </c>
      <c r="B1534" s="24" t="s">
        <v>15821</v>
      </c>
      <c r="C1534" s="24" t="s">
        <v>15801</v>
      </c>
      <c r="D1534" s="24" t="s">
        <v>15956</v>
      </c>
      <c r="E1534" s="24" t="s">
        <v>15900</v>
      </c>
      <c r="H1534" s="11" t="str">
        <f t="shared" si="46"/>
        <v/>
      </c>
      <c r="J1534" s="11" t="str">
        <f t="shared" si="47"/>
        <v xml:space="preserve"> </v>
      </c>
      <c r="K1534" s="24" t="s">
        <v>15801</v>
      </c>
    </row>
    <row r="1535" spans="1:11">
      <c r="A1535" s="24" t="s">
        <v>15845</v>
      </c>
      <c r="B1535" s="24" t="s">
        <v>15845</v>
      </c>
      <c r="C1535" s="24" t="s">
        <v>15801</v>
      </c>
      <c r="D1535" s="24" t="s">
        <v>15948</v>
      </c>
      <c r="E1535" s="24" t="s">
        <v>15802</v>
      </c>
      <c r="F1535" s="29" t="s">
        <v>12252</v>
      </c>
      <c r="H1535" s="11" t="str">
        <f t="shared" si="46"/>
        <v/>
      </c>
      <c r="J1535" s="11" t="str">
        <f t="shared" si="47"/>
        <v xml:space="preserve"> </v>
      </c>
      <c r="K1535" s="24" t="s">
        <v>15801</v>
      </c>
    </row>
    <row r="1536" spans="1:11">
      <c r="A1536" s="24" t="s">
        <v>15833</v>
      </c>
      <c r="B1536" s="24" t="s">
        <v>15833</v>
      </c>
      <c r="C1536" s="24" t="s">
        <v>15912</v>
      </c>
      <c r="D1536" s="24" t="s">
        <v>15948</v>
      </c>
      <c r="E1536" s="24" t="s">
        <v>15801</v>
      </c>
      <c r="F1536" s="29" t="s">
        <v>12259</v>
      </c>
      <c r="G1536" s="24" t="s">
        <v>12261</v>
      </c>
      <c r="H1536" s="11"/>
      <c r="J1536" s="11" t="str">
        <f t="shared" si="47"/>
        <v xml:space="preserve"> </v>
      </c>
    </row>
    <row r="1537" spans="1:11">
      <c r="A1537" s="24" t="s">
        <v>15810</v>
      </c>
      <c r="B1537" s="24" t="s">
        <v>15810</v>
      </c>
      <c r="C1537" s="24" t="s">
        <v>15801</v>
      </c>
      <c r="D1537" s="24" t="s">
        <v>15900</v>
      </c>
      <c r="E1537" s="24" t="s">
        <v>15801</v>
      </c>
      <c r="F1537" s="29" t="s">
        <v>6635</v>
      </c>
      <c r="H1537" s="11" t="str">
        <f t="shared" si="46"/>
        <v/>
      </c>
      <c r="J1537" s="11" t="str">
        <f t="shared" si="47"/>
        <v xml:space="preserve"> </v>
      </c>
      <c r="K1537" s="24" t="s">
        <v>15801</v>
      </c>
    </row>
    <row r="1538" spans="1:11">
      <c r="A1538" s="24" t="s">
        <v>15801</v>
      </c>
      <c r="B1538" s="24" t="s">
        <v>15856</v>
      </c>
      <c r="C1538" s="24" t="s">
        <v>15801</v>
      </c>
      <c r="D1538" s="24" t="s">
        <v>15900</v>
      </c>
      <c r="E1538" s="24" t="s">
        <v>15846</v>
      </c>
      <c r="H1538" s="11" t="str">
        <f t="shared" si="46"/>
        <v/>
      </c>
      <c r="J1538" s="11" t="str">
        <f t="shared" si="47"/>
        <v xml:space="preserve"> </v>
      </c>
      <c r="K1538" s="24" t="s">
        <v>15801</v>
      </c>
    </row>
    <row r="1539" spans="1:11">
      <c r="A1539" s="24" t="s">
        <v>15850</v>
      </c>
      <c r="B1539" s="24" t="s">
        <v>15850</v>
      </c>
      <c r="C1539" s="24" t="s">
        <v>15902</v>
      </c>
      <c r="D1539" s="24" t="s">
        <v>15900</v>
      </c>
      <c r="E1539" s="24" t="s">
        <v>15819</v>
      </c>
      <c r="F1539" s="29" t="s">
        <v>12281</v>
      </c>
      <c r="G1539" s="24" t="s">
        <v>12283</v>
      </c>
      <c r="H1539" s="11" t="str">
        <f t="shared" ref="H1539:H1601" si="48">TRIM(G1539)</f>
        <v>13/2/1876</v>
      </c>
      <c r="J1539" s="11" t="str">
        <f t="shared" ref="J1539:J1602" si="49">IF(LEN(H1539)=4,"fout"," ")</f>
        <v xml:space="preserve"> </v>
      </c>
      <c r="K1539" s="24" t="s">
        <v>12283</v>
      </c>
    </row>
    <row r="1540" spans="1:11">
      <c r="A1540" s="24" t="s">
        <v>15820</v>
      </c>
      <c r="B1540" s="24" t="s">
        <v>15820</v>
      </c>
      <c r="C1540" s="24" t="s">
        <v>15928</v>
      </c>
      <c r="D1540" s="24" t="s">
        <v>15900</v>
      </c>
      <c r="E1540" s="24" t="s">
        <v>15905</v>
      </c>
      <c r="F1540" s="29" t="s">
        <v>12288</v>
      </c>
      <c r="G1540" s="24" t="s">
        <v>12289</v>
      </c>
      <c r="H1540" s="11" t="str">
        <f t="shared" si="48"/>
        <v>20/12/1899</v>
      </c>
      <c r="J1540" s="11" t="str">
        <f t="shared" si="49"/>
        <v xml:space="preserve"> </v>
      </c>
      <c r="K1540" s="24" t="s">
        <v>12289</v>
      </c>
    </row>
    <row r="1541" spans="1:11">
      <c r="A1541" s="24" t="s">
        <v>15801</v>
      </c>
      <c r="B1541" s="24" t="s">
        <v>15839</v>
      </c>
      <c r="C1541" s="24" t="s">
        <v>15925</v>
      </c>
      <c r="D1541" s="24" t="s">
        <v>15900</v>
      </c>
      <c r="E1541" s="24" t="s">
        <v>15817</v>
      </c>
      <c r="G1541" s="24" t="s">
        <v>12266</v>
      </c>
      <c r="H1541" s="11" t="str">
        <f t="shared" si="48"/>
        <v>24/7/1851</v>
      </c>
      <c r="J1541" s="11" t="str">
        <f t="shared" si="49"/>
        <v xml:space="preserve"> </v>
      </c>
      <c r="K1541" s="24" t="s">
        <v>12266</v>
      </c>
    </row>
    <row r="1542" spans="1:11">
      <c r="A1542" s="24" t="s">
        <v>15801</v>
      </c>
      <c r="B1542" s="24" t="s">
        <v>15841</v>
      </c>
      <c r="C1542" s="24" t="s">
        <v>15801</v>
      </c>
      <c r="D1542" s="24" t="s">
        <v>15900</v>
      </c>
      <c r="E1542" s="24" t="s">
        <v>15827</v>
      </c>
      <c r="H1542" s="11" t="str">
        <f t="shared" si="48"/>
        <v/>
      </c>
      <c r="J1542" s="11" t="str">
        <f t="shared" si="49"/>
        <v xml:space="preserve"> </v>
      </c>
      <c r="K1542" s="24" t="s">
        <v>15801</v>
      </c>
    </row>
    <row r="1543" spans="1:11">
      <c r="A1543" s="24" t="s">
        <v>15821</v>
      </c>
      <c r="B1543" s="24" t="s">
        <v>15821</v>
      </c>
      <c r="C1543" s="24" t="s">
        <v>15801</v>
      </c>
      <c r="D1543" s="24" t="s">
        <v>15908</v>
      </c>
      <c r="E1543" s="24" t="s">
        <v>15965</v>
      </c>
      <c r="F1543" s="29" t="s">
        <v>12432</v>
      </c>
      <c r="H1543" s="11" t="str">
        <f t="shared" si="48"/>
        <v/>
      </c>
      <c r="J1543" s="11" t="str">
        <f t="shared" si="49"/>
        <v xml:space="preserve"> </v>
      </c>
      <c r="K1543" s="24" t="s">
        <v>15801</v>
      </c>
    </row>
    <row r="1544" spans="1:11">
      <c r="A1544" s="24" t="s">
        <v>15819</v>
      </c>
      <c r="B1544" s="24" t="s">
        <v>15819</v>
      </c>
      <c r="C1544" s="24" t="s">
        <v>15801</v>
      </c>
      <c r="D1544" s="24" t="s">
        <v>15948</v>
      </c>
      <c r="E1544" s="24" t="s">
        <v>15899</v>
      </c>
      <c r="F1544" s="29" t="s">
        <v>12367</v>
      </c>
      <c r="H1544" s="11" t="str">
        <f t="shared" si="48"/>
        <v/>
      </c>
      <c r="J1544" s="11" t="str">
        <f t="shared" si="49"/>
        <v xml:space="preserve"> </v>
      </c>
      <c r="K1544" s="24" t="s">
        <v>15801</v>
      </c>
    </row>
    <row r="1545" spans="1:11">
      <c r="A1545" s="24" t="s">
        <v>15801</v>
      </c>
      <c r="B1545" s="24" t="s">
        <v>15824</v>
      </c>
      <c r="C1545" s="24" t="s">
        <v>15884</v>
      </c>
      <c r="D1545" s="24" t="s">
        <v>15900</v>
      </c>
      <c r="E1545" s="24" t="s">
        <v>15832</v>
      </c>
      <c r="G1545" s="24" t="s">
        <v>72</v>
      </c>
      <c r="H1545" s="11" t="str">
        <f t="shared" si="48"/>
        <v>06/02/1838</v>
      </c>
      <c r="J1545" s="11" t="str">
        <f t="shared" si="49"/>
        <v xml:space="preserve"> </v>
      </c>
      <c r="K1545" s="24" t="s">
        <v>72</v>
      </c>
    </row>
    <row r="1546" spans="1:11">
      <c r="A1546" s="24" t="s">
        <v>15815</v>
      </c>
      <c r="B1546" s="24" t="s">
        <v>15815</v>
      </c>
      <c r="C1546" s="24" t="s">
        <v>15884</v>
      </c>
      <c r="D1546" s="24" t="s">
        <v>15900</v>
      </c>
      <c r="E1546" s="24" t="s">
        <v>15921</v>
      </c>
      <c r="F1546" s="29" t="s">
        <v>12340</v>
      </c>
      <c r="G1546" s="24" t="s">
        <v>72</v>
      </c>
      <c r="H1546" s="11" t="str">
        <f t="shared" si="48"/>
        <v>06/02/1838</v>
      </c>
      <c r="J1546" s="11" t="str">
        <f t="shared" si="49"/>
        <v xml:space="preserve"> </v>
      </c>
      <c r="K1546" s="24" t="s">
        <v>72</v>
      </c>
    </row>
    <row r="1547" spans="1:11">
      <c r="A1547" s="24" t="s">
        <v>15810</v>
      </c>
      <c r="B1547" s="24" t="s">
        <v>15810</v>
      </c>
      <c r="C1547" s="24" t="s">
        <v>15912</v>
      </c>
      <c r="D1547" s="24" t="s">
        <v>15908</v>
      </c>
      <c r="E1547" s="24" t="s">
        <v>15899</v>
      </c>
      <c r="F1547" s="29" t="s">
        <v>12442</v>
      </c>
      <c r="G1547" s="24" t="s">
        <v>12443</v>
      </c>
      <c r="H1547" s="11" t="str">
        <f t="shared" si="48"/>
        <v>28/07/1893</v>
      </c>
      <c r="J1547" s="11" t="str">
        <f t="shared" si="49"/>
        <v xml:space="preserve"> </v>
      </c>
      <c r="K1547" s="24" t="s">
        <v>12443</v>
      </c>
    </row>
    <row r="1548" spans="1:11">
      <c r="A1548" s="24" t="s">
        <v>15827</v>
      </c>
      <c r="B1548" s="24" t="s">
        <v>15827</v>
      </c>
      <c r="C1548" s="24" t="s">
        <v>15937</v>
      </c>
      <c r="D1548" s="24" t="s">
        <v>15900</v>
      </c>
      <c r="E1548" s="24" t="s">
        <v>15801</v>
      </c>
      <c r="F1548" s="29" t="s">
        <v>12391</v>
      </c>
      <c r="G1548" s="24" t="s">
        <v>3195</v>
      </c>
      <c r="H1548" s="11" t="str">
        <f t="shared" si="48"/>
        <v>21/07/1894</v>
      </c>
      <c r="J1548" s="11" t="str">
        <f t="shared" si="49"/>
        <v xml:space="preserve"> </v>
      </c>
      <c r="K1548" s="24" t="s">
        <v>3195</v>
      </c>
    </row>
    <row r="1549" spans="1:11">
      <c r="A1549" s="24" t="s">
        <v>15801</v>
      </c>
      <c r="B1549" s="24" t="s">
        <v>15831</v>
      </c>
      <c r="C1549" s="24" t="s">
        <v>15801</v>
      </c>
      <c r="D1549" s="24" t="s">
        <v>15948</v>
      </c>
      <c r="E1549" s="24" t="s">
        <v>15829</v>
      </c>
      <c r="H1549" s="11" t="str">
        <f t="shared" si="48"/>
        <v/>
      </c>
      <c r="J1549" s="11" t="str">
        <f t="shared" si="49"/>
        <v xml:space="preserve"> </v>
      </c>
      <c r="K1549" s="24" t="s">
        <v>15801</v>
      </c>
    </row>
    <row r="1550" spans="1:11">
      <c r="A1550" s="24" t="s">
        <v>15813</v>
      </c>
      <c r="B1550" s="24" t="s">
        <v>15813</v>
      </c>
      <c r="C1550" s="24" t="s">
        <v>15909</v>
      </c>
      <c r="D1550" s="24" t="s">
        <v>15948</v>
      </c>
      <c r="E1550" s="24" t="s">
        <v>15823</v>
      </c>
      <c r="F1550" s="29" t="s">
        <v>12385</v>
      </c>
      <c r="G1550" s="24" t="s">
        <v>12387</v>
      </c>
      <c r="H1550" s="11"/>
      <c r="J1550" s="11" t="str">
        <f t="shared" si="49"/>
        <v xml:space="preserve"> </v>
      </c>
    </row>
    <row r="1551" spans="1:11">
      <c r="A1551" s="24" t="s">
        <v>15827</v>
      </c>
      <c r="B1551" s="24" t="s">
        <v>15827</v>
      </c>
      <c r="C1551" s="24" t="s">
        <v>15885</v>
      </c>
      <c r="D1551" s="24" t="s">
        <v>15948</v>
      </c>
      <c r="E1551" s="24" t="s">
        <v>15801</v>
      </c>
      <c r="G1551" s="24" t="s">
        <v>12452</v>
      </c>
      <c r="H1551" s="11" t="str">
        <f t="shared" si="48"/>
        <v>18/04/1866</v>
      </c>
      <c r="J1551" s="11" t="str">
        <f t="shared" si="49"/>
        <v xml:space="preserve"> </v>
      </c>
      <c r="K1551" s="24" t="s">
        <v>12452</v>
      </c>
    </row>
    <row r="1552" spans="1:11">
      <c r="A1552" s="24" t="s">
        <v>15801</v>
      </c>
      <c r="B1552" s="24" t="s">
        <v>15846</v>
      </c>
      <c r="C1552" s="24" t="s">
        <v>15801</v>
      </c>
      <c r="D1552" s="24" t="s">
        <v>15899</v>
      </c>
      <c r="E1552" s="24" t="s">
        <v>15802</v>
      </c>
      <c r="H1552" s="11" t="str">
        <f t="shared" si="48"/>
        <v/>
      </c>
      <c r="J1552" s="11" t="str">
        <f t="shared" si="49"/>
        <v xml:space="preserve"> </v>
      </c>
      <c r="K1552" s="24" t="s">
        <v>15801</v>
      </c>
    </row>
    <row r="1553" spans="1:11">
      <c r="A1553" s="24" t="s">
        <v>15833</v>
      </c>
      <c r="B1553" s="24" t="s">
        <v>15833</v>
      </c>
      <c r="C1553" s="24" t="s">
        <v>15937</v>
      </c>
      <c r="D1553" s="24" t="s">
        <v>15899</v>
      </c>
      <c r="E1553" s="24" t="s">
        <v>15898</v>
      </c>
      <c r="F1553" s="29" t="s">
        <v>12378</v>
      </c>
      <c r="G1553" s="24" t="s">
        <v>12380</v>
      </c>
      <c r="H1553" s="11" t="str">
        <f t="shared" si="48"/>
        <v>28/06/1894</v>
      </c>
      <c r="J1553" s="11" t="str">
        <f t="shared" si="49"/>
        <v xml:space="preserve"> </v>
      </c>
      <c r="K1553" s="24" t="s">
        <v>12380</v>
      </c>
    </row>
    <row r="1554" spans="1:11">
      <c r="A1554" s="24" t="s">
        <v>15840</v>
      </c>
      <c r="B1554" s="24" t="s">
        <v>15840</v>
      </c>
      <c r="C1554" s="24" t="s">
        <v>15801</v>
      </c>
      <c r="D1554" s="24" t="s">
        <v>15900</v>
      </c>
      <c r="E1554" s="24" t="s">
        <v>15863</v>
      </c>
      <c r="F1554" s="29" t="s">
        <v>12309</v>
      </c>
      <c r="H1554" s="11" t="str">
        <f t="shared" si="48"/>
        <v/>
      </c>
      <c r="J1554" s="11" t="str">
        <f t="shared" si="49"/>
        <v xml:space="preserve"> </v>
      </c>
      <c r="K1554" s="24" t="s">
        <v>15801</v>
      </c>
    </row>
    <row r="1555" spans="1:11">
      <c r="A1555" s="24" t="s">
        <v>15825</v>
      </c>
      <c r="B1555" s="24" t="s">
        <v>15825</v>
      </c>
      <c r="C1555" s="24" t="s">
        <v>15801</v>
      </c>
      <c r="D1555" s="24" t="s">
        <v>15900</v>
      </c>
      <c r="E1555" s="24" t="s">
        <v>15801</v>
      </c>
      <c r="F1555" s="29" t="s">
        <v>12393</v>
      </c>
      <c r="H1555" s="11" t="str">
        <f t="shared" si="48"/>
        <v/>
      </c>
      <c r="J1555" s="11" t="str">
        <f t="shared" si="49"/>
        <v xml:space="preserve"> </v>
      </c>
      <c r="K1555" s="24" t="s">
        <v>15801</v>
      </c>
    </row>
    <row r="1556" spans="1:11">
      <c r="A1556" s="24" t="s">
        <v>15801</v>
      </c>
      <c r="B1556" s="24" t="s">
        <v>15834</v>
      </c>
      <c r="C1556" s="24" t="s">
        <v>15949</v>
      </c>
      <c r="D1556" s="24" t="s">
        <v>15900</v>
      </c>
      <c r="E1556" s="24" t="s">
        <v>15833</v>
      </c>
      <c r="G1556" s="24" t="s">
        <v>12298</v>
      </c>
      <c r="H1556" s="11" t="str">
        <f t="shared" si="48"/>
        <v>20/11/1859</v>
      </c>
      <c r="J1556" s="11" t="str">
        <f t="shared" si="49"/>
        <v xml:space="preserve"> </v>
      </c>
      <c r="K1556" s="24" t="s">
        <v>12298</v>
      </c>
    </row>
    <row r="1557" spans="1:11">
      <c r="A1557" s="24" t="s">
        <v>15801</v>
      </c>
      <c r="B1557" s="24" t="s">
        <v>15829</v>
      </c>
      <c r="C1557" s="24" t="s">
        <v>15801</v>
      </c>
      <c r="D1557" s="24" t="s">
        <v>15900</v>
      </c>
      <c r="E1557" s="24" t="s">
        <v>15811</v>
      </c>
      <c r="H1557" s="11" t="str">
        <f t="shared" si="48"/>
        <v/>
      </c>
      <c r="J1557" s="11" t="str">
        <f t="shared" si="49"/>
        <v xml:space="preserve"> </v>
      </c>
      <c r="K1557" s="24" t="s">
        <v>15801</v>
      </c>
    </row>
    <row r="1558" spans="1:11">
      <c r="A1558" s="24" t="s">
        <v>15820</v>
      </c>
      <c r="B1558" s="24" t="s">
        <v>15820</v>
      </c>
      <c r="C1558" s="24" t="s">
        <v>15801</v>
      </c>
      <c r="D1558" s="24" t="s">
        <v>15801</v>
      </c>
      <c r="E1558" s="24" t="s">
        <v>15948</v>
      </c>
      <c r="F1558" s="29" t="s">
        <v>12347</v>
      </c>
      <c r="H1558" s="11" t="str">
        <f t="shared" si="48"/>
        <v/>
      </c>
      <c r="J1558" s="11" t="str">
        <f t="shared" si="49"/>
        <v xml:space="preserve"> </v>
      </c>
      <c r="K1558" s="24" t="s">
        <v>15801</v>
      </c>
    </row>
    <row r="1559" spans="1:11">
      <c r="A1559" s="24" t="s">
        <v>15832</v>
      </c>
      <c r="B1559" s="24" t="s">
        <v>15832</v>
      </c>
      <c r="C1559" s="24" t="s">
        <v>15903</v>
      </c>
      <c r="D1559" s="24" t="s">
        <v>15900</v>
      </c>
      <c r="E1559" s="24" t="s">
        <v>15864</v>
      </c>
      <c r="F1559" s="29" t="s">
        <v>12318</v>
      </c>
      <c r="G1559" s="24" t="s">
        <v>12319</v>
      </c>
      <c r="H1559" s="11" t="str">
        <f t="shared" si="48"/>
        <v>24/12/1895</v>
      </c>
      <c r="J1559" s="11" t="str">
        <f t="shared" si="49"/>
        <v xml:space="preserve"> </v>
      </c>
      <c r="K1559" s="24" t="s">
        <v>12319</v>
      </c>
    </row>
    <row r="1560" spans="1:11">
      <c r="A1560" s="24" t="s">
        <v>15801</v>
      </c>
      <c r="B1560" s="24" t="s">
        <v>15853</v>
      </c>
      <c r="C1560" s="24" t="s">
        <v>15801</v>
      </c>
      <c r="D1560" s="24" t="s">
        <v>15900</v>
      </c>
      <c r="E1560" s="24" t="s">
        <v>15841</v>
      </c>
      <c r="H1560" s="11" t="str">
        <f t="shared" si="48"/>
        <v/>
      </c>
      <c r="J1560" s="11" t="str">
        <f t="shared" si="49"/>
        <v xml:space="preserve"> </v>
      </c>
      <c r="K1560" s="24" t="s">
        <v>15801</v>
      </c>
    </row>
    <row r="1561" spans="1:11">
      <c r="A1561" s="24" t="s">
        <v>15801</v>
      </c>
      <c r="B1561" s="24" t="s">
        <v>15829</v>
      </c>
      <c r="C1561" s="24" t="s">
        <v>15820</v>
      </c>
      <c r="D1561" s="24" t="s">
        <v>15870</v>
      </c>
      <c r="E1561" s="24" t="s">
        <v>15801</v>
      </c>
      <c r="G1561" s="24" t="s">
        <v>12305</v>
      </c>
      <c r="H1561" s="11" t="str">
        <f t="shared" si="48"/>
        <v>14/09/1823</v>
      </c>
      <c r="J1561" s="11" t="str">
        <f t="shared" si="49"/>
        <v xml:space="preserve"> </v>
      </c>
      <c r="K1561" s="24" t="s">
        <v>12305</v>
      </c>
    </row>
    <row r="1562" spans="1:11">
      <c r="A1562" s="24" t="s">
        <v>15801</v>
      </c>
      <c r="B1562" s="24" t="s">
        <v>15801</v>
      </c>
      <c r="C1562" s="24" t="s">
        <v>15801</v>
      </c>
      <c r="D1562" s="24" t="s">
        <v>15899</v>
      </c>
      <c r="E1562" s="24" t="s">
        <v>15823</v>
      </c>
      <c r="H1562" s="11" t="str">
        <f t="shared" si="48"/>
        <v/>
      </c>
      <c r="J1562" s="11" t="str">
        <f t="shared" si="49"/>
        <v xml:space="preserve"> </v>
      </c>
      <c r="K1562" s="24" t="s">
        <v>15801</v>
      </c>
    </row>
    <row r="1563" spans="1:11">
      <c r="A1563" s="24" t="s">
        <v>15801</v>
      </c>
      <c r="B1563" s="24" t="s">
        <v>15808</v>
      </c>
      <c r="C1563" s="24" t="s">
        <v>15801</v>
      </c>
      <c r="D1563" s="24" t="s">
        <v>15870</v>
      </c>
      <c r="E1563" s="24" t="s">
        <v>15828</v>
      </c>
      <c r="H1563" s="11" t="str">
        <f t="shared" si="48"/>
        <v/>
      </c>
      <c r="J1563" s="11" t="str">
        <f t="shared" si="49"/>
        <v xml:space="preserve"> </v>
      </c>
      <c r="K1563" s="24" t="s">
        <v>15801</v>
      </c>
    </row>
    <row r="1564" spans="1:11">
      <c r="A1564" s="24" t="s">
        <v>15801</v>
      </c>
      <c r="B1564" s="24" t="s">
        <v>15814</v>
      </c>
      <c r="C1564" s="24" t="s">
        <v>15882</v>
      </c>
      <c r="D1564" s="24" t="s">
        <v>15901</v>
      </c>
      <c r="E1564" s="24" t="s">
        <v>15915</v>
      </c>
      <c r="G1564" s="24" t="s">
        <v>12361</v>
      </c>
      <c r="H1564" s="11" t="str">
        <f t="shared" si="48"/>
        <v>30/12/1880</v>
      </c>
      <c r="J1564" s="11" t="str">
        <f t="shared" si="49"/>
        <v xml:space="preserve"> </v>
      </c>
      <c r="K1564" s="24" t="s">
        <v>12361</v>
      </c>
    </row>
    <row r="1565" spans="1:11">
      <c r="A1565" s="24" t="s">
        <v>15839</v>
      </c>
      <c r="B1565" s="24" t="s">
        <v>15839</v>
      </c>
      <c r="C1565" s="24" t="s">
        <v>15900</v>
      </c>
      <c r="D1565" s="24" t="s">
        <v>15965</v>
      </c>
      <c r="E1565" s="24" t="s">
        <v>15833</v>
      </c>
      <c r="F1565" s="29" t="s">
        <v>12329</v>
      </c>
      <c r="G1565" s="24" t="s">
        <v>12331</v>
      </c>
      <c r="H1565" s="11" t="str">
        <f t="shared" si="48"/>
        <v>22/01/1837</v>
      </c>
      <c r="J1565" s="11" t="str">
        <f t="shared" si="49"/>
        <v xml:space="preserve"> </v>
      </c>
      <c r="K1565" s="24" t="s">
        <v>12331</v>
      </c>
    </row>
    <row r="1566" spans="1:11">
      <c r="A1566" s="24" t="s">
        <v>15826</v>
      </c>
      <c r="B1566" s="24" t="s">
        <v>15826</v>
      </c>
      <c r="C1566" s="24" t="s">
        <v>15801</v>
      </c>
      <c r="D1566" s="24" t="s">
        <v>15870</v>
      </c>
      <c r="E1566" s="24" t="s">
        <v>15801</v>
      </c>
      <c r="H1566" s="11" t="str">
        <f t="shared" si="48"/>
        <v/>
      </c>
      <c r="J1566" s="11" t="str">
        <f t="shared" si="49"/>
        <v xml:space="preserve"> </v>
      </c>
      <c r="K1566" s="24" t="s">
        <v>15801</v>
      </c>
    </row>
    <row r="1567" spans="1:11">
      <c r="A1567" s="24" t="s">
        <v>15801</v>
      </c>
      <c r="B1567" s="24" t="s">
        <v>15801</v>
      </c>
      <c r="C1567" s="24" t="s">
        <v>15934</v>
      </c>
      <c r="D1567" s="24" t="s">
        <v>15884</v>
      </c>
      <c r="E1567" s="24" t="s">
        <v>15808</v>
      </c>
      <c r="G1567" s="24" t="s">
        <v>12427</v>
      </c>
      <c r="H1567" s="11" t="str">
        <f t="shared" si="48"/>
        <v>21/07/1898</v>
      </c>
      <c r="J1567" s="11" t="str">
        <f t="shared" si="49"/>
        <v xml:space="preserve"> </v>
      </c>
      <c r="K1567" s="24" t="s">
        <v>12427</v>
      </c>
    </row>
    <row r="1568" spans="1:11">
      <c r="A1568" s="24" t="s">
        <v>15819</v>
      </c>
      <c r="B1568" s="24" t="s">
        <v>15819</v>
      </c>
      <c r="C1568" s="24" t="s">
        <v>15912</v>
      </c>
      <c r="D1568" s="24" t="s">
        <v>15901</v>
      </c>
      <c r="E1568" s="24" t="s">
        <v>15801</v>
      </c>
      <c r="F1568" s="29" t="s">
        <v>12455</v>
      </c>
      <c r="G1568" s="24" t="s">
        <v>12456</v>
      </c>
      <c r="H1568" s="11" t="str">
        <f t="shared" si="48"/>
        <v>17/10/1893</v>
      </c>
      <c r="J1568" s="11" t="str">
        <f t="shared" si="49"/>
        <v xml:space="preserve"> </v>
      </c>
      <c r="K1568" s="24" t="s">
        <v>12456</v>
      </c>
    </row>
    <row r="1569" spans="1:11">
      <c r="A1569" s="24" t="s">
        <v>15837</v>
      </c>
      <c r="B1569" s="24" t="s">
        <v>15837</v>
      </c>
      <c r="C1569" s="24" t="s">
        <v>15936</v>
      </c>
      <c r="D1569" s="24" t="s">
        <v>15801</v>
      </c>
      <c r="E1569" s="24" t="s">
        <v>15801</v>
      </c>
      <c r="F1569" s="29" t="s">
        <v>12421</v>
      </c>
      <c r="G1569" s="24" t="s">
        <v>12423</v>
      </c>
      <c r="H1569" s="11" t="str">
        <f t="shared" si="48"/>
        <v>04/03/1847</v>
      </c>
      <c r="J1569" s="11" t="str">
        <f t="shared" si="49"/>
        <v xml:space="preserve"> </v>
      </c>
      <c r="K1569" s="24" t="s">
        <v>12423</v>
      </c>
    </row>
    <row r="1570" spans="1:11">
      <c r="A1570" s="24" t="s">
        <v>15801</v>
      </c>
      <c r="B1570" s="24" t="s">
        <v>15853</v>
      </c>
      <c r="C1570" s="24" t="s">
        <v>15801</v>
      </c>
      <c r="D1570" s="24" t="s">
        <v>15900</v>
      </c>
      <c r="E1570" s="24" t="s">
        <v>15840</v>
      </c>
      <c r="H1570" s="11" t="str">
        <f t="shared" si="48"/>
        <v/>
      </c>
      <c r="J1570" s="11" t="str">
        <f t="shared" si="49"/>
        <v xml:space="preserve"> </v>
      </c>
      <c r="K1570" s="24" t="s">
        <v>15801</v>
      </c>
    </row>
    <row r="1571" spans="1:11">
      <c r="A1571" s="24" t="s">
        <v>15806</v>
      </c>
      <c r="B1571" s="24" t="s">
        <v>15806</v>
      </c>
      <c r="C1571" s="24" t="s">
        <v>15922</v>
      </c>
      <c r="D1571" s="24" t="s">
        <v>15870</v>
      </c>
      <c r="E1571" s="24" t="s">
        <v>15870</v>
      </c>
      <c r="F1571" s="29" t="s">
        <v>405</v>
      </c>
      <c r="G1571" s="24" t="s">
        <v>12496</v>
      </c>
      <c r="H1571" s="11" t="str">
        <f t="shared" si="48"/>
        <v>05/07/1855</v>
      </c>
      <c r="J1571" s="11" t="str">
        <f t="shared" si="49"/>
        <v xml:space="preserve"> </v>
      </c>
      <c r="K1571" s="24" t="s">
        <v>12496</v>
      </c>
    </row>
    <row r="1572" spans="1:11">
      <c r="A1572" s="24" t="s">
        <v>15807</v>
      </c>
      <c r="B1572" s="24" t="s">
        <v>15807</v>
      </c>
      <c r="C1572" s="24" t="s">
        <v>15889</v>
      </c>
      <c r="D1572" s="24" t="s">
        <v>15900</v>
      </c>
      <c r="E1572" s="24" t="s">
        <v>15876</v>
      </c>
      <c r="F1572" s="29" t="s">
        <v>12578</v>
      </c>
      <c r="G1572" s="24" t="s">
        <v>12579</v>
      </c>
      <c r="H1572" s="11" t="str">
        <f t="shared" si="48"/>
        <v>14/03/1865</v>
      </c>
      <c r="J1572" s="11" t="str">
        <f t="shared" si="49"/>
        <v xml:space="preserve"> </v>
      </c>
      <c r="K1572" s="24" t="s">
        <v>12579</v>
      </c>
    </row>
    <row r="1573" spans="1:11">
      <c r="A1573" s="24" t="s">
        <v>15830</v>
      </c>
      <c r="B1573" s="24" t="s">
        <v>15830</v>
      </c>
      <c r="C1573" s="24" t="s">
        <v>15898</v>
      </c>
      <c r="D1573" s="24" t="s">
        <v>15900</v>
      </c>
      <c r="E1573" s="24" t="s">
        <v>15818</v>
      </c>
      <c r="F1573" s="29" t="s">
        <v>12528</v>
      </c>
      <c r="G1573" s="24" t="s">
        <v>12530</v>
      </c>
      <c r="H1573" s="11" t="str">
        <f t="shared" si="48"/>
        <v>06/1848</v>
      </c>
      <c r="J1573" s="11" t="str">
        <f t="shared" si="49"/>
        <v xml:space="preserve"> </v>
      </c>
      <c r="K1573" s="24" t="s">
        <v>12530</v>
      </c>
    </row>
    <row r="1574" spans="1:11">
      <c r="A1574" s="24" t="s">
        <v>15817</v>
      </c>
      <c r="B1574" s="24" t="s">
        <v>15817</v>
      </c>
      <c r="C1574" s="24" t="s">
        <v>15882</v>
      </c>
      <c r="D1574" s="24" t="s">
        <v>15900</v>
      </c>
      <c r="E1574" s="24" t="s">
        <v>15884</v>
      </c>
      <c r="F1574" s="29" t="s">
        <v>12534</v>
      </c>
      <c r="G1574" s="24" t="s">
        <v>12536</v>
      </c>
      <c r="H1574" s="11" t="str">
        <f t="shared" si="48"/>
        <v>30/06/1880</v>
      </c>
      <c r="J1574" s="11" t="str">
        <f t="shared" si="49"/>
        <v xml:space="preserve"> </v>
      </c>
      <c r="K1574" s="24" t="s">
        <v>12536</v>
      </c>
    </row>
    <row r="1575" spans="1:11">
      <c r="A1575" s="24" t="s">
        <v>15820</v>
      </c>
      <c r="B1575" s="24" t="s">
        <v>15820</v>
      </c>
      <c r="C1575" s="24" t="s">
        <v>15916</v>
      </c>
      <c r="D1575" s="24" t="s">
        <v>15900</v>
      </c>
      <c r="E1575" s="24" t="s">
        <v>15801</v>
      </c>
      <c r="F1575" s="29" t="s">
        <v>12556</v>
      </c>
      <c r="G1575" s="24" t="s">
        <v>12558</v>
      </c>
      <c r="H1575" s="11" t="str">
        <f t="shared" si="48"/>
        <v>10/05/1885</v>
      </c>
      <c r="J1575" s="11" t="str">
        <f t="shared" si="49"/>
        <v xml:space="preserve"> </v>
      </c>
      <c r="K1575" s="24" t="s">
        <v>12558</v>
      </c>
    </row>
    <row r="1576" spans="1:11">
      <c r="A1576" s="24" t="s">
        <v>15849</v>
      </c>
      <c r="B1576" s="24" t="s">
        <v>15849</v>
      </c>
      <c r="C1576" s="24" t="s">
        <v>15951</v>
      </c>
      <c r="D1576" s="24" t="s">
        <v>15901</v>
      </c>
      <c r="E1576" s="24" t="s">
        <v>15802</v>
      </c>
      <c r="F1576" s="29" t="s">
        <v>12563</v>
      </c>
      <c r="G1576" s="24" t="s">
        <v>12564</v>
      </c>
      <c r="H1576" s="11" t="str">
        <f t="shared" si="48"/>
        <v>22/07/1886</v>
      </c>
      <c r="J1576" s="11" t="str">
        <f t="shared" si="49"/>
        <v xml:space="preserve"> </v>
      </c>
      <c r="K1576" s="24" t="s">
        <v>12564</v>
      </c>
    </row>
    <row r="1577" spans="1:11">
      <c r="A1577" s="24" t="s">
        <v>15810</v>
      </c>
      <c r="B1577" s="24" t="s">
        <v>15810</v>
      </c>
      <c r="C1577" s="24" t="s">
        <v>15951</v>
      </c>
      <c r="D1577" s="24" t="s">
        <v>15901</v>
      </c>
      <c r="E1577" s="24" t="s">
        <v>15901</v>
      </c>
      <c r="F1577" s="29" t="s">
        <v>12588</v>
      </c>
      <c r="G1577" s="24" t="s">
        <v>12589</v>
      </c>
      <c r="H1577" s="11" t="str">
        <f t="shared" si="48"/>
        <v>16/11/1886</v>
      </c>
      <c r="J1577" s="11" t="str">
        <f t="shared" si="49"/>
        <v xml:space="preserve"> </v>
      </c>
      <c r="K1577" s="24" t="s">
        <v>12589</v>
      </c>
    </row>
    <row r="1578" spans="1:11">
      <c r="A1578" s="24" t="s">
        <v>15828</v>
      </c>
      <c r="B1578" s="24" t="s">
        <v>15828</v>
      </c>
      <c r="C1578" s="24" t="s">
        <v>15933</v>
      </c>
      <c r="D1578" s="24" t="s">
        <v>15901</v>
      </c>
      <c r="E1578" s="24" t="s">
        <v>15801</v>
      </c>
      <c r="F1578" s="29" t="s">
        <v>12514</v>
      </c>
      <c r="G1578" s="24" t="s">
        <v>12516</v>
      </c>
      <c r="H1578" s="11" t="str">
        <f t="shared" si="48"/>
        <v>19/03/1873</v>
      </c>
      <c r="J1578" s="11" t="str">
        <f t="shared" si="49"/>
        <v xml:space="preserve"> </v>
      </c>
      <c r="K1578" s="24" t="s">
        <v>12516</v>
      </c>
    </row>
    <row r="1579" spans="1:11">
      <c r="A1579" s="24" t="s">
        <v>15811</v>
      </c>
      <c r="B1579" s="24" t="s">
        <v>15811</v>
      </c>
      <c r="C1579" s="24" t="s">
        <v>15896</v>
      </c>
      <c r="D1579" s="24" t="s">
        <v>15901</v>
      </c>
      <c r="E1579" s="24" t="s">
        <v>15801</v>
      </c>
      <c r="F1579" s="29" t="s">
        <v>12547</v>
      </c>
      <c r="G1579" s="24" t="s">
        <v>12548</v>
      </c>
      <c r="H1579" s="11" t="str">
        <f t="shared" si="48"/>
        <v>22/05/1887</v>
      </c>
      <c r="J1579" s="11" t="str">
        <f t="shared" si="49"/>
        <v xml:space="preserve"> </v>
      </c>
      <c r="K1579" s="24" t="s">
        <v>12548</v>
      </c>
    </row>
    <row r="1580" spans="1:11">
      <c r="A1580" s="24" t="s">
        <v>15827</v>
      </c>
      <c r="B1580" s="24" t="s">
        <v>15827</v>
      </c>
      <c r="C1580" s="24" t="s">
        <v>15801</v>
      </c>
      <c r="D1580" s="24" t="s">
        <v>15901</v>
      </c>
      <c r="E1580" s="24" t="s">
        <v>15905</v>
      </c>
      <c r="F1580" s="29" t="s">
        <v>218</v>
      </c>
      <c r="H1580" s="11" t="str">
        <f t="shared" si="48"/>
        <v/>
      </c>
      <c r="J1580" s="11" t="str">
        <f t="shared" si="49"/>
        <v xml:space="preserve"> </v>
      </c>
      <c r="K1580" s="24" t="s">
        <v>15801</v>
      </c>
    </row>
    <row r="1581" spans="1:11">
      <c r="A1581" s="24" t="s">
        <v>15846</v>
      </c>
      <c r="B1581" s="24" t="s">
        <v>15846</v>
      </c>
      <c r="C1581" s="24" t="s">
        <v>15888</v>
      </c>
      <c r="D1581" s="24" t="s">
        <v>15900</v>
      </c>
      <c r="E1581" s="24" t="s">
        <v>15802</v>
      </c>
      <c r="F1581" s="29" t="s">
        <v>12473</v>
      </c>
      <c r="G1581" s="24" t="s">
        <v>12475</v>
      </c>
      <c r="H1581" s="11" t="str">
        <f t="shared" si="48"/>
        <v>08/09/1864</v>
      </c>
      <c r="J1581" s="11" t="str">
        <f t="shared" si="49"/>
        <v xml:space="preserve"> </v>
      </c>
      <c r="K1581" s="24" t="s">
        <v>12475</v>
      </c>
    </row>
    <row r="1582" spans="1:11">
      <c r="A1582" s="24" t="s">
        <v>15839</v>
      </c>
      <c r="B1582" s="24" t="s">
        <v>15839</v>
      </c>
      <c r="C1582" s="24" t="s">
        <v>15904</v>
      </c>
      <c r="D1582" s="24" t="s">
        <v>15801</v>
      </c>
      <c r="E1582" s="24" t="s">
        <v>15820</v>
      </c>
      <c r="F1582" s="29" t="s">
        <v>12501</v>
      </c>
      <c r="G1582" s="24" t="s">
        <v>12503</v>
      </c>
      <c r="H1582" s="11" t="str">
        <f t="shared" si="48"/>
        <v>13/02/1890</v>
      </c>
      <c r="J1582" s="11" t="str">
        <f t="shared" si="49"/>
        <v xml:space="preserve"> </v>
      </c>
      <c r="K1582" s="24" t="s">
        <v>12503</v>
      </c>
    </row>
    <row r="1583" spans="1:11">
      <c r="A1583" s="24" t="s">
        <v>15801</v>
      </c>
      <c r="B1583" s="24" t="s">
        <v>15808</v>
      </c>
      <c r="C1583" s="24" t="s">
        <v>15939</v>
      </c>
      <c r="D1583" s="24" t="s">
        <v>15956</v>
      </c>
      <c r="E1583" s="24" t="s">
        <v>15945</v>
      </c>
      <c r="G1583" s="24" t="s">
        <v>12596</v>
      </c>
      <c r="H1583" s="11" t="str">
        <f t="shared" si="48"/>
        <v>22/05/1872</v>
      </c>
      <c r="J1583" s="11" t="str">
        <f t="shared" si="49"/>
        <v xml:space="preserve"> </v>
      </c>
      <c r="K1583" s="24" t="s">
        <v>12596</v>
      </c>
    </row>
    <row r="1584" spans="1:11">
      <c r="A1584" s="24" t="s">
        <v>15825</v>
      </c>
      <c r="B1584" s="24" t="s">
        <v>15825</v>
      </c>
      <c r="C1584" s="24" t="s">
        <v>15951</v>
      </c>
      <c r="D1584" s="24" t="s">
        <v>15915</v>
      </c>
      <c r="E1584" s="24" t="s">
        <v>15876</v>
      </c>
      <c r="F1584" s="29" t="s">
        <v>7046</v>
      </c>
      <c r="G1584" s="24" t="s">
        <v>12521</v>
      </c>
      <c r="H1584" s="11" t="str">
        <f t="shared" si="48"/>
        <v>18/06/1886</v>
      </c>
      <c r="J1584" s="11" t="str">
        <f t="shared" si="49"/>
        <v xml:space="preserve"> </v>
      </c>
      <c r="K1584" s="24" t="s">
        <v>12521</v>
      </c>
    </row>
    <row r="1585" spans="1:11">
      <c r="A1585" s="24" t="s">
        <v>15818</v>
      </c>
      <c r="B1585" s="24" t="s">
        <v>15818</v>
      </c>
      <c r="C1585" s="24" t="s">
        <v>15904</v>
      </c>
      <c r="D1585" s="24" t="s">
        <v>15915</v>
      </c>
      <c r="E1585" s="24" t="s">
        <v>15971</v>
      </c>
      <c r="F1585" s="29" t="s">
        <v>12570</v>
      </c>
      <c r="G1585" s="24" t="s">
        <v>12572</v>
      </c>
      <c r="H1585" s="11" t="str">
        <f t="shared" si="48"/>
        <v>19/06/1890</v>
      </c>
      <c r="J1585" s="11" t="str">
        <f t="shared" si="49"/>
        <v xml:space="preserve"> </v>
      </c>
      <c r="K1585" s="24" t="s">
        <v>12572</v>
      </c>
    </row>
    <row r="1586" spans="1:11">
      <c r="A1586" s="24" t="s">
        <v>15808</v>
      </c>
      <c r="B1586" s="24" t="s">
        <v>15808</v>
      </c>
      <c r="C1586" s="24" t="s">
        <v>15909</v>
      </c>
      <c r="D1586" s="24" t="s">
        <v>15884</v>
      </c>
      <c r="E1586" s="24" t="s">
        <v>15811</v>
      </c>
      <c r="F1586" s="29" t="s">
        <v>12464</v>
      </c>
      <c r="G1586" s="24" t="s">
        <v>12466</v>
      </c>
      <c r="H1586" s="11" t="str">
        <f t="shared" si="48"/>
        <v>27/05/1881</v>
      </c>
      <c r="J1586" s="11" t="str">
        <f t="shared" si="49"/>
        <v xml:space="preserve"> </v>
      </c>
      <c r="K1586" s="24" t="s">
        <v>12466</v>
      </c>
    </row>
    <row r="1587" spans="1:11">
      <c r="A1587" s="24" t="s">
        <v>15815</v>
      </c>
      <c r="B1587" s="24" t="s">
        <v>15815</v>
      </c>
      <c r="C1587" s="24" t="s">
        <v>15801</v>
      </c>
      <c r="D1587" s="24" t="s">
        <v>15870</v>
      </c>
      <c r="E1587" s="24" t="s">
        <v>15870</v>
      </c>
      <c r="F1587" s="29" t="s">
        <v>12583</v>
      </c>
      <c r="H1587" s="11" t="str">
        <f t="shared" si="48"/>
        <v/>
      </c>
      <c r="J1587" s="11" t="str">
        <f t="shared" si="49"/>
        <v xml:space="preserve"> </v>
      </c>
      <c r="K1587" s="24" t="s">
        <v>15801</v>
      </c>
    </row>
    <row r="1588" spans="1:11">
      <c r="A1588" s="24" t="s">
        <v>15802</v>
      </c>
      <c r="B1588" s="24" t="s">
        <v>15802</v>
      </c>
      <c r="C1588" s="24" t="s">
        <v>15890</v>
      </c>
      <c r="D1588" s="24" t="s">
        <v>15915</v>
      </c>
      <c r="E1588" s="24" t="s">
        <v>15915</v>
      </c>
      <c r="F1588" s="29" t="s">
        <v>12479</v>
      </c>
      <c r="G1588" s="24" t="s">
        <v>12481</v>
      </c>
      <c r="H1588" s="11" t="str">
        <f t="shared" si="48"/>
        <v>19/04/1875</v>
      </c>
      <c r="J1588" s="11" t="str">
        <f t="shared" si="49"/>
        <v xml:space="preserve"> </v>
      </c>
      <c r="K1588" s="24" t="s">
        <v>12481</v>
      </c>
    </row>
    <row r="1589" spans="1:11">
      <c r="A1589" s="24" t="s">
        <v>15811</v>
      </c>
      <c r="B1589" s="24" t="s">
        <v>15811</v>
      </c>
      <c r="C1589" s="24" t="s">
        <v>15801</v>
      </c>
      <c r="D1589" s="24" t="s">
        <v>15900</v>
      </c>
      <c r="E1589" s="24" t="s">
        <v>15801</v>
      </c>
      <c r="F1589" s="29" t="s">
        <v>12508</v>
      </c>
      <c r="H1589" s="11" t="str">
        <f t="shared" si="48"/>
        <v/>
      </c>
      <c r="J1589" s="11" t="str">
        <f t="shared" si="49"/>
        <v xml:space="preserve"> </v>
      </c>
      <c r="K1589" s="24" t="s">
        <v>15801</v>
      </c>
    </row>
    <row r="1590" spans="1:11">
      <c r="A1590" s="24" t="s">
        <v>15801</v>
      </c>
      <c r="B1590" s="24" t="s">
        <v>15854</v>
      </c>
      <c r="C1590" s="24" t="s">
        <v>15876</v>
      </c>
      <c r="D1590" s="24" t="s">
        <v>15801</v>
      </c>
      <c r="E1590" s="24" t="s">
        <v>15840</v>
      </c>
      <c r="G1590" s="24" t="s">
        <v>12600</v>
      </c>
      <c r="H1590" s="11" t="str">
        <f t="shared" si="48"/>
        <v>08/03/1834</v>
      </c>
      <c r="J1590" s="11" t="str">
        <f t="shared" si="49"/>
        <v xml:space="preserve"> </v>
      </c>
      <c r="K1590" s="24" t="s">
        <v>12600</v>
      </c>
    </row>
    <row r="1591" spans="1:11">
      <c r="A1591" s="24" t="s">
        <v>15801</v>
      </c>
      <c r="B1591" s="24" t="s">
        <v>15815</v>
      </c>
      <c r="C1591" s="24" t="s">
        <v>15801</v>
      </c>
      <c r="D1591" s="24" t="s">
        <v>15956</v>
      </c>
      <c r="E1591" s="24" t="s">
        <v>15863</v>
      </c>
      <c r="H1591" s="11" t="str">
        <f t="shared" si="48"/>
        <v/>
      </c>
      <c r="J1591" s="11" t="str">
        <f t="shared" si="49"/>
        <v xml:space="preserve"> </v>
      </c>
      <c r="K1591" s="24" t="s">
        <v>15801</v>
      </c>
    </row>
    <row r="1592" spans="1:11">
      <c r="A1592" s="24" t="s">
        <v>15818</v>
      </c>
      <c r="B1592" s="24" t="s">
        <v>15818</v>
      </c>
      <c r="C1592" s="24" t="s">
        <v>15921</v>
      </c>
      <c r="D1592" s="24" t="s">
        <v>15870</v>
      </c>
      <c r="E1592" s="24" t="s">
        <v>15864</v>
      </c>
      <c r="F1592" s="29" t="s">
        <v>7441</v>
      </c>
      <c r="G1592" s="24" t="s">
        <v>12617</v>
      </c>
      <c r="H1592" s="11" t="str">
        <f t="shared" si="48"/>
        <v>25/03/1833</v>
      </c>
      <c r="J1592" s="11" t="str">
        <f t="shared" si="49"/>
        <v xml:space="preserve"> </v>
      </c>
      <c r="K1592" s="24" t="s">
        <v>12617</v>
      </c>
    </row>
    <row r="1593" spans="1:11">
      <c r="A1593" s="24" t="s">
        <v>15801</v>
      </c>
      <c r="B1593" s="24" t="s">
        <v>15841</v>
      </c>
      <c r="C1593" s="24" t="s">
        <v>15931</v>
      </c>
      <c r="D1593" s="24" t="s">
        <v>15900</v>
      </c>
      <c r="E1593" s="24" t="s">
        <v>15801</v>
      </c>
      <c r="G1593" s="24">
        <v>1843</v>
      </c>
      <c r="H1593" s="11"/>
      <c r="J1593" s="11" t="str">
        <f t="shared" si="49"/>
        <v xml:space="preserve"> </v>
      </c>
    </row>
    <row r="1594" spans="1:11">
      <c r="A1594" s="24" t="s">
        <v>15833</v>
      </c>
      <c r="B1594" s="24" t="s">
        <v>15833</v>
      </c>
      <c r="C1594" s="24" t="s">
        <v>15892</v>
      </c>
      <c r="D1594" s="24" t="s">
        <v>15900</v>
      </c>
      <c r="E1594" s="24" t="s">
        <v>15956</v>
      </c>
      <c r="F1594" s="29" t="s">
        <v>12635</v>
      </c>
      <c r="G1594" s="24" t="s">
        <v>12636</v>
      </c>
      <c r="H1594" s="11" t="str">
        <f t="shared" si="48"/>
        <v>15/04/1871</v>
      </c>
      <c r="J1594" s="11" t="str">
        <f t="shared" si="49"/>
        <v xml:space="preserve"> </v>
      </c>
      <c r="K1594" s="24" t="s">
        <v>12636</v>
      </c>
    </row>
    <row r="1595" spans="1:11">
      <c r="A1595" s="24" t="s">
        <v>15828</v>
      </c>
      <c r="B1595" s="24" t="s">
        <v>15828</v>
      </c>
      <c r="C1595" s="24" t="s">
        <v>15928</v>
      </c>
      <c r="D1595" s="24" t="s">
        <v>15931</v>
      </c>
      <c r="E1595" s="24" t="s">
        <v>15801</v>
      </c>
      <c r="F1595" s="29" t="s">
        <v>12611</v>
      </c>
      <c r="G1595" s="24" t="s">
        <v>12612</v>
      </c>
      <c r="H1595" s="11" t="str">
        <f t="shared" si="48"/>
        <v>05/07/1899</v>
      </c>
      <c r="J1595" s="11" t="str">
        <f t="shared" si="49"/>
        <v xml:space="preserve"> </v>
      </c>
      <c r="K1595" s="24" t="s">
        <v>12612</v>
      </c>
    </row>
    <row r="1596" spans="1:11">
      <c r="A1596" s="24" t="s">
        <v>15807</v>
      </c>
      <c r="B1596" s="24" t="s">
        <v>15807</v>
      </c>
      <c r="C1596" s="24" t="s">
        <v>15926</v>
      </c>
      <c r="D1596" s="24" t="s">
        <v>15884</v>
      </c>
      <c r="E1596" s="24" t="s">
        <v>15851</v>
      </c>
      <c r="G1596" s="24" t="s">
        <v>12628</v>
      </c>
      <c r="H1596" s="11" t="str">
        <f t="shared" si="48"/>
        <v>02/12/1897</v>
      </c>
      <c r="J1596" s="11" t="str">
        <f t="shared" si="49"/>
        <v xml:space="preserve"> </v>
      </c>
      <c r="K1596" s="24" t="s">
        <v>12628</v>
      </c>
    </row>
    <row r="1597" spans="1:11">
      <c r="A1597" s="24" t="s">
        <v>15806</v>
      </c>
      <c r="B1597" s="24" t="s">
        <v>15806</v>
      </c>
      <c r="C1597" s="24" t="s">
        <v>15801</v>
      </c>
      <c r="D1597" s="24" t="s">
        <v>15915</v>
      </c>
      <c r="E1597" s="24" t="s">
        <v>15915</v>
      </c>
      <c r="H1597" s="11" t="str">
        <f t="shared" si="48"/>
        <v/>
      </c>
      <c r="J1597" s="11" t="str">
        <f t="shared" si="49"/>
        <v xml:space="preserve"> </v>
      </c>
      <c r="K1597" s="24" t="s">
        <v>15801</v>
      </c>
    </row>
    <row r="1598" spans="1:11">
      <c r="A1598" s="24" t="s">
        <v>15832</v>
      </c>
      <c r="B1598" s="24" t="s">
        <v>15832</v>
      </c>
      <c r="C1598" s="24" t="s">
        <v>15891</v>
      </c>
      <c r="D1598" s="24" t="s">
        <v>15899</v>
      </c>
      <c r="E1598" s="24" t="s">
        <v>15851</v>
      </c>
      <c r="F1598" s="29" t="s">
        <v>12651</v>
      </c>
      <c r="G1598" s="24" t="s">
        <v>12652</v>
      </c>
      <c r="H1598" s="11" t="str">
        <f t="shared" si="48"/>
        <v>28/05/1883</v>
      </c>
      <c r="J1598" s="11" t="str">
        <f t="shared" si="49"/>
        <v xml:space="preserve"> </v>
      </c>
      <c r="K1598" s="24" t="s">
        <v>12652</v>
      </c>
    </row>
    <row r="1599" spans="1:11">
      <c r="A1599" s="24" t="s">
        <v>15821</v>
      </c>
      <c r="B1599" s="24" t="s">
        <v>15821</v>
      </c>
      <c r="C1599" s="24" t="s">
        <v>15902</v>
      </c>
      <c r="D1599" s="24" t="s">
        <v>15884</v>
      </c>
      <c r="E1599" s="24" t="s">
        <v>15965</v>
      </c>
      <c r="F1599" s="29" t="s">
        <v>6489</v>
      </c>
      <c r="G1599" s="24" t="s">
        <v>12668</v>
      </c>
      <c r="H1599" s="11" t="str">
        <f t="shared" si="48"/>
        <v>27/07/1876</v>
      </c>
      <c r="J1599" s="11" t="str">
        <f t="shared" si="49"/>
        <v xml:space="preserve"> </v>
      </c>
      <c r="K1599" s="24" t="s">
        <v>12668</v>
      </c>
    </row>
    <row r="1600" spans="1:11">
      <c r="A1600" s="24" t="s">
        <v>15801</v>
      </c>
      <c r="B1600" s="24" t="s">
        <v>15825</v>
      </c>
      <c r="C1600" s="24" t="s">
        <v>15801</v>
      </c>
      <c r="D1600" s="24" t="s">
        <v>15901</v>
      </c>
      <c r="E1600" s="24" t="s">
        <v>15884</v>
      </c>
      <c r="H1600" s="11" t="str">
        <f t="shared" si="48"/>
        <v/>
      </c>
      <c r="J1600" s="11" t="str">
        <f t="shared" si="49"/>
        <v xml:space="preserve"> </v>
      </c>
      <c r="K1600" s="24" t="s">
        <v>15801</v>
      </c>
    </row>
    <row r="1601" spans="1:11">
      <c r="A1601" s="24" t="s">
        <v>15819</v>
      </c>
      <c r="B1601" s="24" t="s">
        <v>15819</v>
      </c>
      <c r="C1601" s="24" t="s">
        <v>15894</v>
      </c>
      <c r="D1601" s="24" t="s">
        <v>15884</v>
      </c>
      <c r="E1601" s="24" t="s">
        <v>15884</v>
      </c>
      <c r="F1601" s="29" t="s">
        <v>12659</v>
      </c>
      <c r="G1601" s="24" t="s">
        <v>12660</v>
      </c>
      <c r="H1601" s="11" t="str">
        <f t="shared" si="48"/>
        <v>28/06/1901</v>
      </c>
      <c r="J1601" s="11" t="str">
        <f t="shared" si="49"/>
        <v xml:space="preserve"> </v>
      </c>
      <c r="K1601" s="24" t="s">
        <v>12660</v>
      </c>
    </row>
    <row r="1602" spans="1:11">
      <c r="A1602" s="24" t="s">
        <v>15802</v>
      </c>
      <c r="B1602" s="24" t="s">
        <v>15802</v>
      </c>
      <c r="C1602" s="24" t="s">
        <v>15882</v>
      </c>
      <c r="D1602" s="24" t="s">
        <v>15884</v>
      </c>
      <c r="E1602" s="24" t="s">
        <v>15878</v>
      </c>
      <c r="F1602" s="29" t="s">
        <v>12656</v>
      </c>
      <c r="G1602" s="24">
        <v>1880</v>
      </c>
      <c r="H1602" s="11"/>
      <c r="J1602" s="11" t="str">
        <f t="shared" si="49"/>
        <v xml:space="preserve"> </v>
      </c>
    </row>
    <row r="1603" spans="1:11">
      <c r="A1603" s="24" t="s">
        <v>15801</v>
      </c>
      <c r="B1603" s="24" t="s">
        <v>15853</v>
      </c>
      <c r="C1603" s="24" t="s">
        <v>15801</v>
      </c>
      <c r="D1603" s="24" t="s">
        <v>15956</v>
      </c>
      <c r="E1603" s="24" t="s">
        <v>15815</v>
      </c>
      <c r="H1603" s="11" t="str">
        <f t="shared" ref="H1603:H1666" si="50">TRIM(G1603)</f>
        <v/>
      </c>
      <c r="J1603" s="11" t="str">
        <f t="shared" ref="J1603:J1666" si="51">IF(LEN(H1603)=4,"fout"," ")</f>
        <v xml:space="preserve"> </v>
      </c>
      <c r="K1603" s="24" t="s">
        <v>15801</v>
      </c>
    </row>
    <row r="1604" spans="1:11">
      <c r="A1604" s="24" t="s">
        <v>15819</v>
      </c>
      <c r="B1604" s="24" t="s">
        <v>15819</v>
      </c>
      <c r="C1604" s="24" t="s">
        <v>15914</v>
      </c>
      <c r="D1604" s="24" t="s">
        <v>15956</v>
      </c>
      <c r="E1604" s="24" t="s">
        <v>15915</v>
      </c>
      <c r="F1604" s="29" t="s">
        <v>515</v>
      </c>
      <c r="G1604" s="24" t="s">
        <v>2408</v>
      </c>
      <c r="H1604" s="11" t="str">
        <f t="shared" si="50"/>
        <v>13/04/1858</v>
      </c>
      <c r="J1604" s="11" t="str">
        <f t="shared" si="51"/>
        <v xml:space="preserve"> </v>
      </c>
      <c r="K1604" s="24" t="s">
        <v>2408</v>
      </c>
    </row>
    <row r="1605" spans="1:11">
      <c r="A1605" s="24" t="s">
        <v>15802</v>
      </c>
      <c r="B1605" s="24" t="s">
        <v>15802</v>
      </c>
      <c r="C1605" s="24" t="s">
        <v>15882</v>
      </c>
      <c r="D1605" s="24" t="s">
        <v>15899</v>
      </c>
      <c r="E1605" s="24" t="s">
        <v>15899</v>
      </c>
      <c r="F1605" s="29" t="s">
        <v>12683</v>
      </c>
      <c r="G1605" s="24" t="s">
        <v>12685</v>
      </c>
      <c r="H1605" s="11" t="str">
        <f t="shared" si="50"/>
        <v>22/07/1880</v>
      </c>
      <c r="J1605" s="11" t="str">
        <f t="shared" si="51"/>
        <v xml:space="preserve"> </v>
      </c>
      <c r="K1605" s="24" t="s">
        <v>12685</v>
      </c>
    </row>
    <row r="1606" spans="1:11">
      <c r="A1606" s="24" t="s">
        <v>15801</v>
      </c>
      <c r="C1606" s="24" t="s">
        <v>15937</v>
      </c>
      <c r="D1606" s="24" t="s">
        <v>15884</v>
      </c>
      <c r="E1606" s="24" t="s">
        <v>15870</v>
      </c>
      <c r="G1606" s="24" t="s">
        <v>12703</v>
      </c>
      <c r="H1606" s="11" t="str">
        <f t="shared" si="50"/>
        <v>10/12/1894</v>
      </c>
      <c r="J1606" s="11" t="str">
        <f t="shared" si="51"/>
        <v xml:space="preserve"> </v>
      </c>
      <c r="K1606" s="24" t="s">
        <v>12703</v>
      </c>
    </row>
    <row r="1607" spans="1:11">
      <c r="A1607" s="24" t="s">
        <v>15801</v>
      </c>
      <c r="B1607" s="24" t="s">
        <v>15818</v>
      </c>
      <c r="C1607" s="24" t="s">
        <v>15893</v>
      </c>
      <c r="D1607" s="24" t="s">
        <v>15884</v>
      </c>
      <c r="E1607" s="24" t="s">
        <v>15870</v>
      </c>
      <c r="G1607" s="24" t="s">
        <v>12698</v>
      </c>
      <c r="H1607" s="11" t="str">
        <f t="shared" si="50"/>
        <v>19/09/1879</v>
      </c>
      <c r="J1607" s="11" t="str">
        <f t="shared" si="51"/>
        <v xml:space="preserve"> </v>
      </c>
      <c r="K1607" s="24" t="s">
        <v>12698</v>
      </c>
    </row>
    <row r="1608" spans="1:11">
      <c r="A1608" s="24" t="s">
        <v>15801</v>
      </c>
      <c r="B1608" s="24" t="s">
        <v>15803</v>
      </c>
      <c r="C1608" s="24" t="s">
        <v>15886</v>
      </c>
      <c r="D1608" s="24" t="s">
        <v>15908</v>
      </c>
      <c r="E1608" s="24" t="s">
        <v>15966</v>
      </c>
      <c r="G1608" s="24" t="s">
        <v>12691</v>
      </c>
      <c r="H1608" s="11" t="str">
        <f t="shared" si="50"/>
        <v>07/04/1854</v>
      </c>
      <c r="J1608" s="11" t="str">
        <f t="shared" si="51"/>
        <v xml:space="preserve"> </v>
      </c>
      <c r="K1608" s="24" t="s">
        <v>12691</v>
      </c>
    </row>
    <row r="1609" spans="1:11">
      <c r="A1609" s="24" t="s">
        <v>15860</v>
      </c>
      <c r="B1609" s="24" t="s">
        <v>15860</v>
      </c>
      <c r="C1609" s="24" t="s">
        <v>15911</v>
      </c>
      <c r="D1609" s="24" t="s">
        <v>15870</v>
      </c>
      <c r="E1609" s="24" t="s">
        <v>15801</v>
      </c>
      <c r="F1609" s="29" t="s">
        <v>12784</v>
      </c>
      <c r="G1609" s="24" t="s">
        <v>12785</v>
      </c>
      <c r="H1609" s="11" t="str">
        <f t="shared" si="50"/>
        <v>03/08/1863</v>
      </c>
      <c r="J1609" s="11" t="str">
        <f t="shared" si="51"/>
        <v xml:space="preserve"> </v>
      </c>
      <c r="K1609" s="24" t="s">
        <v>12785</v>
      </c>
    </row>
    <row r="1610" spans="1:11">
      <c r="A1610" s="24" t="s">
        <v>15816</v>
      </c>
      <c r="B1610" s="24" t="s">
        <v>15816</v>
      </c>
      <c r="C1610" s="24" t="s">
        <v>15900</v>
      </c>
      <c r="D1610" s="24" t="s">
        <v>15870</v>
      </c>
      <c r="E1610" s="24" t="s">
        <v>15801</v>
      </c>
      <c r="F1610" s="29" t="s">
        <v>12897</v>
      </c>
      <c r="G1610" s="24" t="s">
        <v>12899</v>
      </c>
      <c r="H1610" s="11" t="str">
        <f t="shared" si="50"/>
        <v>28/07/1837</v>
      </c>
      <c r="J1610" s="11" t="str">
        <f t="shared" si="51"/>
        <v xml:space="preserve"> </v>
      </c>
      <c r="K1610" s="24" t="s">
        <v>12899</v>
      </c>
    </row>
    <row r="1611" spans="1:11">
      <c r="A1611" s="24" t="s">
        <v>15801</v>
      </c>
      <c r="B1611" s="24" t="s">
        <v>15801</v>
      </c>
      <c r="C1611" s="24" t="s">
        <v>15801</v>
      </c>
      <c r="D1611" s="24" t="s">
        <v>15900</v>
      </c>
      <c r="E1611" s="24" t="s">
        <v>15801</v>
      </c>
      <c r="H1611" s="11" t="str">
        <f t="shared" si="50"/>
        <v/>
      </c>
      <c r="J1611" s="11" t="str">
        <f t="shared" si="51"/>
        <v xml:space="preserve"> </v>
      </c>
      <c r="K1611" s="24" t="s">
        <v>15801</v>
      </c>
    </row>
    <row r="1612" spans="1:11">
      <c r="A1612" s="24" t="s">
        <v>15801</v>
      </c>
      <c r="B1612" s="24" t="s">
        <v>15834</v>
      </c>
      <c r="C1612" s="24" t="s">
        <v>15892</v>
      </c>
      <c r="D1612" s="24" t="s">
        <v>15956</v>
      </c>
      <c r="E1612" s="24" t="s">
        <v>15801</v>
      </c>
      <c r="G1612" s="24" t="s">
        <v>12745</v>
      </c>
      <c r="H1612" s="11" t="str">
        <f t="shared" si="50"/>
        <v>12/10/1871</v>
      </c>
      <c r="J1612" s="11" t="str">
        <f t="shared" si="51"/>
        <v xml:space="preserve"> </v>
      </c>
      <c r="K1612" s="24" t="s">
        <v>12745</v>
      </c>
    </row>
    <row r="1613" spans="1:11">
      <c r="A1613" s="24" t="s">
        <v>15820</v>
      </c>
      <c r="B1613" s="24" t="s">
        <v>15820</v>
      </c>
      <c r="C1613" s="24" t="s">
        <v>15926</v>
      </c>
      <c r="D1613" s="24" t="s">
        <v>15899</v>
      </c>
      <c r="E1613" s="24" t="s">
        <v>15938</v>
      </c>
      <c r="F1613" s="29" t="s">
        <v>4852</v>
      </c>
      <c r="G1613" s="24" t="s">
        <v>12892</v>
      </c>
      <c r="H1613" s="11" t="str">
        <f t="shared" si="50"/>
        <v>18/08/1897</v>
      </c>
      <c r="J1613" s="11" t="str">
        <f t="shared" si="51"/>
        <v xml:space="preserve"> </v>
      </c>
      <c r="K1613" s="24" t="s">
        <v>12892</v>
      </c>
    </row>
    <row r="1614" spans="1:11">
      <c r="A1614" s="24" t="s">
        <v>15823</v>
      </c>
      <c r="B1614" s="24" t="s">
        <v>15823</v>
      </c>
      <c r="C1614" s="24" t="s">
        <v>15801</v>
      </c>
      <c r="D1614" s="24" t="s">
        <v>15899</v>
      </c>
      <c r="E1614" s="24" t="s">
        <v>15801</v>
      </c>
      <c r="F1614" s="29" t="s">
        <v>4685</v>
      </c>
      <c r="H1614" s="11" t="str">
        <f t="shared" si="50"/>
        <v/>
      </c>
      <c r="J1614" s="11" t="str">
        <f t="shared" si="51"/>
        <v xml:space="preserve"> </v>
      </c>
      <c r="K1614" s="24" t="s">
        <v>15801</v>
      </c>
    </row>
    <row r="1615" spans="1:11">
      <c r="A1615" s="24" t="s">
        <v>15801</v>
      </c>
      <c r="B1615" s="24" t="s">
        <v>15837</v>
      </c>
      <c r="C1615" s="24" t="s">
        <v>15801</v>
      </c>
      <c r="D1615" s="24" t="s">
        <v>15884</v>
      </c>
      <c r="E1615" s="24" t="s">
        <v>15820</v>
      </c>
      <c r="H1615" s="11" t="str">
        <f t="shared" si="50"/>
        <v/>
      </c>
      <c r="J1615" s="11" t="str">
        <f t="shared" si="51"/>
        <v xml:space="preserve"> </v>
      </c>
      <c r="K1615" s="24" t="s">
        <v>15801</v>
      </c>
    </row>
    <row r="1616" spans="1:11">
      <c r="A1616" s="24" t="s">
        <v>15803</v>
      </c>
      <c r="B1616" s="24" t="s">
        <v>15803</v>
      </c>
      <c r="C1616" s="24" t="s">
        <v>15939</v>
      </c>
      <c r="D1616" s="24" t="s">
        <v>15899</v>
      </c>
      <c r="E1616" s="24" t="s">
        <v>15801</v>
      </c>
      <c r="F1616" s="29" t="s">
        <v>12882</v>
      </c>
      <c r="G1616" s="24" t="s">
        <v>12884</v>
      </c>
      <c r="H1616" s="11" t="str">
        <f t="shared" si="50"/>
        <v>15/07/1872</v>
      </c>
      <c r="J1616" s="11" t="str">
        <f t="shared" si="51"/>
        <v xml:space="preserve"> </v>
      </c>
      <c r="K1616" s="24" t="s">
        <v>12884</v>
      </c>
    </row>
    <row r="1617" spans="1:11">
      <c r="A1617" s="24" t="s">
        <v>15814</v>
      </c>
      <c r="B1617" s="24" t="s">
        <v>15814</v>
      </c>
      <c r="C1617" s="24" t="s">
        <v>15909</v>
      </c>
      <c r="D1617" s="24" t="s">
        <v>15956</v>
      </c>
      <c r="E1617" s="24" t="s">
        <v>15966</v>
      </c>
      <c r="F1617" s="29" t="s">
        <v>12749</v>
      </c>
      <c r="G1617" s="24" t="s">
        <v>12750</v>
      </c>
      <c r="H1617" s="11" t="str">
        <f t="shared" si="50"/>
        <v>26/08/1881</v>
      </c>
      <c r="J1617" s="11" t="str">
        <f t="shared" si="51"/>
        <v xml:space="preserve"> </v>
      </c>
      <c r="K1617" s="24" t="s">
        <v>12750</v>
      </c>
    </row>
    <row r="1618" spans="1:11">
      <c r="A1618" s="24" t="s">
        <v>15801</v>
      </c>
      <c r="B1618" s="24" t="s">
        <v>15830</v>
      </c>
      <c r="C1618" s="24" t="s">
        <v>15801</v>
      </c>
      <c r="D1618" s="24" t="s">
        <v>15884</v>
      </c>
      <c r="E1618" s="24" t="s">
        <v>15807</v>
      </c>
      <c r="H1618" s="11" t="str">
        <f t="shared" si="50"/>
        <v/>
      </c>
      <c r="J1618" s="11" t="str">
        <f t="shared" si="51"/>
        <v xml:space="preserve"> </v>
      </c>
      <c r="K1618" s="24" t="s">
        <v>15801</v>
      </c>
    </row>
    <row r="1619" spans="1:11">
      <c r="A1619" s="24" t="s">
        <v>15810</v>
      </c>
      <c r="B1619" s="24" t="s">
        <v>15810</v>
      </c>
      <c r="C1619" s="24" t="s">
        <v>15801</v>
      </c>
      <c r="D1619" s="24" t="s">
        <v>15884</v>
      </c>
      <c r="E1619" s="24" t="s">
        <v>15801</v>
      </c>
      <c r="F1619" s="29" t="s">
        <v>4350</v>
      </c>
      <c r="H1619" s="11" t="str">
        <f t="shared" si="50"/>
        <v/>
      </c>
      <c r="J1619" s="11" t="str">
        <f t="shared" si="51"/>
        <v xml:space="preserve"> </v>
      </c>
      <c r="K1619" s="24" t="s">
        <v>15801</v>
      </c>
    </row>
    <row r="1620" spans="1:11">
      <c r="A1620" s="24" t="s">
        <v>15801</v>
      </c>
      <c r="B1620" s="24" t="s">
        <v>15818</v>
      </c>
      <c r="C1620" s="24" t="s">
        <v>15801</v>
      </c>
      <c r="D1620" s="24" t="s">
        <v>15956</v>
      </c>
      <c r="E1620" s="24" t="s">
        <v>15876</v>
      </c>
      <c r="H1620" s="11" t="str">
        <f t="shared" si="50"/>
        <v/>
      </c>
      <c r="J1620" s="11" t="str">
        <f t="shared" si="51"/>
        <v xml:space="preserve"> </v>
      </c>
      <c r="K1620" s="24" t="s">
        <v>15801</v>
      </c>
    </row>
    <row r="1621" spans="1:11">
      <c r="A1621" s="24" t="s">
        <v>15807</v>
      </c>
      <c r="B1621" s="24" t="s">
        <v>15807</v>
      </c>
      <c r="C1621" s="24" t="s">
        <v>15801</v>
      </c>
      <c r="D1621" s="24" t="s">
        <v>15956</v>
      </c>
      <c r="E1621" s="24" t="s">
        <v>15921</v>
      </c>
      <c r="F1621" s="29" t="s">
        <v>3388</v>
      </c>
      <c r="H1621" s="11" t="str">
        <f t="shared" si="50"/>
        <v/>
      </c>
      <c r="J1621" s="11" t="str">
        <f t="shared" si="51"/>
        <v xml:space="preserve"> </v>
      </c>
      <c r="K1621" s="24" t="s">
        <v>15801</v>
      </c>
    </row>
    <row r="1622" spans="1:11">
      <c r="A1622" s="24" t="s">
        <v>15817</v>
      </c>
      <c r="B1622" s="24" t="s">
        <v>15817</v>
      </c>
      <c r="C1622" s="24" t="s">
        <v>15801</v>
      </c>
      <c r="D1622" s="24" t="s">
        <v>15956</v>
      </c>
      <c r="E1622" s="24" t="s">
        <v>15801</v>
      </c>
      <c r="F1622" s="29" t="s">
        <v>12781</v>
      </c>
      <c r="H1622" s="11" t="str">
        <f t="shared" si="50"/>
        <v/>
      </c>
      <c r="J1622" s="11" t="str">
        <f t="shared" si="51"/>
        <v xml:space="preserve"> </v>
      </c>
      <c r="K1622" s="24" t="s">
        <v>15801</v>
      </c>
    </row>
    <row r="1623" spans="1:11">
      <c r="A1623" s="24" t="s">
        <v>15801</v>
      </c>
      <c r="B1623" s="24" t="s">
        <v>15814</v>
      </c>
      <c r="C1623" s="24" t="s">
        <v>15801</v>
      </c>
      <c r="D1623" s="24" t="s">
        <v>15884</v>
      </c>
      <c r="E1623" s="24" t="s">
        <v>15820</v>
      </c>
      <c r="H1623" s="11" t="str">
        <f t="shared" si="50"/>
        <v/>
      </c>
      <c r="J1623" s="11" t="str">
        <f t="shared" si="51"/>
        <v xml:space="preserve"> </v>
      </c>
      <c r="K1623" s="24" t="s">
        <v>15801</v>
      </c>
    </row>
    <row r="1624" spans="1:11">
      <c r="A1624" s="24" t="s">
        <v>15801</v>
      </c>
      <c r="B1624" s="24" t="s">
        <v>15804</v>
      </c>
      <c r="C1624" s="24" t="s">
        <v>15801</v>
      </c>
      <c r="D1624" s="24" t="s">
        <v>15900</v>
      </c>
      <c r="E1624" s="24" t="s">
        <v>15864</v>
      </c>
      <c r="H1624" s="11" t="str">
        <f t="shared" si="50"/>
        <v/>
      </c>
      <c r="J1624" s="11" t="str">
        <f t="shared" si="51"/>
        <v xml:space="preserve"> </v>
      </c>
      <c r="K1624" s="24" t="s">
        <v>15801</v>
      </c>
    </row>
    <row r="1625" spans="1:11">
      <c r="A1625" s="24" t="s">
        <v>15801</v>
      </c>
      <c r="B1625" s="24" t="s">
        <v>15845</v>
      </c>
      <c r="C1625" s="24" t="s">
        <v>15911</v>
      </c>
      <c r="D1625" s="24" t="s">
        <v>15884</v>
      </c>
      <c r="E1625" s="24" t="s">
        <v>15806</v>
      </c>
      <c r="G1625" s="24" t="s">
        <v>12809</v>
      </c>
      <c r="H1625" s="11" t="str">
        <f t="shared" si="50"/>
        <v>26/06/1863</v>
      </c>
      <c r="J1625" s="11" t="str">
        <f t="shared" si="51"/>
        <v xml:space="preserve"> </v>
      </c>
      <c r="K1625" s="24" t="s">
        <v>12809</v>
      </c>
    </row>
    <row r="1626" spans="1:11">
      <c r="A1626" s="24" t="s">
        <v>15819</v>
      </c>
      <c r="B1626" s="24" t="s">
        <v>15819</v>
      </c>
      <c r="C1626" s="24" t="s">
        <v>15920</v>
      </c>
      <c r="D1626" s="24" t="s">
        <v>15884</v>
      </c>
      <c r="E1626" s="24" t="s">
        <v>15965</v>
      </c>
      <c r="F1626" s="29" t="s">
        <v>12905</v>
      </c>
      <c r="G1626" s="24" t="s">
        <v>12906</v>
      </c>
      <c r="H1626" s="11" t="str">
        <f t="shared" si="50"/>
        <v>06/09/1852</v>
      </c>
      <c r="J1626" s="11" t="str">
        <f t="shared" si="51"/>
        <v xml:space="preserve"> </v>
      </c>
      <c r="K1626" s="24" t="s">
        <v>12906</v>
      </c>
    </row>
    <row r="1627" spans="1:11">
      <c r="A1627" s="24" t="s">
        <v>15802</v>
      </c>
      <c r="B1627" s="24" t="s">
        <v>15802</v>
      </c>
      <c r="C1627" s="24" t="s">
        <v>15889</v>
      </c>
      <c r="D1627" s="24" t="s">
        <v>15884</v>
      </c>
      <c r="E1627" s="24" t="s">
        <v>15801</v>
      </c>
      <c r="F1627" s="29" t="s">
        <v>12910</v>
      </c>
      <c r="G1627" s="24" t="s">
        <v>12912</v>
      </c>
      <c r="H1627" s="11" t="str">
        <f t="shared" si="50"/>
        <v>21/04/1865</v>
      </c>
      <c r="J1627" s="11" t="str">
        <f t="shared" si="51"/>
        <v xml:space="preserve"> </v>
      </c>
      <c r="K1627" s="24" t="s">
        <v>12912</v>
      </c>
    </row>
    <row r="1628" spans="1:11">
      <c r="A1628" s="24" t="s">
        <v>15828</v>
      </c>
      <c r="B1628" s="24" t="s">
        <v>15828</v>
      </c>
      <c r="C1628" s="24" t="s">
        <v>15801</v>
      </c>
      <c r="D1628" s="24" t="s">
        <v>15956</v>
      </c>
      <c r="E1628" s="24" t="s">
        <v>15801</v>
      </c>
      <c r="F1628" s="29" t="s">
        <v>5150</v>
      </c>
      <c r="H1628" s="11" t="str">
        <f t="shared" si="50"/>
        <v/>
      </c>
      <c r="J1628" s="11" t="str">
        <f t="shared" si="51"/>
        <v xml:space="preserve"> </v>
      </c>
      <c r="K1628" s="24" t="s">
        <v>15801</v>
      </c>
    </row>
    <row r="1629" spans="1:11">
      <c r="A1629" s="24" t="s">
        <v>15820</v>
      </c>
      <c r="B1629" s="24" t="s">
        <v>15820</v>
      </c>
      <c r="C1629" s="24" t="s">
        <v>15801</v>
      </c>
      <c r="D1629" s="24" t="s">
        <v>15936</v>
      </c>
      <c r="E1629" s="24" t="s">
        <v>15936</v>
      </c>
      <c r="F1629" s="29" t="s">
        <v>12832</v>
      </c>
      <c r="H1629" s="11" t="str">
        <f t="shared" si="50"/>
        <v/>
      </c>
      <c r="J1629" s="11" t="str">
        <f t="shared" si="51"/>
        <v xml:space="preserve"> </v>
      </c>
      <c r="K1629" s="24" t="s">
        <v>15801</v>
      </c>
    </row>
    <row r="1630" spans="1:11">
      <c r="A1630" s="24" t="s">
        <v>15801</v>
      </c>
      <c r="B1630" s="24" t="s">
        <v>15818</v>
      </c>
      <c r="C1630" s="24" t="s">
        <v>15801</v>
      </c>
      <c r="D1630" s="24" t="s">
        <v>15884</v>
      </c>
      <c r="E1630" s="24" t="s">
        <v>15801</v>
      </c>
      <c r="H1630" s="11" t="str">
        <f t="shared" si="50"/>
        <v/>
      </c>
      <c r="J1630" s="11" t="str">
        <f t="shared" si="51"/>
        <v xml:space="preserve"> </v>
      </c>
      <c r="K1630" s="24" t="s">
        <v>15801</v>
      </c>
    </row>
    <row r="1631" spans="1:11">
      <c r="A1631" s="24" t="s">
        <v>15833</v>
      </c>
      <c r="B1631" s="24" t="s">
        <v>15833</v>
      </c>
      <c r="C1631" s="24" t="s">
        <v>15953</v>
      </c>
      <c r="D1631" s="24" t="s">
        <v>15801</v>
      </c>
      <c r="E1631" s="24" t="s">
        <v>15901</v>
      </c>
      <c r="F1631" s="29" t="s">
        <v>12863</v>
      </c>
      <c r="G1631" s="24" t="s">
        <v>12864</v>
      </c>
      <c r="H1631" s="11" t="str">
        <f t="shared" si="50"/>
        <v>31/05/1882</v>
      </c>
      <c r="J1631" s="11" t="str">
        <f t="shared" si="51"/>
        <v xml:space="preserve"> </v>
      </c>
      <c r="K1631" s="24" t="s">
        <v>12864</v>
      </c>
    </row>
    <row r="1632" spans="1:11">
      <c r="A1632" s="24" t="s">
        <v>15810</v>
      </c>
      <c r="B1632" s="24" t="s">
        <v>15810</v>
      </c>
      <c r="C1632" s="24" t="s">
        <v>15801</v>
      </c>
      <c r="D1632" s="24" t="s">
        <v>15956</v>
      </c>
      <c r="E1632" s="24" t="s">
        <v>15801</v>
      </c>
      <c r="F1632" s="29" t="s">
        <v>12773</v>
      </c>
      <c r="H1632" s="11" t="str">
        <f t="shared" si="50"/>
        <v/>
      </c>
      <c r="J1632" s="11" t="str">
        <f t="shared" si="51"/>
        <v xml:space="preserve"> </v>
      </c>
      <c r="K1632" s="24" t="s">
        <v>15801</v>
      </c>
    </row>
    <row r="1633" spans="1:11">
      <c r="A1633" s="24" t="s">
        <v>15817</v>
      </c>
      <c r="B1633" s="24" t="s">
        <v>15817</v>
      </c>
      <c r="C1633" s="24" t="s">
        <v>15801</v>
      </c>
      <c r="D1633" s="24" t="s">
        <v>15884</v>
      </c>
      <c r="E1633" s="24" t="s">
        <v>15801</v>
      </c>
      <c r="F1633" s="29" t="s">
        <v>7590</v>
      </c>
      <c r="H1633" s="11" t="str">
        <f t="shared" si="50"/>
        <v/>
      </c>
      <c r="J1633" s="11" t="str">
        <f t="shared" si="51"/>
        <v xml:space="preserve"> </v>
      </c>
      <c r="K1633" s="24" t="s">
        <v>15801</v>
      </c>
    </row>
    <row r="1634" spans="1:11">
      <c r="A1634" s="24" t="s">
        <v>15821</v>
      </c>
      <c r="B1634" s="24" t="s">
        <v>15821</v>
      </c>
      <c r="C1634" s="24" t="s">
        <v>15896</v>
      </c>
      <c r="D1634" s="24" t="s">
        <v>15899</v>
      </c>
      <c r="E1634" s="24" t="s">
        <v>15870</v>
      </c>
      <c r="F1634" s="29" t="s">
        <v>7339</v>
      </c>
      <c r="G1634" s="24" t="s">
        <v>12871</v>
      </c>
      <c r="H1634" s="11" t="str">
        <f t="shared" si="50"/>
        <v>16/03/1887</v>
      </c>
      <c r="J1634" s="11" t="str">
        <f t="shared" si="51"/>
        <v xml:space="preserve"> </v>
      </c>
      <c r="K1634" s="24" t="s">
        <v>12871</v>
      </c>
    </row>
    <row r="1635" spans="1:11">
      <c r="A1635" s="24" t="s">
        <v>15824</v>
      </c>
      <c r="B1635" s="24" t="s">
        <v>15824</v>
      </c>
      <c r="C1635" s="24" t="s">
        <v>15922</v>
      </c>
      <c r="D1635" s="24" t="s">
        <v>15899</v>
      </c>
      <c r="E1635" s="24" t="s">
        <v>15801</v>
      </c>
      <c r="F1635" s="29" t="s">
        <v>12712</v>
      </c>
      <c r="G1635" s="24" t="s">
        <v>12714</v>
      </c>
      <c r="H1635" s="11" t="str">
        <f t="shared" si="50"/>
        <v>21/07/1855</v>
      </c>
      <c r="J1635" s="11" t="str">
        <f t="shared" si="51"/>
        <v xml:space="preserve"> </v>
      </c>
      <c r="K1635" s="24" t="s">
        <v>12714</v>
      </c>
    </row>
    <row r="1636" spans="1:11">
      <c r="A1636" s="24" t="s">
        <v>15806</v>
      </c>
      <c r="B1636" s="24" t="s">
        <v>15806</v>
      </c>
      <c r="C1636" s="24" t="s">
        <v>15899</v>
      </c>
      <c r="D1636" s="24" t="s">
        <v>15915</v>
      </c>
      <c r="E1636" s="24" t="s">
        <v>15801</v>
      </c>
      <c r="F1636" s="29" t="s">
        <v>3591</v>
      </c>
      <c r="G1636" s="24" t="s">
        <v>12791</v>
      </c>
      <c r="H1636" s="11" t="str">
        <f t="shared" si="50"/>
        <v>04/09/1840</v>
      </c>
      <c r="J1636" s="11" t="str">
        <f t="shared" si="51"/>
        <v xml:space="preserve"> </v>
      </c>
      <c r="K1636" s="24" t="s">
        <v>12791</v>
      </c>
    </row>
    <row r="1637" spans="1:11">
      <c r="A1637" s="24" t="s">
        <v>15833</v>
      </c>
      <c r="B1637" s="24" t="s">
        <v>15833</v>
      </c>
      <c r="C1637" s="24" t="s">
        <v>15930</v>
      </c>
      <c r="D1637" s="24" t="s">
        <v>15884</v>
      </c>
      <c r="E1637" s="24" t="s">
        <v>15901</v>
      </c>
      <c r="F1637" s="29" t="s">
        <v>12816</v>
      </c>
      <c r="G1637" s="24" t="s">
        <v>12817</v>
      </c>
      <c r="H1637" s="11" t="str">
        <f t="shared" si="50"/>
        <v>29/03/1896</v>
      </c>
      <c r="J1637" s="11" t="str">
        <f t="shared" si="51"/>
        <v xml:space="preserve"> </v>
      </c>
      <c r="K1637" s="24" t="s">
        <v>12817</v>
      </c>
    </row>
    <row r="1638" spans="1:11">
      <c r="A1638" s="24" t="s">
        <v>15810</v>
      </c>
      <c r="B1638" s="24" t="s">
        <v>15810</v>
      </c>
      <c r="C1638" s="24" t="s">
        <v>15882</v>
      </c>
      <c r="D1638" s="24" t="s">
        <v>15915</v>
      </c>
      <c r="E1638" s="24" t="s">
        <v>15915</v>
      </c>
      <c r="F1638" s="29" t="s">
        <v>12793</v>
      </c>
      <c r="G1638" s="24" t="s">
        <v>12795</v>
      </c>
      <c r="H1638" s="11" t="str">
        <f t="shared" si="50"/>
        <v>06/06/1880</v>
      </c>
      <c r="J1638" s="11" t="str">
        <f t="shared" si="51"/>
        <v xml:space="preserve"> </v>
      </c>
      <c r="K1638" s="24" t="s">
        <v>12795</v>
      </c>
    </row>
    <row r="1639" spans="1:11">
      <c r="A1639" s="24" t="s">
        <v>15850</v>
      </c>
      <c r="B1639" s="24" t="s">
        <v>15850</v>
      </c>
      <c r="C1639" s="24" t="s">
        <v>15885</v>
      </c>
      <c r="D1639" s="24" t="s">
        <v>15900</v>
      </c>
      <c r="E1639" s="24" t="s">
        <v>15825</v>
      </c>
      <c r="F1639" s="29" t="s">
        <v>12737</v>
      </c>
      <c r="G1639" s="24" t="s">
        <v>12739</v>
      </c>
      <c r="H1639" s="11" t="str">
        <f t="shared" si="50"/>
        <v>21/08/1866</v>
      </c>
      <c r="J1639" s="11" t="str">
        <f t="shared" si="51"/>
        <v xml:space="preserve"> </v>
      </c>
      <c r="K1639" s="24" t="s">
        <v>12739</v>
      </c>
    </row>
    <row r="1640" spans="1:11">
      <c r="A1640" s="24" t="s">
        <v>15802</v>
      </c>
      <c r="B1640" s="24" t="s">
        <v>15802</v>
      </c>
      <c r="C1640" s="24" t="s">
        <v>15801</v>
      </c>
      <c r="D1640" s="24" t="s">
        <v>15900</v>
      </c>
      <c r="E1640" s="24" t="s">
        <v>15900</v>
      </c>
      <c r="F1640" s="29" t="s">
        <v>12804</v>
      </c>
      <c r="H1640" s="11" t="str">
        <f t="shared" si="50"/>
        <v/>
      </c>
      <c r="J1640" s="11" t="str">
        <f t="shared" si="51"/>
        <v xml:space="preserve"> </v>
      </c>
      <c r="K1640" s="24" t="s">
        <v>15801</v>
      </c>
    </row>
    <row r="1641" spans="1:11">
      <c r="A1641" s="24" t="s">
        <v>15801</v>
      </c>
      <c r="B1641" s="24" t="s">
        <v>15846</v>
      </c>
      <c r="C1641" s="24" t="s">
        <v>15801</v>
      </c>
      <c r="D1641" s="24" t="s">
        <v>15801</v>
      </c>
      <c r="E1641" s="24" t="s">
        <v>15802</v>
      </c>
      <c r="H1641" s="11" t="str">
        <f t="shared" si="50"/>
        <v/>
      </c>
      <c r="J1641" s="11" t="str">
        <f t="shared" si="51"/>
        <v xml:space="preserve"> </v>
      </c>
      <c r="K1641" s="24" t="s">
        <v>15801</v>
      </c>
    </row>
    <row r="1642" spans="1:11">
      <c r="A1642" s="24" t="s">
        <v>15802</v>
      </c>
      <c r="B1642" s="24" t="s">
        <v>15802</v>
      </c>
      <c r="C1642" s="24" t="s">
        <v>15895</v>
      </c>
      <c r="D1642" s="24" t="s">
        <v>15801</v>
      </c>
      <c r="E1642" s="24" t="s">
        <v>15884</v>
      </c>
      <c r="F1642" s="29" t="s">
        <v>12764</v>
      </c>
      <c r="G1642" s="24" t="s">
        <v>12765</v>
      </c>
      <c r="H1642" s="11" t="str">
        <f t="shared" si="50"/>
        <v>01/08/1884</v>
      </c>
      <c r="J1642" s="11" t="str">
        <f t="shared" si="51"/>
        <v xml:space="preserve"> </v>
      </c>
      <c r="K1642" s="24" t="s">
        <v>12765</v>
      </c>
    </row>
    <row r="1643" spans="1:11">
      <c r="A1643" s="24" t="s">
        <v>15817</v>
      </c>
      <c r="B1643" s="24" t="s">
        <v>15817</v>
      </c>
      <c r="C1643" s="24" t="s">
        <v>15801</v>
      </c>
      <c r="D1643" s="24" t="s">
        <v>15908</v>
      </c>
      <c r="E1643" s="24" t="s">
        <v>15801</v>
      </c>
      <c r="F1643" s="29" t="s">
        <v>12857</v>
      </c>
      <c r="H1643" s="11" t="str">
        <f t="shared" si="50"/>
        <v/>
      </c>
      <c r="J1643" s="11" t="str">
        <f t="shared" si="51"/>
        <v xml:space="preserve"> </v>
      </c>
      <c r="K1643" s="24" t="s">
        <v>15801</v>
      </c>
    </row>
    <row r="1644" spans="1:11">
      <c r="A1644" s="24" t="s">
        <v>15832</v>
      </c>
      <c r="B1644" s="24" t="s">
        <v>15832</v>
      </c>
      <c r="C1644" s="24" t="s">
        <v>15801</v>
      </c>
      <c r="D1644" s="24" t="s">
        <v>15915</v>
      </c>
      <c r="E1644" s="24" t="s">
        <v>15801</v>
      </c>
      <c r="F1644" s="29" t="s">
        <v>12877</v>
      </c>
      <c r="H1644" s="11" t="str">
        <f t="shared" si="50"/>
        <v/>
      </c>
      <c r="J1644" s="11" t="str">
        <f t="shared" si="51"/>
        <v xml:space="preserve"> </v>
      </c>
      <c r="K1644" s="24" t="s">
        <v>15801</v>
      </c>
    </row>
    <row r="1645" spans="1:11">
      <c r="A1645" s="24" t="s">
        <v>15839</v>
      </c>
      <c r="B1645" s="24" t="s">
        <v>15839</v>
      </c>
      <c r="C1645" s="24" t="s">
        <v>15801</v>
      </c>
      <c r="D1645" s="24" t="s">
        <v>15900</v>
      </c>
      <c r="E1645" s="24" t="s">
        <v>15833</v>
      </c>
      <c r="F1645" s="29" t="s">
        <v>12722</v>
      </c>
      <c r="H1645" s="11" t="str">
        <f t="shared" si="50"/>
        <v/>
      </c>
      <c r="J1645" s="11" t="str">
        <f t="shared" si="51"/>
        <v xml:space="preserve"> </v>
      </c>
      <c r="K1645" s="24" t="s">
        <v>15801</v>
      </c>
    </row>
    <row r="1646" spans="1:11">
      <c r="A1646" s="24" t="s">
        <v>15801</v>
      </c>
      <c r="B1646" s="24" t="s">
        <v>15878</v>
      </c>
      <c r="C1646" s="24" t="s">
        <v>15801</v>
      </c>
      <c r="D1646" s="24" t="s">
        <v>15884</v>
      </c>
      <c r="E1646" s="24" t="s">
        <v>15801</v>
      </c>
      <c r="H1646" s="11" t="str">
        <f t="shared" si="50"/>
        <v/>
      </c>
      <c r="J1646" s="11" t="str">
        <f t="shared" si="51"/>
        <v xml:space="preserve"> </v>
      </c>
      <c r="K1646" s="24" t="s">
        <v>15801</v>
      </c>
    </row>
    <row r="1647" spans="1:11">
      <c r="A1647" s="24" t="s">
        <v>15825</v>
      </c>
      <c r="B1647" s="24" t="s">
        <v>15825</v>
      </c>
      <c r="C1647" s="24" t="s">
        <v>15880</v>
      </c>
      <c r="D1647" s="24" t="s">
        <v>15899</v>
      </c>
      <c r="E1647" s="24" t="s">
        <v>15956</v>
      </c>
      <c r="F1647" s="29" t="s">
        <v>1505</v>
      </c>
      <c r="G1647" s="24" t="s">
        <v>12730</v>
      </c>
      <c r="H1647" s="11" t="str">
        <f t="shared" si="50"/>
        <v>20/05/1892</v>
      </c>
      <c r="J1647" s="11" t="str">
        <f t="shared" si="51"/>
        <v xml:space="preserve"> </v>
      </c>
      <c r="K1647" s="24" t="s">
        <v>12730</v>
      </c>
    </row>
    <row r="1648" spans="1:11">
      <c r="A1648" s="24" t="s">
        <v>15833</v>
      </c>
      <c r="B1648" s="24" t="s">
        <v>15833</v>
      </c>
      <c r="C1648" s="24" t="s">
        <v>15801</v>
      </c>
      <c r="D1648" s="24" t="s">
        <v>15908</v>
      </c>
      <c r="E1648" s="24" t="s">
        <v>15908</v>
      </c>
      <c r="F1648" s="29" t="s">
        <v>12920</v>
      </c>
      <c r="H1648" s="11" t="str">
        <f t="shared" si="50"/>
        <v/>
      </c>
      <c r="J1648" s="11" t="str">
        <f t="shared" si="51"/>
        <v xml:space="preserve"> </v>
      </c>
      <c r="K1648" s="24" t="s">
        <v>15801</v>
      </c>
    </row>
    <row r="1649" spans="1:11">
      <c r="A1649" s="24" t="s">
        <v>15833</v>
      </c>
      <c r="B1649" s="24" t="s">
        <v>15833</v>
      </c>
      <c r="C1649" s="24" t="s">
        <v>15801</v>
      </c>
      <c r="D1649" s="24" t="s">
        <v>15948</v>
      </c>
      <c r="E1649" s="24" t="s">
        <v>15801</v>
      </c>
      <c r="F1649" s="29" t="s">
        <v>12926</v>
      </c>
      <c r="H1649" s="11" t="str">
        <f t="shared" si="50"/>
        <v/>
      </c>
      <c r="J1649" s="11" t="str">
        <f t="shared" si="51"/>
        <v xml:space="preserve"> </v>
      </c>
      <c r="K1649" s="24" t="s">
        <v>15801</v>
      </c>
    </row>
    <row r="1650" spans="1:11">
      <c r="A1650" s="24" t="s">
        <v>15859</v>
      </c>
      <c r="B1650" s="24" t="s">
        <v>15859</v>
      </c>
      <c r="C1650" s="24" t="s">
        <v>15920</v>
      </c>
      <c r="D1650" s="24" t="s">
        <v>15900</v>
      </c>
      <c r="E1650" s="24" t="s">
        <v>15819</v>
      </c>
      <c r="F1650" s="29" t="s">
        <v>12935</v>
      </c>
      <c r="G1650" s="24" t="s">
        <v>12937</v>
      </c>
      <c r="H1650" s="11" t="str">
        <f t="shared" si="50"/>
        <v>04/07/1852</v>
      </c>
      <c r="J1650" s="11" t="str">
        <f t="shared" si="51"/>
        <v xml:space="preserve"> </v>
      </c>
      <c r="K1650" s="24" t="s">
        <v>12937</v>
      </c>
    </row>
    <row r="1651" spans="1:11">
      <c r="A1651" s="24" t="s">
        <v>15822</v>
      </c>
      <c r="B1651" s="24" t="s">
        <v>15822</v>
      </c>
      <c r="C1651" s="24" t="s">
        <v>15922</v>
      </c>
      <c r="D1651" s="24" t="s">
        <v>15900</v>
      </c>
      <c r="E1651" s="24" t="s">
        <v>15816</v>
      </c>
      <c r="F1651" s="29" t="s">
        <v>12929</v>
      </c>
      <c r="G1651" s="24" t="s">
        <v>12931</v>
      </c>
      <c r="H1651" s="11" t="str">
        <f t="shared" si="50"/>
        <v>22/07/1855</v>
      </c>
      <c r="J1651" s="11" t="str">
        <f t="shared" si="51"/>
        <v xml:space="preserve"> </v>
      </c>
      <c r="K1651" s="24" t="s">
        <v>12931</v>
      </c>
    </row>
    <row r="1652" spans="1:11">
      <c r="A1652" s="24" t="s">
        <v>15801</v>
      </c>
      <c r="B1652" s="24" t="s">
        <v>15849</v>
      </c>
      <c r="C1652" s="24" t="s">
        <v>15801</v>
      </c>
      <c r="D1652" s="24" t="s">
        <v>15900</v>
      </c>
      <c r="E1652" s="24" t="s">
        <v>15801</v>
      </c>
      <c r="H1652" s="11" t="str">
        <f t="shared" si="50"/>
        <v/>
      </c>
      <c r="J1652" s="11" t="str">
        <f t="shared" si="51"/>
        <v xml:space="preserve"> </v>
      </c>
      <c r="K1652" s="24" t="s">
        <v>15801</v>
      </c>
    </row>
    <row r="1653" spans="1:11">
      <c r="A1653" s="24" t="s">
        <v>15823</v>
      </c>
      <c r="B1653" s="24" t="s">
        <v>15823</v>
      </c>
      <c r="C1653" s="24" t="s">
        <v>15801</v>
      </c>
      <c r="D1653" s="24" t="s">
        <v>15900</v>
      </c>
      <c r="E1653" s="24" t="s">
        <v>15801</v>
      </c>
      <c r="F1653" s="29" t="s">
        <v>12940</v>
      </c>
      <c r="H1653" s="11" t="str">
        <f t="shared" si="50"/>
        <v/>
      </c>
      <c r="J1653" s="11" t="str">
        <f t="shared" si="51"/>
        <v xml:space="preserve"> </v>
      </c>
      <c r="K1653" s="24" t="s">
        <v>15801</v>
      </c>
    </row>
    <row r="1654" spans="1:11">
      <c r="A1654" s="24" t="s">
        <v>15801</v>
      </c>
      <c r="B1654" s="24" t="s">
        <v>15841</v>
      </c>
      <c r="C1654" s="24" t="s">
        <v>15801</v>
      </c>
      <c r="D1654" s="24" t="s">
        <v>15870</v>
      </c>
      <c r="E1654" s="24" t="s">
        <v>15802</v>
      </c>
      <c r="H1654" s="11" t="str">
        <f t="shared" si="50"/>
        <v/>
      </c>
      <c r="J1654" s="11" t="str">
        <f t="shared" si="51"/>
        <v xml:space="preserve"> </v>
      </c>
      <c r="K1654" s="24" t="s">
        <v>15801</v>
      </c>
    </row>
    <row r="1655" spans="1:11">
      <c r="A1655" s="24" t="s">
        <v>15810</v>
      </c>
      <c r="B1655" s="24" t="s">
        <v>15810</v>
      </c>
      <c r="C1655" s="24" t="s">
        <v>15801</v>
      </c>
      <c r="D1655" s="24" t="s">
        <v>15899</v>
      </c>
      <c r="E1655" s="24" t="s">
        <v>15899</v>
      </c>
      <c r="F1655" s="29" t="s">
        <v>12951</v>
      </c>
      <c r="H1655" s="11" t="str">
        <f t="shared" si="50"/>
        <v/>
      </c>
      <c r="J1655" s="11" t="str">
        <f t="shared" si="51"/>
        <v xml:space="preserve"> </v>
      </c>
      <c r="K1655" s="24" t="s">
        <v>15801</v>
      </c>
    </row>
    <row r="1656" spans="1:11">
      <c r="A1656" s="24" t="s">
        <v>15833</v>
      </c>
      <c r="B1656" s="24" t="s">
        <v>15833</v>
      </c>
      <c r="C1656" s="24" t="s">
        <v>15801</v>
      </c>
      <c r="D1656" s="24" t="s">
        <v>15870</v>
      </c>
      <c r="E1656" s="24" t="s">
        <v>15801</v>
      </c>
      <c r="F1656" s="29" t="s">
        <v>12959</v>
      </c>
      <c r="H1656" s="11" t="str">
        <f t="shared" si="50"/>
        <v/>
      </c>
      <c r="J1656" s="11" t="str">
        <f t="shared" si="51"/>
        <v xml:space="preserve"> </v>
      </c>
      <c r="K1656" s="24" t="s">
        <v>15801</v>
      </c>
    </row>
    <row r="1657" spans="1:11">
      <c r="A1657" s="24" t="s">
        <v>15801</v>
      </c>
      <c r="B1657" s="24" t="s">
        <v>15803</v>
      </c>
      <c r="C1657" s="24" t="s">
        <v>15801</v>
      </c>
      <c r="D1657" s="24" t="s">
        <v>15931</v>
      </c>
      <c r="E1657" s="24" t="s">
        <v>15823</v>
      </c>
      <c r="H1657" s="11" t="str">
        <f t="shared" si="50"/>
        <v/>
      </c>
      <c r="J1657" s="11" t="str">
        <f t="shared" si="51"/>
        <v xml:space="preserve"> </v>
      </c>
      <c r="K1657" s="24" t="s">
        <v>15801</v>
      </c>
    </row>
    <row r="1658" spans="1:11">
      <c r="A1658" s="24" t="s">
        <v>15801</v>
      </c>
      <c r="B1658" s="24" t="s">
        <v>15841</v>
      </c>
      <c r="C1658" s="24" t="s">
        <v>15929</v>
      </c>
      <c r="D1658" s="24" t="s">
        <v>15899</v>
      </c>
      <c r="E1658" s="24" t="s">
        <v>15828</v>
      </c>
      <c r="G1658" s="24">
        <v>1878</v>
      </c>
      <c r="H1658" s="11"/>
      <c r="J1658" s="11" t="str">
        <f t="shared" si="51"/>
        <v xml:space="preserve"> </v>
      </c>
    </row>
    <row r="1659" spans="1:11">
      <c r="A1659" s="24" t="s">
        <v>15801</v>
      </c>
      <c r="B1659" s="24" t="s">
        <v>15808</v>
      </c>
      <c r="C1659" s="24" t="s">
        <v>15801</v>
      </c>
      <c r="D1659" s="24" t="s">
        <v>15956</v>
      </c>
      <c r="E1659" s="24" t="s">
        <v>15811</v>
      </c>
      <c r="H1659" s="11" t="str">
        <f t="shared" si="50"/>
        <v/>
      </c>
      <c r="J1659" s="11" t="str">
        <f t="shared" si="51"/>
        <v xml:space="preserve"> </v>
      </c>
      <c r="K1659" s="24" t="s">
        <v>15801</v>
      </c>
    </row>
    <row r="1660" spans="1:11">
      <c r="A1660" s="24" t="s">
        <v>15840</v>
      </c>
      <c r="B1660" s="24" t="s">
        <v>15840</v>
      </c>
      <c r="C1660" s="24" t="s">
        <v>15902</v>
      </c>
      <c r="D1660" s="24" t="s">
        <v>15900</v>
      </c>
      <c r="E1660" s="24" t="s">
        <v>15828</v>
      </c>
      <c r="F1660" s="29" t="s">
        <v>1614</v>
      </c>
      <c r="G1660" s="24" t="s">
        <v>12963</v>
      </c>
      <c r="H1660" s="11" t="str">
        <f t="shared" si="50"/>
        <v>13/04/1876</v>
      </c>
      <c r="J1660" s="11" t="str">
        <f t="shared" si="51"/>
        <v xml:space="preserve"> </v>
      </c>
      <c r="K1660" s="24" t="s">
        <v>12963</v>
      </c>
    </row>
    <row r="1661" spans="1:11">
      <c r="A1661" s="24" t="s">
        <v>15801</v>
      </c>
      <c r="B1661" s="24" t="s">
        <v>15849</v>
      </c>
      <c r="C1661" s="24" t="s">
        <v>15801</v>
      </c>
      <c r="D1661" s="24" t="s">
        <v>15899</v>
      </c>
      <c r="E1661" s="24" t="s">
        <v>15802</v>
      </c>
      <c r="H1661" s="11" t="str">
        <f t="shared" si="50"/>
        <v/>
      </c>
      <c r="J1661" s="11" t="str">
        <f t="shared" si="51"/>
        <v xml:space="preserve"> </v>
      </c>
      <c r="K1661" s="24" t="s">
        <v>15801</v>
      </c>
    </row>
    <row r="1662" spans="1:11">
      <c r="A1662" s="24" t="s">
        <v>15839</v>
      </c>
      <c r="B1662" s="24" t="s">
        <v>15839</v>
      </c>
      <c r="C1662" s="24" t="s">
        <v>15913</v>
      </c>
      <c r="D1662" s="24" t="s">
        <v>15884</v>
      </c>
      <c r="E1662" s="24" t="s">
        <v>15810</v>
      </c>
      <c r="F1662" s="29" t="s">
        <v>12971</v>
      </c>
      <c r="G1662" s="24" t="s">
        <v>12973</v>
      </c>
      <c r="H1662" s="11" t="str">
        <f t="shared" si="50"/>
        <v>09/12/1877</v>
      </c>
      <c r="J1662" s="11" t="str">
        <f t="shared" si="51"/>
        <v xml:space="preserve"> </v>
      </c>
      <c r="K1662" s="24" t="s">
        <v>12973</v>
      </c>
    </row>
    <row r="1663" spans="1:11">
      <c r="A1663" s="24" t="s">
        <v>15825</v>
      </c>
      <c r="B1663" s="24" t="s">
        <v>15825</v>
      </c>
      <c r="C1663" s="24" t="s">
        <v>15801</v>
      </c>
      <c r="D1663" s="24" t="s">
        <v>15900</v>
      </c>
      <c r="E1663" s="24" t="s">
        <v>15851</v>
      </c>
      <c r="F1663" s="29" t="s">
        <v>12944</v>
      </c>
      <c r="H1663" s="11" t="str">
        <f t="shared" si="50"/>
        <v/>
      </c>
      <c r="J1663" s="11" t="str">
        <f t="shared" si="51"/>
        <v xml:space="preserve"> </v>
      </c>
      <c r="K1663" s="24" t="s">
        <v>15801</v>
      </c>
    </row>
    <row r="1664" spans="1:11">
      <c r="A1664" s="24" t="s">
        <v>15801</v>
      </c>
      <c r="B1664" s="24" t="s">
        <v>15840</v>
      </c>
      <c r="C1664" s="24" t="s">
        <v>15801</v>
      </c>
      <c r="D1664" s="24" t="s">
        <v>15884</v>
      </c>
      <c r="E1664" s="24" t="s">
        <v>15801</v>
      </c>
      <c r="H1664" s="11" t="str">
        <f t="shared" si="50"/>
        <v/>
      </c>
      <c r="J1664" s="11" t="str">
        <f t="shared" si="51"/>
        <v xml:space="preserve"> </v>
      </c>
      <c r="K1664" s="24" t="s">
        <v>15801</v>
      </c>
    </row>
    <row r="1665" spans="1:11">
      <c r="A1665" s="24" t="s">
        <v>15821</v>
      </c>
      <c r="B1665" s="24" t="s">
        <v>15821</v>
      </c>
      <c r="C1665" s="24" t="s">
        <v>15904</v>
      </c>
      <c r="D1665" s="24" t="s">
        <v>15956</v>
      </c>
      <c r="E1665" s="24" t="s">
        <v>15876</v>
      </c>
      <c r="F1665" s="29" t="s">
        <v>12999</v>
      </c>
      <c r="G1665" s="24" t="s">
        <v>13000</v>
      </c>
      <c r="H1665" s="11" t="str">
        <f t="shared" si="50"/>
        <v>19/09/1890</v>
      </c>
      <c r="J1665" s="11" t="str">
        <f t="shared" si="51"/>
        <v xml:space="preserve"> </v>
      </c>
      <c r="K1665" s="24" t="s">
        <v>13000</v>
      </c>
    </row>
    <row r="1666" spans="1:11">
      <c r="A1666" s="24" t="s">
        <v>15849</v>
      </c>
      <c r="B1666" s="24" t="s">
        <v>15849</v>
      </c>
      <c r="C1666" s="24" t="s">
        <v>15883</v>
      </c>
      <c r="D1666" s="24" t="s">
        <v>15884</v>
      </c>
      <c r="E1666" s="24" t="s">
        <v>15828</v>
      </c>
      <c r="F1666" s="29" t="s">
        <v>13018</v>
      </c>
      <c r="G1666" s="24" t="s">
        <v>13020</v>
      </c>
      <c r="H1666" s="11" t="str">
        <f t="shared" si="50"/>
        <v>01/05/1874</v>
      </c>
      <c r="J1666" s="11" t="str">
        <f t="shared" si="51"/>
        <v xml:space="preserve"> </v>
      </c>
      <c r="K1666" s="24" t="s">
        <v>13020</v>
      </c>
    </row>
    <row r="1667" spans="1:11">
      <c r="A1667" s="24" t="s">
        <v>15841</v>
      </c>
      <c r="B1667" s="24" t="s">
        <v>15841</v>
      </c>
      <c r="C1667" s="24" t="s">
        <v>15801</v>
      </c>
      <c r="D1667" s="24" t="s">
        <v>15884</v>
      </c>
      <c r="E1667" s="24" t="s">
        <v>15820</v>
      </c>
      <c r="F1667" s="29" t="s">
        <v>2247</v>
      </c>
      <c r="H1667" s="11" t="str">
        <f t="shared" ref="H1667:H1730" si="52">TRIM(G1667)</f>
        <v/>
      </c>
      <c r="J1667" s="11" t="str">
        <f t="shared" ref="J1667:J1730" si="53">IF(LEN(H1667)=4,"fout"," ")</f>
        <v xml:space="preserve"> </v>
      </c>
      <c r="K1667" s="24" t="s">
        <v>15801</v>
      </c>
    </row>
    <row r="1668" spans="1:11">
      <c r="A1668" s="24" t="s">
        <v>15808</v>
      </c>
      <c r="B1668" s="24" t="s">
        <v>15808</v>
      </c>
      <c r="C1668" s="24" t="s">
        <v>15910</v>
      </c>
      <c r="D1668" s="24" t="s">
        <v>15915</v>
      </c>
      <c r="E1668" s="24" t="s">
        <v>15833</v>
      </c>
      <c r="F1668" s="29" t="s">
        <v>13006</v>
      </c>
      <c r="G1668" s="24" t="s">
        <v>13007</v>
      </c>
      <c r="H1668" s="11" t="str">
        <f t="shared" si="52"/>
        <v>29/12/1889</v>
      </c>
      <c r="J1668" s="11" t="str">
        <f t="shared" si="53"/>
        <v xml:space="preserve"> </v>
      </c>
      <c r="K1668" s="24" t="s">
        <v>13007</v>
      </c>
    </row>
    <row r="1669" spans="1:11">
      <c r="A1669" s="24" t="s">
        <v>15801</v>
      </c>
      <c r="B1669" s="24" t="s">
        <v>15853</v>
      </c>
      <c r="C1669" s="24" t="s">
        <v>15801</v>
      </c>
      <c r="D1669" s="24" t="s">
        <v>15801</v>
      </c>
      <c r="E1669" s="24" t="s">
        <v>15815</v>
      </c>
      <c r="H1669" s="11" t="str">
        <f t="shared" si="52"/>
        <v/>
      </c>
      <c r="J1669" s="11" t="str">
        <f t="shared" si="53"/>
        <v xml:space="preserve"> </v>
      </c>
      <c r="K1669" s="24" t="s">
        <v>15801</v>
      </c>
    </row>
    <row r="1670" spans="1:11">
      <c r="A1670" s="24" t="s">
        <v>15802</v>
      </c>
      <c r="B1670" s="24" t="s">
        <v>15802</v>
      </c>
      <c r="C1670" s="24" t="s">
        <v>15926</v>
      </c>
      <c r="D1670" s="24" t="s">
        <v>15915</v>
      </c>
      <c r="E1670" s="24" t="s">
        <v>15870</v>
      </c>
      <c r="F1670" s="29" t="s">
        <v>13028</v>
      </c>
      <c r="G1670" s="24" t="s">
        <v>13030</v>
      </c>
      <c r="H1670" s="11" t="str">
        <f t="shared" si="52"/>
        <v>05/09/1897</v>
      </c>
      <c r="J1670" s="11" t="str">
        <f t="shared" si="53"/>
        <v xml:space="preserve"> </v>
      </c>
      <c r="K1670" s="24" t="s">
        <v>13030</v>
      </c>
    </row>
    <row r="1671" spans="1:11">
      <c r="A1671" s="24" t="s">
        <v>15803</v>
      </c>
      <c r="B1671" s="24" t="s">
        <v>15803</v>
      </c>
      <c r="C1671" s="24" t="s">
        <v>15904</v>
      </c>
      <c r="D1671" s="24" t="s">
        <v>15956</v>
      </c>
      <c r="E1671" s="24" t="s">
        <v>15864</v>
      </c>
      <c r="F1671" s="29" t="s">
        <v>3830</v>
      </c>
      <c r="G1671" s="24" t="s">
        <v>9762</v>
      </c>
      <c r="H1671" s="11" t="str">
        <f t="shared" si="52"/>
        <v>24/07/1890</v>
      </c>
      <c r="J1671" s="11" t="str">
        <f t="shared" si="53"/>
        <v xml:space="preserve"> </v>
      </c>
      <c r="K1671" s="24" t="s">
        <v>9762</v>
      </c>
    </row>
    <row r="1672" spans="1:11">
      <c r="A1672" s="24" t="s">
        <v>15808</v>
      </c>
      <c r="B1672" s="24" t="s">
        <v>15808</v>
      </c>
      <c r="C1672" s="24" t="s">
        <v>15892</v>
      </c>
      <c r="D1672" s="24" t="s">
        <v>15901</v>
      </c>
      <c r="E1672" s="24" t="s">
        <v>15827</v>
      </c>
      <c r="F1672" s="29" t="s">
        <v>9227</v>
      </c>
      <c r="G1672" s="24" t="s">
        <v>13107</v>
      </c>
      <c r="H1672" s="11" t="str">
        <f t="shared" si="52"/>
        <v>04/09/1871</v>
      </c>
      <c r="J1672" s="11" t="str">
        <f t="shared" si="53"/>
        <v xml:space="preserve"> </v>
      </c>
      <c r="K1672" s="24" t="s">
        <v>13107</v>
      </c>
    </row>
    <row r="1673" spans="1:11">
      <c r="A1673" s="24" t="s">
        <v>15825</v>
      </c>
      <c r="B1673" s="24" t="s">
        <v>15825</v>
      </c>
      <c r="C1673" s="24" t="s">
        <v>15933</v>
      </c>
      <c r="D1673" s="24" t="s">
        <v>15801</v>
      </c>
      <c r="E1673" s="24" t="s">
        <v>15801</v>
      </c>
      <c r="F1673" s="29" t="s">
        <v>369</v>
      </c>
      <c r="G1673" s="24" t="s">
        <v>13041</v>
      </c>
      <c r="H1673" s="11" t="str">
        <f t="shared" si="52"/>
        <v>29/10/1873</v>
      </c>
      <c r="J1673" s="11" t="str">
        <f t="shared" si="53"/>
        <v xml:space="preserve"> </v>
      </c>
      <c r="K1673" s="24" t="s">
        <v>13041</v>
      </c>
    </row>
    <row r="1674" spans="1:11">
      <c r="A1674" s="24" t="s">
        <v>15814</v>
      </c>
      <c r="B1674" s="24" t="s">
        <v>15814</v>
      </c>
      <c r="C1674" s="24" t="s">
        <v>15883</v>
      </c>
      <c r="D1674" s="24" t="s">
        <v>15956</v>
      </c>
      <c r="E1674" s="24" t="s">
        <v>15864</v>
      </c>
      <c r="F1674" s="29" t="s">
        <v>13133</v>
      </c>
      <c r="G1674" s="24" t="s">
        <v>13135</v>
      </c>
      <c r="H1674" s="11" t="str">
        <f t="shared" si="52"/>
        <v>12/08/1874</v>
      </c>
      <c r="J1674" s="11" t="str">
        <f t="shared" si="53"/>
        <v xml:space="preserve"> </v>
      </c>
      <c r="K1674" s="24" t="s">
        <v>13135</v>
      </c>
    </row>
    <row r="1675" spans="1:11">
      <c r="A1675" s="24" t="s">
        <v>15801</v>
      </c>
      <c r="B1675" s="24" t="s">
        <v>15879</v>
      </c>
      <c r="C1675" s="24" t="s">
        <v>15801</v>
      </c>
      <c r="D1675" s="24" t="s">
        <v>15900</v>
      </c>
      <c r="E1675" s="24" t="s">
        <v>15854</v>
      </c>
      <c r="H1675" s="11" t="str">
        <f t="shared" si="52"/>
        <v/>
      </c>
      <c r="J1675" s="11" t="str">
        <f t="shared" si="53"/>
        <v xml:space="preserve"> </v>
      </c>
      <c r="K1675" s="24" t="s">
        <v>15801</v>
      </c>
    </row>
    <row r="1676" spans="1:11">
      <c r="A1676" s="24" t="s">
        <v>15829</v>
      </c>
      <c r="B1676" s="24" t="s">
        <v>15829</v>
      </c>
      <c r="C1676" s="24" t="s">
        <v>15882</v>
      </c>
      <c r="D1676" s="24" t="s">
        <v>15900</v>
      </c>
      <c r="E1676" s="24" t="s">
        <v>15827</v>
      </c>
      <c r="F1676" s="29" t="s">
        <v>13043</v>
      </c>
      <c r="G1676" s="24" t="s">
        <v>13044</v>
      </c>
      <c r="H1676" s="11" t="str">
        <f t="shared" si="52"/>
        <v>12/01/1880</v>
      </c>
      <c r="J1676" s="11" t="str">
        <f t="shared" si="53"/>
        <v xml:space="preserve"> </v>
      </c>
      <c r="K1676" s="24" t="s">
        <v>13044</v>
      </c>
    </row>
    <row r="1677" spans="1:11">
      <c r="A1677" s="24" t="s">
        <v>15818</v>
      </c>
      <c r="B1677" s="24" t="s">
        <v>15818</v>
      </c>
      <c r="C1677" s="24" t="s">
        <v>15899</v>
      </c>
      <c r="D1677" s="24" t="s">
        <v>15900</v>
      </c>
      <c r="E1677" s="24" t="s">
        <v>15966</v>
      </c>
      <c r="F1677" s="29" t="s">
        <v>13087</v>
      </c>
      <c r="G1677" s="24" t="s">
        <v>13088</v>
      </c>
      <c r="H1677" s="11" t="str">
        <f t="shared" si="52"/>
        <v>07/08/1840</v>
      </c>
      <c r="J1677" s="11" t="str">
        <f t="shared" si="53"/>
        <v xml:space="preserve"> </v>
      </c>
      <c r="K1677" s="24" t="s">
        <v>13088</v>
      </c>
    </row>
    <row r="1678" spans="1:11">
      <c r="A1678" s="24" t="s">
        <v>15819</v>
      </c>
      <c r="B1678" s="24" t="s">
        <v>15819</v>
      </c>
      <c r="C1678" s="24" t="s">
        <v>15915</v>
      </c>
      <c r="D1678" s="24" t="s">
        <v>15900</v>
      </c>
      <c r="E1678" s="24" t="s">
        <v>15876</v>
      </c>
      <c r="F1678" s="29" t="s">
        <v>13067</v>
      </c>
      <c r="G1678" s="24" t="s">
        <v>12362</v>
      </c>
      <c r="H1678" s="11" t="str">
        <f t="shared" si="52"/>
        <v>03/06/1839</v>
      </c>
      <c r="J1678" s="11" t="str">
        <f t="shared" si="53"/>
        <v xml:space="preserve"> </v>
      </c>
      <c r="K1678" s="24" t="s">
        <v>12362</v>
      </c>
    </row>
    <row r="1679" spans="1:11">
      <c r="A1679" s="24" t="s">
        <v>15828</v>
      </c>
      <c r="B1679" s="24" t="s">
        <v>15828</v>
      </c>
      <c r="C1679" s="24" t="s">
        <v>15894</v>
      </c>
      <c r="D1679" s="24" t="s">
        <v>15900</v>
      </c>
      <c r="E1679" s="24" t="s">
        <v>15801</v>
      </c>
      <c r="F1679" s="29" t="s">
        <v>2126</v>
      </c>
      <c r="G1679" s="24" t="s">
        <v>13098</v>
      </c>
      <c r="H1679" s="11" t="str">
        <f t="shared" si="52"/>
        <v>29/04/1901</v>
      </c>
      <c r="J1679" s="11" t="str">
        <f t="shared" si="53"/>
        <v xml:space="preserve"> </v>
      </c>
      <c r="K1679" s="24" t="s">
        <v>13098</v>
      </c>
    </row>
    <row r="1680" spans="1:11">
      <c r="A1680" s="24" t="s">
        <v>15801</v>
      </c>
      <c r="B1680" s="24" t="s">
        <v>15822</v>
      </c>
      <c r="C1680" s="24" t="s">
        <v>15889</v>
      </c>
      <c r="D1680" s="24" t="s">
        <v>15870</v>
      </c>
      <c r="E1680" s="24" t="s">
        <v>15825</v>
      </c>
      <c r="G1680" s="24" t="s">
        <v>13120</v>
      </c>
      <c r="H1680" s="11" t="str">
        <f t="shared" si="52"/>
        <v>22/06/1865</v>
      </c>
      <c r="J1680" s="11" t="str">
        <f t="shared" si="53"/>
        <v xml:space="preserve"> </v>
      </c>
      <c r="K1680" s="24" t="s">
        <v>13120</v>
      </c>
    </row>
    <row r="1681" spans="1:11">
      <c r="A1681" s="24" t="s">
        <v>15810</v>
      </c>
      <c r="B1681" s="24" t="s">
        <v>15810</v>
      </c>
      <c r="C1681" s="24" t="s">
        <v>15959</v>
      </c>
      <c r="D1681" s="24" t="s">
        <v>15915</v>
      </c>
      <c r="E1681" s="24" t="s">
        <v>15915</v>
      </c>
      <c r="F1681" s="29" t="s">
        <v>13078</v>
      </c>
      <c r="G1681" s="24" t="s">
        <v>13079</v>
      </c>
      <c r="H1681" s="11" t="str">
        <f t="shared" si="52"/>
        <v>23/01/1914</v>
      </c>
      <c r="J1681" s="11" t="str">
        <f t="shared" si="53"/>
        <v xml:space="preserve"> </v>
      </c>
      <c r="K1681" s="24" t="s">
        <v>13079</v>
      </c>
    </row>
    <row r="1682" spans="1:11">
      <c r="A1682" s="24" t="s">
        <v>15833</v>
      </c>
      <c r="B1682" s="24" t="s">
        <v>15833</v>
      </c>
      <c r="C1682" s="24" t="s">
        <v>15937</v>
      </c>
      <c r="D1682" s="24" t="s">
        <v>15870</v>
      </c>
      <c r="E1682" s="24" t="s">
        <v>15905</v>
      </c>
      <c r="F1682" s="29" t="s">
        <v>13055</v>
      </c>
      <c r="G1682" s="24" t="s">
        <v>13057</v>
      </c>
      <c r="H1682" s="11" t="str">
        <f t="shared" si="52"/>
        <v>14/09/1894</v>
      </c>
      <c r="J1682" s="11" t="str">
        <f t="shared" si="53"/>
        <v xml:space="preserve"> </v>
      </c>
      <c r="K1682" s="24" t="s">
        <v>13057</v>
      </c>
    </row>
    <row r="1683" spans="1:11">
      <c r="A1683" s="24" t="s">
        <v>15823</v>
      </c>
      <c r="B1683" s="24" t="s">
        <v>15823</v>
      </c>
      <c r="C1683" s="24" t="s">
        <v>15917</v>
      </c>
      <c r="D1683" s="24" t="s">
        <v>15870</v>
      </c>
      <c r="E1683" s="24" t="s">
        <v>15801</v>
      </c>
      <c r="F1683" s="29" t="s">
        <v>13127</v>
      </c>
      <c r="G1683" s="24" t="s">
        <v>13128</v>
      </c>
      <c r="H1683" s="11" t="str">
        <f t="shared" si="52"/>
        <v>10/04/1869</v>
      </c>
      <c r="J1683" s="11" t="str">
        <f t="shared" si="53"/>
        <v xml:space="preserve"> </v>
      </c>
      <c r="K1683" s="24" t="s">
        <v>13128</v>
      </c>
    </row>
    <row r="1684" spans="1:11">
      <c r="A1684" s="24" t="s">
        <v>15801</v>
      </c>
      <c r="B1684" s="24" t="s">
        <v>15834</v>
      </c>
      <c r="C1684" s="24" t="s">
        <v>15887</v>
      </c>
      <c r="D1684" s="24" t="s">
        <v>15900</v>
      </c>
      <c r="E1684" s="24" t="s">
        <v>15816</v>
      </c>
      <c r="G1684" s="24">
        <v>1856</v>
      </c>
      <c r="H1684" s="11"/>
      <c r="J1684" s="11" t="str">
        <f t="shared" si="53"/>
        <v xml:space="preserve"> </v>
      </c>
    </row>
    <row r="1685" spans="1:11">
      <c r="A1685" s="24" t="s">
        <v>15802</v>
      </c>
      <c r="B1685" s="24" t="s">
        <v>15802</v>
      </c>
      <c r="C1685" s="24" t="s">
        <v>15801</v>
      </c>
      <c r="D1685" s="24" t="s">
        <v>15900</v>
      </c>
      <c r="E1685" s="24" t="s">
        <v>15884</v>
      </c>
      <c r="F1685" s="29" t="s">
        <v>13090</v>
      </c>
      <c r="H1685" s="11" t="str">
        <f t="shared" si="52"/>
        <v/>
      </c>
      <c r="J1685" s="11" t="str">
        <f t="shared" si="53"/>
        <v xml:space="preserve"> </v>
      </c>
      <c r="K1685" s="24" t="s">
        <v>15801</v>
      </c>
    </row>
    <row r="1686" spans="1:11">
      <c r="A1686" s="24" t="s">
        <v>15811</v>
      </c>
      <c r="B1686" s="24" t="s">
        <v>15811</v>
      </c>
      <c r="C1686" s="24" t="s">
        <v>15918</v>
      </c>
      <c r="D1686" s="24" t="s">
        <v>15908</v>
      </c>
      <c r="E1686" s="24" t="s">
        <v>15801</v>
      </c>
      <c r="F1686" s="29" t="s">
        <v>13071</v>
      </c>
      <c r="G1686" s="24">
        <v>1867</v>
      </c>
      <c r="H1686" s="11"/>
      <c r="J1686" s="11" t="str">
        <f t="shared" si="53"/>
        <v xml:space="preserve"> </v>
      </c>
    </row>
    <row r="1687" spans="1:11">
      <c r="A1687" s="24" t="s">
        <v>15830</v>
      </c>
      <c r="B1687" s="24" t="s">
        <v>15830</v>
      </c>
      <c r="C1687" s="24" t="s">
        <v>15801</v>
      </c>
      <c r="D1687" s="24" t="s">
        <v>15915</v>
      </c>
      <c r="E1687" s="24" t="s">
        <v>15971</v>
      </c>
      <c r="F1687" s="29" t="s">
        <v>13141</v>
      </c>
      <c r="H1687" s="11" t="str">
        <f t="shared" si="52"/>
        <v/>
      </c>
      <c r="J1687" s="11" t="str">
        <f t="shared" si="53"/>
        <v xml:space="preserve"> </v>
      </c>
      <c r="K1687" s="24" t="s">
        <v>15801</v>
      </c>
    </row>
    <row r="1688" spans="1:11">
      <c r="A1688" s="24" t="s">
        <v>15821</v>
      </c>
      <c r="B1688" s="24" t="s">
        <v>15821</v>
      </c>
      <c r="C1688" s="24" t="s">
        <v>15801</v>
      </c>
      <c r="D1688" s="24" t="s">
        <v>15901</v>
      </c>
      <c r="E1688" s="24" t="s">
        <v>15956</v>
      </c>
      <c r="F1688" s="29" t="s">
        <v>13147</v>
      </c>
      <c r="H1688" s="11" t="str">
        <f t="shared" si="52"/>
        <v/>
      </c>
      <c r="J1688" s="11" t="str">
        <f t="shared" si="53"/>
        <v xml:space="preserve"> </v>
      </c>
      <c r="K1688" s="24" t="s">
        <v>15801</v>
      </c>
    </row>
    <row r="1689" spans="1:11">
      <c r="A1689" s="24" t="s">
        <v>15801</v>
      </c>
      <c r="B1689" s="24" t="s">
        <v>15859</v>
      </c>
      <c r="C1689" s="24" t="s">
        <v>15801</v>
      </c>
      <c r="D1689" s="24" t="s">
        <v>15801</v>
      </c>
      <c r="E1689" s="24" t="s">
        <v>15821</v>
      </c>
      <c r="H1689" s="11" t="str">
        <f t="shared" si="52"/>
        <v/>
      </c>
      <c r="J1689" s="11" t="str">
        <f t="shared" si="53"/>
        <v xml:space="preserve"> </v>
      </c>
      <c r="K1689" s="24" t="s">
        <v>15801</v>
      </c>
    </row>
    <row r="1690" spans="1:11">
      <c r="A1690" s="24" t="s">
        <v>15837</v>
      </c>
      <c r="B1690" s="24" t="s">
        <v>15837</v>
      </c>
      <c r="C1690" s="24" t="s">
        <v>15896</v>
      </c>
      <c r="D1690" s="24" t="s">
        <v>15884</v>
      </c>
      <c r="E1690" s="24" t="s">
        <v>15823</v>
      </c>
      <c r="F1690" s="29" t="s">
        <v>13233</v>
      </c>
      <c r="G1690" s="24" t="s">
        <v>13235</v>
      </c>
      <c r="H1690" s="11" t="str">
        <f t="shared" si="52"/>
        <v>20/10/1887</v>
      </c>
      <c r="J1690" s="11" t="str">
        <f t="shared" si="53"/>
        <v xml:space="preserve"> </v>
      </c>
      <c r="K1690" s="24" t="s">
        <v>13235</v>
      </c>
    </row>
    <row r="1691" spans="1:11">
      <c r="A1691" s="24" t="s">
        <v>15825</v>
      </c>
      <c r="B1691" s="24" t="s">
        <v>15825</v>
      </c>
      <c r="C1691" s="24" t="s">
        <v>15801</v>
      </c>
      <c r="D1691" s="24" t="s">
        <v>15915</v>
      </c>
      <c r="E1691" s="24" t="s">
        <v>15915</v>
      </c>
      <c r="F1691" s="29" t="s">
        <v>13205</v>
      </c>
      <c r="H1691" s="11" t="str">
        <f t="shared" si="52"/>
        <v/>
      </c>
      <c r="J1691" s="11" t="str">
        <f t="shared" si="53"/>
        <v xml:space="preserve"> </v>
      </c>
      <c r="K1691" s="24" t="s">
        <v>15801</v>
      </c>
    </row>
    <row r="1692" spans="1:11">
      <c r="A1692" s="24" t="s">
        <v>15801</v>
      </c>
      <c r="B1692" s="24" t="s">
        <v>15845</v>
      </c>
      <c r="C1692" s="24" t="s">
        <v>15801</v>
      </c>
      <c r="D1692" s="24" t="s">
        <v>15915</v>
      </c>
      <c r="E1692" s="24" t="s">
        <v>15828</v>
      </c>
      <c r="H1692" s="11" t="str">
        <f t="shared" si="52"/>
        <v/>
      </c>
      <c r="J1692" s="11" t="str">
        <f t="shared" si="53"/>
        <v xml:space="preserve"> </v>
      </c>
      <c r="K1692" s="24" t="s">
        <v>15801</v>
      </c>
    </row>
    <row r="1693" spans="1:11">
      <c r="A1693" s="24" t="s">
        <v>15801</v>
      </c>
      <c r="B1693" s="24" t="s">
        <v>15801</v>
      </c>
      <c r="C1693" s="24" t="s">
        <v>15801</v>
      </c>
      <c r="D1693" s="24" t="s">
        <v>15915</v>
      </c>
      <c r="E1693" s="24" t="s">
        <v>15801</v>
      </c>
      <c r="H1693" s="11" t="str">
        <f t="shared" si="52"/>
        <v/>
      </c>
      <c r="J1693" s="11" t="str">
        <f t="shared" si="53"/>
        <v xml:space="preserve"> </v>
      </c>
      <c r="K1693" s="24" t="s">
        <v>15801</v>
      </c>
    </row>
    <row r="1694" spans="1:11">
      <c r="A1694" s="24" t="s">
        <v>15820</v>
      </c>
      <c r="B1694" s="24" t="s">
        <v>15820</v>
      </c>
      <c r="C1694" s="24" t="s">
        <v>15937</v>
      </c>
      <c r="D1694" s="24" t="s">
        <v>15801</v>
      </c>
      <c r="E1694" s="24" t="s">
        <v>15801</v>
      </c>
      <c r="F1694" s="29" t="s">
        <v>13243</v>
      </c>
      <c r="G1694" s="24" t="s">
        <v>12703</v>
      </c>
      <c r="H1694" s="11" t="str">
        <f t="shared" si="52"/>
        <v>10/12/1894</v>
      </c>
      <c r="J1694" s="11" t="str">
        <f t="shared" si="53"/>
        <v xml:space="preserve"> </v>
      </c>
      <c r="K1694" s="24" t="s">
        <v>12703</v>
      </c>
    </row>
    <row r="1695" spans="1:11">
      <c r="A1695" s="24" t="s">
        <v>15801</v>
      </c>
      <c r="B1695" s="24" t="s">
        <v>15839</v>
      </c>
      <c r="C1695" s="24" t="s">
        <v>15801</v>
      </c>
      <c r="D1695" s="24" t="s">
        <v>15915</v>
      </c>
      <c r="E1695" s="24" t="s">
        <v>15827</v>
      </c>
      <c r="H1695" s="11" t="str">
        <f t="shared" si="52"/>
        <v/>
      </c>
      <c r="J1695" s="11" t="str">
        <f t="shared" si="53"/>
        <v xml:space="preserve"> </v>
      </c>
      <c r="K1695" s="24" t="s">
        <v>15801</v>
      </c>
    </row>
    <row r="1696" spans="1:11">
      <c r="A1696" s="24" t="s">
        <v>15801</v>
      </c>
      <c r="B1696" s="24" t="s">
        <v>15850</v>
      </c>
      <c r="C1696" s="24" t="s">
        <v>15801</v>
      </c>
      <c r="D1696" s="24" t="s">
        <v>15900</v>
      </c>
      <c r="E1696" s="24" t="s">
        <v>15816</v>
      </c>
      <c r="H1696" s="11" t="str">
        <f t="shared" si="52"/>
        <v/>
      </c>
      <c r="J1696" s="11" t="str">
        <f t="shared" si="53"/>
        <v xml:space="preserve"> </v>
      </c>
      <c r="K1696" s="24" t="s">
        <v>15801</v>
      </c>
    </row>
    <row r="1697" spans="1:11">
      <c r="A1697" s="24" t="s">
        <v>15802</v>
      </c>
      <c r="B1697" s="24" t="s">
        <v>15802</v>
      </c>
      <c r="C1697" s="24" t="s">
        <v>15801</v>
      </c>
      <c r="D1697" s="24" t="s">
        <v>15900</v>
      </c>
      <c r="E1697" s="24" t="s">
        <v>15899</v>
      </c>
      <c r="F1697" s="29" t="s">
        <v>13226</v>
      </c>
      <c r="H1697" s="11" t="str">
        <f t="shared" si="52"/>
        <v/>
      </c>
      <c r="J1697" s="11" t="str">
        <f t="shared" si="53"/>
        <v xml:space="preserve"> </v>
      </c>
      <c r="K1697" s="24" t="s">
        <v>15801</v>
      </c>
    </row>
    <row r="1698" spans="1:11">
      <c r="A1698" s="24" t="s">
        <v>15833</v>
      </c>
      <c r="B1698" s="24" t="s">
        <v>15833</v>
      </c>
      <c r="C1698" s="24" t="s">
        <v>15902</v>
      </c>
      <c r="D1698" s="24" t="s">
        <v>15899</v>
      </c>
      <c r="E1698" s="24" t="s">
        <v>15899</v>
      </c>
      <c r="F1698" s="29" t="s">
        <v>12515</v>
      </c>
      <c r="G1698" s="24" t="s">
        <v>13286</v>
      </c>
      <c r="H1698" s="11" t="str">
        <f t="shared" si="52"/>
        <v>26/06/1876</v>
      </c>
      <c r="J1698" s="11" t="str">
        <f t="shared" si="53"/>
        <v xml:space="preserve"> </v>
      </c>
      <c r="K1698" s="24" t="s">
        <v>13286</v>
      </c>
    </row>
    <row r="1699" spans="1:11">
      <c r="A1699" s="24" t="s">
        <v>15823</v>
      </c>
      <c r="B1699" s="24" t="s">
        <v>15823</v>
      </c>
      <c r="C1699" s="24" t="s">
        <v>15801</v>
      </c>
      <c r="D1699" s="24" t="s">
        <v>15900</v>
      </c>
      <c r="E1699" s="24" t="s">
        <v>15801</v>
      </c>
      <c r="F1699" s="29" t="s">
        <v>428</v>
      </c>
      <c r="H1699" s="11" t="str">
        <f t="shared" si="52"/>
        <v/>
      </c>
      <c r="J1699" s="11" t="str">
        <f t="shared" si="53"/>
        <v xml:space="preserve"> </v>
      </c>
      <c r="K1699" s="24" t="s">
        <v>15801</v>
      </c>
    </row>
    <row r="1700" spans="1:11">
      <c r="A1700" s="24" t="s">
        <v>15801</v>
      </c>
      <c r="B1700" s="24" t="s">
        <v>15834</v>
      </c>
      <c r="C1700" s="24" t="s">
        <v>15801</v>
      </c>
      <c r="D1700" s="24" t="s">
        <v>15884</v>
      </c>
      <c r="E1700" s="24" t="s">
        <v>15801</v>
      </c>
      <c r="H1700" s="11" t="str">
        <f t="shared" si="52"/>
        <v/>
      </c>
      <c r="J1700" s="11" t="str">
        <f t="shared" si="53"/>
        <v xml:space="preserve"> </v>
      </c>
      <c r="K1700" s="24" t="s">
        <v>15801</v>
      </c>
    </row>
    <row r="1701" spans="1:11">
      <c r="A1701" s="24" t="s">
        <v>15811</v>
      </c>
      <c r="B1701" s="24" t="s">
        <v>15811</v>
      </c>
      <c r="C1701" s="24" t="s">
        <v>15801</v>
      </c>
      <c r="D1701" s="24" t="s">
        <v>15900</v>
      </c>
      <c r="E1701" s="24" t="s">
        <v>15801</v>
      </c>
      <c r="F1701" s="29" t="s">
        <v>13239</v>
      </c>
      <c r="H1701" s="11" t="str">
        <f t="shared" si="52"/>
        <v/>
      </c>
      <c r="J1701" s="11" t="str">
        <f t="shared" si="53"/>
        <v xml:space="preserve"> </v>
      </c>
      <c r="K1701" s="24" t="s">
        <v>15801</v>
      </c>
    </row>
    <row r="1702" spans="1:11">
      <c r="A1702" s="24" t="s">
        <v>15814</v>
      </c>
      <c r="B1702" s="24" t="s">
        <v>15814</v>
      </c>
      <c r="C1702" s="24" t="s">
        <v>15910</v>
      </c>
      <c r="D1702" s="24" t="s">
        <v>15900</v>
      </c>
      <c r="E1702" s="24" t="s">
        <v>15844</v>
      </c>
      <c r="F1702" s="29" t="s">
        <v>9665</v>
      </c>
      <c r="G1702" s="24" t="s">
        <v>13315</v>
      </c>
      <c r="H1702" s="11" t="str">
        <f t="shared" si="52"/>
        <v>12/07/1889</v>
      </c>
      <c r="J1702" s="11" t="str">
        <f t="shared" si="53"/>
        <v xml:space="preserve"> </v>
      </c>
      <c r="K1702" s="24" t="s">
        <v>13315</v>
      </c>
    </row>
    <row r="1703" spans="1:11">
      <c r="A1703" s="24" t="s">
        <v>15819</v>
      </c>
      <c r="B1703" s="24" t="s">
        <v>15819</v>
      </c>
      <c r="C1703" s="24" t="s">
        <v>15801</v>
      </c>
      <c r="D1703" s="24" t="s">
        <v>15884</v>
      </c>
      <c r="E1703" s="24" t="s">
        <v>15876</v>
      </c>
      <c r="F1703" s="29" t="s">
        <v>13256</v>
      </c>
      <c r="H1703" s="11" t="str">
        <f t="shared" si="52"/>
        <v/>
      </c>
      <c r="J1703" s="11" t="str">
        <f t="shared" si="53"/>
        <v xml:space="preserve"> </v>
      </c>
      <c r="K1703" s="24" t="s">
        <v>15801</v>
      </c>
    </row>
    <row r="1704" spans="1:11">
      <c r="A1704" s="24" t="s">
        <v>15821</v>
      </c>
      <c r="B1704" s="24" t="s">
        <v>15821</v>
      </c>
      <c r="C1704" s="24" t="s">
        <v>15801</v>
      </c>
      <c r="D1704" s="24" t="s">
        <v>15899</v>
      </c>
      <c r="E1704" s="24" t="s">
        <v>15884</v>
      </c>
      <c r="F1704" s="29" t="s">
        <v>207</v>
      </c>
      <c r="H1704" s="11" t="str">
        <f t="shared" si="52"/>
        <v/>
      </c>
      <c r="J1704" s="11" t="str">
        <f t="shared" si="53"/>
        <v xml:space="preserve"> </v>
      </c>
      <c r="K1704" s="24" t="s">
        <v>15801</v>
      </c>
    </row>
    <row r="1705" spans="1:11">
      <c r="A1705" s="24" t="s">
        <v>15810</v>
      </c>
      <c r="B1705" s="24" t="s">
        <v>15810</v>
      </c>
      <c r="C1705" s="24" t="s">
        <v>15930</v>
      </c>
      <c r="D1705" s="24" t="s">
        <v>15915</v>
      </c>
      <c r="E1705" s="24" t="s">
        <v>15899</v>
      </c>
      <c r="F1705" s="29" t="s">
        <v>5305</v>
      </c>
      <c r="G1705" s="24" t="s">
        <v>13321</v>
      </c>
      <c r="H1705" s="11" t="str">
        <f t="shared" si="52"/>
        <v>23/01/1896</v>
      </c>
      <c r="J1705" s="11" t="str">
        <f t="shared" si="53"/>
        <v xml:space="preserve"> </v>
      </c>
      <c r="K1705" s="24" t="s">
        <v>13321</v>
      </c>
    </row>
    <row r="1706" spans="1:11">
      <c r="A1706" s="24" t="s">
        <v>15801</v>
      </c>
      <c r="B1706" s="24" t="s">
        <v>15830</v>
      </c>
      <c r="C1706" s="24" t="s">
        <v>15801</v>
      </c>
      <c r="D1706" s="24" t="s">
        <v>15870</v>
      </c>
      <c r="E1706" s="24" t="s">
        <v>15832</v>
      </c>
      <c r="H1706" s="11" t="str">
        <f t="shared" si="52"/>
        <v/>
      </c>
      <c r="J1706" s="11" t="str">
        <f t="shared" si="53"/>
        <v xml:space="preserve"> </v>
      </c>
      <c r="K1706" s="24" t="s">
        <v>15801</v>
      </c>
    </row>
    <row r="1707" spans="1:11">
      <c r="A1707" s="24" t="s">
        <v>15801</v>
      </c>
      <c r="B1707" s="24" t="s">
        <v>15815</v>
      </c>
      <c r="C1707" s="24" t="s">
        <v>15953</v>
      </c>
      <c r="D1707" s="24" t="s">
        <v>15870</v>
      </c>
      <c r="E1707" s="24" t="s">
        <v>15864</v>
      </c>
      <c r="G1707" s="24" t="s">
        <v>13189</v>
      </c>
      <c r="H1707" s="11" t="str">
        <f t="shared" si="52"/>
        <v>01/09/1882</v>
      </c>
      <c r="J1707" s="11" t="str">
        <f t="shared" si="53"/>
        <v xml:space="preserve"> </v>
      </c>
      <c r="K1707" s="24" t="s">
        <v>13189</v>
      </c>
    </row>
    <row r="1708" spans="1:11">
      <c r="A1708" s="24" t="s">
        <v>15801</v>
      </c>
      <c r="B1708" s="24" t="s">
        <v>15818</v>
      </c>
      <c r="C1708" s="24" t="s">
        <v>15880</v>
      </c>
      <c r="D1708" s="24" t="s">
        <v>15870</v>
      </c>
      <c r="E1708" s="24" t="s">
        <v>15971</v>
      </c>
      <c r="G1708" s="24" t="s">
        <v>13261</v>
      </c>
      <c r="H1708" s="11" t="str">
        <f t="shared" si="52"/>
        <v>03/07/1892</v>
      </c>
      <c r="J1708" s="11" t="str">
        <f t="shared" si="53"/>
        <v xml:space="preserve"> </v>
      </c>
      <c r="K1708" s="24" t="s">
        <v>13261</v>
      </c>
    </row>
    <row r="1709" spans="1:11">
      <c r="A1709" s="24" t="s">
        <v>15807</v>
      </c>
      <c r="B1709" s="24" t="s">
        <v>15807</v>
      </c>
      <c r="C1709" s="24" t="s">
        <v>15913</v>
      </c>
      <c r="D1709" s="24" t="s">
        <v>15870</v>
      </c>
      <c r="E1709" s="24" t="s">
        <v>15851</v>
      </c>
      <c r="F1709" s="29" t="s">
        <v>13280</v>
      </c>
      <c r="G1709" s="24" t="s">
        <v>13282</v>
      </c>
      <c r="H1709" s="11" t="str">
        <f t="shared" si="52"/>
        <v>04/04/1877</v>
      </c>
      <c r="J1709" s="11" t="str">
        <f t="shared" si="53"/>
        <v xml:space="preserve"> </v>
      </c>
      <c r="K1709" s="24" t="s">
        <v>13282</v>
      </c>
    </row>
    <row r="1710" spans="1:11">
      <c r="A1710" s="24" t="s">
        <v>15810</v>
      </c>
      <c r="B1710" s="24" t="s">
        <v>15810</v>
      </c>
      <c r="C1710" s="24" t="s">
        <v>15801</v>
      </c>
      <c r="D1710" s="24" t="s">
        <v>15884</v>
      </c>
      <c r="E1710" s="24" t="s">
        <v>15884</v>
      </c>
      <c r="F1710" s="29" t="s">
        <v>13304</v>
      </c>
      <c r="H1710" s="11" t="str">
        <f t="shared" si="52"/>
        <v/>
      </c>
      <c r="J1710" s="11" t="str">
        <f t="shared" si="53"/>
        <v xml:space="preserve"> </v>
      </c>
      <c r="K1710" s="24" t="s">
        <v>15801</v>
      </c>
    </row>
    <row r="1711" spans="1:11">
      <c r="A1711" s="24" t="s">
        <v>15822</v>
      </c>
      <c r="B1711" s="24" t="s">
        <v>15822</v>
      </c>
      <c r="C1711" s="24" t="s">
        <v>15917</v>
      </c>
      <c r="D1711" s="24" t="s">
        <v>15884</v>
      </c>
      <c r="E1711" s="24" t="s">
        <v>15819</v>
      </c>
      <c r="F1711" s="29" t="s">
        <v>13178</v>
      </c>
      <c r="G1711" s="24" t="s">
        <v>13128</v>
      </c>
      <c r="H1711" s="11" t="str">
        <f t="shared" si="52"/>
        <v>10/04/1869</v>
      </c>
      <c r="J1711" s="11" t="str">
        <f t="shared" si="53"/>
        <v xml:space="preserve"> </v>
      </c>
      <c r="K1711" s="24" t="s">
        <v>13128</v>
      </c>
    </row>
    <row r="1712" spans="1:11">
      <c r="A1712" s="24" t="s">
        <v>15820</v>
      </c>
      <c r="B1712" s="24" t="s">
        <v>15820</v>
      </c>
      <c r="C1712" s="24" t="s">
        <v>15801</v>
      </c>
      <c r="D1712" s="24" t="s">
        <v>15900</v>
      </c>
      <c r="E1712" s="24" t="s">
        <v>15801</v>
      </c>
      <c r="F1712" s="29" t="s">
        <v>13276</v>
      </c>
      <c r="H1712" s="11" t="str">
        <f t="shared" si="52"/>
        <v/>
      </c>
      <c r="J1712" s="11" t="str">
        <f t="shared" si="53"/>
        <v xml:space="preserve"> </v>
      </c>
      <c r="K1712" s="24" t="s">
        <v>15801</v>
      </c>
    </row>
    <row r="1713" spans="1:11">
      <c r="A1713" s="24" t="s">
        <v>15835</v>
      </c>
      <c r="B1713" s="24" t="s">
        <v>15835</v>
      </c>
      <c r="C1713" s="24" t="s">
        <v>15916</v>
      </c>
      <c r="D1713" s="24" t="s">
        <v>15899</v>
      </c>
      <c r="E1713" s="24" t="s">
        <v>15811</v>
      </c>
      <c r="F1713" s="29" t="s">
        <v>13222</v>
      </c>
      <c r="G1713" s="24" t="s">
        <v>13223</v>
      </c>
      <c r="H1713" s="11" t="str">
        <f t="shared" si="52"/>
        <v>26/05/1885</v>
      </c>
      <c r="J1713" s="11" t="str">
        <f t="shared" si="53"/>
        <v xml:space="preserve"> </v>
      </c>
      <c r="K1713" s="24" t="s">
        <v>13223</v>
      </c>
    </row>
    <row r="1714" spans="1:11">
      <c r="A1714" s="24" t="s">
        <v>15821</v>
      </c>
      <c r="B1714" s="24" t="s">
        <v>15821</v>
      </c>
      <c r="C1714" s="24" t="s">
        <v>15801</v>
      </c>
      <c r="D1714" s="24" t="s">
        <v>15908</v>
      </c>
      <c r="E1714" s="24" t="s">
        <v>15801</v>
      </c>
      <c r="F1714" s="29" t="s">
        <v>13272</v>
      </c>
      <c r="H1714" s="11" t="str">
        <f t="shared" si="52"/>
        <v/>
      </c>
      <c r="J1714" s="11" t="str">
        <f t="shared" si="53"/>
        <v xml:space="preserve"> </v>
      </c>
      <c r="K1714" s="24" t="s">
        <v>15801</v>
      </c>
    </row>
    <row r="1715" spans="1:11">
      <c r="A1715" s="24" t="s">
        <v>15801</v>
      </c>
      <c r="B1715" s="24" t="s">
        <v>15814</v>
      </c>
      <c r="C1715" s="24" t="s">
        <v>15888</v>
      </c>
      <c r="D1715" s="24" t="s">
        <v>15931</v>
      </c>
      <c r="E1715" s="24" t="s">
        <v>15971</v>
      </c>
      <c r="G1715" s="24" t="s">
        <v>13268</v>
      </c>
      <c r="H1715" s="11" t="str">
        <f t="shared" si="52"/>
        <v>30/10/1864</v>
      </c>
      <c r="J1715" s="11" t="str">
        <f t="shared" si="53"/>
        <v xml:space="preserve"> </v>
      </c>
      <c r="K1715" s="24" t="s">
        <v>13268</v>
      </c>
    </row>
    <row r="1716" spans="1:11">
      <c r="A1716" s="24" t="s">
        <v>15801</v>
      </c>
      <c r="B1716" s="24" t="s">
        <v>15841</v>
      </c>
      <c r="C1716" s="24" t="s">
        <v>15801</v>
      </c>
      <c r="D1716" s="24" t="s">
        <v>15801</v>
      </c>
      <c r="E1716" s="24" t="s">
        <v>15828</v>
      </c>
      <c r="H1716" s="11" t="str">
        <f t="shared" si="52"/>
        <v/>
      </c>
      <c r="J1716" s="11" t="str">
        <f t="shared" si="53"/>
        <v xml:space="preserve"> </v>
      </c>
      <c r="K1716" s="24" t="s">
        <v>15801</v>
      </c>
    </row>
    <row r="1717" spans="1:11">
      <c r="A1717" s="24" t="s">
        <v>15820</v>
      </c>
      <c r="B1717" s="24" t="s">
        <v>15820</v>
      </c>
      <c r="C1717" s="24" t="s">
        <v>15801</v>
      </c>
      <c r="D1717" s="24" t="s">
        <v>15801</v>
      </c>
      <c r="E1717" s="24" t="s">
        <v>15920</v>
      </c>
      <c r="F1717" s="29" t="s">
        <v>2743</v>
      </c>
      <c r="H1717" s="11" t="str">
        <f t="shared" si="52"/>
        <v/>
      </c>
      <c r="J1717" s="11" t="str">
        <f t="shared" si="53"/>
        <v xml:space="preserve"> </v>
      </c>
      <c r="K1717" s="24" t="s">
        <v>15801</v>
      </c>
    </row>
    <row r="1718" spans="1:11">
      <c r="A1718" s="24" t="s">
        <v>15801</v>
      </c>
      <c r="B1718" s="24" t="s">
        <v>15808</v>
      </c>
      <c r="C1718" s="24" t="s">
        <v>15930</v>
      </c>
      <c r="D1718" s="24" t="s">
        <v>15908</v>
      </c>
      <c r="E1718" s="24" t="s">
        <v>15819</v>
      </c>
      <c r="G1718" s="24" t="s">
        <v>13291</v>
      </c>
      <c r="H1718" s="11" t="str">
        <f t="shared" si="52"/>
        <v>09/02/1896</v>
      </c>
      <c r="J1718" s="11" t="str">
        <f t="shared" si="53"/>
        <v xml:space="preserve"> </v>
      </c>
      <c r="K1718" s="24" t="s">
        <v>13291</v>
      </c>
    </row>
    <row r="1719" spans="1:11">
      <c r="A1719" s="24" t="s">
        <v>15817</v>
      </c>
      <c r="B1719" s="24" t="s">
        <v>15817</v>
      </c>
      <c r="C1719" s="24" t="s">
        <v>15896</v>
      </c>
      <c r="D1719" s="24" t="s">
        <v>15801</v>
      </c>
      <c r="E1719" s="24" t="s">
        <v>15948</v>
      </c>
      <c r="F1719" s="29" t="s">
        <v>13214</v>
      </c>
      <c r="G1719" s="24" t="s">
        <v>13216</v>
      </c>
      <c r="H1719" s="11" t="str">
        <f t="shared" si="52"/>
        <v>08/08/1887</v>
      </c>
      <c r="J1719" s="11" t="str">
        <f t="shared" si="53"/>
        <v xml:space="preserve"> </v>
      </c>
      <c r="K1719" s="24" t="s">
        <v>13216</v>
      </c>
    </row>
    <row r="1720" spans="1:11">
      <c r="A1720" s="24" t="s">
        <v>15833</v>
      </c>
      <c r="B1720" s="24" t="s">
        <v>15833</v>
      </c>
      <c r="C1720" s="24" t="s">
        <v>15941</v>
      </c>
      <c r="D1720" s="24" t="s">
        <v>15908</v>
      </c>
      <c r="E1720" s="24" t="s">
        <v>15801</v>
      </c>
      <c r="F1720" s="29" t="s">
        <v>13250</v>
      </c>
      <c r="G1720" s="24" t="s">
        <v>15777</v>
      </c>
      <c r="H1720" s="11" t="str">
        <f t="shared" si="52"/>
        <v>6/1/1902</v>
      </c>
      <c r="J1720" s="11" t="str">
        <f t="shared" si="53"/>
        <v xml:space="preserve"> </v>
      </c>
      <c r="K1720" s="24" t="s">
        <v>15777</v>
      </c>
    </row>
    <row r="1721" spans="1:11">
      <c r="A1721" s="24" t="s">
        <v>15801</v>
      </c>
      <c r="B1721" s="24" t="s">
        <v>15836</v>
      </c>
      <c r="C1721" s="24" t="s">
        <v>15801</v>
      </c>
      <c r="D1721" s="24" t="s">
        <v>15899</v>
      </c>
      <c r="E1721" s="24" t="s">
        <v>15818</v>
      </c>
      <c r="H1721" s="11" t="str">
        <f t="shared" si="52"/>
        <v/>
      </c>
      <c r="J1721" s="11" t="str">
        <f t="shared" si="53"/>
        <v xml:space="preserve"> </v>
      </c>
      <c r="K1721" s="24" t="s">
        <v>15801</v>
      </c>
    </row>
    <row r="1722" spans="1:11">
      <c r="A1722" s="24" t="s">
        <v>15802</v>
      </c>
      <c r="B1722" s="24" t="s">
        <v>15802</v>
      </c>
      <c r="C1722" s="24" t="s">
        <v>15912</v>
      </c>
      <c r="D1722" s="24" t="s">
        <v>15899</v>
      </c>
      <c r="E1722" s="24" t="s">
        <v>15899</v>
      </c>
      <c r="F1722" s="29" t="s">
        <v>13154</v>
      </c>
      <c r="G1722" s="24" t="s">
        <v>13156</v>
      </c>
      <c r="H1722" s="11" t="str">
        <f t="shared" si="52"/>
        <v>29/05/1893</v>
      </c>
      <c r="J1722" s="11" t="str">
        <f t="shared" si="53"/>
        <v xml:space="preserve"> </v>
      </c>
      <c r="K1722" s="24" t="s">
        <v>13156</v>
      </c>
    </row>
    <row r="1723" spans="1:11">
      <c r="A1723" s="24" t="s">
        <v>15801</v>
      </c>
      <c r="B1723" s="24" t="s">
        <v>15850</v>
      </c>
      <c r="C1723" s="24" t="s">
        <v>15801</v>
      </c>
      <c r="D1723" s="24" t="s">
        <v>15801</v>
      </c>
      <c r="E1723" s="24" t="s">
        <v>15819</v>
      </c>
      <c r="H1723" s="11" t="str">
        <f t="shared" si="52"/>
        <v/>
      </c>
      <c r="J1723" s="11" t="str">
        <f t="shared" si="53"/>
        <v xml:space="preserve"> </v>
      </c>
      <c r="K1723" s="24" t="s">
        <v>15801</v>
      </c>
    </row>
    <row r="1724" spans="1:11">
      <c r="A1724" s="24" t="s">
        <v>15817</v>
      </c>
      <c r="B1724" s="24" t="s">
        <v>15817</v>
      </c>
      <c r="C1724" s="24" t="s">
        <v>15801</v>
      </c>
      <c r="D1724" s="24" t="s">
        <v>15908</v>
      </c>
      <c r="E1724" s="24" t="s">
        <v>15900</v>
      </c>
      <c r="F1724" s="29" t="s">
        <v>13328</v>
      </c>
      <c r="H1724" s="11" t="str">
        <f t="shared" si="52"/>
        <v/>
      </c>
      <c r="J1724" s="11" t="str">
        <f t="shared" si="53"/>
        <v xml:space="preserve"> </v>
      </c>
      <c r="K1724" s="24" t="s">
        <v>15801</v>
      </c>
    </row>
    <row r="1725" spans="1:11">
      <c r="A1725" s="24" t="s">
        <v>15801</v>
      </c>
      <c r="B1725" s="24" t="s">
        <v>15841</v>
      </c>
      <c r="C1725" s="24" t="s">
        <v>15801</v>
      </c>
      <c r="D1725" s="24" t="s">
        <v>15899</v>
      </c>
      <c r="E1725" s="24" t="s">
        <v>15833</v>
      </c>
      <c r="H1725" s="11" t="str">
        <f t="shared" si="52"/>
        <v/>
      </c>
      <c r="J1725" s="11" t="str">
        <f t="shared" si="53"/>
        <v xml:space="preserve"> </v>
      </c>
      <c r="K1725" s="24" t="s">
        <v>15801</v>
      </c>
    </row>
    <row r="1726" spans="1:11">
      <c r="A1726" s="24" t="s">
        <v>15801</v>
      </c>
      <c r="B1726" s="24" t="s">
        <v>15835</v>
      </c>
      <c r="C1726" s="24" t="s">
        <v>15801</v>
      </c>
      <c r="D1726" s="24" t="s">
        <v>15899</v>
      </c>
      <c r="E1726" s="24" t="s">
        <v>15820</v>
      </c>
      <c r="H1726" s="11" t="str">
        <f t="shared" si="52"/>
        <v/>
      </c>
      <c r="J1726" s="11" t="str">
        <f t="shared" si="53"/>
        <v xml:space="preserve"> </v>
      </c>
      <c r="K1726" s="24" t="s">
        <v>15801</v>
      </c>
    </row>
    <row r="1727" spans="1:11">
      <c r="A1727" s="24" t="s">
        <v>15823</v>
      </c>
      <c r="B1727" s="24" t="s">
        <v>15823</v>
      </c>
      <c r="C1727" s="24" t="s">
        <v>15801</v>
      </c>
      <c r="D1727" s="24" t="s">
        <v>15899</v>
      </c>
      <c r="E1727" s="24" t="s">
        <v>15878</v>
      </c>
      <c r="F1727" s="29" t="s">
        <v>13332</v>
      </c>
      <c r="H1727" s="11" t="str">
        <f t="shared" si="52"/>
        <v/>
      </c>
      <c r="J1727" s="11" t="str">
        <f t="shared" si="53"/>
        <v xml:space="preserve"> </v>
      </c>
      <c r="K1727" s="24" t="s">
        <v>15801</v>
      </c>
    </row>
    <row r="1728" spans="1:11">
      <c r="A1728" s="24" t="s">
        <v>15818</v>
      </c>
      <c r="B1728" s="24" t="s">
        <v>15818</v>
      </c>
      <c r="C1728" s="24" t="s">
        <v>15888</v>
      </c>
      <c r="D1728" s="24" t="s">
        <v>15901</v>
      </c>
      <c r="E1728" s="24" t="s">
        <v>15876</v>
      </c>
      <c r="F1728" s="29" t="s">
        <v>13343</v>
      </c>
      <c r="G1728" s="24" t="s">
        <v>13344</v>
      </c>
      <c r="H1728" s="11" t="str">
        <f t="shared" si="52"/>
        <v>19/04/1864</v>
      </c>
      <c r="J1728" s="11" t="str">
        <f t="shared" si="53"/>
        <v xml:space="preserve"> </v>
      </c>
      <c r="K1728" s="24" t="s">
        <v>13344</v>
      </c>
    </row>
    <row r="1729" spans="1:11">
      <c r="A1729" s="24" t="s">
        <v>15816</v>
      </c>
      <c r="B1729" s="24" t="s">
        <v>15816</v>
      </c>
      <c r="C1729" s="24" t="s">
        <v>15801</v>
      </c>
      <c r="D1729" s="24" t="s">
        <v>15956</v>
      </c>
      <c r="E1729" s="24" t="s">
        <v>15870</v>
      </c>
      <c r="F1729" s="29" t="s">
        <v>2730</v>
      </c>
      <c r="H1729" s="11" t="str">
        <f t="shared" si="52"/>
        <v/>
      </c>
      <c r="J1729" s="11" t="str">
        <f t="shared" si="53"/>
        <v xml:space="preserve"> </v>
      </c>
      <c r="K1729" s="24" t="s">
        <v>15801</v>
      </c>
    </row>
    <row r="1730" spans="1:11">
      <c r="A1730" s="24" t="s">
        <v>15810</v>
      </c>
      <c r="B1730" s="24" t="s">
        <v>15810</v>
      </c>
      <c r="C1730" s="24" t="s">
        <v>15801</v>
      </c>
      <c r="D1730" s="24" t="s">
        <v>15915</v>
      </c>
      <c r="E1730" s="24" t="s">
        <v>15915</v>
      </c>
      <c r="F1730" s="29" t="s">
        <v>13336</v>
      </c>
      <c r="H1730" s="11" t="str">
        <f t="shared" si="52"/>
        <v/>
      </c>
      <c r="J1730" s="11" t="str">
        <f t="shared" si="53"/>
        <v xml:space="preserve"> </v>
      </c>
      <c r="K1730" s="24" t="s">
        <v>15801</v>
      </c>
    </row>
    <row r="1731" spans="1:11">
      <c r="A1731" s="24" t="s">
        <v>15801</v>
      </c>
      <c r="B1731" s="24" t="s">
        <v>15838</v>
      </c>
      <c r="C1731" s="24" t="s">
        <v>15801</v>
      </c>
      <c r="D1731" s="24" t="s">
        <v>15876</v>
      </c>
      <c r="E1731" s="24" t="s">
        <v>15835</v>
      </c>
      <c r="H1731" s="11" t="str">
        <f t="shared" ref="H1731:H1793" si="54">TRIM(G1731)</f>
        <v/>
      </c>
      <c r="J1731" s="11" t="str">
        <f t="shared" ref="J1731:J1794" si="55">IF(LEN(H1731)=4,"fout"," ")</f>
        <v xml:space="preserve"> </v>
      </c>
      <c r="K1731" s="24" t="s">
        <v>15801</v>
      </c>
    </row>
    <row r="1732" spans="1:11">
      <c r="A1732" s="24" t="s">
        <v>15803</v>
      </c>
      <c r="B1732" s="24" t="s">
        <v>15803</v>
      </c>
      <c r="C1732" s="24" t="s">
        <v>15947</v>
      </c>
      <c r="D1732" s="24" t="s">
        <v>15801</v>
      </c>
      <c r="E1732" s="24" t="s">
        <v>15863</v>
      </c>
      <c r="F1732" s="29" t="s">
        <v>13360</v>
      </c>
      <c r="G1732" s="24" t="s">
        <v>13361</v>
      </c>
      <c r="H1732" s="11" t="str">
        <f t="shared" si="54"/>
        <v>22/10/1870</v>
      </c>
      <c r="J1732" s="11" t="str">
        <f t="shared" si="55"/>
        <v xml:space="preserve"> </v>
      </c>
      <c r="K1732" s="24" t="s">
        <v>13361</v>
      </c>
    </row>
    <row r="1733" spans="1:11">
      <c r="A1733" s="24" t="s">
        <v>15814</v>
      </c>
      <c r="B1733" s="24" t="s">
        <v>15814</v>
      </c>
      <c r="C1733" s="24" t="s">
        <v>15801</v>
      </c>
      <c r="D1733" s="24" t="s">
        <v>15801</v>
      </c>
      <c r="E1733" s="24" t="s">
        <v>15971</v>
      </c>
      <c r="F1733" s="29" t="s">
        <v>13357</v>
      </c>
      <c r="H1733" s="11" t="str">
        <f t="shared" si="54"/>
        <v/>
      </c>
      <c r="J1733" s="11" t="str">
        <f t="shared" si="55"/>
        <v xml:space="preserve"> </v>
      </c>
      <c r="K1733" s="24" t="s">
        <v>15801</v>
      </c>
    </row>
    <row r="1734" spans="1:11">
      <c r="A1734" s="24" t="s">
        <v>15821</v>
      </c>
      <c r="B1734" s="24" t="s">
        <v>15821</v>
      </c>
      <c r="C1734" s="24" t="s">
        <v>15929</v>
      </c>
      <c r="D1734" s="24" t="s">
        <v>15899</v>
      </c>
      <c r="E1734" s="24" t="s">
        <v>15864</v>
      </c>
      <c r="F1734" s="29" t="s">
        <v>13385</v>
      </c>
      <c r="G1734" s="24" t="s">
        <v>13386</v>
      </c>
      <c r="H1734" s="11" t="str">
        <f t="shared" si="54"/>
        <v>25/03/1878</v>
      </c>
      <c r="J1734" s="11" t="str">
        <f t="shared" si="55"/>
        <v xml:space="preserve"> </v>
      </c>
      <c r="K1734" s="24" t="s">
        <v>13386</v>
      </c>
    </row>
    <row r="1735" spans="1:11">
      <c r="A1735" s="24" t="s">
        <v>15827</v>
      </c>
      <c r="B1735" s="24" t="s">
        <v>15827</v>
      </c>
      <c r="C1735" s="24" t="s">
        <v>15880</v>
      </c>
      <c r="D1735" s="24" t="s">
        <v>15899</v>
      </c>
      <c r="E1735" s="24" t="s">
        <v>15899</v>
      </c>
      <c r="F1735" s="29" t="s">
        <v>1621</v>
      </c>
      <c r="G1735" s="24" t="s">
        <v>13354</v>
      </c>
      <c r="H1735" s="11" t="str">
        <f t="shared" si="54"/>
        <v>14/03/1892</v>
      </c>
      <c r="J1735" s="11" t="str">
        <f t="shared" si="55"/>
        <v xml:space="preserve"> </v>
      </c>
      <c r="K1735" s="24" t="s">
        <v>13354</v>
      </c>
    </row>
    <row r="1736" spans="1:11">
      <c r="A1736" s="24" t="s">
        <v>15810</v>
      </c>
      <c r="B1736" s="24" t="s">
        <v>15810</v>
      </c>
      <c r="C1736" s="24" t="s">
        <v>15930</v>
      </c>
      <c r="D1736" s="24" t="s">
        <v>15931</v>
      </c>
      <c r="E1736" s="24" t="s">
        <v>15884</v>
      </c>
      <c r="F1736" s="29" t="s">
        <v>13367</v>
      </c>
      <c r="G1736" s="24" t="s">
        <v>13368</v>
      </c>
      <c r="H1736" s="11" t="str">
        <f t="shared" si="54"/>
        <v>04/01/1896</v>
      </c>
      <c r="J1736" s="11" t="str">
        <f t="shared" si="55"/>
        <v xml:space="preserve"> </v>
      </c>
      <c r="K1736" s="24" t="s">
        <v>13368</v>
      </c>
    </row>
    <row r="1737" spans="1:11">
      <c r="A1737" s="24" t="s">
        <v>15836</v>
      </c>
      <c r="B1737" s="24" t="s">
        <v>15836</v>
      </c>
      <c r="C1737" s="24" t="s">
        <v>15947</v>
      </c>
      <c r="D1737" s="24" t="s">
        <v>15876</v>
      </c>
      <c r="E1737" s="24" t="s">
        <v>15819</v>
      </c>
      <c r="F1737" s="29" t="s">
        <v>13395</v>
      </c>
      <c r="G1737" s="24" t="s">
        <v>13397</v>
      </c>
      <c r="H1737" s="11" t="str">
        <f t="shared" si="54"/>
        <v>27/10/1870</v>
      </c>
      <c r="J1737" s="11" t="str">
        <f t="shared" si="55"/>
        <v xml:space="preserve"> </v>
      </c>
      <c r="K1737" s="24" t="s">
        <v>13397</v>
      </c>
    </row>
    <row r="1738" spans="1:11">
      <c r="A1738" s="24" t="s">
        <v>15811</v>
      </c>
      <c r="B1738" s="24" t="s">
        <v>15811</v>
      </c>
      <c r="C1738" s="24" t="s">
        <v>15928</v>
      </c>
      <c r="D1738" s="24" t="s">
        <v>15801</v>
      </c>
      <c r="E1738" s="24" t="s">
        <v>15801</v>
      </c>
      <c r="F1738" s="29" t="s">
        <v>13382</v>
      </c>
      <c r="G1738" s="24" t="s">
        <v>13383</v>
      </c>
      <c r="H1738" s="11" t="str">
        <f t="shared" si="54"/>
        <v>06/12/1899</v>
      </c>
      <c r="J1738" s="11" t="str">
        <f t="shared" si="55"/>
        <v xml:space="preserve"> </v>
      </c>
      <c r="K1738" s="24" t="s">
        <v>13383</v>
      </c>
    </row>
    <row r="1739" spans="1:11">
      <c r="A1739" s="24" t="s">
        <v>15806</v>
      </c>
      <c r="B1739" s="24" t="s">
        <v>15806</v>
      </c>
      <c r="C1739" s="24" t="s">
        <v>15916</v>
      </c>
      <c r="D1739" s="24" t="s">
        <v>15899</v>
      </c>
      <c r="E1739" s="24" t="s">
        <v>15876</v>
      </c>
      <c r="F1739" s="29" t="s">
        <v>13403</v>
      </c>
      <c r="G1739" s="24" t="s">
        <v>13405</v>
      </c>
      <c r="H1739" s="11" t="str">
        <f t="shared" si="54"/>
        <v>29/05/1885</v>
      </c>
      <c r="J1739" s="11" t="str">
        <f t="shared" si="55"/>
        <v xml:space="preserve"> </v>
      </c>
      <c r="K1739" s="24" t="s">
        <v>13405</v>
      </c>
    </row>
    <row r="1740" spans="1:11">
      <c r="A1740" s="24" t="s">
        <v>15822</v>
      </c>
      <c r="B1740" s="24" t="s">
        <v>15822</v>
      </c>
      <c r="C1740" s="24" t="s">
        <v>15939</v>
      </c>
      <c r="D1740" s="24" t="s">
        <v>15956</v>
      </c>
      <c r="E1740" s="24" t="s">
        <v>15819</v>
      </c>
      <c r="G1740" s="24" t="s">
        <v>13474</v>
      </c>
      <c r="H1740" s="11" t="str">
        <f t="shared" si="54"/>
        <v>25/10/1872</v>
      </c>
      <c r="J1740" s="11" t="str">
        <f t="shared" si="55"/>
        <v xml:space="preserve"> </v>
      </c>
      <c r="K1740" s="24" t="s">
        <v>13474</v>
      </c>
    </row>
    <row r="1741" spans="1:11">
      <c r="A1741" s="24" t="s">
        <v>15816</v>
      </c>
      <c r="B1741" s="24" t="s">
        <v>15816</v>
      </c>
      <c r="C1741" s="24" t="s">
        <v>15912</v>
      </c>
      <c r="D1741" s="24" t="s">
        <v>15899</v>
      </c>
      <c r="E1741" s="24" t="s">
        <v>15801</v>
      </c>
      <c r="F1741" s="29" t="s">
        <v>13533</v>
      </c>
      <c r="G1741" s="24" t="s">
        <v>13535</v>
      </c>
      <c r="H1741" s="11" t="str">
        <f t="shared" si="54"/>
        <v>03/11/1893</v>
      </c>
      <c r="J1741" s="11" t="str">
        <f t="shared" si="55"/>
        <v xml:space="preserve"> </v>
      </c>
      <c r="K1741" s="24" t="s">
        <v>13535</v>
      </c>
    </row>
    <row r="1742" spans="1:11">
      <c r="A1742" s="24" t="s">
        <v>15828</v>
      </c>
      <c r="B1742" s="24" t="s">
        <v>15828</v>
      </c>
      <c r="C1742" s="24" t="s">
        <v>15801</v>
      </c>
      <c r="D1742" s="24" t="s">
        <v>15956</v>
      </c>
      <c r="E1742" s="24" t="s">
        <v>15898</v>
      </c>
      <c r="F1742" s="29" t="s">
        <v>13551</v>
      </c>
      <c r="H1742" s="11" t="str">
        <f t="shared" si="54"/>
        <v/>
      </c>
      <c r="J1742" s="11" t="str">
        <f t="shared" si="55"/>
        <v xml:space="preserve"> </v>
      </c>
      <c r="K1742" s="24" t="s">
        <v>15801</v>
      </c>
    </row>
    <row r="1743" spans="1:11">
      <c r="A1743" s="24" t="s">
        <v>15801</v>
      </c>
      <c r="B1743" s="24" t="s">
        <v>15850</v>
      </c>
      <c r="C1743" s="24" t="s">
        <v>15801</v>
      </c>
      <c r="D1743" s="24" t="s">
        <v>15899</v>
      </c>
      <c r="E1743" s="24" t="s">
        <v>15899</v>
      </c>
      <c r="H1743" s="11" t="str">
        <f t="shared" si="54"/>
        <v/>
      </c>
      <c r="J1743" s="11" t="str">
        <f t="shared" si="55"/>
        <v xml:space="preserve"> </v>
      </c>
      <c r="K1743" s="24" t="s">
        <v>15801</v>
      </c>
    </row>
    <row r="1744" spans="1:11">
      <c r="A1744" s="24" t="s">
        <v>15801</v>
      </c>
      <c r="B1744" s="24" t="s">
        <v>15839</v>
      </c>
      <c r="C1744" s="24" t="s">
        <v>15953</v>
      </c>
      <c r="D1744" s="24" t="s">
        <v>15900</v>
      </c>
      <c r="E1744" s="24" t="s">
        <v>15816</v>
      </c>
      <c r="G1744" s="24" t="s">
        <v>13502</v>
      </c>
      <c r="H1744" s="11" t="str">
        <f t="shared" si="54"/>
        <v>11/01/1882</v>
      </c>
      <c r="J1744" s="11" t="str">
        <f t="shared" si="55"/>
        <v xml:space="preserve"> </v>
      </c>
      <c r="K1744" s="24" t="s">
        <v>13502</v>
      </c>
    </row>
    <row r="1745" spans="1:11">
      <c r="A1745" s="24" t="s">
        <v>15827</v>
      </c>
      <c r="B1745" s="24" t="s">
        <v>15827</v>
      </c>
      <c r="C1745" s="24" t="s">
        <v>15941</v>
      </c>
      <c r="D1745" s="24" t="s">
        <v>15900</v>
      </c>
      <c r="E1745" s="24" t="s">
        <v>15938</v>
      </c>
      <c r="G1745" s="24" t="s">
        <v>15778</v>
      </c>
      <c r="H1745" s="11" t="str">
        <f t="shared" si="54"/>
        <v>3/2/1902</v>
      </c>
      <c r="J1745" s="11" t="str">
        <f t="shared" si="55"/>
        <v xml:space="preserve"> </v>
      </c>
      <c r="K1745" s="24" t="s">
        <v>15778</v>
      </c>
    </row>
    <row r="1746" spans="1:11">
      <c r="A1746" s="24" t="s">
        <v>15801</v>
      </c>
      <c r="B1746" s="24" t="s">
        <v>15841</v>
      </c>
      <c r="C1746" s="24" t="s">
        <v>15801</v>
      </c>
      <c r="D1746" s="24" t="s">
        <v>15901</v>
      </c>
      <c r="E1746" s="24" t="s">
        <v>15801</v>
      </c>
      <c r="H1746" s="11" t="str">
        <f t="shared" si="54"/>
        <v/>
      </c>
      <c r="J1746" s="11" t="str">
        <f t="shared" si="55"/>
        <v xml:space="preserve"> </v>
      </c>
      <c r="K1746" s="24" t="s">
        <v>15801</v>
      </c>
    </row>
    <row r="1747" spans="1:11">
      <c r="A1747" s="24" t="s">
        <v>15827</v>
      </c>
      <c r="B1747" s="24" t="s">
        <v>15827</v>
      </c>
      <c r="C1747" s="24" t="s">
        <v>15904</v>
      </c>
      <c r="D1747" s="24" t="s">
        <v>15901</v>
      </c>
      <c r="E1747" s="24" t="s">
        <v>15801</v>
      </c>
      <c r="G1747" s="24" t="s">
        <v>13544</v>
      </c>
      <c r="H1747" s="11"/>
      <c r="J1747" s="11" t="str">
        <f t="shared" si="55"/>
        <v xml:space="preserve"> </v>
      </c>
    </row>
    <row r="1748" spans="1:11">
      <c r="A1748" s="24" t="s">
        <v>15808</v>
      </c>
      <c r="B1748" s="24" t="s">
        <v>15808</v>
      </c>
      <c r="C1748" s="24" t="s">
        <v>15896</v>
      </c>
      <c r="D1748" s="24" t="s">
        <v>15884</v>
      </c>
      <c r="E1748" s="24" t="s">
        <v>15833</v>
      </c>
      <c r="F1748" s="29" t="s">
        <v>13557</v>
      </c>
      <c r="G1748" s="24" t="s">
        <v>13558</v>
      </c>
      <c r="H1748" s="11" t="str">
        <f t="shared" si="54"/>
        <v>24/09/1887</v>
      </c>
      <c r="J1748" s="11" t="str">
        <f t="shared" si="55"/>
        <v xml:space="preserve"> </v>
      </c>
      <c r="K1748" s="24" t="s">
        <v>13558</v>
      </c>
    </row>
    <row r="1749" spans="1:11">
      <c r="A1749" s="24" t="s">
        <v>15820</v>
      </c>
      <c r="B1749" s="24" t="s">
        <v>15820</v>
      </c>
      <c r="C1749" s="24" t="s">
        <v>15882</v>
      </c>
      <c r="D1749" s="24" t="s">
        <v>15884</v>
      </c>
      <c r="E1749" s="24" t="s">
        <v>15905</v>
      </c>
      <c r="F1749" s="29" t="s">
        <v>13445</v>
      </c>
      <c r="G1749" s="24" t="s">
        <v>13446</v>
      </c>
      <c r="H1749" s="11" t="str">
        <f t="shared" si="54"/>
        <v>25/05/1880</v>
      </c>
      <c r="J1749" s="11" t="str">
        <f t="shared" si="55"/>
        <v xml:space="preserve"> </v>
      </c>
      <c r="K1749" s="24" t="s">
        <v>13446</v>
      </c>
    </row>
    <row r="1750" spans="1:11">
      <c r="A1750" s="24" t="s">
        <v>15823</v>
      </c>
      <c r="B1750" s="24" t="s">
        <v>15823</v>
      </c>
      <c r="C1750" s="24" t="s">
        <v>15803</v>
      </c>
      <c r="D1750" s="24" t="s">
        <v>15884</v>
      </c>
      <c r="E1750" s="24" t="s">
        <v>15938</v>
      </c>
      <c r="G1750" s="24" t="s">
        <v>4875</v>
      </c>
      <c r="H1750" s="11" t="str">
        <f t="shared" si="54"/>
        <v>18/11/1804</v>
      </c>
      <c r="J1750" s="11" t="str">
        <f t="shared" si="55"/>
        <v xml:space="preserve"> </v>
      </c>
      <c r="K1750" s="24" t="s">
        <v>4875</v>
      </c>
    </row>
    <row r="1751" spans="1:11">
      <c r="A1751" s="24" t="s">
        <v>15803</v>
      </c>
      <c r="B1751" s="24" t="s">
        <v>15803</v>
      </c>
      <c r="C1751" s="24" t="s">
        <v>15890</v>
      </c>
      <c r="D1751" s="24" t="s">
        <v>15884</v>
      </c>
      <c r="E1751" s="24" t="s">
        <v>15966</v>
      </c>
      <c r="F1751" s="29" t="s">
        <v>13497</v>
      </c>
      <c r="G1751" s="24" t="s">
        <v>13498</v>
      </c>
      <c r="H1751" s="11" t="str">
        <f t="shared" si="54"/>
        <v>20/02/1875</v>
      </c>
      <c r="J1751" s="11" t="str">
        <f t="shared" si="55"/>
        <v xml:space="preserve"> </v>
      </c>
      <c r="K1751" s="24" t="s">
        <v>13498</v>
      </c>
    </row>
    <row r="1752" spans="1:11">
      <c r="A1752" s="24" t="s">
        <v>15801</v>
      </c>
      <c r="B1752" s="24" t="s">
        <v>15804</v>
      </c>
      <c r="C1752" s="24" t="s">
        <v>15951</v>
      </c>
      <c r="D1752" s="24" t="s">
        <v>15899</v>
      </c>
      <c r="E1752" s="24" t="s">
        <v>15801</v>
      </c>
      <c r="G1752" s="24" t="s">
        <v>13490</v>
      </c>
      <c r="H1752" s="11" t="str">
        <f t="shared" si="54"/>
        <v>30/05/1886</v>
      </c>
      <c r="J1752" s="11" t="str">
        <f t="shared" si="55"/>
        <v xml:space="preserve"> </v>
      </c>
      <c r="K1752" s="24" t="s">
        <v>13490</v>
      </c>
    </row>
    <row r="1753" spans="1:11">
      <c r="A1753" s="24" t="s">
        <v>15815</v>
      </c>
      <c r="B1753" s="24" t="s">
        <v>15815</v>
      </c>
      <c r="C1753" s="24" t="s">
        <v>15933</v>
      </c>
      <c r="D1753" s="24" t="s">
        <v>15956</v>
      </c>
      <c r="E1753" s="24" t="s">
        <v>15851</v>
      </c>
      <c r="F1753" s="29" t="s">
        <v>13459</v>
      </c>
      <c r="G1753" s="24" t="s">
        <v>13460</v>
      </c>
      <c r="H1753" s="11" t="str">
        <f t="shared" si="54"/>
        <v>12/05/1873</v>
      </c>
      <c r="J1753" s="11" t="str">
        <f t="shared" si="55"/>
        <v xml:space="preserve"> </v>
      </c>
      <c r="K1753" s="24" t="s">
        <v>13460</v>
      </c>
    </row>
    <row r="1754" spans="1:11">
      <c r="A1754" s="24" t="s">
        <v>15801</v>
      </c>
      <c r="B1754" s="24" t="s">
        <v>15860</v>
      </c>
      <c r="C1754" s="24" t="s">
        <v>15884</v>
      </c>
      <c r="D1754" s="24" t="s">
        <v>15965</v>
      </c>
      <c r="E1754" s="24" t="s">
        <v>15818</v>
      </c>
      <c r="G1754" s="24" t="s">
        <v>13507</v>
      </c>
      <c r="H1754" s="11"/>
      <c r="J1754" s="11" t="str">
        <f t="shared" si="55"/>
        <v xml:space="preserve"> </v>
      </c>
    </row>
    <row r="1755" spans="1:11">
      <c r="A1755" s="24" t="s">
        <v>15810</v>
      </c>
      <c r="B1755" s="24" t="s">
        <v>15810</v>
      </c>
      <c r="C1755" s="24" t="s">
        <v>15896</v>
      </c>
      <c r="D1755" s="24" t="s">
        <v>15884</v>
      </c>
      <c r="E1755" s="24" t="s">
        <v>15884</v>
      </c>
      <c r="G1755" s="24" t="s">
        <v>13521</v>
      </c>
      <c r="H1755" s="11" t="str">
        <f t="shared" si="54"/>
        <v>02/09/1887</v>
      </c>
      <c r="J1755" s="11" t="str">
        <f t="shared" si="55"/>
        <v xml:space="preserve"> </v>
      </c>
      <c r="K1755" s="24" t="s">
        <v>13521</v>
      </c>
    </row>
    <row r="1756" spans="1:11">
      <c r="A1756" s="24" t="s">
        <v>15828</v>
      </c>
      <c r="B1756" s="24" t="s">
        <v>15828</v>
      </c>
      <c r="C1756" s="24" t="s">
        <v>15889</v>
      </c>
      <c r="D1756" s="24" t="s">
        <v>15965</v>
      </c>
      <c r="E1756" s="24" t="s">
        <v>15801</v>
      </c>
      <c r="F1756" s="29" t="s">
        <v>13585</v>
      </c>
      <c r="G1756" s="24">
        <v>1865</v>
      </c>
      <c r="H1756" s="11"/>
      <c r="J1756" s="11" t="str">
        <f t="shared" si="55"/>
        <v xml:space="preserve"> </v>
      </c>
    </row>
    <row r="1757" spans="1:11">
      <c r="A1757" s="24" t="s">
        <v>15801</v>
      </c>
      <c r="B1757" s="24" t="s">
        <v>15880</v>
      </c>
      <c r="C1757" s="24" t="s">
        <v>15801</v>
      </c>
      <c r="D1757" s="24" t="s">
        <v>15915</v>
      </c>
      <c r="E1757" s="24" t="s">
        <v>15801</v>
      </c>
      <c r="H1757" s="11" t="str">
        <f t="shared" si="54"/>
        <v/>
      </c>
      <c r="J1757" s="11" t="str">
        <f t="shared" si="55"/>
        <v xml:space="preserve"> </v>
      </c>
      <c r="K1757" s="24" t="s">
        <v>15801</v>
      </c>
    </row>
    <row r="1758" spans="1:11">
      <c r="A1758" s="24" t="s">
        <v>15801</v>
      </c>
      <c r="B1758" s="24" t="s">
        <v>15826</v>
      </c>
      <c r="C1758" s="24" t="s">
        <v>15801</v>
      </c>
      <c r="D1758" s="24" t="s">
        <v>15801</v>
      </c>
      <c r="E1758" s="24" t="s">
        <v>15801</v>
      </c>
      <c r="H1758" s="11" t="str">
        <f t="shared" si="54"/>
        <v/>
      </c>
      <c r="J1758" s="11" t="str">
        <f t="shared" si="55"/>
        <v xml:space="preserve"> </v>
      </c>
      <c r="K1758" s="24" t="s">
        <v>15801</v>
      </c>
    </row>
    <row r="1759" spans="1:11">
      <c r="A1759" s="24" t="s">
        <v>15801</v>
      </c>
      <c r="B1759" s="24" t="s">
        <v>15829</v>
      </c>
      <c r="C1759" s="24" t="s">
        <v>15801</v>
      </c>
      <c r="D1759" s="24" t="s">
        <v>15884</v>
      </c>
      <c r="E1759" s="24" t="s">
        <v>15811</v>
      </c>
      <c r="H1759" s="11" t="str">
        <f t="shared" si="54"/>
        <v/>
      </c>
      <c r="J1759" s="11" t="str">
        <f t="shared" si="55"/>
        <v xml:space="preserve"> </v>
      </c>
      <c r="K1759" s="24" t="s">
        <v>15801</v>
      </c>
    </row>
    <row r="1760" spans="1:11">
      <c r="A1760" s="24" t="s">
        <v>15827</v>
      </c>
      <c r="B1760" s="24" t="s">
        <v>15827</v>
      </c>
      <c r="C1760" s="24" t="s">
        <v>15801</v>
      </c>
      <c r="D1760" s="24" t="s">
        <v>15801</v>
      </c>
      <c r="E1760" s="24" t="s">
        <v>15905</v>
      </c>
      <c r="F1760" s="29" t="s">
        <v>13482</v>
      </c>
      <c r="H1760" s="11" t="str">
        <f t="shared" si="54"/>
        <v/>
      </c>
      <c r="J1760" s="11" t="str">
        <f t="shared" si="55"/>
        <v xml:space="preserve"> </v>
      </c>
      <c r="K1760" s="24" t="s">
        <v>15801</v>
      </c>
    </row>
    <row r="1761" spans="1:11">
      <c r="A1761" s="24" t="s">
        <v>15815</v>
      </c>
      <c r="B1761" s="24" t="s">
        <v>15815</v>
      </c>
      <c r="C1761" s="24" t="s">
        <v>15893</v>
      </c>
      <c r="D1761" s="24" t="s">
        <v>15884</v>
      </c>
      <c r="E1761" s="24" t="s">
        <v>15870</v>
      </c>
      <c r="F1761" s="29" t="s">
        <v>12145</v>
      </c>
      <c r="G1761" s="24" t="s">
        <v>13577</v>
      </c>
      <c r="H1761" s="11" t="str">
        <f t="shared" si="54"/>
        <v>16/02/1879</v>
      </c>
      <c r="J1761" s="11" t="str">
        <f t="shared" si="55"/>
        <v xml:space="preserve"> </v>
      </c>
      <c r="K1761" s="24" t="s">
        <v>13577</v>
      </c>
    </row>
    <row r="1762" spans="1:11">
      <c r="A1762" s="24" t="s">
        <v>15806</v>
      </c>
      <c r="B1762" s="24" t="s">
        <v>15806</v>
      </c>
      <c r="C1762" s="24" t="s">
        <v>15918</v>
      </c>
      <c r="D1762" s="24" t="s">
        <v>15884</v>
      </c>
      <c r="E1762" s="24" t="s">
        <v>15801</v>
      </c>
      <c r="F1762" s="29" t="s">
        <v>13408</v>
      </c>
      <c r="G1762" s="24" t="s">
        <v>13409</v>
      </c>
      <c r="H1762" s="11" t="str">
        <f t="shared" si="54"/>
        <v>09/06/1867</v>
      </c>
      <c r="J1762" s="11" t="str">
        <f t="shared" si="55"/>
        <v xml:space="preserve"> </v>
      </c>
      <c r="K1762" s="24" t="s">
        <v>13409</v>
      </c>
    </row>
    <row r="1763" spans="1:11">
      <c r="A1763" s="24" t="s">
        <v>15801</v>
      </c>
      <c r="B1763" s="24" t="s">
        <v>15839</v>
      </c>
      <c r="C1763" s="24" t="s">
        <v>15953</v>
      </c>
      <c r="D1763" s="24" t="s">
        <v>15956</v>
      </c>
      <c r="E1763" s="24" t="s">
        <v>15810</v>
      </c>
      <c r="G1763" s="24" t="s">
        <v>13419</v>
      </c>
      <c r="H1763" s="11" t="str">
        <f t="shared" si="54"/>
        <v>01/05/1882</v>
      </c>
      <c r="J1763" s="11" t="str">
        <f t="shared" si="55"/>
        <v xml:space="preserve"> </v>
      </c>
      <c r="K1763" s="24" t="s">
        <v>13419</v>
      </c>
    </row>
    <row r="1764" spans="1:11">
      <c r="A1764" s="24" t="s">
        <v>15817</v>
      </c>
      <c r="B1764" s="24" t="s">
        <v>15817</v>
      </c>
      <c r="C1764" s="24" t="s">
        <v>15943</v>
      </c>
      <c r="D1764" s="24" t="s">
        <v>15956</v>
      </c>
      <c r="E1764" s="24" t="s">
        <v>15801</v>
      </c>
      <c r="F1764" s="29" t="s">
        <v>13468</v>
      </c>
      <c r="G1764" s="24" t="s">
        <v>13469</v>
      </c>
      <c r="H1764" s="11" t="str">
        <f t="shared" si="54"/>
        <v>22/01/1891</v>
      </c>
      <c r="J1764" s="11" t="str">
        <f t="shared" si="55"/>
        <v xml:space="preserve"> </v>
      </c>
      <c r="K1764" s="24" t="s">
        <v>13469</v>
      </c>
    </row>
    <row r="1765" spans="1:11">
      <c r="A1765" s="24" t="s">
        <v>15833</v>
      </c>
      <c r="B1765" s="24" t="s">
        <v>15833</v>
      </c>
      <c r="C1765" s="24" t="s">
        <v>15894</v>
      </c>
      <c r="D1765" s="24" t="s">
        <v>15956</v>
      </c>
      <c r="E1765" s="24" t="s">
        <v>15801</v>
      </c>
      <c r="F1765" s="29" t="s">
        <v>13570</v>
      </c>
      <c r="G1765" s="24" t="s">
        <v>7236</v>
      </c>
      <c r="H1765" s="11" t="str">
        <f t="shared" si="54"/>
        <v>18/09/1901</v>
      </c>
      <c r="J1765" s="11" t="str">
        <f t="shared" si="55"/>
        <v xml:space="preserve"> </v>
      </c>
      <c r="K1765" s="24" t="s">
        <v>7236</v>
      </c>
    </row>
    <row r="1766" spans="1:11">
      <c r="A1766" s="24" t="s">
        <v>15801</v>
      </c>
      <c r="B1766" s="24" t="s">
        <v>15839</v>
      </c>
      <c r="C1766" s="24" t="s">
        <v>15893</v>
      </c>
      <c r="D1766" s="24" t="s">
        <v>15899</v>
      </c>
      <c r="E1766" s="24" t="s">
        <v>15876</v>
      </c>
      <c r="G1766" s="24">
        <v>1879</v>
      </c>
      <c r="H1766" s="11"/>
      <c r="J1766" s="11" t="str">
        <f t="shared" si="55"/>
        <v xml:space="preserve"> </v>
      </c>
    </row>
    <row r="1767" spans="1:11">
      <c r="A1767" s="24" t="s">
        <v>15827</v>
      </c>
      <c r="B1767" s="24" t="s">
        <v>15827</v>
      </c>
      <c r="C1767" s="24" t="s">
        <v>15801</v>
      </c>
      <c r="D1767" s="24" t="s">
        <v>15899</v>
      </c>
      <c r="E1767" s="24" t="s">
        <v>15801</v>
      </c>
      <c r="F1767" s="29" t="s">
        <v>13426</v>
      </c>
      <c r="H1767" s="11" t="str">
        <f t="shared" si="54"/>
        <v/>
      </c>
      <c r="J1767" s="11" t="str">
        <f t="shared" si="55"/>
        <v xml:space="preserve"> </v>
      </c>
      <c r="K1767" s="24" t="s">
        <v>15801</v>
      </c>
    </row>
    <row r="1768" spans="1:11">
      <c r="A1768" s="24" t="s">
        <v>15828</v>
      </c>
      <c r="B1768" s="24" t="s">
        <v>15828</v>
      </c>
      <c r="C1768" s="24" t="s">
        <v>15880</v>
      </c>
      <c r="D1768" s="24" t="s">
        <v>15948</v>
      </c>
      <c r="E1768" s="24" t="s">
        <v>15938</v>
      </c>
      <c r="F1768" s="29" t="s">
        <v>13612</v>
      </c>
      <c r="G1768" s="24" t="s">
        <v>13613</v>
      </c>
      <c r="H1768" s="11" t="str">
        <f t="shared" si="54"/>
        <v>01/05/1892</v>
      </c>
      <c r="J1768" s="11" t="str">
        <f t="shared" si="55"/>
        <v xml:space="preserve"> </v>
      </c>
      <c r="K1768" s="24" t="s">
        <v>13613</v>
      </c>
    </row>
    <row r="1769" spans="1:11">
      <c r="A1769" s="24" t="s">
        <v>15801</v>
      </c>
      <c r="B1769" s="24" t="s">
        <v>15857</v>
      </c>
      <c r="C1769" s="24" t="s">
        <v>15801</v>
      </c>
      <c r="D1769" s="24" t="s">
        <v>15899</v>
      </c>
      <c r="E1769" s="24" t="s">
        <v>15840</v>
      </c>
      <c r="H1769" s="11" t="str">
        <f t="shared" si="54"/>
        <v/>
      </c>
      <c r="J1769" s="11" t="str">
        <f t="shared" si="55"/>
        <v xml:space="preserve"> </v>
      </c>
      <c r="K1769" s="24" t="s">
        <v>15801</v>
      </c>
    </row>
    <row r="1770" spans="1:11">
      <c r="A1770" s="24" t="s">
        <v>15827</v>
      </c>
      <c r="B1770" s="24" t="s">
        <v>15827</v>
      </c>
      <c r="C1770" s="24" t="s">
        <v>15801</v>
      </c>
      <c r="D1770" s="24" t="s">
        <v>15901</v>
      </c>
      <c r="E1770" s="24" t="s">
        <v>15801</v>
      </c>
      <c r="F1770" s="29" t="s">
        <v>13765</v>
      </c>
      <c r="H1770" s="11" t="str">
        <f t="shared" si="54"/>
        <v/>
      </c>
      <c r="J1770" s="11" t="str">
        <f t="shared" si="55"/>
        <v xml:space="preserve"> </v>
      </c>
      <c r="K1770" s="24" t="s">
        <v>15801</v>
      </c>
    </row>
    <row r="1771" spans="1:11">
      <c r="A1771" s="24" t="s">
        <v>15821</v>
      </c>
      <c r="B1771" s="24" t="s">
        <v>15821</v>
      </c>
      <c r="C1771" s="24" t="s">
        <v>15913</v>
      </c>
      <c r="D1771" s="24" t="s">
        <v>15899</v>
      </c>
      <c r="E1771" s="24" t="s">
        <v>15851</v>
      </c>
      <c r="F1771" s="29" t="s">
        <v>13654</v>
      </c>
      <c r="G1771" s="24" t="s">
        <v>13655</v>
      </c>
      <c r="H1771" s="11" t="str">
        <f t="shared" si="54"/>
        <v>17/03/1877</v>
      </c>
      <c r="J1771" s="11" t="str">
        <f t="shared" si="55"/>
        <v xml:space="preserve"> </v>
      </c>
      <c r="K1771" s="24" t="s">
        <v>13655</v>
      </c>
    </row>
    <row r="1772" spans="1:11">
      <c r="A1772" s="24" t="s">
        <v>15825</v>
      </c>
      <c r="B1772" s="24" t="s">
        <v>15825</v>
      </c>
      <c r="C1772" s="24" t="s">
        <v>15937</v>
      </c>
      <c r="D1772" s="24" t="s">
        <v>15899</v>
      </c>
      <c r="E1772" s="24" t="s">
        <v>15900</v>
      </c>
      <c r="F1772" s="29" t="s">
        <v>13719</v>
      </c>
      <c r="G1772" s="24" t="s">
        <v>13720</v>
      </c>
      <c r="H1772" s="11" t="str">
        <f t="shared" si="54"/>
        <v>11/04/1894</v>
      </c>
      <c r="J1772" s="11" t="str">
        <f t="shared" si="55"/>
        <v xml:space="preserve"> </v>
      </c>
      <c r="K1772" s="24" t="s">
        <v>13720</v>
      </c>
    </row>
    <row r="1773" spans="1:11">
      <c r="A1773" s="24" t="s">
        <v>15802</v>
      </c>
      <c r="B1773" s="24" t="s">
        <v>15802</v>
      </c>
      <c r="C1773" s="24" t="s">
        <v>15933</v>
      </c>
      <c r="D1773" s="24" t="s">
        <v>15908</v>
      </c>
      <c r="E1773" s="24" t="s">
        <v>15915</v>
      </c>
      <c r="F1773" s="29" t="s">
        <v>13624</v>
      </c>
      <c r="G1773" s="24" t="s">
        <v>13625</v>
      </c>
      <c r="H1773" s="11" t="str">
        <f t="shared" si="54"/>
        <v>21/07/1873</v>
      </c>
      <c r="J1773" s="11" t="str">
        <f t="shared" si="55"/>
        <v xml:space="preserve"> </v>
      </c>
      <c r="K1773" s="24" t="s">
        <v>13625</v>
      </c>
    </row>
    <row r="1774" spans="1:11">
      <c r="A1774" s="24" t="s">
        <v>15829</v>
      </c>
      <c r="B1774" s="24" t="s">
        <v>15829</v>
      </c>
      <c r="C1774" s="24" t="s">
        <v>15801</v>
      </c>
      <c r="D1774" s="24" t="s">
        <v>15899</v>
      </c>
      <c r="E1774" s="24" t="s">
        <v>15811</v>
      </c>
      <c r="F1774" s="29" t="s">
        <v>13749</v>
      </c>
      <c r="H1774" s="11" t="str">
        <f t="shared" si="54"/>
        <v/>
      </c>
      <c r="J1774" s="11" t="str">
        <f t="shared" si="55"/>
        <v xml:space="preserve"> </v>
      </c>
      <c r="K1774" s="24" t="s">
        <v>15801</v>
      </c>
    </row>
    <row r="1775" spans="1:11">
      <c r="A1775" s="24" t="s">
        <v>15820</v>
      </c>
      <c r="B1775" s="24" t="s">
        <v>15820</v>
      </c>
      <c r="C1775" s="24" t="s">
        <v>15801</v>
      </c>
      <c r="D1775" s="24" t="s">
        <v>15899</v>
      </c>
      <c r="E1775" s="24" t="s">
        <v>15886</v>
      </c>
      <c r="F1775" s="29" t="s">
        <v>13669</v>
      </c>
      <c r="H1775" s="11" t="str">
        <f t="shared" si="54"/>
        <v/>
      </c>
      <c r="J1775" s="11" t="str">
        <f t="shared" si="55"/>
        <v xml:space="preserve"> </v>
      </c>
      <c r="K1775" s="24" t="s">
        <v>15801</v>
      </c>
    </row>
    <row r="1776" spans="1:11">
      <c r="A1776" s="24" t="s">
        <v>15861</v>
      </c>
      <c r="B1776" s="24" t="s">
        <v>15861</v>
      </c>
      <c r="C1776" s="24" t="s">
        <v>15801</v>
      </c>
      <c r="D1776" s="24" t="s">
        <v>15801</v>
      </c>
      <c r="E1776" s="24" t="s">
        <v>15836</v>
      </c>
      <c r="F1776" s="29" t="s">
        <v>13760</v>
      </c>
      <c r="H1776" s="11" t="str">
        <f t="shared" si="54"/>
        <v/>
      </c>
      <c r="J1776" s="11" t="str">
        <f t="shared" si="55"/>
        <v xml:space="preserve"> </v>
      </c>
      <c r="K1776" s="24" t="s">
        <v>15801</v>
      </c>
    </row>
    <row r="1777" spans="1:11">
      <c r="A1777" s="24" t="s">
        <v>15803</v>
      </c>
      <c r="B1777" s="24" t="s">
        <v>15803</v>
      </c>
      <c r="C1777" s="24" t="s">
        <v>15937</v>
      </c>
      <c r="D1777" s="24" t="s">
        <v>15870</v>
      </c>
      <c r="E1777" s="24" t="s">
        <v>15863</v>
      </c>
      <c r="F1777" s="29" t="s">
        <v>13588</v>
      </c>
      <c r="G1777" s="24" t="s">
        <v>13590</v>
      </c>
      <c r="H1777" s="11" t="str">
        <f t="shared" si="54"/>
        <v>27/09/1894</v>
      </c>
      <c r="J1777" s="11" t="str">
        <f t="shared" si="55"/>
        <v xml:space="preserve"> </v>
      </c>
      <c r="K1777" s="24" t="s">
        <v>13590</v>
      </c>
    </row>
    <row r="1778" spans="1:11">
      <c r="A1778" s="24" t="s">
        <v>15847</v>
      </c>
      <c r="B1778" s="24" t="s">
        <v>15847</v>
      </c>
      <c r="C1778" s="24" t="s">
        <v>15946</v>
      </c>
      <c r="D1778" s="24" t="s">
        <v>15899</v>
      </c>
      <c r="E1778" s="24" t="s">
        <v>15804</v>
      </c>
      <c r="F1778" s="29" t="s">
        <v>5762</v>
      </c>
      <c r="G1778" s="24" t="s">
        <v>13640</v>
      </c>
      <c r="H1778" s="11" t="str">
        <f t="shared" si="54"/>
        <v>08/06/1860</v>
      </c>
      <c r="J1778" s="11" t="str">
        <f t="shared" si="55"/>
        <v xml:space="preserve"> </v>
      </c>
      <c r="K1778" s="24" t="s">
        <v>13640</v>
      </c>
    </row>
    <row r="1779" spans="1:11">
      <c r="A1779" s="24" t="s">
        <v>15832</v>
      </c>
      <c r="B1779" s="24" t="s">
        <v>15832</v>
      </c>
      <c r="C1779" s="24" t="s">
        <v>15882</v>
      </c>
      <c r="D1779" s="24" t="s">
        <v>15899</v>
      </c>
      <c r="E1779" s="24" t="s">
        <v>15863</v>
      </c>
      <c r="F1779" s="29" t="s">
        <v>13604</v>
      </c>
      <c r="G1779" s="24" t="s">
        <v>13605</v>
      </c>
      <c r="H1779" s="11" t="str">
        <f t="shared" si="54"/>
        <v>31/07/1880</v>
      </c>
      <c r="J1779" s="11" t="str">
        <f t="shared" si="55"/>
        <v xml:space="preserve"> </v>
      </c>
      <c r="K1779" s="24" t="s">
        <v>13605</v>
      </c>
    </row>
    <row r="1780" spans="1:11">
      <c r="A1780" s="24" t="s">
        <v>15807</v>
      </c>
      <c r="B1780" s="24" t="s">
        <v>15807</v>
      </c>
      <c r="C1780" s="24" t="s">
        <v>15896</v>
      </c>
      <c r="D1780" s="24" t="s">
        <v>15915</v>
      </c>
      <c r="E1780" s="24" t="s">
        <v>15971</v>
      </c>
      <c r="F1780" s="29" t="s">
        <v>13755</v>
      </c>
      <c r="G1780" s="24" t="s">
        <v>13756</v>
      </c>
      <c r="H1780" s="11" t="str">
        <f t="shared" si="54"/>
        <v>30/01/1887</v>
      </c>
      <c r="J1780" s="11" t="str">
        <f t="shared" si="55"/>
        <v xml:space="preserve"> </v>
      </c>
      <c r="K1780" s="24" t="s">
        <v>13756</v>
      </c>
    </row>
    <row r="1781" spans="1:11">
      <c r="A1781" s="24" t="s">
        <v>15831</v>
      </c>
      <c r="B1781" s="24" t="s">
        <v>15831</v>
      </c>
      <c r="C1781" s="24" t="s">
        <v>15892</v>
      </c>
      <c r="D1781" s="24" t="s">
        <v>15915</v>
      </c>
      <c r="E1781" s="24" t="s">
        <v>15815</v>
      </c>
      <c r="F1781" s="29" t="s">
        <v>13643</v>
      </c>
      <c r="G1781" s="24" t="s">
        <v>13645</v>
      </c>
      <c r="H1781" s="11" t="str">
        <f t="shared" si="54"/>
        <v>26/08/1871</v>
      </c>
      <c r="J1781" s="11" t="str">
        <f t="shared" si="55"/>
        <v xml:space="preserve"> </v>
      </c>
      <c r="K1781" s="24" t="s">
        <v>13645</v>
      </c>
    </row>
    <row r="1782" spans="1:11">
      <c r="A1782" s="24" t="s">
        <v>15819</v>
      </c>
      <c r="B1782" s="24" t="s">
        <v>15819</v>
      </c>
      <c r="C1782" s="24" t="s">
        <v>15928</v>
      </c>
      <c r="D1782" s="24" t="s">
        <v>15915</v>
      </c>
      <c r="E1782" s="24" t="s">
        <v>15884</v>
      </c>
      <c r="F1782" s="29" t="s">
        <v>13695</v>
      </c>
      <c r="G1782" s="24" t="s">
        <v>9756</v>
      </c>
      <c r="H1782" s="11" t="str">
        <f t="shared" si="54"/>
        <v>05/12/1899</v>
      </c>
      <c r="J1782" s="11" t="str">
        <f t="shared" si="55"/>
        <v xml:space="preserve"> </v>
      </c>
      <c r="K1782" s="24" t="s">
        <v>9756</v>
      </c>
    </row>
    <row r="1783" spans="1:11">
      <c r="A1783" s="24" t="s">
        <v>15802</v>
      </c>
      <c r="B1783" s="24" t="s">
        <v>15802</v>
      </c>
      <c r="C1783" s="24" t="s">
        <v>15951</v>
      </c>
      <c r="D1783" s="24" t="s">
        <v>15915</v>
      </c>
      <c r="E1783" s="24" t="s">
        <v>15901</v>
      </c>
      <c r="F1783" s="29" t="s">
        <v>11490</v>
      </c>
      <c r="G1783" s="24" t="s">
        <v>13661</v>
      </c>
      <c r="H1783" s="11" t="str">
        <f t="shared" si="54"/>
        <v>25/09/1886</v>
      </c>
      <c r="J1783" s="11" t="str">
        <f t="shared" si="55"/>
        <v xml:space="preserve"> </v>
      </c>
      <c r="K1783" s="24" t="s">
        <v>13661</v>
      </c>
    </row>
    <row r="1784" spans="1:11">
      <c r="A1784" s="24" t="s">
        <v>15817</v>
      </c>
      <c r="B1784" s="24" t="s">
        <v>15817</v>
      </c>
      <c r="C1784" s="24" t="s">
        <v>15953</v>
      </c>
      <c r="D1784" s="24" t="s">
        <v>15915</v>
      </c>
      <c r="E1784" s="24" t="s">
        <v>15948</v>
      </c>
      <c r="F1784" s="29" t="s">
        <v>13712</v>
      </c>
      <c r="G1784" s="24" t="s">
        <v>13713</v>
      </c>
      <c r="H1784" s="11" t="str">
        <f t="shared" si="54"/>
        <v>04/05/1882</v>
      </c>
      <c r="J1784" s="11" t="str">
        <f t="shared" si="55"/>
        <v xml:space="preserve"> </v>
      </c>
      <c r="K1784" s="24" t="s">
        <v>13713</v>
      </c>
    </row>
    <row r="1785" spans="1:11">
      <c r="A1785" s="24" t="s">
        <v>15816</v>
      </c>
      <c r="B1785" s="24" t="s">
        <v>15816</v>
      </c>
      <c r="C1785" s="24" t="s">
        <v>15928</v>
      </c>
      <c r="D1785" s="24" t="s">
        <v>15908</v>
      </c>
      <c r="E1785" s="24" t="s">
        <v>15899</v>
      </c>
      <c r="F1785" s="29" t="s">
        <v>13686</v>
      </c>
      <c r="G1785" s="24" t="s">
        <v>13688</v>
      </c>
      <c r="H1785" s="11" t="str">
        <f t="shared" si="54"/>
        <v>06/10/1899</v>
      </c>
      <c r="J1785" s="11" t="str">
        <f t="shared" si="55"/>
        <v xml:space="preserve"> </v>
      </c>
      <c r="K1785" s="24" t="s">
        <v>13688</v>
      </c>
    </row>
    <row r="1786" spans="1:11">
      <c r="A1786" s="24" t="s">
        <v>15807</v>
      </c>
      <c r="B1786" s="24" t="s">
        <v>15807</v>
      </c>
      <c r="C1786" s="24" t="s">
        <v>15902</v>
      </c>
      <c r="D1786" s="24" t="s">
        <v>15908</v>
      </c>
      <c r="E1786" s="24" t="s">
        <v>15820</v>
      </c>
      <c r="F1786" s="29" t="s">
        <v>13595</v>
      </c>
      <c r="G1786" s="24" t="s">
        <v>13596</v>
      </c>
      <c r="H1786" s="11" t="str">
        <f t="shared" si="54"/>
        <v>23/04/1876</v>
      </c>
      <c r="J1786" s="11" t="str">
        <f t="shared" si="55"/>
        <v xml:space="preserve"> </v>
      </c>
      <c r="K1786" s="24" t="s">
        <v>13596</v>
      </c>
    </row>
    <row r="1787" spans="1:11">
      <c r="A1787" s="24" t="s">
        <v>15833</v>
      </c>
      <c r="B1787" s="24" t="s">
        <v>15833</v>
      </c>
      <c r="C1787" s="24" t="s">
        <v>15926</v>
      </c>
      <c r="D1787" s="24" t="s">
        <v>15948</v>
      </c>
      <c r="E1787" s="24" t="s">
        <v>15899</v>
      </c>
      <c r="F1787" s="29" t="s">
        <v>13741</v>
      </c>
      <c r="G1787" s="24" t="s">
        <v>13742</v>
      </c>
      <c r="H1787" s="11" t="str">
        <f t="shared" si="54"/>
        <v>08/03/1897</v>
      </c>
      <c r="J1787" s="11" t="str">
        <f t="shared" si="55"/>
        <v xml:space="preserve"> </v>
      </c>
      <c r="K1787" s="24" t="s">
        <v>13742</v>
      </c>
    </row>
    <row r="1788" spans="1:11">
      <c r="A1788" s="24" t="s">
        <v>15820</v>
      </c>
      <c r="B1788" s="24" t="s">
        <v>15820</v>
      </c>
      <c r="C1788" s="24" t="s">
        <v>15910</v>
      </c>
      <c r="D1788" s="24" t="s">
        <v>15948</v>
      </c>
      <c r="E1788" s="24" t="s">
        <v>15931</v>
      </c>
      <c r="F1788" s="29" t="s">
        <v>13673</v>
      </c>
      <c r="G1788" s="24" t="s">
        <v>13674</v>
      </c>
      <c r="H1788" s="11" t="str">
        <f t="shared" si="54"/>
        <v>15/07/1889</v>
      </c>
      <c r="J1788" s="11" t="str">
        <f t="shared" si="55"/>
        <v xml:space="preserve"> </v>
      </c>
      <c r="K1788" s="24" t="s">
        <v>13674</v>
      </c>
    </row>
    <row r="1789" spans="1:11">
      <c r="A1789" s="24" t="s">
        <v>15845</v>
      </c>
      <c r="B1789" s="24" t="s">
        <v>15845</v>
      </c>
      <c r="C1789" s="24" t="s">
        <v>15885</v>
      </c>
      <c r="D1789" s="24" t="s">
        <v>15801</v>
      </c>
      <c r="E1789" s="24" t="s">
        <v>15819</v>
      </c>
      <c r="F1789" s="29" t="s">
        <v>13726</v>
      </c>
      <c r="G1789" s="24" t="s">
        <v>13729</v>
      </c>
      <c r="H1789" s="11" t="str">
        <f t="shared" si="54"/>
        <v>11/04/1866</v>
      </c>
      <c r="J1789" s="11" t="str">
        <f t="shared" si="55"/>
        <v xml:space="preserve"> </v>
      </c>
      <c r="K1789" s="24" t="s">
        <v>13729</v>
      </c>
    </row>
    <row r="1790" spans="1:11">
      <c r="A1790" s="24" t="s">
        <v>15819</v>
      </c>
      <c r="B1790" s="24" t="s">
        <v>15819</v>
      </c>
      <c r="C1790" s="24" t="s">
        <v>15880</v>
      </c>
      <c r="D1790" s="24" t="s">
        <v>15908</v>
      </c>
      <c r="E1790" s="24" t="s">
        <v>15965</v>
      </c>
      <c r="F1790" s="29" t="s">
        <v>13707</v>
      </c>
      <c r="G1790" s="24" t="s">
        <v>4420</v>
      </c>
      <c r="H1790" s="11" t="str">
        <f t="shared" si="54"/>
        <v>22/09/1892</v>
      </c>
      <c r="J1790" s="11" t="str">
        <f t="shared" si="55"/>
        <v xml:space="preserve"> </v>
      </c>
      <c r="K1790" s="24" t="s">
        <v>4420</v>
      </c>
    </row>
    <row r="1791" spans="1:11">
      <c r="A1791" s="24" t="s">
        <v>15828</v>
      </c>
      <c r="B1791" s="24" t="s">
        <v>15828</v>
      </c>
      <c r="C1791" s="24" t="s">
        <v>15893</v>
      </c>
      <c r="D1791" s="24" t="s">
        <v>15908</v>
      </c>
      <c r="E1791" s="24" t="s">
        <v>15801</v>
      </c>
      <c r="F1791" s="29" t="s">
        <v>13735</v>
      </c>
      <c r="G1791" s="24" t="s">
        <v>13737</v>
      </c>
      <c r="H1791" s="11" t="str">
        <f t="shared" si="54"/>
        <v>20/05/1879</v>
      </c>
      <c r="J1791" s="11" t="str">
        <f t="shared" si="55"/>
        <v xml:space="preserve"> </v>
      </c>
      <c r="K1791" s="24" t="s">
        <v>13737</v>
      </c>
    </row>
    <row r="1792" spans="1:11">
      <c r="A1792" s="24" t="s">
        <v>15820</v>
      </c>
      <c r="B1792" s="24" t="s">
        <v>15820</v>
      </c>
      <c r="C1792" s="24" t="s">
        <v>15896</v>
      </c>
      <c r="D1792" s="24" t="s">
        <v>15908</v>
      </c>
      <c r="E1792" s="24" t="s">
        <v>15801</v>
      </c>
      <c r="F1792" s="29" t="s">
        <v>13615</v>
      </c>
      <c r="G1792" s="24" t="s">
        <v>13617</v>
      </c>
      <c r="H1792" s="11" t="str">
        <f t="shared" si="54"/>
        <v>11/02/1887</v>
      </c>
      <c r="J1792" s="11" t="str">
        <f t="shared" si="55"/>
        <v xml:space="preserve"> </v>
      </c>
      <c r="K1792" s="24" t="s">
        <v>13617</v>
      </c>
    </row>
    <row r="1793" spans="1:11">
      <c r="A1793" s="24" t="s">
        <v>15823</v>
      </c>
      <c r="B1793" s="24" t="s">
        <v>15823</v>
      </c>
      <c r="C1793" s="24" t="s">
        <v>15801</v>
      </c>
      <c r="D1793" s="24" t="s">
        <v>15908</v>
      </c>
      <c r="E1793" s="24" t="s">
        <v>15948</v>
      </c>
      <c r="F1793" s="29" t="s">
        <v>13650</v>
      </c>
      <c r="H1793" s="11" t="str">
        <f t="shared" si="54"/>
        <v/>
      </c>
      <c r="J1793" s="11" t="str">
        <f t="shared" si="55"/>
        <v xml:space="preserve"> </v>
      </c>
      <c r="K1793" s="24" t="s">
        <v>15801</v>
      </c>
    </row>
    <row r="1794" spans="1:11">
      <c r="A1794" s="24" t="s">
        <v>15850</v>
      </c>
      <c r="B1794" s="24" t="s">
        <v>15850</v>
      </c>
      <c r="C1794" s="24" t="s">
        <v>15925</v>
      </c>
      <c r="D1794" s="24" t="s">
        <v>15965</v>
      </c>
      <c r="E1794" s="24" t="s">
        <v>15816</v>
      </c>
      <c r="F1794" s="29" t="s">
        <v>13633</v>
      </c>
      <c r="G1794" s="24">
        <v>1851</v>
      </c>
      <c r="H1794" s="11"/>
      <c r="J1794" s="11" t="str">
        <f t="shared" si="55"/>
        <v xml:space="preserve"> </v>
      </c>
    </row>
    <row r="1795" spans="1:11">
      <c r="A1795" s="24" t="s">
        <v>15801</v>
      </c>
      <c r="B1795" s="24" t="s">
        <v>15803</v>
      </c>
      <c r="C1795" s="24" t="s">
        <v>15882</v>
      </c>
      <c r="D1795" s="24" t="s">
        <v>15900</v>
      </c>
      <c r="E1795" s="24" t="s">
        <v>15823</v>
      </c>
      <c r="G1795" s="24" t="s">
        <v>13771</v>
      </c>
      <c r="H1795" s="11" t="str">
        <f t="shared" ref="H1795:H1858" si="56">TRIM(G1795)</f>
        <v>23/09/1880</v>
      </c>
      <c r="J1795" s="11" t="str">
        <f t="shared" ref="J1795:J1858" si="57">IF(LEN(H1795)=4,"fout"," ")</f>
        <v xml:space="preserve"> </v>
      </c>
      <c r="K1795" s="24" t="s">
        <v>13771</v>
      </c>
    </row>
    <row r="1796" spans="1:11">
      <c r="A1796" s="24" t="s">
        <v>15801</v>
      </c>
      <c r="B1796" s="24" t="s">
        <v>15837</v>
      </c>
      <c r="C1796" s="24" t="s">
        <v>15882</v>
      </c>
      <c r="D1796" s="24" t="s">
        <v>15899</v>
      </c>
      <c r="E1796" s="24" t="s">
        <v>15810</v>
      </c>
      <c r="G1796" s="24" t="s">
        <v>13807</v>
      </c>
      <c r="H1796" s="11" t="str">
        <f t="shared" si="56"/>
        <v>07/04/1880</v>
      </c>
      <c r="J1796" s="11" t="str">
        <f t="shared" si="57"/>
        <v xml:space="preserve"> </v>
      </c>
      <c r="K1796" s="24" t="s">
        <v>13807</v>
      </c>
    </row>
    <row r="1797" spans="1:11">
      <c r="A1797" s="24" t="s">
        <v>15801</v>
      </c>
      <c r="B1797" s="24" t="s">
        <v>15840</v>
      </c>
      <c r="C1797" s="24" t="s">
        <v>15920</v>
      </c>
      <c r="D1797" s="24" t="s">
        <v>15908</v>
      </c>
      <c r="E1797" s="24" t="s">
        <v>15828</v>
      </c>
      <c r="G1797" s="24">
        <v>1852</v>
      </c>
      <c r="H1797" s="11"/>
      <c r="J1797" s="11" t="str">
        <f t="shared" si="57"/>
        <v xml:space="preserve"> </v>
      </c>
    </row>
    <row r="1798" spans="1:11">
      <c r="A1798" s="24" t="s">
        <v>15820</v>
      </c>
      <c r="B1798" s="24" t="s">
        <v>15820</v>
      </c>
      <c r="C1798" s="24" t="s">
        <v>15916</v>
      </c>
      <c r="D1798" s="24" t="s">
        <v>15931</v>
      </c>
      <c r="E1798" s="24" t="s">
        <v>15901</v>
      </c>
      <c r="F1798" s="29" t="s">
        <v>13780</v>
      </c>
      <c r="G1798" s="24" t="s">
        <v>13782</v>
      </c>
      <c r="H1798" s="11" t="str">
        <f t="shared" si="56"/>
        <v>26/03/1885</v>
      </c>
      <c r="J1798" s="11" t="str">
        <f t="shared" si="57"/>
        <v xml:space="preserve"> </v>
      </c>
      <c r="K1798" s="24" t="s">
        <v>13782</v>
      </c>
    </row>
    <row r="1799" spans="1:11">
      <c r="A1799" s="24" t="s">
        <v>15801</v>
      </c>
      <c r="B1799" s="24" t="s">
        <v>15847</v>
      </c>
      <c r="C1799" s="24" t="s">
        <v>15801</v>
      </c>
      <c r="D1799" s="24" t="s">
        <v>15915</v>
      </c>
      <c r="E1799" s="24" t="s">
        <v>15832</v>
      </c>
      <c r="H1799" s="11" t="str">
        <f t="shared" si="56"/>
        <v/>
      </c>
      <c r="J1799" s="11" t="str">
        <f t="shared" si="57"/>
        <v xml:space="preserve"> </v>
      </c>
      <c r="K1799" s="24" t="s">
        <v>15801</v>
      </c>
    </row>
    <row r="1800" spans="1:11">
      <c r="A1800" s="24" t="s">
        <v>15825</v>
      </c>
      <c r="B1800" s="24" t="s">
        <v>15825</v>
      </c>
      <c r="C1800" s="24" t="s">
        <v>15953</v>
      </c>
      <c r="D1800" s="24" t="s">
        <v>15915</v>
      </c>
      <c r="E1800" s="24" t="s">
        <v>15921</v>
      </c>
      <c r="F1800" s="29" t="s">
        <v>13794</v>
      </c>
      <c r="G1800" s="24" t="s">
        <v>13796</v>
      </c>
      <c r="H1800" s="11" t="str">
        <f t="shared" si="56"/>
        <v>09/01/1882</v>
      </c>
      <c r="J1800" s="11" t="str">
        <f t="shared" si="57"/>
        <v xml:space="preserve"> </v>
      </c>
      <c r="K1800" s="24" t="s">
        <v>13796</v>
      </c>
    </row>
    <row r="1801" spans="1:11">
      <c r="A1801" s="24" t="s">
        <v>15819</v>
      </c>
      <c r="B1801" s="24" t="s">
        <v>15819</v>
      </c>
      <c r="C1801" s="24" t="s">
        <v>15909</v>
      </c>
      <c r="D1801" s="24" t="s">
        <v>15915</v>
      </c>
      <c r="E1801" s="24" t="s">
        <v>15936</v>
      </c>
      <c r="F1801" s="29" t="s">
        <v>12947</v>
      </c>
      <c r="G1801" s="24" t="s">
        <v>9947</v>
      </c>
      <c r="H1801" s="11" t="str">
        <f t="shared" si="56"/>
        <v>10/12/1881</v>
      </c>
      <c r="J1801" s="11" t="str">
        <f t="shared" si="57"/>
        <v xml:space="preserve"> </v>
      </c>
      <c r="K1801" s="24" t="s">
        <v>9947</v>
      </c>
    </row>
    <row r="1802" spans="1:11">
      <c r="A1802" s="24" t="s">
        <v>15827</v>
      </c>
      <c r="B1802" s="24" t="s">
        <v>15827</v>
      </c>
      <c r="C1802" s="24" t="s">
        <v>15882</v>
      </c>
      <c r="D1802" s="24" t="s">
        <v>15915</v>
      </c>
      <c r="E1802" s="24" t="s">
        <v>15801</v>
      </c>
      <c r="F1802" s="29" t="s">
        <v>13809</v>
      </c>
      <c r="G1802" s="24" t="s">
        <v>13810</v>
      </c>
      <c r="H1802" s="11" t="str">
        <f t="shared" si="56"/>
        <v>03/04/1880</v>
      </c>
      <c r="J1802" s="11" t="str">
        <f t="shared" si="57"/>
        <v xml:space="preserve"> </v>
      </c>
      <c r="K1802" s="24" t="s">
        <v>13810</v>
      </c>
    </row>
    <row r="1803" spans="1:11">
      <c r="A1803" s="24" t="s">
        <v>15810</v>
      </c>
      <c r="B1803" s="24" t="s">
        <v>15810</v>
      </c>
      <c r="C1803" s="24" t="s">
        <v>15884</v>
      </c>
      <c r="D1803" s="24" t="s">
        <v>15900</v>
      </c>
      <c r="E1803" s="24" t="s">
        <v>15801</v>
      </c>
      <c r="F1803" s="29" t="s">
        <v>1536</v>
      </c>
      <c r="G1803" s="24" t="s">
        <v>72</v>
      </c>
      <c r="H1803" s="11" t="str">
        <f t="shared" si="56"/>
        <v>06/02/1838</v>
      </c>
      <c r="J1803" s="11" t="str">
        <f t="shared" si="57"/>
        <v xml:space="preserve"> </v>
      </c>
      <c r="K1803" s="24" t="s">
        <v>72</v>
      </c>
    </row>
    <row r="1804" spans="1:11">
      <c r="A1804" s="24" t="s">
        <v>15817</v>
      </c>
      <c r="B1804" s="24" t="s">
        <v>15817</v>
      </c>
      <c r="C1804" s="24" t="s">
        <v>15924</v>
      </c>
      <c r="D1804" s="24" t="s">
        <v>15900</v>
      </c>
      <c r="E1804" s="24" t="s">
        <v>15901</v>
      </c>
      <c r="F1804" s="29" t="s">
        <v>13821</v>
      </c>
      <c r="G1804" s="24">
        <v>1868</v>
      </c>
      <c r="H1804" s="11"/>
      <c r="J1804" s="11" t="str">
        <f t="shared" si="57"/>
        <v xml:space="preserve"> </v>
      </c>
    </row>
    <row r="1805" spans="1:11">
      <c r="A1805" s="24" t="s">
        <v>15817</v>
      </c>
      <c r="B1805" s="24" t="s">
        <v>15817</v>
      </c>
      <c r="C1805" s="24" t="s">
        <v>15801</v>
      </c>
      <c r="D1805" s="24" t="s">
        <v>15948</v>
      </c>
      <c r="E1805" s="24" t="s">
        <v>15801</v>
      </c>
      <c r="F1805" s="29" t="s">
        <v>9706</v>
      </c>
      <c r="H1805" s="11" t="str">
        <f t="shared" si="56"/>
        <v/>
      </c>
      <c r="J1805" s="11" t="str">
        <f t="shared" si="57"/>
        <v xml:space="preserve"> </v>
      </c>
      <c r="K1805" s="24" t="s">
        <v>15801</v>
      </c>
    </row>
    <row r="1806" spans="1:11">
      <c r="A1806" s="24" t="s">
        <v>15839</v>
      </c>
      <c r="B1806" s="24" t="s">
        <v>15839</v>
      </c>
      <c r="C1806" s="24" t="s">
        <v>15887</v>
      </c>
      <c r="D1806" s="24" t="s">
        <v>15948</v>
      </c>
      <c r="E1806" s="24" t="s">
        <v>15817</v>
      </c>
      <c r="F1806" s="29" t="s">
        <v>13862</v>
      </c>
      <c r="G1806" s="24" t="s">
        <v>13863</v>
      </c>
      <c r="H1806" s="11" t="str">
        <f t="shared" si="56"/>
        <v>11/04/1856</v>
      </c>
      <c r="J1806" s="11" t="str">
        <f t="shared" si="57"/>
        <v xml:space="preserve"> </v>
      </c>
      <c r="K1806" s="24" t="s">
        <v>13863</v>
      </c>
    </row>
    <row r="1807" spans="1:11">
      <c r="A1807" s="24" t="s">
        <v>15820</v>
      </c>
      <c r="B1807" s="24" t="s">
        <v>15820</v>
      </c>
      <c r="C1807" s="24" t="s">
        <v>15930</v>
      </c>
      <c r="D1807" s="24" t="s">
        <v>15948</v>
      </c>
      <c r="E1807" s="24" t="s">
        <v>15898</v>
      </c>
      <c r="F1807" s="29" t="s">
        <v>13840</v>
      </c>
      <c r="G1807" s="24" t="s">
        <v>13841</v>
      </c>
      <c r="H1807" s="11" t="str">
        <f t="shared" si="56"/>
        <v>01/07/1896</v>
      </c>
      <c r="J1807" s="11" t="str">
        <f t="shared" si="57"/>
        <v xml:space="preserve"> </v>
      </c>
      <c r="K1807" s="24" t="s">
        <v>13841</v>
      </c>
    </row>
    <row r="1808" spans="1:11">
      <c r="A1808" s="24" t="s">
        <v>15823</v>
      </c>
      <c r="B1808" s="24" t="s">
        <v>15823</v>
      </c>
      <c r="C1808" s="24" t="s">
        <v>15920</v>
      </c>
      <c r="D1808" s="24" t="s">
        <v>15948</v>
      </c>
      <c r="E1808" s="24" t="s">
        <v>15801</v>
      </c>
      <c r="F1808" s="29" t="s">
        <v>13853</v>
      </c>
      <c r="G1808" s="24" t="s">
        <v>13854</v>
      </c>
      <c r="H1808" s="11" t="str">
        <f t="shared" si="56"/>
        <v>19/01/1852</v>
      </c>
      <c r="J1808" s="11" t="str">
        <f t="shared" si="57"/>
        <v xml:space="preserve"> </v>
      </c>
      <c r="K1808" s="24" t="s">
        <v>13854</v>
      </c>
    </row>
    <row r="1809" spans="1:11">
      <c r="A1809" s="24" t="s">
        <v>15835</v>
      </c>
      <c r="B1809" s="24" t="s">
        <v>15835</v>
      </c>
      <c r="C1809" s="24" t="s">
        <v>15933</v>
      </c>
      <c r="D1809" s="24" t="s">
        <v>15899</v>
      </c>
      <c r="E1809" s="24" t="s">
        <v>15833</v>
      </c>
      <c r="F1809" s="29" t="s">
        <v>13848</v>
      </c>
      <c r="G1809" s="24" t="s">
        <v>13849</v>
      </c>
      <c r="H1809" s="11" t="str">
        <f t="shared" si="56"/>
        <v>18/02/1873</v>
      </c>
      <c r="J1809" s="11" t="str">
        <f t="shared" si="57"/>
        <v xml:space="preserve"> </v>
      </c>
      <c r="K1809" s="24" t="s">
        <v>13849</v>
      </c>
    </row>
    <row r="1810" spans="1:11">
      <c r="A1810" s="24" t="s">
        <v>15801</v>
      </c>
      <c r="B1810" s="24" t="s">
        <v>15849</v>
      </c>
      <c r="C1810" s="24" t="s">
        <v>15925</v>
      </c>
      <c r="D1810" s="24" t="s">
        <v>15956</v>
      </c>
      <c r="E1810" s="24" t="s">
        <v>15801</v>
      </c>
      <c r="G1810" s="24" t="s">
        <v>13876</v>
      </c>
      <c r="H1810" s="11" t="str">
        <f t="shared" si="56"/>
        <v>30/10/1851</v>
      </c>
      <c r="J1810" s="11" t="str">
        <f t="shared" si="57"/>
        <v xml:space="preserve"> </v>
      </c>
      <c r="K1810" s="24" t="s">
        <v>13876</v>
      </c>
    </row>
    <row r="1811" spans="1:11">
      <c r="A1811" s="24" t="s">
        <v>15801</v>
      </c>
      <c r="B1811" s="24" t="s">
        <v>15810</v>
      </c>
      <c r="C1811" s="24" t="s">
        <v>15928</v>
      </c>
      <c r="D1811" s="24" t="s">
        <v>15899</v>
      </c>
      <c r="E1811" s="24" t="s">
        <v>15801</v>
      </c>
      <c r="G1811" s="24" t="s">
        <v>13867</v>
      </c>
      <c r="H1811" s="11" t="str">
        <f t="shared" si="56"/>
        <v>02/01/1899</v>
      </c>
      <c r="J1811" s="11" t="str">
        <f t="shared" si="57"/>
        <v xml:space="preserve"> </v>
      </c>
      <c r="K1811" s="24" t="s">
        <v>13867</v>
      </c>
    </row>
    <row r="1812" spans="1:11">
      <c r="A1812" s="24" t="s">
        <v>15811</v>
      </c>
      <c r="B1812" s="24" t="s">
        <v>15811</v>
      </c>
      <c r="C1812" s="24" t="s">
        <v>15895</v>
      </c>
      <c r="D1812" s="24" t="s">
        <v>15899</v>
      </c>
      <c r="E1812" s="24" t="s">
        <v>15801</v>
      </c>
      <c r="F1812" s="29" t="s">
        <v>13872</v>
      </c>
      <c r="G1812" s="24" t="s">
        <v>13873</v>
      </c>
      <c r="H1812" s="11" t="str">
        <f t="shared" si="56"/>
        <v>16/02/1884</v>
      </c>
      <c r="J1812" s="11" t="str">
        <f t="shared" si="57"/>
        <v xml:space="preserve"> </v>
      </c>
      <c r="K1812" s="24" t="s">
        <v>13873</v>
      </c>
    </row>
    <row r="1813" spans="1:11">
      <c r="A1813" s="24" t="s">
        <v>15820</v>
      </c>
      <c r="B1813" s="24" t="s">
        <v>15820</v>
      </c>
      <c r="C1813" s="24" t="s">
        <v>15801</v>
      </c>
      <c r="D1813" s="24" t="s">
        <v>15899</v>
      </c>
      <c r="E1813" s="24" t="s">
        <v>15948</v>
      </c>
      <c r="F1813" s="29" t="s">
        <v>13877</v>
      </c>
      <c r="H1813" s="11" t="str">
        <f t="shared" si="56"/>
        <v/>
      </c>
      <c r="J1813" s="11" t="str">
        <f t="shared" si="57"/>
        <v xml:space="preserve"> </v>
      </c>
      <c r="K1813" s="24" t="s">
        <v>15801</v>
      </c>
    </row>
    <row r="1814" spans="1:11">
      <c r="A1814" s="24" t="s">
        <v>15828</v>
      </c>
      <c r="B1814" s="24" t="s">
        <v>15828</v>
      </c>
      <c r="C1814" s="24" t="s">
        <v>15893</v>
      </c>
      <c r="D1814" s="24" t="s">
        <v>15956</v>
      </c>
      <c r="E1814" s="24" t="s">
        <v>15901</v>
      </c>
      <c r="F1814" s="29" t="s">
        <v>4552</v>
      </c>
      <c r="G1814" s="24" t="s">
        <v>13885</v>
      </c>
      <c r="H1814" s="11" t="str">
        <f t="shared" si="56"/>
        <v>24/09/1879</v>
      </c>
      <c r="J1814" s="11" t="str">
        <f t="shared" si="57"/>
        <v xml:space="preserve"> </v>
      </c>
      <c r="K1814" s="24" t="s">
        <v>13885</v>
      </c>
    </row>
    <row r="1815" spans="1:11">
      <c r="A1815" s="24" t="s">
        <v>15854</v>
      </c>
      <c r="B1815" s="24" t="s">
        <v>15854</v>
      </c>
      <c r="C1815" s="24" t="s">
        <v>15884</v>
      </c>
      <c r="D1815" s="24" t="s">
        <v>15965</v>
      </c>
      <c r="E1815" s="24" t="s">
        <v>15818</v>
      </c>
      <c r="F1815" s="29" t="s">
        <v>13904</v>
      </c>
      <c r="G1815" s="24" t="s">
        <v>13907</v>
      </c>
      <c r="H1815" s="11" t="str">
        <f t="shared" si="56"/>
        <v>25/10/1838</v>
      </c>
      <c r="J1815" s="11" t="str">
        <f t="shared" si="57"/>
        <v xml:space="preserve"> </v>
      </c>
      <c r="K1815" s="24" t="s">
        <v>13907</v>
      </c>
    </row>
    <row r="1816" spans="1:11">
      <c r="A1816" s="24" t="s">
        <v>15821</v>
      </c>
      <c r="B1816" s="24" t="s">
        <v>15821</v>
      </c>
      <c r="C1816" s="24" t="s">
        <v>15894</v>
      </c>
      <c r="D1816" s="24" t="s">
        <v>15965</v>
      </c>
      <c r="E1816" s="24" t="s">
        <v>15966</v>
      </c>
      <c r="F1816" s="29" t="s">
        <v>4671</v>
      </c>
      <c r="G1816" s="24" t="s">
        <v>13892</v>
      </c>
      <c r="H1816" s="11" t="str">
        <f t="shared" si="56"/>
        <v>15/04/1901</v>
      </c>
      <c r="J1816" s="11" t="str">
        <f t="shared" si="57"/>
        <v xml:space="preserve"> </v>
      </c>
      <c r="K1816" s="24" t="s">
        <v>13892</v>
      </c>
    </row>
    <row r="1817" spans="1:11">
      <c r="A1817" s="24" t="s">
        <v>15817</v>
      </c>
      <c r="B1817" s="24" t="s">
        <v>15817</v>
      </c>
      <c r="C1817" s="24" t="s">
        <v>15946</v>
      </c>
      <c r="D1817" s="24" t="s">
        <v>15870</v>
      </c>
      <c r="E1817" s="24" t="s">
        <v>15801</v>
      </c>
      <c r="F1817" s="29" t="s">
        <v>13913</v>
      </c>
      <c r="G1817" s="24">
        <v>1860</v>
      </c>
      <c r="H1817" s="11"/>
      <c r="J1817" s="11" t="str">
        <f t="shared" si="57"/>
        <v xml:space="preserve"> </v>
      </c>
    </row>
    <row r="1818" spans="1:11">
      <c r="A1818" s="24" t="s">
        <v>15833</v>
      </c>
      <c r="B1818" s="24" t="s">
        <v>15833</v>
      </c>
      <c r="C1818" s="24" t="s">
        <v>15903</v>
      </c>
      <c r="D1818" s="24" t="s">
        <v>15931</v>
      </c>
      <c r="E1818" s="24" t="s">
        <v>15801</v>
      </c>
      <c r="F1818" s="29" t="s">
        <v>13919</v>
      </c>
      <c r="G1818" s="24" t="s">
        <v>13920</v>
      </c>
      <c r="H1818" s="11" t="str">
        <f t="shared" si="56"/>
        <v>25/08/1895</v>
      </c>
      <c r="J1818" s="11" t="str">
        <f t="shared" si="57"/>
        <v xml:space="preserve"> </v>
      </c>
      <c r="K1818" s="24" t="s">
        <v>13920</v>
      </c>
    </row>
    <row r="1819" spans="1:11">
      <c r="A1819" s="24" t="s">
        <v>15829</v>
      </c>
      <c r="B1819" s="24" t="s">
        <v>15829</v>
      </c>
      <c r="C1819" s="24" t="s">
        <v>15929</v>
      </c>
      <c r="D1819" s="24" t="s">
        <v>15801</v>
      </c>
      <c r="E1819" s="24" t="s">
        <v>15801</v>
      </c>
      <c r="F1819" s="29" t="s">
        <v>9743</v>
      </c>
      <c r="G1819" s="24" t="s">
        <v>13937</v>
      </c>
      <c r="H1819" s="11" t="str">
        <f t="shared" si="56"/>
        <v>17/09/1878</v>
      </c>
      <c r="J1819" s="11" t="str">
        <f t="shared" si="57"/>
        <v xml:space="preserve"> </v>
      </c>
      <c r="K1819" s="24" t="s">
        <v>13937</v>
      </c>
    </row>
    <row r="1820" spans="1:11">
      <c r="A1820" s="24" t="s">
        <v>15862</v>
      </c>
      <c r="B1820" s="24" t="s">
        <v>15862</v>
      </c>
      <c r="C1820" s="24" t="s">
        <v>15884</v>
      </c>
      <c r="D1820" s="24" t="s">
        <v>15900</v>
      </c>
      <c r="E1820" s="24" t="s">
        <v>15846</v>
      </c>
      <c r="F1820" s="29" t="s">
        <v>13955</v>
      </c>
      <c r="G1820" s="24" t="s">
        <v>13957</v>
      </c>
      <c r="H1820" s="11"/>
      <c r="J1820" s="11" t="str">
        <f t="shared" si="57"/>
        <v xml:space="preserve"> </v>
      </c>
    </row>
    <row r="1821" spans="1:11">
      <c r="A1821" s="24" t="s">
        <v>15806</v>
      </c>
      <c r="B1821" s="24" t="s">
        <v>15806</v>
      </c>
      <c r="C1821" s="24" t="s">
        <v>15942</v>
      </c>
      <c r="D1821" s="24" t="s">
        <v>15900</v>
      </c>
      <c r="E1821" s="24" t="s">
        <v>15948</v>
      </c>
      <c r="F1821" s="29" t="s">
        <v>13947</v>
      </c>
      <c r="G1821" s="24" t="s">
        <v>15773</v>
      </c>
      <c r="H1821" s="11" t="str">
        <f t="shared" si="56"/>
        <v>20/10/1910</v>
      </c>
      <c r="J1821" s="11" t="str">
        <f t="shared" si="57"/>
        <v xml:space="preserve"> </v>
      </c>
      <c r="K1821" s="24" t="s">
        <v>15773</v>
      </c>
    </row>
    <row r="1822" spans="1:11">
      <c r="A1822" s="24" t="s">
        <v>15817</v>
      </c>
      <c r="B1822" s="24" t="s">
        <v>15817</v>
      </c>
      <c r="C1822" s="24" t="s">
        <v>15934</v>
      </c>
      <c r="D1822" s="24" t="s">
        <v>15900</v>
      </c>
      <c r="E1822" s="24" t="s">
        <v>15801</v>
      </c>
      <c r="F1822" s="29" t="s">
        <v>10087</v>
      </c>
      <c r="G1822" s="24" t="s">
        <v>13971</v>
      </c>
      <c r="H1822" s="11" t="str">
        <f t="shared" si="56"/>
        <v>02/05/1898</v>
      </c>
      <c r="J1822" s="11" t="str">
        <f t="shared" si="57"/>
        <v xml:space="preserve"> </v>
      </c>
      <c r="K1822" s="24" t="s">
        <v>13971</v>
      </c>
    </row>
    <row r="1823" spans="1:11">
      <c r="A1823" s="24" t="s">
        <v>15827</v>
      </c>
      <c r="B1823" s="24" t="s">
        <v>15827</v>
      </c>
      <c r="C1823" s="24" t="s">
        <v>15913</v>
      </c>
      <c r="D1823" s="24" t="s">
        <v>15900</v>
      </c>
      <c r="E1823" s="24" t="s">
        <v>15886</v>
      </c>
      <c r="F1823" s="29" t="s">
        <v>13983</v>
      </c>
      <c r="G1823" s="24" t="s">
        <v>13985</v>
      </c>
      <c r="H1823" s="11" t="str">
        <f t="shared" si="56"/>
        <v>10/06/1877</v>
      </c>
      <c r="J1823" s="11" t="str">
        <f t="shared" si="57"/>
        <v xml:space="preserve"> </v>
      </c>
      <c r="K1823" s="24" t="s">
        <v>13985</v>
      </c>
    </row>
    <row r="1824" spans="1:11">
      <c r="A1824" s="24" t="s">
        <v>15849</v>
      </c>
      <c r="B1824" s="24" t="s">
        <v>15849</v>
      </c>
      <c r="C1824" s="24" t="s">
        <v>15939</v>
      </c>
      <c r="D1824" s="24" t="s">
        <v>15900</v>
      </c>
      <c r="E1824" s="24" t="s">
        <v>15876</v>
      </c>
      <c r="F1824" s="29" t="s">
        <v>13940</v>
      </c>
      <c r="G1824" s="24" t="s">
        <v>13942</v>
      </c>
      <c r="H1824" s="11" t="str">
        <f t="shared" si="56"/>
        <v>04/05/1872</v>
      </c>
      <c r="J1824" s="11" t="str">
        <f t="shared" si="57"/>
        <v xml:space="preserve"> </v>
      </c>
      <c r="K1824" s="24" t="s">
        <v>13942</v>
      </c>
    </row>
    <row r="1825" spans="1:11">
      <c r="A1825" s="24" t="s">
        <v>15839</v>
      </c>
      <c r="B1825" s="24" t="s">
        <v>15839</v>
      </c>
      <c r="C1825" s="24" t="s">
        <v>15884</v>
      </c>
      <c r="D1825" s="24" t="s">
        <v>15900</v>
      </c>
      <c r="E1825" s="24" t="s">
        <v>15819</v>
      </c>
      <c r="F1825" s="29" t="s">
        <v>13977</v>
      </c>
      <c r="G1825" s="24" t="s">
        <v>13953</v>
      </c>
      <c r="H1825" s="11" t="str">
        <f t="shared" si="56"/>
        <v>11/04/1838</v>
      </c>
      <c r="J1825" s="11" t="str">
        <f t="shared" si="57"/>
        <v xml:space="preserve"> </v>
      </c>
      <c r="K1825" s="24" t="s">
        <v>13953</v>
      </c>
    </row>
    <row r="1826" spans="1:11">
      <c r="A1826" s="24" t="s">
        <v>15817</v>
      </c>
      <c r="B1826" s="24" t="s">
        <v>15817</v>
      </c>
      <c r="C1826" s="24" t="s">
        <v>15951</v>
      </c>
      <c r="D1826" s="24" t="s">
        <v>15900</v>
      </c>
      <c r="E1826" s="24" t="s">
        <v>15801</v>
      </c>
      <c r="F1826" s="29" t="s">
        <v>13967</v>
      </c>
      <c r="G1826" s="24" t="s">
        <v>13968</v>
      </c>
      <c r="H1826" s="11" t="str">
        <f t="shared" si="56"/>
        <v>24/10/1886</v>
      </c>
      <c r="J1826" s="11" t="str">
        <f t="shared" si="57"/>
        <v xml:space="preserve"> </v>
      </c>
      <c r="K1826" s="24" t="s">
        <v>13968</v>
      </c>
    </row>
    <row r="1827" spans="1:11">
      <c r="A1827" s="24" t="s">
        <v>15820</v>
      </c>
      <c r="B1827" s="24" t="s">
        <v>15820</v>
      </c>
      <c r="C1827" s="24" t="s">
        <v>15884</v>
      </c>
      <c r="D1827" s="24" t="s">
        <v>15900</v>
      </c>
      <c r="E1827" s="24" t="s">
        <v>15801</v>
      </c>
      <c r="F1827" s="29" t="s">
        <v>13952</v>
      </c>
      <c r="G1827" s="24" t="s">
        <v>13953</v>
      </c>
      <c r="H1827" s="11" t="str">
        <f t="shared" si="56"/>
        <v>11/04/1838</v>
      </c>
      <c r="J1827" s="11" t="str">
        <f t="shared" si="57"/>
        <v xml:space="preserve"> </v>
      </c>
      <c r="K1827" s="24" t="s">
        <v>13953</v>
      </c>
    </row>
    <row r="1828" spans="1:11">
      <c r="A1828" s="24" t="s">
        <v>15808</v>
      </c>
      <c r="B1828" s="24" t="s">
        <v>15808</v>
      </c>
      <c r="C1828" s="24" t="s">
        <v>15892</v>
      </c>
      <c r="D1828" s="24" t="s">
        <v>15900</v>
      </c>
      <c r="E1828" s="24" t="s">
        <v>15820</v>
      </c>
      <c r="F1828" s="29" t="s">
        <v>13963</v>
      </c>
      <c r="G1828" s="24">
        <v>1871</v>
      </c>
      <c r="H1828" s="11"/>
      <c r="J1828" s="11" t="str">
        <f t="shared" si="57"/>
        <v xml:space="preserve"> </v>
      </c>
    </row>
    <row r="1829" spans="1:11">
      <c r="A1829" s="24" t="s">
        <v>15812</v>
      </c>
      <c r="B1829" s="24" t="s">
        <v>15812</v>
      </c>
      <c r="C1829" s="24" t="s">
        <v>15801</v>
      </c>
      <c r="D1829" s="24" t="s">
        <v>15801</v>
      </c>
      <c r="E1829" s="24" t="s">
        <v>15801</v>
      </c>
      <c r="F1829" s="29" t="s">
        <v>13928</v>
      </c>
      <c r="H1829" s="11" t="str">
        <f t="shared" si="56"/>
        <v/>
      </c>
      <c r="J1829" s="11" t="str">
        <f t="shared" si="57"/>
        <v xml:space="preserve"> </v>
      </c>
      <c r="K1829" s="24" t="s">
        <v>15801</v>
      </c>
    </row>
    <row r="1830" spans="1:11">
      <c r="A1830" s="24" t="s">
        <v>15816</v>
      </c>
      <c r="B1830" s="24" t="s">
        <v>15816</v>
      </c>
      <c r="C1830" s="24" t="s">
        <v>15801</v>
      </c>
      <c r="D1830" s="24" t="s">
        <v>15801</v>
      </c>
      <c r="E1830" s="24" t="s">
        <v>15801</v>
      </c>
      <c r="F1830" s="29" t="s">
        <v>13935</v>
      </c>
      <c r="H1830" s="11" t="str">
        <f t="shared" si="56"/>
        <v/>
      </c>
      <c r="J1830" s="11" t="str">
        <f t="shared" si="57"/>
        <v xml:space="preserve"> </v>
      </c>
      <c r="K1830" s="24" t="s">
        <v>15801</v>
      </c>
    </row>
    <row r="1831" spans="1:11">
      <c r="A1831" s="24" t="s">
        <v>15854</v>
      </c>
      <c r="B1831" s="24" t="s">
        <v>15854</v>
      </c>
      <c r="C1831" s="24" t="s">
        <v>15946</v>
      </c>
      <c r="D1831" s="24" t="s">
        <v>15801</v>
      </c>
      <c r="E1831" s="24" t="s">
        <v>15801</v>
      </c>
      <c r="F1831" s="29" t="s">
        <v>13930</v>
      </c>
      <c r="G1831" s="24" t="s">
        <v>13931</v>
      </c>
      <c r="H1831" s="11" t="str">
        <f t="shared" si="56"/>
        <v>26/01/1860</v>
      </c>
      <c r="J1831" s="11" t="str">
        <f t="shared" si="57"/>
        <v xml:space="preserve"> </v>
      </c>
      <c r="K1831" s="24" t="s">
        <v>13931</v>
      </c>
    </row>
    <row r="1832" spans="1:11">
      <c r="A1832" s="24" t="s">
        <v>15801</v>
      </c>
      <c r="B1832" s="24" t="s">
        <v>15815</v>
      </c>
      <c r="C1832" s="24" t="s">
        <v>15949</v>
      </c>
      <c r="D1832" s="24" t="s">
        <v>15801</v>
      </c>
      <c r="E1832" s="24" t="s">
        <v>15801</v>
      </c>
      <c r="G1832" s="24" t="s">
        <v>13933</v>
      </c>
      <c r="H1832" s="11" t="str">
        <f t="shared" si="56"/>
        <v>16/12/1859</v>
      </c>
      <c r="J1832" s="11" t="str">
        <f t="shared" si="57"/>
        <v xml:space="preserve"> </v>
      </c>
      <c r="K1832" s="24" t="s">
        <v>13933</v>
      </c>
    </row>
    <row r="1833" spans="1:11">
      <c r="A1833" s="24" t="s">
        <v>15801</v>
      </c>
      <c r="B1833" s="24" t="s">
        <v>15841</v>
      </c>
      <c r="C1833" s="24" t="s">
        <v>15801</v>
      </c>
      <c r="D1833" s="24" t="s">
        <v>15884</v>
      </c>
      <c r="E1833" s="24" t="s">
        <v>15828</v>
      </c>
      <c r="H1833" s="11" t="str">
        <f t="shared" si="56"/>
        <v/>
      </c>
      <c r="J1833" s="11" t="str">
        <f t="shared" si="57"/>
        <v xml:space="preserve"> </v>
      </c>
      <c r="K1833" s="24" t="s">
        <v>15801</v>
      </c>
    </row>
    <row r="1834" spans="1:11">
      <c r="A1834" s="24" t="s">
        <v>15807</v>
      </c>
      <c r="B1834" s="24" t="s">
        <v>15807</v>
      </c>
      <c r="C1834" s="24" t="s">
        <v>15917</v>
      </c>
      <c r="D1834" s="24" t="s">
        <v>15901</v>
      </c>
      <c r="E1834" s="24" t="s">
        <v>15876</v>
      </c>
      <c r="F1834" s="29" t="s">
        <v>14000</v>
      </c>
      <c r="G1834" s="24">
        <v>1869</v>
      </c>
      <c r="H1834" s="11"/>
      <c r="J1834" s="11" t="str">
        <f t="shared" si="57"/>
        <v xml:space="preserve"> </v>
      </c>
    </row>
    <row r="1835" spans="1:11">
      <c r="A1835" s="24" t="s">
        <v>15827</v>
      </c>
      <c r="B1835" s="24" t="s">
        <v>15827</v>
      </c>
      <c r="C1835" s="24" t="s">
        <v>15801</v>
      </c>
      <c r="D1835" s="24" t="s">
        <v>15956</v>
      </c>
      <c r="E1835" s="24" t="s">
        <v>15901</v>
      </c>
      <c r="F1835" s="29" t="s">
        <v>14010</v>
      </c>
      <c r="H1835" s="11" t="str">
        <f t="shared" si="56"/>
        <v/>
      </c>
      <c r="J1835" s="11" t="str">
        <f t="shared" si="57"/>
        <v xml:space="preserve"> </v>
      </c>
      <c r="K1835" s="24" t="s">
        <v>15801</v>
      </c>
    </row>
    <row r="1836" spans="1:11">
      <c r="A1836" s="24" t="s">
        <v>15801</v>
      </c>
      <c r="B1836" s="24" t="s">
        <v>15829</v>
      </c>
      <c r="C1836" s="24" t="s">
        <v>15949</v>
      </c>
      <c r="D1836" s="24" t="s">
        <v>15956</v>
      </c>
      <c r="E1836" s="24" t="s">
        <v>15801</v>
      </c>
      <c r="G1836" s="24" t="s">
        <v>14016</v>
      </c>
      <c r="H1836" s="11" t="str">
        <f t="shared" si="56"/>
        <v>13/05/1859</v>
      </c>
      <c r="J1836" s="11" t="str">
        <f t="shared" si="57"/>
        <v xml:space="preserve"> </v>
      </c>
      <c r="K1836" s="24" t="s">
        <v>14016</v>
      </c>
    </row>
    <row r="1837" spans="1:11">
      <c r="A1837" s="24" t="s">
        <v>15801</v>
      </c>
      <c r="B1837" s="24" t="s">
        <v>15813</v>
      </c>
      <c r="C1837" s="24" t="s">
        <v>15922</v>
      </c>
      <c r="D1837" s="24" t="s">
        <v>15870</v>
      </c>
      <c r="E1837" s="24" t="s">
        <v>15811</v>
      </c>
      <c r="G1837" s="24">
        <v>1855</v>
      </c>
      <c r="H1837" s="11"/>
      <c r="J1837" s="11" t="str">
        <f t="shared" si="57"/>
        <v xml:space="preserve"> </v>
      </c>
    </row>
    <row r="1838" spans="1:11">
      <c r="A1838" s="24" t="s">
        <v>15815</v>
      </c>
      <c r="B1838" s="24" t="s">
        <v>15815</v>
      </c>
      <c r="C1838" s="24" t="s">
        <v>15939</v>
      </c>
      <c r="D1838" s="24" t="s">
        <v>15884</v>
      </c>
      <c r="E1838" s="24" t="s">
        <v>15864</v>
      </c>
      <c r="F1838" s="29" t="s">
        <v>14020</v>
      </c>
      <c r="G1838" s="24">
        <v>1872</v>
      </c>
      <c r="H1838" s="11"/>
      <c r="J1838" s="11" t="str">
        <f t="shared" si="57"/>
        <v xml:space="preserve"> </v>
      </c>
    </row>
    <row r="1839" spans="1:11">
      <c r="A1839" s="24" t="s">
        <v>15811</v>
      </c>
      <c r="B1839" s="24" t="s">
        <v>15811</v>
      </c>
      <c r="C1839" s="24" t="s">
        <v>15801</v>
      </c>
      <c r="D1839" s="24" t="s">
        <v>15931</v>
      </c>
      <c r="E1839" s="24" t="s">
        <v>15901</v>
      </c>
      <c r="F1839" s="29" t="s">
        <v>14032</v>
      </c>
      <c r="H1839" s="11"/>
      <c r="J1839" s="11" t="str">
        <f t="shared" si="57"/>
        <v xml:space="preserve"> </v>
      </c>
    </row>
    <row r="1840" spans="1:11">
      <c r="A1840" s="24" t="s">
        <v>15835</v>
      </c>
      <c r="B1840" s="24" t="s">
        <v>15835</v>
      </c>
      <c r="C1840" s="24" t="s">
        <v>15801</v>
      </c>
      <c r="D1840" s="24" t="s">
        <v>15956</v>
      </c>
      <c r="E1840" s="24" t="s">
        <v>15801</v>
      </c>
      <c r="F1840" s="29" t="s">
        <v>14026</v>
      </c>
      <c r="H1840" s="11"/>
      <c r="J1840" s="11" t="str">
        <f t="shared" si="57"/>
        <v xml:space="preserve"> </v>
      </c>
    </row>
    <row r="1841" spans="1:11">
      <c r="A1841" s="24" t="s">
        <v>15847</v>
      </c>
      <c r="B1841" s="24" t="s">
        <v>15847</v>
      </c>
      <c r="C1841" s="24" t="s">
        <v>15898</v>
      </c>
      <c r="D1841" s="24" t="s">
        <v>15884</v>
      </c>
      <c r="E1841" s="24" t="s">
        <v>15815</v>
      </c>
      <c r="F1841" s="29" t="s">
        <v>14038</v>
      </c>
      <c r="G1841" s="24">
        <v>1848</v>
      </c>
      <c r="H1841" s="11"/>
      <c r="J1841" s="11" t="str">
        <f t="shared" si="57"/>
        <v xml:space="preserve"> </v>
      </c>
    </row>
    <row r="1842" spans="1:11">
      <c r="A1842" s="24" t="s">
        <v>15825</v>
      </c>
      <c r="B1842" s="24" t="s">
        <v>15825</v>
      </c>
      <c r="C1842" s="24" t="s">
        <v>15909</v>
      </c>
      <c r="D1842" s="24" t="s">
        <v>15884</v>
      </c>
      <c r="E1842" s="24" t="s">
        <v>15870</v>
      </c>
      <c r="F1842" s="29" t="s">
        <v>3746</v>
      </c>
      <c r="G1842" s="24" t="s">
        <v>14050</v>
      </c>
      <c r="H1842" s="11" t="str">
        <f t="shared" si="56"/>
        <v>12/12/1881</v>
      </c>
      <c r="J1842" s="11" t="str">
        <f t="shared" si="57"/>
        <v xml:space="preserve"> </v>
      </c>
      <c r="K1842" s="24" t="s">
        <v>14050</v>
      </c>
    </row>
    <row r="1843" spans="1:11">
      <c r="A1843" s="24" t="s">
        <v>15801</v>
      </c>
      <c r="B1843" s="24" t="s">
        <v>15808</v>
      </c>
      <c r="C1843" s="24" t="s">
        <v>15801</v>
      </c>
      <c r="D1843" s="24" t="s">
        <v>15884</v>
      </c>
      <c r="E1843" s="24" t="s">
        <v>15844</v>
      </c>
      <c r="H1843" s="11" t="str">
        <f t="shared" si="56"/>
        <v/>
      </c>
      <c r="J1843" s="11" t="str">
        <f t="shared" si="57"/>
        <v xml:space="preserve"> </v>
      </c>
      <c r="K1843" s="24" t="s">
        <v>15801</v>
      </c>
    </row>
    <row r="1844" spans="1:11">
      <c r="A1844" s="24" t="s">
        <v>15801</v>
      </c>
      <c r="B1844" s="24" t="s">
        <v>15801</v>
      </c>
      <c r="C1844" s="24" t="s">
        <v>15801</v>
      </c>
      <c r="D1844" s="24" t="s">
        <v>15900</v>
      </c>
      <c r="E1844" s="24" t="s">
        <v>15801</v>
      </c>
      <c r="H1844" s="11" t="str">
        <f t="shared" si="56"/>
        <v/>
      </c>
      <c r="J1844" s="11" t="str">
        <f t="shared" si="57"/>
        <v xml:space="preserve"> </v>
      </c>
      <c r="K1844" s="24" t="s">
        <v>15801</v>
      </c>
    </row>
    <row r="1845" spans="1:11">
      <c r="A1845" s="24" t="s">
        <v>15814</v>
      </c>
      <c r="B1845" s="24" t="s">
        <v>15814</v>
      </c>
      <c r="C1845" s="24" t="s">
        <v>15801</v>
      </c>
      <c r="D1845" s="24" t="s">
        <v>15884</v>
      </c>
      <c r="E1845" s="24" t="s">
        <v>15900</v>
      </c>
      <c r="F1845" s="29" t="s">
        <v>14064</v>
      </c>
      <c r="H1845" s="11" t="str">
        <f t="shared" si="56"/>
        <v/>
      </c>
      <c r="J1845" s="11" t="str">
        <f t="shared" si="57"/>
        <v xml:space="preserve"> </v>
      </c>
      <c r="K1845" s="24" t="s">
        <v>15801</v>
      </c>
    </row>
    <row r="1846" spans="1:11">
      <c r="A1846" s="24" t="s">
        <v>15801</v>
      </c>
      <c r="B1846" s="24" t="s">
        <v>15818</v>
      </c>
      <c r="C1846" s="24" t="s">
        <v>15801</v>
      </c>
      <c r="D1846" s="24" t="s">
        <v>15884</v>
      </c>
      <c r="E1846" s="24" t="s">
        <v>15801</v>
      </c>
      <c r="H1846" s="11" t="str">
        <f t="shared" si="56"/>
        <v/>
      </c>
      <c r="J1846" s="11" t="str">
        <f t="shared" si="57"/>
        <v xml:space="preserve"> </v>
      </c>
      <c r="K1846" s="24" t="s">
        <v>15801</v>
      </c>
    </row>
    <row r="1847" spans="1:11">
      <c r="A1847" s="24" t="s">
        <v>15854</v>
      </c>
      <c r="B1847" s="24" t="s">
        <v>15854</v>
      </c>
      <c r="C1847" s="24" t="s">
        <v>15911</v>
      </c>
      <c r="D1847" s="24" t="s">
        <v>15884</v>
      </c>
      <c r="E1847" s="24" t="s">
        <v>15807</v>
      </c>
      <c r="F1847" s="29" t="s">
        <v>14067</v>
      </c>
      <c r="G1847" s="24" t="s">
        <v>14069</v>
      </c>
      <c r="H1847" s="11" t="str">
        <f t="shared" si="56"/>
        <v>18/06/1863</v>
      </c>
      <c r="J1847" s="11" t="str">
        <f t="shared" si="57"/>
        <v xml:space="preserve"> </v>
      </c>
      <c r="K1847" s="24" t="s">
        <v>14069</v>
      </c>
    </row>
    <row r="1848" spans="1:11">
      <c r="A1848" s="24" t="s">
        <v>15801</v>
      </c>
      <c r="B1848" s="24" t="s">
        <v>15817</v>
      </c>
      <c r="C1848" s="24" t="s">
        <v>15891</v>
      </c>
      <c r="D1848" s="24" t="s">
        <v>15884</v>
      </c>
      <c r="E1848" s="24" t="s">
        <v>15801</v>
      </c>
      <c r="G1848" s="24" t="s">
        <v>14075</v>
      </c>
      <c r="H1848" s="11" t="str">
        <f t="shared" si="56"/>
        <v>26/05/1883</v>
      </c>
      <c r="J1848" s="11" t="str">
        <f t="shared" si="57"/>
        <v xml:space="preserve"> </v>
      </c>
      <c r="K1848" s="24" t="s">
        <v>14075</v>
      </c>
    </row>
    <row r="1849" spans="1:11">
      <c r="A1849" s="24" t="s">
        <v>15801</v>
      </c>
      <c r="B1849" s="24" t="s">
        <v>15811</v>
      </c>
      <c r="C1849" s="24" t="s">
        <v>15801</v>
      </c>
      <c r="D1849" s="24" t="s">
        <v>15884</v>
      </c>
      <c r="E1849" s="24" t="s">
        <v>15801</v>
      </c>
      <c r="H1849" s="11" t="str">
        <f t="shared" si="56"/>
        <v/>
      </c>
      <c r="J1849" s="11" t="str">
        <f t="shared" si="57"/>
        <v xml:space="preserve"> </v>
      </c>
      <c r="K1849" s="24" t="s">
        <v>15801</v>
      </c>
    </row>
    <row r="1850" spans="1:11">
      <c r="A1850" s="24" t="s">
        <v>15835</v>
      </c>
      <c r="B1850" s="24" t="s">
        <v>15835</v>
      </c>
      <c r="C1850" s="24" t="s">
        <v>15801</v>
      </c>
      <c r="D1850" s="24" t="s">
        <v>15900</v>
      </c>
      <c r="E1850" s="24" t="s">
        <v>15811</v>
      </c>
      <c r="F1850" s="29" t="s">
        <v>14120</v>
      </c>
      <c r="H1850" s="11" t="str">
        <f t="shared" si="56"/>
        <v/>
      </c>
      <c r="J1850" s="11" t="str">
        <f t="shared" si="57"/>
        <v xml:space="preserve"> </v>
      </c>
      <c r="K1850" s="24" t="s">
        <v>15801</v>
      </c>
    </row>
    <row r="1851" spans="1:11">
      <c r="A1851" s="24" t="s">
        <v>15824</v>
      </c>
      <c r="B1851" s="24" t="s">
        <v>15824</v>
      </c>
      <c r="C1851" s="24" t="s">
        <v>15915</v>
      </c>
      <c r="D1851" s="24" t="s">
        <v>15915</v>
      </c>
      <c r="E1851" s="24" t="s">
        <v>15801</v>
      </c>
      <c r="F1851" s="29" t="s">
        <v>14092</v>
      </c>
      <c r="G1851" s="24" t="s">
        <v>14094</v>
      </c>
      <c r="H1851" s="11" t="str">
        <f t="shared" si="56"/>
        <v>05/09/1839</v>
      </c>
      <c r="J1851" s="11" t="str">
        <f t="shared" si="57"/>
        <v xml:space="preserve"> </v>
      </c>
      <c r="K1851" s="24" t="s">
        <v>14094</v>
      </c>
    </row>
    <row r="1852" spans="1:11">
      <c r="A1852" s="24" t="s">
        <v>15815</v>
      </c>
      <c r="B1852" s="24" t="s">
        <v>15815</v>
      </c>
      <c r="C1852" s="24" t="s">
        <v>15946</v>
      </c>
      <c r="D1852" s="24" t="s">
        <v>15915</v>
      </c>
      <c r="E1852" s="24" t="s">
        <v>15876</v>
      </c>
      <c r="F1852" s="29" t="s">
        <v>14128</v>
      </c>
      <c r="G1852" s="24" t="s">
        <v>14129</v>
      </c>
      <c r="H1852" s="11" t="str">
        <f t="shared" si="56"/>
        <v>22/06/1860</v>
      </c>
      <c r="J1852" s="11" t="str">
        <f t="shared" si="57"/>
        <v xml:space="preserve"> </v>
      </c>
      <c r="K1852" s="24" t="s">
        <v>14129</v>
      </c>
    </row>
    <row r="1853" spans="1:11">
      <c r="A1853" s="24" t="s">
        <v>15821</v>
      </c>
      <c r="B1853" s="24" t="s">
        <v>15821</v>
      </c>
      <c r="C1853" s="24" t="s">
        <v>15905</v>
      </c>
      <c r="D1853" s="24" t="s">
        <v>15915</v>
      </c>
      <c r="E1853" s="24" t="s">
        <v>15971</v>
      </c>
      <c r="F1853" s="29" t="s">
        <v>14105</v>
      </c>
      <c r="G1853" s="24" t="s">
        <v>14106</v>
      </c>
      <c r="H1853" s="11" t="str">
        <f t="shared" si="56"/>
        <v>29/06/1849</v>
      </c>
      <c r="J1853" s="11" t="str">
        <f t="shared" si="57"/>
        <v xml:space="preserve"> </v>
      </c>
      <c r="K1853" s="24" t="s">
        <v>14106</v>
      </c>
    </row>
    <row r="1854" spans="1:11">
      <c r="A1854" s="24" t="s">
        <v>15801</v>
      </c>
      <c r="B1854" s="24" t="s">
        <v>15867</v>
      </c>
      <c r="C1854" s="24" t="s">
        <v>15899</v>
      </c>
      <c r="D1854" s="24" t="s">
        <v>15900</v>
      </c>
      <c r="E1854" s="24" t="s">
        <v>15808</v>
      </c>
      <c r="G1854" s="24" t="s">
        <v>1639</v>
      </c>
      <c r="H1854" s="11" t="str">
        <f t="shared" si="56"/>
        <v>03/08/1840</v>
      </c>
      <c r="J1854" s="11" t="str">
        <f t="shared" si="57"/>
        <v xml:space="preserve"> </v>
      </c>
      <c r="K1854" s="24" t="s">
        <v>1639</v>
      </c>
    </row>
    <row r="1855" spans="1:11">
      <c r="A1855" s="24" t="s">
        <v>15801</v>
      </c>
      <c r="B1855" s="24" t="s">
        <v>15818</v>
      </c>
      <c r="C1855" s="24" t="s">
        <v>15801</v>
      </c>
      <c r="D1855" s="24" t="s">
        <v>15900</v>
      </c>
      <c r="E1855" s="24" t="s">
        <v>15863</v>
      </c>
      <c r="H1855" s="11" t="str">
        <f t="shared" si="56"/>
        <v/>
      </c>
      <c r="J1855" s="11" t="str">
        <f t="shared" si="57"/>
        <v xml:space="preserve"> </v>
      </c>
      <c r="K1855" s="24" t="s">
        <v>15801</v>
      </c>
    </row>
    <row r="1856" spans="1:11">
      <c r="A1856" s="24" t="s">
        <v>15835</v>
      </c>
      <c r="B1856" s="24" t="s">
        <v>15835</v>
      </c>
      <c r="C1856" s="24" t="s">
        <v>15801</v>
      </c>
      <c r="D1856" s="24" t="s">
        <v>15915</v>
      </c>
      <c r="E1856" s="24" t="s">
        <v>15833</v>
      </c>
      <c r="H1856" s="11" t="str">
        <f t="shared" si="56"/>
        <v/>
      </c>
      <c r="J1856" s="11" t="str">
        <f t="shared" si="57"/>
        <v xml:space="preserve"> </v>
      </c>
      <c r="K1856" s="24" t="s">
        <v>15801</v>
      </c>
    </row>
    <row r="1857" spans="1:11">
      <c r="A1857" s="24" t="s">
        <v>15811</v>
      </c>
      <c r="B1857" s="24" t="s">
        <v>15811</v>
      </c>
      <c r="C1857" s="24" t="s">
        <v>15801</v>
      </c>
      <c r="D1857" s="24" t="s">
        <v>15870</v>
      </c>
      <c r="E1857" s="24" t="s">
        <v>15938</v>
      </c>
      <c r="F1857" s="29" t="s">
        <v>14088</v>
      </c>
      <c r="H1857" s="11" t="str">
        <f t="shared" si="56"/>
        <v/>
      </c>
      <c r="J1857" s="11" t="str">
        <f t="shared" si="57"/>
        <v xml:space="preserve"> </v>
      </c>
      <c r="K1857" s="24" t="s">
        <v>15801</v>
      </c>
    </row>
    <row r="1858" spans="1:11">
      <c r="A1858" s="24" t="s">
        <v>15801</v>
      </c>
      <c r="B1858" s="24" t="s">
        <v>15803</v>
      </c>
      <c r="C1858" s="24" t="s">
        <v>15801</v>
      </c>
      <c r="D1858" s="24" t="s">
        <v>15900</v>
      </c>
      <c r="E1858" s="24" t="s">
        <v>15801</v>
      </c>
      <c r="H1858" s="11" t="str">
        <f t="shared" si="56"/>
        <v/>
      </c>
      <c r="J1858" s="11" t="str">
        <f t="shared" si="57"/>
        <v xml:space="preserve"> </v>
      </c>
      <c r="K1858" s="24" t="s">
        <v>15801</v>
      </c>
    </row>
    <row r="1859" spans="1:11">
      <c r="A1859" s="24" t="s">
        <v>15833</v>
      </c>
      <c r="B1859" s="24" t="s">
        <v>15833</v>
      </c>
      <c r="C1859" s="24" t="s">
        <v>15907</v>
      </c>
      <c r="D1859" s="24" t="s">
        <v>15956</v>
      </c>
      <c r="E1859" s="24" t="s">
        <v>15801</v>
      </c>
      <c r="F1859" s="29" t="s">
        <v>14116</v>
      </c>
      <c r="G1859" s="24" t="s">
        <v>15775</v>
      </c>
      <c r="H1859" s="11" t="str">
        <f t="shared" ref="H1859:H1922" si="58">TRIM(G1859)</f>
        <v>3/11/1913</v>
      </c>
      <c r="J1859" s="11" t="str">
        <f t="shared" ref="J1859:J1922" si="59">IF(LEN(H1859)=4,"fout"," ")</f>
        <v xml:space="preserve"> </v>
      </c>
      <c r="K1859" s="24" t="s">
        <v>15775</v>
      </c>
    </row>
    <row r="1860" spans="1:11">
      <c r="A1860" s="24" t="s">
        <v>15835</v>
      </c>
      <c r="B1860" s="24" t="s">
        <v>15835</v>
      </c>
      <c r="C1860" s="24" t="s">
        <v>15801</v>
      </c>
      <c r="E1860" s="24" t="s">
        <v>15817</v>
      </c>
      <c r="F1860" s="29" t="s">
        <v>14112</v>
      </c>
      <c r="H1860" s="11" t="str">
        <f t="shared" si="58"/>
        <v/>
      </c>
      <c r="J1860" s="11" t="str">
        <f t="shared" si="59"/>
        <v xml:space="preserve"> </v>
      </c>
      <c r="K1860" s="24" t="s">
        <v>15801</v>
      </c>
    </row>
    <row r="1861" spans="1:11">
      <c r="A1861" s="24" t="s">
        <v>15820</v>
      </c>
      <c r="B1861" s="24" t="s">
        <v>15820</v>
      </c>
      <c r="C1861" s="24" t="s">
        <v>15801</v>
      </c>
      <c r="D1861" s="24" t="s">
        <v>15901</v>
      </c>
      <c r="E1861" s="24" t="s">
        <v>15936</v>
      </c>
      <c r="F1861" s="29" t="s">
        <v>14099</v>
      </c>
      <c r="H1861" s="11" t="str">
        <f t="shared" si="58"/>
        <v/>
      </c>
      <c r="J1861" s="11" t="str">
        <f t="shared" si="59"/>
        <v xml:space="preserve"> </v>
      </c>
      <c r="K1861" s="24" t="s">
        <v>15801</v>
      </c>
    </row>
    <row r="1862" spans="1:11">
      <c r="A1862" s="24" t="s">
        <v>15801</v>
      </c>
      <c r="B1862" s="24" t="s">
        <v>15804</v>
      </c>
      <c r="C1862" s="24" t="s">
        <v>15884</v>
      </c>
      <c r="D1862" s="24" t="s">
        <v>15900</v>
      </c>
      <c r="E1862" s="24" t="s">
        <v>15823</v>
      </c>
      <c r="G1862" s="24" t="s">
        <v>72</v>
      </c>
      <c r="H1862" s="11" t="str">
        <f t="shared" si="58"/>
        <v>06/02/1838</v>
      </c>
      <c r="J1862" s="11" t="str">
        <f t="shared" si="59"/>
        <v xml:space="preserve"> </v>
      </c>
      <c r="K1862" s="24" t="s">
        <v>72</v>
      </c>
    </row>
    <row r="1863" spans="1:11">
      <c r="A1863" s="24" t="s">
        <v>15804</v>
      </c>
      <c r="B1863" s="24" t="s">
        <v>15804</v>
      </c>
      <c r="C1863" s="24" t="s">
        <v>15954</v>
      </c>
      <c r="D1863" s="24" t="s">
        <v>15931</v>
      </c>
      <c r="E1863" s="24" t="s">
        <v>15801</v>
      </c>
      <c r="F1863" s="29" t="s">
        <v>14140</v>
      </c>
      <c r="G1863" s="24" t="s">
        <v>14142</v>
      </c>
      <c r="H1863" s="11" t="str">
        <f t="shared" si="58"/>
        <v>30/04/1857</v>
      </c>
      <c r="J1863" s="11" t="str">
        <f t="shared" si="59"/>
        <v xml:space="preserve"> </v>
      </c>
      <c r="K1863" s="24" t="s">
        <v>14142</v>
      </c>
    </row>
    <row r="1864" spans="1:11">
      <c r="A1864" s="24" t="s">
        <v>15819</v>
      </c>
      <c r="B1864" s="24" t="s">
        <v>15819</v>
      </c>
      <c r="C1864" s="24" t="s">
        <v>15801</v>
      </c>
      <c r="E1864" s="24" t="s">
        <v>15900</v>
      </c>
      <c r="F1864" s="29" t="s">
        <v>14154</v>
      </c>
      <c r="H1864" s="11" t="str">
        <f t="shared" si="58"/>
        <v/>
      </c>
      <c r="J1864" s="11" t="str">
        <f t="shared" si="59"/>
        <v xml:space="preserve"> </v>
      </c>
      <c r="K1864" s="24" t="s">
        <v>15801</v>
      </c>
    </row>
    <row r="1865" spans="1:11">
      <c r="A1865" s="24" t="s">
        <v>15801</v>
      </c>
      <c r="B1865" s="24" t="s">
        <v>15836</v>
      </c>
      <c r="C1865" s="24" t="s">
        <v>15801</v>
      </c>
      <c r="D1865" s="24" t="s">
        <v>15900</v>
      </c>
      <c r="E1865" s="24" t="s">
        <v>15801</v>
      </c>
      <c r="H1865" s="11" t="str">
        <f t="shared" si="58"/>
        <v/>
      </c>
      <c r="J1865" s="11" t="str">
        <f t="shared" si="59"/>
        <v xml:space="preserve"> </v>
      </c>
      <c r="K1865" s="24" t="s">
        <v>15801</v>
      </c>
    </row>
    <row r="1866" spans="1:11">
      <c r="A1866" s="24" t="s">
        <v>15801</v>
      </c>
      <c r="B1866" s="24" t="s">
        <v>15834</v>
      </c>
      <c r="C1866" s="24" t="s">
        <v>15913</v>
      </c>
      <c r="D1866" s="24" t="s">
        <v>15900</v>
      </c>
      <c r="E1866" s="24" t="s">
        <v>15806</v>
      </c>
      <c r="G1866" s="24" t="s">
        <v>14237</v>
      </c>
      <c r="H1866" s="11" t="str">
        <f t="shared" si="58"/>
        <v>29/05/1877</v>
      </c>
      <c r="J1866" s="11" t="str">
        <f t="shared" si="59"/>
        <v xml:space="preserve"> </v>
      </c>
      <c r="K1866" s="24" t="s">
        <v>14237</v>
      </c>
    </row>
    <row r="1867" spans="1:11">
      <c r="A1867" s="24" t="s">
        <v>15854</v>
      </c>
      <c r="B1867" s="24" t="s">
        <v>15854</v>
      </c>
      <c r="C1867" s="24" t="s">
        <v>15801</v>
      </c>
      <c r="D1867" s="24" t="s">
        <v>15899</v>
      </c>
      <c r="E1867" s="24" t="s">
        <v>15813</v>
      </c>
      <c r="F1867" s="29" t="s">
        <v>14215</v>
      </c>
      <c r="H1867" s="11" t="str">
        <f t="shared" si="58"/>
        <v/>
      </c>
      <c r="J1867" s="11" t="str">
        <f t="shared" si="59"/>
        <v xml:space="preserve"> </v>
      </c>
      <c r="K1867" s="24" t="s">
        <v>15801</v>
      </c>
    </row>
    <row r="1868" spans="1:11">
      <c r="A1868" s="24" t="s">
        <v>15828</v>
      </c>
      <c r="B1868" s="24" t="s">
        <v>15828</v>
      </c>
      <c r="C1868" s="24" t="s">
        <v>15801</v>
      </c>
      <c r="D1868" s="24" t="s">
        <v>15956</v>
      </c>
      <c r="E1868" s="24" t="s">
        <v>15801</v>
      </c>
      <c r="F1868" s="29" t="s">
        <v>7544</v>
      </c>
      <c r="H1868" s="11" t="str">
        <f t="shared" si="58"/>
        <v/>
      </c>
      <c r="J1868" s="11" t="str">
        <f t="shared" si="59"/>
        <v xml:space="preserve"> </v>
      </c>
      <c r="K1868" s="24" t="s">
        <v>15801</v>
      </c>
    </row>
    <row r="1869" spans="1:11">
      <c r="A1869" s="24" t="s">
        <v>15849</v>
      </c>
      <c r="B1869" s="24" t="s">
        <v>15849</v>
      </c>
      <c r="C1869" s="24" t="s">
        <v>15801</v>
      </c>
      <c r="D1869" s="24" t="s">
        <v>15900</v>
      </c>
      <c r="E1869" s="24" t="s">
        <v>15816</v>
      </c>
      <c r="F1869" s="29" t="s">
        <v>14290</v>
      </c>
      <c r="H1869" s="11" t="str">
        <f t="shared" si="58"/>
        <v/>
      </c>
      <c r="J1869" s="11" t="str">
        <f t="shared" si="59"/>
        <v xml:space="preserve"> </v>
      </c>
      <c r="K1869" s="24" t="s">
        <v>15801</v>
      </c>
    </row>
    <row r="1870" spans="1:11">
      <c r="A1870" s="24" t="s">
        <v>15833</v>
      </c>
      <c r="B1870" s="24" t="s">
        <v>15833</v>
      </c>
      <c r="C1870" s="24" t="s">
        <v>15801</v>
      </c>
      <c r="D1870" s="24" t="s">
        <v>15931</v>
      </c>
      <c r="E1870" s="24" t="s">
        <v>15956</v>
      </c>
      <c r="F1870" s="29" t="s">
        <v>14229</v>
      </c>
      <c r="H1870" s="11" t="str">
        <f t="shared" si="58"/>
        <v/>
      </c>
      <c r="J1870" s="11" t="str">
        <f t="shared" si="59"/>
        <v xml:space="preserve"> </v>
      </c>
      <c r="K1870" s="24" t="s">
        <v>15801</v>
      </c>
    </row>
    <row r="1871" spans="1:11">
      <c r="A1871" s="24" t="s">
        <v>15823</v>
      </c>
      <c r="B1871" s="24" t="s">
        <v>15823</v>
      </c>
      <c r="C1871" s="24" t="s">
        <v>15801</v>
      </c>
      <c r="D1871" s="24" t="s">
        <v>15956</v>
      </c>
      <c r="E1871" s="24" t="s">
        <v>15801</v>
      </c>
      <c r="H1871" s="11" t="str">
        <f t="shared" si="58"/>
        <v/>
      </c>
      <c r="J1871" s="11" t="str">
        <f t="shared" si="59"/>
        <v xml:space="preserve"> </v>
      </c>
      <c r="K1871" s="24" t="s">
        <v>15801</v>
      </c>
    </row>
    <row r="1872" spans="1:11">
      <c r="A1872" s="24" t="s">
        <v>15801</v>
      </c>
      <c r="B1872" s="24" t="s">
        <v>15849</v>
      </c>
      <c r="C1872" s="24" t="s">
        <v>15946</v>
      </c>
      <c r="D1872" s="24" t="s">
        <v>15899</v>
      </c>
      <c r="E1872" s="24" t="s">
        <v>15801</v>
      </c>
      <c r="G1872" s="24" t="s">
        <v>14357</v>
      </c>
      <c r="H1872" s="11" t="str">
        <f t="shared" si="58"/>
        <v>15/10/1860</v>
      </c>
      <c r="J1872" s="11" t="str">
        <f t="shared" si="59"/>
        <v xml:space="preserve"> </v>
      </c>
      <c r="K1872" s="24" t="s">
        <v>14357</v>
      </c>
    </row>
    <row r="1873" spans="1:11">
      <c r="A1873" s="24" t="s">
        <v>15801</v>
      </c>
      <c r="B1873" s="24" t="s">
        <v>15801</v>
      </c>
      <c r="C1873" s="24" t="s">
        <v>15801</v>
      </c>
      <c r="D1873" s="24" t="s">
        <v>15901</v>
      </c>
      <c r="E1873" s="24" t="s">
        <v>15801</v>
      </c>
      <c r="H1873" s="11" t="str">
        <f t="shared" si="58"/>
        <v/>
      </c>
      <c r="J1873" s="11" t="str">
        <f t="shared" si="59"/>
        <v xml:space="preserve"> </v>
      </c>
      <c r="K1873" s="24" t="s">
        <v>15801</v>
      </c>
    </row>
    <row r="1874" spans="1:11">
      <c r="A1874" s="24" t="s">
        <v>15801</v>
      </c>
      <c r="B1874" s="24" t="s">
        <v>15837</v>
      </c>
      <c r="C1874" s="24" t="s">
        <v>15883</v>
      </c>
      <c r="D1874" s="24" t="s">
        <v>15870</v>
      </c>
      <c r="E1874" s="24" t="s">
        <v>15801</v>
      </c>
      <c r="G1874" s="24">
        <v>1874</v>
      </c>
      <c r="H1874" s="11"/>
      <c r="J1874" s="11" t="str">
        <f t="shared" si="59"/>
        <v xml:space="preserve"> </v>
      </c>
    </row>
    <row r="1875" spans="1:11">
      <c r="A1875" s="24" t="s">
        <v>15801</v>
      </c>
      <c r="B1875" s="24" t="s">
        <v>15829</v>
      </c>
      <c r="C1875" s="24" t="s">
        <v>15801</v>
      </c>
      <c r="D1875" s="24" t="s">
        <v>15899</v>
      </c>
      <c r="E1875" s="24" t="s">
        <v>15820</v>
      </c>
      <c r="H1875" s="11" t="str">
        <f t="shared" si="58"/>
        <v/>
      </c>
      <c r="J1875" s="11" t="str">
        <f t="shared" si="59"/>
        <v xml:space="preserve"> </v>
      </c>
      <c r="K1875" s="24" t="s">
        <v>15801</v>
      </c>
    </row>
    <row r="1876" spans="1:11">
      <c r="A1876" s="24" t="s">
        <v>15832</v>
      </c>
      <c r="B1876" s="24" t="s">
        <v>15832</v>
      </c>
      <c r="C1876" s="24" t="s">
        <v>15801</v>
      </c>
      <c r="D1876" s="24" t="s">
        <v>15956</v>
      </c>
      <c r="E1876" s="24" t="s">
        <v>15801</v>
      </c>
      <c r="F1876" s="29" t="s">
        <v>14373</v>
      </c>
      <c r="H1876" s="11" t="str">
        <f t="shared" si="58"/>
        <v/>
      </c>
      <c r="J1876" s="11" t="str">
        <f t="shared" si="59"/>
        <v xml:space="preserve"> </v>
      </c>
      <c r="K1876" s="24" t="s">
        <v>15801</v>
      </c>
    </row>
    <row r="1877" spans="1:11">
      <c r="A1877" s="24" t="s">
        <v>15801</v>
      </c>
      <c r="B1877" s="24" t="s">
        <v>15845</v>
      </c>
      <c r="C1877" s="24" t="s">
        <v>15801</v>
      </c>
      <c r="D1877" s="24" t="s">
        <v>15900</v>
      </c>
      <c r="E1877" s="24" t="s">
        <v>15801</v>
      </c>
      <c r="H1877" s="11" t="str">
        <f t="shared" si="58"/>
        <v/>
      </c>
      <c r="J1877" s="11" t="str">
        <f t="shared" si="59"/>
        <v xml:space="preserve"> </v>
      </c>
      <c r="K1877" s="24" t="s">
        <v>15801</v>
      </c>
    </row>
    <row r="1878" spans="1:11">
      <c r="A1878" s="24" t="s">
        <v>15834</v>
      </c>
      <c r="B1878" s="24" t="s">
        <v>15834</v>
      </c>
      <c r="C1878" s="24" t="s">
        <v>15801</v>
      </c>
      <c r="D1878" s="24" t="s">
        <v>15899</v>
      </c>
      <c r="E1878" s="24" t="s">
        <v>15801</v>
      </c>
      <c r="F1878" s="29" t="s">
        <v>14347</v>
      </c>
      <c r="H1878" s="11" t="str">
        <f t="shared" si="58"/>
        <v/>
      </c>
      <c r="J1878" s="11" t="str">
        <f t="shared" si="59"/>
        <v xml:space="preserve"> </v>
      </c>
      <c r="K1878" s="24" t="s">
        <v>15801</v>
      </c>
    </row>
    <row r="1879" spans="1:11">
      <c r="A1879" s="24" t="s">
        <v>15801</v>
      </c>
      <c r="B1879" s="24" t="s">
        <v>15828</v>
      </c>
      <c r="C1879" s="24" t="s">
        <v>15801</v>
      </c>
      <c r="D1879" s="24" t="s">
        <v>15899</v>
      </c>
      <c r="E1879" s="24" t="s">
        <v>15801</v>
      </c>
      <c r="H1879" s="11" t="str">
        <f t="shared" si="58"/>
        <v/>
      </c>
      <c r="J1879" s="11" t="str">
        <f t="shared" si="59"/>
        <v xml:space="preserve"> </v>
      </c>
      <c r="K1879" s="24" t="s">
        <v>15801</v>
      </c>
    </row>
    <row r="1880" spans="1:11">
      <c r="A1880" s="24" t="s">
        <v>15823</v>
      </c>
      <c r="B1880" s="24" t="s">
        <v>15823</v>
      </c>
      <c r="C1880" s="24" t="s">
        <v>15801</v>
      </c>
      <c r="D1880" s="24" t="s">
        <v>15899</v>
      </c>
      <c r="E1880" s="24" t="s">
        <v>15801</v>
      </c>
      <c r="F1880" s="29" t="s">
        <v>14241</v>
      </c>
      <c r="H1880" s="11" t="str">
        <f t="shared" si="58"/>
        <v/>
      </c>
      <c r="J1880" s="11" t="str">
        <f t="shared" si="59"/>
        <v xml:space="preserve"> </v>
      </c>
      <c r="K1880" s="24" t="s">
        <v>15801</v>
      </c>
    </row>
    <row r="1881" spans="1:11">
      <c r="A1881" s="24" t="s">
        <v>15814</v>
      </c>
      <c r="B1881" s="24" t="s">
        <v>15814</v>
      </c>
      <c r="C1881" s="24" t="s">
        <v>15801</v>
      </c>
      <c r="D1881" s="24" t="s">
        <v>15901</v>
      </c>
      <c r="E1881" s="24" t="s">
        <v>15801</v>
      </c>
      <c r="H1881" s="11" t="str">
        <f t="shared" si="58"/>
        <v/>
      </c>
      <c r="J1881" s="11" t="str">
        <f t="shared" si="59"/>
        <v xml:space="preserve"> </v>
      </c>
      <c r="K1881" s="24" t="s">
        <v>15801</v>
      </c>
    </row>
    <row r="1882" spans="1:11">
      <c r="A1882" s="24" t="s">
        <v>15804</v>
      </c>
      <c r="B1882" s="24" t="s">
        <v>15804</v>
      </c>
      <c r="C1882" s="24" t="s">
        <v>15917</v>
      </c>
      <c r="D1882" s="24" t="s">
        <v>15956</v>
      </c>
      <c r="E1882" s="24" t="s">
        <v>15801</v>
      </c>
      <c r="F1882" s="29" t="s">
        <v>14258</v>
      </c>
      <c r="G1882" s="24" t="s">
        <v>14259</v>
      </c>
      <c r="H1882" s="11" t="str">
        <f t="shared" si="58"/>
        <v>16/02/1869</v>
      </c>
      <c r="J1882" s="11" t="str">
        <f t="shared" si="59"/>
        <v xml:space="preserve"> </v>
      </c>
      <c r="K1882" s="24" t="s">
        <v>14259</v>
      </c>
    </row>
    <row r="1883" spans="1:11">
      <c r="A1883" s="24" t="s">
        <v>15832</v>
      </c>
      <c r="B1883" s="24" t="s">
        <v>15832</v>
      </c>
      <c r="C1883" s="24" t="s">
        <v>15801</v>
      </c>
      <c r="D1883" s="24" t="s">
        <v>15901</v>
      </c>
      <c r="E1883" s="24" t="s">
        <v>15801</v>
      </c>
      <c r="F1883" s="29" t="s">
        <v>7715</v>
      </c>
      <c r="H1883" s="11" t="str">
        <f t="shared" si="58"/>
        <v/>
      </c>
      <c r="J1883" s="11" t="str">
        <f t="shared" si="59"/>
        <v xml:space="preserve"> </v>
      </c>
      <c r="K1883" s="24" t="s">
        <v>15801</v>
      </c>
    </row>
    <row r="1884" spans="1:11">
      <c r="A1884" s="24" t="s">
        <v>15821</v>
      </c>
      <c r="B1884" s="24" t="s">
        <v>15821</v>
      </c>
      <c r="C1884" s="24" t="s">
        <v>15801</v>
      </c>
      <c r="D1884" s="24" t="s">
        <v>15899</v>
      </c>
      <c r="E1884" s="24" t="s">
        <v>15801</v>
      </c>
      <c r="F1884" s="29" t="s">
        <v>14222</v>
      </c>
      <c r="H1884" s="11" t="str">
        <f t="shared" si="58"/>
        <v/>
      </c>
      <c r="J1884" s="11" t="str">
        <f t="shared" si="59"/>
        <v xml:space="preserve"> </v>
      </c>
      <c r="K1884" s="24" t="s">
        <v>15801</v>
      </c>
    </row>
    <row r="1885" spans="1:11">
      <c r="A1885" s="24" t="s">
        <v>15825</v>
      </c>
      <c r="B1885" s="24" t="s">
        <v>15825</v>
      </c>
      <c r="C1885" s="24" t="s">
        <v>15944</v>
      </c>
      <c r="D1885" s="24" t="s">
        <v>15900</v>
      </c>
      <c r="E1885" s="24" t="s">
        <v>15876</v>
      </c>
      <c r="G1885" s="24" t="s">
        <v>14263</v>
      </c>
      <c r="H1885" s="11" t="str">
        <f t="shared" si="58"/>
        <v>24/11/1900</v>
      </c>
      <c r="J1885" s="11" t="str">
        <f t="shared" si="59"/>
        <v xml:space="preserve"> </v>
      </c>
      <c r="K1885" s="24" t="s">
        <v>14263</v>
      </c>
    </row>
    <row r="1886" spans="1:11">
      <c r="A1886" s="24" t="s">
        <v>15801</v>
      </c>
      <c r="B1886" s="24" t="s">
        <v>15801</v>
      </c>
      <c r="C1886" s="24" t="s">
        <v>15801</v>
      </c>
      <c r="D1886" s="24" t="s">
        <v>15901</v>
      </c>
      <c r="E1886" s="24" t="s">
        <v>15801</v>
      </c>
      <c r="H1886" s="11" t="str">
        <f t="shared" si="58"/>
        <v/>
      </c>
      <c r="J1886" s="11" t="str">
        <f t="shared" si="59"/>
        <v xml:space="preserve"> </v>
      </c>
      <c r="K1886" s="24" t="s">
        <v>15801</v>
      </c>
    </row>
    <row r="1887" spans="1:11">
      <c r="A1887" s="24" t="s">
        <v>15840</v>
      </c>
      <c r="B1887" s="24" t="s">
        <v>15840</v>
      </c>
      <c r="C1887" s="24" t="s">
        <v>15889</v>
      </c>
      <c r="D1887" s="24" t="s">
        <v>15899</v>
      </c>
      <c r="E1887" s="24" t="s">
        <v>15823</v>
      </c>
      <c r="F1887" s="29" t="s">
        <v>1684</v>
      </c>
      <c r="G1887" s="24" t="s">
        <v>2600</v>
      </c>
      <c r="H1887" s="11" t="str">
        <f t="shared" si="58"/>
        <v>07/07/1865</v>
      </c>
      <c r="J1887" s="11" t="str">
        <f t="shared" si="59"/>
        <v xml:space="preserve"> </v>
      </c>
      <c r="K1887" s="24" t="s">
        <v>2600</v>
      </c>
    </row>
    <row r="1888" spans="1:11">
      <c r="A1888" s="24" t="s">
        <v>15803</v>
      </c>
      <c r="B1888" s="24" t="s">
        <v>15803</v>
      </c>
      <c r="C1888" s="24" t="s">
        <v>15801</v>
      </c>
      <c r="D1888" s="24" t="s">
        <v>15899</v>
      </c>
      <c r="E1888" s="24" t="s">
        <v>15823</v>
      </c>
      <c r="F1888" s="29" t="s">
        <v>14272</v>
      </c>
      <c r="H1888" s="11" t="str">
        <f t="shared" si="58"/>
        <v/>
      </c>
      <c r="J1888" s="11" t="str">
        <f t="shared" si="59"/>
        <v xml:space="preserve"> </v>
      </c>
      <c r="K1888" s="24" t="s">
        <v>15801</v>
      </c>
    </row>
    <row r="1889" spans="1:11">
      <c r="A1889" s="24" t="s">
        <v>15845</v>
      </c>
      <c r="B1889" s="24" t="s">
        <v>15845</v>
      </c>
      <c r="C1889" s="24" t="s">
        <v>15895</v>
      </c>
      <c r="D1889" s="24" t="s">
        <v>15870</v>
      </c>
      <c r="E1889" s="24" t="s">
        <v>15816</v>
      </c>
      <c r="F1889" s="29" t="s">
        <v>14297</v>
      </c>
      <c r="G1889" s="24" t="s">
        <v>14299</v>
      </c>
      <c r="H1889" s="11" t="str">
        <f t="shared" si="58"/>
        <v>09/06/1884</v>
      </c>
      <c r="J1889" s="11" t="str">
        <f t="shared" si="59"/>
        <v xml:space="preserve"> </v>
      </c>
      <c r="K1889" s="24" t="s">
        <v>14299</v>
      </c>
    </row>
    <row r="1890" spans="1:11">
      <c r="A1890" s="24" t="s">
        <v>15801</v>
      </c>
      <c r="B1890" s="24" t="s">
        <v>15801</v>
      </c>
      <c r="C1890" s="24" t="s">
        <v>15801</v>
      </c>
      <c r="D1890" s="24" t="s">
        <v>15870</v>
      </c>
      <c r="E1890" s="24" t="s">
        <v>15801</v>
      </c>
      <c r="H1890" s="11" t="str">
        <f t="shared" si="58"/>
        <v/>
      </c>
      <c r="J1890" s="11" t="str">
        <f t="shared" si="59"/>
        <v xml:space="preserve"> </v>
      </c>
      <c r="K1890" s="24" t="s">
        <v>15801</v>
      </c>
    </row>
    <row r="1891" spans="1:11">
      <c r="A1891" s="24" t="s">
        <v>15834</v>
      </c>
      <c r="B1891" s="24" t="s">
        <v>15834</v>
      </c>
      <c r="C1891" s="24" t="s">
        <v>15947</v>
      </c>
      <c r="D1891" s="24" t="s">
        <v>15884</v>
      </c>
      <c r="E1891" s="24" t="s">
        <v>15810</v>
      </c>
      <c r="F1891" s="29" t="s">
        <v>14327</v>
      </c>
      <c r="G1891" s="24" t="s">
        <v>14328</v>
      </c>
      <c r="H1891" s="11" t="str">
        <f t="shared" si="58"/>
        <v>18/01/1870</v>
      </c>
      <c r="J1891" s="11" t="str">
        <f t="shared" si="59"/>
        <v xml:space="preserve"> </v>
      </c>
      <c r="K1891" s="24" t="s">
        <v>14328</v>
      </c>
    </row>
    <row r="1892" spans="1:11">
      <c r="A1892" s="24" t="s">
        <v>15817</v>
      </c>
      <c r="B1892" s="24" t="s">
        <v>15817</v>
      </c>
      <c r="C1892" s="24" t="s">
        <v>15934</v>
      </c>
      <c r="D1892" s="24" t="s">
        <v>15956</v>
      </c>
      <c r="E1892" s="24" t="s">
        <v>15801</v>
      </c>
      <c r="F1892" s="29" t="s">
        <v>855</v>
      </c>
      <c r="G1892" s="24" t="s">
        <v>14341</v>
      </c>
      <c r="H1892" s="11" t="str">
        <f t="shared" si="58"/>
        <v>08/09/1898</v>
      </c>
      <c r="J1892" s="11" t="str">
        <f t="shared" si="59"/>
        <v xml:space="preserve"> </v>
      </c>
      <c r="K1892" s="24" t="s">
        <v>14341</v>
      </c>
    </row>
    <row r="1893" spans="1:11">
      <c r="A1893" s="24" t="s">
        <v>15801</v>
      </c>
      <c r="B1893" s="24" t="s">
        <v>15854</v>
      </c>
      <c r="C1893" s="24" t="s">
        <v>15801</v>
      </c>
      <c r="D1893" s="24" t="s">
        <v>15956</v>
      </c>
      <c r="E1893" s="24" t="s">
        <v>15801</v>
      </c>
      <c r="H1893" s="11" t="str">
        <f t="shared" si="58"/>
        <v/>
      </c>
      <c r="J1893" s="11" t="str">
        <f t="shared" si="59"/>
        <v xml:space="preserve"> </v>
      </c>
      <c r="K1893" s="24" t="s">
        <v>15801</v>
      </c>
    </row>
    <row r="1894" spans="1:11">
      <c r="A1894" s="24" t="s">
        <v>15801</v>
      </c>
      <c r="B1894" s="24" t="s">
        <v>15804</v>
      </c>
      <c r="C1894" s="24" t="s">
        <v>15801</v>
      </c>
      <c r="D1894" s="24" t="s">
        <v>15884</v>
      </c>
      <c r="E1894" s="24" t="s">
        <v>15884</v>
      </c>
      <c r="H1894" s="11" t="str">
        <f t="shared" si="58"/>
        <v/>
      </c>
      <c r="J1894" s="11" t="str">
        <f t="shared" si="59"/>
        <v xml:space="preserve"> </v>
      </c>
      <c r="K1894" s="24" t="s">
        <v>15801</v>
      </c>
    </row>
    <row r="1895" spans="1:11">
      <c r="A1895" s="24" t="s">
        <v>15802</v>
      </c>
      <c r="B1895" s="24" t="s">
        <v>15802</v>
      </c>
      <c r="C1895" s="24" t="s">
        <v>15801</v>
      </c>
      <c r="D1895" s="24" t="s">
        <v>15884</v>
      </c>
      <c r="E1895" s="24" t="s">
        <v>15801</v>
      </c>
      <c r="H1895" s="11" t="str">
        <f t="shared" si="58"/>
        <v/>
      </c>
      <c r="J1895" s="11" t="str">
        <f t="shared" si="59"/>
        <v xml:space="preserve"> </v>
      </c>
      <c r="K1895" s="24" t="s">
        <v>15801</v>
      </c>
    </row>
    <row r="1896" spans="1:11">
      <c r="A1896" s="24" t="s">
        <v>15801</v>
      </c>
      <c r="B1896" s="24" t="s">
        <v>15832</v>
      </c>
      <c r="C1896" s="24" t="s">
        <v>15801</v>
      </c>
      <c r="D1896" s="24" t="s">
        <v>15870</v>
      </c>
      <c r="E1896" s="24" t="s">
        <v>15965</v>
      </c>
      <c r="H1896" s="11" t="str">
        <f t="shared" si="58"/>
        <v/>
      </c>
      <c r="J1896" s="11" t="str">
        <f t="shared" si="59"/>
        <v xml:space="preserve"> </v>
      </c>
      <c r="K1896" s="24" t="s">
        <v>15801</v>
      </c>
    </row>
    <row r="1897" spans="1:11">
      <c r="A1897" s="24" t="s">
        <v>15849</v>
      </c>
      <c r="B1897" s="24" t="s">
        <v>15849</v>
      </c>
      <c r="C1897" s="24" t="s">
        <v>15801</v>
      </c>
      <c r="D1897" s="24" t="s">
        <v>15899</v>
      </c>
      <c r="E1897" s="24" t="s">
        <v>15801</v>
      </c>
      <c r="F1897" s="29" t="s">
        <v>14250</v>
      </c>
      <c r="H1897" s="11" t="str">
        <f t="shared" si="58"/>
        <v/>
      </c>
      <c r="J1897" s="11" t="str">
        <f t="shared" si="59"/>
        <v xml:space="preserve"> </v>
      </c>
      <c r="K1897" s="24" t="s">
        <v>15801</v>
      </c>
    </row>
    <row r="1898" spans="1:11">
      <c r="A1898" s="24" t="s">
        <v>15841</v>
      </c>
      <c r="B1898" s="24" t="s">
        <v>15841</v>
      </c>
      <c r="C1898" s="24" t="s">
        <v>15801</v>
      </c>
      <c r="D1898" s="24" t="s">
        <v>15899</v>
      </c>
      <c r="E1898" s="24" t="s">
        <v>15817</v>
      </c>
      <c r="F1898" s="29" t="s">
        <v>14208</v>
      </c>
      <c r="H1898" s="11" t="str">
        <f t="shared" si="58"/>
        <v/>
      </c>
      <c r="J1898" s="11" t="str">
        <f t="shared" si="59"/>
        <v xml:space="preserve"> </v>
      </c>
      <c r="K1898" s="24" t="s">
        <v>15801</v>
      </c>
    </row>
    <row r="1899" spans="1:11">
      <c r="A1899" s="24" t="s">
        <v>15824</v>
      </c>
      <c r="B1899" s="24" t="s">
        <v>15824</v>
      </c>
      <c r="C1899" s="24" t="s">
        <v>15914</v>
      </c>
      <c r="D1899" s="24" t="s">
        <v>15870</v>
      </c>
      <c r="E1899" s="24" t="s">
        <v>15801</v>
      </c>
      <c r="F1899" s="29" t="s">
        <v>14368</v>
      </c>
      <c r="G1899" s="24">
        <v>1858</v>
      </c>
      <c r="H1899" s="11"/>
      <c r="J1899" s="11" t="str">
        <f t="shared" si="59"/>
        <v xml:space="preserve"> </v>
      </c>
    </row>
    <row r="1900" spans="1:11">
      <c r="A1900" s="24" t="s">
        <v>15807</v>
      </c>
      <c r="B1900" s="24" t="s">
        <v>15807</v>
      </c>
      <c r="C1900" s="24" t="s">
        <v>15801</v>
      </c>
      <c r="D1900" s="24" t="s">
        <v>15870</v>
      </c>
      <c r="E1900" s="24" t="s">
        <v>15801</v>
      </c>
      <c r="F1900" s="29" t="s">
        <v>14166</v>
      </c>
      <c r="H1900" s="11" t="str">
        <f t="shared" si="58"/>
        <v/>
      </c>
      <c r="J1900" s="11" t="str">
        <f t="shared" si="59"/>
        <v xml:space="preserve"> </v>
      </c>
      <c r="K1900" s="24" t="s">
        <v>15801</v>
      </c>
    </row>
    <row r="1901" spans="1:11">
      <c r="A1901" s="24" t="s">
        <v>15806</v>
      </c>
      <c r="B1901" s="24" t="s">
        <v>15806</v>
      </c>
      <c r="C1901" s="24" t="s">
        <v>15801</v>
      </c>
      <c r="D1901" s="24" t="s">
        <v>15870</v>
      </c>
      <c r="E1901" s="24" t="s">
        <v>15965</v>
      </c>
      <c r="F1901" s="29" t="s">
        <v>7937</v>
      </c>
      <c r="H1901" s="11" t="str">
        <f t="shared" si="58"/>
        <v/>
      </c>
      <c r="J1901" s="11" t="str">
        <f t="shared" si="59"/>
        <v xml:space="preserve"> </v>
      </c>
      <c r="K1901" s="24" t="s">
        <v>15801</v>
      </c>
    </row>
    <row r="1902" spans="1:11">
      <c r="A1902" s="24" t="s">
        <v>15802</v>
      </c>
      <c r="B1902" s="24" t="s">
        <v>15802</v>
      </c>
      <c r="C1902" s="24" t="s">
        <v>15801</v>
      </c>
      <c r="D1902" s="24" t="s">
        <v>15870</v>
      </c>
      <c r="E1902" s="24" t="s">
        <v>15908</v>
      </c>
      <c r="F1902" s="29" t="s">
        <v>14184</v>
      </c>
      <c r="H1902" s="11" t="str">
        <f t="shared" si="58"/>
        <v/>
      </c>
      <c r="J1902" s="11" t="str">
        <f t="shared" si="59"/>
        <v xml:space="preserve"> </v>
      </c>
      <c r="K1902" s="24" t="s">
        <v>15801</v>
      </c>
    </row>
    <row r="1903" spans="1:11">
      <c r="A1903" s="24" t="s">
        <v>15801</v>
      </c>
      <c r="B1903" s="24" t="s">
        <v>15808</v>
      </c>
      <c r="C1903" s="24" t="s">
        <v>15801</v>
      </c>
      <c r="D1903" s="24" t="s">
        <v>15908</v>
      </c>
      <c r="E1903" s="24" t="s">
        <v>15801</v>
      </c>
      <c r="H1903" s="11" t="str">
        <f t="shared" si="58"/>
        <v/>
      </c>
      <c r="J1903" s="11" t="str">
        <f t="shared" si="59"/>
        <v xml:space="preserve"> </v>
      </c>
      <c r="K1903" s="24" t="s">
        <v>15801</v>
      </c>
    </row>
    <row r="1904" spans="1:11">
      <c r="A1904" s="24" t="s">
        <v>15823</v>
      </c>
      <c r="B1904" s="24" t="s">
        <v>15823</v>
      </c>
      <c r="C1904" s="24" t="s">
        <v>15895</v>
      </c>
      <c r="D1904" s="24" t="s">
        <v>15900</v>
      </c>
      <c r="E1904" s="24" t="s">
        <v>15801</v>
      </c>
      <c r="F1904" s="29" t="s">
        <v>14321</v>
      </c>
      <c r="G1904" s="24" t="s">
        <v>14322</v>
      </c>
      <c r="H1904" s="11" t="str">
        <f t="shared" si="58"/>
        <v>24/06/1884</v>
      </c>
      <c r="J1904" s="11" t="str">
        <f t="shared" si="59"/>
        <v xml:space="preserve"> </v>
      </c>
      <c r="K1904" s="24" t="s">
        <v>14322</v>
      </c>
    </row>
    <row r="1905" spans="1:11">
      <c r="A1905" s="24" t="s">
        <v>15802</v>
      </c>
      <c r="B1905" s="24" t="s">
        <v>15802</v>
      </c>
      <c r="C1905" s="24" t="s">
        <v>15801</v>
      </c>
      <c r="D1905" s="24" t="s">
        <v>15900</v>
      </c>
      <c r="E1905" s="24" t="s">
        <v>15948</v>
      </c>
      <c r="F1905" s="29" t="s">
        <v>14184</v>
      </c>
      <c r="H1905" s="11" t="str">
        <f t="shared" si="58"/>
        <v/>
      </c>
      <c r="J1905" s="11" t="str">
        <f t="shared" si="59"/>
        <v xml:space="preserve"> </v>
      </c>
      <c r="K1905" s="24" t="s">
        <v>15801</v>
      </c>
    </row>
    <row r="1906" spans="1:11">
      <c r="A1906" s="24" t="s">
        <v>15833</v>
      </c>
      <c r="B1906" s="24" t="s">
        <v>15833</v>
      </c>
      <c r="C1906" s="24" t="s">
        <v>15801</v>
      </c>
      <c r="D1906" s="24" t="s">
        <v>15931</v>
      </c>
      <c r="E1906" s="24" t="s">
        <v>15931</v>
      </c>
      <c r="H1906" s="11" t="str">
        <f t="shared" si="58"/>
        <v/>
      </c>
      <c r="J1906" s="11" t="str">
        <f t="shared" si="59"/>
        <v xml:space="preserve"> </v>
      </c>
      <c r="K1906" s="24" t="s">
        <v>15801</v>
      </c>
    </row>
    <row r="1907" spans="1:11">
      <c r="A1907" s="24" t="s">
        <v>15832</v>
      </c>
      <c r="B1907" s="24" t="s">
        <v>15832</v>
      </c>
      <c r="C1907" s="24" t="s">
        <v>15943</v>
      </c>
      <c r="D1907" s="24" t="s">
        <v>15870</v>
      </c>
      <c r="E1907" s="24" t="s">
        <v>15870</v>
      </c>
      <c r="F1907" s="29" t="s">
        <v>14307</v>
      </c>
      <c r="G1907" s="24">
        <v>1891</v>
      </c>
      <c r="H1907" s="11"/>
      <c r="J1907" s="11" t="str">
        <f t="shared" si="59"/>
        <v xml:space="preserve"> </v>
      </c>
    </row>
    <row r="1908" spans="1:11">
      <c r="A1908" s="24" t="s">
        <v>15813</v>
      </c>
      <c r="B1908" s="24" t="s">
        <v>15813</v>
      </c>
      <c r="C1908" s="24" t="s">
        <v>15913</v>
      </c>
      <c r="D1908" s="24" t="s">
        <v>15956</v>
      </c>
      <c r="E1908" s="24" t="s">
        <v>15801</v>
      </c>
      <c r="F1908" s="29" t="s">
        <v>14312</v>
      </c>
      <c r="G1908" s="24" t="s">
        <v>14314</v>
      </c>
      <c r="H1908" s="11" t="str">
        <f t="shared" si="58"/>
        <v>24/03/1877</v>
      </c>
      <c r="J1908" s="11" t="str">
        <f t="shared" si="59"/>
        <v xml:space="preserve"> </v>
      </c>
      <c r="K1908" s="24" t="s">
        <v>14314</v>
      </c>
    </row>
    <row r="1909" spans="1:11">
      <c r="A1909" s="24" t="s">
        <v>15821</v>
      </c>
      <c r="B1909" s="24" t="s">
        <v>15821</v>
      </c>
      <c r="C1909" s="24" t="s">
        <v>15888</v>
      </c>
      <c r="D1909" s="24" t="s">
        <v>15956</v>
      </c>
      <c r="E1909" s="24" t="s">
        <v>15851</v>
      </c>
      <c r="F1909" s="29" t="s">
        <v>14245</v>
      </c>
      <c r="G1909" s="24" t="s">
        <v>14246</v>
      </c>
      <c r="H1909" s="11" t="str">
        <f t="shared" si="58"/>
        <v>16/03/1864</v>
      </c>
      <c r="J1909" s="11" t="str">
        <f t="shared" si="59"/>
        <v xml:space="preserve"> </v>
      </c>
      <c r="K1909" s="24" t="s">
        <v>14246</v>
      </c>
    </row>
    <row r="1910" spans="1:11">
      <c r="A1910" s="24" t="s">
        <v>15801</v>
      </c>
      <c r="B1910" s="24" t="s">
        <v>15808</v>
      </c>
      <c r="C1910" s="24" t="s">
        <v>15801</v>
      </c>
      <c r="D1910" s="24" t="s">
        <v>15931</v>
      </c>
      <c r="E1910" s="24" t="s">
        <v>15863</v>
      </c>
      <c r="H1910" s="11" t="str">
        <f t="shared" si="58"/>
        <v/>
      </c>
      <c r="J1910" s="11" t="str">
        <f t="shared" si="59"/>
        <v xml:space="preserve"> </v>
      </c>
      <c r="K1910" s="24" t="s">
        <v>15801</v>
      </c>
    </row>
    <row r="1911" spans="1:11">
      <c r="A1911" s="24" t="s">
        <v>15801</v>
      </c>
      <c r="B1911" s="24" t="s">
        <v>15881</v>
      </c>
      <c r="C1911" s="24" t="s">
        <v>15801</v>
      </c>
      <c r="D1911" s="24" t="s">
        <v>15900</v>
      </c>
      <c r="E1911" s="24" t="s">
        <v>15838</v>
      </c>
      <c r="H1911" s="11" t="str">
        <f t="shared" si="58"/>
        <v/>
      </c>
      <c r="J1911" s="11" t="str">
        <f t="shared" si="59"/>
        <v xml:space="preserve"> </v>
      </c>
      <c r="K1911" s="24" t="s">
        <v>15801</v>
      </c>
    </row>
    <row r="1912" spans="1:11">
      <c r="A1912" s="24" t="s">
        <v>15832</v>
      </c>
      <c r="B1912" s="24" t="s">
        <v>15832</v>
      </c>
      <c r="C1912" s="24" t="s">
        <v>15801</v>
      </c>
      <c r="D1912" s="24" t="s">
        <v>15900</v>
      </c>
      <c r="E1912" s="24" t="s">
        <v>15966</v>
      </c>
      <c r="F1912" s="29" t="s">
        <v>14393</v>
      </c>
      <c r="H1912" s="11" t="str">
        <f t="shared" si="58"/>
        <v/>
      </c>
      <c r="J1912" s="11" t="str">
        <f t="shared" si="59"/>
        <v xml:space="preserve"> </v>
      </c>
      <c r="K1912" s="24" t="s">
        <v>15801</v>
      </c>
    </row>
    <row r="1913" spans="1:11">
      <c r="A1913" s="24" t="s">
        <v>15801</v>
      </c>
      <c r="B1913" s="24" t="s">
        <v>15818</v>
      </c>
      <c r="C1913" s="24" t="s">
        <v>15801</v>
      </c>
      <c r="D1913" s="24" t="s">
        <v>15900</v>
      </c>
      <c r="E1913" s="24" t="s">
        <v>15851</v>
      </c>
      <c r="H1913" s="11" t="str">
        <f t="shared" si="58"/>
        <v/>
      </c>
      <c r="J1913" s="11" t="str">
        <f t="shared" si="59"/>
        <v xml:space="preserve"> </v>
      </c>
      <c r="K1913" s="24" t="s">
        <v>15801</v>
      </c>
    </row>
    <row r="1914" spans="1:11">
      <c r="A1914" s="24" t="s">
        <v>15827</v>
      </c>
      <c r="B1914" s="24" t="s">
        <v>15827</v>
      </c>
      <c r="C1914" s="24" t="s">
        <v>15801</v>
      </c>
      <c r="D1914" s="24" t="s">
        <v>15900</v>
      </c>
      <c r="E1914" s="24" t="s">
        <v>15931</v>
      </c>
      <c r="H1914" s="11" t="str">
        <f t="shared" si="58"/>
        <v/>
      </c>
      <c r="J1914" s="11" t="str">
        <f t="shared" si="59"/>
        <v xml:space="preserve"> </v>
      </c>
      <c r="K1914" s="24" t="s">
        <v>15801</v>
      </c>
    </row>
    <row r="1915" spans="1:11">
      <c r="A1915" s="24" t="s">
        <v>15835</v>
      </c>
      <c r="B1915" s="24" t="s">
        <v>15835</v>
      </c>
      <c r="C1915" s="24" t="s">
        <v>15801</v>
      </c>
      <c r="D1915" s="24" t="s">
        <v>15884</v>
      </c>
      <c r="E1915" s="24" t="s">
        <v>15863</v>
      </c>
      <c r="F1915" s="29" t="s">
        <v>14404</v>
      </c>
      <c r="H1915" s="11" t="str">
        <f t="shared" si="58"/>
        <v/>
      </c>
      <c r="J1915" s="11" t="str">
        <f t="shared" si="59"/>
        <v xml:space="preserve"> </v>
      </c>
      <c r="K1915" s="24" t="s">
        <v>15801</v>
      </c>
    </row>
    <row r="1916" spans="1:11">
      <c r="A1916" s="24" t="s">
        <v>15806</v>
      </c>
      <c r="B1916" s="24" t="s">
        <v>15806</v>
      </c>
      <c r="C1916" s="24" t="s">
        <v>15897</v>
      </c>
      <c r="E1916" s="24" t="s">
        <v>15801</v>
      </c>
      <c r="F1916" s="29" t="s">
        <v>3591</v>
      </c>
      <c r="G1916" s="24" t="s">
        <v>14408</v>
      </c>
      <c r="H1916" s="11" t="str">
        <f t="shared" si="58"/>
        <v>16/11/1861</v>
      </c>
      <c r="J1916" s="11" t="str">
        <f t="shared" si="59"/>
        <v xml:space="preserve"> </v>
      </c>
      <c r="K1916" s="24" t="s">
        <v>14408</v>
      </c>
    </row>
    <row r="1917" spans="1:11">
      <c r="A1917" s="24" t="s">
        <v>15801</v>
      </c>
      <c r="B1917" s="24" t="s">
        <v>15882</v>
      </c>
      <c r="C1917" s="24" t="s">
        <v>15801</v>
      </c>
      <c r="D1917" s="24" t="s">
        <v>15884</v>
      </c>
      <c r="E1917" s="24" t="s">
        <v>15828</v>
      </c>
      <c r="H1917" s="11" t="str">
        <f t="shared" si="58"/>
        <v/>
      </c>
      <c r="J1917" s="11" t="str">
        <f t="shared" si="59"/>
        <v xml:space="preserve"> </v>
      </c>
      <c r="K1917" s="24" t="s">
        <v>15801</v>
      </c>
    </row>
    <row r="1918" spans="1:11">
      <c r="A1918" s="24" t="s">
        <v>15845</v>
      </c>
      <c r="B1918" s="24" t="s">
        <v>15845</v>
      </c>
      <c r="C1918" s="24" t="s">
        <v>15939</v>
      </c>
      <c r="D1918" s="24" t="s">
        <v>15884</v>
      </c>
      <c r="E1918" s="24" t="s">
        <v>15938</v>
      </c>
      <c r="F1918" s="29" t="s">
        <v>9910</v>
      </c>
      <c r="G1918" s="24" t="s">
        <v>14442</v>
      </c>
      <c r="H1918" s="11" t="str">
        <f t="shared" si="58"/>
        <v>13/07/1872</v>
      </c>
      <c r="J1918" s="11" t="str">
        <f t="shared" si="59"/>
        <v xml:space="preserve"> </v>
      </c>
      <c r="K1918" s="24" t="s">
        <v>14442</v>
      </c>
    </row>
    <row r="1919" spans="1:11">
      <c r="A1919" s="24" t="s">
        <v>15801</v>
      </c>
      <c r="B1919" s="24" t="s">
        <v>15859</v>
      </c>
      <c r="C1919" s="24" t="s">
        <v>15801</v>
      </c>
      <c r="D1919" s="24" t="s">
        <v>15884</v>
      </c>
      <c r="E1919" s="24" t="s">
        <v>15814</v>
      </c>
      <c r="H1919" s="11" t="str">
        <f t="shared" si="58"/>
        <v/>
      </c>
      <c r="J1919" s="11" t="str">
        <f t="shared" si="59"/>
        <v xml:space="preserve"> </v>
      </c>
      <c r="K1919" s="24" t="s">
        <v>15801</v>
      </c>
    </row>
    <row r="1920" spans="1:11">
      <c r="A1920" s="24" t="s">
        <v>15832</v>
      </c>
      <c r="B1920" s="24" t="s">
        <v>15832</v>
      </c>
      <c r="C1920" s="24" t="s">
        <v>15801</v>
      </c>
      <c r="D1920" s="24" t="s">
        <v>15884</v>
      </c>
      <c r="E1920" s="24" t="s">
        <v>15864</v>
      </c>
      <c r="F1920" s="29" t="s">
        <v>14393</v>
      </c>
      <c r="H1920" s="11" t="str">
        <f t="shared" si="58"/>
        <v/>
      </c>
      <c r="J1920" s="11" t="str">
        <f t="shared" si="59"/>
        <v xml:space="preserve"> </v>
      </c>
      <c r="K1920" s="24" t="s">
        <v>15801</v>
      </c>
    </row>
    <row r="1921" spans="1:11">
      <c r="A1921" s="24" t="s">
        <v>15818</v>
      </c>
      <c r="B1921" s="24" t="s">
        <v>15818</v>
      </c>
      <c r="C1921" s="24" t="s">
        <v>15801</v>
      </c>
      <c r="D1921" s="24" t="s">
        <v>15884</v>
      </c>
      <c r="E1921" s="24" t="s">
        <v>15898</v>
      </c>
      <c r="F1921" s="29" t="s">
        <v>14419</v>
      </c>
      <c r="H1921" s="11" t="str">
        <f t="shared" si="58"/>
        <v/>
      </c>
      <c r="J1921" s="11" t="str">
        <f t="shared" si="59"/>
        <v xml:space="preserve"> </v>
      </c>
      <c r="K1921" s="24" t="s">
        <v>15801</v>
      </c>
    </row>
    <row r="1922" spans="1:11">
      <c r="A1922" s="24" t="s">
        <v>15825</v>
      </c>
      <c r="B1922" s="24" t="s">
        <v>15825</v>
      </c>
      <c r="C1922" s="24" t="s">
        <v>15801</v>
      </c>
      <c r="D1922" s="24" t="s">
        <v>15884</v>
      </c>
      <c r="E1922" s="24" t="s">
        <v>15801</v>
      </c>
      <c r="F1922" s="29" t="s">
        <v>14447</v>
      </c>
      <c r="H1922" s="11" t="str">
        <f t="shared" si="58"/>
        <v/>
      </c>
      <c r="J1922" s="11" t="str">
        <f t="shared" si="59"/>
        <v xml:space="preserve"> </v>
      </c>
      <c r="K1922" s="24" t="s">
        <v>15801</v>
      </c>
    </row>
    <row r="1923" spans="1:11">
      <c r="A1923" s="24" t="s">
        <v>15801</v>
      </c>
      <c r="B1923" s="24" t="s">
        <v>15836</v>
      </c>
      <c r="C1923" s="24" t="s">
        <v>15801</v>
      </c>
      <c r="D1923" s="24" t="s">
        <v>15884</v>
      </c>
      <c r="E1923" s="24" t="s">
        <v>15806</v>
      </c>
      <c r="H1923" s="11" t="str">
        <f t="shared" ref="H1923:H1986" si="60">TRIM(G1923)</f>
        <v/>
      </c>
      <c r="J1923" s="11" t="str">
        <f t="shared" ref="J1923:J1986" si="61">IF(LEN(H1923)=4,"fout"," ")</f>
        <v xml:space="preserve"> </v>
      </c>
      <c r="K1923" s="24" t="s">
        <v>15801</v>
      </c>
    </row>
    <row r="1924" spans="1:11">
      <c r="A1924" s="24" t="s">
        <v>15801</v>
      </c>
      <c r="B1924" s="24" t="s">
        <v>15829</v>
      </c>
      <c r="C1924" s="24" t="s">
        <v>15801</v>
      </c>
      <c r="D1924" s="24" t="s">
        <v>15884</v>
      </c>
      <c r="E1924" s="24" t="s">
        <v>15864</v>
      </c>
      <c r="H1924" s="11" t="str">
        <f t="shared" si="60"/>
        <v/>
      </c>
      <c r="J1924" s="11" t="str">
        <f t="shared" si="61"/>
        <v xml:space="preserve"> </v>
      </c>
      <c r="K1924" s="24" t="s">
        <v>15801</v>
      </c>
    </row>
    <row r="1925" spans="1:11">
      <c r="A1925" s="24" t="s">
        <v>15840</v>
      </c>
      <c r="B1925" s="24" t="s">
        <v>15840</v>
      </c>
      <c r="C1925" s="24" t="s">
        <v>15939</v>
      </c>
      <c r="D1925" s="24" t="s">
        <v>15901</v>
      </c>
      <c r="E1925" s="24" t="s">
        <v>15945</v>
      </c>
      <c r="F1925" s="29" t="s">
        <v>14429</v>
      </c>
      <c r="G1925" s="24" t="s">
        <v>14431</v>
      </c>
      <c r="H1925" s="11" t="str">
        <f t="shared" si="60"/>
        <v>11/12/1872</v>
      </c>
      <c r="J1925" s="11" t="str">
        <f t="shared" si="61"/>
        <v xml:space="preserve"> </v>
      </c>
      <c r="K1925" s="24" t="s">
        <v>14431</v>
      </c>
    </row>
    <row r="1926" spans="1:11">
      <c r="A1926" s="24" t="s">
        <v>15801</v>
      </c>
      <c r="B1926" s="24" t="s">
        <v>15849</v>
      </c>
      <c r="C1926" s="24" t="s">
        <v>15915</v>
      </c>
      <c r="D1926" s="24" t="s">
        <v>15900</v>
      </c>
      <c r="E1926" s="24" t="s">
        <v>15833</v>
      </c>
      <c r="G1926" s="24" t="s">
        <v>12362</v>
      </c>
      <c r="H1926" s="11" t="str">
        <f t="shared" si="60"/>
        <v>03/06/1839</v>
      </c>
      <c r="J1926" s="11" t="str">
        <f t="shared" si="61"/>
        <v xml:space="preserve"> </v>
      </c>
      <c r="K1926" s="24" t="s">
        <v>12362</v>
      </c>
    </row>
    <row r="1927" spans="1:11">
      <c r="A1927" s="24" t="s">
        <v>15808</v>
      </c>
      <c r="B1927" s="24" t="s">
        <v>15808</v>
      </c>
      <c r="C1927" s="24" t="s">
        <v>15890</v>
      </c>
      <c r="D1927" s="24" t="s">
        <v>15900</v>
      </c>
      <c r="E1927" s="24" t="s">
        <v>15833</v>
      </c>
      <c r="F1927" s="29" t="s">
        <v>14472</v>
      </c>
      <c r="G1927" s="24" t="s">
        <v>14474</v>
      </c>
      <c r="H1927" s="11" t="str">
        <f t="shared" si="60"/>
        <v>26/08/1875</v>
      </c>
      <c r="J1927" s="11" t="str">
        <f t="shared" si="61"/>
        <v xml:space="preserve"> </v>
      </c>
      <c r="K1927" s="24" t="s">
        <v>14474</v>
      </c>
    </row>
    <row r="1928" spans="1:11">
      <c r="A1928" s="24" t="s">
        <v>15849</v>
      </c>
      <c r="B1928" s="24" t="s">
        <v>15849</v>
      </c>
      <c r="C1928" s="24" t="s">
        <v>15801</v>
      </c>
      <c r="D1928" s="24" t="s">
        <v>15900</v>
      </c>
      <c r="E1928" s="24" t="s">
        <v>15820</v>
      </c>
      <c r="F1928" s="29" t="s">
        <v>14454</v>
      </c>
      <c r="H1928" s="11" t="str">
        <f t="shared" si="60"/>
        <v/>
      </c>
      <c r="J1928" s="11" t="str">
        <f t="shared" si="61"/>
        <v xml:space="preserve"> </v>
      </c>
      <c r="K1928" s="24" t="s">
        <v>15801</v>
      </c>
    </row>
    <row r="1929" spans="1:11">
      <c r="A1929" s="24" t="s">
        <v>15841</v>
      </c>
      <c r="B1929" s="24" t="s">
        <v>15841</v>
      </c>
      <c r="C1929" s="24" t="s">
        <v>15801</v>
      </c>
      <c r="D1929" s="24" t="s">
        <v>15900</v>
      </c>
      <c r="E1929" s="24" t="s">
        <v>15851</v>
      </c>
      <c r="F1929" s="29" t="s">
        <v>14466</v>
      </c>
      <c r="H1929" s="11" t="str">
        <f t="shared" si="60"/>
        <v/>
      </c>
      <c r="J1929" s="11" t="str">
        <f t="shared" si="61"/>
        <v xml:space="preserve"> </v>
      </c>
      <c r="K1929" s="24" t="s">
        <v>15801</v>
      </c>
    </row>
    <row r="1930" spans="1:11">
      <c r="A1930" s="24" t="s">
        <v>15813</v>
      </c>
      <c r="B1930" s="24" t="s">
        <v>15813</v>
      </c>
      <c r="C1930" s="24" t="s">
        <v>15801</v>
      </c>
      <c r="D1930" s="24" t="s">
        <v>15915</v>
      </c>
      <c r="E1930" s="24" t="s">
        <v>15851</v>
      </c>
      <c r="F1930" s="29" t="s">
        <v>14487</v>
      </c>
      <c r="H1930" s="11" t="str">
        <f t="shared" si="60"/>
        <v/>
      </c>
      <c r="J1930" s="11" t="str">
        <f t="shared" si="61"/>
        <v xml:space="preserve"> </v>
      </c>
      <c r="K1930" s="24" t="s">
        <v>15801</v>
      </c>
    </row>
    <row r="1931" spans="1:11">
      <c r="A1931" s="24" t="s">
        <v>15801</v>
      </c>
      <c r="B1931" s="24" t="s">
        <v>15847</v>
      </c>
      <c r="C1931" s="24" t="s">
        <v>15801</v>
      </c>
      <c r="D1931" s="24" t="s">
        <v>15900</v>
      </c>
      <c r="E1931" s="24" t="s">
        <v>15817</v>
      </c>
      <c r="H1931" s="11" t="str">
        <f t="shared" si="60"/>
        <v/>
      </c>
      <c r="J1931" s="11" t="str">
        <f t="shared" si="61"/>
        <v xml:space="preserve"> </v>
      </c>
      <c r="K1931" s="24" t="s">
        <v>15801</v>
      </c>
    </row>
    <row r="1932" spans="1:11">
      <c r="A1932" s="24" t="s">
        <v>15801</v>
      </c>
      <c r="B1932" s="24" t="s">
        <v>15847</v>
      </c>
      <c r="C1932" s="24" t="s">
        <v>15801</v>
      </c>
      <c r="D1932" s="24" t="s">
        <v>15900</v>
      </c>
      <c r="E1932" s="24" t="s">
        <v>15801</v>
      </c>
      <c r="H1932" s="11" t="str">
        <f t="shared" si="60"/>
        <v/>
      </c>
      <c r="J1932" s="11" t="str">
        <f t="shared" si="61"/>
        <v xml:space="preserve"> </v>
      </c>
      <c r="K1932" s="24" t="s">
        <v>15801</v>
      </c>
    </row>
    <row r="1933" spans="1:11">
      <c r="A1933" s="24" t="s">
        <v>15825</v>
      </c>
      <c r="B1933" s="24" t="s">
        <v>15825</v>
      </c>
      <c r="C1933" s="24" t="s">
        <v>15801</v>
      </c>
      <c r="D1933" s="24" t="s">
        <v>15900</v>
      </c>
      <c r="E1933" s="24" t="s">
        <v>15851</v>
      </c>
      <c r="F1933" s="29" t="s">
        <v>1228</v>
      </c>
      <c r="H1933" s="11" t="str">
        <f t="shared" si="60"/>
        <v/>
      </c>
      <c r="J1933" s="11" t="str">
        <f t="shared" si="61"/>
        <v xml:space="preserve"> </v>
      </c>
      <c r="K1933" s="24" t="s">
        <v>15801</v>
      </c>
    </row>
    <row r="1934" spans="1:11">
      <c r="A1934" s="24" t="s">
        <v>15801</v>
      </c>
      <c r="B1934" s="24" t="s">
        <v>15831</v>
      </c>
      <c r="C1934" s="24" t="s">
        <v>15801</v>
      </c>
      <c r="D1934" s="24" t="s">
        <v>15870</v>
      </c>
      <c r="E1934" s="24" t="s">
        <v>15813</v>
      </c>
      <c r="H1934" s="11" t="str">
        <f t="shared" si="60"/>
        <v/>
      </c>
      <c r="J1934" s="11" t="str">
        <f t="shared" si="61"/>
        <v xml:space="preserve"> </v>
      </c>
      <c r="K1934" s="24" t="s">
        <v>15801</v>
      </c>
    </row>
    <row r="1935" spans="1:11">
      <c r="A1935" s="24" t="s">
        <v>15804</v>
      </c>
      <c r="B1935" s="24" t="s">
        <v>15804</v>
      </c>
      <c r="C1935" s="24" t="s">
        <v>15801</v>
      </c>
      <c r="D1935" s="24" t="s">
        <v>15870</v>
      </c>
      <c r="E1935" s="24" t="s">
        <v>15801</v>
      </c>
      <c r="F1935" s="29" t="s">
        <v>14545</v>
      </c>
      <c r="H1935" s="11" t="str">
        <f t="shared" si="60"/>
        <v/>
      </c>
      <c r="J1935" s="11" t="str">
        <f t="shared" si="61"/>
        <v xml:space="preserve"> </v>
      </c>
      <c r="K1935" s="24" t="s">
        <v>15801</v>
      </c>
    </row>
    <row r="1936" spans="1:11">
      <c r="A1936" s="24" t="s">
        <v>15842</v>
      </c>
      <c r="B1936" s="24" t="s">
        <v>15842</v>
      </c>
      <c r="C1936" s="24" t="s">
        <v>15884</v>
      </c>
      <c r="D1936" s="24" t="s">
        <v>15900</v>
      </c>
      <c r="E1936" s="24" t="s">
        <v>15804</v>
      </c>
      <c r="G1936" s="24" t="s">
        <v>301</v>
      </c>
      <c r="H1936" s="11" t="str">
        <f t="shared" si="60"/>
        <v>17/02/1838</v>
      </c>
      <c r="J1936" s="11" t="str">
        <f t="shared" si="61"/>
        <v xml:space="preserve"> </v>
      </c>
      <c r="K1936" s="24" t="s">
        <v>301</v>
      </c>
    </row>
    <row r="1937" spans="1:11">
      <c r="A1937" s="24" t="s">
        <v>15815</v>
      </c>
      <c r="B1937" s="24" t="s">
        <v>15815</v>
      </c>
      <c r="C1937" s="24" t="s">
        <v>15909</v>
      </c>
      <c r="D1937" s="24" t="s">
        <v>15900</v>
      </c>
      <c r="E1937" s="24" t="s">
        <v>15851</v>
      </c>
      <c r="F1937" s="29" t="s">
        <v>14532</v>
      </c>
      <c r="G1937" s="24" t="s">
        <v>14534</v>
      </c>
      <c r="H1937" s="11" t="str">
        <f t="shared" si="60"/>
        <v>04/11/1881</v>
      </c>
      <c r="J1937" s="11" t="str">
        <f t="shared" si="61"/>
        <v xml:space="preserve"> </v>
      </c>
      <c r="K1937" s="24" t="s">
        <v>14534</v>
      </c>
    </row>
    <row r="1938" spans="1:11">
      <c r="A1938" s="24" t="s">
        <v>15821</v>
      </c>
      <c r="B1938" s="24" t="s">
        <v>15821</v>
      </c>
      <c r="C1938" s="24" t="s">
        <v>15953</v>
      </c>
      <c r="D1938" s="24" t="s">
        <v>15908</v>
      </c>
      <c r="E1938" s="24" t="s">
        <v>15851</v>
      </c>
      <c r="F1938" s="29" t="s">
        <v>1164</v>
      </c>
      <c r="G1938" s="24" t="s">
        <v>14521</v>
      </c>
      <c r="H1938" s="11" t="str">
        <f t="shared" si="60"/>
        <v>01/11/1882</v>
      </c>
      <c r="J1938" s="11" t="str">
        <f t="shared" si="61"/>
        <v xml:space="preserve"> </v>
      </c>
      <c r="K1938" s="24" t="s">
        <v>14521</v>
      </c>
    </row>
    <row r="1939" spans="1:11">
      <c r="A1939" s="24" t="s">
        <v>15819</v>
      </c>
      <c r="B1939" s="24" t="s">
        <v>15819</v>
      </c>
      <c r="C1939" s="24" t="s">
        <v>15801</v>
      </c>
      <c r="D1939" s="24" t="s">
        <v>15900</v>
      </c>
      <c r="E1939" s="24" t="s">
        <v>15921</v>
      </c>
      <c r="F1939" s="29" t="s">
        <v>14510</v>
      </c>
      <c r="H1939" s="11" t="str">
        <f t="shared" si="60"/>
        <v/>
      </c>
      <c r="J1939" s="11" t="str">
        <f t="shared" si="61"/>
        <v xml:space="preserve"> </v>
      </c>
      <c r="K1939" s="24" t="s">
        <v>15801</v>
      </c>
    </row>
    <row r="1940" spans="1:11">
      <c r="A1940" s="24" t="s">
        <v>15817</v>
      </c>
      <c r="B1940" s="24" t="s">
        <v>15817</v>
      </c>
      <c r="C1940" s="24" t="s">
        <v>15801</v>
      </c>
      <c r="D1940" s="24" t="s">
        <v>15915</v>
      </c>
      <c r="E1940" s="24" t="s">
        <v>15820</v>
      </c>
      <c r="F1940" s="29" t="s">
        <v>14499</v>
      </c>
      <c r="H1940" s="11" t="str">
        <f t="shared" si="60"/>
        <v/>
      </c>
      <c r="J1940" s="11" t="str">
        <f t="shared" si="61"/>
        <v xml:space="preserve"> </v>
      </c>
      <c r="K1940" s="24" t="s">
        <v>15801</v>
      </c>
    </row>
    <row r="1941" spans="1:11">
      <c r="A1941" s="24" t="s">
        <v>15801</v>
      </c>
      <c r="B1941" s="24" t="s">
        <v>15830</v>
      </c>
      <c r="C1941" s="24" t="s">
        <v>15801</v>
      </c>
      <c r="D1941" s="24" t="s">
        <v>15900</v>
      </c>
      <c r="E1941" s="24" t="s">
        <v>15825</v>
      </c>
      <c r="H1941" s="11" t="str">
        <f t="shared" si="60"/>
        <v/>
      </c>
      <c r="J1941" s="11" t="str">
        <f t="shared" si="61"/>
        <v xml:space="preserve"> </v>
      </c>
      <c r="K1941" s="24" t="s">
        <v>15801</v>
      </c>
    </row>
    <row r="1942" spans="1:11">
      <c r="A1942" s="24" t="s">
        <v>15832</v>
      </c>
      <c r="B1942" s="24" t="s">
        <v>15832</v>
      </c>
      <c r="C1942" s="24" t="s">
        <v>15801</v>
      </c>
      <c r="D1942" s="24" t="s">
        <v>15900</v>
      </c>
      <c r="E1942" s="24" t="s">
        <v>15884</v>
      </c>
      <c r="H1942" s="11" t="str">
        <f t="shared" si="60"/>
        <v/>
      </c>
      <c r="J1942" s="11" t="str">
        <f t="shared" si="61"/>
        <v xml:space="preserve"> </v>
      </c>
      <c r="K1942" s="24" t="s">
        <v>15801</v>
      </c>
    </row>
    <row r="1943" spans="1:11">
      <c r="A1943" s="24" t="s">
        <v>15801</v>
      </c>
      <c r="B1943" s="24" t="s">
        <v>15846</v>
      </c>
      <c r="C1943" s="24" t="s">
        <v>15884</v>
      </c>
      <c r="D1943" s="24" t="s">
        <v>15851</v>
      </c>
      <c r="E1943" s="24" t="s">
        <v>15806</v>
      </c>
      <c r="G1943" s="24" t="s">
        <v>72</v>
      </c>
      <c r="H1943" s="11" t="str">
        <f t="shared" si="60"/>
        <v>06/02/1838</v>
      </c>
      <c r="J1943" s="11" t="str">
        <f t="shared" si="61"/>
        <v xml:space="preserve"> </v>
      </c>
      <c r="K1943" s="24" t="s">
        <v>72</v>
      </c>
    </row>
    <row r="1944" spans="1:11">
      <c r="A1944" s="24" t="s">
        <v>15816</v>
      </c>
      <c r="B1944" s="24" t="s">
        <v>15816</v>
      </c>
      <c r="C1944" s="24" t="s">
        <v>15904</v>
      </c>
      <c r="D1944" s="24" t="s">
        <v>15900</v>
      </c>
      <c r="E1944" s="24" t="s">
        <v>15899</v>
      </c>
      <c r="F1944" s="29" t="s">
        <v>14526</v>
      </c>
      <c r="G1944" s="24" t="s">
        <v>14527</v>
      </c>
      <c r="H1944" s="11" t="str">
        <f t="shared" si="60"/>
        <v>23/03/1890</v>
      </c>
      <c r="J1944" s="11" t="str">
        <f t="shared" si="61"/>
        <v xml:space="preserve"> </v>
      </c>
      <c r="K1944" s="24" t="s">
        <v>14527</v>
      </c>
    </row>
    <row r="1945" spans="1:11">
      <c r="A1945" s="24" t="s">
        <v>15810</v>
      </c>
      <c r="B1945" s="24" t="s">
        <v>15810</v>
      </c>
      <c r="C1945" s="24" t="s">
        <v>15884</v>
      </c>
      <c r="D1945" s="24" t="s">
        <v>15900</v>
      </c>
      <c r="E1945" s="24" t="s">
        <v>15801</v>
      </c>
      <c r="F1945" s="29" t="s">
        <v>14518</v>
      </c>
      <c r="G1945" s="24" t="s">
        <v>301</v>
      </c>
      <c r="H1945" s="11" t="str">
        <f t="shared" si="60"/>
        <v>17/02/1838</v>
      </c>
      <c r="J1945" s="11" t="str">
        <f t="shared" si="61"/>
        <v xml:space="preserve"> </v>
      </c>
      <c r="K1945" s="24" t="s">
        <v>301</v>
      </c>
    </row>
    <row r="1946" spans="1:11">
      <c r="A1946" s="24" t="s">
        <v>15828</v>
      </c>
      <c r="B1946" s="24" t="s">
        <v>15828</v>
      </c>
      <c r="C1946" s="24" t="s">
        <v>15884</v>
      </c>
      <c r="D1946" s="24" t="s">
        <v>15900</v>
      </c>
      <c r="E1946" s="24" t="s">
        <v>15801</v>
      </c>
      <c r="F1946" s="29" t="s">
        <v>14492</v>
      </c>
      <c r="G1946" s="24" t="s">
        <v>301</v>
      </c>
      <c r="H1946" s="11" t="str">
        <f t="shared" si="60"/>
        <v>17/02/1838</v>
      </c>
      <c r="J1946" s="11" t="str">
        <f t="shared" si="61"/>
        <v xml:space="preserve"> </v>
      </c>
      <c r="K1946" s="24" t="s">
        <v>301</v>
      </c>
    </row>
    <row r="1947" spans="1:11">
      <c r="A1947" s="24" t="s">
        <v>15811</v>
      </c>
      <c r="B1947" s="24" t="s">
        <v>15811</v>
      </c>
      <c r="C1947" s="24" t="s">
        <v>15884</v>
      </c>
      <c r="D1947" s="24" t="s">
        <v>15900</v>
      </c>
      <c r="E1947" s="24" t="s">
        <v>15801</v>
      </c>
      <c r="F1947" s="29" t="s">
        <v>2093</v>
      </c>
      <c r="G1947" s="24" t="s">
        <v>301</v>
      </c>
      <c r="H1947" s="11" t="str">
        <f t="shared" si="60"/>
        <v>17/02/1838</v>
      </c>
      <c r="J1947" s="11" t="str">
        <f t="shared" si="61"/>
        <v xml:space="preserve"> </v>
      </c>
      <c r="K1947" s="24" t="s">
        <v>301</v>
      </c>
    </row>
    <row r="1948" spans="1:11">
      <c r="A1948" s="24" t="s">
        <v>15801</v>
      </c>
      <c r="B1948" s="24" t="s">
        <v>15841</v>
      </c>
      <c r="C1948" s="24" t="s">
        <v>15939</v>
      </c>
      <c r="D1948" s="24" t="s">
        <v>15899</v>
      </c>
      <c r="E1948" s="24" t="s">
        <v>15817</v>
      </c>
      <c r="G1948" s="24" t="s">
        <v>14513</v>
      </c>
      <c r="H1948" s="11" t="str">
        <f t="shared" si="60"/>
        <v>08/12/1872</v>
      </c>
      <c r="J1948" s="11" t="str">
        <f t="shared" si="61"/>
        <v xml:space="preserve"> </v>
      </c>
      <c r="K1948" s="24" t="s">
        <v>14513</v>
      </c>
    </row>
    <row r="1949" spans="1:11">
      <c r="A1949" s="24" t="s">
        <v>15801</v>
      </c>
      <c r="B1949" s="24" t="s">
        <v>15841</v>
      </c>
      <c r="C1949" s="24" t="s">
        <v>15883</v>
      </c>
      <c r="D1949" s="24" t="s">
        <v>15870</v>
      </c>
      <c r="E1949" s="24" t="s">
        <v>15965</v>
      </c>
      <c r="G1949" s="24" t="s">
        <v>13135</v>
      </c>
      <c r="H1949" s="11" t="str">
        <f t="shared" si="60"/>
        <v>12/08/1874</v>
      </c>
      <c r="J1949" s="11" t="str">
        <f t="shared" si="61"/>
        <v xml:space="preserve"> </v>
      </c>
      <c r="K1949" s="24" t="s">
        <v>13135</v>
      </c>
    </row>
    <row r="1950" spans="1:11">
      <c r="A1950" s="24" t="s">
        <v>15819</v>
      </c>
      <c r="B1950" s="24" t="s">
        <v>15819</v>
      </c>
      <c r="C1950" s="24" t="s">
        <v>15801</v>
      </c>
      <c r="D1950" s="24" t="s">
        <v>15900</v>
      </c>
      <c r="E1950" s="24" t="s">
        <v>15801</v>
      </c>
      <c r="F1950" s="29" t="s">
        <v>4485</v>
      </c>
      <c r="H1950" s="11" t="str">
        <f t="shared" si="60"/>
        <v/>
      </c>
      <c r="J1950" s="11" t="str">
        <f t="shared" si="61"/>
        <v xml:space="preserve"> </v>
      </c>
      <c r="K1950" s="24" t="s">
        <v>15801</v>
      </c>
    </row>
    <row r="1951" spans="1:11">
      <c r="A1951" s="24" t="s">
        <v>15819</v>
      </c>
      <c r="B1951" s="24" t="s">
        <v>15819</v>
      </c>
      <c r="C1951" s="24" t="s">
        <v>15884</v>
      </c>
      <c r="D1951" s="24" t="s">
        <v>15900</v>
      </c>
      <c r="E1951" s="24" t="s">
        <v>15801</v>
      </c>
      <c r="F1951" s="29" t="s">
        <v>1979</v>
      </c>
      <c r="G1951" s="24" t="s">
        <v>301</v>
      </c>
      <c r="H1951" s="11" t="str">
        <f t="shared" si="60"/>
        <v>17/02/1838</v>
      </c>
      <c r="J1951" s="11" t="str">
        <f t="shared" si="61"/>
        <v xml:space="preserve"> </v>
      </c>
      <c r="K1951" s="24" t="s">
        <v>301</v>
      </c>
    </row>
    <row r="1952" spans="1:11">
      <c r="A1952" s="24" t="s">
        <v>15801</v>
      </c>
      <c r="B1952" s="24" t="s">
        <v>15837</v>
      </c>
      <c r="C1952" s="24" t="s">
        <v>15801</v>
      </c>
      <c r="D1952" s="24" t="s">
        <v>15915</v>
      </c>
      <c r="E1952" s="24" t="s">
        <v>15828</v>
      </c>
      <c r="H1952" s="11" t="str">
        <f t="shared" si="60"/>
        <v/>
      </c>
      <c r="J1952" s="11" t="str">
        <f t="shared" si="61"/>
        <v xml:space="preserve"> </v>
      </c>
      <c r="K1952" s="24" t="s">
        <v>15801</v>
      </c>
    </row>
    <row r="1953" spans="1:11">
      <c r="A1953" s="24" t="s">
        <v>15827</v>
      </c>
      <c r="B1953" s="24" t="s">
        <v>15827</v>
      </c>
      <c r="C1953" s="24" t="s">
        <v>15801</v>
      </c>
      <c r="D1953" s="24" t="s">
        <v>15884</v>
      </c>
      <c r="E1953" s="24" t="s">
        <v>15801</v>
      </c>
      <c r="F1953" s="29" t="s">
        <v>14563</v>
      </c>
      <c r="H1953" s="11" t="str">
        <f t="shared" si="60"/>
        <v/>
      </c>
      <c r="J1953" s="11" t="str">
        <f t="shared" si="61"/>
        <v xml:space="preserve"> </v>
      </c>
      <c r="K1953" s="24" t="s">
        <v>15801</v>
      </c>
    </row>
    <row r="1954" spans="1:11">
      <c r="A1954" s="24" t="s">
        <v>15827</v>
      </c>
      <c r="B1954" s="24" t="s">
        <v>15827</v>
      </c>
      <c r="C1954" s="24" t="s">
        <v>15891</v>
      </c>
      <c r="D1954" s="24" t="s">
        <v>15870</v>
      </c>
      <c r="E1954" s="24" t="s">
        <v>15886</v>
      </c>
      <c r="F1954" s="29" t="s">
        <v>3173</v>
      </c>
      <c r="G1954" s="24" t="s">
        <v>14569</v>
      </c>
      <c r="H1954" s="11" t="str">
        <f t="shared" si="60"/>
        <v>05/04/1883</v>
      </c>
      <c r="J1954" s="11" t="str">
        <f t="shared" si="61"/>
        <v xml:space="preserve"> </v>
      </c>
      <c r="K1954" s="24" t="s">
        <v>14569</v>
      </c>
    </row>
    <row r="1955" spans="1:11">
      <c r="A1955" s="24" t="s">
        <v>15801</v>
      </c>
      <c r="B1955" s="24" t="s">
        <v>15808</v>
      </c>
      <c r="C1955" s="24" t="s">
        <v>15801</v>
      </c>
      <c r="D1955" s="24" t="s">
        <v>15915</v>
      </c>
      <c r="E1955" s="24" t="s">
        <v>15966</v>
      </c>
      <c r="H1955" s="11" t="str">
        <f t="shared" si="60"/>
        <v/>
      </c>
      <c r="J1955" s="11" t="str">
        <f t="shared" si="61"/>
        <v xml:space="preserve"> </v>
      </c>
      <c r="K1955" s="24" t="s">
        <v>15801</v>
      </c>
    </row>
    <row r="1956" spans="1:11">
      <c r="A1956" s="24" t="s">
        <v>15801</v>
      </c>
      <c r="B1956" s="24" t="s">
        <v>15837</v>
      </c>
      <c r="C1956" s="24" t="s">
        <v>15801</v>
      </c>
      <c r="D1956" s="24" t="s">
        <v>15884</v>
      </c>
      <c r="E1956" s="24" t="s">
        <v>15810</v>
      </c>
      <c r="H1956" s="11" t="str">
        <f t="shared" si="60"/>
        <v/>
      </c>
      <c r="J1956" s="11" t="str">
        <f t="shared" si="61"/>
        <v xml:space="preserve"> </v>
      </c>
      <c r="K1956" s="24" t="s">
        <v>15801</v>
      </c>
    </row>
    <row r="1957" spans="1:11">
      <c r="A1957" s="24" t="s">
        <v>15810</v>
      </c>
      <c r="B1957" s="24" t="s">
        <v>15810</v>
      </c>
      <c r="C1957" s="24" t="s">
        <v>15801</v>
      </c>
      <c r="D1957" s="24" t="s">
        <v>15884</v>
      </c>
      <c r="E1957" s="24" t="s">
        <v>15801</v>
      </c>
      <c r="F1957" s="29" t="s">
        <v>14580</v>
      </c>
      <c r="H1957" s="11" t="str">
        <f t="shared" si="60"/>
        <v/>
      </c>
      <c r="J1957" s="11" t="str">
        <f t="shared" si="61"/>
        <v xml:space="preserve"> </v>
      </c>
      <c r="K1957" s="24" t="s">
        <v>15801</v>
      </c>
    </row>
    <row r="1958" spans="1:11">
      <c r="A1958" s="24" t="s">
        <v>15833</v>
      </c>
      <c r="B1958" s="24" t="s">
        <v>15833</v>
      </c>
      <c r="C1958" s="24" t="s">
        <v>15801</v>
      </c>
      <c r="D1958" s="24" t="s">
        <v>15884</v>
      </c>
      <c r="E1958" s="24" t="s">
        <v>15801</v>
      </c>
      <c r="F1958" s="29" t="s">
        <v>14590</v>
      </c>
      <c r="H1958" s="11" t="str">
        <f t="shared" si="60"/>
        <v/>
      </c>
      <c r="J1958" s="11" t="str">
        <f t="shared" si="61"/>
        <v xml:space="preserve"> </v>
      </c>
      <c r="K1958" s="24" t="s">
        <v>15801</v>
      </c>
    </row>
    <row r="1959" spans="1:11">
      <c r="A1959" s="24" t="s">
        <v>15801</v>
      </c>
      <c r="B1959" s="24" t="s">
        <v>15822</v>
      </c>
      <c r="C1959" s="24" t="s">
        <v>15801</v>
      </c>
      <c r="D1959" s="24" t="s">
        <v>15931</v>
      </c>
      <c r="E1959" s="24" t="s">
        <v>15801</v>
      </c>
      <c r="H1959" s="11" t="str">
        <f t="shared" si="60"/>
        <v/>
      </c>
      <c r="J1959" s="11" t="str">
        <f t="shared" si="61"/>
        <v xml:space="preserve"> </v>
      </c>
      <c r="K1959" s="24" t="s">
        <v>15801</v>
      </c>
    </row>
    <row r="1960" spans="1:11">
      <c r="A1960" s="24" t="s">
        <v>15863</v>
      </c>
      <c r="B1960" s="24" t="s">
        <v>15863</v>
      </c>
      <c r="C1960" s="24" t="s">
        <v>15801</v>
      </c>
      <c r="D1960" s="24" t="s">
        <v>15801</v>
      </c>
      <c r="E1960" s="24" t="s">
        <v>15898</v>
      </c>
      <c r="F1960" s="29" t="s">
        <v>14599</v>
      </c>
      <c r="H1960" s="11" t="str">
        <f t="shared" si="60"/>
        <v/>
      </c>
      <c r="J1960" s="11" t="str">
        <f t="shared" si="61"/>
        <v xml:space="preserve"> </v>
      </c>
      <c r="K1960" s="24" t="s">
        <v>15801</v>
      </c>
    </row>
    <row r="1961" spans="1:11">
      <c r="A1961" s="24" t="s">
        <v>15801</v>
      </c>
      <c r="B1961" s="24" t="s">
        <v>15846</v>
      </c>
      <c r="C1961" s="24" t="s">
        <v>15801</v>
      </c>
      <c r="D1961" s="24" t="s">
        <v>15899</v>
      </c>
      <c r="E1961" s="24" t="s">
        <v>15823</v>
      </c>
      <c r="H1961" s="11" t="str">
        <f t="shared" si="60"/>
        <v/>
      </c>
      <c r="J1961" s="11" t="str">
        <f t="shared" si="61"/>
        <v xml:space="preserve"> </v>
      </c>
      <c r="K1961" s="24" t="s">
        <v>15801</v>
      </c>
    </row>
    <row r="1962" spans="1:11">
      <c r="A1962" s="24" t="s">
        <v>15810</v>
      </c>
      <c r="B1962" s="24" t="s">
        <v>15810</v>
      </c>
      <c r="C1962" s="24" t="s">
        <v>15801</v>
      </c>
      <c r="D1962" s="24" t="s">
        <v>15899</v>
      </c>
      <c r="E1962" s="24" t="s">
        <v>15884</v>
      </c>
      <c r="F1962" s="29" t="s">
        <v>14602</v>
      </c>
      <c r="H1962" s="11" t="str">
        <f t="shared" si="60"/>
        <v/>
      </c>
      <c r="J1962" s="11" t="str">
        <f t="shared" si="61"/>
        <v xml:space="preserve"> </v>
      </c>
      <c r="K1962" s="24" t="s">
        <v>15801</v>
      </c>
    </row>
    <row r="1963" spans="1:11">
      <c r="A1963" s="24" t="s">
        <v>15820</v>
      </c>
      <c r="B1963" s="24" t="s">
        <v>15820</v>
      </c>
      <c r="C1963" s="24" t="s">
        <v>15801</v>
      </c>
      <c r="D1963" s="24" t="s">
        <v>15915</v>
      </c>
      <c r="E1963" s="24" t="s">
        <v>15801</v>
      </c>
      <c r="F1963" s="29" t="s">
        <v>14629</v>
      </c>
      <c r="H1963" s="11" t="str">
        <f t="shared" si="60"/>
        <v/>
      </c>
      <c r="J1963" s="11" t="str">
        <f t="shared" si="61"/>
        <v xml:space="preserve"> </v>
      </c>
      <c r="K1963" s="24" t="s">
        <v>15801</v>
      </c>
    </row>
    <row r="1964" spans="1:11">
      <c r="A1964" s="24" t="s">
        <v>15823</v>
      </c>
      <c r="B1964" s="24" t="s">
        <v>15823</v>
      </c>
      <c r="C1964" s="24" t="s">
        <v>15801</v>
      </c>
      <c r="D1964" s="24" t="s">
        <v>15899</v>
      </c>
      <c r="E1964" s="24" t="s">
        <v>15898</v>
      </c>
      <c r="F1964" s="29" t="s">
        <v>14624</v>
      </c>
      <c r="H1964" s="11" t="str">
        <f t="shared" si="60"/>
        <v/>
      </c>
      <c r="J1964" s="11" t="str">
        <f t="shared" si="61"/>
        <v xml:space="preserve"> </v>
      </c>
      <c r="K1964" s="24" t="s">
        <v>15801</v>
      </c>
    </row>
    <row r="1965" spans="1:11">
      <c r="A1965" s="24" t="s">
        <v>15821</v>
      </c>
      <c r="B1965" s="24" t="s">
        <v>15821</v>
      </c>
      <c r="C1965" s="24" t="s">
        <v>15801</v>
      </c>
      <c r="D1965" s="24" t="s">
        <v>15915</v>
      </c>
      <c r="E1965" s="24" t="s">
        <v>15864</v>
      </c>
      <c r="F1965" s="29" t="s">
        <v>14632</v>
      </c>
      <c r="H1965" s="11" t="str">
        <f t="shared" si="60"/>
        <v/>
      </c>
      <c r="J1965" s="11" t="str">
        <f t="shared" si="61"/>
        <v xml:space="preserve"> </v>
      </c>
      <c r="K1965" s="24" t="s">
        <v>15801</v>
      </c>
    </row>
    <row r="1966" spans="1:11">
      <c r="A1966" s="24" t="s">
        <v>15801</v>
      </c>
      <c r="B1966" s="24" t="s">
        <v>15839</v>
      </c>
      <c r="C1966" s="24" t="s">
        <v>15801</v>
      </c>
      <c r="D1966" s="24" t="s">
        <v>15900</v>
      </c>
      <c r="E1966" s="24" t="s">
        <v>15833</v>
      </c>
      <c r="H1966" s="11" t="str">
        <f t="shared" si="60"/>
        <v/>
      </c>
      <c r="J1966" s="11" t="str">
        <f t="shared" si="61"/>
        <v xml:space="preserve"> </v>
      </c>
      <c r="K1966" s="24" t="s">
        <v>15801</v>
      </c>
    </row>
    <row r="1967" spans="1:11">
      <c r="A1967" s="24" t="s">
        <v>15820</v>
      </c>
      <c r="B1967" s="24" t="s">
        <v>15820</v>
      </c>
      <c r="C1967" s="24" t="s">
        <v>15939</v>
      </c>
      <c r="D1967" s="24" t="s">
        <v>15900</v>
      </c>
      <c r="E1967" s="24" t="s">
        <v>15801</v>
      </c>
      <c r="F1967" s="29" t="s">
        <v>14619</v>
      </c>
      <c r="G1967" s="24" t="s">
        <v>14621</v>
      </c>
      <c r="H1967" s="11" t="str">
        <f t="shared" si="60"/>
        <v>23/03/1872</v>
      </c>
      <c r="J1967" s="11" t="str">
        <f t="shared" si="61"/>
        <v xml:space="preserve"> </v>
      </c>
      <c r="K1967" s="24" t="s">
        <v>14621</v>
      </c>
    </row>
    <row r="1968" spans="1:11">
      <c r="A1968" s="24" t="s">
        <v>15810</v>
      </c>
      <c r="B1968" s="24" t="s">
        <v>15810</v>
      </c>
      <c r="C1968" s="24" t="s">
        <v>15801</v>
      </c>
      <c r="D1968" s="24" t="s">
        <v>15801</v>
      </c>
      <c r="E1968" s="24" t="s">
        <v>15801</v>
      </c>
      <c r="F1968" s="29" t="s">
        <v>1252</v>
      </c>
      <c r="H1968" s="11" t="str">
        <f t="shared" si="60"/>
        <v/>
      </c>
      <c r="J1968" s="11" t="str">
        <f t="shared" si="61"/>
        <v xml:space="preserve"> </v>
      </c>
      <c r="K1968" s="24" t="s">
        <v>15801</v>
      </c>
    </row>
    <row r="1969" spans="1:11">
      <c r="A1969" s="24" t="s">
        <v>15801</v>
      </c>
      <c r="B1969" s="24" t="s">
        <v>15848</v>
      </c>
      <c r="C1969" s="24" t="s">
        <v>15801</v>
      </c>
      <c r="D1969" s="24" t="s">
        <v>15870</v>
      </c>
      <c r="E1969" s="24" t="s">
        <v>15822</v>
      </c>
      <c r="H1969" s="11" t="str">
        <f t="shared" si="60"/>
        <v/>
      </c>
      <c r="J1969" s="11" t="str">
        <f t="shared" si="61"/>
        <v xml:space="preserve"> </v>
      </c>
      <c r="K1969" s="24" t="s">
        <v>15801</v>
      </c>
    </row>
    <row r="1970" spans="1:11">
      <c r="A1970" s="24" t="s">
        <v>15801</v>
      </c>
      <c r="B1970" s="24" t="s">
        <v>15837</v>
      </c>
      <c r="C1970" s="24" t="s">
        <v>15801</v>
      </c>
      <c r="D1970" s="24" t="s">
        <v>15870</v>
      </c>
      <c r="E1970" s="24" t="s">
        <v>15811</v>
      </c>
      <c r="H1970" s="11" t="str">
        <f t="shared" si="60"/>
        <v/>
      </c>
      <c r="J1970" s="11" t="str">
        <f t="shared" si="61"/>
        <v xml:space="preserve"> </v>
      </c>
      <c r="K1970" s="24" t="s">
        <v>15801</v>
      </c>
    </row>
    <row r="1971" spans="1:11">
      <c r="A1971" s="24" t="s">
        <v>15801</v>
      </c>
      <c r="B1971" s="24" t="s">
        <v>15860</v>
      </c>
      <c r="C1971" s="24" t="s">
        <v>15884</v>
      </c>
      <c r="D1971" s="24" t="s">
        <v>15870</v>
      </c>
      <c r="E1971" s="24" t="s">
        <v>15841</v>
      </c>
      <c r="G1971" s="24">
        <v>1838</v>
      </c>
      <c r="H1971" s="11"/>
      <c r="J1971" s="11" t="str">
        <f t="shared" si="61"/>
        <v xml:space="preserve"> </v>
      </c>
    </row>
    <row r="1972" spans="1:11">
      <c r="A1972" s="24" t="s">
        <v>15801</v>
      </c>
      <c r="B1972" s="24" t="s">
        <v>15801</v>
      </c>
      <c r="C1972" s="24" t="s">
        <v>15801</v>
      </c>
      <c r="D1972" s="24" t="s">
        <v>15956</v>
      </c>
      <c r="E1972" s="24" t="s">
        <v>15801</v>
      </c>
      <c r="H1972" s="11" t="str">
        <f t="shared" si="60"/>
        <v/>
      </c>
      <c r="J1972" s="11" t="str">
        <f t="shared" si="61"/>
        <v xml:space="preserve"> </v>
      </c>
      <c r="K1972" s="24" t="s">
        <v>15801</v>
      </c>
    </row>
    <row r="1973" spans="1:11">
      <c r="A1973" s="24" t="s">
        <v>15801</v>
      </c>
      <c r="B1973" s="24" t="s">
        <v>15837</v>
      </c>
      <c r="C1973" s="24" t="s">
        <v>15801</v>
      </c>
      <c r="D1973" s="24" t="s">
        <v>15956</v>
      </c>
      <c r="E1973" s="24" t="s">
        <v>15810</v>
      </c>
      <c r="H1973" s="11" t="str">
        <f t="shared" si="60"/>
        <v/>
      </c>
      <c r="J1973" s="11" t="str">
        <f t="shared" si="61"/>
        <v xml:space="preserve"> </v>
      </c>
      <c r="K1973" s="24" t="s">
        <v>15801</v>
      </c>
    </row>
    <row r="1974" spans="1:11">
      <c r="A1974" s="24" t="s">
        <v>15811</v>
      </c>
      <c r="B1974" s="24" t="s">
        <v>15811</v>
      </c>
      <c r="C1974" s="24" t="s">
        <v>15947</v>
      </c>
      <c r="D1974" s="24" t="s">
        <v>15801</v>
      </c>
      <c r="E1974" s="24" t="s">
        <v>15905</v>
      </c>
      <c r="F1974" s="29" t="s">
        <v>14662</v>
      </c>
      <c r="G1974" s="24" t="s">
        <v>14663</v>
      </c>
      <c r="H1974" s="11" t="str">
        <f t="shared" si="60"/>
        <v>17/07/1870</v>
      </c>
      <c r="J1974" s="11" t="str">
        <f t="shared" si="61"/>
        <v xml:space="preserve"> </v>
      </c>
      <c r="K1974" s="24" t="s">
        <v>14663</v>
      </c>
    </row>
    <row r="1975" spans="1:11">
      <c r="A1975" s="24" t="s">
        <v>15813</v>
      </c>
      <c r="B1975" s="24" t="s">
        <v>15813</v>
      </c>
      <c r="C1975" s="24" t="s">
        <v>15801</v>
      </c>
      <c r="D1975" s="24" t="s">
        <v>15956</v>
      </c>
      <c r="E1975" s="24" t="s">
        <v>15864</v>
      </c>
      <c r="F1975" s="29" t="s">
        <v>14560</v>
      </c>
      <c r="H1975" s="11" t="str">
        <f t="shared" si="60"/>
        <v/>
      </c>
      <c r="J1975" s="11" t="str">
        <f t="shared" si="61"/>
        <v xml:space="preserve"> </v>
      </c>
      <c r="K1975" s="24" t="s">
        <v>15801</v>
      </c>
    </row>
    <row r="1976" spans="1:11">
      <c r="A1976" s="24" t="s">
        <v>15801</v>
      </c>
      <c r="B1976" s="24" t="s">
        <v>15834</v>
      </c>
      <c r="C1976" s="24" t="s">
        <v>15801</v>
      </c>
      <c r="D1976" s="24" t="s">
        <v>15900</v>
      </c>
      <c r="E1976" s="24" t="s">
        <v>15828</v>
      </c>
      <c r="H1976" s="11" t="str">
        <f t="shared" si="60"/>
        <v/>
      </c>
      <c r="J1976" s="11" t="str">
        <f t="shared" si="61"/>
        <v xml:space="preserve"> </v>
      </c>
      <c r="K1976" s="24" t="s">
        <v>15801</v>
      </c>
    </row>
    <row r="1977" spans="1:11">
      <c r="A1977" s="24" t="s">
        <v>15833</v>
      </c>
      <c r="B1977" s="24" t="s">
        <v>15833</v>
      </c>
      <c r="C1977" s="24" t="s">
        <v>15801</v>
      </c>
      <c r="D1977" s="24" t="s">
        <v>15900</v>
      </c>
      <c r="E1977" s="24" t="s">
        <v>15801</v>
      </c>
      <c r="F1977" s="29" t="s">
        <v>13435</v>
      </c>
      <c r="H1977" s="11" t="str">
        <f t="shared" si="60"/>
        <v/>
      </c>
      <c r="J1977" s="11" t="str">
        <f t="shared" si="61"/>
        <v xml:space="preserve"> </v>
      </c>
      <c r="K1977" s="24" t="s">
        <v>15801</v>
      </c>
    </row>
    <row r="1978" spans="1:11">
      <c r="A1978" s="24" t="s">
        <v>15823</v>
      </c>
      <c r="B1978" s="24" t="s">
        <v>15823</v>
      </c>
      <c r="C1978" s="24" t="s">
        <v>15941</v>
      </c>
      <c r="D1978" s="24" t="s">
        <v>15899</v>
      </c>
      <c r="E1978" s="24" t="s">
        <v>15898</v>
      </c>
      <c r="F1978" s="29" t="s">
        <v>1052</v>
      </c>
      <c r="G1978" s="24" t="s">
        <v>14701</v>
      </c>
      <c r="H1978" s="11" t="str">
        <f t="shared" si="60"/>
        <v>25/09/1902</v>
      </c>
      <c r="J1978" s="11" t="str">
        <f t="shared" si="61"/>
        <v xml:space="preserve"> </v>
      </c>
      <c r="K1978" s="24" t="s">
        <v>14701</v>
      </c>
    </row>
    <row r="1979" spans="1:11">
      <c r="A1979" s="24" t="s">
        <v>15801</v>
      </c>
      <c r="B1979" s="24" t="s">
        <v>15826</v>
      </c>
      <c r="C1979" s="24" t="s">
        <v>15801</v>
      </c>
      <c r="D1979" s="24" t="s">
        <v>15900</v>
      </c>
      <c r="E1979" s="24" t="s">
        <v>15840</v>
      </c>
      <c r="H1979" s="11" t="str">
        <f t="shared" si="60"/>
        <v/>
      </c>
      <c r="J1979" s="11" t="str">
        <f t="shared" si="61"/>
        <v xml:space="preserve"> </v>
      </c>
      <c r="K1979" s="24" t="s">
        <v>15801</v>
      </c>
    </row>
    <row r="1980" spans="1:11">
      <c r="A1980" s="24" t="s">
        <v>15853</v>
      </c>
      <c r="B1980" s="24" t="s">
        <v>15853</v>
      </c>
      <c r="C1980" s="24" t="s">
        <v>15911</v>
      </c>
      <c r="D1980" s="24" t="s">
        <v>15900</v>
      </c>
      <c r="E1980" s="24" t="s">
        <v>15813</v>
      </c>
      <c r="F1980" s="29" t="s">
        <v>14733</v>
      </c>
      <c r="G1980" s="24" t="s">
        <v>14734</v>
      </c>
      <c r="H1980" s="11" t="str">
        <f t="shared" si="60"/>
        <v>13/06/1863</v>
      </c>
      <c r="J1980" s="11" t="str">
        <f t="shared" si="61"/>
        <v xml:space="preserve"> </v>
      </c>
      <c r="K1980" s="24" t="s">
        <v>14734</v>
      </c>
    </row>
    <row r="1981" spans="1:11">
      <c r="A1981" s="24" t="s">
        <v>15827</v>
      </c>
      <c r="B1981" s="24" t="s">
        <v>15827</v>
      </c>
      <c r="C1981" s="24" t="s">
        <v>15926</v>
      </c>
      <c r="D1981" s="24" t="s">
        <v>15801</v>
      </c>
      <c r="E1981" s="24" t="s">
        <v>15905</v>
      </c>
      <c r="F1981" s="29" t="s">
        <v>14674</v>
      </c>
      <c r="G1981" s="24" t="s">
        <v>14675</v>
      </c>
      <c r="H1981" s="11" t="str">
        <f t="shared" si="60"/>
        <v>11/02/1897</v>
      </c>
      <c r="J1981" s="11" t="str">
        <f t="shared" si="61"/>
        <v xml:space="preserve"> </v>
      </c>
      <c r="K1981" s="24" t="s">
        <v>14675</v>
      </c>
    </row>
    <row r="1982" spans="1:11">
      <c r="A1982" s="24" t="s">
        <v>15815</v>
      </c>
      <c r="B1982" s="24" t="s">
        <v>15815</v>
      </c>
      <c r="C1982" s="24" t="s">
        <v>15917</v>
      </c>
      <c r="D1982" s="24" t="s">
        <v>15900</v>
      </c>
      <c r="E1982" s="24" t="s">
        <v>15801</v>
      </c>
      <c r="F1982" s="29" t="s">
        <v>14729</v>
      </c>
      <c r="G1982" s="24" t="s">
        <v>14730</v>
      </c>
      <c r="H1982" s="11" t="str">
        <f t="shared" si="60"/>
        <v>10/10/1869</v>
      </c>
      <c r="J1982" s="11" t="str">
        <f t="shared" si="61"/>
        <v xml:space="preserve"> </v>
      </c>
      <c r="K1982" s="24" t="s">
        <v>14730</v>
      </c>
    </row>
    <row r="1983" spans="1:11">
      <c r="A1983" s="24" t="s">
        <v>15821</v>
      </c>
      <c r="B1983" s="24" t="s">
        <v>15821</v>
      </c>
      <c r="C1983" s="24" t="s">
        <v>15912</v>
      </c>
      <c r="D1983" s="24" t="s">
        <v>15900</v>
      </c>
      <c r="E1983" s="24" t="s">
        <v>15884</v>
      </c>
      <c r="F1983" s="29" t="s">
        <v>2323</v>
      </c>
      <c r="G1983" s="24" t="s">
        <v>14714</v>
      </c>
      <c r="H1983" s="11" t="str">
        <f t="shared" si="60"/>
        <v>14/06/1893</v>
      </c>
      <c r="J1983" s="11" t="str">
        <f t="shared" si="61"/>
        <v xml:space="preserve"> </v>
      </c>
      <c r="K1983" s="24" t="s">
        <v>14714</v>
      </c>
    </row>
    <row r="1984" spans="1:11">
      <c r="A1984" s="24" t="s">
        <v>15819</v>
      </c>
      <c r="B1984" s="24" t="s">
        <v>15819</v>
      </c>
      <c r="C1984" s="24" t="s">
        <v>15943</v>
      </c>
      <c r="D1984" s="24" t="s">
        <v>15900</v>
      </c>
      <c r="E1984" s="24" t="s">
        <v>15915</v>
      </c>
      <c r="F1984" s="29" t="s">
        <v>14762</v>
      </c>
      <c r="G1984" s="24" t="s">
        <v>14763</v>
      </c>
      <c r="H1984" s="11" t="str">
        <f t="shared" si="60"/>
        <v>01/11/1891</v>
      </c>
      <c r="J1984" s="11" t="str">
        <f t="shared" si="61"/>
        <v xml:space="preserve"> </v>
      </c>
      <c r="K1984" s="24" t="s">
        <v>14763</v>
      </c>
    </row>
    <row r="1985" spans="1:11">
      <c r="A1985" s="24" t="s">
        <v>15801</v>
      </c>
      <c r="B1985" s="24" t="s">
        <v>15842</v>
      </c>
      <c r="C1985" s="24" t="s">
        <v>15801</v>
      </c>
      <c r="D1985" s="24" t="s">
        <v>15900</v>
      </c>
      <c r="E1985" s="24" t="s">
        <v>15819</v>
      </c>
      <c r="H1985" s="11" t="str">
        <f t="shared" si="60"/>
        <v/>
      </c>
      <c r="J1985" s="11" t="str">
        <f t="shared" si="61"/>
        <v xml:space="preserve"> </v>
      </c>
      <c r="K1985" s="24" t="s">
        <v>15801</v>
      </c>
    </row>
    <row r="1986" spans="1:11">
      <c r="A1986" s="24" t="s">
        <v>15816</v>
      </c>
      <c r="B1986" s="24" t="s">
        <v>15816</v>
      </c>
      <c r="C1986" s="24" t="s">
        <v>15801</v>
      </c>
      <c r="D1986" s="24" t="s">
        <v>15900</v>
      </c>
      <c r="E1986" s="24" t="s">
        <v>15908</v>
      </c>
      <c r="F1986" s="29" t="s">
        <v>9785</v>
      </c>
      <c r="H1986" s="11" t="str">
        <f t="shared" si="60"/>
        <v/>
      </c>
      <c r="J1986" s="11" t="str">
        <f t="shared" si="61"/>
        <v xml:space="preserve"> </v>
      </c>
      <c r="K1986" s="24" t="s">
        <v>15801</v>
      </c>
    </row>
    <row r="1987" spans="1:11">
      <c r="A1987" s="24" t="s">
        <v>15801</v>
      </c>
      <c r="B1987" s="24" t="s">
        <v>15825</v>
      </c>
      <c r="C1987" s="24" t="s">
        <v>15801</v>
      </c>
      <c r="D1987" s="24" t="s">
        <v>15884</v>
      </c>
      <c r="E1987" s="24" t="s">
        <v>15801</v>
      </c>
      <c r="H1987" s="11" t="str">
        <f t="shared" ref="H1987:H2050" si="62">TRIM(G1987)</f>
        <v/>
      </c>
      <c r="J1987" s="11" t="str">
        <f t="shared" ref="J1987:J2050" si="63">IF(LEN(H1987)=4,"fout"," ")</f>
        <v xml:space="preserve"> </v>
      </c>
      <c r="K1987" s="24" t="s">
        <v>15801</v>
      </c>
    </row>
    <row r="1988" spans="1:11">
      <c r="A1988" s="24" t="s">
        <v>15801</v>
      </c>
      <c r="B1988" s="24" t="s">
        <v>15810</v>
      </c>
      <c r="C1988" s="24" t="s">
        <v>15801</v>
      </c>
      <c r="D1988" s="24" t="s">
        <v>15884</v>
      </c>
      <c r="E1988" s="24" t="s">
        <v>15870</v>
      </c>
      <c r="H1988" s="11" t="str">
        <f t="shared" si="62"/>
        <v/>
      </c>
      <c r="J1988" s="11" t="str">
        <f t="shared" si="63"/>
        <v xml:space="preserve"> </v>
      </c>
      <c r="K1988" s="24" t="s">
        <v>15801</v>
      </c>
    </row>
    <row r="1989" spans="1:11">
      <c r="A1989" s="24" t="s">
        <v>15818</v>
      </c>
      <c r="B1989" s="24" t="s">
        <v>15818</v>
      </c>
      <c r="C1989" s="24" t="s">
        <v>15801</v>
      </c>
      <c r="D1989" s="24" t="s">
        <v>15915</v>
      </c>
      <c r="E1989" s="24" t="s">
        <v>15915</v>
      </c>
      <c r="F1989" s="29" t="s">
        <v>14706</v>
      </c>
      <c r="H1989" s="11" t="str">
        <f t="shared" si="62"/>
        <v/>
      </c>
      <c r="J1989" s="11" t="str">
        <f t="shared" si="63"/>
        <v xml:space="preserve"> </v>
      </c>
      <c r="K1989" s="24" t="s">
        <v>15801</v>
      </c>
    </row>
    <row r="1990" spans="1:11">
      <c r="A1990" s="24" t="s">
        <v>15829</v>
      </c>
      <c r="B1990" s="24" t="s">
        <v>15829</v>
      </c>
      <c r="C1990" s="24" t="s">
        <v>15801</v>
      </c>
      <c r="D1990" s="24" t="s">
        <v>15900</v>
      </c>
      <c r="E1990" s="24" t="s">
        <v>15827</v>
      </c>
      <c r="F1990" s="29" t="s">
        <v>8279</v>
      </c>
      <c r="H1990" s="11" t="str">
        <f t="shared" si="62"/>
        <v/>
      </c>
      <c r="J1990" s="11" t="str">
        <f t="shared" si="63"/>
        <v xml:space="preserve"> </v>
      </c>
      <c r="K1990" s="24" t="s">
        <v>15801</v>
      </c>
    </row>
    <row r="1991" spans="1:11">
      <c r="A1991" s="24" t="s">
        <v>15801</v>
      </c>
      <c r="B1991" s="24" t="s">
        <v>15838</v>
      </c>
      <c r="C1991" s="24" t="s">
        <v>15801</v>
      </c>
      <c r="E1991" s="24" t="s">
        <v>15835</v>
      </c>
      <c r="H1991" s="11" t="str">
        <f t="shared" si="62"/>
        <v/>
      </c>
      <c r="J1991" s="11" t="str">
        <f t="shared" si="63"/>
        <v xml:space="preserve"> </v>
      </c>
      <c r="K1991" s="24" t="s">
        <v>15801</v>
      </c>
    </row>
    <row r="1992" spans="1:11">
      <c r="A1992" s="24" t="s">
        <v>15813</v>
      </c>
      <c r="B1992" s="24" t="s">
        <v>15813</v>
      </c>
      <c r="C1992" s="24" t="s">
        <v>15801</v>
      </c>
      <c r="D1992" s="24" t="s">
        <v>15915</v>
      </c>
      <c r="E1992" s="24" t="s">
        <v>15823</v>
      </c>
      <c r="F1992" s="29" t="s">
        <v>14725</v>
      </c>
      <c r="H1992" s="11" t="str">
        <f t="shared" si="62"/>
        <v/>
      </c>
      <c r="J1992" s="11" t="str">
        <f t="shared" si="63"/>
        <v xml:space="preserve"> </v>
      </c>
      <c r="K1992" s="24" t="s">
        <v>15801</v>
      </c>
    </row>
    <row r="1993" spans="1:11">
      <c r="A1993" s="24" t="s">
        <v>15807</v>
      </c>
      <c r="B1993" s="24" t="s">
        <v>15807</v>
      </c>
      <c r="C1993" s="24" t="s">
        <v>15801</v>
      </c>
      <c r="D1993" s="24" t="s">
        <v>15956</v>
      </c>
      <c r="E1993" s="24" t="s">
        <v>15851</v>
      </c>
      <c r="F1993" s="29" t="s">
        <v>5874</v>
      </c>
      <c r="H1993" s="11" t="str">
        <f t="shared" si="62"/>
        <v/>
      </c>
      <c r="J1993" s="11" t="str">
        <f t="shared" si="63"/>
        <v xml:space="preserve"> </v>
      </c>
      <c r="K1993" s="24" t="s">
        <v>15801</v>
      </c>
    </row>
    <row r="1994" spans="1:11">
      <c r="A1994" s="24" t="s">
        <v>15810</v>
      </c>
      <c r="B1994" s="24" t="s">
        <v>15810</v>
      </c>
      <c r="C1994" s="24" t="s">
        <v>15889</v>
      </c>
      <c r="D1994" s="24" t="s">
        <v>15870</v>
      </c>
      <c r="E1994" s="24" t="s">
        <v>15884</v>
      </c>
      <c r="F1994" s="29" t="s">
        <v>5889</v>
      </c>
      <c r="G1994" s="24" t="s">
        <v>14848</v>
      </c>
      <c r="H1994" s="11" t="str">
        <f t="shared" si="62"/>
        <v>13/08/1865</v>
      </c>
      <c r="J1994" s="11" t="str">
        <f t="shared" si="63"/>
        <v xml:space="preserve"> </v>
      </c>
      <c r="K1994" s="24" t="s">
        <v>14848</v>
      </c>
    </row>
    <row r="1995" spans="1:11">
      <c r="A1995" s="24" t="s">
        <v>15801</v>
      </c>
      <c r="B1995" s="24" t="s">
        <v>15847</v>
      </c>
      <c r="C1995" s="24" t="s">
        <v>15801</v>
      </c>
      <c r="D1995" s="24" t="s">
        <v>15900</v>
      </c>
      <c r="E1995" s="24" t="s">
        <v>15815</v>
      </c>
      <c r="H1995" s="11" t="str">
        <f t="shared" si="62"/>
        <v/>
      </c>
      <c r="J1995" s="11" t="str">
        <f t="shared" si="63"/>
        <v xml:space="preserve"> </v>
      </c>
      <c r="K1995" s="24" t="s">
        <v>15801</v>
      </c>
    </row>
    <row r="1996" spans="1:11">
      <c r="A1996" s="24" t="s">
        <v>15801</v>
      </c>
      <c r="B1996" s="24" t="s">
        <v>15818</v>
      </c>
      <c r="C1996" s="24" t="s">
        <v>15801</v>
      </c>
      <c r="D1996" s="24" t="s">
        <v>15915</v>
      </c>
      <c r="E1996" s="24" t="s">
        <v>15965</v>
      </c>
      <c r="H1996" s="11" t="str">
        <f t="shared" si="62"/>
        <v/>
      </c>
      <c r="J1996" s="11" t="str">
        <f t="shared" si="63"/>
        <v xml:space="preserve"> </v>
      </c>
      <c r="K1996" s="24" t="s">
        <v>15801</v>
      </c>
    </row>
    <row r="1997" spans="1:11">
      <c r="A1997" s="24" t="s">
        <v>15821</v>
      </c>
      <c r="B1997" s="24" t="s">
        <v>15821</v>
      </c>
      <c r="C1997" s="24" t="s">
        <v>15801</v>
      </c>
      <c r="D1997" s="24" t="s">
        <v>15884</v>
      </c>
      <c r="E1997" s="24" t="s">
        <v>15801</v>
      </c>
      <c r="F1997" s="29" t="s">
        <v>5883</v>
      </c>
      <c r="H1997" s="11" t="str">
        <f t="shared" si="62"/>
        <v/>
      </c>
      <c r="J1997" s="11" t="str">
        <f t="shared" si="63"/>
        <v xml:space="preserve"> </v>
      </c>
      <c r="K1997" s="24" t="s">
        <v>15801</v>
      </c>
    </row>
    <row r="1998" spans="1:11">
      <c r="A1998" s="24" t="s">
        <v>15801</v>
      </c>
      <c r="B1998" s="24" t="s">
        <v>15845</v>
      </c>
      <c r="C1998" s="24" t="s">
        <v>15801</v>
      </c>
      <c r="D1998" s="24" t="s">
        <v>15899</v>
      </c>
      <c r="E1998" s="24" t="s">
        <v>15802</v>
      </c>
      <c r="H1998" s="11" t="str">
        <f t="shared" si="62"/>
        <v/>
      </c>
      <c r="J1998" s="11" t="str">
        <f t="shared" si="63"/>
        <v xml:space="preserve"> </v>
      </c>
      <c r="K1998" s="24" t="s">
        <v>15801</v>
      </c>
    </row>
    <row r="1999" spans="1:11">
      <c r="A1999" s="24" t="s">
        <v>15817</v>
      </c>
      <c r="B1999" s="24" t="s">
        <v>15817</v>
      </c>
      <c r="C1999" s="24" t="s">
        <v>15885</v>
      </c>
      <c r="D1999" s="24" t="s">
        <v>15899</v>
      </c>
      <c r="E1999" s="24" t="s">
        <v>15899</v>
      </c>
      <c r="F1999" s="29" t="s">
        <v>5799</v>
      </c>
      <c r="G1999" s="24">
        <v>1866</v>
      </c>
      <c r="H1999" s="11"/>
      <c r="J1999" s="11" t="str">
        <f t="shared" si="63"/>
        <v xml:space="preserve"> </v>
      </c>
    </row>
    <row r="2000" spans="1:11">
      <c r="A2000" s="24" t="s">
        <v>15801</v>
      </c>
      <c r="B2000" s="24" t="s">
        <v>15850</v>
      </c>
      <c r="C2000" s="24" t="s">
        <v>15801</v>
      </c>
      <c r="D2000" s="24" t="s">
        <v>15900</v>
      </c>
      <c r="E2000" s="24" t="s">
        <v>15825</v>
      </c>
      <c r="H2000" s="11" t="str">
        <f t="shared" si="62"/>
        <v/>
      </c>
      <c r="J2000" s="11" t="str">
        <f t="shared" si="63"/>
        <v xml:space="preserve"> </v>
      </c>
      <c r="K2000" s="24" t="s">
        <v>15801</v>
      </c>
    </row>
    <row r="2001" spans="1:11">
      <c r="A2001" s="24" t="s">
        <v>15801</v>
      </c>
      <c r="B2001" s="24" t="s">
        <v>15801</v>
      </c>
      <c r="C2001" s="24" t="s">
        <v>15801</v>
      </c>
      <c r="D2001" s="24" t="s">
        <v>15900</v>
      </c>
      <c r="E2001" s="24" t="s">
        <v>15801</v>
      </c>
      <c r="H2001" s="11" t="str">
        <f t="shared" si="62"/>
        <v/>
      </c>
      <c r="J2001" s="11" t="str">
        <f t="shared" si="63"/>
        <v xml:space="preserve"> </v>
      </c>
      <c r="K2001" s="24" t="s">
        <v>15801</v>
      </c>
    </row>
    <row r="2002" spans="1:11">
      <c r="A2002" s="24" t="s">
        <v>15819</v>
      </c>
      <c r="B2002" s="24" t="s">
        <v>15819</v>
      </c>
      <c r="C2002" s="24" t="s">
        <v>15801</v>
      </c>
      <c r="D2002" s="24" t="s">
        <v>15899</v>
      </c>
      <c r="E2002" s="24" t="s">
        <v>15876</v>
      </c>
      <c r="F2002" s="29" t="s">
        <v>5810</v>
      </c>
      <c r="H2002" s="11" t="str">
        <f t="shared" si="62"/>
        <v/>
      </c>
      <c r="J2002" s="11" t="str">
        <f t="shared" si="63"/>
        <v xml:space="preserve"> </v>
      </c>
      <c r="K2002" s="24" t="s">
        <v>15801</v>
      </c>
    </row>
    <row r="2003" spans="1:11">
      <c r="A2003" s="24" t="s">
        <v>15864</v>
      </c>
      <c r="B2003" s="24" t="s">
        <v>15864</v>
      </c>
      <c r="C2003" s="24" t="s">
        <v>15801</v>
      </c>
      <c r="D2003" s="24" t="s">
        <v>15900</v>
      </c>
      <c r="E2003" s="24" t="s">
        <v>15801</v>
      </c>
      <c r="F2003" s="29" t="s">
        <v>5878</v>
      </c>
      <c r="H2003" s="11" t="str">
        <f t="shared" si="62"/>
        <v/>
      </c>
      <c r="J2003" s="11" t="str">
        <f t="shared" si="63"/>
        <v xml:space="preserve"> </v>
      </c>
      <c r="K2003" s="24" t="s">
        <v>15801</v>
      </c>
    </row>
    <row r="2004" spans="1:11">
      <c r="A2004" s="24" t="s">
        <v>15819</v>
      </c>
      <c r="B2004" s="24" t="s">
        <v>15819</v>
      </c>
      <c r="C2004" s="24" t="s">
        <v>15947</v>
      </c>
      <c r="D2004" s="24" t="s">
        <v>15884</v>
      </c>
      <c r="E2004" s="24" t="s">
        <v>15876</v>
      </c>
      <c r="F2004" s="29" t="s">
        <v>5838</v>
      </c>
      <c r="G2004" s="24" t="s">
        <v>14813</v>
      </c>
      <c r="H2004" s="11" t="str">
        <f t="shared" si="62"/>
        <v>30/01/1870</v>
      </c>
      <c r="J2004" s="11" t="str">
        <f t="shared" si="63"/>
        <v xml:space="preserve"> </v>
      </c>
      <c r="K2004" s="24" t="s">
        <v>14813</v>
      </c>
    </row>
    <row r="2005" spans="1:11">
      <c r="A2005" s="24" t="s">
        <v>15827</v>
      </c>
      <c r="B2005" s="24" t="s">
        <v>15827</v>
      </c>
      <c r="C2005" s="24" t="s">
        <v>15801</v>
      </c>
      <c r="D2005" s="24" t="s">
        <v>15899</v>
      </c>
      <c r="E2005" s="24" t="s">
        <v>15938</v>
      </c>
      <c r="F2005" s="29" t="s">
        <v>5827</v>
      </c>
      <c r="H2005" s="11" t="str">
        <f t="shared" si="62"/>
        <v/>
      </c>
      <c r="J2005" s="11" t="str">
        <f t="shared" si="63"/>
        <v xml:space="preserve"> </v>
      </c>
      <c r="K2005" s="24" t="s">
        <v>15801</v>
      </c>
    </row>
    <row r="2006" spans="1:11">
      <c r="A2006" s="24" t="s">
        <v>15812</v>
      </c>
      <c r="B2006" s="24" t="s">
        <v>15812</v>
      </c>
      <c r="C2006" s="24" t="s">
        <v>15870</v>
      </c>
      <c r="D2006" s="24" t="s">
        <v>15870</v>
      </c>
      <c r="E2006" s="24" t="s">
        <v>15835</v>
      </c>
      <c r="F2006" s="29" t="s">
        <v>5823</v>
      </c>
      <c r="G2006" s="24" t="s">
        <v>14779</v>
      </c>
      <c r="H2006" s="11" t="str">
        <f t="shared" si="62"/>
        <v>07/1836</v>
      </c>
      <c r="J2006" s="11" t="str">
        <f t="shared" si="63"/>
        <v xml:space="preserve"> </v>
      </c>
      <c r="K2006" s="24" t="s">
        <v>14779</v>
      </c>
    </row>
    <row r="2007" spans="1:11">
      <c r="A2007" s="24" t="s">
        <v>15827</v>
      </c>
      <c r="B2007" s="24" t="s">
        <v>15827</v>
      </c>
      <c r="C2007" s="24" t="s">
        <v>15870</v>
      </c>
      <c r="D2007" s="24" t="s">
        <v>15870</v>
      </c>
      <c r="E2007" s="24" t="s">
        <v>15801</v>
      </c>
      <c r="F2007" s="29" t="s">
        <v>5792</v>
      </c>
      <c r="G2007" s="24" t="s">
        <v>14779</v>
      </c>
      <c r="H2007" s="11" t="str">
        <f t="shared" si="62"/>
        <v>07/1836</v>
      </c>
      <c r="J2007" s="11" t="str">
        <f t="shared" si="63"/>
        <v xml:space="preserve"> </v>
      </c>
      <c r="K2007" s="24" t="s">
        <v>14779</v>
      </c>
    </row>
    <row r="2008" spans="1:11">
      <c r="A2008" s="24" t="s">
        <v>15801</v>
      </c>
      <c r="B2008" s="24" t="s">
        <v>15850</v>
      </c>
      <c r="C2008" s="24" t="s">
        <v>15801</v>
      </c>
      <c r="D2008" s="24" t="s">
        <v>15908</v>
      </c>
      <c r="E2008" s="24" t="s">
        <v>15819</v>
      </c>
      <c r="H2008" s="11" t="str">
        <f t="shared" si="62"/>
        <v/>
      </c>
      <c r="J2008" s="11" t="str">
        <f t="shared" si="63"/>
        <v xml:space="preserve"> </v>
      </c>
      <c r="K2008" s="24" t="s">
        <v>15801</v>
      </c>
    </row>
    <row r="2009" spans="1:11">
      <c r="A2009" s="24" t="s">
        <v>15818</v>
      </c>
      <c r="B2009" s="24" t="s">
        <v>15818</v>
      </c>
      <c r="C2009" s="24" t="s">
        <v>15882</v>
      </c>
      <c r="D2009" s="24" t="s">
        <v>15956</v>
      </c>
      <c r="E2009" s="24" t="s">
        <v>15870</v>
      </c>
      <c r="F2009" s="29" t="s">
        <v>5819</v>
      </c>
      <c r="G2009" s="24" t="s">
        <v>14798</v>
      </c>
      <c r="H2009" s="11" t="str">
        <f t="shared" si="62"/>
        <v>14/03/1880</v>
      </c>
      <c r="J2009" s="11" t="str">
        <f t="shared" si="63"/>
        <v xml:space="preserve"> </v>
      </c>
      <c r="K2009" s="24" t="s">
        <v>14798</v>
      </c>
    </row>
    <row r="2010" spans="1:11">
      <c r="A2010" s="24" t="s">
        <v>15827</v>
      </c>
      <c r="B2010" s="24" t="s">
        <v>15827</v>
      </c>
      <c r="C2010" s="24" t="s">
        <v>15954</v>
      </c>
      <c r="D2010" s="24" t="s">
        <v>15931</v>
      </c>
      <c r="E2010" s="24" t="s">
        <v>15801</v>
      </c>
      <c r="F2010" s="29" t="s">
        <v>5784</v>
      </c>
      <c r="G2010" s="24">
        <v>1857</v>
      </c>
      <c r="H2010" s="11"/>
      <c r="J2010" s="11" t="str">
        <f t="shared" si="63"/>
        <v xml:space="preserve"> </v>
      </c>
    </row>
    <row r="2011" spans="1:11">
      <c r="A2011" s="24" t="s">
        <v>15821</v>
      </c>
      <c r="B2011" s="24" t="s">
        <v>15821</v>
      </c>
      <c r="C2011" s="24" t="s">
        <v>15851</v>
      </c>
      <c r="D2011" s="24" t="s">
        <v>15931</v>
      </c>
      <c r="E2011" s="24" t="s">
        <v>15801</v>
      </c>
      <c r="F2011" s="29" t="s">
        <v>5788</v>
      </c>
      <c r="G2011" s="24" t="s">
        <v>14776</v>
      </c>
      <c r="H2011" s="11" t="str">
        <f t="shared" si="62"/>
        <v>18/05/1832</v>
      </c>
      <c r="J2011" s="11" t="str">
        <f t="shared" si="63"/>
        <v xml:space="preserve"> </v>
      </c>
      <c r="K2011" s="24" t="s">
        <v>14776</v>
      </c>
    </row>
    <row r="2012" spans="1:11">
      <c r="A2012" s="24" t="s">
        <v>15801</v>
      </c>
      <c r="B2012" s="24" t="s">
        <v>15801</v>
      </c>
      <c r="C2012" s="24" t="s">
        <v>15820</v>
      </c>
      <c r="D2012" s="24" t="s">
        <v>15870</v>
      </c>
      <c r="E2012" s="24" t="s">
        <v>15801</v>
      </c>
      <c r="G2012" s="24" t="s">
        <v>14831</v>
      </c>
      <c r="H2012" s="11" t="str">
        <f t="shared" si="62"/>
        <v>27/03/1823</v>
      </c>
      <c r="J2012" s="11" t="str">
        <f t="shared" si="63"/>
        <v xml:space="preserve"> </v>
      </c>
      <c r="K2012" s="24" t="s">
        <v>14831</v>
      </c>
    </row>
    <row r="2013" spans="1:11">
      <c r="A2013" s="24" t="s">
        <v>15801</v>
      </c>
      <c r="B2013" s="24" t="s">
        <v>15801</v>
      </c>
      <c r="C2013" s="24" t="s">
        <v>15801</v>
      </c>
      <c r="D2013" s="24" t="s">
        <v>15870</v>
      </c>
      <c r="E2013" s="24" t="s">
        <v>15899</v>
      </c>
      <c r="H2013" s="11" t="str">
        <f t="shared" si="62"/>
        <v/>
      </c>
      <c r="J2013" s="11" t="str">
        <f t="shared" si="63"/>
        <v xml:space="preserve"> </v>
      </c>
      <c r="K2013" s="24" t="s">
        <v>15801</v>
      </c>
    </row>
    <row r="2014" spans="1:11">
      <c r="A2014" s="24" t="s">
        <v>15828</v>
      </c>
      <c r="B2014" s="24" t="s">
        <v>15828</v>
      </c>
      <c r="C2014" s="24" t="s">
        <v>15806</v>
      </c>
      <c r="D2014" s="24" t="s">
        <v>15870</v>
      </c>
      <c r="E2014" s="24" t="s">
        <v>15886</v>
      </c>
      <c r="F2014" s="29" t="s">
        <v>5897</v>
      </c>
      <c r="G2014" s="24" t="s">
        <v>14858</v>
      </c>
      <c r="H2014" s="11" t="str">
        <f t="shared" si="62"/>
        <v>16/09/1814</v>
      </c>
      <c r="J2014" s="11" t="str">
        <f t="shared" si="63"/>
        <v xml:space="preserve"> </v>
      </c>
      <c r="K2014" s="24" t="s">
        <v>14858</v>
      </c>
    </row>
    <row r="2015" spans="1:11">
      <c r="A2015" s="24" t="s">
        <v>15832</v>
      </c>
      <c r="B2015" s="24" t="s">
        <v>15832</v>
      </c>
      <c r="C2015" s="24" t="s">
        <v>15801</v>
      </c>
      <c r="D2015" s="24" t="s">
        <v>15956</v>
      </c>
      <c r="E2015" s="24" t="s">
        <v>15801</v>
      </c>
      <c r="F2015" s="29" t="s">
        <v>5806</v>
      </c>
      <c r="H2015" s="11" t="str">
        <f t="shared" si="62"/>
        <v/>
      </c>
      <c r="J2015" s="11" t="str">
        <f t="shared" si="63"/>
        <v xml:space="preserve"> </v>
      </c>
      <c r="K2015" s="24" t="s">
        <v>15801</v>
      </c>
    </row>
    <row r="2016" spans="1:11">
      <c r="A2016" s="24" t="s">
        <v>15801</v>
      </c>
      <c r="B2016" s="24" t="s">
        <v>15846</v>
      </c>
      <c r="C2016" s="24" t="s">
        <v>15801</v>
      </c>
      <c r="D2016" s="24" t="s">
        <v>15899</v>
      </c>
      <c r="E2016" s="24" t="s">
        <v>15819</v>
      </c>
      <c r="H2016" s="11" t="str">
        <f t="shared" si="62"/>
        <v/>
      </c>
      <c r="J2016" s="11" t="str">
        <f t="shared" si="63"/>
        <v xml:space="preserve"> </v>
      </c>
      <c r="K2016" s="24" t="s">
        <v>15801</v>
      </c>
    </row>
    <row r="2017" spans="1:11">
      <c r="A2017" s="24" t="s">
        <v>15817</v>
      </c>
      <c r="B2017" s="24" t="s">
        <v>15817</v>
      </c>
      <c r="C2017" s="24" t="s">
        <v>15801</v>
      </c>
      <c r="D2017" s="24" t="s">
        <v>15899</v>
      </c>
      <c r="E2017" s="24" t="s">
        <v>15801</v>
      </c>
      <c r="F2017" s="29" t="s">
        <v>5831</v>
      </c>
      <c r="H2017" s="11" t="str">
        <f t="shared" si="62"/>
        <v/>
      </c>
      <c r="J2017" s="11" t="str">
        <f t="shared" si="63"/>
        <v xml:space="preserve"> </v>
      </c>
      <c r="K2017" s="24" t="s">
        <v>15801</v>
      </c>
    </row>
    <row r="2018" spans="1:11">
      <c r="A2018" s="24" t="s">
        <v>15827</v>
      </c>
      <c r="B2018" s="24" t="s">
        <v>15827</v>
      </c>
      <c r="C2018" s="24" t="s">
        <v>15801</v>
      </c>
      <c r="D2018" s="24" t="s">
        <v>15899</v>
      </c>
      <c r="E2018" s="24" t="s">
        <v>15898</v>
      </c>
      <c r="F2018" s="29" t="s">
        <v>5864</v>
      </c>
      <c r="H2018" s="11" t="str">
        <f t="shared" si="62"/>
        <v/>
      </c>
      <c r="J2018" s="11" t="str">
        <f t="shared" si="63"/>
        <v xml:space="preserve"> </v>
      </c>
      <c r="K2018" s="24" t="s">
        <v>15801</v>
      </c>
    </row>
    <row r="2019" spans="1:11">
      <c r="A2019" s="24" t="s">
        <v>15801</v>
      </c>
      <c r="B2019" s="24" t="s">
        <v>15837</v>
      </c>
      <c r="C2019" s="24" t="s">
        <v>15801</v>
      </c>
      <c r="D2019" s="24" t="s">
        <v>15956</v>
      </c>
      <c r="E2019" s="24" t="s">
        <v>15828</v>
      </c>
      <c r="H2019" s="11" t="str">
        <f t="shared" si="62"/>
        <v/>
      </c>
      <c r="J2019" s="11" t="str">
        <f t="shared" si="63"/>
        <v xml:space="preserve"> </v>
      </c>
      <c r="K2019" s="24" t="s">
        <v>15801</v>
      </c>
    </row>
    <row r="2020" spans="1:11">
      <c r="A2020" s="24" t="s">
        <v>15801</v>
      </c>
      <c r="B2020" s="24" t="s">
        <v>15818</v>
      </c>
      <c r="C2020" s="24" t="s">
        <v>15801</v>
      </c>
      <c r="D2020" s="24" t="s">
        <v>15931</v>
      </c>
      <c r="E2020" s="24" t="s">
        <v>15945</v>
      </c>
      <c r="H2020" s="11" t="str">
        <f t="shared" si="62"/>
        <v/>
      </c>
      <c r="J2020" s="11" t="str">
        <f t="shared" si="63"/>
        <v xml:space="preserve"> </v>
      </c>
      <c r="K2020" s="24" t="s">
        <v>15801</v>
      </c>
    </row>
    <row r="2021" spans="1:11">
      <c r="A2021" s="24" t="s">
        <v>15807</v>
      </c>
      <c r="B2021" s="24" t="s">
        <v>15807</v>
      </c>
      <c r="C2021" s="24" t="s">
        <v>15951</v>
      </c>
      <c r="D2021" s="24" t="s">
        <v>15931</v>
      </c>
      <c r="E2021" s="24" t="s">
        <v>15851</v>
      </c>
      <c r="F2021" s="29" t="s">
        <v>5814</v>
      </c>
      <c r="G2021" s="24" t="s">
        <v>14795</v>
      </c>
      <c r="H2021" s="11" t="str">
        <f t="shared" si="62"/>
        <v>30/09/1886</v>
      </c>
      <c r="J2021" s="11" t="str">
        <f t="shared" si="63"/>
        <v xml:space="preserve"> </v>
      </c>
      <c r="K2021" s="24" t="s">
        <v>14795</v>
      </c>
    </row>
    <row r="2022" spans="1:11">
      <c r="A2022" s="24" t="s">
        <v>15801</v>
      </c>
      <c r="B2022" s="24" t="s">
        <v>15831</v>
      </c>
      <c r="C2022" s="24" t="s">
        <v>15801</v>
      </c>
      <c r="D2022" s="24" t="s">
        <v>15870</v>
      </c>
      <c r="E2022" s="24" t="s">
        <v>15801</v>
      </c>
      <c r="H2022" s="11" t="str">
        <f t="shared" si="62"/>
        <v/>
      </c>
      <c r="J2022" s="11" t="str">
        <f t="shared" si="63"/>
        <v xml:space="preserve"> </v>
      </c>
      <c r="K2022" s="24" t="s">
        <v>15801</v>
      </c>
    </row>
    <row r="2023" spans="1:11">
      <c r="A2023" s="24" t="s">
        <v>15801</v>
      </c>
      <c r="B2023" s="24" t="s">
        <v>15821</v>
      </c>
      <c r="C2023" s="24" t="s">
        <v>15801</v>
      </c>
      <c r="D2023" s="24" t="s">
        <v>15884</v>
      </c>
      <c r="E2023" s="24" t="s">
        <v>15801</v>
      </c>
      <c r="H2023" s="11" t="str">
        <f t="shared" si="62"/>
        <v/>
      </c>
      <c r="J2023" s="11" t="str">
        <f t="shared" si="63"/>
        <v xml:space="preserve"> </v>
      </c>
      <c r="K2023" s="24" t="s">
        <v>15801</v>
      </c>
    </row>
    <row r="2024" spans="1:11">
      <c r="A2024" s="24" t="s">
        <v>15801</v>
      </c>
      <c r="B2024" s="24" t="s">
        <v>15825</v>
      </c>
      <c r="C2024" s="24" t="s">
        <v>15801</v>
      </c>
      <c r="D2024" s="24" t="s">
        <v>15901</v>
      </c>
      <c r="E2024" s="24" t="s">
        <v>15801</v>
      </c>
      <c r="H2024" s="11" t="str">
        <f t="shared" si="62"/>
        <v/>
      </c>
      <c r="J2024" s="11" t="str">
        <f t="shared" si="63"/>
        <v xml:space="preserve"> </v>
      </c>
      <c r="K2024" s="24" t="s">
        <v>15801</v>
      </c>
    </row>
    <row r="2025" spans="1:11">
      <c r="A2025" s="24" t="s">
        <v>15815</v>
      </c>
      <c r="B2025" s="24" t="s">
        <v>15815</v>
      </c>
      <c r="C2025" s="24" t="s">
        <v>15801</v>
      </c>
      <c r="D2025" s="24" t="s">
        <v>15899</v>
      </c>
      <c r="E2025" s="24" t="s">
        <v>15921</v>
      </c>
      <c r="F2025" s="29" t="s">
        <v>5894</v>
      </c>
      <c r="H2025" s="11" t="str">
        <f t="shared" si="62"/>
        <v/>
      </c>
      <c r="J2025" s="11" t="str">
        <f t="shared" si="63"/>
        <v xml:space="preserve"> </v>
      </c>
      <c r="K2025" s="24" t="s">
        <v>15801</v>
      </c>
    </row>
    <row r="2026" spans="1:11">
      <c r="A2026" s="24" t="s">
        <v>15801</v>
      </c>
      <c r="B2026" s="24" t="s">
        <v>15854</v>
      </c>
      <c r="C2026" s="24" t="s">
        <v>15924</v>
      </c>
      <c r="D2026" s="24" t="s">
        <v>15931</v>
      </c>
      <c r="E2026" s="24" t="s">
        <v>15806</v>
      </c>
      <c r="G2026" s="24" t="s">
        <v>14834</v>
      </c>
      <c r="H2026" s="11" t="str">
        <f t="shared" si="62"/>
        <v>04/08/1868</v>
      </c>
      <c r="J2026" s="11" t="str">
        <f t="shared" si="63"/>
        <v xml:space="preserve"> </v>
      </c>
      <c r="K2026" s="24" t="s">
        <v>14834</v>
      </c>
    </row>
    <row r="2027" spans="1:11">
      <c r="A2027" s="24" t="s">
        <v>15828</v>
      </c>
      <c r="B2027" s="24" t="s">
        <v>15828</v>
      </c>
      <c r="C2027" s="24" t="s">
        <v>15912</v>
      </c>
      <c r="D2027" s="24" t="s">
        <v>15931</v>
      </c>
      <c r="E2027" s="24" t="s">
        <v>15948</v>
      </c>
      <c r="F2027" s="29" t="s">
        <v>5842</v>
      </c>
      <c r="G2027" s="24" t="s">
        <v>14820</v>
      </c>
      <c r="H2027" s="11" t="str">
        <f t="shared" si="62"/>
        <v>29/03/1893</v>
      </c>
      <c r="J2027" s="11" t="str">
        <f t="shared" si="63"/>
        <v xml:space="preserve"> </v>
      </c>
      <c r="K2027" s="24" t="s">
        <v>14820</v>
      </c>
    </row>
    <row r="2028" spans="1:11">
      <c r="A2028" s="24" t="s">
        <v>15808</v>
      </c>
      <c r="B2028" s="24" t="s">
        <v>15808</v>
      </c>
      <c r="C2028" s="24" t="s">
        <v>15909</v>
      </c>
      <c r="D2028" s="24" t="s">
        <v>15948</v>
      </c>
      <c r="E2028" s="24" t="s">
        <v>15817</v>
      </c>
      <c r="F2028" s="29" t="s">
        <v>5796</v>
      </c>
      <c r="G2028" s="24" t="s">
        <v>14781</v>
      </c>
      <c r="H2028" s="11" t="str">
        <f t="shared" si="62"/>
        <v>23/08/1881</v>
      </c>
      <c r="J2028" s="11" t="str">
        <f t="shared" si="63"/>
        <v xml:space="preserve"> </v>
      </c>
      <c r="K2028" s="24" t="s">
        <v>14781</v>
      </c>
    </row>
    <row r="2029" spans="1:11">
      <c r="A2029" s="24" t="s">
        <v>15801</v>
      </c>
      <c r="B2029" s="24" t="s">
        <v>15829</v>
      </c>
      <c r="C2029" s="24" t="s">
        <v>15801</v>
      </c>
      <c r="D2029" s="24" t="s">
        <v>15901</v>
      </c>
      <c r="E2029" s="24" t="s">
        <v>15820</v>
      </c>
      <c r="H2029" s="11" t="str">
        <f t="shared" si="62"/>
        <v/>
      </c>
      <c r="J2029" s="11" t="str">
        <f t="shared" si="63"/>
        <v xml:space="preserve"> </v>
      </c>
      <c r="K2029" s="24" t="s">
        <v>15801</v>
      </c>
    </row>
    <row r="2030" spans="1:11">
      <c r="A2030" s="24" t="s">
        <v>15801</v>
      </c>
      <c r="B2030" s="24" t="s">
        <v>15815</v>
      </c>
      <c r="C2030" s="24" t="s">
        <v>15801</v>
      </c>
      <c r="D2030" s="24" t="s">
        <v>15870</v>
      </c>
      <c r="E2030" s="24" t="s">
        <v>15815</v>
      </c>
      <c r="H2030" s="11" t="str">
        <f t="shared" si="62"/>
        <v/>
      </c>
      <c r="J2030" s="11" t="str">
        <f t="shared" si="63"/>
        <v xml:space="preserve"> </v>
      </c>
      <c r="K2030" s="24" t="s">
        <v>15801</v>
      </c>
    </row>
    <row r="2031" spans="1:11">
      <c r="A2031" s="24" t="s">
        <v>15818</v>
      </c>
      <c r="B2031" s="24" t="s">
        <v>15818</v>
      </c>
      <c r="C2031" s="24" t="s">
        <v>15801</v>
      </c>
      <c r="D2031" s="24" t="s">
        <v>15870</v>
      </c>
      <c r="E2031" s="24" t="s">
        <v>15864</v>
      </c>
      <c r="F2031" s="29" t="s">
        <v>5920</v>
      </c>
      <c r="H2031" s="11" t="str">
        <f t="shared" si="62"/>
        <v/>
      </c>
      <c r="J2031" s="11" t="str">
        <f t="shared" si="63"/>
        <v xml:space="preserve"> </v>
      </c>
      <c r="K2031" s="24" t="s">
        <v>15801</v>
      </c>
    </row>
    <row r="2032" spans="1:11">
      <c r="A2032" s="24" t="s">
        <v>15816</v>
      </c>
      <c r="B2032" s="24" t="s">
        <v>15816</v>
      </c>
      <c r="C2032" s="24" t="s">
        <v>15801</v>
      </c>
      <c r="D2032" s="24" t="s">
        <v>15900</v>
      </c>
      <c r="E2032" s="24" t="s">
        <v>15870</v>
      </c>
      <c r="F2032" s="29" t="s">
        <v>5929</v>
      </c>
      <c r="H2032" s="11" t="str">
        <f t="shared" si="62"/>
        <v/>
      </c>
      <c r="J2032" s="11" t="str">
        <f t="shared" si="63"/>
        <v xml:space="preserve"> </v>
      </c>
      <c r="K2032" s="24" t="s">
        <v>15801</v>
      </c>
    </row>
    <row r="2033" spans="1:11">
      <c r="A2033" s="24" t="s">
        <v>15811</v>
      </c>
      <c r="B2033" s="24" t="s">
        <v>15811</v>
      </c>
      <c r="C2033" s="24" t="s">
        <v>15949</v>
      </c>
      <c r="D2033" s="24" t="s">
        <v>15900</v>
      </c>
      <c r="E2033" s="24" t="s">
        <v>15801</v>
      </c>
      <c r="F2033" s="29" t="s">
        <v>5960</v>
      </c>
      <c r="G2033" s="24" t="s">
        <v>14918</v>
      </c>
      <c r="H2033" s="11" t="str">
        <f t="shared" si="62"/>
        <v>16/11/1859</v>
      </c>
      <c r="J2033" s="11" t="str">
        <f t="shared" si="63"/>
        <v xml:space="preserve"> </v>
      </c>
      <c r="K2033" s="24" t="s">
        <v>14918</v>
      </c>
    </row>
    <row r="2034" spans="1:11">
      <c r="A2034" s="24" t="s">
        <v>15801</v>
      </c>
      <c r="B2034" s="24" t="s">
        <v>15830</v>
      </c>
      <c r="C2034" s="24" t="s">
        <v>15801</v>
      </c>
      <c r="D2034" s="24" t="s">
        <v>15900</v>
      </c>
      <c r="E2034" s="24" t="s">
        <v>15815</v>
      </c>
      <c r="H2034" s="11" t="str">
        <f t="shared" si="62"/>
        <v/>
      </c>
      <c r="J2034" s="11" t="str">
        <f t="shared" si="63"/>
        <v xml:space="preserve"> </v>
      </c>
      <c r="K2034" s="24" t="s">
        <v>15801</v>
      </c>
    </row>
    <row r="2035" spans="1:11">
      <c r="A2035" s="24" t="s">
        <v>15815</v>
      </c>
      <c r="B2035" s="24" t="s">
        <v>15815</v>
      </c>
      <c r="C2035" s="24" t="s">
        <v>15956</v>
      </c>
      <c r="D2035" s="24" t="s">
        <v>15900</v>
      </c>
      <c r="E2035" s="24" t="s">
        <v>15945</v>
      </c>
      <c r="F2035" s="29" t="s">
        <v>5925</v>
      </c>
      <c r="G2035" s="24" t="s">
        <v>14890</v>
      </c>
      <c r="H2035" s="11" t="str">
        <f t="shared" si="62"/>
        <v>01/07/1842</v>
      </c>
      <c r="J2035" s="11" t="str">
        <f t="shared" si="63"/>
        <v xml:space="preserve"> </v>
      </c>
      <c r="K2035" s="24" t="s">
        <v>14890</v>
      </c>
    </row>
    <row r="2036" spans="1:11">
      <c r="A2036" s="24" t="s">
        <v>15803</v>
      </c>
      <c r="B2036" s="24" t="s">
        <v>15803</v>
      </c>
      <c r="C2036" s="24" t="s">
        <v>15906</v>
      </c>
      <c r="D2036" s="24" t="s">
        <v>15948</v>
      </c>
      <c r="E2036" s="24" t="s">
        <v>15971</v>
      </c>
      <c r="F2036" s="29" t="s">
        <v>5901</v>
      </c>
      <c r="G2036" s="24" t="s">
        <v>14861</v>
      </c>
      <c r="H2036" s="11" t="str">
        <f t="shared" si="62"/>
        <v>04/05/1862</v>
      </c>
      <c r="J2036" s="11" t="str">
        <f t="shared" si="63"/>
        <v xml:space="preserve"> </v>
      </c>
      <c r="K2036" s="24" t="s">
        <v>14861</v>
      </c>
    </row>
    <row r="2037" spans="1:11">
      <c r="A2037" s="24" t="s">
        <v>15807</v>
      </c>
      <c r="B2037" s="24" t="s">
        <v>15807</v>
      </c>
      <c r="C2037" s="24" t="s">
        <v>15801</v>
      </c>
      <c r="D2037" s="24" t="s">
        <v>15884</v>
      </c>
      <c r="E2037" s="24" t="s">
        <v>15876</v>
      </c>
      <c r="F2037" s="29" t="s">
        <v>5922</v>
      </c>
      <c r="H2037" s="11" t="str">
        <f t="shared" si="62"/>
        <v/>
      </c>
      <c r="J2037" s="11" t="str">
        <f t="shared" si="63"/>
        <v xml:space="preserve"> </v>
      </c>
      <c r="K2037" s="24" t="s">
        <v>15801</v>
      </c>
    </row>
    <row r="2038" spans="1:11">
      <c r="A2038" s="24" t="s">
        <v>15801</v>
      </c>
      <c r="B2038" s="24" t="s">
        <v>15841</v>
      </c>
      <c r="C2038" s="24" t="s">
        <v>15895</v>
      </c>
      <c r="D2038" s="24" t="s">
        <v>15956</v>
      </c>
      <c r="E2038" s="24" t="s">
        <v>15828</v>
      </c>
      <c r="G2038" s="24" t="s">
        <v>14914</v>
      </c>
      <c r="H2038" s="11" t="str">
        <f t="shared" si="62"/>
        <v>15/02/1884</v>
      </c>
      <c r="J2038" s="11" t="str">
        <f t="shared" si="63"/>
        <v xml:space="preserve"> </v>
      </c>
      <c r="K2038" s="24" t="s">
        <v>14914</v>
      </c>
    </row>
    <row r="2039" spans="1:11">
      <c r="A2039" s="24" t="s">
        <v>15801</v>
      </c>
      <c r="B2039" s="24" t="s">
        <v>15865</v>
      </c>
      <c r="C2039" s="24" t="s">
        <v>15801</v>
      </c>
      <c r="D2039" s="24" t="s">
        <v>15899</v>
      </c>
      <c r="E2039" s="24" t="s">
        <v>15829</v>
      </c>
      <c r="H2039" s="11" t="str">
        <f t="shared" si="62"/>
        <v/>
      </c>
      <c r="J2039" s="11" t="str">
        <f t="shared" si="63"/>
        <v xml:space="preserve"> </v>
      </c>
      <c r="K2039" s="24" t="s">
        <v>15801</v>
      </c>
    </row>
    <row r="2040" spans="1:11">
      <c r="A2040" s="24" t="s">
        <v>15832</v>
      </c>
      <c r="B2040" s="24" t="s">
        <v>15832</v>
      </c>
      <c r="C2040" s="24" t="s">
        <v>15801</v>
      </c>
      <c r="D2040" s="24" t="s">
        <v>15899</v>
      </c>
      <c r="E2040" s="24" t="s">
        <v>15876</v>
      </c>
      <c r="F2040" s="29" t="s">
        <v>3835</v>
      </c>
      <c r="H2040" s="11" t="str">
        <f t="shared" si="62"/>
        <v/>
      </c>
      <c r="J2040" s="11" t="str">
        <f t="shared" si="63"/>
        <v xml:space="preserve"> </v>
      </c>
      <c r="K2040" s="24" t="s">
        <v>15801</v>
      </c>
    </row>
    <row r="2041" spans="1:11">
      <c r="A2041" s="24" t="s">
        <v>15818</v>
      </c>
      <c r="B2041" s="24" t="s">
        <v>15818</v>
      </c>
      <c r="C2041" s="24" t="s">
        <v>15910</v>
      </c>
      <c r="D2041" s="24" t="s">
        <v>15899</v>
      </c>
      <c r="E2041" s="24" t="s">
        <v>15921</v>
      </c>
      <c r="F2041" s="29" t="s">
        <v>5964</v>
      </c>
      <c r="G2041" s="24" t="s">
        <v>14921</v>
      </c>
      <c r="H2041" s="11" t="str">
        <f t="shared" si="62"/>
        <v>18/07/1889</v>
      </c>
      <c r="J2041" s="11" t="str">
        <f t="shared" si="63"/>
        <v xml:space="preserve"> </v>
      </c>
      <c r="K2041" s="24" t="s">
        <v>14921</v>
      </c>
    </row>
    <row r="2042" spans="1:11">
      <c r="A2042" s="24" t="s">
        <v>15825</v>
      </c>
      <c r="B2042" s="24" t="s">
        <v>15825</v>
      </c>
      <c r="C2042" s="24" t="s">
        <v>15924</v>
      </c>
      <c r="D2042" s="24" t="s">
        <v>15884</v>
      </c>
      <c r="E2042" s="24" t="s">
        <v>15876</v>
      </c>
      <c r="F2042" s="29" t="s">
        <v>5939</v>
      </c>
      <c r="G2042" s="24" t="s">
        <v>14907</v>
      </c>
      <c r="H2042" s="11" t="str">
        <f t="shared" si="62"/>
        <v>10/07/1868</v>
      </c>
      <c r="J2042" s="11" t="str">
        <f t="shared" si="63"/>
        <v xml:space="preserve"> </v>
      </c>
      <c r="K2042" s="24" t="s">
        <v>14907</v>
      </c>
    </row>
    <row r="2043" spans="1:11">
      <c r="A2043" s="24" t="s">
        <v>15810</v>
      </c>
      <c r="B2043" s="24" t="s">
        <v>15810</v>
      </c>
      <c r="C2043" s="24" t="s">
        <v>15801</v>
      </c>
      <c r="D2043" s="24" t="s">
        <v>15884</v>
      </c>
      <c r="E2043" s="24" t="s">
        <v>15931</v>
      </c>
      <c r="F2043" s="29" t="s">
        <v>5915</v>
      </c>
      <c r="H2043" s="11" t="str">
        <f t="shared" si="62"/>
        <v/>
      </c>
      <c r="J2043" s="11" t="str">
        <f t="shared" si="63"/>
        <v xml:space="preserve"> </v>
      </c>
      <c r="K2043" s="24" t="s">
        <v>15801</v>
      </c>
    </row>
    <row r="2044" spans="1:11">
      <c r="A2044" s="24" t="s">
        <v>15801</v>
      </c>
      <c r="B2044" s="24" t="s">
        <v>15832</v>
      </c>
      <c r="C2044" s="24" t="s">
        <v>15913</v>
      </c>
      <c r="D2044" s="24" t="s">
        <v>15884</v>
      </c>
      <c r="E2044" s="24" t="s">
        <v>15801</v>
      </c>
      <c r="G2044" s="24" t="s">
        <v>14097</v>
      </c>
      <c r="H2044" s="11" t="str">
        <f t="shared" si="62"/>
        <v>27/09/1877</v>
      </c>
      <c r="J2044" s="11" t="str">
        <f t="shared" si="63"/>
        <v xml:space="preserve"> </v>
      </c>
      <c r="K2044" s="24" t="s">
        <v>14097</v>
      </c>
    </row>
    <row r="2045" spans="1:11">
      <c r="A2045" s="24" t="s">
        <v>15865</v>
      </c>
      <c r="B2045" s="24" t="s">
        <v>15865</v>
      </c>
      <c r="C2045" s="24" t="s">
        <v>15801</v>
      </c>
      <c r="D2045" s="24" t="s">
        <v>15884</v>
      </c>
      <c r="E2045" s="24" t="s">
        <v>15803</v>
      </c>
      <c r="F2045" s="29" t="s">
        <v>5948</v>
      </c>
      <c r="H2045" s="11" t="str">
        <f t="shared" si="62"/>
        <v/>
      </c>
      <c r="J2045" s="11" t="str">
        <f t="shared" si="63"/>
        <v xml:space="preserve"> </v>
      </c>
      <c r="K2045" s="24" t="s">
        <v>15801</v>
      </c>
    </row>
    <row r="2046" spans="1:11">
      <c r="A2046" s="24" t="s">
        <v>15815</v>
      </c>
      <c r="B2046" s="24" t="s">
        <v>15815</v>
      </c>
      <c r="C2046" s="24" t="s">
        <v>15801</v>
      </c>
      <c r="D2046" s="24" t="s">
        <v>15884</v>
      </c>
      <c r="E2046" s="24" t="s">
        <v>15876</v>
      </c>
      <c r="F2046" s="29" t="s">
        <v>5946</v>
      </c>
      <c r="H2046" s="11" t="str">
        <f t="shared" si="62"/>
        <v/>
      </c>
      <c r="J2046" s="11" t="str">
        <f t="shared" si="63"/>
        <v xml:space="preserve"> </v>
      </c>
      <c r="K2046" s="24" t="s">
        <v>15801</v>
      </c>
    </row>
    <row r="2047" spans="1:11">
      <c r="A2047" s="24" t="s">
        <v>15821</v>
      </c>
      <c r="B2047" s="24" t="s">
        <v>15821</v>
      </c>
      <c r="C2047" s="24" t="s">
        <v>15933</v>
      </c>
      <c r="D2047" s="24" t="s">
        <v>15884</v>
      </c>
      <c r="E2047" s="24" t="s">
        <v>15884</v>
      </c>
      <c r="F2047" s="29" t="s">
        <v>5971</v>
      </c>
      <c r="G2047" s="24" t="s">
        <v>14930</v>
      </c>
      <c r="H2047" s="11" t="str">
        <f t="shared" si="62"/>
        <v>04/07/1873</v>
      </c>
      <c r="J2047" s="11" t="str">
        <f t="shared" si="63"/>
        <v xml:space="preserve"> </v>
      </c>
      <c r="K2047" s="24" t="s">
        <v>14930</v>
      </c>
    </row>
    <row r="2048" spans="1:11">
      <c r="A2048" s="24" t="s">
        <v>15801</v>
      </c>
      <c r="B2048" s="24" t="s">
        <v>15825</v>
      </c>
      <c r="C2048" s="24" t="s">
        <v>15801</v>
      </c>
      <c r="D2048" s="24" t="s">
        <v>15884</v>
      </c>
      <c r="E2048" s="24" t="s">
        <v>15801</v>
      </c>
      <c r="H2048" s="11" t="str">
        <f t="shared" si="62"/>
        <v/>
      </c>
      <c r="J2048" s="11" t="str">
        <f t="shared" si="63"/>
        <v xml:space="preserve"> </v>
      </c>
      <c r="K2048" s="24" t="s">
        <v>15801</v>
      </c>
    </row>
    <row r="2049" spans="1:11">
      <c r="A2049" s="24" t="s">
        <v>15802</v>
      </c>
      <c r="B2049" s="24" t="s">
        <v>15802</v>
      </c>
      <c r="C2049" s="24" t="s">
        <v>15801</v>
      </c>
      <c r="D2049" s="24" t="s">
        <v>15884</v>
      </c>
      <c r="E2049" s="24" t="s">
        <v>15948</v>
      </c>
      <c r="F2049" s="29" t="s">
        <v>5954</v>
      </c>
      <c r="H2049" s="11" t="str">
        <f t="shared" si="62"/>
        <v/>
      </c>
      <c r="J2049" s="11" t="str">
        <f t="shared" si="63"/>
        <v xml:space="preserve"> </v>
      </c>
      <c r="K2049" s="24" t="s">
        <v>15801</v>
      </c>
    </row>
    <row r="2050" spans="1:11">
      <c r="A2050" s="24" t="s">
        <v>15833</v>
      </c>
      <c r="B2050" s="24" t="s">
        <v>15833</v>
      </c>
      <c r="C2050" s="24" t="s">
        <v>15904</v>
      </c>
      <c r="D2050" s="24" t="s">
        <v>15884</v>
      </c>
      <c r="E2050" s="24" t="s">
        <v>15936</v>
      </c>
      <c r="F2050" s="29" t="s">
        <v>5933</v>
      </c>
      <c r="G2050" s="24" t="s">
        <v>14900</v>
      </c>
      <c r="H2050" s="11" t="str">
        <f t="shared" si="62"/>
        <v>20/08/1890</v>
      </c>
      <c r="J2050" s="11" t="str">
        <f t="shared" si="63"/>
        <v xml:space="preserve"> </v>
      </c>
      <c r="K2050" s="24" t="s">
        <v>14900</v>
      </c>
    </row>
    <row r="2051" spans="1:11">
      <c r="A2051" s="24" t="s">
        <v>15801</v>
      </c>
      <c r="B2051" s="24" t="s">
        <v>15859</v>
      </c>
      <c r="C2051" s="24" t="s">
        <v>15801</v>
      </c>
      <c r="D2051" s="24" t="s">
        <v>15884</v>
      </c>
      <c r="E2051" s="24" t="s">
        <v>15804</v>
      </c>
      <c r="H2051" s="11" t="str">
        <f t="shared" ref="H2051:H2114" si="64">TRIM(G2051)</f>
        <v/>
      </c>
      <c r="J2051" s="11" t="str">
        <f t="shared" ref="J2051:J2114" si="65">IF(LEN(H2051)=4,"fout"," ")</f>
        <v xml:space="preserve"> </v>
      </c>
      <c r="K2051" s="24" t="s">
        <v>15801</v>
      </c>
    </row>
    <row r="2052" spans="1:11">
      <c r="A2052" s="24" t="s">
        <v>15801</v>
      </c>
      <c r="B2052" s="24" t="s">
        <v>15815</v>
      </c>
      <c r="C2052" s="24" t="s">
        <v>15913</v>
      </c>
      <c r="D2052" s="24" t="s">
        <v>15899</v>
      </c>
      <c r="E2052" s="24" t="s">
        <v>15864</v>
      </c>
      <c r="G2052" s="24" t="s">
        <v>14936</v>
      </c>
      <c r="H2052" s="11" t="str">
        <f t="shared" si="64"/>
        <v>28/07/1877</v>
      </c>
      <c r="J2052" s="11" t="str">
        <f t="shared" si="65"/>
        <v xml:space="preserve"> </v>
      </c>
      <c r="K2052" s="24" t="s">
        <v>14936</v>
      </c>
    </row>
    <row r="2053" spans="1:11">
      <c r="A2053" s="24" t="s">
        <v>15817</v>
      </c>
      <c r="B2053" s="24" t="s">
        <v>15817</v>
      </c>
      <c r="C2053" s="24" t="s">
        <v>15912</v>
      </c>
      <c r="D2053" s="24" t="s">
        <v>15884</v>
      </c>
      <c r="E2053" s="24" t="s">
        <v>15948</v>
      </c>
      <c r="F2053" s="29" t="s">
        <v>5979</v>
      </c>
      <c r="G2053" s="24" t="s">
        <v>14941</v>
      </c>
      <c r="H2053" s="11" t="str">
        <f t="shared" si="64"/>
        <v>13/10/1893</v>
      </c>
      <c r="J2053" s="11" t="str">
        <f t="shared" si="65"/>
        <v xml:space="preserve"> </v>
      </c>
      <c r="K2053" s="24" t="s">
        <v>14941</v>
      </c>
    </row>
    <row r="2054" spans="1:11">
      <c r="A2054" s="24" t="s">
        <v>15833</v>
      </c>
      <c r="B2054" s="24" t="s">
        <v>15833</v>
      </c>
      <c r="C2054" s="24" t="s">
        <v>15950</v>
      </c>
      <c r="D2054" s="24" t="s">
        <v>15884</v>
      </c>
      <c r="E2054" s="24" t="s">
        <v>15938</v>
      </c>
      <c r="F2054" s="29" t="s">
        <v>5912</v>
      </c>
      <c r="G2054" s="24" t="s">
        <v>14875</v>
      </c>
      <c r="H2054" s="11" t="str">
        <f t="shared" si="64"/>
        <v>15/03/1904</v>
      </c>
      <c r="J2054" s="11" t="str">
        <f t="shared" si="65"/>
        <v xml:space="preserve"> </v>
      </c>
      <c r="K2054" s="24" t="s">
        <v>14875</v>
      </c>
    </row>
    <row r="2055" spans="1:11">
      <c r="A2055" s="24" t="s">
        <v>15827</v>
      </c>
      <c r="B2055" s="24" t="s">
        <v>15827</v>
      </c>
      <c r="C2055" s="24" t="s">
        <v>15944</v>
      </c>
      <c r="D2055" s="24" t="s">
        <v>15884</v>
      </c>
      <c r="E2055" s="24" t="s">
        <v>15898</v>
      </c>
      <c r="F2055" s="29" t="s">
        <v>5968</v>
      </c>
      <c r="G2055" s="24" t="s">
        <v>14926</v>
      </c>
      <c r="H2055" s="11" t="str">
        <f t="shared" si="64"/>
        <v>13/06/1900</v>
      </c>
      <c r="J2055" s="11" t="str">
        <f t="shared" si="65"/>
        <v xml:space="preserve"> </v>
      </c>
      <c r="K2055" s="24" t="s">
        <v>14926</v>
      </c>
    </row>
    <row r="2056" spans="1:11">
      <c r="A2056" s="24" t="s">
        <v>15801</v>
      </c>
      <c r="B2056" s="24" t="s">
        <v>15822</v>
      </c>
      <c r="C2056" s="24" t="s">
        <v>15801</v>
      </c>
      <c r="D2056" s="24" t="s">
        <v>15956</v>
      </c>
      <c r="E2056" s="24" t="s">
        <v>15821</v>
      </c>
      <c r="H2056" s="11" t="str">
        <f t="shared" si="64"/>
        <v/>
      </c>
      <c r="J2056" s="11" t="str">
        <f t="shared" si="65"/>
        <v xml:space="preserve"> </v>
      </c>
      <c r="K2056" s="24" t="s">
        <v>15801</v>
      </c>
    </row>
    <row r="2057" spans="1:11">
      <c r="A2057" s="24" t="s">
        <v>15802</v>
      </c>
      <c r="B2057" s="24" t="s">
        <v>15802</v>
      </c>
      <c r="C2057" s="24" t="s">
        <v>15801</v>
      </c>
      <c r="D2057" s="24" t="s">
        <v>15901</v>
      </c>
      <c r="E2057" s="24" t="s">
        <v>15884</v>
      </c>
      <c r="F2057" s="29" t="s">
        <v>5905</v>
      </c>
      <c r="H2057" s="11" t="str">
        <f t="shared" si="64"/>
        <v/>
      </c>
      <c r="J2057" s="11" t="str">
        <f t="shared" si="65"/>
        <v xml:space="preserve"> </v>
      </c>
      <c r="K2057" s="24" t="s">
        <v>15801</v>
      </c>
    </row>
    <row r="2058" spans="1:11">
      <c r="A2058" s="24" t="s">
        <v>15801</v>
      </c>
      <c r="B2058" s="24" t="s">
        <v>15837</v>
      </c>
      <c r="C2058" s="24" t="s">
        <v>15908</v>
      </c>
      <c r="D2058" s="24" t="s">
        <v>15915</v>
      </c>
      <c r="E2058" s="24" t="s">
        <v>15801</v>
      </c>
      <c r="G2058" s="24" t="s">
        <v>14958</v>
      </c>
      <c r="H2058" s="11" t="str">
        <f t="shared" si="64"/>
        <v>08/07/1844</v>
      </c>
      <c r="J2058" s="11" t="str">
        <f t="shared" si="65"/>
        <v xml:space="preserve"> </v>
      </c>
      <c r="K2058" s="24" t="s">
        <v>14958</v>
      </c>
    </row>
    <row r="2059" spans="1:11">
      <c r="A2059" s="24" t="s">
        <v>15806</v>
      </c>
      <c r="B2059" s="24" t="s">
        <v>15806</v>
      </c>
      <c r="C2059" s="24" t="s">
        <v>15906</v>
      </c>
      <c r="D2059" s="24" t="s">
        <v>15915</v>
      </c>
      <c r="E2059" s="24" t="s">
        <v>15915</v>
      </c>
      <c r="F2059" s="29" t="s">
        <v>5990</v>
      </c>
      <c r="G2059" s="24" t="s">
        <v>14949</v>
      </c>
      <c r="H2059" s="11" t="str">
        <f t="shared" si="64"/>
        <v>09/07/1862</v>
      </c>
      <c r="J2059" s="11" t="str">
        <f t="shared" si="65"/>
        <v xml:space="preserve"> </v>
      </c>
      <c r="K2059" s="24" t="s">
        <v>14949</v>
      </c>
    </row>
    <row r="2060" spans="1:11">
      <c r="A2060" s="24" t="s">
        <v>15801</v>
      </c>
      <c r="B2060" s="24" t="s">
        <v>15841</v>
      </c>
      <c r="C2060" s="24" t="s">
        <v>15801</v>
      </c>
      <c r="D2060" s="24" t="s">
        <v>15870</v>
      </c>
      <c r="E2060" s="24" t="s">
        <v>15820</v>
      </c>
      <c r="H2060" s="11" t="str">
        <f t="shared" si="64"/>
        <v/>
      </c>
      <c r="J2060" s="11" t="str">
        <f t="shared" si="65"/>
        <v xml:space="preserve"> </v>
      </c>
      <c r="K2060" s="24" t="s">
        <v>15801</v>
      </c>
    </row>
    <row r="2061" spans="1:11">
      <c r="A2061" s="24" t="s">
        <v>15801</v>
      </c>
      <c r="B2061" s="24" t="s">
        <v>15808</v>
      </c>
      <c r="C2061" s="24" t="s">
        <v>15884</v>
      </c>
      <c r="D2061" s="24" t="s">
        <v>15870</v>
      </c>
      <c r="E2061" s="24" t="s">
        <v>15810</v>
      </c>
      <c r="G2061" s="24" t="s">
        <v>72</v>
      </c>
      <c r="H2061" s="11" t="str">
        <f t="shared" si="64"/>
        <v>06/02/1838</v>
      </c>
      <c r="J2061" s="11" t="str">
        <f t="shared" si="65"/>
        <v xml:space="preserve"> </v>
      </c>
      <c r="K2061" s="24" t="s">
        <v>72</v>
      </c>
    </row>
    <row r="2062" spans="1:11">
      <c r="A2062" s="24" t="s">
        <v>15833</v>
      </c>
      <c r="B2062" s="24" t="s">
        <v>15833</v>
      </c>
      <c r="C2062" s="24" t="s">
        <v>15801</v>
      </c>
      <c r="D2062" s="24" t="s">
        <v>15870</v>
      </c>
      <c r="E2062" s="24" t="s">
        <v>15931</v>
      </c>
      <c r="F2062" s="29" t="s">
        <v>5985</v>
      </c>
      <c r="H2062" s="11" t="str">
        <f t="shared" si="64"/>
        <v/>
      </c>
      <c r="J2062" s="11" t="str">
        <f t="shared" si="65"/>
        <v xml:space="preserve"> </v>
      </c>
      <c r="K2062" s="24" t="s">
        <v>15801</v>
      </c>
    </row>
    <row r="2063" spans="1:11">
      <c r="A2063" s="24" t="s">
        <v>15804</v>
      </c>
      <c r="B2063" s="24" t="s">
        <v>15804</v>
      </c>
      <c r="C2063" s="24" t="s">
        <v>15801</v>
      </c>
      <c r="D2063" s="24" t="s">
        <v>15938</v>
      </c>
      <c r="E2063" s="24" t="s">
        <v>15870</v>
      </c>
      <c r="F2063" s="29" t="s">
        <v>5994</v>
      </c>
      <c r="H2063" s="11" t="str">
        <f t="shared" si="64"/>
        <v/>
      </c>
      <c r="J2063" s="11" t="str">
        <f t="shared" si="65"/>
        <v xml:space="preserve"> </v>
      </c>
      <c r="K2063" s="24" t="s">
        <v>15801</v>
      </c>
    </row>
    <row r="2064" spans="1:11">
      <c r="A2064" s="24" t="s">
        <v>15815</v>
      </c>
      <c r="B2064" s="24" t="s">
        <v>15815</v>
      </c>
      <c r="C2064" s="24" t="s">
        <v>15934</v>
      </c>
      <c r="D2064" s="24" t="s">
        <v>15956</v>
      </c>
      <c r="E2064" s="24" t="s">
        <v>15921</v>
      </c>
      <c r="F2064" s="29" t="s">
        <v>6059</v>
      </c>
      <c r="G2064" s="24" t="s">
        <v>15019</v>
      </c>
      <c r="H2064" s="11" t="str">
        <f t="shared" si="64"/>
        <v>26/05/1898</v>
      </c>
      <c r="J2064" s="11" t="str">
        <f t="shared" si="65"/>
        <v xml:space="preserve"> </v>
      </c>
      <c r="K2064" s="24" t="s">
        <v>15019</v>
      </c>
    </row>
    <row r="2065" spans="1:11">
      <c r="A2065" s="24" t="s">
        <v>15801</v>
      </c>
      <c r="B2065" s="24" t="s">
        <v>15808</v>
      </c>
      <c r="C2065" s="24" t="s">
        <v>15801</v>
      </c>
      <c r="D2065" s="24" t="s">
        <v>15900</v>
      </c>
      <c r="E2065" s="24" t="s">
        <v>15817</v>
      </c>
      <c r="H2065" s="11" t="str">
        <f t="shared" si="64"/>
        <v/>
      </c>
      <c r="J2065" s="11" t="str">
        <f t="shared" si="65"/>
        <v xml:space="preserve"> </v>
      </c>
      <c r="K2065" s="24" t="s">
        <v>15801</v>
      </c>
    </row>
    <row r="2066" spans="1:11">
      <c r="A2066" s="24" t="s">
        <v>15801</v>
      </c>
      <c r="B2066" s="24" t="s">
        <v>15835</v>
      </c>
      <c r="C2066" s="24" t="s">
        <v>15943</v>
      </c>
      <c r="D2066" s="24" t="s">
        <v>15900</v>
      </c>
      <c r="E2066" s="24" t="s">
        <v>15827</v>
      </c>
      <c r="G2066" s="24" t="s">
        <v>14969</v>
      </c>
      <c r="H2066" s="11" t="str">
        <f t="shared" si="64"/>
        <v>02/05/1891</v>
      </c>
      <c r="J2066" s="11" t="str">
        <f t="shared" si="65"/>
        <v xml:space="preserve"> </v>
      </c>
      <c r="K2066" s="24" t="s">
        <v>14969</v>
      </c>
    </row>
    <row r="2067" spans="1:11">
      <c r="A2067" s="24" t="s">
        <v>15803</v>
      </c>
      <c r="B2067" s="24" t="s">
        <v>15803</v>
      </c>
      <c r="C2067" s="24" t="s">
        <v>15880</v>
      </c>
      <c r="D2067" s="24" t="s">
        <v>15900</v>
      </c>
      <c r="E2067" s="24" t="s">
        <v>15811</v>
      </c>
      <c r="F2067" s="29" t="s">
        <v>6052</v>
      </c>
      <c r="G2067" s="24" t="s">
        <v>15016</v>
      </c>
      <c r="H2067" s="11" t="str">
        <f t="shared" si="64"/>
        <v>03/06/1892</v>
      </c>
      <c r="J2067" s="11" t="str">
        <f t="shared" si="65"/>
        <v xml:space="preserve"> </v>
      </c>
      <c r="K2067" s="24" t="s">
        <v>15016</v>
      </c>
    </row>
    <row r="2068" spans="1:11">
      <c r="A2068" s="24" t="s">
        <v>15820</v>
      </c>
      <c r="B2068" s="24" t="s">
        <v>15820</v>
      </c>
      <c r="C2068" s="24">
        <v>1912</v>
      </c>
      <c r="D2068" s="24" t="s">
        <v>15900</v>
      </c>
      <c r="E2068" s="24" t="s">
        <v>15801</v>
      </c>
      <c r="F2068" s="29" t="s">
        <v>6048</v>
      </c>
      <c r="G2068" s="24">
        <v>4513</v>
      </c>
      <c r="H2068" s="11"/>
      <c r="J2068" s="11" t="str">
        <f t="shared" si="65"/>
        <v xml:space="preserve"> </v>
      </c>
    </row>
    <row r="2069" spans="1:11">
      <c r="A2069" s="24" t="s">
        <v>15801</v>
      </c>
      <c r="B2069" s="24" t="s">
        <v>15829</v>
      </c>
      <c r="C2069" s="24" t="s">
        <v>15897</v>
      </c>
      <c r="D2069" s="24" t="s">
        <v>15899</v>
      </c>
      <c r="E2069" s="24" t="s">
        <v>15823</v>
      </c>
      <c r="G2069" s="24">
        <v>1861</v>
      </c>
      <c r="H2069" s="11"/>
      <c r="J2069" s="11" t="str">
        <f t="shared" si="65"/>
        <v xml:space="preserve"> </v>
      </c>
    </row>
    <row r="2070" spans="1:11">
      <c r="A2070" s="24" t="s">
        <v>15818</v>
      </c>
      <c r="B2070" s="24" t="s">
        <v>15818</v>
      </c>
      <c r="C2070" s="24" t="s">
        <v>15951</v>
      </c>
      <c r="D2070" s="24" t="s">
        <v>15915</v>
      </c>
      <c r="E2070" s="24" t="s">
        <v>15851</v>
      </c>
      <c r="F2070" s="29" t="s">
        <v>6008</v>
      </c>
      <c r="G2070" s="24" t="s">
        <v>14965</v>
      </c>
      <c r="H2070" s="11" t="str">
        <f t="shared" si="64"/>
        <v>01/02/1886</v>
      </c>
      <c r="J2070" s="11" t="str">
        <f t="shared" si="65"/>
        <v xml:space="preserve"> </v>
      </c>
      <c r="K2070" s="24" t="s">
        <v>14965</v>
      </c>
    </row>
    <row r="2071" spans="1:11">
      <c r="A2071" s="24" t="s">
        <v>15811</v>
      </c>
      <c r="B2071" s="24" t="s">
        <v>15811</v>
      </c>
      <c r="C2071" s="24" t="s">
        <v>15934</v>
      </c>
      <c r="D2071" s="24" t="s">
        <v>15900</v>
      </c>
      <c r="E2071" s="24" t="s">
        <v>15801</v>
      </c>
      <c r="F2071" s="29" t="s">
        <v>6027</v>
      </c>
      <c r="G2071" s="24" t="s">
        <v>14992</v>
      </c>
      <c r="H2071" s="11" t="str">
        <f t="shared" si="64"/>
        <v>05/03/1898</v>
      </c>
      <c r="J2071" s="11" t="str">
        <f t="shared" si="65"/>
        <v xml:space="preserve"> </v>
      </c>
      <c r="K2071" s="24" t="s">
        <v>14992</v>
      </c>
    </row>
    <row r="2072" spans="1:11">
      <c r="A2072" s="24" t="s">
        <v>15832</v>
      </c>
      <c r="B2072" s="24" t="s">
        <v>15832</v>
      </c>
      <c r="C2072" s="24" t="s">
        <v>15939</v>
      </c>
      <c r="D2072" s="24" t="s">
        <v>15956</v>
      </c>
      <c r="E2072" s="24" t="s">
        <v>15915</v>
      </c>
      <c r="F2072" s="29" t="s">
        <v>6037</v>
      </c>
      <c r="G2072" s="24" t="s">
        <v>15000</v>
      </c>
      <c r="H2072" s="11" t="str">
        <f t="shared" si="64"/>
        <v>02/03/1872</v>
      </c>
      <c r="J2072" s="11" t="str">
        <f t="shared" si="65"/>
        <v xml:space="preserve"> </v>
      </c>
      <c r="K2072" s="24" t="s">
        <v>15000</v>
      </c>
    </row>
    <row r="2073" spans="1:11">
      <c r="A2073" s="24" t="s">
        <v>15801</v>
      </c>
      <c r="B2073" s="24" t="s">
        <v>15874</v>
      </c>
      <c r="C2073" s="24" t="s">
        <v>15801</v>
      </c>
      <c r="D2073" s="24" t="s">
        <v>15900</v>
      </c>
      <c r="E2073" s="24" t="s">
        <v>15801</v>
      </c>
      <c r="H2073" s="11" t="str">
        <f t="shared" si="64"/>
        <v/>
      </c>
      <c r="J2073" s="11" t="str">
        <f t="shared" si="65"/>
        <v xml:space="preserve"> </v>
      </c>
      <c r="K2073" s="24" t="s">
        <v>15801</v>
      </c>
    </row>
    <row r="2074" spans="1:11">
      <c r="A2074" s="24" t="s">
        <v>15801</v>
      </c>
      <c r="B2074" s="24" t="s">
        <v>15850</v>
      </c>
      <c r="C2074" s="24" t="s">
        <v>15801</v>
      </c>
      <c r="D2074" s="24" t="s">
        <v>15901</v>
      </c>
      <c r="E2074" s="24" t="s">
        <v>15816</v>
      </c>
      <c r="H2074" s="11" t="str">
        <f t="shared" si="64"/>
        <v/>
      </c>
      <c r="J2074" s="11" t="str">
        <f t="shared" si="65"/>
        <v xml:space="preserve"> </v>
      </c>
      <c r="K2074" s="24" t="s">
        <v>15801</v>
      </c>
    </row>
    <row r="2075" spans="1:11">
      <c r="A2075" s="24" t="s">
        <v>15801</v>
      </c>
      <c r="B2075" s="24" t="s">
        <v>15837</v>
      </c>
      <c r="C2075" s="24" t="s">
        <v>15801</v>
      </c>
      <c r="D2075" s="24" t="s">
        <v>15900</v>
      </c>
      <c r="E2075" s="24" t="s">
        <v>15823</v>
      </c>
      <c r="H2075" s="11" t="str">
        <f t="shared" si="64"/>
        <v/>
      </c>
      <c r="J2075" s="11" t="str">
        <f t="shared" si="65"/>
        <v xml:space="preserve"> </v>
      </c>
      <c r="K2075" s="24" t="s">
        <v>15801</v>
      </c>
    </row>
    <row r="2076" spans="1:11">
      <c r="A2076" s="24" t="s">
        <v>15829</v>
      </c>
      <c r="B2076" s="24" t="s">
        <v>15829</v>
      </c>
      <c r="C2076" s="24" t="s">
        <v>15801</v>
      </c>
      <c r="D2076" s="24" t="s">
        <v>15900</v>
      </c>
      <c r="E2076" s="24" t="s">
        <v>15844</v>
      </c>
      <c r="F2076" s="29" t="s">
        <v>6020</v>
      </c>
      <c r="H2076" s="11" t="str">
        <f t="shared" si="64"/>
        <v/>
      </c>
      <c r="J2076" s="11" t="str">
        <f t="shared" si="65"/>
        <v xml:space="preserve"> </v>
      </c>
      <c r="K2076" s="24" t="s">
        <v>15801</v>
      </c>
    </row>
    <row r="2077" spans="1:11">
      <c r="A2077" s="24" t="s">
        <v>15823</v>
      </c>
      <c r="B2077" s="24" t="s">
        <v>15823</v>
      </c>
      <c r="C2077" s="24" t="s">
        <v>15951</v>
      </c>
      <c r="D2077" s="24" t="s">
        <v>15801</v>
      </c>
      <c r="E2077" s="24" t="s">
        <v>15948</v>
      </c>
      <c r="F2077" s="29" t="s">
        <v>6041</v>
      </c>
      <c r="G2077" s="24" t="s">
        <v>9197</v>
      </c>
      <c r="H2077" s="11" t="str">
        <f t="shared" si="64"/>
        <v>31/03/1886</v>
      </c>
      <c r="J2077" s="11" t="str">
        <f t="shared" si="65"/>
        <v xml:space="preserve"> </v>
      </c>
      <c r="K2077" s="24" t="s">
        <v>9197</v>
      </c>
    </row>
    <row r="2078" spans="1:11">
      <c r="A2078" s="24" t="s">
        <v>15814</v>
      </c>
      <c r="B2078" s="24" t="s">
        <v>15814</v>
      </c>
      <c r="C2078" s="24" t="s">
        <v>15934</v>
      </c>
      <c r="D2078" s="24" t="s">
        <v>15956</v>
      </c>
      <c r="E2078" s="24" t="s">
        <v>15844</v>
      </c>
      <c r="F2078" s="29" t="s">
        <v>6023</v>
      </c>
      <c r="G2078" s="24" t="s">
        <v>14990</v>
      </c>
      <c r="H2078" s="11" t="str">
        <f t="shared" si="64"/>
        <v>24/05/1898</v>
      </c>
      <c r="J2078" s="11" t="str">
        <f t="shared" si="65"/>
        <v xml:space="preserve"> </v>
      </c>
      <c r="K2078" s="24" t="s">
        <v>14990</v>
      </c>
    </row>
    <row r="2079" spans="1:11">
      <c r="A2079" s="24" t="s">
        <v>15801</v>
      </c>
      <c r="B2079" s="24" t="s">
        <v>15860</v>
      </c>
      <c r="C2079" s="24" t="s">
        <v>15801</v>
      </c>
      <c r="D2079" s="24" t="s">
        <v>15884</v>
      </c>
      <c r="E2079" s="24" t="s">
        <v>15803</v>
      </c>
      <c r="H2079" s="11" t="str">
        <f t="shared" si="64"/>
        <v/>
      </c>
      <c r="J2079" s="11" t="str">
        <f t="shared" si="65"/>
        <v xml:space="preserve"> </v>
      </c>
      <c r="K2079" s="24" t="s">
        <v>15801</v>
      </c>
    </row>
    <row r="2080" spans="1:11">
      <c r="A2080" s="24" t="s">
        <v>15813</v>
      </c>
      <c r="B2080" s="24" t="s">
        <v>15813</v>
      </c>
      <c r="C2080" s="24">
        <v>1901</v>
      </c>
      <c r="D2080" s="24" t="s">
        <v>15801</v>
      </c>
      <c r="E2080" s="24" t="s">
        <v>15823</v>
      </c>
      <c r="F2080" s="29" t="s">
        <v>6013</v>
      </c>
      <c r="G2080" s="24" t="s">
        <v>15771</v>
      </c>
      <c r="H2080" s="11" t="str">
        <f t="shared" si="64"/>
        <v>10/12/1901</v>
      </c>
      <c r="J2080" s="11" t="str">
        <f t="shared" si="65"/>
        <v xml:space="preserve"> </v>
      </c>
      <c r="K2080" s="24" t="s">
        <v>15771</v>
      </c>
    </row>
    <row r="2081" spans="1:11">
      <c r="A2081" s="24" t="s">
        <v>15823</v>
      </c>
      <c r="B2081" s="24" t="s">
        <v>15823</v>
      </c>
      <c r="C2081" s="24" t="s">
        <v>15895</v>
      </c>
      <c r="D2081" s="24" t="s">
        <v>15801</v>
      </c>
      <c r="E2081" s="24" t="s">
        <v>15898</v>
      </c>
      <c r="F2081" s="29" t="s">
        <v>6056</v>
      </c>
      <c r="G2081" s="24">
        <v>1884</v>
      </c>
      <c r="H2081" s="11"/>
      <c r="J2081" s="11" t="str">
        <f t="shared" si="65"/>
        <v xml:space="preserve"> </v>
      </c>
    </row>
    <row r="2082" spans="1:11">
      <c r="A2082" s="24" t="s">
        <v>15801</v>
      </c>
      <c r="B2082" s="24" t="s">
        <v>15832</v>
      </c>
      <c r="C2082" s="24" t="s">
        <v>15884</v>
      </c>
      <c r="D2082" s="24" t="s">
        <v>15900</v>
      </c>
      <c r="E2082" s="24" t="s">
        <v>15945</v>
      </c>
      <c r="G2082" s="24" t="s">
        <v>2765</v>
      </c>
      <c r="H2082" s="11" t="str">
        <f t="shared" si="64"/>
        <v>27/12/1838</v>
      </c>
      <c r="J2082" s="11" t="str">
        <f t="shared" si="65"/>
        <v xml:space="preserve"> </v>
      </c>
      <c r="K2082" s="24" t="s">
        <v>2765</v>
      </c>
    </row>
    <row r="2083" spans="1:11">
      <c r="A2083" s="24" t="s">
        <v>15801</v>
      </c>
      <c r="B2083" s="24" t="s">
        <v>15809</v>
      </c>
      <c r="C2083" s="24" t="s">
        <v>15801</v>
      </c>
      <c r="D2083" s="24" t="s">
        <v>15900</v>
      </c>
      <c r="E2083" s="24" t="s">
        <v>15841</v>
      </c>
      <c r="H2083" s="11" t="str">
        <f t="shared" si="64"/>
        <v/>
      </c>
      <c r="J2083" s="11" t="str">
        <f t="shared" si="65"/>
        <v xml:space="preserve"> </v>
      </c>
      <c r="K2083" s="24" t="s">
        <v>15801</v>
      </c>
    </row>
    <row r="2084" spans="1:11">
      <c r="A2084" s="24" t="s">
        <v>15801</v>
      </c>
      <c r="B2084" s="24" t="s">
        <v>15803</v>
      </c>
      <c r="C2084" s="24" t="s">
        <v>15911</v>
      </c>
      <c r="D2084" s="24" t="s">
        <v>15900</v>
      </c>
      <c r="E2084" s="24" t="s">
        <v>15801</v>
      </c>
      <c r="G2084" s="24" t="s">
        <v>14994</v>
      </c>
      <c r="H2084" s="11" t="str">
        <f t="shared" si="64"/>
        <v>22/06/1863</v>
      </c>
      <c r="J2084" s="11" t="str">
        <f t="shared" si="65"/>
        <v xml:space="preserve"> </v>
      </c>
      <c r="K2084" s="24" t="s">
        <v>14994</v>
      </c>
    </row>
    <row r="2085" spans="1:11">
      <c r="A2085" s="24" t="s">
        <v>15820</v>
      </c>
      <c r="B2085" s="24" t="s">
        <v>15820</v>
      </c>
      <c r="C2085" s="24" t="s">
        <v>15926</v>
      </c>
      <c r="D2085" s="24" t="s">
        <v>15801</v>
      </c>
      <c r="E2085" s="24" t="s">
        <v>15801</v>
      </c>
      <c r="F2085" s="29" t="s">
        <v>6044</v>
      </c>
      <c r="G2085" s="24" t="s">
        <v>5375</v>
      </c>
      <c r="H2085" s="11" t="str">
        <f t="shared" si="64"/>
        <v>10/06/1897</v>
      </c>
      <c r="J2085" s="11" t="str">
        <f t="shared" si="65"/>
        <v xml:space="preserve"> </v>
      </c>
      <c r="K2085" s="24" t="s">
        <v>5375</v>
      </c>
    </row>
    <row r="2086" spans="1:11">
      <c r="A2086" s="24" t="s">
        <v>15801</v>
      </c>
      <c r="B2086" s="24" t="s">
        <v>15867</v>
      </c>
      <c r="C2086" s="24" t="s">
        <v>15801</v>
      </c>
      <c r="D2086" s="24" t="s">
        <v>15884</v>
      </c>
      <c r="E2086" s="24" t="s">
        <v>15849</v>
      </c>
      <c r="H2086" s="11" t="str">
        <f t="shared" si="64"/>
        <v/>
      </c>
      <c r="J2086" s="11" t="str">
        <f t="shared" si="65"/>
        <v xml:space="preserve"> </v>
      </c>
      <c r="K2086" s="24" t="s">
        <v>15801</v>
      </c>
    </row>
    <row r="2087" spans="1:11">
      <c r="A2087" s="24" t="s">
        <v>15801</v>
      </c>
      <c r="B2087" s="24" t="s">
        <v>15804</v>
      </c>
      <c r="C2087" s="24" t="s">
        <v>15890</v>
      </c>
      <c r="D2087" s="24" t="s">
        <v>15884</v>
      </c>
      <c r="E2087" s="24" t="s">
        <v>15863</v>
      </c>
      <c r="G2087" s="24">
        <v>1875</v>
      </c>
      <c r="H2087" s="11"/>
      <c r="J2087" s="11" t="str">
        <f t="shared" si="65"/>
        <v xml:space="preserve"> </v>
      </c>
    </row>
    <row r="2088" spans="1:11">
      <c r="A2088" s="24" t="s">
        <v>15801</v>
      </c>
      <c r="B2088" s="24" t="s">
        <v>15842</v>
      </c>
      <c r="C2088" s="24" t="s">
        <v>15801</v>
      </c>
      <c r="D2088" s="24" t="s">
        <v>15900</v>
      </c>
      <c r="E2088" s="24" t="s">
        <v>15801</v>
      </c>
      <c r="H2088" s="11" t="str">
        <f t="shared" si="64"/>
        <v/>
      </c>
      <c r="J2088" s="11" t="str">
        <f t="shared" si="65"/>
        <v xml:space="preserve"> </v>
      </c>
      <c r="K2088" s="24" t="s">
        <v>15801</v>
      </c>
    </row>
    <row r="2089" spans="1:11">
      <c r="A2089" s="24" t="s">
        <v>15801</v>
      </c>
      <c r="B2089" s="24" t="s">
        <v>15818</v>
      </c>
      <c r="C2089" s="24" t="s">
        <v>15801</v>
      </c>
      <c r="D2089" s="24" t="s">
        <v>15915</v>
      </c>
      <c r="E2089" s="24" t="s">
        <v>15801</v>
      </c>
      <c r="H2089" s="11" t="str">
        <f t="shared" si="64"/>
        <v/>
      </c>
      <c r="J2089" s="11" t="str">
        <f t="shared" si="65"/>
        <v xml:space="preserve"> </v>
      </c>
      <c r="K2089" s="24" t="s">
        <v>15801</v>
      </c>
    </row>
    <row r="2090" spans="1:11">
      <c r="A2090" s="24" t="s">
        <v>15828</v>
      </c>
      <c r="B2090" s="24" t="s">
        <v>15828</v>
      </c>
      <c r="C2090" s="24" t="s">
        <v>15801</v>
      </c>
      <c r="D2090" s="24" t="s">
        <v>15900</v>
      </c>
      <c r="E2090" s="24" t="s">
        <v>15876</v>
      </c>
      <c r="F2090" s="29" t="s">
        <v>6063</v>
      </c>
      <c r="H2090" s="11" t="str">
        <f t="shared" si="64"/>
        <v/>
      </c>
      <c r="J2090" s="11" t="str">
        <f t="shared" si="65"/>
        <v xml:space="preserve"> </v>
      </c>
      <c r="K2090" s="24" t="s">
        <v>15801</v>
      </c>
    </row>
    <row r="2091" spans="1:11">
      <c r="A2091" s="24" t="s">
        <v>15801</v>
      </c>
      <c r="B2091" s="24" t="s">
        <v>15803</v>
      </c>
      <c r="C2091" s="24" t="s">
        <v>15801</v>
      </c>
      <c r="D2091" s="24" t="s">
        <v>15956</v>
      </c>
      <c r="E2091" s="24" t="s">
        <v>15851</v>
      </c>
      <c r="H2091" s="11" t="str">
        <f t="shared" si="64"/>
        <v/>
      </c>
      <c r="J2091" s="11" t="str">
        <f t="shared" si="65"/>
        <v xml:space="preserve"> </v>
      </c>
      <c r="K2091" s="24" t="s">
        <v>15801</v>
      </c>
    </row>
    <row r="2092" spans="1:11">
      <c r="A2092" s="24" t="s">
        <v>15846</v>
      </c>
      <c r="B2092" s="24" t="s">
        <v>15846</v>
      </c>
      <c r="C2092" s="24" t="s">
        <v>15947</v>
      </c>
      <c r="D2092" s="24" t="s">
        <v>15901</v>
      </c>
      <c r="E2092" s="24" t="s">
        <v>15816</v>
      </c>
      <c r="F2092" s="29" t="s">
        <v>6109</v>
      </c>
      <c r="G2092" s="24" t="s">
        <v>15066</v>
      </c>
      <c r="H2092" s="11" t="str">
        <f t="shared" si="64"/>
        <v>22/07/1870</v>
      </c>
      <c r="J2092" s="11" t="str">
        <f t="shared" si="65"/>
        <v xml:space="preserve"> </v>
      </c>
      <c r="K2092" s="24" t="s">
        <v>15066</v>
      </c>
    </row>
    <row r="2093" spans="1:11">
      <c r="A2093" s="24" t="s">
        <v>15801</v>
      </c>
      <c r="B2093" s="24" t="s">
        <v>15820</v>
      </c>
      <c r="C2093" s="24" t="s">
        <v>15902</v>
      </c>
      <c r="D2093" s="24" t="s">
        <v>15956</v>
      </c>
      <c r="E2093" s="24" t="s">
        <v>15801</v>
      </c>
      <c r="G2093" s="24" t="s">
        <v>6087</v>
      </c>
      <c r="H2093" s="11" t="str">
        <f t="shared" si="64"/>
        <v>23/4/1876</v>
      </c>
      <c r="J2093" s="11" t="str">
        <f t="shared" si="65"/>
        <v xml:space="preserve"> </v>
      </c>
      <c r="K2093" s="24" t="s">
        <v>6087</v>
      </c>
    </row>
    <row r="2094" spans="1:11">
      <c r="A2094" s="24" t="s">
        <v>15801</v>
      </c>
      <c r="B2094" s="24" t="s">
        <v>15883</v>
      </c>
      <c r="C2094" s="24" t="s">
        <v>15801</v>
      </c>
      <c r="D2094" s="24" t="s">
        <v>15900</v>
      </c>
      <c r="E2094" s="24" t="s">
        <v>15835</v>
      </c>
      <c r="H2094" s="11" t="str">
        <f t="shared" si="64"/>
        <v/>
      </c>
      <c r="J2094" s="11" t="str">
        <f t="shared" si="65"/>
        <v xml:space="preserve"> </v>
      </c>
      <c r="K2094" s="24" t="s">
        <v>15801</v>
      </c>
    </row>
    <row r="2095" spans="1:11">
      <c r="A2095" s="24" t="s">
        <v>15801</v>
      </c>
      <c r="B2095" s="24" t="s">
        <v>15859</v>
      </c>
      <c r="C2095" s="24" t="s">
        <v>15922</v>
      </c>
      <c r="D2095" s="24" t="s">
        <v>15900</v>
      </c>
      <c r="E2095" s="24" t="s">
        <v>15814</v>
      </c>
      <c r="G2095" s="24" t="s">
        <v>6100</v>
      </c>
      <c r="H2095" s="11" t="str">
        <f t="shared" si="64"/>
        <v>24/11/1855</v>
      </c>
      <c r="J2095" s="11" t="str">
        <f t="shared" si="65"/>
        <v xml:space="preserve"> </v>
      </c>
      <c r="K2095" s="24" t="s">
        <v>6100</v>
      </c>
    </row>
    <row r="2096" spans="1:11">
      <c r="A2096" s="24" t="s">
        <v>15804</v>
      </c>
      <c r="B2096" s="24" t="s">
        <v>15804</v>
      </c>
      <c r="C2096" s="24" t="s">
        <v>15951</v>
      </c>
      <c r="D2096" s="24" t="s">
        <v>15915</v>
      </c>
      <c r="E2096" s="24" t="s">
        <v>15884</v>
      </c>
      <c r="F2096" s="29" t="s">
        <v>6080</v>
      </c>
      <c r="G2096" s="24" t="s">
        <v>15040</v>
      </c>
      <c r="H2096" s="11" t="str">
        <f t="shared" si="64"/>
        <v>08/02/1886</v>
      </c>
      <c r="J2096" s="11" t="str">
        <f t="shared" si="65"/>
        <v xml:space="preserve"> </v>
      </c>
      <c r="K2096" s="24" t="s">
        <v>15040</v>
      </c>
    </row>
    <row r="2097" spans="1:11">
      <c r="A2097" s="24" t="s">
        <v>15801</v>
      </c>
      <c r="B2097" s="24" t="s">
        <v>15821</v>
      </c>
      <c r="C2097" s="24" t="s">
        <v>15954</v>
      </c>
      <c r="D2097" s="24" t="s">
        <v>15900</v>
      </c>
      <c r="E2097" s="24" t="s">
        <v>15801</v>
      </c>
      <c r="G2097" s="24" t="s">
        <v>6097</v>
      </c>
      <c r="H2097" s="11" t="str">
        <f t="shared" si="64"/>
        <v>27/10/1857</v>
      </c>
      <c r="J2097" s="11" t="str">
        <f t="shared" si="65"/>
        <v xml:space="preserve"> </v>
      </c>
      <c r="K2097" s="24" t="s">
        <v>6097</v>
      </c>
    </row>
    <row r="2098" spans="1:11">
      <c r="A2098" s="24" t="s">
        <v>15810</v>
      </c>
      <c r="B2098" s="24" t="s">
        <v>15810</v>
      </c>
      <c r="C2098" s="24" t="s">
        <v>15801</v>
      </c>
      <c r="D2098" s="24" t="s">
        <v>15900</v>
      </c>
      <c r="E2098" s="24" t="s">
        <v>15801</v>
      </c>
      <c r="F2098" s="29" t="s">
        <v>6090</v>
      </c>
      <c r="H2098" s="11" t="str">
        <f t="shared" si="64"/>
        <v/>
      </c>
      <c r="J2098" s="11" t="str">
        <f t="shared" si="65"/>
        <v xml:space="preserve"> </v>
      </c>
      <c r="K2098" s="24" t="s">
        <v>15801</v>
      </c>
    </row>
    <row r="2099" spans="1:11">
      <c r="A2099" s="24" t="s">
        <v>15815</v>
      </c>
      <c r="B2099" s="24" t="s">
        <v>15815</v>
      </c>
      <c r="C2099" s="24" t="s">
        <v>15930</v>
      </c>
      <c r="D2099" s="24" t="s">
        <v>15899</v>
      </c>
      <c r="E2099" s="24" t="s">
        <v>15899</v>
      </c>
      <c r="F2099" s="29" t="s">
        <v>6074</v>
      </c>
      <c r="G2099" s="24" t="s">
        <v>15032</v>
      </c>
      <c r="H2099" s="11" t="str">
        <f t="shared" si="64"/>
        <v>13/09/1896</v>
      </c>
      <c r="J2099" s="11" t="str">
        <f t="shared" si="65"/>
        <v xml:space="preserve"> </v>
      </c>
      <c r="K2099" s="24" t="s">
        <v>15032</v>
      </c>
    </row>
    <row r="2100" spans="1:11">
      <c r="A2100" s="24" t="s">
        <v>15801</v>
      </c>
      <c r="B2100" s="24" t="s">
        <v>15804</v>
      </c>
      <c r="C2100" s="24" t="s">
        <v>15919</v>
      </c>
      <c r="D2100" s="24" t="s">
        <v>15956</v>
      </c>
      <c r="E2100" s="24" t="s">
        <v>15851</v>
      </c>
      <c r="G2100" s="24" t="s">
        <v>6104</v>
      </c>
      <c r="H2100" s="11" t="str">
        <f t="shared" si="64"/>
        <v>24/3/1888</v>
      </c>
      <c r="J2100" s="11" t="str">
        <f t="shared" si="65"/>
        <v xml:space="preserve"> </v>
      </c>
      <c r="K2100" s="24" t="s">
        <v>6104</v>
      </c>
    </row>
    <row r="2101" spans="1:11">
      <c r="A2101" s="24" t="s">
        <v>15801</v>
      </c>
      <c r="B2101" s="24" t="s">
        <v>15845</v>
      </c>
      <c r="C2101" s="24" t="s">
        <v>15909</v>
      </c>
      <c r="D2101" s="24" t="s">
        <v>15900</v>
      </c>
      <c r="E2101" s="24" t="s">
        <v>15818</v>
      </c>
      <c r="G2101" s="24" t="s">
        <v>15036</v>
      </c>
      <c r="H2101" s="11" t="str">
        <f t="shared" si="64"/>
        <v>16/03/1881</v>
      </c>
      <c r="J2101" s="11" t="str">
        <f t="shared" si="65"/>
        <v xml:space="preserve"> </v>
      </c>
      <c r="K2101" s="24" t="s">
        <v>15036</v>
      </c>
    </row>
    <row r="2102" spans="1:11">
      <c r="A2102" s="24" t="s">
        <v>15801</v>
      </c>
      <c r="B2102" s="24" t="s">
        <v>15821</v>
      </c>
      <c r="C2102" s="24" t="s">
        <v>15896</v>
      </c>
      <c r="D2102" s="24" t="s">
        <v>15801</v>
      </c>
      <c r="E2102" s="24" t="s">
        <v>15966</v>
      </c>
      <c r="G2102" s="24" t="s">
        <v>15044</v>
      </c>
      <c r="H2102" s="11" t="str">
        <f t="shared" si="64"/>
        <v>24/04/1887</v>
      </c>
      <c r="J2102" s="11" t="str">
        <f t="shared" si="65"/>
        <v xml:space="preserve"> </v>
      </c>
      <c r="K2102" s="24" t="s">
        <v>15044</v>
      </c>
    </row>
    <row r="2103" spans="1:11">
      <c r="A2103" s="24" t="s">
        <v>15801</v>
      </c>
      <c r="B2103" s="24" t="s">
        <v>15839</v>
      </c>
      <c r="C2103" s="24" t="s">
        <v>15801</v>
      </c>
      <c r="D2103" s="24" t="s">
        <v>15915</v>
      </c>
      <c r="E2103" s="24" t="s">
        <v>15816</v>
      </c>
      <c r="H2103" s="11" t="str">
        <f t="shared" si="64"/>
        <v/>
      </c>
      <c r="J2103" s="11" t="str">
        <f t="shared" si="65"/>
        <v xml:space="preserve"> </v>
      </c>
      <c r="K2103" s="24" t="s">
        <v>15801</v>
      </c>
    </row>
    <row r="2104" spans="1:11">
      <c r="A2104" s="24" t="s">
        <v>15801</v>
      </c>
      <c r="B2104" s="24" t="s">
        <v>15862</v>
      </c>
      <c r="C2104" s="24" t="s">
        <v>15801</v>
      </c>
      <c r="D2104" s="24" t="s">
        <v>15870</v>
      </c>
      <c r="E2104" s="24" t="s">
        <v>15801</v>
      </c>
      <c r="H2104" s="11" t="str">
        <f t="shared" si="64"/>
        <v/>
      </c>
      <c r="J2104" s="11" t="str">
        <f t="shared" si="65"/>
        <v xml:space="preserve"> </v>
      </c>
      <c r="K2104" s="24" t="s">
        <v>15801</v>
      </c>
    </row>
    <row r="2105" spans="1:11">
      <c r="A2105" s="24" t="s">
        <v>15807</v>
      </c>
      <c r="B2105" s="24" t="s">
        <v>15807</v>
      </c>
      <c r="C2105" s="24" t="s">
        <v>15919</v>
      </c>
      <c r="D2105" s="24" t="s">
        <v>15870</v>
      </c>
      <c r="E2105" s="24" t="s">
        <v>15900</v>
      </c>
      <c r="F2105" s="29" t="s">
        <v>6164</v>
      </c>
      <c r="G2105" s="24" t="s">
        <v>6166</v>
      </c>
      <c r="H2105" s="11" t="str">
        <f t="shared" si="64"/>
        <v>31/1/1888</v>
      </c>
      <c r="J2105" s="11" t="str">
        <f t="shared" si="65"/>
        <v xml:space="preserve"> </v>
      </c>
      <c r="K2105" s="24" t="s">
        <v>6166</v>
      </c>
    </row>
    <row r="2106" spans="1:11">
      <c r="A2106" s="24" t="s">
        <v>15833</v>
      </c>
      <c r="B2106" s="24" t="s">
        <v>15833</v>
      </c>
      <c r="C2106" s="24" t="s">
        <v>15961</v>
      </c>
      <c r="D2106" s="24" t="s">
        <v>15801</v>
      </c>
      <c r="E2106" s="24" t="s">
        <v>15801</v>
      </c>
      <c r="F2106" s="29" t="s">
        <v>6209</v>
      </c>
      <c r="G2106" s="24" t="s">
        <v>6211</v>
      </c>
      <c r="H2106" s="11" t="str">
        <f t="shared" si="64"/>
        <v>26/11/1912</v>
      </c>
      <c r="J2106" s="11" t="str">
        <f t="shared" si="65"/>
        <v xml:space="preserve"> </v>
      </c>
      <c r="K2106" s="24" t="s">
        <v>6211</v>
      </c>
    </row>
    <row r="2107" spans="1:11">
      <c r="A2107" s="24" t="s">
        <v>15801</v>
      </c>
      <c r="B2107" s="24" t="s">
        <v>15854</v>
      </c>
      <c r="C2107" s="24" t="s">
        <v>15889</v>
      </c>
      <c r="D2107" s="24" t="s">
        <v>15870</v>
      </c>
      <c r="E2107" s="24" t="s">
        <v>15801</v>
      </c>
      <c r="G2107" s="24" t="s">
        <v>6171</v>
      </c>
      <c r="H2107" s="11" t="str">
        <f t="shared" si="64"/>
        <v>24/6/1865</v>
      </c>
      <c r="J2107" s="11" t="str">
        <f t="shared" si="65"/>
        <v xml:space="preserve"> </v>
      </c>
      <c r="K2107" s="24" t="s">
        <v>6171</v>
      </c>
    </row>
    <row r="2108" spans="1:11">
      <c r="A2108" s="24" t="s">
        <v>15806</v>
      </c>
      <c r="B2108" s="24" t="s">
        <v>15806</v>
      </c>
      <c r="C2108" s="24" t="s">
        <v>15909</v>
      </c>
      <c r="D2108" s="24" t="s">
        <v>15870</v>
      </c>
      <c r="E2108" s="24" t="s">
        <v>15801</v>
      </c>
      <c r="F2108" s="29" t="s">
        <v>6226</v>
      </c>
      <c r="G2108" s="24" t="s">
        <v>6228</v>
      </c>
      <c r="H2108" s="11" t="str">
        <f t="shared" si="64"/>
        <v>1/9/1881</v>
      </c>
      <c r="J2108" s="11" t="str">
        <f t="shared" si="65"/>
        <v xml:space="preserve"> </v>
      </c>
      <c r="K2108" s="24" t="s">
        <v>6228</v>
      </c>
    </row>
    <row r="2109" spans="1:11">
      <c r="A2109" s="24" t="s">
        <v>15807</v>
      </c>
      <c r="B2109" s="24" t="s">
        <v>15807</v>
      </c>
      <c r="C2109" s="24" t="s">
        <v>15910</v>
      </c>
      <c r="D2109" s="24" t="s">
        <v>15900</v>
      </c>
      <c r="E2109" s="24" t="s">
        <v>15801</v>
      </c>
      <c r="F2109" s="29" t="s">
        <v>6220</v>
      </c>
      <c r="G2109" s="24" t="s">
        <v>6222</v>
      </c>
      <c r="H2109" s="11" t="str">
        <f t="shared" si="64"/>
        <v>3/10/1889</v>
      </c>
      <c r="J2109" s="11" t="str">
        <f t="shared" si="65"/>
        <v xml:space="preserve"> </v>
      </c>
      <c r="K2109" s="24" t="s">
        <v>6222</v>
      </c>
    </row>
    <row r="2110" spans="1:11">
      <c r="A2110" s="24" t="s">
        <v>15801</v>
      </c>
      <c r="B2110" s="24" t="s">
        <v>15848</v>
      </c>
      <c r="C2110" s="24" t="s">
        <v>15801</v>
      </c>
      <c r="D2110" s="24" t="s">
        <v>15884</v>
      </c>
      <c r="E2110" s="24" t="s">
        <v>15830</v>
      </c>
      <c r="H2110" s="11" t="str">
        <f t="shared" si="64"/>
        <v/>
      </c>
      <c r="J2110" s="11" t="str">
        <f t="shared" si="65"/>
        <v xml:space="preserve"> </v>
      </c>
      <c r="K2110" s="24" t="s">
        <v>15801</v>
      </c>
    </row>
    <row r="2111" spans="1:11">
      <c r="A2111" s="24" t="s">
        <v>15801</v>
      </c>
      <c r="B2111" s="24" t="s">
        <v>15850</v>
      </c>
      <c r="C2111" s="24" t="s">
        <v>15890</v>
      </c>
      <c r="D2111" s="24" t="s">
        <v>15884</v>
      </c>
      <c r="E2111" s="24" t="s">
        <v>15801</v>
      </c>
      <c r="G2111" s="24" t="s">
        <v>6185</v>
      </c>
      <c r="H2111" s="11"/>
      <c r="J2111" s="11" t="str">
        <f t="shared" si="65"/>
        <v xml:space="preserve"> </v>
      </c>
    </row>
    <row r="2112" spans="1:11">
      <c r="A2112" s="24" t="s">
        <v>15817</v>
      </c>
      <c r="B2112" s="24" t="s">
        <v>15817</v>
      </c>
      <c r="C2112" s="24" t="s">
        <v>15961</v>
      </c>
      <c r="D2112" s="24" t="s">
        <v>15884</v>
      </c>
      <c r="E2112" s="24" t="s">
        <v>15801</v>
      </c>
      <c r="F2112" s="29" t="s">
        <v>6204</v>
      </c>
      <c r="G2112" s="24" t="s">
        <v>6206</v>
      </c>
      <c r="H2112" s="11"/>
      <c r="J2112" s="11" t="str">
        <f t="shared" si="65"/>
        <v xml:space="preserve"> </v>
      </c>
    </row>
    <row r="2113" spans="1:11">
      <c r="A2113" s="24" t="s">
        <v>15833</v>
      </c>
      <c r="B2113" s="24" t="s">
        <v>15833</v>
      </c>
      <c r="C2113" s="24" t="s">
        <v>15951</v>
      </c>
      <c r="D2113" s="24" t="s">
        <v>15884</v>
      </c>
      <c r="E2113" s="24" t="s">
        <v>15801</v>
      </c>
      <c r="F2113" s="29" t="s">
        <v>6231</v>
      </c>
      <c r="G2113" s="24">
        <v>1886</v>
      </c>
      <c r="H2113" s="11"/>
      <c r="J2113" s="11" t="str">
        <f t="shared" si="65"/>
        <v xml:space="preserve"> </v>
      </c>
    </row>
    <row r="2114" spans="1:11">
      <c r="A2114" s="24" t="s">
        <v>15803</v>
      </c>
      <c r="B2114" s="24" t="s">
        <v>15803</v>
      </c>
      <c r="C2114" s="24" t="s">
        <v>15939</v>
      </c>
      <c r="D2114" s="24" t="s">
        <v>15870</v>
      </c>
      <c r="E2114" s="24" t="s">
        <v>15801</v>
      </c>
      <c r="F2114" s="29" t="s">
        <v>6191</v>
      </c>
      <c r="G2114" s="24" t="s">
        <v>6194</v>
      </c>
      <c r="H2114" s="11" t="str">
        <f t="shared" si="64"/>
        <v>11/3/1872</v>
      </c>
      <c r="J2114" s="11" t="str">
        <f t="shared" si="65"/>
        <v xml:space="preserve"> </v>
      </c>
      <c r="K2114" s="24" t="s">
        <v>6194</v>
      </c>
    </row>
    <row r="2115" spans="1:11">
      <c r="A2115" s="24" t="s">
        <v>15801</v>
      </c>
      <c r="B2115" s="24" t="s">
        <v>15856</v>
      </c>
      <c r="C2115" s="24" t="s">
        <v>15801</v>
      </c>
      <c r="D2115" s="24" t="s">
        <v>15870</v>
      </c>
      <c r="E2115" s="24" t="s">
        <v>15842</v>
      </c>
      <c r="H2115" s="11" t="str">
        <f t="shared" ref="H2115:H2178" si="66">TRIM(G2115)</f>
        <v/>
      </c>
      <c r="J2115" s="11" t="str">
        <f t="shared" ref="J2115:J2178" si="67">IF(LEN(H2115)=4,"fout"," ")</f>
        <v xml:space="preserve"> </v>
      </c>
      <c r="K2115" s="24" t="s">
        <v>15801</v>
      </c>
    </row>
    <row r="2116" spans="1:11">
      <c r="A2116" s="24" t="s">
        <v>15814</v>
      </c>
      <c r="B2116" s="24" t="s">
        <v>15814</v>
      </c>
      <c r="C2116" s="24" t="s">
        <v>15946</v>
      </c>
      <c r="D2116" s="24" t="s">
        <v>15900</v>
      </c>
      <c r="E2116" s="24" t="s">
        <v>15801</v>
      </c>
      <c r="F2116" s="29" t="s">
        <v>6151</v>
      </c>
      <c r="G2116" s="24" t="s">
        <v>6154</v>
      </c>
      <c r="H2116" s="11" t="str">
        <f t="shared" si="66"/>
        <v>12/9/1860</v>
      </c>
      <c r="J2116" s="11" t="str">
        <f t="shared" si="67"/>
        <v xml:space="preserve"> </v>
      </c>
      <c r="K2116" s="24" t="s">
        <v>6154</v>
      </c>
    </row>
    <row r="2117" spans="1:11">
      <c r="A2117" s="24" t="s">
        <v>15806</v>
      </c>
      <c r="B2117" s="24" t="s">
        <v>15806</v>
      </c>
      <c r="C2117" s="24" t="s">
        <v>15911</v>
      </c>
      <c r="D2117" s="24" t="s">
        <v>15900</v>
      </c>
      <c r="E2117" s="24" t="s">
        <v>15965</v>
      </c>
      <c r="F2117" s="29" t="s">
        <v>6141</v>
      </c>
      <c r="G2117" s="24" t="s">
        <v>6143</v>
      </c>
      <c r="H2117" s="11" t="str">
        <f t="shared" si="66"/>
        <v>13/3/1863</v>
      </c>
      <c r="J2117" s="11" t="str">
        <f t="shared" si="67"/>
        <v xml:space="preserve"> </v>
      </c>
      <c r="K2117" s="24" t="s">
        <v>6143</v>
      </c>
    </row>
    <row r="2118" spans="1:11">
      <c r="A2118" s="24" t="s">
        <v>15802</v>
      </c>
      <c r="B2118" s="24" t="s">
        <v>15802</v>
      </c>
      <c r="C2118" s="24" t="s">
        <v>15894</v>
      </c>
      <c r="D2118" s="24" t="s">
        <v>15884</v>
      </c>
      <c r="E2118" s="24" t="s">
        <v>15884</v>
      </c>
      <c r="F2118" s="29" t="s">
        <v>6214</v>
      </c>
      <c r="G2118" s="24" t="s">
        <v>6216</v>
      </c>
      <c r="H2118" s="11" t="str">
        <f t="shared" si="66"/>
        <v>5/11/1901</v>
      </c>
      <c r="J2118" s="11" t="str">
        <f t="shared" si="67"/>
        <v xml:space="preserve"> </v>
      </c>
      <c r="K2118" s="24" t="s">
        <v>6216</v>
      </c>
    </row>
    <row r="2119" spans="1:11">
      <c r="A2119" s="24" t="s">
        <v>15827</v>
      </c>
      <c r="B2119" s="24" t="s">
        <v>15827</v>
      </c>
      <c r="C2119" s="24" t="s">
        <v>15801</v>
      </c>
      <c r="D2119" s="24" t="s">
        <v>15948</v>
      </c>
      <c r="E2119" s="24" t="s">
        <v>15948</v>
      </c>
      <c r="F2119" s="29" t="s">
        <v>6197</v>
      </c>
      <c r="H2119" s="11" t="str">
        <f t="shared" si="66"/>
        <v/>
      </c>
      <c r="J2119" s="11" t="str">
        <f t="shared" si="67"/>
        <v xml:space="preserve"> </v>
      </c>
      <c r="K2119" s="24" t="s">
        <v>15801</v>
      </c>
    </row>
    <row r="2120" spans="1:11">
      <c r="A2120" s="24" t="s">
        <v>15801</v>
      </c>
      <c r="B2120" s="24" t="s">
        <v>15838</v>
      </c>
      <c r="C2120" s="24" t="s">
        <v>15889</v>
      </c>
      <c r="D2120" s="24" t="s">
        <v>15900</v>
      </c>
      <c r="E2120" s="24" t="s">
        <v>15835</v>
      </c>
      <c r="G2120" s="24" t="s">
        <v>6241</v>
      </c>
      <c r="H2120" s="11" t="str">
        <f t="shared" si="66"/>
        <v>17/2/1865</v>
      </c>
      <c r="J2120" s="11" t="str">
        <f t="shared" si="67"/>
        <v xml:space="preserve"> </v>
      </c>
      <c r="K2120" s="24" t="s">
        <v>6241</v>
      </c>
    </row>
    <row r="2121" spans="1:11">
      <c r="A2121" s="24" t="s">
        <v>15816</v>
      </c>
      <c r="B2121" s="24" t="s">
        <v>15816</v>
      </c>
      <c r="C2121" s="24" t="s">
        <v>15904</v>
      </c>
      <c r="D2121" s="24" t="s">
        <v>15900</v>
      </c>
      <c r="E2121" s="24" t="s">
        <v>15956</v>
      </c>
      <c r="F2121" s="29" t="s">
        <v>5811</v>
      </c>
      <c r="G2121" s="24" t="s">
        <v>6236</v>
      </c>
      <c r="H2121" s="11" t="str">
        <f t="shared" si="66"/>
        <v>1/2/1890</v>
      </c>
      <c r="J2121" s="11" t="str">
        <f t="shared" si="67"/>
        <v xml:space="preserve"> </v>
      </c>
      <c r="K2121" s="24" t="s">
        <v>6236</v>
      </c>
    </row>
    <row r="2122" spans="1:11">
      <c r="A2122" s="24" t="s">
        <v>15801</v>
      </c>
      <c r="B2122" s="24" t="s">
        <v>15836</v>
      </c>
      <c r="C2122" s="24" t="s">
        <v>15917</v>
      </c>
      <c r="D2122" s="24" t="s">
        <v>15884</v>
      </c>
      <c r="E2122" s="24" t="s">
        <v>15801</v>
      </c>
      <c r="G2122" s="24" t="s">
        <v>6133</v>
      </c>
      <c r="H2122" s="11"/>
      <c r="J2122" s="11" t="str">
        <f t="shared" si="67"/>
        <v xml:space="preserve"> </v>
      </c>
    </row>
    <row r="2123" spans="1:11">
      <c r="A2123" s="24" t="s">
        <v>15802</v>
      </c>
      <c r="B2123" s="24" t="s">
        <v>15802</v>
      </c>
      <c r="C2123" s="24" t="s">
        <v>15891</v>
      </c>
      <c r="D2123" s="24" t="s">
        <v>15884</v>
      </c>
      <c r="E2123" s="24" t="s">
        <v>15801</v>
      </c>
      <c r="F2123" s="29" t="s">
        <v>6179</v>
      </c>
      <c r="G2123" s="24" t="s">
        <v>6181</v>
      </c>
      <c r="H2123" s="11" t="str">
        <f t="shared" si="66"/>
        <v>7/12/1883</v>
      </c>
      <c r="J2123" s="11" t="str">
        <f t="shared" si="67"/>
        <v xml:space="preserve"> </v>
      </c>
      <c r="K2123" s="24" t="s">
        <v>6181</v>
      </c>
    </row>
    <row r="2124" spans="1:11">
      <c r="A2124" s="24" t="s">
        <v>15817</v>
      </c>
      <c r="B2124" s="24" t="s">
        <v>15817</v>
      </c>
      <c r="C2124" s="24" t="s">
        <v>15941</v>
      </c>
      <c r="D2124" s="24" t="s">
        <v>15884</v>
      </c>
      <c r="E2124" s="24" t="s">
        <v>15801</v>
      </c>
      <c r="F2124" s="29" t="s">
        <v>6127</v>
      </c>
      <c r="G2124" s="24" t="s">
        <v>6129</v>
      </c>
      <c r="H2124" s="11" t="str">
        <f t="shared" si="66"/>
        <v>17/4/1902</v>
      </c>
      <c r="J2124" s="11" t="str">
        <f t="shared" si="67"/>
        <v xml:space="preserve"> </v>
      </c>
      <c r="K2124" s="24" t="s">
        <v>6129</v>
      </c>
    </row>
    <row r="2125" spans="1:11">
      <c r="A2125" s="24" t="s">
        <v>15845</v>
      </c>
      <c r="B2125" s="24" t="s">
        <v>15845</v>
      </c>
      <c r="C2125" s="24" t="s">
        <v>15913</v>
      </c>
      <c r="D2125" s="24" t="s">
        <v>15884</v>
      </c>
      <c r="E2125" s="24" t="s">
        <v>15801</v>
      </c>
      <c r="F2125" s="29" t="s">
        <v>3477</v>
      </c>
      <c r="G2125" s="24" t="s">
        <v>6176</v>
      </c>
      <c r="H2125" s="11" t="str">
        <f t="shared" si="66"/>
        <v>16/3/1877</v>
      </c>
      <c r="J2125" s="11" t="str">
        <f t="shared" si="67"/>
        <v xml:space="preserve"> </v>
      </c>
      <c r="K2125" s="24" t="s">
        <v>6176</v>
      </c>
    </row>
    <row r="2126" spans="1:11">
      <c r="A2126" s="24" t="s">
        <v>15828</v>
      </c>
      <c r="B2126" s="24" t="s">
        <v>15828</v>
      </c>
      <c r="C2126" s="24" t="s">
        <v>15894</v>
      </c>
      <c r="D2126" s="24" t="s">
        <v>15884</v>
      </c>
      <c r="E2126" s="24" t="s">
        <v>15801</v>
      </c>
      <c r="F2126" s="29" t="s">
        <v>6122</v>
      </c>
      <c r="G2126" s="24" t="s">
        <v>6124</v>
      </c>
      <c r="H2126" s="11" t="str">
        <f t="shared" si="66"/>
        <v>21/8/1901</v>
      </c>
      <c r="J2126" s="11" t="str">
        <f t="shared" si="67"/>
        <v xml:space="preserve"> </v>
      </c>
      <c r="K2126" s="24" t="s">
        <v>6124</v>
      </c>
    </row>
    <row r="2127" spans="1:11">
      <c r="A2127" s="24" t="s">
        <v>15827</v>
      </c>
      <c r="B2127" s="24" t="s">
        <v>15827</v>
      </c>
      <c r="C2127" s="24" t="s">
        <v>15801</v>
      </c>
      <c r="D2127" s="24" t="s">
        <v>15884</v>
      </c>
      <c r="E2127" s="24" t="s">
        <v>15801</v>
      </c>
      <c r="F2127" s="29" t="s">
        <v>5698</v>
      </c>
      <c r="H2127" s="11" t="str">
        <f t="shared" si="66"/>
        <v/>
      </c>
      <c r="J2127" s="11" t="str">
        <f t="shared" si="67"/>
        <v xml:space="preserve"> </v>
      </c>
      <c r="K2127" s="24" t="s">
        <v>15801</v>
      </c>
    </row>
    <row r="2128" spans="1:11">
      <c r="A2128" s="24" t="s">
        <v>15823</v>
      </c>
      <c r="B2128" s="24" t="s">
        <v>15823</v>
      </c>
      <c r="C2128" s="24" t="s">
        <v>15958</v>
      </c>
      <c r="D2128" s="24" t="s">
        <v>15870</v>
      </c>
      <c r="E2128" s="24" t="s">
        <v>15801</v>
      </c>
      <c r="F2128" s="29" t="s">
        <v>6114</v>
      </c>
      <c r="G2128" s="24" t="s">
        <v>6116</v>
      </c>
      <c r="H2128" s="11" t="str">
        <f t="shared" si="66"/>
        <v>16/2/1903</v>
      </c>
      <c r="J2128" s="11" t="str">
        <f t="shared" si="67"/>
        <v xml:space="preserve"> </v>
      </c>
      <c r="K2128" s="24" t="s">
        <v>6116</v>
      </c>
    </row>
    <row r="2129" spans="1:11">
      <c r="A2129" s="24" t="s">
        <v>15845</v>
      </c>
      <c r="B2129" s="24" t="s">
        <v>15845</v>
      </c>
      <c r="C2129" s="24" t="s">
        <v>15801</v>
      </c>
      <c r="D2129" s="24" t="s">
        <v>15870</v>
      </c>
      <c r="E2129" s="24" t="s">
        <v>15825</v>
      </c>
      <c r="F2129" s="29" t="s">
        <v>6249</v>
      </c>
      <c r="H2129" s="11" t="str">
        <f t="shared" si="66"/>
        <v/>
      </c>
      <c r="J2129" s="11" t="str">
        <f t="shared" si="67"/>
        <v xml:space="preserve"> </v>
      </c>
      <c r="K2129" s="24" t="s">
        <v>15801</v>
      </c>
    </row>
    <row r="2130" spans="1:11">
      <c r="A2130" s="24" t="s">
        <v>15806</v>
      </c>
      <c r="B2130" s="24" t="s">
        <v>15806</v>
      </c>
      <c r="C2130" s="24" t="s">
        <v>15953</v>
      </c>
      <c r="D2130" s="24" t="s">
        <v>15801</v>
      </c>
      <c r="E2130" s="24" t="s">
        <v>15801</v>
      </c>
      <c r="F2130" s="29" t="s">
        <v>6244</v>
      </c>
      <c r="G2130" s="24" t="s">
        <v>6246</v>
      </c>
      <c r="H2130" s="11" t="str">
        <f t="shared" si="66"/>
        <v>31/12/1882</v>
      </c>
      <c r="J2130" s="11" t="str">
        <f t="shared" si="67"/>
        <v xml:space="preserve"> </v>
      </c>
      <c r="K2130" s="24" t="s">
        <v>6246</v>
      </c>
    </row>
    <row r="2131" spans="1:11">
      <c r="A2131" s="24" t="s">
        <v>15816</v>
      </c>
      <c r="B2131" s="24" t="s">
        <v>15816</v>
      </c>
      <c r="C2131" s="24" t="s">
        <v>15939</v>
      </c>
      <c r="D2131" s="24" t="s">
        <v>15884</v>
      </c>
      <c r="E2131" s="24" t="s">
        <v>15801</v>
      </c>
      <c r="F2131" s="29" t="s">
        <v>6159</v>
      </c>
      <c r="G2131" s="24" t="s">
        <v>6161</v>
      </c>
      <c r="H2131" s="11" t="str">
        <f t="shared" si="66"/>
        <v>1/10/1872</v>
      </c>
      <c r="J2131" s="11" t="str">
        <f t="shared" si="67"/>
        <v xml:space="preserve"> </v>
      </c>
      <c r="K2131" s="24" t="s">
        <v>6161</v>
      </c>
    </row>
    <row r="2132" spans="1:11">
      <c r="A2132" s="24" t="s">
        <v>15828</v>
      </c>
      <c r="B2132" s="24" t="s">
        <v>15828</v>
      </c>
      <c r="C2132" s="24" t="s">
        <v>15951</v>
      </c>
      <c r="D2132" s="24" t="s">
        <v>15870</v>
      </c>
      <c r="E2132" s="24" t="s">
        <v>15899</v>
      </c>
      <c r="F2132" s="29" t="s">
        <v>6146</v>
      </c>
      <c r="G2132" s="24" t="s">
        <v>6148</v>
      </c>
      <c r="H2132" s="11" t="str">
        <f t="shared" si="66"/>
        <v>12/8/1886</v>
      </c>
      <c r="J2132" s="11" t="str">
        <f t="shared" si="67"/>
        <v xml:space="preserve"> </v>
      </c>
      <c r="K2132" s="24" t="s">
        <v>6148</v>
      </c>
    </row>
    <row r="2133" spans="1:11">
      <c r="A2133" s="24" t="s">
        <v>15811</v>
      </c>
      <c r="B2133" s="24" t="s">
        <v>15811</v>
      </c>
      <c r="C2133" s="24" t="s">
        <v>15910</v>
      </c>
      <c r="D2133" s="24" t="s">
        <v>15870</v>
      </c>
      <c r="E2133" s="24" t="s">
        <v>15801</v>
      </c>
      <c r="F2133" s="29" t="s">
        <v>6136</v>
      </c>
      <c r="G2133" s="24" t="s">
        <v>6138</v>
      </c>
      <c r="H2133" s="11" t="str">
        <f t="shared" si="66"/>
        <v>4/4/1889</v>
      </c>
      <c r="J2133" s="11" t="str">
        <f t="shared" si="67"/>
        <v xml:space="preserve"> </v>
      </c>
      <c r="K2133" s="24" t="s">
        <v>6138</v>
      </c>
    </row>
    <row r="2134" spans="1:11">
      <c r="A2134" s="24" t="s">
        <v>15820</v>
      </c>
      <c r="B2134" s="24" t="s">
        <v>15820</v>
      </c>
      <c r="C2134" s="24" t="s">
        <v>15903</v>
      </c>
      <c r="D2134" s="24" t="s">
        <v>15870</v>
      </c>
      <c r="E2134" s="24" t="s">
        <v>15801</v>
      </c>
      <c r="F2134" s="29" t="s">
        <v>6199</v>
      </c>
      <c r="G2134" s="24" t="s">
        <v>6201</v>
      </c>
      <c r="H2134" s="11" t="str">
        <f t="shared" si="66"/>
        <v>31/1/1895</v>
      </c>
      <c r="J2134" s="11" t="str">
        <f t="shared" si="67"/>
        <v xml:space="preserve"> </v>
      </c>
      <c r="K2134" s="24" t="s">
        <v>6201</v>
      </c>
    </row>
    <row r="2135" spans="1:11">
      <c r="A2135" s="24" t="s">
        <v>15818</v>
      </c>
      <c r="B2135" s="24" t="s">
        <v>15818</v>
      </c>
      <c r="C2135" s="24" t="s">
        <v>15902</v>
      </c>
      <c r="D2135" s="24" t="s">
        <v>15908</v>
      </c>
      <c r="E2135" s="24" t="s">
        <v>15851</v>
      </c>
      <c r="F2135" s="29" t="s">
        <v>6283</v>
      </c>
      <c r="G2135" s="24" t="s">
        <v>6284</v>
      </c>
      <c r="H2135" s="11" t="str">
        <f t="shared" si="66"/>
        <v>31/7/1876</v>
      </c>
      <c r="J2135" s="11" t="str">
        <f t="shared" si="67"/>
        <v xml:space="preserve"> </v>
      </c>
      <c r="K2135" s="24" t="s">
        <v>6284</v>
      </c>
    </row>
    <row r="2136" spans="1:11">
      <c r="A2136" s="24" t="s">
        <v>15803</v>
      </c>
      <c r="B2136" s="24" t="s">
        <v>15803</v>
      </c>
      <c r="C2136" s="24" t="s">
        <v>15911</v>
      </c>
      <c r="D2136" s="24" t="s">
        <v>15956</v>
      </c>
      <c r="E2136" s="24" t="s">
        <v>15827</v>
      </c>
      <c r="F2136" s="29" t="s">
        <v>6294</v>
      </c>
      <c r="G2136" s="24" t="s">
        <v>6297</v>
      </c>
      <c r="H2136" s="11" t="str">
        <f t="shared" si="66"/>
        <v>6/5/1863</v>
      </c>
      <c r="J2136" s="11" t="str">
        <f t="shared" si="67"/>
        <v xml:space="preserve"> </v>
      </c>
      <c r="K2136" s="24" t="s">
        <v>6297</v>
      </c>
    </row>
    <row r="2137" spans="1:11">
      <c r="A2137" s="24" t="s">
        <v>15803</v>
      </c>
      <c r="B2137" s="24" t="s">
        <v>15803</v>
      </c>
      <c r="C2137" s="24" t="s">
        <v>15801</v>
      </c>
      <c r="D2137" s="24" t="s">
        <v>15900</v>
      </c>
      <c r="E2137" s="24" t="s">
        <v>15801</v>
      </c>
      <c r="F2137" s="29" t="s">
        <v>6259</v>
      </c>
      <c r="H2137" s="11" t="str">
        <f t="shared" si="66"/>
        <v/>
      </c>
      <c r="J2137" s="11" t="str">
        <f t="shared" si="67"/>
        <v xml:space="preserve"> </v>
      </c>
      <c r="K2137" s="24" t="s">
        <v>15801</v>
      </c>
    </row>
    <row r="2138" spans="1:11">
      <c r="A2138" s="24" t="s">
        <v>15814</v>
      </c>
      <c r="B2138" s="24" t="s">
        <v>15814</v>
      </c>
      <c r="C2138" s="24" t="s">
        <v>15929</v>
      </c>
      <c r="D2138" s="24" t="s">
        <v>15801</v>
      </c>
      <c r="E2138" s="24" t="s">
        <v>15823</v>
      </c>
      <c r="F2138" s="29" t="s">
        <v>6263</v>
      </c>
      <c r="G2138" s="24" t="s">
        <v>6265</v>
      </c>
      <c r="H2138" s="11" t="str">
        <f t="shared" si="66"/>
        <v>22/9/1878</v>
      </c>
      <c r="J2138" s="11" t="str">
        <f t="shared" si="67"/>
        <v xml:space="preserve"> </v>
      </c>
      <c r="K2138" s="24" t="s">
        <v>6265</v>
      </c>
    </row>
    <row r="2139" spans="1:11">
      <c r="A2139" s="24" t="s">
        <v>15801</v>
      </c>
      <c r="B2139" s="24" t="s">
        <v>15837</v>
      </c>
      <c r="C2139" s="24" t="s">
        <v>15917</v>
      </c>
      <c r="D2139" s="24" t="s">
        <v>15899</v>
      </c>
      <c r="E2139" s="24" t="s">
        <v>15833</v>
      </c>
      <c r="G2139" s="24" t="s">
        <v>6256</v>
      </c>
      <c r="H2139" s="11" t="str">
        <f t="shared" si="66"/>
        <v>10/8/1869</v>
      </c>
      <c r="J2139" s="11" t="str">
        <f t="shared" si="67"/>
        <v xml:space="preserve"> </v>
      </c>
      <c r="K2139" s="24" t="s">
        <v>6256</v>
      </c>
    </row>
    <row r="2140" spans="1:11">
      <c r="A2140" s="24" t="s">
        <v>15819</v>
      </c>
      <c r="B2140" s="24" t="s">
        <v>15819</v>
      </c>
      <c r="C2140" s="24" t="s">
        <v>15883</v>
      </c>
      <c r="D2140" s="24" t="s">
        <v>15884</v>
      </c>
      <c r="E2140" s="24" t="s">
        <v>15901</v>
      </c>
      <c r="F2140" s="29" t="s">
        <v>6300</v>
      </c>
      <c r="G2140" s="24" t="s">
        <v>6302</v>
      </c>
      <c r="H2140" s="11" t="str">
        <f t="shared" si="66"/>
        <v>29/11/1874</v>
      </c>
      <c r="J2140" s="11" t="str">
        <f t="shared" si="67"/>
        <v xml:space="preserve"> </v>
      </c>
      <c r="K2140" s="24" t="s">
        <v>6302</v>
      </c>
    </row>
    <row r="2141" spans="1:11">
      <c r="A2141" s="24" t="s">
        <v>15801</v>
      </c>
      <c r="B2141" s="24" t="s">
        <v>15854</v>
      </c>
      <c r="C2141" s="24" t="s">
        <v>15886</v>
      </c>
      <c r="D2141" s="24" t="s">
        <v>15884</v>
      </c>
      <c r="E2141" s="24" t="s">
        <v>15813</v>
      </c>
      <c r="G2141" s="24" t="s">
        <v>6318</v>
      </c>
      <c r="H2141" s="11" t="str">
        <f t="shared" si="66"/>
        <v>3/10/1854</v>
      </c>
      <c r="J2141" s="11" t="str">
        <f t="shared" si="67"/>
        <v xml:space="preserve"> </v>
      </c>
      <c r="K2141" s="24" t="s">
        <v>6318</v>
      </c>
    </row>
    <row r="2142" spans="1:11">
      <c r="A2142" s="24" t="s">
        <v>15810</v>
      </c>
      <c r="B2142" s="24" t="s">
        <v>15810</v>
      </c>
      <c r="C2142" s="24" t="s">
        <v>15951</v>
      </c>
      <c r="D2142" s="24" t="s">
        <v>15899</v>
      </c>
      <c r="E2142" s="24" t="s">
        <v>15931</v>
      </c>
      <c r="F2142" s="29" t="s">
        <v>6310</v>
      </c>
      <c r="G2142" s="24" t="s">
        <v>6313</v>
      </c>
      <c r="H2142" s="11" t="str">
        <f t="shared" si="66"/>
        <v>8/8/1886</v>
      </c>
      <c r="J2142" s="11" t="str">
        <f t="shared" si="67"/>
        <v xml:space="preserve"> </v>
      </c>
      <c r="K2142" s="24" t="s">
        <v>6313</v>
      </c>
    </row>
    <row r="2143" spans="1:11">
      <c r="A2143" s="24" t="s">
        <v>15806</v>
      </c>
      <c r="B2143" s="24" t="s">
        <v>15806</v>
      </c>
      <c r="C2143" s="24" t="s">
        <v>15910</v>
      </c>
      <c r="D2143" s="24" t="s">
        <v>15899</v>
      </c>
      <c r="E2143" s="24" t="s">
        <v>15801</v>
      </c>
      <c r="F2143" s="29" t="s">
        <v>6305</v>
      </c>
      <c r="G2143" s="24" t="s">
        <v>6307</v>
      </c>
      <c r="H2143" s="11" t="str">
        <f t="shared" si="66"/>
        <v>27/7/1889</v>
      </c>
      <c r="J2143" s="11" t="str">
        <f t="shared" si="67"/>
        <v xml:space="preserve"> </v>
      </c>
      <c r="K2143" s="24" t="s">
        <v>6307</v>
      </c>
    </row>
    <row r="2144" spans="1:11">
      <c r="A2144" s="24" t="s">
        <v>15802</v>
      </c>
      <c r="B2144" s="24" t="s">
        <v>15802</v>
      </c>
      <c r="C2144" s="24" t="s">
        <v>15801</v>
      </c>
      <c r="D2144" s="24" t="s">
        <v>15801</v>
      </c>
      <c r="E2144" s="24" t="s">
        <v>15948</v>
      </c>
      <c r="H2144" s="11" t="str">
        <f t="shared" si="66"/>
        <v/>
      </c>
      <c r="J2144" s="11" t="str">
        <f t="shared" si="67"/>
        <v xml:space="preserve"> </v>
      </c>
      <c r="K2144" s="24" t="s">
        <v>15801</v>
      </c>
    </row>
    <row r="2145" spans="1:11">
      <c r="A2145" s="24" t="s">
        <v>15810</v>
      </c>
      <c r="B2145" s="24" t="s">
        <v>15810</v>
      </c>
      <c r="C2145" s="24" t="s">
        <v>15909</v>
      </c>
      <c r="D2145" s="24" t="s">
        <v>15901</v>
      </c>
      <c r="E2145" s="24" t="s">
        <v>15899</v>
      </c>
      <c r="F2145" s="29" t="s">
        <v>6272</v>
      </c>
      <c r="G2145" s="24">
        <v>1881</v>
      </c>
      <c r="H2145" s="11"/>
      <c r="J2145" s="11" t="str">
        <f t="shared" si="67"/>
        <v xml:space="preserve"> </v>
      </c>
    </row>
    <row r="2146" spans="1:11">
      <c r="A2146" s="24" t="s">
        <v>15835</v>
      </c>
      <c r="B2146" s="24" t="s">
        <v>15835</v>
      </c>
      <c r="C2146" s="24" t="s">
        <v>15890</v>
      </c>
      <c r="D2146" s="24" t="s">
        <v>15956</v>
      </c>
      <c r="E2146" s="24" t="s">
        <v>15971</v>
      </c>
      <c r="F2146" s="29" t="s">
        <v>6288</v>
      </c>
      <c r="G2146" s="24" t="s">
        <v>6291</v>
      </c>
      <c r="H2146" s="11" t="str">
        <f t="shared" si="66"/>
        <v>29/5/1875</v>
      </c>
      <c r="J2146" s="11" t="str">
        <f t="shared" si="67"/>
        <v xml:space="preserve"> </v>
      </c>
      <c r="K2146" s="24" t="s">
        <v>6291</v>
      </c>
    </row>
    <row r="2147" spans="1:11">
      <c r="A2147" s="24" t="s">
        <v>15803</v>
      </c>
      <c r="B2147" s="24" t="s">
        <v>15803</v>
      </c>
      <c r="C2147" s="24" t="s">
        <v>15949</v>
      </c>
      <c r="D2147" s="24" t="s">
        <v>15956</v>
      </c>
      <c r="E2147" s="24" t="s">
        <v>15801</v>
      </c>
      <c r="F2147" s="29" t="s">
        <v>6277</v>
      </c>
      <c r="G2147" s="24" t="s">
        <v>6280</v>
      </c>
      <c r="H2147" s="11" t="str">
        <f t="shared" si="66"/>
        <v>23/2/1859</v>
      </c>
      <c r="J2147" s="11" t="str">
        <f t="shared" si="67"/>
        <v xml:space="preserve"> </v>
      </c>
      <c r="K2147" s="24" t="s">
        <v>6280</v>
      </c>
    </row>
    <row r="2148" spans="1:11">
      <c r="A2148" s="24" t="s">
        <v>15841</v>
      </c>
      <c r="B2148" s="24" t="s">
        <v>15841</v>
      </c>
      <c r="C2148" s="24" t="s">
        <v>15920</v>
      </c>
      <c r="D2148" s="24" t="s">
        <v>15899</v>
      </c>
      <c r="E2148" s="24" t="s">
        <v>15801</v>
      </c>
      <c r="G2148" s="24" t="s">
        <v>6269</v>
      </c>
      <c r="H2148" s="11" t="str">
        <f t="shared" si="66"/>
        <v>31/12/1852</v>
      </c>
      <c r="J2148" s="11" t="str">
        <f t="shared" si="67"/>
        <v xml:space="preserve"> </v>
      </c>
      <c r="K2148" s="24" t="s">
        <v>6269</v>
      </c>
    </row>
    <row r="2149" spans="1:11">
      <c r="A2149" s="24" t="s">
        <v>15815</v>
      </c>
      <c r="B2149" s="24" t="s">
        <v>15815</v>
      </c>
      <c r="C2149" s="24" t="s">
        <v>15927</v>
      </c>
      <c r="D2149" s="24" t="s">
        <v>15884</v>
      </c>
      <c r="E2149" s="24" t="s">
        <v>15971</v>
      </c>
      <c r="F2149" s="29" t="s">
        <v>6328</v>
      </c>
      <c r="G2149" s="24" t="s">
        <v>6331</v>
      </c>
      <c r="H2149" s="11" t="str">
        <f t="shared" si="66"/>
        <v>10/4/1906</v>
      </c>
      <c r="J2149" s="11" t="str">
        <f t="shared" si="67"/>
        <v xml:space="preserve"> </v>
      </c>
      <c r="K2149" s="24" t="s">
        <v>6331</v>
      </c>
    </row>
    <row r="2150" spans="1:11">
      <c r="A2150" s="24" t="s">
        <v>15825</v>
      </c>
      <c r="B2150" s="24" t="s">
        <v>15825</v>
      </c>
      <c r="C2150" s="24" t="s">
        <v>15801</v>
      </c>
      <c r="D2150" s="24" t="s">
        <v>15956</v>
      </c>
      <c r="E2150" s="24" t="s">
        <v>15870</v>
      </c>
      <c r="F2150" s="29" t="s">
        <v>6322</v>
      </c>
      <c r="H2150" s="11" t="str">
        <f t="shared" si="66"/>
        <v/>
      </c>
      <c r="J2150" s="11" t="str">
        <f t="shared" si="67"/>
        <v xml:space="preserve"> </v>
      </c>
      <c r="K2150" s="24" t="s">
        <v>15801</v>
      </c>
    </row>
    <row r="2151" spans="1:11">
      <c r="A2151" s="24" t="s">
        <v>15801</v>
      </c>
      <c r="B2151" s="24" t="s">
        <v>15808</v>
      </c>
      <c r="C2151" s="24" t="s">
        <v>15884</v>
      </c>
      <c r="D2151" s="24" t="s">
        <v>15870</v>
      </c>
      <c r="E2151" s="24" t="s">
        <v>15827</v>
      </c>
      <c r="G2151" s="24" t="s">
        <v>6326</v>
      </c>
      <c r="H2151" s="11" t="str">
        <f t="shared" si="66"/>
        <v>8/3/1838</v>
      </c>
      <c r="J2151" s="11" t="str">
        <f t="shared" si="67"/>
        <v xml:space="preserve"> </v>
      </c>
      <c r="K2151" s="24" t="s">
        <v>6326</v>
      </c>
    </row>
    <row r="2152" spans="1:11">
      <c r="A2152" s="24" t="s">
        <v>15849</v>
      </c>
      <c r="B2152" s="24" t="s">
        <v>15849</v>
      </c>
      <c r="C2152" s="24" t="s">
        <v>15801</v>
      </c>
      <c r="D2152" s="24" t="s">
        <v>15884</v>
      </c>
      <c r="E2152" s="24" t="s">
        <v>15817</v>
      </c>
      <c r="F2152" s="29" t="s">
        <v>6333</v>
      </c>
      <c r="H2152" s="11" t="str">
        <f t="shared" si="66"/>
        <v/>
      </c>
      <c r="J2152" s="11" t="str">
        <f t="shared" si="67"/>
        <v xml:space="preserve"> </v>
      </c>
      <c r="K2152" s="24" t="s">
        <v>15801</v>
      </c>
    </row>
    <row r="2153" spans="1:11">
      <c r="A2153" s="24" t="s">
        <v>15817</v>
      </c>
      <c r="B2153" s="24" t="s">
        <v>15817</v>
      </c>
      <c r="C2153" s="24" t="s">
        <v>15904</v>
      </c>
      <c r="D2153" s="24" t="s">
        <v>15901</v>
      </c>
      <c r="E2153" s="24" t="s">
        <v>15900</v>
      </c>
      <c r="F2153" s="29" t="s">
        <v>6372</v>
      </c>
      <c r="G2153" s="24" t="s">
        <v>6375</v>
      </c>
      <c r="H2153" s="11" t="str">
        <f t="shared" si="66"/>
        <v>2/3/1890</v>
      </c>
      <c r="J2153" s="11" t="str">
        <f t="shared" si="67"/>
        <v xml:space="preserve"> </v>
      </c>
      <c r="K2153" s="24" t="s">
        <v>6375</v>
      </c>
    </row>
    <row r="2154" spans="1:11">
      <c r="A2154" s="24" t="s">
        <v>15820</v>
      </c>
      <c r="B2154" s="24" t="s">
        <v>15820</v>
      </c>
      <c r="C2154" s="24" t="s">
        <v>15934</v>
      </c>
      <c r="D2154" s="24" t="s">
        <v>15908</v>
      </c>
      <c r="E2154" s="24" t="s">
        <v>15956</v>
      </c>
      <c r="F2154" s="29" t="s">
        <v>6347</v>
      </c>
      <c r="G2154" s="24" t="s">
        <v>6350</v>
      </c>
      <c r="H2154" s="11" t="str">
        <f t="shared" si="66"/>
        <v>6/1/1898</v>
      </c>
      <c r="J2154" s="11" t="str">
        <f t="shared" si="67"/>
        <v xml:space="preserve"> </v>
      </c>
      <c r="K2154" s="24" t="s">
        <v>6350</v>
      </c>
    </row>
    <row r="2155" spans="1:11">
      <c r="A2155" s="24" t="s">
        <v>15810</v>
      </c>
      <c r="B2155" s="24" t="s">
        <v>15810</v>
      </c>
      <c r="C2155" s="24" t="s">
        <v>15891</v>
      </c>
      <c r="D2155" s="24" t="s">
        <v>15915</v>
      </c>
      <c r="E2155" s="24" t="s">
        <v>15900</v>
      </c>
      <c r="F2155" s="29" t="s">
        <v>6426</v>
      </c>
      <c r="G2155" s="24" t="s">
        <v>6427</v>
      </c>
      <c r="H2155" s="11" t="str">
        <f t="shared" si="66"/>
        <v>17/2/1883</v>
      </c>
      <c r="J2155" s="11" t="str">
        <f t="shared" si="67"/>
        <v xml:space="preserve"> </v>
      </c>
      <c r="K2155" s="24" t="s">
        <v>6427</v>
      </c>
    </row>
    <row r="2156" spans="1:11">
      <c r="A2156" s="24" t="s">
        <v>15810</v>
      </c>
      <c r="B2156" s="24" t="s">
        <v>15810</v>
      </c>
      <c r="C2156" s="24" t="s">
        <v>15889</v>
      </c>
      <c r="D2156" s="24" t="s">
        <v>15899</v>
      </c>
      <c r="E2156" s="24" t="s">
        <v>15801</v>
      </c>
      <c r="F2156" s="29" t="s">
        <v>6342</v>
      </c>
      <c r="G2156" s="24" t="s">
        <v>6345</v>
      </c>
      <c r="H2156" s="11" t="str">
        <f t="shared" si="66"/>
        <v>1/12/1865</v>
      </c>
      <c r="J2156" s="11" t="str">
        <f t="shared" si="67"/>
        <v xml:space="preserve"> </v>
      </c>
      <c r="K2156" s="24" t="s">
        <v>6345</v>
      </c>
    </row>
    <row r="2157" spans="1:11">
      <c r="A2157" s="24" t="s">
        <v>15825</v>
      </c>
      <c r="B2157" s="24" t="s">
        <v>15825</v>
      </c>
      <c r="C2157" s="24" t="s">
        <v>15928</v>
      </c>
      <c r="D2157" s="24" t="s">
        <v>15899</v>
      </c>
      <c r="E2157" s="24" t="s">
        <v>15966</v>
      </c>
      <c r="F2157" s="29" t="s">
        <v>6364</v>
      </c>
      <c r="G2157" s="24" t="s">
        <v>6366</v>
      </c>
      <c r="H2157" s="11" t="str">
        <f t="shared" si="66"/>
        <v>21/10/1899</v>
      </c>
      <c r="J2157" s="11" t="str">
        <f t="shared" si="67"/>
        <v xml:space="preserve"> </v>
      </c>
      <c r="K2157" s="24" t="s">
        <v>6366</v>
      </c>
    </row>
    <row r="2158" spans="1:11">
      <c r="A2158" s="24" t="s">
        <v>15801</v>
      </c>
      <c r="B2158" s="24" t="s">
        <v>15837</v>
      </c>
      <c r="C2158" s="24" t="s">
        <v>15801</v>
      </c>
      <c r="D2158" s="24" t="s">
        <v>15908</v>
      </c>
      <c r="E2158" s="24" t="s">
        <v>15828</v>
      </c>
      <c r="H2158" s="11" t="str">
        <f t="shared" si="66"/>
        <v/>
      </c>
      <c r="J2158" s="11" t="str">
        <f t="shared" si="67"/>
        <v xml:space="preserve"> </v>
      </c>
      <c r="K2158" s="24" t="s">
        <v>15801</v>
      </c>
    </row>
    <row r="2159" spans="1:11">
      <c r="A2159" s="24" t="s">
        <v>15840</v>
      </c>
      <c r="B2159" s="24" t="s">
        <v>15840</v>
      </c>
      <c r="C2159" s="24" t="s">
        <v>15890</v>
      </c>
      <c r="D2159" s="24" t="s">
        <v>15915</v>
      </c>
      <c r="E2159" s="24" t="s">
        <v>15828</v>
      </c>
      <c r="F2159" s="29" t="s">
        <v>6356</v>
      </c>
      <c r="G2159" s="24" t="s">
        <v>6359</v>
      </c>
      <c r="H2159" s="11" t="str">
        <f t="shared" si="66"/>
        <v>9/10/1875</v>
      </c>
      <c r="J2159" s="11" t="str">
        <f t="shared" si="67"/>
        <v xml:space="preserve"> </v>
      </c>
      <c r="K2159" s="24" t="s">
        <v>6359</v>
      </c>
    </row>
    <row r="2160" spans="1:11">
      <c r="A2160" s="24" t="s">
        <v>15833</v>
      </c>
      <c r="B2160" s="24" t="s">
        <v>15833</v>
      </c>
      <c r="C2160" s="24" t="s">
        <v>15801</v>
      </c>
      <c r="D2160" s="24" t="s">
        <v>15915</v>
      </c>
      <c r="E2160" s="24" t="s">
        <v>15915</v>
      </c>
      <c r="F2160" s="29" t="s">
        <v>6407</v>
      </c>
      <c r="H2160" s="11" t="str">
        <f t="shared" si="66"/>
        <v/>
      </c>
      <c r="J2160" s="11" t="str">
        <f t="shared" si="67"/>
        <v xml:space="preserve"> </v>
      </c>
      <c r="K2160" s="24" t="s">
        <v>15801</v>
      </c>
    </row>
    <row r="2161" spans="1:11">
      <c r="A2161" s="24" t="s">
        <v>15836</v>
      </c>
      <c r="B2161" s="24" t="s">
        <v>15836</v>
      </c>
      <c r="C2161" s="24" t="s">
        <v>15914</v>
      </c>
      <c r="D2161" s="24" t="s">
        <v>15899</v>
      </c>
      <c r="E2161" s="24" t="s">
        <v>15807</v>
      </c>
      <c r="F2161" s="29" t="s">
        <v>6466</v>
      </c>
      <c r="G2161" s="24" t="s">
        <v>6468</v>
      </c>
      <c r="H2161" s="11" t="str">
        <f t="shared" si="66"/>
        <v>11/1/1858</v>
      </c>
      <c r="J2161" s="11" t="str">
        <f t="shared" si="67"/>
        <v xml:space="preserve"> </v>
      </c>
      <c r="K2161" s="24" t="s">
        <v>6468</v>
      </c>
    </row>
    <row r="2162" spans="1:11">
      <c r="A2162" s="24" t="s">
        <v>15802</v>
      </c>
      <c r="B2162" s="24" t="s">
        <v>15802</v>
      </c>
      <c r="C2162" s="24" t="s">
        <v>15904</v>
      </c>
      <c r="D2162" s="24" t="s">
        <v>15899</v>
      </c>
      <c r="E2162" s="24" t="s">
        <v>15900</v>
      </c>
      <c r="F2162" s="29" t="s">
        <v>6412</v>
      </c>
      <c r="G2162" s="24" t="s">
        <v>6415</v>
      </c>
      <c r="H2162" s="11" t="str">
        <f t="shared" si="66"/>
        <v>3/2/1890</v>
      </c>
      <c r="J2162" s="11" t="str">
        <f t="shared" si="67"/>
        <v xml:space="preserve"> </v>
      </c>
      <c r="K2162" s="24" t="s">
        <v>6415</v>
      </c>
    </row>
    <row r="2163" spans="1:11">
      <c r="A2163" s="24" t="s">
        <v>15828</v>
      </c>
      <c r="B2163" s="24" t="s">
        <v>15828</v>
      </c>
      <c r="C2163" s="24" t="s">
        <v>15943</v>
      </c>
      <c r="D2163" s="24" t="s">
        <v>15899</v>
      </c>
      <c r="E2163" s="24" t="s">
        <v>15900</v>
      </c>
      <c r="F2163" s="29" t="s">
        <v>6507</v>
      </c>
      <c r="G2163" s="24" t="s">
        <v>6509</v>
      </c>
      <c r="H2163" s="11" t="str">
        <f t="shared" si="66"/>
        <v>19/4/1891</v>
      </c>
      <c r="J2163" s="11" t="str">
        <f t="shared" si="67"/>
        <v xml:space="preserve"> </v>
      </c>
      <c r="K2163" s="24" t="s">
        <v>6509</v>
      </c>
    </row>
    <row r="2164" spans="1:11">
      <c r="A2164" s="24" t="s">
        <v>15820</v>
      </c>
      <c r="B2164" s="24" t="s">
        <v>15820</v>
      </c>
      <c r="C2164" s="24" t="s">
        <v>15893</v>
      </c>
      <c r="D2164" s="24" t="s">
        <v>15899</v>
      </c>
      <c r="E2164" s="24" t="s">
        <v>15931</v>
      </c>
      <c r="F2164" s="29" t="s">
        <v>6460</v>
      </c>
      <c r="G2164" s="24" t="s">
        <v>6463</v>
      </c>
      <c r="H2164" s="11" t="str">
        <f t="shared" si="66"/>
        <v>26/10/1879</v>
      </c>
      <c r="J2164" s="11" t="str">
        <f t="shared" si="67"/>
        <v xml:space="preserve"> </v>
      </c>
      <c r="K2164" s="24" t="s">
        <v>6463</v>
      </c>
    </row>
    <row r="2165" spans="1:11">
      <c r="A2165" s="24" t="s">
        <v>15801</v>
      </c>
      <c r="B2165" s="24" t="s">
        <v>15850</v>
      </c>
      <c r="C2165" s="24" t="s">
        <v>15801</v>
      </c>
      <c r="D2165" s="24" t="s">
        <v>15884</v>
      </c>
      <c r="E2165" s="24" t="s">
        <v>15816</v>
      </c>
      <c r="H2165" s="11" t="str">
        <f t="shared" si="66"/>
        <v/>
      </c>
      <c r="J2165" s="11" t="str">
        <f t="shared" si="67"/>
        <v xml:space="preserve"> </v>
      </c>
      <c r="K2165" s="24" t="s">
        <v>15801</v>
      </c>
    </row>
    <row r="2166" spans="1:11">
      <c r="A2166" s="24" t="s">
        <v>15823</v>
      </c>
      <c r="B2166" s="24" t="s">
        <v>15823</v>
      </c>
      <c r="C2166" s="24" t="s">
        <v>15801</v>
      </c>
      <c r="D2166" s="24" t="s">
        <v>15884</v>
      </c>
      <c r="E2166" s="24" t="s">
        <v>15948</v>
      </c>
      <c r="F2166" s="29" t="s">
        <v>6369</v>
      </c>
      <c r="H2166" s="11" t="str">
        <f t="shared" si="66"/>
        <v/>
      </c>
      <c r="J2166" s="11" t="str">
        <f t="shared" si="67"/>
        <v xml:space="preserve"> </v>
      </c>
      <c r="K2166" s="24" t="s">
        <v>15801</v>
      </c>
    </row>
    <row r="2167" spans="1:11">
      <c r="A2167" s="24" t="s">
        <v>15801</v>
      </c>
      <c r="B2167" s="24" t="s">
        <v>15859</v>
      </c>
      <c r="C2167" s="24" t="s">
        <v>15801</v>
      </c>
      <c r="D2167" s="24" t="s">
        <v>15884</v>
      </c>
      <c r="E2167" s="24" t="s">
        <v>15804</v>
      </c>
      <c r="H2167" s="11" t="str">
        <f t="shared" si="66"/>
        <v/>
      </c>
      <c r="J2167" s="11" t="str">
        <f t="shared" si="67"/>
        <v xml:space="preserve"> </v>
      </c>
      <c r="K2167" s="24" t="s">
        <v>15801</v>
      </c>
    </row>
    <row r="2168" spans="1:11">
      <c r="A2168" s="24" t="s">
        <v>15815</v>
      </c>
      <c r="B2168" s="24" t="s">
        <v>15815</v>
      </c>
      <c r="C2168" s="24" t="s">
        <v>15904</v>
      </c>
      <c r="D2168" s="24" t="s">
        <v>15884</v>
      </c>
      <c r="E2168" s="24" t="s">
        <v>15966</v>
      </c>
      <c r="F2168" s="29" t="s">
        <v>6418</v>
      </c>
      <c r="G2168" s="24" t="s">
        <v>6420</v>
      </c>
      <c r="H2168" s="11" t="str">
        <f t="shared" si="66"/>
        <v>9/9/1890</v>
      </c>
      <c r="J2168" s="11" t="str">
        <f t="shared" si="67"/>
        <v xml:space="preserve"> </v>
      </c>
      <c r="K2168" s="24" t="s">
        <v>6420</v>
      </c>
    </row>
    <row r="2169" spans="1:11">
      <c r="A2169" s="24" t="s">
        <v>15821</v>
      </c>
      <c r="B2169" s="24" t="s">
        <v>15821</v>
      </c>
      <c r="C2169" s="24" t="s">
        <v>15937</v>
      </c>
      <c r="D2169" s="24" t="s">
        <v>15884</v>
      </c>
      <c r="E2169" s="24" t="s">
        <v>15966</v>
      </c>
      <c r="F2169" s="29" t="s">
        <v>6489</v>
      </c>
      <c r="G2169" s="24" t="s">
        <v>6492</v>
      </c>
      <c r="H2169" s="11" t="str">
        <f t="shared" si="66"/>
        <v>18/12/1894</v>
      </c>
      <c r="J2169" s="11" t="str">
        <f t="shared" si="67"/>
        <v xml:space="preserve"> </v>
      </c>
      <c r="K2169" s="24" t="s">
        <v>6492</v>
      </c>
    </row>
    <row r="2170" spans="1:11">
      <c r="A2170" s="24" t="s">
        <v>15806</v>
      </c>
      <c r="B2170" s="24" t="s">
        <v>15806</v>
      </c>
      <c r="C2170" s="24" t="s">
        <v>15880</v>
      </c>
      <c r="D2170" s="24" t="s">
        <v>15884</v>
      </c>
      <c r="E2170" s="24" t="s">
        <v>15899</v>
      </c>
      <c r="F2170" s="29" t="s">
        <v>6379</v>
      </c>
      <c r="G2170" s="24" t="s">
        <v>6382</v>
      </c>
      <c r="H2170" s="11" t="str">
        <f t="shared" si="66"/>
        <v>29/1/1892</v>
      </c>
      <c r="J2170" s="11" t="str">
        <f t="shared" si="67"/>
        <v xml:space="preserve"> </v>
      </c>
      <c r="K2170" s="24" t="s">
        <v>6382</v>
      </c>
    </row>
    <row r="2171" spans="1:11">
      <c r="A2171" s="24" t="s">
        <v>15833</v>
      </c>
      <c r="B2171" s="24" t="s">
        <v>15833</v>
      </c>
      <c r="C2171" s="24" t="s">
        <v>15801</v>
      </c>
      <c r="D2171" s="24" t="s">
        <v>15884</v>
      </c>
      <c r="E2171" s="24" t="s">
        <v>15801</v>
      </c>
      <c r="F2171" s="29" t="s">
        <v>6503</v>
      </c>
      <c r="H2171" s="11" t="str">
        <f t="shared" si="66"/>
        <v/>
      </c>
      <c r="J2171" s="11" t="str">
        <f t="shared" si="67"/>
        <v xml:space="preserve"> </v>
      </c>
      <c r="K2171" s="24" t="s">
        <v>15801</v>
      </c>
    </row>
    <row r="2172" spans="1:11">
      <c r="A2172" s="24" t="s">
        <v>15807</v>
      </c>
      <c r="B2172" s="24" t="s">
        <v>15807</v>
      </c>
      <c r="C2172" s="24" t="s">
        <v>15801</v>
      </c>
      <c r="D2172" s="24" t="s">
        <v>15884</v>
      </c>
      <c r="E2172" s="24" t="s">
        <v>15900</v>
      </c>
      <c r="F2172" s="29" t="s">
        <v>6422</v>
      </c>
      <c r="H2172" s="11" t="str">
        <f t="shared" si="66"/>
        <v/>
      </c>
      <c r="J2172" s="11" t="str">
        <f t="shared" si="67"/>
        <v xml:space="preserve"> </v>
      </c>
      <c r="K2172" s="24" t="s">
        <v>15801</v>
      </c>
    </row>
    <row r="2173" spans="1:11">
      <c r="A2173" s="24" t="s">
        <v>15829</v>
      </c>
      <c r="B2173" s="24" t="s">
        <v>15829</v>
      </c>
      <c r="C2173" s="24" t="s">
        <v>15801</v>
      </c>
      <c r="D2173" s="24" t="s">
        <v>15931</v>
      </c>
      <c r="E2173" s="24" t="s">
        <v>15811</v>
      </c>
      <c r="F2173" s="29" t="s">
        <v>6395</v>
      </c>
      <c r="H2173" s="11" t="str">
        <f t="shared" si="66"/>
        <v/>
      </c>
      <c r="J2173" s="11" t="str">
        <f t="shared" si="67"/>
        <v xml:space="preserve"> </v>
      </c>
      <c r="K2173" s="24" t="s">
        <v>15801</v>
      </c>
    </row>
    <row r="2174" spans="1:11">
      <c r="A2174" s="24" t="s">
        <v>15801</v>
      </c>
      <c r="B2174" s="24" t="s">
        <v>15832</v>
      </c>
      <c r="C2174" s="24" t="s">
        <v>15908</v>
      </c>
      <c r="D2174" s="24" t="s">
        <v>15901</v>
      </c>
      <c r="E2174" s="24" t="s">
        <v>15863</v>
      </c>
      <c r="G2174" s="24">
        <v>1844</v>
      </c>
      <c r="H2174" s="11"/>
      <c r="J2174" s="11" t="str">
        <f t="shared" si="67"/>
        <v xml:space="preserve"> </v>
      </c>
    </row>
    <row r="2175" spans="1:11">
      <c r="A2175" s="24" t="s">
        <v>15818</v>
      </c>
      <c r="B2175" s="24" t="s">
        <v>15818</v>
      </c>
      <c r="C2175" s="24" t="s">
        <v>15801</v>
      </c>
      <c r="D2175" s="24" t="s">
        <v>15899</v>
      </c>
      <c r="E2175" s="24" t="s">
        <v>15965</v>
      </c>
      <c r="F2175" s="29" t="s">
        <v>6361</v>
      </c>
      <c r="H2175" s="11" t="str">
        <f t="shared" si="66"/>
        <v/>
      </c>
      <c r="J2175" s="11" t="str">
        <f t="shared" si="67"/>
        <v xml:space="preserve"> </v>
      </c>
      <c r="K2175" s="24" t="s">
        <v>15801</v>
      </c>
    </row>
    <row r="2176" spans="1:11">
      <c r="A2176" s="24" t="s">
        <v>15804</v>
      </c>
      <c r="B2176" s="24" t="s">
        <v>15804</v>
      </c>
      <c r="C2176" s="24" t="s">
        <v>15909</v>
      </c>
      <c r="D2176" s="24" t="s">
        <v>15870</v>
      </c>
      <c r="E2176" s="24" t="s">
        <v>15863</v>
      </c>
      <c r="F2176" s="29" t="s">
        <v>6338</v>
      </c>
      <c r="G2176" s="24" t="s">
        <v>6340</v>
      </c>
      <c r="H2176" s="11" t="str">
        <f t="shared" si="66"/>
        <v>29/12/1881</v>
      </c>
      <c r="J2176" s="11" t="str">
        <f t="shared" si="67"/>
        <v xml:space="preserve"> </v>
      </c>
      <c r="K2176" s="24" t="s">
        <v>6340</v>
      </c>
    </row>
    <row r="2177" spans="1:11">
      <c r="A2177" s="24" t="s">
        <v>15821</v>
      </c>
      <c r="B2177" s="24" t="s">
        <v>15821</v>
      </c>
      <c r="C2177" s="24" t="s">
        <v>15897</v>
      </c>
      <c r="D2177" s="24" t="s">
        <v>15901</v>
      </c>
      <c r="E2177" s="24" t="s">
        <v>15966</v>
      </c>
      <c r="F2177" s="29" t="s">
        <v>6483</v>
      </c>
      <c r="G2177" s="24" t="s">
        <v>6486</v>
      </c>
      <c r="H2177" s="11" t="str">
        <f t="shared" si="66"/>
        <v>8/11/1861</v>
      </c>
      <c r="J2177" s="11" t="str">
        <f t="shared" si="67"/>
        <v xml:space="preserve"> </v>
      </c>
      <c r="K2177" s="24" t="s">
        <v>6486</v>
      </c>
    </row>
    <row r="2178" spans="1:11">
      <c r="A2178" s="24" t="s">
        <v>15801</v>
      </c>
      <c r="B2178" s="24" t="s">
        <v>15865</v>
      </c>
      <c r="C2178" s="24" t="s">
        <v>15801</v>
      </c>
      <c r="D2178" s="24" t="s">
        <v>15900</v>
      </c>
      <c r="E2178" s="24" t="s">
        <v>15801</v>
      </c>
      <c r="H2178" s="11" t="str">
        <f t="shared" si="66"/>
        <v/>
      </c>
      <c r="J2178" s="11" t="str">
        <f t="shared" si="67"/>
        <v xml:space="preserve"> </v>
      </c>
      <c r="K2178" s="24" t="s">
        <v>15801</v>
      </c>
    </row>
    <row r="2179" spans="1:11">
      <c r="A2179" s="24" t="s">
        <v>15801</v>
      </c>
      <c r="B2179" s="24" t="s">
        <v>15831</v>
      </c>
      <c r="C2179" s="24" t="s">
        <v>15801</v>
      </c>
      <c r="D2179" s="24" t="s">
        <v>15884</v>
      </c>
      <c r="E2179" s="24" t="s">
        <v>15803</v>
      </c>
      <c r="H2179" s="11" t="str">
        <f t="shared" ref="H2179:H2242" si="68">TRIM(G2179)</f>
        <v/>
      </c>
      <c r="J2179" s="11" t="str">
        <f t="shared" ref="J2179:J2242" si="69">IF(LEN(H2179)=4,"fout"," ")</f>
        <v xml:space="preserve"> </v>
      </c>
      <c r="K2179" s="24" t="s">
        <v>15801</v>
      </c>
    </row>
    <row r="2180" spans="1:11">
      <c r="A2180" s="24" t="s">
        <v>15810</v>
      </c>
      <c r="B2180" s="24" t="s">
        <v>15810</v>
      </c>
      <c r="C2180" s="24" t="s">
        <v>15801</v>
      </c>
      <c r="D2180" s="24" t="s">
        <v>15901</v>
      </c>
      <c r="E2180" s="24" t="s">
        <v>15801</v>
      </c>
      <c r="F2180" s="29" t="s">
        <v>6435</v>
      </c>
      <c r="H2180" s="11" t="str">
        <f t="shared" si="68"/>
        <v/>
      </c>
      <c r="J2180" s="11" t="str">
        <f t="shared" si="69"/>
        <v xml:space="preserve"> </v>
      </c>
      <c r="K2180" s="24" t="s">
        <v>15801</v>
      </c>
    </row>
    <row r="2181" spans="1:11">
      <c r="A2181" s="24" t="s">
        <v>15801</v>
      </c>
      <c r="B2181" s="24" t="s">
        <v>15836</v>
      </c>
      <c r="C2181" s="24" t="s">
        <v>15906</v>
      </c>
      <c r="D2181" s="24" t="s">
        <v>15870</v>
      </c>
      <c r="E2181" s="24" t="s">
        <v>15818</v>
      </c>
      <c r="G2181" s="24" t="s">
        <v>6405</v>
      </c>
      <c r="H2181" s="11"/>
      <c r="J2181" s="11" t="str">
        <f t="shared" si="69"/>
        <v xml:space="preserve"> </v>
      </c>
    </row>
    <row r="2182" spans="1:11">
      <c r="A2182" s="24" t="s">
        <v>15807</v>
      </c>
      <c r="B2182" s="24" t="s">
        <v>15807</v>
      </c>
      <c r="C2182" s="24" t="s">
        <v>15880</v>
      </c>
      <c r="D2182" s="24" t="s">
        <v>15901</v>
      </c>
      <c r="E2182" s="24" t="s">
        <v>15965</v>
      </c>
      <c r="F2182" s="29" t="s">
        <v>6399</v>
      </c>
      <c r="G2182" s="24" t="s">
        <v>6401</v>
      </c>
      <c r="H2182" s="11" t="str">
        <f t="shared" si="68"/>
        <v>25/4/1892</v>
      </c>
      <c r="J2182" s="11" t="str">
        <f t="shared" si="69"/>
        <v xml:space="preserve"> </v>
      </c>
      <c r="K2182" s="24" t="s">
        <v>6401</v>
      </c>
    </row>
    <row r="2183" spans="1:11">
      <c r="A2183" s="24" t="s">
        <v>15819</v>
      </c>
      <c r="B2183" s="24" t="s">
        <v>15819</v>
      </c>
      <c r="C2183" s="24" t="s">
        <v>15909</v>
      </c>
      <c r="D2183" s="24" t="s">
        <v>15901</v>
      </c>
      <c r="E2183" s="24" t="s">
        <v>15915</v>
      </c>
      <c r="F2183" s="29" t="s">
        <v>6429</v>
      </c>
      <c r="G2183" s="24" t="s">
        <v>6432</v>
      </c>
      <c r="H2183" s="11" t="str">
        <f t="shared" si="68"/>
        <v>25/5/1881</v>
      </c>
      <c r="J2183" s="11" t="str">
        <f t="shared" si="69"/>
        <v xml:space="preserve"> </v>
      </c>
      <c r="K2183" s="24" t="s">
        <v>6432</v>
      </c>
    </row>
    <row r="2184" spans="1:11">
      <c r="A2184" s="24" t="s">
        <v>15816</v>
      </c>
      <c r="B2184" s="24" t="s">
        <v>15816</v>
      </c>
      <c r="C2184" s="24" t="s">
        <v>15910</v>
      </c>
      <c r="D2184" s="24" t="s">
        <v>15884</v>
      </c>
      <c r="E2184" s="24" t="s">
        <v>15870</v>
      </c>
      <c r="F2184" s="29" t="s">
        <v>3987</v>
      </c>
      <c r="G2184" s="24">
        <v>1889</v>
      </c>
      <c r="H2184" s="11"/>
      <c r="J2184" s="11" t="str">
        <f t="shared" si="69"/>
        <v xml:space="preserve"> </v>
      </c>
    </row>
    <row r="2185" spans="1:11">
      <c r="A2185" s="24" t="s">
        <v>15828</v>
      </c>
      <c r="B2185" s="24" t="s">
        <v>15828</v>
      </c>
      <c r="C2185" s="24" t="s">
        <v>15930</v>
      </c>
      <c r="D2185" s="24" t="s">
        <v>15908</v>
      </c>
      <c r="E2185" s="24" t="s">
        <v>15908</v>
      </c>
      <c r="F2185" s="29" t="s">
        <v>6497</v>
      </c>
      <c r="G2185" s="24" t="s">
        <v>6500</v>
      </c>
      <c r="H2185" s="11" t="str">
        <f t="shared" si="68"/>
        <v>14/7/1896</v>
      </c>
      <c r="J2185" s="11" t="str">
        <f t="shared" si="69"/>
        <v xml:space="preserve"> </v>
      </c>
      <c r="K2185" s="24" t="s">
        <v>6500</v>
      </c>
    </row>
    <row r="2186" spans="1:11">
      <c r="A2186" s="24" t="s">
        <v>15811</v>
      </c>
      <c r="B2186" s="24" t="s">
        <v>15811</v>
      </c>
      <c r="C2186" s="24" t="s">
        <v>15954</v>
      </c>
      <c r="D2186" s="24" t="s">
        <v>15884</v>
      </c>
      <c r="E2186" s="24" t="s">
        <v>15801</v>
      </c>
      <c r="F2186" s="29" t="s">
        <v>6442</v>
      </c>
      <c r="G2186" s="24" t="s">
        <v>6444</v>
      </c>
      <c r="H2186" s="11" t="str">
        <f t="shared" si="68"/>
        <v>26/8/1857</v>
      </c>
      <c r="J2186" s="11" t="str">
        <f t="shared" si="69"/>
        <v xml:space="preserve"> </v>
      </c>
      <c r="K2186" s="24" t="s">
        <v>6444</v>
      </c>
    </row>
    <row r="2187" spans="1:11">
      <c r="A2187" s="24" t="s">
        <v>15801</v>
      </c>
      <c r="B2187" s="24" t="s">
        <v>15845</v>
      </c>
      <c r="C2187" s="24" t="s">
        <v>15801</v>
      </c>
      <c r="D2187" s="24" t="s">
        <v>15870</v>
      </c>
      <c r="E2187" s="24" t="s">
        <v>15825</v>
      </c>
      <c r="H2187" s="11" t="str">
        <f t="shared" si="68"/>
        <v/>
      </c>
      <c r="J2187" s="11" t="str">
        <f t="shared" si="69"/>
        <v xml:space="preserve"> </v>
      </c>
      <c r="K2187" s="24" t="s">
        <v>15801</v>
      </c>
    </row>
    <row r="2188" spans="1:11">
      <c r="A2188" s="24" t="s">
        <v>15816</v>
      </c>
      <c r="B2188" s="24" t="s">
        <v>15816</v>
      </c>
      <c r="C2188" s="24" t="s">
        <v>15903</v>
      </c>
      <c r="D2188" s="24" t="s">
        <v>15870</v>
      </c>
      <c r="E2188" s="24" t="s">
        <v>15915</v>
      </c>
      <c r="F2188" s="29" t="s">
        <v>6449</v>
      </c>
      <c r="G2188" s="24" t="s">
        <v>6452</v>
      </c>
      <c r="H2188" s="11" t="str">
        <f t="shared" si="68"/>
        <v>16/6/1895</v>
      </c>
      <c r="J2188" s="11" t="str">
        <f t="shared" si="69"/>
        <v xml:space="preserve"> </v>
      </c>
      <c r="K2188" s="24" t="s">
        <v>6452</v>
      </c>
    </row>
    <row r="2189" spans="1:11">
      <c r="A2189" s="24" t="s">
        <v>15801</v>
      </c>
      <c r="B2189" s="24" t="s">
        <v>15845</v>
      </c>
      <c r="C2189" s="24" t="s">
        <v>15801</v>
      </c>
      <c r="D2189" s="24" t="s">
        <v>15915</v>
      </c>
      <c r="E2189" s="24" t="s">
        <v>15821</v>
      </c>
      <c r="H2189" s="11" t="str">
        <f t="shared" si="68"/>
        <v/>
      </c>
      <c r="J2189" s="11" t="str">
        <f t="shared" si="69"/>
        <v xml:space="preserve"> </v>
      </c>
      <c r="K2189" s="24" t="s">
        <v>15801</v>
      </c>
    </row>
    <row r="2190" spans="1:11">
      <c r="A2190" s="24" t="s">
        <v>15816</v>
      </c>
      <c r="B2190" s="24" t="s">
        <v>15816</v>
      </c>
      <c r="C2190" s="24" t="s">
        <v>15880</v>
      </c>
      <c r="D2190" s="24" t="s">
        <v>15884</v>
      </c>
      <c r="E2190" s="24" t="s">
        <v>15900</v>
      </c>
      <c r="F2190" s="29" t="s">
        <v>5929</v>
      </c>
      <c r="G2190" s="24" t="s">
        <v>6513</v>
      </c>
      <c r="H2190" s="11" t="str">
        <f t="shared" si="68"/>
        <v>29/7/1892</v>
      </c>
      <c r="J2190" s="11" t="str">
        <f t="shared" si="69"/>
        <v xml:space="preserve"> </v>
      </c>
      <c r="K2190" s="24" t="s">
        <v>6513</v>
      </c>
    </row>
    <row r="2191" spans="1:11">
      <c r="A2191" s="24" t="s">
        <v>15801</v>
      </c>
      <c r="B2191" s="24" t="s">
        <v>15834</v>
      </c>
      <c r="C2191" s="24" t="s">
        <v>15801</v>
      </c>
      <c r="D2191" s="24" t="s">
        <v>15870</v>
      </c>
      <c r="E2191" s="24" t="s">
        <v>15816</v>
      </c>
      <c r="H2191" s="11" t="str">
        <f t="shared" si="68"/>
        <v/>
      </c>
      <c r="J2191" s="11" t="str">
        <f t="shared" si="69"/>
        <v xml:space="preserve"> </v>
      </c>
      <c r="K2191" s="24" t="s">
        <v>15801</v>
      </c>
    </row>
    <row r="2192" spans="1:11">
      <c r="A2192" s="24" t="s">
        <v>15828</v>
      </c>
      <c r="B2192" s="24" t="s">
        <v>15828</v>
      </c>
      <c r="C2192" s="24" t="s">
        <v>15883</v>
      </c>
      <c r="D2192" s="24" t="s">
        <v>15899</v>
      </c>
      <c r="E2192" s="24" t="s">
        <v>15915</v>
      </c>
      <c r="F2192" s="29" t="s">
        <v>6387</v>
      </c>
      <c r="G2192" s="24" t="s">
        <v>6390</v>
      </c>
      <c r="H2192" s="11" t="str">
        <f t="shared" si="68"/>
        <v>23/8/1874</v>
      </c>
      <c r="J2192" s="11" t="str">
        <f t="shared" si="69"/>
        <v xml:space="preserve"> </v>
      </c>
      <c r="K2192" s="24" t="s">
        <v>6390</v>
      </c>
    </row>
    <row r="2193" spans="1:11">
      <c r="A2193" s="24" t="s">
        <v>15811</v>
      </c>
      <c r="B2193" s="24" t="s">
        <v>15811</v>
      </c>
      <c r="C2193" s="24" t="s">
        <v>15902</v>
      </c>
      <c r="D2193" s="24" t="s">
        <v>15899</v>
      </c>
      <c r="E2193" s="24" t="s">
        <v>15801</v>
      </c>
      <c r="F2193" s="29" t="s">
        <v>6470</v>
      </c>
      <c r="G2193" s="24" t="s">
        <v>6473</v>
      </c>
      <c r="H2193" s="11" t="str">
        <f t="shared" si="68"/>
        <v>6/9/1876</v>
      </c>
      <c r="J2193" s="11" t="str">
        <f t="shared" si="69"/>
        <v xml:space="preserve"> </v>
      </c>
      <c r="K2193" s="24" t="s">
        <v>6473</v>
      </c>
    </row>
    <row r="2194" spans="1:11">
      <c r="A2194" s="24" t="s">
        <v>15801</v>
      </c>
      <c r="B2194" s="24" t="s">
        <v>15812</v>
      </c>
      <c r="C2194" s="24" t="s">
        <v>15801</v>
      </c>
      <c r="D2194" s="24" t="s">
        <v>15900</v>
      </c>
      <c r="E2194" s="24" t="s">
        <v>15808</v>
      </c>
      <c r="H2194" s="11" t="str">
        <f t="shared" si="68"/>
        <v/>
      </c>
      <c r="J2194" s="11" t="str">
        <f t="shared" si="69"/>
        <v xml:space="preserve"> </v>
      </c>
      <c r="K2194" s="24" t="s">
        <v>15801</v>
      </c>
    </row>
    <row r="2195" spans="1:11">
      <c r="A2195" s="24" t="s">
        <v>15801</v>
      </c>
      <c r="B2195" s="24" t="s">
        <v>15829</v>
      </c>
      <c r="C2195" s="24" t="s">
        <v>15801</v>
      </c>
      <c r="D2195" s="24" t="s">
        <v>15884</v>
      </c>
      <c r="E2195" s="24" t="s">
        <v>15811</v>
      </c>
      <c r="H2195" s="11" t="str">
        <f t="shared" si="68"/>
        <v/>
      </c>
      <c r="J2195" s="11" t="str">
        <f t="shared" si="69"/>
        <v xml:space="preserve"> </v>
      </c>
      <c r="K2195" s="24" t="s">
        <v>15801</v>
      </c>
    </row>
    <row r="2196" spans="1:11">
      <c r="A2196" s="24" t="s">
        <v>15803</v>
      </c>
      <c r="B2196" s="24" t="s">
        <v>15803</v>
      </c>
      <c r="C2196" s="24" t="s">
        <v>15801</v>
      </c>
      <c r="D2196" s="24" t="s">
        <v>15900</v>
      </c>
      <c r="E2196" s="24" t="s">
        <v>15851</v>
      </c>
      <c r="F2196" s="29" t="s">
        <v>6560</v>
      </c>
      <c r="H2196" s="11" t="str">
        <f t="shared" si="68"/>
        <v/>
      </c>
      <c r="J2196" s="11" t="str">
        <f t="shared" si="69"/>
        <v xml:space="preserve"> </v>
      </c>
      <c r="K2196" s="24" t="s">
        <v>15801</v>
      </c>
    </row>
    <row r="2197" spans="1:11">
      <c r="A2197" s="24" t="s">
        <v>15815</v>
      </c>
      <c r="B2197" s="24" t="s">
        <v>15815</v>
      </c>
      <c r="C2197" s="24" t="s">
        <v>15801</v>
      </c>
      <c r="D2197" s="24" t="s">
        <v>15900</v>
      </c>
      <c r="E2197" s="24" t="s">
        <v>15945</v>
      </c>
      <c r="F2197" s="29" t="s">
        <v>6547</v>
      </c>
      <c r="H2197" s="11" t="str">
        <f t="shared" si="68"/>
        <v/>
      </c>
      <c r="J2197" s="11" t="str">
        <f t="shared" si="69"/>
        <v xml:space="preserve"> </v>
      </c>
      <c r="K2197" s="24" t="s">
        <v>15801</v>
      </c>
    </row>
    <row r="2198" spans="1:11">
      <c r="A2198" s="24" t="s">
        <v>15807</v>
      </c>
      <c r="B2198" s="24" t="s">
        <v>15807</v>
      </c>
      <c r="C2198" s="24" t="s">
        <v>15801</v>
      </c>
      <c r="D2198" s="24" t="s">
        <v>15900</v>
      </c>
      <c r="E2198" s="24" t="s">
        <v>15971</v>
      </c>
      <c r="F2198" s="29" t="s">
        <v>6531</v>
      </c>
      <c r="H2198" s="11" t="str">
        <f t="shared" si="68"/>
        <v/>
      </c>
      <c r="J2198" s="11" t="str">
        <f t="shared" si="69"/>
        <v xml:space="preserve"> </v>
      </c>
      <c r="K2198" s="24" t="s">
        <v>15801</v>
      </c>
    </row>
    <row r="2199" spans="1:11">
      <c r="A2199" s="24" t="s">
        <v>15801</v>
      </c>
      <c r="B2199" s="24" t="s">
        <v>15865</v>
      </c>
      <c r="C2199" s="24" t="s">
        <v>15801</v>
      </c>
      <c r="D2199" s="24" t="s">
        <v>15870</v>
      </c>
      <c r="E2199" s="24" t="s">
        <v>15801</v>
      </c>
      <c r="H2199" s="11" t="str">
        <f t="shared" si="68"/>
        <v/>
      </c>
      <c r="J2199" s="11" t="str">
        <f t="shared" si="69"/>
        <v xml:space="preserve"> </v>
      </c>
      <c r="K2199" s="24" t="s">
        <v>15801</v>
      </c>
    </row>
    <row r="2200" spans="1:11">
      <c r="A2200" s="24" t="s">
        <v>15813</v>
      </c>
      <c r="B2200" s="24" t="s">
        <v>15813</v>
      </c>
      <c r="C2200" s="24" t="s">
        <v>15901</v>
      </c>
      <c r="D2200" s="24" t="s">
        <v>15900</v>
      </c>
      <c r="E2200" s="24" t="s">
        <v>15844</v>
      </c>
      <c r="F2200" s="29" t="s">
        <v>6554</v>
      </c>
      <c r="G2200" s="24" t="s">
        <v>15363</v>
      </c>
      <c r="H2200" s="11" t="str">
        <f t="shared" si="68"/>
        <v>8/5/1841</v>
      </c>
      <c r="J2200" s="11" t="str">
        <f t="shared" si="69"/>
        <v xml:space="preserve"> </v>
      </c>
      <c r="K2200" s="24" t="s">
        <v>15363</v>
      </c>
    </row>
    <row r="2201" spans="1:11">
      <c r="A2201" s="24" t="s">
        <v>15804</v>
      </c>
      <c r="B2201" s="24" t="s">
        <v>15804</v>
      </c>
      <c r="C2201" s="24" t="s">
        <v>15909</v>
      </c>
      <c r="D2201" s="24" t="s">
        <v>15900</v>
      </c>
      <c r="E2201" s="24" t="s">
        <v>15801</v>
      </c>
      <c r="F2201" s="29" t="s">
        <v>6564</v>
      </c>
      <c r="G2201" s="24" t="s">
        <v>6567</v>
      </c>
      <c r="H2201" s="11"/>
      <c r="J2201" s="11" t="str">
        <f t="shared" si="69"/>
        <v xml:space="preserve"> </v>
      </c>
    </row>
    <row r="2202" spans="1:11">
      <c r="A2202" s="24" t="s">
        <v>15815</v>
      </c>
      <c r="B2202" s="24" t="s">
        <v>15815</v>
      </c>
      <c r="C2202" s="24" t="s">
        <v>15891</v>
      </c>
      <c r="D2202" s="24" t="s">
        <v>15900</v>
      </c>
      <c r="E2202" s="24" t="s">
        <v>15864</v>
      </c>
      <c r="F2202" s="29" t="s">
        <v>6577</v>
      </c>
      <c r="G2202" s="24" t="s">
        <v>6579</v>
      </c>
      <c r="H2202" s="11" t="str">
        <f t="shared" si="68"/>
        <v>26/1/1883</v>
      </c>
      <c r="J2202" s="11" t="str">
        <f t="shared" si="69"/>
        <v xml:space="preserve"> </v>
      </c>
      <c r="K2202" s="24" t="s">
        <v>6579</v>
      </c>
    </row>
    <row r="2203" spans="1:11">
      <c r="A2203" s="24" t="s">
        <v>15833</v>
      </c>
      <c r="B2203" s="24" t="s">
        <v>15833</v>
      </c>
      <c r="C2203" s="24" t="s">
        <v>15801</v>
      </c>
      <c r="D2203" s="24" t="s">
        <v>15900</v>
      </c>
      <c r="E2203" s="24" t="s">
        <v>15901</v>
      </c>
      <c r="F2203" s="29" t="s">
        <v>6525</v>
      </c>
      <c r="H2203" s="11" t="str">
        <f t="shared" si="68"/>
        <v/>
      </c>
      <c r="J2203" s="11" t="str">
        <f t="shared" si="69"/>
        <v xml:space="preserve"> </v>
      </c>
      <c r="K2203" s="24" t="s">
        <v>15801</v>
      </c>
    </row>
    <row r="2204" spans="1:11">
      <c r="A2204" s="24" t="s">
        <v>15801</v>
      </c>
      <c r="B2204" s="24" t="s">
        <v>15834</v>
      </c>
      <c r="C2204" s="24" t="s">
        <v>15801</v>
      </c>
      <c r="D2204" s="24" t="s">
        <v>15900</v>
      </c>
      <c r="E2204" s="24" t="s">
        <v>15810</v>
      </c>
      <c r="H2204" s="11" t="str">
        <f t="shared" si="68"/>
        <v/>
      </c>
      <c r="J2204" s="11" t="str">
        <f t="shared" si="69"/>
        <v xml:space="preserve"> </v>
      </c>
      <c r="K2204" s="24" t="s">
        <v>15801</v>
      </c>
    </row>
    <row r="2205" spans="1:11">
      <c r="A2205" s="24" t="s">
        <v>15842</v>
      </c>
      <c r="B2205" s="24" t="s">
        <v>15842</v>
      </c>
      <c r="C2205" s="24" t="s">
        <v>15886</v>
      </c>
      <c r="D2205" s="24" t="s">
        <v>15900</v>
      </c>
      <c r="E2205" s="24" t="s">
        <v>15832</v>
      </c>
      <c r="F2205" s="29" t="s">
        <v>6535</v>
      </c>
      <c r="G2205" s="24" t="s">
        <v>6538</v>
      </c>
      <c r="H2205" s="11" t="str">
        <f t="shared" si="68"/>
        <v>22/12/1854</v>
      </c>
      <c r="J2205" s="11" t="str">
        <f t="shared" si="69"/>
        <v xml:space="preserve"> </v>
      </c>
      <c r="K2205" s="24" t="s">
        <v>6538</v>
      </c>
    </row>
    <row r="2206" spans="1:11">
      <c r="A2206" s="24" t="s">
        <v>15801</v>
      </c>
      <c r="B2206" s="24" t="s">
        <v>15834</v>
      </c>
      <c r="C2206" s="24" t="s">
        <v>15801</v>
      </c>
      <c r="D2206" s="24" t="s">
        <v>15870</v>
      </c>
      <c r="E2206" s="24" t="s">
        <v>15833</v>
      </c>
      <c r="H2206" s="11" t="str">
        <f t="shared" si="68"/>
        <v/>
      </c>
      <c r="J2206" s="11" t="str">
        <f t="shared" si="69"/>
        <v xml:space="preserve"> </v>
      </c>
      <c r="K2206" s="24" t="s">
        <v>15801</v>
      </c>
    </row>
    <row r="2207" spans="1:11">
      <c r="A2207" s="24" t="s">
        <v>15811</v>
      </c>
      <c r="B2207" s="24" t="s">
        <v>15811</v>
      </c>
      <c r="C2207" s="24" t="s">
        <v>15910</v>
      </c>
      <c r="D2207" s="24" t="s">
        <v>15900</v>
      </c>
      <c r="E2207" s="24" t="s">
        <v>15931</v>
      </c>
      <c r="F2207" s="29" t="s">
        <v>6517</v>
      </c>
      <c r="G2207" s="24" t="s">
        <v>6520</v>
      </c>
      <c r="H2207" s="11" t="str">
        <f t="shared" si="68"/>
        <v>11/6/1889</v>
      </c>
      <c r="J2207" s="11" t="str">
        <f t="shared" si="69"/>
        <v xml:space="preserve"> </v>
      </c>
      <c r="K2207" s="24" t="s">
        <v>6520</v>
      </c>
    </row>
    <row r="2208" spans="1:11">
      <c r="A2208" s="24" t="s">
        <v>15827</v>
      </c>
      <c r="B2208" s="24" t="s">
        <v>15827</v>
      </c>
      <c r="C2208" s="24" t="s">
        <v>15940</v>
      </c>
      <c r="D2208" s="24" t="s">
        <v>15900</v>
      </c>
      <c r="E2208" s="24" t="s">
        <v>15948</v>
      </c>
      <c r="F2208" s="29" t="s">
        <v>6541</v>
      </c>
      <c r="G2208" s="24" t="s">
        <v>6544</v>
      </c>
      <c r="H2208" s="11" t="str">
        <f t="shared" si="68"/>
        <v>22/4/1908</v>
      </c>
      <c r="J2208" s="11" t="str">
        <f t="shared" si="69"/>
        <v xml:space="preserve"> </v>
      </c>
      <c r="K2208" s="24" t="s">
        <v>6544</v>
      </c>
    </row>
    <row r="2209" spans="1:11">
      <c r="A2209" s="24" t="s">
        <v>15801</v>
      </c>
      <c r="B2209" s="24" t="s">
        <v>15837</v>
      </c>
      <c r="C2209" s="24" t="s">
        <v>15801</v>
      </c>
      <c r="D2209" s="24" t="s">
        <v>15900</v>
      </c>
      <c r="E2209" s="24" t="s">
        <v>15819</v>
      </c>
      <c r="H2209" s="11" t="str">
        <f t="shared" si="68"/>
        <v/>
      </c>
      <c r="J2209" s="11" t="str">
        <f t="shared" si="69"/>
        <v xml:space="preserve"> </v>
      </c>
      <c r="K2209" s="24" t="s">
        <v>15801</v>
      </c>
    </row>
    <row r="2210" spans="1:11">
      <c r="A2210" s="24" t="s">
        <v>15829</v>
      </c>
      <c r="B2210" s="24" t="s">
        <v>15829</v>
      </c>
      <c r="C2210" s="24" t="s">
        <v>15933</v>
      </c>
      <c r="D2210" s="24" t="s">
        <v>15956</v>
      </c>
      <c r="E2210" s="24" t="s">
        <v>15844</v>
      </c>
      <c r="G2210" s="24" t="s">
        <v>6583</v>
      </c>
      <c r="H2210" s="11" t="str">
        <f t="shared" si="68"/>
        <v>3/9/1873</v>
      </c>
      <c r="J2210" s="11" t="str">
        <f t="shared" si="69"/>
        <v xml:space="preserve"> </v>
      </c>
      <c r="K2210" s="24" t="s">
        <v>6583</v>
      </c>
    </row>
    <row r="2211" spans="1:11">
      <c r="A2211" s="24" t="s">
        <v>15840</v>
      </c>
      <c r="B2211" s="24" t="s">
        <v>15840</v>
      </c>
      <c r="C2211" s="24" t="s">
        <v>15929</v>
      </c>
      <c r="D2211" s="24" t="s">
        <v>15915</v>
      </c>
      <c r="E2211" s="24" t="s">
        <v>15844</v>
      </c>
      <c r="F2211" s="29" t="s">
        <v>6589</v>
      </c>
      <c r="G2211" s="24" t="s">
        <v>6592</v>
      </c>
      <c r="H2211" s="11" t="str">
        <f t="shared" si="68"/>
        <v>10/5/1878</v>
      </c>
      <c r="J2211" s="11" t="str">
        <f t="shared" si="69"/>
        <v xml:space="preserve"> </v>
      </c>
      <c r="K2211" s="24" t="s">
        <v>6592</v>
      </c>
    </row>
    <row r="2212" spans="1:11">
      <c r="A2212" s="24" t="s">
        <v>15829</v>
      </c>
      <c r="B2212" s="24" t="s">
        <v>15829</v>
      </c>
      <c r="C2212" s="24" t="s">
        <v>15801</v>
      </c>
      <c r="D2212" s="24" t="s">
        <v>15899</v>
      </c>
      <c r="E2212" s="24" t="s">
        <v>15827</v>
      </c>
      <c r="F2212" s="29" t="s">
        <v>6585</v>
      </c>
      <c r="H2212" s="11" t="str">
        <f t="shared" si="68"/>
        <v/>
      </c>
      <c r="J2212" s="11" t="str">
        <f t="shared" si="69"/>
        <v xml:space="preserve"> </v>
      </c>
      <c r="K2212" s="24" t="s">
        <v>15801</v>
      </c>
    </row>
    <row r="2213" spans="1:11">
      <c r="A2213" s="24" t="s">
        <v>15801</v>
      </c>
      <c r="B2213" s="24" t="s">
        <v>15831</v>
      </c>
      <c r="C2213" s="24" t="s">
        <v>15949</v>
      </c>
      <c r="D2213" s="24" t="s">
        <v>15898</v>
      </c>
      <c r="E2213" s="24" t="s">
        <v>15815</v>
      </c>
      <c r="G2213" s="24" t="s">
        <v>6595</v>
      </c>
      <c r="H2213" s="11" t="str">
        <f t="shared" si="68"/>
        <v>31/3/1859</v>
      </c>
      <c r="J2213" s="11" t="str">
        <f t="shared" si="69"/>
        <v xml:space="preserve"> </v>
      </c>
      <c r="K2213" s="24" t="s">
        <v>6595</v>
      </c>
    </row>
    <row r="2214" spans="1:11">
      <c r="A2214" s="24" t="s">
        <v>15821</v>
      </c>
      <c r="B2214" s="24" t="s">
        <v>15821</v>
      </c>
      <c r="C2214" s="24" t="s">
        <v>15801</v>
      </c>
      <c r="D2214" s="24" t="s">
        <v>15898</v>
      </c>
      <c r="E2214" s="24" t="s">
        <v>15898</v>
      </c>
      <c r="F2214" s="29" t="s">
        <v>6597</v>
      </c>
      <c r="H2214" s="11" t="str">
        <f t="shared" si="68"/>
        <v/>
      </c>
      <c r="J2214" s="11" t="str">
        <f t="shared" si="69"/>
        <v xml:space="preserve"> </v>
      </c>
      <c r="K2214" s="24" t="s">
        <v>15801</v>
      </c>
    </row>
    <row r="2215" spans="1:11">
      <c r="A2215" s="24" t="s">
        <v>15816</v>
      </c>
      <c r="B2215" s="24" t="s">
        <v>15816</v>
      </c>
      <c r="C2215" s="24" t="s">
        <v>15896</v>
      </c>
      <c r="D2215" s="24" t="s">
        <v>15801</v>
      </c>
      <c r="E2215" s="24" t="s">
        <v>15965</v>
      </c>
      <c r="F2215" s="29" t="s">
        <v>6741</v>
      </c>
      <c r="G2215" s="24" t="s">
        <v>15774</v>
      </c>
      <c r="H2215" s="11" t="str">
        <f t="shared" si="68"/>
        <v>21/08/1887</v>
      </c>
      <c r="J2215" s="11" t="str">
        <f t="shared" si="69"/>
        <v xml:space="preserve"> </v>
      </c>
      <c r="K2215" s="24" t="s">
        <v>15774</v>
      </c>
    </row>
    <row r="2216" spans="1:11">
      <c r="A2216" s="24" t="s">
        <v>15832</v>
      </c>
      <c r="B2216" s="24" t="s">
        <v>15832</v>
      </c>
      <c r="C2216" s="24" t="s">
        <v>15886</v>
      </c>
      <c r="D2216" s="24" t="s">
        <v>15938</v>
      </c>
      <c r="E2216" s="24" t="s">
        <v>15801</v>
      </c>
      <c r="F2216" s="29" t="s">
        <v>6708</v>
      </c>
      <c r="G2216" s="24" t="s">
        <v>6711</v>
      </c>
      <c r="H2216" s="11"/>
      <c r="J2216" s="11" t="str">
        <f t="shared" si="69"/>
        <v xml:space="preserve"> </v>
      </c>
    </row>
    <row r="2217" spans="1:11">
      <c r="A2217" s="24" t="s">
        <v>15825</v>
      </c>
      <c r="B2217" s="24" t="s">
        <v>15825</v>
      </c>
      <c r="C2217" s="24" t="s">
        <v>15801</v>
      </c>
      <c r="D2217" s="24" t="s">
        <v>15884</v>
      </c>
      <c r="E2217" s="24" t="s">
        <v>15965</v>
      </c>
      <c r="F2217" s="29" t="s">
        <v>6602</v>
      </c>
      <c r="H2217" s="11" t="str">
        <f t="shared" si="68"/>
        <v/>
      </c>
      <c r="J2217" s="11" t="str">
        <f t="shared" si="69"/>
        <v xml:space="preserve"> </v>
      </c>
      <c r="K2217" s="24" t="s">
        <v>15801</v>
      </c>
    </row>
    <row r="2218" spans="1:11">
      <c r="A2218" s="24" t="s">
        <v>15801</v>
      </c>
      <c r="B2218" s="24" t="s">
        <v>15846</v>
      </c>
      <c r="C2218" s="24" t="s">
        <v>15801</v>
      </c>
      <c r="D2218" s="24" t="s">
        <v>15956</v>
      </c>
      <c r="E2218" s="24" t="s">
        <v>15810</v>
      </c>
      <c r="H2218" s="11" t="str">
        <f t="shared" si="68"/>
        <v/>
      </c>
      <c r="J2218" s="11" t="str">
        <f t="shared" si="69"/>
        <v xml:space="preserve"> </v>
      </c>
      <c r="K2218" s="24" t="s">
        <v>15801</v>
      </c>
    </row>
    <row r="2219" spans="1:11">
      <c r="A2219" s="24" t="s">
        <v>15814</v>
      </c>
      <c r="B2219" s="24" t="s">
        <v>15814</v>
      </c>
      <c r="C2219" s="24" t="s">
        <v>15801</v>
      </c>
      <c r="D2219" s="24" t="s">
        <v>15938</v>
      </c>
      <c r="E2219" s="24" t="s">
        <v>15863</v>
      </c>
      <c r="F2219" s="29" t="s">
        <v>6607</v>
      </c>
      <c r="H2219" s="11" t="str">
        <f t="shared" si="68"/>
        <v/>
      </c>
      <c r="J2219" s="11" t="str">
        <f t="shared" si="69"/>
        <v xml:space="preserve"> </v>
      </c>
      <c r="K2219" s="24" t="s">
        <v>15801</v>
      </c>
    </row>
    <row r="2220" spans="1:11">
      <c r="A2220" s="24" t="s">
        <v>15801</v>
      </c>
      <c r="B2220" s="24" t="s">
        <v>15813</v>
      </c>
      <c r="C2220" s="24" t="s">
        <v>15801</v>
      </c>
      <c r="D2220" s="24" t="s">
        <v>15899</v>
      </c>
      <c r="E2220" s="24" t="s">
        <v>15844</v>
      </c>
      <c r="H2220" s="11" t="str">
        <f t="shared" si="68"/>
        <v/>
      </c>
      <c r="J2220" s="11" t="str">
        <f t="shared" si="69"/>
        <v xml:space="preserve"> </v>
      </c>
      <c r="K2220" s="24" t="s">
        <v>15801</v>
      </c>
    </row>
    <row r="2221" spans="1:11">
      <c r="A2221" s="24" t="s">
        <v>15825</v>
      </c>
      <c r="B2221" s="24" t="s">
        <v>15825</v>
      </c>
      <c r="C2221" s="24" t="s">
        <v>15906</v>
      </c>
      <c r="D2221" s="24" t="s">
        <v>15956</v>
      </c>
      <c r="E2221" s="24" t="s">
        <v>15801</v>
      </c>
      <c r="F2221" s="29" t="s">
        <v>6692</v>
      </c>
      <c r="G2221" s="24" t="s">
        <v>6694</v>
      </c>
      <c r="H2221" s="11"/>
      <c r="J2221" s="11" t="str">
        <f t="shared" si="69"/>
        <v xml:space="preserve"> </v>
      </c>
    </row>
    <row r="2222" spans="1:11">
      <c r="A2222" s="24" t="s">
        <v>15813</v>
      </c>
      <c r="B2222" s="24" t="s">
        <v>15813</v>
      </c>
      <c r="C2222" s="24" t="s">
        <v>15884</v>
      </c>
      <c r="D2222" s="24" t="s">
        <v>15900</v>
      </c>
      <c r="E2222" s="24" t="s">
        <v>15801</v>
      </c>
      <c r="F2222" s="29" t="s">
        <v>6646</v>
      </c>
      <c r="G2222" s="24" t="s">
        <v>6649</v>
      </c>
      <c r="H2222" s="11" t="str">
        <f t="shared" si="68"/>
        <v>17/2/1838</v>
      </c>
      <c r="J2222" s="11" t="str">
        <f t="shared" si="69"/>
        <v xml:space="preserve"> </v>
      </c>
      <c r="K2222" s="24" t="s">
        <v>6649</v>
      </c>
    </row>
    <row r="2223" spans="1:11">
      <c r="A2223" s="24" t="s">
        <v>15807</v>
      </c>
      <c r="B2223" s="24" t="s">
        <v>15807</v>
      </c>
      <c r="C2223" s="24" t="s">
        <v>15884</v>
      </c>
      <c r="D2223" s="24" t="s">
        <v>15900</v>
      </c>
      <c r="E2223" s="24" t="s">
        <v>15801</v>
      </c>
      <c r="F2223" s="29" t="s">
        <v>6720</v>
      </c>
      <c r="G2223" s="24" t="s">
        <v>6649</v>
      </c>
      <c r="H2223" s="11" t="str">
        <f t="shared" si="68"/>
        <v>17/2/1838</v>
      </c>
      <c r="J2223" s="11" t="str">
        <f t="shared" si="69"/>
        <v xml:space="preserve"> </v>
      </c>
      <c r="K2223" s="24" t="s">
        <v>6649</v>
      </c>
    </row>
    <row r="2224" spans="1:11">
      <c r="A2224" s="24" t="s">
        <v>15819</v>
      </c>
      <c r="B2224" s="24" t="s">
        <v>15819</v>
      </c>
      <c r="C2224" s="24" t="s">
        <v>15943</v>
      </c>
      <c r="D2224" s="24" t="s">
        <v>15900</v>
      </c>
      <c r="E2224" s="24" t="s">
        <v>15876</v>
      </c>
      <c r="F2224" s="29" t="s">
        <v>6737</v>
      </c>
      <c r="G2224" s="24" t="s">
        <v>6738</v>
      </c>
      <c r="H2224" s="11" t="str">
        <f t="shared" si="68"/>
        <v>25/10/1891</v>
      </c>
      <c r="J2224" s="11" t="str">
        <f t="shared" si="69"/>
        <v xml:space="preserve"> </v>
      </c>
      <c r="K2224" s="24" t="s">
        <v>6738</v>
      </c>
    </row>
    <row r="2225" spans="1:11">
      <c r="A2225" s="24" t="s">
        <v>15802</v>
      </c>
      <c r="B2225" s="24" t="s">
        <v>15802</v>
      </c>
      <c r="C2225" s="24" t="s">
        <v>15910</v>
      </c>
      <c r="D2225" s="24" t="s">
        <v>15900</v>
      </c>
      <c r="E2225" s="24" t="s">
        <v>15870</v>
      </c>
      <c r="F2225" s="29" t="s">
        <v>6713</v>
      </c>
      <c r="G2225" s="24" t="s">
        <v>6714</v>
      </c>
      <c r="H2225" s="11" t="str">
        <f t="shared" si="68"/>
        <v>24/2/1889</v>
      </c>
      <c r="J2225" s="11" t="str">
        <f t="shared" si="69"/>
        <v xml:space="preserve"> </v>
      </c>
      <c r="K2225" s="24" t="s">
        <v>6714</v>
      </c>
    </row>
    <row r="2226" spans="1:11">
      <c r="A2226" s="24" t="s">
        <v>15801</v>
      </c>
      <c r="B2226" s="24" t="s">
        <v>15839</v>
      </c>
      <c r="C2226" s="24" t="s">
        <v>15801</v>
      </c>
      <c r="D2226" s="24" t="s">
        <v>15900</v>
      </c>
      <c r="E2226" s="24" t="s">
        <v>15839</v>
      </c>
      <c r="H2226" s="11" t="str">
        <f t="shared" si="68"/>
        <v/>
      </c>
      <c r="J2226" s="11" t="str">
        <f t="shared" si="69"/>
        <v xml:space="preserve"> </v>
      </c>
      <c r="K2226" s="24" t="s">
        <v>15801</v>
      </c>
    </row>
    <row r="2227" spans="1:11">
      <c r="A2227" s="24" t="s">
        <v>15801</v>
      </c>
      <c r="B2227" s="24" t="s">
        <v>15841</v>
      </c>
      <c r="C2227" s="24" t="s">
        <v>15801</v>
      </c>
      <c r="D2227" s="24" t="s">
        <v>15956</v>
      </c>
      <c r="E2227" s="24" t="s">
        <v>15828</v>
      </c>
      <c r="H2227" s="11" t="str">
        <f t="shared" si="68"/>
        <v/>
      </c>
      <c r="J2227" s="11" t="str">
        <f t="shared" si="69"/>
        <v xml:space="preserve"> </v>
      </c>
      <c r="K2227" s="24" t="s">
        <v>15801</v>
      </c>
    </row>
    <row r="2228" spans="1:11">
      <c r="A2228" s="24" t="s">
        <v>15802</v>
      </c>
      <c r="B2228" s="24" t="s">
        <v>15802</v>
      </c>
      <c r="C2228" s="24" t="s">
        <v>15937</v>
      </c>
      <c r="D2228" s="24" t="s">
        <v>15901</v>
      </c>
      <c r="E2228" s="24" t="s">
        <v>15900</v>
      </c>
      <c r="F2228" s="29" t="s">
        <v>6599</v>
      </c>
      <c r="G2228" s="24" t="s">
        <v>6600</v>
      </c>
      <c r="H2228" s="11" t="str">
        <f t="shared" si="68"/>
        <v>16/8/1894</v>
      </c>
      <c r="J2228" s="11" t="str">
        <f t="shared" si="69"/>
        <v xml:space="preserve"> </v>
      </c>
      <c r="K2228" s="24" t="s">
        <v>6600</v>
      </c>
    </row>
    <row r="2229" spans="1:11">
      <c r="A2229" s="24" t="s">
        <v>15828</v>
      </c>
      <c r="B2229" s="24" t="s">
        <v>15828</v>
      </c>
      <c r="C2229" s="24" t="s">
        <v>15909</v>
      </c>
      <c r="D2229" s="24" t="s">
        <v>15901</v>
      </c>
      <c r="E2229" s="24" t="s">
        <v>15801</v>
      </c>
      <c r="F2229" s="29" t="s">
        <v>6675</v>
      </c>
      <c r="G2229" s="24" t="s">
        <v>6676</v>
      </c>
      <c r="H2229" s="11" t="str">
        <f t="shared" si="68"/>
        <v>17/8/1881</v>
      </c>
      <c r="J2229" s="11" t="str">
        <f t="shared" si="69"/>
        <v xml:space="preserve"> </v>
      </c>
      <c r="K2229" s="24" t="s">
        <v>6676</v>
      </c>
    </row>
    <row r="2230" spans="1:11">
      <c r="A2230" s="24" t="s">
        <v>15811</v>
      </c>
      <c r="B2230" s="24" t="s">
        <v>15811</v>
      </c>
      <c r="C2230" s="24" t="s">
        <v>15894</v>
      </c>
      <c r="D2230" s="24" t="s">
        <v>15900</v>
      </c>
      <c r="E2230" s="24" t="s">
        <v>15801</v>
      </c>
      <c r="F2230" s="29" t="s">
        <v>6724</v>
      </c>
      <c r="G2230" s="24" t="s">
        <v>6727</v>
      </c>
      <c r="H2230" s="11" t="str">
        <f t="shared" si="68"/>
        <v>11/6/1901</v>
      </c>
      <c r="J2230" s="11" t="str">
        <f t="shared" si="69"/>
        <v xml:space="preserve"> </v>
      </c>
      <c r="K2230" s="24" t="s">
        <v>6727</v>
      </c>
    </row>
    <row r="2231" spans="1:11">
      <c r="A2231" s="24" t="s">
        <v>15827</v>
      </c>
      <c r="B2231" s="24" t="s">
        <v>15827</v>
      </c>
      <c r="C2231" s="24" t="s">
        <v>15916</v>
      </c>
      <c r="D2231" s="24" t="s">
        <v>15900</v>
      </c>
      <c r="E2231" s="24" t="s">
        <v>15801</v>
      </c>
      <c r="F2231" s="29" t="s">
        <v>6656</v>
      </c>
      <c r="G2231" s="24" t="s">
        <v>6657</v>
      </c>
      <c r="H2231" s="11" t="str">
        <f t="shared" si="68"/>
        <v>3/2/1885</v>
      </c>
      <c r="J2231" s="11" t="str">
        <f t="shared" si="69"/>
        <v xml:space="preserve"> </v>
      </c>
      <c r="K2231" s="24" t="s">
        <v>6657</v>
      </c>
    </row>
    <row r="2232" spans="1:11">
      <c r="A2232" s="24" t="s">
        <v>15811</v>
      </c>
      <c r="B2232" s="24" t="s">
        <v>15811</v>
      </c>
      <c r="C2232" s="24" t="s">
        <v>15801</v>
      </c>
      <c r="D2232" s="24" t="s">
        <v>15956</v>
      </c>
      <c r="E2232" s="24" t="s">
        <v>15801</v>
      </c>
      <c r="F2232" s="29" t="s">
        <v>6746</v>
      </c>
      <c r="H2232" s="11" t="str">
        <f t="shared" si="68"/>
        <v/>
      </c>
      <c r="J2232" s="11" t="str">
        <f t="shared" si="69"/>
        <v xml:space="preserve"> </v>
      </c>
      <c r="K2232" s="24" t="s">
        <v>15801</v>
      </c>
    </row>
    <row r="2233" spans="1:11">
      <c r="A2233" s="24" t="s">
        <v>15804</v>
      </c>
      <c r="B2233" s="24" t="s">
        <v>15804</v>
      </c>
      <c r="C2233" s="24" t="s">
        <v>15949</v>
      </c>
      <c r="D2233" s="24" t="s">
        <v>15884</v>
      </c>
      <c r="E2233" s="24" t="s">
        <v>15864</v>
      </c>
      <c r="F2233" s="29" t="s">
        <v>6611</v>
      </c>
      <c r="G2233" s="24" t="s">
        <v>6612</v>
      </c>
      <c r="H2233" s="11" t="str">
        <f t="shared" si="68"/>
        <v>25/11/1859</v>
      </c>
      <c r="J2233" s="11" t="str">
        <f t="shared" si="69"/>
        <v xml:space="preserve"> </v>
      </c>
      <c r="K2233" s="24" t="s">
        <v>6612</v>
      </c>
    </row>
    <row r="2234" spans="1:11">
      <c r="A2234" s="24" t="s">
        <v>15832</v>
      </c>
      <c r="B2234" s="24" t="s">
        <v>15832</v>
      </c>
      <c r="C2234" s="24" t="s">
        <v>15801</v>
      </c>
      <c r="D2234" s="24" t="s">
        <v>15884</v>
      </c>
      <c r="E2234" s="24" t="s">
        <v>15864</v>
      </c>
      <c r="F2234" s="29" t="s">
        <v>6743</v>
      </c>
      <c r="H2234" s="11" t="str">
        <f t="shared" si="68"/>
        <v/>
      </c>
      <c r="J2234" s="11" t="str">
        <f t="shared" si="69"/>
        <v xml:space="preserve"> </v>
      </c>
      <c r="K2234" s="24" t="s">
        <v>15801</v>
      </c>
    </row>
    <row r="2235" spans="1:11">
      <c r="A2235" s="24" t="s">
        <v>15818</v>
      </c>
      <c r="B2235" s="24" t="s">
        <v>15818</v>
      </c>
      <c r="C2235" s="24" t="s">
        <v>15801</v>
      </c>
      <c r="D2235" s="24" t="s">
        <v>15900</v>
      </c>
      <c r="E2235" s="24" t="s">
        <v>15801</v>
      </c>
      <c r="F2235" s="29" t="s">
        <v>6627</v>
      </c>
      <c r="H2235" s="11" t="str">
        <f t="shared" si="68"/>
        <v/>
      </c>
      <c r="J2235" s="11" t="str">
        <f t="shared" si="69"/>
        <v xml:space="preserve"> </v>
      </c>
      <c r="K2235" s="24" t="s">
        <v>15801</v>
      </c>
    </row>
    <row r="2236" spans="1:11">
      <c r="A2236" s="24" t="s">
        <v>15814</v>
      </c>
      <c r="B2236" s="24" t="s">
        <v>15814</v>
      </c>
      <c r="C2236" s="24" t="s">
        <v>15801</v>
      </c>
      <c r="D2236" s="24" t="s">
        <v>15915</v>
      </c>
      <c r="E2236" s="24" t="s">
        <v>15844</v>
      </c>
      <c r="F2236" s="29" t="s">
        <v>6678</v>
      </c>
      <c r="H2236" s="11" t="str">
        <f t="shared" si="68"/>
        <v/>
      </c>
      <c r="J2236" s="11" t="str">
        <f t="shared" si="69"/>
        <v xml:space="preserve"> </v>
      </c>
      <c r="K2236" s="24" t="s">
        <v>15801</v>
      </c>
    </row>
    <row r="2237" spans="1:11">
      <c r="A2237" s="24" t="s">
        <v>15835</v>
      </c>
      <c r="B2237" s="24" t="s">
        <v>15835</v>
      </c>
      <c r="C2237" s="24" t="s">
        <v>15870</v>
      </c>
      <c r="D2237" s="24" t="s">
        <v>15965</v>
      </c>
      <c r="E2237" s="24" t="s">
        <v>15827</v>
      </c>
      <c r="F2237" s="29" t="s">
        <v>6716</v>
      </c>
      <c r="G2237" s="24" t="s">
        <v>6270</v>
      </c>
      <c r="H2237" s="11"/>
      <c r="J2237" s="11" t="str">
        <f t="shared" si="69"/>
        <v xml:space="preserve"> </v>
      </c>
    </row>
    <row r="2238" spans="1:11">
      <c r="A2238" s="24" t="s">
        <v>15801</v>
      </c>
      <c r="B2238" s="24" t="s">
        <v>15848</v>
      </c>
      <c r="C2238" s="24" t="s">
        <v>15908</v>
      </c>
      <c r="D2238" s="24" t="s">
        <v>15931</v>
      </c>
      <c r="E2238" s="24" t="s">
        <v>15854</v>
      </c>
      <c r="G2238" s="24" t="s">
        <v>6734</v>
      </c>
      <c r="H2238" s="11" t="str">
        <f t="shared" si="68"/>
        <v>6/5/1844</v>
      </c>
      <c r="J2238" s="11" t="str">
        <f t="shared" si="69"/>
        <v xml:space="preserve"> </v>
      </c>
      <c r="K2238" s="24" t="s">
        <v>6734</v>
      </c>
    </row>
    <row r="2239" spans="1:11">
      <c r="A2239" s="24" t="s">
        <v>15825</v>
      </c>
      <c r="B2239" s="24" t="s">
        <v>15825</v>
      </c>
      <c r="C2239" s="24" t="s">
        <v>15893</v>
      </c>
      <c r="D2239" s="24" t="s">
        <v>15908</v>
      </c>
      <c r="E2239" s="24" t="s">
        <v>15921</v>
      </c>
      <c r="F2239" s="29" t="s">
        <v>6652</v>
      </c>
      <c r="G2239" s="24" t="s">
        <v>6653</v>
      </c>
      <c r="H2239" s="11" t="str">
        <f t="shared" si="68"/>
        <v>23/9/1879</v>
      </c>
      <c r="J2239" s="11" t="str">
        <f t="shared" si="69"/>
        <v xml:space="preserve"> </v>
      </c>
      <c r="K2239" s="24" t="s">
        <v>6653</v>
      </c>
    </row>
    <row r="2240" spans="1:11">
      <c r="A2240" s="24" t="s">
        <v>15801</v>
      </c>
      <c r="B2240" s="24" t="s">
        <v>15840</v>
      </c>
      <c r="C2240" s="24" t="s">
        <v>15801</v>
      </c>
      <c r="D2240" s="24" t="s">
        <v>15899</v>
      </c>
      <c r="E2240" s="24" t="s">
        <v>15833</v>
      </c>
      <c r="H2240" s="11" t="str">
        <f t="shared" si="68"/>
        <v/>
      </c>
      <c r="J2240" s="11" t="str">
        <f t="shared" si="69"/>
        <v xml:space="preserve"> </v>
      </c>
      <c r="K2240" s="24" t="s">
        <v>15801</v>
      </c>
    </row>
    <row r="2241" spans="1:11">
      <c r="A2241" s="24" t="s">
        <v>15819</v>
      </c>
      <c r="B2241" s="24" t="s">
        <v>15819</v>
      </c>
      <c r="C2241" s="24" t="s">
        <v>15801</v>
      </c>
      <c r="D2241" s="24" t="s">
        <v>15899</v>
      </c>
      <c r="E2241" s="24" t="s">
        <v>15884</v>
      </c>
      <c r="F2241" s="29" t="s">
        <v>6632</v>
      </c>
      <c r="H2241" s="11" t="str">
        <f t="shared" si="68"/>
        <v/>
      </c>
      <c r="J2241" s="11" t="str">
        <f t="shared" si="69"/>
        <v xml:space="preserve"> </v>
      </c>
      <c r="K2241" s="24" t="s">
        <v>15801</v>
      </c>
    </row>
    <row r="2242" spans="1:11">
      <c r="A2242" s="24" t="s">
        <v>15801</v>
      </c>
      <c r="B2242" s="24" t="s">
        <v>15846</v>
      </c>
      <c r="C2242" s="24" t="s">
        <v>15929</v>
      </c>
      <c r="D2242" s="24" t="s">
        <v>15900</v>
      </c>
      <c r="E2242" s="24" t="s">
        <v>15801</v>
      </c>
      <c r="G2242" s="24" t="s">
        <v>6643</v>
      </c>
      <c r="H2242" s="11" t="str">
        <f t="shared" si="68"/>
        <v>30/5/1878</v>
      </c>
      <c r="J2242" s="11" t="str">
        <f t="shared" si="69"/>
        <v xml:space="preserve"> </v>
      </c>
      <c r="K2242" s="24" t="s">
        <v>6643</v>
      </c>
    </row>
    <row r="2243" spans="1:11">
      <c r="A2243" s="24" t="s">
        <v>15811</v>
      </c>
      <c r="B2243" s="24" t="s">
        <v>15811</v>
      </c>
      <c r="C2243" s="24" t="s">
        <v>15963</v>
      </c>
      <c r="D2243" s="24" t="s">
        <v>15900</v>
      </c>
      <c r="E2243" s="24" t="s">
        <v>15931</v>
      </c>
      <c r="F2243" s="29" t="s">
        <v>6669</v>
      </c>
      <c r="G2243" s="24" t="s">
        <v>6672</v>
      </c>
      <c r="H2243" s="11" t="str">
        <f t="shared" ref="H2243:H2306" si="70">TRIM(G2243)</f>
        <v>30/5/1907</v>
      </c>
      <c r="J2243" s="11" t="str">
        <f t="shared" ref="J2243:J2306" si="71">IF(LEN(H2243)=4,"fout"," ")</f>
        <v xml:space="preserve"> </v>
      </c>
      <c r="K2243" s="24" t="s">
        <v>6672</v>
      </c>
    </row>
    <row r="2244" spans="1:11">
      <c r="A2244" s="24" t="s">
        <v>15801</v>
      </c>
      <c r="B2244" s="24" t="s">
        <v>15845</v>
      </c>
      <c r="C2244" s="24" t="s">
        <v>15801</v>
      </c>
      <c r="D2244" s="24" t="s">
        <v>15870</v>
      </c>
      <c r="E2244" s="24" t="s">
        <v>15818</v>
      </c>
      <c r="H2244" s="11" t="str">
        <f t="shared" si="70"/>
        <v/>
      </c>
      <c r="J2244" s="11" t="str">
        <f t="shared" si="71"/>
        <v xml:space="preserve"> </v>
      </c>
      <c r="K2244" s="24" t="s">
        <v>15801</v>
      </c>
    </row>
    <row r="2245" spans="1:11">
      <c r="A2245" s="24" t="s">
        <v>15825</v>
      </c>
      <c r="B2245" s="24" t="s">
        <v>15825</v>
      </c>
      <c r="C2245" s="24" t="s">
        <v>15946</v>
      </c>
      <c r="D2245" s="24" t="s">
        <v>15908</v>
      </c>
      <c r="E2245" s="24" t="s">
        <v>15966</v>
      </c>
      <c r="F2245" s="29" t="s">
        <v>6703</v>
      </c>
      <c r="G2245" s="24" t="s">
        <v>6706</v>
      </c>
      <c r="H2245" s="11" t="str">
        <f t="shared" si="70"/>
        <v>13/6/1860</v>
      </c>
      <c r="J2245" s="11" t="str">
        <f t="shared" si="71"/>
        <v xml:space="preserve"> </v>
      </c>
      <c r="K2245" s="24" t="s">
        <v>6706</v>
      </c>
    </row>
    <row r="2246" spans="1:11">
      <c r="A2246" s="24" t="s">
        <v>15821</v>
      </c>
      <c r="B2246" s="24" t="s">
        <v>15821</v>
      </c>
      <c r="C2246" s="24" t="s">
        <v>15910</v>
      </c>
      <c r="D2246" s="24" t="s">
        <v>15870</v>
      </c>
      <c r="E2246" s="24" t="s">
        <v>15801</v>
      </c>
      <c r="F2246" s="29" t="s">
        <v>6688</v>
      </c>
      <c r="G2246" s="24" t="s">
        <v>6689</v>
      </c>
      <c r="H2246" s="11" t="str">
        <f t="shared" si="70"/>
        <v>6/11/1889</v>
      </c>
      <c r="J2246" s="11" t="str">
        <f t="shared" si="71"/>
        <v xml:space="preserve"> </v>
      </c>
      <c r="K2246" s="24" t="s">
        <v>6689</v>
      </c>
    </row>
    <row r="2247" spans="1:11">
      <c r="A2247" s="24" t="s">
        <v>15810</v>
      </c>
      <c r="B2247" s="24" t="s">
        <v>15810</v>
      </c>
      <c r="C2247" s="24" t="s">
        <v>15904</v>
      </c>
      <c r="D2247" s="24" t="s">
        <v>15870</v>
      </c>
      <c r="E2247" s="24" t="s">
        <v>15870</v>
      </c>
      <c r="F2247" s="29" t="s">
        <v>6635</v>
      </c>
      <c r="G2247" s="24" t="s">
        <v>6637</v>
      </c>
      <c r="H2247" s="11" t="str">
        <f t="shared" si="70"/>
        <v>226/1890</v>
      </c>
      <c r="J2247" s="11" t="str">
        <f t="shared" si="71"/>
        <v xml:space="preserve"> </v>
      </c>
      <c r="K2247" s="24" t="s">
        <v>6637</v>
      </c>
    </row>
    <row r="2248" spans="1:11">
      <c r="A2248" s="24" t="s">
        <v>15801</v>
      </c>
      <c r="B2248" s="24" t="s">
        <v>15850</v>
      </c>
      <c r="C2248" s="24" t="s">
        <v>15933</v>
      </c>
      <c r="D2248" s="24" t="s">
        <v>15801</v>
      </c>
      <c r="E2248" s="24" t="s">
        <v>15806</v>
      </c>
      <c r="G2248" s="24" t="s">
        <v>6730</v>
      </c>
      <c r="H2248" s="11" t="str">
        <f t="shared" si="70"/>
        <v>11/10/1873</v>
      </c>
      <c r="J2248" s="11" t="str">
        <f t="shared" si="71"/>
        <v xml:space="preserve"> </v>
      </c>
      <c r="K2248" s="24" t="s">
        <v>6730</v>
      </c>
    </row>
    <row r="2249" spans="1:11">
      <c r="A2249" s="24" t="s">
        <v>15817</v>
      </c>
      <c r="B2249" s="24" t="s">
        <v>15817</v>
      </c>
      <c r="C2249" s="24" t="s">
        <v>15801</v>
      </c>
      <c r="D2249" s="24" t="s">
        <v>15931</v>
      </c>
      <c r="E2249" s="24" t="s">
        <v>15801</v>
      </c>
      <c r="F2249" s="29" t="s">
        <v>6686</v>
      </c>
      <c r="H2249" s="11" t="str">
        <f t="shared" si="70"/>
        <v/>
      </c>
      <c r="J2249" s="11" t="str">
        <f t="shared" si="71"/>
        <v xml:space="preserve"> </v>
      </c>
      <c r="K2249" s="24" t="s">
        <v>15801</v>
      </c>
    </row>
    <row r="2250" spans="1:11">
      <c r="A2250" s="24" t="s">
        <v>15803</v>
      </c>
      <c r="B2250" s="24" t="s">
        <v>15803</v>
      </c>
      <c r="C2250" s="24" t="s">
        <v>15891</v>
      </c>
      <c r="D2250" s="24" t="s">
        <v>15900</v>
      </c>
      <c r="E2250" s="24" t="s">
        <v>15820</v>
      </c>
      <c r="F2250" s="29" t="s">
        <v>6660</v>
      </c>
      <c r="G2250" s="24" t="s">
        <v>6663</v>
      </c>
      <c r="H2250" s="11" t="str">
        <f t="shared" si="70"/>
        <v>10/11/1883</v>
      </c>
      <c r="J2250" s="11" t="str">
        <f t="shared" si="71"/>
        <v xml:space="preserve"> </v>
      </c>
      <c r="K2250" s="24" t="s">
        <v>6663</v>
      </c>
    </row>
    <row r="2251" spans="1:11">
      <c r="A2251" s="24" t="s">
        <v>15814</v>
      </c>
      <c r="B2251" s="24" t="s">
        <v>15814</v>
      </c>
      <c r="C2251" s="24" t="s">
        <v>15910</v>
      </c>
      <c r="D2251" s="24" t="s">
        <v>15900</v>
      </c>
      <c r="E2251" s="24" t="s">
        <v>15823</v>
      </c>
      <c r="F2251" s="29" t="s">
        <v>6624</v>
      </c>
      <c r="G2251" s="24">
        <v>1889</v>
      </c>
      <c r="H2251" s="11"/>
      <c r="J2251" s="11" t="str">
        <f t="shared" si="71"/>
        <v xml:space="preserve"> </v>
      </c>
    </row>
    <row r="2252" spans="1:11">
      <c r="A2252" s="24" t="s">
        <v>15829</v>
      </c>
      <c r="B2252" s="24" t="s">
        <v>15829</v>
      </c>
      <c r="C2252" s="24" t="s">
        <v>15912</v>
      </c>
      <c r="D2252" s="24" t="s">
        <v>15870</v>
      </c>
      <c r="E2252" s="24" t="s">
        <v>15820</v>
      </c>
      <c r="F2252" s="29" t="s">
        <v>6619</v>
      </c>
      <c r="G2252" s="24" t="s">
        <v>6667</v>
      </c>
      <c r="H2252" s="11" t="str">
        <f t="shared" si="70"/>
        <v>7/3/1893</v>
      </c>
      <c r="J2252" s="11" t="str">
        <f t="shared" si="71"/>
        <v xml:space="preserve"> </v>
      </c>
      <c r="K2252" s="24" t="s">
        <v>6667</v>
      </c>
    </row>
    <row r="2253" spans="1:11">
      <c r="A2253" s="24" t="s">
        <v>15823</v>
      </c>
      <c r="B2253" s="24" t="s">
        <v>15823</v>
      </c>
      <c r="C2253" s="24" t="s">
        <v>15889</v>
      </c>
      <c r="D2253" s="24" t="s">
        <v>15899</v>
      </c>
      <c r="E2253" s="24" t="s">
        <v>15938</v>
      </c>
      <c r="F2253" s="29" t="s">
        <v>6615</v>
      </c>
      <c r="G2253" s="24" t="s">
        <v>6617</v>
      </c>
      <c r="H2253" s="11" t="str">
        <f t="shared" si="70"/>
        <v>3/3/1865</v>
      </c>
      <c r="J2253" s="11" t="str">
        <f t="shared" si="71"/>
        <v xml:space="preserve"> </v>
      </c>
      <c r="K2253" s="24" t="s">
        <v>6617</v>
      </c>
    </row>
    <row r="2254" spans="1:11">
      <c r="A2254" s="24" t="s">
        <v>15829</v>
      </c>
      <c r="B2254" s="24" t="s">
        <v>15829</v>
      </c>
      <c r="C2254" s="24" t="s">
        <v>15916</v>
      </c>
      <c r="D2254" s="24" t="s">
        <v>15900</v>
      </c>
      <c r="E2254" s="24" t="s">
        <v>15820</v>
      </c>
      <c r="F2254" s="29" t="s">
        <v>6619</v>
      </c>
      <c r="G2254" s="24" t="s">
        <v>6621</v>
      </c>
      <c r="H2254" s="11" t="str">
        <f t="shared" si="70"/>
        <v>1/1/1885</v>
      </c>
      <c r="J2254" s="11" t="str">
        <f t="shared" si="71"/>
        <v xml:space="preserve"> </v>
      </c>
      <c r="K2254" s="24" t="s">
        <v>6621</v>
      </c>
    </row>
    <row r="2255" spans="1:11">
      <c r="A2255" s="24" t="s">
        <v>15807</v>
      </c>
      <c r="B2255" s="24" t="s">
        <v>15807</v>
      </c>
      <c r="C2255" s="24" t="s">
        <v>15912</v>
      </c>
      <c r="D2255" s="24" t="s">
        <v>15931</v>
      </c>
      <c r="E2255" s="24" t="s">
        <v>15921</v>
      </c>
      <c r="F2255" s="29" t="s">
        <v>6698</v>
      </c>
      <c r="G2255" s="24" t="s">
        <v>6701</v>
      </c>
      <c r="H2255" s="11" t="str">
        <f t="shared" si="70"/>
        <v>30/3/1893</v>
      </c>
      <c r="J2255" s="11" t="str">
        <f t="shared" si="71"/>
        <v xml:space="preserve"> </v>
      </c>
      <c r="K2255" s="24" t="s">
        <v>6701</v>
      </c>
    </row>
    <row r="2256" spans="1:11">
      <c r="A2256" s="24" t="s">
        <v>15801</v>
      </c>
      <c r="B2256" s="24" t="s">
        <v>15859</v>
      </c>
      <c r="C2256" s="24" t="s">
        <v>15914</v>
      </c>
      <c r="D2256" s="24" t="s">
        <v>15870</v>
      </c>
      <c r="E2256" s="24" t="s">
        <v>15807</v>
      </c>
      <c r="G2256" s="24">
        <v>1858</v>
      </c>
      <c r="H2256" s="11"/>
      <c r="J2256" s="11" t="str">
        <f t="shared" si="71"/>
        <v xml:space="preserve"> </v>
      </c>
    </row>
    <row r="2257" spans="1:11">
      <c r="A2257" s="24" t="s">
        <v>15850</v>
      </c>
      <c r="B2257" s="24" t="s">
        <v>15850</v>
      </c>
      <c r="C2257" s="24" t="s">
        <v>15801</v>
      </c>
      <c r="D2257" s="24" t="s">
        <v>15956</v>
      </c>
      <c r="E2257" s="24" t="s">
        <v>15833</v>
      </c>
      <c r="F2257" s="29" t="s">
        <v>6785</v>
      </c>
      <c r="H2257" s="11" t="str">
        <f t="shared" si="70"/>
        <v/>
      </c>
      <c r="J2257" s="11" t="str">
        <f t="shared" si="71"/>
        <v xml:space="preserve"> </v>
      </c>
      <c r="K2257" s="24" t="s">
        <v>15801</v>
      </c>
    </row>
    <row r="2258" spans="1:11">
      <c r="A2258" s="24" t="s">
        <v>15834</v>
      </c>
      <c r="B2258" s="24" t="s">
        <v>15834</v>
      </c>
      <c r="C2258" s="24" t="s">
        <v>15882</v>
      </c>
      <c r="D2258" s="24" t="s">
        <v>15899</v>
      </c>
      <c r="E2258" s="24" t="s">
        <v>15816</v>
      </c>
      <c r="F2258" s="29" t="s">
        <v>6789</v>
      </c>
      <c r="G2258" s="24">
        <v>1880</v>
      </c>
      <c r="H2258" s="11"/>
      <c r="J2258" s="11" t="str">
        <f t="shared" si="71"/>
        <v xml:space="preserve"> </v>
      </c>
    </row>
    <row r="2259" spans="1:11">
      <c r="A2259" s="24" t="s">
        <v>15820</v>
      </c>
      <c r="B2259" s="24" t="s">
        <v>15820</v>
      </c>
      <c r="C2259" s="24" t="s">
        <v>15801</v>
      </c>
      <c r="D2259" s="24" t="s">
        <v>15899</v>
      </c>
      <c r="E2259" s="24" t="s">
        <v>15801</v>
      </c>
      <c r="F2259" s="29" t="s">
        <v>6767</v>
      </c>
      <c r="H2259" s="11" t="str">
        <f t="shared" si="70"/>
        <v/>
      </c>
      <c r="J2259" s="11" t="str">
        <f t="shared" si="71"/>
        <v xml:space="preserve"> </v>
      </c>
      <c r="K2259" s="24" t="s">
        <v>15801</v>
      </c>
    </row>
    <row r="2260" spans="1:11">
      <c r="A2260" s="24" t="s">
        <v>15819</v>
      </c>
      <c r="B2260" s="24" t="s">
        <v>15819</v>
      </c>
      <c r="C2260" s="24" t="s">
        <v>15895</v>
      </c>
      <c r="D2260" s="24" t="s">
        <v>15870</v>
      </c>
      <c r="E2260" s="24" t="s">
        <v>15876</v>
      </c>
      <c r="F2260" s="29" t="s">
        <v>6779</v>
      </c>
      <c r="G2260" s="24" t="s">
        <v>6782</v>
      </c>
      <c r="H2260" s="11" t="str">
        <f t="shared" si="70"/>
        <v>24/3/1884</v>
      </c>
      <c r="J2260" s="11" t="str">
        <f t="shared" si="71"/>
        <v xml:space="preserve"> </v>
      </c>
      <c r="K2260" s="24" t="s">
        <v>6782</v>
      </c>
    </row>
    <row r="2261" spans="1:11">
      <c r="A2261" s="24" t="s">
        <v>15802</v>
      </c>
      <c r="B2261" s="24" t="s">
        <v>15802</v>
      </c>
      <c r="C2261" s="24" t="s">
        <v>15884</v>
      </c>
      <c r="D2261" s="24" t="s">
        <v>15870</v>
      </c>
      <c r="E2261" s="24" t="s">
        <v>15801</v>
      </c>
      <c r="F2261" s="29" t="s">
        <v>3930</v>
      </c>
      <c r="G2261" s="24" t="s">
        <v>6764</v>
      </c>
      <c r="H2261" s="11" t="str">
        <f t="shared" si="70"/>
        <v>6/2/1838</v>
      </c>
      <c r="J2261" s="11" t="str">
        <f t="shared" si="71"/>
        <v xml:space="preserve"> </v>
      </c>
      <c r="K2261" s="24" t="s">
        <v>6764</v>
      </c>
    </row>
    <row r="2262" spans="1:11">
      <c r="A2262" s="24" t="s">
        <v>15845</v>
      </c>
      <c r="B2262" s="24" t="s">
        <v>15845</v>
      </c>
      <c r="C2262" s="24" t="s">
        <v>15918</v>
      </c>
      <c r="D2262" s="24" t="s">
        <v>15899</v>
      </c>
      <c r="E2262" s="24" t="s">
        <v>15807</v>
      </c>
      <c r="F2262" s="29" t="s">
        <v>6774</v>
      </c>
      <c r="G2262" s="24" t="s">
        <v>6777</v>
      </c>
      <c r="H2262" s="11" t="str">
        <f t="shared" si="70"/>
        <v>7/10/1867</v>
      </c>
      <c r="J2262" s="11" t="str">
        <f t="shared" si="71"/>
        <v xml:space="preserve"> </v>
      </c>
      <c r="K2262" s="24" t="s">
        <v>6777</v>
      </c>
    </row>
    <row r="2263" spans="1:11">
      <c r="A2263" s="24" t="s">
        <v>15807</v>
      </c>
      <c r="B2263" s="24" t="s">
        <v>15807</v>
      </c>
      <c r="C2263" s="24" t="s">
        <v>15801</v>
      </c>
      <c r="D2263" s="24" t="s">
        <v>15956</v>
      </c>
      <c r="E2263" s="24" t="s">
        <v>15801</v>
      </c>
      <c r="H2263" s="11" t="str">
        <f t="shared" si="70"/>
        <v/>
      </c>
      <c r="J2263" s="11" t="str">
        <f t="shared" si="71"/>
        <v xml:space="preserve"> </v>
      </c>
      <c r="K2263" s="24" t="s">
        <v>15801</v>
      </c>
    </row>
    <row r="2264" spans="1:11">
      <c r="A2264" s="24" t="s">
        <v>15802</v>
      </c>
      <c r="B2264" s="24" t="s">
        <v>15802</v>
      </c>
      <c r="C2264" s="24" t="s">
        <v>15801</v>
      </c>
      <c r="D2264" s="24" t="s">
        <v>15956</v>
      </c>
      <c r="E2264" s="24" t="s">
        <v>15876</v>
      </c>
      <c r="F2264" s="29" t="s">
        <v>6756</v>
      </c>
      <c r="H2264" s="11" t="str">
        <f t="shared" si="70"/>
        <v/>
      </c>
      <c r="J2264" s="11" t="str">
        <f t="shared" si="71"/>
        <v xml:space="preserve"> </v>
      </c>
      <c r="K2264" s="24" t="s">
        <v>15801</v>
      </c>
    </row>
    <row r="2265" spans="1:11">
      <c r="A2265" s="24" t="s">
        <v>15817</v>
      </c>
      <c r="B2265" s="24" t="s">
        <v>15817</v>
      </c>
      <c r="C2265" s="24" t="s">
        <v>15801</v>
      </c>
      <c r="D2265" s="24" t="s">
        <v>15899</v>
      </c>
      <c r="E2265" s="24" t="s">
        <v>15915</v>
      </c>
      <c r="F2265" s="29" t="s">
        <v>6091</v>
      </c>
      <c r="H2265" s="11" t="str">
        <f t="shared" si="70"/>
        <v/>
      </c>
      <c r="J2265" s="11" t="str">
        <f t="shared" si="71"/>
        <v xml:space="preserve"> </v>
      </c>
      <c r="K2265" s="24" t="s">
        <v>15801</v>
      </c>
    </row>
    <row r="2266" spans="1:11">
      <c r="A2266" s="24" t="s">
        <v>15828</v>
      </c>
      <c r="B2266" s="24" t="s">
        <v>15828</v>
      </c>
      <c r="C2266" s="24" t="s">
        <v>15801</v>
      </c>
      <c r="D2266" s="24" t="s">
        <v>15956</v>
      </c>
      <c r="E2266" s="24" t="s">
        <v>15801</v>
      </c>
      <c r="F2266" s="29" t="s">
        <v>6792</v>
      </c>
      <c r="H2266" s="11" t="str">
        <f t="shared" si="70"/>
        <v/>
      </c>
      <c r="J2266" s="11" t="str">
        <f t="shared" si="71"/>
        <v xml:space="preserve"> </v>
      </c>
      <c r="K2266" s="24" t="s">
        <v>15801</v>
      </c>
    </row>
    <row r="2267" spans="1:11">
      <c r="A2267" s="24" t="s">
        <v>15820</v>
      </c>
      <c r="B2267" s="24" t="s">
        <v>15820</v>
      </c>
      <c r="C2267" s="24" t="s">
        <v>15954</v>
      </c>
      <c r="D2267" s="24" t="s">
        <v>15956</v>
      </c>
      <c r="E2267" s="24" t="s">
        <v>15956</v>
      </c>
      <c r="F2267" s="29" t="s">
        <v>6795</v>
      </c>
      <c r="G2267" s="24" t="s">
        <v>6797</v>
      </c>
      <c r="H2267" s="11" t="str">
        <f t="shared" si="70"/>
        <v>5/1/1857</v>
      </c>
      <c r="J2267" s="11" t="str">
        <f t="shared" si="71"/>
        <v xml:space="preserve"> </v>
      </c>
      <c r="K2267" s="24" t="s">
        <v>6797</v>
      </c>
    </row>
    <row r="2268" spans="1:11">
      <c r="A2268" s="24" t="s">
        <v>15804</v>
      </c>
      <c r="B2268" s="24" t="s">
        <v>15804</v>
      </c>
      <c r="C2268" s="24" t="s">
        <v>15883</v>
      </c>
      <c r="D2268" s="24" t="s">
        <v>15915</v>
      </c>
      <c r="E2268" s="24" t="s">
        <v>15863</v>
      </c>
      <c r="F2268" s="29" t="s">
        <v>6800</v>
      </c>
      <c r="G2268" s="24" t="s">
        <v>3122</v>
      </c>
      <c r="H2268" s="11" t="str">
        <f t="shared" si="70"/>
        <v>19/10/1874</v>
      </c>
      <c r="J2268" s="11" t="str">
        <f t="shared" si="71"/>
        <v xml:space="preserve"> </v>
      </c>
      <c r="K2268" s="24" t="s">
        <v>3122</v>
      </c>
    </row>
    <row r="2269" spans="1:11">
      <c r="A2269" s="24" t="s">
        <v>15819</v>
      </c>
      <c r="B2269" s="24" t="s">
        <v>15819</v>
      </c>
      <c r="C2269" s="24" t="s">
        <v>15918</v>
      </c>
      <c r="D2269" s="24" t="s">
        <v>15915</v>
      </c>
      <c r="E2269" s="24" t="s">
        <v>15965</v>
      </c>
      <c r="F2269" s="29" t="s">
        <v>6805</v>
      </c>
      <c r="G2269" s="24" t="s">
        <v>6807</v>
      </c>
      <c r="H2269" s="11" t="str">
        <f t="shared" si="70"/>
        <v>22/3/1867</v>
      </c>
      <c r="J2269" s="11" t="str">
        <f t="shared" si="71"/>
        <v xml:space="preserve"> </v>
      </c>
      <c r="K2269" s="24" t="s">
        <v>6807</v>
      </c>
    </row>
    <row r="2270" spans="1:11">
      <c r="A2270" s="24" t="s">
        <v>15817</v>
      </c>
      <c r="B2270" s="24" t="s">
        <v>15817</v>
      </c>
      <c r="C2270" s="24" t="s">
        <v>15893</v>
      </c>
      <c r="D2270" s="24" t="s">
        <v>15899</v>
      </c>
      <c r="E2270" s="24" t="s">
        <v>15915</v>
      </c>
      <c r="F2270" s="29" t="s">
        <v>6822</v>
      </c>
      <c r="G2270" s="24" t="s">
        <v>6825</v>
      </c>
      <c r="H2270" s="11" t="str">
        <f t="shared" si="70"/>
        <v>2/8/1879</v>
      </c>
      <c r="J2270" s="11" t="str">
        <f t="shared" si="71"/>
        <v xml:space="preserve"> </v>
      </c>
      <c r="K2270" s="24" t="s">
        <v>6825</v>
      </c>
    </row>
    <row r="2271" spans="1:11">
      <c r="A2271" s="24" t="s">
        <v>15825</v>
      </c>
      <c r="B2271" s="24" t="s">
        <v>15825</v>
      </c>
      <c r="C2271" s="24" t="s">
        <v>15894</v>
      </c>
      <c r="D2271" s="24" t="s">
        <v>15884</v>
      </c>
      <c r="E2271" s="24" t="s">
        <v>15966</v>
      </c>
      <c r="F2271" s="29" t="s">
        <v>6830</v>
      </c>
      <c r="G2271" s="24" t="s">
        <v>6833</v>
      </c>
      <c r="H2271" s="11" t="str">
        <f t="shared" si="70"/>
        <v>12/1/1901</v>
      </c>
      <c r="J2271" s="11" t="str">
        <f t="shared" si="71"/>
        <v xml:space="preserve"> </v>
      </c>
      <c r="K2271" s="24" t="s">
        <v>6833</v>
      </c>
    </row>
    <row r="2272" spans="1:11">
      <c r="A2272" s="24" t="s">
        <v>15801</v>
      </c>
      <c r="B2272" s="24" t="s">
        <v>15846</v>
      </c>
      <c r="C2272" s="24" t="s">
        <v>15801</v>
      </c>
      <c r="D2272" s="24" t="s">
        <v>15901</v>
      </c>
      <c r="E2272" s="24" t="s">
        <v>15806</v>
      </c>
      <c r="H2272" s="11" t="str">
        <f t="shared" si="70"/>
        <v/>
      </c>
      <c r="J2272" s="11" t="str">
        <f t="shared" si="71"/>
        <v xml:space="preserve"> </v>
      </c>
      <c r="K2272" s="24" t="s">
        <v>15801</v>
      </c>
    </row>
    <row r="2273" spans="1:11">
      <c r="A2273" s="24" t="s">
        <v>15834</v>
      </c>
      <c r="B2273" s="24" t="s">
        <v>15834</v>
      </c>
      <c r="C2273" s="24" t="s">
        <v>15801</v>
      </c>
      <c r="D2273" s="24" t="s">
        <v>15870</v>
      </c>
      <c r="E2273" s="24" t="s">
        <v>15806</v>
      </c>
      <c r="F2273" s="29" t="s">
        <v>6817</v>
      </c>
      <c r="H2273" s="11" t="str">
        <f t="shared" si="70"/>
        <v/>
      </c>
      <c r="J2273" s="11" t="str">
        <f t="shared" si="71"/>
        <v xml:space="preserve"> </v>
      </c>
      <c r="K2273" s="24" t="s">
        <v>15801</v>
      </c>
    </row>
    <row r="2274" spans="1:11">
      <c r="A2274" s="24" t="s">
        <v>15816</v>
      </c>
      <c r="B2274" s="24" t="s">
        <v>15816</v>
      </c>
      <c r="C2274" s="24" t="s">
        <v>15801</v>
      </c>
      <c r="D2274" s="24" t="s">
        <v>15870</v>
      </c>
      <c r="E2274" s="24" t="s">
        <v>15870</v>
      </c>
      <c r="H2274" s="11" t="str">
        <f t="shared" si="70"/>
        <v/>
      </c>
      <c r="J2274" s="11" t="str">
        <f t="shared" si="71"/>
        <v xml:space="preserve"> </v>
      </c>
      <c r="K2274" s="24" t="s">
        <v>15801</v>
      </c>
    </row>
    <row r="2275" spans="1:11">
      <c r="A2275" s="24" t="s">
        <v>15802</v>
      </c>
      <c r="B2275" s="24" t="s">
        <v>15802</v>
      </c>
      <c r="C2275" s="24" t="s">
        <v>15801</v>
      </c>
      <c r="D2275" s="24" t="s">
        <v>15915</v>
      </c>
      <c r="E2275" s="24" t="s">
        <v>15915</v>
      </c>
      <c r="F2275" s="29" t="s">
        <v>6827</v>
      </c>
      <c r="H2275" s="11" t="str">
        <f t="shared" si="70"/>
        <v/>
      </c>
      <c r="J2275" s="11" t="str">
        <f t="shared" si="71"/>
        <v xml:space="preserve"> </v>
      </c>
      <c r="K2275" s="24" t="s">
        <v>15801</v>
      </c>
    </row>
    <row r="2276" spans="1:11">
      <c r="A2276" s="24" t="s">
        <v>15833</v>
      </c>
      <c r="B2276" s="24" t="s">
        <v>15833</v>
      </c>
      <c r="C2276" s="24" t="s">
        <v>15801</v>
      </c>
      <c r="D2276" s="24" t="s">
        <v>15908</v>
      </c>
      <c r="E2276" s="24" t="s">
        <v>15956</v>
      </c>
      <c r="F2276" s="29" t="s">
        <v>15979</v>
      </c>
      <c r="H2276" s="11" t="str">
        <f t="shared" si="70"/>
        <v/>
      </c>
      <c r="J2276" s="11" t="str">
        <f t="shared" si="71"/>
        <v xml:space="preserve"> </v>
      </c>
      <c r="K2276" s="24" t="s">
        <v>15801</v>
      </c>
    </row>
    <row r="2277" spans="1:11">
      <c r="A2277" s="24" t="s">
        <v>15801</v>
      </c>
      <c r="B2277" s="24" t="s">
        <v>15843</v>
      </c>
      <c r="C2277" s="24" t="s">
        <v>15801</v>
      </c>
      <c r="D2277" s="24" t="s">
        <v>15870</v>
      </c>
      <c r="E2277" s="24" t="s">
        <v>15801</v>
      </c>
      <c r="H2277" s="11" t="str">
        <f t="shared" si="70"/>
        <v/>
      </c>
      <c r="J2277" s="11" t="str">
        <f t="shared" si="71"/>
        <v xml:space="preserve"> </v>
      </c>
      <c r="K2277" s="24" t="s">
        <v>15801</v>
      </c>
    </row>
    <row r="2278" spans="1:11">
      <c r="A2278" s="24" t="s">
        <v>15849</v>
      </c>
      <c r="B2278" s="24" t="s">
        <v>15849</v>
      </c>
      <c r="C2278" s="24" t="s">
        <v>15801</v>
      </c>
      <c r="D2278" s="24" t="s">
        <v>15956</v>
      </c>
      <c r="E2278" s="24" t="s">
        <v>15801</v>
      </c>
      <c r="F2278" s="29" t="s">
        <v>6841</v>
      </c>
      <c r="H2278" s="11" t="str">
        <f t="shared" si="70"/>
        <v/>
      </c>
      <c r="J2278" s="11" t="str">
        <f t="shared" si="71"/>
        <v xml:space="preserve"> </v>
      </c>
      <c r="K2278" s="24" t="s">
        <v>15801</v>
      </c>
    </row>
    <row r="2279" spans="1:11">
      <c r="A2279" s="24" t="s">
        <v>15801</v>
      </c>
      <c r="B2279" s="24" t="s">
        <v>15843</v>
      </c>
      <c r="C2279" s="24" t="s">
        <v>15946</v>
      </c>
      <c r="D2279" s="24" t="s">
        <v>15900</v>
      </c>
      <c r="E2279" s="24" t="s">
        <v>15801</v>
      </c>
      <c r="G2279" s="24">
        <v>1860</v>
      </c>
      <c r="H2279" s="11"/>
      <c r="J2279" s="11" t="str">
        <f t="shared" si="71"/>
        <v xml:space="preserve"> </v>
      </c>
    </row>
    <row r="2280" spans="1:11">
      <c r="A2280" s="24" t="s">
        <v>15839</v>
      </c>
      <c r="B2280" s="24" t="s">
        <v>15839</v>
      </c>
      <c r="C2280" s="24" t="s">
        <v>15844</v>
      </c>
      <c r="D2280" s="24" t="s">
        <v>15900</v>
      </c>
      <c r="E2280" s="24" t="s">
        <v>15833</v>
      </c>
      <c r="F2280" s="29" t="s">
        <v>6844</v>
      </c>
      <c r="G2280" s="24" t="s">
        <v>6845</v>
      </c>
      <c r="H2280" s="11" t="str">
        <f t="shared" si="70"/>
        <v>6/8/1826</v>
      </c>
      <c r="J2280" s="11" t="str">
        <f t="shared" si="71"/>
        <v xml:space="preserve"> </v>
      </c>
      <c r="K2280" s="24" t="s">
        <v>6845</v>
      </c>
    </row>
    <row r="2281" spans="1:11">
      <c r="A2281" s="24" t="s">
        <v>15806</v>
      </c>
      <c r="B2281" s="24" t="s">
        <v>15806</v>
      </c>
      <c r="C2281" s="24" t="s">
        <v>15924</v>
      </c>
      <c r="D2281" s="24" t="s">
        <v>15948</v>
      </c>
      <c r="E2281" s="24" t="s">
        <v>15801</v>
      </c>
      <c r="F2281" s="29" t="s">
        <v>6849</v>
      </c>
      <c r="G2281" s="24" t="s">
        <v>6852</v>
      </c>
      <c r="H2281" s="11" t="str">
        <f t="shared" si="70"/>
        <v>27/7/1868</v>
      </c>
      <c r="J2281" s="11" t="str">
        <f t="shared" si="71"/>
        <v xml:space="preserve"> </v>
      </c>
      <c r="K2281" s="24" t="s">
        <v>6852</v>
      </c>
    </row>
    <row r="2282" spans="1:11">
      <c r="A2282" s="24" t="s">
        <v>15811</v>
      </c>
      <c r="B2282" s="24" t="s">
        <v>15811</v>
      </c>
      <c r="C2282" s="24" t="s">
        <v>15801</v>
      </c>
      <c r="D2282" s="24" t="s">
        <v>15884</v>
      </c>
      <c r="E2282" s="24" t="s">
        <v>15801</v>
      </c>
      <c r="F2282" s="29" t="s">
        <v>6855</v>
      </c>
      <c r="H2282" s="11" t="str">
        <f t="shared" si="70"/>
        <v/>
      </c>
      <c r="J2282" s="11" t="str">
        <f t="shared" si="71"/>
        <v xml:space="preserve"> </v>
      </c>
      <c r="K2282" s="24" t="s">
        <v>15801</v>
      </c>
    </row>
    <row r="2283" spans="1:11">
      <c r="A2283" s="24" t="s">
        <v>15801</v>
      </c>
      <c r="B2283" s="24" t="s">
        <v>15839</v>
      </c>
      <c r="C2283" s="24" t="s">
        <v>15929</v>
      </c>
      <c r="D2283" s="24" t="s">
        <v>15965</v>
      </c>
      <c r="E2283" s="24" t="s">
        <v>15833</v>
      </c>
      <c r="G2283" s="24" t="s">
        <v>6861</v>
      </c>
      <c r="H2283" s="11" t="str">
        <f t="shared" si="70"/>
        <v>22/12/1878</v>
      </c>
      <c r="J2283" s="11" t="str">
        <f t="shared" si="71"/>
        <v xml:space="preserve"> </v>
      </c>
      <c r="K2283" s="24" t="s">
        <v>6861</v>
      </c>
    </row>
    <row r="2284" spans="1:11">
      <c r="A2284" s="24" t="s">
        <v>15801</v>
      </c>
      <c r="B2284" s="24" t="s">
        <v>15846</v>
      </c>
      <c r="C2284" s="24" t="s">
        <v>15801</v>
      </c>
      <c r="D2284" s="24" t="s">
        <v>15884</v>
      </c>
      <c r="E2284" s="24" t="s">
        <v>15802</v>
      </c>
      <c r="H2284" s="11" t="str">
        <f t="shared" si="70"/>
        <v/>
      </c>
      <c r="J2284" s="11" t="str">
        <f t="shared" si="71"/>
        <v xml:space="preserve"> </v>
      </c>
      <c r="K2284" s="24" t="s">
        <v>15801</v>
      </c>
    </row>
    <row r="2285" spans="1:11">
      <c r="A2285" s="24" t="s">
        <v>15802</v>
      </c>
      <c r="B2285" s="24" t="s">
        <v>15802</v>
      </c>
      <c r="C2285" s="24" t="s">
        <v>15801</v>
      </c>
      <c r="D2285" s="24" t="s">
        <v>15870</v>
      </c>
      <c r="E2285" s="24" t="s">
        <v>15884</v>
      </c>
      <c r="F2285" s="29" t="s">
        <v>6868</v>
      </c>
      <c r="H2285" s="11" t="str">
        <f t="shared" si="70"/>
        <v/>
      </c>
      <c r="J2285" s="11" t="str">
        <f t="shared" si="71"/>
        <v xml:space="preserve"> </v>
      </c>
      <c r="K2285" s="24" t="s">
        <v>15801</v>
      </c>
    </row>
    <row r="2286" spans="1:11">
      <c r="A2286" s="24" t="s">
        <v>15817</v>
      </c>
      <c r="B2286" s="24" t="s">
        <v>15817</v>
      </c>
      <c r="C2286" s="24" t="s">
        <v>15957</v>
      </c>
      <c r="D2286" s="24" t="s">
        <v>15915</v>
      </c>
      <c r="E2286" s="24" t="s">
        <v>15931</v>
      </c>
      <c r="F2286" s="29" t="s">
        <v>6920</v>
      </c>
      <c r="G2286" s="24" t="s">
        <v>6923</v>
      </c>
      <c r="H2286" s="11" t="str">
        <f t="shared" si="70"/>
        <v>16/9/1905</v>
      </c>
      <c r="J2286" s="11" t="str">
        <f t="shared" si="71"/>
        <v xml:space="preserve"> </v>
      </c>
      <c r="K2286" s="24" t="s">
        <v>6923</v>
      </c>
    </row>
    <row r="2287" spans="1:11">
      <c r="A2287" s="24" t="s">
        <v>15801</v>
      </c>
      <c r="B2287" s="24" t="s">
        <v>15829</v>
      </c>
      <c r="C2287" s="24" t="s">
        <v>15949</v>
      </c>
      <c r="D2287" s="24" t="s">
        <v>15900</v>
      </c>
      <c r="E2287" s="24" t="s">
        <v>15827</v>
      </c>
      <c r="G2287" s="24" t="s">
        <v>6874</v>
      </c>
      <c r="H2287" s="11" t="str">
        <f t="shared" si="70"/>
        <v>20/3/1859</v>
      </c>
      <c r="J2287" s="11" t="str">
        <f t="shared" si="71"/>
        <v xml:space="preserve"> </v>
      </c>
      <c r="K2287" s="24" t="s">
        <v>6874</v>
      </c>
    </row>
    <row r="2288" spans="1:11">
      <c r="A2288" s="24" t="s">
        <v>15801</v>
      </c>
      <c r="B2288" s="24" t="s">
        <v>15813</v>
      </c>
      <c r="C2288" s="24" t="s">
        <v>15801</v>
      </c>
      <c r="D2288" s="24" t="s">
        <v>15900</v>
      </c>
      <c r="E2288" s="24" t="s">
        <v>15823</v>
      </c>
      <c r="H2288" s="11" t="str">
        <f t="shared" si="70"/>
        <v/>
      </c>
      <c r="J2288" s="11" t="str">
        <f t="shared" si="71"/>
        <v xml:space="preserve"> </v>
      </c>
      <c r="K2288" s="24" t="s">
        <v>15801</v>
      </c>
    </row>
    <row r="2289" spans="1:11">
      <c r="A2289" s="24" t="s">
        <v>15801</v>
      </c>
      <c r="B2289" s="24" t="s">
        <v>15849</v>
      </c>
      <c r="C2289" s="24" t="s">
        <v>15931</v>
      </c>
      <c r="D2289" s="24" t="s">
        <v>15915</v>
      </c>
      <c r="E2289" s="24" t="s">
        <v>15802</v>
      </c>
      <c r="G2289" s="24" t="s">
        <v>6891</v>
      </c>
      <c r="H2289" s="11"/>
      <c r="J2289" s="11" t="str">
        <f t="shared" si="71"/>
        <v xml:space="preserve"> </v>
      </c>
    </row>
    <row r="2290" spans="1:11">
      <c r="A2290" s="24" t="s">
        <v>15810</v>
      </c>
      <c r="B2290" s="24" t="s">
        <v>15810</v>
      </c>
      <c r="C2290" s="24" t="s">
        <v>15887</v>
      </c>
      <c r="D2290" s="24" t="s">
        <v>15915</v>
      </c>
      <c r="E2290" s="24" t="s">
        <v>15899</v>
      </c>
      <c r="F2290" s="29" t="s">
        <v>6904</v>
      </c>
      <c r="G2290" s="24" t="s">
        <v>6907</v>
      </c>
      <c r="H2290" s="11" t="str">
        <f t="shared" si="70"/>
        <v>22/10/1856</v>
      </c>
      <c r="J2290" s="11" t="str">
        <f t="shared" si="71"/>
        <v xml:space="preserve"> </v>
      </c>
      <c r="K2290" s="24" t="s">
        <v>6907</v>
      </c>
    </row>
    <row r="2291" spans="1:11">
      <c r="A2291" s="24" t="s">
        <v>15811</v>
      </c>
      <c r="B2291" s="24" t="s">
        <v>15811</v>
      </c>
      <c r="C2291" s="24" t="s">
        <v>15912</v>
      </c>
      <c r="D2291" s="24" t="s">
        <v>15915</v>
      </c>
      <c r="E2291" s="24" t="s">
        <v>15801</v>
      </c>
      <c r="F2291" s="29" t="s">
        <v>6910</v>
      </c>
      <c r="G2291" s="24" t="s">
        <v>6912</v>
      </c>
      <c r="H2291" s="11" t="str">
        <f t="shared" si="70"/>
        <v>5/5/1893</v>
      </c>
      <c r="J2291" s="11" t="str">
        <f t="shared" si="71"/>
        <v xml:space="preserve"> </v>
      </c>
      <c r="K2291" s="24" t="s">
        <v>6912</v>
      </c>
    </row>
    <row r="2292" spans="1:11">
      <c r="A2292" s="24" t="s">
        <v>15837</v>
      </c>
      <c r="B2292" s="24" t="s">
        <v>15837</v>
      </c>
      <c r="C2292" s="24" t="s">
        <v>15954</v>
      </c>
      <c r="D2292" s="24" t="s">
        <v>15915</v>
      </c>
      <c r="E2292" s="24" t="s">
        <v>15810</v>
      </c>
      <c r="F2292" s="29" t="s">
        <v>6915</v>
      </c>
      <c r="G2292" s="24" t="s">
        <v>6917</v>
      </c>
      <c r="H2292" s="11" t="str">
        <f t="shared" si="70"/>
        <v>3/5/1857</v>
      </c>
      <c r="J2292" s="11" t="str">
        <f t="shared" si="71"/>
        <v xml:space="preserve"> </v>
      </c>
      <c r="K2292" s="24" t="s">
        <v>6917</v>
      </c>
    </row>
    <row r="2293" spans="1:11">
      <c r="A2293" s="24" t="s">
        <v>15817</v>
      </c>
      <c r="B2293" s="24" t="s">
        <v>15817</v>
      </c>
      <c r="C2293" s="24" t="s">
        <v>15933</v>
      </c>
      <c r="D2293" s="24" t="s">
        <v>15915</v>
      </c>
      <c r="E2293" s="24" t="s">
        <v>15905</v>
      </c>
      <c r="F2293" s="29" t="s">
        <v>6898</v>
      </c>
      <c r="G2293" s="24" t="s">
        <v>6901</v>
      </c>
      <c r="H2293" s="11" t="str">
        <f t="shared" si="70"/>
        <v>20/9/1873</v>
      </c>
      <c r="J2293" s="11" t="str">
        <f t="shared" si="71"/>
        <v xml:space="preserve"> </v>
      </c>
      <c r="K2293" s="24" t="s">
        <v>6901</v>
      </c>
    </row>
    <row r="2294" spans="1:11">
      <c r="A2294" s="24" t="s">
        <v>15801</v>
      </c>
      <c r="B2294" s="24" t="s">
        <v>15835</v>
      </c>
      <c r="C2294" s="24" t="s">
        <v>15939</v>
      </c>
      <c r="D2294" s="24" t="s">
        <v>15915</v>
      </c>
      <c r="E2294" s="24" t="s">
        <v>15828</v>
      </c>
      <c r="G2294" s="24" t="s">
        <v>6930</v>
      </c>
      <c r="H2294" s="11" t="str">
        <f t="shared" si="70"/>
        <v>25/6/1872</v>
      </c>
      <c r="J2294" s="11" t="str">
        <f t="shared" si="71"/>
        <v xml:space="preserve"> </v>
      </c>
      <c r="K2294" s="24" t="s">
        <v>6930</v>
      </c>
    </row>
    <row r="2295" spans="1:11">
      <c r="A2295" s="24" t="s">
        <v>15827</v>
      </c>
      <c r="B2295" s="24" t="s">
        <v>15827</v>
      </c>
      <c r="C2295" s="24" t="s">
        <v>15958</v>
      </c>
      <c r="D2295" s="24" t="s">
        <v>15915</v>
      </c>
      <c r="E2295" s="24" t="s">
        <v>15878</v>
      </c>
      <c r="F2295" s="29" t="s">
        <v>6883</v>
      </c>
      <c r="G2295" s="24" t="s">
        <v>6886</v>
      </c>
      <c r="H2295" s="11" t="str">
        <f t="shared" si="70"/>
        <v>24/10/1903</v>
      </c>
      <c r="J2295" s="11" t="str">
        <f t="shared" si="71"/>
        <v xml:space="preserve"> </v>
      </c>
      <c r="K2295" s="24" t="s">
        <v>6886</v>
      </c>
    </row>
    <row r="2296" spans="1:11">
      <c r="A2296" s="24" t="s">
        <v>15813</v>
      </c>
      <c r="B2296" s="24" t="s">
        <v>15813</v>
      </c>
      <c r="C2296" s="24" t="s">
        <v>15888</v>
      </c>
      <c r="D2296" s="24" t="s">
        <v>15915</v>
      </c>
      <c r="E2296" s="24" t="s">
        <v>15823</v>
      </c>
      <c r="F2296" s="29" t="s">
        <v>6877</v>
      </c>
      <c r="G2296" s="24" t="s">
        <v>6880</v>
      </c>
      <c r="H2296" s="11" t="str">
        <f t="shared" si="70"/>
        <v>14/12/1864</v>
      </c>
      <c r="J2296" s="11" t="str">
        <f t="shared" si="71"/>
        <v xml:space="preserve"> </v>
      </c>
      <c r="K2296" s="24" t="s">
        <v>6880</v>
      </c>
    </row>
    <row r="2297" spans="1:11">
      <c r="A2297" s="24" t="s">
        <v>15823</v>
      </c>
      <c r="B2297" s="24" t="s">
        <v>15823</v>
      </c>
      <c r="C2297" s="24" t="s">
        <v>15894</v>
      </c>
      <c r="D2297" s="24" t="s">
        <v>15915</v>
      </c>
      <c r="E2297" s="24" t="s">
        <v>15801</v>
      </c>
      <c r="F2297" s="29" t="s">
        <v>6893</v>
      </c>
      <c r="G2297" s="24" t="s">
        <v>6896</v>
      </c>
      <c r="H2297" s="11" t="str">
        <f t="shared" si="70"/>
        <v>23/11/1901</v>
      </c>
      <c r="J2297" s="11" t="str">
        <f t="shared" si="71"/>
        <v xml:space="preserve"> </v>
      </c>
      <c r="K2297" s="24" t="s">
        <v>6896</v>
      </c>
    </row>
    <row r="2298" spans="1:11">
      <c r="A2298" s="24" t="s">
        <v>15811</v>
      </c>
      <c r="B2298" s="24" t="s">
        <v>15811</v>
      </c>
      <c r="C2298" s="24" t="s">
        <v>15801</v>
      </c>
      <c r="D2298" s="24" t="s">
        <v>15948</v>
      </c>
      <c r="E2298" s="24" t="s">
        <v>15948</v>
      </c>
      <c r="F2298" s="29" t="s">
        <v>6932</v>
      </c>
      <c r="H2298" s="11" t="str">
        <f t="shared" si="70"/>
        <v/>
      </c>
      <c r="J2298" s="11" t="str">
        <f t="shared" si="71"/>
        <v xml:space="preserve"> </v>
      </c>
      <c r="K2298" s="24" t="s">
        <v>15801</v>
      </c>
    </row>
    <row r="2299" spans="1:11">
      <c r="A2299" s="24" t="s">
        <v>15818</v>
      </c>
      <c r="B2299" s="24" t="s">
        <v>15818</v>
      </c>
      <c r="C2299" s="24" t="s">
        <v>15885</v>
      </c>
      <c r="D2299" s="24" t="s">
        <v>15956</v>
      </c>
      <c r="E2299" s="24" t="s">
        <v>15801</v>
      </c>
      <c r="F2299" s="29" t="s">
        <v>6936</v>
      </c>
      <c r="G2299" s="24" t="s">
        <v>6937</v>
      </c>
      <c r="H2299" s="11" t="str">
        <f t="shared" si="70"/>
        <v>7/7/1866</v>
      </c>
      <c r="J2299" s="11" t="str">
        <f t="shared" si="71"/>
        <v xml:space="preserve"> </v>
      </c>
      <c r="K2299" s="24" t="s">
        <v>6937</v>
      </c>
    </row>
    <row r="2300" spans="1:11">
      <c r="A2300" s="24" t="s">
        <v>15801</v>
      </c>
      <c r="B2300" s="24" t="s">
        <v>15867</v>
      </c>
      <c r="C2300" s="24" t="s">
        <v>15897</v>
      </c>
      <c r="D2300" s="24" t="s">
        <v>15884</v>
      </c>
      <c r="E2300" s="24" t="s">
        <v>15801</v>
      </c>
      <c r="G2300" s="24" t="s">
        <v>6940</v>
      </c>
      <c r="H2300" s="11" t="str">
        <f t="shared" si="70"/>
        <v>15/11/1861</v>
      </c>
      <c r="J2300" s="11" t="str">
        <f t="shared" si="71"/>
        <v xml:space="preserve"> </v>
      </c>
      <c r="K2300" s="24" t="s">
        <v>6940</v>
      </c>
    </row>
    <row r="2301" spans="1:11">
      <c r="A2301" s="24" t="s">
        <v>15825</v>
      </c>
      <c r="B2301" s="24" t="s">
        <v>15825</v>
      </c>
      <c r="C2301" s="24" t="s">
        <v>15801</v>
      </c>
      <c r="D2301" s="24" t="s">
        <v>15956</v>
      </c>
      <c r="E2301" s="24" t="s">
        <v>15851</v>
      </c>
      <c r="F2301" s="29" t="s">
        <v>6942</v>
      </c>
      <c r="H2301" s="11" t="str">
        <f t="shared" si="70"/>
        <v/>
      </c>
      <c r="J2301" s="11" t="str">
        <f t="shared" si="71"/>
        <v xml:space="preserve"> </v>
      </c>
      <c r="K2301" s="24" t="s">
        <v>15801</v>
      </c>
    </row>
    <row r="2302" spans="1:11">
      <c r="A2302" s="24" t="s">
        <v>15801</v>
      </c>
      <c r="B2302" s="24" t="s">
        <v>15841</v>
      </c>
      <c r="C2302" s="24" t="s">
        <v>15801</v>
      </c>
      <c r="D2302" s="24" t="s">
        <v>15900</v>
      </c>
      <c r="E2302" s="24" t="s">
        <v>15966</v>
      </c>
      <c r="H2302" s="11" t="str">
        <f t="shared" si="70"/>
        <v/>
      </c>
      <c r="J2302" s="11" t="str">
        <f t="shared" si="71"/>
        <v xml:space="preserve"> </v>
      </c>
      <c r="K2302" s="24" t="s">
        <v>15801</v>
      </c>
    </row>
    <row r="2303" spans="1:11">
      <c r="A2303" s="24" t="s">
        <v>15819</v>
      </c>
      <c r="B2303" s="24" t="s">
        <v>15819</v>
      </c>
      <c r="C2303" s="24" t="s">
        <v>15928</v>
      </c>
      <c r="D2303" s="24" t="s">
        <v>15899</v>
      </c>
      <c r="E2303" s="24" t="s">
        <v>15901</v>
      </c>
      <c r="F2303" s="29" t="s">
        <v>6947</v>
      </c>
      <c r="G2303" s="24" t="s">
        <v>6950</v>
      </c>
      <c r="H2303" s="11" t="str">
        <f t="shared" si="70"/>
        <v>22/3/1899</v>
      </c>
      <c r="J2303" s="11" t="str">
        <f t="shared" si="71"/>
        <v xml:space="preserve"> </v>
      </c>
      <c r="K2303" s="24" t="s">
        <v>6950</v>
      </c>
    </row>
    <row r="2304" spans="1:11">
      <c r="A2304" s="24" t="s">
        <v>15859</v>
      </c>
      <c r="B2304" s="24" t="s">
        <v>15859</v>
      </c>
      <c r="C2304" s="24" t="s">
        <v>15939</v>
      </c>
      <c r="D2304" s="24" t="s">
        <v>15899</v>
      </c>
      <c r="E2304" s="24" t="s">
        <v>15818</v>
      </c>
      <c r="F2304" s="29" t="s">
        <v>6970</v>
      </c>
      <c r="G2304" s="24" t="s">
        <v>6973</v>
      </c>
      <c r="H2304" s="11" t="str">
        <f t="shared" si="70"/>
        <v>28/4/1872</v>
      </c>
      <c r="J2304" s="11" t="str">
        <f t="shared" si="71"/>
        <v xml:space="preserve"> </v>
      </c>
      <c r="K2304" s="24" t="s">
        <v>6973</v>
      </c>
    </row>
    <row r="2305" spans="1:11">
      <c r="A2305" s="24" t="s">
        <v>15801</v>
      </c>
      <c r="B2305" s="24" t="s">
        <v>15821</v>
      </c>
      <c r="C2305" s="24" t="s">
        <v>15801</v>
      </c>
      <c r="D2305" s="24" t="s">
        <v>15899</v>
      </c>
      <c r="E2305" s="24" t="s">
        <v>15966</v>
      </c>
      <c r="H2305" s="11" t="str">
        <f t="shared" si="70"/>
        <v/>
      </c>
      <c r="J2305" s="11" t="str">
        <f t="shared" si="71"/>
        <v xml:space="preserve"> </v>
      </c>
      <c r="K2305" s="24" t="s">
        <v>15801</v>
      </c>
    </row>
    <row r="2306" spans="1:11">
      <c r="A2306" s="24" t="s">
        <v>15807</v>
      </c>
      <c r="B2306" s="24" t="s">
        <v>15807</v>
      </c>
      <c r="C2306" s="24" t="s">
        <v>15895</v>
      </c>
      <c r="D2306" s="24" t="s">
        <v>15899</v>
      </c>
      <c r="E2306" s="24" t="s">
        <v>15931</v>
      </c>
      <c r="F2306" s="29" t="s">
        <v>6956</v>
      </c>
      <c r="G2306" s="24" t="s">
        <v>6957</v>
      </c>
      <c r="H2306" s="11" t="str">
        <f t="shared" si="70"/>
        <v>5/3/1884</v>
      </c>
      <c r="J2306" s="11" t="str">
        <f t="shared" si="71"/>
        <v xml:space="preserve"> </v>
      </c>
      <c r="K2306" s="24" t="s">
        <v>6957</v>
      </c>
    </row>
    <row r="2307" spans="1:11">
      <c r="A2307" s="24" t="s">
        <v>15816</v>
      </c>
      <c r="B2307" s="24" t="s">
        <v>15816</v>
      </c>
      <c r="C2307" s="24" t="s">
        <v>15920</v>
      </c>
      <c r="D2307" s="24" t="s">
        <v>15899</v>
      </c>
      <c r="E2307" s="24" t="s">
        <v>15900</v>
      </c>
      <c r="F2307" s="29" t="s">
        <v>6976</v>
      </c>
      <c r="G2307" s="24" t="s">
        <v>6979</v>
      </c>
      <c r="H2307" s="11" t="str">
        <f t="shared" ref="H2307:H2370" si="72">TRIM(G2307)</f>
        <v>30/08/1852</v>
      </c>
      <c r="J2307" s="11" t="str">
        <f t="shared" ref="J2307:J2370" si="73">IF(LEN(H2307)=4,"fout"," ")</f>
        <v xml:space="preserve"> </v>
      </c>
      <c r="K2307" s="24" t="s">
        <v>6979</v>
      </c>
    </row>
    <row r="2308" spans="1:11">
      <c r="A2308" s="24" t="s">
        <v>15828</v>
      </c>
      <c r="B2308" s="24" t="s">
        <v>15828</v>
      </c>
      <c r="C2308" s="24" t="s">
        <v>15934</v>
      </c>
      <c r="D2308" s="24" t="s">
        <v>15899</v>
      </c>
      <c r="E2308" s="24" t="s">
        <v>15801</v>
      </c>
      <c r="F2308" s="29" t="s">
        <v>6986</v>
      </c>
      <c r="G2308" s="24" t="s">
        <v>6988</v>
      </c>
      <c r="H2308" s="11" t="str">
        <f t="shared" si="72"/>
        <v>16/6/1898</v>
      </c>
      <c r="J2308" s="11" t="str">
        <f t="shared" si="73"/>
        <v xml:space="preserve"> </v>
      </c>
      <c r="K2308" s="24" t="s">
        <v>6988</v>
      </c>
    </row>
    <row r="2309" spans="1:11">
      <c r="A2309" s="24" t="s">
        <v>15827</v>
      </c>
      <c r="B2309" s="24" t="s">
        <v>15827</v>
      </c>
      <c r="C2309" s="24" t="s">
        <v>15801</v>
      </c>
      <c r="D2309" s="24" t="s">
        <v>15899</v>
      </c>
      <c r="E2309" s="24" t="s">
        <v>15878</v>
      </c>
      <c r="F2309" s="29" t="s">
        <v>7008</v>
      </c>
      <c r="H2309" s="11" t="str">
        <f t="shared" si="72"/>
        <v/>
      </c>
      <c r="J2309" s="11" t="str">
        <f t="shared" si="73"/>
        <v xml:space="preserve"> </v>
      </c>
      <c r="K2309" s="24" t="s">
        <v>15801</v>
      </c>
    </row>
    <row r="2310" spans="1:11">
      <c r="A2310" s="24" t="s">
        <v>15811</v>
      </c>
      <c r="B2310" s="24" t="s">
        <v>15811</v>
      </c>
      <c r="C2310" s="24" t="s">
        <v>15894</v>
      </c>
      <c r="D2310" s="24" t="s">
        <v>15801</v>
      </c>
      <c r="E2310" s="24" t="s">
        <v>15801</v>
      </c>
      <c r="F2310" s="29" t="s">
        <v>7002</v>
      </c>
      <c r="G2310" s="24" t="s">
        <v>7004</v>
      </c>
      <c r="H2310" s="11" t="str">
        <f t="shared" si="72"/>
        <v>31/1/1901</v>
      </c>
      <c r="J2310" s="11" t="str">
        <f t="shared" si="73"/>
        <v xml:space="preserve"> </v>
      </c>
      <c r="K2310" s="24" t="s">
        <v>7004</v>
      </c>
    </row>
    <row r="2311" spans="1:11">
      <c r="A2311" s="24" t="s">
        <v>15817</v>
      </c>
      <c r="B2311" s="24" t="s">
        <v>15817</v>
      </c>
      <c r="C2311" s="24" t="s">
        <v>15958</v>
      </c>
      <c r="D2311" s="24" t="s">
        <v>15899</v>
      </c>
      <c r="E2311" s="24" t="s">
        <v>15899</v>
      </c>
      <c r="F2311" s="29" t="s">
        <v>7017</v>
      </c>
      <c r="G2311" s="24" t="s">
        <v>7020</v>
      </c>
      <c r="H2311" s="11" t="str">
        <f t="shared" si="72"/>
        <v>1/6/1903</v>
      </c>
      <c r="J2311" s="11" t="str">
        <f t="shared" si="73"/>
        <v xml:space="preserve"> </v>
      </c>
      <c r="K2311" s="24" t="s">
        <v>7020</v>
      </c>
    </row>
    <row r="2312" spans="1:11">
      <c r="A2312" s="24" t="s">
        <v>15850</v>
      </c>
      <c r="B2312" s="24" t="s">
        <v>15850</v>
      </c>
      <c r="C2312" s="24" t="s">
        <v>15801</v>
      </c>
      <c r="D2312" s="24" t="s">
        <v>15900</v>
      </c>
      <c r="E2312" s="24" t="s">
        <v>15825</v>
      </c>
      <c r="H2312" s="11" t="str">
        <f t="shared" si="72"/>
        <v/>
      </c>
      <c r="J2312" s="11" t="str">
        <f t="shared" si="73"/>
        <v xml:space="preserve"> </v>
      </c>
      <c r="K2312" s="24" t="s">
        <v>15801</v>
      </c>
    </row>
    <row r="2313" spans="1:11">
      <c r="A2313" s="24" t="s">
        <v>15806</v>
      </c>
      <c r="B2313" s="24" t="s">
        <v>15806</v>
      </c>
      <c r="C2313" s="24" t="s">
        <v>15880</v>
      </c>
      <c r="D2313" s="24" t="s">
        <v>15900</v>
      </c>
      <c r="E2313" s="24" t="s">
        <v>15965</v>
      </c>
      <c r="F2313" s="29" t="s">
        <v>7038</v>
      </c>
      <c r="G2313" s="24" t="s">
        <v>7041</v>
      </c>
      <c r="H2313" s="11" t="str">
        <f t="shared" si="72"/>
        <v>1/7/1892</v>
      </c>
      <c r="J2313" s="11" t="str">
        <f t="shared" si="73"/>
        <v xml:space="preserve"> </v>
      </c>
      <c r="K2313" s="24" t="s">
        <v>7041</v>
      </c>
    </row>
    <row r="2314" spans="1:11" s="27" customFormat="1">
      <c r="A2314" s="26" t="s">
        <v>15811</v>
      </c>
      <c r="B2314" s="26" t="s">
        <v>15811</v>
      </c>
      <c r="C2314" s="26" t="s">
        <v>15941</v>
      </c>
      <c r="D2314" s="26" t="s">
        <v>15900</v>
      </c>
      <c r="E2314" s="26" t="s">
        <v>15801</v>
      </c>
      <c r="F2314" s="30" t="s">
        <v>7030</v>
      </c>
      <c r="G2314" s="24" t="s">
        <v>7033</v>
      </c>
      <c r="H2314" s="11" t="str">
        <f t="shared" si="72"/>
        <v>13/8/1902</v>
      </c>
      <c r="I2314" s="11"/>
      <c r="J2314" s="11" t="str">
        <f t="shared" si="73"/>
        <v xml:space="preserve"> </v>
      </c>
      <c r="K2314" s="26" t="s">
        <v>7033</v>
      </c>
    </row>
    <row r="2315" spans="1:11">
      <c r="A2315" s="24" t="s">
        <v>15801</v>
      </c>
      <c r="C2315" s="32" t="s">
        <v>15801</v>
      </c>
      <c r="D2315" s="24" t="s">
        <v>15801</v>
      </c>
      <c r="E2315" s="24" t="s">
        <v>15801</v>
      </c>
      <c r="H2315" s="11" t="str">
        <f t="shared" si="72"/>
        <v/>
      </c>
      <c r="J2315" s="11" t="str">
        <f t="shared" si="73"/>
        <v xml:space="preserve"> </v>
      </c>
      <c r="K2315" s="24" t="s">
        <v>15801</v>
      </c>
    </row>
    <row r="2316" spans="1:11">
      <c r="A2316" s="24" t="s">
        <v>15801</v>
      </c>
      <c r="C2316" s="32" t="s">
        <v>15801</v>
      </c>
      <c r="D2316" s="24" t="s">
        <v>15801</v>
      </c>
      <c r="E2316" s="24" t="s">
        <v>15801</v>
      </c>
      <c r="H2316" s="11" t="str">
        <f t="shared" si="72"/>
        <v/>
      </c>
      <c r="J2316" s="11" t="str">
        <f t="shared" si="73"/>
        <v xml:space="preserve"> </v>
      </c>
      <c r="K2316" s="24" t="s">
        <v>15801</v>
      </c>
    </row>
    <row r="2317" spans="1:11">
      <c r="A2317" s="24" t="s">
        <v>15801</v>
      </c>
      <c r="C2317" s="32" t="s">
        <v>15801</v>
      </c>
      <c r="D2317" s="24" t="s">
        <v>15801</v>
      </c>
      <c r="E2317" s="24" t="s">
        <v>15801</v>
      </c>
      <c r="H2317" s="11" t="str">
        <f t="shared" si="72"/>
        <v/>
      </c>
      <c r="J2317" s="11" t="str">
        <f t="shared" si="73"/>
        <v xml:space="preserve"> </v>
      </c>
      <c r="K2317" s="24" t="s">
        <v>15801</v>
      </c>
    </row>
    <row r="2318" spans="1:11">
      <c r="A2318" s="24" t="s">
        <v>15801</v>
      </c>
      <c r="C2318" s="32" t="s">
        <v>15801</v>
      </c>
      <c r="D2318" s="24" t="s">
        <v>15801</v>
      </c>
      <c r="E2318" s="24" t="s">
        <v>15801</v>
      </c>
      <c r="H2318" s="11" t="str">
        <f t="shared" si="72"/>
        <v/>
      </c>
      <c r="J2318" s="11" t="str">
        <f t="shared" si="73"/>
        <v xml:space="preserve"> </v>
      </c>
      <c r="K2318" s="24" t="s">
        <v>15801</v>
      </c>
    </row>
    <row r="2319" spans="1:11">
      <c r="A2319" s="24" t="s">
        <v>15801</v>
      </c>
      <c r="C2319" s="32" t="s">
        <v>15801</v>
      </c>
      <c r="D2319" s="24" t="s">
        <v>15801</v>
      </c>
      <c r="E2319" s="24" t="s">
        <v>15801</v>
      </c>
      <c r="H2319" s="11" t="str">
        <f t="shared" si="72"/>
        <v/>
      </c>
      <c r="J2319" s="11" t="str">
        <f t="shared" si="73"/>
        <v xml:space="preserve"> </v>
      </c>
      <c r="K2319" s="24" t="s">
        <v>15801</v>
      </c>
    </row>
    <row r="2320" spans="1:11">
      <c r="A2320" s="24" t="s">
        <v>15801</v>
      </c>
      <c r="C2320" s="32" t="s">
        <v>15801</v>
      </c>
      <c r="D2320" s="24" t="s">
        <v>15801</v>
      </c>
      <c r="E2320" s="24" t="s">
        <v>15801</v>
      </c>
      <c r="H2320" s="11" t="str">
        <f t="shared" si="72"/>
        <v/>
      </c>
      <c r="J2320" s="11" t="str">
        <f t="shared" si="73"/>
        <v xml:space="preserve"> </v>
      </c>
      <c r="K2320" s="24" t="s">
        <v>15801</v>
      </c>
    </row>
    <row r="2321" spans="1:11">
      <c r="A2321" s="24" t="s">
        <v>15801</v>
      </c>
      <c r="C2321" s="32" t="s">
        <v>15801</v>
      </c>
      <c r="D2321" s="24" t="s">
        <v>15801</v>
      </c>
      <c r="E2321" s="24" t="s">
        <v>15801</v>
      </c>
      <c r="H2321" s="11" t="str">
        <f t="shared" si="72"/>
        <v/>
      </c>
      <c r="J2321" s="11" t="str">
        <f t="shared" si="73"/>
        <v xml:space="preserve"> </v>
      </c>
      <c r="K2321" s="24" t="s">
        <v>15801</v>
      </c>
    </row>
    <row r="2322" spans="1:11">
      <c r="A2322" s="24" t="s">
        <v>15801</v>
      </c>
      <c r="C2322" s="32" t="s">
        <v>15801</v>
      </c>
      <c r="D2322" s="24" t="s">
        <v>15801</v>
      </c>
      <c r="E2322" s="24" t="s">
        <v>15801</v>
      </c>
      <c r="H2322" s="11" t="str">
        <f t="shared" si="72"/>
        <v/>
      </c>
      <c r="J2322" s="11" t="str">
        <f t="shared" si="73"/>
        <v xml:space="preserve"> </v>
      </c>
      <c r="K2322" s="24" t="s">
        <v>15801</v>
      </c>
    </row>
    <row r="2323" spans="1:11">
      <c r="A2323" s="24" t="s">
        <v>15801</v>
      </c>
      <c r="C2323" s="32" t="s">
        <v>15801</v>
      </c>
      <c r="D2323" s="24" t="s">
        <v>15801</v>
      </c>
      <c r="E2323" s="24" t="s">
        <v>15801</v>
      </c>
      <c r="H2323" s="11" t="str">
        <f t="shared" si="72"/>
        <v/>
      </c>
      <c r="J2323" s="11" t="str">
        <f t="shared" si="73"/>
        <v xml:space="preserve"> </v>
      </c>
      <c r="K2323" s="24" t="s">
        <v>15801</v>
      </c>
    </row>
    <row r="2324" spans="1:11">
      <c r="A2324" s="24" t="s">
        <v>15801</v>
      </c>
      <c r="C2324" s="32" t="s">
        <v>15801</v>
      </c>
      <c r="D2324" s="24" t="s">
        <v>15801</v>
      </c>
      <c r="E2324" s="24" t="s">
        <v>15801</v>
      </c>
      <c r="H2324" s="11" t="str">
        <f t="shared" si="72"/>
        <v/>
      </c>
      <c r="J2324" s="11" t="str">
        <f t="shared" si="73"/>
        <v xml:space="preserve"> </v>
      </c>
      <c r="K2324" s="24" t="s">
        <v>15801</v>
      </c>
    </row>
    <row r="2325" spans="1:11">
      <c r="A2325" s="24" t="s">
        <v>15801</v>
      </c>
      <c r="C2325" s="32" t="s">
        <v>15801</v>
      </c>
      <c r="D2325" s="24" t="s">
        <v>15801</v>
      </c>
      <c r="E2325" s="24" t="s">
        <v>15801</v>
      </c>
      <c r="H2325" s="11" t="str">
        <f t="shared" si="72"/>
        <v/>
      </c>
      <c r="J2325" s="11" t="str">
        <f t="shared" si="73"/>
        <v xml:space="preserve"> </v>
      </c>
      <c r="K2325" s="24" t="s">
        <v>15801</v>
      </c>
    </row>
    <row r="2326" spans="1:11">
      <c r="A2326" s="24" t="s">
        <v>15801</v>
      </c>
      <c r="C2326" s="32" t="s">
        <v>15801</v>
      </c>
      <c r="D2326" s="24" t="s">
        <v>15801</v>
      </c>
      <c r="E2326" s="24" t="s">
        <v>15801</v>
      </c>
      <c r="H2326" s="11" t="str">
        <f t="shared" si="72"/>
        <v/>
      </c>
      <c r="J2326" s="11" t="str">
        <f t="shared" si="73"/>
        <v xml:space="preserve"> </v>
      </c>
      <c r="K2326" s="24" t="s">
        <v>15801</v>
      </c>
    </row>
    <row r="2327" spans="1:11">
      <c r="A2327" s="24" t="s">
        <v>15801</v>
      </c>
      <c r="C2327" s="32" t="s">
        <v>15801</v>
      </c>
      <c r="D2327" s="24" t="s">
        <v>15801</v>
      </c>
      <c r="E2327" s="24" t="s">
        <v>15801</v>
      </c>
      <c r="H2327" s="11" t="str">
        <f t="shared" si="72"/>
        <v/>
      </c>
      <c r="J2327" s="11" t="str">
        <f t="shared" si="73"/>
        <v xml:space="preserve"> </v>
      </c>
      <c r="K2327" s="24" t="s">
        <v>15801</v>
      </c>
    </row>
    <row r="2328" spans="1:11">
      <c r="A2328" s="24" t="s">
        <v>15801</v>
      </c>
      <c r="C2328" s="32" t="s">
        <v>15801</v>
      </c>
      <c r="D2328" s="24" t="s">
        <v>15801</v>
      </c>
      <c r="E2328" s="24" t="s">
        <v>15801</v>
      </c>
      <c r="H2328" s="11" t="str">
        <f t="shared" si="72"/>
        <v/>
      </c>
      <c r="J2328" s="11" t="str">
        <f t="shared" si="73"/>
        <v xml:space="preserve"> </v>
      </c>
      <c r="K2328" s="24" t="s">
        <v>15801</v>
      </c>
    </row>
    <row r="2329" spans="1:11">
      <c r="A2329" s="24" t="s">
        <v>15801</v>
      </c>
      <c r="C2329" s="32" t="s">
        <v>15801</v>
      </c>
      <c r="D2329" s="24" t="s">
        <v>15801</v>
      </c>
      <c r="E2329" s="24" t="s">
        <v>15801</v>
      </c>
      <c r="H2329" s="11" t="str">
        <f t="shared" si="72"/>
        <v/>
      </c>
      <c r="J2329" s="11" t="str">
        <f t="shared" si="73"/>
        <v xml:space="preserve"> </v>
      </c>
      <c r="K2329" s="24" t="s">
        <v>15801</v>
      </c>
    </row>
    <row r="2330" spans="1:11">
      <c r="A2330" s="24" t="s">
        <v>15801</v>
      </c>
      <c r="C2330" s="32" t="s">
        <v>15801</v>
      </c>
      <c r="D2330" s="24" t="s">
        <v>15801</v>
      </c>
      <c r="E2330" s="24" t="s">
        <v>15801</v>
      </c>
      <c r="H2330" s="11" t="str">
        <f t="shared" si="72"/>
        <v/>
      </c>
      <c r="J2330" s="11" t="str">
        <f t="shared" si="73"/>
        <v xml:space="preserve"> </v>
      </c>
      <c r="K2330" s="24" t="s">
        <v>15801</v>
      </c>
    </row>
    <row r="2331" spans="1:11">
      <c r="A2331" s="24" t="s">
        <v>15801</v>
      </c>
      <c r="C2331" s="32" t="s">
        <v>15801</v>
      </c>
      <c r="D2331" s="24" t="s">
        <v>15801</v>
      </c>
      <c r="E2331" s="24" t="s">
        <v>15801</v>
      </c>
      <c r="H2331" s="11" t="str">
        <f t="shared" si="72"/>
        <v/>
      </c>
      <c r="J2331" s="11" t="str">
        <f t="shared" si="73"/>
        <v xml:space="preserve"> </v>
      </c>
      <c r="K2331" s="24" t="s">
        <v>15801</v>
      </c>
    </row>
    <row r="2332" spans="1:11">
      <c r="A2332" s="24" t="s">
        <v>15801</v>
      </c>
      <c r="C2332" s="32" t="s">
        <v>15801</v>
      </c>
      <c r="D2332" s="24" t="s">
        <v>15801</v>
      </c>
      <c r="E2332" s="24" t="s">
        <v>15801</v>
      </c>
      <c r="H2332" s="11" t="str">
        <f t="shared" si="72"/>
        <v/>
      </c>
      <c r="J2332" s="11" t="str">
        <f t="shared" si="73"/>
        <v xml:space="preserve"> </v>
      </c>
      <c r="K2332" s="24" t="s">
        <v>15801</v>
      </c>
    </row>
    <row r="2333" spans="1:11">
      <c r="A2333" s="24" t="s">
        <v>15801</v>
      </c>
      <c r="C2333" s="32" t="s">
        <v>15801</v>
      </c>
      <c r="D2333" s="24" t="s">
        <v>15801</v>
      </c>
      <c r="E2333" s="24" t="s">
        <v>15801</v>
      </c>
      <c r="H2333" s="11" t="str">
        <f t="shared" si="72"/>
        <v/>
      </c>
      <c r="J2333" s="11" t="str">
        <f t="shared" si="73"/>
        <v xml:space="preserve"> </v>
      </c>
      <c r="K2333" s="24" t="s">
        <v>15801</v>
      </c>
    </row>
    <row r="2334" spans="1:11">
      <c r="A2334" s="24" t="s">
        <v>15801</v>
      </c>
      <c r="C2334" s="32" t="s">
        <v>15801</v>
      </c>
      <c r="D2334" s="24" t="s">
        <v>15801</v>
      </c>
      <c r="E2334" s="24" t="s">
        <v>15801</v>
      </c>
      <c r="H2334" s="11" t="str">
        <f t="shared" si="72"/>
        <v/>
      </c>
      <c r="J2334" s="11" t="str">
        <f t="shared" si="73"/>
        <v xml:space="preserve"> </v>
      </c>
      <c r="K2334" s="24" t="s">
        <v>15801</v>
      </c>
    </row>
    <row r="2335" spans="1:11">
      <c r="A2335" s="24" t="s">
        <v>15801</v>
      </c>
      <c r="C2335" s="32" t="s">
        <v>15801</v>
      </c>
      <c r="D2335" s="24" t="s">
        <v>15801</v>
      </c>
      <c r="E2335" s="24" t="s">
        <v>15801</v>
      </c>
      <c r="H2335" s="11" t="str">
        <f t="shared" si="72"/>
        <v/>
      </c>
      <c r="J2335" s="11" t="str">
        <f t="shared" si="73"/>
        <v xml:space="preserve"> </v>
      </c>
      <c r="K2335" s="24" t="s">
        <v>15801</v>
      </c>
    </row>
    <row r="2336" spans="1:11">
      <c r="A2336" s="24" t="s">
        <v>15801</v>
      </c>
      <c r="C2336" s="32" t="s">
        <v>15801</v>
      </c>
      <c r="D2336" s="24" t="s">
        <v>15801</v>
      </c>
      <c r="E2336" s="24" t="s">
        <v>15801</v>
      </c>
      <c r="H2336" s="11" t="str">
        <f t="shared" si="72"/>
        <v/>
      </c>
      <c r="J2336" s="11" t="str">
        <f t="shared" si="73"/>
        <v xml:space="preserve"> </v>
      </c>
      <c r="K2336" s="24" t="s">
        <v>15801</v>
      </c>
    </row>
    <row r="2337" spans="1:11">
      <c r="A2337" s="24" t="s">
        <v>15801</v>
      </c>
      <c r="C2337" s="32" t="s">
        <v>15801</v>
      </c>
      <c r="D2337" s="24" t="s">
        <v>15801</v>
      </c>
      <c r="E2337" s="24" t="s">
        <v>15801</v>
      </c>
      <c r="H2337" s="11" t="str">
        <f t="shared" si="72"/>
        <v/>
      </c>
      <c r="J2337" s="11" t="str">
        <f t="shared" si="73"/>
        <v xml:space="preserve"> </v>
      </c>
      <c r="K2337" s="24" t="s">
        <v>15801</v>
      </c>
    </row>
    <row r="2338" spans="1:11">
      <c r="A2338" s="24" t="s">
        <v>15801</v>
      </c>
      <c r="C2338" s="32" t="s">
        <v>15801</v>
      </c>
      <c r="D2338" s="24" t="s">
        <v>15801</v>
      </c>
      <c r="E2338" s="24" t="s">
        <v>15801</v>
      </c>
      <c r="H2338" s="11" t="str">
        <f t="shared" si="72"/>
        <v/>
      </c>
      <c r="J2338" s="11" t="str">
        <f t="shared" si="73"/>
        <v xml:space="preserve"> </v>
      </c>
      <c r="K2338" s="24" t="s">
        <v>15801</v>
      </c>
    </row>
    <row r="2339" spans="1:11">
      <c r="A2339" s="24" t="s">
        <v>15801</v>
      </c>
      <c r="C2339" s="32" t="s">
        <v>15801</v>
      </c>
      <c r="D2339" s="24" t="s">
        <v>15801</v>
      </c>
      <c r="E2339" s="24" t="s">
        <v>15801</v>
      </c>
      <c r="H2339" s="11" t="str">
        <f t="shared" si="72"/>
        <v/>
      </c>
      <c r="J2339" s="11" t="str">
        <f t="shared" si="73"/>
        <v xml:space="preserve"> </v>
      </c>
      <c r="K2339" s="24" t="s">
        <v>15801</v>
      </c>
    </row>
    <row r="2340" spans="1:11">
      <c r="A2340" s="24" t="s">
        <v>15801</v>
      </c>
      <c r="C2340" s="32" t="s">
        <v>15801</v>
      </c>
      <c r="D2340" s="24" t="s">
        <v>15801</v>
      </c>
      <c r="E2340" s="24" t="s">
        <v>15801</v>
      </c>
      <c r="H2340" s="11" t="str">
        <f t="shared" si="72"/>
        <v/>
      </c>
      <c r="J2340" s="11" t="str">
        <f t="shared" si="73"/>
        <v xml:space="preserve"> </v>
      </c>
      <c r="K2340" s="24" t="s">
        <v>15801</v>
      </c>
    </row>
    <row r="2341" spans="1:11">
      <c r="A2341" s="24" t="s">
        <v>15801</v>
      </c>
      <c r="C2341" s="32" t="s">
        <v>15801</v>
      </c>
      <c r="D2341" s="24" t="s">
        <v>15801</v>
      </c>
      <c r="E2341" s="24" t="s">
        <v>15801</v>
      </c>
      <c r="H2341" s="11" t="str">
        <f t="shared" si="72"/>
        <v/>
      </c>
      <c r="J2341" s="11" t="str">
        <f t="shared" si="73"/>
        <v xml:space="preserve"> </v>
      </c>
      <c r="K2341" s="24" t="s">
        <v>15801</v>
      </c>
    </row>
    <row r="2342" spans="1:11">
      <c r="A2342" s="24" t="s">
        <v>15801</v>
      </c>
      <c r="C2342" s="32" t="s">
        <v>15801</v>
      </c>
      <c r="D2342" s="24" t="s">
        <v>15801</v>
      </c>
      <c r="E2342" s="24" t="s">
        <v>15801</v>
      </c>
      <c r="H2342" s="11" t="str">
        <f t="shared" si="72"/>
        <v/>
      </c>
      <c r="J2342" s="11" t="str">
        <f t="shared" si="73"/>
        <v xml:space="preserve"> </v>
      </c>
      <c r="K2342" s="24" t="s">
        <v>15801</v>
      </c>
    </row>
    <row r="2343" spans="1:11">
      <c r="A2343" s="24" t="s">
        <v>15801</v>
      </c>
      <c r="C2343" s="32" t="s">
        <v>15801</v>
      </c>
      <c r="D2343" s="24" t="s">
        <v>15801</v>
      </c>
      <c r="E2343" s="24" t="s">
        <v>15801</v>
      </c>
      <c r="H2343" s="11" t="str">
        <f t="shared" si="72"/>
        <v/>
      </c>
      <c r="J2343" s="11" t="str">
        <f t="shared" si="73"/>
        <v xml:space="preserve"> </v>
      </c>
      <c r="K2343" s="24" t="s">
        <v>15801</v>
      </c>
    </row>
    <row r="2344" spans="1:11">
      <c r="A2344" s="24" t="s">
        <v>15801</v>
      </c>
      <c r="C2344" s="32" t="s">
        <v>15801</v>
      </c>
      <c r="D2344" s="24" t="s">
        <v>15801</v>
      </c>
      <c r="E2344" s="24" t="s">
        <v>15801</v>
      </c>
      <c r="H2344" s="11" t="str">
        <f t="shared" si="72"/>
        <v/>
      </c>
      <c r="J2344" s="11" t="str">
        <f t="shared" si="73"/>
        <v xml:space="preserve"> </v>
      </c>
      <c r="K2344" s="24" t="s">
        <v>15801</v>
      </c>
    </row>
    <row r="2345" spans="1:11">
      <c r="A2345" s="24" t="s">
        <v>15801</v>
      </c>
      <c r="C2345" s="32" t="s">
        <v>15801</v>
      </c>
      <c r="D2345" s="24" t="s">
        <v>15801</v>
      </c>
      <c r="E2345" s="24" t="s">
        <v>15801</v>
      </c>
      <c r="H2345" s="11" t="str">
        <f t="shared" si="72"/>
        <v/>
      </c>
      <c r="J2345" s="11" t="str">
        <f t="shared" si="73"/>
        <v xml:space="preserve"> </v>
      </c>
      <c r="K2345" s="24" t="s">
        <v>15801</v>
      </c>
    </row>
    <row r="2346" spans="1:11">
      <c r="A2346" s="24" t="s">
        <v>15801</v>
      </c>
      <c r="C2346" s="32" t="s">
        <v>15801</v>
      </c>
      <c r="D2346" s="24" t="s">
        <v>15801</v>
      </c>
      <c r="E2346" s="24" t="s">
        <v>15801</v>
      </c>
      <c r="H2346" s="11" t="str">
        <f t="shared" si="72"/>
        <v/>
      </c>
      <c r="J2346" s="11" t="str">
        <f t="shared" si="73"/>
        <v xml:space="preserve"> </v>
      </c>
      <c r="K2346" s="24" t="s">
        <v>15801</v>
      </c>
    </row>
    <row r="2347" spans="1:11">
      <c r="A2347" s="24" t="s">
        <v>15801</v>
      </c>
      <c r="C2347" s="32" t="s">
        <v>15801</v>
      </c>
      <c r="D2347" s="24" t="s">
        <v>15801</v>
      </c>
      <c r="E2347" s="24" t="s">
        <v>15801</v>
      </c>
      <c r="H2347" s="11" t="str">
        <f t="shared" si="72"/>
        <v/>
      </c>
      <c r="J2347" s="11" t="str">
        <f t="shared" si="73"/>
        <v xml:space="preserve"> </v>
      </c>
      <c r="K2347" s="24" t="s">
        <v>15801</v>
      </c>
    </row>
    <row r="2348" spans="1:11">
      <c r="A2348" s="24" t="s">
        <v>15801</v>
      </c>
      <c r="C2348" s="32" t="s">
        <v>15801</v>
      </c>
      <c r="D2348" s="24" t="s">
        <v>15801</v>
      </c>
      <c r="E2348" s="24" t="s">
        <v>15801</v>
      </c>
      <c r="H2348" s="11" t="str">
        <f t="shared" si="72"/>
        <v/>
      </c>
      <c r="J2348" s="11" t="str">
        <f t="shared" si="73"/>
        <v xml:space="preserve"> </v>
      </c>
      <c r="K2348" s="24" t="s">
        <v>15801</v>
      </c>
    </row>
    <row r="2349" spans="1:11">
      <c r="A2349" s="24" t="s">
        <v>15801</v>
      </c>
      <c r="C2349" s="32" t="s">
        <v>15801</v>
      </c>
      <c r="D2349" s="24" t="s">
        <v>15801</v>
      </c>
      <c r="E2349" s="24" t="s">
        <v>15801</v>
      </c>
      <c r="H2349" s="11" t="str">
        <f t="shared" si="72"/>
        <v/>
      </c>
      <c r="J2349" s="11" t="str">
        <f t="shared" si="73"/>
        <v xml:space="preserve"> </v>
      </c>
      <c r="K2349" s="24" t="s">
        <v>15801</v>
      </c>
    </row>
    <row r="2350" spans="1:11">
      <c r="A2350" s="24" t="s">
        <v>15801</v>
      </c>
      <c r="C2350" s="32" t="s">
        <v>15801</v>
      </c>
      <c r="D2350" s="24" t="s">
        <v>15801</v>
      </c>
      <c r="E2350" s="24" t="s">
        <v>15801</v>
      </c>
      <c r="H2350" s="11" t="str">
        <f t="shared" si="72"/>
        <v/>
      </c>
      <c r="J2350" s="11" t="str">
        <f t="shared" si="73"/>
        <v xml:space="preserve"> </v>
      </c>
      <c r="K2350" s="24" t="s">
        <v>15801</v>
      </c>
    </row>
    <row r="2351" spans="1:11">
      <c r="A2351" s="24" t="s">
        <v>15801</v>
      </c>
      <c r="C2351" s="32" t="s">
        <v>15801</v>
      </c>
      <c r="D2351" s="24" t="s">
        <v>15801</v>
      </c>
      <c r="E2351" s="24" t="s">
        <v>15801</v>
      </c>
      <c r="H2351" s="11" t="str">
        <f t="shared" si="72"/>
        <v/>
      </c>
      <c r="J2351" s="11" t="str">
        <f t="shared" si="73"/>
        <v xml:space="preserve"> </v>
      </c>
      <c r="K2351" s="24" t="s">
        <v>15801</v>
      </c>
    </row>
    <row r="2352" spans="1:11">
      <c r="A2352" s="24" t="s">
        <v>15801</v>
      </c>
      <c r="C2352" s="32" t="s">
        <v>15801</v>
      </c>
      <c r="D2352" s="24" t="s">
        <v>15801</v>
      </c>
      <c r="E2352" s="24" t="s">
        <v>15801</v>
      </c>
      <c r="H2352" s="11" t="str">
        <f t="shared" si="72"/>
        <v/>
      </c>
      <c r="J2352" s="11" t="str">
        <f t="shared" si="73"/>
        <v xml:space="preserve"> </v>
      </c>
      <c r="K2352" s="24" t="s">
        <v>15801</v>
      </c>
    </row>
    <row r="2353" spans="1:11">
      <c r="A2353" s="24" t="s">
        <v>15801</v>
      </c>
      <c r="C2353" s="32" t="s">
        <v>15801</v>
      </c>
      <c r="D2353" s="24" t="s">
        <v>15801</v>
      </c>
      <c r="E2353" s="24" t="s">
        <v>15801</v>
      </c>
      <c r="H2353" s="11" t="str">
        <f t="shared" si="72"/>
        <v/>
      </c>
      <c r="J2353" s="11" t="str">
        <f t="shared" si="73"/>
        <v xml:space="preserve"> </v>
      </c>
      <c r="K2353" s="24" t="s">
        <v>15801</v>
      </c>
    </row>
    <row r="2354" spans="1:11">
      <c r="A2354" s="24" t="s">
        <v>15801</v>
      </c>
      <c r="C2354" s="32" t="s">
        <v>15801</v>
      </c>
      <c r="D2354" s="24" t="s">
        <v>15801</v>
      </c>
      <c r="E2354" s="24" t="s">
        <v>15801</v>
      </c>
      <c r="H2354" s="11" t="str">
        <f t="shared" si="72"/>
        <v/>
      </c>
      <c r="J2354" s="11" t="str">
        <f t="shared" si="73"/>
        <v xml:space="preserve"> </v>
      </c>
      <c r="K2354" s="24" t="s">
        <v>15801</v>
      </c>
    </row>
    <row r="2355" spans="1:11">
      <c r="A2355" s="24" t="s">
        <v>15801</v>
      </c>
      <c r="C2355" s="32" t="s">
        <v>15801</v>
      </c>
      <c r="D2355" s="24" t="s">
        <v>15801</v>
      </c>
      <c r="E2355" s="24" t="s">
        <v>15801</v>
      </c>
      <c r="H2355" s="11" t="str">
        <f t="shared" si="72"/>
        <v/>
      </c>
      <c r="J2355" s="11" t="str">
        <f t="shared" si="73"/>
        <v xml:space="preserve"> </v>
      </c>
      <c r="K2355" s="24" t="s">
        <v>15801</v>
      </c>
    </row>
    <row r="2356" spans="1:11">
      <c r="A2356" s="24" t="s">
        <v>15801</v>
      </c>
      <c r="C2356" s="32" t="s">
        <v>15801</v>
      </c>
      <c r="D2356" s="24" t="s">
        <v>15801</v>
      </c>
      <c r="E2356" s="24" t="s">
        <v>15801</v>
      </c>
      <c r="H2356" s="11" t="str">
        <f t="shared" si="72"/>
        <v/>
      </c>
      <c r="J2356" s="11" t="str">
        <f t="shared" si="73"/>
        <v xml:space="preserve"> </v>
      </c>
      <c r="K2356" s="24" t="s">
        <v>15801</v>
      </c>
    </row>
    <row r="2357" spans="1:11">
      <c r="A2357" s="24" t="s">
        <v>15801</v>
      </c>
      <c r="C2357" s="32" t="s">
        <v>15801</v>
      </c>
      <c r="D2357" s="24" t="s">
        <v>15801</v>
      </c>
      <c r="E2357" s="24" t="s">
        <v>15801</v>
      </c>
      <c r="H2357" s="11" t="str">
        <f t="shared" si="72"/>
        <v/>
      </c>
      <c r="J2357" s="11" t="str">
        <f t="shared" si="73"/>
        <v xml:space="preserve"> </v>
      </c>
      <c r="K2357" s="24" t="s">
        <v>15801</v>
      </c>
    </row>
    <row r="2358" spans="1:11">
      <c r="A2358" s="24" t="s">
        <v>15801</v>
      </c>
      <c r="C2358" s="32" t="s">
        <v>15801</v>
      </c>
      <c r="D2358" s="24" t="s">
        <v>15801</v>
      </c>
      <c r="E2358" s="24" t="s">
        <v>15801</v>
      </c>
      <c r="H2358" s="11" t="str">
        <f t="shared" si="72"/>
        <v/>
      </c>
      <c r="J2358" s="11" t="str">
        <f t="shared" si="73"/>
        <v xml:space="preserve"> </v>
      </c>
      <c r="K2358" s="24" t="s">
        <v>15801</v>
      </c>
    </row>
    <row r="2359" spans="1:11">
      <c r="A2359" s="24" t="s">
        <v>15801</v>
      </c>
      <c r="C2359" s="32" t="s">
        <v>15801</v>
      </c>
      <c r="D2359" s="24" t="s">
        <v>15801</v>
      </c>
      <c r="E2359" s="24" t="s">
        <v>15801</v>
      </c>
      <c r="H2359" s="11" t="str">
        <f t="shared" si="72"/>
        <v/>
      </c>
      <c r="J2359" s="11" t="str">
        <f t="shared" si="73"/>
        <v xml:space="preserve"> </v>
      </c>
      <c r="K2359" s="24" t="s">
        <v>15801</v>
      </c>
    </row>
    <row r="2360" spans="1:11">
      <c r="A2360" s="24" t="s">
        <v>15801</v>
      </c>
      <c r="C2360" s="32" t="s">
        <v>15801</v>
      </c>
      <c r="D2360" s="24" t="s">
        <v>15801</v>
      </c>
      <c r="E2360" s="24" t="s">
        <v>15801</v>
      </c>
      <c r="H2360" s="11" t="str">
        <f t="shared" si="72"/>
        <v/>
      </c>
      <c r="J2360" s="11" t="str">
        <f t="shared" si="73"/>
        <v xml:space="preserve"> </v>
      </c>
      <c r="K2360" s="24" t="s">
        <v>15801</v>
      </c>
    </row>
    <row r="2361" spans="1:11">
      <c r="A2361" s="24" t="s">
        <v>15801</v>
      </c>
      <c r="C2361" s="32" t="s">
        <v>15801</v>
      </c>
      <c r="D2361" s="24" t="s">
        <v>15801</v>
      </c>
      <c r="E2361" s="24" t="s">
        <v>15801</v>
      </c>
      <c r="H2361" s="11" t="str">
        <f t="shared" si="72"/>
        <v/>
      </c>
      <c r="J2361" s="11" t="str">
        <f t="shared" si="73"/>
        <v xml:space="preserve"> </v>
      </c>
      <c r="K2361" s="24" t="s">
        <v>15801</v>
      </c>
    </row>
    <row r="2362" spans="1:11">
      <c r="A2362" s="24" t="s">
        <v>15801</v>
      </c>
      <c r="C2362" s="32" t="s">
        <v>15801</v>
      </c>
      <c r="D2362" s="24" t="s">
        <v>15801</v>
      </c>
      <c r="E2362" s="24" t="s">
        <v>15801</v>
      </c>
      <c r="H2362" s="11" t="str">
        <f t="shared" si="72"/>
        <v/>
      </c>
      <c r="J2362" s="11" t="str">
        <f t="shared" si="73"/>
        <v xml:space="preserve"> </v>
      </c>
      <c r="K2362" s="24" t="s">
        <v>15801</v>
      </c>
    </row>
    <row r="2363" spans="1:11">
      <c r="A2363" s="24" t="s">
        <v>15801</v>
      </c>
      <c r="C2363" s="32" t="s">
        <v>15801</v>
      </c>
      <c r="D2363" s="24" t="s">
        <v>15801</v>
      </c>
      <c r="E2363" s="24" t="s">
        <v>15801</v>
      </c>
      <c r="H2363" s="11" t="str">
        <f t="shared" si="72"/>
        <v/>
      </c>
      <c r="J2363" s="11" t="str">
        <f t="shared" si="73"/>
        <v xml:space="preserve"> </v>
      </c>
      <c r="K2363" s="24" t="s">
        <v>15801</v>
      </c>
    </row>
    <row r="2364" spans="1:11">
      <c r="A2364" s="24" t="s">
        <v>15801</v>
      </c>
      <c r="C2364" s="32" t="s">
        <v>15801</v>
      </c>
      <c r="D2364" s="24" t="s">
        <v>15801</v>
      </c>
      <c r="E2364" s="24" t="s">
        <v>15801</v>
      </c>
      <c r="H2364" s="11" t="str">
        <f t="shared" si="72"/>
        <v/>
      </c>
      <c r="J2364" s="11" t="str">
        <f t="shared" si="73"/>
        <v xml:space="preserve"> </v>
      </c>
      <c r="K2364" s="24" t="s">
        <v>15801</v>
      </c>
    </row>
    <row r="2365" spans="1:11">
      <c r="A2365" s="24" t="s">
        <v>15801</v>
      </c>
      <c r="C2365" s="32" t="s">
        <v>15801</v>
      </c>
      <c r="D2365" s="24" t="s">
        <v>15801</v>
      </c>
      <c r="E2365" s="24" t="s">
        <v>15801</v>
      </c>
      <c r="H2365" s="11" t="str">
        <f t="shared" si="72"/>
        <v/>
      </c>
      <c r="J2365" s="11" t="str">
        <f t="shared" si="73"/>
        <v xml:space="preserve"> </v>
      </c>
      <c r="K2365" s="24" t="s">
        <v>15801</v>
      </c>
    </row>
    <row r="2366" spans="1:11">
      <c r="A2366" s="24" t="s">
        <v>15801</v>
      </c>
      <c r="C2366" s="32" t="s">
        <v>15801</v>
      </c>
      <c r="D2366" s="24" t="s">
        <v>15801</v>
      </c>
      <c r="E2366" s="24" t="s">
        <v>15801</v>
      </c>
      <c r="H2366" s="11" t="str">
        <f t="shared" si="72"/>
        <v/>
      </c>
      <c r="J2366" s="11" t="str">
        <f t="shared" si="73"/>
        <v xml:space="preserve"> </v>
      </c>
      <c r="K2366" s="24" t="s">
        <v>15801</v>
      </c>
    </row>
    <row r="2367" spans="1:11">
      <c r="A2367" s="24" t="s">
        <v>15801</v>
      </c>
      <c r="C2367" s="32" t="s">
        <v>15801</v>
      </c>
      <c r="D2367" s="24" t="s">
        <v>15801</v>
      </c>
      <c r="E2367" s="24" t="s">
        <v>15801</v>
      </c>
      <c r="H2367" s="11" t="str">
        <f t="shared" si="72"/>
        <v/>
      </c>
      <c r="J2367" s="11" t="str">
        <f t="shared" si="73"/>
        <v xml:space="preserve"> </v>
      </c>
      <c r="K2367" s="24" t="s">
        <v>15801</v>
      </c>
    </row>
    <row r="2368" spans="1:11">
      <c r="A2368" s="24" t="s">
        <v>15801</v>
      </c>
      <c r="C2368" s="32" t="s">
        <v>15801</v>
      </c>
      <c r="D2368" s="24" t="s">
        <v>15801</v>
      </c>
      <c r="E2368" s="24" t="s">
        <v>15801</v>
      </c>
      <c r="H2368" s="11" t="str">
        <f t="shared" si="72"/>
        <v/>
      </c>
      <c r="J2368" s="11" t="str">
        <f t="shared" si="73"/>
        <v xml:space="preserve"> </v>
      </c>
      <c r="K2368" s="24" t="s">
        <v>15801</v>
      </c>
    </row>
    <row r="2369" spans="1:11">
      <c r="A2369" s="24" t="s">
        <v>15801</v>
      </c>
      <c r="C2369" s="32" t="s">
        <v>15801</v>
      </c>
      <c r="D2369" s="24" t="s">
        <v>15801</v>
      </c>
      <c r="E2369" s="24" t="s">
        <v>15801</v>
      </c>
      <c r="H2369" s="11" t="str">
        <f t="shared" si="72"/>
        <v/>
      </c>
      <c r="J2369" s="11" t="str">
        <f t="shared" si="73"/>
        <v xml:space="preserve"> </v>
      </c>
      <c r="K2369" s="24" t="s">
        <v>15801</v>
      </c>
    </row>
    <row r="2370" spans="1:11">
      <c r="A2370" s="24" t="s">
        <v>15801</v>
      </c>
      <c r="C2370" s="32" t="s">
        <v>15801</v>
      </c>
      <c r="D2370" s="24" t="s">
        <v>15801</v>
      </c>
      <c r="E2370" s="24" t="s">
        <v>15801</v>
      </c>
      <c r="H2370" s="11" t="str">
        <f t="shared" si="72"/>
        <v/>
      </c>
      <c r="J2370" s="11" t="str">
        <f t="shared" si="73"/>
        <v xml:space="preserve"> </v>
      </c>
      <c r="K2370" s="24" t="s">
        <v>15801</v>
      </c>
    </row>
    <row r="2371" spans="1:11">
      <c r="A2371" s="24" t="s">
        <v>15801</v>
      </c>
      <c r="C2371" s="32" t="s">
        <v>15801</v>
      </c>
      <c r="D2371" s="24" t="s">
        <v>15801</v>
      </c>
      <c r="E2371" s="24" t="s">
        <v>15801</v>
      </c>
      <c r="H2371" s="11" t="str">
        <f t="shared" ref="H2371:H2434" si="74">TRIM(G2371)</f>
        <v/>
      </c>
      <c r="J2371" s="11" t="str">
        <f t="shared" ref="J2371:J2434" si="75">IF(LEN(H2371)=4,"fout"," ")</f>
        <v xml:space="preserve"> </v>
      </c>
      <c r="K2371" s="24" t="s">
        <v>15801</v>
      </c>
    </row>
    <row r="2372" spans="1:11">
      <c r="A2372" s="24" t="s">
        <v>15801</v>
      </c>
      <c r="C2372" s="32" t="s">
        <v>15801</v>
      </c>
      <c r="D2372" s="24" t="s">
        <v>15801</v>
      </c>
      <c r="E2372" s="24" t="s">
        <v>15801</v>
      </c>
      <c r="H2372" s="11" t="str">
        <f t="shared" si="74"/>
        <v/>
      </c>
      <c r="J2372" s="11" t="str">
        <f t="shared" si="75"/>
        <v xml:space="preserve"> </v>
      </c>
      <c r="K2372" s="24" t="s">
        <v>15801</v>
      </c>
    </row>
    <row r="2373" spans="1:11">
      <c r="A2373" s="24" t="s">
        <v>15801</v>
      </c>
      <c r="C2373" s="32" t="s">
        <v>15801</v>
      </c>
      <c r="D2373" s="24" t="s">
        <v>15801</v>
      </c>
      <c r="E2373" s="24" t="s">
        <v>15801</v>
      </c>
      <c r="H2373" s="11" t="str">
        <f t="shared" si="74"/>
        <v/>
      </c>
      <c r="J2373" s="11" t="str">
        <f t="shared" si="75"/>
        <v xml:space="preserve"> </v>
      </c>
      <c r="K2373" s="24" t="s">
        <v>15801</v>
      </c>
    </row>
    <row r="2374" spans="1:11">
      <c r="A2374" s="24" t="s">
        <v>15801</v>
      </c>
      <c r="C2374" s="32" t="s">
        <v>15801</v>
      </c>
      <c r="D2374" s="24" t="s">
        <v>15801</v>
      </c>
      <c r="E2374" s="24" t="s">
        <v>15801</v>
      </c>
      <c r="H2374" s="11" t="str">
        <f t="shared" si="74"/>
        <v/>
      </c>
      <c r="J2374" s="11" t="str">
        <f t="shared" si="75"/>
        <v xml:space="preserve"> </v>
      </c>
      <c r="K2374" s="24" t="s">
        <v>15801</v>
      </c>
    </row>
    <row r="2375" spans="1:11">
      <c r="A2375" s="24" t="s">
        <v>15801</v>
      </c>
      <c r="C2375" s="32" t="s">
        <v>15801</v>
      </c>
      <c r="D2375" s="24" t="s">
        <v>15801</v>
      </c>
      <c r="E2375" s="24" t="s">
        <v>15801</v>
      </c>
      <c r="H2375" s="11" t="str">
        <f t="shared" si="74"/>
        <v/>
      </c>
      <c r="J2375" s="11" t="str">
        <f t="shared" si="75"/>
        <v xml:space="preserve"> </v>
      </c>
      <c r="K2375" s="24" t="s">
        <v>15801</v>
      </c>
    </row>
    <row r="2376" spans="1:11">
      <c r="A2376" s="24" t="s">
        <v>15801</v>
      </c>
      <c r="C2376" s="32" t="s">
        <v>15801</v>
      </c>
      <c r="D2376" s="24" t="s">
        <v>15801</v>
      </c>
      <c r="E2376" s="24" t="s">
        <v>15801</v>
      </c>
      <c r="H2376" s="11" t="str">
        <f t="shared" si="74"/>
        <v/>
      </c>
      <c r="J2376" s="11" t="str">
        <f t="shared" si="75"/>
        <v xml:space="preserve"> </v>
      </c>
      <c r="K2376" s="24" t="s">
        <v>15801</v>
      </c>
    </row>
    <row r="2377" spans="1:11">
      <c r="A2377" s="24" t="s">
        <v>15801</v>
      </c>
      <c r="C2377" s="32" t="s">
        <v>15801</v>
      </c>
      <c r="D2377" s="24" t="s">
        <v>15801</v>
      </c>
      <c r="E2377" s="24" t="s">
        <v>15801</v>
      </c>
      <c r="H2377" s="11" t="str">
        <f t="shared" si="74"/>
        <v/>
      </c>
      <c r="J2377" s="11" t="str">
        <f t="shared" si="75"/>
        <v xml:space="preserve"> </v>
      </c>
      <c r="K2377" s="24" t="s">
        <v>15801</v>
      </c>
    </row>
    <row r="2378" spans="1:11">
      <c r="A2378" s="24" t="s">
        <v>15801</v>
      </c>
      <c r="C2378" s="32" t="s">
        <v>15801</v>
      </c>
      <c r="D2378" s="24" t="s">
        <v>15801</v>
      </c>
      <c r="E2378" s="24" t="s">
        <v>15801</v>
      </c>
      <c r="H2378" s="11" t="str">
        <f t="shared" si="74"/>
        <v/>
      </c>
      <c r="J2378" s="11" t="str">
        <f t="shared" si="75"/>
        <v xml:space="preserve"> </v>
      </c>
      <c r="K2378" s="24" t="s">
        <v>15801</v>
      </c>
    </row>
    <row r="2379" spans="1:11">
      <c r="A2379" s="24" t="s">
        <v>15801</v>
      </c>
      <c r="C2379" s="32" t="s">
        <v>15801</v>
      </c>
      <c r="D2379" s="24" t="s">
        <v>15801</v>
      </c>
      <c r="E2379" s="24" t="s">
        <v>15801</v>
      </c>
      <c r="H2379" s="11" t="str">
        <f t="shared" si="74"/>
        <v/>
      </c>
      <c r="J2379" s="11" t="str">
        <f t="shared" si="75"/>
        <v xml:space="preserve"> </v>
      </c>
      <c r="K2379" s="24" t="s">
        <v>15801</v>
      </c>
    </row>
    <row r="2380" spans="1:11">
      <c r="A2380" s="24" t="s">
        <v>15801</v>
      </c>
      <c r="C2380" s="32" t="s">
        <v>15801</v>
      </c>
      <c r="D2380" s="24" t="s">
        <v>15801</v>
      </c>
      <c r="E2380" s="24" t="s">
        <v>15801</v>
      </c>
      <c r="H2380" s="11" t="str">
        <f t="shared" si="74"/>
        <v/>
      </c>
      <c r="J2380" s="11" t="str">
        <f t="shared" si="75"/>
        <v xml:space="preserve"> </v>
      </c>
      <c r="K2380" s="24" t="s">
        <v>15801</v>
      </c>
    </row>
    <row r="2381" spans="1:11">
      <c r="A2381" s="24" t="s">
        <v>15801</v>
      </c>
      <c r="C2381" s="32" t="s">
        <v>15801</v>
      </c>
      <c r="D2381" s="24" t="s">
        <v>15801</v>
      </c>
      <c r="E2381" s="24" t="s">
        <v>15801</v>
      </c>
      <c r="H2381" s="11" t="str">
        <f t="shared" si="74"/>
        <v/>
      </c>
      <c r="J2381" s="11" t="str">
        <f t="shared" si="75"/>
        <v xml:space="preserve"> </v>
      </c>
      <c r="K2381" s="24" t="s">
        <v>15801</v>
      </c>
    </row>
    <row r="2382" spans="1:11">
      <c r="A2382" s="24" t="s">
        <v>15801</v>
      </c>
      <c r="C2382" s="32" t="s">
        <v>15801</v>
      </c>
      <c r="D2382" s="24" t="s">
        <v>15801</v>
      </c>
      <c r="E2382" s="24" t="s">
        <v>15801</v>
      </c>
      <c r="H2382" s="11" t="str">
        <f t="shared" si="74"/>
        <v/>
      </c>
      <c r="J2382" s="11" t="str">
        <f t="shared" si="75"/>
        <v xml:space="preserve"> </v>
      </c>
      <c r="K2382" s="24" t="s">
        <v>15801</v>
      </c>
    </row>
    <row r="2383" spans="1:11">
      <c r="A2383" s="24" t="s">
        <v>15801</v>
      </c>
      <c r="C2383" s="32" t="s">
        <v>15801</v>
      </c>
      <c r="D2383" s="24" t="s">
        <v>15801</v>
      </c>
      <c r="E2383" s="24" t="s">
        <v>15801</v>
      </c>
      <c r="H2383" s="11" t="str">
        <f t="shared" si="74"/>
        <v/>
      </c>
      <c r="J2383" s="11" t="str">
        <f t="shared" si="75"/>
        <v xml:space="preserve"> </v>
      </c>
      <c r="K2383" s="24" t="s">
        <v>15801</v>
      </c>
    </row>
    <row r="2384" spans="1:11">
      <c r="A2384" s="24" t="s">
        <v>15801</v>
      </c>
      <c r="C2384" s="32" t="s">
        <v>15801</v>
      </c>
      <c r="D2384" s="24" t="s">
        <v>15801</v>
      </c>
      <c r="E2384" s="24" t="s">
        <v>15801</v>
      </c>
      <c r="H2384" s="11" t="str">
        <f t="shared" si="74"/>
        <v/>
      </c>
      <c r="J2384" s="11" t="str">
        <f t="shared" si="75"/>
        <v xml:space="preserve"> </v>
      </c>
      <c r="K2384" s="24" t="s">
        <v>15801</v>
      </c>
    </row>
    <row r="2385" spans="1:11">
      <c r="A2385" s="24" t="s">
        <v>15801</v>
      </c>
      <c r="C2385" s="32" t="s">
        <v>15801</v>
      </c>
      <c r="D2385" s="24" t="s">
        <v>15801</v>
      </c>
      <c r="E2385" s="24" t="s">
        <v>15801</v>
      </c>
      <c r="H2385" s="11" t="str">
        <f t="shared" si="74"/>
        <v/>
      </c>
      <c r="J2385" s="11" t="str">
        <f t="shared" si="75"/>
        <v xml:space="preserve"> </v>
      </c>
      <c r="K2385" s="24" t="s">
        <v>15801</v>
      </c>
    </row>
    <row r="2386" spans="1:11">
      <c r="A2386" s="24" t="s">
        <v>15801</v>
      </c>
      <c r="C2386" s="32" t="s">
        <v>15801</v>
      </c>
      <c r="D2386" s="24" t="s">
        <v>15801</v>
      </c>
      <c r="E2386" s="24" t="s">
        <v>15801</v>
      </c>
      <c r="H2386" s="11" t="str">
        <f t="shared" si="74"/>
        <v/>
      </c>
      <c r="J2386" s="11" t="str">
        <f t="shared" si="75"/>
        <v xml:space="preserve"> </v>
      </c>
      <c r="K2386" s="24" t="s">
        <v>15801</v>
      </c>
    </row>
    <row r="2387" spans="1:11">
      <c r="A2387" s="24" t="s">
        <v>15801</v>
      </c>
      <c r="C2387" s="32" t="s">
        <v>15801</v>
      </c>
      <c r="D2387" s="24" t="s">
        <v>15801</v>
      </c>
      <c r="E2387" s="24" t="s">
        <v>15801</v>
      </c>
      <c r="H2387" s="11" t="str">
        <f t="shared" si="74"/>
        <v/>
      </c>
      <c r="J2387" s="11" t="str">
        <f t="shared" si="75"/>
        <v xml:space="preserve"> </v>
      </c>
      <c r="K2387" s="24" t="s">
        <v>15801</v>
      </c>
    </row>
    <row r="2388" spans="1:11">
      <c r="A2388" s="24" t="s">
        <v>15801</v>
      </c>
      <c r="C2388" s="32" t="s">
        <v>15801</v>
      </c>
      <c r="D2388" s="24" t="s">
        <v>15801</v>
      </c>
      <c r="E2388" s="24" t="s">
        <v>15801</v>
      </c>
      <c r="H2388" s="11" t="str">
        <f t="shared" si="74"/>
        <v/>
      </c>
      <c r="J2388" s="11" t="str">
        <f t="shared" si="75"/>
        <v xml:space="preserve"> </v>
      </c>
      <c r="K2388" s="24" t="s">
        <v>15801</v>
      </c>
    </row>
    <row r="2389" spans="1:11">
      <c r="A2389" s="24" t="s">
        <v>15801</v>
      </c>
      <c r="C2389" s="32" t="s">
        <v>15801</v>
      </c>
      <c r="D2389" s="24" t="s">
        <v>15801</v>
      </c>
      <c r="E2389" s="24" t="s">
        <v>15801</v>
      </c>
      <c r="H2389" s="11" t="str">
        <f t="shared" si="74"/>
        <v/>
      </c>
      <c r="J2389" s="11" t="str">
        <f t="shared" si="75"/>
        <v xml:space="preserve"> </v>
      </c>
      <c r="K2389" s="24" t="s">
        <v>15801</v>
      </c>
    </row>
    <row r="2390" spans="1:11">
      <c r="A2390" s="24" t="s">
        <v>15801</v>
      </c>
      <c r="C2390" s="32" t="s">
        <v>15801</v>
      </c>
      <c r="D2390" s="24" t="s">
        <v>15801</v>
      </c>
      <c r="E2390" s="24" t="s">
        <v>15801</v>
      </c>
      <c r="H2390" s="11" t="str">
        <f t="shared" si="74"/>
        <v/>
      </c>
      <c r="J2390" s="11" t="str">
        <f t="shared" si="75"/>
        <v xml:space="preserve"> </v>
      </c>
      <c r="K2390" s="24" t="s">
        <v>15801</v>
      </c>
    </row>
    <row r="2391" spans="1:11">
      <c r="A2391" s="24" t="s">
        <v>15801</v>
      </c>
      <c r="C2391" s="32" t="s">
        <v>15801</v>
      </c>
      <c r="D2391" s="24" t="s">
        <v>15801</v>
      </c>
      <c r="E2391" s="24" t="s">
        <v>15801</v>
      </c>
      <c r="H2391" s="11" t="str">
        <f t="shared" si="74"/>
        <v/>
      </c>
      <c r="J2391" s="11" t="str">
        <f t="shared" si="75"/>
        <v xml:space="preserve"> </v>
      </c>
      <c r="K2391" s="24" t="s">
        <v>15801</v>
      </c>
    </row>
    <row r="2392" spans="1:11">
      <c r="A2392" s="24" t="s">
        <v>15801</v>
      </c>
      <c r="C2392" s="32" t="s">
        <v>15801</v>
      </c>
      <c r="D2392" s="24" t="s">
        <v>15801</v>
      </c>
      <c r="E2392" s="24" t="s">
        <v>15801</v>
      </c>
      <c r="H2392" s="11" t="str">
        <f t="shared" si="74"/>
        <v/>
      </c>
      <c r="J2392" s="11" t="str">
        <f t="shared" si="75"/>
        <v xml:space="preserve"> </v>
      </c>
      <c r="K2392" s="24" t="s">
        <v>15801</v>
      </c>
    </row>
    <row r="2393" spans="1:11">
      <c r="A2393" s="24" t="s">
        <v>15801</v>
      </c>
      <c r="C2393" s="32" t="s">
        <v>15801</v>
      </c>
      <c r="D2393" s="24" t="s">
        <v>15801</v>
      </c>
      <c r="E2393" s="24" t="s">
        <v>15801</v>
      </c>
      <c r="H2393" s="11" t="str">
        <f t="shared" si="74"/>
        <v/>
      </c>
      <c r="J2393" s="11" t="str">
        <f t="shared" si="75"/>
        <v xml:space="preserve"> </v>
      </c>
      <c r="K2393" s="24" t="s">
        <v>15801</v>
      </c>
    </row>
    <row r="2394" spans="1:11">
      <c r="A2394" s="24" t="s">
        <v>15801</v>
      </c>
      <c r="C2394" s="32" t="s">
        <v>15801</v>
      </c>
      <c r="D2394" s="24" t="s">
        <v>15801</v>
      </c>
      <c r="E2394" s="24" t="s">
        <v>15801</v>
      </c>
      <c r="H2394" s="11" t="str">
        <f t="shared" si="74"/>
        <v/>
      </c>
      <c r="J2394" s="11" t="str">
        <f t="shared" si="75"/>
        <v xml:space="preserve"> </v>
      </c>
      <c r="K2394" s="24" t="s">
        <v>15801</v>
      </c>
    </row>
    <row r="2395" spans="1:11">
      <c r="A2395" s="24" t="s">
        <v>15801</v>
      </c>
      <c r="C2395" s="32" t="s">
        <v>15801</v>
      </c>
      <c r="D2395" s="24" t="s">
        <v>15801</v>
      </c>
      <c r="E2395" s="24" t="s">
        <v>15801</v>
      </c>
      <c r="H2395" s="11" t="str">
        <f t="shared" si="74"/>
        <v/>
      </c>
      <c r="J2395" s="11" t="str">
        <f t="shared" si="75"/>
        <v xml:space="preserve"> </v>
      </c>
      <c r="K2395" s="24" t="s">
        <v>15801</v>
      </c>
    </row>
    <row r="2396" spans="1:11">
      <c r="A2396" s="24" t="s">
        <v>15801</v>
      </c>
      <c r="C2396" s="32" t="s">
        <v>15801</v>
      </c>
      <c r="D2396" s="24" t="s">
        <v>15801</v>
      </c>
      <c r="E2396" s="24" t="s">
        <v>15801</v>
      </c>
      <c r="H2396" s="11" t="str">
        <f t="shared" si="74"/>
        <v/>
      </c>
      <c r="J2396" s="11" t="str">
        <f t="shared" si="75"/>
        <v xml:space="preserve"> </v>
      </c>
      <c r="K2396" s="24" t="s">
        <v>15801</v>
      </c>
    </row>
    <row r="2397" spans="1:11">
      <c r="A2397" s="24" t="s">
        <v>15801</v>
      </c>
      <c r="C2397" s="32" t="s">
        <v>15801</v>
      </c>
      <c r="D2397" s="24" t="s">
        <v>15801</v>
      </c>
      <c r="E2397" s="24" t="s">
        <v>15801</v>
      </c>
      <c r="H2397" s="11" t="str">
        <f t="shared" si="74"/>
        <v/>
      </c>
      <c r="J2397" s="11" t="str">
        <f t="shared" si="75"/>
        <v xml:space="preserve"> </v>
      </c>
      <c r="K2397" s="24" t="s">
        <v>15801</v>
      </c>
    </row>
    <row r="2398" spans="1:11">
      <c r="A2398" s="24" t="s">
        <v>15801</v>
      </c>
      <c r="C2398" s="32" t="s">
        <v>15801</v>
      </c>
      <c r="D2398" s="24" t="s">
        <v>15801</v>
      </c>
      <c r="E2398" s="24" t="s">
        <v>15801</v>
      </c>
      <c r="H2398" s="11" t="str">
        <f t="shared" si="74"/>
        <v/>
      </c>
      <c r="J2398" s="11" t="str">
        <f t="shared" si="75"/>
        <v xml:space="preserve"> </v>
      </c>
      <c r="K2398" s="24" t="s">
        <v>15801</v>
      </c>
    </row>
    <row r="2399" spans="1:11">
      <c r="A2399" s="24" t="s">
        <v>15801</v>
      </c>
      <c r="C2399" s="32" t="s">
        <v>15801</v>
      </c>
      <c r="D2399" s="24" t="s">
        <v>15801</v>
      </c>
      <c r="E2399" s="24" t="s">
        <v>15801</v>
      </c>
      <c r="H2399" s="11" t="str">
        <f t="shared" si="74"/>
        <v/>
      </c>
      <c r="J2399" s="11" t="str">
        <f t="shared" si="75"/>
        <v xml:space="preserve"> </v>
      </c>
      <c r="K2399" s="24" t="s">
        <v>15801</v>
      </c>
    </row>
    <row r="2400" spans="1:11">
      <c r="A2400" s="24" t="s">
        <v>15801</v>
      </c>
      <c r="C2400" s="32" t="s">
        <v>15801</v>
      </c>
      <c r="D2400" s="24" t="s">
        <v>15801</v>
      </c>
      <c r="E2400" s="24" t="s">
        <v>15801</v>
      </c>
      <c r="H2400" s="11" t="str">
        <f t="shared" si="74"/>
        <v/>
      </c>
      <c r="J2400" s="11" t="str">
        <f t="shared" si="75"/>
        <v xml:space="preserve"> </v>
      </c>
      <c r="K2400" s="24" t="s">
        <v>15801</v>
      </c>
    </row>
    <row r="2401" spans="1:11">
      <c r="A2401" s="24" t="s">
        <v>15801</v>
      </c>
      <c r="C2401" s="32" t="s">
        <v>15801</v>
      </c>
      <c r="D2401" s="24" t="s">
        <v>15801</v>
      </c>
      <c r="E2401" s="24" t="s">
        <v>15801</v>
      </c>
      <c r="H2401" s="11" t="str">
        <f t="shared" si="74"/>
        <v/>
      </c>
      <c r="J2401" s="11" t="str">
        <f t="shared" si="75"/>
        <v xml:space="preserve"> </v>
      </c>
      <c r="K2401" s="24" t="s">
        <v>15801</v>
      </c>
    </row>
    <row r="2402" spans="1:11">
      <c r="A2402" s="24" t="s">
        <v>15801</v>
      </c>
      <c r="C2402" s="32" t="s">
        <v>15801</v>
      </c>
      <c r="D2402" s="24" t="s">
        <v>15801</v>
      </c>
      <c r="E2402" s="24" t="s">
        <v>15801</v>
      </c>
      <c r="H2402" s="11" t="str">
        <f t="shared" si="74"/>
        <v/>
      </c>
      <c r="J2402" s="11" t="str">
        <f t="shared" si="75"/>
        <v xml:space="preserve"> </v>
      </c>
      <c r="K2402" s="24" t="s">
        <v>15801</v>
      </c>
    </row>
    <row r="2403" spans="1:11">
      <c r="A2403" s="24" t="s">
        <v>15801</v>
      </c>
      <c r="C2403" s="32" t="s">
        <v>15801</v>
      </c>
      <c r="D2403" s="24" t="s">
        <v>15801</v>
      </c>
      <c r="E2403" s="24" t="s">
        <v>15801</v>
      </c>
      <c r="H2403" s="11" t="str">
        <f t="shared" si="74"/>
        <v/>
      </c>
      <c r="J2403" s="11" t="str">
        <f t="shared" si="75"/>
        <v xml:space="preserve"> </v>
      </c>
      <c r="K2403" s="24" t="s">
        <v>15801</v>
      </c>
    </row>
    <row r="2404" spans="1:11">
      <c r="A2404" s="24" t="s">
        <v>15801</v>
      </c>
      <c r="C2404" s="32" t="s">
        <v>15801</v>
      </c>
      <c r="D2404" s="24" t="s">
        <v>15801</v>
      </c>
      <c r="E2404" s="24" t="s">
        <v>15801</v>
      </c>
      <c r="H2404" s="11" t="str">
        <f t="shared" si="74"/>
        <v/>
      </c>
      <c r="J2404" s="11" t="str">
        <f t="shared" si="75"/>
        <v xml:space="preserve"> </v>
      </c>
      <c r="K2404" s="24" t="s">
        <v>15801</v>
      </c>
    </row>
    <row r="2405" spans="1:11">
      <c r="A2405" s="24" t="s">
        <v>15801</v>
      </c>
      <c r="C2405" s="32" t="s">
        <v>15801</v>
      </c>
      <c r="D2405" s="24" t="s">
        <v>15801</v>
      </c>
      <c r="E2405" s="24" t="s">
        <v>15801</v>
      </c>
      <c r="H2405" s="11" t="str">
        <f t="shared" si="74"/>
        <v/>
      </c>
      <c r="J2405" s="11" t="str">
        <f t="shared" si="75"/>
        <v xml:space="preserve"> </v>
      </c>
      <c r="K2405" s="24" t="s">
        <v>15801</v>
      </c>
    </row>
    <row r="2406" spans="1:11">
      <c r="A2406" s="24" t="s">
        <v>15801</v>
      </c>
      <c r="C2406" s="32" t="s">
        <v>15801</v>
      </c>
      <c r="D2406" s="24" t="s">
        <v>15801</v>
      </c>
      <c r="E2406" s="24" t="s">
        <v>15801</v>
      </c>
      <c r="H2406" s="11" t="str">
        <f t="shared" si="74"/>
        <v/>
      </c>
      <c r="J2406" s="11" t="str">
        <f t="shared" si="75"/>
        <v xml:space="preserve"> </v>
      </c>
      <c r="K2406" s="24" t="s">
        <v>15801</v>
      </c>
    </row>
    <row r="2407" spans="1:11">
      <c r="A2407" s="24" t="s">
        <v>15801</v>
      </c>
      <c r="C2407" s="32" t="s">
        <v>15801</v>
      </c>
      <c r="D2407" s="24" t="s">
        <v>15801</v>
      </c>
      <c r="E2407" s="24" t="s">
        <v>15801</v>
      </c>
      <c r="H2407" s="11" t="str">
        <f t="shared" si="74"/>
        <v/>
      </c>
      <c r="J2407" s="11" t="str">
        <f t="shared" si="75"/>
        <v xml:space="preserve"> </v>
      </c>
      <c r="K2407" s="24" t="s">
        <v>15801</v>
      </c>
    </row>
    <row r="2408" spans="1:11">
      <c r="A2408" s="24" t="s">
        <v>15801</v>
      </c>
      <c r="C2408" s="32" t="s">
        <v>15801</v>
      </c>
      <c r="D2408" s="24" t="s">
        <v>15801</v>
      </c>
      <c r="E2408" s="24" t="s">
        <v>15801</v>
      </c>
      <c r="H2408" s="11" t="str">
        <f t="shared" si="74"/>
        <v/>
      </c>
      <c r="J2408" s="11" t="str">
        <f t="shared" si="75"/>
        <v xml:space="preserve"> </v>
      </c>
      <c r="K2408" s="24" t="s">
        <v>15801</v>
      </c>
    </row>
    <row r="2409" spans="1:11">
      <c r="A2409" s="24" t="s">
        <v>15801</v>
      </c>
      <c r="C2409" s="32" t="s">
        <v>15801</v>
      </c>
      <c r="D2409" s="24" t="s">
        <v>15801</v>
      </c>
      <c r="E2409" s="24" t="s">
        <v>15801</v>
      </c>
      <c r="H2409" s="11" t="str">
        <f t="shared" si="74"/>
        <v/>
      </c>
      <c r="J2409" s="11" t="str">
        <f t="shared" si="75"/>
        <v xml:space="preserve"> </v>
      </c>
      <c r="K2409" s="24" t="s">
        <v>15801</v>
      </c>
    </row>
    <row r="2410" spans="1:11">
      <c r="A2410" s="24" t="s">
        <v>15801</v>
      </c>
      <c r="C2410" s="32" t="s">
        <v>15801</v>
      </c>
      <c r="D2410" s="24" t="s">
        <v>15801</v>
      </c>
      <c r="E2410" s="24" t="s">
        <v>15801</v>
      </c>
      <c r="H2410" s="11" t="str">
        <f t="shared" si="74"/>
        <v/>
      </c>
      <c r="J2410" s="11" t="str">
        <f t="shared" si="75"/>
        <v xml:space="preserve"> </v>
      </c>
      <c r="K2410" s="24" t="s">
        <v>15801</v>
      </c>
    </row>
    <row r="2411" spans="1:11">
      <c r="A2411" s="24" t="s">
        <v>15801</v>
      </c>
      <c r="C2411" s="32" t="s">
        <v>15801</v>
      </c>
      <c r="D2411" s="24" t="s">
        <v>15801</v>
      </c>
      <c r="E2411" s="24" t="s">
        <v>15801</v>
      </c>
      <c r="H2411" s="11" t="str">
        <f t="shared" si="74"/>
        <v/>
      </c>
      <c r="J2411" s="11" t="str">
        <f t="shared" si="75"/>
        <v xml:space="preserve"> </v>
      </c>
      <c r="K2411" s="24" t="s">
        <v>15801</v>
      </c>
    </row>
    <row r="2412" spans="1:11">
      <c r="A2412" s="24" t="s">
        <v>15801</v>
      </c>
      <c r="C2412" s="32" t="s">
        <v>15801</v>
      </c>
      <c r="D2412" s="24" t="s">
        <v>15801</v>
      </c>
      <c r="E2412" s="24" t="s">
        <v>15801</v>
      </c>
      <c r="H2412" s="11" t="str">
        <f t="shared" si="74"/>
        <v/>
      </c>
      <c r="J2412" s="11" t="str">
        <f t="shared" si="75"/>
        <v xml:space="preserve"> </v>
      </c>
      <c r="K2412" s="24" t="s">
        <v>15801</v>
      </c>
    </row>
    <row r="2413" spans="1:11">
      <c r="A2413" s="24" t="s">
        <v>15801</v>
      </c>
      <c r="C2413" s="32" t="s">
        <v>15801</v>
      </c>
      <c r="D2413" s="24" t="s">
        <v>15801</v>
      </c>
      <c r="E2413" s="24" t="s">
        <v>15801</v>
      </c>
      <c r="H2413" s="11" t="str">
        <f t="shared" si="74"/>
        <v/>
      </c>
      <c r="J2413" s="11" t="str">
        <f t="shared" si="75"/>
        <v xml:space="preserve"> </v>
      </c>
      <c r="K2413" s="24" t="s">
        <v>15801</v>
      </c>
    </row>
    <row r="2414" spans="1:11">
      <c r="A2414" s="24" t="s">
        <v>15801</v>
      </c>
      <c r="C2414" s="32" t="s">
        <v>15801</v>
      </c>
      <c r="D2414" s="24" t="s">
        <v>15801</v>
      </c>
      <c r="E2414" s="24" t="s">
        <v>15801</v>
      </c>
      <c r="H2414" s="11" t="str">
        <f t="shared" si="74"/>
        <v/>
      </c>
      <c r="J2414" s="11" t="str">
        <f t="shared" si="75"/>
        <v xml:space="preserve"> </v>
      </c>
      <c r="K2414" s="24" t="s">
        <v>15801</v>
      </c>
    </row>
    <row r="2415" spans="1:11">
      <c r="A2415" s="24" t="s">
        <v>15801</v>
      </c>
      <c r="C2415" s="32" t="s">
        <v>15801</v>
      </c>
      <c r="D2415" s="24" t="s">
        <v>15801</v>
      </c>
      <c r="E2415" s="24" t="s">
        <v>15801</v>
      </c>
      <c r="H2415" s="11" t="str">
        <f t="shared" si="74"/>
        <v/>
      </c>
      <c r="J2415" s="11" t="str">
        <f t="shared" si="75"/>
        <v xml:space="preserve"> </v>
      </c>
      <c r="K2415" s="24" t="s">
        <v>15801</v>
      </c>
    </row>
    <row r="2416" spans="1:11">
      <c r="A2416" s="24" t="s">
        <v>15801</v>
      </c>
      <c r="C2416" s="32" t="s">
        <v>15801</v>
      </c>
      <c r="D2416" s="24" t="s">
        <v>15801</v>
      </c>
      <c r="E2416" s="24" t="s">
        <v>15801</v>
      </c>
      <c r="H2416" s="11" t="str">
        <f t="shared" si="74"/>
        <v/>
      </c>
      <c r="J2416" s="11" t="str">
        <f t="shared" si="75"/>
        <v xml:space="preserve"> </v>
      </c>
      <c r="K2416" s="24" t="s">
        <v>15801</v>
      </c>
    </row>
    <row r="2417" spans="1:11">
      <c r="A2417" s="24" t="s">
        <v>15801</v>
      </c>
      <c r="C2417" s="32" t="s">
        <v>15801</v>
      </c>
      <c r="D2417" s="24" t="s">
        <v>15801</v>
      </c>
      <c r="E2417" s="24" t="s">
        <v>15801</v>
      </c>
      <c r="H2417" s="11" t="str">
        <f t="shared" si="74"/>
        <v/>
      </c>
      <c r="J2417" s="11" t="str">
        <f t="shared" si="75"/>
        <v xml:space="preserve"> </v>
      </c>
      <c r="K2417" s="24" t="s">
        <v>15801</v>
      </c>
    </row>
    <row r="2418" spans="1:11">
      <c r="A2418" s="24" t="s">
        <v>15801</v>
      </c>
      <c r="C2418" s="32" t="s">
        <v>15801</v>
      </c>
      <c r="D2418" s="24" t="s">
        <v>15801</v>
      </c>
      <c r="E2418" s="24" t="s">
        <v>15801</v>
      </c>
      <c r="H2418" s="11" t="str">
        <f t="shared" si="74"/>
        <v/>
      </c>
      <c r="J2418" s="11" t="str">
        <f t="shared" si="75"/>
        <v xml:space="preserve"> </v>
      </c>
      <c r="K2418" s="24" t="s">
        <v>15801</v>
      </c>
    </row>
    <row r="2419" spans="1:11">
      <c r="A2419" s="24" t="s">
        <v>15801</v>
      </c>
      <c r="C2419" s="32" t="s">
        <v>15801</v>
      </c>
      <c r="D2419" s="24" t="s">
        <v>15801</v>
      </c>
      <c r="E2419" s="24" t="s">
        <v>15801</v>
      </c>
      <c r="H2419" s="11" t="str">
        <f t="shared" si="74"/>
        <v/>
      </c>
      <c r="J2419" s="11" t="str">
        <f t="shared" si="75"/>
        <v xml:space="preserve"> </v>
      </c>
      <c r="K2419" s="24" t="s">
        <v>15801</v>
      </c>
    </row>
    <row r="2420" spans="1:11">
      <c r="A2420" s="24" t="s">
        <v>15801</v>
      </c>
      <c r="C2420" s="32" t="s">
        <v>15801</v>
      </c>
      <c r="D2420" s="24" t="s">
        <v>15801</v>
      </c>
      <c r="E2420" s="24" t="s">
        <v>15801</v>
      </c>
      <c r="H2420" s="11" t="str">
        <f t="shared" si="74"/>
        <v/>
      </c>
      <c r="J2420" s="11" t="str">
        <f t="shared" si="75"/>
        <v xml:space="preserve"> </v>
      </c>
      <c r="K2420" s="24" t="s">
        <v>15801</v>
      </c>
    </row>
    <row r="2421" spans="1:11">
      <c r="A2421" s="24" t="s">
        <v>15801</v>
      </c>
      <c r="C2421" s="32" t="s">
        <v>15801</v>
      </c>
      <c r="D2421" s="24" t="s">
        <v>15801</v>
      </c>
      <c r="E2421" s="24" t="s">
        <v>15801</v>
      </c>
      <c r="H2421" s="11" t="str">
        <f t="shared" si="74"/>
        <v/>
      </c>
      <c r="J2421" s="11" t="str">
        <f t="shared" si="75"/>
        <v xml:space="preserve"> </v>
      </c>
      <c r="K2421" s="24" t="s">
        <v>15801</v>
      </c>
    </row>
    <row r="2422" spans="1:11">
      <c r="A2422" s="24" t="s">
        <v>15801</v>
      </c>
      <c r="C2422" s="32" t="s">
        <v>15801</v>
      </c>
      <c r="D2422" s="24" t="s">
        <v>15801</v>
      </c>
      <c r="E2422" s="24" t="s">
        <v>15801</v>
      </c>
      <c r="H2422" s="11" t="str">
        <f t="shared" si="74"/>
        <v/>
      </c>
      <c r="J2422" s="11" t="str">
        <f t="shared" si="75"/>
        <v xml:space="preserve"> </v>
      </c>
      <c r="K2422" s="24" t="s">
        <v>15801</v>
      </c>
    </row>
    <row r="2423" spans="1:11">
      <c r="A2423" s="24" t="s">
        <v>15801</v>
      </c>
      <c r="C2423" s="32" t="s">
        <v>15801</v>
      </c>
      <c r="D2423" s="24" t="s">
        <v>15801</v>
      </c>
      <c r="E2423" s="24" t="s">
        <v>15801</v>
      </c>
      <c r="H2423" s="11" t="str">
        <f t="shared" si="74"/>
        <v/>
      </c>
      <c r="J2423" s="11" t="str">
        <f t="shared" si="75"/>
        <v xml:space="preserve"> </v>
      </c>
      <c r="K2423" s="24" t="s">
        <v>15801</v>
      </c>
    </row>
    <row r="2424" spans="1:11">
      <c r="A2424" s="24" t="s">
        <v>15801</v>
      </c>
      <c r="C2424" s="32" t="s">
        <v>15801</v>
      </c>
      <c r="D2424" s="24" t="s">
        <v>15801</v>
      </c>
      <c r="E2424" s="24" t="s">
        <v>15801</v>
      </c>
      <c r="H2424" s="11" t="str">
        <f t="shared" si="74"/>
        <v/>
      </c>
      <c r="J2424" s="11" t="str">
        <f t="shared" si="75"/>
        <v xml:space="preserve"> </v>
      </c>
      <c r="K2424" s="24" t="s">
        <v>15801</v>
      </c>
    </row>
    <row r="2425" spans="1:11">
      <c r="A2425" s="24" t="s">
        <v>15801</v>
      </c>
      <c r="C2425" s="32" t="s">
        <v>15801</v>
      </c>
      <c r="D2425" s="24" t="s">
        <v>15801</v>
      </c>
      <c r="E2425" s="24" t="s">
        <v>15801</v>
      </c>
      <c r="H2425" s="11" t="str">
        <f t="shared" si="74"/>
        <v/>
      </c>
      <c r="J2425" s="11" t="str">
        <f t="shared" si="75"/>
        <v xml:space="preserve"> </v>
      </c>
      <c r="K2425" s="24" t="s">
        <v>15801</v>
      </c>
    </row>
    <row r="2426" spans="1:11">
      <c r="A2426" s="24" t="s">
        <v>15801</v>
      </c>
      <c r="C2426" s="32" t="s">
        <v>15801</v>
      </c>
      <c r="D2426" s="24" t="s">
        <v>15801</v>
      </c>
      <c r="E2426" s="24" t="s">
        <v>15801</v>
      </c>
      <c r="H2426" s="11" t="str">
        <f t="shared" si="74"/>
        <v/>
      </c>
      <c r="J2426" s="11" t="str">
        <f t="shared" si="75"/>
        <v xml:space="preserve"> </v>
      </c>
      <c r="K2426" s="24" t="s">
        <v>15801</v>
      </c>
    </row>
    <row r="2427" spans="1:11">
      <c r="A2427" s="24" t="s">
        <v>15801</v>
      </c>
      <c r="C2427" s="32" t="s">
        <v>15801</v>
      </c>
      <c r="D2427" s="24" t="s">
        <v>15801</v>
      </c>
      <c r="E2427" s="24" t="s">
        <v>15801</v>
      </c>
      <c r="H2427" s="11" t="str">
        <f t="shared" si="74"/>
        <v/>
      </c>
      <c r="J2427" s="11" t="str">
        <f t="shared" si="75"/>
        <v xml:space="preserve"> </v>
      </c>
      <c r="K2427" s="24" t="s">
        <v>15801</v>
      </c>
    </row>
    <row r="2428" spans="1:11">
      <c r="A2428" s="24" t="s">
        <v>15801</v>
      </c>
      <c r="C2428" s="32" t="s">
        <v>15801</v>
      </c>
      <c r="D2428" s="24" t="s">
        <v>15801</v>
      </c>
      <c r="E2428" s="24" t="s">
        <v>15801</v>
      </c>
      <c r="H2428" s="11" t="str">
        <f t="shared" si="74"/>
        <v/>
      </c>
      <c r="J2428" s="11" t="str">
        <f t="shared" si="75"/>
        <v xml:space="preserve"> </v>
      </c>
      <c r="K2428" s="24" t="s">
        <v>15801</v>
      </c>
    </row>
    <row r="2429" spans="1:11">
      <c r="A2429" s="24" t="s">
        <v>15801</v>
      </c>
      <c r="C2429" s="32" t="s">
        <v>15801</v>
      </c>
      <c r="D2429" s="24" t="s">
        <v>15801</v>
      </c>
      <c r="E2429" s="24" t="s">
        <v>15801</v>
      </c>
      <c r="H2429" s="11" t="str">
        <f t="shared" si="74"/>
        <v/>
      </c>
      <c r="J2429" s="11" t="str">
        <f t="shared" si="75"/>
        <v xml:space="preserve"> </v>
      </c>
      <c r="K2429" s="24" t="s">
        <v>15801</v>
      </c>
    </row>
    <row r="2430" spans="1:11">
      <c r="A2430" s="24" t="s">
        <v>15801</v>
      </c>
      <c r="C2430" s="32" t="s">
        <v>15801</v>
      </c>
      <c r="D2430" s="24" t="s">
        <v>15801</v>
      </c>
      <c r="E2430" s="24" t="s">
        <v>15801</v>
      </c>
      <c r="H2430" s="11" t="str">
        <f t="shared" si="74"/>
        <v/>
      </c>
      <c r="J2430" s="11" t="str">
        <f t="shared" si="75"/>
        <v xml:space="preserve"> </v>
      </c>
      <c r="K2430" s="24" t="s">
        <v>15801</v>
      </c>
    </row>
    <row r="2431" spans="1:11">
      <c r="A2431" s="24" t="s">
        <v>15801</v>
      </c>
      <c r="C2431" s="32" t="s">
        <v>15801</v>
      </c>
      <c r="D2431" s="24" t="s">
        <v>15801</v>
      </c>
      <c r="E2431" s="24" t="s">
        <v>15801</v>
      </c>
      <c r="H2431" s="11" t="str">
        <f t="shared" si="74"/>
        <v/>
      </c>
      <c r="J2431" s="11" t="str">
        <f t="shared" si="75"/>
        <v xml:space="preserve"> </v>
      </c>
      <c r="K2431" s="24" t="s">
        <v>15801</v>
      </c>
    </row>
    <row r="2432" spans="1:11">
      <c r="A2432" s="24" t="s">
        <v>15801</v>
      </c>
      <c r="C2432" s="32" t="s">
        <v>15801</v>
      </c>
      <c r="D2432" s="24" t="s">
        <v>15801</v>
      </c>
      <c r="E2432" s="24" t="s">
        <v>15801</v>
      </c>
      <c r="H2432" s="11" t="str">
        <f t="shared" si="74"/>
        <v/>
      </c>
      <c r="J2432" s="11" t="str">
        <f t="shared" si="75"/>
        <v xml:space="preserve"> </v>
      </c>
      <c r="K2432" s="24" t="s">
        <v>15801</v>
      </c>
    </row>
    <row r="2433" spans="1:11">
      <c r="A2433" s="24" t="s">
        <v>15801</v>
      </c>
      <c r="C2433" s="32" t="s">
        <v>15801</v>
      </c>
      <c r="D2433" s="24" t="s">
        <v>15801</v>
      </c>
      <c r="E2433" s="24" t="s">
        <v>15801</v>
      </c>
      <c r="H2433" s="11" t="str">
        <f t="shared" si="74"/>
        <v/>
      </c>
      <c r="J2433" s="11" t="str">
        <f t="shared" si="75"/>
        <v xml:space="preserve"> </v>
      </c>
      <c r="K2433" s="24" t="s">
        <v>15801</v>
      </c>
    </row>
    <row r="2434" spans="1:11">
      <c r="A2434" s="24" t="s">
        <v>15801</v>
      </c>
      <c r="C2434" s="32" t="s">
        <v>15801</v>
      </c>
      <c r="D2434" s="24" t="s">
        <v>15801</v>
      </c>
      <c r="E2434" s="24" t="s">
        <v>15801</v>
      </c>
      <c r="H2434" s="11" t="str">
        <f t="shared" si="74"/>
        <v/>
      </c>
      <c r="J2434" s="11" t="str">
        <f t="shared" si="75"/>
        <v xml:space="preserve"> </v>
      </c>
      <c r="K2434" s="24" t="s">
        <v>15801</v>
      </c>
    </row>
    <row r="2435" spans="1:11">
      <c r="A2435" s="24" t="s">
        <v>15801</v>
      </c>
      <c r="C2435" s="32" t="s">
        <v>15801</v>
      </c>
      <c r="D2435" s="24" t="s">
        <v>15801</v>
      </c>
      <c r="E2435" s="24" t="s">
        <v>15801</v>
      </c>
      <c r="H2435" s="11" t="str">
        <f t="shared" ref="H2435:H2451" si="76">TRIM(G2435)</f>
        <v/>
      </c>
      <c r="J2435" s="11" t="str">
        <f t="shared" ref="J2435:J2451" si="77">IF(LEN(H2435)=4,"fout"," ")</f>
        <v xml:space="preserve"> </v>
      </c>
      <c r="K2435" s="24" t="s">
        <v>15801</v>
      </c>
    </row>
    <row r="2436" spans="1:11">
      <c r="A2436" s="24" t="s">
        <v>15801</v>
      </c>
      <c r="C2436" s="32" t="s">
        <v>15801</v>
      </c>
      <c r="D2436" s="24" t="s">
        <v>15801</v>
      </c>
      <c r="E2436" s="24" t="s">
        <v>15801</v>
      </c>
      <c r="H2436" s="11" t="str">
        <f t="shared" si="76"/>
        <v/>
      </c>
      <c r="J2436" s="11" t="str">
        <f t="shared" si="77"/>
        <v xml:space="preserve"> </v>
      </c>
      <c r="K2436" s="24" t="s">
        <v>15801</v>
      </c>
    </row>
    <row r="2437" spans="1:11">
      <c r="A2437" s="24" t="s">
        <v>15801</v>
      </c>
      <c r="C2437" s="32" t="s">
        <v>15801</v>
      </c>
      <c r="D2437" s="24" t="s">
        <v>15801</v>
      </c>
      <c r="E2437" s="24" t="s">
        <v>15801</v>
      </c>
      <c r="H2437" s="11" t="str">
        <f t="shared" si="76"/>
        <v/>
      </c>
      <c r="J2437" s="11" t="str">
        <f t="shared" si="77"/>
        <v xml:space="preserve"> </v>
      </c>
      <c r="K2437" s="24" t="s">
        <v>15801</v>
      </c>
    </row>
    <row r="2438" spans="1:11">
      <c r="A2438" s="24" t="s">
        <v>15801</v>
      </c>
      <c r="C2438" s="32" t="s">
        <v>15801</v>
      </c>
      <c r="D2438" s="24" t="s">
        <v>15801</v>
      </c>
      <c r="E2438" s="24" t="s">
        <v>15801</v>
      </c>
      <c r="H2438" s="11" t="str">
        <f t="shared" si="76"/>
        <v/>
      </c>
      <c r="J2438" s="11" t="str">
        <f t="shared" si="77"/>
        <v xml:space="preserve"> </v>
      </c>
      <c r="K2438" s="24" t="s">
        <v>15801</v>
      </c>
    </row>
    <row r="2439" spans="1:11">
      <c r="A2439" s="24" t="s">
        <v>15801</v>
      </c>
      <c r="C2439" s="32" t="s">
        <v>15801</v>
      </c>
      <c r="D2439" s="24" t="s">
        <v>15801</v>
      </c>
      <c r="E2439" s="24" t="s">
        <v>15801</v>
      </c>
      <c r="H2439" s="11" t="str">
        <f t="shared" si="76"/>
        <v/>
      </c>
      <c r="J2439" s="11" t="str">
        <f t="shared" si="77"/>
        <v xml:space="preserve"> </v>
      </c>
      <c r="K2439" s="24" t="s">
        <v>15801</v>
      </c>
    </row>
    <row r="2440" spans="1:11">
      <c r="A2440" s="24" t="s">
        <v>15801</v>
      </c>
      <c r="C2440" s="32" t="s">
        <v>15801</v>
      </c>
      <c r="D2440" s="24" t="s">
        <v>15801</v>
      </c>
      <c r="E2440" s="24" t="s">
        <v>15801</v>
      </c>
      <c r="H2440" s="11" t="str">
        <f t="shared" si="76"/>
        <v/>
      </c>
      <c r="J2440" s="11" t="str">
        <f t="shared" si="77"/>
        <v xml:space="preserve"> </v>
      </c>
      <c r="K2440" s="24" t="s">
        <v>15801</v>
      </c>
    </row>
    <row r="2441" spans="1:11">
      <c r="A2441" s="24" t="s">
        <v>15801</v>
      </c>
      <c r="C2441" s="32" t="s">
        <v>15801</v>
      </c>
      <c r="D2441" s="24" t="s">
        <v>15801</v>
      </c>
      <c r="E2441" s="24" t="s">
        <v>15801</v>
      </c>
      <c r="H2441" s="11" t="str">
        <f t="shared" si="76"/>
        <v/>
      </c>
      <c r="J2441" s="11" t="str">
        <f t="shared" si="77"/>
        <v xml:space="preserve"> </v>
      </c>
      <c r="K2441" s="24" t="s">
        <v>15801</v>
      </c>
    </row>
    <row r="2442" spans="1:11">
      <c r="A2442" s="24" t="s">
        <v>15801</v>
      </c>
      <c r="C2442" s="32" t="s">
        <v>15801</v>
      </c>
      <c r="D2442" s="24" t="s">
        <v>15801</v>
      </c>
      <c r="E2442" s="24" t="s">
        <v>15801</v>
      </c>
      <c r="H2442" s="11" t="str">
        <f t="shared" si="76"/>
        <v/>
      </c>
      <c r="J2442" s="11" t="str">
        <f t="shared" si="77"/>
        <v xml:space="preserve"> </v>
      </c>
      <c r="K2442" s="24" t="s">
        <v>15801</v>
      </c>
    </row>
    <row r="2443" spans="1:11">
      <c r="A2443" s="24" t="s">
        <v>15801</v>
      </c>
      <c r="C2443" s="32" t="s">
        <v>15801</v>
      </c>
      <c r="D2443" s="24" t="s">
        <v>15801</v>
      </c>
      <c r="E2443" s="24" t="s">
        <v>15801</v>
      </c>
      <c r="H2443" s="11" t="str">
        <f t="shared" si="76"/>
        <v/>
      </c>
      <c r="J2443" s="11" t="str">
        <f t="shared" si="77"/>
        <v xml:space="preserve"> </v>
      </c>
      <c r="K2443" s="24" t="s">
        <v>15801</v>
      </c>
    </row>
    <row r="2444" spans="1:11">
      <c r="A2444" s="24" t="s">
        <v>15801</v>
      </c>
      <c r="C2444" s="32" t="s">
        <v>15801</v>
      </c>
      <c r="D2444" s="24" t="s">
        <v>15801</v>
      </c>
      <c r="E2444" s="24" t="s">
        <v>15801</v>
      </c>
      <c r="H2444" s="11" t="str">
        <f t="shared" si="76"/>
        <v/>
      </c>
      <c r="J2444" s="11" t="str">
        <f t="shared" si="77"/>
        <v xml:space="preserve"> </v>
      </c>
      <c r="K2444" s="24" t="s">
        <v>15801</v>
      </c>
    </row>
    <row r="2445" spans="1:11">
      <c r="A2445" s="24" t="s">
        <v>15801</v>
      </c>
      <c r="C2445" s="32" t="s">
        <v>15801</v>
      </c>
      <c r="D2445" s="24" t="s">
        <v>15801</v>
      </c>
      <c r="E2445" s="24" t="s">
        <v>15801</v>
      </c>
      <c r="H2445" s="11" t="str">
        <f t="shared" si="76"/>
        <v/>
      </c>
      <c r="J2445" s="11" t="str">
        <f t="shared" si="77"/>
        <v xml:space="preserve"> </v>
      </c>
      <c r="K2445" s="24" t="s">
        <v>15801</v>
      </c>
    </row>
    <row r="2446" spans="1:11">
      <c r="A2446" s="24" t="s">
        <v>15801</v>
      </c>
      <c r="C2446" s="32" t="s">
        <v>15801</v>
      </c>
      <c r="D2446" s="24" t="s">
        <v>15801</v>
      </c>
      <c r="E2446" s="24" t="s">
        <v>15801</v>
      </c>
      <c r="H2446" s="11" t="str">
        <f t="shared" si="76"/>
        <v/>
      </c>
      <c r="J2446" s="11" t="str">
        <f t="shared" si="77"/>
        <v xml:space="preserve"> </v>
      </c>
      <c r="K2446" s="24" t="s">
        <v>15801</v>
      </c>
    </row>
    <row r="2447" spans="1:11">
      <c r="A2447" s="24" t="s">
        <v>15801</v>
      </c>
      <c r="C2447" s="32" t="s">
        <v>15801</v>
      </c>
      <c r="D2447" s="24" t="s">
        <v>15801</v>
      </c>
      <c r="E2447" s="24" t="s">
        <v>15801</v>
      </c>
      <c r="H2447" s="11" t="str">
        <f t="shared" si="76"/>
        <v/>
      </c>
      <c r="J2447" s="11" t="str">
        <f t="shared" si="77"/>
        <v xml:space="preserve"> </v>
      </c>
      <c r="K2447" s="24" t="s">
        <v>15801</v>
      </c>
    </row>
    <row r="2448" spans="1:11">
      <c r="A2448" s="24" t="s">
        <v>15801</v>
      </c>
      <c r="C2448" s="32" t="s">
        <v>15801</v>
      </c>
      <c r="D2448" s="24" t="s">
        <v>15801</v>
      </c>
      <c r="E2448" s="24" t="s">
        <v>15801</v>
      </c>
      <c r="H2448" s="11" t="str">
        <f t="shared" si="76"/>
        <v/>
      </c>
      <c r="J2448" s="11" t="str">
        <f t="shared" si="77"/>
        <v xml:space="preserve"> </v>
      </c>
      <c r="K2448" s="24" t="s">
        <v>15801</v>
      </c>
    </row>
    <row r="2449" spans="1:11">
      <c r="A2449" s="24" t="s">
        <v>15801</v>
      </c>
      <c r="C2449" s="32" t="s">
        <v>15801</v>
      </c>
      <c r="D2449" s="24" t="s">
        <v>15801</v>
      </c>
      <c r="E2449" s="24" t="s">
        <v>15801</v>
      </c>
      <c r="H2449" s="11" t="str">
        <f t="shared" si="76"/>
        <v/>
      </c>
      <c r="J2449" s="11" t="str">
        <f t="shared" si="77"/>
        <v xml:space="preserve"> </v>
      </c>
      <c r="K2449" s="24" t="s">
        <v>15801</v>
      </c>
    </row>
    <row r="2450" spans="1:11">
      <c r="A2450" s="24" t="s">
        <v>15801</v>
      </c>
      <c r="C2450" s="32" t="s">
        <v>15801</v>
      </c>
      <c r="D2450" s="24" t="s">
        <v>15801</v>
      </c>
      <c r="E2450" s="24" t="s">
        <v>15801</v>
      </c>
      <c r="H2450" s="11" t="str">
        <f t="shared" si="76"/>
        <v/>
      </c>
      <c r="J2450" s="11" t="str">
        <f t="shared" si="77"/>
        <v xml:space="preserve"> </v>
      </c>
      <c r="K2450" s="24" t="s">
        <v>15801</v>
      </c>
    </row>
    <row r="2451" spans="1:11">
      <c r="A2451" s="24" t="s">
        <v>15801</v>
      </c>
      <c r="C2451" s="32" t="s">
        <v>15801</v>
      </c>
      <c r="D2451" s="24" t="s">
        <v>15801</v>
      </c>
      <c r="E2451" s="24" t="s">
        <v>15801</v>
      </c>
      <c r="H2451" s="11" t="str">
        <f t="shared" si="76"/>
        <v/>
      </c>
      <c r="J2451" s="11" t="str">
        <f t="shared" si="77"/>
        <v xml:space="preserve"> </v>
      </c>
      <c r="K2451" s="24" t="s">
        <v>15801</v>
      </c>
    </row>
    <row r="2452" spans="1:11">
      <c r="A2452" s="24" t="s">
        <v>15801</v>
      </c>
      <c r="C2452" s="32" t="s">
        <v>15801</v>
      </c>
      <c r="D2452" s="24" t="s">
        <v>15801</v>
      </c>
      <c r="E2452" s="24" t="s">
        <v>15801</v>
      </c>
      <c r="H2452" s="11"/>
    </row>
    <row r="2453" spans="1:11">
      <c r="A2453" s="24" t="s">
        <v>15801</v>
      </c>
      <c r="C2453" s="32" t="s">
        <v>15801</v>
      </c>
      <c r="D2453" s="24" t="s">
        <v>15801</v>
      </c>
      <c r="E2453" s="24" t="s">
        <v>15801</v>
      </c>
      <c r="H2453" s="11"/>
    </row>
    <row r="2454" spans="1:11">
      <c r="A2454" s="24" t="s">
        <v>15801</v>
      </c>
      <c r="C2454" s="32" t="s">
        <v>15801</v>
      </c>
      <c r="D2454" s="24" t="s">
        <v>15801</v>
      </c>
      <c r="E2454" s="24" t="s">
        <v>15801</v>
      </c>
      <c r="H2454" s="11"/>
    </row>
    <row r="2455" spans="1:11">
      <c r="A2455" s="24" t="s">
        <v>15801</v>
      </c>
      <c r="C2455" s="32" t="s">
        <v>15801</v>
      </c>
      <c r="D2455" s="24" t="s">
        <v>15801</v>
      </c>
      <c r="E2455" s="24" t="s">
        <v>15801</v>
      </c>
      <c r="H2455" s="11"/>
    </row>
    <row r="2456" spans="1:11">
      <c r="A2456" s="24" t="s">
        <v>15801</v>
      </c>
      <c r="C2456" s="32" t="s">
        <v>15801</v>
      </c>
      <c r="D2456" s="24" t="s">
        <v>15801</v>
      </c>
      <c r="E2456" s="24" t="s">
        <v>15801</v>
      </c>
      <c r="H2456" s="11"/>
    </row>
    <row r="2457" spans="1:11">
      <c r="A2457" s="24" t="s">
        <v>15801</v>
      </c>
      <c r="C2457" s="32" t="s">
        <v>15801</v>
      </c>
      <c r="D2457" s="24" t="s">
        <v>15801</v>
      </c>
      <c r="E2457" s="24" t="s">
        <v>15801</v>
      </c>
      <c r="H2457" s="11"/>
    </row>
    <row r="2458" spans="1:11">
      <c r="A2458" s="24" t="s">
        <v>15801</v>
      </c>
      <c r="C2458" s="32" t="s">
        <v>15801</v>
      </c>
      <c r="D2458" s="24" t="s">
        <v>15801</v>
      </c>
      <c r="E2458" s="24" t="s">
        <v>15801</v>
      </c>
      <c r="H2458" s="11"/>
    </row>
    <row r="2459" spans="1:11">
      <c r="A2459" s="24" t="s">
        <v>15801</v>
      </c>
      <c r="C2459" s="32" t="s">
        <v>15801</v>
      </c>
      <c r="D2459" s="24" t="s">
        <v>15801</v>
      </c>
      <c r="E2459" s="24" t="s">
        <v>15801</v>
      </c>
      <c r="H2459" s="11"/>
    </row>
    <row r="2460" spans="1:11">
      <c r="A2460" s="24" t="s">
        <v>15801</v>
      </c>
      <c r="C2460" s="32" t="s">
        <v>15801</v>
      </c>
      <c r="D2460" s="24" t="s">
        <v>15801</v>
      </c>
      <c r="E2460" s="24" t="s">
        <v>15801</v>
      </c>
      <c r="H2460" s="11"/>
    </row>
    <row r="2461" spans="1:11">
      <c r="A2461" s="24" t="s">
        <v>15801</v>
      </c>
      <c r="C2461" s="32" t="s">
        <v>15801</v>
      </c>
      <c r="D2461" s="24" t="s">
        <v>15801</v>
      </c>
      <c r="E2461" s="24" t="s">
        <v>15801</v>
      </c>
      <c r="H2461" s="11"/>
    </row>
    <row r="2462" spans="1:11">
      <c r="A2462" s="24" t="s">
        <v>15801</v>
      </c>
      <c r="C2462" s="32" t="s">
        <v>15801</v>
      </c>
      <c r="D2462" s="24" t="s">
        <v>15801</v>
      </c>
      <c r="E2462" s="24" t="s">
        <v>15801</v>
      </c>
      <c r="H2462" s="11"/>
    </row>
    <row r="2463" spans="1:11">
      <c r="A2463" s="24" t="s">
        <v>15801</v>
      </c>
      <c r="C2463" s="32" t="s">
        <v>15801</v>
      </c>
      <c r="D2463" s="24" t="s">
        <v>15801</v>
      </c>
      <c r="E2463" s="24" t="s">
        <v>15801</v>
      </c>
      <c r="H2463" s="11"/>
    </row>
    <row r="2464" spans="1:11">
      <c r="A2464" s="24" t="s">
        <v>15801</v>
      </c>
      <c r="C2464" s="32" t="s">
        <v>15801</v>
      </c>
      <c r="D2464" s="24" t="s">
        <v>15801</v>
      </c>
      <c r="E2464" s="24" t="s">
        <v>15801</v>
      </c>
      <c r="H2464" s="11"/>
    </row>
    <row r="2465" spans="1:8">
      <c r="A2465" s="24" t="s">
        <v>15801</v>
      </c>
      <c r="C2465" s="32" t="s">
        <v>15801</v>
      </c>
      <c r="D2465" s="24" t="s">
        <v>15801</v>
      </c>
      <c r="E2465" s="24" t="s">
        <v>15801</v>
      </c>
      <c r="H2465" s="11"/>
    </row>
    <row r="2466" spans="1:8">
      <c r="A2466" s="24" t="s">
        <v>15801</v>
      </c>
      <c r="C2466" s="32" t="s">
        <v>15801</v>
      </c>
      <c r="D2466" s="24" t="s">
        <v>15801</v>
      </c>
      <c r="E2466" s="24" t="s">
        <v>15801</v>
      </c>
      <c r="H2466" s="11"/>
    </row>
    <row r="2467" spans="1:8">
      <c r="A2467" s="24" t="s">
        <v>15801</v>
      </c>
      <c r="C2467" s="32" t="s">
        <v>15801</v>
      </c>
      <c r="D2467" s="24" t="s">
        <v>15801</v>
      </c>
      <c r="E2467" s="24" t="s">
        <v>15801</v>
      </c>
    </row>
    <row r="2468" spans="1:8">
      <c r="A2468" s="24" t="s">
        <v>15801</v>
      </c>
      <c r="C2468" s="32" t="s">
        <v>15801</v>
      </c>
      <c r="D2468" s="24" t="s">
        <v>15801</v>
      </c>
      <c r="E2468" s="24" t="s">
        <v>15801</v>
      </c>
    </row>
    <row r="2469" spans="1:8">
      <c r="A2469" s="24" t="s">
        <v>15801</v>
      </c>
      <c r="C2469" s="32" t="s">
        <v>15801</v>
      </c>
      <c r="D2469" s="24" t="s">
        <v>15801</v>
      </c>
      <c r="E2469" s="24" t="s">
        <v>15801</v>
      </c>
    </row>
    <row r="2470" spans="1:8">
      <c r="A2470" s="24" t="s">
        <v>15801</v>
      </c>
      <c r="C2470" s="32" t="s">
        <v>15801</v>
      </c>
      <c r="D2470" s="24" t="s">
        <v>15801</v>
      </c>
      <c r="E2470" s="24" t="s">
        <v>15801</v>
      </c>
    </row>
    <row r="2471" spans="1:8">
      <c r="A2471" s="24" t="s">
        <v>15801</v>
      </c>
      <c r="C2471" s="32" t="s">
        <v>15801</v>
      </c>
      <c r="D2471" s="24" t="s">
        <v>15801</v>
      </c>
      <c r="E2471" s="24" t="s">
        <v>15801</v>
      </c>
    </row>
    <row r="2472" spans="1:8">
      <c r="A2472" s="24" t="s">
        <v>15801</v>
      </c>
      <c r="C2472" s="32" t="s">
        <v>15801</v>
      </c>
      <c r="D2472" s="24" t="s">
        <v>15801</v>
      </c>
      <c r="E2472" s="24" t="s">
        <v>15801</v>
      </c>
    </row>
    <row r="2473" spans="1:8">
      <c r="A2473" s="24" t="s">
        <v>15801</v>
      </c>
      <c r="C2473" s="32" t="s">
        <v>15801</v>
      </c>
      <c r="D2473" s="24" t="s">
        <v>15801</v>
      </c>
      <c r="E2473" s="24" t="s">
        <v>15801</v>
      </c>
    </row>
    <row r="2474" spans="1:8">
      <c r="A2474" s="24" t="s">
        <v>15801</v>
      </c>
      <c r="C2474" s="32" t="s">
        <v>15801</v>
      </c>
    </row>
    <row r="2475" spans="1:8">
      <c r="A2475" s="24" t="s">
        <v>15801</v>
      </c>
      <c r="C2475" s="32" t="s">
        <v>15801</v>
      </c>
    </row>
    <row r="2476" spans="1:8">
      <c r="A2476" s="24" t="s">
        <v>15801</v>
      </c>
    </row>
    <row r="2477" spans="1:8">
      <c r="A2477" s="24" t="s">
        <v>15801</v>
      </c>
    </row>
    <row r="2478" spans="1:8">
      <c r="A2478" s="24" t="s">
        <v>15801</v>
      </c>
    </row>
    <row r="2479" spans="1:8">
      <c r="A2479" s="24" t="s">
        <v>15801</v>
      </c>
    </row>
    <row r="2480" spans="1:8">
      <c r="A2480" s="24" t="s">
        <v>15801</v>
      </c>
    </row>
    <row r="2481" spans="1:1">
      <c r="A2481" s="24" t="s">
        <v>15801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Strings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2012-01-14T11:48:15Z</dcterms:created>
  <dcterms:modified xsi:type="dcterms:W3CDTF">2015-07-06T22:10:17Z</dcterms:modified>
</cp:coreProperties>
</file>